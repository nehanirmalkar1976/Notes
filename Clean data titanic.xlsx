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\Desktop\Data Analyst Notes\"/>
    </mc:Choice>
  </mc:AlternateContent>
  <xr:revisionPtr revIDLastSave="0" documentId="13_ncr:1_{09054858-8CD1-42E7-A753-9D74418DE886}" xr6:coauthVersionLast="47" xr6:coauthVersionMax="47" xr10:uidLastSave="{00000000-0000-0000-0000-000000000000}"/>
  <bookViews>
    <workbookView xWindow="-108" yWindow="-108" windowWidth="23256" windowHeight="12456" xr2:uid="{81F63F9D-6E3C-4CF0-96AE-E1835CDE269C}"/>
  </bookViews>
  <sheets>
    <sheet name="titanic (1)" sheetId="1" r:id="rId1"/>
  </sheets>
  <definedNames>
    <definedName name="_xlnm._FilterDatabase" localSheetId="0" hidden="1">'titanic (1)'!$A$1:$O$1519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J3" i="1" a="1"/>
  <c r="J3" i="1" s="1"/>
  <c r="J4" i="1" a="1"/>
  <c r="J4" i="1" s="1"/>
  <c r="J5" i="1" a="1"/>
  <c r="J5" i="1" s="1"/>
  <c r="J6" i="1" a="1"/>
  <c r="J6" i="1" s="1"/>
  <c r="J7" i="1" a="1"/>
  <c r="J7" i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/>
  <c r="J1217" i="1" a="1"/>
  <c r="J1217" i="1" s="1"/>
  <c r="J1218" i="1" a="1"/>
  <c r="J1218" i="1" s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0" i="1" a="1"/>
  <c r="J1370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4" i="1" a="1"/>
  <c r="J1394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0" i="1" a="1"/>
  <c r="J1400" i="1" s="1"/>
  <c r="J1401" i="1" a="1"/>
  <c r="J1401" i="1" s="1"/>
  <c r="J1402" i="1" a="1"/>
  <c r="J1402" i="1" s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J1460" i="1" a="1"/>
  <c r="J1460" i="1" s="1"/>
  <c r="J1461" i="1" a="1"/>
  <c r="J1461" i="1" s="1"/>
  <c r="J1462" i="1" a="1"/>
  <c r="J1462" i="1" s="1"/>
  <c r="J1463" i="1" a="1"/>
  <c r="J1463" i="1" s="1"/>
  <c r="J1464" i="1" a="1"/>
  <c r="J1464" i="1" s="1"/>
  <c r="J1465" i="1" a="1"/>
  <c r="J1465" i="1" s="1"/>
  <c r="J1466" i="1" a="1"/>
  <c r="J1466" i="1" s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2" i="1" a="1"/>
  <c r="J1472" i="1" s="1"/>
  <c r="J1473" i="1" a="1"/>
  <c r="J1473" i="1" s="1"/>
  <c r="J1474" i="1" a="1"/>
  <c r="J1474" i="1" s="1"/>
  <c r="J1475" i="1" a="1"/>
  <c r="J1475" i="1" s="1"/>
  <c r="J1476" i="1" a="1"/>
  <c r="J1476" i="1" s="1"/>
  <c r="J1477" i="1" a="1"/>
  <c r="J1477" i="1" s="1"/>
  <c r="J1478" i="1" a="1"/>
  <c r="J1478" i="1" s="1"/>
  <c r="J1479" i="1" a="1"/>
  <c r="J1479" i="1" s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 s="1"/>
  <c r="J1485" i="1" a="1"/>
  <c r="J1485" i="1" s="1"/>
  <c r="J1486" i="1" a="1"/>
  <c r="J1486" i="1" s="1"/>
  <c r="J1487" i="1" a="1"/>
  <c r="J1487" i="1" s="1"/>
  <c r="J1488" i="1" a="1"/>
  <c r="J1488" i="1" s="1"/>
  <c r="J1489" i="1" a="1"/>
  <c r="J1489" i="1" s="1"/>
  <c r="J1490" i="1" a="1"/>
  <c r="J1490" i="1" s="1"/>
  <c r="J1491" i="1" a="1"/>
  <c r="J1491" i="1" s="1"/>
  <c r="J1492" i="1" a="1"/>
  <c r="J1492" i="1" s="1"/>
  <c r="J1493" i="1" a="1"/>
  <c r="J1493" i="1" s="1"/>
  <c r="J1494" i="1" a="1"/>
  <c r="J1494" i="1" s="1"/>
  <c r="J1495" i="1" a="1"/>
  <c r="J1495" i="1" s="1"/>
  <c r="J1496" i="1" a="1"/>
  <c r="J1496" i="1" s="1"/>
  <c r="J1497" i="1" a="1"/>
  <c r="J1497" i="1" s="1"/>
  <c r="J1498" i="1" a="1"/>
  <c r="J1498" i="1" s="1"/>
  <c r="J1499" i="1" a="1"/>
  <c r="J1499" i="1" s="1"/>
  <c r="J1500" i="1" a="1"/>
  <c r="J1500" i="1" s="1"/>
  <c r="J1501" i="1" a="1"/>
  <c r="J1501" i="1" s="1"/>
  <c r="J1502" i="1" a="1"/>
  <c r="J1502" i="1" s="1"/>
  <c r="J1503" i="1" a="1"/>
  <c r="J1503" i="1"/>
  <c r="J1504" i="1" a="1"/>
  <c r="J1504" i="1" s="1"/>
  <c r="J1505" i="1" a="1"/>
  <c r="J1505" i="1" s="1"/>
  <c r="J1506" i="1" a="1"/>
  <c r="J1506" i="1" s="1"/>
  <c r="J1507" i="1" a="1"/>
  <c r="J1507" i="1" s="1"/>
  <c r="J1508" i="1" a="1"/>
  <c r="J1508" i="1" s="1"/>
  <c r="J1509" i="1" a="1"/>
  <c r="J1509" i="1" s="1"/>
  <c r="J1510" i="1" a="1"/>
  <c r="J1510" i="1" s="1"/>
  <c r="J1511" i="1" a="1"/>
  <c r="J1511" i="1" s="1"/>
  <c r="J1512" i="1" a="1"/>
  <c r="J1512" i="1" s="1"/>
  <c r="J1513" i="1" a="1"/>
  <c r="J1513" i="1" s="1"/>
  <c r="J1514" i="1" a="1"/>
  <c r="J1514" i="1" s="1"/>
  <c r="J1515" i="1" a="1"/>
  <c r="J1515" i="1" s="1"/>
  <c r="J1516" i="1" a="1"/>
  <c r="J1516" i="1" s="1"/>
  <c r="J1517" i="1" a="1"/>
  <c r="J1517" i="1" s="1"/>
  <c r="J1518" i="1" a="1"/>
  <c r="J1518" i="1" s="1"/>
  <c r="J1519" i="1" a="1"/>
  <c r="J1519" i="1" s="1"/>
  <c r="J2" i="1" a="1"/>
  <c r="J2" i="1" s="1"/>
  <c r="G2" i="1" a="1"/>
  <c r="G2" i="1" s="1"/>
  <c r="G3" i="1" a="1"/>
  <c r="G3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 s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 s="1"/>
  <c r="G1042" i="1" a="1"/>
  <c r="G1042" i="1" s="1"/>
  <c r="G1043" i="1" a="1"/>
  <c r="G1043" i="1" s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 s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 s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 s="1"/>
  <c r="G1081" i="1" a="1"/>
  <c r="G1081" i="1" s="1"/>
  <c r="G1082" i="1" a="1"/>
  <c r="G1082" i="1" s="1"/>
  <c r="G1083" i="1" a="1"/>
  <c r="G1083" i="1" s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 s="1"/>
  <c r="G1110" i="1" a="1"/>
  <c r="G1110" i="1" s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 s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 s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 s="1"/>
  <c r="G1155" i="1" a="1"/>
  <c r="G1155" i="1" s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 s="1"/>
  <c r="G1204" i="1" a="1"/>
  <c r="G1204" i="1" s="1"/>
  <c r="G1205" i="1" a="1"/>
  <c r="G1205" i="1" s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 s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 s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 s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 s="1"/>
  <c r="G1255" i="1" a="1"/>
  <c r="G1255" i="1" s="1"/>
  <c r="G1256" i="1" a="1"/>
  <c r="G1256" i="1" s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 s="1"/>
  <c r="G1267" i="1" a="1"/>
  <c r="G1267" i="1" s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 s="1"/>
  <c r="G1274" i="1" a="1"/>
  <c r="G1274" i="1" s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 s="1"/>
  <c r="G1329" i="1" a="1"/>
  <c r="G1329" i="1" s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 s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 s="1"/>
  <c r="G1352" i="1" a="1"/>
  <c r="G1352" i="1" s="1"/>
  <c r="G1353" i="1" a="1"/>
  <c r="G1353" i="1" s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 s="1"/>
  <c r="G1369" i="1" a="1"/>
  <c r="G1369" i="1" s="1"/>
  <c r="G1370" i="1" a="1"/>
  <c r="G1370" i="1" s="1"/>
  <c r="G1371" i="1" a="1"/>
  <c r="G1371" i="1" s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 s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 s="1"/>
  <c r="G1384" i="1" a="1"/>
  <c r="G1384" i="1" s="1"/>
  <c r="G1385" i="1" a="1"/>
  <c r="G1385" i="1" s="1"/>
  <c r="G1386" i="1" a="1"/>
  <c r="G1386" i="1" s="1"/>
  <c r="G1387" i="1" a="1"/>
  <c r="G1387" i="1" s="1"/>
  <c r="G1388" i="1" a="1"/>
  <c r="G1388" i="1" s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 s="1"/>
  <c r="G1397" i="1" a="1"/>
  <c r="G1397" i="1" s="1"/>
  <c r="G1398" i="1" a="1"/>
  <c r="G1398" i="1" s="1"/>
  <c r="G1399" i="1" a="1"/>
  <c r="G1399" i="1" s="1"/>
  <c r="G1400" i="1" a="1"/>
  <c r="G1400" i="1"/>
  <c r="G1401" i="1" a="1"/>
  <c r="G1401" i="1" s="1"/>
  <c r="G1402" i="1" a="1"/>
  <c r="G1402" i="1" s="1"/>
  <c r="G1403" i="1" a="1"/>
  <c r="G1403" i="1" s="1"/>
  <c r="G1404" i="1" a="1"/>
  <c r="G1404" i="1" s="1"/>
  <c r="G1405" i="1" a="1"/>
  <c r="G1405" i="1" s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 s="1"/>
  <c r="G1427" i="1" a="1"/>
  <c r="G1427" i="1" s="1"/>
  <c r="G1428" i="1" a="1"/>
  <c r="G1428" i="1" s="1"/>
  <c r="G1429" i="1" a="1"/>
  <c r="G1429" i="1" s="1"/>
  <c r="G1430" i="1" a="1"/>
  <c r="G1430" i="1" s="1"/>
  <c r="G1431" i="1" a="1"/>
  <c r="G1431" i="1" s="1"/>
  <c r="G1432" i="1" a="1"/>
  <c r="G1432" i="1" s="1"/>
  <c r="G1433" i="1" a="1"/>
  <c r="G1433" i="1" s="1"/>
  <c r="G1434" i="1" a="1"/>
  <c r="G1434" i="1" s="1"/>
  <c r="G1435" i="1" a="1"/>
  <c r="G1435" i="1" s="1"/>
  <c r="G1436" i="1" a="1"/>
  <c r="G1436" i="1" s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 s="1"/>
  <c r="G1446" i="1" a="1"/>
  <c r="G1446" i="1" s="1"/>
  <c r="G1447" i="1" a="1"/>
  <c r="G1447" i="1" s="1"/>
  <c r="G1448" i="1" a="1"/>
  <c r="G1448" i="1" s="1"/>
  <c r="G1449" i="1" a="1"/>
  <c r="G1449" i="1" s="1"/>
  <c r="G1450" i="1" a="1"/>
  <c r="G1450" i="1" s="1"/>
  <c r="G1451" i="1" a="1"/>
  <c r="G1451" i="1" s="1"/>
  <c r="G1452" i="1" a="1"/>
  <c r="G1452" i="1" s="1"/>
  <c r="G1453" i="1" a="1"/>
  <c r="G1453" i="1" s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 s="1"/>
  <c r="G1462" i="1" a="1"/>
  <c r="G1462" i="1" s="1"/>
  <c r="G1463" i="1" a="1"/>
  <c r="G1463" i="1" s="1"/>
  <c r="G1464" i="1" a="1"/>
  <c r="G1464" i="1" s="1"/>
  <c r="G1465" i="1" a="1"/>
  <c r="G1465" i="1" s="1"/>
  <c r="G1466" i="1" a="1"/>
  <c r="G1466" i="1" s="1"/>
  <c r="G1467" i="1" a="1"/>
  <c r="G1467" i="1" s="1"/>
  <c r="G1468" i="1" a="1"/>
  <c r="G1468" i="1" s="1"/>
  <c r="G1469" i="1" a="1"/>
  <c r="G1469" i="1" s="1"/>
  <c r="G1470" i="1" a="1"/>
  <c r="G1470" i="1" s="1"/>
  <c r="G1471" i="1" a="1"/>
  <c r="G1471" i="1" s="1"/>
  <c r="G1472" i="1" a="1"/>
  <c r="G1472" i="1" s="1"/>
  <c r="G1473" i="1" a="1"/>
  <c r="G1473" i="1" s="1"/>
  <c r="G1474" i="1" a="1"/>
  <c r="G1474" i="1" s="1"/>
  <c r="G1475" i="1" a="1"/>
  <c r="G1475" i="1" s="1"/>
  <c r="G1476" i="1" a="1"/>
  <c r="G1476" i="1" s="1"/>
  <c r="G1477" i="1" a="1"/>
  <c r="G1477" i="1" s="1"/>
  <c r="G1478" i="1" a="1"/>
  <c r="G1478" i="1" s="1"/>
  <c r="G1479" i="1" a="1"/>
  <c r="G1479" i="1" s="1"/>
  <c r="G1480" i="1" a="1"/>
  <c r="G1480" i="1" s="1"/>
  <c r="G1481" i="1" a="1"/>
  <c r="G1481" i="1" s="1"/>
  <c r="G1482" i="1" a="1"/>
  <c r="G1482" i="1" s="1"/>
  <c r="G1483" i="1" a="1"/>
  <c r="G1483" i="1" s="1"/>
  <c r="G1484" i="1" a="1"/>
  <c r="G1484" i="1" s="1"/>
  <c r="G1485" i="1" a="1"/>
  <c r="G1485" i="1" s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 s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 s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 s="1"/>
  <c r="G1512" i="1" a="1"/>
  <c r="G1512" i="1" s="1"/>
  <c r="G1513" i="1" a="1"/>
  <c r="G1513" i="1" s="1"/>
  <c r="G1514" i="1" a="1"/>
  <c r="G1514" i="1" s="1"/>
  <c r="G1515" i="1" a="1"/>
  <c r="G1515" i="1" s="1"/>
  <c r="G1516" i="1" a="1"/>
  <c r="G1516" i="1" s="1"/>
  <c r="G1517" i="1" a="1"/>
  <c r="G1517" i="1" s="1"/>
  <c r="G1518" i="1" a="1"/>
  <c r="G1518" i="1" s="1"/>
  <c r="G1519" i="1" a="1"/>
  <c r="G1519" i="1" s="1"/>
  <c r="G4" i="1" a="1"/>
  <c r="G4" i="1" s="1"/>
  <c r="Q1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<sst xmlns="http://schemas.openxmlformats.org/spreadsheetml/2006/main" count="12791" uniqueCount="2741">
  <si>
    <t>gender</t>
  </si>
  <si>
    <t>age</t>
  </si>
  <si>
    <t>class</t>
  </si>
  <si>
    <t>embarked</t>
  </si>
  <si>
    <t>country</t>
  </si>
  <si>
    <t>fare</t>
  </si>
  <si>
    <t>sibsp</t>
  </si>
  <si>
    <t>parch</t>
  </si>
  <si>
    <t>survived</t>
  </si>
  <si>
    <t>male</t>
  </si>
  <si>
    <t>3rd</t>
  </si>
  <si>
    <t>S</t>
  </si>
  <si>
    <t>United States</t>
  </si>
  <si>
    <t>no</t>
  </si>
  <si>
    <t>female</t>
  </si>
  <si>
    <t>England</t>
  </si>
  <si>
    <t>yes</t>
  </si>
  <si>
    <t>Norway</t>
  </si>
  <si>
    <t>2nd</t>
  </si>
  <si>
    <t>C</t>
  </si>
  <si>
    <t>France</t>
  </si>
  <si>
    <t>Lebanon</t>
  </si>
  <si>
    <t>Finland</t>
  </si>
  <si>
    <t>Sweden</t>
  </si>
  <si>
    <t>Argentina</t>
  </si>
  <si>
    <t>1st</t>
  </si>
  <si>
    <t>Canada</t>
  </si>
  <si>
    <t>Denmark</t>
  </si>
  <si>
    <t>B</t>
  </si>
  <si>
    <t>Northern Ireland</t>
  </si>
  <si>
    <t>NA</t>
  </si>
  <si>
    <t>Bulgaria</t>
  </si>
  <si>
    <t>Switzerland</t>
  </si>
  <si>
    <t>Channel Islands</t>
  </si>
  <si>
    <t>Bosnia</t>
  </si>
  <si>
    <t>Hungary</t>
  </si>
  <si>
    <t>Q</t>
  </si>
  <si>
    <t>Ireland</t>
  </si>
  <si>
    <t>Italy</t>
  </si>
  <si>
    <t>India</t>
  </si>
  <si>
    <t>Wales</t>
  </si>
  <si>
    <t>South Africa</t>
  </si>
  <si>
    <t>Croatia (Modern)</t>
  </si>
  <si>
    <t>Scotland</t>
  </si>
  <si>
    <t>Siam</t>
  </si>
  <si>
    <t>Uruguay</t>
  </si>
  <si>
    <t>Belgium</t>
  </si>
  <si>
    <t>Poland</t>
  </si>
  <si>
    <t>Australia</t>
  </si>
  <si>
    <t>Peru</t>
  </si>
  <si>
    <t>Spain</t>
  </si>
  <si>
    <t>engineering crew</t>
  </si>
  <si>
    <t>Egypt</t>
  </si>
  <si>
    <t>Japan</t>
  </si>
  <si>
    <t>Russia</t>
  </si>
  <si>
    <t>Slovenia</t>
  </si>
  <si>
    <t>Greece</t>
  </si>
  <si>
    <t>Turkey</t>
  </si>
  <si>
    <t>China/Hong Kong</t>
  </si>
  <si>
    <t>Austria</t>
  </si>
  <si>
    <t>Latvia</t>
  </si>
  <si>
    <t>Yugoslavia</t>
  </si>
  <si>
    <t>Germany</t>
  </si>
  <si>
    <t>Croatia</t>
  </si>
  <si>
    <t>Cuba</t>
  </si>
  <si>
    <t>Netherlands</t>
  </si>
  <si>
    <t>Mexico</t>
  </si>
  <si>
    <t>victualling crew</t>
  </si>
  <si>
    <t>restaurant staff</t>
  </si>
  <si>
    <t>deck crew</t>
  </si>
  <si>
    <t>Guyana</t>
  </si>
  <si>
    <t>Abbing</t>
  </si>
  <si>
    <t xml:space="preserve"> Mr</t>
  </si>
  <si>
    <t xml:space="preserve"> Anthony</t>
  </si>
  <si>
    <t>Abbott</t>
  </si>
  <si>
    <t xml:space="preserve"> Eugene Joseph</t>
  </si>
  <si>
    <t xml:space="preserve"> Mrs</t>
  </si>
  <si>
    <t>Abelseth</t>
  </si>
  <si>
    <t xml:space="preserve"> Miss</t>
  </si>
  <si>
    <t xml:space="preserve"> Karen Marie</t>
  </si>
  <si>
    <t>Abelson</t>
  </si>
  <si>
    <t xml:space="preserve"> Samuel</t>
  </si>
  <si>
    <t xml:space="preserve"> Hannah</t>
  </si>
  <si>
    <t>AbÄ«-Al-MunÃ </t>
  </si>
  <si>
    <t xml:space="preserve"> NÄsÄ«f QÄsim</t>
  </si>
  <si>
    <t>Abrahamsson</t>
  </si>
  <si>
    <t xml:space="preserve"> Abraham August Johannes</t>
  </si>
  <si>
    <t>Ã…dahl</t>
  </si>
  <si>
    <t xml:space="preserve"> Mauritz</t>
  </si>
  <si>
    <t>Adams</t>
  </si>
  <si>
    <t xml:space="preserve"> John</t>
  </si>
  <si>
    <t>Ahlin</t>
  </si>
  <si>
    <t xml:space="preserve"> Johanna Persdotter</t>
  </si>
  <si>
    <t>Aks</t>
  </si>
  <si>
    <t xml:space="preserve"> Master</t>
  </si>
  <si>
    <t xml:space="preserve"> Frank Philip</t>
  </si>
  <si>
    <t>Aldworth</t>
  </si>
  <si>
    <t xml:space="preserve"> Augustus Henry</t>
  </si>
  <si>
    <t>Alexander</t>
  </si>
  <si>
    <t xml:space="preserve"> William Albert</t>
  </si>
  <si>
    <t>AlhomÃ¤ki</t>
  </si>
  <si>
    <t xml:space="preserve"> Ilmari Rudolf</t>
  </si>
  <si>
    <t>Ali</t>
  </si>
  <si>
    <t xml:space="preserve"> Ahmed</t>
  </si>
  <si>
    <t xml:space="preserve"> William</t>
  </si>
  <si>
    <t>Allen</t>
  </si>
  <si>
    <t xml:space="preserve"> Elisabeth Walton</t>
  </si>
  <si>
    <t xml:space="preserve"> William Henry</t>
  </si>
  <si>
    <t>Allison</t>
  </si>
  <si>
    <t xml:space="preserve"> Hudson Trevor</t>
  </si>
  <si>
    <t>Allum</t>
  </si>
  <si>
    <t xml:space="preserve"> Owen George</t>
  </si>
  <si>
    <t>Al-MunÃ </t>
  </si>
  <si>
    <t xml:space="preserve"> FarÄ«d Husayn QÄsim</t>
  </si>
  <si>
    <t>Andersen-Jensen</t>
  </si>
  <si>
    <t xml:space="preserve"> Carla Christine Nielsine</t>
  </si>
  <si>
    <t>Andersen</t>
  </si>
  <si>
    <t xml:space="preserve"> Albert Karvin</t>
  </si>
  <si>
    <t>Anderson</t>
  </si>
  <si>
    <t xml:space="preserve"> Harry</t>
  </si>
  <si>
    <t>Andersson</t>
  </si>
  <si>
    <t xml:space="preserve"> Sigvard Harald Elias</t>
  </si>
  <si>
    <t>Andreasson</t>
  </si>
  <si>
    <t xml:space="preserve"> PÃ¥l Edvin</t>
  </si>
  <si>
    <t>Andrew</t>
  </si>
  <si>
    <t xml:space="preserve"> Edgar Samuel</t>
  </si>
  <si>
    <t>Andrews</t>
  </si>
  <si>
    <t xml:space="preserve"> Kornelia Theodosia</t>
  </si>
  <si>
    <t xml:space="preserve"> Thomas</t>
  </si>
  <si>
    <t>Angheloff</t>
  </si>
  <si>
    <t xml:space="preserve"> Minko</t>
  </si>
  <si>
    <t>Angle</t>
  </si>
  <si>
    <t xml:space="preserve"> Florence Agnes</t>
  </si>
  <si>
    <t>Appleton</t>
  </si>
  <si>
    <t xml:space="preserve"> Charlotte</t>
  </si>
  <si>
    <t>Arnold-Franchi</t>
  </si>
  <si>
    <t xml:space="preserve"> Josef</t>
  </si>
  <si>
    <t>Aronsson</t>
  </si>
  <si>
    <t xml:space="preserve"> Ernst Axel Algot</t>
  </si>
  <si>
    <t>Artagaveytia</t>
  </si>
  <si>
    <t xml:space="preserve"> Ramon</t>
  </si>
  <si>
    <t>Ashby</t>
  </si>
  <si>
    <t>Asim</t>
  </si>
  <si>
    <t xml:space="preserve"> Adola</t>
  </si>
  <si>
    <t>Asplund</t>
  </si>
  <si>
    <t xml:space="preserve"> Carl Edgar</t>
  </si>
  <si>
    <t>Assaf</t>
  </si>
  <si>
    <t xml:space="preserve"> Mariana</t>
  </si>
  <si>
    <t>Assam</t>
  </si>
  <si>
    <t xml:space="preserve"> Ali</t>
  </si>
  <si>
    <t>Astor</t>
  </si>
  <si>
    <t xml:space="preserve"> Colonel</t>
  </si>
  <si>
    <t xml:space="preserve"> John Jacob</t>
  </si>
  <si>
    <t>Attalah</t>
  </si>
  <si>
    <t xml:space="preserve"> Malake</t>
  </si>
  <si>
    <t>Attala</t>
  </si>
  <si>
    <t xml:space="preserve"> Sleiman</t>
  </si>
  <si>
    <t>Aubart</t>
  </si>
  <si>
    <t xml:space="preserve"> Mme</t>
  </si>
  <si>
    <t xml:space="preserve"> LÃ©ontine Pauline</t>
  </si>
  <si>
    <t>Augustsson</t>
  </si>
  <si>
    <t xml:space="preserve"> Albert</t>
  </si>
  <si>
    <t>Ayoub Daher</t>
  </si>
  <si>
    <t xml:space="preserve"> Banoura</t>
  </si>
  <si>
    <t>BackstrÃ¶m</t>
  </si>
  <si>
    <t xml:space="preserve"> Karl Alfred</t>
  </si>
  <si>
    <t>Baclini</t>
  </si>
  <si>
    <t xml:space="preserve"> Eugenie</t>
  </si>
  <si>
    <t>Badman</t>
  </si>
  <si>
    <t xml:space="preserve"> Emily Louisa</t>
  </si>
  <si>
    <t>Badt</t>
  </si>
  <si>
    <t xml:space="preserve"> Mohamed</t>
  </si>
  <si>
    <t>Bailey</t>
  </si>
  <si>
    <t xml:space="preserve"> Percy</t>
  </si>
  <si>
    <t>Bainbrigge</t>
  </si>
  <si>
    <t xml:space="preserve"> Charles Robert</t>
  </si>
  <si>
    <t>Balkic</t>
  </si>
  <si>
    <t xml:space="preserve"> Cerin</t>
  </si>
  <si>
    <t>Balls</t>
  </si>
  <si>
    <t xml:space="preserve"> Ada E</t>
  </si>
  <si>
    <t>Banfield</t>
  </si>
  <si>
    <t xml:space="preserve"> Frederick James</t>
  </si>
  <si>
    <t>Banski</t>
  </si>
  <si>
    <t xml:space="preserve"> Mara</t>
  </si>
  <si>
    <t>Barbara</t>
  </si>
  <si>
    <t xml:space="preserve"> Saiide</t>
  </si>
  <si>
    <t>Barber</t>
  </si>
  <si>
    <t xml:space="preserve"> Ellen Mary</t>
  </si>
  <si>
    <t>Barkworth</t>
  </si>
  <si>
    <t xml:space="preserve"> Algernon Henry</t>
  </si>
  <si>
    <t>Barry</t>
  </si>
  <si>
    <t xml:space="preserve"> Julia</t>
  </si>
  <si>
    <t>Barton</t>
  </si>
  <si>
    <t xml:space="preserve"> David John</t>
  </si>
  <si>
    <t>Bassani</t>
  </si>
  <si>
    <t xml:space="preserve"> Albina</t>
  </si>
  <si>
    <t>Bateman</t>
  </si>
  <si>
    <t xml:space="preserve"> Revd</t>
  </si>
  <si>
    <t xml:space="preserve"> Robert James</t>
  </si>
  <si>
    <t>Batoshev</t>
  </si>
  <si>
    <t xml:space="preserve"> Hristo Lalev</t>
  </si>
  <si>
    <t>Baumann</t>
  </si>
  <si>
    <t xml:space="preserve"> John D</t>
  </si>
  <si>
    <t>Baxter</t>
  </si>
  <si>
    <t xml:space="preserve"> Quigg Edmond</t>
  </si>
  <si>
    <t>Beane</t>
  </si>
  <si>
    <t xml:space="preserve"> Edward</t>
  </si>
  <si>
    <t xml:space="preserve"> Ethel</t>
  </si>
  <si>
    <t>Beattie</t>
  </si>
  <si>
    <t xml:space="preserve"> Thomson</t>
  </si>
  <si>
    <t>Beauchamp</t>
  </si>
  <si>
    <t xml:space="preserve"> Henry James</t>
  </si>
  <si>
    <t>Beavan</t>
  </si>
  <si>
    <t xml:space="preserve"> William Thomas</t>
  </si>
  <si>
    <t>Becker</t>
  </si>
  <si>
    <t xml:space="preserve"> Richard F</t>
  </si>
  <si>
    <t>Beckwith</t>
  </si>
  <si>
    <t xml:space="preserve"> Richard Leonard</t>
  </si>
  <si>
    <t>Beesley</t>
  </si>
  <si>
    <t xml:space="preserve"> Lawrence</t>
  </si>
  <si>
    <t>Behr</t>
  </si>
  <si>
    <t xml:space="preserve"> Karl Howell</t>
  </si>
  <si>
    <t>Bengtsson</t>
  </si>
  <si>
    <t xml:space="preserve"> Johan Viktor</t>
  </si>
  <si>
    <t>Bentham</t>
  </si>
  <si>
    <t xml:space="preserve"> Lillian W</t>
  </si>
  <si>
    <t>Berglund</t>
  </si>
  <si>
    <t xml:space="preserve"> Karl Ivar Sven</t>
  </si>
  <si>
    <t>Berriman</t>
  </si>
  <si>
    <t xml:space="preserve"> William John</t>
  </si>
  <si>
    <t>Bessette</t>
  </si>
  <si>
    <t xml:space="preserve"> Nellie Mayo</t>
  </si>
  <si>
    <t>Bidois</t>
  </si>
  <si>
    <t xml:space="preserve"> Rosalie</t>
  </si>
  <si>
    <t>Bing</t>
  </si>
  <si>
    <t xml:space="preserve"> Lee</t>
  </si>
  <si>
    <t>Bird</t>
  </si>
  <si>
    <t xml:space="preserve"> Ellen</t>
  </si>
  <si>
    <t>Birkeland</t>
  </si>
  <si>
    <t xml:space="preserve"> Hans Martin Monsen</t>
  </si>
  <si>
    <t>Birnbaum</t>
  </si>
  <si>
    <t xml:space="preserve"> Jakob</t>
  </si>
  <si>
    <t>Bishop</t>
  </si>
  <si>
    <t xml:space="preserve"> Dickinson H</t>
  </si>
  <si>
    <t>BjÃ¶rklund</t>
  </si>
  <si>
    <t xml:space="preserve"> Ernst Herbert</t>
  </si>
  <si>
    <t>BjÃ¶rnstrÃ¶m-Steffansson</t>
  </si>
  <si>
    <t xml:space="preserve"> Mauritz Hokan</t>
  </si>
  <si>
    <t>Blackwell</t>
  </si>
  <si>
    <t xml:space="preserve"> Stephen Weart</t>
  </si>
  <si>
    <t>Blank</t>
  </si>
  <si>
    <t xml:space="preserve"> Henry</t>
  </si>
  <si>
    <t>Bonnell</t>
  </si>
  <si>
    <t xml:space="preserve"> Caroline</t>
  </si>
  <si>
    <t xml:space="preserve"> Elizabeth</t>
  </si>
  <si>
    <t>Borebank</t>
  </si>
  <si>
    <t xml:space="preserve"> John James</t>
  </si>
  <si>
    <t>Bostandyeff</t>
  </si>
  <si>
    <t xml:space="preserve"> Guentcho</t>
  </si>
  <si>
    <t>Botsford</t>
  </si>
  <si>
    <t xml:space="preserve"> William Hull</t>
  </si>
  <si>
    <t>Bourke</t>
  </si>
  <si>
    <t xml:space="preserve"> Mary</t>
  </si>
  <si>
    <t xml:space="preserve"> Catherine</t>
  </si>
  <si>
    <t>Bowen</t>
  </si>
  <si>
    <t xml:space="preserve"> Grace Scott</t>
  </si>
  <si>
    <t>Bowenur</t>
  </si>
  <si>
    <t xml:space="preserve"> Solomon</t>
  </si>
  <si>
    <t>Bowerman</t>
  </si>
  <si>
    <t xml:space="preserve"> Elsie Edith</t>
  </si>
  <si>
    <t>Bracken</t>
  </si>
  <si>
    <t xml:space="preserve"> James Hollen</t>
  </si>
  <si>
    <t>Bradley</t>
  </si>
  <si>
    <t xml:space="preserve"> Bridget Delia</t>
  </si>
  <si>
    <t>Brady</t>
  </si>
  <si>
    <t xml:space="preserve"> John Bertram</t>
  </si>
  <si>
    <t>Braf</t>
  </si>
  <si>
    <t xml:space="preserve"> Elin Ester Maria</t>
  </si>
  <si>
    <t>Brailey</t>
  </si>
  <si>
    <t xml:space="preserve"> William Theodore Ronald</t>
  </si>
  <si>
    <t>Brandeis</t>
  </si>
  <si>
    <t xml:space="preserve"> Emil Franklin</t>
  </si>
  <si>
    <t>Braund</t>
  </si>
  <si>
    <t xml:space="preserve"> Lewis Richard</t>
  </si>
  <si>
    <t>Brereton</t>
  </si>
  <si>
    <t xml:space="preserve"> George Andrew</t>
  </si>
  <si>
    <t>Brewe</t>
  </si>
  <si>
    <t xml:space="preserve"> Dr</t>
  </si>
  <si>
    <t xml:space="preserve"> Arthur Jackson</t>
  </si>
  <si>
    <t>Bricoux</t>
  </si>
  <si>
    <t xml:space="preserve"> Roger Marie</t>
  </si>
  <si>
    <t>Brito</t>
  </si>
  <si>
    <t xml:space="preserve"> JosÃ© Joaquim de</t>
  </si>
  <si>
    <t>BrobÃ¤ck</t>
  </si>
  <si>
    <t xml:space="preserve"> Karl Rudolf</t>
  </si>
  <si>
    <t>Brocklebank</t>
  </si>
  <si>
    <t xml:space="preserve"> William Alfred</t>
  </si>
  <si>
    <t>Brown</t>
  </si>
  <si>
    <t xml:space="preserve"> Amelia Mary</t>
  </si>
  <si>
    <t xml:space="preserve"> Margaret</t>
  </si>
  <si>
    <t>Bryhl</t>
  </si>
  <si>
    <t xml:space="preserve"> Dagmar Jenny Ingeborg</t>
  </si>
  <si>
    <t>Buckley</t>
  </si>
  <si>
    <t xml:space="preserve"> Katherine</t>
  </si>
  <si>
    <t xml:space="preserve"> Daniel</t>
  </si>
  <si>
    <t>Bucknell</t>
  </si>
  <si>
    <t xml:space="preserve"> Emma Eliza</t>
  </si>
  <si>
    <t>BÅ«lus</t>
  </si>
  <si>
    <t xml:space="preserve"> Akar</t>
  </si>
  <si>
    <t>Burke</t>
  </si>
  <si>
    <t xml:space="preserve"> Jeremiah</t>
  </si>
  <si>
    <t>Burns</t>
  </si>
  <si>
    <t xml:space="preserve"> Elizabeth Margaret</t>
  </si>
  <si>
    <t>Buss</t>
  </si>
  <si>
    <t xml:space="preserve"> Kate</t>
  </si>
  <si>
    <t>Butler</t>
  </si>
  <si>
    <t xml:space="preserve"> Reginald Fenton</t>
  </si>
  <si>
    <t>Butrus-Ka'wÄ«</t>
  </si>
  <si>
    <t xml:space="preserve"> TannÅ«s</t>
  </si>
  <si>
    <t>Butt</t>
  </si>
  <si>
    <t xml:space="preserve"> Major</t>
  </si>
  <si>
    <t xml:space="preserve"> Archibald Willingham</t>
  </si>
  <si>
    <t>Byles</t>
  </si>
  <si>
    <t xml:space="preserve"> Fr</t>
  </si>
  <si>
    <t xml:space="preserve"> Thomas Roussel Davids</t>
  </si>
  <si>
    <t>BystrÃ¶m</t>
  </si>
  <si>
    <t xml:space="preserve"> Karolina</t>
  </si>
  <si>
    <t>Cacic</t>
  </si>
  <si>
    <t xml:space="preserve"> Manda</t>
  </si>
  <si>
    <t>Cairns</t>
  </si>
  <si>
    <t xml:space="preserve"> Alexander Milne</t>
  </si>
  <si>
    <t>Calderhead</t>
  </si>
  <si>
    <t xml:space="preserve"> Edward Pennington</t>
  </si>
  <si>
    <t>Caldwell</t>
  </si>
  <si>
    <t xml:space="preserve"> Alden Gates</t>
  </si>
  <si>
    <t>Calic</t>
  </si>
  <si>
    <t xml:space="preserve"> Jovo</t>
  </si>
  <si>
    <t>Cameron</t>
  </si>
  <si>
    <t xml:space="preserve"> Clear Annie</t>
  </si>
  <si>
    <t>Campbell</t>
  </si>
  <si>
    <t>Canavan</t>
  </si>
  <si>
    <t xml:space="preserve"> Patrick</t>
  </si>
  <si>
    <t>Candee</t>
  </si>
  <si>
    <t xml:space="preserve"> Helen Churchill</t>
  </si>
  <si>
    <t>Cann</t>
  </si>
  <si>
    <t xml:space="preserve"> Ernest</t>
  </si>
  <si>
    <t>Caram</t>
  </si>
  <si>
    <t xml:space="preserve"> Joseph</t>
  </si>
  <si>
    <t>Carbines</t>
  </si>
  <si>
    <t>Cardeza</t>
  </si>
  <si>
    <t xml:space="preserve"> Charlotte Wardle</t>
  </si>
  <si>
    <t>Carlsson</t>
  </si>
  <si>
    <t xml:space="preserve"> August Sigfrid</t>
  </si>
  <si>
    <t>CarraÃº-Esteves</t>
  </si>
  <si>
    <t xml:space="preserve"> JosÃ© Pedro</t>
  </si>
  <si>
    <t>Carrau</t>
  </si>
  <si>
    <t xml:space="preserve"> Francisco Mauro Severiano</t>
  </si>
  <si>
    <t>Carr</t>
  </si>
  <si>
    <t xml:space="preserve"> Jane</t>
  </si>
  <si>
    <t>Carter</t>
  </si>
  <si>
    <t xml:space="preserve"> Ernest Courtenay</t>
  </si>
  <si>
    <t xml:space="preserve"> William Ernest</t>
  </si>
  <si>
    <t>Carver</t>
  </si>
  <si>
    <t xml:space="preserve"> Alfred John</t>
  </si>
  <si>
    <t>Case</t>
  </si>
  <si>
    <t xml:space="preserve"> Howard Brown</t>
  </si>
  <si>
    <t>Cassebeer</t>
  </si>
  <si>
    <t xml:space="preserve"> Eleanor Genevieve</t>
  </si>
  <si>
    <t>Cavendish</t>
  </si>
  <si>
    <t xml:space="preserve"> Julia Florence</t>
  </si>
  <si>
    <t>Celotti</t>
  </si>
  <si>
    <t xml:space="preserve"> Francesco</t>
  </si>
  <si>
    <t>Chaffee</t>
  </si>
  <si>
    <t xml:space="preserve"> Herbert Fuller</t>
  </si>
  <si>
    <t>Chambers</t>
  </si>
  <si>
    <t xml:space="preserve"> Norman Campbell</t>
  </si>
  <si>
    <t xml:space="preserve"> Bertha</t>
  </si>
  <si>
    <t>Chapman</t>
  </si>
  <si>
    <t xml:space="preserve"> Charles Henry</t>
  </si>
  <si>
    <t xml:space="preserve"> John Henry</t>
  </si>
  <si>
    <t>Charters</t>
  </si>
  <si>
    <t xml:space="preserve"> David</t>
  </si>
  <si>
    <t>Chaudanson</t>
  </si>
  <si>
    <t xml:space="preserve"> Victorine</t>
  </si>
  <si>
    <t>Cherry</t>
  </si>
  <si>
    <t xml:space="preserve"> Gladys</t>
  </si>
  <si>
    <t>ChevrÃ©</t>
  </si>
  <si>
    <t xml:space="preserve"> Paul Romaine Marie LÃ©once</t>
  </si>
  <si>
    <t>Chibnall</t>
  </si>
  <si>
    <t xml:space="preserve"> Edith Martha Bowerman</t>
  </si>
  <si>
    <t>Chip</t>
  </si>
  <si>
    <t xml:space="preserve"> Chang</t>
  </si>
  <si>
    <t>Chisholm</t>
  </si>
  <si>
    <t xml:space="preserve"> Roderick Robert Crispin</t>
  </si>
  <si>
    <t>Christmann</t>
  </si>
  <si>
    <t xml:space="preserve"> Emil</t>
  </si>
  <si>
    <t>Christy</t>
  </si>
  <si>
    <t xml:space="preserve"> Rachel Juli Cohen</t>
  </si>
  <si>
    <t>Chronopoulos</t>
  </si>
  <si>
    <t xml:space="preserve"> Apostolos M</t>
  </si>
  <si>
    <t>Clarke</t>
  </si>
  <si>
    <t xml:space="preserve"> Charles Valentine</t>
  </si>
  <si>
    <t>Clark</t>
  </si>
  <si>
    <t xml:space="preserve"> Virginia Estelle</t>
  </si>
  <si>
    <t>Cleaver</t>
  </si>
  <si>
    <t xml:space="preserve"> Alice Catherine</t>
  </si>
  <si>
    <t>Clifford</t>
  </si>
  <si>
    <t xml:space="preserve"> George Quincy</t>
  </si>
  <si>
    <t>Coelho</t>
  </si>
  <si>
    <t xml:space="preserve"> Domingos Fernandeo</t>
  </si>
  <si>
    <t>Cohen</t>
  </si>
  <si>
    <t xml:space="preserve"> Gurshon</t>
  </si>
  <si>
    <t>Colbert</t>
  </si>
  <si>
    <t>Coleff</t>
  </si>
  <si>
    <t xml:space="preserve"> Satio</t>
  </si>
  <si>
    <t>Coleridge</t>
  </si>
  <si>
    <t xml:space="preserve"> Reginald Charles</t>
  </si>
  <si>
    <t>Collander</t>
  </si>
  <si>
    <t xml:space="preserve"> Erik Gustaf</t>
  </si>
  <si>
    <t>Collett</t>
  </si>
  <si>
    <t xml:space="preserve"> Sidney Clarence Stuart</t>
  </si>
  <si>
    <t>Colley</t>
  </si>
  <si>
    <t xml:space="preserve"> Edward Pomeroy</t>
  </si>
  <si>
    <t>Collyer</t>
  </si>
  <si>
    <t xml:space="preserve"> Marjorie Lottie</t>
  </si>
  <si>
    <t>Coltcheff</t>
  </si>
  <si>
    <t xml:space="preserve"> Peju</t>
  </si>
  <si>
    <t>Compton</t>
  </si>
  <si>
    <t xml:space="preserve"> Sara Rebecca</t>
  </si>
  <si>
    <t>Conlin</t>
  </si>
  <si>
    <t xml:space="preserve"> Thomas Henry</t>
  </si>
  <si>
    <t>Connaughton</t>
  </si>
  <si>
    <t xml:space="preserve"> Michael</t>
  </si>
  <si>
    <t>Connolly</t>
  </si>
  <si>
    <t>Connors</t>
  </si>
  <si>
    <t>Cook</t>
  </si>
  <si>
    <t xml:space="preserve"> Jacob</t>
  </si>
  <si>
    <t>Corbett</t>
  </si>
  <si>
    <t xml:space="preserve"> Irene</t>
  </si>
  <si>
    <t>Corey</t>
  </si>
  <si>
    <t xml:space="preserve"> Mary Emma</t>
  </si>
  <si>
    <t>Cor</t>
  </si>
  <si>
    <t xml:space="preserve"> Bartol</t>
  </si>
  <si>
    <t xml:space="preserve"> Ivan</t>
  </si>
  <si>
    <t>Cornblatt</t>
  </si>
  <si>
    <t xml:space="preserve"> Harris</t>
  </si>
  <si>
    <t>Cornell</t>
  </si>
  <si>
    <t xml:space="preserve"> Malvina Helen</t>
  </si>
  <si>
    <t>Corr</t>
  </si>
  <si>
    <t>Cotterill</t>
  </si>
  <si>
    <t>Coutts</t>
  </si>
  <si>
    <t xml:space="preserve"> Neville Leslie</t>
  </si>
  <si>
    <t>Coxon</t>
  </si>
  <si>
    <t>Crafton</t>
  </si>
  <si>
    <t>Crease</t>
  </si>
  <si>
    <t xml:space="preserve"> Ernest James</t>
  </si>
  <si>
    <t>Cribb</t>
  </si>
  <si>
    <t xml:space="preserve"> Laura Mae</t>
  </si>
  <si>
    <t>Crosby</t>
  </si>
  <si>
    <t xml:space="preserve"> Captain</t>
  </si>
  <si>
    <t xml:space="preserve"> Edward Gifford</t>
  </si>
  <si>
    <t>Culumovic</t>
  </si>
  <si>
    <t xml:space="preserve"> Jeso</t>
  </si>
  <si>
    <t>Cumings</t>
  </si>
  <si>
    <t xml:space="preserve"> John Bradley</t>
  </si>
  <si>
    <t>Cunningham</t>
  </si>
  <si>
    <t xml:space="preserve"> Alfred Fleming</t>
  </si>
  <si>
    <t>Daher</t>
  </si>
  <si>
    <t xml:space="preserve"> Tannous</t>
  </si>
  <si>
    <t>Dahlberg</t>
  </si>
  <si>
    <t xml:space="preserve"> Gerda Ulrika</t>
  </si>
  <si>
    <t>Dahl</t>
  </si>
  <si>
    <t xml:space="preserve"> Charles Edward</t>
  </si>
  <si>
    <t>Dakic</t>
  </si>
  <si>
    <t xml:space="preserve"> Branko</t>
  </si>
  <si>
    <t>Daly</t>
  </si>
  <si>
    <t xml:space="preserve"> Margaret Marcella</t>
  </si>
  <si>
    <t>Danbom</t>
  </si>
  <si>
    <t xml:space="preserve"> Gilbert Sigvard Emanuel</t>
  </si>
  <si>
    <t>Daniel</t>
  </si>
  <si>
    <t xml:space="preserve"> Robert Williams</t>
  </si>
  <si>
    <t>Daniels</t>
  </si>
  <si>
    <t xml:space="preserve"> Sarah Rebecca</t>
  </si>
  <si>
    <t>Danoff</t>
  </si>
  <si>
    <t xml:space="preserve"> Yoto</t>
  </si>
  <si>
    <t>Davidson</t>
  </si>
  <si>
    <t xml:space="preserve"> Orian</t>
  </si>
  <si>
    <t>Davies</t>
  </si>
  <si>
    <t xml:space="preserve"> John Morgan jr</t>
  </si>
  <si>
    <t xml:space="preserve"> Alfred James</t>
  </si>
  <si>
    <t xml:space="preserve"> Agnes</t>
  </si>
  <si>
    <t>Davis</t>
  </si>
  <si>
    <t xml:space="preserve"> Mary Ann Charlotte</t>
  </si>
  <si>
    <t>Davison</t>
  </si>
  <si>
    <t xml:space="preserve"> Mary Elizabeth</t>
  </si>
  <si>
    <t>Deacon</t>
  </si>
  <si>
    <t xml:space="preserve"> Percy William</t>
  </si>
  <si>
    <t>Dean</t>
  </si>
  <si>
    <t xml:space="preserve"> Bertram Vere</t>
  </si>
  <si>
    <t>Delalic</t>
  </si>
  <si>
    <t xml:space="preserve"> Redjo</t>
  </si>
  <si>
    <t>Del Carlo</t>
  </si>
  <si>
    <t xml:space="preserve"> Argene</t>
  </si>
  <si>
    <t>De Messemaeker</t>
  </si>
  <si>
    <t xml:space="preserve"> Guillaume Joseph</t>
  </si>
  <si>
    <t xml:space="preserve"> Anna</t>
  </si>
  <si>
    <t>De Mulder</t>
  </si>
  <si>
    <t xml:space="preserve"> Theodoor</t>
  </si>
  <si>
    <t>Denbuoy</t>
  </si>
  <si>
    <t xml:space="preserve"> Albert Joseph</t>
  </si>
  <si>
    <t>Denkoff</t>
  </si>
  <si>
    <t xml:space="preserve"> Mitto</t>
  </si>
  <si>
    <t>Dennis</t>
  </si>
  <si>
    <t>De Pelsmaeker</t>
  </si>
  <si>
    <t xml:space="preserve"> Alfons</t>
  </si>
  <si>
    <t>Devaney</t>
  </si>
  <si>
    <t xml:space="preserve"> Margaret Delia</t>
  </si>
  <si>
    <t>Dibden</t>
  </si>
  <si>
    <t>Dick</t>
  </si>
  <si>
    <t xml:space="preserve"> Albert Adrian</t>
  </si>
  <si>
    <t>Dika</t>
  </si>
  <si>
    <t xml:space="preserve"> Mirko</t>
  </si>
  <si>
    <t>Dimic</t>
  </si>
  <si>
    <t xml:space="preserve"> Jovan</t>
  </si>
  <si>
    <t>Dintcheff</t>
  </si>
  <si>
    <t xml:space="preserve"> Valtcho</t>
  </si>
  <si>
    <t>Dodge</t>
  </si>
  <si>
    <t xml:space="preserve"> Washington</t>
  </si>
  <si>
    <t xml:space="preserve"> Ruth</t>
  </si>
  <si>
    <t>Doling</t>
  </si>
  <si>
    <t xml:space="preserve"> Elsie</t>
  </si>
  <si>
    <t>Donohoe</t>
  </si>
  <si>
    <t xml:space="preserve"> Bridget</t>
  </si>
  <si>
    <t>Dooly</t>
  </si>
  <si>
    <t>Dorking</t>
  </si>
  <si>
    <t xml:space="preserve"> Edward Arthur</t>
  </si>
  <si>
    <t>Dougherty</t>
  </si>
  <si>
    <t>Douglas</t>
  </si>
  <si>
    <t xml:space="preserve"> Mahala</t>
  </si>
  <si>
    <t>Douton</t>
  </si>
  <si>
    <t xml:space="preserve"> William Joseph</t>
  </si>
  <si>
    <t>Dowdell</t>
  </si>
  <si>
    <t>Doyle</t>
  </si>
  <si>
    <t>Drazenovic</t>
  </si>
  <si>
    <t xml:space="preserve"> Jozef</t>
  </si>
  <si>
    <t>Drew</t>
  </si>
  <si>
    <t xml:space="preserve"> Marshall Brines</t>
  </si>
  <si>
    <t>Driscoll</t>
  </si>
  <si>
    <t>Dropkin</t>
  </si>
  <si>
    <t xml:space="preserve"> Jennie</t>
  </si>
  <si>
    <t>Duff Gordon</t>
  </si>
  <si>
    <t xml:space="preserve"> Lucy Christiana</t>
  </si>
  <si>
    <t xml:space="preserve"> Lady</t>
  </si>
  <si>
    <t>Dulles</t>
  </si>
  <si>
    <t xml:space="preserve"> William Crothers</t>
  </si>
  <si>
    <t>Duquemin</t>
  </si>
  <si>
    <t xml:space="preserve"> Joseph Pierre</t>
  </si>
  <si>
    <t>DurÃ¡n i MonÃ©</t>
  </si>
  <si>
    <t xml:space="preserve"> Sra</t>
  </si>
  <si>
    <t xml:space="preserve"> Asuncion</t>
  </si>
  <si>
    <t>Dwan</t>
  </si>
  <si>
    <t xml:space="preserve"> Frank</t>
  </si>
  <si>
    <t>Dyker</t>
  </si>
  <si>
    <t xml:space="preserve"> Adolf Fredrik</t>
  </si>
  <si>
    <t>Earnshaw</t>
  </si>
  <si>
    <t xml:space="preserve"> Olive</t>
  </si>
  <si>
    <t>Edvardsson</t>
  </si>
  <si>
    <t xml:space="preserve"> Gustaf Hjalmar</t>
  </si>
  <si>
    <t>Eitemiller</t>
  </si>
  <si>
    <t xml:space="preserve"> George Floyd</t>
  </si>
  <si>
    <t>Eklund</t>
  </si>
  <si>
    <t xml:space="preserve"> Hans Linus</t>
  </si>
  <si>
    <t>EkstrÃ¶m</t>
  </si>
  <si>
    <t xml:space="preserve"> Amandus</t>
  </si>
  <si>
    <t>Elias</t>
  </si>
  <si>
    <t xml:space="preserve"> Dibo</t>
  </si>
  <si>
    <t>Elias Nasrallah</t>
  </si>
  <si>
    <t>Elsbury</t>
  </si>
  <si>
    <t xml:space="preserve"> William James</t>
  </si>
  <si>
    <t>Emanuel</t>
  </si>
  <si>
    <t xml:space="preserve"> Virginia Ethel</t>
  </si>
  <si>
    <t>Enander</t>
  </si>
  <si>
    <t xml:space="preserve"> Ingvar</t>
  </si>
  <si>
    <t>Endres</t>
  </si>
  <si>
    <t xml:space="preserve"> Caroline Louise</t>
  </si>
  <si>
    <t>Estanislau</t>
  </si>
  <si>
    <t xml:space="preserve"> Manuel GonÃ§alves</t>
  </si>
  <si>
    <t>Eustis</t>
  </si>
  <si>
    <t xml:space="preserve"> Elizabeth Mussey</t>
  </si>
  <si>
    <t>Evans</t>
  </si>
  <si>
    <t xml:space="preserve"> Edith Corse</t>
  </si>
  <si>
    <t>Everett</t>
  </si>
  <si>
    <t xml:space="preserve"> Thomas James</t>
  </si>
  <si>
    <t>FahlstrÃ¸m</t>
  </si>
  <si>
    <t xml:space="preserve"> Arne Joma</t>
  </si>
  <si>
    <t>Fardon</t>
  </si>
  <si>
    <t xml:space="preserve"> Charles Richard</t>
  </si>
  <si>
    <t>Farrell</t>
  </si>
  <si>
    <t xml:space="preserve"> James</t>
  </si>
  <si>
    <t>Farthing</t>
  </si>
  <si>
    <t>Faunthorpe</t>
  </si>
  <si>
    <t xml:space="preserve"> Harry Bartram</t>
  </si>
  <si>
    <t>Fillbrook</t>
  </si>
  <si>
    <t xml:space="preserve"> Joseph Charles</t>
  </si>
  <si>
    <t>Finoli</t>
  </si>
  <si>
    <t xml:space="preserve"> Luigi</t>
  </si>
  <si>
    <t>Fischer</t>
  </si>
  <si>
    <t xml:space="preserve"> Eberhard Thelander</t>
  </si>
  <si>
    <t>Flegenheim</t>
  </si>
  <si>
    <t xml:space="preserve"> Antoinette</t>
  </si>
  <si>
    <t>Fleming</t>
  </si>
  <si>
    <t xml:space="preserve"> Honor</t>
  </si>
  <si>
    <t>Flynn</t>
  </si>
  <si>
    <t>Foley</t>
  </si>
  <si>
    <t>Foo</t>
  </si>
  <si>
    <t xml:space="preserve"> Choong</t>
  </si>
  <si>
    <t>Ford</t>
  </si>
  <si>
    <t xml:space="preserve"> Dollina Margaret</t>
  </si>
  <si>
    <t xml:space="preserve"> Arthur</t>
  </si>
  <si>
    <t>Foreman</t>
  </si>
  <si>
    <t xml:space="preserve"> Benjamin Laventall</t>
  </si>
  <si>
    <t>Fortune</t>
  </si>
  <si>
    <t xml:space="preserve"> Alice Elizabeth</t>
  </si>
  <si>
    <t>Fox</t>
  </si>
  <si>
    <t>Francatelli</t>
  </si>
  <si>
    <t xml:space="preserve"> Laura Mabel</t>
  </si>
  <si>
    <t>Franklin</t>
  </si>
  <si>
    <t xml:space="preserve"> Thomas Parnham</t>
  </si>
  <si>
    <t>Frauenthal</t>
  </si>
  <si>
    <t xml:space="preserve"> Henry William</t>
  </si>
  <si>
    <t>FrÃ¶licher</t>
  </si>
  <si>
    <t xml:space="preserve"> Hedwig Margaritha</t>
  </si>
  <si>
    <t>FrÃ¶licher-Stehli</t>
  </si>
  <si>
    <t xml:space="preserve"> Maximilian Josef</t>
  </si>
  <si>
    <t>Frost</t>
  </si>
  <si>
    <t xml:space="preserve"> Anthony Wood</t>
  </si>
  <si>
    <t>Fry</t>
  </si>
  <si>
    <t xml:space="preserve"> Richard</t>
  </si>
  <si>
    <t>Funk</t>
  </si>
  <si>
    <t xml:space="preserve"> Annie Clemmer</t>
  </si>
  <si>
    <t>Futrelle</t>
  </si>
  <si>
    <t xml:space="preserve"> Jacques Heath</t>
  </si>
  <si>
    <t>Fynney</t>
  </si>
  <si>
    <t xml:space="preserve"> Joseph J</t>
  </si>
  <si>
    <t>Gale</t>
  </si>
  <si>
    <t>Gallagher</t>
  </si>
  <si>
    <t xml:space="preserve"> Martin</t>
  </si>
  <si>
    <t>Garfirth</t>
  </si>
  <si>
    <t>Garside</t>
  </si>
  <si>
    <t>Gaskell</t>
  </si>
  <si>
    <t>Gavey</t>
  </si>
  <si>
    <t xml:space="preserve"> Laurence</t>
  </si>
  <si>
    <t>Gee</t>
  </si>
  <si>
    <t xml:space="preserve"> Arthur H</t>
  </si>
  <si>
    <t>George/Joseph</t>
  </si>
  <si>
    <t xml:space="preserve"> Shawneene</t>
  </si>
  <si>
    <t>Gerios Thamah</t>
  </si>
  <si>
    <t xml:space="preserve"> Assaf</t>
  </si>
  <si>
    <t>Gheorgheff</t>
  </si>
  <si>
    <t xml:space="preserve"> Stanio</t>
  </si>
  <si>
    <t>Gibson</t>
  </si>
  <si>
    <t xml:space="preserve"> Dorothy Winifred</t>
  </si>
  <si>
    <t>Gieger</t>
  </si>
  <si>
    <t xml:space="preserve"> Amalie</t>
  </si>
  <si>
    <t>Giglio</t>
  </si>
  <si>
    <t xml:space="preserve"> Victor Gaitan Andrea</t>
  </si>
  <si>
    <t>Gilbert</t>
  </si>
  <si>
    <t>Giles</t>
  </si>
  <si>
    <t xml:space="preserve"> Edgar</t>
  </si>
  <si>
    <t>Gilinski</t>
  </si>
  <si>
    <t xml:space="preserve"> Eliezer</t>
  </si>
  <si>
    <t>Gillespie</t>
  </si>
  <si>
    <t>Gill</t>
  </si>
  <si>
    <t>Gilnagh</t>
  </si>
  <si>
    <t>Givard</t>
  </si>
  <si>
    <t xml:space="preserve"> Hans Kristensen</t>
  </si>
  <si>
    <t>Glynn</t>
  </si>
  <si>
    <t xml:space="preserve"> Mary Agatha</t>
  </si>
  <si>
    <t>Goldenberg</t>
  </si>
  <si>
    <t xml:space="preserve"> Samuel L</t>
  </si>
  <si>
    <t>Goldschmidt</t>
  </si>
  <si>
    <t xml:space="preserve"> George B</t>
  </si>
  <si>
    <t>Goldsmith</t>
  </si>
  <si>
    <t xml:space="preserve"> Frank John William</t>
  </si>
  <si>
    <t xml:space="preserve"> Frank John</t>
  </si>
  <si>
    <t>Goodwin</t>
  </si>
  <si>
    <t xml:space="preserve"> Harold Victor</t>
  </si>
  <si>
    <t xml:space="preserve"> William Frederick</t>
  </si>
  <si>
    <t>Gracie</t>
  </si>
  <si>
    <t xml:space="preserve"> Archibald</t>
  </si>
  <si>
    <t>Graham</t>
  </si>
  <si>
    <t xml:space="preserve"> Margaret Edith</t>
  </si>
  <si>
    <t xml:space="preserve"> George Edward</t>
  </si>
  <si>
    <t xml:space="preserve"> Edith</t>
  </si>
  <si>
    <t>Greenberg</t>
  </si>
  <si>
    <t>Greenfield</t>
  </si>
  <si>
    <t xml:space="preserve"> Blanche</t>
  </si>
  <si>
    <t>Green</t>
  </si>
  <si>
    <t xml:space="preserve"> George</t>
  </si>
  <si>
    <t>GrÃ¸nnestad</t>
  </si>
  <si>
    <t xml:space="preserve"> Daniel Danielsen</t>
  </si>
  <si>
    <t>Guest</t>
  </si>
  <si>
    <t>Guggenheim</t>
  </si>
  <si>
    <t xml:space="preserve"> Benjamin</t>
  </si>
  <si>
    <t>Gustafsson</t>
  </si>
  <si>
    <t xml:space="preserve"> Alfred Ossian</t>
  </si>
  <si>
    <t>Haas</t>
  </si>
  <si>
    <t xml:space="preserve"> Aloisia</t>
  </si>
  <si>
    <t>Hagland</t>
  </si>
  <si>
    <t xml:space="preserve"> Ingvald Olai Olsen</t>
  </si>
  <si>
    <t>Hakkarainen</t>
  </si>
  <si>
    <t xml:space="preserve"> Pekka Pietari</t>
  </si>
  <si>
    <t>Hale</t>
  </si>
  <si>
    <t xml:space="preserve"> Reginald</t>
  </si>
  <si>
    <t>HÃ¤mÃ¤lÃ¤inen</t>
  </si>
  <si>
    <t xml:space="preserve"> Viljo Unto Johannes</t>
  </si>
  <si>
    <t>Hampe</t>
  </si>
  <si>
    <t xml:space="preserve"> LÃ©on JÃ©rome</t>
  </si>
  <si>
    <t>Hannah</t>
  </si>
  <si>
    <t xml:space="preserve"> Borak</t>
  </si>
  <si>
    <t>Hanna</t>
  </si>
  <si>
    <t xml:space="preserve"> Boulos</t>
  </si>
  <si>
    <t>Hansen</t>
  </si>
  <si>
    <t xml:space="preserve"> Claus Peter</t>
  </si>
  <si>
    <t>Harbeck</t>
  </si>
  <si>
    <t xml:space="preserve"> William H</t>
  </si>
  <si>
    <t>Harder</t>
  </si>
  <si>
    <t xml:space="preserve"> George Achilles</t>
  </si>
  <si>
    <t>Hargadon</t>
  </si>
  <si>
    <t>Harknett</t>
  </si>
  <si>
    <t xml:space="preserve"> Alice Phoebe</t>
  </si>
  <si>
    <t>Harper</t>
  </si>
  <si>
    <t xml:space="preserve"> Annie Jessie</t>
  </si>
  <si>
    <t>Harrington</t>
  </si>
  <si>
    <t>Harris</t>
  </si>
  <si>
    <t xml:space="preserve"> Walter</t>
  </si>
  <si>
    <t>Harrison</t>
  </si>
  <si>
    <t>Hartley</t>
  </si>
  <si>
    <t xml:space="preserve"> Wallace Henry</t>
  </si>
  <si>
    <t>Hart</t>
  </si>
  <si>
    <t xml:space="preserve"> Eva Miriam</t>
  </si>
  <si>
    <t>Hassab</t>
  </si>
  <si>
    <t xml:space="preserve"> Hammad</t>
  </si>
  <si>
    <t>Hawksford</t>
  </si>
  <si>
    <t xml:space="preserve"> Walter James</t>
  </si>
  <si>
    <t>Hays</t>
  </si>
  <si>
    <t xml:space="preserve"> Margaret Bechstein</t>
  </si>
  <si>
    <t>Head</t>
  </si>
  <si>
    <t xml:space="preserve"> Christopher</t>
  </si>
  <si>
    <t>Healy</t>
  </si>
  <si>
    <t>Hedman</t>
  </si>
  <si>
    <t xml:space="preserve"> Oskar Arvid</t>
  </si>
  <si>
    <t>Hee</t>
  </si>
  <si>
    <t xml:space="preserve"> Ling</t>
  </si>
  <si>
    <t>Hegarty</t>
  </si>
  <si>
    <t xml:space="preserve"> Hanora</t>
  </si>
  <si>
    <t>Heikkinen</t>
  </si>
  <si>
    <t xml:space="preserve"> Laina</t>
  </si>
  <si>
    <t>Heininen</t>
  </si>
  <si>
    <t xml:space="preserve"> Wendla Maria</t>
  </si>
  <si>
    <t>HellstrÃ¶m</t>
  </si>
  <si>
    <t xml:space="preserve"> Hilda Maria</t>
  </si>
  <si>
    <t>Hendekovic</t>
  </si>
  <si>
    <t xml:space="preserve"> Ignjac</t>
  </si>
  <si>
    <t>Henriksson</t>
  </si>
  <si>
    <t xml:space="preserve"> Jenny Lovisa</t>
  </si>
  <si>
    <t>Henry</t>
  </si>
  <si>
    <t>Herman</t>
  </si>
  <si>
    <t xml:space="preserve"> Alice</t>
  </si>
  <si>
    <t>Hewlett</t>
  </si>
  <si>
    <t xml:space="preserve"> Mary Dunbar</t>
  </si>
  <si>
    <t>Hickman</t>
  </si>
  <si>
    <t xml:space="preserve"> Leonard Mark</t>
  </si>
  <si>
    <t xml:space="preserve"> Lewis</t>
  </si>
  <si>
    <t>Hilliard</t>
  </si>
  <si>
    <t xml:space="preserve"> Herbert Henry</t>
  </si>
  <si>
    <t>Hiltunen</t>
  </si>
  <si>
    <t xml:space="preserve"> Marta</t>
  </si>
  <si>
    <t>Hipkins</t>
  </si>
  <si>
    <t xml:space="preserve"> William Edward</t>
  </si>
  <si>
    <t>Hippach</t>
  </si>
  <si>
    <t xml:space="preserve"> Jean Gertrude</t>
  </si>
  <si>
    <t>Hirvonen</t>
  </si>
  <si>
    <t xml:space="preserve"> Hildur Elisabeth</t>
  </si>
  <si>
    <t>Hocking</t>
  </si>
  <si>
    <t>Hodges</t>
  </si>
  <si>
    <t xml:space="preserve"> Henry Price</t>
  </si>
  <si>
    <t>Hogeboom</t>
  </si>
  <si>
    <t xml:space="preserve"> Anna Louisa</t>
  </si>
  <si>
    <t>Hold</t>
  </si>
  <si>
    <t xml:space="preserve"> Annie Margaret</t>
  </si>
  <si>
    <t>Holm</t>
  </si>
  <si>
    <t xml:space="preserve"> John Fredrik Alexander</t>
  </si>
  <si>
    <t>Holthen</t>
  </si>
  <si>
    <t xml:space="preserve"> Johan Martin</t>
  </si>
  <si>
    <t>Holverson</t>
  </si>
  <si>
    <t xml:space="preserve"> Alexander Oskar</t>
  </si>
  <si>
    <t>Homer</t>
  </si>
  <si>
    <t>Honkanen</t>
  </si>
  <si>
    <t xml:space="preserve"> Eliina</t>
  </si>
  <si>
    <t>Hood</t>
  </si>
  <si>
    <t xml:space="preserve"> Ambrose Jr</t>
  </si>
  <si>
    <t>Horgan</t>
  </si>
  <si>
    <t>Hosono</t>
  </si>
  <si>
    <t xml:space="preserve"> Masabumi</t>
  </si>
  <si>
    <t>Howard</t>
  </si>
  <si>
    <t xml:space="preserve"> May Elizabeth</t>
  </si>
  <si>
    <t>Hoyt</t>
  </si>
  <si>
    <t xml:space="preserve"> Frederick Maxfield</t>
  </si>
  <si>
    <t>Humblen</t>
  </si>
  <si>
    <t xml:space="preserve"> Adolf Mathias Nicolai Olsen</t>
  </si>
  <si>
    <t>Hume</t>
  </si>
  <si>
    <t xml:space="preserve"> John Law</t>
  </si>
  <si>
    <t>Hunt</t>
  </si>
  <si>
    <t xml:space="preserve"> George Henry</t>
  </si>
  <si>
    <t>Hyman</t>
  </si>
  <si>
    <t xml:space="preserve"> Abraham Joseph</t>
  </si>
  <si>
    <t>IbrÄhÄ«m</t>
  </si>
  <si>
    <t xml:space="preserve"> Husayn MahmÅ«d Husayn</t>
  </si>
  <si>
    <t>Ibrahim Shawah</t>
  </si>
  <si>
    <t xml:space="preserve"> Yousseff</t>
  </si>
  <si>
    <t>Icard</t>
  </si>
  <si>
    <t xml:space="preserve"> Rose AmÃ©lie</t>
  </si>
  <si>
    <t>Ilett</t>
  </si>
  <si>
    <t>Ilieff</t>
  </si>
  <si>
    <t xml:space="preserve"> Ylio</t>
  </si>
  <si>
    <t>Ilmakangas</t>
  </si>
  <si>
    <t xml:space="preserve"> Ida Livija</t>
  </si>
  <si>
    <t>Isham</t>
  </si>
  <si>
    <t xml:space="preserve"> Ann Elizabeth</t>
  </si>
  <si>
    <t>Ismay</t>
  </si>
  <si>
    <t xml:space="preserve"> Joseph Bruce</t>
  </si>
  <si>
    <t>Ivanoff</t>
  </si>
  <si>
    <t xml:space="preserve"> Kanio</t>
  </si>
  <si>
    <t>Jabbur (Zabour)</t>
  </si>
  <si>
    <t xml:space="preserve"> Hileni</t>
  </si>
  <si>
    <t>Jacobsohn</t>
  </si>
  <si>
    <t xml:space="preserve"> Amy Frances Christy</t>
  </si>
  <si>
    <t>JalÅ¡evac</t>
  </si>
  <si>
    <t>Jansson</t>
  </si>
  <si>
    <t xml:space="preserve"> Carl Olof</t>
  </si>
  <si>
    <t>Jardim</t>
  </si>
  <si>
    <t xml:space="preserve"> JosÃ© Neto</t>
  </si>
  <si>
    <t>Jarvis</t>
  </si>
  <si>
    <t xml:space="preserve"> Denzil John</t>
  </si>
  <si>
    <t>Jefferys</t>
  </si>
  <si>
    <t xml:space="preserve"> Clifford Thomas</t>
  </si>
  <si>
    <t>Jenkin</t>
  </si>
  <si>
    <t xml:space="preserve"> Stephen Curnow</t>
  </si>
  <si>
    <t>Jensen</t>
  </si>
  <si>
    <t xml:space="preserve"> Hans Peder</t>
  </si>
  <si>
    <t>Jermyn</t>
  </si>
  <si>
    <t xml:space="preserve"> Annie Jane</t>
  </si>
  <si>
    <t>Jerwan</t>
  </si>
  <si>
    <t xml:space="preserve"> Marie Marthe</t>
  </si>
  <si>
    <t>Johannesen</t>
  </si>
  <si>
    <t xml:space="preserve"> Bernt Johannes</t>
  </si>
  <si>
    <t>Johanson</t>
  </si>
  <si>
    <t xml:space="preserve"> Jakob Alfred</t>
  </si>
  <si>
    <t>Johansson</t>
  </si>
  <si>
    <t xml:space="preserve"> Erik</t>
  </si>
  <si>
    <t xml:space="preserve"> Karl Johan</t>
  </si>
  <si>
    <t>Johansson Palmquist</t>
  </si>
  <si>
    <t xml:space="preserve"> Oskar Leander</t>
  </si>
  <si>
    <t>Johnson</t>
  </si>
  <si>
    <t xml:space="preserve"> Harold Theodor</t>
  </si>
  <si>
    <t xml:space="preserve"> August</t>
  </si>
  <si>
    <t>Johnston</t>
  </si>
  <si>
    <t xml:space="preserve"> William Andrew</t>
  </si>
  <si>
    <t>Jones</t>
  </si>
  <si>
    <t xml:space="preserve"> Charles Cresson</t>
  </si>
  <si>
    <t>Jonkoff</t>
  </si>
  <si>
    <t xml:space="preserve"> Lalio</t>
  </si>
  <si>
    <t>Jonsson</t>
  </si>
  <si>
    <t xml:space="preserve"> Carl</t>
  </si>
  <si>
    <t>JÃ¶nsson</t>
  </si>
  <si>
    <t xml:space="preserve"> Nils Hilding</t>
  </si>
  <si>
    <t>Joseph (Shahin)</t>
  </si>
  <si>
    <t xml:space="preserve"> Elias</t>
  </si>
  <si>
    <t>Julian</t>
  </si>
  <si>
    <t xml:space="preserve"> Henry Forbes</t>
  </si>
  <si>
    <t>Jussila</t>
  </si>
  <si>
    <t xml:space="preserve"> Katriina</t>
  </si>
  <si>
    <t>Kallio</t>
  </si>
  <si>
    <t xml:space="preserve"> Nikolai Erland</t>
  </si>
  <si>
    <t>Kalvik</t>
  </si>
  <si>
    <t xml:space="preserve"> Johannes Halvorsen</t>
  </si>
  <si>
    <t>Kantor</t>
  </si>
  <si>
    <t xml:space="preserve"> Sinai</t>
  </si>
  <si>
    <t>Karajic</t>
  </si>
  <si>
    <t xml:space="preserve"> Milan</t>
  </si>
  <si>
    <t>Karlsson</t>
  </si>
  <si>
    <t xml:space="preserve"> Einar Gervasius</t>
  </si>
  <si>
    <t>Karnes</t>
  </si>
  <si>
    <t xml:space="preserve"> Claire</t>
  </si>
  <si>
    <t>Karun</t>
  </si>
  <si>
    <t xml:space="preserve"> Manca</t>
  </si>
  <si>
    <t xml:space="preserve"> Franz</t>
  </si>
  <si>
    <t>Katavelos</t>
  </si>
  <si>
    <t xml:space="preserve"> Vasilios G</t>
  </si>
  <si>
    <t>Keane</t>
  </si>
  <si>
    <t xml:space="preserve"> Nora Agnes</t>
  </si>
  <si>
    <t xml:space="preserve"> Andrew</t>
  </si>
  <si>
    <t>Keefe</t>
  </si>
  <si>
    <t>Keeping</t>
  </si>
  <si>
    <t xml:space="preserve"> Edwin Herbert</t>
  </si>
  <si>
    <t>Kelly</t>
  </si>
  <si>
    <t xml:space="preserve"> Anna Katherine</t>
  </si>
  <si>
    <t>Kennedy</t>
  </si>
  <si>
    <t>Kent</t>
  </si>
  <si>
    <t xml:space="preserve"> Edward Austin</t>
  </si>
  <si>
    <t>Kenyon</t>
  </si>
  <si>
    <t xml:space="preserve"> Frederick Roland</t>
  </si>
  <si>
    <t>Khalil</t>
  </si>
  <si>
    <t xml:space="preserve"> Betros</t>
  </si>
  <si>
    <t>Kiernan</t>
  </si>
  <si>
    <t xml:space="preserve"> John Joseph</t>
  </si>
  <si>
    <t xml:space="preserve"> Philip</t>
  </si>
  <si>
    <t>Kilgannon</t>
  </si>
  <si>
    <t>Kimball</t>
  </si>
  <si>
    <t xml:space="preserve"> Edwin Nelson Jr</t>
  </si>
  <si>
    <t>Kink-Heilmann</t>
  </si>
  <si>
    <t xml:space="preserve"> Luise Gretchen</t>
  </si>
  <si>
    <t>Kink</t>
  </si>
  <si>
    <t xml:space="preserve"> Maria</t>
  </si>
  <si>
    <t>Kirkland</t>
  </si>
  <si>
    <t xml:space="preserve"> Charles Leonard</t>
  </si>
  <si>
    <t>Klaber</t>
  </si>
  <si>
    <t xml:space="preserve"> Herman</t>
  </si>
  <si>
    <t>KlasÃ©n</t>
  </si>
  <si>
    <t xml:space="preserve"> Gertrud Emilia</t>
  </si>
  <si>
    <t>Knight</t>
  </si>
  <si>
    <t xml:space="preserve"> Robert</t>
  </si>
  <si>
    <t>Kraeff</t>
  </si>
  <si>
    <t xml:space="preserve"> Theodor</t>
  </si>
  <si>
    <t>Krekorian</t>
  </si>
  <si>
    <t xml:space="preserve"> Neshan</t>
  </si>
  <si>
    <t>Kreuchen</t>
  </si>
  <si>
    <t xml:space="preserve"> Emilie</t>
  </si>
  <si>
    <t>Krins</t>
  </si>
  <si>
    <t xml:space="preserve"> Georges Alexandre</t>
  </si>
  <si>
    <t>Kutscher (Lithman)</t>
  </si>
  <si>
    <t xml:space="preserve"> Simon</t>
  </si>
  <si>
    <t>Kvillner</t>
  </si>
  <si>
    <t xml:space="preserve"> Johan Henrik Johannesson</t>
  </si>
  <si>
    <t>LahhÅ«d Ishaq Mu'awwad</t>
  </si>
  <si>
    <t xml:space="preserve"> SarkÄ«s</t>
  </si>
  <si>
    <t>Lahtinen</t>
  </si>
  <si>
    <t>Laitinen</t>
  </si>
  <si>
    <t xml:space="preserve"> Kristina Sofia</t>
  </si>
  <si>
    <t>Lamb</t>
  </si>
  <si>
    <t xml:space="preserve"> John J</t>
  </si>
  <si>
    <t>Lam</t>
  </si>
  <si>
    <t>Landergren</t>
  </si>
  <si>
    <t xml:space="preserve"> Aurora Adelia</t>
  </si>
  <si>
    <t>Lane</t>
  </si>
  <si>
    <t>Lang</t>
  </si>
  <si>
    <t xml:space="preserve"> Fang</t>
  </si>
  <si>
    <t>Laroche</t>
  </si>
  <si>
    <t xml:space="preserve"> Louise</t>
  </si>
  <si>
    <t>Larsson</t>
  </si>
  <si>
    <t xml:space="preserve"> August Viktor</t>
  </si>
  <si>
    <t xml:space="preserve"> Edvard</t>
  </si>
  <si>
    <t>Leader</t>
  </si>
  <si>
    <t xml:space="preserve"> Alice May</t>
  </si>
  <si>
    <t>Lefebvre</t>
  </si>
  <si>
    <t>Lehmann</t>
  </si>
  <si>
    <t>Leinonen</t>
  </si>
  <si>
    <t xml:space="preserve"> Antti Gustaf</t>
  </si>
  <si>
    <t>Leitch</t>
  </si>
  <si>
    <t xml:space="preserve"> Jessie Wills</t>
  </si>
  <si>
    <t>Lemore</t>
  </si>
  <si>
    <t xml:space="preserve"> Amelia</t>
  </si>
  <si>
    <t>Lennon</t>
  </si>
  <si>
    <t xml:space="preserve"> Denis</t>
  </si>
  <si>
    <t>Leroy</t>
  </si>
  <si>
    <t xml:space="preserve"> Berthe</t>
  </si>
  <si>
    <t>Lester</t>
  </si>
  <si>
    <t>Lesueur</t>
  </si>
  <si>
    <t xml:space="preserve"> Gustave J</t>
  </si>
  <si>
    <t>LÃ©vy</t>
  </si>
  <si>
    <t xml:space="preserve"> RenÃ© Jacques</t>
  </si>
  <si>
    <t>Lewy</t>
  </si>
  <si>
    <t xml:space="preserve"> Ervin G</t>
  </si>
  <si>
    <t>Leyson</t>
  </si>
  <si>
    <t xml:space="preserve"> Robert William Norman</t>
  </si>
  <si>
    <t>Lievens</t>
  </si>
  <si>
    <t xml:space="preserve"> RenÃ© AimÃ©</t>
  </si>
  <si>
    <t>Lindahl</t>
  </si>
  <si>
    <t xml:space="preserve"> Agda Thorilda Viktoria</t>
  </si>
  <si>
    <t>Lindblom</t>
  </si>
  <si>
    <t xml:space="preserve"> Augusta Charlotta</t>
  </si>
  <si>
    <t>Lindeberg-Lind</t>
  </si>
  <si>
    <t>Lindell</t>
  </si>
  <si>
    <t xml:space="preserve"> Edvard Bengtsson</t>
  </si>
  <si>
    <t>Lindqvist</t>
  </si>
  <si>
    <t xml:space="preserve"> Eino William</t>
  </si>
  <si>
    <t>LindstrÃ¶m</t>
  </si>
  <si>
    <t xml:space="preserve"> Sigrid</t>
  </si>
  <si>
    <t>Linehan</t>
  </si>
  <si>
    <t>Lines</t>
  </si>
  <si>
    <t xml:space="preserve"> Mary Conover</t>
  </si>
  <si>
    <t>Lingane</t>
  </si>
  <si>
    <t>Ling</t>
  </si>
  <si>
    <t>Linhart</t>
  </si>
  <si>
    <t xml:space="preserve"> Wenzel</t>
  </si>
  <si>
    <t>Livshin</t>
  </si>
  <si>
    <t>Lobb</t>
  </si>
  <si>
    <t xml:space="preserve"> Cordelia</t>
  </si>
  <si>
    <t xml:space="preserve"> William Arthur</t>
  </si>
  <si>
    <t>Lockyer</t>
  </si>
  <si>
    <t xml:space="preserve"> Edward Thomas</t>
  </si>
  <si>
    <t>Longley</t>
  </si>
  <si>
    <t xml:space="preserve"> Gretchen Fiske</t>
  </si>
  <si>
    <t>Long</t>
  </si>
  <si>
    <t xml:space="preserve"> Milton Clyde</t>
  </si>
  <si>
    <t>Loring</t>
  </si>
  <si>
    <t xml:space="preserve"> Joseph Holland</t>
  </si>
  <si>
    <t>Louch</t>
  </si>
  <si>
    <t xml:space="preserve"> Charles</t>
  </si>
  <si>
    <t>Lovell</t>
  </si>
  <si>
    <t xml:space="preserve"> John Hall</t>
  </si>
  <si>
    <t>Lulic</t>
  </si>
  <si>
    <t xml:space="preserve"> Nikola</t>
  </si>
  <si>
    <t>Lundahl</t>
  </si>
  <si>
    <t xml:space="preserve"> Johan Svensson</t>
  </si>
  <si>
    <t>Lundin</t>
  </si>
  <si>
    <t xml:space="preserve"> Olga Elida</t>
  </si>
  <si>
    <t>LundstrÃ¶m</t>
  </si>
  <si>
    <t xml:space="preserve"> Thure Edvin</t>
  </si>
  <si>
    <t>Lurette</t>
  </si>
  <si>
    <t xml:space="preserve"> EugÃ©nie Elise</t>
  </si>
  <si>
    <t>Lymperopoulus</t>
  </si>
  <si>
    <t xml:space="preserve"> Panagiotis K</t>
  </si>
  <si>
    <t>Lyntakoff</t>
  </si>
  <si>
    <t xml:space="preserve"> Stanko</t>
  </si>
  <si>
    <t>MacKay</t>
  </si>
  <si>
    <t xml:space="preserve"> George William</t>
  </si>
  <si>
    <t>Mack</t>
  </si>
  <si>
    <t>Madigan</t>
  </si>
  <si>
    <t>Madill</t>
  </si>
  <si>
    <t xml:space="preserve"> Georgette Alexandra</t>
  </si>
  <si>
    <t>Madsen</t>
  </si>
  <si>
    <t xml:space="preserve"> Fridtjof Arne</t>
  </si>
  <si>
    <t>MÃ¤enpÃ¤Ã¤</t>
  </si>
  <si>
    <t xml:space="preserve"> Matti Alexanteri</t>
  </si>
  <si>
    <t>Maguire</t>
  </si>
  <si>
    <t xml:space="preserve"> John Edward</t>
  </si>
  <si>
    <t>Mahon</t>
  </si>
  <si>
    <t>Maioni</t>
  </si>
  <si>
    <t xml:space="preserve"> Roberta Elizabeth Mary</t>
  </si>
  <si>
    <t>Maisner</t>
  </si>
  <si>
    <t>MÃ¤kinen</t>
  </si>
  <si>
    <t xml:space="preserve"> Kalle Edvard</t>
  </si>
  <si>
    <t>Malachard</t>
  </si>
  <si>
    <t xml:space="preserve"> Jean-NoÃ«l</t>
  </si>
  <si>
    <t>Mallet</t>
  </si>
  <si>
    <t xml:space="preserve"> AndrÃ© Clement</t>
  </si>
  <si>
    <t>MÄmÄ</t>
  </si>
  <si>
    <t xml:space="preserve"> HannÄ MikÄ'Ä«l</t>
  </si>
  <si>
    <t>Mangan</t>
  </si>
  <si>
    <t>Mangiavacchi</t>
  </si>
  <si>
    <t xml:space="preserve"> Serafino Emilio</t>
  </si>
  <si>
    <t>Mannion</t>
  </si>
  <si>
    <t>Mardirosian</t>
  </si>
  <si>
    <t xml:space="preserve"> Sarkis</t>
  </si>
  <si>
    <t>MarÃ©chal</t>
  </si>
  <si>
    <t xml:space="preserve"> Pierre</t>
  </si>
  <si>
    <t>Marinko</t>
  </si>
  <si>
    <t xml:space="preserve"> Dmitri</t>
  </si>
  <si>
    <t>Markoff</t>
  </si>
  <si>
    <t xml:space="preserve"> Marin</t>
  </si>
  <si>
    <t>Markun</t>
  </si>
  <si>
    <t xml:space="preserve"> Johann</t>
  </si>
  <si>
    <t>Marvin</t>
  </si>
  <si>
    <t xml:space="preserve"> Daniel Warner</t>
  </si>
  <si>
    <t>Matinoff</t>
  </si>
  <si>
    <t xml:space="preserve"> Nicola</t>
  </si>
  <si>
    <t>Matthews</t>
  </si>
  <si>
    <t>Maybery</t>
  </si>
  <si>
    <t xml:space="preserve"> Frank Hubert</t>
  </si>
  <si>
    <t>MaynÃ©</t>
  </si>
  <si>
    <t xml:space="preserve"> Mlle</t>
  </si>
  <si>
    <t xml:space="preserve"> Berthe Antonine</t>
  </si>
  <si>
    <t>McCaffry</t>
  </si>
  <si>
    <t xml:space="preserve"> Thomas Francis</t>
  </si>
  <si>
    <t>McCarthy</t>
  </si>
  <si>
    <t>McCormack</t>
  </si>
  <si>
    <t xml:space="preserve"> Thomas Joseph</t>
  </si>
  <si>
    <t>McCoy</t>
  </si>
  <si>
    <t xml:space="preserve"> Bernard</t>
  </si>
  <si>
    <t>McCrae</t>
  </si>
  <si>
    <t xml:space="preserve"> Arthur Gordon</t>
  </si>
  <si>
    <t>McCrie</t>
  </si>
  <si>
    <t xml:space="preserve"> James Matthew</t>
  </si>
  <si>
    <t>McDermott</t>
  </si>
  <si>
    <t>McEvoy</t>
  </si>
  <si>
    <t>McGough</t>
  </si>
  <si>
    <t xml:space="preserve"> James Robert</t>
  </si>
  <si>
    <t>McGovern</t>
  </si>
  <si>
    <t xml:space="preserve"> Ms</t>
  </si>
  <si>
    <t>McGowan</t>
  </si>
  <si>
    <t xml:space="preserve"> Anna Louise</t>
  </si>
  <si>
    <t>McKane</t>
  </si>
  <si>
    <t xml:space="preserve"> Peter Daniel</t>
  </si>
  <si>
    <t>McMahon</t>
  </si>
  <si>
    <t>McNamee</t>
  </si>
  <si>
    <t xml:space="preserve"> Neal</t>
  </si>
  <si>
    <t>McNeill</t>
  </si>
  <si>
    <t>Meanwell</t>
  </si>
  <si>
    <t xml:space="preserve"> Marian</t>
  </si>
  <si>
    <t>Meehan</t>
  </si>
  <si>
    <t>Meek</t>
  </si>
  <si>
    <t xml:space="preserve"> Annie Louisa</t>
  </si>
  <si>
    <t>Mellinger</t>
  </si>
  <si>
    <t xml:space="preserve"> Violet Madeline</t>
  </si>
  <si>
    <t xml:space="preserve"> Elizabeth Anne</t>
  </si>
  <si>
    <t>Mellors</t>
  </si>
  <si>
    <t>Meo (Martino)</t>
  </si>
  <si>
    <t xml:space="preserve"> Alfonzo</t>
  </si>
  <si>
    <t>Mernagh</t>
  </si>
  <si>
    <t>Meyer</t>
  </si>
  <si>
    <t>MidtsjÃ¸</t>
  </si>
  <si>
    <t xml:space="preserve"> Karl Albert</t>
  </si>
  <si>
    <t>Mihoff</t>
  </si>
  <si>
    <t xml:space="preserve"> Stoytcho</t>
  </si>
  <si>
    <t>Miles</t>
  </si>
  <si>
    <t>Millet</t>
  </si>
  <si>
    <t xml:space="preserve"> Francis Davis</t>
  </si>
  <si>
    <t>Milling</t>
  </si>
  <si>
    <t xml:space="preserve"> Jacob Christian</t>
  </si>
  <si>
    <t>Minahan</t>
  </si>
  <si>
    <t>Mineff</t>
  </si>
  <si>
    <t>Minkoff</t>
  </si>
  <si>
    <t xml:space="preserve"> Lazar</t>
  </si>
  <si>
    <t>Mitchell</t>
  </si>
  <si>
    <t xml:space="preserve"> Henry Michael</t>
  </si>
  <si>
    <t>Mitkoff</t>
  </si>
  <si>
    <t xml:space="preserve"> Mito</t>
  </si>
  <si>
    <t>Mockler</t>
  </si>
  <si>
    <t>Mock</t>
  </si>
  <si>
    <t xml:space="preserve"> Philipp Edmund</t>
  </si>
  <si>
    <t>Moen</t>
  </si>
  <si>
    <t xml:space="preserve"> Sigurd Hansen</t>
  </si>
  <si>
    <t>Molson</t>
  </si>
  <si>
    <t xml:space="preserve"> Harry Markland</t>
  </si>
  <si>
    <t>Montvila</t>
  </si>
  <si>
    <t xml:space="preserve"> Juozas</t>
  </si>
  <si>
    <t>Moore</t>
  </si>
  <si>
    <t xml:space="preserve"> Clarence Bloomfield</t>
  </si>
  <si>
    <t>Moor</t>
  </si>
  <si>
    <t xml:space="preserve"> Meier</t>
  </si>
  <si>
    <t>Moran</t>
  </si>
  <si>
    <t>Moraweck</t>
  </si>
  <si>
    <t>Morley</t>
  </si>
  <si>
    <t xml:space="preserve"> Henry Samuel</t>
  </si>
  <si>
    <t>Morrow</t>
  </si>
  <si>
    <t xml:space="preserve"> Thomas Rowan</t>
  </si>
  <si>
    <t>Moss</t>
  </si>
  <si>
    <t xml:space="preserve"> Albert Johan</t>
  </si>
  <si>
    <t>Moussa</t>
  </si>
  <si>
    <t xml:space="preserve"> Mantoura Boulos</t>
  </si>
  <si>
    <t>Moutal</t>
  </si>
  <si>
    <t xml:space="preserve"> Rahamin Haim</t>
  </si>
  <si>
    <t>MubÄrik</t>
  </si>
  <si>
    <t xml:space="preserve"> HalÄ«m</t>
  </si>
  <si>
    <t>Mudd</t>
  </si>
  <si>
    <t xml:space="preserve"> Thomas Cupper</t>
  </si>
  <si>
    <t>Mullin</t>
  </si>
  <si>
    <t>Mulvihill</t>
  </si>
  <si>
    <t xml:space="preserve"> Bridget Elizabeth</t>
  </si>
  <si>
    <t>Murdlin</t>
  </si>
  <si>
    <t>Murphy</t>
  </si>
  <si>
    <t>MuslamÄnÄ«</t>
  </si>
  <si>
    <t xml:space="preserve"> FatÄ«mah Muhammad</t>
  </si>
  <si>
    <t>Myhrman</t>
  </si>
  <si>
    <t xml:space="preserve"> Pehr Fabian Oliver Malkolm</t>
  </si>
  <si>
    <t>Myles</t>
  </si>
  <si>
    <t>Naidenoff</t>
  </si>
  <si>
    <t xml:space="preserve"> Penko</t>
  </si>
  <si>
    <t>Najib Kiamie</t>
  </si>
  <si>
    <t xml:space="preserve"> Adele</t>
  </si>
  <si>
    <t>Nakhli</t>
  </si>
  <si>
    <t xml:space="preserve"> Toufik</t>
  </si>
  <si>
    <t>Nakid</t>
  </si>
  <si>
    <t>Nancarrow</t>
  </si>
  <si>
    <t>Nankoff</t>
  </si>
  <si>
    <t>Nasr 'AlmÄ</t>
  </si>
  <si>
    <t xml:space="preserve"> MustafÃ </t>
  </si>
  <si>
    <t>Nasser</t>
  </si>
  <si>
    <t xml:space="preserve"> Nicholas</t>
  </si>
  <si>
    <t>Nassr Rizq</t>
  </si>
  <si>
    <t xml:space="preserve"> Saade</t>
  </si>
  <si>
    <t>Natsch</t>
  </si>
  <si>
    <t>Naughton</t>
  </si>
  <si>
    <t>Navratil</t>
  </si>
  <si>
    <t xml:space="preserve"> Edmond Roger</t>
  </si>
  <si>
    <t>Nenkov</t>
  </si>
  <si>
    <t xml:space="preserve"> Hristo</t>
  </si>
  <si>
    <t>Nesson</t>
  </si>
  <si>
    <t xml:space="preserve"> Israel</t>
  </si>
  <si>
    <t>Newell</t>
  </si>
  <si>
    <t xml:space="preserve"> Madeleine</t>
  </si>
  <si>
    <t>Newsom</t>
  </si>
  <si>
    <t xml:space="preserve"> Helen Monypeny</t>
  </si>
  <si>
    <t>Nicholls</t>
  </si>
  <si>
    <t>Nicholson</t>
  </si>
  <si>
    <t xml:space="preserve"> Arthur Ernest</t>
  </si>
  <si>
    <t>Nieminen</t>
  </si>
  <si>
    <t xml:space="preserve"> Manta Josefina</t>
  </si>
  <si>
    <t>Niklasson</t>
  </si>
  <si>
    <t>Nilsson</t>
  </si>
  <si>
    <t xml:space="preserve"> Berta Olivia</t>
  </si>
  <si>
    <t>NÄ«qÅ«la YÄrid</t>
  </si>
  <si>
    <t xml:space="preserve"> IlyÄs</t>
  </si>
  <si>
    <t>Nirva</t>
  </si>
  <si>
    <t xml:space="preserve"> Iisakki Antino Ã„ijÃ¶</t>
  </si>
  <si>
    <t>NiskÃ¤nen</t>
  </si>
  <si>
    <t xml:space="preserve"> Juha</t>
  </si>
  <si>
    <t>Nofal</t>
  </si>
  <si>
    <t xml:space="preserve"> Mansouer</t>
  </si>
  <si>
    <t>Norman</t>
  </si>
  <si>
    <t xml:space="preserve"> Robert Douglas</t>
  </si>
  <si>
    <t>Nosworthy</t>
  </si>
  <si>
    <t xml:space="preserve"> Richard Cater</t>
  </si>
  <si>
    <t>Nourney</t>
  </si>
  <si>
    <t xml:space="preserve"> Alfred</t>
  </si>
  <si>
    <t>Nye</t>
  </si>
  <si>
    <t>Nysten</t>
  </si>
  <si>
    <t xml:space="preserve"> Anna Sofia</t>
  </si>
  <si>
    <t>Nysveen</t>
  </si>
  <si>
    <t xml:space="preserve"> Johan Hansen</t>
  </si>
  <si>
    <t>O'Brien</t>
  </si>
  <si>
    <t>O'Connell</t>
  </si>
  <si>
    <t xml:space="preserve"> Patrick Denis</t>
  </si>
  <si>
    <t>O'Connor</t>
  </si>
  <si>
    <t xml:space="preserve"> Maurice</t>
  </si>
  <si>
    <t>Ã–dahl</t>
  </si>
  <si>
    <t xml:space="preserve"> Nils Martin</t>
  </si>
  <si>
    <t>O'Dwyer</t>
  </si>
  <si>
    <t>Ã–hman</t>
  </si>
  <si>
    <t xml:space="preserve"> Velin</t>
  </si>
  <si>
    <t>O'Keefe</t>
  </si>
  <si>
    <t>O'Leary</t>
  </si>
  <si>
    <t>Oliva y Ocana</t>
  </si>
  <si>
    <t xml:space="preserve"> DoÃ±a</t>
  </si>
  <si>
    <t xml:space="preserve"> Fermina</t>
  </si>
  <si>
    <t>Olsen</t>
  </si>
  <si>
    <t xml:space="preserve"> Artur Karl</t>
  </si>
  <si>
    <t>Olsson</t>
  </si>
  <si>
    <t xml:space="preserve"> Elina</t>
  </si>
  <si>
    <t>Olsvigen</t>
  </si>
  <si>
    <t xml:space="preserve"> Thor Anderson</t>
  </si>
  <si>
    <t>Omont</t>
  </si>
  <si>
    <t xml:space="preserve"> Alfred Fernand</t>
  </si>
  <si>
    <t>Oreskovic</t>
  </si>
  <si>
    <t xml:space="preserve"> Jelka</t>
  </si>
  <si>
    <t>OsÃ©n</t>
  </si>
  <si>
    <t xml:space="preserve"> Olaf Elon</t>
  </si>
  <si>
    <t>Ã˜stby</t>
  </si>
  <si>
    <t xml:space="preserve"> Helen Ragnhild</t>
  </si>
  <si>
    <t>Ostby</t>
  </si>
  <si>
    <t xml:space="preserve"> Engelhart Cornelius</t>
  </si>
  <si>
    <t>O'Sullivan</t>
  </si>
  <si>
    <t xml:space="preserve"> Bridget Mary</t>
  </si>
  <si>
    <t>Otter</t>
  </si>
  <si>
    <t>OviÃ©s y RodrÃ­guez</t>
  </si>
  <si>
    <t xml:space="preserve"> Servando JosÃ© Florentino</t>
  </si>
  <si>
    <t>Oxenham</t>
  </si>
  <si>
    <t xml:space="preserve"> Percy Thomas</t>
  </si>
  <si>
    <t>Padron Manent</t>
  </si>
  <si>
    <t xml:space="preserve"> Julian</t>
  </si>
  <si>
    <t>Pain</t>
  </si>
  <si>
    <t>PallÃ s i CastellÃ³</t>
  </si>
  <si>
    <t xml:space="preserve"> Sr</t>
  </si>
  <si>
    <t xml:space="preserve"> Emili</t>
  </si>
  <si>
    <t>PÃ¥lsson</t>
  </si>
  <si>
    <t xml:space="preserve"> GÃ¶sta Leonard</t>
  </si>
  <si>
    <t>Panula</t>
  </si>
  <si>
    <t xml:space="preserve"> Eino Viljam</t>
  </si>
  <si>
    <t>Parker</t>
  </si>
  <si>
    <t xml:space="preserve"> Clifford Richard</t>
  </si>
  <si>
    <t>Parkes</t>
  </si>
  <si>
    <t xml:space="preserve"> Francis</t>
  </si>
  <si>
    <t>Parrish</t>
  </si>
  <si>
    <t xml:space="preserve"> Lutie Davis</t>
  </si>
  <si>
    <t>Parr</t>
  </si>
  <si>
    <t xml:space="preserve"> William Henry Marsh</t>
  </si>
  <si>
    <t>Partner</t>
  </si>
  <si>
    <t xml:space="preserve"> Austin</t>
  </si>
  <si>
    <t>Pasic</t>
  </si>
  <si>
    <t>Patchett</t>
  </si>
  <si>
    <t>Pavlovic</t>
  </si>
  <si>
    <t xml:space="preserve"> Stefo</t>
  </si>
  <si>
    <t>Payne</t>
  </si>
  <si>
    <t xml:space="preserve"> Vivian Ponsonby</t>
  </si>
  <si>
    <t>Peacock</t>
  </si>
  <si>
    <t xml:space="preserve"> Albert Edward</t>
  </si>
  <si>
    <t>Pearce</t>
  </si>
  <si>
    <t>Pears</t>
  </si>
  <si>
    <t>Pedersen</t>
  </si>
  <si>
    <t xml:space="preserve"> Olaf</t>
  </si>
  <si>
    <t>Peduzzi</t>
  </si>
  <si>
    <t xml:space="preserve"> Giuseppe</t>
  </si>
  <si>
    <t>Pekoniemi</t>
  </si>
  <si>
    <t>PeltomÃ¤ki</t>
  </si>
  <si>
    <t xml:space="preserve"> Nikolai Johannes</t>
  </si>
  <si>
    <t>PeÃ±asco y Castellana</t>
  </si>
  <si>
    <t xml:space="preserve"> Maria Josefa Perezde Soto y Vallejo</t>
  </si>
  <si>
    <t xml:space="preserve"> Victor</t>
  </si>
  <si>
    <t>Pengelly</t>
  </si>
  <si>
    <t xml:space="preserve"> Frederick William</t>
  </si>
  <si>
    <t>Perkin</t>
  </si>
  <si>
    <t>Pernot</t>
  </si>
  <si>
    <t xml:space="preserve"> RenÃ©</t>
  </si>
  <si>
    <t>Perreault</t>
  </si>
  <si>
    <t xml:space="preserve"> Mary Anne</t>
  </si>
  <si>
    <t>Persson</t>
  </si>
  <si>
    <t xml:space="preserve"> Ernst Ulrik</t>
  </si>
  <si>
    <t>Peruschitz</t>
  </si>
  <si>
    <t>Peteranec</t>
  </si>
  <si>
    <t xml:space="preserve"> Mathilda</t>
  </si>
  <si>
    <t>Peter / Joseph</t>
  </si>
  <si>
    <t xml:space="preserve"> Michael J</t>
  </si>
  <si>
    <t>Petersen</t>
  </si>
  <si>
    <t xml:space="preserve"> Marius</t>
  </si>
  <si>
    <t>Peters</t>
  </si>
  <si>
    <t>Petroff</t>
  </si>
  <si>
    <t xml:space="preserve"> Nedialco</t>
  </si>
  <si>
    <t>Pettersson</t>
  </si>
  <si>
    <t xml:space="preserve"> Elin Natalia</t>
  </si>
  <si>
    <t>Peuchen</t>
  </si>
  <si>
    <t xml:space="preserve"> Arthur Godfrey</t>
  </si>
  <si>
    <t>Phillips</t>
  </si>
  <si>
    <t xml:space="preserve"> Alice Frances Louisa</t>
  </si>
  <si>
    <t>Picard</t>
  </si>
  <si>
    <t xml:space="preserve"> BenoÃ®t</t>
  </si>
  <si>
    <t>Pinsky</t>
  </si>
  <si>
    <t xml:space="preserve"> Rosa</t>
  </si>
  <si>
    <t>Plotcharsky</t>
  </si>
  <si>
    <t xml:space="preserve"> Vasil</t>
  </si>
  <si>
    <t>Pokrnic</t>
  </si>
  <si>
    <t xml:space="preserve"> Mate</t>
  </si>
  <si>
    <t>Ponesell</t>
  </si>
  <si>
    <t>Portaluppi</t>
  </si>
  <si>
    <t xml:space="preserve"> Emilio Ilario Giuseppe</t>
  </si>
  <si>
    <t>Porter</t>
  </si>
  <si>
    <t xml:space="preserve"> Walter Chamberlain</t>
  </si>
  <si>
    <t>Potter</t>
  </si>
  <si>
    <t xml:space="preserve"> Lily Alexenia</t>
  </si>
  <si>
    <t>Pulbaum</t>
  </si>
  <si>
    <t>Pulner</t>
  </si>
  <si>
    <t xml:space="preserve"> Uscher</t>
  </si>
  <si>
    <t>Quick</t>
  </si>
  <si>
    <t xml:space="preserve"> Phyllis May</t>
  </si>
  <si>
    <t>Radeff</t>
  </si>
  <si>
    <t xml:space="preserve"> Alexander</t>
  </si>
  <si>
    <t>RafÅ«l-BÅ«lus</t>
  </si>
  <si>
    <t xml:space="preserve"> BÄkhÅ«s</t>
  </si>
  <si>
    <t>Rasmussen</t>
  </si>
  <si>
    <t xml:space="preserve"> Lena Jakobsen</t>
  </si>
  <si>
    <t>Razi</t>
  </si>
  <si>
    <t xml:space="preserve"> Raihed</t>
  </si>
  <si>
    <t>Reed</t>
  </si>
  <si>
    <t xml:space="preserve"> James George</t>
  </si>
  <si>
    <t>Reeves</t>
  </si>
  <si>
    <t>Rekic</t>
  </si>
  <si>
    <t xml:space="preserve"> Tido</t>
  </si>
  <si>
    <t>Renouf</t>
  </si>
  <si>
    <t xml:space="preserve"> Peter Henry</t>
  </si>
  <si>
    <t>Reuchlin</t>
  </si>
  <si>
    <t xml:space="preserve"> Jonkheer Johan George</t>
  </si>
  <si>
    <t>Reynalds</t>
  </si>
  <si>
    <t xml:space="preserve"> EncarnaciÃ³n</t>
  </si>
  <si>
    <t>Reynolds</t>
  </si>
  <si>
    <t xml:space="preserve"> Harold</t>
  </si>
  <si>
    <t>Rheims</t>
  </si>
  <si>
    <t xml:space="preserve"> George Alexander Lucien</t>
  </si>
  <si>
    <t>Rice</t>
  </si>
  <si>
    <t>Richard</t>
  </si>
  <si>
    <t xml:space="preserve"> Emile Phillippe</t>
  </si>
  <si>
    <t>Richards</t>
  </si>
  <si>
    <t xml:space="preserve"> Sibley George</t>
  </si>
  <si>
    <t xml:space="preserve"> Emily</t>
  </si>
  <si>
    <t>Ridsdale</t>
  </si>
  <si>
    <t xml:space="preserve"> Lucy</t>
  </si>
  <si>
    <t>Righini</t>
  </si>
  <si>
    <t xml:space="preserve"> Sante</t>
  </si>
  <si>
    <t>Riihivuori</t>
  </si>
  <si>
    <t xml:space="preserve"> Susanna JuhantytÃ¤r</t>
  </si>
  <si>
    <t>RintamÃ¤ki</t>
  </si>
  <si>
    <t xml:space="preserve"> Matti</t>
  </si>
  <si>
    <t>Riordan</t>
  </si>
  <si>
    <t>Risien</t>
  </si>
  <si>
    <t xml:space="preserve"> Samuel Beard</t>
  </si>
  <si>
    <t>Robert</t>
  </si>
  <si>
    <t>Robins</t>
  </si>
  <si>
    <t xml:space="preserve"> Alexander A</t>
  </si>
  <si>
    <t>Roebling</t>
  </si>
  <si>
    <t xml:space="preserve"> Washington Augustus II</t>
  </si>
  <si>
    <t>Rogers</t>
  </si>
  <si>
    <t xml:space="preserve"> Reginald Harry</t>
  </si>
  <si>
    <t>Romaine</t>
  </si>
  <si>
    <t xml:space="preserve"> Charles Hallace</t>
  </si>
  <si>
    <t>Rommetvedt</t>
  </si>
  <si>
    <t xml:space="preserve"> Knud Paust</t>
  </si>
  <si>
    <t>Rood</t>
  </si>
  <si>
    <t xml:space="preserve"> Hugh Roscoe</t>
  </si>
  <si>
    <t>Rosblom</t>
  </si>
  <si>
    <t xml:space="preserve"> Salli Helena</t>
  </si>
  <si>
    <t>Rosenbaum</t>
  </si>
  <si>
    <t xml:space="preserve"> Edith Louise</t>
  </si>
  <si>
    <t>Rosenshine</t>
  </si>
  <si>
    <t>Ross</t>
  </si>
  <si>
    <t xml:space="preserve"> John Hugo</t>
  </si>
  <si>
    <t>Rothes</t>
  </si>
  <si>
    <t xml:space="preserve"> Lucy NoÃ«l Martha</t>
  </si>
  <si>
    <t xml:space="preserve"> Countess of</t>
  </si>
  <si>
    <t>Roth</t>
  </si>
  <si>
    <t xml:space="preserve"> Sarah</t>
  </si>
  <si>
    <t>Rothschild</t>
  </si>
  <si>
    <t>Rouse</t>
  </si>
  <si>
    <t xml:space="preserve"> Richard Henry</t>
  </si>
  <si>
    <t>Rowe</t>
  </si>
  <si>
    <t xml:space="preserve"> Alfred G</t>
  </si>
  <si>
    <t>Rugg</t>
  </si>
  <si>
    <t>Rush</t>
  </si>
  <si>
    <t xml:space="preserve"> Alfred George John</t>
  </si>
  <si>
    <t>Ryan</t>
  </si>
  <si>
    <t>Ryerson</t>
  </si>
  <si>
    <t xml:space="preserve"> John Borie</t>
  </si>
  <si>
    <t>Saad</t>
  </si>
  <si>
    <t xml:space="preserve"> Amin</t>
  </si>
  <si>
    <t>Saalfeld</t>
  </si>
  <si>
    <t xml:space="preserve"> Adolphe</t>
  </si>
  <si>
    <t>Sadlier</t>
  </si>
  <si>
    <t xml:space="preserve"> Matthew</t>
  </si>
  <si>
    <t>Sadowitz</t>
  </si>
  <si>
    <t>SÃ¦ther</t>
  </si>
  <si>
    <t xml:space="preserve"> Simon Sivertsen</t>
  </si>
  <si>
    <t>Sage</t>
  </si>
  <si>
    <t xml:space="preserve"> Anthony William</t>
  </si>
  <si>
    <t xml:space="preserve"> Frederick</t>
  </si>
  <si>
    <t xml:space="preserve"> George John</t>
  </si>
  <si>
    <t>SÃ¤gesser</t>
  </si>
  <si>
    <t xml:space="preserve"> Emma</t>
  </si>
  <si>
    <t>Salander</t>
  </si>
  <si>
    <t>Salkjelsvik</t>
  </si>
  <si>
    <t xml:space="preserve"> Anna Kristine</t>
  </si>
  <si>
    <t>Salomon</t>
  </si>
  <si>
    <t xml:space="preserve"> Abraham Lincoln</t>
  </si>
  <si>
    <t>Salonen</t>
  </si>
  <si>
    <t xml:space="preserve"> Johan Werner</t>
  </si>
  <si>
    <t>Samaan</t>
  </si>
  <si>
    <t>SandstrÃ¶m</t>
  </si>
  <si>
    <t xml:space="preserve"> Beatrice Irene</t>
  </si>
  <si>
    <t>Sap</t>
  </si>
  <si>
    <t xml:space="preserve"> Julius</t>
  </si>
  <si>
    <t>Saundercock</t>
  </si>
  <si>
    <t>Sawyer</t>
  </si>
  <si>
    <t xml:space="preserve"> Frederick Charles</t>
  </si>
  <si>
    <t>Scanlan</t>
  </si>
  <si>
    <t>Schabert</t>
  </si>
  <si>
    <t>Scheerlinck</t>
  </si>
  <si>
    <t xml:space="preserve"> Jean</t>
  </si>
  <si>
    <t>Schmidt</t>
  </si>
  <si>
    <t xml:space="preserve"> Augustus</t>
  </si>
  <si>
    <t>Sdycoff</t>
  </si>
  <si>
    <t xml:space="preserve"> Todor</t>
  </si>
  <si>
    <t>Sedgwick</t>
  </si>
  <si>
    <t xml:space="preserve"> Charles Frederick Waddington</t>
  </si>
  <si>
    <t>Seman</t>
  </si>
  <si>
    <t>Serreplan</t>
  </si>
  <si>
    <t xml:space="preserve"> Auguste</t>
  </si>
  <si>
    <t>Seward</t>
  </si>
  <si>
    <t xml:space="preserve"> Frederic Kimber</t>
  </si>
  <si>
    <t>Shannon</t>
  </si>
  <si>
    <t xml:space="preserve"> Andrew John</t>
  </si>
  <si>
    <t>Sharp</t>
  </si>
  <si>
    <t xml:space="preserve"> Percival</t>
  </si>
  <si>
    <t>Shaughnessy</t>
  </si>
  <si>
    <t>Shedid</t>
  </si>
  <si>
    <t xml:space="preserve"> Daher</t>
  </si>
  <si>
    <t>Shellard</t>
  </si>
  <si>
    <t xml:space="preserve"> Frederick William Blainey</t>
  </si>
  <si>
    <t>Shelley</t>
  </si>
  <si>
    <t xml:space="preserve"> Imanita Parrish</t>
  </si>
  <si>
    <t>ShihÄb</t>
  </si>
  <si>
    <t xml:space="preserve"> Al-AmÄ«r FÄris</t>
  </si>
  <si>
    <t>Shine</t>
  </si>
  <si>
    <t>Shorney</t>
  </si>
  <si>
    <t xml:space="preserve"> Charles Joseph</t>
  </si>
  <si>
    <t>Shutes</t>
  </si>
  <si>
    <t xml:space="preserve"> Elizabeth Weed</t>
  </si>
  <si>
    <t>SilvÃ©n</t>
  </si>
  <si>
    <t xml:space="preserve"> Lyyli Karoliina</t>
  </si>
  <si>
    <t>Silverthorne</t>
  </si>
  <si>
    <t xml:space="preserve"> Spencer Victor</t>
  </si>
  <si>
    <t>Silvey</t>
  </si>
  <si>
    <t xml:space="preserve"> Alice Gray</t>
  </si>
  <si>
    <t>Simmons</t>
  </si>
  <si>
    <t>Simonius-Blumer</t>
  </si>
  <si>
    <t xml:space="preserve"> Colonel (Oberst) Alfons</t>
  </si>
  <si>
    <t>Sincock</t>
  </si>
  <si>
    <t xml:space="preserve"> Maude</t>
  </si>
  <si>
    <t>Sinkkonen</t>
  </si>
  <si>
    <t>Sirayanian</t>
  </si>
  <si>
    <t xml:space="preserve"> Orsen</t>
  </si>
  <si>
    <t>Sirota</t>
  </si>
  <si>
    <t xml:space="preserve"> Morris</t>
  </si>
  <si>
    <t>Sivic</t>
  </si>
  <si>
    <t xml:space="preserve"> Husein</t>
  </si>
  <si>
    <t>Sivola</t>
  </si>
  <si>
    <t xml:space="preserve"> Antti Wilhelm</t>
  </si>
  <si>
    <t>SjÃ¶blom</t>
  </si>
  <si>
    <t>SjÃ¶stedt</t>
  </si>
  <si>
    <t xml:space="preserve"> Ernst Adolf</t>
  </si>
  <si>
    <t>Skoog</t>
  </si>
  <si>
    <t xml:space="preserve"> Harald</t>
  </si>
  <si>
    <t>Slabenoff</t>
  </si>
  <si>
    <t xml:space="preserve"> Petco</t>
  </si>
  <si>
    <t>Slayter</t>
  </si>
  <si>
    <t xml:space="preserve"> Hilda Mary</t>
  </si>
  <si>
    <t>Slemen</t>
  </si>
  <si>
    <t xml:space="preserve"> Richard James</t>
  </si>
  <si>
    <t>Slocovski</t>
  </si>
  <si>
    <t xml:space="preserve"> Selman Francis</t>
  </si>
  <si>
    <t>Sloper</t>
  </si>
  <si>
    <t xml:space="preserve"> William Thompson</t>
  </si>
  <si>
    <t>Smart</t>
  </si>
  <si>
    <t xml:space="preserve"> John Montgomery</t>
  </si>
  <si>
    <t>Smiljanic</t>
  </si>
  <si>
    <t xml:space="preserve"> Mile</t>
  </si>
  <si>
    <t>Smith</t>
  </si>
  <si>
    <t xml:space="preserve"> Marion Elsie</t>
  </si>
  <si>
    <t xml:space="preserve"> Richard William</t>
  </si>
  <si>
    <t>Smyth</t>
  </si>
  <si>
    <t>Snyder</t>
  </si>
  <si>
    <t xml:space="preserve"> John Pillsbury</t>
  </si>
  <si>
    <t>Sobey</t>
  </si>
  <si>
    <t xml:space="preserve"> Samuel James Hayden</t>
  </si>
  <si>
    <t>SÃ¸holt</t>
  </si>
  <si>
    <t xml:space="preserve"> Peter Andreas Lauritz Andersen</t>
  </si>
  <si>
    <t>Somerton</t>
  </si>
  <si>
    <t xml:space="preserve"> Francis William</t>
  </si>
  <si>
    <t>Spector</t>
  </si>
  <si>
    <t xml:space="preserve"> Woolf</t>
  </si>
  <si>
    <t>Spedden</t>
  </si>
  <si>
    <t>Spencer</t>
  </si>
  <si>
    <t xml:space="preserve"> Marie Eugenie</t>
  </si>
  <si>
    <t>Spinner</t>
  </si>
  <si>
    <t xml:space="preserve"> Henry John</t>
  </si>
  <si>
    <t>StÃ¤helin-Maeglin</t>
  </si>
  <si>
    <t xml:space="preserve"> Max</t>
  </si>
  <si>
    <t>Staneff</t>
  </si>
  <si>
    <t>Stankovic</t>
  </si>
  <si>
    <t>Stanley</t>
  </si>
  <si>
    <t xml:space="preserve"> Amy Zillah Elsie</t>
  </si>
  <si>
    <t>Stanton</t>
  </si>
  <si>
    <t xml:space="preserve"> Samuel Ward</t>
  </si>
  <si>
    <t>Stead</t>
  </si>
  <si>
    <t>Stengel</t>
  </si>
  <si>
    <t xml:space="preserve"> Charles Emil Henry</t>
  </si>
  <si>
    <t>Stephenson</t>
  </si>
  <si>
    <t xml:space="preserve"> Martha</t>
  </si>
  <si>
    <t>Stewart</t>
  </si>
  <si>
    <t xml:space="preserve"> Albert Ankeny</t>
  </si>
  <si>
    <t>Stokes</t>
  </si>
  <si>
    <t xml:space="preserve"> Philip Joseph</t>
  </si>
  <si>
    <t>Stone</t>
  </si>
  <si>
    <t xml:space="preserve"> Martha Evelyn</t>
  </si>
  <si>
    <t>Storey</t>
  </si>
  <si>
    <t>Stoytcheff</t>
  </si>
  <si>
    <t xml:space="preserve"> Ilia</t>
  </si>
  <si>
    <t>Strandberg</t>
  </si>
  <si>
    <t xml:space="preserve"> Ida Sofia</t>
  </si>
  <si>
    <t>StrandÃ©n</t>
  </si>
  <si>
    <t xml:space="preserve"> Juho Niilosson</t>
  </si>
  <si>
    <t>Straus</t>
  </si>
  <si>
    <t xml:space="preserve"> Isidor</t>
  </si>
  <si>
    <t>Strilic</t>
  </si>
  <si>
    <t>StrÃ¶m</t>
  </si>
  <si>
    <t xml:space="preserve"> Telma Matilda</t>
  </si>
  <si>
    <t>Sunderland</t>
  </si>
  <si>
    <t xml:space="preserve"> Victor Francis</t>
  </si>
  <si>
    <t>Sundman</t>
  </si>
  <si>
    <t xml:space="preserve"> Johan Julian</t>
  </si>
  <si>
    <t>Sutehall</t>
  </si>
  <si>
    <t xml:space="preserve"> Henry Jr</t>
  </si>
  <si>
    <t>Sutton</t>
  </si>
  <si>
    <t>Svensson</t>
  </si>
  <si>
    <t xml:space="preserve"> Johan</t>
  </si>
  <si>
    <t>Swane</t>
  </si>
  <si>
    <t>Sweet</t>
  </si>
  <si>
    <t xml:space="preserve"> George Frederick</t>
  </si>
  <si>
    <t>Swift</t>
  </si>
  <si>
    <t xml:space="preserve"> Margaret Welles</t>
  </si>
  <si>
    <t>TannÅ«s</t>
  </si>
  <si>
    <t xml:space="preserve"> As'ad</t>
  </si>
  <si>
    <t>Taussig</t>
  </si>
  <si>
    <t>Taylor</t>
  </si>
  <si>
    <t xml:space="preserve"> Elmer Zebley</t>
  </si>
  <si>
    <t>Tenglin</t>
  </si>
  <si>
    <t xml:space="preserve"> Gunnar Isidor</t>
  </si>
  <si>
    <t>Thayer</t>
  </si>
  <si>
    <t xml:space="preserve"> John Borland</t>
  </si>
  <si>
    <t>Theobald</t>
  </si>
  <si>
    <t xml:space="preserve"> Thomas Leonard</t>
  </si>
  <si>
    <t>Thomas/Tannous</t>
  </si>
  <si>
    <t>Thompson</t>
  </si>
  <si>
    <t xml:space="preserve"> Alexander Mellis</t>
  </si>
  <si>
    <t>Thorne</t>
  </si>
  <si>
    <t xml:space="preserve"> Gertrude Maybelle</t>
  </si>
  <si>
    <t>Thorneycroft</t>
  </si>
  <si>
    <t>Tikkanen</t>
  </si>
  <si>
    <t xml:space="preserve"> Juho</t>
  </si>
  <si>
    <t>Tobin</t>
  </si>
  <si>
    <t xml:space="preserve"> Roger</t>
  </si>
  <si>
    <t>Todoroff</t>
  </si>
  <si>
    <t>Tomlin</t>
  </si>
  <si>
    <t xml:space="preserve"> Ernest Portage</t>
  </si>
  <si>
    <t>Toomey</t>
  </si>
  <si>
    <t>TÃ¶rber</t>
  </si>
  <si>
    <t xml:space="preserve"> Ernst Wilhelm</t>
  </si>
  <si>
    <t>Torfa</t>
  </si>
  <si>
    <t xml:space="preserve"> Assad</t>
  </si>
  <si>
    <t>TÃ¶rnquist</t>
  </si>
  <si>
    <t>Totevski</t>
  </si>
  <si>
    <t xml:space="preserve"> Hristo Danchev</t>
  </si>
  <si>
    <t>Troupiansky</t>
  </si>
  <si>
    <t xml:space="preserve"> Moses Aaron</t>
  </si>
  <si>
    <t>Trout</t>
  </si>
  <si>
    <t xml:space="preserve"> Jessie Laird</t>
  </si>
  <si>
    <t>Troutt</t>
  </si>
  <si>
    <t xml:space="preserve"> Edwina Celia</t>
  </si>
  <si>
    <t>Tucker</t>
  </si>
  <si>
    <t xml:space="preserve"> Gilbert Milligan jr</t>
  </si>
  <si>
    <t>Tu'mah</t>
  </si>
  <si>
    <t xml:space="preserve"> Jirjis YÅ«suf</t>
  </si>
  <si>
    <t>Turcin</t>
  </si>
  <si>
    <t xml:space="preserve"> Stjepan</t>
  </si>
  <si>
    <t>Turja</t>
  </si>
  <si>
    <t>Turkula</t>
  </si>
  <si>
    <t xml:space="preserve"> Hedwig</t>
  </si>
  <si>
    <t>Turpin</t>
  </si>
  <si>
    <t xml:space="preserve"> Dorothy Ann</t>
  </si>
  <si>
    <t>Uruchurtu</t>
  </si>
  <si>
    <t xml:space="preserve"> Don</t>
  </si>
  <si>
    <t xml:space="preserve"> Manuel Ramirez</t>
  </si>
  <si>
    <t>van Billiard</t>
  </si>
  <si>
    <t xml:space="preserve"> James William</t>
  </si>
  <si>
    <t xml:space="preserve"> Walter John</t>
  </si>
  <si>
    <t>Van den Steen</t>
  </si>
  <si>
    <t xml:space="preserve"> Leo Peter</t>
  </si>
  <si>
    <t>Vandercruyssen</t>
  </si>
  <si>
    <t>Van der hoef</t>
  </si>
  <si>
    <t xml:space="preserve"> Wyckoff</t>
  </si>
  <si>
    <t>Vanderplancke</t>
  </si>
  <si>
    <t xml:space="preserve"> Augusta Maria</t>
  </si>
  <si>
    <t>Van de Velde</t>
  </si>
  <si>
    <t xml:space="preserve"> Johannes Josef</t>
  </si>
  <si>
    <t>Vandewalle</t>
  </si>
  <si>
    <t xml:space="preserve"> Nestor Cyriel</t>
  </si>
  <si>
    <t>Van Impe</t>
  </si>
  <si>
    <t xml:space="preserve"> Catharina</t>
  </si>
  <si>
    <t xml:space="preserve"> Jean Baptiste</t>
  </si>
  <si>
    <t>van Melckebeke</t>
  </si>
  <si>
    <t xml:space="preserve"> Philemon</t>
  </si>
  <si>
    <t>Vartanian</t>
  </si>
  <si>
    <t>Veal</t>
  </si>
  <si>
    <t>Vendel</t>
  </si>
  <si>
    <t xml:space="preserve"> Olof Edvin</t>
  </si>
  <si>
    <t>VestrÃ¶m</t>
  </si>
  <si>
    <t xml:space="preserve"> Hulda Amanda Adolfina</t>
  </si>
  <si>
    <t>Vovk</t>
  </si>
  <si>
    <t xml:space="preserve"> Janko</t>
  </si>
  <si>
    <t>Waelens</t>
  </si>
  <si>
    <t xml:space="preserve"> Achille</t>
  </si>
  <si>
    <t>Walker</t>
  </si>
  <si>
    <t xml:space="preserve"> William Anderson</t>
  </si>
  <si>
    <t>Wallcroft</t>
  </si>
  <si>
    <t xml:space="preserve"> Ellen 'Nellie'</t>
  </si>
  <si>
    <t>Ward</t>
  </si>
  <si>
    <t xml:space="preserve"> Annie Moore</t>
  </si>
  <si>
    <t>Ware</t>
  </si>
  <si>
    <t>Warren</t>
  </si>
  <si>
    <t xml:space="preserve"> Charles William</t>
  </si>
  <si>
    <t>Watson</t>
  </si>
  <si>
    <t xml:space="preserve"> Ennis Hastings</t>
  </si>
  <si>
    <t>Watt</t>
  </si>
  <si>
    <t xml:space="preserve"> Robertha Josephine</t>
  </si>
  <si>
    <t>Wazli</t>
  </si>
  <si>
    <t xml:space="preserve"> Yousif Ahmed</t>
  </si>
  <si>
    <t>Webber</t>
  </si>
  <si>
    <t xml:space="preserve"> Susan</t>
  </si>
  <si>
    <t>Weir</t>
  </si>
  <si>
    <t>Weisz</t>
  </si>
  <si>
    <t xml:space="preserve"> LÃ©opold</t>
  </si>
  <si>
    <t>Wells</t>
  </si>
  <si>
    <t xml:space="preserve"> Ralph Lester</t>
  </si>
  <si>
    <t>WennerstrÃ¶m</t>
  </si>
  <si>
    <t>West</t>
  </si>
  <si>
    <t xml:space="preserve"> Barbara Joyce</t>
  </si>
  <si>
    <t>Wheadon</t>
  </si>
  <si>
    <t xml:space="preserve"> Edward Henry</t>
  </si>
  <si>
    <t>Wheeler</t>
  </si>
  <si>
    <t xml:space="preserve"> Edwin Charles</t>
  </si>
  <si>
    <t>Whilems</t>
  </si>
  <si>
    <t>White</t>
  </si>
  <si>
    <t xml:space="preserve"> Percival Wayland</t>
  </si>
  <si>
    <t>Wick</t>
  </si>
  <si>
    <t xml:space="preserve"> Col</t>
  </si>
  <si>
    <t xml:space="preserve"> George Dennick</t>
  </si>
  <si>
    <t>Widegren</t>
  </si>
  <si>
    <t xml:space="preserve"> Carl Peter</t>
  </si>
  <si>
    <t>Widener</t>
  </si>
  <si>
    <t xml:space="preserve"> George Dunton</t>
  </si>
  <si>
    <t>Wiklund</t>
  </si>
  <si>
    <t>Wilkes</t>
  </si>
  <si>
    <t>Wilkinson</t>
  </si>
  <si>
    <t>Willard</t>
  </si>
  <si>
    <t xml:space="preserve"> Constance</t>
  </si>
  <si>
    <t>Willer</t>
  </si>
  <si>
    <t xml:space="preserve"> Aaron</t>
  </si>
  <si>
    <t>Willey</t>
  </si>
  <si>
    <t xml:space="preserve"> Edward John</t>
  </si>
  <si>
    <t>Williams</t>
  </si>
  <si>
    <t xml:space="preserve"> Charles Duane</t>
  </si>
  <si>
    <t>Wilson</t>
  </si>
  <si>
    <t xml:space="preserve"> Helen Alice</t>
  </si>
  <si>
    <t>WindelÃ¸v</t>
  </si>
  <si>
    <t xml:space="preserve"> Einar</t>
  </si>
  <si>
    <t>Wirz</t>
  </si>
  <si>
    <t>Wiseman</t>
  </si>
  <si>
    <t xml:space="preserve"> Philippe</t>
  </si>
  <si>
    <t>Wittevrongel</t>
  </si>
  <si>
    <t xml:space="preserve"> Camilius Aloysius</t>
  </si>
  <si>
    <t>Woodward</t>
  </si>
  <si>
    <t xml:space="preserve"> John Wesley</t>
  </si>
  <si>
    <t>Woolner</t>
  </si>
  <si>
    <t xml:space="preserve"> Hugh</t>
  </si>
  <si>
    <t>Wright</t>
  </si>
  <si>
    <t xml:space="preserve"> Marion</t>
  </si>
  <si>
    <t>Yasbeck</t>
  </si>
  <si>
    <t xml:space="preserve"> Antoni</t>
  </si>
  <si>
    <t>Yazbeck</t>
  </si>
  <si>
    <t xml:space="preserve"> Selini</t>
  </si>
  <si>
    <t>Young</t>
  </si>
  <si>
    <t xml:space="preserve"> Marie Grice</t>
  </si>
  <si>
    <t>Yousseff (Abi Saab)</t>
  </si>
  <si>
    <t xml:space="preserve"> Gerios</t>
  </si>
  <si>
    <t>Youssiff (Sam'aan)</t>
  </si>
  <si>
    <t>YÅ«suf</t>
  </si>
  <si>
    <t xml:space="preserve"> KÄtrÄ«n</t>
  </si>
  <si>
    <t>Yvois</t>
  </si>
  <si>
    <t xml:space="preserve"> Henriette</t>
  </si>
  <si>
    <t>Zakarian</t>
  </si>
  <si>
    <t xml:space="preserve"> Mapriededer</t>
  </si>
  <si>
    <t>Zenni</t>
  </si>
  <si>
    <t>Zimmermann</t>
  </si>
  <si>
    <t xml:space="preserve"> Leo</t>
  </si>
  <si>
    <t>Abrams</t>
  </si>
  <si>
    <t>Ahier</t>
  </si>
  <si>
    <t xml:space="preserve"> Percy Snowden</t>
  </si>
  <si>
    <t>Akerman</t>
  </si>
  <si>
    <t>Allaria</t>
  </si>
  <si>
    <t xml:space="preserve"> Sig</t>
  </si>
  <si>
    <t xml:space="preserve"> Battista Antonio</t>
  </si>
  <si>
    <t>Allsop</t>
  </si>
  <si>
    <t xml:space="preserve"> Alfred Samuel</t>
  </si>
  <si>
    <t>Archer</t>
  </si>
  <si>
    <t xml:space="preserve"> Ernest Edward</t>
  </si>
  <si>
    <t>Ashcroft</t>
  </si>
  <si>
    <t xml:space="preserve"> Austin Aloysius</t>
  </si>
  <si>
    <t>Ashe</t>
  </si>
  <si>
    <t xml:space="preserve"> Henry Wellesley</t>
  </si>
  <si>
    <t>Aspeslagh</t>
  </si>
  <si>
    <t xml:space="preserve"> Georges</t>
  </si>
  <si>
    <t>Avery</t>
  </si>
  <si>
    <t xml:space="preserve"> James Albert</t>
  </si>
  <si>
    <t>Ayling</t>
  </si>
  <si>
    <t xml:space="preserve"> Edwin George</t>
  </si>
  <si>
    <t>Back</t>
  </si>
  <si>
    <t xml:space="preserve"> Charles Frederick</t>
  </si>
  <si>
    <t>Baggott</t>
  </si>
  <si>
    <t xml:space="preserve"> Allen Marden</t>
  </si>
  <si>
    <t>Bagley</t>
  </si>
  <si>
    <t>Baines</t>
  </si>
  <si>
    <t>Ball</t>
  </si>
  <si>
    <t>Banfi</t>
  </si>
  <si>
    <t xml:space="preserve"> Ugo</t>
  </si>
  <si>
    <t>Bannon</t>
  </si>
  <si>
    <t>Barker</t>
  </si>
  <si>
    <t xml:space="preserve"> Albert Vale</t>
  </si>
  <si>
    <t>Barlow</t>
  </si>
  <si>
    <t>Barnes</t>
  </si>
  <si>
    <t>Barratt</t>
  </si>
  <si>
    <t>Barrett</t>
  </si>
  <si>
    <t>Barringer</t>
  </si>
  <si>
    <t xml:space="preserve"> Arthur William</t>
  </si>
  <si>
    <t>Barrow</t>
  </si>
  <si>
    <t xml:space="preserve"> Charles Henry John Barrow</t>
  </si>
  <si>
    <t>Barrows</t>
  </si>
  <si>
    <t>Basilico</t>
  </si>
  <si>
    <t xml:space="preserve"> Giovanni</t>
  </si>
  <si>
    <t>Bazzi</t>
  </si>
  <si>
    <t xml:space="preserve"> Narciso</t>
  </si>
  <si>
    <t>Bedford</t>
  </si>
  <si>
    <t xml:space="preserve"> William Barnett</t>
  </si>
  <si>
    <t>Beedem</t>
  </si>
  <si>
    <t xml:space="preserve"> George Arthur</t>
  </si>
  <si>
    <t>Beere</t>
  </si>
  <si>
    <t>Bell</t>
  </si>
  <si>
    <t>Bendell</t>
  </si>
  <si>
    <t>Benham</t>
  </si>
  <si>
    <t xml:space="preserve"> Fred John</t>
  </si>
  <si>
    <t>Bennett</t>
  </si>
  <si>
    <t xml:space="preserve"> George Alfred</t>
  </si>
  <si>
    <t>Benville</t>
  </si>
  <si>
    <t>Bernardi</t>
  </si>
  <si>
    <t xml:space="preserve"> Battista</t>
  </si>
  <si>
    <t>Bessant</t>
  </si>
  <si>
    <t>Best</t>
  </si>
  <si>
    <t xml:space="preserve"> Edwin Alfred</t>
  </si>
  <si>
    <t>Beux</t>
  </si>
  <si>
    <t>Bevis</t>
  </si>
  <si>
    <t xml:space="preserve"> Joseph Henry</t>
  </si>
  <si>
    <t>Biddlecombe</t>
  </si>
  <si>
    <t>Bietrix</t>
  </si>
  <si>
    <t xml:space="preserve"> George Baptiste</t>
  </si>
  <si>
    <t>Biggs</t>
  </si>
  <si>
    <t xml:space="preserve"> Edward Charles</t>
  </si>
  <si>
    <t>Billows</t>
  </si>
  <si>
    <t>Binstead</t>
  </si>
  <si>
    <t xml:space="preserve"> Walter William</t>
  </si>
  <si>
    <t>Blackman</t>
  </si>
  <si>
    <t>Black</t>
  </si>
  <si>
    <t xml:space="preserve"> D</t>
  </si>
  <si>
    <t>Blake</t>
  </si>
  <si>
    <t xml:space="preserve"> Percival Albert</t>
  </si>
  <si>
    <t>Blaney</t>
  </si>
  <si>
    <t>Blann</t>
  </si>
  <si>
    <t xml:space="preserve"> Eustace Horatius</t>
  </si>
  <si>
    <t>Bliss</t>
  </si>
  <si>
    <t>Blumet</t>
  </si>
  <si>
    <t>Bochatay</t>
  </si>
  <si>
    <t xml:space="preserve"> Alexis Joseph</t>
  </si>
  <si>
    <t>Bochet</t>
  </si>
  <si>
    <t xml:space="preserve"> Pierre Giuseppe</t>
  </si>
  <si>
    <t>Bogie</t>
  </si>
  <si>
    <t xml:space="preserve"> Norman Leslie</t>
  </si>
  <si>
    <t>Bolhuis</t>
  </si>
  <si>
    <t xml:space="preserve"> Hendrik</t>
  </si>
  <si>
    <t>Bond</t>
  </si>
  <si>
    <t>Boothby</t>
  </si>
  <si>
    <t xml:space="preserve"> Walter Thomas</t>
  </si>
  <si>
    <t>Boston</t>
  </si>
  <si>
    <t>Bott</t>
  </si>
  <si>
    <t>Boughton</t>
  </si>
  <si>
    <t xml:space="preserve"> Bernard John</t>
  </si>
  <si>
    <t>Bowker</t>
  </si>
  <si>
    <t xml:space="preserve"> Ruth Harwood</t>
  </si>
  <si>
    <t>Boxhall</t>
  </si>
  <si>
    <t xml:space="preserve"> Joseph Groves</t>
  </si>
  <si>
    <t>Boyd</t>
  </si>
  <si>
    <t>Boyes</t>
  </si>
  <si>
    <t xml:space="preserve"> T</t>
  </si>
  <si>
    <t>Bradshaw</t>
  </si>
  <si>
    <t xml:space="preserve"> John Albert Perkin</t>
  </si>
  <si>
    <t>Brewer</t>
  </si>
  <si>
    <t>Brewster</t>
  </si>
  <si>
    <t>Briant</t>
  </si>
  <si>
    <t>Brice</t>
  </si>
  <si>
    <t>Bride</t>
  </si>
  <si>
    <t xml:space="preserve"> Harold Sydney</t>
  </si>
  <si>
    <t>Bright</t>
  </si>
  <si>
    <t xml:space="preserve"> Arthur John</t>
  </si>
  <si>
    <t>Bristow</t>
  </si>
  <si>
    <t>Brookman</t>
  </si>
  <si>
    <t xml:space="preserve"> John Cress</t>
  </si>
  <si>
    <t>Brooks</t>
  </si>
  <si>
    <t xml:space="preserve"> J</t>
  </si>
  <si>
    <t>Broome</t>
  </si>
  <si>
    <t xml:space="preserve"> Athol Frederick</t>
  </si>
  <si>
    <t>Broom</t>
  </si>
  <si>
    <t xml:space="preserve"> Herbert George</t>
  </si>
  <si>
    <t xml:space="preserve"> H</t>
  </si>
  <si>
    <t xml:space="preserve"> E</t>
  </si>
  <si>
    <t>Buley</t>
  </si>
  <si>
    <t>Bulley</t>
  </si>
  <si>
    <t xml:space="preserve"> Henry Ashburnham</t>
  </si>
  <si>
    <t>Bull</t>
  </si>
  <si>
    <t xml:space="preserve"> Walter Edward</t>
  </si>
  <si>
    <t>Bunnell</t>
  </si>
  <si>
    <t xml:space="preserve"> Wilfred James</t>
  </si>
  <si>
    <t>Burgess</t>
  </si>
  <si>
    <t>Burrage</t>
  </si>
  <si>
    <t xml:space="preserve"> Arthur Victor Edwards</t>
  </si>
  <si>
    <t>Burr</t>
  </si>
  <si>
    <t xml:space="preserve"> Ewart Sydenham</t>
  </si>
  <si>
    <t>Burroughs</t>
  </si>
  <si>
    <t xml:space="preserve"> Arthur Peckham</t>
  </si>
  <si>
    <t>Burton</t>
  </si>
  <si>
    <t>Butterworth</t>
  </si>
  <si>
    <t>Byrne</t>
  </si>
  <si>
    <t xml:space="preserve"> James Edward</t>
  </si>
  <si>
    <t>Calderwood</t>
  </si>
  <si>
    <t>Canner</t>
  </si>
  <si>
    <t>Carney</t>
  </si>
  <si>
    <t>Carter (Ball)</t>
  </si>
  <si>
    <t xml:space="preserve"> James (W</t>
  </si>
  <si>
    <t>Cartwright</t>
  </si>
  <si>
    <t>Casali</t>
  </si>
  <si>
    <t xml:space="preserve"> Giulio</t>
  </si>
  <si>
    <t>Casey</t>
  </si>
  <si>
    <t>Casswill</t>
  </si>
  <si>
    <t>Castleman</t>
  </si>
  <si>
    <t>Caton</t>
  </si>
  <si>
    <t xml:space="preserve"> Annie</t>
  </si>
  <si>
    <t>Caunt</t>
  </si>
  <si>
    <t xml:space="preserve"> William Ewart</t>
  </si>
  <si>
    <t>Cavell</t>
  </si>
  <si>
    <t>Cave</t>
  </si>
  <si>
    <t xml:space="preserve"> Herbert</t>
  </si>
  <si>
    <t>Cecil</t>
  </si>
  <si>
    <t xml:space="preserve"> Charles Thomas</t>
  </si>
  <si>
    <t>Chaboisson</t>
  </si>
  <si>
    <t xml:space="preserve"> Adrien Finnin</t>
  </si>
  <si>
    <t>Charman</t>
  </si>
  <si>
    <t>Cherrett</t>
  </si>
  <si>
    <t xml:space="preserve"> William Victor</t>
  </si>
  <si>
    <t>Cheverton</t>
  </si>
  <si>
    <t>Chisnall</t>
  </si>
  <si>
    <t xml:space="preserve"> George Alexander</t>
  </si>
  <si>
    <t>Chitty</t>
  </si>
  <si>
    <t xml:space="preserve"> Archibald George</t>
  </si>
  <si>
    <t>Chorley</t>
  </si>
  <si>
    <t>Christmas</t>
  </si>
  <si>
    <t xml:space="preserve"> Herbert Harry</t>
  </si>
  <si>
    <t>Clench</t>
  </si>
  <si>
    <t>Coe</t>
  </si>
  <si>
    <t>Coleman</t>
  </si>
  <si>
    <t>Colgan</t>
  </si>
  <si>
    <t>Collins</t>
  </si>
  <si>
    <t>Combes</t>
  </si>
  <si>
    <t>Conway</t>
  </si>
  <si>
    <t xml:space="preserve"> Percy Walter</t>
  </si>
  <si>
    <t>Coombs</t>
  </si>
  <si>
    <t xml:space="preserve"> Charles Augustus</t>
  </si>
  <si>
    <t>Cooper</t>
  </si>
  <si>
    <t>Copperthwaite</t>
  </si>
  <si>
    <t xml:space="preserve"> Albert Harry</t>
  </si>
  <si>
    <t>Corben</t>
  </si>
  <si>
    <t xml:space="preserve"> Ernest Theodore</t>
  </si>
  <si>
    <t>Corcoran</t>
  </si>
  <si>
    <t xml:space="preserve"> Dennis</t>
  </si>
  <si>
    <t>Cornaire</t>
  </si>
  <si>
    <t xml:space="preserve"> Marcel Raymond AndrÃ©</t>
  </si>
  <si>
    <t>Cotton</t>
  </si>
  <si>
    <t>Couch</t>
  </si>
  <si>
    <t>Couper</t>
  </si>
  <si>
    <t xml:space="preserve"> Robert Frederick William</t>
  </si>
  <si>
    <t>Coutin</t>
  </si>
  <si>
    <t xml:space="preserve"> Auguste Louis</t>
  </si>
  <si>
    <t>Cox</t>
  </si>
  <si>
    <t xml:space="preserve"> William Denton</t>
  </si>
  <si>
    <t>Coy</t>
  </si>
  <si>
    <t xml:space="preserve"> Francis Ernest George</t>
  </si>
  <si>
    <t>Crabb</t>
  </si>
  <si>
    <t>Crafter</t>
  </si>
  <si>
    <t xml:space="preserve"> Frederick Horace</t>
  </si>
  <si>
    <t>Crawford</t>
  </si>
  <si>
    <t xml:space="preserve"> Alfred George</t>
  </si>
  <si>
    <t>Creese</t>
  </si>
  <si>
    <t xml:space="preserve"> Henry Philip</t>
  </si>
  <si>
    <t>Crimmins</t>
  </si>
  <si>
    <t>Crispin</t>
  </si>
  <si>
    <t>Crisp</t>
  </si>
  <si>
    <t xml:space="preserve"> Albert Hector</t>
  </si>
  <si>
    <t>Crosbie</t>
  </si>
  <si>
    <t xml:space="preserve"> John Borthwick</t>
  </si>
  <si>
    <t>Cross</t>
  </si>
  <si>
    <t>Crovella</t>
  </si>
  <si>
    <t>Crowe</t>
  </si>
  <si>
    <t>Crumplin</t>
  </si>
  <si>
    <t xml:space="preserve"> Charles George Chandler</t>
  </si>
  <si>
    <t>Cullen</t>
  </si>
  <si>
    <t xml:space="preserve"> Charles James</t>
  </si>
  <si>
    <t>Curtis</t>
  </si>
  <si>
    <t>Dashwood</t>
  </si>
  <si>
    <t xml:space="preserve"> William George</t>
  </si>
  <si>
    <t>Dawson</t>
  </si>
  <si>
    <t>Debreucq</t>
  </si>
  <si>
    <t xml:space="preserve"> Maurice Emile Victor</t>
  </si>
  <si>
    <t>Deeble</t>
  </si>
  <si>
    <t xml:space="preserve"> Alfred Arnold</t>
  </si>
  <si>
    <t>De Marsico</t>
  </si>
  <si>
    <t xml:space="preserve"> Govanni</t>
  </si>
  <si>
    <t>Derrett</t>
  </si>
  <si>
    <t xml:space="preserve"> Arthur Henry</t>
  </si>
  <si>
    <t>Deslandes</t>
  </si>
  <si>
    <t xml:space="preserve"> Percival Stainer</t>
  </si>
  <si>
    <t>Desvernine</t>
  </si>
  <si>
    <t xml:space="preserve"> Louis Gabriel</t>
  </si>
  <si>
    <t>Diaper</t>
  </si>
  <si>
    <t>Dickson</t>
  </si>
  <si>
    <t>Dilley</t>
  </si>
  <si>
    <t>Dillon</t>
  </si>
  <si>
    <t xml:space="preserve"> Thomas Patrick</t>
  </si>
  <si>
    <t>Dinenage</t>
  </si>
  <si>
    <t xml:space="preserve"> James Richard</t>
  </si>
  <si>
    <t>Dodd</t>
  </si>
  <si>
    <t>Dodds</t>
  </si>
  <si>
    <t xml:space="preserve"> Henry Watson</t>
  </si>
  <si>
    <t>Doel</t>
  </si>
  <si>
    <t>Dolby</t>
  </si>
  <si>
    <t>Donati</t>
  </si>
  <si>
    <t xml:space="preserve"> Italo Francesco</t>
  </si>
  <si>
    <t>Donoghue</t>
  </si>
  <si>
    <t xml:space="preserve"> Frank (?Thomas)</t>
  </si>
  <si>
    <t>Dore</t>
  </si>
  <si>
    <t xml:space="preserve"> Albert James</t>
  </si>
  <si>
    <t>Dornier</t>
  </si>
  <si>
    <t xml:space="preserve"> Louis Auguste</t>
  </si>
  <si>
    <t>Doughty</t>
  </si>
  <si>
    <t>Duffy</t>
  </si>
  <si>
    <t xml:space="preserve"> William Luke</t>
  </si>
  <si>
    <t>Dunford</t>
  </si>
  <si>
    <t>Durnil</t>
  </si>
  <si>
    <t>Dyer</t>
  </si>
  <si>
    <t xml:space="preserve"> Henry Ryland</t>
  </si>
  <si>
    <t>Dymond</t>
  </si>
  <si>
    <t>Eagle</t>
  </si>
  <si>
    <t>Eastman</t>
  </si>
  <si>
    <t>Edbrooke</t>
  </si>
  <si>
    <t xml:space="preserve"> Francis Samuel Jacob</t>
  </si>
  <si>
    <t>Ede</t>
  </si>
  <si>
    <t xml:space="preserve"> George Bulkeley</t>
  </si>
  <si>
    <t>Edge</t>
  </si>
  <si>
    <t>Edwards</t>
  </si>
  <si>
    <t xml:space="preserve"> Charles Essex</t>
  </si>
  <si>
    <t>Egg</t>
  </si>
  <si>
    <t>Elliott</t>
  </si>
  <si>
    <t xml:space="preserve"> Everett Edward</t>
  </si>
  <si>
    <t>Ellis</t>
  </si>
  <si>
    <t xml:space="preserve"> John Bertie</t>
  </si>
  <si>
    <t>Ennis</t>
  </si>
  <si>
    <t>Ervine</t>
  </si>
  <si>
    <t xml:space="preserve"> Albert George</t>
  </si>
  <si>
    <t>Etches</t>
  </si>
  <si>
    <t>Fairall</t>
  </si>
  <si>
    <t xml:space="preserve"> Henry Charles</t>
  </si>
  <si>
    <t>Farenden</t>
  </si>
  <si>
    <t xml:space="preserve"> Ernest John</t>
  </si>
  <si>
    <t>Farquharson</t>
  </si>
  <si>
    <t>Faulkner</t>
  </si>
  <si>
    <t xml:space="preserve"> William Stephen</t>
  </si>
  <si>
    <t>Fay</t>
  </si>
  <si>
    <t>Fellowes</t>
  </si>
  <si>
    <t>Feltham</t>
  </si>
  <si>
    <t>Ferrary</t>
  </si>
  <si>
    <t xml:space="preserve"> Antonio</t>
  </si>
  <si>
    <t>Ferris</t>
  </si>
  <si>
    <t>Fey</t>
  </si>
  <si>
    <t xml:space="preserve"> Carlo</t>
  </si>
  <si>
    <t>Finch</t>
  </si>
  <si>
    <t xml:space="preserve"> Henry Herman</t>
  </si>
  <si>
    <t>Fioravante</t>
  </si>
  <si>
    <t xml:space="preserve"> Giuseppe Bertoldo</t>
  </si>
  <si>
    <t>Fitzpatrick</t>
  </si>
  <si>
    <t xml:space="preserve"> Cecil William</t>
  </si>
  <si>
    <t>Flarty</t>
  </si>
  <si>
    <t>Fleet</t>
  </si>
  <si>
    <t>Fletcher</t>
  </si>
  <si>
    <t>Forward</t>
  </si>
  <si>
    <t>Foster</t>
  </si>
  <si>
    <t xml:space="preserve"> Alfred Charles</t>
  </si>
  <si>
    <t>Fraser</t>
  </si>
  <si>
    <t>Fredericks</t>
  </si>
  <si>
    <t xml:space="preserve"> Walter Francis</t>
  </si>
  <si>
    <t>Freeman</t>
  </si>
  <si>
    <t xml:space="preserve"> Ernest Edward Samuel</t>
  </si>
  <si>
    <t>Fryer</t>
  </si>
  <si>
    <t xml:space="preserve"> Albert Ernest</t>
  </si>
  <si>
    <t>Gatti</t>
  </si>
  <si>
    <t xml:space="preserve"> Gaspare Antonio Pietro</t>
  </si>
  <si>
    <t>Geddes</t>
  </si>
  <si>
    <t xml:space="preserve"> Richard Charles</t>
  </si>
  <si>
    <t>Geer</t>
  </si>
  <si>
    <t xml:space="preserve"> Alfred Emest</t>
  </si>
  <si>
    <t>Gibbons</t>
  </si>
  <si>
    <t xml:space="preserve"> Jacob William</t>
  </si>
  <si>
    <t>Gilardino</t>
  </si>
  <si>
    <t xml:space="preserve"> Vincenzo Pio</t>
  </si>
  <si>
    <t>Godley</t>
  </si>
  <si>
    <t xml:space="preserve"> George Auguste</t>
  </si>
  <si>
    <t>Godwin</t>
  </si>
  <si>
    <t>Golder</t>
  </si>
  <si>
    <t xml:space="preserve"> M</t>
  </si>
  <si>
    <t xml:space="preserve"> W</t>
  </si>
  <si>
    <t>Gold</t>
  </si>
  <si>
    <t xml:space="preserve"> Jane Kate Coulson</t>
  </si>
  <si>
    <t>Gollop</t>
  </si>
  <si>
    <t xml:space="preserve"> F</t>
  </si>
  <si>
    <t>Gordon</t>
  </si>
  <si>
    <t>Goree</t>
  </si>
  <si>
    <t>Goshawk</t>
  </si>
  <si>
    <t>Gosling</t>
  </si>
  <si>
    <t xml:space="preserve"> Bertram James</t>
  </si>
  <si>
    <t xml:space="preserve"> S</t>
  </si>
  <si>
    <t>Gradidge</t>
  </si>
  <si>
    <t>Gregory</t>
  </si>
  <si>
    <t>Gregson</t>
  </si>
  <si>
    <t>Grosclaude</t>
  </si>
  <si>
    <t xml:space="preserve"> GÃ©rald</t>
  </si>
  <si>
    <t>Gumery</t>
  </si>
  <si>
    <t>Gunn</t>
  </si>
  <si>
    <t xml:space="preserve"> Joseph Alfred</t>
  </si>
  <si>
    <t>Guy</t>
  </si>
  <si>
    <t xml:space="preserve"> Elgar John</t>
  </si>
  <si>
    <t>Gwinn</t>
  </si>
  <si>
    <t xml:space="preserve"> William Logan</t>
  </si>
  <si>
    <t>Haggan</t>
  </si>
  <si>
    <t>Haines</t>
  </si>
  <si>
    <t>Halford</t>
  </si>
  <si>
    <t xml:space="preserve"> Walter Stamford</t>
  </si>
  <si>
    <t>Hallett</t>
  </si>
  <si>
    <t>Hall</t>
  </si>
  <si>
    <t xml:space="preserve"> Frank Alfred James</t>
  </si>
  <si>
    <t>Hamblyn</t>
  </si>
  <si>
    <t xml:space="preserve"> Ernest William</t>
  </si>
  <si>
    <t>Hamilton</t>
  </si>
  <si>
    <t>Hands</t>
  </si>
  <si>
    <t>Hannam</t>
  </si>
  <si>
    <t>Harding</t>
  </si>
  <si>
    <t>Hardwick</t>
  </si>
  <si>
    <t>Hardy</t>
  </si>
  <si>
    <t>Hartnell</t>
  </si>
  <si>
    <t xml:space="preserve"> Fred</t>
  </si>
  <si>
    <t>Harvey</t>
  </si>
  <si>
    <t xml:space="preserve"> Herbert Gifford</t>
  </si>
  <si>
    <t>Hatch</t>
  </si>
  <si>
    <t>Hawkesworth</t>
  </si>
  <si>
    <t>Hayter</t>
  </si>
  <si>
    <t>Hebb</t>
  </si>
  <si>
    <t>Heinen</t>
  </si>
  <si>
    <t xml:space="preserve"> Joseph Dominichus</t>
  </si>
  <si>
    <t>Hemming</t>
  </si>
  <si>
    <t xml:space="preserve"> Samuel Ernest</t>
  </si>
  <si>
    <t>Hendrickson</t>
  </si>
  <si>
    <t xml:space="preserve"> Charles Osker</t>
  </si>
  <si>
    <t>Hendy</t>
  </si>
  <si>
    <t xml:space="preserve"> Edward Martin</t>
  </si>
  <si>
    <t>Hensford</t>
  </si>
  <si>
    <t xml:space="preserve"> Herbert George Ernest</t>
  </si>
  <si>
    <t>Hesketh</t>
  </si>
  <si>
    <t>Heslin</t>
  </si>
  <si>
    <t>Hewitt</t>
  </si>
  <si>
    <t>Hichens</t>
  </si>
  <si>
    <t>Hill</t>
  </si>
  <si>
    <t>Hinckley</t>
  </si>
  <si>
    <t xml:space="preserve"> George Herbert</t>
  </si>
  <si>
    <t>Hine</t>
  </si>
  <si>
    <t>Hinton</t>
  </si>
  <si>
    <t xml:space="preserve"> Stephen William</t>
  </si>
  <si>
    <t>Hiscock</t>
  </si>
  <si>
    <t xml:space="preserve"> Sydney George</t>
  </si>
  <si>
    <t>Hoare</t>
  </si>
  <si>
    <t xml:space="preserve"> Leonard James</t>
  </si>
  <si>
    <t>Hodge</t>
  </si>
  <si>
    <t xml:space="preserve"> Charley</t>
  </si>
  <si>
    <t>Hodgkinson</t>
  </si>
  <si>
    <t xml:space="preserve"> Leonard</t>
  </si>
  <si>
    <t>Hogg</t>
  </si>
  <si>
    <t>Hogue</t>
  </si>
  <si>
    <t>Holland</t>
  </si>
  <si>
    <t>Holloway</t>
  </si>
  <si>
    <t xml:space="preserve"> Sidney</t>
  </si>
  <si>
    <t>Holman</t>
  </si>
  <si>
    <t>Hopgood</t>
  </si>
  <si>
    <t xml:space="preserve"> Roland John C</t>
  </si>
  <si>
    <t>Hopkins</t>
  </si>
  <si>
    <t>Horswill</t>
  </si>
  <si>
    <t xml:space="preserve"> Albert Edward James</t>
  </si>
  <si>
    <t>Hosgood</t>
  </si>
  <si>
    <t>Hosking</t>
  </si>
  <si>
    <t xml:space="preserve"> George Fox</t>
  </si>
  <si>
    <t>House</t>
  </si>
  <si>
    <t>Howell</t>
  </si>
  <si>
    <t xml:space="preserve"> Arthur Albert</t>
  </si>
  <si>
    <t>Hughes</t>
  </si>
  <si>
    <t>Humby</t>
  </si>
  <si>
    <t>Humphreys</t>
  </si>
  <si>
    <t xml:space="preserve"> Humphrey</t>
  </si>
  <si>
    <t xml:space="preserve"> Tom</t>
  </si>
  <si>
    <t>Hurst</t>
  </si>
  <si>
    <t xml:space="preserve"> Charles John</t>
  </si>
  <si>
    <t>Hutchinson</t>
  </si>
  <si>
    <t>Hyland</t>
  </si>
  <si>
    <t xml:space="preserve"> James Leo</t>
  </si>
  <si>
    <t>Ide</t>
  </si>
  <si>
    <t xml:space="preserve"> Harry John</t>
  </si>
  <si>
    <t>Ingram</t>
  </si>
  <si>
    <t>Ingrouille</t>
  </si>
  <si>
    <t>Ings</t>
  </si>
  <si>
    <t>Instance</t>
  </si>
  <si>
    <t>Jackopson</t>
  </si>
  <si>
    <t>Jackson</t>
  </si>
  <si>
    <t xml:space="preserve"> Cecil</t>
  </si>
  <si>
    <t>Jago</t>
  </si>
  <si>
    <t>Jaillet</t>
  </si>
  <si>
    <t xml:space="preserve"> Henri Marie</t>
  </si>
  <si>
    <t>James</t>
  </si>
  <si>
    <t>Janaway</t>
  </si>
  <si>
    <t xml:space="preserve"> William Frank</t>
  </si>
  <si>
    <t>Janin</t>
  </si>
  <si>
    <t xml:space="preserve"> Claude Marie</t>
  </si>
  <si>
    <t>Jeffery</t>
  </si>
  <si>
    <t>Jenner</t>
  </si>
  <si>
    <t xml:space="preserve"> Thomas Henry (Harry)</t>
  </si>
  <si>
    <t>Jessop</t>
  </si>
  <si>
    <t xml:space="preserve"> Violet Constance</t>
  </si>
  <si>
    <t>Jewell</t>
  </si>
  <si>
    <t xml:space="preserve"> Archie</t>
  </si>
  <si>
    <t>Joas</t>
  </si>
  <si>
    <t xml:space="preserve"> N</t>
  </si>
  <si>
    <t>Jouannault</t>
  </si>
  <si>
    <t xml:space="preserve"> Georges Jules</t>
  </si>
  <si>
    <t>Joughin</t>
  </si>
  <si>
    <t>Judd</t>
  </si>
  <si>
    <t>Jukes</t>
  </si>
  <si>
    <t>Jupe</t>
  </si>
  <si>
    <t xml:space="preserve"> Boykett Herbert</t>
  </si>
  <si>
    <t>Kasper</t>
  </si>
  <si>
    <t xml:space="preserve"> Franz Wilhelm</t>
  </si>
  <si>
    <t>Kearl</t>
  </si>
  <si>
    <t>Keen</t>
  </si>
  <si>
    <t xml:space="preserve"> Percy Edward</t>
  </si>
  <si>
    <t>Kelland</t>
  </si>
  <si>
    <t>Kemish</t>
  </si>
  <si>
    <t>Kemp</t>
  </si>
  <si>
    <t xml:space="preserve"> Thomas Hulman</t>
  </si>
  <si>
    <t>Kenchenten</t>
  </si>
  <si>
    <t>Kennell</t>
  </si>
  <si>
    <t>Kenzler</t>
  </si>
  <si>
    <t>Kerley</t>
  </si>
  <si>
    <t>Kerr</t>
  </si>
  <si>
    <t xml:space="preserve"> Thomas Russell</t>
  </si>
  <si>
    <t>Ketchley</t>
  </si>
  <si>
    <t>Kieran</t>
  </si>
  <si>
    <t xml:space="preserve"> Edgar Michael</t>
  </si>
  <si>
    <t>King</t>
  </si>
  <si>
    <t xml:space="preserve"> Alfred John Moffett</t>
  </si>
  <si>
    <t>Kingscote</t>
  </si>
  <si>
    <t xml:space="preserve"> William Ford</t>
  </si>
  <si>
    <t>Kinsella</t>
  </si>
  <si>
    <t xml:space="preserve"> Louis</t>
  </si>
  <si>
    <t>Kirkaldy</t>
  </si>
  <si>
    <t xml:space="preserve"> Thomas Benjamin</t>
  </si>
  <si>
    <t>Kirkham</t>
  </si>
  <si>
    <t>Kitching</t>
  </si>
  <si>
    <t xml:space="preserve"> Arthur Alfred</t>
  </si>
  <si>
    <t>Klein</t>
  </si>
  <si>
    <t>Knowles</t>
  </si>
  <si>
    <t>Lacey</t>
  </si>
  <si>
    <t xml:space="preserve"> Bertie William</t>
  </si>
  <si>
    <t>Lahy</t>
  </si>
  <si>
    <t>Lake</t>
  </si>
  <si>
    <t>Latimer</t>
  </si>
  <si>
    <t>Lavington</t>
  </si>
  <si>
    <t>Lawrence</t>
  </si>
  <si>
    <t>Leather</t>
  </si>
  <si>
    <t xml:space="preserve"> Elizabeth Mary</t>
  </si>
  <si>
    <t>Lee</t>
  </si>
  <si>
    <t>Leonard</t>
  </si>
  <si>
    <t>Levett</t>
  </si>
  <si>
    <t>Lewis</t>
  </si>
  <si>
    <t xml:space="preserve"> Arthur Ernest Read</t>
  </si>
  <si>
    <t>Light</t>
  </si>
  <si>
    <t>Lightoller</t>
  </si>
  <si>
    <t xml:space="preserve"> Charles Herbert</t>
  </si>
  <si>
    <t>Lindsay</t>
  </si>
  <si>
    <t xml:space="preserve"> William Charles</t>
  </si>
  <si>
    <t>Littlejohn</t>
  </si>
  <si>
    <t xml:space="preserve"> Alexander James</t>
  </si>
  <si>
    <t>Lloyd</t>
  </si>
  <si>
    <t>Locke</t>
  </si>
  <si>
    <t xml:space="preserve"> A</t>
  </si>
  <si>
    <t>Longmuir</t>
  </si>
  <si>
    <t xml:space="preserve"> John Dickson</t>
  </si>
  <si>
    <t>Lowe</t>
  </si>
  <si>
    <t xml:space="preserve"> Harold Godfrey</t>
  </si>
  <si>
    <t>Lucas</t>
  </si>
  <si>
    <t>Lydiatt</t>
  </si>
  <si>
    <t>Lyons</t>
  </si>
  <si>
    <t>Mabey</t>
  </si>
  <si>
    <t xml:space="preserve"> John Charles</t>
  </si>
  <si>
    <t>MacKie</t>
  </si>
  <si>
    <t>Major</t>
  </si>
  <si>
    <t xml:space="preserve"> Thomas Edgar</t>
  </si>
  <si>
    <t>Mantle</t>
  </si>
  <si>
    <t xml:space="preserve"> Roland Frederick</t>
  </si>
  <si>
    <t>March</t>
  </si>
  <si>
    <t xml:space="preserve"> John Starr</t>
  </si>
  <si>
    <t>Marett</t>
  </si>
  <si>
    <t>Marks</t>
  </si>
  <si>
    <t>Marriott</t>
  </si>
  <si>
    <t xml:space="preserve"> John William</t>
  </si>
  <si>
    <t>Marsden</t>
  </si>
  <si>
    <t xml:space="preserve"> Evelyn</t>
  </si>
  <si>
    <t>Marsh</t>
  </si>
  <si>
    <t>Martin</t>
  </si>
  <si>
    <t xml:space="preserve"> Mabel Elvina</t>
  </si>
  <si>
    <t>Maskell</t>
  </si>
  <si>
    <t xml:space="preserve"> Leopold Adolphus</t>
  </si>
  <si>
    <t>Mason</t>
  </si>
  <si>
    <t xml:space="preserve"> Frank Archibald Robert</t>
  </si>
  <si>
    <t>Matherson</t>
  </si>
  <si>
    <t>Mathias</t>
  </si>
  <si>
    <t xml:space="preserve"> Montague Vincent</t>
  </si>
  <si>
    <t>Mattmann</t>
  </si>
  <si>
    <t xml:space="preserve"> Adolf</t>
  </si>
  <si>
    <t>Mauge</t>
  </si>
  <si>
    <t xml:space="preserve"> Paul Achille Maurice Germain</t>
  </si>
  <si>
    <t>Maxwell</t>
  </si>
  <si>
    <t>May</t>
  </si>
  <si>
    <t>Maynard</t>
  </si>
  <si>
    <t xml:space="preserve"> Isaac Hiram</t>
  </si>
  <si>
    <t>Mayo</t>
  </si>
  <si>
    <t xml:space="preserve"> William Peter</t>
  </si>
  <si>
    <t>Maytum</t>
  </si>
  <si>
    <t>Mayzes</t>
  </si>
  <si>
    <t xml:space="preserve"> Thomas Jubilee</t>
  </si>
  <si>
    <t>McAndrew</t>
  </si>
  <si>
    <t>McAndrews</t>
  </si>
  <si>
    <t>McCastlan</t>
  </si>
  <si>
    <t>McCawley</t>
  </si>
  <si>
    <t xml:space="preserve"> Thomas W</t>
  </si>
  <si>
    <t>McElroy</t>
  </si>
  <si>
    <t xml:space="preserve"> Hugh Walter</t>
  </si>
  <si>
    <t>McGann</t>
  </si>
  <si>
    <t>McGarvey</t>
  </si>
  <si>
    <t xml:space="preserve"> Edward Joseph</t>
  </si>
  <si>
    <t>McGaw</t>
  </si>
  <si>
    <t xml:space="preserve"> Erroll Victor</t>
  </si>
  <si>
    <t>McGrady</t>
  </si>
  <si>
    <t>McInerney</t>
  </si>
  <si>
    <t>McIntyre</t>
  </si>
  <si>
    <t>McKay</t>
  </si>
  <si>
    <t xml:space="preserve"> Charles Donald</t>
  </si>
  <si>
    <t>McLaren</t>
  </si>
  <si>
    <t xml:space="preserve"> Hypatia</t>
  </si>
  <si>
    <t>McMicken</t>
  </si>
  <si>
    <t>McMullin</t>
  </si>
  <si>
    <t xml:space="preserve"> John Richard</t>
  </si>
  <si>
    <t>McMurray</t>
  </si>
  <si>
    <t>McQuillan</t>
  </si>
  <si>
    <t>McRae</t>
  </si>
  <si>
    <t xml:space="preserve"> William Alexander</t>
  </si>
  <si>
    <t>McReynolds</t>
  </si>
  <si>
    <t>Mellor</t>
  </si>
  <si>
    <t>Middleton</t>
  </si>
  <si>
    <t xml:space="preserve"> Alfred Pirrie</t>
  </si>
  <si>
    <t>Milford</t>
  </si>
  <si>
    <t>Millar</t>
  </si>
  <si>
    <t>Mills</t>
  </si>
  <si>
    <t>Mintram</t>
  </si>
  <si>
    <t>Mishellany</t>
  </si>
  <si>
    <t xml:space="preserve"> Abraham Mansoor</t>
  </si>
  <si>
    <t>MonrÃ³s</t>
  </si>
  <si>
    <t xml:space="preserve"> Joan Javier</t>
  </si>
  <si>
    <t>Monteverdi</t>
  </si>
  <si>
    <t>Moody</t>
  </si>
  <si>
    <t xml:space="preserve"> James Paul</t>
  </si>
  <si>
    <t>Moores</t>
  </si>
  <si>
    <t>Morgan (Bird)</t>
  </si>
  <si>
    <t>Morgan</t>
  </si>
  <si>
    <t xml:space="preserve"> Arthur Herbert</t>
  </si>
  <si>
    <t>Morris</t>
  </si>
  <si>
    <t>Moyes</t>
  </si>
  <si>
    <t xml:space="preserve"> William Young</t>
  </si>
  <si>
    <t>MÃ¼ller</t>
  </si>
  <si>
    <t xml:space="preserve"> Ludwig</t>
  </si>
  <si>
    <t>Murdoch</t>
  </si>
  <si>
    <t xml:space="preserve"> William McMaster</t>
  </si>
  <si>
    <t>Nannini</t>
  </si>
  <si>
    <t xml:space="preserve"> Francesco Luigi Arcangelo</t>
  </si>
  <si>
    <t>Neal</t>
  </si>
  <si>
    <t xml:space="preserve"> Bentley Harold</t>
  </si>
  <si>
    <t>Nettleton</t>
  </si>
  <si>
    <t xml:space="preserve"> George Walter</t>
  </si>
  <si>
    <t>Newman</t>
  </si>
  <si>
    <t>Nichols</t>
  </si>
  <si>
    <t xml:space="preserve"> Alfred William Stanley</t>
  </si>
  <si>
    <t>Niven</t>
  </si>
  <si>
    <t xml:space="preserve"> John Brown</t>
  </si>
  <si>
    <t>Noon</t>
  </si>
  <si>
    <t xml:space="preserve"> John Thomas</t>
  </si>
  <si>
    <t>Norris</t>
  </si>
  <si>
    <t>Noss</t>
  </si>
  <si>
    <t xml:space="preserve"> Bertram Arthur</t>
  </si>
  <si>
    <t>Nutbean</t>
  </si>
  <si>
    <t>Olive</t>
  </si>
  <si>
    <t>Oliver</t>
  </si>
  <si>
    <t>Olliver</t>
  </si>
  <si>
    <t>O'Loughlin</t>
  </si>
  <si>
    <t xml:space="preserve"> William Francis Norman</t>
  </si>
  <si>
    <t>Orpet</t>
  </si>
  <si>
    <t xml:space="preserve"> Walter Hayward</t>
  </si>
  <si>
    <t>Orr</t>
  </si>
  <si>
    <t>Osborne</t>
  </si>
  <si>
    <t>Osman</t>
  </si>
  <si>
    <t>Othen</t>
  </si>
  <si>
    <t xml:space="preserve"> Charles Alfred</t>
  </si>
  <si>
    <t>Owen</t>
  </si>
  <si>
    <t>Pacey</t>
  </si>
  <si>
    <t xml:space="preserve"> Reginald lvan</t>
  </si>
  <si>
    <t>Pachera</t>
  </si>
  <si>
    <t xml:space="preserve"> Jean Baptiste Stanislas</t>
  </si>
  <si>
    <t>Paice</t>
  </si>
  <si>
    <t xml:space="preserve"> Richard Charles John</t>
  </si>
  <si>
    <t>Painter</t>
  </si>
  <si>
    <t>Paintin</t>
  </si>
  <si>
    <t xml:space="preserve"> James Arthur</t>
  </si>
  <si>
    <t>Palles</t>
  </si>
  <si>
    <t xml:space="preserve"> Thomas Henry Michael</t>
  </si>
  <si>
    <t>Parsons</t>
  </si>
  <si>
    <t>Pascoe</t>
  </si>
  <si>
    <t xml:space="preserve"> Charles H</t>
  </si>
  <si>
    <t>Pearcey</t>
  </si>
  <si>
    <t xml:space="preserve"> Albert Victor</t>
  </si>
  <si>
    <t>Pedrini</t>
  </si>
  <si>
    <t xml:space="preserve"> Alessandro</t>
  </si>
  <si>
    <t>Pelham</t>
  </si>
  <si>
    <t>Pennal</t>
  </si>
  <si>
    <t xml:space="preserve"> Thomas Frederick Cohen</t>
  </si>
  <si>
    <t>Penny</t>
  </si>
  <si>
    <t xml:space="preserve"> William Farr</t>
  </si>
  <si>
    <t>Penrose</t>
  </si>
  <si>
    <t xml:space="preserve"> John Poole</t>
  </si>
  <si>
    <t>Peracchio</t>
  </si>
  <si>
    <t xml:space="preserve"> Alberto</t>
  </si>
  <si>
    <t>Perkins</t>
  </si>
  <si>
    <t xml:space="preserve"> Laurence Alexander</t>
  </si>
  <si>
    <t>Perkis</t>
  </si>
  <si>
    <t>Perotti</t>
  </si>
  <si>
    <t xml:space="preserve"> Alfonso</t>
  </si>
  <si>
    <t>Perren</t>
  </si>
  <si>
    <t>Perriton</t>
  </si>
  <si>
    <t xml:space="preserve"> Hubert Prouse</t>
  </si>
  <si>
    <t>Perry</t>
  </si>
  <si>
    <t xml:space="preserve"> Edgar Lionel</t>
  </si>
  <si>
    <t>Petty</t>
  </si>
  <si>
    <t xml:space="preserve"> Edwin Henry</t>
  </si>
  <si>
    <t>Pfropper</t>
  </si>
  <si>
    <t xml:space="preserve"> Richard Paul Jozef</t>
  </si>
  <si>
    <t>Phillimore</t>
  </si>
  <si>
    <t xml:space="preserve"> Harold Charles William</t>
  </si>
  <si>
    <t>Piatti</t>
  </si>
  <si>
    <t>Piazza</t>
  </si>
  <si>
    <t xml:space="preserve"> Pompeo Gaspro</t>
  </si>
  <si>
    <t>Pitfield</t>
  </si>
  <si>
    <t>Pitman</t>
  </si>
  <si>
    <t xml:space="preserve"> Herbert John</t>
  </si>
  <si>
    <t>Platt</t>
  </si>
  <si>
    <t xml:space="preserve"> Wilfred George</t>
  </si>
  <si>
    <t>Podesta</t>
  </si>
  <si>
    <t xml:space="preserve"> Alfred John Alexander</t>
  </si>
  <si>
    <t>Poggi</t>
  </si>
  <si>
    <t xml:space="preserve"> Emilio</t>
  </si>
  <si>
    <t>Poingdestre</t>
  </si>
  <si>
    <t>Pond</t>
  </si>
  <si>
    <t>Pook</t>
  </si>
  <si>
    <t xml:space="preserve"> Percy Robert</t>
  </si>
  <si>
    <t>Porteus</t>
  </si>
  <si>
    <t>Port</t>
  </si>
  <si>
    <t>Prangnell</t>
  </si>
  <si>
    <t>Prentice</t>
  </si>
  <si>
    <t xml:space="preserve"> Frank Winnold</t>
  </si>
  <si>
    <t>Preston</t>
  </si>
  <si>
    <t xml:space="preserve"> Thomas Charles Alfred</t>
  </si>
  <si>
    <t>Price</t>
  </si>
  <si>
    <t xml:space="preserve"> Ernest Cyril</t>
  </si>
  <si>
    <t>Prichard</t>
  </si>
  <si>
    <t xml:space="preserve"> Alice Maud</t>
  </si>
  <si>
    <t>Prideaux</t>
  </si>
  <si>
    <t xml:space="preserve"> John Arthur (Jack)</t>
  </si>
  <si>
    <t>Priest</t>
  </si>
  <si>
    <t>Prior</t>
  </si>
  <si>
    <t xml:space="preserve"> Harold John Arnold</t>
  </si>
  <si>
    <t>Proctor</t>
  </si>
  <si>
    <t>Proudfoot</t>
  </si>
  <si>
    <t xml:space="preserve"> Richard Royston</t>
  </si>
  <si>
    <t>Pryce</t>
  </si>
  <si>
    <t>Pugh</t>
  </si>
  <si>
    <t>Pusey</t>
  </si>
  <si>
    <t xml:space="preserve"> William Robert Holland</t>
  </si>
  <si>
    <t>Puzey</t>
  </si>
  <si>
    <t>Randall</t>
  </si>
  <si>
    <t xml:space="preserve"> Frank Henry</t>
  </si>
  <si>
    <t>Ranger</t>
  </si>
  <si>
    <t>Ransom</t>
  </si>
  <si>
    <t xml:space="preserve"> James Augustus</t>
  </si>
  <si>
    <t>Rattenbury</t>
  </si>
  <si>
    <t>Ratti</t>
  </si>
  <si>
    <t xml:space="preserve"> Enrico</t>
  </si>
  <si>
    <t>Ray</t>
  </si>
  <si>
    <t xml:space="preserve"> Frederick Dent</t>
  </si>
  <si>
    <t>Read</t>
  </si>
  <si>
    <t>Reid</t>
  </si>
  <si>
    <t xml:space="preserve"> Robert Thomas</t>
  </si>
  <si>
    <t>Revell</t>
  </si>
  <si>
    <t xml:space="preserve"> William James Francis</t>
  </si>
  <si>
    <t>Ricaldone</t>
  </si>
  <si>
    <t xml:space="preserve"> Rinaldo Renato</t>
  </si>
  <si>
    <t>Rickman</t>
  </si>
  <si>
    <t xml:space="preserve"> George Albert</t>
  </si>
  <si>
    <t>Ricks</t>
  </si>
  <si>
    <t xml:space="preserve"> Cyril Gordon</t>
  </si>
  <si>
    <t>Ridout</t>
  </si>
  <si>
    <t xml:space="preserve"> Walter George</t>
  </si>
  <si>
    <t>Rigozzi</t>
  </si>
  <si>
    <t xml:space="preserve"> Abele</t>
  </si>
  <si>
    <t>Rimmer</t>
  </si>
  <si>
    <t xml:space="preserve"> Gilbert</t>
  </si>
  <si>
    <t>Roberton</t>
  </si>
  <si>
    <t>Roberts</t>
  </si>
  <si>
    <t>Robinson</t>
  </si>
  <si>
    <t>Rotta</t>
  </si>
  <si>
    <t xml:space="preserve"> Angelo Mario</t>
  </si>
  <si>
    <t>Rous</t>
  </si>
  <si>
    <t>Rousseau</t>
  </si>
  <si>
    <t>Rudd</t>
  </si>
  <si>
    <t>Rule</t>
  </si>
  <si>
    <t xml:space="preserve"> Samuel James</t>
  </si>
  <si>
    <t>Russell</t>
  </si>
  <si>
    <t xml:space="preserve"> Boysie Richard</t>
  </si>
  <si>
    <t>Rutter</t>
  </si>
  <si>
    <t xml:space="preserve"> Sidney Frank</t>
  </si>
  <si>
    <t>Saccaggi</t>
  </si>
  <si>
    <t xml:space="preserve"> Giovanni Giuseppe Emilio</t>
  </si>
  <si>
    <t>Salussolia</t>
  </si>
  <si>
    <t>Samuel</t>
  </si>
  <si>
    <t xml:space="preserve"> Owen Wilmore</t>
  </si>
  <si>
    <t>Sangster</t>
  </si>
  <si>
    <t>Sartori</t>
  </si>
  <si>
    <t>Saunders</t>
  </si>
  <si>
    <t>Savage</t>
  </si>
  <si>
    <t>Scarrott</t>
  </si>
  <si>
    <t xml:space="preserve"> Joseph George</t>
  </si>
  <si>
    <t>Scavino</t>
  </si>
  <si>
    <t xml:space="preserve"> Candido</t>
  </si>
  <si>
    <t>Scott</t>
  </si>
  <si>
    <t>Scovell</t>
  </si>
  <si>
    <t>Sedunary</t>
  </si>
  <si>
    <t xml:space="preserve"> Samuel Francis</t>
  </si>
  <si>
    <t>Self</t>
  </si>
  <si>
    <t xml:space="preserve"> Albert Charles Edward</t>
  </si>
  <si>
    <t xml:space="preserve"> Alfred Henry</t>
  </si>
  <si>
    <t>Senior</t>
  </si>
  <si>
    <t>Sesia</t>
  </si>
  <si>
    <t xml:space="preserve"> Giacomo</t>
  </si>
  <si>
    <t>Shaw</t>
  </si>
  <si>
    <t>Shea</t>
  </si>
  <si>
    <t>Sheath</t>
  </si>
  <si>
    <t>Shepherd</t>
  </si>
  <si>
    <t xml:space="preserve"> Jonathan</t>
  </si>
  <si>
    <t>Shiers</t>
  </si>
  <si>
    <t>Shillabeer</t>
  </si>
  <si>
    <t>Siebert</t>
  </si>
  <si>
    <t xml:space="preserve"> Sidney Conrad</t>
  </si>
  <si>
    <t>Simpson</t>
  </si>
  <si>
    <t>Sivier</t>
  </si>
  <si>
    <t>Skeates</t>
  </si>
  <si>
    <t>Skinner</t>
  </si>
  <si>
    <t>Slight</t>
  </si>
  <si>
    <t>Sloan</t>
  </si>
  <si>
    <t>Slocombe</t>
  </si>
  <si>
    <t xml:space="preserve"> Maude Louise</t>
  </si>
  <si>
    <t>Small</t>
  </si>
  <si>
    <t>Smillie</t>
  </si>
  <si>
    <t>Smither</t>
  </si>
  <si>
    <t xml:space="preserve"> Harry James</t>
  </si>
  <si>
    <t>Snape</t>
  </si>
  <si>
    <t xml:space="preserve"> Lucy Violet</t>
  </si>
  <si>
    <t>Snellgrove</t>
  </si>
  <si>
    <t>Snooks</t>
  </si>
  <si>
    <t>Snow</t>
  </si>
  <si>
    <t xml:space="preserve"> Eustace Philip</t>
  </si>
  <si>
    <t>Sparkman</t>
  </si>
  <si>
    <t>Stagg</t>
  </si>
  <si>
    <t>Stanbrook</t>
  </si>
  <si>
    <t xml:space="preserve"> Augustus George</t>
  </si>
  <si>
    <t>Stap</t>
  </si>
  <si>
    <t xml:space="preserve"> Sarah Agnes</t>
  </si>
  <si>
    <t>Stebbings</t>
  </si>
  <si>
    <t xml:space="preserve"> Sydney Frederick</t>
  </si>
  <si>
    <t>Steel</t>
  </si>
  <si>
    <t xml:space="preserve"> Robert Edward</t>
  </si>
  <si>
    <t>Stocker</t>
  </si>
  <si>
    <t xml:space="preserve"> Henry Dorey</t>
  </si>
  <si>
    <t>Street</t>
  </si>
  <si>
    <t xml:space="preserve"> Thomas Albert</t>
  </si>
  <si>
    <t>Stroud</t>
  </si>
  <si>
    <t xml:space="preserve"> Edward Alfred Orlando</t>
  </si>
  <si>
    <t>Strugnell</t>
  </si>
  <si>
    <t xml:space="preserve"> John Herbert</t>
  </si>
  <si>
    <t>Stubbings</t>
  </si>
  <si>
    <t xml:space="preserve"> Harry Robert</t>
  </si>
  <si>
    <t>Stubbs</t>
  </si>
  <si>
    <t xml:space="preserve"> James Henry</t>
  </si>
  <si>
    <t>Sullivan</t>
  </si>
  <si>
    <t>Swan</t>
  </si>
  <si>
    <t>Symonds</t>
  </si>
  <si>
    <t xml:space="preserve"> John Crane</t>
  </si>
  <si>
    <t>Symons</t>
  </si>
  <si>
    <t xml:space="preserve"> George Thomas Macdonald</t>
  </si>
  <si>
    <t>Talbot</t>
  </si>
  <si>
    <t xml:space="preserve"> George Frederick Charles</t>
  </si>
  <si>
    <t>Tamlyn</t>
  </si>
  <si>
    <t>Terrell</t>
  </si>
  <si>
    <t xml:space="preserve"> Bertram</t>
  </si>
  <si>
    <t>Testoni</t>
  </si>
  <si>
    <t xml:space="preserve"> Ercole</t>
  </si>
  <si>
    <t>Teuton</t>
  </si>
  <si>
    <t xml:space="preserve"> Thomas Moore</t>
  </si>
  <si>
    <t>Thaler</t>
  </si>
  <si>
    <t xml:space="preserve"> Montague Donald</t>
  </si>
  <si>
    <t>Theissinger</t>
  </si>
  <si>
    <t>Thomas</t>
  </si>
  <si>
    <t xml:space="preserve"> Albert Charles</t>
  </si>
  <si>
    <t>Thorley</t>
  </si>
  <si>
    <t>Thorn</t>
  </si>
  <si>
    <t>Threlfall</t>
  </si>
  <si>
    <t>Thresher</t>
  </si>
  <si>
    <t xml:space="preserve"> George Terrill</t>
  </si>
  <si>
    <t>Tietz</t>
  </si>
  <si>
    <t xml:space="preserve"> Carlo/Karl</t>
  </si>
  <si>
    <t>Tizard</t>
  </si>
  <si>
    <t xml:space="preserve"> Arthur Leopold</t>
  </si>
  <si>
    <t>Toms</t>
  </si>
  <si>
    <t>Topp</t>
  </si>
  <si>
    <t>Toshack</t>
  </si>
  <si>
    <t xml:space="preserve"> James Adamson</t>
  </si>
  <si>
    <t>Tozer</t>
  </si>
  <si>
    <t>Triggs</t>
  </si>
  <si>
    <t xml:space="preserve"> Reuben Robert</t>
  </si>
  <si>
    <t>Turley</t>
  </si>
  <si>
    <t>Turner</t>
  </si>
  <si>
    <t>Turvey</t>
  </si>
  <si>
    <t>Urbini</t>
  </si>
  <si>
    <t xml:space="preserve"> Roberto</t>
  </si>
  <si>
    <t>Valvassori</t>
  </si>
  <si>
    <t xml:space="preserve"> Ettore Luigi</t>
  </si>
  <si>
    <t>van der Brugge</t>
  </si>
  <si>
    <t xml:space="preserve"> Wessel Adrianus</t>
  </si>
  <si>
    <t>Vear</t>
  </si>
  <si>
    <t>Vicat</t>
  </si>
  <si>
    <t xml:space="preserve"> Alphonse Jean Eugene</t>
  </si>
  <si>
    <t>Vigott</t>
  </si>
  <si>
    <t xml:space="preserve"> Philip Francis</t>
  </si>
  <si>
    <t>Villvarlange</t>
  </si>
  <si>
    <t xml:space="preserve"> Pierre LÃ©on Gabriel</t>
  </si>
  <si>
    <t>Vine</t>
  </si>
  <si>
    <t xml:space="preserve"> Herbert Thomas Gordon</t>
  </si>
  <si>
    <t>Vioni</t>
  </si>
  <si>
    <t>Voegelin-Dubach</t>
  </si>
  <si>
    <t xml:space="preserve"> Johannes</t>
  </si>
  <si>
    <t>Wake</t>
  </si>
  <si>
    <t>Wallis</t>
  </si>
  <si>
    <t xml:space="preserve"> Catherine Jane</t>
  </si>
  <si>
    <t>Walpole</t>
  </si>
  <si>
    <t>Walsh</t>
  </si>
  <si>
    <t>Wardner</t>
  </si>
  <si>
    <t xml:space="preserve"> Fred Albert</t>
  </si>
  <si>
    <t>Wareham</t>
  </si>
  <si>
    <t xml:space="preserve"> Robert Arthur</t>
  </si>
  <si>
    <t>Warwick</t>
  </si>
  <si>
    <t>Wateridge</t>
  </si>
  <si>
    <t xml:space="preserve"> Edward Lewis</t>
  </si>
  <si>
    <t>Weatherston</t>
  </si>
  <si>
    <t xml:space="preserve"> Thomas Herbert</t>
  </si>
  <si>
    <t>Webb</t>
  </si>
  <si>
    <t xml:space="preserve"> Brook Holding</t>
  </si>
  <si>
    <t>Weikman</t>
  </si>
  <si>
    <t>Welch</t>
  </si>
  <si>
    <t xml:space="preserve"> William Harold</t>
  </si>
  <si>
    <t>Weller</t>
  </si>
  <si>
    <t xml:space="preserve"> William Clifford</t>
  </si>
  <si>
    <t>Wheat</t>
  </si>
  <si>
    <t xml:space="preserve"> Joseph Thomas</t>
  </si>
  <si>
    <t>Wheelton</t>
  </si>
  <si>
    <t xml:space="preserve"> Edneser Edward</t>
  </si>
  <si>
    <t>Whiteley</t>
  </si>
  <si>
    <t xml:space="preserve"> Thomas Arthur</t>
  </si>
  <si>
    <t>Whitford</t>
  </si>
  <si>
    <t>Widgery</t>
  </si>
  <si>
    <t xml:space="preserve"> Isaac George</t>
  </si>
  <si>
    <t>Wilde</t>
  </si>
  <si>
    <t xml:space="preserve"> Henry Tingle</t>
  </si>
  <si>
    <t>Williamson</t>
  </si>
  <si>
    <t xml:space="preserve"> James Bertram</t>
  </si>
  <si>
    <t>Willis</t>
  </si>
  <si>
    <t>Willsher</t>
  </si>
  <si>
    <t xml:space="preserve"> William Aubrey</t>
  </si>
  <si>
    <t>Wilton</t>
  </si>
  <si>
    <t>Windebank</t>
  </si>
  <si>
    <t xml:space="preserve"> Alfred Edgar</t>
  </si>
  <si>
    <t>Winser</t>
  </si>
  <si>
    <t xml:space="preserve"> Rowland</t>
  </si>
  <si>
    <t>Witcher</t>
  </si>
  <si>
    <t>Witter</t>
  </si>
  <si>
    <t xml:space="preserve"> James William Cheetham</t>
  </si>
  <si>
    <t>Wittman</t>
  </si>
  <si>
    <t>Witt</t>
  </si>
  <si>
    <t xml:space="preserve"> Henry Dennis</t>
  </si>
  <si>
    <t>Witts</t>
  </si>
  <si>
    <t xml:space="preserve"> William Francis</t>
  </si>
  <si>
    <t>Woodford</t>
  </si>
  <si>
    <t xml:space="preserve"> Frederick Ernest</t>
  </si>
  <si>
    <t>Wood</t>
  </si>
  <si>
    <t>Woody</t>
  </si>
  <si>
    <t xml:space="preserve"> Oscar Scott</t>
  </si>
  <si>
    <t>Wormald</t>
  </si>
  <si>
    <t xml:space="preserve"> Henry Frederick Charles</t>
  </si>
  <si>
    <t>Worthman</t>
  </si>
  <si>
    <t>Wrapson</t>
  </si>
  <si>
    <t xml:space="preserve"> Frederick Bernard</t>
  </si>
  <si>
    <t>Wyeth</t>
  </si>
  <si>
    <t>Wynn</t>
  </si>
  <si>
    <t>Yearsley</t>
  </si>
  <si>
    <t>Zanetti</t>
  </si>
  <si>
    <t xml:space="preserve"> Minio</t>
  </si>
  <si>
    <t>Zarracchi</t>
  </si>
  <si>
    <t xml:space="preserve"> L</t>
  </si>
  <si>
    <t>First Name</t>
  </si>
  <si>
    <t>Prefix</t>
  </si>
  <si>
    <t>Last Name</t>
  </si>
  <si>
    <t>Gender</t>
  </si>
  <si>
    <t>Aage Group</t>
  </si>
  <si>
    <t>Embark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</si>
</sst>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CC8E-AE05-47A5-B748-6BE9FDE19845}">
  <dimension ref="A1:Q1519"/>
  <sheetViews>
    <sheetView tabSelected="1" zoomScale="80" zoomScaleNormal="80" workbookViewId="0">
      <pane ySplit="1" topLeftCell="A2" activePane="bottomLeft" state="frozen"/>
      <selection pane="bottomLeft" activeCell="P6" sqref="P1:P6"/>
    </sheetView>
  </sheetViews>
  <sheetFormatPr defaultRowHeight="14.4" x14ac:dyDescent="0.3"/>
  <cols>
    <col min="1" max="1" width="22.77734375" customWidth="1"/>
    <col min="2" max="2" width="25.44140625" customWidth="1"/>
    <col min="3" max="3" width="31.6640625" customWidth="1"/>
    <col min="4" max="4" width="9.88671875" customWidth="1"/>
    <col min="5" max="5" width="11.44140625" customWidth="1"/>
    <col min="6" max="6" width="9.33203125" style="2" customWidth="1"/>
    <col min="7" max="7" width="20.5546875" style="2" customWidth="1"/>
    <col min="8" max="8" width="9.5546875" customWidth="1"/>
    <col min="9" max="9" width="14.88671875" customWidth="1"/>
    <col min="10" max="10" width="21" customWidth="1"/>
    <col min="11" max="11" width="16.77734375" customWidth="1"/>
    <col min="12" max="12" width="12" style="2" customWidth="1"/>
    <col min="15" max="15" width="12.109375" customWidth="1"/>
  </cols>
  <sheetData>
    <row r="1" spans="1:17" x14ac:dyDescent="0.3">
      <c r="A1" s="1" t="s">
        <v>2735</v>
      </c>
      <c r="B1" t="s">
        <v>2736</v>
      </c>
      <c r="C1" t="s">
        <v>2737</v>
      </c>
      <c r="D1" t="s">
        <v>2738</v>
      </c>
      <c r="E1" t="s">
        <v>0</v>
      </c>
      <c r="F1" s="2" t="s">
        <v>1</v>
      </c>
      <c r="G1" s="2" t="s">
        <v>2739</v>
      </c>
      <c r="H1" t="s">
        <v>2</v>
      </c>
      <c r="I1" t="s">
        <v>3</v>
      </c>
      <c r="J1" t="s">
        <v>2740</v>
      </c>
      <c r="K1" t="s">
        <v>4</v>
      </c>
      <c r="L1" s="2" t="s">
        <v>5</v>
      </c>
      <c r="M1" t="s">
        <v>6</v>
      </c>
      <c r="N1" t="s">
        <v>7</v>
      </c>
      <c r="O1" t="s">
        <v>8</v>
      </c>
    </row>
    <row r="2" spans="1:17" x14ac:dyDescent="0.3">
      <c r="A2" s="1" t="s">
        <v>71</v>
      </c>
      <c r="B2" t="s">
        <v>72</v>
      </c>
      <c r="C2" t="s">
        <v>73</v>
      </c>
      <c r="D2" t="str">
        <f t="shared" ref="D2:D65" si="0">PROPER(E2)</f>
        <v>Male</v>
      </c>
      <c r="E2" t="s">
        <v>9</v>
      </c>
      <c r="F2" s="2">
        <v>42</v>
      </c>
      <c r="G2" s="2" t="str" cm="1">
        <f t="array" ref="G2">_xlfn.IFS(F2&lt;=8,"Child",F2&lt;=17,"Teen",F2&lt;=35,"Adult",F2&lt;=55,"Seniour Adult",F2&gt;=55,"Old Age")</f>
        <v>Seniour Adult</v>
      </c>
      <c r="H2" t="s">
        <v>10</v>
      </c>
      <c r="I2" t="s">
        <v>11</v>
      </c>
      <c r="J2" t="str" cm="1">
        <f t="array" ref="J2">_xlfn.IFS(I2="S","Sauthamptonm",I2="Q","Queentown",I2="C","Cherburg",I2="B","Cabin")</f>
        <v>Sauthamptonm</v>
      </c>
      <c r="K2" t="s">
        <v>12</v>
      </c>
      <c r="L2" s="2">
        <v>7.11</v>
      </c>
      <c r="M2">
        <v>0</v>
      </c>
      <c r="N2">
        <v>0</v>
      </c>
      <c r="O2" t="s">
        <v>13</v>
      </c>
    </row>
    <row r="3" spans="1:17" x14ac:dyDescent="0.3">
      <c r="A3" s="1" t="s">
        <v>74</v>
      </c>
      <c r="B3" t="s">
        <v>72</v>
      </c>
      <c r="C3" t="s">
        <v>75</v>
      </c>
      <c r="D3" t="str">
        <f t="shared" si="0"/>
        <v>Male</v>
      </c>
      <c r="E3" t="s">
        <v>9</v>
      </c>
      <c r="F3" s="2">
        <v>13</v>
      </c>
      <c r="G3" s="2" t="str" cm="1">
        <f t="array" ref="G3">_xlfn.IFS(F3&lt;=8,"Child",F3&lt;=17,"Teen",F3&lt;=35,"Adult",F3&lt;=55,"Seniour Adult",F3&gt;=55,"Old Age")</f>
        <v>Teen</v>
      </c>
      <c r="H3" t="s">
        <v>10</v>
      </c>
      <c r="I3" t="s">
        <v>11</v>
      </c>
      <c r="J3" t="str" cm="1">
        <f t="array" ref="J3">_xlfn.IFS(I3="S","Sauthamptonm",I3="Q","Queentown",I3="C","Cherburg",I3="B","Cabin")</f>
        <v>Sauthamptonm</v>
      </c>
      <c r="K3" t="s">
        <v>12</v>
      </c>
      <c r="L3" s="2">
        <v>20.05</v>
      </c>
      <c r="M3">
        <v>0</v>
      </c>
      <c r="N3">
        <v>2</v>
      </c>
      <c r="O3" t="s">
        <v>13</v>
      </c>
    </row>
    <row r="4" spans="1:17" x14ac:dyDescent="0.3">
      <c r="A4" s="1" t="s">
        <v>77</v>
      </c>
      <c r="B4" t="s">
        <v>78</v>
      </c>
      <c r="C4" t="s">
        <v>79</v>
      </c>
      <c r="D4" t="str">
        <f t="shared" si="0"/>
        <v>Female</v>
      </c>
      <c r="E4" t="s">
        <v>14</v>
      </c>
      <c r="F4" s="2">
        <v>16</v>
      </c>
      <c r="G4" s="2" t="str" cm="1">
        <f t="array" ref="G4">_xlfn.IFS(F4&lt;=8,"Child",F4&lt;=17,"Teen",F4&lt;=35,"Adult",F4&lt;=55,"Seniour Adult",F4&gt;=55,"Old Age")</f>
        <v>Teen</v>
      </c>
      <c r="H4" t="s">
        <v>10</v>
      </c>
      <c r="I4" t="s">
        <v>11</v>
      </c>
      <c r="J4" t="str" cm="1">
        <f t="array" ref="J4">_xlfn.IFS(I4="S","Sauthamptonm",I4="Q","Queentown",I4="C","Cherburg",I4="B","Cabin")</f>
        <v>Sauthamptonm</v>
      </c>
      <c r="K4" t="s">
        <v>17</v>
      </c>
      <c r="L4" s="2">
        <v>7.13</v>
      </c>
      <c r="M4">
        <v>0</v>
      </c>
      <c r="N4">
        <v>0</v>
      </c>
      <c r="O4" t="s">
        <v>16</v>
      </c>
    </row>
    <row r="5" spans="1:17" x14ac:dyDescent="0.3">
      <c r="A5" s="1" t="s">
        <v>80</v>
      </c>
      <c r="B5" t="s">
        <v>72</v>
      </c>
      <c r="C5" t="s">
        <v>81</v>
      </c>
      <c r="D5" t="str">
        <f t="shared" si="0"/>
        <v>Male</v>
      </c>
      <c r="E5" t="s">
        <v>9</v>
      </c>
      <c r="F5" s="2">
        <v>30</v>
      </c>
      <c r="G5" s="2" t="str" cm="1">
        <f t="array" ref="G5">_xlfn.IFS(F5&lt;=8,"Child",F5&lt;=17,"Teen",F5&lt;=35,"Adult",F5&lt;=55,"Seniour Adult",F5&gt;=55,"Old Age")</f>
        <v>Adult</v>
      </c>
      <c r="H5" t="s">
        <v>18</v>
      </c>
      <c r="I5" t="s">
        <v>19</v>
      </c>
      <c r="J5" t="str" cm="1">
        <f t="array" ref="J5">_xlfn.IFS(I5="S","Sauthamptonm",I5="Q","Queentown",I5="C","Cherburg",I5="B","Cabin")</f>
        <v>Cherburg</v>
      </c>
      <c r="K5" t="s">
        <v>20</v>
      </c>
      <c r="L5" s="2">
        <v>24</v>
      </c>
      <c r="M5">
        <v>1</v>
      </c>
      <c r="N5">
        <v>0</v>
      </c>
      <c r="O5" t="s">
        <v>13</v>
      </c>
    </row>
    <row r="6" spans="1:17" x14ac:dyDescent="0.3">
      <c r="A6" s="1" t="s">
        <v>83</v>
      </c>
      <c r="B6" t="s">
        <v>72</v>
      </c>
      <c r="C6" t="s">
        <v>84</v>
      </c>
      <c r="D6" t="str">
        <f t="shared" si="0"/>
        <v>Male</v>
      </c>
      <c r="E6" t="s">
        <v>9</v>
      </c>
      <c r="F6" s="2">
        <v>27</v>
      </c>
      <c r="G6" s="2" t="str" cm="1">
        <f t="array" ref="G6">_xlfn.IFS(F6&lt;=8,"Child",F6&lt;=17,"Teen",F6&lt;=35,"Adult",F6&lt;=55,"Seniour Adult",F6&gt;=55,"Old Age")</f>
        <v>Adult</v>
      </c>
      <c r="H6" t="s">
        <v>10</v>
      </c>
      <c r="I6" t="s">
        <v>19</v>
      </c>
      <c r="J6" t="str" cm="1">
        <f t="array" ref="J6">_xlfn.IFS(I6="S","Sauthamptonm",I6="Q","Queentown",I6="C","Cherburg",I6="B","Cabin")</f>
        <v>Cherburg</v>
      </c>
      <c r="K6" t="s">
        <v>21</v>
      </c>
      <c r="L6" s="2">
        <v>18.1509</v>
      </c>
      <c r="M6">
        <v>0</v>
      </c>
      <c r="N6">
        <v>0</v>
      </c>
      <c r="O6" t="s">
        <v>16</v>
      </c>
    </row>
    <row r="7" spans="1:17" x14ac:dyDescent="0.3">
      <c r="A7" s="1" t="s">
        <v>85</v>
      </c>
      <c r="B7" t="s">
        <v>72</v>
      </c>
      <c r="C7" t="s">
        <v>86</v>
      </c>
      <c r="D7" t="str">
        <f t="shared" si="0"/>
        <v>Male</v>
      </c>
      <c r="E7" t="s">
        <v>9</v>
      </c>
      <c r="F7" s="2">
        <v>20</v>
      </c>
      <c r="G7" s="2" t="str" cm="1">
        <f t="array" ref="G7">_xlfn.IFS(F7&lt;=8,"Child",F7&lt;=17,"Teen",F7&lt;=35,"Adult",F7&lt;=55,"Seniour Adult",F7&gt;=55,"Old Age")</f>
        <v>Adult</v>
      </c>
      <c r="H7" t="s">
        <v>10</v>
      </c>
      <c r="I7" t="s">
        <v>11</v>
      </c>
      <c r="J7" t="str" cm="1">
        <f t="array" ref="J7">_xlfn.IFS(I7="S","Sauthamptonm",I7="Q","Queentown",I7="C","Cherburg",I7="B","Cabin")</f>
        <v>Sauthamptonm</v>
      </c>
      <c r="K7" t="s">
        <v>22</v>
      </c>
      <c r="L7" s="2">
        <v>7.1806000000000001</v>
      </c>
      <c r="M7">
        <v>0</v>
      </c>
      <c r="N7">
        <v>0</v>
      </c>
      <c r="O7" t="s">
        <v>16</v>
      </c>
      <c r="Q7" s="2">
        <f>AVERAGE(L:L)</f>
        <v>28.770457707509831</v>
      </c>
    </row>
    <row r="8" spans="1:17" x14ac:dyDescent="0.3">
      <c r="A8" s="1" t="s">
        <v>87</v>
      </c>
      <c r="B8" t="s">
        <v>72</v>
      </c>
      <c r="C8" t="s">
        <v>88</v>
      </c>
      <c r="D8" t="str">
        <f t="shared" si="0"/>
        <v>Male</v>
      </c>
      <c r="E8" t="s">
        <v>9</v>
      </c>
      <c r="F8" s="2">
        <v>30</v>
      </c>
      <c r="G8" s="2" t="str" cm="1">
        <f t="array" ref="G8">_xlfn.IFS(F8&lt;=8,"Child",F8&lt;=17,"Teen",F8&lt;=35,"Adult",F8&lt;=55,"Seniour Adult",F8&gt;=55,"Old Age")</f>
        <v>Adult</v>
      </c>
      <c r="H8" t="s">
        <v>10</v>
      </c>
      <c r="I8" t="s">
        <v>11</v>
      </c>
      <c r="J8" t="str" cm="1">
        <f t="array" ref="J8">_xlfn.IFS(I8="S","Sauthamptonm",I8="Q","Queentown",I8="C","Cherburg",I8="B","Cabin")</f>
        <v>Sauthamptonm</v>
      </c>
      <c r="K8" t="s">
        <v>23</v>
      </c>
      <c r="L8" s="2">
        <v>7.05</v>
      </c>
      <c r="M8">
        <v>0</v>
      </c>
      <c r="N8">
        <v>0</v>
      </c>
      <c r="O8" t="s">
        <v>13</v>
      </c>
    </row>
    <row r="9" spans="1:17" x14ac:dyDescent="0.3">
      <c r="A9" s="1" t="s">
        <v>89</v>
      </c>
      <c r="B9" t="s">
        <v>72</v>
      </c>
      <c r="C9" t="s">
        <v>90</v>
      </c>
      <c r="D9" t="str">
        <f t="shared" si="0"/>
        <v>Male</v>
      </c>
      <c r="E9" t="s">
        <v>9</v>
      </c>
      <c r="F9" s="2">
        <v>27</v>
      </c>
      <c r="G9" s="2" t="str" cm="1">
        <f t="array" ref="G9">_xlfn.IFS(F9&lt;=8,"Child",F9&lt;=17,"Teen",F9&lt;=35,"Adult",F9&lt;=55,"Seniour Adult",F9&gt;=55,"Old Age")</f>
        <v>Adult</v>
      </c>
      <c r="H9" t="s">
        <v>10</v>
      </c>
      <c r="I9" t="s">
        <v>11</v>
      </c>
      <c r="J9" t="str" cm="1">
        <f t="array" ref="J9">_xlfn.IFS(I9="S","Sauthamptonm",I9="Q","Queentown",I9="C","Cherburg",I9="B","Cabin")</f>
        <v>Sauthamptonm</v>
      </c>
      <c r="K9" t="s">
        <v>15</v>
      </c>
      <c r="L9" s="2">
        <v>8.01</v>
      </c>
      <c r="M9">
        <v>0</v>
      </c>
      <c r="N9">
        <v>0</v>
      </c>
      <c r="O9" t="s">
        <v>13</v>
      </c>
    </row>
    <row r="10" spans="1:17" x14ac:dyDescent="0.3">
      <c r="A10" s="1" t="s">
        <v>91</v>
      </c>
      <c r="B10" t="s">
        <v>76</v>
      </c>
      <c r="C10" t="s">
        <v>92</v>
      </c>
      <c r="D10" t="str">
        <f t="shared" si="0"/>
        <v>Female</v>
      </c>
      <c r="E10" t="s">
        <v>14</v>
      </c>
      <c r="F10" s="2">
        <v>40</v>
      </c>
      <c r="G10" s="2" t="str" cm="1">
        <f t="array" ref="G10">_xlfn.IFS(F10&lt;=8,"Child",F10&lt;=17,"Teen",F10&lt;=35,"Adult",F10&lt;=55,"Seniour Adult",F10&gt;=55,"Old Age")</f>
        <v>Seniour Adult</v>
      </c>
      <c r="H10" t="s">
        <v>10</v>
      </c>
      <c r="I10" t="s">
        <v>11</v>
      </c>
      <c r="J10" t="str" cm="1">
        <f t="array" ref="J10">_xlfn.IFS(I10="S","Sauthamptonm",I10="Q","Queentown",I10="C","Cherburg",I10="B","Cabin")</f>
        <v>Sauthamptonm</v>
      </c>
      <c r="K10" t="s">
        <v>23</v>
      </c>
      <c r="L10" s="2">
        <v>9.0906000000000002</v>
      </c>
      <c r="M10">
        <v>1</v>
      </c>
      <c r="N10">
        <v>0</v>
      </c>
      <c r="O10" t="s">
        <v>13</v>
      </c>
    </row>
    <row r="11" spans="1:17" x14ac:dyDescent="0.3">
      <c r="A11" s="1" t="s">
        <v>93</v>
      </c>
      <c r="B11" t="s">
        <v>94</v>
      </c>
      <c r="C11" t="s">
        <v>95</v>
      </c>
      <c r="D11" t="str">
        <f t="shared" si="0"/>
        <v>Male</v>
      </c>
      <c r="E11" t="s">
        <v>9</v>
      </c>
      <c r="F11" s="2">
        <v>0.83333333330000003</v>
      </c>
      <c r="G11" s="2" t="str" cm="1">
        <f t="array" ref="G11">_xlfn.IFS(F11&lt;=8,"Child",F11&lt;=17,"Teen",F11&lt;=35,"Adult",F11&lt;=55,"Seniour Adult",F11&gt;=55,"Old Age")</f>
        <v>Child</v>
      </c>
      <c r="H11" t="s">
        <v>10</v>
      </c>
      <c r="I11" t="s">
        <v>11</v>
      </c>
      <c r="J11" t="str" cm="1">
        <f t="array" ref="J11">_xlfn.IFS(I11="S","Sauthamptonm",I11="Q","Queentown",I11="C","Cherburg",I11="B","Cabin")</f>
        <v>Sauthamptonm</v>
      </c>
      <c r="K11" t="s">
        <v>15</v>
      </c>
      <c r="L11" s="2">
        <v>9.07</v>
      </c>
      <c r="M11">
        <v>0</v>
      </c>
      <c r="N11">
        <v>1</v>
      </c>
      <c r="O11" t="s">
        <v>16</v>
      </c>
      <c r="Q11" s="2">
        <f>AVERAGE(F:F)</f>
        <v>30.456082564778129</v>
      </c>
    </row>
    <row r="12" spans="1:17" x14ac:dyDescent="0.3">
      <c r="A12" s="1" t="s">
        <v>96</v>
      </c>
      <c r="B12" t="s">
        <v>72</v>
      </c>
      <c r="C12" t="s">
        <v>97</v>
      </c>
      <c r="D12" t="str">
        <f t="shared" si="0"/>
        <v>Male</v>
      </c>
      <c r="E12" t="s">
        <v>9</v>
      </c>
      <c r="F12" s="2">
        <v>35</v>
      </c>
      <c r="G12" s="2" t="str" cm="1">
        <f t="array" ref="G12">_xlfn.IFS(F12&lt;=8,"Child",F12&lt;=17,"Teen",F12&lt;=35,"Adult",F12&lt;=55,"Seniour Adult",F12&gt;=55,"Old Age")</f>
        <v>Adult</v>
      </c>
      <c r="H12" t="s">
        <v>18</v>
      </c>
      <c r="I12" t="s">
        <v>11</v>
      </c>
      <c r="J12" t="str" cm="1">
        <f t="array" ref="J12">_xlfn.IFS(I12="S","Sauthamptonm",I12="Q","Queentown",I12="C","Cherburg",I12="B","Cabin")</f>
        <v>Sauthamptonm</v>
      </c>
      <c r="K12" t="s">
        <v>15</v>
      </c>
      <c r="L12" s="2">
        <v>13</v>
      </c>
      <c r="M12">
        <v>0</v>
      </c>
      <c r="N12">
        <v>0</v>
      </c>
      <c r="O12" t="s">
        <v>13</v>
      </c>
    </row>
    <row r="13" spans="1:17" x14ac:dyDescent="0.3">
      <c r="A13" s="1" t="s">
        <v>98</v>
      </c>
      <c r="B13" t="s">
        <v>72</v>
      </c>
      <c r="C13" t="s">
        <v>99</v>
      </c>
      <c r="D13" t="str">
        <f t="shared" si="0"/>
        <v>Male</v>
      </c>
      <c r="E13" t="s">
        <v>9</v>
      </c>
      <c r="F13" s="2">
        <v>25</v>
      </c>
      <c r="G13" s="2" t="str" cm="1">
        <f t="array" ref="G13">_xlfn.IFS(F13&lt;=8,"Child",F13&lt;=17,"Teen",F13&lt;=35,"Adult",F13&lt;=55,"Seniour Adult",F13&gt;=55,"Old Age")</f>
        <v>Adult</v>
      </c>
      <c r="H13" t="s">
        <v>10</v>
      </c>
      <c r="I13" t="s">
        <v>11</v>
      </c>
      <c r="J13" t="str" cm="1">
        <f t="array" ref="J13">_xlfn.IFS(I13="S","Sauthamptonm",I13="Q","Queentown",I13="C","Cherburg",I13="B","Cabin")</f>
        <v>Sauthamptonm</v>
      </c>
      <c r="K13" t="s">
        <v>15</v>
      </c>
      <c r="L13" s="2">
        <v>7.1708999999999996</v>
      </c>
      <c r="M13">
        <v>0</v>
      </c>
      <c r="N13">
        <v>0</v>
      </c>
      <c r="O13" t="s">
        <v>13</v>
      </c>
    </row>
    <row r="14" spans="1:17" x14ac:dyDescent="0.3">
      <c r="A14" s="1" t="s">
        <v>100</v>
      </c>
      <c r="B14" t="s">
        <v>72</v>
      </c>
      <c r="C14" t="s">
        <v>101</v>
      </c>
      <c r="D14" t="str">
        <f t="shared" si="0"/>
        <v>Male</v>
      </c>
      <c r="E14" t="s">
        <v>9</v>
      </c>
      <c r="F14" s="2">
        <v>19</v>
      </c>
      <c r="G14" s="2" t="str" cm="1">
        <f t="array" ref="G14">_xlfn.IFS(F14&lt;=8,"Child",F14&lt;=17,"Teen",F14&lt;=35,"Adult",F14&lt;=55,"Seniour Adult",F14&gt;=55,"Old Age")</f>
        <v>Adult</v>
      </c>
      <c r="H14" t="s">
        <v>10</v>
      </c>
      <c r="I14" t="s">
        <v>11</v>
      </c>
      <c r="J14" t="str" cm="1">
        <f t="array" ref="J14">_xlfn.IFS(I14="S","Sauthamptonm",I14="Q","Queentown",I14="C","Cherburg",I14="B","Cabin")</f>
        <v>Sauthamptonm</v>
      </c>
      <c r="K14" t="s">
        <v>22</v>
      </c>
      <c r="L14" s="2">
        <v>7.1806000000000001</v>
      </c>
      <c r="M14">
        <v>0</v>
      </c>
      <c r="N14">
        <v>0</v>
      </c>
      <c r="O14" t="s">
        <v>13</v>
      </c>
    </row>
    <row r="15" spans="1:17" x14ac:dyDescent="0.3">
      <c r="A15" s="1" t="s">
        <v>102</v>
      </c>
      <c r="B15" t="s">
        <v>72</v>
      </c>
      <c r="C15" t="s">
        <v>103</v>
      </c>
      <c r="D15" t="str">
        <f t="shared" si="0"/>
        <v>Male</v>
      </c>
      <c r="E15" t="s">
        <v>9</v>
      </c>
      <c r="F15" s="2">
        <v>24</v>
      </c>
      <c r="G15" s="2" t="str" cm="1">
        <f t="array" ref="G15">_xlfn.IFS(F15&lt;=8,"Child",F15&lt;=17,"Teen",F15&lt;=35,"Adult",F15&lt;=55,"Seniour Adult",F15&gt;=55,"Old Age")</f>
        <v>Adult</v>
      </c>
      <c r="H15" t="s">
        <v>10</v>
      </c>
      <c r="I15" t="s">
        <v>11</v>
      </c>
      <c r="J15" t="str" cm="1">
        <f t="array" ref="J15">_xlfn.IFS(I15="S","Sauthamptonm",I15="Q","Queentown",I15="C","Cherburg",I15="B","Cabin")</f>
        <v>Sauthamptonm</v>
      </c>
      <c r="K15" t="s">
        <v>24</v>
      </c>
      <c r="L15" s="2">
        <v>7.01</v>
      </c>
      <c r="M15">
        <v>0</v>
      </c>
      <c r="N15">
        <v>0</v>
      </c>
      <c r="O15" t="s">
        <v>13</v>
      </c>
    </row>
    <row r="16" spans="1:17" x14ac:dyDescent="0.3">
      <c r="A16" s="1" t="s">
        <v>105</v>
      </c>
      <c r="B16" t="s">
        <v>78</v>
      </c>
      <c r="C16" t="s">
        <v>106</v>
      </c>
      <c r="D16" t="str">
        <f t="shared" si="0"/>
        <v>Female</v>
      </c>
      <c r="E16" t="s">
        <v>14</v>
      </c>
      <c r="F16" s="2">
        <v>29</v>
      </c>
      <c r="G16" s="2" t="str" cm="1">
        <f t="array" ref="G16">_xlfn.IFS(F16&lt;=8,"Child",F16&lt;=17,"Teen",F16&lt;=35,"Adult",F16&lt;=55,"Seniour Adult",F16&gt;=55,"Old Age")</f>
        <v>Adult</v>
      </c>
      <c r="H16" t="s">
        <v>25</v>
      </c>
      <c r="I16" t="s">
        <v>11</v>
      </c>
      <c r="J16" t="str" cm="1">
        <f t="array" ref="J16">_xlfn.IFS(I16="S","Sauthamptonm",I16="Q","Queentown",I16="C","Cherburg",I16="B","Cabin")</f>
        <v>Sauthamptonm</v>
      </c>
      <c r="K16" t="s">
        <v>12</v>
      </c>
      <c r="L16" s="2">
        <v>211.6009</v>
      </c>
      <c r="M16">
        <v>0</v>
      </c>
      <c r="N16">
        <v>0</v>
      </c>
      <c r="O16" t="s">
        <v>16</v>
      </c>
    </row>
    <row r="17" spans="1:15" x14ac:dyDescent="0.3">
      <c r="A17" s="1" t="s">
        <v>108</v>
      </c>
      <c r="B17" t="s">
        <v>94</v>
      </c>
      <c r="C17" t="s">
        <v>109</v>
      </c>
      <c r="D17" t="str">
        <f t="shared" si="0"/>
        <v>Male</v>
      </c>
      <c r="E17" t="s">
        <v>9</v>
      </c>
      <c r="F17" s="2">
        <v>0.91666666669999997</v>
      </c>
      <c r="G17" s="2" t="str" cm="1">
        <f t="array" ref="G17">_xlfn.IFS(F17&lt;=8,"Child",F17&lt;=17,"Teen",F17&lt;=35,"Adult",F17&lt;=55,"Seniour Adult",F17&gt;=55,"Old Age")</f>
        <v>Child</v>
      </c>
      <c r="H17" t="s">
        <v>25</v>
      </c>
      <c r="I17" t="s">
        <v>11</v>
      </c>
      <c r="J17" t="str" cm="1">
        <f t="array" ref="J17">_xlfn.IFS(I17="S","Sauthamptonm",I17="Q","Queentown",I17="C","Cherburg",I17="B","Cabin")</f>
        <v>Sauthamptonm</v>
      </c>
      <c r="K17" t="s">
        <v>26</v>
      </c>
      <c r="L17" s="2">
        <v>151.16</v>
      </c>
      <c r="M17">
        <v>1</v>
      </c>
      <c r="N17">
        <v>2</v>
      </c>
      <c r="O17" t="s">
        <v>16</v>
      </c>
    </row>
    <row r="18" spans="1:15" x14ac:dyDescent="0.3">
      <c r="A18" s="1" t="s">
        <v>110</v>
      </c>
      <c r="B18" t="s">
        <v>72</v>
      </c>
      <c r="C18" t="s">
        <v>111</v>
      </c>
      <c r="D18" t="str">
        <f t="shared" si="0"/>
        <v>Male</v>
      </c>
      <c r="E18" t="s">
        <v>9</v>
      </c>
      <c r="F18" s="2">
        <v>18</v>
      </c>
      <c r="G18" s="2" t="str" cm="1">
        <f t="array" ref="G18">_xlfn.IFS(F18&lt;=8,"Child",F18&lt;=17,"Teen",F18&lt;=35,"Adult",F18&lt;=55,"Seniour Adult",F18&gt;=55,"Old Age")</f>
        <v>Adult</v>
      </c>
      <c r="H18" t="s">
        <v>10</v>
      </c>
      <c r="I18" t="s">
        <v>11</v>
      </c>
      <c r="J18" t="str" cm="1">
        <f t="array" ref="J18">_xlfn.IFS(I18="S","Sauthamptonm",I18="Q","Queentown",I18="C","Cherburg",I18="B","Cabin")</f>
        <v>Sauthamptonm</v>
      </c>
      <c r="K18" t="s">
        <v>15</v>
      </c>
      <c r="L18" s="2">
        <v>8.06</v>
      </c>
      <c r="M18">
        <v>0</v>
      </c>
      <c r="N18">
        <v>0</v>
      </c>
      <c r="O18" t="s">
        <v>13</v>
      </c>
    </row>
    <row r="19" spans="1:15" x14ac:dyDescent="0.3">
      <c r="A19" s="1" t="s">
        <v>112</v>
      </c>
      <c r="B19" t="s">
        <v>72</v>
      </c>
      <c r="C19" t="s">
        <v>113</v>
      </c>
      <c r="D19" t="str">
        <f t="shared" si="0"/>
        <v>Male</v>
      </c>
      <c r="E19" t="s">
        <v>9</v>
      </c>
      <c r="F19" s="2">
        <v>19</v>
      </c>
      <c r="G19" s="2" t="str" cm="1">
        <f t="array" ref="G19">_xlfn.IFS(F19&lt;=8,"Child",F19&lt;=17,"Teen",F19&lt;=35,"Adult",F19&lt;=55,"Seniour Adult",F19&gt;=55,"Old Age")</f>
        <v>Adult</v>
      </c>
      <c r="H19" t="s">
        <v>10</v>
      </c>
      <c r="I19" t="s">
        <v>19</v>
      </c>
      <c r="J19" t="str" cm="1">
        <f t="array" ref="J19">_xlfn.IFS(I19="S","Sauthamptonm",I19="Q","Queentown",I19="C","Cherburg",I19="B","Cabin")</f>
        <v>Cherburg</v>
      </c>
      <c r="K19" t="s">
        <v>21</v>
      </c>
      <c r="L19" s="2">
        <v>7.0407000000000002</v>
      </c>
      <c r="M19">
        <v>0</v>
      </c>
      <c r="N19">
        <v>0</v>
      </c>
      <c r="O19" t="s">
        <v>13</v>
      </c>
    </row>
    <row r="20" spans="1:15" x14ac:dyDescent="0.3">
      <c r="A20" s="1" t="s">
        <v>114</v>
      </c>
      <c r="B20" t="s">
        <v>78</v>
      </c>
      <c r="C20" t="s">
        <v>115</v>
      </c>
      <c r="D20" t="str">
        <f t="shared" si="0"/>
        <v>Female</v>
      </c>
      <c r="E20" t="s">
        <v>14</v>
      </c>
      <c r="F20" s="2">
        <v>19</v>
      </c>
      <c r="G20" s="2" t="str" cm="1">
        <f t="array" ref="G20">_xlfn.IFS(F20&lt;=8,"Child",F20&lt;=17,"Teen",F20&lt;=35,"Adult",F20&lt;=55,"Seniour Adult",F20&gt;=55,"Old Age")</f>
        <v>Adult</v>
      </c>
      <c r="H20" t="s">
        <v>10</v>
      </c>
      <c r="I20" t="s">
        <v>11</v>
      </c>
      <c r="J20" t="str" cm="1">
        <f t="array" ref="J20">_xlfn.IFS(I20="S","Sauthamptonm",I20="Q","Queentown",I20="C","Cherburg",I20="B","Cabin")</f>
        <v>Sauthamptonm</v>
      </c>
      <c r="K20" t="s">
        <v>27</v>
      </c>
      <c r="L20" s="2">
        <v>7.1700999999999997</v>
      </c>
      <c r="M20">
        <v>1</v>
      </c>
      <c r="N20">
        <v>0</v>
      </c>
      <c r="O20" t="s">
        <v>16</v>
      </c>
    </row>
    <row r="21" spans="1:15" x14ac:dyDescent="0.3">
      <c r="A21" s="1" t="s">
        <v>116</v>
      </c>
      <c r="B21" t="s">
        <v>72</v>
      </c>
      <c r="C21" t="s">
        <v>117</v>
      </c>
      <c r="D21" t="str">
        <f t="shared" si="0"/>
        <v>Male</v>
      </c>
      <c r="E21" t="s">
        <v>9</v>
      </c>
      <c r="F21" s="2">
        <v>33</v>
      </c>
      <c r="G21" s="2" t="str" cm="1">
        <f t="array" ref="G21">_xlfn.IFS(F21&lt;=8,"Child",F21&lt;=17,"Teen",F21&lt;=35,"Adult",F21&lt;=55,"Seniour Adult",F21&gt;=55,"Old Age")</f>
        <v>Adult</v>
      </c>
      <c r="H21" t="s">
        <v>10</v>
      </c>
      <c r="I21" t="s">
        <v>11</v>
      </c>
      <c r="J21" t="str" cm="1">
        <f t="array" ref="J21">_xlfn.IFS(I21="S","Sauthamptonm",I21="Q","Queentown",I21="C","Cherburg",I21="B","Cabin")</f>
        <v>Sauthamptonm</v>
      </c>
      <c r="K21" t="s">
        <v>17</v>
      </c>
      <c r="L21" s="2">
        <v>22.1006</v>
      </c>
      <c r="M21">
        <v>0</v>
      </c>
      <c r="N21">
        <v>0</v>
      </c>
      <c r="O21" t="s">
        <v>13</v>
      </c>
    </row>
    <row r="22" spans="1:15" x14ac:dyDescent="0.3">
      <c r="A22" s="1" t="s">
        <v>118</v>
      </c>
      <c r="B22" t="s">
        <v>72</v>
      </c>
      <c r="C22" t="s">
        <v>119</v>
      </c>
      <c r="D22" t="str">
        <f t="shared" si="0"/>
        <v>Male</v>
      </c>
      <c r="E22" t="s">
        <v>9</v>
      </c>
      <c r="F22" s="2">
        <v>47</v>
      </c>
      <c r="G22" s="2" t="str" cm="1">
        <f t="array" ref="G22">_xlfn.IFS(F22&lt;=8,"Child",F22&lt;=17,"Teen",F22&lt;=35,"Adult",F22&lt;=55,"Seniour Adult",F22&gt;=55,"Old Age")</f>
        <v>Seniour Adult</v>
      </c>
      <c r="H22" t="s">
        <v>25</v>
      </c>
      <c r="I22" t="s">
        <v>11</v>
      </c>
      <c r="J22" t="str" cm="1">
        <f t="array" ref="J22">_xlfn.IFS(I22="S","Sauthamptonm",I22="Q","Queentown",I22="C","Cherburg",I22="B","Cabin")</f>
        <v>Sauthamptonm</v>
      </c>
      <c r="K22" t="s">
        <v>12</v>
      </c>
      <c r="L22" s="2">
        <v>26.11</v>
      </c>
      <c r="M22">
        <v>0</v>
      </c>
      <c r="N22">
        <v>0</v>
      </c>
      <c r="O22" t="s">
        <v>16</v>
      </c>
    </row>
    <row r="23" spans="1:15" x14ac:dyDescent="0.3">
      <c r="A23" s="1" t="s">
        <v>120</v>
      </c>
      <c r="B23" t="s">
        <v>94</v>
      </c>
      <c r="C23" t="s">
        <v>121</v>
      </c>
      <c r="D23" t="str">
        <f t="shared" si="0"/>
        <v>Male</v>
      </c>
      <c r="E23" t="s">
        <v>9</v>
      </c>
      <c r="F23" s="2">
        <v>4</v>
      </c>
      <c r="G23" s="2" t="str" cm="1">
        <f t="array" ref="G23">_xlfn.IFS(F23&lt;=8,"Child",F23&lt;=17,"Teen",F23&lt;=35,"Adult",F23&lt;=55,"Seniour Adult",F23&gt;=55,"Old Age")</f>
        <v>Child</v>
      </c>
      <c r="H23" t="s">
        <v>10</v>
      </c>
      <c r="I23" t="s">
        <v>11</v>
      </c>
      <c r="J23" t="str" cm="1">
        <f t="array" ref="J23">_xlfn.IFS(I23="S","Sauthamptonm",I23="Q","Queentown",I23="C","Cherburg",I23="B","Cabin")</f>
        <v>Sauthamptonm</v>
      </c>
      <c r="K23" t="s">
        <v>23</v>
      </c>
      <c r="L23" s="2">
        <v>31.050599999999999</v>
      </c>
      <c r="M23">
        <v>4</v>
      </c>
      <c r="N23">
        <v>2</v>
      </c>
      <c r="O23" t="s">
        <v>13</v>
      </c>
    </row>
    <row r="24" spans="1:15" x14ac:dyDescent="0.3">
      <c r="A24" s="1" t="s">
        <v>122</v>
      </c>
      <c r="B24" t="s">
        <v>72</v>
      </c>
      <c r="C24" t="s">
        <v>123</v>
      </c>
      <c r="D24" t="str">
        <f t="shared" si="0"/>
        <v>Male</v>
      </c>
      <c r="E24" t="s">
        <v>9</v>
      </c>
      <c r="F24" s="2">
        <v>20</v>
      </c>
      <c r="G24" s="2" t="str" cm="1">
        <f t="array" ref="G24">_xlfn.IFS(F24&lt;=8,"Child",F24&lt;=17,"Teen",F24&lt;=35,"Adult",F24&lt;=55,"Seniour Adult",F24&gt;=55,"Old Age")</f>
        <v>Adult</v>
      </c>
      <c r="H24" t="s">
        <v>10</v>
      </c>
      <c r="I24" t="s">
        <v>11</v>
      </c>
      <c r="J24" t="str" cm="1">
        <f t="array" ref="J24">_xlfn.IFS(I24="S","Sauthamptonm",I24="Q","Queentown",I24="C","Cherburg",I24="B","Cabin")</f>
        <v>Sauthamptonm</v>
      </c>
      <c r="K24" t="s">
        <v>23</v>
      </c>
      <c r="L24" s="2">
        <v>7.1700999999999997</v>
      </c>
      <c r="M24">
        <v>0</v>
      </c>
      <c r="N24">
        <v>0</v>
      </c>
      <c r="O24" t="s">
        <v>13</v>
      </c>
    </row>
    <row r="25" spans="1:15" x14ac:dyDescent="0.3">
      <c r="A25" s="1" t="s">
        <v>124</v>
      </c>
      <c r="B25" t="s">
        <v>72</v>
      </c>
      <c r="C25" t="s">
        <v>125</v>
      </c>
      <c r="D25" t="str">
        <f t="shared" si="0"/>
        <v>Male</v>
      </c>
      <c r="E25" t="s">
        <v>9</v>
      </c>
      <c r="F25" s="2">
        <v>17</v>
      </c>
      <c r="G25" s="2" t="str" cm="1">
        <f t="array" ref="G25">_xlfn.IFS(F25&lt;=8,"Child",F25&lt;=17,"Teen",F25&lt;=35,"Adult",F25&lt;=55,"Seniour Adult",F25&gt;=55,"Old Age")</f>
        <v>Teen</v>
      </c>
      <c r="H25" t="s">
        <v>18</v>
      </c>
      <c r="I25" t="s">
        <v>11</v>
      </c>
      <c r="J25" t="str" cm="1">
        <f t="array" ref="J25">_xlfn.IFS(I25="S","Sauthamptonm",I25="Q","Queentown",I25="C","Cherburg",I25="B","Cabin")</f>
        <v>Sauthamptonm</v>
      </c>
      <c r="K25" t="s">
        <v>24</v>
      </c>
      <c r="L25" s="2">
        <v>11.1</v>
      </c>
      <c r="M25">
        <v>0</v>
      </c>
      <c r="N25">
        <v>0</v>
      </c>
      <c r="O25" t="s">
        <v>13</v>
      </c>
    </row>
    <row r="26" spans="1:15" x14ac:dyDescent="0.3">
      <c r="A26" s="1" t="s">
        <v>126</v>
      </c>
      <c r="B26" t="s">
        <v>78</v>
      </c>
      <c r="C26" t="s">
        <v>127</v>
      </c>
      <c r="D26" t="str">
        <f t="shared" si="0"/>
        <v>Female</v>
      </c>
      <c r="E26" t="s">
        <v>14</v>
      </c>
      <c r="F26" s="2">
        <v>62</v>
      </c>
      <c r="G26" s="2" t="str" cm="1">
        <f t="array" ref="G26">_xlfn.IFS(F26&lt;=8,"Child",F26&lt;=17,"Teen",F26&lt;=35,"Adult",F26&lt;=55,"Seniour Adult",F26&gt;=55,"Old Age")</f>
        <v>Old Age</v>
      </c>
      <c r="H26" t="s">
        <v>25</v>
      </c>
      <c r="I26" t="s">
        <v>19</v>
      </c>
      <c r="J26" t="str" cm="1">
        <f t="array" ref="J26">_xlfn.IFS(I26="S","Sauthamptonm",I26="Q","Queentown",I26="C","Cherburg",I26="B","Cabin")</f>
        <v>Cherburg</v>
      </c>
      <c r="K26" t="s">
        <v>12</v>
      </c>
      <c r="L26" s="2">
        <v>77.190200000000004</v>
      </c>
      <c r="M26">
        <v>1</v>
      </c>
      <c r="N26">
        <v>0</v>
      </c>
      <c r="O26" t="s">
        <v>16</v>
      </c>
    </row>
    <row r="27" spans="1:15" x14ac:dyDescent="0.3">
      <c r="A27" s="1" t="s">
        <v>129</v>
      </c>
      <c r="B27" t="s">
        <v>72</v>
      </c>
      <c r="C27" t="s">
        <v>130</v>
      </c>
      <c r="D27" t="str">
        <f t="shared" si="0"/>
        <v>Male</v>
      </c>
      <c r="E27" t="s">
        <v>9</v>
      </c>
      <c r="F27" s="2">
        <v>26</v>
      </c>
      <c r="G27" s="2" t="str" cm="1">
        <f t="array" ref="G27">_xlfn.IFS(F27&lt;=8,"Child",F27&lt;=17,"Teen",F27&lt;=35,"Adult",F27&lt;=55,"Seniour Adult",F27&gt;=55,"Old Age")</f>
        <v>Adult</v>
      </c>
      <c r="H27" t="s">
        <v>10</v>
      </c>
      <c r="I27" t="s">
        <v>11</v>
      </c>
      <c r="J27" t="str" cm="1">
        <f t="array" ref="J27">_xlfn.IFS(I27="S","Sauthamptonm",I27="Q","Queentown",I27="C","Cherburg",I27="B","Cabin")</f>
        <v>Sauthamptonm</v>
      </c>
      <c r="K27" t="s">
        <v>31</v>
      </c>
      <c r="L27" s="2">
        <v>7.1711</v>
      </c>
      <c r="M27">
        <v>0</v>
      </c>
      <c r="N27">
        <v>0</v>
      </c>
      <c r="O27" t="s">
        <v>13</v>
      </c>
    </row>
    <row r="28" spans="1:15" x14ac:dyDescent="0.3">
      <c r="A28" s="1" t="s">
        <v>131</v>
      </c>
      <c r="B28" t="s">
        <v>76</v>
      </c>
      <c r="C28" t="s">
        <v>132</v>
      </c>
      <c r="D28" t="str">
        <f t="shared" si="0"/>
        <v>Female</v>
      </c>
      <c r="E28" t="s">
        <v>14</v>
      </c>
      <c r="F28" s="2">
        <v>36</v>
      </c>
      <c r="G28" s="2" t="str" cm="1">
        <f t="array" ref="G28">_xlfn.IFS(F28&lt;=8,"Child",F28&lt;=17,"Teen",F28&lt;=35,"Adult",F28&lt;=55,"Seniour Adult",F28&gt;=55,"Old Age")</f>
        <v>Seniour Adult</v>
      </c>
      <c r="H28" t="s">
        <v>18</v>
      </c>
      <c r="I28" t="s">
        <v>11</v>
      </c>
      <c r="J28" t="str" cm="1">
        <f t="array" ref="J28">_xlfn.IFS(I28="S","Sauthamptonm",I28="Q","Queentown",I28="C","Cherburg",I28="B","Cabin")</f>
        <v>Sauthamptonm</v>
      </c>
      <c r="K28" t="s">
        <v>15</v>
      </c>
      <c r="L28" s="2">
        <v>26</v>
      </c>
      <c r="M28">
        <v>1</v>
      </c>
      <c r="N28">
        <v>0</v>
      </c>
      <c r="O28" t="s">
        <v>16</v>
      </c>
    </row>
    <row r="29" spans="1:15" x14ac:dyDescent="0.3">
      <c r="A29" s="1" t="s">
        <v>133</v>
      </c>
      <c r="B29" t="s">
        <v>76</v>
      </c>
      <c r="C29" t="s">
        <v>134</v>
      </c>
      <c r="D29" t="str">
        <f t="shared" si="0"/>
        <v>Female</v>
      </c>
      <c r="E29" t="s">
        <v>14</v>
      </c>
      <c r="F29" s="2">
        <v>53</v>
      </c>
      <c r="G29" s="2" t="str" cm="1">
        <f t="array" ref="G29">_xlfn.IFS(F29&lt;=8,"Child",F29&lt;=17,"Teen",F29&lt;=35,"Adult",F29&lt;=55,"Seniour Adult",F29&gt;=55,"Old Age")</f>
        <v>Seniour Adult</v>
      </c>
      <c r="H29" t="s">
        <v>25</v>
      </c>
      <c r="I29" t="s">
        <v>11</v>
      </c>
      <c r="J29" t="str" cm="1">
        <f t="array" ref="J29">_xlfn.IFS(I29="S","Sauthamptonm",I29="Q","Queentown",I29="C","Cherburg",I29="B","Cabin")</f>
        <v>Sauthamptonm</v>
      </c>
      <c r="K29" t="s">
        <v>12</v>
      </c>
      <c r="L29" s="2">
        <v>51.090699999999998</v>
      </c>
      <c r="M29">
        <v>2</v>
      </c>
      <c r="N29">
        <v>0</v>
      </c>
      <c r="O29" t="s">
        <v>16</v>
      </c>
    </row>
    <row r="30" spans="1:15" x14ac:dyDescent="0.3">
      <c r="A30" s="1" t="s">
        <v>135</v>
      </c>
      <c r="B30" t="s">
        <v>72</v>
      </c>
      <c r="C30" t="s">
        <v>136</v>
      </c>
      <c r="D30" t="str">
        <f t="shared" si="0"/>
        <v>Male</v>
      </c>
      <c r="E30" t="s">
        <v>9</v>
      </c>
      <c r="F30" s="2">
        <v>25</v>
      </c>
      <c r="G30" s="2" t="str" cm="1">
        <f t="array" ref="G30">_xlfn.IFS(F30&lt;=8,"Child",F30&lt;=17,"Teen",F30&lt;=35,"Adult",F30&lt;=55,"Seniour Adult",F30&gt;=55,"Old Age")</f>
        <v>Adult</v>
      </c>
      <c r="H30" t="s">
        <v>10</v>
      </c>
      <c r="I30" t="s">
        <v>11</v>
      </c>
      <c r="J30" t="str" cm="1">
        <f t="array" ref="J30">_xlfn.IFS(I30="S","Sauthamptonm",I30="Q","Queentown",I30="C","Cherburg",I30="B","Cabin")</f>
        <v>Sauthamptonm</v>
      </c>
      <c r="K30" t="s">
        <v>32</v>
      </c>
      <c r="L30" s="2">
        <v>17.16</v>
      </c>
      <c r="M30">
        <v>1</v>
      </c>
      <c r="N30">
        <v>0</v>
      </c>
      <c r="O30" t="s">
        <v>13</v>
      </c>
    </row>
    <row r="31" spans="1:15" x14ac:dyDescent="0.3">
      <c r="A31" s="1" t="s">
        <v>137</v>
      </c>
      <c r="B31" t="s">
        <v>72</v>
      </c>
      <c r="C31" t="s">
        <v>138</v>
      </c>
      <c r="D31" t="str">
        <f t="shared" si="0"/>
        <v>Male</v>
      </c>
      <c r="E31" t="s">
        <v>9</v>
      </c>
      <c r="F31" s="2">
        <v>25</v>
      </c>
      <c r="G31" s="2" t="str" cm="1">
        <f t="array" ref="G31">_xlfn.IFS(F31&lt;=8,"Child",F31&lt;=17,"Teen",F31&lt;=35,"Adult",F31&lt;=55,"Seniour Adult",F31&gt;=55,"Old Age")</f>
        <v>Adult</v>
      </c>
      <c r="H31" t="s">
        <v>10</v>
      </c>
      <c r="I31" t="s">
        <v>11</v>
      </c>
      <c r="J31" t="str" cm="1">
        <f t="array" ref="J31">_xlfn.IFS(I31="S","Sauthamptonm",I31="Q","Queentown",I31="C","Cherburg",I31="B","Cabin")</f>
        <v>Sauthamptonm</v>
      </c>
      <c r="K31" t="s">
        <v>23</v>
      </c>
      <c r="L31" s="2">
        <v>7.1505999999999998</v>
      </c>
      <c r="M31">
        <v>0</v>
      </c>
      <c r="N31">
        <v>0</v>
      </c>
      <c r="O31" t="s">
        <v>13</v>
      </c>
    </row>
    <row r="32" spans="1:15" x14ac:dyDescent="0.3">
      <c r="A32" s="1" t="s">
        <v>139</v>
      </c>
      <c r="B32" t="s">
        <v>72</v>
      </c>
      <c r="C32" t="s">
        <v>140</v>
      </c>
      <c r="D32" t="str">
        <f t="shared" si="0"/>
        <v>Male</v>
      </c>
      <c r="E32" t="s">
        <v>9</v>
      </c>
      <c r="F32" s="2">
        <v>71</v>
      </c>
      <c r="G32" s="2" t="str" cm="1">
        <f t="array" ref="G32">_xlfn.IFS(F32&lt;=8,"Child",F32&lt;=17,"Teen",F32&lt;=35,"Adult",F32&lt;=55,"Seniour Adult",F32&gt;=55,"Old Age")</f>
        <v>Old Age</v>
      </c>
      <c r="H32" t="s">
        <v>25</v>
      </c>
      <c r="I32" t="s">
        <v>19</v>
      </c>
      <c r="J32" t="str" cm="1">
        <f t="array" ref="J32">_xlfn.IFS(I32="S","Sauthamptonm",I32="Q","Queentown",I32="C","Cherburg",I32="B","Cabin")</f>
        <v>Cherburg</v>
      </c>
      <c r="K32" t="s">
        <v>24</v>
      </c>
      <c r="L32" s="2">
        <v>49.100099999999998</v>
      </c>
      <c r="M32">
        <v>0</v>
      </c>
      <c r="N32">
        <v>0</v>
      </c>
      <c r="O32" t="s">
        <v>13</v>
      </c>
    </row>
    <row r="33" spans="1:15" x14ac:dyDescent="0.3">
      <c r="A33" s="1" t="s">
        <v>141</v>
      </c>
      <c r="B33" t="s">
        <v>72</v>
      </c>
      <c r="C33" t="s">
        <v>90</v>
      </c>
      <c r="D33" t="str">
        <f t="shared" si="0"/>
        <v>Male</v>
      </c>
      <c r="E33" t="s">
        <v>9</v>
      </c>
      <c r="F33" s="2">
        <v>57</v>
      </c>
      <c r="G33" s="2" t="str" cm="1">
        <f t="array" ref="G33">_xlfn.IFS(F33&lt;=8,"Child",F33&lt;=17,"Teen",F33&lt;=35,"Adult",F33&lt;=55,"Seniour Adult",F33&gt;=55,"Old Age")</f>
        <v>Old Age</v>
      </c>
      <c r="H33" t="s">
        <v>18</v>
      </c>
      <c r="I33" t="s">
        <v>11</v>
      </c>
      <c r="J33" t="str" cm="1">
        <f t="array" ref="J33">_xlfn.IFS(I33="S","Sauthamptonm",I33="Q","Queentown",I33="C","Cherburg",I33="B","Cabin")</f>
        <v>Sauthamptonm</v>
      </c>
      <c r="K33" t="s">
        <v>15</v>
      </c>
      <c r="L33" s="2">
        <v>13</v>
      </c>
      <c r="M33">
        <v>0</v>
      </c>
      <c r="N33">
        <v>0</v>
      </c>
      <c r="O33" t="s">
        <v>13</v>
      </c>
    </row>
    <row r="34" spans="1:15" x14ac:dyDescent="0.3">
      <c r="A34" s="1" t="s">
        <v>142</v>
      </c>
      <c r="B34" t="s">
        <v>72</v>
      </c>
      <c r="C34" t="s">
        <v>143</v>
      </c>
      <c r="D34" t="str">
        <f t="shared" si="0"/>
        <v>Male</v>
      </c>
      <c r="E34" t="s">
        <v>9</v>
      </c>
      <c r="F34" s="2">
        <v>35</v>
      </c>
      <c r="G34" s="2" t="str" cm="1">
        <f t="array" ref="G34">_xlfn.IFS(F34&lt;=8,"Child",F34&lt;=17,"Teen",F34&lt;=35,"Adult",F34&lt;=55,"Seniour Adult",F34&gt;=55,"Old Age")</f>
        <v>Adult</v>
      </c>
      <c r="H34" t="s">
        <v>10</v>
      </c>
      <c r="I34" t="s">
        <v>11</v>
      </c>
      <c r="J34" t="str" cm="1">
        <f t="array" ref="J34">_xlfn.IFS(I34="S","Sauthamptonm",I34="Q","Queentown",I34="C","Cherburg",I34="B","Cabin")</f>
        <v>Sauthamptonm</v>
      </c>
      <c r="K34" t="s">
        <v>24</v>
      </c>
      <c r="L34" s="2">
        <v>7.01</v>
      </c>
      <c r="M34">
        <v>0</v>
      </c>
      <c r="N34">
        <v>0</v>
      </c>
      <c r="O34" t="s">
        <v>13</v>
      </c>
    </row>
    <row r="35" spans="1:15" x14ac:dyDescent="0.3">
      <c r="A35" s="1" t="s">
        <v>144</v>
      </c>
      <c r="B35" t="s">
        <v>94</v>
      </c>
      <c r="C35" t="s">
        <v>145</v>
      </c>
      <c r="D35" t="str">
        <f t="shared" si="0"/>
        <v>Male</v>
      </c>
      <c r="E35" t="s">
        <v>9</v>
      </c>
      <c r="F35" s="2">
        <v>5</v>
      </c>
      <c r="G35" s="2" t="str" cm="1">
        <f t="array" ref="G35">_xlfn.IFS(F35&lt;=8,"Child",F35&lt;=17,"Teen",F35&lt;=35,"Adult",F35&lt;=55,"Seniour Adult",F35&gt;=55,"Old Age")</f>
        <v>Child</v>
      </c>
      <c r="H35" t="s">
        <v>10</v>
      </c>
      <c r="I35" t="s">
        <v>11</v>
      </c>
      <c r="J35" t="str" cm="1">
        <f t="array" ref="J35">_xlfn.IFS(I35="S","Sauthamptonm",I35="Q","Queentown",I35="C","Cherburg",I35="B","Cabin")</f>
        <v>Sauthamptonm</v>
      </c>
      <c r="K35" t="s">
        <v>23</v>
      </c>
      <c r="L35" s="2">
        <v>31.070900000000002</v>
      </c>
      <c r="M35">
        <v>4</v>
      </c>
      <c r="N35">
        <v>2</v>
      </c>
      <c r="O35" t="s">
        <v>13</v>
      </c>
    </row>
    <row r="36" spans="1:15" x14ac:dyDescent="0.3">
      <c r="A36" s="1" t="s">
        <v>146</v>
      </c>
      <c r="B36" t="s">
        <v>76</v>
      </c>
      <c r="C36" t="s">
        <v>147</v>
      </c>
      <c r="D36" t="str">
        <f t="shared" si="0"/>
        <v>Female</v>
      </c>
      <c r="E36" t="s">
        <v>14</v>
      </c>
      <c r="F36" s="2">
        <v>45</v>
      </c>
      <c r="G36" s="2" t="str" cm="1">
        <f t="array" ref="G36">_xlfn.IFS(F36&lt;=8,"Child",F36&lt;=17,"Teen",F36&lt;=35,"Adult",F36&lt;=55,"Seniour Adult",F36&gt;=55,"Old Age")</f>
        <v>Seniour Adult</v>
      </c>
      <c r="H36" t="s">
        <v>10</v>
      </c>
      <c r="I36" t="s">
        <v>19</v>
      </c>
      <c r="J36" t="str" cm="1">
        <f t="array" ref="J36">_xlfn.IFS(I36="S","Sauthamptonm",I36="Q","Queentown",I36="C","Cherburg",I36="B","Cabin")</f>
        <v>Cherburg</v>
      </c>
      <c r="K36" t="s">
        <v>21</v>
      </c>
      <c r="L36" s="2">
        <v>7.0406000000000004</v>
      </c>
      <c r="M36">
        <v>0</v>
      </c>
      <c r="N36">
        <v>0</v>
      </c>
      <c r="O36" t="s">
        <v>16</v>
      </c>
    </row>
    <row r="37" spans="1:15" x14ac:dyDescent="0.3">
      <c r="A37" s="1" t="s">
        <v>148</v>
      </c>
      <c r="B37" t="s">
        <v>72</v>
      </c>
      <c r="C37" t="s">
        <v>149</v>
      </c>
      <c r="D37" t="str">
        <f t="shared" si="0"/>
        <v>Male</v>
      </c>
      <c r="E37" t="s">
        <v>9</v>
      </c>
      <c r="F37" s="2">
        <v>23</v>
      </c>
      <c r="G37" s="2" t="str" cm="1">
        <f t="array" ref="G37">_xlfn.IFS(F37&lt;=8,"Child",F37&lt;=17,"Teen",F37&lt;=35,"Adult",F37&lt;=55,"Seniour Adult",F37&gt;=55,"Old Age")</f>
        <v>Adult</v>
      </c>
      <c r="H37" t="s">
        <v>10</v>
      </c>
      <c r="I37" t="s">
        <v>11</v>
      </c>
      <c r="J37" t="str" cm="1">
        <f t="array" ref="J37">_xlfn.IFS(I37="S","Sauthamptonm",I37="Q","Queentown",I37="C","Cherburg",I37="B","Cabin")</f>
        <v>Sauthamptonm</v>
      </c>
      <c r="K37" t="s">
        <v>24</v>
      </c>
      <c r="L37" s="2">
        <v>7.01</v>
      </c>
      <c r="M37">
        <v>0</v>
      </c>
      <c r="N37">
        <v>0</v>
      </c>
      <c r="O37" t="s">
        <v>13</v>
      </c>
    </row>
    <row r="38" spans="1:15" x14ac:dyDescent="0.3">
      <c r="A38" s="1" t="s">
        <v>150</v>
      </c>
      <c r="B38" t="s">
        <v>151</v>
      </c>
      <c r="C38" t="s">
        <v>152</v>
      </c>
      <c r="D38" t="str">
        <f t="shared" si="0"/>
        <v>Male</v>
      </c>
      <c r="E38" t="s">
        <v>9</v>
      </c>
      <c r="F38" s="2">
        <v>47</v>
      </c>
      <c r="G38" s="2" t="str" cm="1">
        <f t="array" ref="G38">_xlfn.IFS(F38&lt;=8,"Child",F38&lt;=17,"Teen",F38&lt;=35,"Adult",F38&lt;=55,"Seniour Adult",F38&gt;=55,"Old Age")</f>
        <v>Seniour Adult</v>
      </c>
      <c r="H38" t="s">
        <v>25</v>
      </c>
      <c r="I38" t="s">
        <v>19</v>
      </c>
      <c r="J38" t="str" cm="1">
        <f t="array" ref="J38">_xlfn.IFS(I38="S","Sauthamptonm",I38="Q","Queentown",I38="C","Cherburg",I38="B","Cabin")</f>
        <v>Cherburg</v>
      </c>
      <c r="K38" t="s">
        <v>12</v>
      </c>
      <c r="L38" s="2">
        <v>247.10059999999999</v>
      </c>
      <c r="M38">
        <v>1</v>
      </c>
      <c r="N38">
        <v>0</v>
      </c>
      <c r="O38" t="s">
        <v>13</v>
      </c>
    </row>
    <row r="39" spans="1:15" x14ac:dyDescent="0.3">
      <c r="A39" s="1" t="s">
        <v>153</v>
      </c>
      <c r="B39" t="s">
        <v>78</v>
      </c>
      <c r="C39" t="s">
        <v>154</v>
      </c>
      <c r="D39" t="str">
        <f t="shared" si="0"/>
        <v>Female</v>
      </c>
      <c r="E39" t="s">
        <v>14</v>
      </c>
      <c r="F39" s="2">
        <v>17</v>
      </c>
      <c r="G39" s="2" t="str" cm="1">
        <f t="array" ref="G39">_xlfn.IFS(F39&lt;=8,"Child",F39&lt;=17,"Teen",F39&lt;=35,"Adult",F39&lt;=55,"Seniour Adult",F39&gt;=55,"Old Age")</f>
        <v>Teen</v>
      </c>
      <c r="H39" t="s">
        <v>10</v>
      </c>
      <c r="I39" t="s">
        <v>19</v>
      </c>
      <c r="J39" t="str" cm="1">
        <f t="array" ref="J39">_xlfn.IFS(I39="S","Sauthamptonm",I39="Q","Queentown",I39="C","Cherburg",I39="B","Cabin")</f>
        <v>Cherburg</v>
      </c>
      <c r="K39" t="s">
        <v>21</v>
      </c>
      <c r="L39" s="2">
        <v>14.090199999999999</v>
      </c>
      <c r="M39">
        <v>0</v>
      </c>
      <c r="N39">
        <v>0</v>
      </c>
      <c r="O39" t="s">
        <v>13</v>
      </c>
    </row>
    <row r="40" spans="1:15" x14ac:dyDescent="0.3">
      <c r="A40" s="1" t="s">
        <v>155</v>
      </c>
      <c r="B40" t="s">
        <v>72</v>
      </c>
      <c r="C40" t="s">
        <v>156</v>
      </c>
      <c r="D40" t="str">
        <f t="shared" si="0"/>
        <v>Male</v>
      </c>
      <c r="E40" t="s">
        <v>9</v>
      </c>
      <c r="F40" s="2">
        <v>27</v>
      </c>
      <c r="G40" s="2" t="str" cm="1">
        <f t="array" ref="G40">_xlfn.IFS(F40&lt;=8,"Child",F40&lt;=17,"Teen",F40&lt;=35,"Adult",F40&lt;=55,"Seniour Adult",F40&gt;=55,"Old Age")</f>
        <v>Adult</v>
      </c>
      <c r="H40" t="s">
        <v>10</v>
      </c>
      <c r="I40" t="s">
        <v>19</v>
      </c>
      <c r="J40" t="str" cm="1">
        <f t="array" ref="J40">_xlfn.IFS(I40="S","Sauthamptonm",I40="Q","Queentown",I40="C","Cherburg",I40="B","Cabin")</f>
        <v>Cherburg</v>
      </c>
      <c r="K40" t="s">
        <v>26</v>
      </c>
      <c r="L40" s="2">
        <v>7.0406000000000004</v>
      </c>
      <c r="M40">
        <v>0</v>
      </c>
      <c r="N40">
        <v>0</v>
      </c>
      <c r="O40" t="s">
        <v>13</v>
      </c>
    </row>
    <row r="41" spans="1:15" x14ac:dyDescent="0.3">
      <c r="A41" s="1" t="s">
        <v>157</v>
      </c>
      <c r="B41" t="s">
        <v>158</v>
      </c>
      <c r="C41" t="s">
        <v>159</v>
      </c>
      <c r="D41" t="str">
        <f t="shared" si="0"/>
        <v>Female</v>
      </c>
      <c r="E41" t="s">
        <v>14</v>
      </c>
      <c r="F41" s="2">
        <v>24</v>
      </c>
      <c r="G41" s="2" t="str" cm="1">
        <f t="array" ref="G41">_xlfn.IFS(F41&lt;=8,"Child",F41&lt;=17,"Teen",F41&lt;=35,"Adult",F41&lt;=55,"Seniour Adult",F41&gt;=55,"Old Age")</f>
        <v>Adult</v>
      </c>
      <c r="H41" t="s">
        <v>25</v>
      </c>
      <c r="I41" t="s">
        <v>19</v>
      </c>
      <c r="J41" t="str" cm="1">
        <f t="array" ref="J41">_xlfn.IFS(I41="S","Sauthamptonm",I41="Q","Queentown",I41="C","Cherburg",I41="B","Cabin")</f>
        <v>Cherburg</v>
      </c>
      <c r="K41" t="s">
        <v>20</v>
      </c>
      <c r="L41" s="2">
        <v>69.06</v>
      </c>
      <c r="M41">
        <v>0</v>
      </c>
      <c r="N41">
        <v>0</v>
      </c>
      <c r="O41" t="s">
        <v>16</v>
      </c>
    </row>
    <row r="42" spans="1:15" x14ac:dyDescent="0.3">
      <c r="A42" s="1" t="s">
        <v>160</v>
      </c>
      <c r="B42" t="s">
        <v>72</v>
      </c>
      <c r="C42" t="s">
        <v>161</v>
      </c>
      <c r="D42" t="str">
        <f t="shared" si="0"/>
        <v>Male</v>
      </c>
      <c r="E42" t="s">
        <v>9</v>
      </c>
      <c r="F42" s="2">
        <v>23</v>
      </c>
      <c r="G42" s="2" t="str" cm="1">
        <f t="array" ref="G42">_xlfn.IFS(F42&lt;=8,"Child",F42&lt;=17,"Teen",F42&lt;=35,"Adult",F42&lt;=55,"Seniour Adult",F42&gt;=55,"Old Age")</f>
        <v>Adult</v>
      </c>
      <c r="H42" t="s">
        <v>10</v>
      </c>
      <c r="I42" t="s">
        <v>11</v>
      </c>
      <c r="J42" t="str" cm="1">
        <f t="array" ref="J42">_xlfn.IFS(I42="S","Sauthamptonm",I42="Q","Queentown",I42="C","Cherburg",I42="B","Cabin")</f>
        <v>Sauthamptonm</v>
      </c>
      <c r="K42" t="s">
        <v>23</v>
      </c>
      <c r="L42" s="2">
        <v>7.1700999999999997</v>
      </c>
      <c r="M42">
        <v>0</v>
      </c>
      <c r="N42">
        <v>0</v>
      </c>
      <c r="O42" t="s">
        <v>13</v>
      </c>
    </row>
    <row r="43" spans="1:15" x14ac:dyDescent="0.3">
      <c r="A43" s="1" t="s">
        <v>162</v>
      </c>
      <c r="B43" t="s">
        <v>78</v>
      </c>
      <c r="C43" t="s">
        <v>163</v>
      </c>
      <c r="D43" t="str">
        <f t="shared" si="0"/>
        <v>Female</v>
      </c>
      <c r="E43" t="s">
        <v>14</v>
      </c>
      <c r="F43" s="2">
        <v>15</v>
      </c>
      <c r="G43" s="2" t="str" cm="1">
        <f t="array" ref="G43">_xlfn.IFS(F43&lt;=8,"Child",F43&lt;=17,"Teen",F43&lt;=35,"Adult",F43&lt;=55,"Seniour Adult",F43&gt;=55,"Old Age")</f>
        <v>Teen</v>
      </c>
      <c r="H43" t="s">
        <v>10</v>
      </c>
      <c r="I43" t="s">
        <v>19</v>
      </c>
      <c r="J43" t="str" cm="1">
        <f t="array" ref="J43">_xlfn.IFS(I43="S","Sauthamptonm",I43="Q","Queentown",I43="C","Cherburg",I43="B","Cabin")</f>
        <v>Cherburg</v>
      </c>
      <c r="K43" t="s">
        <v>21</v>
      </c>
      <c r="L43" s="2">
        <v>7.0407000000000002</v>
      </c>
      <c r="M43">
        <v>0</v>
      </c>
      <c r="N43">
        <v>0</v>
      </c>
      <c r="O43" t="s">
        <v>16</v>
      </c>
    </row>
    <row r="44" spans="1:15" x14ac:dyDescent="0.3">
      <c r="A44" s="1" t="s">
        <v>164</v>
      </c>
      <c r="B44" t="s">
        <v>72</v>
      </c>
      <c r="C44" t="s">
        <v>165</v>
      </c>
      <c r="D44" t="str">
        <f t="shared" si="0"/>
        <v>Male</v>
      </c>
      <c r="E44" t="s">
        <v>9</v>
      </c>
      <c r="F44" s="2">
        <v>32</v>
      </c>
      <c r="G44" s="2" t="str" cm="1">
        <f t="array" ref="G44">_xlfn.IFS(F44&lt;=8,"Child",F44&lt;=17,"Teen",F44&lt;=35,"Adult",F44&lt;=55,"Seniour Adult",F44&gt;=55,"Old Age")</f>
        <v>Adult</v>
      </c>
      <c r="H44" t="s">
        <v>10</v>
      </c>
      <c r="I44" t="s">
        <v>11</v>
      </c>
      <c r="J44" t="str" cm="1">
        <f t="array" ref="J44">_xlfn.IFS(I44="S","Sauthamptonm",I44="Q","Queentown",I44="C","Cherburg",I44="B","Cabin")</f>
        <v>Sauthamptonm</v>
      </c>
      <c r="K44" t="s">
        <v>22</v>
      </c>
      <c r="L44" s="2">
        <v>15.17</v>
      </c>
      <c r="M44">
        <v>1</v>
      </c>
      <c r="N44">
        <v>0</v>
      </c>
      <c r="O44" t="s">
        <v>13</v>
      </c>
    </row>
    <row r="45" spans="1:15" x14ac:dyDescent="0.3">
      <c r="A45" s="1" t="s">
        <v>166</v>
      </c>
      <c r="B45" t="s">
        <v>78</v>
      </c>
      <c r="C45" t="s">
        <v>167</v>
      </c>
      <c r="D45" t="str">
        <f t="shared" si="0"/>
        <v>Female</v>
      </c>
      <c r="E45" t="s">
        <v>14</v>
      </c>
      <c r="F45" s="2">
        <v>3</v>
      </c>
      <c r="G45" s="2" t="str" cm="1">
        <f t="array" ref="G45">_xlfn.IFS(F45&lt;=8,"Child",F45&lt;=17,"Teen",F45&lt;=35,"Adult",F45&lt;=55,"Seniour Adult",F45&gt;=55,"Old Age")</f>
        <v>Child</v>
      </c>
      <c r="H45" t="s">
        <v>10</v>
      </c>
      <c r="I45" t="s">
        <v>19</v>
      </c>
      <c r="J45" t="str" cm="1">
        <f t="array" ref="J45">_xlfn.IFS(I45="S","Sauthamptonm",I45="Q","Queentown",I45="C","Cherburg",I45="B","Cabin")</f>
        <v>Cherburg</v>
      </c>
      <c r="K45" t="s">
        <v>21</v>
      </c>
      <c r="L45" s="2">
        <v>19.0502</v>
      </c>
      <c r="M45">
        <v>2</v>
      </c>
      <c r="N45">
        <v>1</v>
      </c>
      <c r="O45" t="s">
        <v>16</v>
      </c>
    </row>
    <row r="46" spans="1:15" x14ac:dyDescent="0.3">
      <c r="A46" s="1" t="s">
        <v>168</v>
      </c>
      <c r="B46" t="s">
        <v>78</v>
      </c>
      <c r="C46" t="s">
        <v>169</v>
      </c>
      <c r="D46" t="str">
        <f t="shared" si="0"/>
        <v>Female</v>
      </c>
      <c r="E46" t="s">
        <v>14</v>
      </c>
      <c r="F46" s="2">
        <v>18</v>
      </c>
      <c r="G46" s="2" t="str" cm="1">
        <f t="array" ref="G46">_xlfn.IFS(F46&lt;=8,"Child",F46&lt;=17,"Teen",F46&lt;=35,"Adult",F46&lt;=55,"Seniour Adult",F46&gt;=55,"Old Age")</f>
        <v>Adult</v>
      </c>
      <c r="H46" t="s">
        <v>10</v>
      </c>
      <c r="I46" t="s">
        <v>11</v>
      </c>
      <c r="J46" t="str" cm="1">
        <f t="array" ref="J46">_xlfn.IFS(I46="S","Sauthamptonm",I46="Q","Queentown",I46="C","Cherburg",I46="B","Cabin")</f>
        <v>Sauthamptonm</v>
      </c>
      <c r="K46" t="s">
        <v>15</v>
      </c>
      <c r="L46" s="2">
        <v>8.01</v>
      </c>
      <c r="M46">
        <v>0</v>
      </c>
      <c r="N46">
        <v>0</v>
      </c>
      <c r="O46" t="s">
        <v>16</v>
      </c>
    </row>
    <row r="47" spans="1:15" x14ac:dyDescent="0.3">
      <c r="A47" s="1" t="s">
        <v>170</v>
      </c>
      <c r="B47" t="s">
        <v>72</v>
      </c>
      <c r="C47" t="s">
        <v>171</v>
      </c>
      <c r="D47" t="str">
        <f t="shared" si="0"/>
        <v>Male</v>
      </c>
      <c r="E47" t="s">
        <v>9</v>
      </c>
      <c r="F47" s="2">
        <v>40</v>
      </c>
      <c r="G47" s="2" t="str" cm="1">
        <f t="array" ref="G47">_xlfn.IFS(F47&lt;=8,"Child",F47&lt;=17,"Teen",F47&lt;=35,"Adult",F47&lt;=55,"Seniour Adult",F47&gt;=55,"Old Age")</f>
        <v>Seniour Adult</v>
      </c>
      <c r="H47" t="s">
        <v>10</v>
      </c>
      <c r="I47" t="s">
        <v>19</v>
      </c>
      <c r="J47" t="str" cm="1">
        <f t="array" ref="J47">_xlfn.IFS(I47="S","Sauthamptonm",I47="Q","Queentown",I47="C","Cherburg",I47="B","Cabin")</f>
        <v>Cherburg</v>
      </c>
      <c r="K47" t="s">
        <v>21</v>
      </c>
      <c r="L47" s="2">
        <v>7.0406000000000004</v>
      </c>
      <c r="M47">
        <v>0</v>
      </c>
      <c r="N47">
        <v>0</v>
      </c>
      <c r="O47" t="s">
        <v>13</v>
      </c>
    </row>
    <row r="48" spans="1:15" x14ac:dyDescent="0.3">
      <c r="A48" s="1" t="s">
        <v>172</v>
      </c>
      <c r="B48" t="s">
        <v>72</v>
      </c>
      <c r="C48" t="s">
        <v>173</v>
      </c>
      <c r="D48" t="str">
        <f t="shared" si="0"/>
        <v>Male</v>
      </c>
      <c r="E48" t="s">
        <v>9</v>
      </c>
      <c r="F48" s="2">
        <v>18</v>
      </c>
      <c r="G48" s="2" t="str" cm="1">
        <f t="array" ref="G48">_xlfn.IFS(F48&lt;=8,"Child",F48&lt;=17,"Teen",F48&lt;=35,"Adult",F48&lt;=55,"Seniour Adult",F48&gt;=55,"Old Age")</f>
        <v>Adult</v>
      </c>
      <c r="H48" t="s">
        <v>18</v>
      </c>
      <c r="I48" t="s">
        <v>11</v>
      </c>
      <c r="J48" t="str" cm="1">
        <f t="array" ref="J48">_xlfn.IFS(I48="S","Sauthamptonm",I48="Q","Queentown",I48="C","Cherburg",I48="B","Cabin")</f>
        <v>Sauthamptonm</v>
      </c>
      <c r="K48" t="s">
        <v>15</v>
      </c>
      <c r="L48" s="2">
        <v>11.1</v>
      </c>
      <c r="M48">
        <v>0</v>
      </c>
      <c r="N48">
        <v>0</v>
      </c>
      <c r="O48" t="s">
        <v>13</v>
      </c>
    </row>
    <row r="49" spans="1:15" x14ac:dyDescent="0.3">
      <c r="A49" s="1" t="s">
        <v>174</v>
      </c>
      <c r="B49" t="s">
        <v>72</v>
      </c>
      <c r="C49" t="s">
        <v>175</v>
      </c>
      <c r="D49" t="str">
        <f t="shared" si="0"/>
        <v>Male</v>
      </c>
      <c r="E49" t="s">
        <v>9</v>
      </c>
      <c r="F49" s="2">
        <v>22</v>
      </c>
      <c r="G49" s="2" t="str" cm="1">
        <f t="array" ref="G49">_xlfn.IFS(F49&lt;=8,"Child",F49&lt;=17,"Teen",F49&lt;=35,"Adult",F49&lt;=55,"Seniour Adult",F49&gt;=55,"Old Age")</f>
        <v>Adult</v>
      </c>
      <c r="H49" t="s">
        <v>18</v>
      </c>
      <c r="I49" t="s">
        <v>11</v>
      </c>
      <c r="J49" t="str" cm="1">
        <f t="array" ref="J49">_xlfn.IFS(I49="S","Sauthamptonm",I49="Q","Queentown",I49="C","Cherburg",I49="B","Cabin")</f>
        <v>Sauthamptonm</v>
      </c>
      <c r="K49" t="s">
        <v>33</v>
      </c>
      <c r="L49" s="2">
        <v>10.1</v>
      </c>
      <c r="M49">
        <v>0</v>
      </c>
      <c r="N49">
        <v>0</v>
      </c>
      <c r="O49" t="s">
        <v>13</v>
      </c>
    </row>
    <row r="50" spans="1:15" x14ac:dyDescent="0.3">
      <c r="A50" s="1" t="s">
        <v>176</v>
      </c>
      <c r="B50" t="s">
        <v>72</v>
      </c>
      <c r="C50" t="s">
        <v>177</v>
      </c>
      <c r="D50" t="str">
        <f t="shared" si="0"/>
        <v>Male</v>
      </c>
      <c r="E50" t="s">
        <v>9</v>
      </c>
      <c r="F50" s="2">
        <v>26</v>
      </c>
      <c r="G50" s="2" t="str" cm="1">
        <f t="array" ref="G50">_xlfn.IFS(F50&lt;=8,"Child",F50&lt;=17,"Teen",F50&lt;=35,"Adult",F50&lt;=55,"Seniour Adult",F50&gt;=55,"Old Age")</f>
        <v>Adult</v>
      </c>
      <c r="H50" t="s">
        <v>10</v>
      </c>
      <c r="I50" t="s">
        <v>11</v>
      </c>
      <c r="J50" t="str" cm="1">
        <f t="array" ref="J50">_xlfn.IFS(I50="S","Sauthamptonm",I50="Q","Queentown",I50="C","Cherburg",I50="B","Cabin")</f>
        <v>Sauthamptonm</v>
      </c>
      <c r="K50" t="s">
        <v>34</v>
      </c>
      <c r="L50" s="2">
        <v>7.1711</v>
      </c>
      <c r="M50">
        <v>0</v>
      </c>
      <c r="N50">
        <v>0</v>
      </c>
      <c r="O50" t="s">
        <v>13</v>
      </c>
    </row>
    <row r="51" spans="1:15" x14ac:dyDescent="0.3">
      <c r="A51" s="1" t="s">
        <v>178</v>
      </c>
      <c r="B51" t="s">
        <v>76</v>
      </c>
      <c r="C51" t="s">
        <v>179</v>
      </c>
      <c r="D51" t="str">
        <f t="shared" si="0"/>
        <v>Female</v>
      </c>
      <c r="E51" t="s">
        <v>14</v>
      </c>
      <c r="F51" s="2">
        <v>36</v>
      </c>
      <c r="G51" s="2" t="str" cm="1">
        <f t="array" ref="G51">_xlfn.IFS(F51&lt;=8,"Child",F51&lt;=17,"Teen",F51&lt;=35,"Adult",F51&lt;=55,"Seniour Adult",F51&gt;=55,"Old Age")</f>
        <v>Seniour Adult</v>
      </c>
      <c r="H51" t="s">
        <v>18</v>
      </c>
      <c r="I51" t="s">
        <v>11</v>
      </c>
      <c r="J51" t="str" cm="1">
        <f t="array" ref="J51">_xlfn.IFS(I51="S","Sauthamptonm",I51="Q","Queentown",I51="C","Cherburg",I51="B","Cabin")</f>
        <v>Sauthamptonm</v>
      </c>
      <c r="K51" t="s">
        <v>15</v>
      </c>
      <c r="L51" s="2">
        <v>13</v>
      </c>
      <c r="M51">
        <v>0</v>
      </c>
      <c r="N51">
        <v>0</v>
      </c>
      <c r="O51" t="s">
        <v>16</v>
      </c>
    </row>
    <row r="52" spans="1:15" x14ac:dyDescent="0.3">
      <c r="A52" s="1" t="s">
        <v>180</v>
      </c>
      <c r="B52" t="s">
        <v>72</v>
      </c>
      <c r="C52" t="s">
        <v>181</v>
      </c>
      <c r="D52" t="str">
        <f t="shared" si="0"/>
        <v>Male</v>
      </c>
      <c r="E52" t="s">
        <v>9</v>
      </c>
      <c r="F52" s="2">
        <v>28</v>
      </c>
      <c r="G52" s="2" t="str" cm="1">
        <f t="array" ref="G52">_xlfn.IFS(F52&lt;=8,"Child",F52&lt;=17,"Teen",F52&lt;=35,"Adult",F52&lt;=55,"Seniour Adult",F52&gt;=55,"Old Age")</f>
        <v>Adult</v>
      </c>
      <c r="H52" t="s">
        <v>18</v>
      </c>
      <c r="I52" t="s">
        <v>11</v>
      </c>
      <c r="J52" t="str" cm="1">
        <f t="array" ref="J52">_xlfn.IFS(I52="S","Sauthamptonm",I52="Q","Queentown",I52="C","Cherburg",I52="B","Cabin")</f>
        <v>Sauthamptonm</v>
      </c>
      <c r="K52" t="s">
        <v>15</v>
      </c>
      <c r="L52" s="2">
        <v>10.1</v>
      </c>
      <c r="M52">
        <v>0</v>
      </c>
      <c r="N52">
        <v>0</v>
      </c>
      <c r="O52" t="s">
        <v>13</v>
      </c>
    </row>
    <row r="53" spans="1:15" x14ac:dyDescent="0.3">
      <c r="A53" s="1" t="s">
        <v>182</v>
      </c>
      <c r="B53" t="s">
        <v>76</v>
      </c>
      <c r="C53" t="s">
        <v>183</v>
      </c>
      <c r="D53" t="str">
        <f t="shared" si="0"/>
        <v>Female</v>
      </c>
      <c r="E53" t="s">
        <v>14</v>
      </c>
      <c r="F53" s="2">
        <v>31</v>
      </c>
      <c r="G53" s="2" t="str" cm="1">
        <f t="array" ref="G53">_xlfn.IFS(F53&lt;=8,"Child",F53&lt;=17,"Teen",F53&lt;=35,"Adult",F53&lt;=55,"Seniour Adult",F53&gt;=55,"Old Age")</f>
        <v>Adult</v>
      </c>
      <c r="H53" t="s">
        <v>10</v>
      </c>
      <c r="I53" t="s">
        <v>11</v>
      </c>
      <c r="J53" t="str" cm="1">
        <f t="array" ref="J53">_xlfn.IFS(I53="S","Sauthamptonm",I53="Q","Queentown",I53="C","Cherburg",I53="B","Cabin")</f>
        <v>Sauthamptonm</v>
      </c>
      <c r="K53" t="s">
        <v>35</v>
      </c>
      <c r="L53" s="2">
        <v>8.1308000000000007</v>
      </c>
      <c r="M53">
        <v>0</v>
      </c>
      <c r="N53">
        <v>0</v>
      </c>
      <c r="O53" t="s">
        <v>16</v>
      </c>
    </row>
    <row r="54" spans="1:15" x14ac:dyDescent="0.3">
      <c r="A54" s="1" t="s">
        <v>184</v>
      </c>
      <c r="B54" t="s">
        <v>78</v>
      </c>
      <c r="C54" t="s">
        <v>185</v>
      </c>
      <c r="D54" t="str">
        <f t="shared" si="0"/>
        <v>Female</v>
      </c>
      <c r="E54" t="s">
        <v>14</v>
      </c>
      <c r="F54" s="2">
        <v>18</v>
      </c>
      <c r="G54" s="2" t="str" cm="1">
        <f t="array" ref="G54">_xlfn.IFS(F54&lt;=8,"Child",F54&lt;=17,"Teen",F54&lt;=35,"Adult",F54&lt;=55,"Seniour Adult",F54&gt;=55,"Old Age")</f>
        <v>Adult</v>
      </c>
      <c r="H54" t="s">
        <v>10</v>
      </c>
      <c r="I54" t="s">
        <v>19</v>
      </c>
      <c r="J54" t="str" cm="1">
        <f t="array" ref="J54">_xlfn.IFS(I54="S","Sauthamptonm",I54="Q","Queentown",I54="C","Cherburg",I54="B","Cabin")</f>
        <v>Cherburg</v>
      </c>
      <c r="K54" t="s">
        <v>21</v>
      </c>
      <c r="L54" s="2">
        <v>14.0901</v>
      </c>
      <c r="M54">
        <v>0</v>
      </c>
      <c r="N54">
        <v>1</v>
      </c>
      <c r="O54" t="s">
        <v>13</v>
      </c>
    </row>
    <row r="55" spans="1:15" x14ac:dyDescent="0.3">
      <c r="A55" s="1" t="s">
        <v>186</v>
      </c>
      <c r="B55" t="s">
        <v>78</v>
      </c>
      <c r="C55" t="s">
        <v>187</v>
      </c>
      <c r="D55" t="str">
        <f t="shared" si="0"/>
        <v>Female</v>
      </c>
      <c r="E55" t="s">
        <v>14</v>
      </c>
      <c r="F55" s="2">
        <v>27</v>
      </c>
      <c r="G55" s="2" t="str" cm="1">
        <f t="array" ref="G55">_xlfn.IFS(F55&lt;=8,"Child",F55&lt;=17,"Teen",F55&lt;=35,"Adult",F55&lt;=55,"Seniour Adult",F55&gt;=55,"Old Age")</f>
        <v>Adult</v>
      </c>
      <c r="H55" t="s">
        <v>25</v>
      </c>
      <c r="I55" t="s">
        <v>11</v>
      </c>
      <c r="J55" t="str" cm="1">
        <f t="array" ref="J55">_xlfn.IFS(I55="S","Sauthamptonm",I55="Q","Queentown",I55="C","Cherburg",I55="B","Cabin")</f>
        <v>Sauthamptonm</v>
      </c>
      <c r="K55" t="s">
        <v>15</v>
      </c>
      <c r="L55" s="2">
        <v>78.17</v>
      </c>
      <c r="M55">
        <v>0</v>
      </c>
      <c r="N55">
        <v>0</v>
      </c>
      <c r="O55" t="s">
        <v>16</v>
      </c>
    </row>
    <row r="56" spans="1:15" x14ac:dyDescent="0.3">
      <c r="A56" s="1" t="s">
        <v>188</v>
      </c>
      <c r="B56" t="s">
        <v>72</v>
      </c>
      <c r="C56" t="s">
        <v>189</v>
      </c>
      <c r="D56" t="str">
        <f t="shared" si="0"/>
        <v>Male</v>
      </c>
      <c r="E56" t="s">
        <v>9</v>
      </c>
      <c r="F56" s="2">
        <v>47</v>
      </c>
      <c r="G56" s="2" t="str" cm="1">
        <f t="array" ref="G56">_xlfn.IFS(F56&lt;=8,"Child",F56&lt;=17,"Teen",F56&lt;=35,"Adult",F56&lt;=55,"Seniour Adult",F56&gt;=55,"Old Age")</f>
        <v>Seniour Adult</v>
      </c>
      <c r="H56" t="s">
        <v>25</v>
      </c>
      <c r="I56" t="s">
        <v>11</v>
      </c>
      <c r="J56" t="str" cm="1">
        <f t="array" ref="J56">_xlfn.IFS(I56="S","Sauthamptonm",I56="Q","Queentown",I56="C","Cherburg",I56="B","Cabin")</f>
        <v>Sauthamptonm</v>
      </c>
      <c r="K56" t="s">
        <v>15</v>
      </c>
      <c r="L56" s="2">
        <v>30</v>
      </c>
      <c r="M56">
        <v>0</v>
      </c>
      <c r="N56">
        <v>0</v>
      </c>
      <c r="O56" t="s">
        <v>16</v>
      </c>
    </row>
    <row r="57" spans="1:15" x14ac:dyDescent="0.3">
      <c r="A57" s="1" t="s">
        <v>190</v>
      </c>
      <c r="B57" t="s">
        <v>78</v>
      </c>
      <c r="C57" t="s">
        <v>191</v>
      </c>
      <c r="D57" t="str">
        <f t="shared" si="0"/>
        <v>Female</v>
      </c>
      <c r="E57" t="s">
        <v>14</v>
      </c>
      <c r="F57" s="2">
        <v>30</v>
      </c>
      <c r="G57" s="2" t="str" cm="1">
        <f t="array" ref="G57">_xlfn.IFS(F57&lt;=8,"Child",F57&lt;=17,"Teen",F57&lt;=35,"Adult",F57&lt;=55,"Seniour Adult",F57&gt;=55,"Old Age")</f>
        <v>Adult</v>
      </c>
      <c r="H57" t="s">
        <v>10</v>
      </c>
      <c r="I57" t="s">
        <v>36</v>
      </c>
      <c r="J57" t="str" cm="1">
        <f t="array" ref="J57">_xlfn.IFS(I57="S","Sauthamptonm",I57="Q","Queentown",I57="C","Cherburg",I57="B","Cabin")</f>
        <v>Queentown</v>
      </c>
      <c r="K57" t="s">
        <v>37</v>
      </c>
      <c r="L57" s="2">
        <v>7.1707000000000001</v>
      </c>
      <c r="M57">
        <v>0</v>
      </c>
      <c r="N57">
        <v>0</v>
      </c>
      <c r="O57" t="s">
        <v>13</v>
      </c>
    </row>
    <row r="58" spans="1:15" x14ac:dyDescent="0.3">
      <c r="A58" s="1" t="s">
        <v>192</v>
      </c>
      <c r="B58" t="s">
        <v>72</v>
      </c>
      <c r="C58" t="s">
        <v>193</v>
      </c>
      <c r="D58" t="str">
        <f t="shared" si="0"/>
        <v>Male</v>
      </c>
      <c r="E58" t="s">
        <v>9</v>
      </c>
      <c r="F58" s="2">
        <v>22</v>
      </c>
      <c r="G58" s="2" t="str" cm="1">
        <f t="array" ref="G58">_xlfn.IFS(F58&lt;=8,"Child",F58&lt;=17,"Teen",F58&lt;=35,"Adult",F58&lt;=55,"Seniour Adult",F58&gt;=55,"Old Age")</f>
        <v>Adult</v>
      </c>
      <c r="H58" t="s">
        <v>10</v>
      </c>
      <c r="I58" t="s">
        <v>11</v>
      </c>
      <c r="J58" t="str" cm="1">
        <f t="array" ref="J58">_xlfn.IFS(I58="S","Sauthamptonm",I58="Q","Queentown",I58="C","Cherburg",I58="B","Cabin")</f>
        <v>Sauthamptonm</v>
      </c>
      <c r="K58" t="s">
        <v>15</v>
      </c>
      <c r="L58" s="2">
        <v>8.01</v>
      </c>
      <c r="M58">
        <v>0</v>
      </c>
      <c r="N58">
        <v>0</v>
      </c>
      <c r="O58" t="s">
        <v>13</v>
      </c>
    </row>
    <row r="59" spans="1:15" x14ac:dyDescent="0.3">
      <c r="A59" s="1" t="s">
        <v>194</v>
      </c>
      <c r="B59" t="s">
        <v>76</v>
      </c>
      <c r="C59" t="s">
        <v>195</v>
      </c>
      <c r="D59" t="str">
        <f t="shared" si="0"/>
        <v>Female</v>
      </c>
      <c r="E59" t="s">
        <v>14</v>
      </c>
      <c r="F59" s="2">
        <v>32</v>
      </c>
      <c r="G59" s="2" t="str" cm="1">
        <f t="array" ref="G59">_xlfn.IFS(F59&lt;=8,"Child",F59&lt;=17,"Teen",F59&lt;=35,"Adult",F59&lt;=55,"Seniour Adult",F59&gt;=55,"Old Age")</f>
        <v>Adult</v>
      </c>
      <c r="H59" t="s">
        <v>25</v>
      </c>
      <c r="I59" t="s">
        <v>19</v>
      </c>
      <c r="J59" t="str" cm="1">
        <f t="array" ref="J59">_xlfn.IFS(I59="S","Sauthamptonm",I59="Q","Queentown",I59="C","Cherburg",I59="B","Cabin")</f>
        <v>Cherburg</v>
      </c>
      <c r="K59" t="s">
        <v>38</v>
      </c>
      <c r="L59" s="2">
        <v>76.051000000000002</v>
      </c>
      <c r="M59">
        <v>0</v>
      </c>
      <c r="N59">
        <v>0</v>
      </c>
      <c r="O59" t="s">
        <v>16</v>
      </c>
    </row>
    <row r="60" spans="1:15" x14ac:dyDescent="0.3">
      <c r="A60" s="1" t="s">
        <v>196</v>
      </c>
      <c r="B60" t="s">
        <v>197</v>
      </c>
      <c r="C60" t="s">
        <v>198</v>
      </c>
      <c r="D60" t="str">
        <f t="shared" si="0"/>
        <v>Male</v>
      </c>
      <c r="E60" t="s">
        <v>9</v>
      </c>
      <c r="F60" s="2">
        <v>52</v>
      </c>
      <c r="G60" s="2" t="str" cm="1">
        <f t="array" ref="G60">_xlfn.IFS(F60&lt;=8,"Child",F60&lt;=17,"Teen",F60&lt;=35,"Adult",F60&lt;=55,"Seniour Adult",F60&gt;=55,"Old Age")</f>
        <v>Seniour Adult</v>
      </c>
      <c r="H60" t="s">
        <v>18</v>
      </c>
      <c r="I60" t="s">
        <v>11</v>
      </c>
      <c r="J60" t="str" cm="1">
        <f t="array" ref="J60">_xlfn.IFS(I60="S","Sauthamptonm",I60="Q","Queentown",I60="C","Cherburg",I60="B","Cabin")</f>
        <v>Sauthamptonm</v>
      </c>
      <c r="K60" t="s">
        <v>15</v>
      </c>
      <c r="L60" s="2">
        <v>12.1006</v>
      </c>
      <c r="M60">
        <v>0</v>
      </c>
      <c r="N60">
        <v>0</v>
      </c>
      <c r="O60" t="s">
        <v>13</v>
      </c>
    </row>
    <row r="61" spans="1:15" x14ac:dyDescent="0.3">
      <c r="A61" s="1" t="s">
        <v>199</v>
      </c>
      <c r="B61" t="s">
        <v>72</v>
      </c>
      <c r="C61" t="s">
        <v>200</v>
      </c>
      <c r="D61" t="str">
        <f t="shared" si="0"/>
        <v>Male</v>
      </c>
      <c r="E61" t="s">
        <v>9</v>
      </c>
      <c r="F61" s="2">
        <v>23</v>
      </c>
      <c r="G61" s="2" t="str" cm="1">
        <f t="array" ref="G61">_xlfn.IFS(F61&lt;=8,"Child",F61&lt;=17,"Teen",F61&lt;=35,"Adult",F61&lt;=55,"Seniour Adult",F61&gt;=55,"Old Age")</f>
        <v>Adult</v>
      </c>
      <c r="H61" t="s">
        <v>10</v>
      </c>
      <c r="I61" t="s">
        <v>11</v>
      </c>
      <c r="J61" t="str" cm="1">
        <f t="array" ref="J61">_xlfn.IFS(I61="S","Sauthamptonm",I61="Q","Queentown",I61="C","Cherburg",I61="B","Cabin")</f>
        <v>Sauthamptonm</v>
      </c>
      <c r="K61" t="s">
        <v>31</v>
      </c>
      <c r="L61" s="2">
        <v>7.1711</v>
      </c>
      <c r="M61">
        <v>0</v>
      </c>
      <c r="N61">
        <v>0</v>
      </c>
      <c r="O61" t="s">
        <v>13</v>
      </c>
    </row>
    <row r="62" spans="1:15" x14ac:dyDescent="0.3">
      <c r="A62" s="1" t="s">
        <v>201</v>
      </c>
      <c r="B62" t="s">
        <v>72</v>
      </c>
      <c r="C62" t="s">
        <v>202</v>
      </c>
      <c r="D62" t="str">
        <f t="shared" si="0"/>
        <v>Male</v>
      </c>
      <c r="E62" t="s">
        <v>9</v>
      </c>
      <c r="F62" s="2">
        <v>60</v>
      </c>
      <c r="G62" s="2" t="str" cm="1">
        <f t="array" ref="G62">_xlfn.IFS(F62&lt;=8,"Child",F62&lt;=17,"Teen",F62&lt;=35,"Adult",F62&lt;=55,"Seniour Adult",F62&gt;=55,"Old Age")</f>
        <v>Old Age</v>
      </c>
      <c r="H62" t="s">
        <v>25</v>
      </c>
      <c r="I62" t="s">
        <v>19</v>
      </c>
      <c r="J62" t="str" cm="1">
        <f t="array" ref="J62">_xlfn.IFS(I62="S","Sauthamptonm",I62="Q","Queentown",I62="C","Cherburg",I62="B","Cabin")</f>
        <v>Cherburg</v>
      </c>
      <c r="K62" t="s">
        <v>12</v>
      </c>
      <c r="L62" s="2">
        <v>25.180599999999998</v>
      </c>
      <c r="M62">
        <v>0</v>
      </c>
      <c r="N62">
        <v>0</v>
      </c>
      <c r="O62" t="s">
        <v>13</v>
      </c>
    </row>
    <row r="63" spans="1:15" x14ac:dyDescent="0.3">
      <c r="A63" s="1" t="s">
        <v>203</v>
      </c>
      <c r="B63" t="s">
        <v>72</v>
      </c>
      <c r="C63" t="s">
        <v>204</v>
      </c>
      <c r="D63" t="str">
        <f t="shared" si="0"/>
        <v>Male</v>
      </c>
      <c r="E63" t="s">
        <v>9</v>
      </c>
      <c r="F63" s="2">
        <v>24</v>
      </c>
      <c r="G63" s="2" t="str" cm="1">
        <f t="array" ref="G63">_xlfn.IFS(F63&lt;=8,"Child",F63&lt;=17,"Teen",F63&lt;=35,"Adult",F63&lt;=55,"Seniour Adult",F63&gt;=55,"Old Age")</f>
        <v>Adult</v>
      </c>
      <c r="H63" t="s">
        <v>25</v>
      </c>
      <c r="I63" t="s">
        <v>19</v>
      </c>
      <c r="J63" t="str" cm="1">
        <f t="array" ref="J63">_xlfn.IFS(I63="S","Sauthamptonm",I63="Q","Queentown",I63="C","Cherburg",I63="B","Cabin")</f>
        <v>Cherburg</v>
      </c>
      <c r="K63" t="s">
        <v>26</v>
      </c>
      <c r="L63" s="2">
        <v>247.10050000000001</v>
      </c>
      <c r="M63">
        <v>0</v>
      </c>
      <c r="N63">
        <v>1</v>
      </c>
      <c r="O63" t="s">
        <v>13</v>
      </c>
    </row>
    <row r="64" spans="1:15" x14ac:dyDescent="0.3">
      <c r="A64" s="1" t="s">
        <v>205</v>
      </c>
      <c r="B64" t="s">
        <v>72</v>
      </c>
      <c r="C64" t="s">
        <v>206</v>
      </c>
      <c r="D64" t="str">
        <f t="shared" si="0"/>
        <v>Male</v>
      </c>
      <c r="E64" t="s">
        <v>9</v>
      </c>
      <c r="F64" s="2">
        <v>32</v>
      </c>
      <c r="G64" s="2" t="str" cm="1">
        <f t="array" ref="G64">_xlfn.IFS(F64&lt;=8,"Child",F64&lt;=17,"Teen",F64&lt;=35,"Adult",F64&lt;=55,"Seniour Adult",F64&gt;=55,"Old Age")</f>
        <v>Adult</v>
      </c>
      <c r="H64" t="s">
        <v>18</v>
      </c>
      <c r="I64" t="s">
        <v>11</v>
      </c>
      <c r="J64" t="str" cm="1">
        <f t="array" ref="J64">_xlfn.IFS(I64="S","Sauthamptonm",I64="Q","Queentown",I64="C","Cherburg",I64="B","Cabin")</f>
        <v>Sauthamptonm</v>
      </c>
      <c r="K64" t="s">
        <v>15</v>
      </c>
      <c r="L64" s="2">
        <v>26</v>
      </c>
      <c r="M64">
        <v>1</v>
      </c>
      <c r="N64">
        <v>0</v>
      </c>
      <c r="O64" t="s">
        <v>16</v>
      </c>
    </row>
    <row r="65" spans="1:15" x14ac:dyDescent="0.3">
      <c r="A65" s="1" t="s">
        <v>208</v>
      </c>
      <c r="B65" t="s">
        <v>72</v>
      </c>
      <c r="C65" t="s">
        <v>209</v>
      </c>
      <c r="D65" t="str">
        <f t="shared" si="0"/>
        <v>Male</v>
      </c>
      <c r="E65" t="s">
        <v>9</v>
      </c>
      <c r="F65" s="2">
        <v>36</v>
      </c>
      <c r="G65" s="2" t="str" cm="1">
        <f t="array" ref="G65">_xlfn.IFS(F65&lt;=8,"Child",F65&lt;=17,"Teen",F65&lt;=35,"Adult",F65&lt;=55,"Seniour Adult",F65&gt;=55,"Old Age")</f>
        <v>Seniour Adult</v>
      </c>
      <c r="H65" t="s">
        <v>25</v>
      </c>
      <c r="I65" t="s">
        <v>11</v>
      </c>
      <c r="J65" t="str" cm="1">
        <f t="array" ref="J65">_xlfn.IFS(I65="S","Sauthamptonm",I65="Q","Queentown",I65="C","Cherburg",I65="B","Cabin")</f>
        <v>Sauthamptonm</v>
      </c>
      <c r="K65" t="s">
        <v>26</v>
      </c>
      <c r="L65" s="2">
        <v>75.040999999999997</v>
      </c>
      <c r="M65">
        <v>0</v>
      </c>
      <c r="N65">
        <v>0</v>
      </c>
      <c r="O65" t="s">
        <v>13</v>
      </c>
    </row>
    <row r="66" spans="1:15" x14ac:dyDescent="0.3">
      <c r="A66" s="1" t="s">
        <v>210</v>
      </c>
      <c r="B66" t="s">
        <v>72</v>
      </c>
      <c r="C66" t="s">
        <v>211</v>
      </c>
      <c r="D66" t="str">
        <f t="shared" ref="D66:D129" si="1">PROPER(E66)</f>
        <v>Male</v>
      </c>
      <c r="E66" t="s">
        <v>9</v>
      </c>
      <c r="F66" s="2">
        <v>44</v>
      </c>
      <c r="G66" s="2" t="str" cm="1">
        <f t="array" ref="G66">_xlfn.IFS(F66&lt;=8,"Child",F66&lt;=17,"Teen",F66&lt;=35,"Adult",F66&lt;=55,"Seniour Adult",F66&gt;=55,"Old Age")</f>
        <v>Seniour Adult</v>
      </c>
      <c r="H66" t="s">
        <v>18</v>
      </c>
      <c r="I66" t="s">
        <v>11</v>
      </c>
      <c r="J66" t="str" cm="1">
        <f t="array" ref="J66">_xlfn.IFS(I66="S","Sauthamptonm",I66="Q","Queentown",I66="C","Cherburg",I66="B","Cabin")</f>
        <v>Sauthamptonm</v>
      </c>
      <c r="K66" t="s">
        <v>15</v>
      </c>
      <c r="L66" s="2">
        <v>26</v>
      </c>
      <c r="M66">
        <v>0</v>
      </c>
      <c r="N66">
        <v>0</v>
      </c>
      <c r="O66" t="s">
        <v>13</v>
      </c>
    </row>
    <row r="67" spans="1:15" x14ac:dyDescent="0.3">
      <c r="A67" s="1" t="s">
        <v>212</v>
      </c>
      <c r="B67" t="s">
        <v>72</v>
      </c>
      <c r="C67" t="s">
        <v>213</v>
      </c>
      <c r="D67" t="str">
        <f t="shared" si="1"/>
        <v>Male</v>
      </c>
      <c r="E67" t="s">
        <v>9</v>
      </c>
      <c r="F67" s="2">
        <v>20</v>
      </c>
      <c r="G67" s="2" t="str" cm="1">
        <f t="array" ref="G67">_xlfn.IFS(F67&lt;=8,"Child",F67&lt;=17,"Teen",F67&lt;=35,"Adult",F67&lt;=55,"Seniour Adult",F67&gt;=55,"Old Age")</f>
        <v>Adult</v>
      </c>
      <c r="H67" t="s">
        <v>10</v>
      </c>
      <c r="I67" t="s">
        <v>11</v>
      </c>
      <c r="J67" t="str" cm="1">
        <f t="array" ref="J67">_xlfn.IFS(I67="S","Sauthamptonm",I67="Q","Queentown",I67="C","Cherburg",I67="B","Cabin")</f>
        <v>Sauthamptonm</v>
      </c>
      <c r="K67" t="s">
        <v>15</v>
      </c>
      <c r="L67" s="2">
        <v>8.01</v>
      </c>
      <c r="M67">
        <v>0</v>
      </c>
      <c r="N67">
        <v>0</v>
      </c>
      <c r="O67" t="s">
        <v>13</v>
      </c>
    </row>
    <row r="68" spans="1:15" x14ac:dyDescent="0.3">
      <c r="A68" s="1" t="s">
        <v>214</v>
      </c>
      <c r="B68" t="s">
        <v>94</v>
      </c>
      <c r="C68" t="s">
        <v>215</v>
      </c>
      <c r="D68" t="str">
        <f t="shared" si="1"/>
        <v>Male</v>
      </c>
      <c r="E68" t="s">
        <v>9</v>
      </c>
      <c r="F68" s="2">
        <v>1</v>
      </c>
      <c r="G68" s="2" t="str" cm="1">
        <f t="array" ref="G68">_xlfn.IFS(F68&lt;=8,"Child",F68&lt;=17,"Teen",F68&lt;=35,"Adult",F68&lt;=55,"Seniour Adult",F68&gt;=55,"Old Age")</f>
        <v>Child</v>
      </c>
      <c r="H68" t="s">
        <v>18</v>
      </c>
      <c r="I68" t="s">
        <v>11</v>
      </c>
      <c r="J68" t="str" cm="1">
        <f t="array" ref="J68">_xlfn.IFS(I68="S","Sauthamptonm",I68="Q","Queentown",I68="C","Cherburg",I68="B","Cabin")</f>
        <v>Sauthamptonm</v>
      </c>
      <c r="K68" t="s">
        <v>39</v>
      </c>
      <c r="L68" s="2">
        <v>39</v>
      </c>
      <c r="M68">
        <v>2</v>
      </c>
      <c r="N68">
        <v>1</v>
      </c>
      <c r="O68" t="s">
        <v>16</v>
      </c>
    </row>
    <row r="69" spans="1:15" x14ac:dyDescent="0.3">
      <c r="A69" s="1" t="s">
        <v>216</v>
      </c>
      <c r="B69" t="s">
        <v>72</v>
      </c>
      <c r="C69" t="s">
        <v>217</v>
      </c>
      <c r="D69" t="str">
        <f t="shared" si="1"/>
        <v>Male</v>
      </c>
      <c r="E69" t="s">
        <v>9</v>
      </c>
      <c r="F69" s="2">
        <v>37</v>
      </c>
      <c r="G69" s="2" t="str" cm="1">
        <f t="array" ref="G69">_xlfn.IFS(F69&lt;=8,"Child",F69&lt;=17,"Teen",F69&lt;=35,"Adult",F69&lt;=55,"Seniour Adult",F69&gt;=55,"Old Age")</f>
        <v>Seniour Adult</v>
      </c>
      <c r="H69" t="s">
        <v>25</v>
      </c>
      <c r="I69" t="s">
        <v>11</v>
      </c>
      <c r="J69" t="str" cm="1">
        <f t="array" ref="J69">_xlfn.IFS(I69="S","Sauthamptonm",I69="Q","Queentown",I69="C","Cherburg",I69="B","Cabin")</f>
        <v>Sauthamptonm</v>
      </c>
      <c r="K69" t="s">
        <v>12</v>
      </c>
      <c r="L69" s="2">
        <v>52.110100000000003</v>
      </c>
      <c r="M69">
        <v>1</v>
      </c>
      <c r="N69">
        <v>1</v>
      </c>
      <c r="O69" t="s">
        <v>16</v>
      </c>
    </row>
    <row r="70" spans="1:15" x14ac:dyDescent="0.3">
      <c r="A70" s="1" t="s">
        <v>218</v>
      </c>
      <c r="B70" t="s">
        <v>72</v>
      </c>
      <c r="C70" t="s">
        <v>219</v>
      </c>
      <c r="D70" t="str">
        <f t="shared" si="1"/>
        <v>Male</v>
      </c>
      <c r="E70" t="s">
        <v>9</v>
      </c>
      <c r="F70" s="2">
        <v>34</v>
      </c>
      <c r="G70" s="2" t="str" cm="1">
        <f t="array" ref="G70">_xlfn.IFS(F70&lt;=8,"Child",F70&lt;=17,"Teen",F70&lt;=35,"Adult",F70&lt;=55,"Seniour Adult",F70&gt;=55,"Old Age")</f>
        <v>Adult</v>
      </c>
      <c r="H70" t="s">
        <v>18</v>
      </c>
      <c r="I70" t="s">
        <v>11</v>
      </c>
      <c r="J70" t="str" cm="1">
        <f t="array" ref="J70">_xlfn.IFS(I70="S","Sauthamptonm",I70="Q","Queentown",I70="C","Cherburg",I70="B","Cabin")</f>
        <v>Sauthamptonm</v>
      </c>
      <c r="K70" t="s">
        <v>15</v>
      </c>
      <c r="L70" s="2">
        <v>13</v>
      </c>
      <c r="M70">
        <v>0</v>
      </c>
      <c r="N70">
        <v>0</v>
      </c>
      <c r="O70" t="s">
        <v>16</v>
      </c>
    </row>
    <row r="71" spans="1:15" x14ac:dyDescent="0.3">
      <c r="A71" s="1" t="s">
        <v>220</v>
      </c>
      <c r="B71" t="s">
        <v>72</v>
      </c>
      <c r="C71" t="s">
        <v>221</v>
      </c>
      <c r="D71" t="str">
        <f t="shared" si="1"/>
        <v>Male</v>
      </c>
      <c r="E71" t="s">
        <v>9</v>
      </c>
      <c r="F71" s="2">
        <v>26</v>
      </c>
      <c r="G71" s="2" t="str" cm="1">
        <f t="array" ref="G71">_xlfn.IFS(F71&lt;=8,"Child",F71&lt;=17,"Teen",F71&lt;=35,"Adult",F71&lt;=55,"Seniour Adult",F71&gt;=55,"Old Age")</f>
        <v>Adult</v>
      </c>
      <c r="H71" t="s">
        <v>25</v>
      </c>
      <c r="I71" t="s">
        <v>19</v>
      </c>
      <c r="J71" t="str" cm="1">
        <f t="array" ref="J71">_xlfn.IFS(I71="S","Sauthamptonm",I71="Q","Queentown",I71="C","Cherburg",I71="B","Cabin")</f>
        <v>Cherburg</v>
      </c>
      <c r="K71" t="s">
        <v>12</v>
      </c>
      <c r="L71" s="2">
        <v>30</v>
      </c>
      <c r="M71">
        <v>0</v>
      </c>
      <c r="N71">
        <v>0</v>
      </c>
      <c r="O71" t="s">
        <v>16</v>
      </c>
    </row>
    <row r="72" spans="1:15" x14ac:dyDescent="0.3">
      <c r="A72" s="1" t="s">
        <v>222</v>
      </c>
      <c r="B72" t="s">
        <v>72</v>
      </c>
      <c r="C72" t="s">
        <v>223</v>
      </c>
      <c r="D72" t="str">
        <f t="shared" si="1"/>
        <v>Male</v>
      </c>
      <c r="E72" t="s">
        <v>9</v>
      </c>
      <c r="F72" s="2">
        <v>26</v>
      </c>
      <c r="G72" s="2" t="str" cm="1">
        <f t="array" ref="G72">_xlfn.IFS(F72&lt;=8,"Child",F72&lt;=17,"Teen",F72&lt;=35,"Adult",F72&lt;=55,"Seniour Adult",F72&gt;=55,"Old Age")</f>
        <v>Adult</v>
      </c>
      <c r="H72" t="s">
        <v>10</v>
      </c>
      <c r="I72" t="s">
        <v>11</v>
      </c>
      <c r="J72" t="str" cm="1">
        <f t="array" ref="J72">_xlfn.IFS(I72="S","Sauthamptonm",I72="Q","Queentown",I72="C","Cherburg",I72="B","Cabin")</f>
        <v>Sauthamptonm</v>
      </c>
      <c r="K72" t="s">
        <v>23</v>
      </c>
      <c r="L72" s="2">
        <v>7.1505999999999998</v>
      </c>
      <c r="M72">
        <v>0</v>
      </c>
      <c r="N72">
        <v>0</v>
      </c>
      <c r="O72" t="s">
        <v>13</v>
      </c>
    </row>
    <row r="73" spans="1:15" x14ac:dyDescent="0.3">
      <c r="A73" s="1" t="s">
        <v>224</v>
      </c>
      <c r="B73" t="s">
        <v>78</v>
      </c>
      <c r="C73" t="s">
        <v>225</v>
      </c>
      <c r="D73" t="str">
        <f t="shared" si="1"/>
        <v>Female</v>
      </c>
      <c r="E73" t="s">
        <v>14</v>
      </c>
      <c r="F73" s="2">
        <v>19</v>
      </c>
      <c r="G73" s="2" t="str" cm="1">
        <f t="array" ref="G73">_xlfn.IFS(F73&lt;=8,"Child",F73&lt;=17,"Teen",F73&lt;=35,"Adult",F73&lt;=55,"Seniour Adult",F73&gt;=55,"Old Age")</f>
        <v>Adult</v>
      </c>
      <c r="H73" t="s">
        <v>18</v>
      </c>
      <c r="I73" t="s">
        <v>11</v>
      </c>
      <c r="J73" t="str" cm="1">
        <f t="array" ref="J73">_xlfn.IFS(I73="S","Sauthamptonm",I73="Q","Queentown",I73="C","Cherburg",I73="B","Cabin")</f>
        <v>Sauthamptonm</v>
      </c>
      <c r="K73" t="s">
        <v>12</v>
      </c>
      <c r="L73" s="2">
        <v>13</v>
      </c>
      <c r="M73">
        <v>0</v>
      </c>
      <c r="N73">
        <v>0</v>
      </c>
      <c r="O73" t="s">
        <v>16</v>
      </c>
    </row>
    <row r="74" spans="1:15" x14ac:dyDescent="0.3">
      <c r="A74" s="1" t="s">
        <v>226</v>
      </c>
      <c r="B74" t="s">
        <v>72</v>
      </c>
      <c r="C74" t="s">
        <v>227</v>
      </c>
      <c r="D74" t="str">
        <f t="shared" si="1"/>
        <v>Male</v>
      </c>
      <c r="E74" t="s">
        <v>9</v>
      </c>
      <c r="F74" s="2">
        <v>22</v>
      </c>
      <c r="G74" s="2" t="str" cm="1">
        <f t="array" ref="G74">_xlfn.IFS(F74&lt;=8,"Child",F74&lt;=17,"Teen",F74&lt;=35,"Adult",F74&lt;=55,"Seniour Adult",F74&gt;=55,"Old Age")</f>
        <v>Adult</v>
      </c>
      <c r="H74" t="s">
        <v>10</v>
      </c>
      <c r="I74" t="s">
        <v>11</v>
      </c>
      <c r="J74" t="str" cm="1">
        <f t="array" ref="J74">_xlfn.IFS(I74="S","Sauthamptonm",I74="Q","Queentown",I74="C","Cherburg",I74="B","Cabin")</f>
        <v>Sauthamptonm</v>
      </c>
      <c r="K74" t="s">
        <v>22</v>
      </c>
      <c r="L74" s="2">
        <v>9.07</v>
      </c>
      <c r="M74">
        <v>0</v>
      </c>
      <c r="N74">
        <v>0</v>
      </c>
      <c r="O74" t="s">
        <v>13</v>
      </c>
    </row>
    <row r="75" spans="1:15" x14ac:dyDescent="0.3">
      <c r="A75" s="1" t="s">
        <v>228</v>
      </c>
      <c r="B75" t="s">
        <v>72</v>
      </c>
      <c r="C75" t="s">
        <v>229</v>
      </c>
      <c r="D75" t="str">
        <f t="shared" si="1"/>
        <v>Male</v>
      </c>
      <c r="E75" t="s">
        <v>9</v>
      </c>
      <c r="F75" s="2">
        <v>23</v>
      </c>
      <c r="G75" s="2" t="str" cm="1">
        <f t="array" ref="G75">_xlfn.IFS(F75&lt;=8,"Child",F75&lt;=17,"Teen",F75&lt;=35,"Adult",F75&lt;=55,"Seniour Adult",F75&gt;=55,"Old Age")</f>
        <v>Adult</v>
      </c>
      <c r="H75" t="s">
        <v>18</v>
      </c>
      <c r="I75" t="s">
        <v>11</v>
      </c>
      <c r="J75" t="str" cm="1">
        <f t="array" ref="J75">_xlfn.IFS(I75="S","Sauthamptonm",I75="Q","Queentown",I75="C","Cherburg",I75="B","Cabin")</f>
        <v>Sauthamptonm</v>
      </c>
      <c r="K75" t="s">
        <v>15</v>
      </c>
      <c r="L75" s="2">
        <v>13</v>
      </c>
      <c r="M75">
        <v>0</v>
      </c>
      <c r="N75">
        <v>0</v>
      </c>
      <c r="O75" t="s">
        <v>13</v>
      </c>
    </row>
    <row r="76" spans="1:15" x14ac:dyDescent="0.3">
      <c r="A76" s="1" t="s">
        <v>230</v>
      </c>
      <c r="B76" t="s">
        <v>78</v>
      </c>
      <c r="C76" t="s">
        <v>231</v>
      </c>
      <c r="D76" t="str">
        <f t="shared" si="1"/>
        <v>Female</v>
      </c>
      <c r="E76" t="s">
        <v>14</v>
      </c>
      <c r="F76" s="2">
        <v>39</v>
      </c>
      <c r="G76" s="2" t="str" cm="1">
        <f t="array" ref="G76">_xlfn.IFS(F76&lt;=8,"Child",F76&lt;=17,"Teen",F76&lt;=35,"Adult",F76&lt;=55,"Seniour Adult",F76&gt;=55,"Old Age")</f>
        <v>Seniour Adult</v>
      </c>
      <c r="H76" t="s">
        <v>25</v>
      </c>
      <c r="I76" t="s">
        <v>19</v>
      </c>
      <c r="J76" t="str" cm="1">
        <f t="array" ref="J76">_xlfn.IFS(I76="S","Sauthamptonm",I76="Q","Queentown",I76="C","Cherburg",I76="B","Cabin")</f>
        <v>Cherburg</v>
      </c>
      <c r="K76" t="s">
        <v>12</v>
      </c>
      <c r="L76" s="2">
        <v>63.0702</v>
      </c>
      <c r="M76">
        <v>0</v>
      </c>
      <c r="N76">
        <v>0</v>
      </c>
      <c r="O76" t="s">
        <v>16</v>
      </c>
    </row>
    <row r="77" spans="1:15" x14ac:dyDescent="0.3">
      <c r="A77" s="1" t="s">
        <v>232</v>
      </c>
      <c r="B77" t="s">
        <v>78</v>
      </c>
      <c r="C77" t="s">
        <v>233</v>
      </c>
      <c r="D77" t="str">
        <f t="shared" si="1"/>
        <v>Female</v>
      </c>
      <c r="E77" t="s">
        <v>14</v>
      </c>
      <c r="F77" s="2">
        <v>46</v>
      </c>
      <c r="G77" s="2" t="str" cm="1">
        <f t="array" ref="G77">_xlfn.IFS(F77&lt;=8,"Child",F77&lt;=17,"Teen",F77&lt;=35,"Adult",F77&lt;=55,"Seniour Adult",F77&gt;=55,"Old Age")</f>
        <v>Seniour Adult</v>
      </c>
      <c r="H77" t="s">
        <v>25</v>
      </c>
      <c r="I77" t="s">
        <v>19</v>
      </c>
      <c r="J77" t="str" cm="1">
        <f t="array" ref="J77">_xlfn.IFS(I77="S","Sauthamptonm",I77="Q","Queentown",I77="C","Cherburg",I77="B","Cabin")</f>
        <v>Cherburg</v>
      </c>
      <c r="K77" t="s">
        <v>15</v>
      </c>
      <c r="L77" s="2">
        <v>247.10059999999999</v>
      </c>
      <c r="M77">
        <v>0</v>
      </c>
      <c r="N77">
        <v>0</v>
      </c>
      <c r="O77" t="s">
        <v>16</v>
      </c>
    </row>
    <row r="78" spans="1:15" x14ac:dyDescent="0.3">
      <c r="A78" s="1" t="s">
        <v>234</v>
      </c>
      <c r="B78" t="s">
        <v>72</v>
      </c>
      <c r="C78" t="s">
        <v>235</v>
      </c>
      <c r="D78" t="str">
        <f t="shared" si="1"/>
        <v>Male</v>
      </c>
      <c r="E78" t="s">
        <v>9</v>
      </c>
      <c r="F78" s="2">
        <v>32</v>
      </c>
      <c r="G78" s="2" t="str" cm="1">
        <f t="array" ref="G78">_xlfn.IFS(F78&lt;=8,"Child",F78&lt;=17,"Teen",F78&lt;=35,"Adult",F78&lt;=55,"Seniour Adult",F78&gt;=55,"Old Age")</f>
        <v>Adult</v>
      </c>
      <c r="H78" t="s">
        <v>10</v>
      </c>
      <c r="I78" t="s">
        <v>11</v>
      </c>
      <c r="J78" t="str" cm="1">
        <f t="array" ref="J78">_xlfn.IFS(I78="S","Sauthamptonm",I78="Q","Queentown",I78="C","Cherburg",I78="B","Cabin")</f>
        <v>Sauthamptonm</v>
      </c>
      <c r="K78" t="s">
        <v>15</v>
      </c>
      <c r="L78" s="2">
        <v>56.091099999999997</v>
      </c>
      <c r="M78">
        <v>0</v>
      </c>
      <c r="N78">
        <v>0</v>
      </c>
      <c r="O78" t="s">
        <v>16</v>
      </c>
    </row>
    <row r="79" spans="1:15" x14ac:dyDescent="0.3">
      <c r="A79" s="1" t="s">
        <v>236</v>
      </c>
      <c r="B79" t="s">
        <v>78</v>
      </c>
      <c r="C79" t="s">
        <v>237</v>
      </c>
      <c r="D79" t="str">
        <f t="shared" si="1"/>
        <v>Female</v>
      </c>
      <c r="E79" t="s">
        <v>14</v>
      </c>
      <c r="F79" s="2">
        <v>31</v>
      </c>
      <c r="G79" s="2" t="str" cm="1">
        <f t="array" ref="G79">_xlfn.IFS(F79&lt;=8,"Child",F79&lt;=17,"Teen",F79&lt;=35,"Adult",F79&lt;=55,"Seniour Adult",F79&gt;=55,"Old Age")</f>
        <v>Adult</v>
      </c>
      <c r="H79" t="s">
        <v>25</v>
      </c>
      <c r="I79" t="s">
        <v>11</v>
      </c>
      <c r="J79" t="str" cm="1">
        <f t="array" ref="J79">_xlfn.IFS(I79="S","Sauthamptonm",I79="Q","Queentown",I79="C","Cherburg",I79="B","Cabin")</f>
        <v>Sauthamptonm</v>
      </c>
      <c r="K79" t="s">
        <v>15</v>
      </c>
      <c r="L79" s="2">
        <v>221.1507</v>
      </c>
      <c r="M79">
        <v>0</v>
      </c>
      <c r="N79">
        <v>0</v>
      </c>
      <c r="O79" t="s">
        <v>16</v>
      </c>
    </row>
    <row r="80" spans="1:15" x14ac:dyDescent="0.3">
      <c r="A80" s="1" t="s">
        <v>238</v>
      </c>
      <c r="B80" t="s">
        <v>72</v>
      </c>
      <c r="C80" t="s">
        <v>239</v>
      </c>
      <c r="D80" t="str">
        <f t="shared" si="1"/>
        <v>Male</v>
      </c>
      <c r="E80" t="s">
        <v>9</v>
      </c>
      <c r="F80" s="2">
        <v>21</v>
      </c>
      <c r="G80" s="2" t="str" cm="1">
        <f t="array" ref="G80">_xlfn.IFS(F80&lt;=8,"Child",F80&lt;=17,"Teen",F80&lt;=35,"Adult",F80&lt;=55,"Seniour Adult",F80&gt;=55,"Old Age")</f>
        <v>Adult</v>
      </c>
      <c r="H80" t="s">
        <v>10</v>
      </c>
      <c r="I80" t="s">
        <v>11</v>
      </c>
      <c r="J80" t="str" cm="1">
        <f t="array" ref="J80">_xlfn.IFS(I80="S","Sauthamptonm",I80="Q","Queentown",I80="C","Cherburg",I80="B","Cabin")</f>
        <v>Sauthamptonm</v>
      </c>
      <c r="K80" t="s">
        <v>17</v>
      </c>
      <c r="L80" s="2">
        <v>7.1505999999999998</v>
      </c>
      <c r="M80">
        <v>0</v>
      </c>
      <c r="N80">
        <v>0</v>
      </c>
      <c r="O80" t="s">
        <v>13</v>
      </c>
    </row>
    <row r="81" spans="1:15" x14ac:dyDescent="0.3">
      <c r="A81" s="1" t="s">
        <v>240</v>
      </c>
      <c r="B81" t="s">
        <v>72</v>
      </c>
      <c r="C81" t="s">
        <v>241</v>
      </c>
      <c r="D81" t="str">
        <f t="shared" si="1"/>
        <v>Male</v>
      </c>
      <c r="E81" t="s">
        <v>9</v>
      </c>
      <c r="F81" s="2">
        <v>24</v>
      </c>
      <c r="G81" s="2" t="str" cm="1">
        <f t="array" ref="G81">_xlfn.IFS(F81&lt;=8,"Child",F81&lt;=17,"Teen",F81&lt;=35,"Adult",F81&lt;=55,"Seniour Adult",F81&gt;=55,"Old Age")</f>
        <v>Adult</v>
      </c>
      <c r="H81" t="s">
        <v>25</v>
      </c>
      <c r="I81" t="s">
        <v>19</v>
      </c>
      <c r="J81" t="str" cm="1">
        <f t="array" ref="J81">_xlfn.IFS(I81="S","Sauthamptonm",I81="Q","Queentown",I81="C","Cherburg",I81="B","Cabin")</f>
        <v>Cherburg</v>
      </c>
      <c r="K81" t="s">
        <v>15</v>
      </c>
      <c r="L81" s="2">
        <v>26</v>
      </c>
      <c r="M81">
        <v>0</v>
      </c>
      <c r="N81">
        <v>0</v>
      </c>
      <c r="O81" t="s">
        <v>13</v>
      </c>
    </row>
    <row r="82" spans="1:15" x14ac:dyDescent="0.3">
      <c r="A82" s="1" t="s">
        <v>242</v>
      </c>
      <c r="B82" t="s">
        <v>72</v>
      </c>
      <c r="C82" t="s">
        <v>243</v>
      </c>
      <c r="D82" t="str">
        <f t="shared" si="1"/>
        <v>Male</v>
      </c>
      <c r="E82" t="s">
        <v>9</v>
      </c>
      <c r="F82" s="2">
        <v>25</v>
      </c>
      <c r="G82" s="2" t="str" cm="1">
        <f t="array" ref="G82">_xlfn.IFS(F82&lt;=8,"Child",F82&lt;=17,"Teen",F82&lt;=35,"Adult",F82&lt;=55,"Seniour Adult",F82&gt;=55,"Old Age")</f>
        <v>Adult</v>
      </c>
      <c r="H82" t="s">
        <v>25</v>
      </c>
      <c r="I82" t="s">
        <v>19</v>
      </c>
      <c r="J82" t="str" cm="1">
        <f t="array" ref="J82">_xlfn.IFS(I82="S","Sauthamptonm",I82="Q","Queentown",I82="C","Cherburg",I82="B","Cabin")</f>
        <v>Cherburg</v>
      </c>
      <c r="K82" t="s">
        <v>12</v>
      </c>
      <c r="L82" s="2">
        <v>91.0107</v>
      </c>
      <c r="M82">
        <v>1</v>
      </c>
      <c r="N82">
        <v>0</v>
      </c>
      <c r="O82" t="s">
        <v>16</v>
      </c>
    </row>
    <row r="83" spans="1:15" x14ac:dyDescent="0.3">
      <c r="A83" s="1" t="s">
        <v>244</v>
      </c>
      <c r="B83" t="s">
        <v>72</v>
      </c>
      <c r="C83" t="s">
        <v>245</v>
      </c>
      <c r="D83" t="str">
        <f t="shared" si="1"/>
        <v>Male</v>
      </c>
      <c r="E83" t="s">
        <v>9</v>
      </c>
      <c r="F83" s="2">
        <v>18</v>
      </c>
      <c r="G83" s="2" t="str" cm="1">
        <f t="array" ref="G83">_xlfn.IFS(F83&lt;=8,"Child",F83&lt;=17,"Teen",F83&lt;=35,"Adult",F83&lt;=55,"Seniour Adult",F83&gt;=55,"Old Age")</f>
        <v>Adult</v>
      </c>
      <c r="H83" t="s">
        <v>10</v>
      </c>
      <c r="I83" t="s">
        <v>11</v>
      </c>
      <c r="J83" t="str" cm="1">
        <f t="array" ref="J83">_xlfn.IFS(I83="S","Sauthamptonm",I83="Q","Queentown",I83="C","Cherburg",I83="B","Cabin")</f>
        <v>Sauthamptonm</v>
      </c>
      <c r="K83" t="s">
        <v>23</v>
      </c>
      <c r="L83" s="2">
        <v>7.15</v>
      </c>
      <c r="M83">
        <v>0</v>
      </c>
      <c r="N83">
        <v>0</v>
      </c>
      <c r="O83" t="s">
        <v>13</v>
      </c>
    </row>
    <row r="84" spans="1:15" x14ac:dyDescent="0.3">
      <c r="A84" s="1" t="s">
        <v>246</v>
      </c>
      <c r="B84" t="s">
        <v>72</v>
      </c>
      <c r="C84" t="s">
        <v>247</v>
      </c>
      <c r="D84" t="str">
        <f t="shared" si="1"/>
        <v>Male</v>
      </c>
      <c r="E84" t="s">
        <v>9</v>
      </c>
      <c r="F84" s="2">
        <v>28</v>
      </c>
      <c r="G84" s="2" t="str" cm="1">
        <f t="array" ref="G84">_xlfn.IFS(F84&lt;=8,"Child",F84&lt;=17,"Teen",F84&lt;=35,"Adult",F84&lt;=55,"Seniour Adult",F84&gt;=55,"Old Age")</f>
        <v>Adult</v>
      </c>
      <c r="H84" t="s">
        <v>25</v>
      </c>
      <c r="I84" t="s">
        <v>11</v>
      </c>
      <c r="J84" t="str" cm="1">
        <f t="array" ref="J84">_xlfn.IFS(I84="S","Sauthamptonm",I84="Q","Queentown",I84="C","Cherburg",I84="B","Cabin")</f>
        <v>Sauthamptonm</v>
      </c>
      <c r="K84" t="s">
        <v>23</v>
      </c>
      <c r="L84" s="2">
        <v>26.11</v>
      </c>
      <c r="M84">
        <v>0</v>
      </c>
      <c r="N84">
        <v>0</v>
      </c>
      <c r="O84" t="s">
        <v>16</v>
      </c>
    </row>
    <row r="85" spans="1:15" x14ac:dyDescent="0.3">
      <c r="A85" s="1" t="s">
        <v>248</v>
      </c>
      <c r="B85" t="s">
        <v>72</v>
      </c>
      <c r="C85" t="s">
        <v>249</v>
      </c>
      <c r="D85" t="str">
        <f t="shared" si="1"/>
        <v>Male</v>
      </c>
      <c r="E85" t="s">
        <v>9</v>
      </c>
      <c r="F85" s="2">
        <v>45</v>
      </c>
      <c r="G85" s="2" t="str" cm="1">
        <f t="array" ref="G85">_xlfn.IFS(F85&lt;=8,"Child",F85&lt;=17,"Teen",F85&lt;=35,"Adult",F85&lt;=55,"Seniour Adult",F85&gt;=55,"Old Age")</f>
        <v>Seniour Adult</v>
      </c>
      <c r="H85" t="s">
        <v>25</v>
      </c>
      <c r="I85" t="s">
        <v>11</v>
      </c>
      <c r="J85" t="str" cm="1">
        <f t="array" ref="J85">_xlfn.IFS(I85="S","Sauthamptonm",I85="Q","Queentown",I85="C","Cherburg",I85="B","Cabin")</f>
        <v>Sauthamptonm</v>
      </c>
      <c r="K85" t="s">
        <v>12</v>
      </c>
      <c r="L85" s="2">
        <v>35.1</v>
      </c>
      <c r="M85">
        <v>0</v>
      </c>
      <c r="N85">
        <v>0</v>
      </c>
      <c r="O85" t="s">
        <v>13</v>
      </c>
    </row>
    <row r="86" spans="1:15" x14ac:dyDescent="0.3">
      <c r="A86" s="1" t="s">
        <v>250</v>
      </c>
      <c r="B86" t="s">
        <v>72</v>
      </c>
      <c r="C86" t="s">
        <v>251</v>
      </c>
      <c r="D86" t="str">
        <f t="shared" si="1"/>
        <v>Male</v>
      </c>
      <c r="E86" t="s">
        <v>9</v>
      </c>
      <c r="F86" s="2">
        <v>39</v>
      </c>
      <c r="G86" s="2" t="str" cm="1">
        <f t="array" ref="G86">_xlfn.IFS(F86&lt;=8,"Child",F86&lt;=17,"Teen",F86&lt;=35,"Adult",F86&lt;=55,"Seniour Adult",F86&gt;=55,"Old Age")</f>
        <v>Seniour Adult</v>
      </c>
      <c r="H86" t="s">
        <v>25</v>
      </c>
      <c r="I86" t="s">
        <v>19</v>
      </c>
      <c r="J86" t="str" cm="1">
        <f t="array" ref="J86">_xlfn.IFS(I86="S","Sauthamptonm",I86="Q","Queentown",I86="C","Cherburg",I86="B","Cabin")</f>
        <v>Cherburg</v>
      </c>
      <c r="K86" t="s">
        <v>12</v>
      </c>
      <c r="L86" s="2">
        <v>31</v>
      </c>
      <c r="M86">
        <v>0</v>
      </c>
      <c r="N86">
        <v>0</v>
      </c>
      <c r="O86" t="s">
        <v>16</v>
      </c>
    </row>
    <row r="87" spans="1:15" x14ac:dyDescent="0.3">
      <c r="A87" s="1" t="s">
        <v>252</v>
      </c>
      <c r="B87" t="s">
        <v>78</v>
      </c>
      <c r="C87" t="s">
        <v>253</v>
      </c>
      <c r="D87" t="str">
        <f t="shared" si="1"/>
        <v>Female</v>
      </c>
      <c r="E87" t="s">
        <v>14</v>
      </c>
      <c r="F87" s="2">
        <v>30</v>
      </c>
      <c r="G87" s="2" t="str" cm="1">
        <f t="array" ref="G87">_xlfn.IFS(F87&lt;=8,"Child",F87&lt;=17,"Teen",F87&lt;=35,"Adult",F87&lt;=55,"Seniour Adult",F87&gt;=55,"Old Age")</f>
        <v>Adult</v>
      </c>
      <c r="H87" t="s">
        <v>25</v>
      </c>
      <c r="I87" t="s">
        <v>11</v>
      </c>
      <c r="J87" t="str" cm="1">
        <f t="array" ref="J87">_xlfn.IFS(I87="S","Sauthamptonm",I87="Q","Queentown",I87="C","Cherburg",I87="B","Cabin")</f>
        <v>Sauthamptonm</v>
      </c>
      <c r="K87" t="s">
        <v>12</v>
      </c>
      <c r="L87" s="2">
        <v>164.1704</v>
      </c>
      <c r="M87">
        <v>0</v>
      </c>
      <c r="N87">
        <v>0</v>
      </c>
      <c r="O87" t="s">
        <v>16</v>
      </c>
    </row>
    <row r="88" spans="1:15" x14ac:dyDescent="0.3">
      <c r="A88" s="1" t="s">
        <v>255</v>
      </c>
      <c r="B88" t="s">
        <v>72</v>
      </c>
      <c r="C88" t="s">
        <v>256</v>
      </c>
      <c r="D88" t="str">
        <f t="shared" si="1"/>
        <v>Male</v>
      </c>
      <c r="E88" t="s">
        <v>9</v>
      </c>
      <c r="F88" s="2">
        <v>41</v>
      </c>
      <c r="G88" s="2" t="str" cm="1">
        <f t="array" ref="G88">_xlfn.IFS(F88&lt;=8,"Child",F88&lt;=17,"Teen",F88&lt;=35,"Adult",F88&lt;=55,"Seniour Adult",F88&gt;=55,"Old Age")</f>
        <v>Seniour Adult</v>
      </c>
      <c r="H88" t="s">
        <v>25</v>
      </c>
      <c r="I88" t="s">
        <v>11</v>
      </c>
      <c r="J88" t="str" cm="1">
        <f t="array" ref="J88">_xlfn.IFS(I88="S","Sauthamptonm",I88="Q","Queentown",I88="C","Cherburg",I88="B","Cabin")</f>
        <v>Sauthamptonm</v>
      </c>
      <c r="K88" t="s">
        <v>15</v>
      </c>
      <c r="L88" s="2">
        <v>26.11</v>
      </c>
      <c r="M88">
        <v>0</v>
      </c>
      <c r="N88">
        <v>0</v>
      </c>
      <c r="O88" t="s">
        <v>13</v>
      </c>
    </row>
    <row r="89" spans="1:15" x14ac:dyDescent="0.3">
      <c r="A89" s="1" t="s">
        <v>257</v>
      </c>
      <c r="B89" t="s">
        <v>72</v>
      </c>
      <c r="C89" t="s">
        <v>258</v>
      </c>
      <c r="D89" t="str">
        <f t="shared" si="1"/>
        <v>Male</v>
      </c>
      <c r="E89" t="s">
        <v>9</v>
      </c>
      <c r="F89" s="2">
        <v>26</v>
      </c>
      <c r="G89" s="2" t="str" cm="1">
        <f t="array" ref="G89">_xlfn.IFS(F89&lt;=8,"Child",F89&lt;=17,"Teen",F89&lt;=35,"Adult",F89&lt;=55,"Seniour Adult",F89&gt;=55,"Old Age")</f>
        <v>Adult</v>
      </c>
      <c r="H89" t="s">
        <v>10</v>
      </c>
      <c r="I89" t="s">
        <v>11</v>
      </c>
      <c r="J89" t="str" cm="1">
        <f t="array" ref="J89">_xlfn.IFS(I89="S","Sauthamptonm",I89="Q","Queentown",I89="C","Cherburg",I89="B","Cabin")</f>
        <v>Sauthamptonm</v>
      </c>
      <c r="K89" t="s">
        <v>15</v>
      </c>
      <c r="L89" s="2">
        <v>7.1711</v>
      </c>
      <c r="M89">
        <v>0</v>
      </c>
      <c r="N89">
        <v>0</v>
      </c>
      <c r="O89" t="s">
        <v>13</v>
      </c>
    </row>
    <row r="90" spans="1:15" x14ac:dyDescent="0.3">
      <c r="A90" s="1" t="s">
        <v>259</v>
      </c>
      <c r="B90" t="s">
        <v>72</v>
      </c>
      <c r="C90" t="s">
        <v>260</v>
      </c>
      <c r="D90" t="str">
        <f t="shared" si="1"/>
        <v>Male</v>
      </c>
      <c r="E90" t="s">
        <v>9</v>
      </c>
      <c r="F90" s="2">
        <v>25</v>
      </c>
      <c r="G90" s="2" t="str" cm="1">
        <f t="array" ref="G90">_xlfn.IFS(F90&lt;=8,"Child",F90&lt;=17,"Teen",F90&lt;=35,"Adult",F90&lt;=55,"Seniour Adult",F90&gt;=55,"Old Age")</f>
        <v>Adult</v>
      </c>
      <c r="H90" t="s">
        <v>18</v>
      </c>
      <c r="I90" t="s">
        <v>11</v>
      </c>
      <c r="J90" t="str" cm="1">
        <f t="array" ref="J90">_xlfn.IFS(I90="S","Sauthamptonm",I90="Q","Queentown",I90="C","Cherburg",I90="B","Cabin")</f>
        <v>Sauthamptonm</v>
      </c>
      <c r="K90" t="s">
        <v>12</v>
      </c>
      <c r="L90" s="2">
        <v>13</v>
      </c>
      <c r="M90">
        <v>0</v>
      </c>
      <c r="N90">
        <v>0</v>
      </c>
      <c r="O90" t="s">
        <v>13</v>
      </c>
    </row>
    <row r="91" spans="1:15" x14ac:dyDescent="0.3">
      <c r="A91" s="1" t="s">
        <v>261</v>
      </c>
      <c r="B91" t="s">
        <v>78</v>
      </c>
      <c r="C91" t="s">
        <v>262</v>
      </c>
      <c r="D91" t="str">
        <f t="shared" si="1"/>
        <v>Female</v>
      </c>
      <c r="E91" t="s">
        <v>14</v>
      </c>
      <c r="F91" s="2">
        <v>40</v>
      </c>
      <c r="G91" s="2" t="str" cm="1">
        <f t="array" ref="G91">_xlfn.IFS(F91&lt;=8,"Child",F91&lt;=17,"Teen",F91&lt;=35,"Adult",F91&lt;=55,"Seniour Adult",F91&gt;=55,"Old Age")</f>
        <v>Seniour Adult</v>
      </c>
      <c r="H91" t="s">
        <v>10</v>
      </c>
      <c r="I91" t="s">
        <v>36</v>
      </c>
      <c r="J91" t="str" cm="1">
        <f t="array" ref="J91">_xlfn.IFS(I91="S","Sauthamptonm",I91="Q","Queentown",I91="C","Cherburg",I91="B","Cabin")</f>
        <v>Queentown</v>
      </c>
      <c r="K91" t="s">
        <v>37</v>
      </c>
      <c r="L91" s="2">
        <v>7.15</v>
      </c>
      <c r="M91">
        <v>0</v>
      </c>
      <c r="N91">
        <v>2</v>
      </c>
      <c r="O91" t="s">
        <v>13</v>
      </c>
    </row>
    <row r="92" spans="1:15" x14ac:dyDescent="0.3">
      <c r="A92" s="1" t="s">
        <v>264</v>
      </c>
      <c r="B92" t="s">
        <v>78</v>
      </c>
      <c r="C92" t="s">
        <v>265</v>
      </c>
      <c r="D92" t="str">
        <f t="shared" si="1"/>
        <v>Female</v>
      </c>
      <c r="E92" t="s">
        <v>14</v>
      </c>
      <c r="F92" s="2">
        <v>45</v>
      </c>
      <c r="G92" s="2" t="str" cm="1">
        <f t="array" ref="G92">_xlfn.IFS(F92&lt;=8,"Child",F92&lt;=17,"Teen",F92&lt;=35,"Adult",F92&lt;=55,"Seniour Adult",F92&gt;=55,"Old Age")</f>
        <v>Seniour Adult</v>
      </c>
      <c r="H92" t="s">
        <v>25</v>
      </c>
      <c r="I92" t="s">
        <v>19</v>
      </c>
      <c r="J92" t="str" cm="1">
        <f t="array" ref="J92">_xlfn.IFS(I92="S","Sauthamptonm",I92="Q","Queentown",I92="C","Cherburg",I92="B","Cabin")</f>
        <v>Cherburg</v>
      </c>
      <c r="K92" t="s">
        <v>12</v>
      </c>
      <c r="L92" s="2">
        <v>262.07060000000001</v>
      </c>
      <c r="M92">
        <v>0</v>
      </c>
      <c r="N92">
        <v>0</v>
      </c>
      <c r="O92" t="s">
        <v>16</v>
      </c>
    </row>
    <row r="93" spans="1:15" x14ac:dyDescent="0.3">
      <c r="A93" s="1" t="s">
        <v>266</v>
      </c>
      <c r="B93" t="s">
        <v>72</v>
      </c>
      <c r="C93" t="s">
        <v>267</v>
      </c>
      <c r="D93" t="str">
        <f t="shared" si="1"/>
        <v>Male</v>
      </c>
      <c r="E93" t="s">
        <v>9</v>
      </c>
      <c r="F93" s="2">
        <v>42</v>
      </c>
      <c r="G93" s="2" t="str" cm="1">
        <f t="array" ref="G93">_xlfn.IFS(F93&lt;=8,"Child",F93&lt;=17,"Teen",F93&lt;=35,"Adult",F93&lt;=55,"Seniour Adult",F93&gt;=55,"Old Age")</f>
        <v>Seniour Adult</v>
      </c>
      <c r="H93" t="s">
        <v>18</v>
      </c>
      <c r="I93" t="s">
        <v>11</v>
      </c>
      <c r="J93" t="str" cm="1">
        <f t="array" ref="J93">_xlfn.IFS(I93="S","Sauthamptonm",I93="Q","Queentown",I93="C","Cherburg",I93="B","Cabin")</f>
        <v>Sauthamptonm</v>
      </c>
      <c r="K93" t="s">
        <v>15</v>
      </c>
      <c r="L93" s="2">
        <v>13</v>
      </c>
      <c r="M93">
        <v>0</v>
      </c>
      <c r="N93">
        <v>0</v>
      </c>
      <c r="O93" t="s">
        <v>13</v>
      </c>
    </row>
    <row r="94" spans="1:15" x14ac:dyDescent="0.3">
      <c r="A94" s="1" t="s">
        <v>268</v>
      </c>
      <c r="B94" t="s">
        <v>78</v>
      </c>
      <c r="C94" t="s">
        <v>269</v>
      </c>
      <c r="D94" t="str">
        <f t="shared" si="1"/>
        <v>Female</v>
      </c>
      <c r="E94" t="s">
        <v>14</v>
      </c>
      <c r="F94" s="2">
        <v>22</v>
      </c>
      <c r="G94" s="2" t="str" cm="1">
        <f t="array" ref="G94">_xlfn.IFS(F94&lt;=8,"Child",F94&lt;=17,"Teen",F94&lt;=35,"Adult",F94&lt;=55,"Seniour Adult",F94&gt;=55,"Old Age")</f>
        <v>Adult</v>
      </c>
      <c r="H94" t="s">
        <v>25</v>
      </c>
      <c r="I94" t="s">
        <v>11</v>
      </c>
      <c r="J94" t="str" cm="1">
        <f t="array" ref="J94">_xlfn.IFS(I94="S","Sauthamptonm",I94="Q","Queentown",I94="C","Cherburg",I94="B","Cabin")</f>
        <v>Sauthamptonm</v>
      </c>
      <c r="K94" t="s">
        <v>15</v>
      </c>
      <c r="L94" s="2">
        <v>55</v>
      </c>
      <c r="M94">
        <v>0</v>
      </c>
      <c r="N94">
        <v>1</v>
      </c>
      <c r="O94" t="s">
        <v>16</v>
      </c>
    </row>
    <row r="95" spans="1:15" x14ac:dyDescent="0.3">
      <c r="A95" s="1" t="s">
        <v>270</v>
      </c>
      <c r="B95" t="s">
        <v>72</v>
      </c>
      <c r="C95" t="s">
        <v>271</v>
      </c>
      <c r="D95" t="str">
        <f t="shared" si="1"/>
        <v>Male</v>
      </c>
      <c r="E95" t="s">
        <v>9</v>
      </c>
      <c r="F95" s="2">
        <v>30</v>
      </c>
      <c r="G95" s="2" t="str" cm="1">
        <f t="array" ref="G95">_xlfn.IFS(F95&lt;=8,"Child",F95&lt;=17,"Teen",F95&lt;=35,"Adult",F95&lt;=55,"Seniour Adult",F95&gt;=55,"Old Age")</f>
        <v>Adult</v>
      </c>
      <c r="H95" t="s">
        <v>18</v>
      </c>
      <c r="I95" t="s">
        <v>11</v>
      </c>
      <c r="J95" t="str" cm="1">
        <f t="array" ref="J95">_xlfn.IFS(I95="S","Sauthamptonm",I95="Q","Queentown",I95="C","Cherburg",I95="B","Cabin")</f>
        <v>Sauthamptonm</v>
      </c>
      <c r="K95" t="s">
        <v>12</v>
      </c>
      <c r="L95" s="2">
        <v>13</v>
      </c>
      <c r="M95">
        <v>0</v>
      </c>
      <c r="N95">
        <v>0</v>
      </c>
      <c r="O95" t="s">
        <v>13</v>
      </c>
    </row>
    <row r="96" spans="1:15" x14ac:dyDescent="0.3">
      <c r="A96" s="1" t="s">
        <v>272</v>
      </c>
      <c r="B96" t="s">
        <v>78</v>
      </c>
      <c r="C96" t="s">
        <v>273</v>
      </c>
      <c r="D96" t="str">
        <f t="shared" si="1"/>
        <v>Female</v>
      </c>
      <c r="E96" t="s">
        <v>14</v>
      </c>
      <c r="F96" s="2">
        <v>22</v>
      </c>
      <c r="G96" s="2" t="str" cm="1">
        <f t="array" ref="G96">_xlfn.IFS(F96&lt;=8,"Child",F96&lt;=17,"Teen",F96&lt;=35,"Adult",F96&lt;=55,"Seniour Adult",F96&gt;=55,"Old Age")</f>
        <v>Adult</v>
      </c>
      <c r="H96" t="s">
        <v>10</v>
      </c>
      <c r="I96" t="s">
        <v>36</v>
      </c>
      <c r="J96" t="str" cm="1">
        <f t="array" ref="J96">_xlfn.IFS(I96="S","Sauthamptonm",I96="Q","Queentown",I96="C","Cherburg",I96="B","Cabin")</f>
        <v>Queentown</v>
      </c>
      <c r="K96" t="s">
        <v>37</v>
      </c>
      <c r="L96" s="2">
        <v>7.1406000000000001</v>
      </c>
      <c r="M96">
        <v>0</v>
      </c>
      <c r="N96">
        <v>0</v>
      </c>
      <c r="O96" t="s">
        <v>16</v>
      </c>
    </row>
    <row r="97" spans="1:15" x14ac:dyDescent="0.3">
      <c r="A97" s="1" t="s">
        <v>274</v>
      </c>
      <c r="B97" t="s">
        <v>72</v>
      </c>
      <c r="C97" t="s">
        <v>275</v>
      </c>
      <c r="D97" t="str">
        <f t="shared" si="1"/>
        <v>Male</v>
      </c>
      <c r="E97" t="s">
        <v>9</v>
      </c>
      <c r="F97" s="2">
        <v>41</v>
      </c>
      <c r="G97" s="2" t="str" cm="1">
        <f t="array" ref="G97">_xlfn.IFS(F97&lt;=8,"Child",F97&lt;=17,"Teen",F97&lt;=35,"Adult",F97&lt;=55,"Seniour Adult",F97&gt;=55,"Old Age")</f>
        <v>Seniour Adult</v>
      </c>
      <c r="H97" t="s">
        <v>25</v>
      </c>
      <c r="I97" t="s">
        <v>11</v>
      </c>
      <c r="J97" t="str" cm="1">
        <f t="array" ref="J97">_xlfn.IFS(I97="S","Sauthamptonm",I97="Q","Queentown",I97="C","Cherburg",I97="B","Cabin")</f>
        <v>Sauthamptonm</v>
      </c>
      <c r="K97" t="s">
        <v>12</v>
      </c>
      <c r="L97" s="2">
        <v>30.1</v>
      </c>
      <c r="M97">
        <v>0</v>
      </c>
      <c r="N97">
        <v>0</v>
      </c>
      <c r="O97" t="s">
        <v>13</v>
      </c>
    </row>
    <row r="98" spans="1:15" x14ac:dyDescent="0.3">
      <c r="A98" s="1" t="s">
        <v>276</v>
      </c>
      <c r="B98" t="s">
        <v>78</v>
      </c>
      <c r="C98" t="s">
        <v>277</v>
      </c>
      <c r="D98" t="str">
        <f t="shared" si="1"/>
        <v>Female</v>
      </c>
      <c r="E98" t="s">
        <v>14</v>
      </c>
      <c r="F98" s="2">
        <v>20</v>
      </c>
      <c r="G98" s="2" t="str" cm="1">
        <f t="array" ref="G98">_xlfn.IFS(F98&lt;=8,"Child",F98&lt;=17,"Teen",F98&lt;=35,"Adult",F98&lt;=55,"Seniour Adult",F98&gt;=55,"Old Age")</f>
        <v>Adult</v>
      </c>
      <c r="H98" t="s">
        <v>10</v>
      </c>
      <c r="I98" t="s">
        <v>11</v>
      </c>
      <c r="J98" t="str" cm="1">
        <f t="array" ref="J98">_xlfn.IFS(I98="S","Sauthamptonm",I98="Q","Queentown",I98="C","Cherburg",I98="B","Cabin")</f>
        <v>Sauthamptonm</v>
      </c>
      <c r="K98" t="s">
        <v>23</v>
      </c>
      <c r="L98" s="2">
        <v>7.1700999999999997</v>
      </c>
      <c r="M98">
        <v>0</v>
      </c>
      <c r="N98">
        <v>0</v>
      </c>
      <c r="O98" t="s">
        <v>13</v>
      </c>
    </row>
    <row r="99" spans="1:15" x14ac:dyDescent="0.3">
      <c r="A99" s="1" t="s">
        <v>278</v>
      </c>
      <c r="B99" t="s">
        <v>72</v>
      </c>
      <c r="C99" t="s">
        <v>279</v>
      </c>
      <c r="D99" t="str">
        <f t="shared" si="1"/>
        <v>Male</v>
      </c>
      <c r="E99" t="s">
        <v>9</v>
      </c>
      <c r="F99" s="2">
        <v>24</v>
      </c>
      <c r="G99" s="2" t="str" cm="1">
        <f t="array" ref="G99">_xlfn.IFS(F99&lt;=8,"Child",F99&lt;=17,"Teen",F99&lt;=35,"Adult",F99&lt;=55,"Seniour Adult",F99&gt;=55,"Old Age")</f>
        <v>Adult</v>
      </c>
      <c r="H99" t="s">
        <v>18</v>
      </c>
      <c r="I99" t="s">
        <v>11</v>
      </c>
      <c r="J99" t="str" cm="1">
        <f t="array" ref="J99">_xlfn.IFS(I99="S","Sauthamptonm",I99="Q","Queentown",I99="C","Cherburg",I99="B","Cabin")</f>
        <v>Sauthamptonm</v>
      </c>
      <c r="K99" t="s">
        <v>15</v>
      </c>
      <c r="L99" s="2">
        <v>29</v>
      </c>
      <c r="M99">
        <v>0</v>
      </c>
      <c r="N99" t="s">
        <v>30</v>
      </c>
      <c r="O99" t="s">
        <v>13</v>
      </c>
    </row>
    <row r="100" spans="1:15" x14ac:dyDescent="0.3">
      <c r="A100" s="1" t="s">
        <v>280</v>
      </c>
      <c r="B100" t="s">
        <v>72</v>
      </c>
      <c r="C100" t="s">
        <v>281</v>
      </c>
      <c r="D100" t="str">
        <f t="shared" si="1"/>
        <v>Male</v>
      </c>
      <c r="E100" t="s">
        <v>9</v>
      </c>
      <c r="F100" s="2">
        <v>48</v>
      </c>
      <c r="G100" s="2" t="str" cm="1">
        <f t="array" ref="G100">_xlfn.IFS(F100&lt;=8,"Child",F100&lt;=17,"Teen",F100&lt;=35,"Adult",F100&lt;=55,"Seniour Adult",F100&gt;=55,"Old Age")</f>
        <v>Seniour Adult</v>
      </c>
      <c r="H100" t="s">
        <v>25</v>
      </c>
      <c r="I100" t="s">
        <v>19</v>
      </c>
      <c r="J100" t="str" cm="1">
        <f t="array" ref="J100">_xlfn.IFS(I100="S","Sauthamptonm",I100="Q","Queentown",I100="C","Cherburg",I100="B","Cabin")</f>
        <v>Cherburg</v>
      </c>
      <c r="K100" t="s">
        <v>12</v>
      </c>
      <c r="L100" s="2">
        <v>50.091099999999997</v>
      </c>
      <c r="M100">
        <v>0</v>
      </c>
      <c r="N100">
        <v>0</v>
      </c>
      <c r="O100" t="s">
        <v>13</v>
      </c>
    </row>
    <row r="101" spans="1:15" x14ac:dyDescent="0.3">
      <c r="A101" s="1" t="s">
        <v>282</v>
      </c>
      <c r="B101" t="s">
        <v>72</v>
      </c>
      <c r="C101" t="s">
        <v>283</v>
      </c>
      <c r="D101" t="str">
        <f t="shared" si="1"/>
        <v>Male</v>
      </c>
      <c r="E101" t="s">
        <v>9</v>
      </c>
      <c r="F101" s="2">
        <v>29</v>
      </c>
      <c r="G101" s="2" t="str" cm="1">
        <f t="array" ref="G101">_xlfn.IFS(F101&lt;=8,"Child",F101&lt;=17,"Teen",F101&lt;=35,"Adult",F101&lt;=55,"Seniour Adult",F101&gt;=55,"Old Age")</f>
        <v>Adult</v>
      </c>
      <c r="H101" t="s">
        <v>10</v>
      </c>
      <c r="I101" t="s">
        <v>11</v>
      </c>
      <c r="J101" t="str" cm="1">
        <f t="array" ref="J101">_xlfn.IFS(I101="S","Sauthamptonm",I101="Q","Queentown",I101="C","Cherburg",I101="B","Cabin")</f>
        <v>Sauthamptonm</v>
      </c>
      <c r="K101" t="s">
        <v>15</v>
      </c>
      <c r="L101" s="2">
        <v>7</v>
      </c>
      <c r="M101">
        <v>1</v>
      </c>
      <c r="N101">
        <v>0</v>
      </c>
      <c r="O101" t="s">
        <v>13</v>
      </c>
    </row>
    <row r="102" spans="1:15" x14ac:dyDescent="0.3">
      <c r="A102" s="1" t="s">
        <v>284</v>
      </c>
      <c r="B102" t="s">
        <v>72</v>
      </c>
      <c r="C102" t="s">
        <v>285</v>
      </c>
      <c r="D102" t="str">
        <f t="shared" si="1"/>
        <v>Male</v>
      </c>
      <c r="E102" t="s">
        <v>9</v>
      </c>
      <c r="F102" s="2">
        <v>37</v>
      </c>
      <c r="G102" s="2" t="str" cm="1">
        <f t="array" ref="G102">_xlfn.IFS(F102&lt;=8,"Child",F102&lt;=17,"Teen",F102&lt;=35,"Adult",F102&lt;=55,"Seniour Adult",F102&gt;=55,"Old Age")</f>
        <v>Seniour Adult</v>
      </c>
      <c r="H102" t="s">
        <v>25</v>
      </c>
      <c r="I102" t="s">
        <v>11</v>
      </c>
      <c r="J102" t="str" cm="1">
        <f t="array" ref="J102">_xlfn.IFS(I102="S","Sauthamptonm",I102="Q","Queentown",I102="C","Cherburg",I102="B","Cabin")</f>
        <v>Sauthamptonm</v>
      </c>
      <c r="K102" t="s">
        <v>12</v>
      </c>
      <c r="L102" s="2">
        <v>26.11</v>
      </c>
      <c r="M102">
        <v>0</v>
      </c>
      <c r="N102">
        <v>0</v>
      </c>
      <c r="O102" t="s">
        <v>16</v>
      </c>
    </row>
    <row r="103" spans="1:15" x14ac:dyDescent="0.3">
      <c r="A103" s="1" t="s">
        <v>286</v>
      </c>
      <c r="B103" t="s">
        <v>287</v>
      </c>
      <c r="C103" t="s">
        <v>288</v>
      </c>
      <c r="D103" t="str">
        <f t="shared" si="1"/>
        <v>Male</v>
      </c>
      <c r="E103" t="s">
        <v>9</v>
      </c>
      <c r="F103" s="2">
        <v>46</v>
      </c>
      <c r="G103" s="2" t="str" cm="1">
        <f t="array" ref="G103">_xlfn.IFS(F103&lt;=8,"Child",F103&lt;=17,"Teen",F103&lt;=35,"Adult",F103&lt;=55,"Seniour Adult",F103&gt;=55,"Old Age")</f>
        <v>Seniour Adult</v>
      </c>
      <c r="H103" t="s">
        <v>25</v>
      </c>
      <c r="I103" t="s">
        <v>19</v>
      </c>
      <c r="J103" t="str" cm="1">
        <f t="array" ref="J103">_xlfn.IFS(I103="S","Sauthamptonm",I103="Q","Queentown",I103="C","Cherburg",I103="B","Cabin")</f>
        <v>Cherburg</v>
      </c>
      <c r="K103" t="s">
        <v>12</v>
      </c>
      <c r="L103" s="2">
        <v>39.119999999999997</v>
      </c>
      <c r="M103">
        <v>0</v>
      </c>
      <c r="N103">
        <v>0</v>
      </c>
      <c r="O103" t="s">
        <v>13</v>
      </c>
    </row>
    <row r="104" spans="1:15" x14ac:dyDescent="0.3">
      <c r="A104" s="1" t="s">
        <v>289</v>
      </c>
      <c r="B104" t="s">
        <v>72</v>
      </c>
      <c r="C104" t="s">
        <v>290</v>
      </c>
      <c r="D104" t="str">
        <f t="shared" si="1"/>
        <v>Male</v>
      </c>
      <c r="E104" t="s">
        <v>9</v>
      </c>
      <c r="F104" s="2">
        <v>20</v>
      </c>
      <c r="G104" s="2" t="str" cm="1">
        <f t="array" ref="G104">_xlfn.IFS(F104&lt;=8,"Child",F104&lt;=17,"Teen",F104&lt;=35,"Adult",F104&lt;=55,"Seniour Adult",F104&gt;=55,"Old Age")</f>
        <v>Adult</v>
      </c>
      <c r="H104" t="s">
        <v>18</v>
      </c>
      <c r="I104" t="s">
        <v>11</v>
      </c>
      <c r="J104" t="str" cm="1">
        <f t="array" ref="J104">_xlfn.IFS(I104="S","Sauthamptonm",I104="Q","Queentown",I104="C","Cherburg",I104="B","Cabin")</f>
        <v>Sauthamptonm</v>
      </c>
      <c r="K104" t="s">
        <v>20</v>
      </c>
      <c r="L104" s="2">
        <v>29</v>
      </c>
      <c r="M104">
        <v>0</v>
      </c>
      <c r="N104" t="s">
        <v>30</v>
      </c>
      <c r="O104" t="s">
        <v>13</v>
      </c>
    </row>
    <row r="105" spans="1:15" x14ac:dyDescent="0.3">
      <c r="A105" s="1" t="s">
        <v>291</v>
      </c>
      <c r="B105" t="s">
        <v>72</v>
      </c>
      <c r="C105" t="s">
        <v>292</v>
      </c>
      <c r="D105" t="str">
        <f t="shared" si="1"/>
        <v>Male</v>
      </c>
      <c r="E105" t="s">
        <v>9</v>
      </c>
      <c r="F105" s="2">
        <v>32</v>
      </c>
      <c r="G105" s="2" t="str" cm="1">
        <f t="array" ref="G105">_xlfn.IFS(F105&lt;=8,"Child",F105&lt;=17,"Teen",F105&lt;=35,"Adult",F105&lt;=55,"Seniour Adult",F105&gt;=55,"Old Age")</f>
        <v>Adult</v>
      </c>
      <c r="H105" t="s">
        <v>18</v>
      </c>
      <c r="I105" t="s">
        <v>11</v>
      </c>
      <c r="J105" t="str" cm="1">
        <f t="array" ref="J105">_xlfn.IFS(I105="S","Sauthamptonm",I105="Q","Queentown",I105="C","Cherburg",I105="B","Cabin")</f>
        <v>Sauthamptonm</v>
      </c>
      <c r="K105" t="s">
        <v>15</v>
      </c>
      <c r="L105" s="2">
        <v>13</v>
      </c>
      <c r="M105">
        <v>0</v>
      </c>
      <c r="N105">
        <v>0</v>
      </c>
      <c r="O105" t="s">
        <v>13</v>
      </c>
    </row>
    <row r="106" spans="1:15" x14ac:dyDescent="0.3">
      <c r="A106" s="1" t="s">
        <v>293</v>
      </c>
      <c r="B106" t="s">
        <v>72</v>
      </c>
      <c r="C106" t="s">
        <v>294</v>
      </c>
      <c r="D106" t="str">
        <f t="shared" si="1"/>
        <v>Male</v>
      </c>
      <c r="E106" t="s">
        <v>9</v>
      </c>
      <c r="F106" s="2">
        <v>22</v>
      </c>
      <c r="G106" s="2" t="str" cm="1">
        <f t="array" ref="G106">_xlfn.IFS(F106&lt;=8,"Child",F106&lt;=17,"Teen",F106&lt;=35,"Adult",F106&lt;=55,"Seniour Adult",F106&gt;=55,"Old Age")</f>
        <v>Adult</v>
      </c>
      <c r="H106" t="s">
        <v>10</v>
      </c>
      <c r="I106" t="s">
        <v>11</v>
      </c>
      <c r="J106" t="str" cm="1">
        <f t="array" ref="J106">_xlfn.IFS(I106="S","Sauthamptonm",I106="Q","Queentown",I106="C","Cherburg",I106="B","Cabin")</f>
        <v>Sauthamptonm</v>
      </c>
      <c r="K106" t="s">
        <v>23</v>
      </c>
      <c r="L106" s="2">
        <v>7.1510999999999996</v>
      </c>
      <c r="M106">
        <v>0</v>
      </c>
      <c r="N106">
        <v>0</v>
      </c>
      <c r="O106" t="s">
        <v>13</v>
      </c>
    </row>
    <row r="107" spans="1:15" x14ac:dyDescent="0.3">
      <c r="A107" s="1" t="s">
        <v>295</v>
      </c>
      <c r="B107" t="s">
        <v>72</v>
      </c>
      <c r="C107" t="s">
        <v>296</v>
      </c>
      <c r="D107" t="str">
        <f t="shared" si="1"/>
        <v>Male</v>
      </c>
      <c r="E107" t="s">
        <v>9</v>
      </c>
      <c r="F107" s="2">
        <v>40</v>
      </c>
      <c r="G107" s="2" t="str" cm="1">
        <f t="array" ref="G107">_xlfn.IFS(F107&lt;=8,"Child",F107&lt;=17,"Teen",F107&lt;=35,"Adult",F107&lt;=55,"Seniour Adult",F107&gt;=55,"Old Age")</f>
        <v>Seniour Adult</v>
      </c>
      <c r="H107" t="s">
        <v>10</v>
      </c>
      <c r="I107" t="s">
        <v>11</v>
      </c>
      <c r="J107" t="str" cm="1">
        <f t="array" ref="J107">_xlfn.IFS(I107="S","Sauthamptonm",I107="Q","Queentown",I107="C","Cherburg",I107="B","Cabin")</f>
        <v>Sauthamptonm</v>
      </c>
      <c r="K107" t="s">
        <v>15</v>
      </c>
      <c r="L107" s="2">
        <v>8.01</v>
      </c>
      <c r="M107">
        <v>0</v>
      </c>
      <c r="N107">
        <v>0</v>
      </c>
      <c r="O107" t="s">
        <v>13</v>
      </c>
    </row>
    <row r="108" spans="1:15" x14ac:dyDescent="0.3">
      <c r="A108" s="1" t="s">
        <v>297</v>
      </c>
      <c r="B108" t="s">
        <v>78</v>
      </c>
      <c r="C108" t="s">
        <v>298</v>
      </c>
      <c r="D108" t="str">
        <f t="shared" si="1"/>
        <v>Female</v>
      </c>
      <c r="E108" t="s">
        <v>14</v>
      </c>
      <c r="F108" s="2">
        <v>18</v>
      </c>
      <c r="G108" s="2" t="str" cm="1">
        <f t="array" ref="G108">_xlfn.IFS(F108&lt;=8,"Child",F108&lt;=17,"Teen",F108&lt;=35,"Adult",F108&lt;=55,"Seniour Adult",F108&gt;=55,"Old Age")</f>
        <v>Adult</v>
      </c>
      <c r="H108" t="s">
        <v>18</v>
      </c>
      <c r="I108" t="s">
        <v>11</v>
      </c>
      <c r="J108" t="str" cm="1">
        <f t="array" ref="J108">_xlfn.IFS(I108="S","Sauthamptonm",I108="Q","Queentown",I108="C","Cherburg",I108="B","Cabin")</f>
        <v>Sauthamptonm</v>
      </c>
      <c r="K108" t="s">
        <v>15</v>
      </c>
      <c r="L108" s="2">
        <v>13</v>
      </c>
      <c r="M108">
        <v>0</v>
      </c>
      <c r="N108">
        <v>0</v>
      </c>
      <c r="O108" t="s">
        <v>16</v>
      </c>
    </row>
    <row r="109" spans="1:15" x14ac:dyDescent="0.3">
      <c r="A109" s="1" t="s">
        <v>300</v>
      </c>
      <c r="B109" t="s">
        <v>78</v>
      </c>
      <c r="C109" t="s">
        <v>301</v>
      </c>
      <c r="D109" t="str">
        <f t="shared" si="1"/>
        <v>Female</v>
      </c>
      <c r="E109" t="s">
        <v>14</v>
      </c>
      <c r="F109" s="2">
        <v>20</v>
      </c>
      <c r="G109" s="2" t="str" cm="1">
        <f t="array" ref="G109">_xlfn.IFS(F109&lt;=8,"Child",F109&lt;=17,"Teen",F109&lt;=35,"Adult",F109&lt;=55,"Seniour Adult",F109&gt;=55,"Old Age")</f>
        <v>Adult</v>
      </c>
      <c r="H109" t="s">
        <v>18</v>
      </c>
      <c r="I109" t="s">
        <v>11</v>
      </c>
      <c r="J109" t="str" cm="1">
        <f t="array" ref="J109">_xlfn.IFS(I109="S","Sauthamptonm",I109="Q","Queentown",I109="C","Cherburg",I109="B","Cabin")</f>
        <v>Sauthamptonm</v>
      </c>
      <c r="K109" t="s">
        <v>23</v>
      </c>
      <c r="L109" s="2">
        <v>26</v>
      </c>
      <c r="M109">
        <v>1</v>
      </c>
      <c r="N109">
        <v>0</v>
      </c>
      <c r="O109" t="s">
        <v>16</v>
      </c>
    </row>
    <row r="110" spans="1:15" x14ac:dyDescent="0.3">
      <c r="A110" s="1" t="s">
        <v>302</v>
      </c>
      <c r="B110" t="s">
        <v>78</v>
      </c>
      <c r="C110" t="s">
        <v>303</v>
      </c>
      <c r="D110" t="str">
        <f t="shared" si="1"/>
        <v>Female</v>
      </c>
      <c r="E110" t="s">
        <v>14</v>
      </c>
      <c r="F110" s="2">
        <v>22</v>
      </c>
      <c r="G110" s="2" t="str" cm="1">
        <f t="array" ref="G110">_xlfn.IFS(F110&lt;=8,"Child",F110&lt;=17,"Teen",F110&lt;=35,"Adult",F110&lt;=55,"Seniour Adult",F110&gt;=55,"Old Age")</f>
        <v>Adult</v>
      </c>
      <c r="H110" t="s">
        <v>10</v>
      </c>
      <c r="I110" t="s">
        <v>36</v>
      </c>
      <c r="J110" t="str" cm="1">
        <f t="array" ref="J110">_xlfn.IFS(I110="S","Sauthamptonm",I110="Q","Queentown",I110="C","Cherburg",I110="B","Cabin")</f>
        <v>Queentown</v>
      </c>
      <c r="K110" t="s">
        <v>37</v>
      </c>
      <c r="L110" s="2">
        <v>7.0507999999999997</v>
      </c>
      <c r="M110">
        <v>0</v>
      </c>
      <c r="N110">
        <v>0</v>
      </c>
      <c r="O110" t="s">
        <v>13</v>
      </c>
    </row>
    <row r="111" spans="1:15" x14ac:dyDescent="0.3">
      <c r="A111" s="1" t="s">
        <v>305</v>
      </c>
      <c r="B111" t="s">
        <v>76</v>
      </c>
      <c r="C111" t="s">
        <v>306</v>
      </c>
      <c r="D111" t="str">
        <f t="shared" si="1"/>
        <v>Female</v>
      </c>
      <c r="E111" t="s">
        <v>14</v>
      </c>
      <c r="F111" s="2">
        <v>58</v>
      </c>
      <c r="G111" s="2" t="str" cm="1">
        <f t="array" ref="G111">_xlfn.IFS(F111&lt;=8,"Child",F111&lt;=17,"Teen",F111&lt;=35,"Adult",F111&lt;=55,"Seniour Adult",F111&gt;=55,"Old Age")</f>
        <v>Old Age</v>
      </c>
      <c r="H111" t="s">
        <v>25</v>
      </c>
      <c r="I111" t="s">
        <v>19</v>
      </c>
      <c r="J111" t="str" cm="1">
        <f t="array" ref="J111">_xlfn.IFS(I111="S","Sauthamptonm",I111="Q","Queentown",I111="C","Cherburg",I111="B","Cabin")</f>
        <v>Cherburg</v>
      </c>
      <c r="K111" t="s">
        <v>39</v>
      </c>
      <c r="L111" s="2">
        <v>76.051000000000002</v>
      </c>
      <c r="M111">
        <v>0</v>
      </c>
      <c r="N111">
        <v>0</v>
      </c>
      <c r="O111" t="s">
        <v>16</v>
      </c>
    </row>
    <row r="112" spans="1:15" x14ac:dyDescent="0.3">
      <c r="A112" s="1" t="s">
        <v>307</v>
      </c>
      <c r="B112" t="s">
        <v>94</v>
      </c>
      <c r="C112" t="s">
        <v>308</v>
      </c>
      <c r="D112" t="str">
        <f t="shared" si="1"/>
        <v>Male</v>
      </c>
      <c r="E112" t="s">
        <v>9</v>
      </c>
      <c r="F112" s="2">
        <v>7</v>
      </c>
      <c r="G112" s="2" t="str" cm="1">
        <f t="array" ref="G112">_xlfn.IFS(F112&lt;=8,"Child",F112&lt;=17,"Teen",F112&lt;=35,"Adult",F112&lt;=55,"Seniour Adult",F112&gt;=55,"Old Age")</f>
        <v>Child</v>
      </c>
      <c r="H112" t="s">
        <v>10</v>
      </c>
      <c r="I112" t="s">
        <v>19</v>
      </c>
      <c r="J112" t="str" cm="1">
        <f t="array" ref="J112">_xlfn.IFS(I112="S","Sauthamptonm",I112="Q","Queentown",I112="C","Cherburg",I112="B","Cabin")</f>
        <v>Cherburg</v>
      </c>
      <c r="K112" t="s">
        <v>21</v>
      </c>
      <c r="L112" s="2">
        <v>15.0411</v>
      </c>
      <c r="M112">
        <v>1</v>
      </c>
      <c r="N112">
        <v>1</v>
      </c>
      <c r="O112" t="s">
        <v>13</v>
      </c>
    </row>
    <row r="113" spans="1:15" x14ac:dyDescent="0.3">
      <c r="A113" s="1" t="s">
        <v>309</v>
      </c>
      <c r="B113" t="s">
        <v>72</v>
      </c>
      <c r="C113" t="s">
        <v>310</v>
      </c>
      <c r="D113" t="str">
        <f t="shared" si="1"/>
        <v>Male</v>
      </c>
      <c r="E113" t="s">
        <v>9</v>
      </c>
      <c r="F113" s="2">
        <v>19</v>
      </c>
      <c r="G113" s="2" t="str" cm="1">
        <f t="array" ref="G113">_xlfn.IFS(F113&lt;=8,"Child",F113&lt;=17,"Teen",F113&lt;=35,"Adult",F113&lt;=55,"Seniour Adult",F113&gt;=55,"Old Age")</f>
        <v>Adult</v>
      </c>
      <c r="H113" t="s">
        <v>10</v>
      </c>
      <c r="I113" t="s">
        <v>36</v>
      </c>
      <c r="J113" t="str" cm="1">
        <f t="array" ref="J113">_xlfn.IFS(I113="S","Sauthamptonm",I113="Q","Queentown",I113="C","Cherburg",I113="B","Cabin")</f>
        <v>Queentown</v>
      </c>
      <c r="K113" t="s">
        <v>37</v>
      </c>
      <c r="L113" s="2">
        <v>6.15</v>
      </c>
      <c r="M113">
        <v>0</v>
      </c>
      <c r="N113">
        <v>0</v>
      </c>
      <c r="O113" t="s">
        <v>13</v>
      </c>
    </row>
    <row r="114" spans="1:15" x14ac:dyDescent="0.3">
      <c r="A114" s="1" t="s">
        <v>311</v>
      </c>
      <c r="B114" t="s">
        <v>78</v>
      </c>
      <c r="C114" t="s">
        <v>312</v>
      </c>
      <c r="D114" t="str">
        <f t="shared" si="1"/>
        <v>Female</v>
      </c>
      <c r="E114" t="s">
        <v>14</v>
      </c>
      <c r="F114" s="2">
        <v>41</v>
      </c>
      <c r="G114" s="2" t="str" cm="1">
        <f t="array" ref="G114">_xlfn.IFS(F114&lt;=8,"Child",F114&lt;=17,"Teen",F114&lt;=35,"Adult",F114&lt;=55,"Seniour Adult",F114&gt;=55,"Old Age")</f>
        <v>Seniour Adult</v>
      </c>
      <c r="H114" t="s">
        <v>25</v>
      </c>
      <c r="I114" t="s">
        <v>19</v>
      </c>
      <c r="J114" t="str" cm="1">
        <f t="array" ref="J114">_xlfn.IFS(I114="S","Sauthamptonm",I114="Q","Queentown",I114="C","Cherburg",I114="B","Cabin")</f>
        <v>Cherburg</v>
      </c>
      <c r="K114" t="s">
        <v>15</v>
      </c>
      <c r="L114" s="2">
        <v>134.1</v>
      </c>
      <c r="M114">
        <v>0</v>
      </c>
      <c r="N114">
        <v>0</v>
      </c>
      <c r="O114" t="s">
        <v>16</v>
      </c>
    </row>
    <row r="115" spans="1:15" x14ac:dyDescent="0.3">
      <c r="A115" s="1" t="s">
        <v>313</v>
      </c>
      <c r="B115" t="s">
        <v>78</v>
      </c>
      <c r="C115" t="s">
        <v>314</v>
      </c>
      <c r="D115" t="str">
        <f t="shared" si="1"/>
        <v>Female</v>
      </c>
      <c r="E115" t="s">
        <v>14</v>
      </c>
      <c r="F115" s="2">
        <v>36</v>
      </c>
      <c r="G115" s="2" t="str" cm="1">
        <f t="array" ref="G115">_xlfn.IFS(F115&lt;=8,"Child",F115&lt;=17,"Teen",F115&lt;=35,"Adult",F115&lt;=55,"Seniour Adult",F115&gt;=55,"Old Age")</f>
        <v>Seniour Adult</v>
      </c>
      <c r="H115" t="s">
        <v>18</v>
      </c>
      <c r="I115" t="s">
        <v>11</v>
      </c>
      <c r="J115" t="str" cm="1">
        <f t="array" ref="J115">_xlfn.IFS(I115="S","Sauthamptonm",I115="Q","Queentown",I115="C","Cherburg",I115="B","Cabin")</f>
        <v>Sauthamptonm</v>
      </c>
      <c r="K115" t="s">
        <v>15</v>
      </c>
      <c r="L115" s="2">
        <v>13</v>
      </c>
      <c r="M115">
        <v>0</v>
      </c>
      <c r="N115">
        <v>0</v>
      </c>
      <c r="O115" t="s">
        <v>16</v>
      </c>
    </row>
    <row r="116" spans="1:15" x14ac:dyDescent="0.3">
      <c r="A116" s="1" t="s">
        <v>315</v>
      </c>
      <c r="B116" t="s">
        <v>72</v>
      </c>
      <c r="C116" t="s">
        <v>316</v>
      </c>
      <c r="D116" t="str">
        <f t="shared" si="1"/>
        <v>Male</v>
      </c>
      <c r="E116" t="s">
        <v>9</v>
      </c>
      <c r="F116" s="2">
        <v>26</v>
      </c>
      <c r="G116" s="2" t="str" cm="1">
        <f t="array" ref="G116">_xlfn.IFS(F116&lt;=8,"Child",F116&lt;=17,"Teen",F116&lt;=35,"Adult",F116&lt;=55,"Seniour Adult",F116&gt;=55,"Old Age")</f>
        <v>Adult</v>
      </c>
      <c r="H116" t="s">
        <v>18</v>
      </c>
      <c r="I116" t="s">
        <v>11</v>
      </c>
      <c r="J116" t="str" cm="1">
        <f t="array" ref="J116">_xlfn.IFS(I116="S","Sauthamptonm",I116="Q","Queentown",I116="C","Cherburg",I116="B","Cabin")</f>
        <v>Sauthamptonm</v>
      </c>
      <c r="K116" t="s">
        <v>15</v>
      </c>
      <c r="L116" s="2">
        <v>13</v>
      </c>
      <c r="M116">
        <v>0</v>
      </c>
      <c r="N116">
        <v>0</v>
      </c>
      <c r="O116" t="s">
        <v>13</v>
      </c>
    </row>
    <row r="117" spans="1:15" x14ac:dyDescent="0.3">
      <c r="A117" s="1" t="s">
        <v>317</v>
      </c>
      <c r="B117" t="s">
        <v>72</v>
      </c>
      <c r="C117" t="s">
        <v>318</v>
      </c>
      <c r="D117" t="str">
        <f t="shared" si="1"/>
        <v>Male</v>
      </c>
      <c r="E117" t="s">
        <v>9</v>
      </c>
      <c r="F117" s="2">
        <v>21</v>
      </c>
      <c r="G117" s="2" t="str" cm="1">
        <f t="array" ref="G117">_xlfn.IFS(F117&lt;=8,"Child",F117&lt;=17,"Teen",F117&lt;=35,"Adult",F117&lt;=55,"Seniour Adult",F117&gt;=55,"Old Age")</f>
        <v>Adult</v>
      </c>
      <c r="H117" t="s">
        <v>10</v>
      </c>
      <c r="I117" t="s">
        <v>19</v>
      </c>
      <c r="J117" t="str" cm="1">
        <f t="array" ref="J117">_xlfn.IFS(I117="S","Sauthamptonm",I117="Q","Queentown",I117="C","Cherburg",I117="B","Cabin")</f>
        <v>Cherburg</v>
      </c>
      <c r="K117" t="s">
        <v>21</v>
      </c>
      <c r="L117" s="2">
        <v>7.0407000000000002</v>
      </c>
      <c r="M117">
        <v>0</v>
      </c>
      <c r="N117">
        <v>0</v>
      </c>
      <c r="O117" t="s">
        <v>13</v>
      </c>
    </row>
    <row r="118" spans="1:15" x14ac:dyDescent="0.3">
      <c r="A118" s="1" t="s">
        <v>319</v>
      </c>
      <c r="B118" t="s">
        <v>320</v>
      </c>
      <c r="C118" t="s">
        <v>321</v>
      </c>
      <c r="D118" t="str">
        <f t="shared" si="1"/>
        <v>Male</v>
      </c>
      <c r="E118" t="s">
        <v>9</v>
      </c>
      <c r="F118" s="2">
        <v>46</v>
      </c>
      <c r="G118" s="2" t="str" cm="1">
        <f t="array" ref="G118">_xlfn.IFS(F118&lt;=8,"Child",F118&lt;=17,"Teen",F118&lt;=35,"Adult",F118&lt;=55,"Seniour Adult",F118&gt;=55,"Old Age")</f>
        <v>Seniour Adult</v>
      </c>
      <c r="H118" t="s">
        <v>25</v>
      </c>
      <c r="I118" t="s">
        <v>11</v>
      </c>
      <c r="J118" t="str" cm="1">
        <f t="array" ref="J118">_xlfn.IFS(I118="S","Sauthamptonm",I118="Q","Queentown",I118="C","Cherburg",I118="B","Cabin")</f>
        <v>Sauthamptonm</v>
      </c>
      <c r="K118" t="s">
        <v>12</v>
      </c>
      <c r="L118" s="2">
        <v>26.11</v>
      </c>
      <c r="M118">
        <v>0</v>
      </c>
      <c r="N118">
        <v>0</v>
      </c>
      <c r="O118" t="s">
        <v>13</v>
      </c>
    </row>
    <row r="119" spans="1:15" x14ac:dyDescent="0.3">
      <c r="A119" s="1" t="s">
        <v>322</v>
      </c>
      <c r="B119" t="s">
        <v>323</v>
      </c>
      <c r="C119" t="s">
        <v>324</v>
      </c>
      <c r="D119" t="str">
        <f t="shared" si="1"/>
        <v>Male</v>
      </c>
      <c r="E119" t="s">
        <v>9</v>
      </c>
      <c r="F119" s="2">
        <v>42</v>
      </c>
      <c r="G119" s="2" t="str" cm="1">
        <f t="array" ref="G119">_xlfn.IFS(F119&lt;=8,"Child",F119&lt;=17,"Teen",F119&lt;=35,"Adult",F119&lt;=55,"Seniour Adult",F119&gt;=55,"Old Age")</f>
        <v>Seniour Adult</v>
      </c>
      <c r="H119" t="s">
        <v>18</v>
      </c>
      <c r="I119" t="s">
        <v>11</v>
      </c>
      <c r="J119" t="str" cm="1">
        <f t="array" ref="J119">_xlfn.IFS(I119="S","Sauthamptonm",I119="Q","Queentown",I119="C","Cherburg",I119="B","Cabin")</f>
        <v>Sauthamptonm</v>
      </c>
      <c r="K119" t="s">
        <v>15</v>
      </c>
      <c r="L119" s="2">
        <v>13</v>
      </c>
      <c r="M119">
        <v>0</v>
      </c>
      <c r="N119">
        <v>0</v>
      </c>
      <c r="O119" t="s">
        <v>13</v>
      </c>
    </row>
    <row r="120" spans="1:15" x14ac:dyDescent="0.3">
      <c r="A120" s="1" t="s">
        <v>325</v>
      </c>
      <c r="B120" t="s">
        <v>76</v>
      </c>
      <c r="C120" t="s">
        <v>326</v>
      </c>
      <c r="D120" t="str">
        <f t="shared" si="1"/>
        <v>Female</v>
      </c>
      <c r="E120" t="s">
        <v>14</v>
      </c>
      <c r="F120" s="2">
        <v>40</v>
      </c>
      <c r="G120" s="2" t="str" cm="1">
        <f t="array" ref="G120">_xlfn.IFS(F120&lt;=8,"Child",F120&lt;=17,"Teen",F120&lt;=35,"Adult",F120&lt;=55,"Seniour Adult",F120&gt;=55,"Old Age")</f>
        <v>Seniour Adult</v>
      </c>
      <c r="H120" t="s">
        <v>18</v>
      </c>
      <c r="I120" t="s">
        <v>11</v>
      </c>
      <c r="J120" t="str" cm="1">
        <f t="array" ref="J120">_xlfn.IFS(I120="S","Sauthamptonm",I120="Q","Queentown",I120="C","Cherburg",I120="B","Cabin")</f>
        <v>Sauthamptonm</v>
      </c>
      <c r="K120" t="s">
        <v>12</v>
      </c>
      <c r="L120" s="2">
        <v>13</v>
      </c>
      <c r="M120">
        <v>0</v>
      </c>
      <c r="N120">
        <v>0</v>
      </c>
      <c r="O120" t="s">
        <v>16</v>
      </c>
    </row>
    <row r="121" spans="1:15" x14ac:dyDescent="0.3">
      <c r="A121" s="1" t="s">
        <v>327</v>
      </c>
      <c r="B121" t="s">
        <v>78</v>
      </c>
      <c r="C121" t="s">
        <v>328</v>
      </c>
      <c r="D121" t="str">
        <f t="shared" si="1"/>
        <v>Female</v>
      </c>
      <c r="E121" t="s">
        <v>14</v>
      </c>
      <c r="F121" s="2">
        <v>21</v>
      </c>
      <c r="G121" s="2" t="str" cm="1">
        <f t="array" ref="G121">_xlfn.IFS(F121&lt;=8,"Child",F121&lt;=17,"Teen",F121&lt;=35,"Adult",F121&lt;=55,"Seniour Adult",F121&gt;=55,"Old Age")</f>
        <v>Adult</v>
      </c>
      <c r="H121" t="s">
        <v>10</v>
      </c>
      <c r="I121" t="s">
        <v>11</v>
      </c>
      <c r="J121" t="str" cm="1">
        <f t="array" ref="J121">_xlfn.IFS(I121="S","Sauthamptonm",I121="Q","Queentown",I121="C","Cherburg",I121="B","Cabin")</f>
        <v>Sauthamptonm</v>
      </c>
      <c r="K121" t="s">
        <v>42</v>
      </c>
      <c r="L121" s="2">
        <v>8.1303000000000001</v>
      </c>
      <c r="M121">
        <v>0</v>
      </c>
      <c r="N121">
        <v>0</v>
      </c>
      <c r="O121" t="s">
        <v>13</v>
      </c>
    </row>
    <row r="122" spans="1:15" x14ac:dyDescent="0.3">
      <c r="A122" s="1" t="s">
        <v>329</v>
      </c>
      <c r="B122" t="s">
        <v>72</v>
      </c>
      <c r="C122" t="s">
        <v>330</v>
      </c>
      <c r="D122" t="str">
        <f t="shared" si="1"/>
        <v>Male</v>
      </c>
      <c r="E122" t="s">
        <v>9</v>
      </c>
      <c r="F122" s="2">
        <v>28</v>
      </c>
      <c r="G122" s="2" t="str" cm="1">
        <f t="array" ref="G122">_xlfn.IFS(F122&lt;=8,"Child",F122&lt;=17,"Teen",F122&lt;=35,"Adult",F122&lt;=55,"Seniour Adult",F122&gt;=55,"Old Age")</f>
        <v>Adult</v>
      </c>
      <c r="H122" t="s">
        <v>25</v>
      </c>
      <c r="I122" t="s">
        <v>11</v>
      </c>
      <c r="J122" t="str" cm="1">
        <f t="array" ref="J122">_xlfn.IFS(I122="S","Sauthamptonm",I122="Q","Queentown",I122="C","Cherburg",I122="B","Cabin")</f>
        <v>Sauthamptonm</v>
      </c>
      <c r="K122" t="s">
        <v>43</v>
      </c>
      <c r="L122" s="2">
        <v>31</v>
      </c>
      <c r="M122">
        <v>0</v>
      </c>
      <c r="N122">
        <v>0</v>
      </c>
      <c r="O122" t="s">
        <v>13</v>
      </c>
    </row>
    <row r="123" spans="1:15" x14ac:dyDescent="0.3">
      <c r="A123" s="1" t="s">
        <v>331</v>
      </c>
      <c r="B123" t="s">
        <v>72</v>
      </c>
      <c r="C123" t="s">
        <v>332</v>
      </c>
      <c r="D123" t="str">
        <f t="shared" si="1"/>
        <v>Male</v>
      </c>
      <c r="E123" t="s">
        <v>9</v>
      </c>
      <c r="F123" s="2">
        <v>42</v>
      </c>
      <c r="G123" s="2" t="str" cm="1">
        <f t="array" ref="G123">_xlfn.IFS(F123&lt;=8,"Child",F123&lt;=17,"Teen",F123&lt;=35,"Adult",F123&lt;=55,"Seniour Adult",F123&gt;=55,"Old Age")</f>
        <v>Seniour Adult</v>
      </c>
      <c r="H123" t="s">
        <v>25</v>
      </c>
      <c r="I123" t="s">
        <v>11</v>
      </c>
      <c r="J123" t="str" cm="1">
        <f t="array" ref="J123">_xlfn.IFS(I123="S","Sauthamptonm",I123="Q","Queentown",I123="C","Cherburg",I123="B","Cabin")</f>
        <v>Sauthamptonm</v>
      </c>
      <c r="K123" t="s">
        <v>12</v>
      </c>
      <c r="L123" s="2">
        <v>26.050899999999999</v>
      </c>
      <c r="M123">
        <v>0</v>
      </c>
      <c r="N123">
        <v>0</v>
      </c>
      <c r="O123" t="s">
        <v>16</v>
      </c>
    </row>
    <row r="124" spans="1:15" x14ac:dyDescent="0.3">
      <c r="A124" s="1" t="s">
        <v>333</v>
      </c>
      <c r="B124" t="s">
        <v>94</v>
      </c>
      <c r="C124" t="s">
        <v>334</v>
      </c>
      <c r="D124" t="str">
        <f t="shared" si="1"/>
        <v>Male</v>
      </c>
      <c r="E124" t="s">
        <v>9</v>
      </c>
      <c r="F124" s="2">
        <v>0.83333333330000003</v>
      </c>
      <c r="G124" s="2" t="str" cm="1">
        <f t="array" ref="G124">_xlfn.IFS(F124&lt;=8,"Child",F124&lt;=17,"Teen",F124&lt;=35,"Adult",F124&lt;=55,"Seniour Adult",F124&gt;=55,"Old Age")</f>
        <v>Child</v>
      </c>
      <c r="H124" t="s">
        <v>18</v>
      </c>
      <c r="I124" t="s">
        <v>11</v>
      </c>
      <c r="J124" t="str" cm="1">
        <f t="array" ref="J124">_xlfn.IFS(I124="S","Sauthamptonm",I124="Q","Queentown",I124="C","Cherburg",I124="B","Cabin")</f>
        <v>Sauthamptonm</v>
      </c>
      <c r="K124" t="s">
        <v>44</v>
      </c>
      <c r="L124" s="2">
        <v>29</v>
      </c>
      <c r="M124">
        <v>0</v>
      </c>
      <c r="N124">
        <v>2</v>
      </c>
      <c r="O124" t="s">
        <v>16</v>
      </c>
    </row>
    <row r="125" spans="1:15" x14ac:dyDescent="0.3">
      <c r="A125" s="1" t="s">
        <v>335</v>
      </c>
      <c r="B125" t="s">
        <v>72</v>
      </c>
      <c r="C125" t="s">
        <v>336</v>
      </c>
      <c r="D125" t="str">
        <f t="shared" si="1"/>
        <v>Male</v>
      </c>
      <c r="E125" t="s">
        <v>9</v>
      </c>
      <c r="F125" s="2">
        <v>17</v>
      </c>
      <c r="G125" s="2" t="str" cm="1">
        <f t="array" ref="G125">_xlfn.IFS(F125&lt;=8,"Child",F125&lt;=17,"Teen",F125&lt;=35,"Adult",F125&lt;=55,"Seniour Adult",F125&gt;=55,"Old Age")</f>
        <v>Teen</v>
      </c>
      <c r="H125" t="s">
        <v>10</v>
      </c>
      <c r="I125" t="s">
        <v>11</v>
      </c>
      <c r="J125" t="str" cm="1">
        <f t="array" ref="J125">_xlfn.IFS(I125="S","Sauthamptonm",I125="Q","Queentown",I125="C","Cherburg",I125="B","Cabin")</f>
        <v>Sauthamptonm</v>
      </c>
      <c r="K125" t="s">
        <v>42</v>
      </c>
      <c r="L125" s="2">
        <v>8.1303000000000001</v>
      </c>
      <c r="M125">
        <v>0</v>
      </c>
      <c r="N125">
        <v>0</v>
      </c>
      <c r="O125" t="s">
        <v>13</v>
      </c>
    </row>
    <row r="126" spans="1:15" x14ac:dyDescent="0.3">
      <c r="A126" s="1" t="s">
        <v>337</v>
      </c>
      <c r="B126" t="s">
        <v>78</v>
      </c>
      <c r="C126" t="s">
        <v>338</v>
      </c>
      <c r="D126" t="str">
        <f t="shared" si="1"/>
        <v>Female</v>
      </c>
      <c r="E126" t="s">
        <v>14</v>
      </c>
      <c r="F126" s="2">
        <v>35</v>
      </c>
      <c r="G126" s="2" t="str" cm="1">
        <f t="array" ref="G126">_xlfn.IFS(F126&lt;=8,"Child",F126&lt;=17,"Teen",F126&lt;=35,"Adult",F126&lt;=55,"Seniour Adult",F126&gt;=55,"Old Age")</f>
        <v>Adult</v>
      </c>
      <c r="H126" t="s">
        <v>18</v>
      </c>
      <c r="I126" t="s">
        <v>11</v>
      </c>
      <c r="J126" t="str" cm="1">
        <f t="array" ref="J126">_xlfn.IFS(I126="S","Sauthamptonm",I126="Q","Queentown",I126="C","Cherburg",I126="B","Cabin")</f>
        <v>Sauthamptonm</v>
      </c>
      <c r="K126" t="s">
        <v>15</v>
      </c>
      <c r="L126" s="2">
        <v>21</v>
      </c>
      <c r="M126">
        <v>0</v>
      </c>
      <c r="N126">
        <v>0</v>
      </c>
      <c r="O126" t="s">
        <v>16</v>
      </c>
    </row>
    <row r="127" spans="1:15" x14ac:dyDescent="0.3">
      <c r="A127" s="1" t="s">
        <v>339</v>
      </c>
      <c r="B127" t="s">
        <v>72</v>
      </c>
      <c r="C127" t="s">
        <v>107</v>
      </c>
      <c r="D127" t="str">
        <f t="shared" si="1"/>
        <v>Male</v>
      </c>
      <c r="E127" t="s">
        <v>9</v>
      </c>
      <c r="F127" s="2">
        <v>21</v>
      </c>
      <c r="G127" s="2" t="str" cm="1">
        <f t="array" ref="G127">_xlfn.IFS(F127&lt;=8,"Child",F127&lt;=17,"Teen",F127&lt;=35,"Adult",F127&lt;=55,"Seniour Adult",F127&gt;=55,"Old Age")</f>
        <v>Adult</v>
      </c>
      <c r="H127" t="s">
        <v>18</v>
      </c>
      <c r="I127" t="s">
        <v>28</v>
      </c>
      <c r="J127" t="str" cm="1">
        <f t="array" ref="J127">_xlfn.IFS(I127="S","Sauthamptonm",I127="Q","Queentown",I127="C","Cherburg",I127="B","Cabin")</f>
        <v>Cabin</v>
      </c>
      <c r="K127" t="s">
        <v>29</v>
      </c>
      <c r="L127" s="2">
        <v>29</v>
      </c>
      <c r="M127">
        <v>0</v>
      </c>
      <c r="N127">
        <v>0</v>
      </c>
      <c r="O127" t="s">
        <v>13</v>
      </c>
    </row>
    <row r="128" spans="1:15" x14ac:dyDescent="0.3">
      <c r="A128" s="1" t="s">
        <v>340</v>
      </c>
      <c r="B128" t="s">
        <v>78</v>
      </c>
      <c r="C128" t="s">
        <v>262</v>
      </c>
      <c r="D128" t="str">
        <f t="shared" si="1"/>
        <v>Female</v>
      </c>
      <c r="E128" t="s">
        <v>14</v>
      </c>
      <c r="F128" s="2">
        <v>22</v>
      </c>
      <c r="G128" s="2" t="str" cm="1">
        <f t="array" ref="G128">_xlfn.IFS(F128&lt;=8,"Child",F128&lt;=17,"Teen",F128&lt;=35,"Adult",F128&lt;=55,"Seniour Adult",F128&gt;=55,"Old Age")</f>
        <v>Adult</v>
      </c>
      <c r="H128" t="s">
        <v>10</v>
      </c>
      <c r="I128" t="s">
        <v>36</v>
      </c>
      <c r="J128" t="str" cm="1">
        <f t="array" ref="J128">_xlfn.IFS(I128="S","Sauthamptonm",I128="Q","Queentown",I128="C","Cherburg",I128="B","Cabin")</f>
        <v>Queentown</v>
      </c>
      <c r="K128" t="s">
        <v>37</v>
      </c>
      <c r="L128" s="2">
        <v>7.15</v>
      </c>
      <c r="M128">
        <v>0</v>
      </c>
      <c r="N128">
        <v>0</v>
      </c>
      <c r="O128" t="s">
        <v>13</v>
      </c>
    </row>
    <row r="129" spans="1:15" x14ac:dyDescent="0.3">
      <c r="A129" s="1" t="s">
        <v>342</v>
      </c>
      <c r="B129" t="s">
        <v>76</v>
      </c>
      <c r="C129" t="s">
        <v>343</v>
      </c>
      <c r="D129" t="str">
        <f t="shared" si="1"/>
        <v>Female</v>
      </c>
      <c r="E129" t="s">
        <v>14</v>
      </c>
      <c r="F129" s="2">
        <v>52</v>
      </c>
      <c r="G129" s="2" t="str" cm="1">
        <f t="array" ref="G129">_xlfn.IFS(F129&lt;=8,"Child",F129&lt;=17,"Teen",F129&lt;=35,"Adult",F129&lt;=55,"Seniour Adult",F129&gt;=55,"Old Age")</f>
        <v>Seniour Adult</v>
      </c>
      <c r="H129" t="s">
        <v>25</v>
      </c>
      <c r="I129" t="s">
        <v>19</v>
      </c>
      <c r="J129" t="str" cm="1">
        <f t="array" ref="J129">_xlfn.IFS(I129="S","Sauthamptonm",I129="Q","Queentown",I129="C","Cherburg",I129="B","Cabin")</f>
        <v>Cherburg</v>
      </c>
      <c r="K129" t="s">
        <v>12</v>
      </c>
      <c r="L129" s="2">
        <v>27.081099999999999</v>
      </c>
      <c r="M129">
        <v>0</v>
      </c>
      <c r="N129">
        <v>0</v>
      </c>
      <c r="O129" t="s">
        <v>16</v>
      </c>
    </row>
    <row r="130" spans="1:15" x14ac:dyDescent="0.3">
      <c r="A130" s="1" t="s">
        <v>344</v>
      </c>
      <c r="B130" t="s">
        <v>72</v>
      </c>
      <c r="C130" t="s">
        <v>345</v>
      </c>
      <c r="D130" t="str">
        <f t="shared" ref="D130:D193" si="2">PROPER(E130)</f>
        <v>Male</v>
      </c>
      <c r="E130" t="s">
        <v>9</v>
      </c>
      <c r="F130" s="2">
        <v>29</v>
      </c>
      <c r="G130" s="2" t="str" cm="1">
        <f t="array" ref="G130">_xlfn.IFS(F130&lt;=8,"Child",F130&lt;=17,"Teen",F130&lt;=35,"Adult",F130&lt;=55,"Seniour Adult",F130&gt;=55,"Old Age")</f>
        <v>Adult</v>
      </c>
      <c r="H130" t="s">
        <v>10</v>
      </c>
      <c r="I130" t="s">
        <v>11</v>
      </c>
      <c r="J130" t="str" cm="1">
        <f t="array" ref="J130">_xlfn.IFS(I130="S","Sauthamptonm",I130="Q","Queentown",I130="C","Cherburg",I130="B","Cabin")</f>
        <v>Sauthamptonm</v>
      </c>
      <c r="K130" t="s">
        <v>15</v>
      </c>
      <c r="L130" s="2">
        <v>8.01</v>
      </c>
      <c r="M130">
        <v>0</v>
      </c>
      <c r="N130">
        <v>0</v>
      </c>
      <c r="O130" t="s">
        <v>13</v>
      </c>
    </row>
    <row r="131" spans="1:15" x14ac:dyDescent="0.3">
      <c r="A131" s="1" t="s">
        <v>346</v>
      </c>
      <c r="B131" t="s">
        <v>72</v>
      </c>
      <c r="C131" t="s">
        <v>347</v>
      </c>
      <c r="D131" t="str">
        <f t="shared" si="2"/>
        <v>Male</v>
      </c>
      <c r="E131" t="s">
        <v>9</v>
      </c>
      <c r="F131" s="2">
        <v>28</v>
      </c>
      <c r="G131" s="2" t="str" cm="1">
        <f t="array" ref="G131">_xlfn.IFS(F131&lt;=8,"Child",F131&lt;=17,"Teen",F131&lt;=35,"Adult",F131&lt;=55,"Seniour Adult",F131&gt;=55,"Old Age")</f>
        <v>Adult</v>
      </c>
      <c r="H131" t="s">
        <v>10</v>
      </c>
      <c r="I131" t="s">
        <v>19</v>
      </c>
      <c r="J131" t="str" cm="1">
        <f t="array" ref="J131">_xlfn.IFS(I131="S","Sauthamptonm",I131="Q","Queentown",I131="C","Cherburg",I131="B","Cabin")</f>
        <v>Cherburg</v>
      </c>
      <c r="K131" t="s">
        <v>26</v>
      </c>
      <c r="L131" s="2">
        <v>14.090199999999999</v>
      </c>
      <c r="M131">
        <v>1</v>
      </c>
      <c r="N131">
        <v>0</v>
      </c>
      <c r="O131" t="s">
        <v>13</v>
      </c>
    </row>
    <row r="132" spans="1:15" x14ac:dyDescent="0.3">
      <c r="A132" s="1" t="s">
        <v>348</v>
      </c>
      <c r="B132" t="s">
        <v>72</v>
      </c>
      <c r="C132" t="s">
        <v>104</v>
      </c>
      <c r="D132" t="str">
        <f t="shared" si="2"/>
        <v>Male</v>
      </c>
      <c r="E132" t="s">
        <v>9</v>
      </c>
      <c r="F132" s="2">
        <v>19</v>
      </c>
      <c r="G132" s="2" t="str" cm="1">
        <f t="array" ref="G132">_xlfn.IFS(F132&lt;=8,"Child",F132&lt;=17,"Teen",F132&lt;=35,"Adult",F132&lt;=55,"Seniour Adult",F132&gt;=55,"Old Age")</f>
        <v>Adult</v>
      </c>
      <c r="H132" t="s">
        <v>18</v>
      </c>
      <c r="I132" t="s">
        <v>11</v>
      </c>
      <c r="J132" t="str" cm="1">
        <f t="array" ref="J132">_xlfn.IFS(I132="S","Sauthamptonm",I132="Q","Queentown",I132="C","Cherburg",I132="B","Cabin")</f>
        <v>Sauthamptonm</v>
      </c>
      <c r="K132" t="s">
        <v>15</v>
      </c>
      <c r="L132" s="2">
        <v>13</v>
      </c>
      <c r="M132">
        <v>0</v>
      </c>
      <c r="N132">
        <v>0</v>
      </c>
      <c r="O132" t="s">
        <v>13</v>
      </c>
    </row>
    <row r="133" spans="1:15" x14ac:dyDescent="0.3">
      <c r="A133" s="1" t="s">
        <v>349</v>
      </c>
      <c r="B133" t="s">
        <v>76</v>
      </c>
      <c r="C133" t="s">
        <v>350</v>
      </c>
      <c r="D133" t="str">
        <f t="shared" si="2"/>
        <v>Female</v>
      </c>
      <c r="E133" t="s">
        <v>14</v>
      </c>
      <c r="F133" s="2">
        <v>58</v>
      </c>
      <c r="G133" s="2" t="str" cm="1">
        <f t="array" ref="G133">_xlfn.IFS(F133&lt;=8,"Child",F133&lt;=17,"Teen",F133&lt;=35,"Adult",F133&lt;=55,"Seniour Adult",F133&gt;=55,"Old Age")</f>
        <v>Old Age</v>
      </c>
      <c r="H133" t="s">
        <v>25</v>
      </c>
      <c r="I133" t="s">
        <v>19</v>
      </c>
      <c r="J133" t="str" cm="1">
        <f t="array" ref="J133">_xlfn.IFS(I133="S","Sauthamptonm",I133="Q","Queentown",I133="C","Cherburg",I133="B","Cabin")</f>
        <v>Cherburg</v>
      </c>
      <c r="K133" t="s">
        <v>12</v>
      </c>
      <c r="L133" s="2">
        <v>512.0607</v>
      </c>
      <c r="M133">
        <v>0</v>
      </c>
      <c r="N133">
        <v>1</v>
      </c>
      <c r="O133" t="s">
        <v>16</v>
      </c>
    </row>
    <row r="134" spans="1:15" x14ac:dyDescent="0.3">
      <c r="A134" s="1" t="s">
        <v>351</v>
      </c>
      <c r="B134" t="s">
        <v>72</v>
      </c>
      <c r="C134" t="s">
        <v>352</v>
      </c>
      <c r="D134" t="str">
        <f t="shared" si="2"/>
        <v>Male</v>
      </c>
      <c r="E134" t="s">
        <v>9</v>
      </c>
      <c r="F134" s="2">
        <v>28</v>
      </c>
      <c r="G134" s="2" t="str" cm="1">
        <f t="array" ref="G134">_xlfn.IFS(F134&lt;=8,"Child",F134&lt;=17,"Teen",F134&lt;=35,"Adult",F134&lt;=55,"Seniour Adult",F134&gt;=55,"Old Age")</f>
        <v>Adult</v>
      </c>
      <c r="H134" t="s">
        <v>10</v>
      </c>
      <c r="I134" t="s">
        <v>11</v>
      </c>
      <c r="J134" t="str" cm="1">
        <f t="array" ref="J134">_xlfn.IFS(I134="S","Sauthamptonm",I134="Q","Queentown",I134="C","Cherburg",I134="B","Cabin")</f>
        <v>Sauthamptonm</v>
      </c>
      <c r="K134" t="s">
        <v>23</v>
      </c>
      <c r="L134" s="2">
        <v>7.1510999999999996</v>
      </c>
      <c r="M134">
        <v>0</v>
      </c>
      <c r="N134">
        <v>0</v>
      </c>
      <c r="O134" t="s">
        <v>13</v>
      </c>
    </row>
    <row r="135" spans="1:15" x14ac:dyDescent="0.3">
      <c r="A135" s="1" t="s">
        <v>353</v>
      </c>
      <c r="B135" t="s">
        <v>72</v>
      </c>
      <c r="C135" t="s">
        <v>354</v>
      </c>
      <c r="D135" t="str">
        <f t="shared" si="2"/>
        <v>Male</v>
      </c>
      <c r="E135" t="s">
        <v>9</v>
      </c>
      <c r="F135" s="2">
        <v>17</v>
      </c>
      <c r="G135" s="2" t="str" cm="1">
        <f t="array" ref="G135">_xlfn.IFS(F135&lt;=8,"Child",F135&lt;=17,"Teen",F135&lt;=35,"Adult",F135&lt;=55,"Seniour Adult",F135&gt;=55,"Old Age")</f>
        <v>Teen</v>
      </c>
      <c r="H135" t="s">
        <v>25</v>
      </c>
      <c r="I135" t="s">
        <v>11</v>
      </c>
      <c r="J135" t="str" cm="1">
        <f t="array" ref="J135">_xlfn.IFS(I135="S","Sauthamptonm",I135="Q","Queentown",I135="C","Cherburg",I135="B","Cabin")</f>
        <v>Sauthamptonm</v>
      </c>
      <c r="K135" t="s">
        <v>45</v>
      </c>
      <c r="L135" s="2">
        <v>47.02</v>
      </c>
      <c r="M135">
        <v>0</v>
      </c>
      <c r="N135">
        <v>0</v>
      </c>
      <c r="O135" t="s">
        <v>13</v>
      </c>
    </row>
    <row r="136" spans="1:15" x14ac:dyDescent="0.3">
      <c r="A136" s="1" t="s">
        <v>355</v>
      </c>
      <c r="B136" t="s">
        <v>72</v>
      </c>
      <c r="C136" t="s">
        <v>356</v>
      </c>
      <c r="D136" t="str">
        <f t="shared" si="2"/>
        <v>Male</v>
      </c>
      <c r="E136" t="s">
        <v>9</v>
      </c>
      <c r="F136" s="2">
        <v>27</v>
      </c>
      <c r="G136" s="2" t="str" cm="1">
        <f t="array" ref="G136">_xlfn.IFS(F136&lt;=8,"Child",F136&lt;=17,"Teen",F136&lt;=35,"Adult",F136&lt;=55,"Seniour Adult",F136&gt;=55,"Old Age")</f>
        <v>Adult</v>
      </c>
      <c r="H136" t="s">
        <v>25</v>
      </c>
      <c r="I136" t="s">
        <v>11</v>
      </c>
      <c r="J136" t="str" cm="1">
        <f t="array" ref="J136">_xlfn.IFS(I136="S","Sauthamptonm",I136="Q","Queentown",I136="C","Cherburg",I136="B","Cabin")</f>
        <v>Sauthamptonm</v>
      </c>
      <c r="K136" t="s">
        <v>45</v>
      </c>
      <c r="L136" s="2">
        <v>47.02</v>
      </c>
      <c r="M136">
        <v>0</v>
      </c>
      <c r="N136">
        <v>0</v>
      </c>
      <c r="O136" t="s">
        <v>13</v>
      </c>
    </row>
    <row r="137" spans="1:15" x14ac:dyDescent="0.3">
      <c r="A137" s="1" t="s">
        <v>357</v>
      </c>
      <c r="B137" t="s">
        <v>78</v>
      </c>
      <c r="C137" t="s">
        <v>358</v>
      </c>
      <c r="D137" t="str">
        <f t="shared" si="2"/>
        <v>Female</v>
      </c>
      <c r="E137" t="s">
        <v>14</v>
      </c>
      <c r="F137" s="2">
        <v>45</v>
      </c>
      <c r="G137" s="2" t="str" cm="1">
        <f t="array" ref="G137">_xlfn.IFS(F137&lt;=8,"Child",F137&lt;=17,"Teen",F137&lt;=35,"Adult",F137&lt;=55,"Seniour Adult",F137&gt;=55,"Old Age")</f>
        <v>Seniour Adult</v>
      </c>
      <c r="H137" t="s">
        <v>10</v>
      </c>
      <c r="I137" t="s">
        <v>36</v>
      </c>
      <c r="J137" t="str" cm="1">
        <f t="array" ref="J137">_xlfn.IFS(I137="S","Sauthamptonm",I137="Q","Queentown",I137="C","Cherburg",I137="B","Cabin")</f>
        <v>Queentown</v>
      </c>
      <c r="K137" t="s">
        <v>37</v>
      </c>
      <c r="L137" s="2">
        <v>7.15</v>
      </c>
      <c r="M137">
        <v>0</v>
      </c>
      <c r="N137">
        <v>0</v>
      </c>
      <c r="O137" t="s">
        <v>13</v>
      </c>
    </row>
    <row r="138" spans="1:15" x14ac:dyDescent="0.3">
      <c r="A138" s="1" t="s">
        <v>359</v>
      </c>
      <c r="B138" t="s">
        <v>323</v>
      </c>
      <c r="C138" t="s">
        <v>360</v>
      </c>
      <c r="D138" t="str">
        <f t="shared" si="2"/>
        <v>Male</v>
      </c>
      <c r="E138" t="s">
        <v>9</v>
      </c>
      <c r="F138" s="2">
        <v>54</v>
      </c>
      <c r="G138" s="2" t="str" cm="1">
        <f t="array" ref="G138">_xlfn.IFS(F138&lt;=8,"Child",F138&lt;=17,"Teen",F138&lt;=35,"Adult",F138&lt;=55,"Seniour Adult",F138&gt;=55,"Old Age")</f>
        <v>Seniour Adult</v>
      </c>
      <c r="H138" t="s">
        <v>18</v>
      </c>
      <c r="I138" t="s">
        <v>11</v>
      </c>
      <c r="J138" t="str" cm="1">
        <f t="array" ref="J138">_xlfn.IFS(I138="S","Sauthamptonm",I138="Q","Queentown",I138="C","Cherburg",I138="B","Cabin")</f>
        <v>Sauthamptonm</v>
      </c>
      <c r="K138" t="s">
        <v>15</v>
      </c>
      <c r="L138" s="2">
        <v>26</v>
      </c>
      <c r="M138">
        <v>1</v>
      </c>
      <c r="N138">
        <v>0</v>
      </c>
      <c r="O138" t="s">
        <v>13</v>
      </c>
    </row>
    <row r="139" spans="1:15" x14ac:dyDescent="0.3">
      <c r="A139" s="1" t="s">
        <v>362</v>
      </c>
      <c r="B139" t="s">
        <v>72</v>
      </c>
      <c r="C139" t="s">
        <v>363</v>
      </c>
      <c r="D139" t="str">
        <f t="shared" si="2"/>
        <v>Male</v>
      </c>
      <c r="E139" t="s">
        <v>9</v>
      </c>
      <c r="F139" s="2">
        <v>28</v>
      </c>
      <c r="G139" s="2" t="str" cm="1">
        <f t="array" ref="G139">_xlfn.IFS(F139&lt;=8,"Child",F139&lt;=17,"Teen",F139&lt;=35,"Adult",F139&lt;=55,"Seniour Adult",F139&gt;=55,"Old Age")</f>
        <v>Adult</v>
      </c>
      <c r="H139" t="s">
        <v>10</v>
      </c>
      <c r="I139" t="s">
        <v>11</v>
      </c>
      <c r="J139" t="str" cm="1">
        <f t="array" ref="J139">_xlfn.IFS(I139="S","Sauthamptonm",I139="Q","Queentown",I139="C","Cherburg",I139="B","Cabin")</f>
        <v>Sauthamptonm</v>
      </c>
      <c r="K139" t="s">
        <v>15</v>
      </c>
      <c r="L139" s="2">
        <v>7.05</v>
      </c>
      <c r="M139">
        <v>0</v>
      </c>
      <c r="N139">
        <v>0</v>
      </c>
      <c r="O139" t="s">
        <v>13</v>
      </c>
    </row>
    <row r="140" spans="1:15" x14ac:dyDescent="0.3">
      <c r="A140" s="1" t="s">
        <v>364</v>
      </c>
      <c r="B140" t="s">
        <v>72</v>
      </c>
      <c r="C140" t="s">
        <v>365</v>
      </c>
      <c r="D140" t="str">
        <f t="shared" si="2"/>
        <v>Male</v>
      </c>
      <c r="E140" t="s">
        <v>9</v>
      </c>
      <c r="F140" s="2">
        <v>49</v>
      </c>
      <c r="G140" s="2" t="str" cm="1">
        <f t="array" ref="G140">_xlfn.IFS(F140&lt;=8,"Child",F140&lt;=17,"Teen",F140&lt;=35,"Adult",F140&lt;=55,"Seniour Adult",F140&gt;=55,"Old Age")</f>
        <v>Seniour Adult</v>
      </c>
      <c r="H140" t="s">
        <v>25</v>
      </c>
      <c r="I140" t="s">
        <v>11</v>
      </c>
      <c r="J140" t="str" cm="1">
        <f t="array" ref="J140">_xlfn.IFS(I140="S","Sauthamptonm",I140="Q","Queentown",I140="C","Cherburg",I140="B","Cabin")</f>
        <v>Sauthamptonm</v>
      </c>
      <c r="K140" t="s">
        <v>12</v>
      </c>
      <c r="L140" s="2">
        <v>26</v>
      </c>
      <c r="M140">
        <v>0</v>
      </c>
      <c r="N140">
        <v>0</v>
      </c>
      <c r="O140" t="s">
        <v>13</v>
      </c>
    </row>
    <row r="141" spans="1:15" x14ac:dyDescent="0.3">
      <c r="A141" s="1" t="s">
        <v>366</v>
      </c>
      <c r="B141" t="s">
        <v>76</v>
      </c>
      <c r="C141" t="s">
        <v>367</v>
      </c>
      <c r="D141" t="str">
        <f t="shared" si="2"/>
        <v>Female</v>
      </c>
      <c r="E141" t="s">
        <v>14</v>
      </c>
      <c r="F141" s="2">
        <v>36</v>
      </c>
      <c r="G141" s="2" t="str" cm="1">
        <f t="array" ref="G141">_xlfn.IFS(F141&lt;=8,"Child",F141&lt;=17,"Teen",F141&lt;=35,"Adult",F141&lt;=55,"Seniour Adult",F141&gt;=55,"Old Age")</f>
        <v>Seniour Adult</v>
      </c>
      <c r="H141" t="s">
        <v>25</v>
      </c>
      <c r="I141" t="s">
        <v>19</v>
      </c>
      <c r="J141" t="str" cm="1">
        <f t="array" ref="J141">_xlfn.IFS(I141="S","Sauthamptonm",I141="Q","Queentown",I141="C","Cherburg",I141="B","Cabin")</f>
        <v>Cherburg</v>
      </c>
      <c r="K141" t="s">
        <v>12</v>
      </c>
      <c r="L141" s="2">
        <v>27.140499999999999</v>
      </c>
      <c r="M141">
        <v>0</v>
      </c>
      <c r="N141">
        <v>0</v>
      </c>
      <c r="O141" t="s">
        <v>16</v>
      </c>
    </row>
    <row r="142" spans="1:15" x14ac:dyDescent="0.3">
      <c r="A142" s="1" t="s">
        <v>368</v>
      </c>
      <c r="B142" t="s">
        <v>76</v>
      </c>
      <c r="C142" t="s">
        <v>369</v>
      </c>
      <c r="D142" t="str">
        <f t="shared" si="2"/>
        <v>Female</v>
      </c>
      <c r="E142" t="s">
        <v>14</v>
      </c>
      <c r="F142" s="2">
        <v>25</v>
      </c>
      <c r="G142" s="2" t="str" cm="1">
        <f t="array" ref="G142">_xlfn.IFS(F142&lt;=8,"Child",F142&lt;=17,"Teen",F142&lt;=35,"Adult",F142&lt;=55,"Seniour Adult",F142&gt;=55,"Old Age")</f>
        <v>Adult</v>
      </c>
      <c r="H142" t="s">
        <v>25</v>
      </c>
      <c r="I142" t="s">
        <v>11</v>
      </c>
      <c r="J142" t="str" cm="1">
        <f t="array" ref="J142">_xlfn.IFS(I142="S","Sauthamptonm",I142="Q","Queentown",I142="C","Cherburg",I142="B","Cabin")</f>
        <v>Sauthamptonm</v>
      </c>
      <c r="K142" t="s">
        <v>12</v>
      </c>
      <c r="L142" s="2">
        <v>78.17</v>
      </c>
      <c r="M142">
        <v>1</v>
      </c>
      <c r="N142">
        <v>0</v>
      </c>
      <c r="O142" t="s">
        <v>16</v>
      </c>
    </row>
    <row r="143" spans="1:15" x14ac:dyDescent="0.3">
      <c r="A143" s="1" t="s">
        <v>370</v>
      </c>
      <c r="B143" t="s">
        <v>72</v>
      </c>
      <c r="C143" t="s">
        <v>371</v>
      </c>
      <c r="D143" t="str">
        <f t="shared" si="2"/>
        <v>Male</v>
      </c>
      <c r="E143" t="s">
        <v>9</v>
      </c>
      <c r="F143" s="2">
        <v>24</v>
      </c>
      <c r="G143" s="2" t="str" cm="1">
        <f t="array" ref="G143">_xlfn.IFS(F143&lt;=8,"Child",F143&lt;=17,"Teen",F143&lt;=35,"Adult",F143&lt;=55,"Seniour Adult",F143&gt;=55,"Old Age")</f>
        <v>Adult</v>
      </c>
      <c r="H143" t="s">
        <v>10</v>
      </c>
      <c r="I143" t="s">
        <v>11</v>
      </c>
      <c r="J143" t="str" cm="1">
        <f t="array" ref="J143">_xlfn.IFS(I143="S","Sauthamptonm",I143="Q","Queentown",I143="C","Cherburg",I143="B","Cabin")</f>
        <v>Sauthamptonm</v>
      </c>
      <c r="K143" t="s">
        <v>15</v>
      </c>
      <c r="L143" s="2">
        <v>8.01</v>
      </c>
      <c r="M143">
        <v>0</v>
      </c>
      <c r="N143">
        <v>0</v>
      </c>
      <c r="O143" t="s">
        <v>13</v>
      </c>
    </row>
    <row r="144" spans="1:15" x14ac:dyDescent="0.3">
      <c r="A144" s="1" t="s">
        <v>372</v>
      </c>
      <c r="B144" t="s">
        <v>72</v>
      </c>
      <c r="C144" t="s">
        <v>373</v>
      </c>
      <c r="D144" t="str">
        <f t="shared" si="2"/>
        <v>Male</v>
      </c>
      <c r="E144" t="s">
        <v>9</v>
      </c>
      <c r="F144" s="2">
        <v>46</v>
      </c>
      <c r="G144" s="2" t="str" cm="1">
        <f t="array" ref="G144">_xlfn.IFS(F144&lt;=8,"Child",F144&lt;=17,"Teen",F144&lt;=35,"Adult",F144&lt;=55,"Seniour Adult",F144&gt;=55,"Old Age")</f>
        <v>Seniour Adult</v>
      </c>
      <c r="H144" t="s">
        <v>25</v>
      </c>
      <c r="I144" t="s">
        <v>11</v>
      </c>
      <c r="J144" t="str" cm="1">
        <f t="array" ref="J144">_xlfn.IFS(I144="S","Sauthamptonm",I144="Q","Queentown",I144="C","Cherburg",I144="B","Cabin")</f>
        <v>Sauthamptonm</v>
      </c>
      <c r="K144" t="s">
        <v>12</v>
      </c>
      <c r="L144" s="2">
        <v>61.0306</v>
      </c>
      <c r="M144">
        <v>1</v>
      </c>
      <c r="N144">
        <v>0</v>
      </c>
      <c r="O144" t="s">
        <v>13</v>
      </c>
    </row>
    <row r="145" spans="1:15" x14ac:dyDescent="0.3">
      <c r="A145" s="1" t="s">
        <v>374</v>
      </c>
      <c r="B145" t="s">
        <v>72</v>
      </c>
      <c r="C145" t="s">
        <v>375</v>
      </c>
      <c r="D145" t="str">
        <f t="shared" si="2"/>
        <v>Male</v>
      </c>
      <c r="E145" t="s">
        <v>9</v>
      </c>
      <c r="F145" s="2">
        <v>27</v>
      </c>
      <c r="G145" s="2" t="str" cm="1">
        <f t="array" ref="G145">_xlfn.IFS(F145&lt;=8,"Child",F145&lt;=17,"Teen",F145&lt;=35,"Adult",F145&lt;=55,"Seniour Adult",F145&gt;=55,"Old Age")</f>
        <v>Adult</v>
      </c>
      <c r="H145" t="s">
        <v>25</v>
      </c>
      <c r="I145" t="s">
        <v>11</v>
      </c>
      <c r="J145" t="str" cm="1">
        <f t="array" ref="J145">_xlfn.IFS(I145="S","Sauthamptonm",I145="Q","Queentown",I145="C","Cherburg",I145="B","Cabin")</f>
        <v>Sauthamptonm</v>
      </c>
      <c r="K145" t="s">
        <v>12</v>
      </c>
      <c r="L145" s="2">
        <v>53.02</v>
      </c>
      <c r="M145">
        <v>1</v>
      </c>
      <c r="N145">
        <v>0</v>
      </c>
      <c r="O145" t="s">
        <v>16</v>
      </c>
    </row>
    <row r="146" spans="1:15" x14ac:dyDescent="0.3">
      <c r="A146" s="1" t="s">
        <v>377</v>
      </c>
      <c r="B146" t="s">
        <v>72</v>
      </c>
      <c r="C146" t="s">
        <v>378</v>
      </c>
      <c r="D146" t="str">
        <f t="shared" si="2"/>
        <v>Male</v>
      </c>
      <c r="E146" t="s">
        <v>9</v>
      </c>
      <c r="F146" s="2">
        <v>52</v>
      </c>
      <c r="G146" s="2" t="str" cm="1">
        <f t="array" ref="G146">_xlfn.IFS(F146&lt;=8,"Child",F146&lt;=17,"Teen",F146&lt;=35,"Adult",F146&lt;=55,"Seniour Adult",F146&gt;=55,"Old Age")</f>
        <v>Seniour Adult</v>
      </c>
      <c r="H146" t="s">
        <v>18</v>
      </c>
      <c r="I146" t="s">
        <v>11</v>
      </c>
      <c r="J146" t="str" cm="1">
        <f t="array" ref="J146">_xlfn.IFS(I146="S","Sauthamptonm",I146="Q","Queentown",I146="C","Cherburg",I146="B","Cabin")</f>
        <v>Sauthamptonm</v>
      </c>
      <c r="K146" t="s">
        <v>12</v>
      </c>
      <c r="L146" s="2">
        <v>13.1</v>
      </c>
      <c r="M146">
        <v>0</v>
      </c>
      <c r="N146">
        <v>0</v>
      </c>
      <c r="O146" t="s">
        <v>13</v>
      </c>
    </row>
    <row r="147" spans="1:15" x14ac:dyDescent="0.3">
      <c r="A147" s="1" t="s">
        <v>380</v>
      </c>
      <c r="B147" t="s">
        <v>72</v>
      </c>
      <c r="C147" t="s">
        <v>381</v>
      </c>
      <c r="D147" t="str">
        <f t="shared" si="2"/>
        <v>Male</v>
      </c>
      <c r="E147" t="s">
        <v>9</v>
      </c>
      <c r="F147" s="2">
        <v>20</v>
      </c>
      <c r="G147" s="2" t="str" cm="1">
        <f t="array" ref="G147">_xlfn.IFS(F147&lt;=8,"Child",F147&lt;=17,"Teen",F147&lt;=35,"Adult",F147&lt;=55,"Seniour Adult",F147&gt;=55,"Old Age")</f>
        <v>Adult</v>
      </c>
      <c r="H147" t="s">
        <v>10</v>
      </c>
      <c r="I147" t="s">
        <v>36</v>
      </c>
      <c r="J147" t="str" cm="1">
        <f t="array" ref="J147">_xlfn.IFS(I147="S","Sauthamptonm",I147="Q","Queentown",I147="C","Cherburg",I147="B","Cabin")</f>
        <v>Queentown</v>
      </c>
      <c r="K147" t="s">
        <v>37</v>
      </c>
      <c r="L147" s="2">
        <v>7.1407999999999996</v>
      </c>
      <c r="M147">
        <v>0</v>
      </c>
      <c r="N147">
        <v>0</v>
      </c>
      <c r="O147" t="s">
        <v>13</v>
      </c>
    </row>
    <row r="148" spans="1:15" x14ac:dyDescent="0.3">
      <c r="A148" s="1" t="s">
        <v>382</v>
      </c>
      <c r="B148" t="s">
        <v>78</v>
      </c>
      <c r="C148" t="s">
        <v>383</v>
      </c>
      <c r="D148" t="str">
        <f t="shared" si="2"/>
        <v>Female</v>
      </c>
      <c r="E148" t="s">
        <v>14</v>
      </c>
      <c r="F148" s="2">
        <v>36</v>
      </c>
      <c r="G148" s="2" t="str" cm="1">
        <f t="array" ref="G148">_xlfn.IFS(F148&lt;=8,"Child",F148&lt;=17,"Teen",F148&lt;=35,"Adult",F148&lt;=55,"Seniour Adult",F148&gt;=55,"Old Age")</f>
        <v>Seniour Adult</v>
      </c>
      <c r="H148" t="s">
        <v>25</v>
      </c>
      <c r="I148" t="s">
        <v>19</v>
      </c>
      <c r="J148" t="str" cm="1">
        <f t="array" ref="J148">_xlfn.IFS(I148="S","Sauthamptonm",I148="Q","Queentown",I148="C","Cherburg",I148="B","Cabin")</f>
        <v>Cherburg</v>
      </c>
      <c r="K148" t="s">
        <v>15</v>
      </c>
      <c r="L148" s="2">
        <v>262.07060000000001</v>
      </c>
      <c r="M148">
        <v>0</v>
      </c>
      <c r="N148">
        <v>0</v>
      </c>
      <c r="O148" t="s">
        <v>16</v>
      </c>
    </row>
    <row r="149" spans="1:15" x14ac:dyDescent="0.3">
      <c r="A149" s="1" t="s">
        <v>384</v>
      </c>
      <c r="B149" t="s">
        <v>78</v>
      </c>
      <c r="C149" t="s">
        <v>385</v>
      </c>
      <c r="D149" t="str">
        <f t="shared" si="2"/>
        <v>Female</v>
      </c>
      <c r="E149" t="s">
        <v>14</v>
      </c>
      <c r="F149" s="2">
        <v>30</v>
      </c>
      <c r="G149" s="2" t="str" cm="1">
        <f t="array" ref="G149">_xlfn.IFS(F149&lt;=8,"Child",F149&lt;=17,"Teen",F149&lt;=35,"Adult",F149&lt;=55,"Seniour Adult",F149&gt;=55,"Old Age")</f>
        <v>Adult</v>
      </c>
      <c r="H149" t="s">
        <v>25</v>
      </c>
      <c r="I149" t="s">
        <v>11</v>
      </c>
      <c r="J149" t="str" cm="1">
        <f t="array" ref="J149">_xlfn.IFS(I149="S","Sauthamptonm",I149="Q","Queentown",I149="C","Cherburg",I149="B","Cabin")</f>
        <v>Sauthamptonm</v>
      </c>
      <c r="K149" t="s">
        <v>15</v>
      </c>
      <c r="L149" s="2">
        <v>86.1</v>
      </c>
      <c r="M149">
        <v>0</v>
      </c>
      <c r="N149">
        <v>0</v>
      </c>
      <c r="O149" t="s">
        <v>16</v>
      </c>
    </row>
    <row r="150" spans="1:15" x14ac:dyDescent="0.3">
      <c r="A150" s="1" t="s">
        <v>386</v>
      </c>
      <c r="B150" t="s">
        <v>72</v>
      </c>
      <c r="C150" t="s">
        <v>387</v>
      </c>
      <c r="D150" t="str">
        <f t="shared" si="2"/>
        <v>Male</v>
      </c>
      <c r="E150" t="s">
        <v>9</v>
      </c>
      <c r="F150" s="2">
        <v>45</v>
      </c>
      <c r="G150" s="2" t="str" cm="1">
        <f t="array" ref="G150">_xlfn.IFS(F150&lt;=8,"Child",F150&lt;=17,"Teen",F150&lt;=35,"Adult",F150&lt;=55,"Seniour Adult",F150&gt;=55,"Old Age")</f>
        <v>Seniour Adult</v>
      </c>
      <c r="H150" t="s">
        <v>25</v>
      </c>
      <c r="I150" t="s">
        <v>19</v>
      </c>
      <c r="J150" t="str" cm="1">
        <f t="array" ref="J150">_xlfn.IFS(I150="S","Sauthamptonm",I150="Q","Queentown",I150="C","Cherburg",I150="B","Cabin")</f>
        <v>Cherburg</v>
      </c>
      <c r="K150" t="s">
        <v>46</v>
      </c>
      <c r="L150" s="2">
        <v>29.14</v>
      </c>
      <c r="M150">
        <v>0</v>
      </c>
      <c r="N150">
        <v>0</v>
      </c>
      <c r="O150" t="s">
        <v>16</v>
      </c>
    </row>
    <row r="151" spans="1:15" x14ac:dyDescent="0.3">
      <c r="A151" s="1" t="s">
        <v>388</v>
      </c>
      <c r="B151" t="s">
        <v>76</v>
      </c>
      <c r="C151" t="s">
        <v>389</v>
      </c>
      <c r="D151" t="str">
        <f t="shared" si="2"/>
        <v>Female</v>
      </c>
      <c r="E151" t="s">
        <v>14</v>
      </c>
      <c r="F151" s="2">
        <v>48</v>
      </c>
      <c r="G151" s="2" t="str" cm="1">
        <f t="array" ref="G151">_xlfn.IFS(F151&lt;=8,"Child",F151&lt;=17,"Teen",F151&lt;=35,"Adult",F151&lt;=55,"Seniour Adult",F151&gt;=55,"Old Age")</f>
        <v>Seniour Adult</v>
      </c>
      <c r="H151" t="s">
        <v>25</v>
      </c>
      <c r="I151" t="s">
        <v>11</v>
      </c>
      <c r="J151" t="str" cm="1">
        <f t="array" ref="J151">_xlfn.IFS(I151="S","Sauthamptonm",I151="Q","Queentown",I151="C","Cherburg",I151="B","Cabin")</f>
        <v>Sauthamptonm</v>
      </c>
      <c r="K151" t="s">
        <v>15</v>
      </c>
      <c r="L151" s="2">
        <v>55</v>
      </c>
      <c r="M151">
        <v>0</v>
      </c>
      <c r="N151">
        <v>1</v>
      </c>
      <c r="O151" t="s">
        <v>16</v>
      </c>
    </row>
    <row r="152" spans="1:15" x14ac:dyDescent="0.3">
      <c r="A152" s="1" t="s">
        <v>390</v>
      </c>
      <c r="B152" t="s">
        <v>72</v>
      </c>
      <c r="C152" t="s">
        <v>391</v>
      </c>
      <c r="D152" t="str">
        <f t="shared" si="2"/>
        <v>Male</v>
      </c>
      <c r="E152" t="s">
        <v>9</v>
      </c>
      <c r="F152" s="2">
        <v>32</v>
      </c>
      <c r="G152" s="2" t="str" cm="1">
        <f t="array" ref="G152">_xlfn.IFS(F152&lt;=8,"Child",F152&lt;=17,"Teen",F152&lt;=35,"Adult",F152&lt;=55,"Seniour Adult",F152&gt;=55,"Old Age")</f>
        <v>Adult</v>
      </c>
      <c r="H152" t="s">
        <v>10</v>
      </c>
      <c r="I152" t="s">
        <v>11</v>
      </c>
      <c r="J152" t="str" cm="1">
        <f t="array" ref="J152">_xlfn.IFS(I152="S","Sauthamptonm",I152="Q","Queentown",I152="C","Cherburg",I152="B","Cabin")</f>
        <v>Sauthamptonm</v>
      </c>
      <c r="K152" t="s">
        <v>15</v>
      </c>
      <c r="L152" s="2">
        <v>56.091099999999997</v>
      </c>
      <c r="M152">
        <v>0</v>
      </c>
      <c r="N152">
        <v>0</v>
      </c>
      <c r="O152" t="s">
        <v>16</v>
      </c>
    </row>
    <row r="153" spans="1:15" x14ac:dyDescent="0.3">
      <c r="A153" s="1" t="s">
        <v>392</v>
      </c>
      <c r="B153" t="s">
        <v>72</v>
      </c>
      <c r="C153" t="s">
        <v>393</v>
      </c>
      <c r="D153" t="str">
        <f t="shared" si="2"/>
        <v>Male</v>
      </c>
      <c r="E153" t="s">
        <v>9</v>
      </c>
      <c r="F153" s="2">
        <v>43</v>
      </c>
      <c r="G153" s="2" t="str" cm="1">
        <f t="array" ref="G153">_xlfn.IFS(F153&lt;=8,"Child",F153&lt;=17,"Teen",F153&lt;=35,"Adult",F153&lt;=55,"Seniour Adult",F153&gt;=55,"Old Age")</f>
        <v>Seniour Adult</v>
      </c>
      <c r="H153" t="s">
        <v>25</v>
      </c>
      <c r="I153" t="s">
        <v>28</v>
      </c>
      <c r="J153" t="str" cm="1">
        <f t="array" ref="J153">_xlfn.IFS(I153="S","Sauthamptonm",I153="Q","Queentown",I153="C","Cherburg",I153="B","Cabin")</f>
        <v>Cabin</v>
      </c>
      <c r="K153" t="s">
        <v>43</v>
      </c>
      <c r="L153" s="2">
        <v>29</v>
      </c>
      <c r="M153">
        <v>0</v>
      </c>
      <c r="N153">
        <v>0</v>
      </c>
      <c r="O153" t="s">
        <v>13</v>
      </c>
    </row>
    <row r="154" spans="1:15" x14ac:dyDescent="0.3">
      <c r="A154" s="1" t="s">
        <v>394</v>
      </c>
      <c r="B154" t="s">
        <v>72</v>
      </c>
      <c r="C154" t="s">
        <v>395</v>
      </c>
      <c r="D154" t="str">
        <f t="shared" si="2"/>
        <v>Male</v>
      </c>
      <c r="E154" t="s">
        <v>9</v>
      </c>
      <c r="F154" s="2">
        <v>29</v>
      </c>
      <c r="G154" s="2" t="str" cm="1">
        <f t="array" ref="G154">_xlfn.IFS(F154&lt;=8,"Child",F154&lt;=17,"Teen",F154&lt;=35,"Adult",F154&lt;=55,"Seniour Adult",F154&gt;=55,"Old Age")</f>
        <v>Adult</v>
      </c>
      <c r="H154" t="s">
        <v>10</v>
      </c>
      <c r="I154" t="s">
        <v>11</v>
      </c>
      <c r="J154" t="str" cm="1">
        <f t="array" ref="J154">_xlfn.IFS(I154="S","Sauthamptonm",I154="Q","Queentown",I154="C","Cherburg",I154="B","Cabin")</f>
        <v>Sauthamptonm</v>
      </c>
      <c r="K154" t="s">
        <v>15</v>
      </c>
      <c r="L154" s="2">
        <v>8.01</v>
      </c>
      <c r="M154">
        <v>0</v>
      </c>
      <c r="N154">
        <v>0</v>
      </c>
      <c r="O154" t="s">
        <v>13</v>
      </c>
    </row>
    <row r="155" spans="1:15" x14ac:dyDescent="0.3">
      <c r="A155" s="1" t="s">
        <v>396</v>
      </c>
      <c r="B155" t="s">
        <v>78</v>
      </c>
      <c r="C155" t="s">
        <v>397</v>
      </c>
      <c r="D155" t="str">
        <f t="shared" si="2"/>
        <v>Female</v>
      </c>
      <c r="E155" t="s">
        <v>14</v>
      </c>
      <c r="F155" s="2">
        <v>25</v>
      </c>
      <c r="G155" s="2" t="str" cm="1">
        <f t="array" ref="G155">_xlfn.IFS(F155&lt;=8,"Child",F155&lt;=17,"Teen",F155&lt;=35,"Adult",F155&lt;=55,"Seniour Adult",F155&gt;=55,"Old Age")</f>
        <v>Adult</v>
      </c>
      <c r="H155" t="s">
        <v>18</v>
      </c>
      <c r="I155" t="s">
        <v>11</v>
      </c>
      <c r="J155" t="str" cm="1">
        <f t="array" ref="J155">_xlfn.IFS(I155="S","Sauthamptonm",I155="Q","Queentown",I155="C","Cherburg",I155="B","Cabin")</f>
        <v>Sauthamptonm</v>
      </c>
      <c r="K155" t="s">
        <v>15</v>
      </c>
      <c r="L155" s="2">
        <v>30</v>
      </c>
      <c r="M155">
        <v>1</v>
      </c>
      <c r="N155">
        <v>1</v>
      </c>
      <c r="O155" t="s">
        <v>16</v>
      </c>
    </row>
    <row r="156" spans="1:15" x14ac:dyDescent="0.3">
      <c r="A156" s="1" t="s">
        <v>398</v>
      </c>
      <c r="B156" t="s">
        <v>72</v>
      </c>
      <c r="C156" t="s">
        <v>399</v>
      </c>
      <c r="D156" t="str">
        <f t="shared" si="2"/>
        <v>Male</v>
      </c>
      <c r="E156" t="s">
        <v>9</v>
      </c>
      <c r="F156" s="2">
        <v>26</v>
      </c>
      <c r="G156" s="2" t="str" cm="1">
        <f t="array" ref="G156">_xlfn.IFS(F156&lt;=8,"Child",F156&lt;=17,"Teen",F156&lt;=35,"Adult",F156&lt;=55,"Seniour Adult",F156&gt;=55,"Old Age")</f>
        <v>Adult</v>
      </c>
      <c r="H156" t="s">
        <v>10</v>
      </c>
      <c r="I156" t="s">
        <v>19</v>
      </c>
      <c r="J156" t="str" cm="1">
        <f t="array" ref="J156">_xlfn.IFS(I156="S","Sauthamptonm",I156="Q","Queentown",I156="C","Cherburg",I156="B","Cabin")</f>
        <v>Cherburg</v>
      </c>
      <c r="K156" t="s">
        <v>15</v>
      </c>
      <c r="L156" s="2">
        <v>14.0901</v>
      </c>
      <c r="M156">
        <v>1</v>
      </c>
      <c r="N156">
        <v>0</v>
      </c>
      <c r="O156" t="s">
        <v>13</v>
      </c>
    </row>
    <row r="157" spans="1:15" x14ac:dyDescent="0.3">
      <c r="A157" s="1" t="s">
        <v>400</v>
      </c>
      <c r="B157" t="s">
        <v>72</v>
      </c>
      <c r="C157" t="s">
        <v>401</v>
      </c>
      <c r="D157" t="str">
        <f t="shared" si="2"/>
        <v>Male</v>
      </c>
      <c r="E157" t="s">
        <v>9</v>
      </c>
      <c r="F157" s="2">
        <v>29</v>
      </c>
      <c r="G157" s="2" t="str" cm="1">
        <f t="array" ref="G157">_xlfn.IFS(F157&lt;=8,"Child",F157&lt;=17,"Teen",F157&lt;=35,"Adult",F157&lt;=55,"Seniour Adult",F157&gt;=55,"Old Age")</f>
        <v>Adult</v>
      </c>
      <c r="H157" t="s">
        <v>18</v>
      </c>
      <c r="I157" t="s">
        <v>11</v>
      </c>
      <c r="J157" t="str" cm="1">
        <f t="array" ref="J157">_xlfn.IFS(I157="S","Sauthamptonm",I157="Q","Queentown",I157="C","Cherburg",I157="B","Cabin")</f>
        <v>Sauthamptonm</v>
      </c>
      <c r="K157" t="s">
        <v>15</v>
      </c>
      <c r="L157" s="2">
        <v>26</v>
      </c>
      <c r="M157">
        <v>1</v>
      </c>
      <c r="N157">
        <v>0</v>
      </c>
      <c r="O157" t="s">
        <v>13</v>
      </c>
    </row>
    <row r="158" spans="1:15" x14ac:dyDescent="0.3">
      <c r="A158" s="1" t="s">
        <v>402</v>
      </c>
      <c r="B158" t="s">
        <v>76</v>
      </c>
      <c r="C158" t="s">
        <v>403</v>
      </c>
      <c r="D158" t="str">
        <f t="shared" si="2"/>
        <v>Female</v>
      </c>
      <c r="E158" t="s">
        <v>14</v>
      </c>
      <c r="F158" s="2">
        <v>26</v>
      </c>
      <c r="G158" s="2" t="str" cm="1">
        <f t="array" ref="G158">_xlfn.IFS(F158&lt;=8,"Child",F158&lt;=17,"Teen",F158&lt;=35,"Adult",F158&lt;=55,"Seniour Adult",F158&gt;=55,"Old Age")</f>
        <v>Adult</v>
      </c>
      <c r="H158" t="s">
        <v>25</v>
      </c>
      <c r="I158" t="s">
        <v>19</v>
      </c>
      <c r="J158" t="str" cm="1">
        <f t="array" ref="J158">_xlfn.IFS(I158="S","Sauthamptonm",I158="Q","Queentown",I158="C","Cherburg",I158="B","Cabin")</f>
        <v>Cherburg</v>
      </c>
      <c r="K158" t="s">
        <v>12</v>
      </c>
      <c r="L158" s="2">
        <v>136.1507</v>
      </c>
      <c r="M158">
        <v>1</v>
      </c>
      <c r="N158">
        <v>0</v>
      </c>
      <c r="O158" t="s">
        <v>16</v>
      </c>
    </row>
    <row r="159" spans="1:15" x14ac:dyDescent="0.3">
      <c r="A159" s="1" t="s">
        <v>404</v>
      </c>
      <c r="B159" t="s">
        <v>78</v>
      </c>
      <c r="C159" t="s">
        <v>405</v>
      </c>
      <c r="D159" t="str">
        <f t="shared" si="2"/>
        <v>Female</v>
      </c>
      <c r="E159" t="s">
        <v>14</v>
      </c>
      <c r="F159" s="2">
        <v>22</v>
      </c>
      <c r="G159" s="2" t="str" cm="1">
        <f t="array" ref="G159">_xlfn.IFS(F159&lt;=8,"Child",F159&lt;=17,"Teen",F159&lt;=35,"Adult",F159&lt;=55,"Seniour Adult",F159&gt;=55,"Old Age")</f>
        <v>Adult</v>
      </c>
      <c r="H159" t="s">
        <v>25</v>
      </c>
      <c r="I159" t="s">
        <v>11</v>
      </c>
      <c r="J159" t="str" cm="1">
        <f t="array" ref="J159">_xlfn.IFS(I159="S","Sauthamptonm",I159="Q","Queentown",I159="C","Cherburg",I159="B","Cabin")</f>
        <v>Sauthamptonm</v>
      </c>
      <c r="K159" t="s">
        <v>15</v>
      </c>
      <c r="L159" s="2">
        <v>151.16</v>
      </c>
      <c r="M159">
        <v>0</v>
      </c>
      <c r="N159">
        <v>0</v>
      </c>
      <c r="O159" t="s">
        <v>16</v>
      </c>
    </row>
    <row r="160" spans="1:15" x14ac:dyDescent="0.3">
      <c r="A160" s="1" t="s">
        <v>406</v>
      </c>
      <c r="B160" t="s">
        <v>72</v>
      </c>
      <c r="C160" t="s">
        <v>407</v>
      </c>
      <c r="D160" t="str">
        <f t="shared" si="2"/>
        <v>Male</v>
      </c>
      <c r="E160" t="s">
        <v>9</v>
      </c>
      <c r="F160" s="2">
        <v>40</v>
      </c>
      <c r="G160" s="2" t="str" cm="1">
        <f t="array" ref="G160">_xlfn.IFS(F160&lt;=8,"Child",F160&lt;=17,"Teen",F160&lt;=35,"Adult",F160&lt;=55,"Seniour Adult",F160&gt;=55,"Old Age")</f>
        <v>Seniour Adult</v>
      </c>
      <c r="H160" t="s">
        <v>25</v>
      </c>
      <c r="I160" t="s">
        <v>11</v>
      </c>
      <c r="J160" t="str" cm="1">
        <f t="array" ref="J160">_xlfn.IFS(I160="S","Sauthamptonm",I160="Q","Queentown",I160="C","Cherburg",I160="B","Cabin")</f>
        <v>Sauthamptonm</v>
      </c>
      <c r="K160" t="s">
        <v>12</v>
      </c>
      <c r="L160" s="2">
        <v>52</v>
      </c>
      <c r="M160">
        <v>0</v>
      </c>
      <c r="N160">
        <v>0</v>
      </c>
      <c r="O160" t="s">
        <v>13</v>
      </c>
    </row>
    <row r="161" spans="1:15" x14ac:dyDescent="0.3">
      <c r="A161" s="1" t="s">
        <v>408</v>
      </c>
      <c r="B161" t="s">
        <v>72</v>
      </c>
      <c r="C161" t="s">
        <v>409</v>
      </c>
      <c r="D161" t="str">
        <f t="shared" si="2"/>
        <v>Male</v>
      </c>
      <c r="E161" t="s">
        <v>9</v>
      </c>
      <c r="F161" s="2">
        <v>20</v>
      </c>
      <c r="G161" s="2" t="str" cm="1">
        <f t="array" ref="G161">_xlfn.IFS(F161&lt;=8,"Child",F161&lt;=17,"Teen",F161&lt;=35,"Adult",F161&lt;=55,"Seniour Adult",F161&gt;=55,"Old Age")</f>
        <v>Adult</v>
      </c>
      <c r="H161" t="s">
        <v>10</v>
      </c>
      <c r="I161" t="s">
        <v>11</v>
      </c>
      <c r="J161" t="str" cm="1">
        <f t="array" ref="J161">_xlfn.IFS(I161="S","Sauthamptonm",I161="Q","Queentown",I161="C","Cherburg",I161="B","Cabin")</f>
        <v>Sauthamptonm</v>
      </c>
      <c r="K161" t="s">
        <v>15</v>
      </c>
      <c r="L161" s="2">
        <v>7.01</v>
      </c>
      <c r="M161">
        <v>0</v>
      </c>
      <c r="N161">
        <v>0</v>
      </c>
      <c r="O161" t="s">
        <v>13</v>
      </c>
    </row>
    <row r="162" spans="1:15" x14ac:dyDescent="0.3">
      <c r="A162" s="1" t="s">
        <v>410</v>
      </c>
      <c r="B162" t="s">
        <v>72</v>
      </c>
      <c r="C162" t="s">
        <v>411</v>
      </c>
      <c r="D162" t="str">
        <f t="shared" si="2"/>
        <v>Male</v>
      </c>
      <c r="E162" t="s">
        <v>9</v>
      </c>
      <c r="F162" s="2">
        <v>18</v>
      </c>
      <c r="G162" s="2" t="str" cm="1">
        <f t="array" ref="G162">_xlfn.IFS(F162&lt;=8,"Child",F162&lt;=17,"Teen",F162&lt;=35,"Adult",F162&lt;=55,"Seniour Adult",F162&gt;=55,"Old Age")</f>
        <v>Adult</v>
      </c>
      <c r="H162" t="s">
        <v>10</v>
      </c>
      <c r="I162" t="s">
        <v>11</v>
      </c>
      <c r="J162" t="str" cm="1">
        <f t="array" ref="J162">_xlfn.IFS(I162="S","Sauthamptonm",I162="Q","Queentown",I162="C","Cherburg",I162="B","Cabin")</f>
        <v>Sauthamptonm</v>
      </c>
      <c r="K162" t="s">
        <v>15</v>
      </c>
      <c r="L162" s="2">
        <v>8.01</v>
      </c>
      <c r="M162">
        <v>0</v>
      </c>
      <c r="N162">
        <v>0</v>
      </c>
      <c r="O162" t="s">
        <v>16</v>
      </c>
    </row>
    <row r="163" spans="1:15" x14ac:dyDescent="0.3">
      <c r="A163" s="1" t="s">
        <v>412</v>
      </c>
      <c r="B163" t="s">
        <v>72</v>
      </c>
      <c r="C163" t="s">
        <v>341</v>
      </c>
      <c r="D163" t="str">
        <f t="shared" si="2"/>
        <v>Male</v>
      </c>
      <c r="E163" t="s">
        <v>9</v>
      </c>
      <c r="F163" s="2">
        <v>24</v>
      </c>
      <c r="G163" s="2" t="str" cm="1">
        <f t="array" ref="G163">_xlfn.IFS(F163&lt;=8,"Child",F163&lt;=17,"Teen",F163&lt;=35,"Adult",F163&lt;=55,"Seniour Adult",F163&gt;=55,"Old Age")</f>
        <v>Adult</v>
      </c>
      <c r="H163" t="s">
        <v>10</v>
      </c>
      <c r="I163" t="s">
        <v>36</v>
      </c>
      <c r="J163" t="str" cm="1">
        <f t="array" ref="J163">_xlfn.IFS(I163="S","Sauthamptonm",I163="Q","Queentown",I163="C","Cherburg",I163="B","Cabin")</f>
        <v>Queentown</v>
      </c>
      <c r="K163" t="s">
        <v>37</v>
      </c>
      <c r="L163" s="2">
        <v>7.05</v>
      </c>
      <c r="M163">
        <v>0</v>
      </c>
      <c r="N163">
        <v>0</v>
      </c>
      <c r="O163" t="s">
        <v>13</v>
      </c>
    </row>
    <row r="164" spans="1:15" x14ac:dyDescent="0.3">
      <c r="A164" s="1" t="s">
        <v>413</v>
      </c>
      <c r="B164" t="s">
        <v>72</v>
      </c>
      <c r="C164" t="s">
        <v>414</v>
      </c>
      <c r="D164" t="str">
        <f t="shared" si="2"/>
        <v>Male</v>
      </c>
      <c r="E164" t="s">
        <v>9</v>
      </c>
      <c r="F164" s="2">
        <v>24</v>
      </c>
      <c r="G164" s="2" t="str" cm="1">
        <f t="array" ref="G164">_xlfn.IFS(F164&lt;=8,"Child",F164&lt;=17,"Teen",F164&lt;=35,"Adult",F164&lt;=55,"Seniour Adult",F164&gt;=55,"Old Age")</f>
        <v>Adult</v>
      </c>
      <c r="H164" t="s">
        <v>10</v>
      </c>
      <c r="I164" t="s">
        <v>11</v>
      </c>
      <c r="J164" t="str" cm="1">
        <f t="array" ref="J164">_xlfn.IFS(I164="S","Sauthamptonm",I164="Q","Queentown",I164="C","Cherburg",I164="B","Cabin")</f>
        <v>Sauthamptonm</v>
      </c>
      <c r="K164" t="s">
        <v>31</v>
      </c>
      <c r="L164" s="2">
        <v>7.1711</v>
      </c>
      <c r="M164">
        <v>0</v>
      </c>
      <c r="N164">
        <v>0</v>
      </c>
      <c r="O164" t="s">
        <v>13</v>
      </c>
    </row>
    <row r="165" spans="1:15" x14ac:dyDescent="0.3">
      <c r="A165" s="1" t="s">
        <v>415</v>
      </c>
      <c r="B165" t="s">
        <v>72</v>
      </c>
      <c r="C165" t="s">
        <v>416</v>
      </c>
      <c r="D165" t="str">
        <f t="shared" si="2"/>
        <v>Male</v>
      </c>
      <c r="E165" t="s">
        <v>9</v>
      </c>
      <c r="F165" s="2">
        <v>29</v>
      </c>
      <c r="G165" s="2" t="str" cm="1">
        <f t="array" ref="G165">_xlfn.IFS(F165&lt;=8,"Child",F165&lt;=17,"Teen",F165&lt;=35,"Adult",F165&lt;=55,"Seniour Adult",F165&gt;=55,"Old Age")</f>
        <v>Adult</v>
      </c>
      <c r="H165" t="s">
        <v>18</v>
      </c>
      <c r="I165" t="s">
        <v>11</v>
      </c>
      <c r="J165" t="str" cm="1">
        <f t="array" ref="J165">_xlfn.IFS(I165="S","Sauthamptonm",I165="Q","Queentown",I165="C","Cherburg",I165="B","Cabin")</f>
        <v>Sauthamptonm</v>
      </c>
      <c r="K165" t="s">
        <v>15</v>
      </c>
      <c r="L165" s="2">
        <v>10.1</v>
      </c>
      <c r="M165">
        <v>0</v>
      </c>
      <c r="N165">
        <v>0</v>
      </c>
      <c r="O165" t="s">
        <v>13</v>
      </c>
    </row>
    <row r="166" spans="1:15" x14ac:dyDescent="0.3">
      <c r="A166" s="1" t="s">
        <v>417</v>
      </c>
      <c r="B166" t="s">
        <v>72</v>
      </c>
      <c r="C166" t="s">
        <v>418</v>
      </c>
      <c r="D166" t="str">
        <f t="shared" si="2"/>
        <v>Male</v>
      </c>
      <c r="E166" t="s">
        <v>9</v>
      </c>
      <c r="F166" s="2">
        <v>27</v>
      </c>
      <c r="G166" s="2" t="str" cm="1">
        <f t="array" ref="G166">_xlfn.IFS(F166&lt;=8,"Child",F166&lt;=17,"Teen",F166&lt;=35,"Adult",F166&lt;=55,"Seniour Adult",F166&gt;=55,"Old Age")</f>
        <v>Adult</v>
      </c>
      <c r="H166" t="s">
        <v>18</v>
      </c>
      <c r="I166" t="s">
        <v>11</v>
      </c>
      <c r="J166" t="str" cm="1">
        <f t="array" ref="J166">_xlfn.IFS(I166="S","Sauthamptonm",I166="Q","Queentown",I166="C","Cherburg",I166="B","Cabin")</f>
        <v>Sauthamptonm</v>
      </c>
      <c r="K166" t="s">
        <v>22</v>
      </c>
      <c r="L166" s="2">
        <v>13</v>
      </c>
      <c r="M166">
        <v>0</v>
      </c>
      <c r="N166">
        <v>0</v>
      </c>
      <c r="O166" t="s">
        <v>13</v>
      </c>
    </row>
    <row r="167" spans="1:15" x14ac:dyDescent="0.3">
      <c r="A167" s="1" t="s">
        <v>419</v>
      </c>
      <c r="B167" t="s">
        <v>72</v>
      </c>
      <c r="C167" t="s">
        <v>420</v>
      </c>
      <c r="D167" t="str">
        <f t="shared" si="2"/>
        <v>Male</v>
      </c>
      <c r="E167" t="s">
        <v>9</v>
      </c>
      <c r="F167" s="2">
        <v>25</v>
      </c>
      <c r="G167" s="2" t="str" cm="1">
        <f t="array" ref="G167">_xlfn.IFS(F167&lt;=8,"Child",F167&lt;=17,"Teen",F167&lt;=35,"Adult",F167&lt;=55,"Seniour Adult",F167&gt;=55,"Old Age")</f>
        <v>Adult</v>
      </c>
      <c r="H167" t="s">
        <v>18</v>
      </c>
      <c r="I167" t="s">
        <v>11</v>
      </c>
      <c r="J167" t="str" cm="1">
        <f t="array" ref="J167">_xlfn.IFS(I167="S","Sauthamptonm",I167="Q","Queentown",I167="C","Cherburg",I167="B","Cabin")</f>
        <v>Sauthamptonm</v>
      </c>
      <c r="K167" t="s">
        <v>15</v>
      </c>
      <c r="L167" s="2">
        <v>10.1</v>
      </c>
      <c r="M167">
        <v>0</v>
      </c>
      <c r="N167">
        <v>0</v>
      </c>
      <c r="O167" t="s">
        <v>16</v>
      </c>
    </row>
    <row r="168" spans="1:15" x14ac:dyDescent="0.3">
      <c r="A168" s="1" t="s">
        <v>421</v>
      </c>
      <c r="B168" t="s">
        <v>72</v>
      </c>
      <c r="C168" t="s">
        <v>422</v>
      </c>
      <c r="D168" t="str">
        <f t="shared" si="2"/>
        <v>Male</v>
      </c>
      <c r="E168" t="s">
        <v>9</v>
      </c>
      <c r="F168" s="2">
        <v>37</v>
      </c>
      <c r="G168" s="2" t="str" cm="1">
        <f t="array" ref="G168">_xlfn.IFS(F168&lt;=8,"Child",F168&lt;=17,"Teen",F168&lt;=35,"Adult",F168&lt;=55,"Seniour Adult",F168&gt;=55,"Old Age")</f>
        <v>Seniour Adult</v>
      </c>
      <c r="H168" t="s">
        <v>25</v>
      </c>
      <c r="I168" t="s">
        <v>11</v>
      </c>
      <c r="J168" t="str" cm="1">
        <f t="array" ref="J168">_xlfn.IFS(I168="S","Sauthamptonm",I168="Q","Queentown",I168="C","Cherburg",I168="B","Cabin")</f>
        <v>Sauthamptonm</v>
      </c>
      <c r="K168" t="s">
        <v>37</v>
      </c>
      <c r="L168" s="2">
        <v>25.110900000000001</v>
      </c>
      <c r="M168">
        <v>0</v>
      </c>
      <c r="N168">
        <v>0</v>
      </c>
      <c r="O168" t="s">
        <v>13</v>
      </c>
    </row>
    <row r="169" spans="1:15" x14ac:dyDescent="0.3">
      <c r="A169" s="1" t="s">
        <v>423</v>
      </c>
      <c r="B169" t="s">
        <v>78</v>
      </c>
      <c r="C169" t="s">
        <v>424</v>
      </c>
      <c r="D169" t="str">
        <f t="shared" si="2"/>
        <v>Female</v>
      </c>
      <c r="E169" t="s">
        <v>14</v>
      </c>
      <c r="F169" s="2">
        <v>8</v>
      </c>
      <c r="G169" s="2" t="str" cm="1">
        <f t="array" ref="G169">_xlfn.IFS(F169&lt;=8,"Child",F169&lt;=17,"Teen",F169&lt;=35,"Adult",F169&lt;=55,"Seniour Adult",F169&gt;=55,"Old Age")</f>
        <v>Child</v>
      </c>
      <c r="H169" t="s">
        <v>18</v>
      </c>
      <c r="I169" t="s">
        <v>11</v>
      </c>
      <c r="J169" t="str" cm="1">
        <f t="array" ref="J169">_xlfn.IFS(I169="S","Sauthamptonm",I169="Q","Queentown",I169="C","Cherburg",I169="B","Cabin")</f>
        <v>Sauthamptonm</v>
      </c>
      <c r="K169" t="s">
        <v>15</v>
      </c>
      <c r="L169" s="2">
        <v>26.05</v>
      </c>
      <c r="M169">
        <v>0</v>
      </c>
      <c r="N169">
        <v>2</v>
      </c>
      <c r="O169" t="s">
        <v>16</v>
      </c>
    </row>
    <row r="170" spans="1:15" x14ac:dyDescent="0.3">
      <c r="A170" s="1" t="s">
        <v>425</v>
      </c>
      <c r="B170" t="s">
        <v>72</v>
      </c>
      <c r="C170" t="s">
        <v>426</v>
      </c>
      <c r="D170" t="str">
        <f t="shared" si="2"/>
        <v>Male</v>
      </c>
      <c r="E170" t="s">
        <v>9</v>
      </c>
      <c r="F170" s="2">
        <v>36</v>
      </c>
      <c r="G170" s="2" t="str" cm="1">
        <f t="array" ref="G170">_xlfn.IFS(F170&lt;=8,"Child",F170&lt;=17,"Teen",F170&lt;=35,"Adult",F170&lt;=55,"Seniour Adult",F170&gt;=55,"Old Age")</f>
        <v>Seniour Adult</v>
      </c>
      <c r="H170" t="s">
        <v>10</v>
      </c>
      <c r="I170" t="s">
        <v>11</v>
      </c>
      <c r="J170" t="str" cm="1">
        <f t="array" ref="J170">_xlfn.IFS(I170="S","Sauthamptonm",I170="Q","Queentown",I170="C","Cherburg",I170="B","Cabin")</f>
        <v>Sauthamptonm</v>
      </c>
      <c r="K170" t="s">
        <v>31</v>
      </c>
      <c r="L170" s="2">
        <v>7.1711</v>
      </c>
      <c r="M170">
        <v>0</v>
      </c>
      <c r="N170">
        <v>0</v>
      </c>
      <c r="O170" t="s">
        <v>13</v>
      </c>
    </row>
    <row r="171" spans="1:15" x14ac:dyDescent="0.3">
      <c r="A171" s="1" t="s">
        <v>427</v>
      </c>
      <c r="B171" t="s">
        <v>78</v>
      </c>
      <c r="C171" t="s">
        <v>428</v>
      </c>
      <c r="D171" t="str">
        <f t="shared" si="2"/>
        <v>Female</v>
      </c>
      <c r="E171" t="s">
        <v>14</v>
      </c>
      <c r="F171" s="2">
        <v>39</v>
      </c>
      <c r="G171" s="2" t="str" cm="1">
        <f t="array" ref="G171">_xlfn.IFS(F171&lt;=8,"Child",F171&lt;=17,"Teen",F171&lt;=35,"Adult",F171&lt;=55,"Seniour Adult",F171&gt;=55,"Old Age")</f>
        <v>Seniour Adult</v>
      </c>
      <c r="H171" t="s">
        <v>25</v>
      </c>
      <c r="I171" t="s">
        <v>19</v>
      </c>
      <c r="J171" t="str" cm="1">
        <f t="array" ref="J171">_xlfn.IFS(I171="S","Sauthamptonm",I171="Q","Queentown",I171="C","Cherburg",I171="B","Cabin")</f>
        <v>Cherburg</v>
      </c>
      <c r="K171" t="s">
        <v>12</v>
      </c>
      <c r="L171" s="2">
        <v>83.030199999999994</v>
      </c>
      <c r="M171">
        <v>1</v>
      </c>
      <c r="N171">
        <v>1</v>
      </c>
      <c r="O171" t="s">
        <v>16</v>
      </c>
    </row>
    <row r="172" spans="1:15" x14ac:dyDescent="0.3">
      <c r="A172" s="1" t="s">
        <v>429</v>
      </c>
      <c r="B172" t="s">
        <v>72</v>
      </c>
      <c r="C172" t="s">
        <v>430</v>
      </c>
      <c r="D172" t="str">
        <f t="shared" si="2"/>
        <v>Male</v>
      </c>
      <c r="E172" t="s">
        <v>9</v>
      </c>
      <c r="F172" s="2">
        <v>31</v>
      </c>
      <c r="G172" s="2" t="str" cm="1">
        <f t="array" ref="G172">_xlfn.IFS(F172&lt;=8,"Child",F172&lt;=17,"Teen",F172&lt;=35,"Adult",F172&lt;=55,"Seniour Adult",F172&gt;=55,"Old Age")</f>
        <v>Adult</v>
      </c>
      <c r="H172" t="s">
        <v>10</v>
      </c>
      <c r="I172" t="s">
        <v>36</v>
      </c>
      <c r="J172" t="str" cm="1">
        <f t="array" ref="J172">_xlfn.IFS(I172="S","Sauthamptonm",I172="Q","Queentown",I172="C","Cherburg",I172="B","Cabin")</f>
        <v>Queentown</v>
      </c>
      <c r="K172" t="s">
        <v>12</v>
      </c>
      <c r="L172" s="2">
        <v>7.1407999999999996</v>
      </c>
      <c r="M172">
        <v>0</v>
      </c>
      <c r="N172">
        <v>0</v>
      </c>
      <c r="O172" t="s">
        <v>13</v>
      </c>
    </row>
    <row r="173" spans="1:15" x14ac:dyDescent="0.3">
      <c r="A173" s="1" t="s">
        <v>431</v>
      </c>
      <c r="B173" t="s">
        <v>72</v>
      </c>
      <c r="C173" t="s">
        <v>432</v>
      </c>
      <c r="D173" t="str">
        <f t="shared" si="2"/>
        <v>Male</v>
      </c>
      <c r="E173" t="s">
        <v>9</v>
      </c>
      <c r="F173" s="2">
        <v>40</v>
      </c>
      <c r="G173" s="2" t="str" cm="1">
        <f t="array" ref="G173">_xlfn.IFS(F173&lt;=8,"Child",F173&lt;=17,"Teen",F173&lt;=35,"Adult",F173&lt;=55,"Seniour Adult",F173&gt;=55,"Old Age")</f>
        <v>Seniour Adult</v>
      </c>
      <c r="H173" t="s">
        <v>10</v>
      </c>
      <c r="I173" t="s">
        <v>36</v>
      </c>
      <c r="J173" t="str" cm="1">
        <f t="array" ref="J173">_xlfn.IFS(I173="S","Sauthamptonm",I173="Q","Queentown",I173="C","Cherburg",I173="B","Cabin")</f>
        <v>Queentown</v>
      </c>
      <c r="K173" t="s">
        <v>37</v>
      </c>
      <c r="L173" s="2">
        <v>7.15</v>
      </c>
      <c r="M173">
        <v>0</v>
      </c>
      <c r="N173">
        <v>0</v>
      </c>
      <c r="O173" t="s">
        <v>13</v>
      </c>
    </row>
    <row r="174" spans="1:15" x14ac:dyDescent="0.3">
      <c r="A174" s="1" t="s">
        <v>433</v>
      </c>
      <c r="B174" t="s">
        <v>78</v>
      </c>
      <c r="C174" t="s">
        <v>263</v>
      </c>
      <c r="D174" t="str">
        <f t="shared" si="2"/>
        <v>Female</v>
      </c>
      <c r="E174" t="s">
        <v>14</v>
      </c>
      <c r="F174" s="2">
        <v>23</v>
      </c>
      <c r="G174" s="2" t="str" cm="1">
        <f t="array" ref="G174">_xlfn.IFS(F174&lt;=8,"Child",F174&lt;=17,"Teen",F174&lt;=35,"Adult",F174&lt;=55,"Seniour Adult",F174&gt;=55,"Old Age")</f>
        <v>Adult</v>
      </c>
      <c r="H174" t="s">
        <v>10</v>
      </c>
      <c r="I174" t="s">
        <v>36</v>
      </c>
      <c r="J174" t="str" cm="1">
        <f t="array" ref="J174">_xlfn.IFS(I174="S","Sauthamptonm",I174="Q","Queentown",I174="C","Cherburg",I174="B","Cabin")</f>
        <v>Queentown</v>
      </c>
      <c r="K174" t="s">
        <v>37</v>
      </c>
      <c r="L174" s="2">
        <v>7.15</v>
      </c>
      <c r="M174">
        <v>0</v>
      </c>
      <c r="N174">
        <v>0</v>
      </c>
      <c r="O174" t="s">
        <v>16</v>
      </c>
    </row>
    <row r="175" spans="1:15" x14ac:dyDescent="0.3">
      <c r="A175" s="1" t="s">
        <v>434</v>
      </c>
      <c r="B175" t="s">
        <v>72</v>
      </c>
      <c r="C175" t="s">
        <v>341</v>
      </c>
      <c r="D175" t="str">
        <f t="shared" si="2"/>
        <v>Male</v>
      </c>
      <c r="E175" t="s">
        <v>9</v>
      </c>
      <c r="F175" s="2">
        <v>66</v>
      </c>
      <c r="G175" s="2" t="str" cm="1">
        <f t="array" ref="G175">_xlfn.IFS(F175&lt;=8,"Child",F175&lt;=17,"Teen",F175&lt;=35,"Adult",F175&lt;=55,"Seniour Adult",F175&gt;=55,"Old Age")</f>
        <v>Old Age</v>
      </c>
      <c r="H175" t="s">
        <v>10</v>
      </c>
      <c r="I175" t="s">
        <v>36</v>
      </c>
      <c r="J175" t="str" cm="1">
        <f t="array" ref="J175">_xlfn.IFS(I175="S","Sauthamptonm",I175="Q","Queentown",I175="C","Cherburg",I175="B","Cabin")</f>
        <v>Queentown</v>
      </c>
      <c r="K175" t="s">
        <v>37</v>
      </c>
      <c r="L175" s="2">
        <v>7.15</v>
      </c>
      <c r="M175">
        <v>0</v>
      </c>
      <c r="N175">
        <v>0</v>
      </c>
      <c r="O175" t="s">
        <v>13</v>
      </c>
    </row>
    <row r="176" spans="1:15" x14ac:dyDescent="0.3">
      <c r="A176" s="1" t="s">
        <v>435</v>
      </c>
      <c r="B176" t="s">
        <v>72</v>
      </c>
      <c r="C176" t="s">
        <v>436</v>
      </c>
      <c r="D176" t="str">
        <f t="shared" si="2"/>
        <v>Male</v>
      </c>
      <c r="E176" t="s">
        <v>9</v>
      </c>
      <c r="F176" s="2">
        <v>43</v>
      </c>
      <c r="G176" s="2" t="str" cm="1">
        <f t="array" ref="G176">_xlfn.IFS(F176&lt;=8,"Child",F176&lt;=17,"Teen",F176&lt;=35,"Adult",F176&lt;=55,"Seniour Adult",F176&gt;=55,"Old Age")</f>
        <v>Seniour Adult</v>
      </c>
      <c r="H176" t="s">
        <v>10</v>
      </c>
      <c r="I176" t="s">
        <v>11</v>
      </c>
      <c r="J176" t="str" cm="1">
        <f t="array" ref="J176">_xlfn.IFS(I176="S","Sauthamptonm",I176="Q","Queentown",I176="C","Cherburg",I176="B","Cabin")</f>
        <v>Sauthamptonm</v>
      </c>
      <c r="K176" t="s">
        <v>15</v>
      </c>
      <c r="L176" s="2">
        <v>8.01</v>
      </c>
      <c r="M176">
        <v>0</v>
      </c>
      <c r="N176">
        <v>0</v>
      </c>
      <c r="O176" t="s">
        <v>13</v>
      </c>
    </row>
    <row r="177" spans="1:15" x14ac:dyDescent="0.3">
      <c r="A177" s="1" t="s">
        <v>437</v>
      </c>
      <c r="B177" t="s">
        <v>76</v>
      </c>
      <c r="C177" t="s">
        <v>438</v>
      </c>
      <c r="D177" t="str">
        <f t="shared" si="2"/>
        <v>Female</v>
      </c>
      <c r="E177" t="s">
        <v>14</v>
      </c>
      <c r="F177" s="2">
        <v>30</v>
      </c>
      <c r="G177" s="2" t="str" cm="1">
        <f t="array" ref="G177">_xlfn.IFS(F177&lt;=8,"Child",F177&lt;=17,"Teen",F177&lt;=35,"Adult",F177&lt;=55,"Seniour Adult",F177&gt;=55,"Old Age")</f>
        <v>Adult</v>
      </c>
      <c r="H177" t="s">
        <v>18</v>
      </c>
      <c r="I177" t="s">
        <v>11</v>
      </c>
      <c r="J177" t="str" cm="1">
        <f t="array" ref="J177">_xlfn.IFS(I177="S","Sauthamptonm",I177="Q","Queentown",I177="C","Cherburg",I177="B","Cabin")</f>
        <v>Sauthamptonm</v>
      </c>
      <c r="K177" t="s">
        <v>12</v>
      </c>
      <c r="L177" s="2">
        <v>13</v>
      </c>
      <c r="M177">
        <v>0</v>
      </c>
      <c r="N177">
        <v>0</v>
      </c>
      <c r="O177" t="s">
        <v>13</v>
      </c>
    </row>
    <row r="178" spans="1:15" x14ac:dyDescent="0.3">
      <c r="A178" s="1" t="s">
        <v>439</v>
      </c>
      <c r="B178" t="s">
        <v>76</v>
      </c>
      <c r="C178" t="s">
        <v>440</v>
      </c>
      <c r="D178" t="str">
        <f t="shared" si="2"/>
        <v>Female</v>
      </c>
      <c r="E178" t="s">
        <v>14</v>
      </c>
      <c r="F178" s="2">
        <v>32</v>
      </c>
      <c r="G178" s="2" t="str" cm="1">
        <f t="array" ref="G178">_xlfn.IFS(F178&lt;=8,"Child",F178&lt;=17,"Teen",F178&lt;=35,"Adult",F178&lt;=55,"Seniour Adult",F178&gt;=55,"Old Age")</f>
        <v>Adult</v>
      </c>
      <c r="H178" t="s">
        <v>18</v>
      </c>
      <c r="I178" t="s">
        <v>11</v>
      </c>
      <c r="J178" t="str" cm="1">
        <f t="array" ref="J178">_xlfn.IFS(I178="S","Sauthamptonm",I178="Q","Queentown",I178="C","Cherburg",I178="B","Cabin")</f>
        <v>Sauthamptonm</v>
      </c>
      <c r="K178" t="s">
        <v>15</v>
      </c>
      <c r="L178" s="2">
        <v>21</v>
      </c>
      <c r="M178">
        <v>0</v>
      </c>
      <c r="N178">
        <v>0</v>
      </c>
      <c r="O178" t="s">
        <v>13</v>
      </c>
    </row>
    <row r="179" spans="1:15" x14ac:dyDescent="0.3">
      <c r="A179" s="1" t="s">
        <v>441</v>
      </c>
      <c r="B179" t="s">
        <v>72</v>
      </c>
      <c r="C179" t="s">
        <v>442</v>
      </c>
      <c r="D179" t="str">
        <f t="shared" si="2"/>
        <v>Male</v>
      </c>
      <c r="E179" t="s">
        <v>9</v>
      </c>
      <c r="F179" s="2">
        <v>35</v>
      </c>
      <c r="G179" s="2" t="str" cm="1">
        <f t="array" ref="G179">_xlfn.IFS(F179&lt;=8,"Child",F179&lt;=17,"Teen",F179&lt;=35,"Adult",F179&lt;=55,"Seniour Adult",F179&gt;=55,"Old Age")</f>
        <v>Adult</v>
      </c>
      <c r="H179" t="s">
        <v>10</v>
      </c>
      <c r="I179" t="s">
        <v>11</v>
      </c>
      <c r="J179" t="str" cm="1">
        <f t="array" ref="J179">_xlfn.IFS(I179="S","Sauthamptonm",I179="Q","Queentown",I179="C","Cherburg",I179="B","Cabin")</f>
        <v>Sauthamptonm</v>
      </c>
      <c r="K179" t="s">
        <v>42</v>
      </c>
      <c r="L179" s="2">
        <v>7.1711</v>
      </c>
      <c r="M179">
        <v>0</v>
      </c>
      <c r="N179">
        <v>0</v>
      </c>
      <c r="O179" t="s">
        <v>13</v>
      </c>
    </row>
    <row r="180" spans="1:15" x14ac:dyDescent="0.3">
      <c r="A180" s="1" t="s">
        <v>444</v>
      </c>
      <c r="B180" t="s">
        <v>72</v>
      </c>
      <c r="C180" t="s">
        <v>445</v>
      </c>
      <c r="D180" t="str">
        <f t="shared" si="2"/>
        <v>Male</v>
      </c>
      <c r="E180" t="s">
        <v>9</v>
      </c>
      <c r="F180" s="2">
        <v>30</v>
      </c>
      <c r="G180" s="2" t="str" cm="1">
        <f t="array" ref="G180">_xlfn.IFS(F180&lt;=8,"Child",F180&lt;=17,"Teen",F180&lt;=35,"Adult",F180&lt;=55,"Seniour Adult",F180&gt;=55,"Old Age")</f>
        <v>Adult</v>
      </c>
      <c r="H180" t="s">
        <v>10</v>
      </c>
      <c r="I180" t="s">
        <v>11</v>
      </c>
      <c r="J180" t="str" cm="1">
        <f t="array" ref="J180">_xlfn.IFS(I180="S","Sauthamptonm",I180="Q","Queentown",I180="C","Cherburg",I180="B","Cabin")</f>
        <v>Sauthamptonm</v>
      </c>
      <c r="K180" t="s">
        <v>47</v>
      </c>
      <c r="L180" s="2">
        <v>8.01</v>
      </c>
      <c r="M180">
        <v>0</v>
      </c>
      <c r="N180">
        <v>0</v>
      </c>
      <c r="O180" t="s">
        <v>13</v>
      </c>
    </row>
    <row r="181" spans="1:15" x14ac:dyDescent="0.3">
      <c r="A181" s="1" t="s">
        <v>446</v>
      </c>
      <c r="B181" t="s">
        <v>76</v>
      </c>
      <c r="C181" t="s">
        <v>447</v>
      </c>
      <c r="D181" t="str">
        <f t="shared" si="2"/>
        <v>Female</v>
      </c>
      <c r="E181" t="s">
        <v>14</v>
      </c>
      <c r="F181" s="2">
        <v>55</v>
      </c>
      <c r="G181" s="2" t="str" cm="1">
        <f t="array" ref="G181">_xlfn.IFS(F181&lt;=8,"Child",F181&lt;=17,"Teen",F181&lt;=35,"Adult",F181&lt;=55,"Seniour Adult",F181&gt;=55,"Old Age")</f>
        <v>Seniour Adult</v>
      </c>
      <c r="H181" t="s">
        <v>25</v>
      </c>
      <c r="I181" t="s">
        <v>11</v>
      </c>
      <c r="J181" t="str" cm="1">
        <f t="array" ref="J181">_xlfn.IFS(I181="S","Sauthamptonm",I181="Q","Queentown",I181="C","Cherburg",I181="B","Cabin")</f>
        <v>Sauthamptonm</v>
      </c>
      <c r="K181" t="s">
        <v>12</v>
      </c>
      <c r="L181" s="2">
        <v>25.140999999999998</v>
      </c>
      <c r="M181">
        <v>2</v>
      </c>
      <c r="N181">
        <v>0</v>
      </c>
      <c r="O181" t="s">
        <v>16</v>
      </c>
    </row>
    <row r="182" spans="1:15" x14ac:dyDescent="0.3">
      <c r="A182" s="1" t="s">
        <v>448</v>
      </c>
      <c r="B182" t="s">
        <v>78</v>
      </c>
      <c r="C182" t="s">
        <v>237</v>
      </c>
      <c r="D182" t="str">
        <f t="shared" si="2"/>
        <v>Female</v>
      </c>
      <c r="E182" t="s">
        <v>14</v>
      </c>
      <c r="F182" s="2">
        <v>16</v>
      </c>
      <c r="G182" s="2" t="str" cm="1">
        <f t="array" ref="G182">_xlfn.IFS(F182&lt;=8,"Child",F182&lt;=17,"Teen",F182&lt;=35,"Adult",F182&lt;=55,"Seniour Adult",F182&gt;=55,"Old Age")</f>
        <v>Teen</v>
      </c>
      <c r="H182" t="s">
        <v>10</v>
      </c>
      <c r="I182" t="s">
        <v>36</v>
      </c>
      <c r="J182" t="str" cm="1">
        <f t="array" ref="J182">_xlfn.IFS(I182="S","Sauthamptonm",I182="Q","Queentown",I182="C","Cherburg",I182="B","Cabin")</f>
        <v>Queentown</v>
      </c>
      <c r="K182" t="s">
        <v>37</v>
      </c>
      <c r="L182" s="2">
        <v>7.15</v>
      </c>
      <c r="M182">
        <v>0</v>
      </c>
      <c r="N182">
        <v>0</v>
      </c>
      <c r="O182" t="s">
        <v>16</v>
      </c>
    </row>
    <row r="183" spans="1:15" x14ac:dyDescent="0.3">
      <c r="A183" s="1" t="s">
        <v>449</v>
      </c>
      <c r="B183" t="s">
        <v>72</v>
      </c>
      <c r="C183" t="s">
        <v>251</v>
      </c>
      <c r="D183" t="str">
        <f t="shared" si="2"/>
        <v>Male</v>
      </c>
      <c r="E183" t="s">
        <v>9</v>
      </c>
      <c r="F183" s="2">
        <v>21</v>
      </c>
      <c r="G183" s="2" t="str" cm="1">
        <f t="array" ref="G183">_xlfn.IFS(F183&lt;=8,"Child",F183&lt;=17,"Teen",F183&lt;=35,"Adult",F183&lt;=55,"Seniour Adult",F183&gt;=55,"Old Age")</f>
        <v>Adult</v>
      </c>
      <c r="H183" t="s">
        <v>18</v>
      </c>
      <c r="I183" t="s">
        <v>11</v>
      </c>
      <c r="J183" t="str" cm="1">
        <f t="array" ref="J183">_xlfn.IFS(I183="S","Sauthamptonm",I183="Q","Queentown",I183="C","Cherburg",I183="B","Cabin")</f>
        <v>Sauthamptonm</v>
      </c>
      <c r="K183" t="s">
        <v>15</v>
      </c>
      <c r="L183" s="2">
        <v>11.1</v>
      </c>
      <c r="M183">
        <v>0</v>
      </c>
      <c r="N183">
        <v>0</v>
      </c>
      <c r="O183" t="s">
        <v>13</v>
      </c>
    </row>
    <row r="184" spans="1:15" x14ac:dyDescent="0.3">
      <c r="A184" s="1" t="s">
        <v>450</v>
      </c>
      <c r="B184" t="s">
        <v>94</v>
      </c>
      <c r="C184" t="s">
        <v>451</v>
      </c>
      <c r="D184" t="str">
        <f t="shared" si="2"/>
        <v>Male</v>
      </c>
      <c r="E184" t="s">
        <v>9</v>
      </c>
      <c r="F184" s="2">
        <v>3</v>
      </c>
      <c r="G184" s="2" t="str" cm="1">
        <f t="array" ref="G184">_xlfn.IFS(F184&lt;=8,"Child",F184&lt;=17,"Teen",F184&lt;=35,"Adult",F184&lt;=55,"Seniour Adult",F184&gt;=55,"Old Age")</f>
        <v>Child</v>
      </c>
      <c r="H184" t="s">
        <v>10</v>
      </c>
      <c r="I184" t="s">
        <v>11</v>
      </c>
      <c r="J184" t="str" cm="1">
        <f t="array" ref="J184">_xlfn.IFS(I184="S","Sauthamptonm",I184="Q","Queentown",I184="C","Cherburg",I184="B","Cabin")</f>
        <v>Sauthamptonm</v>
      </c>
      <c r="K184" t="s">
        <v>15</v>
      </c>
      <c r="L184" s="2">
        <v>15.18</v>
      </c>
      <c r="M184">
        <v>1</v>
      </c>
      <c r="N184">
        <v>1</v>
      </c>
      <c r="O184" t="s">
        <v>16</v>
      </c>
    </row>
    <row r="185" spans="1:15" x14ac:dyDescent="0.3">
      <c r="A185" s="1" t="s">
        <v>452</v>
      </c>
      <c r="B185" t="s">
        <v>72</v>
      </c>
      <c r="C185" t="s">
        <v>304</v>
      </c>
      <c r="D185" t="str">
        <f t="shared" si="2"/>
        <v>Male</v>
      </c>
      <c r="E185" t="s">
        <v>9</v>
      </c>
      <c r="F185" s="2">
        <v>58</v>
      </c>
      <c r="G185" s="2" t="str" cm="1">
        <f t="array" ref="G185">_xlfn.IFS(F185&lt;=8,"Child",F185&lt;=17,"Teen",F185&lt;=35,"Adult",F185&lt;=55,"Seniour Adult",F185&gt;=55,"Old Age")</f>
        <v>Old Age</v>
      </c>
      <c r="H185" t="s">
        <v>10</v>
      </c>
      <c r="I185" t="s">
        <v>11</v>
      </c>
      <c r="J185" t="str" cm="1">
        <f t="array" ref="J185">_xlfn.IFS(I185="S","Sauthamptonm",I185="Q","Queentown",I185="C","Cherburg",I185="B","Cabin")</f>
        <v>Sauthamptonm</v>
      </c>
      <c r="K185" t="s">
        <v>15</v>
      </c>
      <c r="L185" s="2">
        <v>7.05</v>
      </c>
      <c r="M185">
        <v>0</v>
      </c>
      <c r="N185">
        <v>0</v>
      </c>
      <c r="O185" t="s">
        <v>13</v>
      </c>
    </row>
    <row r="186" spans="1:15" x14ac:dyDescent="0.3">
      <c r="A186" s="1" t="s">
        <v>453</v>
      </c>
      <c r="B186" t="s">
        <v>72</v>
      </c>
      <c r="C186" t="s">
        <v>275</v>
      </c>
      <c r="D186" t="str">
        <f t="shared" si="2"/>
        <v>Male</v>
      </c>
      <c r="E186" t="s">
        <v>9</v>
      </c>
      <c r="F186" s="2">
        <v>59</v>
      </c>
      <c r="G186" s="2" t="str" cm="1">
        <f t="array" ref="G186">_xlfn.IFS(F186&lt;=8,"Child",F186&lt;=17,"Teen",F186&lt;=35,"Adult",F186&lt;=55,"Seniour Adult",F186&gt;=55,"Old Age")</f>
        <v>Old Age</v>
      </c>
      <c r="H186" t="s">
        <v>25</v>
      </c>
      <c r="I186" t="s">
        <v>11</v>
      </c>
      <c r="J186" t="str" cm="1">
        <f t="array" ref="J186">_xlfn.IFS(I186="S","Sauthamptonm",I186="Q","Queentown",I186="C","Cherburg",I186="B","Cabin")</f>
        <v>Sauthamptonm</v>
      </c>
      <c r="K186" t="s">
        <v>12</v>
      </c>
      <c r="L186" s="2">
        <v>26.11</v>
      </c>
      <c r="M186">
        <v>0</v>
      </c>
      <c r="N186">
        <v>0</v>
      </c>
      <c r="O186" t="s">
        <v>13</v>
      </c>
    </row>
    <row r="187" spans="1:15" x14ac:dyDescent="0.3">
      <c r="A187" s="1" t="s">
        <v>454</v>
      </c>
      <c r="B187" t="s">
        <v>72</v>
      </c>
      <c r="C187" t="s">
        <v>455</v>
      </c>
      <c r="D187" t="str">
        <f t="shared" si="2"/>
        <v>Male</v>
      </c>
      <c r="E187" t="s">
        <v>9</v>
      </c>
      <c r="F187" s="2">
        <v>20</v>
      </c>
      <c r="G187" s="2" t="str" cm="1">
        <f t="array" ref="G187">_xlfn.IFS(F187&lt;=8,"Child",F187&lt;=17,"Teen",F187&lt;=35,"Adult",F187&lt;=55,"Seniour Adult",F187&gt;=55,"Old Age")</f>
        <v>Adult</v>
      </c>
      <c r="H187" t="s">
        <v>10</v>
      </c>
      <c r="I187" t="s">
        <v>11</v>
      </c>
      <c r="J187" t="str" cm="1">
        <f t="array" ref="J187">_xlfn.IFS(I187="S","Sauthamptonm",I187="Q","Queentown",I187="C","Cherburg",I187="B","Cabin")</f>
        <v>Sauthamptonm</v>
      </c>
      <c r="K187" t="s">
        <v>12</v>
      </c>
      <c r="L187" s="2">
        <v>8.0302000000000007</v>
      </c>
      <c r="M187">
        <v>0</v>
      </c>
      <c r="N187">
        <v>0</v>
      </c>
      <c r="O187" t="s">
        <v>13</v>
      </c>
    </row>
    <row r="188" spans="1:15" x14ac:dyDescent="0.3">
      <c r="A188" s="1" t="s">
        <v>456</v>
      </c>
      <c r="B188" t="s">
        <v>78</v>
      </c>
      <c r="C188" t="s">
        <v>457</v>
      </c>
      <c r="D188" t="str">
        <f t="shared" si="2"/>
        <v>Female</v>
      </c>
      <c r="E188" t="s">
        <v>14</v>
      </c>
      <c r="F188" s="2">
        <v>16</v>
      </c>
      <c r="G188" s="2" t="str" cm="1">
        <f t="array" ref="G188">_xlfn.IFS(F188&lt;=8,"Child",F188&lt;=17,"Teen",F188&lt;=35,"Adult",F188&lt;=55,"Seniour Adult",F188&gt;=55,"Old Age")</f>
        <v>Teen</v>
      </c>
      <c r="H188" t="s">
        <v>10</v>
      </c>
      <c r="I188" t="s">
        <v>11</v>
      </c>
      <c r="J188" t="str" cm="1">
        <f t="array" ref="J188">_xlfn.IFS(I188="S","Sauthamptonm",I188="Q","Queentown",I188="C","Cherburg",I188="B","Cabin")</f>
        <v>Sauthamptonm</v>
      </c>
      <c r="K188" t="s">
        <v>12</v>
      </c>
      <c r="L188" s="2">
        <v>16.02</v>
      </c>
      <c r="M188">
        <v>0</v>
      </c>
      <c r="N188">
        <v>1</v>
      </c>
      <c r="O188" t="s">
        <v>16</v>
      </c>
    </row>
    <row r="189" spans="1:15" x14ac:dyDescent="0.3">
      <c r="A189" s="1" t="s">
        <v>458</v>
      </c>
      <c r="B189" t="s">
        <v>459</v>
      </c>
      <c r="C189" t="s">
        <v>460</v>
      </c>
      <c r="D189" t="str">
        <f t="shared" si="2"/>
        <v>Male</v>
      </c>
      <c r="E189" t="s">
        <v>9</v>
      </c>
      <c r="F189" s="2">
        <v>70</v>
      </c>
      <c r="G189" s="2" t="str" cm="1">
        <f t="array" ref="G189">_xlfn.IFS(F189&lt;=8,"Child",F189&lt;=17,"Teen",F189&lt;=35,"Adult",F189&lt;=55,"Seniour Adult",F189&gt;=55,"Old Age")</f>
        <v>Old Age</v>
      </c>
      <c r="H189" t="s">
        <v>25</v>
      </c>
      <c r="I189" t="s">
        <v>11</v>
      </c>
      <c r="J189" t="str" cm="1">
        <f t="array" ref="J189">_xlfn.IFS(I189="S","Sauthamptonm",I189="Q","Queentown",I189="C","Cherburg",I189="B","Cabin")</f>
        <v>Sauthamptonm</v>
      </c>
      <c r="K189" t="s">
        <v>12</v>
      </c>
      <c r="L189" s="2">
        <v>71</v>
      </c>
      <c r="M189">
        <v>1</v>
      </c>
      <c r="N189">
        <v>1</v>
      </c>
      <c r="O189" t="s">
        <v>13</v>
      </c>
    </row>
    <row r="190" spans="1:15" x14ac:dyDescent="0.3">
      <c r="A190" s="1" t="s">
        <v>461</v>
      </c>
      <c r="B190" t="s">
        <v>72</v>
      </c>
      <c r="C190" t="s">
        <v>462</v>
      </c>
      <c r="D190" t="str">
        <f t="shared" si="2"/>
        <v>Male</v>
      </c>
      <c r="E190" t="s">
        <v>9</v>
      </c>
      <c r="F190" s="2">
        <v>17</v>
      </c>
      <c r="G190" s="2" t="str" cm="1">
        <f t="array" ref="G190">_xlfn.IFS(F190&lt;=8,"Child",F190&lt;=17,"Teen",F190&lt;=35,"Adult",F190&lt;=55,"Seniour Adult",F190&gt;=55,"Old Age")</f>
        <v>Teen</v>
      </c>
      <c r="H190" t="s">
        <v>10</v>
      </c>
      <c r="I190" t="s">
        <v>11</v>
      </c>
      <c r="J190" t="str" cm="1">
        <f t="array" ref="J190">_xlfn.IFS(I190="S","Sauthamptonm",I190="Q","Queentown",I190="C","Cherburg",I190="B","Cabin")</f>
        <v>Sauthamptonm</v>
      </c>
      <c r="K190" t="s">
        <v>42</v>
      </c>
      <c r="L190" s="2">
        <v>8.1303000000000001</v>
      </c>
      <c r="M190">
        <v>0</v>
      </c>
      <c r="N190">
        <v>0</v>
      </c>
      <c r="O190" t="s">
        <v>13</v>
      </c>
    </row>
    <row r="191" spans="1:15" x14ac:dyDescent="0.3">
      <c r="A191" s="1" t="s">
        <v>463</v>
      </c>
      <c r="B191" t="s">
        <v>72</v>
      </c>
      <c r="C191" t="s">
        <v>464</v>
      </c>
      <c r="D191" t="str">
        <f t="shared" si="2"/>
        <v>Male</v>
      </c>
      <c r="E191" t="s">
        <v>9</v>
      </c>
      <c r="F191" s="2">
        <v>39</v>
      </c>
      <c r="G191" s="2" t="str" cm="1">
        <f t="array" ref="G191">_xlfn.IFS(F191&lt;=8,"Child",F191&lt;=17,"Teen",F191&lt;=35,"Adult",F191&lt;=55,"Seniour Adult",F191&gt;=55,"Old Age")</f>
        <v>Seniour Adult</v>
      </c>
      <c r="H191" t="s">
        <v>25</v>
      </c>
      <c r="I191" t="s">
        <v>19</v>
      </c>
      <c r="J191" t="str" cm="1">
        <f t="array" ref="J191">_xlfn.IFS(I191="S","Sauthamptonm",I191="Q","Queentown",I191="C","Cherburg",I191="B","Cabin")</f>
        <v>Cherburg</v>
      </c>
      <c r="K191" t="s">
        <v>12</v>
      </c>
      <c r="L191" s="2">
        <v>71.050799999999995</v>
      </c>
      <c r="M191">
        <v>1</v>
      </c>
      <c r="N191">
        <v>0</v>
      </c>
      <c r="O191" t="s">
        <v>13</v>
      </c>
    </row>
    <row r="192" spans="1:15" x14ac:dyDescent="0.3">
      <c r="A192" s="1" t="s">
        <v>465</v>
      </c>
      <c r="B192" t="s">
        <v>72</v>
      </c>
      <c r="C192" t="s">
        <v>466</v>
      </c>
      <c r="D192" t="str">
        <f t="shared" si="2"/>
        <v>Male</v>
      </c>
      <c r="E192" t="s">
        <v>9</v>
      </c>
      <c r="F192" s="2">
        <v>22</v>
      </c>
      <c r="G192" s="2" t="str" cm="1">
        <f t="array" ref="G192">_xlfn.IFS(F192&lt;=8,"Child",F192&lt;=17,"Teen",F192&lt;=35,"Adult",F192&lt;=55,"Seniour Adult",F192&gt;=55,"Old Age")</f>
        <v>Adult</v>
      </c>
      <c r="H192" t="s">
        <v>18</v>
      </c>
      <c r="I192" t="s">
        <v>28</v>
      </c>
      <c r="J192" t="str" cm="1">
        <f t="array" ref="J192">_xlfn.IFS(I192="S","Sauthamptonm",I192="Q","Queentown",I192="C","Cherburg",I192="B","Cabin")</f>
        <v>Cabin</v>
      </c>
      <c r="K192" t="s">
        <v>29</v>
      </c>
      <c r="L192" s="2">
        <v>29</v>
      </c>
      <c r="M192">
        <v>0</v>
      </c>
      <c r="N192">
        <v>0</v>
      </c>
      <c r="O192" t="s">
        <v>13</v>
      </c>
    </row>
    <row r="193" spans="1:15" x14ac:dyDescent="0.3">
      <c r="A193" s="1" t="s">
        <v>467</v>
      </c>
      <c r="B193" t="s">
        <v>72</v>
      </c>
      <c r="C193" t="s">
        <v>468</v>
      </c>
      <c r="D193" t="str">
        <f t="shared" si="2"/>
        <v>Male</v>
      </c>
      <c r="E193" t="s">
        <v>9</v>
      </c>
      <c r="F193" s="2">
        <v>28</v>
      </c>
      <c r="G193" s="2" t="str" cm="1">
        <f t="array" ref="G193">_xlfn.IFS(F193&lt;=8,"Child",F193&lt;=17,"Teen",F193&lt;=35,"Adult",F193&lt;=55,"Seniour Adult",F193&gt;=55,"Old Age")</f>
        <v>Adult</v>
      </c>
      <c r="H193" t="s">
        <v>10</v>
      </c>
      <c r="I193" t="s">
        <v>19</v>
      </c>
      <c r="J193" t="str" cm="1">
        <f t="array" ref="J193">_xlfn.IFS(I193="S","Sauthamptonm",I193="Q","Queentown",I193="C","Cherburg",I193="B","Cabin")</f>
        <v>Cherburg</v>
      </c>
      <c r="K193" t="s">
        <v>15</v>
      </c>
      <c r="L193" s="2">
        <v>7.0407000000000002</v>
      </c>
      <c r="M193">
        <v>0</v>
      </c>
      <c r="N193">
        <v>0</v>
      </c>
      <c r="O193" t="s">
        <v>13</v>
      </c>
    </row>
    <row r="194" spans="1:15" x14ac:dyDescent="0.3">
      <c r="A194" s="1" t="s">
        <v>469</v>
      </c>
      <c r="B194" t="s">
        <v>78</v>
      </c>
      <c r="C194" t="s">
        <v>470</v>
      </c>
      <c r="D194" t="str">
        <f t="shared" ref="D194:D257" si="3">PROPER(E194)</f>
        <v>Female</v>
      </c>
      <c r="E194" t="s">
        <v>14</v>
      </c>
      <c r="F194" s="2">
        <v>22</v>
      </c>
      <c r="G194" s="2" t="str" cm="1">
        <f t="array" ref="G194">_xlfn.IFS(F194&lt;=8,"Child",F194&lt;=17,"Teen",F194&lt;=35,"Adult",F194&lt;=55,"Seniour Adult",F194&gt;=55,"Old Age")</f>
        <v>Adult</v>
      </c>
      <c r="H194" t="s">
        <v>10</v>
      </c>
      <c r="I194" t="s">
        <v>11</v>
      </c>
      <c r="J194" t="str" cm="1">
        <f t="array" ref="J194">_xlfn.IFS(I194="S","Sauthamptonm",I194="Q","Queentown",I194="C","Cherburg",I194="B","Cabin")</f>
        <v>Sauthamptonm</v>
      </c>
      <c r="K194" t="s">
        <v>23</v>
      </c>
      <c r="L194" s="2">
        <v>10.1004</v>
      </c>
      <c r="M194">
        <v>0</v>
      </c>
      <c r="N194">
        <v>0</v>
      </c>
      <c r="O194" t="s">
        <v>13</v>
      </c>
    </row>
    <row r="195" spans="1:15" x14ac:dyDescent="0.3">
      <c r="A195" s="1" t="s">
        <v>471</v>
      </c>
      <c r="B195" t="s">
        <v>72</v>
      </c>
      <c r="C195" t="s">
        <v>472</v>
      </c>
      <c r="D195" t="str">
        <f t="shared" si="3"/>
        <v>Male</v>
      </c>
      <c r="E195" t="s">
        <v>9</v>
      </c>
      <c r="F195" s="2">
        <v>45</v>
      </c>
      <c r="G195" s="2" t="str" cm="1">
        <f t="array" ref="G195">_xlfn.IFS(F195&lt;=8,"Child",F195&lt;=17,"Teen",F195&lt;=35,"Adult",F195&lt;=55,"Seniour Adult",F195&gt;=55,"Old Age")</f>
        <v>Seniour Adult</v>
      </c>
      <c r="H195" t="s">
        <v>10</v>
      </c>
      <c r="I195" t="s">
        <v>11</v>
      </c>
      <c r="J195" t="str" cm="1">
        <f t="array" ref="J195">_xlfn.IFS(I195="S","Sauthamptonm",I195="Q","Queentown",I195="C","Cherburg",I195="B","Cabin")</f>
        <v>Sauthamptonm</v>
      </c>
      <c r="K195" t="s">
        <v>15</v>
      </c>
      <c r="L195" s="2">
        <v>8.01</v>
      </c>
      <c r="M195">
        <v>0</v>
      </c>
      <c r="N195">
        <v>0</v>
      </c>
      <c r="O195" t="s">
        <v>16</v>
      </c>
    </row>
    <row r="196" spans="1:15" x14ac:dyDescent="0.3">
      <c r="A196" s="1" t="s">
        <v>473</v>
      </c>
      <c r="B196" t="s">
        <v>72</v>
      </c>
      <c r="C196" t="s">
        <v>474</v>
      </c>
      <c r="D196" t="str">
        <f t="shared" si="3"/>
        <v>Male</v>
      </c>
      <c r="E196" t="s">
        <v>9</v>
      </c>
      <c r="F196" s="2">
        <v>19</v>
      </c>
      <c r="G196" s="2" t="str" cm="1">
        <f t="array" ref="G196">_xlfn.IFS(F196&lt;=8,"Child",F196&lt;=17,"Teen",F196&lt;=35,"Adult",F196&lt;=55,"Seniour Adult",F196&gt;=55,"Old Age")</f>
        <v>Adult</v>
      </c>
      <c r="H196" t="s">
        <v>10</v>
      </c>
      <c r="I196" t="s">
        <v>11</v>
      </c>
      <c r="J196" t="str" cm="1">
        <f t="array" ref="J196">_xlfn.IFS(I196="S","Sauthamptonm",I196="Q","Queentown",I196="C","Cherburg",I196="B","Cabin")</f>
        <v>Sauthamptonm</v>
      </c>
      <c r="K196" t="s">
        <v>15</v>
      </c>
      <c r="L196" s="2">
        <v>10.0305</v>
      </c>
      <c r="M196">
        <v>0</v>
      </c>
      <c r="N196">
        <v>0</v>
      </c>
      <c r="O196" t="s">
        <v>13</v>
      </c>
    </row>
    <row r="197" spans="1:15" x14ac:dyDescent="0.3">
      <c r="A197" s="1" t="s">
        <v>475</v>
      </c>
      <c r="B197" t="s">
        <v>78</v>
      </c>
      <c r="C197" t="s">
        <v>476</v>
      </c>
      <c r="D197" t="str">
        <f t="shared" si="3"/>
        <v>Female</v>
      </c>
      <c r="E197" t="s">
        <v>14</v>
      </c>
      <c r="F197" s="2">
        <v>33</v>
      </c>
      <c r="G197" s="2" t="str" cm="1">
        <f t="array" ref="G197">_xlfn.IFS(F197&lt;=8,"Child",F197&lt;=17,"Teen",F197&lt;=35,"Adult",F197&lt;=55,"Seniour Adult",F197&gt;=55,"Old Age")</f>
        <v>Adult</v>
      </c>
      <c r="H197" t="s">
        <v>10</v>
      </c>
      <c r="I197" t="s">
        <v>36</v>
      </c>
      <c r="J197" t="str" cm="1">
        <f t="array" ref="J197">_xlfn.IFS(I197="S","Sauthamptonm",I197="Q","Queentown",I197="C","Cherburg",I197="B","Cabin")</f>
        <v>Queentown</v>
      </c>
      <c r="K197" t="s">
        <v>37</v>
      </c>
      <c r="L197" s="2">
        <v>6.19</v>
      </c>
      <c r="M197">
        <v>0</v>
      </c>
      <c r="N197">
        <v>0</v>
      </c>
      <c r="O197" t="s">
        <v>16</v>
      </c>
    </row>
    <row r="198" spans="1:15" x14ac:dyDescent="0.3">
      <c r="A198" s="1" t="s">
        <v>477</v>
      </c>
      <c r="B198" t="s">
        <v>94</v>
      </c>
      <c r="C198" t="s">
        <v>478</v>
      </c>
      <c r="D198" t="str">
        <f t="shared" si="3"/>
        <v>Male</v>
      </c>
      <c r="E198" t="s">
        <v>9</v>
      </c>
      <c r="F198" s="2">
        <v>1</v>
      </c>
      <c r="G198" s="2" t="str" cm="1">
        <f t="array" ref="G198">_xlfn.IFS(F198&lt;=8,"Child",F198&lt;=17,"Teen",F198&lt;=35,"Adult",F198&lt;=55,"Seniour Adult",F198&gt;=55,"Old Age")</f>
        <v>Child</v>
      </c>
      <c r="H198" t="s">
        <v>10</v>
      </c>
      <c r="I198" t="s">
        <v>11</v>
      </c>
      <c r="J198" t="str" cm="1">
        <f t="array" ref="J198">_xlfn.IFS(I198="S","Sauthamptonm",I198="Q","Queentown",I198="C","Cherburg",I198="B","Cabin")</f>
        <v>Sauthamptonm</v>
      </c>
      <c r="K198" t="s">
        <v>23</v>
      </c>
      <c r="L198" s="2">
        <v>14.08</v>
      </c>
      <c r="M198">
        <v>0</v>
      </c>
      <c r="N198">
        <v>2</v>
      </c>
      <c r="O198" t="s">
        <v>13</v>
      </c>
    </row>
    <row r="199" spans="1:15" x14ac:dyDescent="0.3">
      <c r="A199" s="1" t="s">
        <v>479</v>
      </c>
      <c r="B199" t="s">
        <v>72</v>
      </c>
      <c r="C199" t="s">
        <v>480</v>
      </c>
      <c r="D199" t="str">
        <f t="shared" si="3"/>
        <v>Male</v>
      </c>
      <c r="E199" t="s">
        <v>9</v>
      </c>
      <c r="F199" s="2">
        <v>27</v>
      </c>
      <c r="G199" s="2" t="str" cm="1">
        <f t="array" ref="G199">_xlfn.IFS(F199&lt;=8,"Child",F199&lt;=17,"Teen",F199&lt;=35,"Adult",F199&lt;=55,"Seniour Adult",F199&gt;=55,"Old Age")</f>
        <v>Adult</v>
      </c>
      <c r="H199" t="s">
        <v>25</v>
      </c>
      <c r="I199" t="s">
        <v>11</v>
      </c>
      <c r="J199" t="str" cm="1">
        <f t="array" ref="J199">_xlfn.IFS(I199="S","Sauthamptonm",I199="Q","Queentown",I199="C","Cherburg",I199="B","Cabin")</f>
        <v>Sauthamptonm</v>
      </c>
      <c r="K199" t="s">
        <v>12</v>
      </c>
      <c r="L199" s="2">
        <v>30.1</v>
      </c>
      <c r="M199">
        <v>0</v>
      </c>
      <c r="N199">
        <v>0</v>
      </c>
      <c r="O199" t="s">
        <v>16</v>
      </c>
    </row>
    <row r="200" spans="1:15" x14ac:dyDescent="0.3">
      <c r="A200" s="1" t="s">
        <v>481</v>
      </c>
      <c r="B200" t="s">
        <v>78</v>
      </c>
      <c r="C200" t="s">
        <v>482</v>
      </c>
      <c r="D200" t="str">
        <f t="shared" si="3"/>
        <v>Female</v>
      </c>
      <c r="E200" t="s">
        <v>14</v>
      </c>
      <c r="F200" s="2">
        <v>36</v>
      </c>
      <c r="G200" s="2" t="str" cm="1">
        <f t="array" ref="G200">_xlfn.IFS(F200&lt;=8,"Child",F200&lt;=17,"Teen",F200&lt;=35,"Adult",F200&lt;=55,"Seniour Adult",F200&gt;=55,"Old Age")</f>
        <v>Seniour Adult</v>
      </c>
      <c r="H200" t="s">
        <v>25</v>
      </c>
      <c r="I200" t="s">
        <v>11</v>
      </c>
      <c r="J200" t="str" cm="1">
        <f t="array" ref="J200">_xlfn.IFS(I200="S","Sauthamptonm",I200="Q","Queentown",I200="C","Cherburg",I200="B","Cabin")</f>
        <v>Sauthamptonm</v>
      </c>
      <c r="K200" t="s">
        <v>15</v>
      </c>
      <c r="L200" s="2">
        <v>151.16</v>
      </c>
      <c r="M200">
        <v>0</v>
      </c>
      <c r="N200">
        <v>0</v>
      </c>
      <c r="O200" t="s">
        <v>16</v>
      </c>
    </row>
    <row r="201" spans="1:15" x14ac:dyDescent="0.3">
      <c r="A201" s="1" t="s">
        <v>483</v>
      </c>
      <c r="B201" t="s">
        <v>72</v>
      </c>
      <c r="C201" t="s">
        <v>484</v>
      </c>
      <c r="D201" t="str">
        <f t="shared" si="3"/>
        <v>Male</v>
      </c>
      <c r="E201" t="s">
        <v>9</v>
      </c>
      <c r="F201" s="2">
        <v>27</v>
      </c>
      <c r="G201" s="2" t="str" cm="1">
        <f t="array" ref="G201">_xlfn.IFS(F201&lt;=8,"Child",F201&lt;=17,"Teen",F201&lt;=35,"Adult",F201&lt;=55,"Seniour Adult",F201&gt;=55,"Old Age")</f>
        <v>Adult</v>
      </c>
      <c r="H201" t="s">
        <v>10</v>
      </c>
      <c r="I201" t="s">
        <v>11</v>
      </c>
      <c r="J201" t="str" cm="1">
        <f t="array" ref="J201">_xlfn.IFS(I201="S","Sauthamptonm",I201="Q","Queentown",I201="C","Cherburg",I201="B","Cabin")</f>
        <v>Sauthamptonm</v>
      </c>
      <c r="K201" t="s">
        <v>15</v>
      </c>
      <c r="L201" s="2">
        <v>7.1711</v>
      </c>
      <c r="M201">
        <v>0</v>
      </c>
      <c r="N201">
        <v>0</v>
      </c>
      <c r="O201" t="s">
        <v>13</v>
      </c>
    </row>
    <row r="202" spans="1:15" x14ac:dyDescent="0.3">
      <c r="A202" s="1" t="s">
        <v>485</v>
      </c>
      <c r="B202" t="s">
        <v>76</v>
      </c>
      <c r="C202" t="s">
        <v>486</v>
      </c>
      <c r="D202" t="str">
        <f t="shared" si="3"/>
        <v>Female</v>
      </c>
      <c r="E202" t="s">
        <v>14</v>
      </c>
      <c r="F202" s="2">
        <v>27</v>
      </c>
      <c r="G202" s="2" t="str" cm="1">
        <f t="array" ref="G202">_xlfn.IFS(F202&lt;=8,"Child",F202&lt;=17,"Teen",F202&lt;=35,"Adult",F202&lt;=55,"Seniour Adult",F202&gt;=55,"Old Age")</f>
        <v>Adult</v>
      </c>
      <c r="H202" t="s">
        <v>25</v>
      </c>
      <c r="I202" t="s">
        <v>19</v>
      </c>
      <c r="J202" t="str" cm="1">
        <f t="array" ref="J202">_xlfn.IFS(I202="S","Sauthamptonm",I202="Q","Queentown",I202="C","Cherburg",I202="B","Cabin")</f>
        <v>Cherburg</v>
      </c>
      <c r="K202" t="s">
        <v>26</v>
      </c>
      <c r="L202" s="2">
        <v>52</v>
      </c>
      <c r="M202">
        <v>1</v>
      </c>
      <c r="N202">
        <v>2</v>
      </c>
      <c r="O202" t="s">
        <v>16</v>
      </c>
    </row>
    <row r="203" spans="1:15" x14ac:dyDescent="0.3">
      <c r="A203" s="1" t="s">
        <v>487</v>
      </c>
      <c r="B203" t="s">
        <v>94</v>
      </c>
      <c r="C203" t="s">
        <v>488</v>
      </c>
      <c r="D203" t="str">
        <f t="shared" si="3"/>
        <v>Male</v>
      </c>
      <c r="E203" t="s">
        <v>9</v>
      </c>
      <c r="F203" s="2">
        <v>8</v>
      </c>
      <c r="G203" s="2" t="str" cm="1">
        <f t="array" ref="G203">_xlfn.IFS(F203&lt;=8,"Child",F203&lt;=17,"Teen",F203&lt;=35,"Adult",F203&lt;=55,"Seniour Adult",F203&gt;=55,"Old Age")</f>
        <v>Child</v>
      </c>
      <c r="H203" t="s">
        <v>18</v>
      </c>
      <c r="I203" t="s">
        <v>11</v>
      </c>
      <c r="J203" t="str" cm="1">
        <f t="array" ref="J203">_xlfn.IFS(I203="S","Sauthamptonm",I203="Q","Queentown",I203="C","Cherburg",I203="B","Cabin")</f>
        <v>Sauthamptonm</v>
      </c>
      <c r="K203" t="s">
        <v>15</v>
      </c>
      <c r="L203" s="2">
        <v>36.15</v>
      </c>
      <c r="M203">
        <v>1</v>
      </c>
      <c r="N203">
        <v>1</v>
      </c>
      <c r="O203" t="s">
        <v>16</v>
      </c>
    </row>
    <row r="204" spans="1:15" x14ac:dyDescent="0.3">
      <c r="A204" s="1" t="s">
        <v>491</v>
      </c>
      <c r="B204" t="s">
        <v>78</v>
      </c>
      <c r="C204" t="s">
        <v>492</v>
      </c>
      <c r="D204" t="str">
        <f t="shared" si="3"/>
        <v>Female</v>
      </c>
      <c r="E204" t="s">
        <v>14</v>
      </c>
      <c r="F204" s="2">
        <v>28</v>
      </c>
      <c r="G204" s="2" t="str" cm="1">
        <f t="array" ref="G204">_xlfn.IFS(F204&lt;=8,"Child",F204&lt;=17,"Teen",F204&lt;=35,"Adult",F204&lt;=55,"Seniour Adult",F204&gt;=55,"Old Age")</f>
        <v>Adult</v>
      </c>
      <c r="H204" t="s">
        <v>18</v>
      </c>
      <c r="I204" t="s">
        <v>11</v>
      </c>
      <c r="J204" t="str" cm="1">
        <f t="array" ref="J204">_xlfn.IFS(I204="S","Sauthamptonm",I204="Q","Queentown",I204="C","Cherburg",I204="B","Cabin")</f>
        <v>Sauthamptonm</v>
      </c>
      <c r="K204" t="s">
        <v>15</v>
      </c>
      <c r="L204" s="2">
        <v>13</v>
      </c>
      <c r="M204">
        <v>0</v>
      </c>
      <c r="N204">
        <v>0</v>
      </c>
      <c r="O204" t="s">
        <v>16</v>
      </c>
    </row>
    <row r="205" spans="1:15" x14ac:dyDescent="0.3">
      <c r="A205" s="1" t="s">
        <v>493</v>
      </c>
      <c r="B205" t="s">
        <v>76</v>
      </c>
      <c r="C205" t="s">
        <v>494</v>
      </c>
      <c r="D205" t="str">
        <f t="shared" si="3"/>
        <v>Female</v>
      </c>
      <c r="E205" t="s">
        <v>14</v>
      </c>
      <c r="F205" s="2">
        <v>34</v>
      </c>
      <c r="G205" s="2" t="str" cm="1">
        <f t="array" ref="G205">_xlfn.IFS(F205&lt;=8,"Child",F205&lt;=17,"Teen",F205&lt;=35,"Adult",F205&lt;=55,"Seniour Adult",F205&gt;=55,"Old Age")</f>
        <v>Adult</v>
      </c>
      <c r="H205" t="s">
        <v>10</v>
      </c>
      <c r="I205" t="s">
        <v>11</v>
      </c>
      <c r="J205" t="str" cm="1">
        <f t="array" ref="J205">_xlfn.IFS(I205="S","Sauthamptonm",I205="Q","Queentown",I205="C","Cherburg",I205="B","Cabin")</f>
        <v>Sauthamptonm</v>
      </c>
      <c r="K205" t="s">
        <v>15</v>
      </c>
      <c r="L205" s="2">
        <v>16.02</v>
      </c>
      <c r="M205">
        <v>1</v>
      </c>
      <c r="N205">
        <v>0</v>
      </c>
      <c r="O205" t="s">
        <v>16</v>
      </c>
    </row>
    <row r="206" spans="1:15" x14ac:dyDescent="0.3">
      <c r="A206" s="1" t="s">
        <v>495</v>
      </c>
      <c r="B206" t="s">
        <v>72</v>
      </c>
      <c r="C206" t="s">
        <v>496</v>
      </c>
      <c r="D206" t="str">
        <f t="shared" si="3"/>
        <v>Male</v>
      </c>
      <c r="E206" t="s">
        <v>9</v>
      </c>
      <c r="F206" s="2">
        <v>18</v>
      </c>
      <c r="G206" s="2" t="str" cm="1">
        <f t="array" ref="G206">_xlfn.IFS(F206&lt;=8,"Child",F206&lt;=17,"Teen",F206&lt;=35,"Adult",F206&lt;=55,"Seniour Adult",F206&gt;=55,"Old Age")</f>
        <v>Adult</v>
      </c>
      <c r="H206" t="s">
        <v>18</v>
      </c>
      <c r="I206" t="s">
        <v>11</v>
      </c>
      <c r="J206" t="str" cm="1">
        <f t="array" ref="J206">_xlfn.IFS(I206="S","Sauthamptonm",I206="Q","Queentown",I206="C","Cherburg",I206="B","Cabin")</f>
        <v>Sauthamptonm</v>
      </c>
      <c r="K206" t="s">
        <v>15</v>
      </c>
      <c r="L206" s="2">
        <v>73.099999999999994</v>
      </c>
      <c r="M206">
        <v>0</v>
      </c>
      <c r="N206">
        <v>0</v>
      </c>
      <c r="O206" t="s">
        <v>13</v>
      </c>
    </row>
    <row r="207" spans="1:15" x14ac:dyDescent="0.3">
      <c r="A207" s="1" t="s">
        <v>497</v>
      </c>
      <c r="B207" t="s">
        <v>94</v>
      </c>
      <c r="C207" t="s">
        <v>498</v>
      </c>
      <c r="D207" t="str">
        <f t="shared" si="3"/>
        <v>Male</v>
      </c>
      <c r="E207" t="s">
        <v>9</v>
      </c>
      <c r="F207" s="2">
        <v>1</v>
      </c>
      <c r="G207" s="2" t="str" cm="1">
        <f t="array" ref="G207">_xlfn.IFS(F207&lt;=8,"Child",F207&lt;=17,"Teen",F207&lt;=35,"Adult",F207&lt;=55,"Seniour Adult",F207&gt;=55,"Old Age")</f>
        <v>Child</v>
      </c>
      <c r="H207" t="s">
        <v>10</v>
      </c>
      <c r="I207" t="s">
        <v>11</v>
      </c>
      <c r="J207" t="str" cm="1">
        <f t="array" ref="J207">_xlfn.IFS(I207="S","Sauthamptonm",I207="Q","Queentown",I207="C","Cherburg",I207="B","Cabin")</f>
        <v>Sauthamptonm</v>
      </c>
      <c r="K207" t="s">
        <v>15</v>
      </c>
      <c r="L207" s="2">
        <v>20.110600000000002</v>
      </c>
      <c r="M207">
        <v>1</v>
      </c>
      <c r="N207">
        <v>2</v>
      </c>
      <c r="O207" t="s">
        <v>16</v>
      </c>
    </row>
    <row r="208" spans="1:15" x14ac:dyDescent="0.3">
      <c r="A208" s="1" t="s">
        <v>499</v>
      </c>
      <c r="B208" t="s">
        <v>72</v>
      </c>
      <c r="C208" t="s">
        <v>500</v>
      </c>
      <c r="D208" t="str">
        <f t="shared" si="3"/>
        <v>Male</v>
      </c>
      <c r="E208" t="s">
        <v>9</v>
      </c>
      <c r="F208" s="2">
        <v>25</v>
      </c>
      <c r="G208" s="2" t="str" cm="1">
        <f t="array" ref="G208">_xlfn.IFS(F208&lt;=8,"Child",F208&lt;=17,"Teen",F208&lt;=35,"Adult",F208&lt;=55,"Seniour Adult",F208&gt;=55,"Old Age")</f>
        <v>Adult</v>
      </c>
      <c r="H208" t="s">
        <v>10</v>
      </c>
      <c r="I208" t="s">
        <v>11</v>
      </c>
      <c r="J208" t="str" cm="1">
        <f t="array" ref="J208">_xlfn.IFS(I208="S","Sauthamptonm",I208="Q","Queentown",I208="C","Cherburg",I208="B","Cabin")</f>
        <v>Sauthamptonm</v>
      </c>
      <c r="K208" t="s">
        <v>34</v>
      </c>
      <c r="L208" s="2">
        <v>7.1711</v>
      </c>
      <c r="M208">
        <v>0</v>
      </c>
      <c r="N208">
        <v>0</v>
      </c>
      <c r="O208" t="s">
        <v>13</v>
      </c>
    </row>
    <row r="209" spans="1:15" x14ac:dyDescent="0.3">
      <c r="A209" s="1" t="s">
        <v>501</v>
      </c>
      <c r="B209" t="s">
        <v>76</v>
      </c>
      <c r="C209" t="s">
        <v>502</v>
      </c>
      <c r="D209" t="str">
        <f t="shared" si="3"/>
        <v>Female</v>
      </c>
      <c r="E209" t="s">
        <v>14</v>
      </c>
      <c r="F209" s="2">
        <v>24</v>
      </c>
      <c r="G209" s="2" t="str" cm="1">
        <f t="array" ref="G209">_xlfn.IFS(F209&lt;=8,"Child",F209&lt;=17,"Teen",F209&lt;=35,"Adult",F209&lt;=55,"Seniour Adult",F209&gt;=55,"Old Age")</f>
        <v>Adult</v>
      </c>
      <c r="H209" t="s">
        <v>18</v>
      </c>
      <c r="I209" t="s">
        <v>19</v>
      </c>
      <c r="J209" t="str" cm="1">
        <f t="array" ref="J209">_xlfn.IFS(I209="S","Sauthamptonm",I209="Q","Queentown",I209="C","Cherburg",I209="B","Cabin")</f>
        <v>Cherburg</v>
      </c>
      <c r="K209" t="s">
        <v>38</v>
      </c>
      <c r="L209" s="2">
        <v>27.140499999999999</v>
      </c>
      <c r="M209">
        <v>1</v>
      </c>
      <c r="N209">
        <v>0</v>
      </c>
      <c r="O209" t="s">
        <v>16</v>
      </c>
    </row>
    <row r="210" spans="1:15" x14ac:dyDescent="0.3">
      <c r="A210" s="1" t="s">
        <v>503</v>
      </c>
      <c r="B210" t="s">
        <v>72</v>
      </c>
      <c r="C210" t="s">
        <v>504</v>
      </c>
      <c r="D210" t="str">
        <f t="shared" si="3"/>
        <v>Male</v>
      </c>
      <c r="E210" t="s">
        <v>9</v>
      </c>
      <c r="F210" s="2">
        <v>36</v>
      </c>
      <c r="G210" s="2" t="str" cm="1">
        <f t="array" ref="G210">_xlfn.IFS(F210&lt;=8,"Child",F210&lt;=17,"Teen",F210&lt;=35,"Adult",F210&lt;=55,"Seniour Adult",F210&gt;=55,"Old Age")</f>
        <v>Seniour Adult</v>
      </c>
      <c r="H210" t="s">
        <v>10</v>
      </c>
      <c r="I210" t="s">
        <v>11</v>
      </c>
      <c r="J210" t="str" cm="1">
        <f t="array" ref="J210">_xlfn.IFS(I210="S","Sauthamptonm",I210="Q","Queentown",I210="C","Cherburg",I210="B","Cabin")</f>
        <v>Sauthamptonm</v>
      </c>
      <c r="K210" t="s">
        <v>12</v>
      </c>
      <c r="L210" s="2">
        <v>17.079999999999998</v>
      </c>
      <c r="M210">
        <v>1</v>
      </c>
      <c r="N210">
        <v>0</v>
      </c>
      <c r="O210" t="s">
        <v>16</v>
      </c>
    </row>
    <row r="211" spans="1:15" x14ac:dyDescent="0.3">
      <c r="A211" s="1" t="s">
        <v>506</v>
      </c>
      <c r="B211" t="s">
        <v>72</v>
      </c>
      <c r="C211" t="s">
        <v>507</v>
      </c>
      <c r="D211" t="str">
        <f t="shared" si="3"/>
        <v>Male</v>
      </c>
      <c r="E211" t="s">
        <v>9</v>
      </c>
      <c r="F211" s="2">
        <v>30</v>
      </c>
      <c r="G211" s="2" t="str" cm="1">
        <f t="array" ref="G211">_xlfn.IFS(F211&lt;=8,"Child",F211&lt;=17,"Teen",F211&lt;=35,"Adult",F211&lt;=55,"Seniour Adult",F211&gt;=55,"Old Age")</f>
        <v>Adult</v>
      </c>
      <c r="H211" t="s">
        <v>10</v>
      </c>
      <c r="I211" t="s">
        <v>11</v>
      </c>
      <c r="J211" t="str" cm="1">
        <f t="array" ref="J211">_xlfn.IFS(I211="S","Sauthamptonm",I211="Q","Queentown",I211="C","Cherburg",I211="B","Cabin")</f>
        <v>Sauthamptonm</v>
      </c>
      <c r="K211" t="s">
        <v>46</v>
      </c>
      <c r="L211" s="2">
        <v>9.1</v>
      </c>
      <c r="M211">
        <v>0</v>
      </c>
      <c r="N211">
        <v>0</v>
      </c>
      <c r="O211" t="s">
        <v>16</v>
      </c>
    </row>
    <row r="212" spans="1:15" x14ac:dyDescent="0.3">
      <c r="A212" s="1" t="s">
        <v>508</v>
      </c>
      <c r="B212" t="s">
        <v>72</v>
      </c>
      <c r="C212" t="s">
        <v>509</v>
      </c>
      <c r="D212" t="str">
        <f t="shared" si="3"/>
        <v>Male</v>
      </c>
      <c r="E212" t="s">
        <v>9</v>
      </c>
      <c r="F212" s="2">
        <v>25</v>
      </c>
      <c r="G212" s="2" t="str" cm="1">
        <f t="array" ref="G212">_xlfn.IFS(F212&lt;=8,"Child",F212&lt;=17,"Teen",F212&lt;=35,"Adult",F212&lt;=55,"Seniour Adult",F212&gt;=55,"Old Age")</f>
        <v>Adult</v>
      </c>
      <c r="H212" t="s">
        <v>18</v>
      </c>
      <c r="I212" t="s">
        <v>11</v>
      </c>
      <c r="J212" t="str" cm="1">
        <f t="array" ref="J212">_xlfn.IFS(I212="S","Sauthamptonm",I212="Q","Queentown",I212="C","Cherburg",I212="B","Cabin")</f>
        <v>Sauthamptonm</v>
      </c>
      <c r="K212" t="s">
        <v>33</v>
      </c>
      <c r="L212" s="2">
        <v>31.1</v>
      </c>
      <c r="M212">
        <v>0</v>
      </c>
      <c r="N212">
        <v>0</v>
      </c>
      <c r="O212" t="s">
        <v>13</v>
      </c>
    </row>
    <row r="213" spans="1:15" x14ac:dyDescent="0.3">
      <c r="A213" s="1" t="s">
        <v>510</v>
      </c>
      <c r="B213" t="s">
        <v>72</v>
      </c>
      <c r="C213" t="s">
        <v>511</v>
      </c>
      <c r="D213" t="str">
        <f t="shared" si="3"/>
        <v>Male</v>
      </c>
      <c r="E213" t="s">
        <v>9</v>
      </c>
      <c r="F213" s="2">
        <v>30</v>
      </c>
      <c r="G213" s="2" t="str" cm="1">
        <f t="array" ref="G213">_xlfn.IFS(F213&lt;=8,"Child",F213&lt;=17,"Teen",F213&lt;=35,"Adult",F213&lt;=55,"Seniour Adult",F213&gt;=55,"Old Age")</f>
        <v>Adult</v>
      </c>
      <c r="H213" t="s">
        <v>10</v>
      </c>
      <c r="I213" t="s">
        <v>11</v>
      </c>
      <c r="J213" t="str" cm="1">
        <f t="array" ref="J213">_xlfn.IFS(I213="S","Sauthamptonm",I213="Q","Queentown",I213="C","Cherburg",I213="B","Cabin")</f>
        <v>Sauthamptonm</v>
      </c>
      <c r="K213" t="s">
        <v>15</v>
      </c>
      <c r="L213" s="2">
        <v>7.1711</v>
      </c>
      <c r="M213">
        <v>0</v>
      </c>
      <c r="N213">
        <v>0</v>
      </c>
      <c r="O213" t="s">
        <v>13</v>
      </c>
    </row>
    <row r="214" spans="1:15" x14ac:dyDescent="0.3">
      <c r="A214" s="1" t="s">
        <v>512</v>
      </c>
      <c r="B214" t="s">
        <v>72</v>
      </c>
      <c r="C214" t="s">
        <v>81</v>
      </c>
      <c r="D214" t="str">
        <f t="shared" si="3"/>
        <v>Male</v>
      </c>
      <c r="E214" t="s">
        <v>9</v>
      </c>
      <c r="F214" s="2">
        <v>22</v>
      </c>
      <c r="G214" s="2" t="str" cm="1">
        <f t="array" ref="G214">_xlfn.IFS(F214&lt;=8,"Child",F214&lt;=17,"Teen",F214&lt;=35,"Adult",F214&lt;=55,"Seniour Adult",F214&gt;=55,"Old Age")</f>
        <v>Adult</v>
      </c>
      <c r="H214" t="s">
        <v>10</v>
      </c>
      <c r="I214" t="s">
        <v>11</v>
      </c>
      <c r="J214" t="str" cm="1">
        <f t="array" ref="J214">_xlfn.IFS(I214="S","Sauthamptonm",I214="Q","Queentown",I214="C","Cherburg",I214="B","Cabin")</f>
        <v>Sauthamptonm</v>
      </c>
      <c r="K214" t="s">
        <v>15</v>
      </c>
      <c r="L214" s="2">
        <v>7.05</v>
      </c>
      <c r="M214">
        <v>0</v>
      </c>
      <c r="N214">
        <v>0</v>
      </c>
      <c r="O214" t="s">
        <v>13</v>
      </c>
    </row>
    <row r="215" spans="1:15" x14ac:dyDescent="0.3">
      <c r="A215" s="1" t="s">
        <v>513</v>
      </c>
      <c r="B215" t="s">
        <v>72</v>
      </c>
      <c r="C215" t="s">
        <v>514</v>
      </c>
      <c r="D215" t="str">
        <f t="shared" si="3"/>
        <v>Male</v>
      </c>
      <c r="E215" t="s">
        <v>9</v>
      </c>
      <c r="F215" s="2">
        <v>16</v>
      </c>
      <c r="G215" s="2" t="str" cm="1">
        <f t="array" ref="G215">_xlfn.IFS(F215&lt;=8,"Child",F215&lt;=17,"Teen",F215&lt;=35,"Adult",F215&lt;=55,"Seniour Adult",F215&gt;=55,"Old Age")</f>
        <v>Teen</v>
      </c>
      <c r="H215" t="s">
        <v>10</v>
      </c>
      <c r="I215" t="s">
        <v>11</v>
      </c>
      <c r="J215" t="str" cm="1">
        <f t="array" ref="J215">_xlfn.IFS(I215="S","Sauthamptonm",I215="Q","Queentown",I215="C","Cherburg",I215="B","Cabin")</f>
        <v>Sauthamptonm</v>
      </c>
      <c r="K215" t="s">
        <v>46</v>
      </c>
      <c r="L215" s="2">
        <v>9.1</v>
      </c>
      <c r="M215">
        <v>0</v>
      </c>
      <c r="N215">
        <v>0</v>
      </c>
      <c r="O215" t="s">
        <v>13</v>
      </c>
    </row>
    <row r="216" spans="1:15" x14ac:dyDescent="0.3">
      <c r="A216" s="1" t="s">
        <v>515</v>
      </c>
      <c r="B216" t="s">
        <v>78</v>
      </c>
      <c r="C216" t="s">
        <v>516</v>
      </c>
      <c r="D216" t="str">
        <f t="shared" si="3"/>
        <v>Female</v>
      </c>
      <c r="E216" t="s">
        <v>14</v>
      </c>
      <c r="F216" s="2">
        <v>19</v>
      </c>
      <c r="G216" s="2" t="str" cm="1">
        <f t="array" ref="G216">_xlfn.IFS(F216&lt;=8,"Child",F216&lt;=17,"Teen",F216&lt;=35,"Adult",F216&lt;=55,"Seniour Adult",F216&gt;=55,"Old Age")</f>
        <v>Adult</v>
      </c>
      <c r="H216" t="s">
        <v>10</v>
      </c>
      <c r="I216" t="s">
        <v>36</v>
      </c>
      <c r="J216" t="str" cm="1">
        <f t="array" ref="J216">_xlfn.IFS(I216="S","Sauthamptonm",I216="Q","Queentown",I216="C","Cherburg",I216="B","Cabin")</f>
        <v>Queentown</v>
      </c>
      <c r="K216" t="s">
        <v>37</v>
      </c>
      <c r="L216" s="2">
        <v>7.1707000000000001</v>
      </c>
      <c r="M216">
        <v>0</v>
      </c>
      <c r="N216">
        <v>0</v>
      </c>
      <c r="O216" t="s">
        <v>16</v>
      </c>
    </row>
    <row r="217" spans="1:15" x14ac:dyDescent="0.3">
      <c r="A217" s="1" t="s">
        <v>517</v>
      </c>
      <c r="B217" t="s">
        <v>72</v>
      </c>
      <c r="C217" t="s">
        <v>104</v>
      </c>
      <c r="D217" t="str">
        <f t="shared" si="3"/>
        <v>Male</v>
      </c>
      <c r="E217" t="s">
        <v>9</v>
      </c>
      <c r="F217" s="2">
        <v>18</v>
      </c>
      <c r="G217" s="2" t="str" cm="1">
        <f t="array" ref="G217">_xlfn.IFS(F217&lt;=8,"Child",F217&lt;=17,"Teen",F217&lt;=35,"Adult",F217&lt;=55,"Seniour Adult",F217&gt;=55,"Old Age")</f>
        <v>Adult</v>
      </c>
      <c r="H217" t="s">
        <v>18</v>
      </c>
      <c r="I217" t="s">
        <v>11</v>
      </c>
      <c r="J217" t="str" cm="1">
        <f t="array" ref="J217">_xlfn.IFS(I217="S","Sauthamptonm",I217="Q","Queentown",I217="C","Cherburg",I217="B","Cabin")</f>
        <v>Sauthamptonm</v>
      </c>
      <c r="K217" t="s">
        <v>15</v>
      </c>
      <c r="L217" s="2">
        <v>73.099999999999994</v>
      </c>
      <c r="M217">
        <v>0</v>
      </c>
      <c r="N217">
        <v>0</v>
      </c>
      <c r="O217" t="s">
        <v>13</v>
      </c>
    </row>
    <row r="218" spans="1:15" x14ac:dyDescent="0.3">
      <c r="A218" s="1" t="s">
        <v>518</v>
      </c>
      <c r="B218" t="s">
        <v>72</v>
      </c>
      <c r="C218" t="s">
        <v>519</v>
      </c>
      <c r="D218" t="str">
        <f t="shared" si="3"/>
        <v>Male</v>
      </c>
      <c r="E218" t="s">
        <v>9</v>
      </c>
      <c r="F218" s="2">
        <v>31</v>
      </c>
      <c r="G218" s="2" t="str" cm="1">
        <f t="array" ref="G218">_xlfn.IFS(F218&lt;=8,"Child",F218&lt;=17,"Teen",F218&lt;=35,"Adult",F218&lt;=55,"Seniour Adult",F218&gt;=55,"Old Age")</f>
        <v>Adult</v>
      </c>
      <c r="H218" t="s">
        <v>25</v>
      </c>
      <c r="I218" t="s">
        <v>11</v>
      </c>
      <c r="J218" t="str" cm="1">
        <f t="array" ref="J218">_xlfn.IFS(I218="S","Sauthamptonm",I218="Q","Queentown",I218="C","Cherburg",I218="B","Cabin")</f>
        <v>Sauthamptonm</v>
      </c>
      <c r="K218" t="s">
        <v>26</v>
      </c>
      <c r="L218" s="2">
        <v>57</v>
      </c>
      <c r="M218">
        <v>1</v>
      </c>
      <c r="N218">
        <v>0</v>
      </c>
      <c r="O218" t="s">
        <v>16</v>
      </c>
    </row>
    <row r="219" spans="1:15" x14ac:dyDescent="0.3">
      <c r="A219" s="1" t="s">
        <v>520</v>
      </c>
      <c r="B219" t="s">
        <v>72</v>
      </c>
      <c r="C219" t="s">
        <v>521</v>
      </c>
      <c r="D219" t="str">
        <f t="shared" si="3"/>
        <v>Male</v>
      </c>
      <c r="E219" t="s">
        <v>9</v>
      </c>
      <c r="F219" s="2">
        <v>17</v>
      </c>
      <c r="G219" s="2" t="str" cm="1">
        <f t="array" ref="G219">_xlfn.IFS(F219&lt;=8,"Child",F219&lt;=17,"Teen",F219&lt;=35,"Adult",F219&lt;=55,"Seniour Adult",F219&gt;=55,"Old Age")</f>
        <v>Teen</v>
      </c>
      <c r="H219" t="s">
        <v>10</v>
      </c>
      <c r="I219" t="s">
        <v>11</v>
      </c>
      <c r="J219" t="str" cm="1">
        <f t="array" ref="J219">_xlfn.IFS(I219="S","Sauthamptonm",I219="Q","Queentown",I219="C","Cherburg",I219="B","Cabin")</f>
        <v>Sauthamptonm</v>
      </c>
      <c r="K219" t="s">
        <v>42</v>
      </c>
      <c r="L219" s="2">
        <v>7.1711</v>
      </c>
      <c r="M219">
        <v>0</v>
      </c>
      <c r="N219">
        <v>0</v>
      </c>
      <c r="O219" t="s">
        <v>13</v>
      </c>
    </row>
    <row r="220" spans="1:15" x14ac:dyDescent="0.3">
      <c r="A220" s="1" t="s">
        <v>522</v>
      </c>
      <c r="B220" t="s">
        <v>72</v>
      </c>
      <c r="C220" t="s">
        <v>523</v>
      </c>
      <c r="D220" t="str">
        <f t="shared" si="3"/>
        <v>Male</v>
      </c>
      <c r="E220" t="s">
        <v>9</v>
      </c>
      <c r="F220" s="2">
        <v>42</v>
      </c>
      <c r="G220" s="2" t="str" cm="1">
        <f t="array" ref="G220">_xlfn.IFS(F220&lt;=8,"Child",F220&lt;=17,"Teen",F220&lt;=35,"Adult",F220&lt;=55,"Seniour Adult",F220&gt;=55,"Old Age")</f>
        <v>Seniour Adult</v>
      </c>
      <c r="H220" t="s">
        <v>10</v>
      </c>
      <c r="I220" t="s">
        <v>11</v>
      </c>
      <c r="J220" t="str" cm="1">
        <f t="array" ref="J220">_xlfn.IFS(I220="S","Sauthamptonm",I220="Q","Queentown",I220="C","Cherburg",I220="B","Cabin")</f>
        <v>Sauthamptonm</v>
      </c>
      <c r="K220" t="s">
        <v>35</v>
      </c>
      <c r="L220" s="2">
        <v>8.1303000000000001</v>
      </c>
      <c r="M220">
        <v>0</v>
      </c>
      <c r="N220">
        <v>0</v>
      </c>
      <c r="O220" t="s">
        <v>13</v>
      </c>
    </row>
    <row r="221" spans="1:15" x14ac:dyDescent="0.3">
      <c r="A221" s="1" t="s">
        <v>524</v>
      </c>
      <c r="B221" t="s">
        <v>72</v>
      </c>
      <c r="C221" t="s">
        <v>525</v>
      </c>
      <c r="D221" t="str">
        <f t="shared" si="3"/>
        <v>Male</v>
      </c>
      <c r="E221" t="s">
        <v>9</v>
      </c>
      <c r="F221" s="2">
        <v>43</v>
      </c>
      <c r="G221" s="2" t="str" cm="1">
        <f t="array" ref="G221">_xlfn.IFS(F221&lt;=8,"Child",F221&lt;=17,"Teen",F221&lt;=35,"Adult",F221&lt;=55,"Seniour Adult",F221&gt;=55,"Old Age")</f>
        <v>Seniour Adult</v>
      </c>
      <c r="H221" t="s">
        <v>10</v>
      </c>
      <c r="I221" t="s">
        <v>11</v>
      </c>
      <c r="J221" t="str" cm="1">
        <f t="array" ref="J221">_xlfn.IFS(I221="S","Sauthamptonm",I221="Q","Queentown",I221="C","Cherburg",I221="B","Cabin")</f>
        <v>Sauthamptonm</v>
      </c>
      <c r="K221" t="s">
        <v>15</v>
      </c>
      <c r="L221" s="2">
        <v>7.1711</v>
      </c>
      <c r="M221">
        <v>0</v>
      </c>
      <c r="N221">
        <v>0</v>
      </c>
      <c r="O221" t="s">
        <v>13</v>
      </c>
    </row>
    <row r="222" spans="1:15" x14ac:dyDescent="0.3">
      <c r="A222" s="1" t="s">
        <v>526</v>
      </c>
      <c r="B222" t="s">
        <v>287</v>
      </c>
      <c r="C222" t="s">
        <v>527</v>
      </c>
      <c r="D222" t="str">
        <f t="shared" si="3"/>
        <v>Male</v>
      </c>
      <c r="E222" t="s">
        <v>9</v>
      </c>
      <c r="F222" s="2">
        <v>52</v>
      </c>
      <c r="G222" s="2" t="str" cm="1">
        <f t="array" ref="G222">_xlfn.IFS(F222&lt;=8,"Child",F222&lt;=17,"Teen",F222&lt;=35,"Adult",F222&lt;=55,"Seniour Adult",F222&gt;=55,"Old Age")</f>
        <v>Seniour Adult</v>
      </c>
      <c r="H222" t="s">
        <v>25</v>
      </c>
      <c r="I222" t="s">
        <v>11</v>
      </c>
      <c r="J222" t="str" cm="1">
        <f t="array" ref="J222">_xlfn.IFS(I222="S","Sauthamptonm",I222="Q","Queentown",I222="C","Cherburg",I222="B","Cabin")</f>
        <v>Sauthamptonm</v>
      </c>
      <c r="K222" t="s">
        <v>12</v>
      </c>
      <c r="L222" s="2">
        <v>81.170199999999994</v>
      </c>
      <c r="M222">
        <v>1</v>
      </c>
      <c r="N222">
        <v>1</v>
      </c>
      <c r="O222" t="s">
        <v>16</v>
      </c>
    </row>
    <row r="223" spans="1:15" x14ac:dyDescent="0.3">
      <c r="A223" s="1" t="s">
        <v>529</v>
      </c>
      <c r="B223" t="s">
        <v>78</v>
      </c>
      <c r="C223" t="s">
        <v>530</v>
      </c>
      <c r="D223" t="str">
        <f t="shared" si="3"/>
        <v>Female</v>
      </c>
      <c r="E223" t="s">
        <v>14</v>
      </c>
      <c r="F223" s="2">
        <v>18</v>
      </c>
      <c r="G223" s="2" t="str" cm="1">
        <f t="array" ref="G223">_xlfn.IFS(F223&lt;=8,"Child",F223&lt;=17,"Teen",F223&lt;=35,"Adult",F223&lt;=55,"Seniour Adult",F223&gt;=55,"Old Age")</f>
        <v>Adult</v>
      </c>
      <c r="H223" t="s">
        <v>18</v>
      </c>
      <c r="I223" t="s">
        <v>11</v>
      </c>
      <c r="J223" t="str" cm="1">
        <f t="array" ref="J223">_xlfn.IFS(I223="S","Sauthamptonm",I223="Q","Queentown",I223="C","Cherburg",I223="B","Cabin")</f>
        <v>Sauthamptonm</v>
      </c>
      <c r="K223" t="s">
        <v>15</v>
      </c>
      <c r="L223" s="2">
        <v>23</v>
      </c>
      <c r="M223">
        <v>0</v>
      </c>
      <c r="N223">
        <v>1</v>
      </c>
      <c r="O223" t="s">
        <v>16</v>
      </c>
    </row>
    <row r="224" spans="1:15" x14ac:dyDescent="0.3">
      <c r="A224" s="1" t="s">
        <v>531</v>
      </c>
      <c r="B224" t="s">
        <v>78</v>
      </c>
      <c r="C224" t="s">
        <v>532</v>
      </c>
      <c r="D224" t="str">
        <f t="shared" si="3"/>
        <v>Female</v>
      </c>
      <c r="E224" t="s">
        <v>14</v>
      </c>
      <c r="F224" s="2">
        <v>21</v>
      </c>
      <c r="G224" s="2" t="str" cm="1">
        <f t="array" ref="G224">_xlfn.IFS(F224&lt;=8,"Child",F224&lt;=17,"Teen",F224&lt;=35,"Adult",F224&lt;=55,"Seniour Adult",F224&gt;=55,"Old Age")</f>
        <v>Adult</v>
      </c>
      <c r="H224" t="s">
        <v>10</v>
      </c>
      <c r="I224" t="s">
        <v>36</v>
      </c>
      <c r="J224" t="str" cm="1">
        <f t="array" ref="J224">_xlfn.IFS(I224="S","Sauthamptonm",I224="Q","Queentown",I224="C","Cherburg",I224="B","Cabin")</f>
        <v>Queentown</v>
      </c>
      <c r="K224" t="s">
        <v>37</v>
      </c>
      <c r="L224" s="2">
        <v>7.15</v>
      </c>
      <c r="M224">
        <v>0</v>
      </c>
      <c r="N224">
        <v>0</v>
      </c>
      <c r="O224" t="s">
        <v>13</v>
      </c>
    </row>
    <row r="225" spans="1:15" x14ac:dyDescent="0.3">
      <c r="A225" s="1" t="s">
        <v>533</v>
      </c>
      <c r="B225" t="s">
        <v>72</v>
      </c>
      <c r="C225" t="s">
        <v>341</v>
      </c>
      <c r="D225" t="str">
        <f t="shared" si="3"/>
        <v>Male</v>
      </c>
      <c r="E225" t="s">
        <v>9</v>
      </c>
      <c r="F225" s="2">
        <v>37</v>
      </c>
      <c r="G225" s="2" t="str" cm="1">
        <f t="array" ref="G225">_xlfn.IFS(F225&lt;=8,"Child",F225&lt;=17,"Teen",F225&lt;=35,"Adult",F225&lt;=55,"Seniour Adult",F225&gt;=55,"Old Age")</f>
        <v>Seniour Adult</v>
      </c>
      <c r="H225" t="s">
        <v>10</v>
      </c>
      <c r="I225" t="s">
        <v>36</v>
      </c>
      <c r="J225" t="str" cm="1">
        <f t="array" ref="J225">_xlfn.IFS(I225="S","Sauthamptonm",I225="Q","Queentown",I225="C","Cherburg",I225="B","Cabin")</f>
        <v>Queentown</v>
      </c>
      <c r="K225" t="s">
        <v>37</v>
      </c>
      <c r="L225" s="2">
        <v>7.15</v>
      </c>
      <c r="M225">
        <v>0</v>
      </c>
      <c r="N225">
        <v>0</v>
      </c>
      <c r="O225" t="s">
        <v>13</v>
      </c>
    </row>
    <row r="226" spans="1:15" x14ac:dyDescent="0.3">
      <c r="A226" s="1" t="s">
        <v>534</v>
      </c>
      <c r="B226" t="s">
        <v>72</v>
      </c>
      <c r="C226" t="s">
        <v>535</v>
      </c>
      <c r="D226" t="str">
        <f t="shared" si="3"/>
        <v>Male</v>
      </c>
      <c r="E226" t="s">
        <v>9</v>
      </c>
      <c r="F226" s="2">
        <v>18</v>
      </c>
      <c r="G226" s="2" t="str" cm="1">
        <f t="array" ref="G226">_xlfn.IFS(F226&lt;=8,"Child",F226&lt;=17,"Teen",F226&lt;=35,"Adult",F226&lt;=55,"Seniour Adult",F226&gt;=55,"Old Age")</f>
        <v>Adult</v>
      </c>
      <c r="H226" t="s">
        <v>10</v>
      </c>
      <c r="I226" t="s">
        <v>11</v>
      </c>
      <c r="J226" t="str" cm="1">
        <f t="array" ref="J226">_xlfn.IFS(I226="S","Sauthamptonm",I226="Q","Queentown",I226="C","Cherburg",I226="B","Cabin")</f>
        <v>Sauthamptonm</v>
      </c>
      <c r="K226" t="s">
        <v>15</v>
      </c>
      <c r="L226" s="2">
        <v>8.01</v>
      </c>
      <c r="M226">
        <v>0</v>
      </c>
      <c r="N226">
        <v>0</v>
      </c>
      <c r="O226" t="s">
        <v>16</v>
      </c>
    </row>
    <row r="227" spans="1:15" x14ac:dyDescent="0.3">
      <c r="A227" s="1" t="s">
        <v>536</v>
      </c>
      <c r="B227" t="s">
        <v>72</v>
      </c>
      <c r="C227" t="s">
        <v>229</v>
      </c>
      <c r="D227" t="str">
        <f t="shared" si="3"/>
        <v>Male</v>
      </c>
      <c r="E227" t="s">
        <v>9</v>
      </c>
      <c r="F227" s="2">
        <v>22</v>
      </c>
      <c r="G227" s="2" t="str" cm="1">
        <f t="array" ref="G227">_xlfn.IFS(F227&lt;=8,"Child",F227&lt;=17,"Teen",F227&lt;=35,"Adult",F227&lt;=55,"Seniour Adult",F227&gt;=55,"Old Age")</f>
        <v>Adult</v>
      </c>
      <c r="H227" t="s">
        <v>10</v>
      </c>
      <c r="I227" t="s">
        <v>36</v>
      </c>
      <c r="J227" t="str" cm="1">
        <f t="array" ref="J227">_xlfn.IFS(I227="S","Sauthamptonm",I227="Q","Queentown",I227="C","Cherburg",I227="B","Cabin")</f>
        <v>Queentown</v>
      </c>
      <c r="K227" t="s">
        <v>37</v>
      </c>
      <c r="L227" s="2">
        <v>8.0901999999999994</v>
      </c>
      <c r="M227">
        <v>0</v>
      </c>
      <c r="N227">
        <v>0</v>
      </c>
      <c r="O227" t="s">
        <v>13</v>
      </c>
    </row>
    <row r="228" spans="1:15" x14ac:dyDescent="0.3">
      <c r="A228" s="1" t="s">
        <v>537</v>
      </c>
      <c r="B228" t="s">
        <v>76</v>
      </c>
      <c r="C228" t="s">
        <v>538</v>
      </c>
      <c r="D228" t="str">
        <f t="shared" si="3"/>
        <v>Female</v>
      </c>
      <c r="E228" t="s">
        <v>14</v>
      </c>
      <c r="F228" s="2">
        <v>48</v>
      </c>
      <c r="G228" s="2" t="str" cm="1">
        <f t="array" ref="G228">_xlfn.IFS(F228&lt;=8,"Child",F228&lt;=17,"Teen",F228&lt;=35,"Adult",F228&lt;=55,"Seniour Adult",F228&gt;=55,"Old Age")</f>
        <v>Seniour Adult</v>
      </c>
      <c r="H228" t="s">
        <v>25</v>
      </c>
      <c r="I228" t="s">
        <v>19</v>
      </c>
      <c r="J228" t="str" cm="1">
        <f t="array" ref="J228">_xlfn.IFS(I228="S","Sauthamptonm",I228="Q","Queentown",I228="C","Cherburg",I228="B","Cabin")</f>
        <v>Cherburg</v>
      </c>
      <c r="K228" t="s">
        <v>12</v>
      </c>
      <c r="L228" s="2">
        <v>106.0806</v>
      </c>
      <c r="M228">
        <v>1</v>
      </c>
      <c r="N228">
        <v>0</v>
      </c>
      <c r="O228" t="s">
        <v>16</v>
      </c>
    </row>
    <row r="229" spans="1:15" x14ac:dyDescent="0.3">
      <c r="A229" s="1" t="s">
        <v>539</v>
      </c>
      <c r="B229" t="s">
        <v>72</v>
      </c>
      <c r="C229" t="s">
        <v>540</v>
      </c>
      <c r="D229" t="str">
        <f t="shared" si="3"/>
        <v>Male</v>
      </c>
      <c r="E229" t="s">
        <v>9</v>
      </c>
      <c r="F229" s="2">
        <v>55</v>
      </c>
      <c r="G229" s="2" t="str" cm="1">
        <f t="array" ref="G229">_xlfn.IFS(F229&lt;=8,"Child",F229&lt;=17,"Teen",F229&lt;=35,"Adult",F229&lt;=55,"Seniour Adult",F229&gt;=55,"Old Age")</f>
        <v>Seniour Adult</v>
      </c>
      <c r="H229" t="s">
        <v>18</v>
      </c>
      <c r="I229" t="s">
        <v>11</v>
      </c>
      <c r="J229" t="str" cm="1">
        <f t="array" ref="J229">_xlfn.IFS(I229="S","Sauthamptonm",I229="Q","Queentown",I229="C","Cherburg",I229="B","Cabin")</f>
        <v>Sauthamptonm</v>
      </c>
      <c r="K229" t="s">
        <v>15</v>
      </c>
      <c r="L229" s="2">
        <v>26</v>
      </c>
      <c r="M229">
        <v>0</v>
      </c>
      <c r="N229">
        <v>0</v>
      </c>
      <c r="O229" t="s">
        <v>13</v>
      </c>
    </row>
    <row r="230" spans="1:15" x14ac:dyDescent="0.3">
      <c r="A230" s="1" t="s">
        <v>541</v>
      </c>
      <c r="B230" t="s">
        <v>78</v>
      </c>
      <c r="C230" t="s">
        <v>254</v>
      </c>
      <c r="D230" t="str">
        <f t="shared" si="3"/>
        <v>Female</v>
      </c>
      <c r="E230" t="s">
        <v>14</v>
      </c>
      <c r="F230" s="2">
        <v>31</v>
      </c>
      <c r="G230" s="2" t="str" cm="1">
        <f t="array" ref="G230">_xlfn.IFS(F230&lt;=8,"Child",F230&lt;=17,"Teen",F230&lt;=35,"Adult",F230&lt;=55,"Seniour Adult",F230&gt;=55,"Old Age")</f>
        <v>Adult</v>
      </c>
      <c r="H230" t="s">
        <v>10</v>
      </c>
      <c r="I230" t="s">
        <v>11</v>
      </c>
      <c r="J230" t="str" cm="1">
        <f t="array" ref="J230">_xlfn.IFS(I230="S","Sauthamptonm",I230="Q","Queentown",I230="C","Cherburg",I230="B","Cabin")</f>
        <v>Sauthamptonm</v>
      </c>
      <c r="K230" t="s">
        <v>12</v>
      </c>
      <c r="L230" s="2">
        <v>12.0906</v>
      </c>
      <c r="M230">
        <v>0</v>
      </c>
      <c r="N230">
        <v>0</v>
      </c>
      <c r="O230" t="s">
        <v>16</v>
      </c>
    </row>
    <row r="231" spans="1:15" x14ac:dyDescent="0.3">
      <c r="A231" s="1" t="s">
        <v>542</v>
      </c>
      <c r="B231" t="s">
        <v>78</v>
      </c>
      <c r="C231" t="s">
        <v>254</v>
      </c>
      <c r="D231" t="str">
        <f t="shared" si="3"/>
        <v>Female</v>
      </c>
      <c r="E231" t="s">
        <v>14</v>
      </c>
      <c r="F231" s="2">
        <v>28</v>
      </c>
      <c r="G231" s="2" t="str" cm="1">
        <f t="array" ref="G231">_xlfn.IFS(F231&lt;=8,"Child",F231&lt;=17,"Teen",F231&lt;=35,"Adult",F231&lt;=55,"Seniour Adult",F231&gt;=55,"Old Age")</f>
        <v>Adult</v>
      </c>
      <c r="H231" t="s">
        <v>10</v>
      </c>
      <c r="I231" t="s">
        <v>36</v>
      </c>
      <c r="J231" t="str" cm="1">
        <f t="array" ref="J231">_xlfn.IFS(I231="S","Sauthamptonm",I231="Q","Queentown",I231="C","Cherburg",I231="B","Cabin")</f>
        <v>Queentown</v>
      </c>
      <c r="K231" t="s">
        <v>37</v>
      </c>
      <c r="L231" s="2">
        <v>7.15</v>
      </c>
      <c r="M231">
        <v>0</v>
      </c>
      <c r="N231">
        <v>0</v>
      </c>
      <c r="O231" t="s">
        <v>13</v>
      </c>
    </row>
    <row r="232" spans="1:15" x14ac:dyDescent="0.3">
      <c r="A232" s="1" t="s">
        <v>543</v>
      </c>
      <c r="B232" t="s">
        <v>72</v>
      </c>
      <c r="C232" t="s">
        <v>544</v>
      </c>
      <c r="D232" t="str">
        <f t="shared" si="3"/>
        <v>Male</v>
      </c>
      <c r="E232" t="s">
        <v>9</v>
      </c>
      <c r="F232" s="2">
        <v>33</v>
      </c>
      <c r="G232" s="2" t="str" cm="1">
        <f t="array" ref="G232">_xlfn.IFS(F232&lt;=8,"Child",F232&lt;=17,"Teen",F232&lt;=35,"Adult",F232&lt;=55,"Seniour Adult",F232&gt;=55,"Old Age")</f>
        <v>Adult</v>
      </c>
      <c r="H232" t="s">
        <v>10</v>
      </c>
      <c r="I232" t="s">
        <v>19</v>
      </c>
      <c r="J232" t="str" cm="1">
        <f t="array" ref="J232">_xlfn.IFS(I232="S","Sauthamptonm",I232="Q","Queentown",I232="C","Cherburg",I232="B","Cabin")</f>
        <v>Cherburg</v>
      </c>
      <c r="K232" t="s">
        <v>42</v>
      </c>
      <c r="L232" s="2">
        <v>7.1711</v>
      </c>
      <c r="M232">
        <v>0</v>
      </c>
      <c r="N232">
        <v>0</v>
      </c>
      <c r="O232" t="s">
        <v>13</v>
      </c>
    </row>
    <row r="233" spans="1:15" x14ac:dyDescent="0.3">
      <c r="A233" s="1" t="s">
        <v>545</v>
      </c>
      <c r="B233" t="s">
        <v>94</v>
      </c>
      <c r="C233" t="s">
        <v>546</v>
      </c>
      <c r="D233" t="str">
        <f t="shared" si="3"/>
        <v>Male</v>
      </c>
      <c r="E233" t="s">
        <v>9</v>
      </c>
      <c r="F233" s="2">
        <v>8</v>
      </c>
      <c r="G233" s="2" t="str" cm="1">
        <f t="array" ref="G233">_xlfn.IFS(F233&lt;=8,"Child",F233&lt;=17,"Teen",F233&lt;=35,"Adult",F233&lt;=55,"Seniour Adult",F233&gt;=55,"Old Age")</f>
        <v>Child</v>
      </c>
      <c r="H233" t="s">
        <v>18</v>
      </c>
      <c r="I233" t="s">
        <v>11</v>
      </c>
      <c r="J233" t="str" cm="1">
        <f t="array" ref="J233">_xlfn.IFS(I233="S","Sauthamptonm",I233="Q","Queentown",I233="C","Cherburg",I233="B","Cabin")</f>
        <v>Sauthamptonm</v>
      </c>
      <c r="K233" t="s">
        <v>12</v>
      </c>
      <c r="L233" s="2">
        <v>32.1</v>
      </c>
      <c r="M233">
        <v>0</v>
      </c>
      <c r="N233">
        <v>2</v>
      </c>
      <c r="O233" t="s">
        <v>16</v>
      </c>
    </row>
    <row r="234" spans="1:15" x14ac:dyDescent="0.3">
      <c r="A234" s="1" t="s">
        <v>547</v>
      </c>
      <c r="B234" t="s">
        <v>78</v>
      </c>
      <c r="C234" t="s">
        <v>532</v>
      </c>
      <c r="D234" t="str">
        <f t="shared" si="3"/>
        <v>Female</v>
      </c>
      <c r="E234" t="s">
        <v>14</v>
      </c>
      <c r="F234" s="2">
        <v>27</v>
      </c>
      <c r="G234" s="2" t="str" cm="1">
        <f t="array" ref="G234">_xlfn.IFS(F234&lt;=8,"Child",F234&lt;=17,"Teen",F234&lt;=35,"Adult",F234&lt;=55,"Seniour Adult",F234&gt;=55,"Old Age")</f>
        <v>Adult</v>
      </c>
      <c r="H234" t="s">
        <v>10</v>
      </c>
      <c r="I234" t="s">
        <v>36</v>
      </c>
      <c r="J234" t="str" cm="1">
        <f t="array" ref="J234">_xlfn.IFS(I234="S","Sauthamptonm",I234="Q","Queentown",I234="C","Cherburg",I234="B","Cabin")</f>
        <v>Queentown</v>
      </c>
      <c r="K234" t="s">
        <v>37</v>
      </c>
      <c r="L234" s="2">
        <v>7.15</v>
      </c>
      <c r="M234">
        <v>0</v>
      </c>
      <c r="N234">
        <v>0</v>
      </c>
      <c r="O234" t="s">
        <v>16</v>
      </c>
    </row>
    <row r="235" spans="1:15" x14ac:dyDescent="0.3">
      <c r="A235" s="1" t="s">
        <v>548</v>
      </c>
      <c r="B235" t="s">
        <v>78</v>
      </c>
      <c r="C235" t="s">
        <v>549</v>
      </c>
      <c r="D235" t="str">
        <f t="shared" si="3"/>
        <v>Female</v>
      </c>
      <c r="E235" t="s">
        <v>14</v>
      </c>
      <c r="F235" s="2">
        <v>24</v>
      </c>
      <c r="G235" s="2" t="str" cm="1">
        <f t="array" ref="G235">_xlfn.IFS(F235&lt;=8,"Child",F235&lt;=17,"Teen",F235&lt;=35,"Adult",F235&lt;=55,"Seniour Adult",F235&gt;=55,"Old Age")</f>
        <v>Adult</v>
      </c>
      <c r="H235" t="s">
        <v>10</v>
      </c>
      <c r="I235" t="s">
        <v>11</v>
      </c>
      <c r="J235" t="str" cm="1">
        <f t="array" ref="J235">_xlfn.IFS(I235="S","Sauthamptonm",I235="Q","Queentown",I235="C","Cherburg",I235="B","Cabin")</f>
        <v>Sauthamptonm</v>
      </c>
      <c r="K235" t="s">
        <v>15</v>
      </c>
      <c r="L235" s="2">
        <v>8.01</v>
      </c>
      <c r="M235">
        <v>0</v>
      </c>
      <c r="N235">
        <v>0</v>
      </c>
      <c r="O235" t="s">
        <v>16</v>
      </c>
    </row>
    <row r="236" spans="1:15" x14ac:dyDescent="0.3">
      <c r="A236" s="1" t="s">
        <v>550</v>
      </c>
      <c r="B236" t="s">
        <v>551</v>
      </c>
      <c r="C236" t="s">
        <v>552</v>
      </c>
      <c r="D236" t="str">
        <f t="shared" si="3"/>
        <v>Female</v>
      </c>
      <c r="E236" t="s">
        <v>14</v>
      </c>
      <c r="F236" s="2">
        <v>48</v>
      </c>
      <c r="G236" s="2" t="str" cm="1">
        <f t="array" ref="G236">_xlfn.IFS(F236&lt;=8,"Child",F236&lt;=17,"Teen",F236&lt;=35,"Adult",F236&lt;=55,"Seniour Adult",F236&gt;=55,"Old Age")</f>
        <v>Seniour Adult</v>
      </c>
      <c r="H236" t="s">
        <v>25</v>
      </c>
      <c r="I236" t="s">
        <v>19</v>
      </c>
      <c r="J236" t="str" cm="1">
        <f t="array" ref="J236">_xlfn.IFS(I236="S","Sauthamptonm",I236="Q","Queentown",I236="C","Cherburg",I236="B","Cabin")</f>
        <v>Cherburg</v>
      </c>
      <c r="K236" t="s">
        <v>15</v>
      </c>
      <c r="L236" s="2">
        <v>56.180700000000002</v>
      </c>
      <c r="M236">
        <v>1</v>
      </c>
      <c r="N236">
        <v>0</v>
      </c>
      <c r="O236" t="s">
        <v>16</v>
      </c>
    </row>
    <row r="237" spans="1:15" x14ac:dyDescent="0.3">
      <c r="A237" s="1" t="s">
        <v>553</v>
      </c>
      <c r="B237" t="s">
        <v>72</v>
      </c>
      <c r="C237" t="s">
        <v>554</v>
      </c>
      <c r="D237" t="str">
        <f t="shared" si="3"/>
        <v>Male</v>
      </c>
      <c r="E237" t="s">
        <v>9</v>
      </c>
      <c r="F237" s="2">
        <v>39</v>
      </c>
      <c r="G237" s="2" t="str" cm="1">
        <f t="array" ref="G237">_xlfn.IFS(F237&lt;=8,"Child",F237&lt;=17,"Teen",F237&lt;=35,"Adult",F237&lt;=55,"Seniour Adult",F237&gt;=55,"Old Age")</f>
        <v>Seniour Adult</v>
      </c>
      <c r="H237" t="s">
        <v>25</v>
      </c>
      <c r="I237" t="s">
        <v>19</v>
      </c>
      <c r="J237" t="str" cm="1">
        <f t="array" ref="J237">_xlfn.IFS(I237="S","Sauthamptonm",I237="Q","Queentown",I237="C","Cherburg",I237="B","Cabin")</f>
        <v>Cherburg</v>
      </c>
      <c r="K237" t="s">
        <v>12</v>
      </c>
      <c r="L237" s="2">
        <v>29.14</v>
      </c>
      <c r="M237">
        <v>0</v>
      </c>
      <c r="N237">
        <v>0</v>
      </c>
      <c r="O237" t="s">
        <v>13</v>
      </c>
    </row>
    <row r="238" spans="1:15" x14ac:dyDescent="0.3">
      <c r="A238" s="1" t="s">
        <v>555</v>
      </c>
      <c r="B238" t="s">
        <v>72</v>
      </c>
      <c r="C238" t="s">
        <v>556</v>
      </c>
      <c r="D238" t="str">
        <f t="shared" si="3"/>
        <v>Male</v>
      </c>
      <c r="E238" t="s">
        <v>9</v>
      </c>
      <c r="F238" s="2">
        <v>24</v>
      </c>
      <c r="G238" s="2" t="str" cm="1">
        <f t="array" ref="G238">_xlfn.IFS(F238&lt;=8,"Child",F238&lt;=17,"Teen",F238&lt;=35,"Adult",F238&lt;=55,"Seniour Adult",F238&gt;=55,"Old Age")</f>
        <v>Adult</v>
      </c>
      <c r="H238" t="s">
        <v>10</v>
      </c>
      <c r="I238" t="s">
        <v>11</v>
      </c>
      <c r="J238" t="str" cm="1">
        <f t="array" ref="J238">_xlfn.IFS(I238="S","Sauthamptonm",I238="Q","Queentown",I238="C","Cherburg",I238="B","Cabin")</f>
        <v>Sauthamptonm</v>
      </c>
      <c r="K238" t="s">
        <v>33</v>
      </c>
      <c r="L238" s="2">
        <v>7.11</v>
      </c>
      <c r="M238">
        <v>0</v>
      </c>
      <c r="N238">
        <v>0</v>
      </c>
      <c r="O238" t="s">
        <v>16</v>
      </c>
    </row>
    <row r="239" spans="1:15" x14ac:dyDescent="0.3">
      <c r="A239" s="1" t="s">
        <v>557</v>
      </c>
      <c r="B239" t="s">
        <v>558</v>
      </c>
      <c r="C239" t="s">
        <v>559</v>
      </c>
      <c r="D239" t="str">
        <f t="shared" si="3"/>
        <v>Female</v>
      </c>
      <c r="E239" t="s">
        <v>14</v>
      </c>
      <c r="F239" s="2">
        <v>27</v>
      </c>
      <c r="G239" s="2" t="str" cm="1">
        <f t="array" ref="G239">_xlfn.IFS(F239&lt;=8,"Child",F239&lt;=17,"Teen",F239&lt;=35,"Adult",F239&lt;=55,"Seniour Adult",F239&gt;=55,"Old Age")</f>
        <v>Adult</v>
      </c>
      <c r="H239" t="s">
        <v>18</v>
      </c>
      <c r="I239" t="s">
        <v>19</v>
      </c>
      <c r="J239" t="str" cm="1">
        <f t="array" ref="J239">_xlfn.IFS(I239="S","Sauthamptonm",I239="Q","Queentown",I239="C","Cherburg",I239="B","Cabin")</f>
        <v>Cherburg</v>
      </c>
      <c r="K239" t="s">
        <v>50</v>
      </c>
      <c r="L239" s="2">
        <v>13.170199999999999</v>
      </c>
      <c r="M239">
        <v>1</v>
      </c>
      <c r="N239">
        <v>0</v>
      </c>
      <c r="O239" t="s">
        <v>16</v>
      </c>
    </row>
    <row r="240" spans="1:15" x14ac:dyDescent="0.3">
      <c r="A240" s="1" t="s">
        <v>560</v>
      </c>
      <c r="B240" t="s">
        <v>72</v>
      </c>
      <c r="C240" t="s">
        <v>561</v>
      </c>
      <c r="D240" t="str">
        <f t="shared" si="3"/>
        <v>Male</v>
      </c>
      <c r="E240" t="s">
        <v>9</v>
      </c>
      <c r="F240" s="2">
        <v>65</v>
      </c>
      <c r="G240" s="2" t="str" cm="1">
        <f t="array" ref="G240">_xlfn.IFS(F240&lt;=8,"Child",F240&lt;=17,"Teen",F240&lt;=35,"Adult",F240&lt;=55,"Seniour Adult",F240&gt;=55,"Old Age")</f>
        <v>Old Age</v>
      </c>
      <c r="H240" t="s">
        <v>10</v>
      </c>
      <c r="I240" t="s">
        <v>36</v>
      </c>
      <c r="J240" t="str" cm="1">
        <f t="array" ref="J240">_xlfn.IFS(I240="S","Sauthamptonm",I240="Q","Queentown",I240="C","Cherburg",I240="B","Cabin")</f>
        <v>Queentown</v>
      </c>
      <c r="K240" t="s">
        <v>37</v>
      </c>
      <c r="L240" s="2">
        <v>7.15</v>
      </c>
      <c r="M240">
        <v>0</v>
      </c>
      <c r="N240">
        <v>0</v>
      </c>
      <c r="O240" t="s">
        <v>13</v>
      </c>
    </row>
    <row r="241" spans="1:15" x14ac:dyDescent="0.3">
      <c r="A241" s="1" t="s">
        <v>562</v>
      </c>
      <c r="B241" t="s">
        <v>72</v>
      </c>
      <c r="C241" t="s">
        <v>563</v>
      </c>
      <c r="D241" t="str">
        <f t="shared" si="3"/>
        <v>Male</v>
      </c>
      <c r="E241" t="s">
        <v>9</v>
      </c>
      <c r="F241" s="2">
        <v>23</v>
      </c>
      <c r="G241" s="2" t="str" cm="1">
        <f t="array" ref="G241">_xlfn.IFS(F241&lt;=8,"Child",F241&lt;=17,"Teen",F241&lt;=35,"Adult",F241&lt;=55,"Seniour Adult",F241&gt;=55,"Old Age")</f>
        <v>Adult</v>
      </c>
      <c r="H241" t="s">
        <v>10</v>
      </c>
      <c r="I241" t="s">
        <v>11</v>
      </c>
      <c r="J241" t="str" cm="1">
        <f t="array" ref="J241">_xlfn.IFS(I241="S","Sauthamptonm",I241="Q","Queentown",I241="C","Cherburg",I241="B","Cabin")</f>
        <v>Sauthamptonm</v>
      </c>
      <c r="K241" t="s">
        <v>12</v>
      </c>
      <c r="L241" s="2">
        <v>13.18</v>
      </c>
      <c r="M241">
        <v>1</v>
      </c>
      <c r="N241">
        <v>0</v>
      </c>
      <c r="O241" t="s">
        <v>13</v>
      </c>
    </row>
    <row r="242" spans="1:15" x14ac:dyDescent="0.3">
      <c r="A242" s="1" t="s">
        <v>564</v>
      </c>
      <c r="B242" t="s">
        <v>76</v>
      </c>
      <c r="C242" t="s">
        <v>565</v>
      </c>
      <c r="D242" t="str">
        <f t="shared" si="3"/>
        <v>Female</v>
      </c>
      <c r="E242" t="s">
        <v>14</v>
      </c>
      <c r="F242" s="2">
        <v>23</v>
      </c>
      <c r="G242" s="2" t="str" cm="1">
        <f t="array" ref="G242">_xlfn.IFS(F242&lt;=8,"Child",F242&lt;=17,"Teen",F242&lt;=35,"Adult",F242&lt;=55,"Seniour Adult",F242&gt;=55,"Old Age")</f>
        <v>Adult</v>
      </c>
      <c r="H242" t="s">
        <v>25</v>
      </c>
      <c r="I242" t="s">
        <v>19</v>
      </c>
      <c r="J242" t="str" cm="1">
        <f t="array" ref="J242">_xlfn.IFS(I242="S","Sauthamptonm",I242="Q","Queentown",I242="C","Cherburg",I242="B","Cabin")</f>
        <v>Cherburg</v>
      </c>
      <c r="K242" t="s">
        <v>12</v>
      </c>
      <c r="L242" s="2">
        <v>83.030199999999994</v>
      </c>
      <c r="M242">
        <v>0</v>
      </c>
      <c r="N242">
        <v>1</v>
      </c>
      <c r="O242" t="s">
        <v>16</v>
      </c>
    </row>
    <row r="243" spans="1:15" x14ac:dyDescent="0.3">
      <c r="A243" s="1" t="s">
        <v>566</v>
      </c>
      <c r="B243" t="s">
        <v>72</v>
      </c>
      <c r="C243" t="s">
        <v>567</v>
      </c>
      <c r="D243" t="str">
        <f t="shared" si="3"/>
        <v>Male</v>
      </c>
      <c r="E243" t="s">
        <v>9</v>
      </c>
      <c r="F243" s="2">
        <v>18</v>
      </c>
      <c r="G243" s="2" t="str" cm="1">
        <f t="array" ref="G243">_xlfn.IFS(F243&lt;=8,"Child",F243&lt;=17,"Teen",F243&lt;=35,"Adult",F243&lt;=55,"Seniour Adult",F243&gt;=55,"Old Age")</f>
        <v>Adult</v>
      </c>
      <c r="H243" t="s">
        <v>10</v>
      </c>
      <c r="I243" t="s">
        <v>11</v>
      </c>
      <c r="J243" t="str" cm="1">
        <f t="array" ref="J243">_xlfn.IFS(I243="S","Sauthamptonm",I243="Q","Queentown",I243="C","Cherburg",I243="B","Cabin")</f>
        <v>Sauthamptonm</v>
      </c>
      <c r="K243" t="s">
        <v>23</v>
      </c>
      <c r="L243" s="2">
        <v>7.1505999999999998</v>
      </c>
      <c r="M243">
        <v>0</v>
      </c>
      <c r="N243">
        <v>0</v>
      </c>
      <c r="O243" t="s">
        <v>13</v>
      </c>
    </row>
    <row r="244" spans="1:15" x14ac:dyDescent="0.3">
      <c r="A244" s="1" t="s">
        <v>568</v>
      </c>
      <c r="B244" t="s">
        <v>72</v>
      </c>
      <c r="C244" t="s">
        <v>569</v>
      </c>
      <c r="D244" t="str">
        <f t="shared" si="3"/>
        <v>Male</v>
      </c>
      <c r="E244" t="s">
        <v>9</v>
      </c>
      <c r="F244" s="2">
        <v>25</v>
      </c>
      <c r="G244" s="2" t="str" cm="1">
        <f t="array" ref="G244">_xlfn.IFS(F244&lt;=8,"Child",F244&lt;=17,"Teen",F244&lt;=35,"Adult",F244&lt;=55,"Seniour Adult",F244&gt;=55,"Old Age")</f>
        <v>Adult</v>
      </c>
      <c r="H244" t="s">
        <v>18</v>
      </c>
      <c r="I244" t="s">
        <v>11</v>
      </c>
      <c r="J244" t="str" cm="1">
        <f t="array" ref="J244">_xlfn.IFS(I244="S","Sauthamptonm",I244="Q","Queentown",I244="C","Cherburg",I244="B","Cabin")</f>
        <v>Sauthamptonm</v>
      </c>
      <c r="K244" t="s">
        <v>12</v>
      </c>
      <c r="L244" s="2">
        <v>13</v>
      </c>
      <c r="M244">
        <v>0</v>
      </c>
      <c r="N244">
        <v>0</v>
      </c>
      <c r="O244" t="s">
        <v>13</v>
      </c>
    </row>
    <row r="245" spans="1:15" x14ac:dyDescent="0.3">
      <c r="A245" s="1" t="s">
        <v>570</v>
      </c>
      <c r="B245" t="s">
        <v>72</v>
      </c>
      <c r="C245" t="s">
        <v>571</v>
      </c>
      <c r="D245" t="str">
        <f t="shared" si="3"/>
        <v>Male</v>
      </c>
      <c r="E245" t="s">
        <v>9</v>
      </c>
      <c r="F245" s="2">
        <v>16</v>
      </c>
      <c r="G245" s="2" t="str" cm="1">
        <f t="array" ref="G245">_xlfn.IFS(F245&lt;=8,"Child",F245&lt;=17,"Teen",F245&lt;=35,"Adult",F245&lt;=55,"Seniour Adult",F245&gt;=55,"Old Age")</f>
        <v>Teen</v>
      </c>
      <c r="H245" t="s">
        <v>10</v>
      </c>
      <c r="I245" t="s">
        <v>11</v>
      </c>
      <c r="J245" t="str" cm="1">
        <f t="array" ref="J245">_xlfn.IFS(I245="S","Sauthamptonm",I245="Q","Queentown",I245="C","Cherburg",I245="B","Cabin")</f>
        <v>Sauthamptonm</v>
      </c>
      <c r="K245" t="s">
        <v>23</v>
      </c>
      <c r="L245" s="2">
        <v>7.1505999999999998</v>
      </c>
      <c r="M245">
        <v>0</v>
      </c>
      <c r="N245">
        <v>0</v>
      </c>
      <c r="O245" t="s">
        <v>13</v>
      </c>
    </row>
    <row r="246" spans="1:15" x14ac:dyDescent="0.3">
      <c r="A246" s="1" t="s">
        <v>572</v>
      </c>
      <c r="B246" t="s">
        <v>72</v>
      </c>
      <c r="C246" t="s">
        <v>573</v>
      </c>
      <c r="D246" t="str">
        <f t="shared" si="3"/>
        <v>Male</v>
      </c>
      <c r="E246" t="s">
        <v>9</v>
      </c>
      <c r="F246" s="2">
        <v>45</v>
      </c>
      <c r="G246" s="2" t="str" cm="1">
        <f t="array" ref="G246">_xlfn.IFS(F246&lt;=8,"Child",F246&lt;=17,"Teen",F246&lt;=35,"Adult",F246&lt;=55,"Seniour Adult",F246&gt;=55,"Old Age")</f>
        <v>Seniour Adult</v>
      </c>
      <c r="H246" t="s">
        <v>10</v>
      </c>
      <c r="I246" t="s">
        <v>11</v>
      </c>
      <c r="J246" t="str" cm="1">
        <f t="array" ref="J246">_xlfn.IFS(I246="S","Sauthamptonm",I246="Q","Queentown",I246="C","Cherburg",I246="B","Cabin")</f>
        <v>Sauthamptonm</v>
      </c>
      <c r="K246" t="s">
        <v>23</v>
      </c>
      <c r="L246" s="2">
        <v>6.1905999999999999</v>
      </c>
      <c r="M246">
        <v>0</v>
      </c>
      <c r="N246">
        <v>0</v>
      </c>
      <c r="O246" t="s">
        <v>13</v>
      </c>
    </row>
    <row r="247" spans="1:15" x14ac:dyDescent="0.3">
      <c r="A247" s="1" t="s">
        <v>574</v>
      </c>
      <c r="B247" t="s">
        <v>72</v>
      </c>
      <c r="C247" t="s">
        <v>575</v>
      </c>
      <c r="D247" t="str">
        <f t="shared" si="3"/>
        <v>Male</v>
      </c>
      <c r="E247" t="s">
        <v>9</v>
      </c>
      <c r="F247" s="2">
        <v>29</v>
      </c>
      <c r="G247" s="2" t="str" cm="1">
        <f t="array" ref="G247">_xlfn.IFS(F247&lt;=8,"Child",F247&lt;=17,"Teen",F247&lt;=35,"Adult",F247&lt;=55,"Seniour Adult",F247&gt;=55,"Old Age")</f>
        <v>Adult</v>
      </c>
      <c r="H247" t="s">
        <v>10</v>
      </c>
      <c r="I247" t="s">
        <v>19</v>
      </c>
      <c r="J247" t="str" cm="1">
        <f t="array" ref="J247">_xlfn.IFS(I247="S","Sauthamptonm",I247="Q","Queentown",I247="C","Cherburg",I247="B","Cabin")</f>
        <v>Cherburg</v>
      </c>
      <c r="K247" t="s">
        <v>15</v>
      </c>
      <c r="L247" s="2">
        <v>7.0406000000000004</v>
      </c>
      <c r="M247">
        <v>0</v>
      </c>
      <c r="N247">
        <v>0</v>
      </c>
      <c r="O247" t="s">
        <v>13</v>
      </c>
    </row>
    <row r="248" spans="1:15" x14ac:dyDescent="0.3">
      <c r="A248" s="1" t="s">
        <v>576</v>
      </c>
      <c r="B248" t="s">
        <v>72</v>
      </c>
      <c r="C248" t="s">
        <v>468</v>
      </c>
      <c r="D248" t="str">
        <f t="shared" si="3"/>
        <v>Male</v>
      </c>
      <c r="E248" t="s">
        <v>9</v>
      </c>
      <c r="F248" s="2">
        <v>22</v>
      </c>
      <c r="G248" s="2" t="str" cm="1">
        <f t="array" ref="G248">_xlfn.IFS(F248&lt;=8,"Child",F248&lt;=17,"Teen",F248&lt;=35,"Adult",F248&lt;=55,"Seniour Adult",F248&gt;=55,"Old Age")</f>
        <v>Adult</v>
      </c>
      <c r="H248" t="s">
        <v>10</v>
      </c>
      <c r="I248" t="s">
        <v>19</v>
      </c>
      <c r="J248" t="str" cm="1">
        <f t="array" ref="J248">_xlfn.IFS(I248="S","Sauthamptonm",I248="Q","Queentown",I248="C","Cherburg",I248="B","Cabin")</f>
        <v>Cherburg</v>
      </c>
      <c r="K248" t="s">
        <v>21</v>
      </c>
      <c r="L248" s="2">
        <v>7.0407000000000002</v>
      </c>
      <c r="M248">
        <v>1</v>
      </c>
      <c r="N248">
        <v>1</v>
      </c>
      <c r="O248" t="s">
        <v>13</v>
      </c>
    </row>
    <row r="249" spans="1:15" x14ac:dyDescent="0.3">
      <c r="A249" s="1" t="s">
        <v>577</v>
      </c>
      <c r="B249" t="s">
        <v>72</v>
      </c>
      <c r="C249" t="s">
        <v>578</v>
      </c>
      <c r="D249" t="str">
        <f t="shared" si="3"/>
        <v>Male</v>
      </c>
      <c r="E249" t="s">
        <v>9</v>
      </c>
      <c r="F249" s="2">
        <v>48</v>
      </c>
      <c r="G249" s="2" t="str" cm="1">
        <f t="array" ref="G249">_xlfn.IFS(F249&lt;=8,"Child",F249&lt;=17,"Teen",F249&lt;=35,"Adult",F249&lt;=55,"Seniour Adult",F249&gt;=55,"Old Age")</f>
        <v>Seniour Adult</v>
      </c>
      <c r="H249" t="s">
        <v>10</v>
      </c>
      <c r="I249" t="s">
        <v>11</v>
      </c>
      <c r="J249" t="str" cm="1">
        <f t="array" ref="J249">_xlfn.IFS(I249="S","Sauthamptonm",I249="Q","Queentown",I249="C","Cherburg",I249="B","Cabin")</f>
        <v>Sauthamptonm</v>
      </c>
      <c r="K249" t="s">
        <v>15</v>
      </c>
      <c r="L249" s="2">
        <v>7.05</v>
      </c>
      <c r="M249">
        <v>0</v>
      </c>
      <c r="N249">
        <v>0</v>
      </c>
      <c r="O249" t="s">
        <v>13</v>
      </c>
    </row>
    <row r="250" spans="1:15" x14ac:dyDescent="0.3">
      <c r="A250" s="1" t="s">
        <v>579</v>
      </c>
      <c r="B250" t="s">
        <v>78</v>
      </c>
      <c r="C250" t="s">
        <v>580</v>
      </c>
      <c r="D250" t="str">
        <f t="shared" si="3"/>
        <v>Female</v>
      </c>
      <c r="E250" t="s">
        <v>14</v>
      </c>
      <c r="F250" s="2">
        <v>5</v>
      </c>
      <c r="G250" s="2" t="str" cm="1">
        <f t="array" ref="G250">_xlfn.IFS(F250&lt;=8,"Child",F250&lt;=17,"Teen",F250&lt;=35,"Adult",F250&lt;=55,"Seniour Adult",F250&gt;=55,"Old Age")</f>
        <v>Child</v>
      </c>
      <c r="H250" t="s">
        <v>10</v>
      </c>
      <c r="I250" t="s">
        <v>11</v>
      </c>
      <c r="J250" t="str" cm="1">
        <f t="array" ref="J250">_xlfn.IFS(I250="S","Sauthamptonm",I250="Q","Queentown",I250="C","Cherburg",I250="B","Cabin")</f>
        <v>Sauthamptonm</v>
      </c>
      <c r="K250" t="s">
        <v>12</v>
      </c>
      <c r="L250" s="2">
        <v>12.0906</v>
      </c>
      <c r="M250">
        <v>0</v>
      </c>
      <c r="N250">
        <v>0</v>
      </c>
      <c r="O250" t="s">
        <v>16</v>
      </c>
    </row>
    <row r="251" spans="1:15" x14ac:dyDescent="0.3">
      <c r="A251" s="1" t="s">
        <v>581</v>
      </c>
      <c r="B251" t="s">
        <v>72</v>
      </c>
      <c r="C251" t="s">
        <v>582</v>
      </c>
      <c r="D251" t="str">
        <f t="shared" si="3"/>
        <v>Male</v>
      </c>
      <c r="E251" t="s">
        <v>9</v>
      </c>
      <c r="F251" s="2">
        <v>21</v>
      </c>
      <c r="G251" s="2" t="str" cm="1">
        <f t="array" ref="G251">_xlfn.IFS(F251&lt;=8,"Child",F251&lt;=17,"Teen",F251&lt;=35,"Adult",F251&lt;=55,"Seniour Adult",F251&gt;=55,"Old Age")</f>
        <v>Adult</v>
      </c>
      <c r="H251" t="s">
        <v>18</v>
      </c>
      <c r="I251" t="s">
        <v>11</v>
      </c>
      <c r="J251" t="str" cm="1">
        <f t="array" ref="J251">_xlfn.IFS(I251="S","Sauthamptonm",I251="Q","Queentown",I251="C","Cherburg",I251="B","Cabin")</f>
        <v>Sauthamptonm</v>
      </c>
      <c r="K251" t="s">
        <v>23</v>
      </c>
      <c r="L251" s="2">
        <v>13</v>
      </c>
      <c r="M251">
        <v>0</v>
      </c>
      <c r="N251">
        <v>0</v>
      </c>
      <c r="O251" t="s">
        <v>13</v>
      </c>
    </row>
    <row r="252" spans="1:15" x14ac:dyDescent="0.3">
      <c r="A252" s="1" t="s">
        <v>583</v>
      </c>
      <c r="B252" t="s">
        <v>78</v>
      </c>
      <c r="C252" t="s">
        <v>584</v>
      </c>
      <c r="D252" t="str">
        <f t="shared" si="3"/>
        <v>Female</v>
      </c>
      <c r="E252" t="s">
        <v>14</v>
      </c>
      <c r="F252" s="2">
        <v>39</v>
      </c>
      <c r="G252" s="2" t="str" cm="1">
        <f t="array" ref="G252">_xlfn.IFS(F252&lt;=8,"Child",F252&lt;=17,"Teen",F252&lt;=35,"Adult",F252&lt;=55,"Seniour Adult",F252&gt;=55,"Old Age")</f>
        <v>Seniour Adult</v>
      </c>
      <c r="H252" t="s">
        <v>25</v>
      </c>
      <c r="I252" t="s">
        <v>19</v>
      </c>
      <c r="J252" t="str" cm="1">
        <f t="array" ref="J252">_xlfn.IFS(I252="S","Sauthamptonm",I252="Q","Queentown",I252="C","Cherburg",I252="B","Cabin")</f>
        <v>Cherburg</v>
      </c>
      <c r="K252" t="s">
        <v>12</v>
      </c>
      <c r="L252" s="2">
        <v>247.10059999999999</v>
      </c>
      <c r="M252">
        <v>0</v>
      </c>
      <c r="N252">
        <v>0</v>
      </c>
      <c r="O252" t="s">
        <v>16</v>
      </c>
    </row>
    <row r="253" spans="1:15" x14ac:dyDescent="0.3">
      <c r="A253" s="1" t="s">
        <v>585</v>
      </c>
      <c r="B253" t="s">
        <v>72</v>
      </c>
      <c r="C253" t="s">
        <v>586</v>
      </c>
      <c r="D253" t="str">
        <f t="shared" si="3"/>
        <v>Male</v>
      </c>
      <c r="E253" t="s">
        <v>9</v>
      </c>
      <c r="F253" s="2">
        <v>37</v>
      </c>
      <c r="G253" s="2" t="str" cm="1">
        <f t="array" ref="G253">_xlfn.IFS(F253&lt;=8,"Child",F253&lt;=17,"Teen",F253&lt;=35,"Adult",F253&lt;=55,"Seniour Adult",F253&gt;=55,"Old Age")</f>
        <v>Seniour Adult</v>
      </c>
      <c r="H253" t="s">
        <v>10</v>
      </c>
      <c r="I253" t="s">
        <v>11</v>
      </c>
      <c r="J253" t="str" cm="1">
        <f t="array" ref="J253">_xlfn.IFS(I253="S","Sauthamptonm",I253="Q","Queentown",I253="C","Cherburg",I253="B","Cabin")</f>
        <v>Sauthamptonm</v>
      </c>
      <c r="K253" t="s">
        <v>15</v>
      </c>
      <c r="L253" s="2">
        <v>7.01</v>
      </c>
      <c r="M253">
        <v>0</v>
      </c>
      <c r="N253">
        <v>0</v>
      </c>
      <c r="O253" t="s">
        <v>13</v>
      </c>
    </row>
    <row r="254" spans="1:15" x14ac:dyDescent="0.3">
      <c r="A254" s="1" t="s">
        <v>587</v>
      </c>
      <c r="B254" t="s">
        <v>78</v>
      </c>
      <c r="C254" t="s">
        <v>588</v>
      </c>
      <c r="D254" t="str">
        <f t="shared" si="3"/>
        <v>Female</v>
      </c>
      <c r="E254" t="s">
        <v>14</v>
      </c>
      <c r="F254" s="2">
        <v>54</v>
      </c>
      <c r="G254" s="2" t="str" cm="1">
        <f t="array" ref="G254">_xlfn.IFS(F254&lt;=8,"Child",F254&lt;=17,"Teen",F254&lt;=35,"Adult",F254&lt;=55,"Seniour Adult",F254&gt;=55,"Old Age")</f>
        <v>Seniour Adult</v>
      </c>
      <c r="H254" t="s">
        <v>25</v>
      </c>
      <c r="I254" t="s">
        <v>19</v>
      </c>
      <c r="J254" t="str" cm="1">
        <f t="array" ref="J254">_xlfn.IFS(I254="S","Sauthamptonm",I254="Q","Queentown",I254="C","Cherburg",I254="B","Cabin")</f>
        <v>Cherburg</v>
      </c>
      <c r="K254" t="s">
        <v>12</v>
      </c>
      <c r="L254" s="2">
        <v>78.050399999999996</v>
      </c>
      <c r="M254">
        <v>1</v>
      </c>
      <c r="N254">
        <v>0</v>
      </c>
      <c r="O254" t="s">
        <v>16</v>
      </c>
    </row>
    <row r="255" spans="1:15" x14ac:dyDescent="0.3">
      <c r="A255" s="1" t="s">
        <v>589</v>
      </c>
      <c r="B255" t="s">
        <v>78</v>
      </c>
      <c r="C255" t="s">
        <v>590</v>
      </c>
      <c r="D255" t="str">
        <f t="shared" si="3"/>
        <v>Female</v>
      </c>
      <c r="E255" t="s">
        <v>14</v>
      </c>
      <c r="F255" s="2">
        <v>36</v>
      </c>
      <c r="G255" s="2" t="str" cm="1">
        <f t="array" ref="G255">_xlfn.IFS(F255&lt;=8,"Child",F255&lt;=17,"Teen",F255&lt;=35,"Adult",F255&lt;=55,"Seniour Adult",F255&gt;=55,"Old Age")</f>
        <v>Seniour Adult</v>
      </c>
      <c r="H255" t="s">
        <v>25</v>
      </c>
      <c r="I255" t="s">
        <v>19</v>
      </c>
      <c r="J255" t="str" cm="1">
        <f t="array" ref="J255">_xlfn.IFS(I255="S","Sauthamptonm",I255="Q","Queentown",I255="C","Cherburg",I255="B","Cabin")</f>
        <v>Cherburg</v>
      </c>
      <c r="K255" t="s">
        <v>12</v>
      </c>
      <c r="L255" s="2">
        <v>31.130700000000001</v>
      </c>
      <c r="M255">
        <v>0</v>
      </c>
      <c r="N255">
        <v>0</v>
      </c>
      <c r="O255" t="s">
        <v>13</v>
      </c>
    </row>
    <row r="256" spans="1:15" x14ac:dyDescent="0.3">
      <c r="A256" s="1" t="s">
        <v>591</v>
      </c>
      <c r="B256" t="s">
        <v>72</v>
      </c>
      <c r="C256" t="s">
        <v>592</v>
      </c>
      <c r="D256" t="str">
        <f t="shared" si="3"/>
        <v>Male</v>
      </c>
      <c r="E256" t="s">
        <v>9</v>
      </c>
      <c r="F256" s="2">
        <v>38</v>
      </c>
      <c r="G256" s="2" t="str" cm="1">
        <f t="array" ref="G256">_xlfn.IFS(F256&lt;=8,"Child",F256&lt;=17,"Teen",F256&lt;=35,"Adult",F256&lt;=55,"Seniour Adult",F256&gt;=55,"Old Age")</f>
        <v>Seniour Adult</v>
      </c>
      <c r="H256" t="s">
        <v>10</v>
      </c>
      <c r="I256" t="s">
        <v>11</v>
      </c>
      <c r="J256" t="str" cm="1">
        <f t="array" ref="J256">_xlfn.IFS(I256="S","Sauthamptonm",I256="Q","Queentown",I256="C","Cherburg",I256="B","Cabin")</f>
        <v>Sauthamptonm</v>
      </c>
      <c r="K256" t="s">
        <v>15</v>
      </c>
      <c r="L256" s="2">
        <v>15.02</v>
      </c>
      <c r="M256">
        <v>0</v>
      </c>
      <c r="N256">
        <v>0</v>
      </c>
      <c r="O256" t="s">
        <v>13</v>
      </c>
    </row>
    <row r="257" spans="1:15" x14ac:dyDescent="0.3">
      <c r="A257" s="1" t="s">
        <v>593</v>
      </c>
      <c r="B257" t="s">
        <v>72</v>
      </c>
      <c r="C257" t="s">
        <v>594</v>
      </c>
      <c r="D257" t="str">
        <f t="shared" si="3"/>
        <v>Male</v>
      </c>
      <c r="E257" t="s">
        <v>9</v>
      </c>
      <c r="F257" s="2">
        <v>18</v>
      </c>
      <c r="G257" s="2" t="str" cm="1">
        <f t="array" ref="G257">_xlfn.IFS(F257&lt;=8,"Child",F257&lt;=17,"Teen",F257&lt;=35,"Adult",F257&lt;=55,"Seniour Adult",F257&gt;=55,"Old Age")</f>
        <v>Adult</v>
      </c>
      <c r="H257" t="s">
        <v>18</v>
      </c>
      <c r="I257" t="s">
        <v>11</v>
      </c>
      <c r="J257" t="str" cm="1">
        <f t="array" ref="J257">_xlfn.IFS(I257="S","Sauthamptonm",I257="Q","Queentown",I257="C","Cherburg",I257="B","Cabin")</f>
        <v>Sauthamptonm</v>
      </c>
      <c r="K257" t="s">
        <v>17</v>
      </c>
      <c r="L257" s="2">
        <v>13</v>
      </c>
      <c r="M257">
        <v>0</v>
      </c>
      <c r="N257">
        <v>0</v>
      </c>
      <c r="O257" t="s">
        <v>13</v>
      </c>
    </row>
    <row r="258" spans="1:15" x14ac:dyDescent="0.3">
      <c r="A258" s="1" t="s">
        <v>595</v>
      </c>
      <c r="B258" t="s">
        <v>72</v>
      </c>
      <c r="C258" t="s">
        <v>596</v>
      </c>
      <c r="D258" t="str">
        <f t="shared" ref="D258:D321" si="4">PROPER(E258)</f>
        <v>Male</v>
      </c>
      <c r="E258" t="s">
        <v>9</v>
      </c>
      <c r="F258" s="2">
        <v>46</v>
      </c>
      <c r="G258" s="2" t="str" cm="1">
        <f t="array" ref="G258">_xlfn.IFS(F258&lt;=8,"Child",F258&lt;=17,"Teen",F258&lt;=35,"Adult",F258&lt;=55,"Seniour Adult",F258&gt;=55,"Old Age")</f>
        <v>Seniour Adult</v>
      </c>
      <c r="H258" t="s">
        <v>10</v>
      </c>
      <c r="I258" t="s">
        <v>11</v>
      </c>
      <c r="J258" t="str" cm="1">
        <f t="array" ref="J258">_xlfn.IFS(I258="S","Sauthamptonm",I258="Q","Queentown",I258="C","Cherburg",I258="B","Cabin")</f>
        <v>Sauthamptonm</v>
      </c>
      <c r="K258" t="s">
        <v>15</v>
      </c>
      <c r="L258" s="2">
        <v>7.05</v>
      </c>
      <c r="M258">
        <v>0</v>
      </c>
      <c r="N258">
        <v>0</v>
      </c>
      <c r="O258" t="s">
        <v>13</v>
      </c>
    </row>
    <row r="259" spans="1:15" x14ac:dyDescent="0.3">
      <c r="A259" s="1" t="s">
        <v>597</v>
      </c>
      <c r="B259" t="s">
        <v>72</v>
      </c>
      <c r="C259" t="s">
        <v>598</v>
      </c>
      <c r="D259" t="str">
        <f t="shared" si="4"/>
        <v>Male</v>
      </c>
      <c r="E259" t="s">
        <v>9</v>
      </c>
      <c r="F259" s="2">
        <v>26</v>
      </c>
      <c r="G259" s="2" t="str" cm="1">
        <f t="array" ref="G259">_xlfn.IFS(F259&lt;=8,"Child",F259&lt;=17,"Teen",F259&lt;=35,"Adult",F259&lt;=55,"Seniour Adult",F259&gt;=55,"Old Age")</f>
        <v>Adult</v>
      </c>
      <c r="H259" t="s">
        <v>10</v>
      </c>
      <c r="I259" t="s">
        <v>36</v>
      </c>
      <c r="J259" t="str" cm="1">
        <f t="array" ref="J259">_xlfn.IFS(I259="S","Sauthamptonm",I259="Q","Queentown",I259="C","Cherburg",I259="B","Cabin")</f>
        <v>Queentown</v>
      </c>
      <c r="K259" t="s">
        <v>37</v>
      </c>
      <c r="L259" s="2">
        <v>7.15</v>
      </c>
      <c r="M259">
        <v>0</v>
      </c>
      <c r="N259">
        <v>0</v>
      </c>
      <c r="O259" t="s">
        <v>13</v>
      </c>
    </row>
    <row r="260" spans="1:15" x14ac:dyDescent="0.3">
      <c r="A260" s="1" t="s">
        <v>599</v>
      </c>
      <c r="B260" t="s">
        <v>72</v>
      </c>
      <c r="C260" t="s">
        <v>90</v>
      </c>
      <c r="D260" t="str">
        <f t="shared" si="4"/>
        <v>Male</v>
      </c>
      <c r="E260" t="s">
        <v>9</v>
      </c>
      <c r="F260" s="2">
        <v>49</v>
      </c>
      <c r="G260" s="2" t="str" cm="1">
        <f t="array" ref="G260">_xlfn.IFS(F260&lt;=8,"Child",F260&lt;=17,"Teen",F260&lt;=35,"Adult",F260&lt;=55,"Seniour Adult",F260&gt;=55,"Old Age")</f>
        <v>Seniour Adult</v>
      </c>
      <c r="H260" t="s">
        <v>25</v>
      </c>
      <c r="I260" t="s">
        <v>11</v>
      </c>
      <c r="J260" t="str" cm="1">
        <f t="array" ref="J260">_xlfn.IFS(I260="S","Sauthamptonm",I260="Q","Queentown",I260="C","Cherburg",I260="B","Cabin")</f>
        <v>Sauthamptonm</v>
      </c>
      <c r="K260" t="s">
        <v>15</v>
      </c>
      <c r="L260" s="2">
        <v>221.1507</v>
      </c>
      <c r="M260">
        <v>0</v>
      </c>
      <c r="N260">
        <v>0</v>
      </c>
      <c r="O260" t="s">
        <v>13</v>
      </c>
    </row>
    <row r="261" spans="1:15" x14ac:dyDescent="0.3">
      <c r="A261" s="1" t="s">
        <v>600</v>
      </c>
      <c r="B261" t="s">
        <v>72</v>
      </c>
      <c r="C261" t="s">
        <v>601</v>
      </c>
      <c r="D261" t="str">
        <f t="shared" si="4"/>
        <v>Male</v>
      </c>
      <c r="E261" t="s">
        <v>9</v>
      </c>
      <c r="F261" s="2">
        <v>32</v>
      </c>
      <c r="G261" s="2" t="str" cm="1">
        <f t="array" ref="G261">_xlfn.IFS(F261&lt;=8,"Child",F261&lt;=17,"Teen",F261&lt;=35,"Adult",F261&lt;=55,"Seniour Adult",F261&gt;=55,"Old Age")</f>
        <v>Adult</v>
      </c>
      <c r="H261" t="s">
        <v>18</v>
      </c>
      <c r="I261" t="s">
        <v>11</v>
      </c>
      <c r="J261" t="str" cm="1">
        <f t="array" ref="J261">_xlfn.IFS(I261="S","Sauthamptonm",I261="Q","Queentown",I261="C","Cherburg",I261="B","Cabin")</f>
        <v>Sauthamptonm</v>
      </c>
      <c r="K261" t="s">
        <v>15</v>
      </c>
      <c r="L261" s="2">
        <v>26</v>
      </c>
      <c r="M261">
        <v>1</v>
      </c>
      <c r="N261">
        <v>0</v>
      </c>
      <c r="O261" t="s">
        <v>13</v>
      </c>
    </row>
    <row r="262" spans="1:15" x14ac:dyDescent="0.3">
      <c r="A262" s="1" t="s">
        <v>602</v>
      </c>
      <c r="B262" t="s">
        <v>72</v>
      </c>
      <c r="C262" t="s">
        <v>603</v>
      </c>
      <c r="D262" t="str">
        <f t="shared" si="4"/>
        <v>Male</v>
      </c>
      <c r="E262" t="s">
        <v>9</v>
      </c>
      <c r="F262" s="2">
        <v>18</v>
      </c>
      <c r="G262" s="2" t="str" cm="1">
        <f t="array" ref="G262">_xlfn.IFS(F262&lt;=8,"Child",F262&lt;=17,"Teen",F262&lt;=35,"Adult",F262&lt;=55,"Seniour Adult",F262&gt;=55,"Old Age")</f>
        <v>Adult</v>
      </c>
      <c r="H262" t="s">
        <v>18</v>
      </c>
      <c r="I262" t="s">
        <v>11</v>
      </c>
      <c r="J262" t="str" cm="1">
        <f t="array" ref="J262">_xlfn.IFS(I262="S","Sauthamptonm",I262="Q","Queentown",I262="C","Cherburg",I262="B","Cabin")</f>
        <v>Sauthamptonm</v>
      </c>
      <c r="K262" t="s">
        <v>15</v>
      </c>
      <c r="L262" s="2">
        <v>10.1</v>
      </c>
      <c r="M262">
        <v>0</v>
      </c>
      <c r="N262">
        <v>0</v>
      </c>
      <c r="O262" t="s">
        <v>13</v>
      </c>
    </row>
    <row r="263" spans="1:15" x14ac:dyDescent="0.3">
      <c r="A263" s="1" t="s">
        <v>604</v>
      </c>
      <c r="B263" t="s">
        <v>72</v>
      </c>
      <c r="C263" t="s">
        <v>605</v>
      </c>
      <c r="D263" t="str">
        <f t="shared" si="4"/>
        <v>Male</v>
      </c>
      <c r="E263" t="s">
        <v>9</v>
      </c>
      <c r="F263" s="2">
        <v>34</v>
      </c>
      <c r="G263" s="2" t="str" cm="1">
        <f t="array" ref="G263">_xlfn.IFS(F263&lt;=8,"Child",F263&lt;=17,"Teen",F263&lt;=35,"Adult",F263&lt;=55,"Seniour Adult",F263&gt;=55,"Old Age")</f>
        <v>Adult</v>
      </c>
      <c r="H263" t="s">
        <v>10</v>
      </c>
      <c r="I263" t="s">
        <v>11</v>
      </c>
      <c r="J263" t="str" cm="1">
        <f t="array" ref="J263">_xlfn.IFS(I263="S","Sauthamptonm",I263="Q","Queentown",I263="C","Cherburg",I263="B","Cabin")</f>
        <v>Sauthamptonm</v>
      </c>
      <c r="K263" t="s">
        <v>15</v>
      </c>
      <c r="L263" s="2">
        <v>7.01</v>
      </c>
      <c r="M263">
        <v>0</v>
      </c>
      <c r="N263">
        <v>0</v>
      </c>
      <c r="O263" t="s">
        <v>16</v>
      </c>
    </row>
    <row r="264" spans="1:15" x14ac:dyDescent="0.3">
      <c r="A264" s="1" t="s">
        <v>606</v>
      </c>
      <c r="B264" t="s">
        <v>72</v>
      </c>
      <c r="C264" t="s">
        <v>607</v>
      </c>
      <c r="D264" t="str">
        <f t="shared" si="4"/>
        <v>Male</v>
      </c>
      <c r="E264" t="s">
        <v>9</v>
      </c>
      <c r="F264" s="2">
        <v>18</v>
      </c>
      <c r="G264" s="2" t="str" cm="1">
        <f t="array" ref="G264">_xlfn.IFS(F264&lt;=8,"Child",F264&lt;=17,"Teen",F264&lt;=35,"Adult",F264&lt;=55,"Seniour Adult",F264&gt;=55,"Old Age")</f>
        <v>Adult</v>
      </c>
      <c r="H264" t="s">
        <v>10</v>
      </c>
      <c r="I264" t="s">
        <v>11</v>
      </c>
      <c r="J264" t="str" cm="1">
        <f t="array" ref="J264">_xlfn.IFS(I264="S","Sauthamptonm",I264="Q","Queentown",I264="C","Cherburg",I264="B","Cabin")</f>
        <v>Sauthamptonm</v>
      </c>
      <c r="K264" t="s">
        <v>23</v>
      </c>
      <c r="L264" s="2">
        <v>7.1510999999999996</v>
      </c>
      <c r="M264">
        <v>0</v>
      </c>
      <c r="N264">
        <v>0</v>
      </c>
      <c r="O264" t="s">
        <v>13</v>
      </c>
    </row>
    <row r="265" spans="1:15" x14ac:dyDescent="0.3">
      <c r="A265" s="1" t="s">
        <v>608</v>
      </c>
      <c r="B265" t="s">
        <v>76</v>
      </c>
      <c r="C265" t="s">
        <v>609</v>
      </c>
      <c r="D265" t="str">
        <f t="shared" si="4"/>
        <v>Female</v>
      </c>
      <c r="E265" t="s">
        <v>14</v>
      </c>
      <c r="F265" s="2">
        <v>48</v>
      </c>
      <c r="G265" s="2" t="str" cm="1">
        <f t="array" ref="G265">_xlfn.IFS(F265&lt;=8,"Child",F265&lt;=17,"Teen",F265&lt;=35,"Adult",F265&lt;=55,"Seniour Adult",F265&gt;=55,"Old Age")</f>
        <v>Seniour Adult</v>
      </c>
      <c r="H265" t="s">
        <v>25</v>
      </c>
      <c r="I265" t="s">
        <v>19</v>
      </c>
      <c r="J265" t="str" cm="1">
        <f t="array" ref="J265">_xlfn.IFS(I265="S","Sauthamptonm",I265="Q","Queentown",I265="C","Cherburg",I265="B","Cabin")</f>
        <v>Cherburg</v>
      </c>
      <c r="K265" t="s">
        <v>12</v>
      </c>
      <c r="L265" s="2">
        <v>31.130800000000001</v>
      </c>
      <c r="M265">
        <v>0</v>
      </c>
      <c r="N265">
        <v>0</v>
      </c>
      <c r="O265" t="s">
        <v>16</v>
      </c>
    </row>
    <row r="266" spans="1:15" x14ac:dyDescent="0.3">
      <c r="A266" s="1" t="s">
        <v>610</v>
      </c>
      <c r="B266" t="s">
        <v>78</v>
      </c>
      <c r="C266" t="s">
        <v>611</v>
      </c>
      <c r="D266" t="str">
        <f t="shared" si="4"/>
        <v>Female</v>
      </c>
      <c r="E266" t="s">
        <v>14</v>
      </c>
      <c r="F266" s="2">
        <v>22</v>
      </c>
      <c r="G266" s="2" t="str" cm="1">
        <f t="array" ref="G266">_xlfn.IFS(F266&lt;=8,"Child",F266&lt;=17,"Teen",F266&lt;=35,"Adult",F266&lt;=55,"Seniour Adult",F266&gt;=55,"Old Age")</f>
        <v>Adult</v>
      </c>
      <c r="H266" t="s">
        <v>10</v>
      </c>
      <c r="I266" t="s">
        <v>36</v>
      </c>
      <c r="J266" t="str" cm="1">
        <f t="array" ref="J266">_xlfn.IFS(I266="S","Sauthamptonm",I266="Q","Queentown",I266="C","Cherburg",I266="B","Cabin")</f>
        <v>Queentown</v>
      </c>
      <c r="K266" t="s">
        <v>37</v>
      </c>
      <c r="L266" s="2">
        <v>7.15</v>
      </c>
      <c r="M266">
        <v>0</v>
      </c>
      <c r="N266">
        <v>0</v>
      </c>
      <c r="O266" t="s">
        <v>13</v>
      </c>
    </row>
    <row r="267" spans="1:15" x14ac:dyDescent="0.3">
      <c r="A267" s="1" t="s">
        <v>612</v>
      </c>
      <c r="B267" t="s">
        <v>72</v>
      </c>
      <c r="C267" t="s">
        <v>598</v>
      </c>
      <c r="D267" t="str">
        <f t="shared" si="4"/>
        <v>Male</v>
      </c>
      <c r="E267" t="s">
        <v>9</v>
      </c>
      <c r="F267" s="2">
        <v>28</v>
      </c>
      <c r="G267" s="2" t="str" cm="1">
        <f t="array" ref="G267">_xlfn.IFS(F267&lt;=8,"Child",F267&lt;=17,"Teen",F267&lt;=35,"Adult",F267&lt;=55,"Seniour Adult",F267&gt;=55,"Old Age")</f>
        <v>Adult</v>
      </c>
      <c r="H267" t="s">
        <v>10</v>
      </c>
      <c r="I267" t="s">
        <v>36</v>
      </c>
      <c r="J267" t="str" cm="1">
        <f t="array" ref="J267">_xlfn.IFS(I267="S","Sauthamptonm",I267="Q","Queentown",I267="C","Cherburg",I267="B","Cabin")</f>
        <v>Queentown</v>
      </c>
      <c r="K267" t="s">
        <v>37</v>
      </c>
      <c r="L267" s="2">
        <v>7.15</v>
      </c>
      <c r="M267">
        <v>0</v>
      </c>
      <c r="N267">
        <v>0</v>
      </c>
      <c r="O267" t="s">
        <v>13</v>
      </c>
    </row>
    <row r="268" spans="1:15" x14ac:dyDescent="0.3">
      <c r="A268" s="1" t="s">
        <v>613</v>
      </c>
      <c r="B268" t="s">
        <v>72</v>
      </c>
      <c r="C268" t="s">
        <v>347</v>
      </c>
      <c r="D268" t="str">
        <f t="shared" si="4"/>
        <v>Male</v>
      </c>
      <c r="E268" t="s">
        <v>9</v>
      </c>
      <c r="F268" s="2">
        <v>19</v>
      </c>
      <c r="G268" s="2" t="str" cm="1">
        <f t="array" ref="G268">_xlfn.IFS(F268&lt;=8,"Child",F268&lt;=17,"Teen",F268&lt;=35,"Adult",F268&lt;=55,"Seniour Adult",F268&gt;=55,"Old Age")</f>
        <v>Adult</v>
      </c>
      <c r="H268" t="s">
        <v>10</v>
      </c>
      <c r="I268" t="s">
        <v>36</v>
      </c>
      <c r="J268" t="str" cm="1">
        <f t="array" ref="J268">_xlfn.IFS(I268="S","Sauthamptonm",I268="Q","Queentown",I268="C","Cherburg",I268="B","Cabin")</f>
        <v>Queentown</v>
      </c>
      <c r="K268" t="s">
        <v>37</v>
      </c>
      <c r="L268" s="2">
        <v>7.1707000000000001</v>
      </c>
      <c r="M268">
        <v>0</v>
      </c>
      <c r="N268">
        <v>0</v>
      </c>
      <c r="O268" t="s">
        <v>13</v>
      </c>
    </row>
    <row r="269" spans="1:15" x14ac:dyDescent="0.3">
      <c r="A269" s="1" t="s">
        <v>614</v>
      </c>
      <c r="B269" t="s">
        <v>72</v>
      </c>
      <c r="C269" t="s">
        <v>615</v>
      </c>
      <c r="D269" t="str">
        <f t="shared" si="4"/>
        <v>Male</v>
      </c>
      <c r="E269" t="s">
        <v>9</v>
      </c>
      <c r="F269" s="2">
        <v>32</v>
      </c>
      <c r="G269" s="2" t="str" cm="1">
        <f t="array" ref="G269">_xlfn.IFS(F269&lt;=8,"Child",F269&lt;=17,"Teen",F269&lt;=35,"Adult",F269&lt;=55,"Seniour Adult",F269&gt;=55,"Old Age")</f>
        <v>Adult</v>
      </c>
      <c r="H269" t="s">
        <v>10</v>
      </c>
      <c r="I269" t="s">
        <v>11</v>
      </c>
      <c r="J269" t="str" cm="1">
        <f t="array" ref="J269">_xlfn.IFS(I269="S","Sauthamptonm",I269="Q","Queentown",I269="C","Cherburg",I269="B","Cabin")</f>
        <v>Sauthamptonm</v>
      </c>
      <c r="K269" t="s">
        <v>15</v>
      </c>
      <c r="L269" s="2">
        <v>56.091099999999997</v>
      </c>
      <c r="M269">
        <v>0</v>
      </c>
      <c r="N269">
        <v>0</v>
      </c>
      <c r="O269" t="s">
        <v>16</v>
      </c>
    </row>
    <row r="270" spans="1:15" x14ac:dyDescent="0.3">
      <c r="A270" s="1" t="s">
        <v>616</v>
      </c>
      <c r="B270" t="s">
        <v>78</v>
      </c>
      <c r="C270" t="s">
        <v>617</v>
      </c>
      <c r="D270" t="str">
        <f t="shared" si="4"/>
        <v>Female</v>
      </c>
      <c r="E270" t="s">
        <v>14</v>
      </c>
      <c r="F270" s="2">
        <v>20</v>
      </c>
      <c r="G270" s="2" t="str" cm="1">
        <f t="array" ref="G270">_xlfn.IFS(F270&lt;=8,"Child",F270&lt;=17,"Teen",F270&lt;=35,"Adult",F270&lt;=55,"Seniour Adult",F270&gt;=55,"Old Age")</f>
        <v>Adult</v>
      </c>
      <c r="H270" t="s">
        <v>10</v>
      </c>
      <c r="I270" t="s">
        <v>11</v>
      </c>
      <c r="J270" t="str" cm="1">
        <f t="array" ref="J270">_xlfn.IFS(I270="S","Sauthamptonm",I270="Q","Queentown",I270="C","Cherburg",I270="B","Cabin")</f>
        <v>Sauthamptonm</v>
      </c>
      <c r="K270" t="s">
        <v>15</v>
      </c>
      <c r="L270" s="2">
        <v>34.070599999999999</v>
      </c>
      <c r="M270">
        <v>2</v>
      </c>
      <c r="N270">
        <v>2</v>
      </c>
      <c r="O270" t="s">
        <v>13</v>
      </c>
    </row>
    <row r="271" spans="1:15" x14ac:dyDescent="0.3">
      <c r="A271" s="1" t="s">
        <v>619</v>
      </c>
      <c r="B271" t="s">
        <v>72</v>
      </c>
      <c r="C271" t="s">
        <v>620</v>
      </c>
      <c r="D271" t="str">
        <f t="shared" si="4"/>
        <v>Male</v>
      </c>
      <c r="E271" t="s">
        <v>9</v>
      </c>
      <c r="F271" s="2">
        <v>30</v>
      </c>
      <c r="G271" s="2" t="str" cm="1">
        <f t="array" ref="G271">_xlfn.IFS(F271&lt;=8,"Child",F271&lt;=17,"Teen",F271&lt;=35,"Adult",F271&lt;=55,"Seniour Adult",F271&gt;=55,"Old Age")</f>
        <v>Adult</v>
      </c>
      <c r="H271" t="s">
        <v>25</v>
      </c>
      <c r="I271" t="s">
        <v>11</v>
      </c>
      <c r="J271" t="str" cm="1">
        <f t="array" ref="J271">_xlfn.IFS(I271="S","Sauthamptonm",I271="Q","Queentown",I271="C","Cherburg",I271="B","Cabin")</f>
        <v>Sauthamptonm</v>
      </c>
      <c r="K271" t="s">
        <v>12</v>
      </c>
      <c r="L271" s="2">
        <v>27.15</v>
      </c>
      <c r="M271">
        <v>0</v>
      </c>
      <c r="N271">
        <v>0</v>
      </c>
      <c r="O271" t="s">
        <v>13</v>
      </c>
    </row>
    <row r="272" spans="1:15" x14ac:dyDescent="0.3">
      <c r="A272" s="1" t="s">
        <v>621</v>
      </c>
      <c r="B272" t="s">
        <v>78</v>
      </c>
      <c r="C272" t="s">
        <v>622</v>
      </c>
      <c r="D272" t="str">
        <f t="shared" si="4"/>
        <v>Female</v>
      </c>
      <c r="E272" t="s">
        <v>14</v>
      </c>
      <c r="F272" s="2">
        <v>24</v>
      </c>
      <c r="G272" s="2" t="str" cm="1">
        <f t="array" ref="G272">_xlfn.IFS(F272&lt;=8,"Child",F272&lt;=17,"Teen",F272&lt;=35,"Adult",F272&lt;=55,"Seniour Adult",F272&gt;=55,"Old Age")</f>
        <v>Adult</v>
      </c>
      <c r="H272" t="s">
        <v>25</v>
      </c>
      <c r="I272" t="s">
        <v>11</v>
      </c>
      <c r="J272" t="str" cm="1">
        <f t="array" ref="J272">_xlfn.IFS(I272="S","Sauthamptonm",I272="Q","Queentown",I272="C","Cherburg",I272="B","Cabin")</f>
        <v>Sauthamptonm</v>
      </c>
      <c r="K272" t="s">
        <v>26</v>
      </c>
      <c r="L272" s="2">
        <v>263</v>
      </c>
      <c r="M272">
        <v>3</v>
      </c>
      <c r="N272">
        <v>2</v>
      </c>
      <c r="O272" t="s">
        <v>16</v>
      </c>
    </row>
    <row r="273" spans="1:15" x14ac:dyDescent="0.3">
      <c r="A273" s="1" t="s">
        <v>623</v>
      </c>
      <c r="B273" t="s">
        <v>72</v>
      </c>
      <c r="C273" t="s">
        <v>341</v>
      </c>
      <c r="D273" t="str">
        <f t="shared" si="4"/>
        <v>Male</v>
      </c>
      <c r="E273" t="s">
        <v>9</v>
      </c>
      <c r="F273" s="2">
        <v>28</v>
      </c>
      <c r="G273" s="2" t="str" cm="1">
        <f t="array" ref="G273">_xlfn.IFS(F273&lt;=8,"Child",F273&lt;=17,"Teen",F273&lt;=35,"Adult",F273&lt;=55,"Seniour Adult",F273&gt;=55,"Old Age")</f>
        <v>Adult</v>
      </c>
      <c r="H273" t="s">
        <v>10</v>
      </c>
      <c r="I273" t="s">
        <v>36</v>
      </c>
      <c r="J273" t="str" cm="1">
        <f t="array" ref="J273">_xlfn.IFS(I273="S","Sauthamptonm",I273="Q","Queentown",I273="C","Cherburg",I273="B","Cabin")</f>
        <v>Queentown</v>
      </c>
      <c r="K273" t="s">
        <v>37</v>
      </c>
      <c r="L273" s="2">
        <v>7.15</v>
      </c>
      <c r="M273">
        <v>0</v>
      </c>
      <c r="N273">
        <v>0</v>
      </c>
      <c r="O273" t="s">
        <v>13</v>
      </c>
    </row>
    <row r="274" spans="1:15" x14ac:dyDescent="0.3">
      <c r="A274" s="1" t="s">
        <v>624</v>
      </c>
      <c r="B274" t="s">
        <v>78</v>
      </c>
      <c r="C274" t="s">
        <v>625</v>
      </c>
      <c r="D274" t="str">
        <f t="shared" si="4"/>
        <v>Female</v>
      </c>
      <c r="E274" t="s">
        <v>14</v>
      </c>
      <c r="F274" s="2">
        <v>32</v>
      </c>
      <c r="G274" s="2" t="str" cm="1">
        <f t="array" ref="G274">_xlfn.IFS(F274&lt;=8,"Child",F274&lt;=17,"Teen",F274&lt;=35,"Adult",F274&lt;=55,"Seniour Adult",F274&gt;=55,"Old Age")</f>
        <v>Adult</v>
      </c>
      <c r="H274" t="s">
        <v>25</v>
      </c>
      <c r="I274" t="s">
        <v>19</v>
      </c>
      <c r="J274" t="str" cm="1">
        <f t="array" ref="J274">_xlfn.IFS(I274="S","Sauthamptonm",I274="Q","Queentown",I274="C","Cherburg",I274="B","Cabin")</f>
        <v>Cherburg</v>
      </c>
      <c r="K274" t="s">
        <v>15</v>
      </c>
      <c r="L274" s="2">
        <v>56.180700000000002</v>
      </c>
      <c r="M274">
        <v>0</v>
      </c>
      <c r="N274">
        <v>0</v>
      </c>
      <c r="O274" t="s">
        <v>16</v>
      </c>
    </row>
    <row r="275" spans="1:15" x14ac:dyDescent="0.3">
      <c r="A275" s="1" t="s">
        <v>626</v>
      </c>
      <c r="B275" t="s">
        <v>72</v>
      </c>
      <c r="C275" t="s">
        <v>627</v>
      </c>
      <c r="D275" t="str">
        <f t="shared" si="4"/>
        <v>Male</v>
      </c>
      <c r="E275" t="s">
        <v>9</v>
      </c>
      <c r="F275" s="2">
        <v>37</v>
      </c>
      <c r="G275" s="2" t="str" cm="1">
        <f t="array" ref="G275">_xlfn.IFS(F275&lt;=8,"Child",F275&lt;=17,"Teen",F275&lt;=35,"Adult",F275&lt;=55,"Seniour Adult",F275&gt;=55,"Old Age")</f>
        <v>Seniour Adult</v>
      </c>
      <c r="H275" t="s">
        <v>25</v>
      </c>
      <c r="I275" t="s">
        <v>11</v>
      </c>
      <c r="J275" t="str" cm="1">
        <f t="array" ref="J275">_xlfn.IFS(I275="S","Sauthamptonm",I275="Q","Queentown",I275="C","Cherburg",I275="B","Cabin")</f>
        <v>Sauthamptonm</v>
      </c>
      <c r="K275" t="s">
        <v>15</v>
      </c>
      <c r="L275" s="2">
        <v>26.11</v>
      </c>
      <c r="M275">
        <v>0</v>
      </c>
      <c r="N275">
        <v>0</v>
      </c>
      <c r="O275" t="s">
        <v>13</v>
      </c>
    </row>
    <row r="276" spans="1:15" x14ac:dyDescent="0.3">
      <c r="A276" s="1" t="s">
        <v>628</v>
      </c>
      <c r="B276" t="s">
        <v>287</v>
      </c>
      <c r="C276" t="s">
        <v>629</v>
      </c>
      <c r="D276" t="str">
        <f t="shared" si="4"/>
        <v>Male</v>
      </c>
      <c r="E276" t="s">
        <v>9</v>
      </c>
      <c r="F276" s="2">
        <v>49</v>
      </c>
      <c r="G276" s="2" t="str" cm="1">
        <f t="array" ref="G276">_xlfn.IFS(F276&lt;=8,"Child",F276&lt;=17,"Teen",F276&lt;=35,"Adult",F276&lt;=55,"Seniour Adult",F276&gt;=55,"Old Age")</f>
        <v>Seniour Adult</v>
      </c>
      <c r="H276" t="s">
        <v>25</v>
      </c>
      <c r="I276" t="s">
        <v>11</v>
      </c>
      <c r="J276" t="str" cm="1">
        <f t="array" ref="J276">_xlfn.IFS(I276="S","Sauthamptonm",I276="Q","Queentown",I276="C","Cherburg",I276="B","Cabin")</f>
        <v>Sauthamptonm</v>
      </c>
      <c r="K276" t="s">
        <v>12</v>
      </c>
      <c r="L276" s="2">
        <v>133.13</v>
      </c>
      <c r="M276">
        <v>2</v>
      </c>
      <c r="N276">
        <v>0</v>
      </c>
      <c r="O276" t="s">
        <v>16</v>
      </c>
    </row>
    <row r="277" spans="1:15" x14ac:dyDescent="0.3">
      <c r="A277" s="1" t="s">
        <v>630</v>
      </c>
      <c r="B277" t="s">
        <v>78</v>
      </c>
      <c r="C277" t="s">
        <v>631</v>
      </c>
      <c r="D277" t="str">
        <f t="shared" si="4"/>
        <v>Female</v>
      </c>
      <c r="E277" t="s">
        <v>14</v>
      </c>
      <c r="F277" s="2">
        <v>22</v>
      </c>
      <c r="G277" s="2" t="str" cm="1">
        <f t="array" ref="G277">_xlfn.IFS(F277&lt;=8,"Child",F277&lt;=17,"Teen",F277&lt;=35,"Adult",F277&lt;=55,"Seniour Adult",F277&gt;=55,"Old Age")</f>
        <v>Adult</v>
      </c>
      <c r="H277" t="s">
        <v>25</v>
      </c>
      <c r="I277" t="s">
        <v>19</v>
      </c>
      <c r="J277" t="str" cm="1">
        <f t="array" ref="J277">_xlfn.IFS(I277="S","Sauthamptonm",I277="Q","Queentown",I277="C","Cherburg",I277="B","Cabin")</f>
        <v>Cherburg</v>
      </c>
      <c r="K277" t="s">
        <v>32</v>
      </c>
      <c r="L277" s="2">
        <v>49.1</v>
      </c>
      <c r="M277">
        <v>0</v>
      </c>
      <c r="N277">
        <v>2</v>
      </c>
      <c r="O277" t="s">
        <v>16</v>
      </c>
    </row>
    <row r="278" spans="1:15" x14ac:dyDescent="0.3">
      <c r="A278" s="1" t="s">
        <v>632</v>
      </c>
      <c r="B278" t="s">
        <v>72</v>
      </c>
      <c r="C278" t="s">
        <v>633</v>
      </c>
      <c r="D278" t="str">
        <f t="shared" si="4"/>
        <v>Male</v>
      </c>
      <c r="E278" t="s">
        <v>9</v>
      </c>
      <c r="F278" s="2">
        <v>60</v>
      </c>
      <c r="G278" s="2" t="str" cm="1">
        <f t="array" ref="G278">_xlfn.IFS(F278&lt;=8,"Child",F278&lt;=17,"Teen",F278&lt;=35,"Adult",F278&lt;=55,"Seniour Adult",F278&gt;=55,"Old Age")</f>
        <v>Old Age</v>
      </c>
      <c r="H278" t="s">
        <v>25</v>
      </c>
      <c r="I278" t="s">
        <v>19</v>
      </c>
      <c r="J278" t="str" cm="1">
        <f t="array" ref="J278">_xlfn.IFS(I278="S","Sauthamptonm",I278="Q","Queentown",I278="C","Cherburg",I278="B","Cabin")</f>
        <v>Cherburg</v>
      </c>
      <c r="K278" t="s">
        <v>32</v>
      </c>
      <c r="L278" s="2">
        <v>79.040000000000006</v>
      </c>
      <c r="M278">
        <v>1</v>
      </c>
      <c r="N278">
        <v>1</v>
      </c>
      <c r="O278" t="s">
        <v>16</v>
      </c>
    </row>
    <row r="279" spans="1:15" x14ac:dyDescent="0.3">
      <c r="A279" s="1" t="s">
        <v>634</v>
      </c>
      <c r="B279" t="s">
        <v>72</v>
      </c>
      <c r="C279" t="s">
        <v>635</v>
      </c>
      <c r="D279" t="str">
        <f t="shared" si="4"/>
        <v>Male</v>
      </c>
      <c r="E279" t="s">
        <v>9</v>
      </c>
      <c r="F279" s="2">
        <v>39</v>
      </c>
      <c r="G279" s="2" t="str" cm="1">
        <f t="array" ref="G279">_xlfn.IFS(F279&lt;=8,"Child",F279&lt;=17,"Teen",F279&lt;=35,"Adult",F279&lt;=55,"Seniour Adult",F279&gt;=55,"Old Age")</f>
        <v>Seniour Adult</v>
      </c>
      <c r="H279" t="s">
        <v>18</v>
      </c>
      <c r="I279" t="s">
        <v>28</v>
      </c>
      <c r="J279" t="str" cm="1">
        <f t="array" ref="J279">_xlfn.IFS(I279="S","Sauthamptonm",I279="Q","Queentown",I279="C","Cherburg",I279="B","Cabin")</f>
        <v>Cabin</v>
      </c>
      <c r="K279" t="s">
        <v>15</v>
      </c>
      <c r="L279" s="2">
        <v>29</v>
      </c>
      <c r="M279">
        <v>0</v>
      </c>
      <c r="N279">
        <v>0</v>
      </c>
      <c r="O279" t="s">
        <v>13</v>
      </c>
    </row>
    <row r="280" spans="1:15" x14ac:dyDescent="0.3">
      <c r="A280" s="1" t="s">
        <v>636</v>
      </c>
      <c r="B280" t="s">
        <v>72</v>
      </c>
      <c r="C280" t="s">
        <v>637</v>
      </c>
      <c r="D280" t="str">
        <f t="shared" si="4"/>
        <v>Male</v>
      </c>
      <c r="E280" t="s">
        <v>9</v>
      </c>
      <c r="F280" s="2">
        <v>39</v>
      </c>
      <c r="G280" s="2" t="str" cm="1">
        <f t="array" ref="G280">_xlfn.IFS(F280&lt;=8,"Child",F280&lt;=17,"Teen",F280&lt;=35,"Adult",F280&lt;=55,"Seniour Adult",F280&gt;=55,"Old Age")</f>
        <v>Seniour Adult</v>
      </c>
      <c r="H280" t="s">
        <v>25</v>
      </c>
      <c r="I280" t="s">
        <v>11</v>
      </c>
      <c r="J280" t="str" cm="1">
        <f t="array" ref="J280">_xlfn.IFS(I280="S","Sauthamptonm",I280="Q","Queentown",I280="C","Cherburg",I280="B","Cabin")</f>
        <v>Sauthamptonm</v>
      </c>
      <c r="K280" t="s">
        <v>15</v>
      </c>
      <c r="L280" s="2">
        <v>29</v>
      </c>
      <c r="M280">
        <v>0</v>
      </c>
      <c r="N280">
        <v>0</v>
      </c>
      <c r="O280" t="s">
        <v>13</v>
      </c>
    </row>
    <row r="281" spans="1:15" x14ac:dyDescent="0.3">
      <c r="A281" s="1" t="s">
        <v>638</v>
      </c>
      <c r="B281" t="s">
        <v>78</v>
      </c>
      <c r="C281" t="s">
        <v>639</v>
      </c>
      <c r="D281" t="str">
        <f t="shared" si="4"/>
        <v>Female</v>
      </c>
      <c r="E281" t="s">
        <v>14</v>
      </c>
      <c r="F281" s="2">
        <v>38</v>
      </c>
      <c r="G281" s="2" t="str" cm="1">
        <f t="array" ref="G281">_xlfn.IFS(F281&lt;=8,"Child",F281&lt;=17,"Teen",F281&lt;=35,"Adult",F281&lt;=55,"Seniour Adult",F281&gt;=55,"Old Age")</f>
        <v>Seniour Adult</v>
      </c>
      <c r="H281" t="s">
        <v>18</v>
      </c>
      <c r="I281" t="s">
        <v>11</v>
      </c>
      <c r="J281" t="str" cm="1">
        <f t="array" ref="J281">_xlfn.IFS(I281="S","Sauthamptonm",I281="Q","Queentown",I281="C","Cherburg",I281="B","Cabin")</f>
        <v>Sauthamptonm</v>
      </c>
      <c r="K281" t="s">
        <v>39</v>
      </c>
      <c r="L281" s="2">
        <v>13</v>
      </c>
      <c r="M281">
        <v>0</v>
      </c>
      <c r="N281">
        <v>0</v>
      </c>
      <c r="O281" t="s">
        <v>13</v>
      </c>
    </row>
    <row r="282" spans="1:15" x14ac:dyDescent="0.3">
      <c r="A282" s="1" t="s">
        <v>640</v>
      </c>
      <c r="B282" t="s">
        <v>72</v>
      </c>
      <c r="C282" t="s">
        <v>641</v>
      </c>
      <c r="D282" t="str">
        <f t="shared" si="4"/>
        <v>Male</v>
      </c>
      <c r="E282" t="s">
        <v>9</v>
      </c>
      <c r="F282" s="2">
        <v>37</v>
      </c>
      <c r="G282" s="2" t="str" cm="1">
        <f t="array" ref="G282">_xlfn.IFS(F282&lt;=8,"Child",F282&lt;=17,"Teen",F282&lt;=35,"Adult",F282&lt;=55,"Seniour Adult",F282&gt;=55,"Old Age")</f>
        <v>Seniour Adult</v>
      </c>
      <c r="H282" t="s">
        <v>25</v>
      </c>
      <c r="I282" t="s">
        <v>11</v>
      </c>
      <c r="J282" t="str" cm="1">
        <f t="array" ref="J282">_xlfn.IFS(I282="S","Sauthamptonm",I282="Q","Queentown",I282="C","Cherburg",I282="B","Cabin")</f>
        <v>Sauthamptonm</v>
      </c>
      <c r="K282" t="s">
        <v>15</v>
      </c>
      <c r="L282" s="2">
        <v>53.02</v>
      </c>
      <c r="M282">
        <v>1</v>
      </c>
      <c r="N282">
        <v>0</v>
      </c>
      <c r="O282" t="s">
        <v>13</v>
      </c>
    </row>
    <row r="283" spans="1:15" x14ac:dyDescent="0.3">
      <c r="A283" s="1" t="s">
        <v>642</v>
      </c>
      <c r="B283" t="s">
        <v>72</v>
      </c>
      <c r="C283" t="s">
        <v>643</v>
      </c>
      <c r="D283" t="str">
        <f t="shared" si="4"/>
        <v>Male</v>
      </c>
      <c r="E283" t="s">
        <v>9</v>
      </c>
      <c r="F283" s="2">
        <v>36</v>
      </c>
      <c r="G283" s="2" t="str" cm="1">
        <f t="array" ref="G283">_xlfn.IFS(F283&lt;=8,"Child",F283&lt;=17,"Teen",F283&lt;=35,"Adult",F283&lt;=55,"Seniour Adult",F283&gt;=55,"Old Age")</f>
        <v>Seniour Adult</v>
      </c>
      <c r="H283" t="s">
        <v>18</v>
      </c>
      <c r="I283" t="s">
        <v>11</v>
      </c>
      <c r="J283" t="str" cm="1">
        <f t="array" ref="J283">_xlfn.IFS(I283="S","Sauthamptonm",I283="Q","Queentown",I283="C","Cherburg",I283="B","Cabin")</f>
        <v>Sauthamptonm</v>
      </c>
      <c r="K283" t="s">
        <v>15</v>
      </c>
      <c r="L283" s="2">
        <v>26</v>
      </c>
      <c r="M283">
        <v>0</v>
      </c>
      <c r="N283">
        <v>0</v>
      </c>
      <c r="O283" t="s">
        <v>13</v>
      </c>
    </row>
    <row r="284" spans="1:15" x14ac:dyDescent="0.3">
      <c r="A284" s="1" t="s">
        <v>644</v>
      </c>
      <c r="B284" t="s">
        <v>72</v>
      </c>
      <c r="C284" t="s">
        <v>119</v>
      </c>
      <c r="D284" t="str">
        <f t="shared" si="4"/>
        <v>Male</v>
      </c>
      <c r="E284" t="s">
        <v>9</v>
      </c>
      <c r="F284" s="2">
        <v>38</v>
      </c>
      <c r="G284" s="2" t="str" cm="1">
        <f t="array" ref="G284">_xlfn.IFS(F284&lt;=8,"Child",F284&lt;=17,"Teen",F284&lt;=35,"Adult",F284&lt;=55,"Seniour Adult",F284&gt;=55,"Old Age")</f>
        <v>Seniour Adult</v>
      </c>
      <c r="H284" t="s">
        <v>18</v>
      </c>
      <c r="I284" t="s">
        <v>11</v>
      </c>
      <c r="J284" t="str" cm="1">
        <f t="array" ref="J284">_xlfn.IFS(I284="S","Sauthamptonm",I284="Q","Queentown",I284="C","Cherburg",I284="B","Cabin")</f>
        <v>Sauthamptonm</v>
      </c>
      <c r="K284" t="s">
        <v>15</v>
      </c>
      <c r="L284" s="2">
        <v>21</v>
      </c>
      <c r="M284">
        <v>1</v>
      </c>
      <c r="N284">
        <v>0</v>
      </c>
      <c r="O284" t="s">
        <v>13</v>
      </c>
    </row>
    <row r="285" spans="1:15" x14ac:dyDescent="0.3">
      <c r="A285" s="1" t="s">
        <v>645</v>
      </c>
      <c r="B285" t="s">
        <v>72</v>
      </c>
      <c r="C285" t="s">
        <v>646</v>
      </c>
      <c r="D285" t="str">
        <f t="shared" si="4"/>
        <v>Male</v>
      </c>
      <c r="E285" t="s">
        <v>9</v>
      </c>
      <c r="F285" s="2">
        <v>29</v>
      </c>
      <c r="G285" s="2" t="str" cm="1">
        <f t="array" ref="G285">_xlfn.IFS(F285&lt;=8,"Child",F285&lt;=17,"Teen",F285&lt;=35,"Adult",F285&lt;=55,"Seniour Adult",F285&gt;=55,"Old Age")</f>
        <v>Adult</v>
      </c>
      <c r="H285" t="s">
        <v>10</v>
      </c>
      <c r="I285" t="s">
        <v>36</v>
      </c>
      <c r="J285" t="str" cm="1">
        <f t="array" ref="J285">_xlfn.IFS(I285="S","Sauthamptonm",I285="Q","Queentown",I285="C","Cherburg",I285="B","Cabin")</f>
        <v>Queentown</v>
      </c>
      <c r="K285" t="s">
        <v>37</v>
      </c>
      <c r="L285" s="2">
        <v>7.141</v>
      </c>
      <c r="M285">
        <v>0</v>
      </c>
      <c r="N285">
        <v>0</v>
      </c>
      <c r="O285" t="s">
        <v>13</v>
      </c>
    </row>
    <row r="286" spans="1:15" x14ac:dyDescent="0.3">
      <c r="A286" s="1" t="s">
        <v>647</v>
      </c>
      <c r="B286" t="s">
        <v>72</v>
      </c>
      <c r="C286" t="s">
        <v>90</v>
      </c>
      <c r="D286" t="str">
        <f t="shared" si="4"/>
        <v>Male</v>
      </c>
      <c r="E286" t="s">
        <v>9</v>
      </c>
      <c r="F286" s="2">
        <v>23</v>
      </c>
      <c r="G286" s="2" t="str" cm="1">
        <f t="array" ref="G286">_xlfn.IFS(F286&lt;=8,"Child",F286&lt;=17,"Teen",F286&lt;=35,"Adult",F286&lt;=55,"Seniour Adult",F286&gt;=55,"Old Age")</f>
        <v>Adult</v>
      </c>
      <c r="H286" t="s">
        <v>10</v>
      </c>
      <c r="I286" t="s">
        <v>11</v>
      </c>
      <c r="J286" t="str" cm="1">
        <f t="array" ref="J286">_xlfn.IFS(I286="S","Sauthamptonm",I286="Q","Queentown",I286="C","Cherburg",I286="B","Cabin")</f>
        <v>Sauthamptonm</v>
      </c>
      <c r="K286" t="s">
        <v>15</v>
      </c>
      <c r="L286" s="2">
        <v>14.1</v>
      </c>
      <c r="M286">
        <v>0</v>
      </c>
      <c r="N286">
        <v>0</v>
      </c>
      <c r="O286" t="s">
        <v>13</v>
      </c>
    </row>
    <row r="287" spans="1:15" x14ac:dyDescent="0.3">
      <c r="A287" s="1" t="s">
        <v>648</v>
      </c>
      <c r="B287" t="s">
        <v>78</v>
      </c>
      <c r="C287" t="s">
        <v>207</v>
      </c>
      <c r="D287" t="str">
        <f t="shared" si="4"/>
        <v>Female</v>
      </c>
      <c r="E287" t="s">
        <v>14</v>
      </c>
      <c r="F287" s="2">
        <v>39</v>
      </c>
      <c r="G287" s="2" t="str" cm="1">
        <f t="array" ref="G287">_xlfn.IFS(F287&lt;=8,"Child",F287&lt;=17,"Teen",F287&lt;=35,"Adult",F287&lt;=55,"Seniour Adult",F287&gt;=55,"Old Age")</f>
        <v>Seniour Adult</v>
      </c>
      <c r="H287" t="s">
        <v>18</v>
      </c>
      <c r="I287" t="s">
        <v>11</v>
      </c>
      <c r="J287" t="str" cm="1">
        <f t="array" ref="J287">_xlfn.IFS(I287="S","Sauthamptonm",I287="Q","Queentown",I287="C","Cherburg",I287="B","Cabin")</f>
        <v>Sauthamptonm</v>
      </c>
      <c r="K287" t="s">
        <v>15</v>
      </c>
      <c r="L287" s="2">
        <v>13</v>
      </c>
      <c r="M287">
        <v>0</v>
      </c>
      <c r="N287">
        <v>0</v>
      </c>
      <c r="O287" t="s">
        <v>16</v>
      </c>
    </row>
    <row r="288" spans="1:15" x14ac:dyDescent="0.3">
      <c r="A288" s="1" t="s">
        <v>649</v>
      </c>
      <c r="B288" t="s">
        <v>72</v>
      </c>
      <c r="C288" t="s">
        <v>296</v>
      </c>
      <c r="D288" t="str">
        <f t="shared" si="4"/>
        <v>Male</v>
      </c>
      <c r="E288" t="s">
        <v>9</v>
      </c>
      <c r="F288" s="2">
        <v>19</v>
      </c>
      <c r="G288" s="2" t="str" cm="1">
        <f t="array" ref="G288">_xlfn.IFS(F288&lt;=8,"Child",F288&lt;=17,"Teen",F288&lt;=35,"Adult",F288&lt;=55,"Seniour Adult",F288&gt;=55,"Old Age")</f>
        <v>Adult</v>
      </c>
      <c r="H288" t="s">
        <v>18</v>
      </c>
      <c r="I288" t="s">
        <v>11</v>
      </c>
      <c r="J288" t="str" cm="1">
        <f t="array" ref="J288">_xlfn.IFS(I288="S","Sauthamptonm",I288="Q","Queentown",I288="C","Cherburg",I288="B","Cabin")</f>
        <v>Sauthamptonm</v>
      </c>
      <c r="K288" t="s">
        <v>15</v>
      </c>
      <c r="L288" s="2">
        <v>26</v>
      </c>
      <c r="M288">
        <v>0</v>
      </c>
      <c r="N288">
        <v>0</v>
      </c>
      <c r="O288" t="s">
        <v>13</v>
      </c>
    </row>
    <row r="289" spans="1:15" x14ac:dyDescent="0.3">
      <c r="A289" s="1" t="s">
        <v>650</v>
      </c>
      <c r="B289" t="s">
        <v>72</v>
      </c>
      <c r="C289" t="s">
        <v>651</v>
      </c>
      <c r="D289" t="str">
        <f t="shared" si="4"/>
        <v>Male</v>
      </c>
      <c r="E289" t="s">
        <v>9</v>
      </c>
      <c r="F289" s="2">
        <v>26</v>
      </c>
      <c r="G289" s="2" t="str" cm="1">
        <f t="array" ref="G289">_xlfn.IFS(F289&lt;=8,"Child",F289&lt;=17,"Teen",F289&lt;=35,"Adult",F289&lt;=55,"Seniour Adult",F289&gt;=55,"Old Age")</f>
        <v>Adult</v>
      </c>
      <c r="H289" t="s">
        <v>18</v>
      </c>
      <c r="I289" t="s">
        <v>11</v>
      </c>
      <c r="J289" t="str" cm="1">
        <f t="array" ref="J289">_xlfn.IFS(I289="S","Sauthamptonm",I289="Q","Queentown",I289="C","Cherburg",I289="B","Cabin")</f>
        <v>Sauthamptonm</v>
      </c>
      <c r="K289" t="s">
        <v>33</v>
      </c>
      <c r="L289" s="2">
        <v>10.1</v>
      </c>
      <c r="M289">
        <v>0</v>
      </c>
      <c r="N289">
        <v>0</v>
      </c>
      <c r="O289" t="s">
        <v>13</v>
      </c>
    </row>
    <row r="290" spans="1:15" x14ac:dyDescent="0.3">
      <c r="A290" s="1" t="s">
        <v>652</v>
      </c>
      <c r="B290" t="s">
        <v>72</v>
      </c>
      <c r="C290" t="s">
        <v>653</v>
      </c>
      <c r="D290" t="str">
        <f t="shared" si="4"/>
        <v>Male</v>
      </c>
      <c r="E290" t="s">
        <v>9</v>
      </c>
      <c r="F290" s="2">
        <v>47</v>
      </c>
      <c r="G290" s="2" t="str" cm="1">
        <f t="array" ref="G290">_xlfn.IFS(F290&lt;=8,"Child",F290&lt;=17,"Teen",F290&lt;=35,"Adult",F290&lt;=55,"Seniour Adult",F290&gt;=55,"Old Age")</f>
        <v>Seniour Adult</v>
      </c>
      <c r="H290" t="s">
        <v>25</v>
      </c>
      <c r="I290" t="s">
        <v>11</v>
      </c>
      <c r="J290" t="str" cm="1">
        <f t="array" ref="J290">_xlfn.IFS(I290="S","Sauthamptonm",I290="Q","Queentown",I290="C","Cherburg",I290="B","Cabin")</f>
        <v>Sauthamptonm</v>
      </c>
      <c r="K290" t="s">
        <v>15</v>
      </c>
      <c r="L290" s="2">
        <v>38.1</v>
      </c>
      <c r="M290">
        <v>0</v>
      </c>
      <c r="N290">
        <v>0</v>
      </c>
      <c r="O290" t="s">
        <v>13</v>
      </c>
    </row>
    <row r="291" spans="1:15" x14ac:dyDescent="0.3">
      <c r="A291" s="1" t="s">
        <v>654</v>
      </c>
      <c r="B291" t="s">
        <v>76</v>
      </c>
      <c r="C291" t="s">
        <v>655</v>
      </c>
      <c r="D291" t="str">
        <f t="shared" si="4"/>
        <v>Female</v>
      </c>
      <c r="E291" t="s">
        <v>14</v>
      </c>
      <c r="F291" s="2">
        <v>38</v>
      </c>
      <c r="G291" s="2" t="str" cm="1">
        <f t="array" ref="G291">_xlfn.IFS(F291&lt;=8,"Child",F291&lt;=17,"Teen",F291&lt;=35,"Adult",F291&lt;=55,"Seniour Adult",F291&gt;=55,"Old Age")</f>
        <v>Seniour Adult</v>
      </c>
      <c r="H291" t="s">
        <v>10</v>
      </c>
      <c r="I291" t="s">
        <v>19</v>
      </c>
      <c r="J291" t="str" cm="1">
        <f t="array" ref="J291">_xlfn.IFS(I291="S","Sauthamptonm",I291="Q","Queentown",I291="C","Cherburg",I291="B","Cabin")</f>
        <v>Cherburg</v>
      </c>
      <c r="K291" t="s">
        <v>12</v>
      </c>
      <c r="L291" s="2">
        <v>7.0407000000000002</v>
      </c>
      <c r="M291">
        <v>0</v>
      </c>
      <c r="N291">
        <v>0</v>
      </c>
      <c r="O291" t="s">
        <v>16</v>
      </c>
    </row>
    <row r="292" spans="1:15" x14ac:dyDescent="0.3">
      <c r="A292" s="1" t="s">
        <v>656</v>
      </c>
      <c r="B292" t="s">
        <v>72</v>
      </c>
      <c r="C292" t="s">
        <v>657</v>
      </c>
      <c r="D292" t="str">
        <f t="shared" si="4"/>
        <v>Male</v>
      </c>
      <c r="E292" t="s">
        <v>9</v>
      </c>
      <c r="F292" s="2">
        <v>21</v>
      </c>
      <c r="G292" s="2" t="str" cm="1">
        <f t="array" ref="G292">_xlfn.IFS(F292&lt;=8,"Child",F292&lt;=17,"Teen",F292&lt;=35,"Adult",F292&lt;=55,"Seniour Adult",F292&gt;=55,"Old Age")</f>
        <v>Adult</v>
      </c>
      <c r="H292" t="s">
        <v>10</v>
      </c>
      <c r="I292" t="s">
        <v>19</v>
      </c>
      <c r="J292" t="str" cm="1">
        <f t="array" ref="J292">_xlfn.IFS(I292="S","Sauthamptonm",I292="Q","Queentown",I292="C","Cherburg",I292="B","Cabin")</f>
        <v>Cherburg</v>
      </c>
      <c r="K292" t="s">
        <v>21</v>
      </c>
      <c r="L292" s="2">
        <v>7.0406000000000004</v>
      </c>
      <c r="M292">
        <v>0</v>
      </c>
      <c r="N292">
        <v>0</v>
      </c>
      <c r="O292" t="s">
        <v>13</v>
      </c>
    </row>
    <row r="293" spans="1:15" x14ac:dyDescent="0.3">
      <c r="A293" s="1" t="s">
        <v>658</v>
      </c>
      <c r="B293" t="s">
        <v>72</v>
      </c>
      <c r="C293" t="s">
        <v>659</v>
      </c>
      <c r="D293" t="str">
        <f t="shared" si="4"/>
        <v>Male</v>
      </c>
      <c r="E293" t="s">
        <v>9</v>
      </c>
      <c r="F293" s="2">
        <v>30</v>
      </c>
      <c r="G293" s="2" t="str" cm="1">
        <f t="array" ref="G293">_xlfn.IFS(F293&lt;=8,"Child",F293&lt;=17,"Teen",F293&lt;=35,"Adult",F293&lt;=55,"Seniour Adult",F293&gt;=55,"Old Age")</f>
        <v>Adult</v>
      </c>
      <c r="H293" t="s">
        <v>10</v>
      </c>
      <c r="I293" t="s">
        <v>19</v>
      </c>
      <c r="J293" t="str" cm="1">
        <f t="array" ref="J293">_xlfn.IFS(I293="S","Sauthamptonm",I293="Q","Queentown",I293="C","Cherburg",I293="B","Cabin")</f>
        <v>Cherburg</v>
      </c>
      <c r="K293" t="s">
        <v>31</v>
      </c>
      <c r="L293" s="2">
        <v>7.1711</v>
      </c>
      <c r="M293">
        <v>0</v>
      </c>
      <c r="N293">
        <v>0</v>
      </c>
      <c r="O293" t="s">
        <v>13</v>
      </c>
    </row>
    <row r="294" spans="1:15" x14ac:dyDescent="0.3">
      <c r="A294" s="1" t="s">
        <v>660</v>
      </c>
      <c r="B294" t="s">
        <v>78</v>
      </c>
      <c r="C294" t="s">
        <v>661</v>
      </c>
      <c r="D294" t="str">
        <f t="shared" si="4"/>
        <v>Female</v>
      </c>
      <c r="E294" t="s">
        <v>14</v>
      </c>
      <c r="F294" s="2">
        <v>22</v>
      </c>
      <c r="G294" s="2" t="str" cm="1">
        <f t="array" ref="G294">_xlfn.IFS(F294&lt;=8,"Child",F294&lt;=17,"Teen",F294&lt;=35,"Adult",F294&lt;=55,"Seniour Adult",F294&gt;=55,"Old Age")</f>
        <v>Adult</v>
      </c>
      <c r="H294" t="s">
        <v>25</v>
      </c>
      <c r="I294" t="s">
        <v>19</v>
      </c>
      <c r="J294" t="str" cm="1">
        <f t="array" ref="J294">_xlfn.IFS(I294="S","Sauthamptonm",I294="Q","Queentown",I294="C","Cherburg",I294="B","Cabin")</f>
        <v>Cherburg</v>
      </c>
      <c r="K294" t="s">
        <v>12</v>
      </c>
      <c r="L294" s="2">
        <v>59.08</v>
      </c>
      <c r="M294">
        <v>0</v>
      </c>
      <c r="N294">
        <v>1</v>
      </c>
      <c r="O294" t="s">
        <v>16</v>
      </c>
    </row>
    <row r="295" spans="1:15" x14ac:dyDescent="0.3">
      <c r="A295" s="1" t="s">
        <v>662</v>
      </c>
      <c r="B295" t="s">
        <v>78</v>
      </c>
      <c r="C295" t="s">
        <v>663</v>
      </c>
      <c r="D295" t="str">
        <f t="shared" si="4"/>
        <v>Female</v>
      </c>
      <c r="E295" t="s">
        <v>14</v>
      </c>
      <c r="F295" s="2">
        <v>35</v>
      </c>
      <c r="G295" s="2" t="str" cm="1">
        <f t="array" ref="G295">_xlfn.IFS(F295&lt;=8,"Child",F295&lt;=17,"Teen",F295&lt;=35,"Adult",F295&lt;=55,"Seniour Adult",F295&gt;=55,"Old Age")</f>
        <v>Adult</v>
      </c>
      <c r="H295" t="s">
        <v>25</v>
      </c>
      <c r="I295" t="s">
        <v>11</v>
      </c>
      <c r="J295" t="str" cm="1">
        <f t="array" ref="J295">_xlfn.IFS(I295="S","Sauthamptonm",I295="Q","Queentown",I295="C","Cherburg",I295="B","Cabin")</f>
        <v>Sauthamptonm</v>
      </c>
      <c r="K295" t="s">
        <v>15</v>
      </c>
      <c r="L295" s="2">
        <v>211.1</v>
      </c>
      <c r="M295">
        <v>0</v>
      </c>
      <c r="N295">
        <v>0</v>
      </c>
      <c r="O295" t="s">
        <v>16</v>
      </c>
    </row>
    <row r="296" spans="1:15" x14ac:dyDescent="0.3">
      <c r="A296" s="1" t="s">
        <v>664</v>
      </c>
      <c r="B296" t="s">
        <v>72</v>
      </c>
      <c r="C296" t="s">
        <v>665</v>
      </c>
      <c r="D296" t="str">
        <f t="shared" si="4"/>
        <v>Male</v>
      </c>
      <c r="E296" t="s">
        <v>9</v>
      </c>
      <c r="F296" s="2">
        <v>23</v>
      </c>
      <c r="G296" s="2" t="str" cm="1">
        <f t="array" ref="G296">_xlfn.IFS(F296&lt;=8,"Child",F296&lt;=17,"Teen",F296&lt;=35,"Adult",F296&lt;=55,"Seniour Adult",F296&gt;=55,"Old Age")</f>
        <v>Adult</v>
      </c>
      <c r="H296" t="s">
        <v>25</v>
      </c>
      <c r="I296" t="s">
        <v>19</v>
      </c>
      <c r="J296" t="str" cm="1">
        <f t="array" ref="J296">_xlfn.IFS(I296="S","Sauthamptonm",I296="Q","Queentown",I296="C","Cherburg",I296="B","Cabin")</f>
        <v>Cherburg</v>
      </c>
      <c r="K296" t="s">
        <v>15</v>
      </c>
      <c r="L296" s="2">
        <v>79.040000000000006</v>
      </c>
      <c r="M296">
        <v>0</v>
      </c>
      <c r="N296">
        <v>0</v>
      </c>
      <c r="O296" t="s">
        <v>13</v>
      </c>
    </row>
    <row r="297" spans="1:15" x14ac:dyDescent="0.3">
      <c r="A297" s="1" t="s">
        <v>666</v>
      </c>
      <c r="B297" t="s">
        <v>72</v>
      </c>
      <c r="C297" t="s">
        <v>104</v>
      </c>
      <c r="D297" t="str">
        <f t="shared" si="4"/>
        <v>Male</v>
      </c>
      <c r="E297" t="s">
        <v>9</v>
      </c>
      <c r="F297" s="2">
        <v>47</v>
      </c>
      <c r="G297" s="2" t="str" cm="1">
        <f t="array" ref="G297">_xlfn.IFS(F297&lt;=8,"Child",F297&lt;=17,"Teen",F297&lt;=35,"Adult",F297&lt;=55,"Seniour Adult",F297&gt;=55,"Old Age")</f>
        <v>Seniour Adult</v>
      </c>
      <c r="H297" t="s">
        <v>18</v>
      </c>
      <c r="I297" t="s">
        <v>11</v>
      </c>
      <c r="J297" t="str" cm="1">
        <f t="array" ref="J297">_xlfn.IFS(I297="S","Sauthamptonm",I297="Q","Queentown",I297="C","Cherburg",I297="B","Cabin")</f>
        <v>Sauthamptonm</v>
      </c>
      <c r="K297" t="s">
        <v>15</v>
      </c>
      <c r="L297" s="2">
        <v>10.1</v>
      </c>
      <c r="M297">
        <v>0</v>
      </c>
      <c r="N297">
        <v>0</v>
      </c>
      <c r="O297" t="s">
        <v>13</v>
      </c>
    </row>
    <row r="298" spans="1:15" x14ac:dyDescent="0.3">
      <c r="A298" s="1" t="s">
        <v>667</v>
      </c>
      <c r="B298" t="s">
        <v>72</v>
      </c>
      <c r="C298" t="s">
        <v>668</v>
      </c>
      <c r="D298" t="str">
        <f t="shared" si="4"/>
        <v>Male</v>
      </c>
      <c r="E298" t="s">
        <v>9</v>
      </c>
      <c r="F298" s="2">
        <v>19</v>
      </c>
      <c r="G298" s="2" t="str" cm="1">
        <f t="array" ref="G298">_xlfn.IFS(F298&lt;=8,"Child",F298&lt;=17,"Teen",F298&lt;=35,"Adult",F298&lt;=55,"Seniour Adult",F298&gt;=55,"Old Age")</f>
        <v>Adult</v>
      </c>
      <c r="H298" t="s">
        <v>18</v>
      </c>
      <c r="I298" t="s">
        <v>11</v>
      </c>
      <c r="J298" t="str" cm="1">
        <f t="array" ref="J298">_xlfn.IFS(I298="S","Sauthamptonm",I298="Q","Queentown",I298="C","Cherburg",I298="B","Cabin")</f>
        <v>Sauthamptonm</v>
      </c>
      <c r="K298" t="s">
        <v>15</v>
      </c>
      <c r="L298" s="2">
        <v>11.1</v>
      </c>
      <c r="M298">
        <v>1</v>
      </c>
      <c r="N298">
        <v>0</v>
      </c>
      <c r="O298" t="s">
        <v>13</v>
      </c>
    </row>
    <row r="299" spans="1:15" x14ac:dyDescent="0.3">
      <c r="A299" s="1" t="s">
        <v>669</v>
      </c>
      <c r="B299" t="s">
        <v>72</v>
      </c>
      <c r="C299" t="s">
        <v>670</v>
      </c>
      <c r="D299" t="str">
        <f t="shared" si="4"/>
        <v>Male</v>
      </c>
      <c r="E299" t="s">
        <v>9</v>
      </c>
      <c r="F299" s="2">
        <v>23</v>
      </c>
      <c r="G299" s="2" t="str" cm="1">
        <f t="array" ref="G299">_xlfn.IFS(F299&lt;=8,"Child",F299&lt;=17,"Teen",F299&lt;=35,"Adult",F299&lt;=55,"Seniour Adult",F299&gt;=55,"Old Age")</f>
        <v>Adult</v>
      </c>
      <c r="H299" t="s">
        <v>10</v>
      </c>
      <c r="I299" t="s">
        <v>11</v>
      </c>
      <c r="J299" t="str" cm="1">
        <f t="array" ref="J299">_xlfn.IFS(I299="S","Sauthamptonm",I299="Q","Queentown",I299="C","Cherburg",I299="B","Cabin")</f>
        <v>Sauthamptonm</v>
      </c>
      <c r="K299" t="s">
        <v>40</v>
      </c>
      <c r="L299" s="2">
        <v>8.01</v>
      </c>
      <c r="M299">
        <v>0</v>
      </c>
      <c r="N299">
        <v>0</v>
      </c>
      <c r="O299" t="s">
        <v>13</v>
      </c>
    </row>
    <row r="300" spans="1:15" x14ac:dyDescent="0.3">
      <c r="A300" s="1" t="s">
        <v>671</v>
      </c>
      <c r="B300" t="s">
        <v>72</v>
      </c>
      <c r="C300" t="s">
        <v>107</v>
      </c>
      <c r="D300" t="str">
        <f t="shared" si="4"/>
        <v>Male</v>
      </c>
      <c r="E300" t="s">
        <v>9</v>
      </c>
      <c r="F300" s="2">
        <v>31</v>
      </c>
      <c r="G300" s="2" t="str" cm="1">
        <f t="array" ref="G300">_xlfn.IFS(F300&lt;=8,"Child",F300&lt;=17,"Teen",F300&lt;=35,"Adult",F300&lt;=55,"Seniour Adult",F300&gt;=55,"Old Age")</f>
        <v>Adult</v>
      </c>
      <c r="H300" t="s">
        <v>18</v>
      </c>
      <c r="I300" t="s">
        <v>11</v>
      </c>
      <c r="J300" t="str" cm="1">
        <f t="array" ref="J300">_xlfn.IFS(I300="S","Sauthamptonm",I300="Q","Queentown",I300="C","Cherburg",I300="B","Cabin")</f>
        <v>Sauthamptonm</v>
      </c>
      <c r="K300" t="s">
        <v>37</v>
      </c>
      <c r="L300" s="2">
        <v>13</v>
      </c>
      <c r="M300">
        <v>0</v>
      </c>
      <c r="N300">
        <v>0</v>
      </c>
      <c r="O300" t="s">
        <v>13</v>
      </c>
    </row>
    <row r="301" spans="1:15" x14ac:dyDescent="0.3">
      <c r="A301" s="1" t="s">
        <v>672</v>
      </c>
      <c r="B301" t="s">
        <v>72</v>
      </c>
      <c r="C301" t="s">
        <v>90</v>
      </c>
      <c r="D301" t="str">
        <f t="shared" si="4"/>
        <v>Male</v>
      </c>
      <c r="E301" t="s">
        <v>9</v>
      </c>
      <c r="F301" s="2">
        <v>24</v>
      </c>
      <c r="G301" s="2" t="str" cm="1">
        <f t="array" ref="G301">_xlfn.IFS(F301&lt;=8,"Child",F301&lt;=17,"Teen",F301&lt;=35,"Adult",F301&lt;=55,"Seniour Adult",F301&gt;=55,"Old Age")</f>
        <v>Adult</v>
      </c>
      <c r="H301" t="s">
        <v>18</v>
      </c>
      <c r="I301" t="s">
        <v>11</v>
      </c>
      <c r="J301" t="str" cm="1">
        <f t="array" ref="J301">_xlfn.IFS(I301="S","Sauthamptonm",I301="Q","Queentown",I301="C","Cherburg",I301="B","Cabin")</f>
        <v>Sauthamptonm</v>
      </c>
      <c r="K301" t="s">
        <v>15</v>
      </c>
      <c r="L301" s="2">
        <v>13</v>
      </c>
      <c r="M301">
        <v>0</v>
      </c>
      <c r="N301">
        <v>0</v>
      </c>
      <c r="O301" t="s">
        <v>13</v>
      </c>
    </row>
    <row r="302" spans="1:15" x14ac:dyDescent="0.3">
      <c r="A302" s="1" t="s">
        <v>673</v>
      </c>
      <c r="B302" t="s">
        <v>78</v>
      </c>
      <c r="C302" t="s">
        <v>303</v>
      </c>
      <c r="D302" t="str">
        <f t="shared" si="4"/>
        <v>Female</v>
      </c>
      <c r="E302" t="s">
        <v>14</v>
      </c>
      <c r="F302" s="2">
        <v>17</v>
      </c>
      <c r="G302" s="2" t="str" cm="1">
        <f t="array" ref="G302">_xlfn.IFS(F302&lt;=8,"Child",F302&lt;=17,"Teen",F302&lt;=35,"Adult",F302&lt;=55,"Seniour Adult",F302&gt;=55,"Old Age")</f>
        <v>Teen</v>
      </c>
      <c r="H302" t="s">
        <v>10</v>
      </c>
      <c r="I302" t="s">
        <v>36</v>
      </c>
      <c r="J302" t="str" cm="1">
        <f t="array" ref="J302">_xlfn.IFS(I302="S","Sauthamptonm",I302="Q","Queentown",I302="C","Cherburg",I302="B","Cabin")</f>
        <v>Queentown</v>
      </c>
      <c r="K302" t="s">
        <v>37</v>
      </c>
      <c r="L302" s="2">
        <v>7.1407999999999996</v>
      </c>
      <c r="M302">
        <v>0</v>
      </c>
      <c r="N302">
        <v>0</v>
      </c>
      <c r="O302" t="s">
        <v>16</v>
      </c>
    </row>
    <row r="303" spans="1:15" x14ac:dyDescent="0.3">
      <c r="A303" s="1" t="s">
        <v>674</v>
      </c>
      <c r="B303" t="s">
        <v>72</v>
      </c>
      <c r="C303" t="s">
        <v>675</v>
      </c>
      <c r="D303" t="str">
        <f t="shared" si="4"/>
        <v>Male</v>
      </c>
      <c r="E303" t="s">
        <v>9</v>
      </c>
      <c r="F303" s="2">
        <v>30</v>
      </c>
      <c r="G303" s="2" t="str" cm="1">
        <f t="array" ref="G303">_xlfn.IFS(F303&lt;=8,"Child",F303&lt;=17,"Teen",F303&lt;=35,"Adult",F303&lt;=55,"Seniour Adult",F303&gt;=55,"Old Age")</f>
        <v>Adult</v>
      </c>
      <c r="H303" t="s">
        <v>18</v>
      </c>
      <c r="I303" t="s">
        <v>11</v>
      </c>
      <c r="J303" t="str" cm="1">
        <f t="array" ref="J303">_xlfn.IFS(I303="S","Sauthamptonm",I303="Q","Queentown",I303="C","Cherburg",I303="B","Cabin")</f>
        <v>Sauthamptonm</v>
      </c>
      <c r="K303" t="s">
        <v>24</v>
      </c>
      <c r="L303" s="2">
        <v>13</v>
      </c>
      <c r="M303">
        <v>0</v>
      </c>
      <c r="N303">
        <v>0</v>
      </c>
      <c r="O303" t="s">
        <v>13</v>
      </c>
    </row>
    <row r="304" spans="1:15" x14ac:dyDescent="0.3">
      <c r="A304" s="1" t="s">
        <v>676</v>
      </c>
      <c r="B304" t="s">
        <v>78</v>
      </c>
      <c r="C304" t="s">
        <v>677</v>
      </c>
      <c r="D304" t="str">
        <f t="shared" si="4"/>
        <v>Female</v>
      </c>
      <c r="E304" t="s">
        <v>14</v>
      </c>
      <c r="F304" s="2">
        <v>18</v>
      </c>
      <c r="G304" s="2" t="str" cm="1">
        <f t="array" ref="G304">_xlfn.IFS(F304&lt;=8,"Child",F304&lt;=17,"Teen",F304&lt;=35,"Adult",F304&lt;=55,"Seniour Adult",F304&gt;=55,"Old Age")</f>
        <v>Adult</v>
      </c>
      <c r="H304" t="s">
        <v>10</v>
      </c>
      <c r="I304" t="s">
        <v>36</v>
      </c>
      <c r="J304" t="str" cm="1">
        <f t="array" ref="J304">_xlfn.IFS(I304="S","Sauthamptonm",I304="Q","Queentown",I304="C","Cherburg",I304="B","Cabin")</f>
        <v>Queentown</v>
      </c>
      <c r="K304" t="s">
        <v>37</v>
      </c>
      <c r="L304" s="2">
        <v>7.15</v>
      </c>
      <c r="M304">
        <v>0</v>
      </c>
      <c r="N304">
        <v>0</v>
      </c>
      <c r="O304" t="s">
        <v>16</v>
      </c>
    </row>
    <row r="305" spans="1:15" x14ac:dyDescent="0.3">
      <c r="A305" s="1" t="s">
        <v>678</v>
      </c>
      <c r="B305" t="s">
        <v>72</v>
      </c>
      <c r="C305" t="s">
        <v>679</v>
      </c>
      <c r="D305" t="str">
        <f t="shared" si="4"/>
        <v>Male</v>
      </c>
      <c r="E305" t="s">
        <v>9</v>
      </c>
      <c r="F305" s="2">
        <v>47</v>
      </c>
      <c r="G305" s="2" t="str" cm="1">
        <f t="array" ref="G305">_xlfn.IFS(F305&lt;=8,"Child",F305&lt;=17,"Teen",F305&lt;=35,"Adult",F305&lt;=55,"Seniour Adult",F305&gt;=55,"Old Age")</f>
        <v>Seniour Adult</v>
      </c>
      <c r="H305" t="s">
        <v>25</v>
      </c>
      <c r="I305" t="s">
        <v>19</v>
      </c>
      <c r="J305" t="str" cm="1">
        <f t="array" ref="J305">_xlfn.IFS(I305="S","Sauthamptonm",I305="Q","Queentown",I305="C","Cherburg",I305="B","Cabin")</f>
        <v>Cherburg</v>
      </c>
      <c r="K305" t="s">
        <v>12</v>
      </c>
      <c r="L305" s="2">
        <v>89.020099999999999</v>
      </c>
      <c r="M305">
        <v>1</v>
      </c>
      <c r="N305">
        <v>0</v>
      </c>
      <c r="O305" t="s">
        <v>16</v>
      </c>
    </row>
    <row r="306" spans="1:15" x14ac:dyDescent="0.3">
      <c r="A306" s="1" t="s">
        <v>680</v>
      </c>
      <c r="B306" t="s">
        <v>72</v>
      </c>
      <c r="C306" t="s">
        <v>681</v>
      </c>
      <c r="D306" t="str">
        <f t="shared" si="4"/>
        <v>Male</v>
      </c>
      <c r="E306" t="s">
        <v>9</v>
      </c>
      <c r="F306" s="2">
        <v>71</v>
      </c>
      <c r="G306" s="2" t="str" cm="1">
        <f t="array" ref="G306">_xlfn.IFS(F306&lt;=8,"Child",F306&lt;=17,"Teen",F306&lt;=35,"Adult",F306&lt;=55,"Seniour Adult",F306&gt;=55,"Old Age")</f>
        <v>Old Age</v>
      </c>
      <c r="H306" t="s">
        <v>25</v>
      </c>
      <c r="I306" t="s">
        <v>19</v>
      </c>
      <c r="J306" t="str" cm="1">
        <f t="array" ref="J306">_xlfn.IFS(I306="S","Sauthamptonm",I306="Q","Queentown",I306="C","Cherburg",I306="B","Cabin")</f>
        <v>Cherburg</v>
      </c>
      <c r="K306" t="s">
        <v>12</v>
      </c>
      <c r="L306" s="2">
        <v>34.130099999999999</v>
      </c>
      <c r="M306">
        <v>0</v>
      </c>
      <c r="N306">
        <v>0</v>
      </c>
      <c r="O306" t="s">
        <v>13</v>
      </c>
    </row>
    <row r="307" spans="1:15" x14ac:dyDescent="0.3">
      <c r="A307" s="1" t="s">
        <v>682</v>
      </c>
      <c r="B307" t="s">
        <v>94</v>
      </c>
      <c r="C307" t="s">
        <v>683</v>
      </c>
      <c r="D307" t="str">
        <f t="shared" si="4"/>
        <v>Male</v>
      </c>
      <c r="E307" t="s">
        <v>9</v>
      </c>
      <c r="F307" s="2">
        <v>9</v>
      </c>
      <c r="G307" s="2" t="str" cm="1">
        <f t="array" ref="G307">_xlfn.IFS(F307&lt;=8,"Child",F307&lt;=17,"Teen",F307&lt;=35,"Adult",F307&lt;=55,"Seniour Adult",F307&gt;=55,"Old Age")</f>
        <v>Teen</v>
      </c>
      <c r="H307" t="s">
        <v>10</v>
      </c>
      <c r="I307" t="s">
        <v>11</v>
      </c>
      <c r="J307" t="str" cm="1">
        <f t="array" ref="J307">_xlfn.IFS(I307="S","Sauthamptonm",I307="Q","Queentown",I307="C","Cherburg",I307="B","Cabin")</f>
        <v>Sauthamptonm</v>
      </c>
      <c r="K307" t="s">
        <v>15</v>
      </c>
      <c r="L307" s="2">
        <v>20.1006</v>
      </c>
      <c r="M307">
        <v>0</v>
      </c>
      <c r="N307">
        <v>2</v>
      </c>
      <c r="O307" t="s">
        <v>16</v>
      </c>
    </row>
    <row r="308" spans="1:15" x14ac:dyDescent="0.3">
      <c r="A308" s="1" t="s">
        <v>685</v>
      </c>
      <c r="B308" t="s">
        <v>94</v>
      </c>
      <c r="C308" t="s">
        <v>686</v>
      </c>
      <c r="D308" t="str">
        <f t="shared" si="4"/>
        <v>Male</v>
      </c>
      <c r="E308" t="s">
        <v>9</v>
      </c>
      <c r="F308" s="2">
        <v>9</v>
      </c>
      <c r="G308" s="2" t="str" cm="1">
        <f t="array" ref="G308">_xlfn.IFS(F308&lt;=8,"Child",F308&lt;=17,"Teen",F308&lt;=35,"Adult",F308&lt;=55,"Seniour Adult",F308&gt;=55,"Old Age")</f>
        <v>Teen</v>
      </c>
      <c r="H308" t="s">
        <v>10</v>
      </c>
      <c r="I308" t="s">
        <v>11</v>
      </c>
      <c r="J308" t="str" cm="1">
        <f t="array" ref="J308">_xlfn.IFS(I308="S","Sauthamptonm",I308="Q","Queentown",I308="C","Cherburg",I308="B","Cabin")</f>
        <v>Sauthamptonm</v>
      </c>
      <c r="K308" t="s">
        <v>15</v>
      </c>
      <c r="L308" s="2">
        <v>46.18</v>
      </c>
      <c r="M308">
        <v>5</v>
      </c>
      <c r="N308">
        <v>2</v>
      </c>
      <c r="O308" t="s">
        <v>13</v>
      </c>
    </row>
    <row r="309" spans="1:15" x14ac:dyDescent="0.3">
      <c r="A309" s="1" t="s">
        <v>688</v>
      </c>
      <c r="B309" t="s">
        <v>151</v>
      </c>
      <c r="C309" t="s">
        <v>689</v>
      </c>
      <c r="D309" t="str">
        <f t="shared" si="4"/>
        <v>Male</v>
      </c>
      <c r="E309" t="s">
        <v>9</v>
      </c>
      <c r="F309" s="2">
        <v>53</v>
      </c>
      <c r="G309" s="2" t="str" cm="1">
        <f t="array" ref="G309">_xlfn.IFS(F309&lt;=8,"Child",F309&lt;=17,"Teen",F309&lt;=35,"Adult",F309&lt;=55,"Seniour Adult",F309&gt;=55,"Old Age")</f>
        <v>Seniour Adult</v>
      </c>
      <c r="H309" t="s">
        <v>25</v>
      </c>
      <c r="I309" t="s">
        <v>11</v>
      </c>
      <c r="J309" t="str" cm="1">
        <f t="array" ref="J309">_xlfn.IFS(I309="S","Sauthamptonm",I309="Q","Queentown",I309="C","Cherburg",I309="B","Cabin")</f>
        <v>Sauthamptonm</v>
      </c>
      <c r="K309" t="s">
        <v>12</v>
      </c>
      <c r="L309" s="2">
        <v>28.1</v>
      </c>
      <c r="M309">
        <v>0</v>
      </c>
      <c r="N309">
        <v>0</v>
      </c>
      <c r="O309" t="s">
        <v>16</v>
      </c>
    </row>
    <row r="310" spans="1:15" x14ac:dyDescent="0.3">
      <c r="A310" s="1" t="s">
        <v>690</v>
      </c>
      <c r="B310" t="s">
        <v>78</v>
      </c>
      <c r="C310" t="s">
        <v>691</v>
      </c>
      <c r="D310" t="str">
        <f t="shared" si="4"/>
        <v>Female</v>
      </c>
      <c r="E310" t="s">
        <v>14</v>
      </c>
      <c r="F310" s="2">
        <v>19</v>
      </c>
      <c r="G310" s="2" t="str" cm="1">
        <f t="array" ref="G310">_xlfn.IFS(F310&lt;=8,"Child",F310&lt;=17,"Teen",F310&lt;=35,"Adult",F310&lt;=55,"Seniour Adult",F310&gt;=55,"Old Age")</f>
        <v>Adult</v>
      </c>
      <c r="H310" t="s">
        <v>25</v>
      </c>
      <c r="I310" t="s">
        <v>11</v>
      </c>
      <c r="J310" t="str" cm="1">
        <f t="array" ref="J310">_xlfn.IFS(I310="S","Sauthamptonm",I310="Q","Queentown",I310="C","Cherburg",I310="B","Cabin")</f>
        <v>Sauthamptonm</v>
      </c>
      <c r="K310" t="s">
        <v>15</v>
      </c>
      <c r="L310" s="2">
        <v>153.09030000000001</v>
      </c>
      <c r="M310">
        <v>0</v>
      </c>
      <c r="N310">
        <v>0</v>
      </c>
      <c r="O310" t="s">
        <v>16</v>
      </c>
    </row>
    <row r="311" spans="1:15" x14ac:dyDescent="0.3">
      <c r="A311" s="1" t="s">
        <v>694</v>
      </c>
      <c r="B311" t="s">
        <v>72</v>
      </c>
      <c r="C311" t="s">
        <v>81</v>
      </c>
      <c r="D311" t="str">
        <f t="shared" si="4"/>
        <v>Male</v>
      </c>
      <c r="E311" t="s">
        <v>9</v>
      </c>
      <c r="F311" s="2">
        <v>52</v>
      </c>
      <c r="G311" s="2" t="str" cm="1">
        <f t="array" ref="G311">_xlfn.IFS(F311&lt;=8,"Child",F311&lt;=17,"Teen",F311&lt;=35,"Adult",F311&lt;=55,"Seniour Adult",F311&gt;=55,"Old Age")</f>
        <v>Seniour Adult</v>
      </c>
      <c r="H311" t="s">
        <v>18</v>
      </c>
      <c r="I311" t="s">
        <v>11</v>
      </c>
      <c r="J311" t="str" cm="1">
        <f t="array" ref="J311">_xlfn.IFS(I311="S","Sauthamptonm",I311="Q","Queentown",I311="C","Cherburg",I311="B","Cabin")</f>
        <v>Sauthamptonm</v>
      </c>
      <c r="K311" t="s">
        <v>41</v>
      </c>
      <c r="L311" s="2">
        <v>13</v>
      </c>
      <c r="M311">
        <v>0</v>
      </c>
      <c r="N311">
        <v>0</v>
      </c>
      <c r="O311" t="s">
        <v>13</v>
      </c>
    </row>
    <row r="312" spans="1:15" x14ac:dyDescent="0.3">
      <c r="A312" s="1" t="s">
        <v>695</v>
      </c>
      <c r="B312" t="s">
        <v>76</v>
      </c>
      <c r="C312" t="s">
        <v>696</v>
      </c>
      <c r="D312" t="str">
        <f t="shared" si="4"/>
        <v>Female</v>
      </c>
      <c r="E312" t="s">
        <v>14</v>
      </c>
      <c r="F312" s="2">
        <v>45</v>
      </c>
      <c r="G312" s="2" t="str" cm="1">
        <f t="array" ref="G312">_xlfn.IFS(F312&lt;=8,"Child",F312&lt;=17,"Teen",F312&lt;=35,"Adult",F312&lt;=55,"Seniour Adult",F312&gt;=55,"Old Age")</f>
        <v>Seniour Adult</v>
      </c>
      <c r="H312" t="s">
        <v>25</v>
      </c>
      <c r="I312" t="s">
        <v>19</v>
      </c>
      <c r="J312" t="str" cm="1">
        <f t="array" ref="J312">_xlfn.IFS(I312="S","Sauthamptonm",I312="Q","Queentown",I312="C","Cherburg",I312="B","Cabin")</f>
        <v>Cherburg</v>
      </c>
      <c r="K312" t="s">
        <v>12</v>
      </c>
      <c r="L312" s="2">
        <v>63.0702</v>
      </c>
      <c r="M312">
        <v>0</v>
      </c>
      <c r="N312">
        <v>1</v>
      </c>
      <c r="O312" t="s">
        <v>16</v>
      </c>
    </row>
    <row r="313" spans="1:15" x14ac:dyDescent="0.3">
      <c r="A313" s="1" t="s">
        <v>697</v>
      </c>
      <c r="B313" t="s">
        <v>72</v>
      </c>
      <c r="C313" t="s">
        <v>698</v>
      </c>
      <c r="D313" t="str">
        <f t="shared" si="4"/>
        <v>Male</v>
      </c>
      <c r="E313" t="s">
        <v>9</v>
      </c>
      <c r="F313" s="2">
        <v>20</v>
      </c>
      <c r="G313" s="2" t="str" cm="1">
        <f t="array" ref="G313">_xlfn.IFS(F313&lt;=8,"Child",F313&lt;=17,"Teen",F313&lt;=35,"Adult",F313&lt;=55,"Seniour Adult",F313&gt;=55,"Old Age")</f>
        <v>Adult</v>
      </c>
      <c r="H313" t="s">
        <v>51</v>
      </c>
      <c r="I313" t="s">
        <v>11</v>
      </c>
      <c r="J313" t="str" cm="1">
        <f t="array" ref="J313">_xlfn.IFS(I313="S","Sauthamptonm",I313="Q","Queentown",I313="C","Cherburg",I313="B","Cabin")</f>
        <v>Sauthamptonm</v>
      </c>
      <c r="K313" t="s">
        <v>15</v>
      </c>
      <c r="L313" s="2">
        <v>29</v>
      </c>
      <c r="M313">
        <v>0</v>
      </c>
      <c r="N313" t="s">
        <v>30</v>
      </c>
      <c r="O313" t="s">
        <v>13</v>
      </c>
    </row>
    <row r="314" spans="1:15" x14ac:dyDescent="0.3">
      <c r="A314" s="1" t="s">
        <v>699</v>
      </c>
      <c r="B314" t="s">
        <v>72</v>
      </c>
      <c r="C314" t="s">
        <v>700</v>
      </c>
      <c r="D314" t="str">
        <f t="shared" si="4"/>
        <v>Male</v>
      </c>
      <c r="E314" t="s">
        <v>9</v>
      </c>
      <c r="F314" s="2">
        <v>32</v>
      </c>
      <c r="G314" s="2" t="str" cm="1">
        <f t="array" ref="G314">_xlfn.IFS(F314&lt;=8,"Child",F314&lt;=17,"Teen",F314&lt;=35,"Adult",F314&lt;=55,"Seniour Adult",F314&gt;=55,"Old Age")</f>
        <v>Adult</v>
      </c>
      <c r="H314" t="s">
        <v>10</v>
      </c>
      <c r="I314" t="s">
        <v>11</v>
      </c>
      <c r="J314" t="str" cm="1">
        <f t="array" ref="J314">_xlfn.IFS(I314="S","Sauthamptonm",I314="Q","Queentown",I314="C","Cherburg",I314="B","Cabin")</f>
        <v>Sauthamptonm</v>
      </c>
      <c r="K314" t="s">
        <v>17</v>
      </c>
      <c r="L314" s="2">
        <v>8.0615000000000006</v>
      </c>
      <c r="M314">
        <v>0</v>
      </c>
      <c r="N314">
        <v>0</v>
      </c>
      <c r="O314" t="s">
        <v>13</v>
      </c>
    </row>
    <row r="315" spans="1:15" x14ac:dyDescent="0.3">
      <c r="A315" s="1" t="s">
        <v>701</v>
      </c>
      <c r="B315" t="s">
        <v>72</v>
      </c>
      <c r="C315" t="s">
        <v>175</v>
      </c>
      <c r="D315" t="str">
        <f t="shared" si="4"/>
        <v>Male</v>
      </c>
      <c r="E315" t="s">
        <v>9</v>
      </c>
      <c r="F315" s="2">
        <v>25</v>
      </c>
      <c r="G315" s="2" t="str" cm="1">
        <f t="array" ref="G315">_xlfn.IFS(F315&lt;=8,"Child",F315&lt;=17,"Teen",F315&lt;=35,"Adult",F315&lt;=55,"Seniour Adult",F315&gt;=55,"Old Age")</f>
        <v>Adult</v>
      </c>
      <c r="H315" t="s">
        <v>10</v>
      </c>
      <c r="I315" t="s">
        <v>11</v>
      </c>
      <c r="J315" t="str" cm="1">
        <f t="array" ref="J315">_xlfn.IFS(I315="S","Sauthamptonm",I315="Q","Queentown",I315="C","Cherburg",I315="B","Cabin")</f>
        <v>Sauthamptonm</v>
      </c>
      <c r="K315" t="s">
        <v>15</v>
      </c>
      <c r="L315" s="2">
        <v>8.01</v>
      </c>
      <c r="M315">
        <v>0</v>
      </c>
      <c r="N315">
        <v>0</v>
      </c>
      <c r="O315" t="s">
        <v>13</v>
      </c>
    </row>
    <row r="316" spans="1:15" x14ac:dyDescent="0.3">
      <c r="A316" s="1" t="s">
        <v>702</v>
      </c>
      <c r="B316" t="s">
        <v>72</v>
      </c>
      <c r="C316" t="s">
        <v>703</v>
      </c>
      <c r="D316" t="str">
        <f t="shared" si="4"/>
        <v>Male</v>
      </c>
      <c r="E316" t="s">
        <v>9</v>
      </c>
      <c r="F316" s="2">
        <v>46</v>
      </c>
      <c r="G316" s="2" t="str" cm="1">
        <f t="array" ref="G316">_xlfn.IFS(F316&lt;=8,"Child",F316&lt;=17,"Teen",F316&lt;=35,"Adult",F316&lt;=55,"Seniour Adult",F316&gt;=55,"Old Age")</f>
        <v>Seniour Adult</v>
      </c>
      <c r="H316" t="s">
        <v>25</v>
      </c>
      <c r="I316" t="s">
        <v>19</v>
      </c>
      <c r="J316" t="str" cm="1">
        <f t="array" ref="J316">_xlfn.IFS(I316="S","Sauthamptonm",I316="Q","Queentown",I316="C","Cherburg",I316="B","Cabin")</f>
        <v>Cherburg</v>
      </c>
      <c r="K316" t="s">
        <v>20</v>
      </c>
      <c r="L316" s="2">
        <v>79.040000000000006</v>
      </c>
      <c r="M316">
        <v>0</v>
      </c>
      <c r="N316">
        <v>0</v>
      </c>
      <c r="O316" t="s">
        <v>13</v>
      </c>
    </row>
    <row r="317" spans="1:15" x14ac:dyDescent="0.3">
      <c r="A317" s="1" t="s">
        <v>704</v>
      </c>
      <c r="B317" t="s">
        <v>72</v>
      </c>
      <c r="C317" t="s">
        <v>705</v>
      </c>
      <c r="D317" t="str">
        <f t="shared" si="4"/>
        <v>Male</v>
      </c>
      <c r="E317" t="s">
        <v>9</v>
      </c>
      <c r="F317" s="2">
        <v>19</v>
      </c>
      <c r="G317" s="2" t="str" cm="1">
        <f t="array" ref="G317">_xlfn.IFS(F317&lt;=8,"Child",F317&lt;=17,"Teen",F317&lt;=35,"Adult",F317&lt;=55,"Seniour Adult",F317&gt;=55,"Old Age")</f>
        <v>Adult</v>
      </c>
      <c r="H317" t="s">
        <v>10</v>
      </c>
      <c r="I317" t="s">
        <v>11</v>
      </c>
      <c r="J317" t="str" cm="1">
        <f t="array" ref="J317">_xlfn.IFS(I317="S","Sauthamptonm",I317="Q","Queentown",I317="C","Cherburg",I317="B","Cabin")</f>
        <v>Sauthamptonm</v>
      </c>
      <c r="K317" t="s">
        <v>22</v>
      </c>
      <c r="L317" s="2">
        <v>9.1610999999999994</v>
      </c>
      <c r="M317">
        <v>0</v>
      </c>
      <c r="N317">
        <v>0</v>
      </c>
      <c r="O317" t="s">
        <v>13</v>
      </c>
    </row>
    <row r="318" spans="1:15" x14ac:dyDescent="0.3">
      <c r="A318" s="1" t="s">
        <v>706</v>
      </c>
      <c r="B318" t="s">
        <v>78</v>
      </c>
      <c r="C318" t="s">
        <v>707</v>
      </c>
      <c r="D318" t="str">
        <f t="shared" si="4"/>
        <v>Female</v>
      </c>
      <c r="E318" t="s">
        <v>14</v>
      </c>
      <c r="F318" s="2">
        <v>24</v>
      </c>
      <c r="G318" s="2" t="str" cm="1">
        <f t="array" ref="G318">_xlfn.IFS(F318&lt;=8,"Child",F318&lt;=17,"Teen",F318&lt;=35,"Adult",F318&lt;=55,"Seniour Adult",F318&gt;=55,"Old Age")</f>
        <v>Adult</v>
      </c>
      <c r="H318" t="s">
        <v>10</v>
      </c>
      <c r="I318" t="s">
        <v>11</v>
      </c>
      <c r="J318" t="str" cm="1">
        <f t="array" ref="J318">_xlfn.IFS(I318="S","Sauthamptonm",I318="Q","Queentown",I318="C","Cherburg",I318="B","Cabin")</f>
        <v>Sauthamptonm</v>
      </c>
      <c r="K318" t="s">
        <v>32</v>
      </c>
      <c r="L318" s="2">
        <v>8.17</v>
      </c>
      <c r="M318">
        <v>0</v>
      </c>
      <c r="N318">
        <v>0</v>
      </c>
      <c r="O318" t="s">
        <v>13</v>
      </c>
    </row>
    <row r="319" spans="1:15" x14ac:dyDescent="0.3">
      <c r="A319" s="1" t="s">
        <v>708</v>
      </c>
      <c r="B319" t="s">
        <v>72</v>
      </c>
      <c r="C319" t="s">
        <v>709</v>
      </c>
      <c r="D319" t="str">
        <f t="shared" si="4"/>
        <v>Male</v>
      </c>
      <c r="E319" t="s">
        <v>9</v>
      </c>
      <c r="F319" s="2">
        <v>28</v>
      </c>
      <c r="G319" s="2" t="str" cm="1">
        <f t="array" ref="G319">_xlfn.IFS(F319&lt;=8,"Child",F319&lt;=17,"Teen",F319&lt;=35,"Adult",F319&lt;=55,"Seniour Adult",F319&gt;=55,"Old Age")</f>
        <v>Adult</v>
      </c>
      <c r="H319" t="s">
        <v>10</v>
      </c>
      <c r="I319" t="s">
        <v>11</v>
      </c>
      <c r="J319" t="str" cm="1">
        <f t="array" ref="J319">_xlfn.IFS(I319="S","Sauthamptonm",I319="Q","Queentown",I319="C","Cherburg",I319="B","Cabin")</f>
        <v>Sauthamptonm</v>
      </c>
      <c r="K319" t="s">
        <v>17</v>
      </c>
      <c r="L319" s="2">
        <v>6.1904000000000003</v>
      </c>
      <c r="M319">
        <v>1</v>
      </c>
      <c r="N319">
        <v>0</v>
      </c>
      <c r="O319" t="s">
        <v>13</v>
      </c>
    </row>
    <row r="320" spans="1:15" x14ac:dyDescent="0.3">
      <c r="A320" s="1" t="s">
        <v>710</v>
      </c>
      <c r="B320" t="s">
        <v>72</v>
      </c>
      <c r="C320" t="s">
        <v>711</v>
      </c>
      <c r="D320" t="str">
        <f t="shared" si="4"/>
        <v>Male</v>
      </c>
      <c r="E320" t="s">
        <v>9</v>
      </c>
      <c r="F320" s="2">
        <v>28</v>
      </c>
      <c r="G320" s="2" t="str" cm="1">
        <f t="array" ref="G320">_xlfn.IFS(F320&lt;=8,"Child",F320&lt;=17,"Teen",F320&lt;=35,"Adult",F320&lt;=55,"Seniour Adult",F320&gt;=55,"Old Age")</f>
        <v>Adult</v>
      </c>
      <c r="H320" t="s">
        <v>10</v>
      </c>
      <c r="I320" t="s">
        <v>11</v>
      </c>
      <c r="J320" t="str" cm="1">
        <f t="array" ref="J320">_xlfn.IFS(I320="S","Sauthamptonm",I320="Q","Queentown",I320="C","Cherburg",I320="B","Cabin")</f>
        <v>Sauthamptonm</v>
      </c>
      <c r="K320" t="s">
        <v>22</v>
      </c>
      <c r="L320" s="2">
        <v>15.17</v>
      </c>
      <c r="M320">
        <v>1</v>
      </c>
      <c r="N320">
        <v>0</v>
      </c>
      <c r="O320" t="s">
        <v>13</v>
      </c>
    </row>
    <row r="321" spans="1:15" x14ac:dyDescent="0.3">
      <c r="A321" s="1" t="s">
        <v>712</v>
      </c>
      <c r="B321" t="s">
        <v>72</v>
      </c>
      <c r="C321" t="s">
        <v>713</v>
      </c>
      <c r="D321" t="str">
        <f t="shared" si="4"/>
        <v>Male</v>
      </c>
      <c r="E321" t="s">
        <v>9</v>
      </c>
      <c r="F321" s="2">
        <v>30</v>
      </c>
      <c r="G321" s="2" t="str" cm="1">
        <f t="array" ref="G321">_xlfn.IFS(F321&lt;=8,"Child",F321&lt;=17,"Teen",F321&lt;=35,"Adult",F321&lt;=55,"Seniour Adult",F321&gt;=55,"Old Age")</f>
        <v>Adult</v>
      </c>
      <c r="H321" t="s">
        <v>18</v>
      </c>
      <c r="I321" t="s">
        <v>11</v>
      </c>
      <c r="J321" t="str" cm="1">
        <f t="array" ref="J321">_xlfn.IFS(I321="S","Sauthamptonm",I321="Q","Queentown",I321="C","Cherburg",I321="B","Cabin")</f>
        <v>Sauthamptonm</v>
      </c>
      <c r="K321" t="s">
        <v>15</v>
      </c>
      <c r="L321" s="2">
        <v>13</v>
      </c>
      <c r="M321">
        <v>0</v>
      </c>
      <c r="N321">
        <v>0</v>
      </c>
      <c r="O321" t="s">
        <v>13</v>
      </c>
    </row>
    <row r="322" spans="1:15" x14ac:dyDescent="0.3">
      <c r="A322" s="1" t="s">
        <v>714</v>
      </c>
      <c r="B322" t="s">
        <v>94</v>
      </c>
      <c r="C322" t="s">
        <v>715</v>
      </c>
      <c r="D322" t="str">
        <f t="shared" ref="D322:D385" si="5">PROPER(E322)</f>
        <v>Male</v>
      </c>
      <c r="E322" t="s">
        <v>9</v>
      </c>
      <c r="F322" s="2">
        <v>0.58333333330000003</v>
      </c>
      <c r="G322" s="2" t="str" cm="1">
        <f t="array" ref="G322">_xlfn.IFS(F322&lt;=8,"Child",F322&lt;=17,"Teen",F322&lt;=35,"Adult",F322&lt;=55,"Seniour Adult",F322&gt;=55,"Old Age")</f>
        <v>Child</v>
      </c>
      <c r="H322" t="s">
        <v>18</v>
      </c>
      <c r="I322" t="s">
        <v>11</v>
      </c>
      <c r="J322" t="str" cm="1">
        <f t="array" ref="J322">_xlfn.IFS(I322="S","Sauthamptonm",I322="Q","Queentown",I322="C","Cherburg",I322="B","Cabin")</f>
        <v>Sauthamptonm</v>
      </c>
      <c r="K322" t="s">
        <v>12</v>
      </c>
      <c r="L322" s="2">
        <v>14.1</v>
      </c>
      <c r="M322">
        <v>1</v>
      </c>
      <c r="N322">
        <v>1</v>
      </c>
      <c r="O322" t="s">
        <v>16</v>
      </c>
    </row>
    <row r="323" spans="1:15" x14ac:dyDescent="0.3">
      <c r="A323" s="1" t="s">
        <v>716</v>
      </c>
      <c r="B323" t="s">
        <v>72</v>
      </c>
      <c r="C323" t="s">
        <v>717</v>
      </c>
      <c r="D323" t="str">
        <f t="shared" si="5"/>
        <v>Male</v>
      </c>
      <c r="E323" t="s">
        <v>9</v>
      </c>
      <c r="F323" s="2">
        <v>19</v>
      </c>
      <c r="G323" s="2" t="str" cm="1">
        <f t="array" ref="G323">_xlfn.IFS(F323&lt;=8,"Child",F323&lt;=17,"Teen",F323&lt;=35,"Adult",F323&lt;=55,"Seniour Adult",F323&gt;=55,"Old Age")</f>
        <v>Adult</v>
      </c>
      <c r="H323" t="s">
        <v>10</v>
      </c>
      <c r="I323" t="s">
        <v>11</v>
      </c>
      <c r="J323" t="str" cm="1">
        <f t="array" ref="J323">_xlfn.IFS(I323="S","Sauthamptonm",I323="Q","Queentown",I323="C","Cherburg",I323="B","Cabin")</f>
        <v>Sauthamptonm</v>
      </c>
      <c r="K323" t="s">
        <v>46</v>
      </c>
      <c r="L323" s="2">
        <v>9.1</v>
      </c>
      <c r="M323">
        <v>0</v>
      </c>
      <c r="N323">
        <v>0</v>
      </c>
      <c r="O323" t="s">
        <v>13</v>
      </c>
    </row>
    <row r="324" spans="1:15" x14ac:dyDescent="0.3">
      <c r="A324" s="1" t="s">
        <v>718</v>
      </c>
      <c r="B324" t="s">
        <v>72</v>
      </c>
      <c r="C324" t="s">
        <v>719</v>
      </c>
      <c r="D324" t="str">
        <f t="shared" si="5"/>
        <v>Male</v>
      </c>
      <c r="E324" t="s">
        <v>9</v>
      </c>
      <c r="F324" s="2">
        <v>27</v>
      </c>
      <c r="G324" s="2" t="str" cm="1">
        <f t="array" ref="G324">_xlfn.IFS(F324&lt;=8,"Child",F324&lt;=17,"Teen",F324&lt;=35,"Adult",F324&lt;=55,"Seniour Adult",F324&gt;=55,"Old Age")</f>
        <v>Adult</v>
      </c>
      <c r="H324" t="s">
        <v>10</v>
      </c>
      <c r="I324" t="s">
        <v>19</v>
      </c>
      <c r="J324" t="str" cm="1">
        <f t="array" ref="J324">_xlfn.IFS(I324="S","Sauthamptonm",I324="Q","Queentown",I324="C","Cherburg",I324="B","Cabin")</f>
        <v>Cherburg</v>
      </c>
      <c r="K324" t="s">
        <v>21</v>
      </c>
      <c r="L324" s="2">
        <v>7.0407000000000002</v>
      </c>
      <c r="M324">
        <v>0</v>
      </c>
      <c r="N324">
        <v>0</v>
      </c>
      <c r="O324" t="s">
        <v>16</v>
      </c>
    </row>
    <row r="325" spans="1:15" x14ac:dyDescent="0.3">
      <c r="A325" s="1" t="s">
        <v>720</v>
      </c>
      <c r="B325" t="s">
        <v>72</v>
      </c>
      <c r="C325" t="s">
        <v>721</v>
      </c>
      <c r="D325" t="str">
        <f t="shared" si="5"/>
        <v>Male</v>
      </c>
      <c r="E325" t="s">
        <v>9</v>
      </c>
      <c r="F325" s="2">
        <v>18</v>
      </c>
      <c r="G325" s="2" t="str" cm="1">
        <f t="array" ref="G325">_xlfn.IFS(F325&lt;=8,"Child",F325&lt;=17,"Teen",F325&lt;=35,"Adult",F325&lt;=55,"Seniour Adult",F325&gt;=55,"Old Age")</f>
        <v>Adult</v>
      </c>
      <c r="H325" t="s">
        <v>10</v>
      </c>
      <c r="I325" t="s">
        <v>19</v>
      </c>
      <c r="J325" t="str" cm="1">
        <f t="array" ref="J325">_xlfn.IFS(I325="S","Sauthamptonm",I325="Q","Queentown",I325="C","Cherburg",I325="B","Cabin")</f>
        <v>Cherburg</v>
      </c>
      <c r="K325" t="s">
        <v>21</v>
      </c>
      <c r="L325" s="2">
        <v>7.0406000000000004</v>
      </c>
      <c r="M325">
        <v>0</v>
      </c>
      <c r="N325">
        <v>0</v>
      </c>
      <c r="O325" t="s">
        <v>13</v>
      </c>
    </row>
    <row r="326" spans="1:15" x14ac:dyDescent="0.3">
      <c r="A326" s="1" t="s">
        <v>722</v>
      </c>
      <c r="B326" t="s">
        <v>72</v>
      </c>
      <c r="C326" t="s">
        <v>723</v>
      </c>
      <c r="D326" t="str">
        <f t="shared" si="5"/>
        <v>Male</v>
      </c>
      <c r="E326" t="s">
        <v>9</v>
      </c>
      <c r="F326" s="2">
        <v>41</v>
      </c>
      <c r="G326" s="2" t="str" cm="1">
        <f t="array" ref="G326">_xlfn.IFS(F326&lt;=8,"Child",F326&lt;=17,"Teen",F326&lt;=35,"Adult",F326&lt;=55,"Seniour Adult",F326&gt;=55,"Old Age")</f>
        <v>Seniour Adult</v>
      </c>
      <c r="H326" t="s">
        <v>10</v>
      </c>
      <c r="I326" t="s">
        <v>11</v>
      </c>
      <c r="J326" t="str" cm="1">
        <f t="array" ref="J326">_xlfn.IFS(I326="S","Sauthamptonm",I326="Q","Queentown",I326="C","Cherburg",I326="B","Cabin")</f>
        <v>Sauthamptonm</v>
      </c>
      <c r="K326" t="s">
        <v>12</v>
      </c>
      <c r="L326" s="2">
        <v>14.020200000000001</v>
      </c>
      <c r="M326">
        <v>2</v>
      </c>
      <c r="N326">
        <v>0</v>
      </c>
      <c r="O326" t="s">
        <v>13</v>
      </c>
    </row>
    <row r="327" spans="1:15" x14ac:dyDescent="0.3">
      <c r="A327" s="1" t="s">
        <v>724</v>
      </c>
      <c r="B327" t="s">
        <v>72</v>
      </c>
      <c r="C327" t="s">
        <v>725</v>
      </c>
      <c r="D327" t="str">
        <f t="shared" si="5"/>
        <v>Male</v>
      </c>
      <c r="E327" t="s">
        <v>9</v>
      </c>
      <c r="F327" s="2">
        <v>45</v>
      </c>
      <c r="G327" s="2" t="str" cm="1">
        <f t="array" ref="G327">_xlfn.IFS(F327&lt;=8,"Child",F327&lt;=17,"Teen",F327&lt;=35,"Adult",F327&lt;=55,"Seniour Adult",F327&gt;=55,"Old Age")</f>
        <v>Seniour Adult</v>
      </c>
      <c r="H327" t="s">
        <v>18</v>
      </c>
      <c r="I327" t="s">
        <v>11</v>
      </c>
      <c r="J327" t="str" cm="1">
        <f t="array" ref="J327">_xlfn.IFS(I327="S","Sauthamptonm",I327="Q","Queentown",I327="C","Cherburg",I327="B","Cabin")</f>
        <v>Sauthamptonm</v>
      </c>
      <c r="K327" t="s">
        <v>12</v>
      </c>
      <c r="L327" s="2">
        <v>13</v>
      </c>
      <c r="M327">
        <v>0</v>
      </c>
      <c r="N327">
        <v>0</v>
      </c>
      <c r="O327" t="s">
        <v>13</v>
      </c>
    </row>
    <row r="328" spans="1:15" x14ac:dyDescent="0.3">
      <c r="A328" s="1" t="s">
        <v>726</v>
      </c>
      <c r="B328" t="s">
        <v>72</v>
      </c>
      <c r="C328" t="s">
        <v>727</v>
      </c>
      <c r="D328" t="str">
        <f t="shared" si="5"/>
        <v>Male</v>
      </c>
      <c r="E328" t="s">
        <v>9</v>
      </c>
      <c r="F328" s="2">
        <v>25</v>
      </c>
      <c r="G328" s="2" t="str" cm="1">
        <f t="array" ref="G328">_xlfn.IFS(F328&lt;=8,"Child",F328&lt;=17,"Teen",F328&lt;=35,"Adult",F328&lt;=55,"Seniour Adult",F328&gt;=55,"Old Age")</f>
        <v>Adult</v>
      </c>
      <c r="H328" t="s">
        <v>25</v>
      </c>
      <c r="I328" t="s">
        <v>19</v>
      </c>
      <c r="J328" t="str" cm="1">
        <f t="array" ref="J328">_xlfn.IFS(I328="S","Sauthamptonm",I328="Q","Queentown",I328="C","Cherburg",I328="B","Cabin")</f>
        <v>Cherburg</v>
      </c>
      <c r="K328" t="s">
        <v>12</v>
      </c>
      <c r="L328" s="2">
        <v>55.081000000000003</v>
      </c>
      <c r="M328">
        <v>1</v>
      </c>
      <c r="N328">
        <v>0</v>
      </c>
      <c r="O328" t="s">
        <v>16</v>
      </c>
    </row>
    <row r="329" spans="1:15" x14ac:dyDescent="0.3">
      <c r="A329" s="1" t="s">
        <v>728</v>
      </c>
      <c r="B329" t="s">
        <v>78</v>
      </c>
      <c r="C329" t="s">
        <v>263</v>
      </c>
      <c r="D329" t="str">
        <f t="shared" si="5"/>
        <v>Female</v>
      </c>
      <c r="E329" t="s">
        <v>14</v>
      </c>
      <c r="F329" s="2">
        <v>17</v>
      </c>
      <c r="G329" s="2" t="str" cm="1">
        <f t="array" ref="G329">_xlfn.IFS(F329&lt;=8,"Child",F329&lt;=17,"Teen",F329&lt;=35,"Adult",F329&lt;=55,"Seniour Adult",F329&gt;=55,"Old Age")</f>
        <v>Teen</v>
      </c>
      <c r="H329" t="s">
        <v>10</v>
      </c>
      <c r="I329" t="s">
        <v>36</v>
      </c>
      <c r="J329" t="str" cm="1">
        <f t="array" ref="J329">_xlfn.IFS(I329="S","Sauthamptonm",I329="Q","Queentown",I329="C","Cherburg",I329="B","Cabin")</f>
        <v>Queentown</v>
      </c>
      <c r="K329" t="s">
        <v>37</v>
      </c>
      <c r="L329" s="2">
        <v>7.1407999999999996</v>
      </c>
      <c r="M329">
        <v>0</v>
      </c>
      <c r="N329">
        <v>0</v>
      </c>
      <c r="O329" t="s">
        <v>13</v>
      </c>
    </row>
    <row r="330" spans="1:15" x14ac:dyDescent="0.3">
      <c r="A330" s="1" t="s">
        <v>729</v>
      </c>
      <c r="B330" t="s">
        <v>78</v>
      </c>
      <c r="C330" t="s">
        <v>730</v>
      </c>
      <c r="D330" t="str">
        <f t="shared" si="5"/>
        <v>Female</v>
      </c>
      <c r="E330" t="s">
        <v>14</v>
      </c>
      <c r="F330" s="2">
        <v>21</v>
      </c>
      <c r="G330" s="2" t="str" cm="1">
        <f t="array" ref="G330">_xlfn.IFS(F330&lt;=8,"Child",F330&lt;=17,"Teen",F330&lt;=35,"Adult",F330&lt;=55,"Seniour Adult",F330&gt;=55,"Old Age")</f>
        <v>Adult</v>
      </c>
      <c r="H330" t="s">
        <v>10</v>
      </c>
      <c r="I330" t="s">
        <v>11</v>
      </c>
      <c r="J330" t="str" cm="1">
        <f t="array" ref="J330">_xlfn.IFS(I330="S","Sauthamptonm",I330="Q","Queentown",I330="C","Cherburg",I330="B","Cabin")</f>
        <v>Sauthamptonm</v>
      </c>
      <c r="K330" t="s">
        <v>15</v>
      </c>
      <c r="L330" s="2">
        <v>7.11</v>
      </c>
      <c r="M330">
        <v>0</v>
      </c>
      <c r="N330">
        <v>0</v>
      </c>
      <c r="O330" t="s">
        <v>13</v>
      </c>
    </row>
    <row r="331" spans="1:15" x14ac:dyDescent="0.3">
      <c r="A331" s="1" t="s">
        <v>731</v>
      </c>
      <c r="B331" t="s">
        <v>78</v>
      </c>
      <c r="C331" t="s">
        <v>732</v>
      </c>
      <c r="D331" t="str">
        <f t="shared" si="5"/>
        <v>Female</v>
      </c>
      <c r="E331" t="s">
        <v>14</v>
      </c>
      <c r="F331" s="2">
        <v>6</v>
      </c>
      <c r="G331" s="2" t="str" cm="1">
        <f t="array" ref="G331">_xlfn.IFS(F331&lt;=8,"Child",F331&lt;=17,"Teen",F331&lt;=35,"Adult",F331&lt;=55,"Seniour Adult",F331&gt;=55,"Old Age")</f>
        <v>Child</v>
      </c>
      <c r="H331" t="s">
        <v>18</v>
      </c>
      <c r="I331" t="s">
        <v>11</v>
      </c>
      <c r="J331" t="str" cm="1">
        <f t="array" ref="J331">_xlfn.IFS(I331="S","Sauthamptonm",I331="Q","Queentown",I331="C","Cherburg",I331="B","Cabin")</f>
        <v>Sauthamptonm</v>
      </c>
      <c r="K331" t="s">
        <v>43</v>
      </c>
      <c r="L331" s="2">
        <v>33</v>
      </c>
      <c r="M331">
        <v>0</v>
      </c>
      <c r="N331">
        <v>1</v>
      </c>
      <c r="O331" t="s">
        <v>16</v>
      </c>
    </row>
    <row r="332" spans="1:15" x14ac:dyDescent="0.3">
      <c r="A332" s="1" t="s">
        <v>733</v>
      </c>
      <c r="B332" t="s">
        <v>72</v>
      </c>
      <c r="C332" t="s">
        <v>378</v>
      </c>
      <c r="D332" t="str">
        <f t="shared" si="5"/>
        <v>Male</v>
      </c>
      <c r="E332" t="s">
        <v>9</v>
      </c>
      <c r="F332" s="2">
        <v>37</v>
      </c>
      <c r="G332" s="2" t="str" cm="1">
        <f t="array" ref="G332">_xlfn.IFS(F332&lt;=8,"Child",F332&lt;=17,"Teen",F332&lt;=35,"Adult",F332&lt;=55,"Seniour Adult",F332&gt;=55,"Old Age")</f>
        <v>Seniour Adult</v>
      </c>
      <c r="H332" t="s">
        <v>25</v>
      </c>
      <c r="I332" t="s">
        <v>11</v>
      </c>
      <c r="J332" t="str" cm="1">
        <f t="array" ref="J332">_xlfn.IFS(I332="S","Sauthamptonm",I332="Q","Queentown",I332="C","Cherburg",I332="B","Cabin")</f>
        <v>Sauthamptonm</v>
      </c>
      <c r="K332" t="s">
        <v>15</v>
      </c>
      <c r="L332" s="2">
        <v>42.08</v>
      </c>
      <c r="M332">
        <v>0</v>
      </c>
      <c r="N332">
        <v>0</v>
      </c>
      <c r="O332" t="s">
        <v>13</v>
      </c>
    </row>
    <row r="333" spans="1:15" x14ac:dyDescent="0.3">
      <c r="A333" s="1" t="s">
        <v>734</v>
      </c>
      <c r="B333" t="s">
        <v>72</v>
      </c>
      <c r="C333" t="s">
        <v>698</v>
      </c>
      <c r="D333" t="str">
        <f t="shared" si="5"/>
        <v>Male</v>
      </c>
      <c r="E333" t="s">
        <v>9</v>
      </c>
      <c r="F333" s="2">
        <v>62</v>
      </c>
      <c r="G333" s="2" t="str" cm="1">
        <f t="array" ref="G333">_xlfn.IFS(F333&lt;=8,"Child",F333&lt;=17,"Teen",F333&lt;=35,"Adult",F333&lt;=55,"Seniour Adult",F333&gt;=55,"Old Age")</f>
        <v>Old Age</v>
      </c>
      <c r="H333" t="s">
        <v>18</v>
      </c>
      <c r="I333" t="s">
        <v>11</v>
      </c>
      <c r="J333" t="str" cm="1">
        <f t="array" ref="J333">_xlfn.IFS(I333="S","Sauthamptonm",I333="Q","Queentown",I333="C","Cherburg",I333="B","Cabin")</f>
        <v>Sauthamptonm</v>
      </c>
      <c r="K333" t="s">
        <v>15</v>
      </c>
      <c r="L333" s="2">
        <v>10.1</v>
      </c>
      <c r="M333">
        <v>0</v>
      </c>
      <c r="N333">
        <v>0</v>
      </c>
      <c r="O333" t="s">
        <v>16</v>
      </c>
    </row>
    <row r="334" spans="1:15" x14ac:dyDescent="0.3">
      <c r="A334" s="1" t="s">
        <v>736</v>
      </c>
      <c r="B334" t="s">
        <v>72</v>
      </c>
      <c r="C334" t="s">
        <v>107</v>
      </c>
      <c r="D334" t="str">
        <f t="shared" si="5"/>
        <v>Male</v>
      </c>
      <c r="E334" t="s">
        <v>9</v>
      </c>
      <c r="F334" s="2">
        <v>46</v>
      </c>
      <c r="G334" s="2" t="str" cm="1">
        <f t="array" ref="G334">_xlfn.IFS(F334&lt;=8,"Child",F334&lt;=17,"Teen",F334&lt;=35,"Adult",F334&lt;=55,"Seniour Adult",F334&gt;=55,"Old Age")</f>
        <v>Seniour Adult</v>
      </c>
      <c r="H334" t="s">
        <v>25</v>
      </c>
      <c r="I334" t="s">
        <v>11</v>
      </c>
      <c r="J334" t="str" cm="1">
        <f t="array" ref="J334">_xlfn.IFS(I334="S","Sauthamptonm",I334="Q","Queentown",I334="C","Cherburg",I334="B","Cabin")</f>
        <v>Sauthamptonm</v>
      </c>
      <c r="K334" t="s">
        <v>15</v>
      </c>
      <c r="L334" s="2">
        <v>29</v>
      </c>
      <c r="M334">
        <v>0</v>
      </c>
      <c r="N334">
        <v>0</v>
      </c>
      <c r="O334" t="s">
        <v>13</v>
      </c>
    </row>
    <row r="335" spans="1:15" x14ac:dyDescent="0.3">
      <c r="A335" s="1" t="s">
        <v>737</v>
      </c>
      <c r="B335" t="s">
        <v>72</v>
      </c>
      <c r="C335" t="s">
        <v>738</v>
      </c>
      <c r="D335" t="str">
        <f t="shared" si="5"/>
        <v>Male</v>
      </c>
      <c r="E335" t="s">
        <v>9</v>
      </c>
      <c r="F335" s="2">
        <v>33</v>
      </c>
      <c r="G335" s="2" t="str" cm="1">
        <f t="array" ref="G335">_xlfn.IFS(F335&lt;=8,"Child",F335&lt;=17,"Teen",F335&lt;=35,"Adult",F335&lt;=55,"Seniour Adult",F335&gt;=55,"Old Age")</f>
        <v>Adult</v>
      </c>
      <c r="H335" t="s">
        <v>18</v>
      </c>
      <c r="I335" t="s">
        <v>11</v>
      </c>
      <c r="J335" t="str" cm="1">
        <f t="array" ref="J335">_xlfn.IFS(I335="S","Sauthamptonm",I335="Q","Queentown",I335="C","Cherburg",I335="B","Cabin")</f>
        <v>Sauthamptonm</v>
      </c>
      <c r="K335" t="s">
        <v>15</v>
      </c>
      <c r="L335" s="2">
        <v>29</v>
      </c>
      <c r="M335">
        <v>0</v>
      </c>
      <c r="N335" t="s">
        <v>30</v>
      </c>
      <c r="O335" t="s">
        <v>13</v>
      </c>
    </row>
    <row r="336" spans="1:15" x14ac:dyDescent="0.3">
      <c r="A336" s="1" t="s">
        <v>739</v>
      </c>
      <c r="B336" t="s">
        <v>78</v>
      </c>
      <c r="C336" t="s">
        <v>740</v>
      </c>
      <c r="D336" t="str">
        <f t="shared" si="5"/>
        <v>Female</v>
      </c>
      <c r="E336" t="s">
        <v>14</v>
      </c>
      <c r="F336" s="2">
        <v>7</v>
      </c>
      <c r="G336" s="2" t="str" cm="1">
        <f t="array" ref="G336">_xlfn.IFS(F336&lt;=8,"Child",F336&lt;=17,"Teen",F336&lt;=35,"Adult",F336&lt;=55,"Seniour Adult",F336&gt;=55,"Old Age")</f>
        <v>Child</v>
      </c>
      <c r="H336" t="s">
        <v>18</v>
      </c>
      <c r="I336" t="s">
        <v>11</v>
      </c>
      <c r="J336" t="str" cm="1">
        <f t="array" ref="J336">_xlfn.IFS(I336="S","Sauthamptonm",I336="Q","Queentown",I336="C","Cherburg",I336="B","Cabin")</f>
        <v>Sauthamptonm</v>
      </c>
      <c r="K336" t="s">
        <v>15</v>
      </c>
      <c r="L336" s="2">
        <v>26.05</v>
      </c>
      <c r="M336">
        <v>0</v>
      </c>
      <c r="N336">
        <v>2</v>
      </c>
      <c r="O336" t="s">
        <v>16</v>
      </c>
    </row>
    <row r="337" spans="1:15" x14ac:dyDescent="0.3">
      <c r="A337" s="1" t="s">
        <v>741</v>
      </c>
      <c r="B337" t="s">
        <v>72</v>
      </c>
      <c r="C337" t="s">
        <v>742</v>
      </c>
      <c r="D337" t="str">
        <f t="shared" si="5"/>
        <v>Male</v>
      </c>
      <c r="E337" t="s">
        <v>9</v>
      </c>
      <c r="F337" s="2">
        <v>27</v>
      </c>
      <c r="G337" s="2" t="str" cm="1">
        <f t="array" ref="G337">_xlfn.IFS(F337&lt;=8,"Child",F337&lt;=17,"Teen",F337&lt;=35,"Adult",F337&lt;=55,"Seniour Adult",F337&gt;=55,"Old Age")</f>
        <v>Adult</v>
      </c>
      <c r="H337" t="s">
        <v>25</v>
      </c>
      <c r="I337" t="s">
        <v>19</v>
      </c>
      <c r="J337" t="str" cm="1">
        <f t="array" ref="J337">_xlfn.IFS(I337="S","Sauthamptonm",I337="Q","Queentown",I337="C","Cherburg",I337="B","Cabin")</f>
        <v>Cherburg</v>
      </c>
      <c r="K337" t="s">
        <v>52</v>
      </c>
      <c r="L337" s="2">
        <v>76.140699999999995</v>
      </c>
      <c r="M337">
        <v>0</v>
      </c>
      <c r="N337">
        <v>0</v>
      </c>
      <c r="O337" t="s">
        <v>16</v>
      </c>
    </row>
    <row r="338" spans="1:15" x14ac:dyDescent="0.3">
      <c r="A338" s="1" t="s">
        <v>743</v>
      </c>
      <c r="B338" t="s">
        <v>72</v>
      </c>
      <c r="C338" t="s">
        <v>744</v>
      </c>
      <c r="D338" t="str">
        <f t="shared" si="5"/>
        <v>Male</v>
      </c>
      <c r="E338" t="s">
        <v>9</v>
      </c>
      <c r="F338" s="2">
        <v>45</v>
      </c>
      <c r="G338" s="2" t="str" cm="1">
        <f t="array" ref="G338">_xlfn.IFS(F338&lt;=8,"Child",F338&lt;=17,"Teen",F338&lt;=35,"Adult",F338&lt;=55,"Seniour Adult",F338&gt;=55,"Old Age")</f>
        <v>Seniour Adult</v>
      </c>
      <c r="H338" t="s">
        <v>25</v>
      </c>
      <c r="I338" t="s">
        <v>11</v>
      </c>
      <c r="J338" t="str" cm="1">
        <f t="array" ref="J338">_xlfn.IFS(I338="S","Sauthamptonm",I338="Q","Queentown",I338="C","Cherburg",I338="B","Cabin")</f>
        <v>Sauthamptonm</v>
      </c>
      <c r="K338" t="s">
        <v>15</v>
      </c>
      <c r="L338" s="2">
        <v>30</v>
      </c>
      <c r="M338">
        <v>0</v>
      </c>
      <c r="N338">
        <v>0</v>
      </c>
      <c r="O338" t="s">
        <v>16</v>
      </c>
    </row>
    <row r="339" spans="1:15" x14ac:dyDescent="0.3">
      <c r="A339" s="1" t="s">
        <v>745</v>
      </c>
      <c r="B339" t="s">
        <v>78</v>
      </c>
      <c r="C339" t="s">
        <v>746</v>
      </c>
      <c r="D339" t="str">
        <f t="shared" si="5"/>
        <v>Female</v>
      </c>
      <c r="E339" t="s">
        <v>14</v>
      </c>
      <c r="F339" s="2">
        <v>24</v>
      </c>
      <c r="G339" s="2" t="str" cm="1">
        <f t="array" ref="G339">_xlfn.IFS(F339&lt;=8,"Child",F339&lt;=17,"Teen",F339&lt;=35,"Adult",F339&lt;=55,"Seniour Adult",F339&gt;=55,"Old Age")</f>
        <v>Adult</v>
      </c>
      <c r="H339" t="s">
        <v>25</v>
      </c>
      <c r="I339" t="s">
        <v>19</v>
      </c>
      <c r="J339" t="str" cm="1">
        <f t="array" ref="J339">_xlfn.IFS(I339="S","Sauthamptonm",I339="Q","Queentown",I339="C","Cherburg",I339="B","Cabin")</f>
        <v>Cherburg</v>
      </c>
      <c r="K339" t="s">
        <v>12</v>
      </c>
      <c r="L339" s="2">
        <v>83.030199999999994</v>
      </c>
      <c r="M339">
        <v>0</v>
      </c>
      <c r="N339">
        <v>0</v>
      </c>
      <c r="O339" t="s">
        <v>16</v>
      </c>
    </row>
    <row r="340" spans="1:15" x14ac:dyDescent="0.3">
      <c r="A340" s="1" t="s">
        <v>747</v>
      </c>
      <c r="B340" t="s">
        <v>72</v>
      </c>
      <c r="C340" t="s">
        <v>748</v>
      </c>
      <c r="D340" t="str">
        <f t="shared" si="5"/>
        <v>Male</v>
      </c>
      <c r="E340" t="s">
        <v>9</v>
      </c>
      <c r="F340" s="2">
        <v>42</v>
      </c>
      <c r="G340" s="2" t="str" cm="1">
        <f t="array" ref="G340">_xlfn.IFS(F340&lt;=8,"Child",F340&lt;=17,"Teen",F340&lt;=35,"Adult",F340&lt;=55,"Seniour Adult",F340&gt;=55,"Old Age")</f>
        <v>Seniour Adult</v>
      </c>
      <c r="H340" t="s">
        <v>25</v>
      </c>
      <c r="I340" t="s">
        <v>11</v>
      </c>
      <c r="J340" t="str" cm="1">
        <f t="array" ref="J340">_xlfn.IFS(I340="S","Sauthamptonm",I340="Q","Queentown",I340="C","Cherburg",I340="B","Cabin")</f>
        <v>Sauthamptonm</v>
      </c>
      <c r="K340" t="s">
        <v>15</v>
      </c>
      <c r="L340" s="2">
        <v>42.1</v>
      </c>
      <c r="M340">
        <v>0</v>
      </c>
      <c r="N340">
        <v>0</v>
      </c>
      <c r="O340" t="s">
        <v>13</v>
      </c>
    </row>
    <row r="341" spans="1:15" x14ac:dyDescent="0.3">
      <c r="A341" s="1" t="s">
        <v>749</v>
      </c>
      <c r="B341" t="s">
        <v>78</v>
      </c>
      <c r="C341" t="s">
        <v>611</v>
      </c>
      <c r="D341" t="str">
        <f t="shared" si="5"/>
        <v>Female</v>
      </c>
      <c r="E341" t="s">
        <v>14</v>
      </c>
      <c r="F341" s="2">
        <v>33</v>
      </c>
      <c r="G341" s="2" t="str" cm="1">
        <f t="array" ref="G341">_xlfn.IFS(F341&lt;=8,"Child",F341&lt;=17,"Teen",F341&lt;=35,"Adult",F341&lt;=55,"Seniour Adult",F341&gt;=55,"Old Age")</f>
        <v>Adult</v>
      </c>
      <c r="H341" t="s">
        <v>10</v>
      </c>
      <c r="I341" t="s">
        <v>36</v>
      </c>
      <c r="J341" t="str" cm="1">
        <f t="array" ref="J341">_xlfn.IFS(I341="S","Sauthamptonm",I341="Q","Queentown",I341="C","Cherburg",I341="B","Cabin")</f>
        <v>Queentown</v>
      </c>
      <c r="K341" t="s">
        <v>37</v>
      </c>
      <c r="L341" s="2">
        <v>7.15</v>
      </c>
      <c r="M341">
        <v>0</v>
      </c>
      <c r="N341">
        <v>0</v>
      </c>
      <c r="O341" t="s">
        <v>16</v>
      </c>
    </row>
    <row r="342" spans="1:15" x14ac:dyDescent="0.3">
      <c r="A342" s="1" t="s">
        <v>750</v>
      </c>
      <c r="B342" t="s">
        <v>72</v>
      </c>
      <c r="C342" t="s">
        <v>751</v>
      </c>
      <c r="D342" t="str">
        <f t="shared" si="5"/>
        <v>Male</v>
      </c>
      <c r="E342" t="s">
        <v>9</v>
      </c>
      <c r="F342" s="2">
        <v>27</v>
      </c>
      <c r="G342" s="2" t="str" cm="1">
        <f t="array" ref="G342">_xlfn.IFS(F342&lt;=8,"Child",F342&lt;=17,"Teen",F342&lt;=35,"Adult",F342&lt;=55,"Seniour Adult",F342&gt;=55,"Old Age")</f>
        <v>Adult</v>
      </c>
      <c r="H342" t="s">
        <v>10</v>
      </c>
      <c r="I342" t="s">
        <v>11</v>
      </c>
      <c r="J342" t="str" cm="1">
        <f t="array" ref="J342">_xlfn.IFS(I342="S","Sauthamptonm",I342="Q","Queentown",I342="C","Cherburg",I342="B","Cabin")</f>
        <v>Sauthamptonm</v>
      </c>
      <c r="K342" t="s">
        <v>23</v>
      </c>
      <c r="L342" s="2">
        <v>6.1905999999999999</v>
      </c>
      <c r="M342">
        <v>0</v>
      </c>
      <c r="N342">
        <v>0</v>
      </c>
      <c r="O342" t="s">
        <v>16</v>
      </c>
    </row>
    <row r="343" spans="1:15" x14ac:dyDescent="0.3">
      <c r="A343" s="1" t="s">
        <v>752</v>
      </c>
      <c r="B343" t="s">
        <v>72</v>
      </c>
      <c r="C343" t="s">
        <v>753</v>
      </c>
      <c r="D343" t="str">
        <f t="shared" si="5"/>
        <v>Male</v>
      </c>
      <c r="E343" t="s">
        <v>9</v>
      </c>
      <c r="F343" s="2">
        <v>24</v>
      </c>
      <c r="G343" s="2" t="str" cm="1">
        <f t="array" ref="G343">_xlfn.IFS(F343&lt;=8,"Child",F343&lt;=17,"Teen",F343&lt;=35,"Adult",F343&lt;=55,"Seniour Adult",F343&gt;=55,"Old Age")</f>
        <v>Adult</v>
      </c>
      <c r="H343" t="s">
        <v>10</v>
      </c>
      <c r="I343" t="s">
        <v>11</v>
      </c>
      <c r="J343" t="str" cm="1">
        <f t="array" ref="J343">_xlfn.IFS(I343="S","Sauthamptonm",I343="Q","Queentown",I343="C","Cherburg",I343="B","Cabin")</f>
        <v>Sauthamptonm</v>
      </c>
      <c r="K343" t="s">
        <v>15</v>
      </c>
      <c r="L343" s="2">
        <v>56.091099999999997</v>
      </c>
      <c r="M343">
        <v>0</v>
      </c>
      <c r="N343">
        <v>0</v>
      </c>
      <c r="O343" t="s">
        <v>16</v>
      </c>
    </row>
    <row r="344" spans="1:15" x14ac:dyDescent="0.3">
      <c r="A344" s="1" t="s">
        <v>754</v>
      </c>
      <c r="B344" t="s">
        <v>78</v>
      </c>
      <c r="C344" t="s">
        <v>755</v>
      </c>
      <c r="D344" t="str">
        <f t="shared" si="5"/>
        <v>Female</v>
      </c>
      <c r="E344" t="s">
        <v>14</v>
      </c>
      <c r="F344" s="2">
        <v>20</v>
      </c>
      <c r="G344" s="2" t="str" cm="1">
        <f t="array" ref="G344">_xlfn.IFS(F344&lt;=8,"Child",F344&lt;=17,"Teen",F344&lt;=35,"Adult",F344&lt;=55,"Seniour Adult",F344&gt;=55,"Old Age")</f>
        <v>Adult</v>
      </c>
      <c r="H344" t="s">
        <v>10</v>
      </c>
      <c r="I344" t="s">
        <v>36</v>
      </c>
      <c r="J344" t="str" cm="1">
        <f t="array" ref="J344">_xlfn.IFS(I344="S","Sauthamptonm",I344="Q","Queentown",I344="C","Cherburg",I344="B","Cabin")</f>
        <v>Queentown</v>
      </c>
      <c r="K344" t="s">
        <v>37</v>
      </c>
      <c r="L344" s="2">
        <v>6.15</v>
      </c>
      <c r="M344">
        <v>0</v>
      </c>
      <c r="N344">
        <v>0</v>
      </c>
      <c r="O344" t="s">
        <v>13</v>
      </c>
    </row>
    <row r="345" spans="1:15" x14ac:dyDescent="0.3">
      <c r="A345" s="1" t="s">
        <v>756</v>
      </c>
      <c r="B345" t="s">
        <v>78</v>
      </c>
      <c r="C345" t="s">
        <v>757</v>
      </c>
      <c r="D345" t="str">
        <f t="shared" si="5"/>
        <v>Female</v>
      </c>
      <c r="E345" t="s">
        <v>14</v>
      </c>
      <c r="F345" s="2">
        <v>16</v>
      </c>
      <c r="G345" s="2" t="str" cm="1">
        <f t="array" ref="G345">_xlfn.IFS(F345&lt;=8,"Child",F345&lt;=17,"Teen",F345&lt;=35,"Adult",F345&lt;=55,"Seniour Adult",F345&gt;=55,"Old Age")</f>
        <v>Teen</v>
      </c>
      <c r="H345" t="s">
        <v>10</v>
      </c>
      <c r="I345" t="s">
        <v>11</v>
      </c>
      <c r="J345" t="str" cm="1">
        <f t="array" ref="J345">_xlfn.IFS(I345="S","Sauthamptonm",I345="Q","Queentown",I345="C","Cherburg",I345="B","Cabin")</f>
        <v>Sauthamptonm</v>
      </c>
      <c r="K345" t="s">
        <v>22</v>
      </c>
      <c r="L345" s="2">
        <v>7.1806000000000001</v>
      </c>
      <c r="M345">
        <v>0</v>
      </c>
      <c r="N345">
        <v>0</v>
      </c>
      <c r="O345" t="s">
        <v>16</v>
      </c>
    </row>
    <row r="346" spans="1:15" x14ac:dyDescent="0.3">
      <c r="A346" s="1" t="s">
        <v>758</v>
      </c>
      <c r="B346" t="s">
        <v>78</v>
      </c>
      <c r="C346" t="s">
        <v>759</v>
      </c>
      <c r="D346" t="str">
        <f t="shared" si="5"/>
        <v>Female</v>
      </c>
      <c r="E346" t="s">
        <v>14</v>
      </c>
      <c r="F346" s="2">
        <v>23</v>
      </c>
      <c r="G346" s="2" t="str" cm="1">
        <f t="array" ref="G346">_xlfn.IFS(F346&lt;=8,"Child",F346&lt;=17,"Teen",F346&lt;=35,"Adult",F346&lt;=55,"Seniour Adult",F346&gt;=55,"Old Age")</f>
        <v>Adult</v>
      </c>
      <c r="H346" t="s">
        <v>10</v>
      </c>
      <c r="I346" t="s">
        <v>11</v>
      </c>
      <c r="J346" t="str" cm="1">
        <f t="array" ref="J346">_xlfn.IFS(I346="S","Sauthamptonm",I346="Q","Queentown",I346="C","Cherburg",I346="B","Cabin")</f>
        <v>Sauthamptonm</v>
      </c>
      <c r="K346" t="s">
        <v>22</v>
      </c>
      <c r="L346" s="2">
        <v>7.1806000000000001</v>
      </c>
      <c r="M346">
        <v>0</v>
      </c>
      <c r="N346">
        <v>0</v>
      </c>
      <c r="O346" t="s">
        <v>13</v>
      </c>
    </row>
    <row r="347" spans="1:15" x14ac:dyDescent="0.3">
      <c r="A347" s="1" t="s">
        <v>760</v>
      </c>
      <c r="B347" t="s">
        <v>78</v>
      </c>
      <c r="C347" t="s">
        <v>761</v>
      </c>
      <c r="D347" t="str">
        <f t="shared" si="5"/>
        <v>Female</v>
      </c>
      <c r="E347" t="s">
        <v>14</v>
      </c>
      <c r="F347" s="2">
        <v>22</v>
      </c>
      <c r="G347" s="2" t="str" cm="1">
        <f t="array" ref="G347">_xlfn.IFS(F347&lt;=8,"Child",F347&lt;=17,"Teen",F347&lt;=35,"Adult",F347&lt;=55,"Seniour Adult",F347&gt;=55,"Old Age")</f>
        <v>Adult</v>
      </c>
      <c r="H347" t="s">
        <v>10</v>
      </c>
      <c r="I347" t="s">
        <v>11</v>
      </c>
      <c r="J347" t="str" cm="1">
        <f t="array" ref="J347">_xlfn.IFS(I347="S","Sauthamptonm",I347="Q","Queentown",I347="C","Cherburg",I347="B","Cabin")</f>
        <v>Sauthamptonm</v>
      </c>
      <c r="K347" t="s">
        <v>23</v>
      </c>
      <c r="L347" s="2">
        <v>8.1903000000000006</v>
      </c>
      <c r="M347">
        <v>0</v>
      </c>
      <c r="N347">
        <v>0</v>
      </c>
      <c r="O347" t="s">
        <v>16</v>
      </c>
    </row>
    <row r="348" spans="1:15" x14ac:dyDescent="0.3">
      <c r="A348" s="1" t="s">
        <v>762</v>
      </c>
      <c r="B348" t="s">
        <v>72</v>
      </c>
      <c r="C348" t="s">
        <v>763</v>
      </c>
      <c r="D348" t="str">
        <f t="shared" si="5"/>
        <v>Male</v>
      </c>
      <c r="E348" t="s">
        <v>9</v>
      </c>
      <c r="F348" s="2">
        <v>30</v>
      </c>
      <c r="G348" s="2" t="str" cm="1">
        <f t="array" ref="G348">_xlfn.IFS(F348&lt;=8,"Child",F348&lt;=17,"Teen",F348&lt;=35,"Adult",F348&lt;=55,"Seniour Adult",F348&gt;=55,"Old Age")</f>
        <v>Adult</v>
      </c>
      <c r="H348" t="s">
        <v>10</v>
      </c>
      <c r="I348" t="s">
        <v>11</v>
      </c>
      <c r="J348" t="str" cm="1">
        <f t="array" ref="J348">_xlfn.IFS(I348="S","Sauthamptonm",I348="Q","Queentown",I348="C","Cherburg",I348="B","Cabin")</f>
        <v>Sauthamptonm</v>
      </c>
      <c r="K348" t="s">
        <v>35</v>
      </c>
      <c r="L348" s="2">
        <v>7.1711</v>
      </c>
      <c r="M348">
        <v>0</v>
      </c>
      <c r="N348">
        <v>0</v>
      </c>
      <c r="O348" t="s">
        <v>13</v>
      </c>
    </row>
    <row r="349" spans="1:15" x14ac:dyDescent="0.3">
      <c r="A349" s="1" t="s">
        <v>764</v>
      </c>
      <c r="B349" t="s">
        <v>78</v>
      </c>
      <c r="C349" t="s">
        <v>765</v>
      </c>
      <c r="D349" t="str">
        <f t="shared" si="5"/>
        <v>Female</v>
      </c>
      <c r="E349" t="s">
        <v>14</v>
      </c>
      <c r="F349" s="2">
        <v>28</v>
      </c>
      <c r="G349" s="2" t="str" cm="1">
        <f t="array" ref="G349">_xlfn.IFS(F349&lt;=8,"Child",F349&lt;=17,"Teen",F349&lt;=35,"Adult",F349&lt;=55,"Seniour Adult",F349&gt;=55,"Old Age")</f>
        <v>Adult</v>
      </c>
      <c r="H349" t="s">
        <v>10</v>
      </c>
      <c r="I349" t="s">
        <v>11</v>
      </c>
      <c r="J349" t="str" cm="1">
        <f t="array" ref="J349">_xlfn.IFS(I349="S","Sauthamptonm",I349="Q","Queentown",I349="C","Cherburg",I349="B","Cabin")</f>
        <v>Sauthamptonm</v>
      </c>
      <c r="K349" t="s">
        <v>23</v>
      </c>
      <c r="L349" s="2">
        <v>7.1505999999999998</v>
      </c>
      <c r="M349">
        <v>0</v>
      </c>
      <c r="N349">
        <v>0</v>
      </c>
      <c r="O349" t="s">
        <v>13</v>
      </c>
    </row>
    <row r="350" spans="1:15" x14ac:dyDescent="0.3">
      <c r="A350" s="1" t="s">
        <v>766</v>
      </c>
      <c r="B350" t="s">
        <v>78</v>
      </c>
      <c r="C350" t="s">
        <v>273</v>
      </c>
      <c r="D350" t="str">
        <f t="shared" si="5"/>
        <v>Female</v>
      </c>
      <c r="E350" t="s">
        <v>14</v>
      </c>
      <c r="F350" s="2">
        <v>21</v>
      </c>
      <c r="G350" s="2" t="str" cm="1">
        <f t="array" ref="G350">_xlfn.IFS(F350&lt;=8,"Child",F350&lt;=17,"Teen",F350&lt;=35,"Adult",F350&lt;=55,"Seniour Adult",F350&gt;=55,"Old Age")</f>
        <v>Adult</v>
      </c>
      <c r="H350" t="s">
        <v>10</v>
      </c>
      <c r="I350" t="s">
        <v>36</v>
      </c>
      <c r="J350" t="str" cm="1">
        <f t="array" ref="J350">_xlfn.IFS(I350="S","Sauthamptonm",I350="Q","Queentown",I350="C","Cherburg",I350="B","Cabin")</f>
        <v>Queentown</v>
      </c>
      <c r="K350" t="s">
        <v>37</v>
      </c>
      <c r="L350" s="2">
        <v>7.15</v>
      </c>
      <c r="M350">
        <v>0</v>
      </c>
      <c r="N350">
        <v>0</v>
      </c>
      <c r="O350" t="s">
        <v>13</v>
      </c>
    </row>
    <row r="351" spans="1:15" x14ac:dyDescent="0.3">
      <c r="A351" s="1" t="s">
        <v>767</v>
      </c>
      <c r="B351" t="s">
        <v>78</v>
      </c>
      <c r="C351" t="s">
        <v>768</v>
      </c>
      <c r="D351" t="str">
        <f t="shared" si="5"/>
        <v>Female</v>
      </c>
      <c r="E351" t="s">
        <v>14</v>
      </c>
      <c r="F351" s="2">
        <v>24</v>
      </c>
      <c r="G351" s="2" t="str" cm="1">
        <f t="array" ref="G351">_xlfn.IFS(F351&lt;=8,"Child",F351&lt;=17,"Teen",F351&lt;=35,"Adult",F351&lt;=55,"Seniour Adult",F351&gt;=55,"Old Age")</f>
        <v>Adult</v>
      </c>
      <c r="H351" t="s">
        <v>18</v>
      </c>
      <c r="I351" t="s">
        <v>11</v>
      </c>
      <c r="J351" t="str" cm="1">
        <f t="array" ref="J351">_xlfn.IFS(I351="S","Sauthamptonm",I351="Q","Queentown",I351="C","Cherburg",I351="B","Cabin")</f>
        <v>Sauthamptonm</v>
      </c>
      <c r="K351" t="s">
        <v>15</v>
      </c>
      <c r="L351" s="2">
        <v>65</v>
      </c>
      <c r="M351">
        <v>1</v>
      </c>
      <c r="N351">
        <v>2</v>
      </c>
      <c r="O351" t="s">
        <v>16</v>
      </c>
    </row>
    <row r="352" spans="1:15" x14ac:dyDescent="0.3">
      <c r="A352" s="1" t="s">
        <v>769</v>
      </c>
      <c r="B352" t="s">
        <v>76</v>
      </c>
      <c r="C352" t="s">
        <v>770</v>
      </c>
      <c r="D352" t="str">
        <f t="shared" si="5"/>
        <v>Female</v>
      </c>
      <c r="E352" t="s">
        <v>14</v>
      </c>
      <c r="F352" s="2">
        <v>56</v>
      </c>
      <c r="G352" s="2" t="str" cm="1">
        <f t="array" ref="G352">_xlfn.IFS(F352&lt;=8,"Child",F352&lt;=17,"Teen",F352&lt;=35,"Adult",F352&lt;=55,"Seniour Adult",F352&gt;=55,"Old Age")</f>
        <v>Old Age</v>
      </c>
      <c r="H352" t="s">
        <v>18</v>
      </c>
      <c r="I352" t="s">
        <v>11</v>
      </c>
      <c r="J352" t="str" cm="1">
        <f t="array" ref="J352">_xlfn.IFS(I352="S","Sauthamptonm",I352="Q","Queentown",I352="C","Cherburg",I352="B","Cabin")</f>
        <v>Sauthamptonm</v>
      </c>
      <c r="K352" t="s">
        <v>39</v>
      </c>
      <c r="L352" s="2">
        <v>16</v>
      </c>
      <c r="M352">
        <v>0</v>
      </c>
      <c r="N352">
        <v>0</v>
      </c>
      <c r="O352" t="s">
        <v>16</v>
      </c>
    </row>
    <row r="353" spans="1:15" x14ac:dyDescent="0.3">
      <c r="A353" s="1" t="s">
        <v>771</v>
      </c>
      <c r="B353" t="s">
        <v>72</v>
      </c>
      <c r="C353" t="s">
        <v>772</v>
      </c>
      <c r="D353" t="str">
        <f t="shared" si="5"/>
        <v>Male</v>
      </c>
      <c r="E353" t="s">
        <v>9</v>
      </c>
      <c r="F353" s="2">
        <v>24</v>
      </c>
      <c r="G353" s="2" t="str" cm="1">
        <f t="array" ref="G353">_xlfn.IFS(F353&lt;=8,"Child",F353&lt;=17,"Teen",F353&lt;=35,"Adult",F353&lt;=55,"Seniour Adult",F353&gt;=55,"Old Age")</f>
        <v>Adult</v>
      </c>
      <c r="H353" t="s">
        <v>18</v>
      </c>
      <c r="I353" t="s">
        <v>11</v>
      </c>
      <c r="J353" t="str" cm="1">
        <f t="array" ref="J353">_xlfn.IFS(I353="S","Sauthamptonm",I353="Q","Queentown",I353="C","Cherburg",I353="B","Cabin")</f>
        <v>Sauthamptonm</v>
      </c>
      <c r="K353" t="s">
        <v>15</v>
      </c>
      <c r="L353" s="2">
        <v>73.099999999999994</v>
      </c>
      <c r="M353">
        <v>2</v>
      </c>
      <c r="N353">
        <v>0</v>
      </c>
      <c r="O353" t="s">
        <v>13</v>
      </c>
    </row>
    <row r="354" spans="1:15" x14ac:dyDescent="0.3">
      <c r="A354" s="1" t="s">
        <v>774</v>
      </c>
      <c r="B354" t="s">
        <v>72</v>
      </c>
      <c r="C354" t="s">
        <v>775</v>
      </c>
      <c r="D354" t="str">
        <f t="shared" si="5"/>
        <v>Male</v>
      </c>
      <c r="E354" t="s">
        <v>9</v>
      </c>
      <c r="F354" s="2">
        <v>44</v>
      </c>
      <c r="G354" s="2" t="str" cm="1">
        <f t="array" ref="G354">_xlfn.IFS(F354&lt;=8,"Child",F354&lt;=17,"Teen",F354&lt;=35,"Adult",F354&lt;=55,"Seniour Adult",F354&gt;=55,"Old Age")</f>
        <v>Seniour Adult</v>
      </c>
      <c r="H354" t="s">
        <v>25</v>
      </c>
      <c r="I354" t="s">
        <v>11</v>
      </c>
      <c r="J354" t="str" cm="1">
        <f t="array" ref="J354">_xlfn.IFS(I354="S","Sauthamptonm",I354="Q","Queentown",I354="C","Cherburg",I354="B","Cabin")</f>
        <v>Sauthamptonm</v>
      </c>
      <c r="K354" t="s">
        <v>15</v>
      </c>
      <c r="L354" s="2">
        <v>51.170299999999997</v>
      </c>
      <c r="M354">
        <v>0</v>
      </c>
      <c r="N354">
        <v>0</v>
      </c>
      <c r="O354" t="s">
        <v>13</v>
      </c>
    </row>
    <row r="355" spans="1:15" x14ac:dyDescent="0.3">
      <c r="A355" s="1" t="s">
        <v>776</v>
      </c>
      <c r="B355" t="s">
        <v>78</v>
      </c>
      <c r="C355" t="s">
        <v>777</v>
      </c>
      <c r="D355" t="str">
        <f t="shared" si="5"/>
        <v>Female</v>
      </c>
      <c r="E355" t="s">
        <v>14</v>
      </c>
      <c r="F355" s="2">
        <v>18</v>
      </c>
      <c r="G355" s="2" t="str" cm="1">
        <f t="array" ref="G355">_xlfn.IFS(F355&lt;=8,"Child",F355&lt;=17,"Teen",F355&lt;=35,"Adult",F355&lt;=55,"Seniour Adult",F355&gt;=55,"Old Age")</f>
        <v>Adult</v>
      </c>
      <c r="H355" t="s">
        <v>18</v>
      </c>
      <c r="I355" t="s">
        <v>11</v>
      </c>
      <c r="J355" t="str" cm="1">
        <f t="array" ref="J355">_xlfn.IFS(I355="S","Sauthamptonm",I355="Q","Queentown",I355="C","Cherburg",I355="B","Cabin")</f>
        <v>Sauthamptonm</v>
      </c>
      <c r="K355" t="s">
        <v>22</v>
      </c>
      <c r="L355" s="2">
        <v>13</v>
      </c>
      <c r="M355">
        <v>1</v>
      </c>
      <c r="N355">
        <v>1</v>
      </c>
      <c r="O355" t="s">
        <v>13</v>
      </c>
    </row>
    <row r="356" spans="1:15" x14ac:dyDescent="0.3">
      <c r="A356" s="1" t="s">
        <v>778</v>
      </c>
      <c r="B356" t="s">
        <v>72</v>
      </c>
      <c r="C356" t="s">
        <v>779</v>
      </c>
      <c r="D356" t="str">
        <f t="shared" si="5"/>
        <v>Male</v>
      </c>
      <c r="E356" t="s">
        <v>9</v>
      </c>
      <c r="F356" s="2">
        <v>55</v>
      </c>
      <c r="G356" s="2" t="str" cm="1">
        <f t="array" ref="G356">_xlfn.IFS(F356&lt;=8,"Child",F356&lt;=17,"Teen",F356&lt;=35,"Adult",F356&lt;=55,"Seniour Adult",F356&gt;=55,"Old Age")</f>
        <v>Seniour Adult</v>
      </c>
      <c r="H356" t="s">
        <v>25</v>
      </c>
      <c r="I356" t="s">
        <v>11</v>
      </c>
      <c r="J356" t="str" cm="1">
        <f t="array" ref="J356">_xlfn.IFS(I356="S","Sauthamptonm",I356="Q","Queentown",I356="C","Cherburg",I356="B","Cabin")</f>
        <v>Sauthamptonm</v>
      </c>
      <c r="K356" t="s">
        <v>15</v>
      </c>
      <c r="L356" s="2">
        <v>50</v>
      </c>
      <c r="M356">
        <v>0</v>
      </c>
      <c r="N356">
        <v>0</v>
      </c>
      <c r="O356" t="s">
        <v>13</v>
      </c>
    </row>
    <row r="357" spans="1:15" x14ac:dyDescent="0.3">
      <c r="A357" s="1" t="s">
        <v>780</v>
      </c>
      <c r="B357" t="s">
        <v>78</v>
      </c>
      <c r="C357" t="s">
        <v>781</v>
      </c>
      <c r="D357" t="str">
        <f t="shared" si="5"/>
        <v>Female</v>
      </c>
      <c r="E357" t="s">
        <v>14</v>
      </c>
      <c r="F357" s="2">
        <v>17</v>
      </c>
      <c r="G357" s="2" t="str" cm="1">
        <f t="array" ref="G357">_xlfn.IFS(F357&lt;=8,"Child",F357&lt;=17,"Teen",F357&lt;=35,"Adult",F357&lt;=55,"Seniour Adult",F357&gt;=55,"Old Age")</f>
        <v>Teen</v>
      </c>
      <c r="H357" t="s">
        <v>25</v>
      </c>
      <c r="I357" t="s">
        <v>19</v>
      </c>
      <c r="J357" t="str" cm="1">
        <f t="array" ref="J357">_xlfn.IFS(I357="S","Sauthamptonm",I357="Q","Queentown",I357="C","Cherburg",I357="B","Cabin")</f>
        <v>Cherburg</v>
      </c>
      <c r="K357" t="s">
        <v>12</v>
      </c>
      <c r="L357" s="2">
        <v>57.1907</v>
      </c>
      <c r="M357">
        <v>0</v>
      </c>
      <c r="N357">
        <v>1</v>
      </c>
      <c r="O357" t="s">
        <v>16</v>
      </c>
    </row>
    <row r="358" spans="1:15" x14ac:dyDescent="0.3">
      <c r="A358" s="1" t="s">
        <v>782</v>
      </c>
      <c r="B358" t="s">
        <v>78</v>
      </c>
      <c r="C358" t="s">
        <v>783</v>
      </c>
      <c r="D358" t="str">
        <f t="shared" si="5"/>
        <v>Female</v>
      </c>
      <c r="E358" t="s">
        <v>14</v>
      </c>
      <c r="F358" s="2">
        <v>2</v>
      </c>
      <c r="G358" s="2" t="str" cm="1">
        <f t="array" ref="G358">_xlfn.IFS(F358&lt;=8,"Child",F358&lt;=17,"Teen",F358&lt;=35,"Adult",F358&lt;=55,"Seniour Adult",F358&gt;=55,"Old Age")</f>
        <v>Child</v>
      </c>
      <c r="H358" t="s">
        <v>10</v>
      </c>
      <c r="I358" t="s">
        <v>11</v>
      </c>
      <c r="J358" t="str" cm="1">
        <f t="array" ref="J358">_xlfn.IFS(I358="S","Sauthamptonm",I358="Q","Queentown",I358="C","Cherburg",I358="B","Cabin")</f>
        <v>Sauthamptonm</v>
      </c>
      <c r="K358" t="s">
        <v>22</v>
      </c>
      <c r="L358" s="2">
        <v>12.0509</v>
      </c>
      <c r="M358">
        <v>0</v>
      </c>
      <c r="N358">
        <v>1</v>
      </c>
      <c r="O358" t="s">
        <v>16</v>
      </c>
    </row>
    <row r="359" spans="1:15" x14ac:dyDescent="0.3">
      <c r="A359" s="1" t="s">
        <v>784</v>
      </c>
      <c r="B359" t="s">
        <v>78</v>
      </c>
      <c r="C359" t="s">
        <v>237</v>
      </c>
      <c r="D359" t="str">
        <f t="shared" si="5"/>
        <v>Female</v>
      </c>
      <c r="E359" t="s">
        <v>14</v>
      </c>
      <c r="F359" s="2">
        <v>20</v>
      </c>
      <c r="G359" s="2" t="str" cm="1">
        <f t="array" ref="G359">_xlfn.IFS(F359&lt;=8,"Child",F359&lt;=17,"Teen",F359&lt;=35,"Adult",F359&lt;=55,"Seniour Adult",F359&gt;=55,"Old Age")</f>
        <v>Adult</v>
      </c>
      <c r="H359" t="s">
        <v>18</v>
      </c>
      <c r="I359" t="s">
        <v>11</v>
      </c>
      <c r="J359" t="str" cm="1">
        <f t="array" ref="J359">_xlfn.IFS(I359="S","Sauthamptonm",I359="Q","Queentown",I359="C","Cherburg",I359="B","Cabin")</f>
        <v>Sauthamptonm</v>
      </c>
      <c r="K359" t="s">
        <v>15</v>
      </c>
      <c r="L359" s="2">
        <v>23</v>
      </c>
      <c r="M359">
        <v>2</v>
      </c>
      <c r="N359">
        <v>1</v>
      </c>
      <c r="O359" t="s">
        <v>16</v>
      </c>
    </row>
    <row r="360" spans="1:15" x14ac:dyDescent="0.3">
      <c r="A360" s="1" t="s">
        <v>785</v>
      </c>
      <c r="B360" t="s">
        <v>72</v>
      </c>
      <c r="C360" t="s">
        <v>786</v>
      </c>
      <c r="D360" t="str">
        <f t="shared" si="5"/>
        <v>Male</v>
      </c>
      <c r="E360" t="s">
        <v>9</v>
      </c>
      <c r="F360" s="2">
        <v>50</v>
      </c>
      <c r="G360" s="2" t="str" cm="1">
        <f t="array" ref="G360">_xlfn.IFS(F360&lt;=8,"Child",F360&lt;=17,"Teen",F360&lt;=35,"Adult",F360&lt;=55,"Seniour Adult",F360&gt;=55,"Old Age")</f>
        <v>Seniour Adult</v>
      </c>
      <c r="H360" t="s">
        <v>18</v>
      </c>
      <c r="I360" t="s">
        <v>11</v>
      </c>
      <c r="J360" t="str" cm="1">
        <f t="array" ref="J360">_xlfn.IFS(I360="S","Sauthamptonm",I360="Q","Queentown",I360="C","Cherburg",I360="B","Cabin")</f>
        <v>Sauthamptonm</v>
      </c>
      <c r="K360" t="s">
        <v>15</v>
      </c>
      <c r="L360" s="2">
        <v>13</v>
      </c>
      <c r="M360">
        <v>0</v>
      </c>
      <c r="N360">
        <v>0</v>
      </c>
      <c r="O360" t="s">
        <v>13</v>
      </c>
    </row>
    <row r="361" spans="1:15" x14ac:dyDescent="0.3">
      <c r="A361" s="1" t="s">
        <v>787</v>
      </c>
      <c r="B361" t="s">
        <v>76</v>
      </c>
      <c r="C361" t="s">
        <v>788</v>
      </c>
      <c r="D361" t="str">
        <f t="shared" si="5"/>
        <v>Female</v>
      </c>
      <c r="E361" t="s">
        <v>14</v>
      </c>
      <c r="F361" s="2">
        <v>51</v>
      </c>
      <c r="G361" s="2" t="str" cm="1">
        <f t="array" ref="G361">_xlfn.IFS(F361&lt;=8,"Child",F361&lt;=17,"Teen",F361&lt;=35,"Adult",F361&lt;=55,"Seniour Adult",F361&gt;=55,"Old Age")</f>
        <v>Seniour Adult</v>
      </c>
      <c r="H361" t="s">
        <v>25</v>
      </c>
      <c r="I361" t="s">
        <v>19</v>
      </c>
      <c r="J361" t="str" cm="1">
        <f t="array" ref="J361">_xlfn.IFS(I361="S","Sauthamptonm",I361="Q","Queentown",I361="C","Cherburg",I361="B","Cabin")</f>
        <v>Cherburg</v>
      </c>
      <c r="K361" t="s">
        <v>12</v>
      </c>
      <c r="L361" s="2">
        <v>77.190200000000004</v>
      </c>
      <c r="M361">
        <v>1</v>
      </c>
      <c r="N361">
        <v>0</v>
      </c>
      <c r="O361" t="s">
        <v>16</v>
      </c>
    </row>
    <row r="362" spans="1:15" x14ac:dyDescent="0.3">
      <c r="A362" s="1" t="s">
        <v>789</v>
      </c>
      <c r="B362" t="s">
        <v>76</v>
      </c>
      <c r="C362" t="s">
        <v>790</v>
      </c>
      <c r="D362" t="str">
        <f t="shared" si="5"/>
        <v>Female</v>
      </c>
      <c r="E362" t="s">
        <v>14</v>
      </c>
      <c r="F362" s="2">
        <v>29</v>
      </c>
      <c r="G362" s="2" t="str" cm="1">
        <f t="array" ref="G362">_xlfn.IFS(F362&lt;=8,"Child",F362&lt;=17,"Teen",F362&lt;=35,"Adult",F362&lt;=55,"Seniour Adult",F362&gt;=55,"Old Age")</f>
        <v>Adult</v>
      </c>
      <c r="H362" t="s">
        <v>18</v>
      </c>
      <c r="I362" t="s">
        <v>11</v>
      </c>
      <c r="J362" t="str" cm="1">
        <f t="array" ref="J362">_xlfn.IFS(I362="S","Sauthamptonm",I362="Q","Queentown",I362="C","Cherburg",I362="B","Cabin")</f>
        <v>Sauthamptonm</v>
      </c>
      <c r="K362" t="s">
        <v>15</v>
      </c>
      <c r="L362" s="2">
        <v>26</v>
      </c>
      <c r="M362">
        <v>1</v>
      </c>
      <c r="N362">
        <v>0</v>
      </c>
      <c r="O362" t="s">
        <v>16</v>
      </c>
    </row>
    <row r="363" spans="1:15" x14ac:dyDescent="0.3">
      <c r="A363" s="1" t="s">
        <v>791</v>
      </c>
      <c r="B363" t="s">
        <v>72</v>
      </c>
      <c r="C363" t="s">
        <v>792</v>
      </c>
      <c r="D363" t="str">
        <f t="shared" si="5"/>
        <v>Male</v>
      </c>
      <c r="E363" t="s">
        <v>9</v>
      </c>
      <c r="F363" s="2">
        <v>43</v>
      </c>
      <c r="G363" s="2" t="str" cm="1">
        <f t="array" ref="G363">_xlfn.IFS(F363&lt;=8,"Child",F363&lt;=17,"Teen",F363&lt;=35,"Adult",F363&lt;=55,"Seniour Adult",F363&gt;=55,"Old Age")</f>
        <v>Seniour Adult</v>
      </c>
      <c r="H363" t="s">
        <v>10</v>
      </c>
      <c r="I363" t="s">
        <v>11</v>
      </c>
      <c r="J363" t="str" cm="1">
        <f t="array" ref="J363">_xlfn.IFS(I363="S","Sauthamptonm",I363="Q","Queentown",I363="C","Cherburg",I363="B","Cabin")</f>
        <v>Sauthamptonm</v>
      </c>
      <c r="K363" t="s">
        <v>23</v>
      </c>
      <c r="L363" s="2">
        <v>6.09</v>
      </c>
      <c r="M363">
        <v>0</v>
      </c>
      <c r="N363">
        <v>0</v>
      </c>
      <c r="O363" t="s">
        <v>13</v>
      </c>
    </row>
    <row r="364" spans="1:15" x14ac:dyDescent="0.3">
      <c r="A364" s="1" t="s">
        <v>793</v>
      </c>
      <c r="B364" t="s">
        <v>72</v>
      </c>
      <c r="C364" t="s">
        <v>794</v>
      </c>
      <c r="D364" t="str">
        <f t="shared" si="5"/>
        <v>Male</v>
      </c>
      <c r="E364" t="s">
        <v>9</v>
      </c>
      <c r="F364" s="2">
        <v>18</v>
      </c>
      <c r="G364" s="2" t="str" cm="1">
        <f t="array" ref="G364">_xlfn.IFS(F364&lt;=8,"Child",F364&lt;=17,"Teen",F364&lt;=35,"Adult",F364&lt;=55,"Seniour Adult",F364&gt;=55,"Old Age")</f>
        <v>Adult</v>
      </c>
      <c r="H364" t="s">
        <v>10</v>
      </c>
      <c r="I364" t="s">
        <v>11</v>
      </c>
      <c r="J364" t="str" cm="1">
        <f t="array" ref="J364">_xlfn.IFS(I364="S","Sauthamptonm",I364="Q","Queentown",I364="C","Cherburg",I364="B","Cabin")</f>
        <v>Sauthamptonm</v>
      </c>
      <c r="K364" t="s">
        <v>17</v>
      </c>
      <c r="L364" s="2">
        <v>22.1006</v>
      </c>
      <c r="M364">
        <v>0</v>
      </c>
      <c r="N364">
        <v>0</v>
      </c>
      <c r="O364" t="s">
        <v>13</v>
      </c>
    </row>
    <row r="365" spans="1:15" x14ac:dyDescent="0.3">
      <c r="A365" s="1" t="s">
        <v>795</v>
      </c>
      <c r="B365" t="s">
        <v>72</v>
      </c>
      <c r="C365" t="s">
        <v>796</v>
      </c>
      <c r="D365" t="str">
        <f t="shared" si="5"/>
        <v>Male</v>
      </c>
      <c r="E365" t="s">
        <v>9</v>
      </c>
      <c r="F365" s="2">
        <v>42</v>
      </c>
      <c r="G365" s="2" t="str" cm="1">
        <f t="array" ref="G365">_xlfn.IFS(F365&lt;=8,"Child",F365&lt;=17,"Teen",F365&lt;=35,"Adult",F365&lt;=55,"Seniour Adult",F365&gt;=55,"Old Age")</f>
        <v>Seniour Adult</v>
      </c>
      <c r="H365" t="s">
        <v>25</v>
      </c>
      <c r="I365" t="s">
        <v>11</v>
      </c>
      <c r="J365" t="str" cm="1">
        <f t="array" ref="J365">_xlfn.IFS(I365="S","Sauthamptonm",I365="Q","Queentown",I365="C","Cherburg",I365="B","Cabin")</f>
        <v>Sauthamptonm</v>
      </c>
      <c r="K365" t="s">
        <v>12</v>
      </c>
      <c r="L365" s="2">
        <v>52</v>
      </c>
      <c r="M365">
        <v>1</v>
      </c>
      <c r="N365">
        <v>0</v>
      </c>
      <c r="O365" t="s">
        <v>13</v>
      </c>
    </row>
    <row r="366" spans="1:15" x14ac:dyDescent="0.3">
      <c r="A366" s="1" t="s">
        <v>797</v>
      </c>
      <c r="B366" t="s">
        <v>72</v>
      </c>
      <c r="C366" t="s">
        <v>119</v>
      </c>
      <c r="D366" t="str">
        <f t="shared" si="5"/>
        <v>Male</v>
      </c>
      <c r="E366" t="s">
        <v>9</v>
      </c>
      <c r="F366" s="2">
        <v>40</v>
      </c>
      <c r="G366" s="2" t="str" cm="1">
        <f t="array" ref="G366">_xlfn.IFS(F366&lt;=8,"Child",F366&lt;=17,"Teen",F366&lt;=35,"Adult",F366&lt;=55,"Seniour Adult",F366&gt;=55,"Old Age")</f>
        <v>Seniour Adult</v>
      </c>
      <c r="H366" t="s">
        <v>25</v>
      </c>
      <c r="I366" t="s">
        <v>11</v>
      </c>
      <c r="J366" t="str" cm="1">
        <f t="array" ref="J366">_xlfn.IFS(I366="S","Sauthamptonm",I366="Q","Queentown",I366="C","Cherburg",I366="B","Cabin")</f>
        <v>Sauthamptonm</v>
      </c>
      <c r="K366" t="s">
        <v>12</v>
      </c>
      <c r="L366" s="2">
        <v>26.11</v>
      </c>
      <c r="M366">
        <v>0</v>
      </c>
      <c r="N366">
        <v>0</v>
      </c>
      <c r="O366" t="s">
        <v>16</v>
      </c>
    </row>
    <row r="367" spans="1:15" x14ac:dyDescent="0.3">
      <c r="A367" s="1" t="s">
        <v>798</v>
      </c>
      <c r="B367" t="s">
        <v>78</v>
      </c>
      <c r="C367" t="s">
        <v>799</v>
      </c>
      <c r="D367" t="str">
        <f t="shared" si="5"/>
        <v>Female</v>
      </c>
      <c r="E367" t="s">
        <v>14</v>
      </c>
      <c r="F367" s="2">
        <v>27</v>
      </c>
      <c r="G367" s="2" t="str" cm="1">
        <f t="array" ref="G367">_xlfn.IFS(F367&lt;=8,"Child",F367&lt;=17,"Teen",F367&lt;=35,"Adult",F367&lt;=55,"Seniour Adult",F367&gt;=55,"Old Age")</f>
        <v>Adult</v>
      </c>
      <c r="H367" t="s">
        <v>10</v>
      </c>
      <c r="I367" t="s">
        <v>11</v>
      </c>
      <c r="J367" t="str" cm="1">
        <f t="array" ref="J367">_xlfn.IFS(I367="S","Sauthamptonm",I367="Q","Queentown",I367="C","Cherburg",I367="B","Cabin")</f>
        <v>Sauthamptonm</v>
      </c>
      <c r="K367" t="s">
        <v>22</v>
      </c>
      <c r="L367" s="2">
        <v>7.1806000000000001</v>
      </c>
      <c r="M367">
        <v>0</v>
      </c>
      <c r="N367">
        <v>0</v>
      </c>
      <c r="O367" t="s">
        <v>16</v>
      </c>
    </row>
    <row r="368" spans="1:15" x14ac:dyDescent="0.3">
      <c r="A368" s="1" t="s">
        <v>800</v>
      </c>
      <c r="B368" t="s">
        <v>72</v>
      </c>
      <c r="C368" t="s">
        <v>801</v>
      </c>
      <c r="D368" t="str">
        <f t="shared" si="5"/>
        <v>Male</v>
      </c>
      <c r="E368" t="s">
        <v>9</v>
      </c>
      <c r="F368" s="2">
        <v>21</v>
      </c>
      <c r="G368" s="2" t="str" cm="1">
        <f t="array" ref="G368">_xlfn.IFS(F368&lt;=8,"Child",F368&lt;=17,"Teen",F368&lt;=35,"Adult",F368&lt;=55,"Seniour Adult",F368&gt;=55,"Old Age")</f>
        <v>Adult</v>
      </c>
      <c r="H368" t="s">
        <v>18</v>
      </c>
      <c r="I368" t="s">
        <v>11</v>
      </c>
      <c r="J368" t="str" cm="1">
        <f t="array" ref="J368">_xlfn.IFS(I368="S","Sauthamptonm",I368="Q","Queentown",I368="C","Cherburg",I368="B","Cabin")</f>
        <v>Sauthamptonm</v>
      </c>
      <c r="K368" t="s">
        <v>15</v>
      </c>
      <c r="L368" s="2">
        <v>73.099999999999994</v>
      </c>
      <c r="M368">
        <v>0</v>
      </c>
      <c r="N368">
        <v>0</v>
      </c>
      <c r="O368" t="s">
        <v>13</v>
      </c>
    </row>
    <row r="369" spans="1:15" x14ac:dyDescent="0.3">
      <c r="A369" s="1" t="s">
        <v>802</v>
      </c>
      <c r="B369" t="s">
        <v>72</v>
      </c>
      <c r="C369" t="s">
        <v>90</v>
      </c>
      <c r="D369" t="str">
        <f t="shared" si="5"/>
        <v>Male</v>
      </c>
      <c r="E369" t="s">
        <v>9</v>
      </c>
      <c r="F369" s="2">
        <v>22</v>
      </c>
      <c r="G369" s="2" t="str" cm="1">
        <f t="array" ref="G369">_xlfn.IFS(F369&lt;=8,"Child",F369&lt;=17,"Teen",F369&lt;=35,"Adult",F369&lt;=55,"Seniour Adult",F369&gt;=55,"Old Age")</f>
        <v>Adult</v>
      </c>
      <c r="H369" t="s">
        <v>10</v>
      </c>
      <c r="I369" t="s">
        <v>36</v>
      </c>
      <c r="J369" t="str" cm="1">
        <f t="array" ref="J369">_xlfn.IFS(I369="S","Sauthamptonm",I369="Q","Queentown",I369="C","Cherburg",I369="B","Cabin")</f>
        <v>Queentown</v>
      </c>
      <c r="K369" t="s">
        <v>15</v>
      </c>
      <c r="L369" s="2">
        <v>7.15</v>
      </c>
      <c r="M369">
        <v>0</v>
      </c>
      <c r="N369">
        <v>0</v>
      </c>
      <c r="O369" t="s">
        <v>13</v>
      </c>
    </row>
    <row r="370" spans="1:15" x14ac:dyDescent="0.3">
      <c r="A370" s="1" t="s">
        <v>803</v>
      </c>
      <c r="B370" t="s">
        <v>72</v>
      </c>
      <c r="C370" t="s">
        <v>804</v>
      </c>
      <c r="D370" t="str">
        <f t="shared" si="5"/>
        <v>Male</v>
      </c>
      <c r="E370" t="s">
        <v>9</v>
      </c>
      <c r="F370" s="2">
        <v>41</v>
      </c>
      <c r="G370" s="2" t="str" cm="1">
        <f t="array" ref="G370">_xlfn.IFS(F370&lt;=8,"Child",F370&lt;=17,"Teen",F370&lt;=35,"Adult",F370&lt;=55,"Seniour Adult",F370&gt;=55,"Old Age")</f>
        <v>Seniour Adult</v>
      </c>
      <c r="H370" t="s">
        <v>18</v>
      </c>
      <c r="I370" t="s">
        <v>11</v>
      </c>
      <c r="J370" t="str" cm="1">
        <f t="array" ref="J370">_xlfn.IFS(I370="S","Sauthamptonm",I370="Q","Queentown",I370="C","Cherburg",I370="B","Cabin")</f>
        <v>Sauthamptonm</v>
      </c>
      <c r="K370" t="s">
        <v>53</v>
      </c>
      <c r="L370" s="2">
        <v>13</v>
      </c>
      <c r="M370">
        <v>0</v>
      </c>
      <c r="N370">
        <v>0</v>
      </c>
      <c r="O370" t="s">
        <v>16</v>
      </c>
    </row>
    <row r="371" spans="1:15" x14ac:dyDescent="0.3">
      <c r="A371" s="1" t="s">
        <v>805</v>
      </c>
      <c r="B371" t="s">
        <v>78</v>
      </c>
      <c r="C371" t="s">
        <v>806</v>
      </c>
      <c r="D371" t="str">
        <f t="shared" si="5"/>
        <v>Female</v>
      </c>
      <c r="E371" t="s">
        <v>14</v>
      </c>
      <c r="F371" s="2">
        <v>26</v>
      </c>
      <c r="G371" s="2" t="str" cm="1">
        <f t="array" ref="G371">_xlfn.IFS(F371&lt;=8,"Child",F371&lt;=17,"Teen",F371&lt;=35,"Adult",F371&lt;=55,"Seniour Adult",F371&gt;=55,"Old Age")</f>
        <v>Adult</v>
      </c>
      <c r="H371" t="s">
        <v>10</v>
      </c>
      <c r="I371" t="s">
        <v>11</v>
      </c>
      <c r="J371" t="str" cm="1">
        <f t="array" ref="J371">_xlfn.IFS(I371="S","Sauthamptonm",I371="Q","Queentown",I371="C","Cherburg",I371="B","Cabin")</f>
        <v>Sauthamptonm</v>
      </c>
      <c r="K371" t="s">
        <v>15</v>
      </c>
      <c r="L371" s="2">
        <v>8.01</v>
      </c>
      <c r="M371">
        <v>0</v>
      </c>
      <c r="N371">
        <v>0</v>
      </c>
      <c r="O371" t="s">
        <v>16</v>
      </c>
    </row>
    <row r="372" spans="1:15" x14ac:dyDescent="0.3">
      <c r="A372" s="1" t="s">
        <v>807</v>
      </c>
      <c r="B372" t="s">
        <v>72</v>
      </c>
      <c r="C372" t="s">
        <v>808</v>
      </c>
      <c r="D372" t="str">
        <f t="shared" si="5"/>
        <v>Male</v>
      </c>
      <c r="E372" t="s">
        <v>9</v>
      </c>
      <c r="F372" s="2">
        <v>38</v>
      </c>
      <c r="G372" s="2" t="str" cm="1">
        <f t="array" ref="G372">_xlfn.IFS(F372&lt;=8,"Child",F372&lt;=17,"Teen",F372&lt;=35,"Adult",F372&lt;=55,"Seniour Adult",F372&gt;=55,"Old Age")</f>
        <v>Seniour Adult</v>
      </c>
      <c r="H372" t="s">
        <v>25</v>
      </c>
      <c r="I372" t="s">
        <v>11</v>
      </c>
      <c r="J372" t="str" cm="1">
        <f t="array" ref="J372">_xlfn.IFS(I372="S","Sauthamptonm",I372="Q","Queentown",I372="C","Cherburg",I372="B","Cabin")</f>
        <v>Sauthamptonm</v>
      </c>
      <c r="K372" t="s">
        <v>12</v>
      </c>
      <c r="L372" s="2">
        <v>100</v>
      </c>
      <c r="M372">
        <v>1</v>
      </c>
      <c r="N372">
        <v>0</v>
      </c>
      <c r="O372" t="s">
        <v>16</v>
      </c>
    </row>
    <row r="373" spans="1:15" x14ac:dyDescent="0.3">
      <c r="A373" s="1" t="s">
        <v>809</v>
      </c>
      <c r="B373" t="s">
        <v>72</v>
      </c>
      <c r="C373" t="s">
        <v>810</v>
      </c>
      <c r="D373" t="str">
        <f t="shared" si="5"/>
        <v>Male</v>
      </c>
      <c r="E373" t="s">
        <v>9</v>
      </c>
      <c r="F373" s="2">
        <v>42</v>
      </c>
      <c r="G373" s="2" t="str" cm="1">
        <f t="array" ref="G373">_xlfn.IFS(F373&lt;=8,"Child",F373&lt;=17,"Teen",F373&lt;=35,"Adult",F373&lt;=55,"Seniour Adult",F373&gt;=55,"Old Age")</f>
        <v>Seniour Adult</v>
      </c>
      <c r="H373" t="s">
        <v>10</v>
      </c>
      <c r="I373" t="s">
        <v>11</v>
      </c>
      <c r="J373" t="str" cm="1">
        <f t="array" ref="J373">_xlfn.IFS(I373="S","Sauthamptonm",I373="Q","Queentown",I373="C","Cherburg",I373="B","Cabin")</f>
        <v>Sauthamptonm</v>
      </c>
      <c r="K373" t="s">
        <v>17</v>
      </c>
      <c r="L373" s="2">
        <v>7.13</v>
      </c>
      <c r="M373">
        <v>0</v>
      </c>
      <c r="N373">
        <v>0</v>
      </c>
      <c r="O373" t="s">
        <v>13</v>
      </c>
    </row>
    <row r="374" spans="1:15" x14ac:dyDescent="0.3">
      <c r="A374" s="1" t="s">
        <v>811</v>
      </c>
      <c r="B374" t="s">
        <v>72</v>
      </c>
      <c r="C374" t="s">
        <v>812</v>
      </c>
      <c r="D374" t="str">
        <f t="shared" si="5"/>
        <v>Male</v>
      </c>
      <c r="E374" t="s">
        <v>9</v>
      </c>
      <c r="F374" s="2">
        <v>21</v>
      </c>
      <c r="G374" s="2" t="str" cm="1">
        <f t="array" ref="G374">_xlfn.IFS(F374&lt;=8,"Child",F374&lt;=17,"Teen",F374&lt;=35,"Adult",F374&lt;=55,"Seniour Adult",F374&gt;=55,"Old Age")</f>
        <v>Adult</v>
      </c>
      <c r="H374" t="s">
        <v>18</v>
      </c>
      <c r="I374" t="s">
        <v>11</v>
      </c>
      <c r="J374" t="str" cm="1">
        <f t="array" ref="J374">_xlfn.IFS(I374="S","Sauthamptonm",I374="Q","Queentown",I374="C","Cherburg",I374="B","Cabin")</f>
        <v>Sauthamptonm</v>
      </c>
      <c r="K374" t="s">
        <v>15</v>
      </c>
      <c r="L374" s="2">
        <v>29</v>
      </c>
      <c r="M374">
        <v>0</v>
      </c>
      <c r="N374" t="s">
        <v>30</v>
      </c>
      <c r="O374" t="s">
        <v>13</v>
      </c>
    </row>
    <row r="375" spans="1:15" x14ac:dyDescent="0.3">
      <c r="A375" s="1" t="s">
        <v>813</v>
      </c>
      <c r="B375" t="s">
        <v>72</v>
      </c>
      <c r="C375" t="s">
        <v>814</v>
      </c>
      <c r="D375" t="str">
        <f t="shared" si="5"/>
        <v>Male</v>
      </c>
      <c r="E375" t="s">
        <v>9</v>
      </c>
      <c r="F375" s="2">
        <v>34</v>
      </c>
      <c r="G375" s="2" t="str" cm="1">
        <f t="array" ref="G375">_xlfn.IFS(F375&lt;=8,"Child",F375&lt;=17,"Teen",F375&lt;=35,"Adult",F375&lt;=55,"Seniour Adult",F375&gt;=55,"Old Age")</f>
        <v>Adult</v>
      </c>
      <c r="H375" t="s">
        <v>18</v>
      </c>
      <c r="I375" t="s">
        <v>11</v>
      </c>
      <c r="J375" t="str" cm="1">
        <f t="array" ref="J375">_xlfn.IFS(I375="S","Sauthamptonm",I375="Q","Queentown",I375="C","Cherburg",I375="B","Cabin")</f>
        <v>Sauthamptonm</v>
      </c>
      <c r="K375" t="s">
        <v>15</v>
      </c>
      <c r="L375" s="2">
        <v>12.050599999999999</v>
      </c>
      <c r="M375">
        <v>0</v>
      </c>
      <c r="N375">
        <v>0</v>
      </c>
      <c r="O375" t="s">
        <v>13</v>
      </c>
    </row>
    <row r="376" spans="1:15" x14ac:dyDescent="0.3">
      <c r="A376" s="1" t="s">
        <v>815</v>
      </c>
      <c r="B376" t="s">
        <v>72</v>
      </c>
      <c r="C376" t="s">
        <v>816</v>
      </c>
      <c r="D376" t="str">
        <f t="shared" si="5"/>
        <v>Male</v>
      </c>
      <c r="E376" t="s">
        <v>9</v>
      </c>
      <c r="F376" s="2">
        <v>34</v>
      </c>
      <c r="G376" s="2" t="str" cm="1">
        <f t="array" ref="G376">_xlfn.IFS(F376&lt;=8,"Child",F376&lt;=17,"Teen",F376&lt;=35,"Adult",F376&lt;=55,"Seniour Adult",F376&gt;=55,"Old Age")</f>
        <v>Adult</v>
      </c>
      <c r="H376" t="s">
        <v>10</v>
      </c>
      <c r="I376" t="s">
        <v>11</v>
      </c>
      <c r="J376" t="str" cm="1">
        <f t="array" ref="J376">_xlfn.IFS(I376="S","Sauthamptonm",I376="Q","Queentown",I376="C","Cherburg",I376="B","Cabin")</f>
        <v>Sauthamptonm</v>
      </c>
      <c r="K376" t="s">
        <v>15</v>
      </c>
      <c r="L376" s="2">
        <v>7.1708999999999996</v>
      </c>
      <c r="M376">
        <v>0</v>
      </c>
      <c r="N376">
        <v>0</v>
      </c>
      <c r="O376" t="s">
        <v>16</v>
      </c>
    </row>
    <row r="377" spans="1:15" x14ac:dyDescent="0.3">
      <c r="A377" s="1" t="s">
        <v>817</v>
      </c>
      <c r="B377" t="s">
        <v>72</v>
      </c>
      <c r="C377" t="s">
        <v>818</v>
      </c>
      <c r="D377" t="str">
        <f t="shared" si="5"/>
        <v>Male</v>
      </c>
      <c r="E377" t="s">
        <v>9</v>
      </c>
      <c r="F377" s="2">
        <v>11</v>
      </c>
      <c r="G377" s="2" t="str" cm="1">
        <f t="array" ref="G377">_xlfn.IFS(F377&lt;=8,"Child",F377&lt;=17,"Teen",F377&lt;=35,"Adult",F377&lt;=55,"Seniour Adult",F377&gt;=55,"Old Age")</f>
        <v>Teen</v>
      </c>
      <c r="H377" t="s">
        <v>10</v>
      </c>
      <c r="I377" t="s">
        <v>19</v>
      </c>
      <c r="J377" t="str" cm="1">
        <f t="array" ref="J377">_xlfn.IFS(I377="S","Sauthamptonm",I377="Q","Queentown",I377="C","Cherburg",I377="B","Cabin")</f>
        <v>Cherburg</v>
      </c>
      <c r="K377" t="s">
        <v>15</v>
      </c>
      <c r="L377" s="2">
        <v>18.1509</v>
      </c>
      <c r="M377">
        <v>0</v>
      </c>
      <c r="N377">
        <v>0</v>
      </c>
      <c r="O377" t="s">
        <v>13</v>
      </c>
    </row>
    <row r="378" spans="1:15" x14ac:dyDescent="0.3">
      <c r="A378" s="1" t="s">
        <v>819</v>
      </c>
      <c r="B378" t="s">
        <v>72</v>
      </c>
      <c r="C378" t="s">
        <v>820</v>
      </c>
      <c r="D378" t="str">
        <f t="shared" si="5"/>
        <v>Male</v>
      </c>
      <c r="E378" t="s">
        <v>9</v>
      </c>
      <c r="F378" s="2">
        <v>33</v>
      </c>
      <c r="G378" s="2" t="str" cm="1">
        <f t="array" ref="G378">_xlfn.IFS(F378&lt;=8,"Child",F378&lt;=17,"Teen",F378&lt;=35,"Adult",F378&lt;=55,"Seniour Adult",F378&gt;=55,"Old Age")</f>
        <v>Adult</v>
      </c>
      <c r="H378" t="s">
        <v>10</v>
      </c>
      <c r="I378" t="s">
        <v>19</v>
      </c>
      <c r="J378" t="str" cm="1">
        <f t="array" ref="J378">_xlfn.IFS(I378="S","Sauthamptonm",I378="Q","Queentown",I378="C","Cherburg",I378="B","Cabin")</f>
        <v>Cherburg</v>
      </c>
      <c r="K378" t="s">
        <v>21</v>
      </c>
      <c r="L378" s="2">
        <v>14.090199999999999</v>
      </c>
      <c r="M378">
        <v>0</v>
      </c>
      <c r="N378">
        <v>0</v>
      </c>
      <c r="O378" t="s">
        <v>13</v>
      </c>
    </row>
    <row r="379" spans="1:15" x14ac:dyDescent="0.3">
      <c r="A379" s="1" t="s">
        <v>821</v>
      </c>
      <c r="B379" t="s">
        <v>78</v>
      </c>
      <c r="C379" t="s">
        <v>822</v>
      </c>
      <c r="D379" t="str">
        <f t="shared" si="5"/>
        <v>Female</v>
      </c>
      <c r="E379" t="s">
        <v>14</v>
      </c>
      <c r="F379" s="2">
        <v>39</v>
      </c>
      <c r="G379" s="2" t="str" cm="1">
        <f t="array" ref="G379">_xlfn.IFS(F379&lt;=8,"Child",F379&lt;=17,"Teen",F379&lt;=35,"Adult",F379&lt;=55,"Seniour Adult",F379&gt;=55,"Old Age")</f>
        <v>Seniour Adult</v>
      </c>
      <c r="H379" t="s">
        <v>25</v>
      </c>
      <c r="I379" t="s">
        <v>11</v>
      </c>
      <c r="J379" t="str" cm="1">
        <f t="array" ref="J379">_xlfn.IFS(I379="S","Sauthamptonm",I379="Q","Queentown",I379="C","Cherburg",I379="B","Cabin")</f>
        <v>Sauthamptonm</v>
      </c>
      <c r="K379" t="s">
        <v>15</v>
      </c>
      <c r="L379" s="2">
        <v>80</v>
      </c>
      <c r="M379">
        <v>0</v>
      </c>
      <c r="N379">
        <v>0</v>
      </c>
      <c r="O379" t="s">
        <v>16</v>
      </c>
    </row>
    <row r="380" spans="1:15" x14ac:dyDescent="0.3">
      <c r="A380" s="1" t="s">
        <v>823</v>
      </c>
      <c r="B380" t="s">
        <v>78</v>
      </c>
      <c r="C380" t="s">
        <v>376</v>
      </c>
      <c r="D380" t="str">
        <f t="shared" si="5"/>
        <v>Female</v>
      </c>
      <c r="E380" t="s">
        <v>14</v>
      </c>
      <c r="F380" s="2">
        <v>17</v>
      </c>
      <c r="G380" s="2" t="str" cm="1">
        <f t="array" ref="G380">_xlfn.IFS(F380&lt;=8,"Child",F380&lt;=17,"Teen",F380&lt;=35,"Adult",F380&lt;=55,"Seniour Adult",F380&gt;=55,"Old Age")</f>
        <v>Teen</v>
      </c>
      <c r="H380" t="s">
        <v>18</v>
      </c>
      <c r="I380" t="s">
        <v>11</v>
      </c>
      <c r="J380" t="str" cm="1">
        <f t="array" ref="J380">_xlfn.IFS(I380="S","Sauthamptonm",I380="Q","Queentown",I380="C","Cherburg",I380="B","Cabin")</f>
        <v>Sauthamptonm</v>
      </c>
      <c r="K380" t="s">
        <v>33</v>
      </c>
      <c r="L380" s="2">
        <v>10.1</v>
      </c>
      <c r="M380">
        <v>0</v>
      </c>
      <c r="N380">
        <v>0</v>
      </c>
      <c r="O380" t="s">
        <v>16</v>
      </c>
    </row>
    <row r="381" spans="1:15" x14ac:dyDescent="0.3">
      <c r="A381" s="1" t="s">
        <v>824</v>
      </c>
      <c r="B381" t="s">
        <v>72</v>
      </c>
      <c r="C381" t="s">
        <v>825</v>
      </c>
      <c r="D381" t="str">
        <f t="shared" si="5"/>
        <v>Male</v>
      </c>
      <c r="E381" t="s">
        <v>9</v>
      </c>
      <c r="F381" s="2">
        <v>32</v>
      </c>
      <c r="G381" s="2" t="str" cm="1">
        <f t="array" ref="G381">_xlfn.IFS(F381&lt;=8,"Child",F381&lt;=17,"Teen",F381&lt;=35,"Adult",F381&lt;=55,"Seniour Adult",F381&gt;=55,"Old Age")</f>
        <v>Adult</v>
      </c>
      <c r="H381" t="s">
        <v>10</v>
      </c>
      <c r="I381" t="s">
        <v>11</v>
      </c>
      <c r="J381" t="str" cm="1">
        <f t="array" ref="J381">_xlfn.IFS(I381="S","Sauthamptonm",I381="Q","Queentown",I381="C","Cherburg",I381="B","Cabin")</f>
        <v>Sauthamptonm</v>
      </c>
      <c r="K381" t="s">
        <v>15</v>
      </c>
      <c r="L381" s="2">
        <v>7.1711</v>
      </c>
      <c r="M381">
        <v>0</v>
      </c>
      <c r="N381">
        <v>0</v>
      </c>
      <c r="O381" t="s">
        <v>13</v>
      </c>
    </row>
    <row r="382" spans="1:15" x14ac:dyDescent="0.3">
      <c r="A382" s="1" t="s">
        <v>826</v>
      </c>
      <c r="B382" t="s">
        <v>78</v>
      </c>
      <c r="C382" t="s">
        <v>827</v>
      </c>
      <c r="D382" t="str">
        <f t="shared" si="5"/>
        <v>Female</v>
      </c>
      <c r="E382" t="s">
        <v>14</v>
      </c>
      <c r="F382" s="2">
        <v>17</v>
      </c>
      <c r="G382" s="2" t="str" cm="1">
        <f t="array" ref="G382">_xlfn.IFS(F382&lt;=8,"Child",F382&lt;=17,"Teen",F382&lt;=35,"Adult",F382&lt;=55,"Seniour Adult",F382&gt;=55,"Old Age")</f>
        <v>Teen</v>
      </c>
      <c r="H382" t="s">
        <v>10</v>
      </c>
      <c r="I382" t="s">
        <v>11</v>
      </c>
      <c r="J382" t="str" cm="1">
        <f t="array" ref="J382">_xlfn.IFS(I382="S","Sauthamptonm",I382="Q","Queentown",I382="C","Cherburg",I382="B","Cabin")</f>
        <v>Sauthamptonm</v>
      </c>
      <c r="K382" t="s">
        <v>12</v>
      </c>
      <c r="L382" s="2">
        <v>7.1806000000000001</v>
      </c>
      <c r="M382">
        <v>1</v>
      </c>
      <c r="N382">
        <v>0</v>
      </c>
      <c r="O382" t="s">
        <v>13</v>
      </c>
    </row>
    <row r="383" spans="1:15" x14ac:dyDescent="0.3">
      <c r="A383" s="1" t="s">
        <v>828</v>
      </c>
      <c r="B383" t="s">
        <v>78</v>
      </c>
      <c r="C383" t="s">
        <v>829</v>
      </c>
      <c r="D383" t="str">
        <f t="shared" si="5"/>
        <v>Female</v>
      </c>
      <c r="E383" t="s">
        <v>14</v>
      </c>
      <c r="F383" s="2">
        <v>50</v>
      </c>
      <c r="G383" s="2" t="str" cm="1">
        <f t="array" ref="G383">_xlfn.IFS(F383&lt;=8,"Child",F383&lt;=17,"Teen",F383&lt;=35,"Adult",F383&lt;=55,"Seniour Adult",F383&gt;=55,"Old Age")</f>
        <v>Seniour Adult</v>
      </c>
      <c r="H383" t="s">
        <v>25</v>
      </c>
      <c r="I383" t="s">
        <v>19</v>
      </c>
      <c r="J383" t="str" cm="1">
        <f t="array" ref="J383">_xlfn.IFS(I383="S","Sauthamptonm",I383="Q","Queentown",I383="C","Cherburg",I383="B","Cabin")</f>
        <v>Cherburg</v>
      </c>
      <c r="K383" t="s">
        <v>12</v>
      </c>
      <c r="L383" s="2">
        <v>28.1403</v>
      </c>
      <c r="M383">
        <v>0</v>
      </c>
      <c r="N383">
        <v>0</v>
      </c>
      <c r="O383" t="s">
        <v>13</v>
      </c>
    </row>
    <row r="384" spans="1:15" x14ac:dyDescent="0.3">
      <c r="A384" s="1" t="s">
        <v>830</v>
      </c>
      <c r="B384" t="s">
        <v>72</v>
      </c>
      <c r="C384" t="s">
        <v>831</v>
      </c>
      <c r="D384" t="str">
        <f t="shared" si="5"/>
        <v>Male</v>
      </c>
      <c r="E384" t="s">
        <v>9</v>
      </c>
      <c r="F384" s="2">
        <v>49</v>
      </c>
      <c r="G384" s="2" t="str" cm="1">
        <f t="array" ref="G384">_xlfn.IFS(F384&lt;=8,"Child",F384&lt;=17,"Teen",F384&lt;=35,"Adult",F384&lt;=55,"Seniour Adult",F384&gt;=55,"Old Age")</f>
        <v>Seniour Adult</v>
      </c>
      <c r="H384" t="s">
        <v>25</v>
      </c>
      <c r="I384" t="s">
        <v>11</v>
      </c>
      <c r="J384" t="str" cm="1">
        <f t="array" ref="J384">_xlfn.IFS(I384="S","Sauthamptonm",I384="Q","Queentown",I384="C","Cherburg",I384="B","Cabin")</f>
        <v>Sauthamptonm</v>
      </c>
      <c r="K384" t="s">
        <v>15</v>
      </c>
      <c r="L384" s="2">
        <v>29</v>
      </c>
      <c r="M384">
        <v>0</v>
      </c>
      <c r="N384">
        <v>0</v>
      </c>
      <c r="O384" t="s">
        <v>16</v>
      </c>
    </row>
    <row r="385" spans="1:15" x14ac:dyDescent="0.3">
      <c r="A385" s="1" t="s">
        <v>832</v>
      </c>
      <c r="B385" t="s">
        <v>72</v>
      </c>
      <c r="C385" t="s">
        <v>833</v>
      </c>
      <c r="D385" t="str">
        <f t="shared" si="5"/>
        <v>Male</v>
      </c>
      <c r="E385" t="s">
        <v>9</v>
      </c>
      <c r="F385" s="2">
        <v>20</v>
      </c>
      <c r="G385" s="2" t="str" cm="1">
        <f t="array" ref="G385">_xlfn.IFS(F385&lt;=8,"Child",F385&lt;=17,"Teen",F385&lt;=35,"Adult",F385&lt;=55,"Seniour Adult",F385&gt;=55,"Old Age")</f>
        <v>Adult</v>
      </c>
      <c r="H385" t="s">
        <v>10</v>
      </c>
      <c r="I385" t="s">
        <v>11</v>
      </c>
      <c r="J385" t="str" cm="1">
        <f t="array" ref="J385">_xlfn.IFS(I385="S","Sauthamptonm",I385="Q","Queentown",I385="C","Cherburg",I385="B","Cabin")</f>
        <v>Sauthamptonm</v>
      </c>
      <c r="K385" t="s">
        <v>31</v>
      </c>
      <c r="L385" s="2">
        <v>7.1711</v>
      </c>
      <c r="M385">
        <v>0</v>
      </c>
      <c r="N385">
        <v>0</v>
      </c>
      <c r="O385" t="s">
        <v>13</v>
      </c>
    </row>
    <row r="386" spans="1:15" x14ac:dyDescent="0.3">
      <c r="A386" s="1" t="s">
        <v>834</v>
      </c>
      <c r="B386" t="s">
        <v>78</v>
      </c>
      <c r="C386" t="s">
        <v>835</v>
      </c>
      <c r="D386" t="str">
        <f t="shared" ref="D386:D449" si="6">PROPER(E386)</f>
        <v>Female</v>
      </c>
      <c r="E386" t="s">
        <v>14</v>
      </c>
      <c r="F386" s="2">
        <v>16</v>
      </c>
      <c r="G386" s="2" t="str" cm="1">
        <f t="array" ref="G386">_xlfn.IFS(F386&lt;=8,"Child",F386&lt;=17,"Teen",F386&lt;=35,"Adult",F386&lt;=55,"Seniour Adult",F386&gt;=55,"Old Age")</f>
        <v>Teen</v>
      </c>
      <c r="H386" t="s">
        <v>10</v>
      </c>
      <c r="I386" t="s">
        <v>19</v>
      </c>
      <c r="J386" t="str" cm="1">
        <f t="array" ref="J386">_xlfn.IFS(I386="S","Sauthamptonm",I386="Q","Queentown",I386="C","Cherburg",I386="B","Cabin")</f>
        <v>Cherburg</v>
      </c>
      <c r="K386" t="s">
        <v>15</v>
      </c>
      <c r="L386" s="2">
        <v>14.0901</v>
      </c>
      <c r="M386">
        <v>1</v>
      </c>
      <c r="N386">
        <v>0</v>
      </c>
      <c r="O386" t="s">
        <v>13</v>
      </c>
    </row>
    <row r="387" spans="1:15" x14ac:dyDescent="0.3">
      <c r="A387" s="1" t="s">
        <v>836</v>
      </c>
      <c r="B387" t="s">
        <v>76</v>
      </c>
      <c r="C387" t="s">
        <v>837</v>
      </c>
      <c r="D387" t="str">
        <f t="shared" si="6"/>
        <v>Female</v>
      </c>
      <c r="E387" t="s">
        <v>14</v>
      </c>
      <c r="F387" s="2">
        <v>24</v>
      </c>
      <c r="G387" s="2" t="str" cm="1">
        <f t="array" ref="G387">_xlfn.IFS(F387&lt;=8,"Child",F387&lt;=17,"Teen",F387&lt;=35,"Adult",F387&lt;=55,"Seniour Adult",F387&gt;=55,"Old Age")</f>
        <v>Adult</v>
      </c>
      <c r="H387" t="s">
        <v>18</v>
      </c>
      <c r="I387" t="s">
        <v>11</v>
      </c>
      <c r="J387" t="str" cm="1">
        <f t="array" ref="J387">_xlfn.IFS(I387="S","Sauthamptonm",I387="Q","Queentown",I387="C","Cherburg",I387="B","Cabin")</f>
        <v>Sauthamptonm</v>
      </c>
      <c r="K387" t="s">
        <v>15</v>
      </c>
      <c r="L387" s="2">
        <v>27</v>
      </c>
      <c r="M387">
        <v>2</v>
      </c>
      <c r="N387">
        <v>1</v>
      </c>
      <c r="O387" t="s">
        <v>16</v>
      </c>
    </row>
    <row r="388" spans="1:15" x14ac:dyDescent="0.3">
      <c r="A388" s="1" t="s">
        <v>838</v>
      </c>
      <c r="B388" t="s">
        <v>72</v>
      </c>
      <c r="C388" t="s">
        <v>443</v>
      </c>
      <c r="D388" t="str">
        <f t="shared" si="6"/>
        <v>Male</v>
      </c>
      <c r="E388" t="s">
        <v>9</v>
      </c>
      <c r="F388" s="2">
        <v>30</v>
      </c>
      <c r="G388" s="2" t="str" cm="1">
        <f t="array" ref="G388">_xlfn.IFS(F388&lt;=8,"Child",F388&lt;=17,"Teen",F388&lt;=35,"Adult",F388&lt;=55,"Seniour Adult",F388&gt;=55,"Old Age")</f>
        <v>Adult</v>
      </c>
      <c r="H388" t="s">
        <v>10</v>
      </c>
      <c r="I388" t="s">
        <v>19</v>
      </c>
      <c r="J388" t="str" cm="1">
        <f t="array" ref="J388">_xlfn.IFS(I388="S","Sauthamptonm",I388="Q","Queentown",I388="C","Cherburg",I388="B","Cabin")</f>
        <v>Cherburg</v>
      </c>
      <c r="K388" t="s">
        <v>42</v>
      </c>
      <c r="L388" s="2">
        <v>7.1711</v>
      </c>
      <c r="M388">
        <v>0</v>
      </c>
      <c r="N388">
        <v>0</v>
      </c>
      <c r="O388" t="s">
        <v>16</v>
      </c>
    </row>
    <row r="389" spans="1:15" x14ac:dyDescent="0.3">
      <c r="A389" s="1" t="s">
        <v>839</v>
      </c>
      <c r="B389" t="s">
        <v>72</v>
      </c>
      <c r="C389" t="s">
        <v>840</v>
      </c>
      <c r="D389" t="str">
        <f t="shared" si="6"/>
        <v>Male</v>
      </c>
      <c r="E389" t="s">
        <v>9</v>
      </c>
      <c r="F389" s="2">
        <v>21</v>
      </c>
      <c r="G389" s="2" t="str" cm="1">
        <f t="array" ref="G389">_xlfn.IFS(F389&lt;=8,"Child",F389&lt;=17,"Teen",F389&lt;=35,"Adult",F389&lt;=55,"Seniour Adult",F389&gt;=55,"Old Age")</f>
        <v>Adult</v>
      </c>
      <c r="H389" t="s">
        <v>10</v>
      </c>
      <c r="I389" t="s">
        <v>11</v>
      </c>
      <c r="J389" t="str" cm="1">
        <f t="array" ref="J389">_xlfn.IFS(I389="S","Sauthamptonm",I389="Q","Queentown",I389="C","Cherburg",I389="B","Cabin")</f>
        <v>Sauthamptonm</v>
      </c>
      <c r="K389" t="s">
        <v>23</v>
      </c>
      <c r="L389" s="2">
        <v>7.1510999999999996</v>
      </c>
      <c r="M389">
        <v>0</v>
      </c>
      <c r="N389">
        <v>0</v>
      </c>
      <c r="O389" t="s">
        <v>16</v>
      </c>
    </row>
    <row r="390" spans="1:15" x14ac:dyDescent="0.3">
      <c r="A390" s="1" t="s">
        <v>841</v>
      </c>
      <c r="B390" t="s">
        <v>72</v>
      </c>
      <c r="C390" t="s">
        <v>842</v>
      </c>
      <c r="D390" t="str">
        <f t="shared" si="6"/>
        <v>Male</v>
      </c>
      <c r="E390" t="s">
        <v>9</v>
      </c>
      <c r="F390" s="2">
        <v>21</v>
      </c>
      <c r="G390" s="2" t="str" cm="1">
        <f t="array" ref="G390">_xlfn.IFS(F390&lt;=8,"Child",F390&lt;=17,"Teen",F390&lt;=35,"Adult",F390&lt;=55,"Seniour Adult",F390&gt;=55,"Old Age")</f>
        <v>Adult</v>
      </c>
      <c r="H390" t="s">
        <v>10</v>
      </c>
      <c r="I390" t="s">
        <v>11</v>
      </c>
      <c r="J390" t="str" cm="1">
        <f t="array" ref="J390">_xlfn.IFS(I390="S","Sauthamptonm",I390="Q","Queentown",I390="C","Cherburg",I390="B","Cabin")</f>
        <v>Sauthamptonm</v>
      </c>
      <c r="K390" t="s">
        <v>15</v>
      </c>
      <c r="L390" s="2">
        <v>7.01</v>
      </c>
      <c r="M390">
        <v>0</v>
      </c>
      <c r="N390">
        <v>0</v>
      </c>
      <c r="O390" t="s">
        <v>13</v>
      </c>
    </row>
    <row r="391" spans="1:15" x14ac:dyDescent="0.3">
      <c r="A391" s="1" t="s">
        <v>843</v>
      </c>
      <c r="B391" t="s">
        <v>72</v>
      </c>
      <c r="C391" t="s">
        <v>844</v>
      </c>
      <c r="D391" t="str">
        <f t="shared" si="6"/>
        <v>Male</v>
      </c>
      <c r="E391" t="s">
        <v>9</v>
      </c>
      <c r="F391" s="2">
        <v>46</v>
      </c>
      <c r="G391" s="2" t="str" cm="1">
        <f t="array" ref="G391">_xlfn.IFS(F391&lt;=8,"Child",F391&lt;=17,"Teen",F391&lt;=35,"Adult",F391&lt;=55,"Seniour Adult",F391&gt;=55,"Old Age")</f>
        <v>Seniour Adult</v>
      </c>
      <c r="H391" t="s">
        <v>18</v>
      </c>
      <c r="I391" t="s">
        <v>11</v>
      </c>
      <c r="J391" t="str" cm="1">
        <f t="array" ref="J391">_xlfn.IFS(I391="S","Sauthamptonm",I391="Q","Queentown",I391="C","Cherburg",I391="B","Cabin")</f>
        <v>Sauthamptonm</v>
      </c>
      <c r="K391" t="s">
        <v>40</v>
      </c>
      <c r="L391" s="2">
        <v>15</v>
      </c>
      <c r="M391">
        <v>0</v>
      </c>
      <c r="N391">
        <v>0</v>
      </c>
      <c r="O391" t="s">
        <v>13</v>
      </c>
    </row>
    <row r="392" spans="1:15" x14ac:dyDescent="0.3">
      <c r="A392" s="1" t="s">
        <v>845</v>
      </c>
      <c r="B392" t="s">
        <v>72</v>
      </c>
      <c r="C392" t="s">
        <v>846</v>
      </c>
      <c r="D392" t="str">
        <f t="shared" si="6"/>
        <v>Male</v>
      </c>
      <c r="E392" t="s">
        <v>9</v>
      </c>
      <c r="F392" s="2">
        <v>24</v>
      </c>
      <c r="G392" s="2" t="str" cm="1">
        <f t="array" ref="G392">_xlfn.IFS(F392&lt;=8,"Child",F392&lt;=17,"Teen",F392&lt;=35,"Adult",F392&lt;=55,"Seniour Adult",F392&gt;=55,"Old Age")</f>
        <v>Adult</v>
      </c>
      <c r="H392" t="s">
        <v>18</v>
      </c>
      <c r="I392" t="s">
        <v>11</v>
      </c>
      <c r="J392" t="str" cm="1">
        <f t="array" ref="J392">_xlfn.IFS(I392="S","Sauthamptonm",I392="Q","Queentown",I392="C","Cherburg",I392="B","Cabin")</f>
        <v>Sauthamptonm</v>
      </c>
      <c r="K392" t="s">
        <v>15</v>
      </c>
      <c r="L392" s="2">
        <v>31.1</v>
      </c>
      <c r="M392">
        <v>2</v>
      </c>
      <c r="N392">
        <v>0</v>
      </c>
      <c r="O392" t="s">
        <v>13</v>
      </c>
    </row>
    <row r="393" spans="1:15" x14ac:dyDescent="0.3">
      <c r="A393" s="1" t="s">
        <v>847</v>
      </c>
      <c r="B393" t="s">
        <v>72</v>
      </c>
      <c r="C393" t="s">
        <v>848</v>
      </c>
      <c r="D393" t="str">
        <f t="shared" si="6"/>
        <v>Male</v>
      </c>
      <c r="E393" t="s">
        <v>9</v>
      </c>
      <c r="F393" s="2">
        <v>32</v>
      </c>
      <c r="G393" s="2" t="str" cm="1">
        <f t="array" ref="G393">_xlfn.IFS(F393&lt;=8,"Child",F393&lt;=17,"Teen",F393&lt;=35,"Adult",F393&lt;=55,"Seniour Adult",F393&gt;=55,"Old Age")</f>
        <v>Adult</v>
      </c>
      <c r="H393" t="s">
        <v>18</v>
      </c>
      <c r="I393" t="s">
        <v>11</v>
      </c>
      <c r="J393" t="str" cm="1">
        <f t="array" ref="J393">_xlfn.IFS(I393="S","Sauthamptonm",I393="Q","Queentown",I393="C","Cherburg",I393="B","Cabin")</f>
        <v>Sauthamptonm</v>
      </c>
      <c r="K393" t="s">
        <v>15</v>
      </c>
      <c r="L393" s="2">
        <v>10.1</v>
      </c>
      <c r="M393">
        <v>0</v>
      </c>
      <c r="N393">
        <v>0</v>
      </c>
      <c r="O393" t="s">
        <v>13</v>
      </c>
    </row>
    <row r="394" spans="1:15" x14ac:dyDescent="0.3">
      <c r="A394" s="1" t="s">
        <v>849</v>
      </c>
      <c r="B394" t="s">
        <v>72</v>
      </c>
      <c r="C394" t="s">
        <v>850</v>
      </c>
      <c r="D394" t="str">
        <f t="shared" si="6"/>
        <v>Male</v>
      </c>
      <c r="E394" t="s">
        <v>9</v>
      </c>
      <c r="F394" s="2">
        <v>20</v>
      </c>
      <c r="G394" s="2" t="str" cm="1">
        <f t="array" ref="G394">_xlfn.IFS(F394&lt;=8,"Child",F394&lt;=17,"Teen",F394&lt;=35,"Adult",F394&lt;=55,"Seniour Adult",F394&gt;=55,"Old Age")</f>
        <v>Adult</v>
      </c>
      <c r="H394" t="s">
        <v>10</v>
      </c>
      <c r="I394" t="s">
        <v>11</v>
      </c>
      <c r="J394" t="str" cm="1">
        <f t="array" ref="J394">_xlfn.IFS(I394="S","Sauthamptonm",I394="Q","Queentown",I394="C","Cherburg",I394="B","Cabin")</f>
        <v>Sauthamptonm</v>
      </c>
      <c r="K394" t="s">
        <v>27</v>
      </c>
      <c r="L394" s="2">
        <v>7.1700999999999997</v>
      </c>
      <c r="M394">
        <v>0</v>
      </c>
      <c r="N394">
        <v>0</v>
      </c>
      <c r="O394" t="s">
        <v>13</v>
      </c>
    </row>
    <row r="395" spans="1:15" x14ac:dyDescent="0.3">
      <c r="A395" s="1" t="s">
        <v>851</v>
      </c>
      <c r="B395" t="s">
        <v>78</v>
      </c>
      <c r="C395" t="s">
        <v>852</v>
      </c>
      <c r="D395" t="str">
        <f t="shared" si="6"/>
        <v>Female</v>
      </c>
      <c r="E395" t="s">
        <v>14</v>
      </c>
      <c r="F395" s="2">
        <v>26</v>
      </c>
      <c r="G395" s="2" t="str" cm="1">
        <f t="array" ref="G395">_xlfn.IFS(F395&lt;=8,"Child",F395&lt;=17,"Teen",F395&lt;=35,"Adult",F395&lt;=55,"Seniour Adult",F395&gt;=55,"Old Age")</f>
        <v>Adult</v>
      </c>
      <c r="H395" t="s">
        <v>10</v>
      </c>
      <c r="I395" t="s">
        <v>36</v>
      </c>
      <c r="J395" t="str" cm="1">
        <f t="array" ref="J395">_xlfn.IFS(I395="S","Sauthamptonm",I395="Q","Queentown",I395="C","Cherburg",I395="B","Cabin")</f>
        <v>Queentown</v>
      </c>
      <c r="K395" t="s">
        <v>37</v>
      </c>
      <c r="L395" s="2">
        <v>7.15</v>
      </c>
      <c r="M395">
        <v>0</v>
      </c>
      <c r="N395">
        <v>0</v>
      </c>
      <c r="O395" t="s">
        <v>16</v>
      </c>
    </row>
    <row r="396" spans="1:15" x14ac:dyDescent="0.3">
      <c r="A396" s="1" t="s">
        <v>853</v>
      </c>
      <c r="B396" t="s">
        <v>76</v>
      </c>
      <c r="C396" t="s">
        <v>854</v>
      </c>
      <c r="D396" t="str">
        <f t="shared" si="6"/>
        <v>Female</v>
      </c>
      <c r="E396" t="s">
        <v>14</v>
      </c>
      <c r="F396" s="2">
        <v>23</v>
      </c>
      <c r="G396" s="2" t="str" cm="1">
        <f t="array" ref="G396">_xlfn.IFS(F396&lt;=8,"Child",F396&lt;=17,"Teen",F396&lt;=35,"Adult",F396&lt;=55,"Seniour Adult",F396&gt;=55,"Old Age")</f>
        <v>Adult</v>
      </c>
      <c r="H396" t="s">
        <v>18</v>
      </c>
      <c r="I396" t="s">
        <v>19</v>
      </c>
      <c r="J396" t="str" cm="1">
        <f t="array" ref="J396">_xlfn.IFS(I396="S","Sauthamptonm",I396="Q","Queentown",I396="C","Cherburg",I396="B","Cabin")</f>
        <v>Cherburg</v>
      </c>
      <c r="K396" t="s">
        <v>12</v>
      </c>
      <c r="L396" s="2">
        <v>13.151</v>
      </c>
      <c r="M396">
        <v>0</v>
      </c>
      <c r="N396">
        <v>0</v>
      </c>
      <c r="O396" t="s">
        <v>16</v>
      </c>
    </row>
    <row r="397" spans="1:15" x14ac:dyDescent="0.3">
      <c r="A397" s="1" t="s">
        <v>855</v>
      </c>
      <c r="B397" t="s">
        <v>72</v>
      </c>
      <c r="C397" t="s">
        <v>856</v>
      </c>
      <c r="D397" t="str">
        <f t="shared" si="6"/>
        <v>Male</v>
      </c>
      <c r="E397" t="s">
        <v>9</v>
      </c>
      <c r="F397" s="2">
        <v>29</v>
      </c>
      <c r="G397" s="2" t="str" cm="1">
        <f t="array" ref="G397">_xlfn.IFS(F397&lt;=8,"Child",F397&lt;=17,"Teen",F397&lt;=35,"Adult",F397&lt;=55,"Seniour Adult",F397&gt;=55,"Old Age")</f>
        <v>Adult</v>
      </c>
      <c r="H397" t="s">
        <v>10</v>
      </c>
      <c r="I397" t="s">
        <v>11</v>
      </c>
      <c r="J397" t="str" cm="1">
        <f t="array" ref="J397">_xlfn.IFS(I397="S","Sauthamptonm",I397="Q","Queentown",I397="C","Cherburg",I397="B","Cabin")</f>
        <v>Sauthamptonm</v>
      </c>
      <c r="K397" t="s">
        <v>17</v>
      </c>
      <c r="L397" s="2">
        <v>8.0203000000000007</v>
      </c>
      <c r="M397">
        <v>0</v>
      </c>
      <c r="N397">
        <v>0</v>
      </c>
      <c r="O397" t="s">
        <v>16</v>
      </c>
    </row>
    <row r="398" spans="1:15" x14ac:dyDescent="0.3">
      <c r="A398" s="1" t="s">
        <v>857</v>
      </c>
      <c r="B398" t="s">
        <v>72</v>
      </c>
      <c r="C398" t="s">
        <v>858</v>
      </c>
      <c r="D398" t="str">
        <f t="shared" si="6"/>
        <v>Male</v>
      </c>
      <c r="E398" t="s">
        <v>9</v>
      </c>
      <c r="F398" s="2">
        <v>34</v>
      </c>
      <c r="G398" s="2" t="str" cm="1">
        <f t="array" ref="G398">_xlfn.IFS(F398&lt;=8,"Child",F398&lt;=17,"Teen",F398&lt;=35,"Adult",F398&lt;=55,"Seniour Adult",F398&gt;=55,"Old Age")</f>
        <v>Adult</v>
      </c>
      <c r="H398" t="s">
        <v>10</v>
      </c>
      <c r="I398" t="s">
        <v>11</v>
      </c>
      <c r="J398" t="str" cm="1">
        <f t="array" ref="J398">_xlfn.IFS(I398="S","Sauthamptonm",I398="Q","Queentown",I398="C","Cherburg",I398="B","Cabin")</f>
        <v>Sauthamptonm</v>
      </c>
      <c r="K398" t="s">
        <v>22</v>
      </c>
      <c r="L398" s="2">
        <v>6.0911</v>
      </c>
      <c r="M398">
        <v>0</v>
      </c>
      <c r="N398">
        <v>0</v>
      </c>
      <c r="O398" t="s">
        <v>13</v>
      </c>
    </row>
    <row r="399" spans="1:15" x14ac:dyDescent="0.3">
      <c r="A399" s="1" t="s">
        <v>859</v>
      </c>
      <c r="B399" t="s">
        <v>72</v>
      </c>
      <c r="C399" t="s">
        <v>860</v>
      </c>
      <c r="D399" t="str">
        <f t="shared" si="6"/>
        <v>Male</v>
      </c>
      <c r="E399" t="s">
        <v>9</v>
      </c>
      <c r="F399" s="2">
        <v>22</v>
      </c>
      <c r="G399" s="2" t="str" cm="1">
        <f t="array" ref="G399">_xlfn.IFS(F399&lt;=8,"Child",F399&lt;=17,"Teen",F399&lt;=35,"Adult",F399&lt;=55,"Seniour Adult",F399&gt;=55,"Old Age")</f>
        <v>Adult</v>
      </c>
      <c r="H399" t="s">
        <v>10</v>
      </c>
      <c r="I399" t="s">
        <v>11</v>
      </c>
      <c r="J399" t="str" cm="1">
        <f t="array" ref="J399">_xlfn.IFS(I399="S","Sauthamptonm",I399="Q","Queentown",I399="C","Cherburg",I399="B","Cabin")</f>
        <v>Sauthamptonm</v>
      </c>
      <c r="K399" t="s">
        <v>23</v>
      </c>
      <c r="L399" s="2">
        <v>7.1510999999999996</v>
      </c>
      <c r="M399">
        <v>0</v>
      </c>
      <c r="N399">
        <v>0</v>
      </c>
      <c r="O399" t="s">
        <v>13</v>
      </c>
    </row>
    <row r="400" spans="1:15" x14ac:dyDescent="0.3">
      <c r="A400" s="1" t="s">
        <v>862</v>
      </c>
      <c r="B400" t="s">
        <v>72</v>
      </c>
      <c r="C400" t="s">
        <v>863</v>
      </c>
      <c r="D400" t="str">
        <f t="shared" si="6"/>
        <v>Male</v>
      </c>
      <c r="E400" t="s">
        <v>9</v>
      </c>
      <c r="F400" s="2">
        <v>26</v>
      </c>
      <c r="G400" s="2" t="str" cm="1">
        <f t="array" ref="G400">_xlfn.IFS(F400&lt;=8,"Child",F400&lt;=17,"Teen",F400&lt;=35,"Adult",F400&lt;=55,"Seniour Adult",F400&gt;=55,"Old Age")</f>
        <v>Adult</v>
      </c>
      <c r="H400" t="s">
        <v>10</v>
      </c>
      <c r="I400" t="s">
        <v>11</v>
      </c>
      <c r="J400" t="str" cm="1">
        <f t="array" ref="J400">_xlfn.IFS(I400="S","Sauthamptonm",I400="Q","Queentown",I400="C","Cherburg",I400="B","Cabin")</f>
        <v>Sauthamptonm</v>
      </c>
      <c r="K400" t="s">
        <v>23</v>
      </c>
      <c r="L400" s="2">
        <v>7.1505999999999998</v>
      </c>
      <c r="M400">
        <v>0</v>
      </c>
      <c r="N400">
        <v>0</v>
      </c>
      <c r="O400" t="s">
        <v>16</v>
      </c>
    </row>
    <row r="401" spans="1:15" x14ac:dyDescent="0.3">
      <c r="A401" s="1" t="s">
        <v>864</v>
      </c>
      <c r="B401" t="s">
        <v>94</v>
      </c>
      <c r="C401" t="s">
        <v>865</v>
      </c>
      <c r="D401" t="str">
        <f t="shared" si="6"/>
        <v>Male</v>
      </c>
      <c r="E401" t="s">
        <v>9</v>
      </c>
      <c r="F401" s="2">
        <v>4</v>
      </c>
      <c r="G401" s="2" t="str" cm="1">
        <f t="array" ref="G401">_xlfn.IFS(F401&lt;=8,"Child",F401&lt;=17,"Teen",F401&lt;=35,"Adult",F401&lt;=55,"Seniour Adult",F401&gt;=55,"Old Age")</f>
        <v>Child</v>
      </c>
      <c r="H401" t="s">
        <v>10</v>
      </c>
      <c r="I401" t="s">
        <v>11</v>
      </c>
      <c r="J401" t="str" cm="1">
        <f t="array" ref="J401">_xlfn.IFS(I401="S","Sauthamptonm",I401="Q","Queentown",I401="C","Cherburg",I401="B","Cabin")</f>
        <v>Sauthamptonm</v>
      </c>
      <c r="K401" t="s">
        <v>15</v>
      </c>
      <c r="L401" s="2">
        <v>11.020799999999999</v>
      </c>
      <c r="M401">
        <v>1</v>
      </c>
      <c r="N401">
        <v>1</v>
      </c>
      <c r="O401" t="s">
        <v>16</v>
      </c>
    </row>
    <row r="402" spans="1:15" x14ac:dyDescent="0.3">
      <c r="A402" s="1" t="s">
        <v>867</v>
      </c>
      <c r="B402" t="s">
        <v>94</v>
      </c>
      <c r="C402" t="s">
        <v>868</v>
      </c>
      <c r="D402" t="str">
        <f t="shared" si="6"/>
        <v>Male</v>
      </c>
      <c r="E402" t="s">
        <v>9</v>
      </c>
      <c r="F402" s="2">
        <v>8</v>
      </c>
      <c r="G402" s="2" t="str" cm="1">
        <f t="array" ref="G402">_xlfn.IFS(F402&lt;=8,"Child",F402&lt;=17,"Teen",F402&lt;=35,"Adult",F402&lt;=55,"Seniour Adult",F402&gt;=55,"Old Age")</f>
        <v>Child</v>
      </c>
      <c r="H402" t="s">
        <v>10</v>
      </c>
      <c r="I402" t="s">
        <v>11</v>
      </c>
      <c r="J402" t="str" cm="1">
        <f t="array" ref="J402">_xlfn.IFS(I402="S","Sauthamptonm",I402="Q","Queentown",I402="C","Cherburg",I402="B","Cabin")</f>
        <v>Sauthamptonm</v>
      </c>
      <c r="K402" t="s">
        <v>15</v>
      </c>
      <c r="L402" s="2">
        <v>23.09</v>
      </c>
      <c r="M402">
        <v>1</v>
      </c>
      <c r="N402">
        <v>2</v>
      </c>
      <c r="O402" t="s">
        <v>13</v>
      </c>
    </row>
    <row r="403" spans="1:15" x14ac:dyDescent="0.3">
      <c r="A403" s="1" t="s">
        <v>869</v>
      </c>
      <c r="B403" t="s">
        <v>72</v>
      </c>
      <c r="C403" t="s">
        <v>870</v>
      </c>
      <c r="D403" t="str">
        <f t="shared" si="6"/>
        <v>Male</v>
      </c>
      <c r="E403" t="s">
        <v>9</v>
      </c>
      <c r="F403" s="2">
        <v>46</v>
      </c>
      <c r="G403" s="2" t="str" cm="1">
        <f t="array" ref="G403">_xlfn.IFS(F403&lt;=8,"Child",F403&lt;=17,"Teen",F403&lt;=35,"Adult",F403&lt;=55,"Seniour Adult",F403&gt;=55,"Old Age")</f>
        <v>Seniour Adult</v>
      </c>
      <c r="H403" t="s">
        <v>25</v>
      </c>
      <c r="I403" t="s">
        <v>11</v>
      </c>
      <c r="J403" t="str" cm="1">
        <f t="array" ref="J403">_xlfn.IFS(I403="S","Sauthamptonm",I403="Q","Queentown",I403="C","Cherburg",I403="B","Cabin")</f>
        <v>Sauthamptonm</v>
      </c>
      <c r="K403" t="s">
        <v>12</v>
      </c>
      <c r="L403" s="2">
        <v>26</v>
      </c>
      <c r="M403">
        <v>0</v>
      </c>
      <c r="N403">
        <v>0</v>
      </c>
      <c r="O403" t="s">
        <v>13</v>
      </c>
    </row>
    <row r="404" spans="1:15" x14ac:dyDescent="0.3">
      <c r="A404" s="1" t="s">
        <v>871</v>
      </c>
      <c r="B404" t="s">
        <v>72</v>
      </c>
      <c r="C404" t="s">
        <v>872</v>
      </c>
      <c r="D404" t="str">
        <f t="shared" si="6"/>
        <v>Male</v>
      </c>
      <c r="E404" t="s">
        <v>9</v>
      </c>
      <c r="F404" s="2">
        <v>23</v>
      </c>
      <c r="G404" s="2" t="str" cm="1">
        <f t="array" ref="G404">_xlfn.IFS(F404&lt;=8,"Child",F404&lt;=17,"Teen",F404&lt;=35,"Adult",F404&lt;=55,"Seniour Adult",F404&gt;=55,"Old Age")</f>
        <v>Adult</v>
      </c>
      <c r="H404" t="s">
        <v>10</v>
      </c>
      <c r="I404" t="s">
        <v>11</v>
      </c>
      <c r="J404" t="str" cm="1">
        <f t="array" ref="J404">_xlfn.IFS(I404="S","Sauthamptonm",I404="Q","Queentown",I404="C","Cherburg",I404="B","Cabin")</f>
        <v>Sauthamptonm</v>
      </c>
      <c r="K404" t="s">
        <v>31</v>
      </c>
      <c r="L404" s="2">
        <v>7.1711</v>
      </c>
      <c r="M404">
        <v>0</v>
      </c>
      <c r="N404">
        <v>0</v>
      </c>
      <c r="O404" t="s">
        <v>13</v>
      </c>
    </row>
    <row r="405" spans="1:15" x14ac:dyDescent="0.3">
      <c r="A405" s="1" t="s">
        <v>873</v>
      </c>
      <c r="B405" t="s">
        <v>72</v>
      </c>
      <c r="C405" t="s">
        <v>874</v>
      </c>
      <c r="D405" t="str">
        <f t="shared" si="6"/>
        <v>Male</v>
      </c>
      <c r="E405" t="s">
        <v>9</v>
      </c>
      <c r="F405" s="2">
        <v>25</v>
      </c>
      <c r="G405" s="2" t="str" cm="1">
        <f t="array" ref="G405">_xlfn.IFS(F405&lt;=8,"Child",F405&lt;=17,"Teen",F405&lt;=35,"Adult",F405&lt;=55,"Seniour Adult",F405&gt;=55,"Old Age")</f>
        <v>Adult</v>
      </c>
      <c r="H405" t="s">
        <v>10</v>
      </c>
      <c r="I405" t="s">
        <v>11</v>
      </c>
      <c r="J405" t="str" cm="1">
        <f t="array" ref="J405">_xlfn.IFS(I405="S","Sauthamptonm",I405="Q","Queentown",I405="C","Cherburg",I405="B","Cabin")</f>
        <v>Sauthamptonm</v>
      </c>
      <c r="K405" t="s">
        <v>23</v>
      </c>
      <c r="L405" s="2">
        <v>7.1700999999999997</v>
      </c>
      <c r="M405">
        <v>0</v>
      </c>
      <c r="N405">
        <v>0</v>
      </c>
      <c r="O405" t="s">
        <v>16</v>
      </c>
    </row>
    <row r="406" spans="1:15" x14ac:dyDescent="0.3">
      <c r="A406" s="1" t="s">
        <v>875</v>
      </c>
      <c r="B406" t="s">
        <v>72</v>
      </c>
      <c r="C406" t="s">
        <v>876</v>
      </c>
      <c r="D406" t="str">
        <f t="shared" si="6"/>
        <v>Male</v>
      </c>
      <c r="E406" t="s">
        <v>9</v>
      </c>
      <c r="F406" s="2">
        <v>27</v>
      </c>
      <c r="G406" s="2" t="str" cm="1">
        <f t="array" ref="G406">_xlfn.IFS(F406&lt;=8,"Child",F406&lt;=17,"Teen",F406&lt;=35,"Adult",F406&lt;=55,"Seniour Adult",F406&gt;=55,"Old Age")</f>
        <v>Adult</v>
      </c>
      <c r="H406" t="s">
        <v>10</v>
      </c>
      <c r="I406" t="s">
        <v>11</v>
      </c>
      <c r="J406" t="str" cm="1">
        <f t="array" ref="J406">_xlfn.IFS(I406="S","Sauthamptonm",I406="Q","Queentown",I406="C","Cherburg",I406="B","Cabin")</f>
        <v>Sauthamptonm</v>
      </c>
      <c r="K406" t="s">
        <v>23</v>
      </c>
      <c r="L406" s="2">
        <v>7.1700999999999997</v>
      </c>
      <c r="M406">
        <v>0</v>
      </c>
      <c r="N406">
        <v>0</v>
      </c>
      <c r="O406" t="s">
        <v>13</v>
      </c>
    </row>
    <row r="407" spans="1:15" x14ac:dyDescent="0.3">
      <c r="A407" s="1" t="s">
        <v>877</v>
      </c>
      <c r="B407" t="s">
        <v>72</v>
      </c>
      <c r="C407" t="s">
        <v>878</v>
      </c>
      <c r="D407" t="str">
        <f t="shared" si="6"/>
        <v>Male</v>
      </c>
      <c r="E407" t="s">
        <v>9</v>
      </c>
      <c r="F407" s="2">
        <v>39</v>
      </c>
      <c r="G407" s="2" t="str" cm="1">
        <f t="array" ref="G407">_xlfn.IFS(F407&lt;=8,"Child",F407&lt;=17,"Teen",F407&lt;=35,"Adult",F407&lt;=55,"Seniour Adult",F407&gt;=55,"Old Age")</f>
        <v>Seniour Adult</v>
      </c>
      <c r="H407" t="s">
        <v>10</v>
      </c>
      <c r="I407" t="s">
        <v>19</v>
      </c>
      <c r="J407" t="str" cm="1">
        <f t="array" ref="J407">_xlfn.IFS(I407="S","Sauthamptonm",I407="Q","Queentown",I407="C","Cherburg",I407="B","Cabin")</f>
        <v>Cherburg</v>
      </c>
      <c r="K407" t="s">
        <v>21</v>
      </c>
      <c r="L407" s="2">
        <v>7.0407000000000002</v>
      </c>
      <c r="M407">
        <v>0</v>
      </c>
      <c r="N407">
        <v>2</v>
      </c>
      <c r="O407" t="s">
        <v>13</v>
      </c>
    </row>
    <row r="408" spans="1:15" x14ac:dyDescent="0.3">
      <c r="A408" s="1" t="s">
        <v>879</v>
      </c>
      <c r="B408" t="s">
        <v>72</v>
      </c>
      <c r="C408" t="s">
        <v>880</v>
      </c>
      <c r="D408" t="str">
        <f t="shared" si="6"/>
        <v>Male</v>
      </c>
      <c r="E408" t="s">
        <v>9</v>
      </c>
      <c r="F408" s="2">
        <v>50</v>
      </c>
      <c r="G408" s="2" t="str" cm="1">
        <f t="array" ref="G408">_xlfn.IFS(F408&lt;=8,"Child",F408&lt;=17,"Teen",F408&lt;=35,"Adult",F408&lt;=55,"Seniour Adult",F408&gt;=55,"Old Age")</f>
        <v>Seniour Adult</v>
      </c>
      <c r="H408" t="s">
        <v>25</v>
      </c>
      <c r="I408" t="s">
        <v>11</v>
      </c>
      <c r="J408" t="str" cm="1">
        <f t="array" ref="J408">_xlfn.IFS(I408="S","Sauthamptonm",I408="Q","Queentown",I408="C","Cherburg",I408="B","Cabin")</f>
        <v>Sauthamptonm</v>
      </c>
      <c r="K408" t="s">
        <v>15</v>
      </c>
      <c r="L408" s="2">
        <v>26</v>
      </c>
      <c r="M408">
        <v>0</v>
      </c>
      <c r="N408">
        <v>0</v>
      </c>
      <c r="O408" t="s">
        <v>13</v>
      </c>
    </row>
    <row r="409" spans="1:15" x14ac:dyDescent="0.3">
      <c r="A409" s="1" t="s">
        <v>881</v>
      </c>
      <c r="B409" t="s">
        <v>78</v>
      </c>
      <c r="C409" t="s">
        <v>882</v>
      </c>
      <c r="D409" t="str">
        <f t="shared" si="6"/>
        <v>Female</v>
      </c>
      <c r="E409" t="s">
        <v>14</v>
      </c>
      <c r="F409" s="2">
        <v>20</v>
      </c>
      <c r="G409" s="2" t="str" cm="1">
        <f t="array" ref="G409">_xlfn.IFS(F409&lt;=8,"Child",F409&lt;=17,"Teen",F409&lt;=35,"Adult",F409&lt;=55,"Seniour Adult",F409&gt;=55,"Old Age")</f>
        <v>Adult</v>
      </c>
      <c r="H409" t="s">
        <v>10</v>
      </c>
      <c r="I409" t="s">
        <v>11</v>
      </c>
      <c r="J409" t="str" cm="1">
        <f t="array" ref="J409">_xlfn.IFS(I409="S","Sauthamptonm",I409="Q","Queentown",I409="C","Cherburg",I409="B","Cabin")</f>
        <v>Sauthamptonm</v>
      </c>
      <c r="K409" t="s">
        <v>22</v>
      </c>
      <c r="L409" s="2">
        <v>9.1609999999999996</v>
      </c>
      <c r="M409">
        <v>1</v>
      </c>
      <c r="N409">
        <v>0</v>
      </c>
      <c r="O409" t="s">
        <v>13</v>
      </c>
    </row>
    <row r="410" spans="1:15" x14ac:dyDescent="0.3">
      <c r="A410" s="1" t="s">
        <v>883</v>
      </c>
      <c r="B410" t="s">
        <v>72</v>
      </c>
      <c r="C410" t="s">
        <v>884</v>
      </c>
      <c r="D410" t="str">
        <f t="shared" si="6"/>
        <v>Male</v>
      </c>
      <c r="E410" t="s">
        <v>9</v>
      </c>
      <c r="F410" s="2">
        <v>17</v>
      </c>
      <c r="G410" s="2" t="str" cm="1">
        <f t="array" ref="G410">_xlfn.IFS(F410&lt;=8,"Child",F410&lt;=17,"Teen",F410&lt;=35,"Adult",F410&lt;=55,"Seniour Adult",F410&gt;=55,"Old Age")</f>
        <v>Teen</v>
      </c>
      <c r="H410" t="s">
        <v>10</v>
      </c>
      <c r="I410" t="s">
        <v>11</v>
      </c>
      <c r="J410" t="str" cm="1">
        <f t="array" ref="J410">_xlfn.IFS(I410="S","Sauthamptonm",I410="Q","Queentown",I410="C","Cherburg",I410="B","Cabin")</f>
        <v>Sauthamptonm</v>
      </c>
      <c r="K410" t="s">
        <v>22</v>
      </c>
      <c r="L410" s="2">
        <v>7.0206</v>
      </c>
      <c r="M410">
        <v>0</v>
      </c>
      <c r="N410">
        <v>0</v>
      </c>
      <c r="O410" t="s">
        <v>13</v>
      </c>
    </row>
    <row r="411" spans="1:15" x14ac:dyDescent="0.3">
      <c r="A411" s="1" t="s">
        <v>885</v>
      </c>
      <c r="B411" t="s">
        <v>72</v>
      </c>
      <c r="C411" t="s">
        <v>886</v>
      </c>
      <c r="D411" t="str">
        <f t="shared" si="6"/>
        <v>Male</v>
      </c>
      <c r="E411" t="s">
        <v>9</v>
      </c>
      <c r="F411" s="2">
        <v>21</v>
      </c>
      <c r="G411" s="2" t="str" cm="1">
        <f t="array" ref="G411">_xlfn.IFS(F411&lt;=8,"Child",F411&lt;=17,"Teen",F411&lt;=35,"Adult",F411&lt;=55,"Seniour Adult",F411&gt;=55,"Old Age")</f>
        <v>Adult</v>
      </c>
      <c r="H411" t="s">
        <v>10</v>
      </c>
      <c r="I411" t="s">
        <v>11</v>
      </c>
      <c r="J411" t="str" cm="1">
        <f t="array" ref="J411">_xlfn.IFS(I411="S","Sauthamptonm",I411="Q","Queentown",I411="C","Cherburg",I411="B","Cabin")</f>
        <v>Sauthamptonm</v>
      </c>
      <c r="K411" t="s">
        <v>17</v>
      </c>
      <c r="L411" s="2">
        <v>8.0808</v>
      </c>
      <c r="M411">
        <v>0</v>
      </c>
      <c r="N411">
        <v>0</v>
      </c>
      <c r="O411" t="s">
        <v>13</v>
      </c>
    </row>
    <row r="412" spans="1:15" x14ac:dyDescent="0.3">
      <c r="A412" s="1" t="s">
        <v>887</v>
      </c>
      <c r="B412" t="s">
        <v>72</v>
      </c>
      <c r="C412" t="s">
        <v>888</v>
      </c>
      <c r="D412" t="str">
        <f t="shared" si="6"/>
        <v>Male</v>
      </c>
      <c r="E412" t="s">
        <v>9</v>
      </c>
      <c r="F412" s="2">
        <v>34</v>
      </c>
      <c r="G412" s="2" t="str" cm="1">
        <f t="array" ref="G412">_xlfn.IFS(F412&lt;=8,"Child",F412&lt;=17,"Teen",F412&lt;=35,"Adult",F412&lt;=55,"Seniour Adult",F412&gt;=55,"Old Age")</f>
        <v>Adult</v>
      </c>
      <c r="H412" t="s">
        <v>18</v>
      </c>
      <c r="I412" t="s">
        <v>11</v>
      </c>
      <c r="J412" t="str" cm="1">
        <f t="array" ref="J412">_xlfn.IFS(I412="S","Sauthamptonm",I412="Q","Queentown",I412="C","Cherburg",I412="B","Cabin")</f>
        <v>Sauthamptonm</v>
      </c>
      <c r="K412" t="s">
        <v>54</v>
      </c>
      <c r="L412" s="2">
        <v>26</v>
      </c>
      <c r="M412">
        <v>1</v>
      </c>
      <c r="N412">
        <v>0</v>
      </c>
      <c r="O412" t="s">
        <v>13</v>
      </c>
    </row>
    <row r="413" spans="1:15" x14ac:dyDescent="0.3">
      <c r="A413" s="1" t="s">
        <v>889</v>
      </c>
      <c r="B413" t="s">
        <v>72</v>
      </c>
      <c r="C413" t="s">
        <v>890</v>
      </c>
      <c r="D413" t="str">
        <f t="shared" si="6"/>
        <v>Male</v>
      </c>
      <c r="E413" t="s">
        <v>9</v>
      </c>
      <c r="F413" s="2">
        <v>30</v>
      </c>
      <c r="G413" s="2" t="str" cm="1">
        <f t="array" ref="G413">_xlfn.IFS(F413&lt;=8,"Child",F413&lt;=17,"Teen",F413&lt;=35,"Adult",F413&lt;=55,"Seniour Adult",F413&gt;=55,"Old Age")</f>
        <v>Adult</v>
      </c>
      <c r="H413" t="s">
        <v>10</v>
      </c>
      <c r="I413" t="s">
        <v>11</v>
      </c>
      <c r="J413" t="str" cm="1">
        <f t="array" ref="J413">_xlfn.IFS(I413="S","Sauthamptonm",I413="Q","Queentown",I413="C","Cherburg",I413="B","Cabin")</f>
        <v>Sauthamptonm</v>
      </c>
      <c r="K413" t="s">
        <v>35</v>
      </c>
      <c r="L413" s="2">
        <v>7.1711</v>
      </c>
      <c r="M413">
        <v>0</v>
      </c>
      <c r="N413">
        <v>0</v>
      </c>
      <c r="O413" t="s">
        <v>13</v>
      </c>
    </row>
    <row r="414" spans="1:15" x14ac:dyDescent="0.3">
      <c r="A414" s="1" t="s">
        <v>891</v>
      </c>
      <c r="B414" t="s">
        <v>72</v>
      </c>
      <c r="C414" t="s">
        <v>892</v>
      </c>
      <c r="D414" t="str">
        <f t="shared" si="6"/>
        <v>Male</v>
      </c>
      <c r="E414" t="s">
        <v>9</v>
      </c>
      <c r="F414" s="2">
        <v>21</v>
      </c>
      <c r="G414" s="2" t="str" cm="1">
        <f t="array" ref="G414">_xlfn.IFS(F414&lt;=8,"Child",F414&lt;=17,"Teen",F414&lt;=35,"Adult",F414&lt;=55,"Seniour Adult",F414&gt;=55,"Old Age")</f>
        <v>Adult</v>
      </c>
      <c r="H414" t="s">
        <v>10</v>
      </c>
      <c r="I414" t="s">
        <v>11</v>
      </c>
      <c r="J414" t="str" cm="1">
        <f t="array" ref="J414">_xlfn.IFS(I414="S","Sauthamptonm",I414="Q","Queentown",I414="C","Cherburg",I414="B","Cabin")</f>
        <v>Sauthamptonm</v>
      </c>
      <c r="K414" t="s">
        <v>23</v>
      </c>
      <c r="L414" s="2">
        <v>7.1510999999999996</v>
      </c>
      <c r="M414">
        <v>0</v>
      </c>
      <c r="N414">
        <v>0</v>
      </c>
      <c r="O414" t="s">
        <v>16</v>
      </c>
    </row>
    <row r="415" spans="1:15" x14ac:dyDescent="0.3">
      <c r="A415" s="1" t="s">
        <v>893</v>
      </c>
      <c r="B415" t="s">
        <v>76</v>
      </c>
      <c r="C415" t="s">
        <v>894</v>
      </c>
      <c r="D415" t="str">
        <f t="shared" si="6"/>
        <v>Female</v>
      </c>
      <c r="E415" t="s">
        <v>14</v>
      </c>
      <c r="F415" s="2">
        <v>22</v>
      </c>
      <c r="G415" s="2" t="str" cm="1">
        <f t="array" ref="G415">_xlfn.IFS(F415&lt;=8,"Child",F415&lt;=17,"Teen",F415&lt;=35,"Adult",F415&lt;=55,"Seniour Adult",F415&gt;=55,"Old Age")</f>
        <v>Adult</v>
      </c>
      <c r="H415" t="s">
        <v>18</v>
      </c>
      <c r="I415" t="s">
        <v>11</v>
      </c>
      <c r="J415" t="str" cm="1">
        <f t="array" ref="J415">_xlfn.IFS(I415="S","Sauthamptonm",I415="Q","Queentown",I415="C","Cherburg",I415="B","Cabin")</f>
        <v>Sauthamptonm</v>
      </c>
      <c r="K415" t="s">
        <v>12</v>
      </c>
      <c r="L415" s="2">
        <v>21</v>
      </c>
      <c r="M415">
        <v>0</v>
      </c>
      <c r="N415">
        <v>0</v>
      </c>
      <c r="O415" t="s">
        <v>13</v>
      </c>
    </row>
    <row r="416" spans="1:15" x14ac:dyDescent="0.3">
      <c r="A416" s="1" t="s">
        <v>895</v>
      </c>
      <c r="B416" t="s">
        <v>78</v>
      </c>
      <c r="C416" t="s">
        <v>896</v>
      </c>
      <c r="D416" t="str">
        <f t="shared" si="6"/>
        <v>Female</v>
      </c>
      <c r="E416" t="s">
        <v>14</v>
      </c>
      <c r="F416" s="2">
        <v>5</v>
      </c>
      <c r="G416" s="2" t="str" cm="1">
        <f t="array" ref="G416">_xlfn.IFS(F416&lt;=8,"Child",F416&lt;=17,"Teen",F416&lt;=35,"Adult",F416&lt;=55,"Seniour Adult",F416&gt;=55,"Old Age")</f>
        <v>Child</v>
      </c>
      <c r="H416" t="s">
        <v>10</v>
      </c>
      <c r="I416" t="s">
        <v>19</v>
      </c>
      <c r="J416" t="str" cm="1">
        <f t="array" ref="J416">_xlfn.IFS(I416="S","Sauthamptonm",I416="Q","Queentown",I416="C","Cherburg",I416="B","Cabin")</f>
        <v>Cherburg</v>
      </c>
      <c r="K416" t="s">
        <v>55</v>
      </c>
      <c r="L416" s="2">
        <v>13.080399999999999</v>
      </c>
      <c r="M416">
        <v>0</v>
      </c>
      <c r="N416">
        <v>1</v>
      </c>
      <c r="O416" t="s">
        <v>16</v>
      </c>
    </row>
    <row r="417" spans="1:15" x14ac:dyDescent="0.3">
      <c r="A417" s="1" t="s">
        <v>898</v>
      </c>
      <c r="B417" t="s">
        <v>72</v>
      </c>
      <c r="C417" t="s">
        <v>899</v>
      </c>
      <c r="D417" t="str">
        <f t="shared" si="6"/>
        <v>Male</v>
      </c>
      <c r="E417" t="s">
        <v>9</v>
      </c>
      <c r="F417" s="2">
        <v>19</v>
      </c>
      <c r="G417" s="2" t="str" cm="1">
        <f t="array" ref="G417">_xlfn.IFS(F417&lt;=8,"Child",F417&lt;=17,"Teen",F417&lt;=35,"Adult",F417&lt;=55,"Seniour Adult",F417&gt;=55,"Old Age")</f>
        <v>Adult</v>
      </c>
      <c r="H417" t="s">
        <v>10</v>
      </c>
      <c r="I417" t="s">
        <v>19</v>
      </c>
      <c r="J417" t="str" cm="1">
        <f t="array" ref="J417">_xlfn.IFS(I417="S","Sauthamptonm",I417="Q","Queentown",I417="C","Cherburg",I417="B","Cabin")</f>
        <v>Cherburg</v>
      </c>
      <c r="K417" t="s">
        <v>56</v>
      </c>
      <c r="L417" s="2">
        <v>7.0407000000000002</v>
      </c>
      <c r="M417">
        <v>0</v>
      </c>
      <c r="N417">
        <v>0</v>
      </c>
      <c r="O417" t="s">
        <v>13</v>
      </c>
    </row>
    <row r="418" spans="1:15" x14ac:dyDescent="0.3">
      <c r="A418" s="1" t="s">
        <v>900</v>
      </c>
      <c r="B418" t="s">
        <v>78</v>
      </c>
      <c r="C418" t="s">
        <v>901</v>
      </c>
      <c r="D418" t="str">
        <f t="shared" si="6"/>
        <v>Female</v>
      </c>
      <c r="E418" t="s">
        <v>14</v>
      </c>
      <c r="F418" s="2">
        <v>46</v>
      </c>
      <c r="G418" s="2" t="str" cm="1">
        <f t="array" ref="G418">_xlfn.IFS(F418&lt;=8,"Child",F418&lt;=17,"Teen",F418&lt;=35,"Adult",F418&lt;=55,"Seniour Adult",F418&gt;=55,"Old Age")</f>
        <v>Seniour Adult</v>
      </c>
      <c r="H418" t="s">
        <v>18</v>
      </c>
      <c r="I418" t="s">
        <v>36</v>
      </c>
      <c r="J418" t="str" cm="1">
        <f t="array" ref="J418">_xlfn.IFS(I418="S","Sauthamptonm",I418="Q","Queentown",I418="C","Cherburg",I418="B","Cabin")</f>
        <v>Queentown</v>
      </c>
      <c r="K418" t="s">
        <v>37</v>
      </c>
      <c r="L418" s="2">
        <v>12.07</v>
      </c>
      <c r="M418">
        <v>0</v>
      </c>
      <c r="N418">
        <v>0</v>
      </c>
      <c r="O418" t="s">
        <v>16</v>
      </c>
    </row>
    <row r="419" spans="1:15" x14ac:dyDescent="0.3">
      <c r="A419" s="1" t="s">
        <v>903</v>
      </c>
      <c r="B419" t="s">
        <v>72</v>
      </c>
      <c r="C419" t="s">
        <v>618</v>
      </c>
      <c r="D419" t="str">
        <f t="shared" si="6"/>
        <v>Male</v>
      </c>
      <c r="E419" t="s">
        <v>9</v>
      </c>
      <c r="F419" s="2">
        <v>39</v>
      </c>
      <c r="G419" s="2" t="str" cm="1">
        <f t="array" ref="G419">_xlfn.IFS(F419&lt;=8,"Child",F419&lt;=17,"Teen",F419&lt;=35,"Adult",F419&lt;=55,"Seniour Adult",F419&gt;=55,"Old Age")</f>
        <v>Seniour Adult</v>
      </c>
      <c r="H419" t="s">
        <v>10</v>
      </c>
      <c r="I419" t="s">
        <v>11</v>
      </c>
      <c r="J419" t="str" cm="1">
        <f t="array" ref="J419">_xlfn.IFS(I419="S","Sauthamptonm",I419="Q","Queentown",I419="C","Cherburg",I419="B","Cabin")</f>
        <v>Sauthamptonm</v>
      </c>
      <c r="K419" t="s">
        <v>12</v>
      </c>
      <c r="L419" s="2">
        <v>7.05</v>
      </c>
      <c r="M419">
        <v>0</v>
      </c>
      <c r="N419">
        <v>0</v>
      </c>
      <c r="O419" t="s">
        <v>13</v>
      </c>
    </row>
    <row r="420" spans="1:15" x14ac:dyDescent="0.3">
      <c r="A420" s="1" t="s">
        <v>904</v>
      </c>
      <c r="B420" t="s">
        <v>72</v>
      </c>
      <c r="C420" t="s">
        <v>905</v>
      </c>
      <c r="D420" t="str">
        <f t="shared" si="6"/>
        <v>Male</v>
      </c>
      <c r="E420" t="s">
        <v>9</v>
      </c>
      <c r="F420" s="2">
        <v>33</v>
      </c>
      <c r="G420" s="2" t="str" cm="1">
        <f t="array" ref="G420">_xlfn.IFS(F420&lt;=8,"Child",F420&lt;=17,"Teen",F420&lt;=35,"Adult",F420&lt;=55,"Seniour Adult",F420&gt;=55,"Old Age")</f>
        <v>Adult</v>
      </c>
      <c r="H420" t="s">
        <v>25</v>
      </c>
      <c r="I420" t="s">
        <v>11</v>
      </c>
      <c r="J420" t="str" cm="1">
        <f t="array" ref="J420">_xlfn.IFS(I420="S","Sauthamptonm",I420="Q","Queentown",I420="C","Cherburg",I420="B","Cabin")</f>
        <v>Sauthamptonm</v>
      </c>
      <c r="K420" t="s">
        <v>15</v>
      </c>
      <c r="L420" s="2">
        <v>211.1</v>
      </c>
      <c r="M420">
        <v>0</v>
      </c>
      <c r="N420">
        <v>0</v>
      </c>
      <c r="O420" t="s">
        <v>13</v>
      </c>
    </row>
    <row r="421" spans="1:15" x14ac:dyDescent="0.3">
      <c r="A421" s="1" t="s">
        <v>906</v>
      </c>
      <c r="B421" t="s">
        <v>78</v>
      </c>
      <c r="C421" t="s">
        <v>907</v>
      </c>
      <c r="D421" t="str">
        <f t="shared" si="6"/>
        <v>Female</v>
      </c>
      <c r="E421" t="s">
        <v>14</v>
      </c>
      <c r="F421" s="2">
        <v>20</v>
      </c>
      <c r="G421" s="2" t="str" cm="1">
        <f t="array" ref="G421">_xlfn.IFS(F421&lt;=8,"Child",F421&lt;=17,"Teen",F421&lt;=35,"Adult",F421&lt;=55,"Seniour Adult",F421&gt;=55,"Old Age")</f>
        <v>Adult</v>
      </c>
      <c r="H421" t="s">
        <v>10</v>
      </c>
      <c r="I421" t="s">
        <v>36</v>
      </c>
      <c r="J421" t="str" cm="1">
        <f t="array" ref="J421">_xlfn.IFS(I421="S","Sauthamptonm",I421="Q","Queentown",I421="C","Cherburg",I421="B","Cabin")</f>
        <v>Queentown</v>
      </c>
      <c r="K421" t="s">
        <v>37</v>
      </c>
      <c r="L421" s="2">
        <v>7.15</v>
      </c>
      <c r="M421">
        <v>0</v>
      </c>
      <c r="N421">
        <v>0</v>
      </c>
      <c r="O421" t="s">
        <v>16</v>
      </c>
    </row>
    <row r="422" spans="1:15" x14ac:dyDescent="0.3">
      <c r="A422" s="1" t="s">
        <v>908</v>
      </c>
      <c r="B422" t="s">
        <v>72</v>
      </c>
      <c r="C422" t="s">
        <v>90</v>
      </c>
      <c r="D422" t="str">
        <f t="shared" si="6"/>
        <v>Male</v>
      </c>
      <c r="E422" t="s">
        <v>9</v>
      </c>
      <c r="F422" s="2">
        <v>24</v>
      </c>
      <c r="G422" s="2" t="str" cm="1">
        <f t="array" ref="G422">_xlfn.IFS(F422&lt;=8,"Child",F422&lt;=17,"Teen",F422&lt;=35,"Adult",F422&lt;=55,"Seniour Adult",F422&gt;=55,"Old Age")</f>
        <v>Adult</v>
      </c>
      <c r="H422" t="s">
        <v>10</v>
      </c>
      <c r="I422" t="s">
        <v>36</v>
      </c>
      <c r="J422" t="str" cm="1">
        <f t="array" ref="J422">_xlfn.IFS(I422="S","Sauthamptonm",I422="Q","Queentown",I422="C","Cherburg",I422="B","Cabin")</f>
        <v>Queentown</v>
      </c>
      <c r="K422" t="s">
        <v>37</v>
      </c>
      <c r="L422" s="2">
        <v>7.15</v>
      </c>
      <c r="M422">
        <v>0</v>
      </c>
      <c r="N422">
        <v>0</v>
      </c>
      <c r="O422" t="s">
        <v>16</v>
      </c>
    </row>
    <row r="423" spans="1:15" x14ac:dyDescent="0.3">
      <c r="A423" s="1" t="s">
        <v>909</v>
      </c>
      <c r="B423" t="s">
        <v>72</v>
      </c>
      <c r="C423" t="s">
        <v>910</v>
      </c>
      <c r="D423" t="str">
        <f t="shared" si="6"/>
        <v>Male</v>
      </c>
      <c r="E423" t="s">
        <v>9</v>
      </c>
      <c r="F423" s="2">
        <v>58</v>
      </c>
      <c r="G423" s="2" t="str" cm="1">
        <f t="array" ref="G423">_xlfn.IFS(F423&lt;=8,"Child",F423&lt;=17,"Teen",F423&lt;=35,"Adult",F423&lt;=55,"Seniour Adult",F423&gt;=55,"Old Age")</f>
        <v>Old Age</v>
      </c>
      <c r="H423" t="s">
        <v>25</v>
      </c>
      <c r="I423" t="s">
        <v>19</v>
      </c>
      <c r="J423" t="str" cm="1">
        <f t="array" ref="J423">_xlfn.IFS(I423="S","Sauthamptonm",I423="Q","Queentown",I423="C","Cherburg",I423="B","Cabin")</f>
        <v>Cherburg</v>
      </c>
      <c r="K423" t="s">
        <v>12</v>
      </c>
      <c r="L423" s="2">
        <v>29.14</v>
      </c>
      <c r="M423">
        <v>0</v>
      </c>
      <c r="N423">
        <v>0</v>
      </c>
      <c r="O423" t="s">
        <v>13</v>
      </c>
    </row>
    <row r="424" spans="1:15" x14ac:dyDescent="0.3">
      <c r="A424" s="1" t="s">
        <v>911</v>
      </c>
      <c r="B424" t="s">
        <v>72</v>
      </c>
      <c r="C424" t="s">
        <v>912</v>
      </c>
      <c r="D424" t="str">
        <f t="shared" si="6"/>
        <v>Male</v>
      </c>
      <c r="E424" t="s">
        <v>9</v>
      </c>
      <c r="F424" s="2">
        <v>41</v>
      </c>
      <c r="G424" s="2" t="str" cm="1">
        <f t="array" ref="G424">_xlfn.IFS(F424&lt;=8,"Child",F424&lt;=17,"Teen",F424&lt;=35,"Adult",F424&lt;=55,"Seniour Adult",F424&gt;=55,"Old Age")</f>
        <v>Seniour Adult</v>
      </c>
      <c r="H424" t="s">
        <v>25</v>
      </c>
      <c r="I424" t="s">
        <v>11</v>
      </c>
      <c r="J424" t="str" cm="1">
        <f t="array" ref="J424">_xlfn.IFS(I424="S","Sauthamptonm",I424="Q","Queentown",I424="C","Cherburg",I424="B","Cabin")</f>
        <v>Sauthamptonm</v>
      </c>
      <c r="K424" t="s">
        <v>12</v>
      </c>
      <c r="L424" s="2">
        <v>51.170299999999997</v>
      </c>
      <c r="M424">
        <v>1</v>
      </c>
      <c r="N424">
        <v>0</v>
      </c>
      <c r="O424" t="s">
        <v>13</v>
      </c>
    </row>
    <row r="425" spans="1:15" x14ac:dyDescent="0.3">
      <c r="A425" s="1" t="s">
        <v>913</v>
      </c>
      <c r="B425" t="s">
        <v>72</v>
      </c>
      <c r="C425" t="s">
        <v>914</v>
      </c>
      <c r="D425" t="str">
        <f t="shared" si="6"/>
        <v>Male</v>
      </c>
      <c r="E425" t="s">
        <v>9</v>
      </c>
      <c r="F425" s="2">
        <v>25</v>
      </c>
      <c r="G425" s="2" t="str" cm="1">
        <f t="array" ref="G425">_xlfn.IFS(F425&lt;=8,"Child",F425&lt;=17,"Teen",F425&lt;=35,"Adult",F425&lt;=55,"Seniour Adult",F425&gt;=55,"Old Age")</f>
        <v>Adult</v>
      </c>
      <c r="H425" t="s">
        <v>10</v>
      </c>
      <c r="I425" t="s">
        <v>19</v>
      </c>
      <c r="J425" t="str" cm="1">
        <f t="array" ref="J425">_xlfn.IFS(I425="S","Sauthamptonm",I425="Q","Queentown",I425="C","Cherburg",I425="B","Cabin")</f>
        <v>Cherburg</v>
      </c>
      <c r="K425" t="s">
        <v>21</v>
      </c>
      <c r="L425" s="2">
        <v>14.0901</v>
      </c>
      <c r="M425">
        <v>1</v>
      </c>
      <c r="N425">
        <v>0</v>
      </c>
      <c r="O425" t="s">
        <v>13</v>
      </c>
    </row>
    <row r="426" spans="1:15" x14ac:dyDescent="0.3">
      <c r="A426" s="1" t="s">
        <v>915</v>
      </c>
      <c r="B426" t="s">
        <v>72</v>
      </c>
      <c r="C426" t="s">
        <v>916</v>
      </c>
      <c r="D426" t="str">
        <f t="shared" si="6"/>
        <v>Male</v>
      </c>
      <c r="E426" t="s">
        <v>9</v>
      </c>
      <c r="F426" s="2">
        <v>25</v>
      </c>
      <c r="G426" s="2" t="str" cm="1">
        <f t="array" ref="G426">_xlfn.IFS(F426&lt;=8,"Child",F426&lt;=17,"Teen",F426&lt;=35,"Adult",F426&lt;=55,"Seniour Adult",F426&gt;=55,"Old Age")</f>
        <v>Adult</v>
      </c>
      <c r="H426" t="s">
        <v>10</v>
      </c>
      <c r="I426" t="s">
        <v>36</v>
      </c>
      <c r="J426" t="str" cm="1">
        <f t="array" ref="J426">_xlfn.IFS(I426="S","Sauthamptonm",I426="Q","Queentown",I426="C","Cherburg",I426="B","Cabin")</f>
        <v>Queentown</v>
      </c>
      <c r="K426" t="s">
        <v>37</v>
      </c>
      <c r="L426" s="2">
        <v>7.15</v>
      </c>
      <c r="M426">
        <v>1</v>
      </c>
      <c r="N426">
        <v>0</v>
      </c>
      <c r="O426" t="s">
        <v>13</v>
      </c>
    </row>
    <row r="427" spans="1:15" x14ac:dyDescent="0.3">
      <c r="A427" s="1" t="s">
        <v>918</v>
      </c>
      <c r="B427" t="s">
        <v>72</v>
      </c>
      <c r="C427" t="s">
        <v>128</v>
      </c>
      <c r="D427" t="str">
        <f t="shared" si="6"/>
        <v>Male</v>
      </c>
      <c r="E427" t="s">
        <v>9</v>
      </c>
      <c r="F427" s="2">
        <v>22</v>
      </c>
      <c r="G427" s="2" t="str" cm="1">
        <f t="array" ref="G427">_xlfn.IFS(F427&lt;=8,"Child",F427&lt;=17,"Teen",F427&lt;=35,"Adult",F427&lt;=55,"Seniour Adult",F427&gt;=55,"Old Age")</f>
        <v>Adult</v>
      </c>
      <c r="H427" t="s">
        <v>10</v>
      </c>
      <c r="I427" t="s">
        <v>36</v>
      </c>
      <c r="J427" t="str" cm="1">
        <f t="array" ref="J427">_xlfn.IFS(I427="S","Sauthamptonm",I427="Q","Queentown",I427="C","Cherburg",I427="B","Cabin")</f>
        <v>Queentown</v>
      </c>
      <c r="K427" t="s">
        <v>37</v>
      </c>
      <c r="L427" s="2">
        <v>7.1409000000000002</v>
      </c>
      <c r="M427">
        <v>0</v>
      </c>
      <c r="N427">
        <v>0</v>
      </c>
      <c r="O427" t="s">
        <v>13</v>
      </c>
    </row>
    <row r="428" spans="1:15" x14ac:dyDescent="0.3">
      <c r="A428" s="1" t="s">
        <v>919</v>
      </c>
      <c r="B428" t="s">
        <v>72</v>
      </c>
      <c r="C428" t="s">
        <v>920</v>
      </c>
      <c r="D428" t="str">
        <f t="shared" si="6"/>
        <v>Male</v>
      </c>
      <c r="E428" t="s">
        <v>9</v>
      </c>
      <c r="F428" s="2">
        <v>42</v>
      </c>
      <c r="G428" s="2" t="str" cm="1">
        <f t="array" ref="G428">_xlfn.IFS(F428&lt;=8,"Child",F428&lt;=17,"Teen",F428&lt;=35,"Adult",F428&lt;=55,"Seniour Adult",F428&gt;=55,"Old Age")</f>
        <v>Seniour Adult</v>
      </c>
      <c r="H428" t="s">
        <v>25</v>
      </c>
      <c r="I428" t="s">
        <v>11</v>
      </c>
      <c r="J428" t="str" cm="1">
        <f t="array" ref="J428">_xlfn.IFS(I428="S","Sauthamptonm",I428="Q","Queentown",I428="C","Cherburg",I428="B","Cabin")</f>
        <v>Sauthamptonm</v>
      </c>
      <c r="K428" t="s">
        <v>12</v>
      </c>
      <c r="L428" s="2">
        <v>52.110100000000003</v>
      </c>
      <c r="M428">
        <v>1</v>
      </c>
      <c r="N428">
        <v>0</v>
      </c>
      <c r="O428" t="s">
        <v>16</v>
      </c>
    </row>
    <row r="429" spans="1:15" x14ac:dyDescent="0.3">
      <c r="A429" s="1" t="s">
        <v>921</v>
      </c>
      <c r="B429" t="s">
        <v>78</v>
      </c>
      <c r="C429" t="s">
        <v>922</v>
      </c>
      <c r="D429" t="str">
        <f t="shared" si="6"/>
        <v>Female</v>
      </c>
      <c r="E429" t="s">
        <v>14</v>
      </c>
      <c r="F429" s="2">
        <v>4</v>
      </c>
      <c r="G429" s="2" t="str" cm="1">
        <f t="array" ref="G429">_xlfn.IFS(F429&lt;=8,"Child",F429&lt;=17,"Teen",F429&lt;=35,"Adult",F429&lt;=55,"Seniour Adult",F429&gt;=55,"Old Age")</f>
        <v>Child</v>
      </c>
      <c r="H429" t="s">
        <v>10</v>
      </c>
      <c r="I429" t="s">
        <v>11</v>
      </c>
      <c r="J429" t="str" cm="1">
        <f t="array" ref="J429">_xlfn.IFS(I429="S","Sauthamptonm",I429="Q","Queentown",I429="C","Cherburg",I429="B","Cabin")</f>
        <v>Sauthamptonm</v>
      </c>
      <c r="K429" t="s">
        <v>32</v>
      </c>
      <c r="L429" s="2">
        <v>22</v>
      </c>
      <c r="M429">
        <v>0</v>
      </c>
      <c r="N429">
        <v>2</v>
      </c>
      <c r="O429" t="s">
        <v>16</v>
      </c>
    </row>
    <row r="430" spans="1:15" x14ac:dyDescent="0.3">
      <c r="A430" s="1" t="s">
        <v>923</v>
      </c>
      <c r="B430" t="s">
        <v>78</v>
      </c>
      <c r="C430" t="s">
        <v>924</v>
      </c>
      <c r="D430" t="str">
        <f t="shared" si="6"/>
        <v>Female</v>
      </c>
      <c r="E430" t="s">
        <v>14</v>
      </c>
      <c r="F430" s="2">
        <v>23</v>
      </c>
      <c r="G430" s="2" t="str" cm="1">
        <f t="array" ref="G430">_xlfn.IFS(F430&lt;=8,"Child",F430&lt;=17,"Teen",F430&lt;=35,"Adult",F430&lt;=55,"Seniour Adult",F430&gt;=55,"Old Age")</f>
        <v>Adult</v>
      </c>
      <c r="H430" t="s">
        <v>10</v>
      </c>
      <c r="I430" t="s">
        <v>11</v>
      </c>
      <c r="J430" t="str" cm="1">
        <f t="array" ref="J430">_xlfn.IFS(I430="S","Sauthamptonm",I430="Q","Queentown",I430="C","Cherburg",I430="B","Cabin")</f>
        <v>Sauthamptonm</v>
      </c>
      <c r="K430" t="s">
        <v>32</v>
      </c>
      <c r="L430" s="2">
        <v>8.1303000000000001</v>
      </c>
      <c r="M430">
        <v>2</v>
      </c>
      <c r="N430">
        <v>0</v>
      </c>
      <c r="O430" t="s">
        <v>13</v>
      </c>
    </row>
    <row r="431" spans="1:15" x14ac:dyDescent="0.3">
      <c r="A431" s="1" t="s">
        <v>925</v>
      </c>
      <c r="B431" t="s">
        <v>323</v>
      </c>
      <c r="C431" t="s">
        <v>926</v>
      </c>
      <c r="D431" t="str">
        <f t="shared" si="6"/>
        <v>Male</v>
      </c>
      <c r="E431" t="s">
        <v>9</v>
      </c>
      <c r="F431" s="2">
        <v>52</v>
      </c>
      <c r="G431" s="2" t="str" cm="1">
        <f t="array" ref="G431">_xlfn.IFS(F431&lt;=8,"Child",F431&lt;=17,"Teen",F431&lt;=35,"Adult",F431&lt;=55,"Seniour Adult",F431&gt;=55,"Old Age")</f>
        <v>Seniour Adult</v>
      </c>
      <c r="H431" t="s">
        <v>18</v>
      </c>
      <c r="I431" t="s">
        <v>36</v>
      </c>
      <c r="J431" t="str" cm="1">
        <f t="array" ref="J431">_xlfn.IFS(I431="S","Sauthamptonm",I431="Q","Queentown",I431="C","Cherburg",I431="B","Cabin")</f>
        <v>Queentown</v>
      </c>
      <c r="K431" t="s">
        <v>12</v>
      </c>
      <c r="L431" s="2">
        <v>12.07</v>
      </c>
      <c r="M431">
        <v>0</v>
      </c>
      <c r="N431">
        <v>0</v>
      </c>
      <c r="O431" t="s">
        <v>13</v>
      </c>
    </row>
    <row r="432" spans="1:15" x14ac:dyDescent="0.3">
      <c r="A432" s="1" t="s">
        <v>927</v>
      </c>
      <c r="B432" t="s">
        <v>72</v>
      </c>
      <c r="C432" t="s">
        <v>928</v>
      </c>
      <c r="D432" t="str">
        <f t="shared" si="6"/>
        <v>Male</v>
      </c>
      <c r="E432" t="s">
        <v>9</v>
      </c>
      <c r="F432" s="2">
        <v>41</v>
      </c>
      <c r="G432" s="2" t="str" cm="1">
        <f t="array" ref="G432">_xlfn.IFS(F432&lt;=8,"Child",F432&lt;=17,"Teen",F432&lt;=35,"Adult",F432&lt;=55,"Seniour Adult",F432&gt;=55,"Old Age")</f>
        <v>Seniour Adult</v>
      </c>
      <c r="H432" t="s">
        <v>25</v>
      </c>
      <c r="I432" t="s">
        <v>11</v>
      </c>
      <c r="J432" t="str" cm="1">
        <f t="array" ref="J432">_xlfn.IFS(I432="S","Sauthamptonm",I432="Q","Queentown",I432="C","Cherburg",I432="B","Cabin")</f>
        <v>Sauthamptonm</v>
      </c>
      <c r="K432" t="s">
        <v>12</v>
      </c>
      <c r="L432" s="2">
        <v>26.11</v>
      </c>
      <c r="M432">
        <v>0</v>
      </c>
      <c r="N432">
        <v>0</v>
      </c>
      <c r="O432" t="s">
        <v>13</v>
      </c>
    </row>
    <row r="433" spans="1:15" x14ac:dyDescent="0.3">
      <c r="A433" s="1" t="s">
        <v>929</v>
      </c>
      <c r="B433" t="s">
        <v>78</v>
      </c>
      <c r="C433" t="s">
        <v>930</v>
      </c>
      <c r="D433" t="str">
        <f t="shared" si="6"/>
        <v>Female</v>
      </c>
      <c r="E433" t="s">
        <v>14</v>
      </c>
      <c r="F433" s="2">
        <v>1</v>
      </c>
      <c r="G433" s="2" t="str" cm="1">
        <f t="array" ref="G433">_xlfn.IFS(F433&lt;=8,"Child",F433&lt;=17,"Teen",F433&lt;=35,"Adult",F433&lt;=55,"Seniour Adult",F433&gt;=55,"Old Age")</f>
        <v>Child</v>
      </c>
      <c r="H433" t="s">
        <v>10</v>
      </c>
      <c r="I433" t="s">
        <v>11</v>
      </c>
      <c r="J433" t="str" cm="1">
        <f t="array" ref="J433">_xlfn.IFS(I433="S","Sauthamptonm",I433="Q","Queentown",I433="C","Cherburg",I433="B","Cabin")</f>
        <v>Sauthamptonm</v>
      </c>
      <c r="K433" t="s">
        <v>23</v>
      </c>
      <c r="L433" s="2">
        <v>12.030799999999999</v>
      </c>
      <c r="M433">
        <v>1</v>
      </c>
      <c r="N433">
        <v>1</v>
      </c>
      <c r="O433" t="s">
        <v>13</v>
      </c>
    </row>
    <row r="434" spans="1:15" x14ac:dyDescent="0.3">
      <c r="A434" s="1" t="s">
        <v>931</v>
      </c>
      <c r="B434" t="s">
        <v>72</v>
      </c>
      <c r="C434" t="s">
        <v>932</v>
      </c>
      <c r="D434" t="str">
        <f t="shared" si="6"/>
        <v>Male</v>
      </c>
      <c r="E434" t="s">
        <v>9</v>
      </c>
      <c r="F434" s="2">
        <v>41</v>
      </c>
      <c r="G434" s="2" t="str" cm="1">
        <f t="array" ref="G434">_xlfn.IFS(F434&lt;=8,"Child",F434&lt;=17,"Teen",F434&lt;=35,"Adult",F434&lt;=55,"Seniour Adult",F434&gt;=55,"Old Age")</f>
        <v>Seniour Adult</v>
      </c>
      <c r="H434" t="s">
        <v>18</v>
      </c>
      <c r="I434" t="s">
        <v>28</v>
      </c>
      <c r="J434" t="str" cm="1">
        <f t="array" ref="J434">_xlfn.IFS(I434="S","Sauthamptonm",I434="Q","Queentown",I434="C","Cherburg",I434="B","Cabin")</f>
        <v>Cabin</v>
      </c>
      <c r="K434" t="s">
        <v>29</v>
      </c>
      <c r="L434" s="2">
        <v>29</v>
      </c>
      <c r="M434">
        <v>0</v>
      </c>
      <c r="N434">
        <v>0</v>
      </c>
      <c r="O434" t="s">
        <v>13</v>
      </c>
    </row>
    <row r="435" spans="1:15" x14ac:dyDescent="0.3">
      <c r="A435" s="1" t="s">
        <v>933</v>
      </c>
      <c r="B435" t="s">
        <v>72</v>
      </c>
      <c r="C435" t="s">
        <v>934</v>
      </c>
      <c r="D435" t="str">
        <f t="shared" si="6"/>
        <v>Male</v>
      </c>
      <c r="E435" t="s">
        <v>9</v>
      </c>
      <c r="F435" s="2">
        <v>30</v>
      </c>
      <c r="G435" s="2" t="str" cm="1">
        <f t="array" ref="G435">_xlfn.IFS(F435&lt;=8,"Child",F435&lt;=17,"Teen",F435&lt;=35,"Adult",F435&lt;=55,"Seniour Adult",F435&gt;=55,"Old Age")</f>
        <v>Adult</v>
      </c>
      <c r="H435" t="s">
        <v>10</v>
      </c>
      <c r="I435" t="s">
        <v>19</v>
      </c>
      <c r="J435" t="str" cm="1">
        <f t="array" ref="J435">_xlfn.IFS(I435="S","Sauthamptonm",I435="Q","Queentown",I435="C","Cherburg",I435="B","Cabin")</f>
        <v>Cherburg</v>
      </c>
      <c r="K435" t="s">
        <v>31</v>
      </c>
      <c r="L435" s="2">
        <v>7.1711</v>
      </c>
      <c r="M435">
        <v>0</v>
      </c>
      <c r="N435">
        <v>0</v>
      </c>
      <c r="O435" t="s">
        <v>13</v>
      </c>
    </row>
    <row r="436" spans="1:15" x14ac:dyDescent="0.3">
      <c r="A436" s="1" t="s">
        <v>935</v>
      </c>
      <c r="B436" t="s">
        <v>72</v>
      </c>
      <c r="C436" t="s">
        <v>936</v>
      </c>
      <c r="D436" t="str">
        <f t="shared" si="6"/>
        <v>Male</v>
      </c>
      <c r="E436" t="s">
        <v>9</v>
      </c>
      <c r="F436" s="2">
        <v>25</v>
      </c>
      <c r="G436" s="2" t="str" cm="1">
        <f t="array" ref="G436">_xlfn.IFS(F436&lt;=8,"Child",F436&lt;=17,"Teen",F436&lt;=35,"Adult",F436&lt;=55,"Seniour Adult",F436&gt;=55,"Old Age")</f>
        <v>Adult</v>
      </c>
      <c r="H436" t="s">
        <v>10</v>
      </c>
      <c r="I436" t="s">
        <v>19</v>
      </c>
      <c r="J436" t="str" cm="1">
        <f t="array" ref="J436">_xlfn.IFS(I436="S","Sauthamptonm",I436="Q","Queentown",I436="C","Cherburg",I436="B","Cabin")</f>
        <v>Cherburg</v>
      </c>
      <c r="K436" t="s">
        <v>57</v>
      </c>
      <c r="L436" s="2">
        <v>7.0407000000000002</v>
      </c>
      <c r="M436">
        <v>0</v>
      </c>
      <c r="N436">
        <v>0</v>
      </c>
      <c r="O436" t="s">
        <v>16</v>
      </c>
    </row>
    <row r="437" spans="1:15" x14ac:dyDescent="0.3">
      <c r="A437" s="1" t="s">
        <v>937</v>
      </c>
      <c r="B437" t="s">
        <v>78</v>
      </c>
      <c r="C437" t="s">
        <v>938</v>
      </c>
      <c r="D437" t="str">
        <f t="shared" si="6"/>
        <v>Female</v>
      </c>
      <c r="E437" t="s">
        <v>14</v>
      </c>
      <c r="F437" s="2">
        <v>29</v>
      </c>
      <c r="G437" s="2" t="str" cm="1">
        <f t="array" ref="G437">_xlfn.IFS(F437&lt;=8,"Child",F437&lt;=17,"Teen",F437&lt;=35,"Adult",F437&lt;=55,"Seniour Adult",F437&gt;=55,"Old Age")</f>
        <v>Adult</v>
      </c>
      <c r="H437" t="s">
        <v>25</v>
      </c>
      <c r="I437" t="s">
        <v>11</v>
      </c>
      <c r="J437" t="str" cm="1">
        <f t="array" ref="J437">_xlfn.IFS(I437="S","Sauthamptonm",I437="Q","Queentown",I437="C","Cherburg",I437="B","Cabin")</f>
        <v>Sauthamptonm</v>
      </c>
      <c r="K437" t="s">
        <v>15</v>
      </c>
      <c r="L437" s="2">
        <v>211.0609</v>
      </c>
      <c r="M437">
        <v>0</v>
      </c>
      <c r="N437">
        <v>0</v>
      </c>
      <c r="O437" t="s">
        <v>16</v>
      </c>
    </row>
    <row r="438" spans="1:15" x14ac:dyDescent="0.3">
      <c r="A438" s="1" t="s">
        <v>939</v>
      </c>
      <c r="B438" t="s">
        <v>72</v>
      </c>
      <c r="C438" t="s">
        <v>940</v>
      </c>
      <c r="D438" t="str">
        <f t="shared" si="6"/>
        <v>Male</v>
      </c>
      <c r="E438" t="s">
        <v>9</v>
      </c>
      <c r="F438" s="2">
        <v>23</v>
      </c>
      <c r="G438" s="2" t="str" cm="1">
        <f t="array" ref="G438">_xlfn.IFS(F438&lt;=8,"Child",F438&lt;=17,"Teen",F438&lt;=35,"Adult",F438&lt;=55,"Seniour Adult",F438&gt;=55,"Old Age")</f>
        <v>Adult</v>
      </c>
      <c r="H438" t="s">
        <v>18</v>
      </c>
      <c r="I438" t="s">
        <v>11</v>
      </c>
      <c r="J438" t="str" cm="1">
        <f t="array" ref="J438">_xlfn.IFS(I438="S","Sauthamptonm",I438="Q","Queentown",I438="C","Cherburg",I438="B","Cabin")</f>
        <v>Sauthamptonm</v>
      </c>
      <c r="K438" t="s">
        <v>15</v>
      </c>
      <c r="L438" s="2">
        <v>29</v>
      </c>
      <c r="M438">
        <v>0</v>
      </c>
      <c r="N438" t="s">
        <v>30</v>
      </c>
      <c r="O438" t="s">
        <v>13</v>
      </c>
    </row>
    <row r="439" spans="1:15" x14ac:dyDescent="0.3">
      <c r="A439" s="1" t="s">
        <v>941</v>
      </c>
      <c r="B439" t="s">
        <v>72</v>
      </c>
      <c r="C439" t="s">
        <v>942</v>
      </c>
      <c r="D439" t="str">
        <f t="shared" si="6"/>
        <v>Male</v>
      </c>
      <c r="E439" t="s">
        <v>9</v>
      </c>
      <c r="F439" s="2">
        <v>26</v>
      </c>
      <c r="G439" s="2" t="str" cm="1">
        <f t="array" ref="G439">_xlfn.IFS(F439&lt;=8,"Child",F439&lt;=17,"Teen",F439&lt;=35,"Adult",F439&lt;=55,"Seniour Adult",F439&gt;=55,"Old Age")</f>
        <v>Adult</v>
      </c>
      <c r="H439" t="s">
        <v>10</v>
      </c>
      <c r="I439" t="s">
        <v>11</v>
      </c>
      <c r="J439" t="str" cm="1">
        <f t="array" ref="J439">_xlfn.IFS(I439="S","Sauthamptonm",I439="Q","Queentown",I439="C","Cherburg",I439="B","Cabin")</f>
        <v>Sauthamptonm</v>
      </c>
      <c r="K439" t="s">
        <v>43</v>
      </c>
      <c r="L439" s="2">
        <v>7.11</v>
      </c>
      <c r="M439">
        <v>0</v>
      </c>
      <c r="N439">
        <v>0</v>
      </c>
      <c r="O439" t="s">
        <v>13</v>
      </c>
    </row>
    <row r="440" spans="1:15" x14ac:dyDescent="0.3">
      <c r="A440" s="1" t="s">
        <v>943</v>
      </c>
      <c r="B440" t="s">
        <v>72</v>
      </c>
      <c r="C440" t="s">
        <v>944</v>
      </c>
      <c r="D440" t="str">
        <f t="shared" si="6"/>
        <v>Male</v>
      </c>
      <c r="E440" t="s">
        <v>9</v>
      </c>
      <c r="F440" s="2">
        <v>31</v>
      </c>
      <c r="G440" s="2" t="str" cm="1">
        <f t="array" ref="G440">_xlfn.IFS(F440&lt;=8,"Child",F440&lt;=17,"Teen",F440&lt;=35,"Adult",F440&lt;=55,"Seniour Adult",F440&gt;=55,"Old Age")</f>
        <v>Adult</v>
      </c>
      <c r="H440" t="s">
        <v>18</v>
      </c>
      <c r="I440" t="s">
        <v>11</v>
      </c>
      <c r="J440" t="str" cm="1">
        <f t="array" ref="J440">_xlfn.IFS(I440="S","Sauthamptonm",I440="Q","Queentown",I440="C","Cherburg",I440="B","Cabin")</f>
        <v>Sauthamptonm</v>
      </c>
      <c r="K440" t="s">
        <v>23</v>
      </c>
      <c r="L440" s="2">
        <v>10.1</v>
      </c>
      <c r="M440">
        <v>0</v>
      </c>
      <c r="N440">
        <v>0</v>
      </c>
      <c r="O440" t="s">
        <v>13</v>
      </c>
    </row>
    <row r="441" spans="1:15" x14ac:dyDescent="0.3">
      <c r="A441" s="1" t="s">
        <v>945</v>
      </c>
      <c r="B441" t="s">
        <v>72</v>
      </c>
      <c r="C441" t="s">
        <v>946</v>
      </c>
      <c r="D441" t="str">
        <f t="shared" si="6"/>
        <v>Male</v>
      </c>
      <c r="E441" t="s">
        <v>9</v>
      </c>
      <c r="F441" s="2">
        <v>35</v>
      </c>
      <c r="G441" s="2" t="str" cm="1">
        <f t="array" ref="G441">_xlfn.IFS(F441&lt;=8,"Child",F441&lt;=17,"Teen",F441&lt;=35,"Adult",F441&lt;=55,"Seniour Adult",F441&gt;=55,"Old Age")</f>
        <v>Adult</v>
      </c>
      <c r="H441" t="s">
        <v>10</v>
      </c>
      <c r="I441" t="s">
        <v>19</v>
      </c>
      <c r="J441" t="str" cm="1">
        <f t="array" ref="J441">_xlfn.IFS(I441="S","Sauthamptonm",I441="Q","Queentown",I441="C","Cherburg",I441="B","Cabin")</f>
        <v>Cherburg</v>
      </c>
      <c r="K441" t="s">
        <v>21</v>
      </c>
      <c r="L441" s="2">
        <v>7.0406000000000004</v>
      </c>
      <c r="M441">
        <v>0</v>
      </c>
      <c r="N441">
        <v>0</v>
      </c>
      <c r="O441" t="s">
        <v>13</v>
      </c>
    </row>
    <row r="442" spans="1:15" x14ac:dyDescent="0.3">
      <c r="A442" s="1" t="s">
        <v>947</v>
      </c>
      <c r="B442" t="s">
        <v>323</v>
      </c>
      <c r="C442" t="s">
        <v>104</v>
      </c>
      <c r="D442" t="str">
        <f t="shared" si="6"/>
        <v>Male</v>
      </c>
      <c r="E442" t="s">
        <v>9</v>
      </c>
      <c r="F442" s="2">
        <v>35</v>
      </c>
      <c r="G442" s="2" t="str" cm="1">
        <f t="array" ref="G442">_xlfn.IFS(F442&lt;=8,"Child",F442&lt;=17,"Teen",F442&lt;=35,"Adult",F442&lt;=55,"Seniour Adult",F442&gt;=55,"Old Age")</f>
        <v>Adult</v>
      </c>
      <c r="H442" t="s">
        <v>18</v>
      </c>
      <c r="I442" t="s">
        <v>11</v>
      </c>
      <c r="J442" t="str" cm="1">
        <f t="array" ref="J442">_xlfn.IFS(I442="S","Sauthamptonm",I442="Q","Queentown",I442="C","Cherburg",I442="B","Cabin")</f>
        <v>Sauthamptonm</v>
      </c>
      <c r="K442" t="s">
        <v>12</v>
      </c>
      <c r="L442" s="2">
        <v>26</v>
      </c>
      <c r="M442">
        <v>1</v>
      </c>
      <c r="N442">
        <v>1</v>
      </c>
      <c r="O442" t="s">
        <v>13</v>
      </c>
    </row>
    <row r="443" spans="1:15" x14ac:dyDescent="0.3">
      <c r="A443" s="1" t="s">
        <v>948</v>
      </c>
      <c r="B443" t="s">
        <v>78</v>
      </c>
      <c r="C443" t="s">
        <v>949</v>
      </c>
      <c r="D443" t="str">
        <f t="shared" si="6"/>
        <v>Female</v>
      </c>
      <c r="E443" t="s">
        <v>14</v>
      </c>
      <c r="F443" s="2">
        <v>37</v>
      </c>
      <c r="G443" s="2" t="str" cm="1">
        <f t="array" ref="G443">_xlfn.IFS(F443&lt;=8,"Child",F443&lt;=17,"Teen",F443&lt;=35,"Adult",F443&lt;=55,"Seniour Adult",F443&gt;=55,"Old Age")</f>
        <v>Seniour Adult</v>
      </c>
      <c r="H443" t="s">
        <v>10</v>
      </c>
      <c r="I443" t="s">
        <v>11</v>
      </c>
      <c r="J443" t="str" cm="1">
        <f t="array" ref="J443">_xlfn.IFS(I443="S","Sauthamptonm",I443="Q","Queentown",I443="C","Cherburg",I443="B","Cabin")</f>
        <v>Sauthamptonm</v>
      </c>
      <c r="K443" t="s">
        <v>22</v>
      </c>
      <c r="L443" s="2">
        <v>9.1109000000000009</v>
      </c>
      <c r="M443">
        <v>0</v>
      </c>
      <c r="N443">
        <v>0</v>
      </c>
      <c r="O443" t="s">
        <v>13</v>
      </c>
    </row>
    <row r="444" spans="1:15" x14ac:dyDescent="0.3">
      <c r="A444" s="1" t="s">
        <v>950</v>
      </c>
      <c r="B444" t="s">
        <v>72</v>
      </c>
      <c r="C444" t="s">
        <v>951</v>
      </c>
      <c r="D444" t="str">
        <f t="shared" si="6"/>
        <v>Male</v>
      </c>
      <c r="E444" t="s">
        <v>9</v>
      </c>
      <c r="F444" s="2">
        <v>31</v>
      </c>
      <c r="G444" s="2" t="str" cm="1">
        <f t="array" ref="G444">_xlfn.IFS(F444&lt;=8,"Child",F444&lt;=17,"Teen",F444&lt;=35,"Adult",F444&lt;=55,"Seniour Adult",F444&gt;=55,"Old Age")</f>
        <v>Adult</v>
      </c>
      <c r="H444" t="s">
        <v>18</v>
      </c>
      <c r="I444" t="s">
        <v>36</v>
      </c>
      <c r="J444" t="str" cm="1">
        <f t="array" ref="J444">_xlfn.IFS(I444="S","Sauthamptonm",I444="Q","Queentown",I444="C","Cherburg",I444="B","Cabin")</f>
        <v>Queentown</v>
      </c>
      <c r="K444" t="s">
        <v>37</v>
      </c>
      <c r="L444" s="2">
        <v>10.1402</v>
      </c>
      <c r="M444">
        <v>0</v>
      </c>
      <c r="N444">
        <v>0</v>
      </c>
      <c r="O444" t="s">
        <v>13</v>
      </c>
    </row>
    <row r="445" spans="1:15" x14ac:dyDescent="0.3">
      <c r="A445" s="1" t="s">
        <v>952</v>
      </c>
      <c r="B445" t="s">
        <v>72</v>
      </c>
      <c r="C445" t="s">
        <v>149</v>
      </c>
      <c r="D445" t="str">
        <f t="shared" si="6"/>
        <v>Male</v>
      </c>
      <c r="E445" t="s">
        <v>9</v>
      </c>
      <c r="F445" s="2">
        <v>38</v>
      </c>
      <c r="G445" s="2" t="str" cm="1">
        <f t="array" ref="G445">_xlfn.IFS(F445&lt;=8,"Child",F445&lt;=17,"Teen",F445&lt;=35,"Adult",F445&lt;=55,"Seniour Adult",F445&gt;=55,"Old Age")</f>
        <v>Seniour Adult</v>
      </c>
      <c r="H445" t="s">
        <v>10</v>
      </c>
      <c r="I445" t="s">
        <v>11</v>
      </c>
      <c r="J445" t="str" cm="1">
        <f t="array" ref="J445">_xlfn.IFS(I445="S","Sauthamptonm",I445="Q","Queentown",I445="C","Cherburg",I445="B","Cabin")</f>
        <v>Sauthamptonm</v>
      </c>
      <c r="K445" t="s">
        <v>58</v>
      </c>
      <c r="L445" s="2">
        <v>56.091099999999997</v>
      </c>
      <c r="M445">
        <v>0</v>
      </c>
      <c r="N445">
        <v>0</v>
      </c>
      <c r="O445" t="s">
        <v>16</v>
      </c>
    </row>
    <row r="446" spans="1:15" x14ac:dyDescent="0.3">
      <c r="A446" s="1" t="s">
        <v>953</v>
      </c>
      <c r="B446" t="s">
        <v>78</v>
      </c>
      <c r="C446" t="s">
        <v>954</v>
      </c>
      <c r="D446" t="str">
        <f t="shared" si="6"/>
        <v>Female</v>
      </c>
      <c r="E446" t="s">
        <v>14</v>
      </c>
      <c r="F446" s="2">
        <v>22</v>
      </c>
      <c r="G446" s="2" t="str" cm="1">
        <f t="array" ref="G446">_xlfn.IFS(F446&lt;=8,"Child",F446&lt;=17,"Teen",F446&lt;=35,"Adult",F446&lt;=55,"Seniour Adult",F446&gt;=55,"Old Age")</f>
        <v>Adult</v>
      </c>
      <c r="H446" t="s">
        <v>10</v>
      </c>
      <c r="I446" t="s">
        <v>11</v>
      </c>
      <c r="J446" t="str" cm="1">
        <f t="array" ref="J446">_xlfn.IFS(I446="S","Sauthamptonm",I446="Q","Queentown",I446="C","Cherburg",I446="B","Cabin")</f>
        <v>Sauthamptonm</v>
      </c>
      <c r="K446" t="s">
        <v>23</v>
      </c>
      <c r="L446" s="2">
        <v>7.05</v>
      </c>
      <c r="M446">
        <v>0</v>
      </c>
      <c r="N446">
        <v>0</v>
      </c>
      <c r="O446" t="s">
        <v>16</v>
      </c>
    </row>
    <row r="447" spans="1:15" x14ac:dyDescent="0.3">
      <c r="A447" s="1" t="s">
        <v>955</v>
      </c>
      <c r="B447" t="s">
        <v>72</v>
      </c>
      <c r="C447" t="s">
        <v>341</v>
      </c>
      <c r="D447" t="str">
        <f t="shared" si="6"/>
        <v>Male</v>
      </c>
      <c r="E447" t="s">
        <v>9</v>
      </c>
      <c r="F447" s="2">
        <v>17</v>
      </c>
      <c r="G447" s="2" t="str" cm="1">
        <f t="array" ref="G447">_xlfn.IFS(F447&lt;=8,"Child",F447&lt;=17,"Teen",F447&lt;=35,"Adult",F447&lt;=55,"Seniour Adult",F447&gt;=55,"Old Age")</f>
        <v>Teen</v>
      </c>
      <c r="H447" t="s">
        <v>10</v>
      </c>
      <c r="I447" t="s">
        <v>36</v>
      </c>
      <c r="J447" t="str" cm="1">
        <f t="array" ref="J447">_xlfn.IFS(I447="S","Sauthamptonm",I447="Q","Queentown",I447="C","Cherburg",I447="B","Cabin")</f>
        <v>Queentown</v>
      </c>
      <c r="K447" t="s">
        <v>37</v>
      </c>
      <c r="L447" s="2">
        <v>7.15</v>
      </c>
      <c r="M447">
        <v>0</v>
      </c>
      <c r="N447">
        <v>0</v>
      </c>
      <c r="O447" t="s">
        <v>13</v>
      </c>
    </row>
    <row r="448" spans="1:15" x14ac:dyDescent="0.3">
      <c r="A448" s="1" t="s">
        <v>956</v>
      </c>
      <c r="B448" t="s">
        <v>72</v>
      </c>
      <c r="C448" t="s">
        <v>957</v>
      </c>
      <c r="D448" t="str">
        <f t="shared" si="6"/>
        <v>Male</v>
      </c>
      <c r="E448" t="s">
        <v>9</v>
      </c>
      <c r="F448" s="2">
        <v>32</v>
      </c>
      <c r="G448" s="2" t="str" cm="1">
        <f t="array" ref="G448">_xlfn.IFS(F448&lt;=8,"Child",F448&lt;=17,"Teen",F448&lt;=35,"Adult",F448&lt;=55,"Seniour Adult",F448&gt;=55,"Old Age")</f>
        <v>Adult</v>
      </c>
      <c r="H448" t="s">
        <v>10</v>
      </c>
      <c r="I448" t="s">
        <v>11</v>
      </c>
      <c r="J448" t="str" cm="1">
        <f t="array" ref="J448">_xlfn.IFS(I448="S","Sauthamptonm",I448="Q","Queentown",I448="C","Cherburg",I448="B","Cabin")</f>
        <v>Sauthamptonm</v>
      </c>
      <c r="K448" t="s">
        <v>15</v>
      </c>
      <c r="L448" s="2">
        <v>56.091099999999997</v>
      </c>
      <c r="M448">
        <v>0</v>
      </c>
      <c r="N448">
        <v>0</v>
      </c>
      <c r="O448" t="s">
        <v>16</v>
      </c>
    </row>
    <row r="449" spans="1:15" x14ac:dyDescent="0.3">
      <c r="A449" s="1" t="s">
        <v>958</v>
      </c>
      <c r="B449" t="s">
        <v>78</v>
      </c>
      <c r="C449" t="s">
        <v>959</v>
      </c>
      <c r="D449" t="str">
        <f t="shared" si="6"/>
        <v>Female</v>
      </c>
      <c r="E449" t="s">
        <v>14</v>
      </c>
      <c r="F449" s="2">
        <v>1</v>
      </c>
      <c r="G449" s="2" t="str" cm="1">
        <f t="array" ref="G449">_xlfn.IFS(F449&lt;=8,"Child",F449&lt;=17,"Teen",F449&lt;=35,"Adult",F449&lt;=55,"Seniour Adult",F449&gt;=55,"Old Age")</f>
        <v>Child</v>
      </c>
      <c r="H449" t="s">
        <v>18</v>
      </c>
      <c r="I449" t="s">
        <v>19</v>
      </c>
      <c r="J449" t="str" cm="1">
        <f t="array" ref="J449">_xlfn.IFS(I449="S","Sauthamptonm",I449="Q","Queentown",I449="C","Cherburg",I449="B","Cabin")</f>
        <v>Cherburg</v>
      </c>
      <c r="K449" t="s">
        <v>20</v>
      </c>
      <c r="L449" s="2">
        <v>41.110700000000001</v>
      </c>
      <c r="M449">
        <v>1</v>
      </c>
      <c r="N449">
        <v>2</v>
      </c>
      <c r="O449" t="s">
        <v>16</v>
      </c>
    </row>
    <row r="450" spans="1:15" x14ac:dyDescent="0.3">
      <c r="A450" s="1" t="s">
        <v>960</v>
      </c>
      <c r="B450" t="s">
        <v>72</v>
      </c>
      <c r="C450" t="s">
        <v>961</v>
      </c>
      <c r="D450" t="str">
        <f t="shared" ref="D450:D513" si="7">PROPER(E450)</f>
        <v>Male</v>
      </c>
      <c r="E450" t="s">
        <v>9</v>
      </c>
      <c r="F450" s="2">
        <v>29</v>
      </c>
      <c r="G450" s="2" t="str" cm="1">
        <f t="array" ref="G450">_xlfn.IFS(F450&lt;=8,"Child",F450&lt;=17,"Teen",F450&lt;=35,"Adult",F450&lt;=55,"Seniour Adult",F450&gt;=55,"Old Age")</f>
        <v>Adult</v>
      </c>
      <c r="H450" t="s">
        <v>10</v>
      </c>
      <c r="I450" t="s">
        <v>11</v>
      </c>
      <c r="J450" t="str" cm="1">
        <f t="array" ref="J450">_xlfn.IFS(I450="S","Sauthamptonm",I450="Q","Queentown",I450="C","Cherburg",I450="B","Cabin")</f>
        <v>Sauthamptonm</v>
      </c>
      <c r="K450" t="s">
        <v>12</v>
      </c>
      <c r="L450" s="2">
        <v>9.0907999999999998</v>
      </c>
      <c r="M450">
        <v>0</v>
      </c>
      <c r="N450">
        <v>0</v>
      </c>
      <c r="O450" t="s">
        <v>13</v>
      </c>
    </row>
    <row r="451" spans="1:15" x14ac:dyDescent="0.3">
      <c r="A451" s="1" t="s">
        <v>963</v>
      </c>
      <c r="B451" t="s">
        <v>287</v>
      </c>
      <c r="C451" t="s">
        <v>964</v>
      </c>
      <c r="D451" t="str">
        <f t="shared" si="7"/>
        <v>Female</v>
      </c>
      <c r="E451" t="s">
        <v>14</v>
      </c>
      <c r="F451" s="2">
        <v>49</v>
      </c>
      <c r="G451" s="2" t="str" cm="1">
        <f t="array" ref="G451">_xlfn.IFS(F451&lt;=8,"Child",F451&lt;=17,"Teen",F451&lt;=35,"Adult",F451&lt;=55,"Seniour Adult",F451&gt;=55,"Old Age")</f>
        <v>Seniour Adult</v>
      </c>
      <c r="H451" t="s">
        <v>25</v>
      </c>
      <c r="I451" t="s">
        <v>11</v>
      </c>
      <c r="J451" t="str" cm="1">
        <f t="array" ref="J451">_xlfn.IFS(I451="S","Sauthamptonm",I451="Q","Queentown",I451="C","Cherburg",I451="B","Cabin")</f>
        <v>Sauthamptonm</v>
      </c>
      <c r="K451" t="s">
        <v>12</v>
      </c>
      <c r="L451" s="2">
        <v>25.180700000000002</v>
      </c>
      <c r="M451">
        <v>0</v>
      </c>
      <c r="N451">
        <v>0</v>
      </c>
      <c r="O451" t="s">
        <v>16</v>
      </c>
    </row>
    <row r="452" spans="1:15" x14ac:dyDescent="0.3">
      <c r="A452" s="1" t="s">
        <v>965</v>
      </c>
      <c r="B452" t="s">
        <v>94</v>
      </c>
      <c r="C452" t="s">
        <v>251</v>
      </c>
      <c r="D452" t="str">
        <f t="shared" si="7"/>
        <v>Male</v>
      </c>
      <c r="E452" t="s">
        <v>9</v>
      </c>
      <c r="F452" s="2">
        <v>5</v>
      </c>
      <c r="G452" s="2" t="str" cm="1">
        <f t="array" ref="G452">_xlfn.IFS(F452&lt;=8,"Child",F452&lt;=17,"Teen",F452&lt;=35,"Adult",F452&lt;=55,"Seniour Adult",F452&gt;=55,"Old Age")</f>
        <v>Child</v>
      </c>
      <c r="H452" t="s">
        <v>10</v>
      </c>
      <c r="I452" t="s">
        <v>11</v>
      </c>
      <c r="J452" t="str" cm="1">
        <f t="array" ref="J452">_xlfn.IFS(I452="S","Sauthamptonm",I452="Q","Queentown",I452="C","Cherburg",I452="B","Cabin")</f>
        <v>Sauthamptonm</v>
      </c>
      <c r="K452" t="s">
        <v>15</v>
      </c>
      <c r="L452" s="2">
        <v>25.090399999999999</v>
      </c>
      <c r="M452">
        <v>3</v>
      </c>
      <c r="N452">
        <v>1</v>
      </c>
      <c r="O452" t="s">
        <v>13</v>
      </c>
    </row>
    <row r="453" spans="1:15" x14ac:dyDescent="0.3">
      <c r="A453" s="1" t="s">
        <v>966</v>
      </c>
      <c r="B453" t="s">
        <v>78</v>
      </c>
      <c r="C453" t="s">
        <v>376</v>
      </c>
      <c r="D453" t="str">
        <f t="shared" si="7"/>
        <v>Female</v>
      </c>
      <c r="E453" t="s">
        <v>14</v>
      </c>
      <c r="F453" s="2">
        <v>17</v>
      </c>
      <c r="G453" s="2" t="str" cm="1">
        <f t="array" ref="G453">_xlfn.IFS(F453&lt;=8,"Child",F453&lt;=17,"Teen",F453&lt;=35,"Adult",F453&lt;=55,"Seniour Adult",F453&gt;=55,"Old Age")</f>
        <v>Teen</v>
      </c>
      <c r="H453" t="s">
        <v>18</v>
      </c>
      <c r="I453" t="s">
        <v>19</v>
      </c>
      <c r="J453" t="str" cm="1">
        <f t="array" ref="J453">_xlfn.IFS(I453="S","Sauthamptonm",I453="Q","Queentown",I453="C","Cherburg",I453="B","Cabin")</f>
        <v>Cherburg</v>
      </c>
      <c r="K453" t="s">
        <v>32</v>
      </c>
      <c r="L453" s="2">
        <v>12</v>
      </c>
      <c r="M453">
        <v>0</v>
      </c>
      <c r="N453">
        <v>0</v>
      </c>
      <c r="O453" t="s">
        <v>16</v>
      </c>
    </row>
    <row r="454" spans="1:15" x14ac:dyDescent="0.3">
      <c r="A454" s="1" t="s">
        <v>967</v>
      </c>
      <c r="B454" t="s">
        <v>72</v>
      </c>
      <c r="C454" t="s">
        <v>968</v>
      </c>
      <c r="D454" t="str">
        <f t="shared" si="7"/>
        <v>Male</v>
      </c>
      <c r="E454" t="s">
        <v>9</v>
      </c>
      <c r="F454" s="2">
        <v>32</v>
      </c>
      <c r="G454" s="2" t="str" cm="1">
        <f t="array" ref="G454">_xlfn.IFS(F454&lt;=8,"Child",F454&lt;=17,"Teen",F454&lt;=35,"Adult",F454&lt;=55,"Seniour Adult",F454&gt;=55,"Old Age")</f>
        <v>Adult</v>
      </c>
      <c r="H454" t="s">
        <v>10</v>
      </c>
      <c r="I454" t="s">
        <v>11</v>
      </c>
      <c r="J454" t="str" cm="1">
        <f t="array" ref="J454">_xlfn.IFS(I454="S","Sauthamptonm",I454="Q","Queentown",I454="C","Cherburg",I454="B","Cabin")</f>
        <v>Sauthamptonm</v>
      </c>
      <c r="K454" t="s">
        <v>22</v>
      </c>
      <c r="L454" s="2">
        <v>7.1806000000000001</v>
      </c>
      <c r="M454">
        <v>0</v>
      </c>
      <c r="N454">
        <v>0</v>
      </c>
      <c r="O454" t="s">
        <v>13</v>
      </c>
    </row>
    <row r="455" spans="1:15" x14ac:dyDescent="0.3">
      <c r="A455" s="1" t="s">
        <v>969</v>
      </c>
      <c r="B455" t="s">
        <v>78</v>
      </c>
      <c r="C455" t="s">
        <v>970</v>
      </c>
      <c r="D455" t="str">
        <f t="shared" si="7"/>
        <v>Female</v>
      </c>
      <c r="E455" t="s">
        <v>14</v>
      </c>
      <c r="F455" s="2">
        <v>31</v>
      </c>
      <c r="G455" s="2" t="str" cm="1">
        <f t="array" ref="G455">_xlfn.IFS(F455&lt;=8,"Child",F455&lt;=17,"Teen",F455&lt;=35,"Adult",F455&lt;=55,"Seniour Adult",F455&gt;=55,"Old Age")</f>
        <v>Adult</v>
      </c>
      <c r="H455" t="s">
        <v>18</v>
      </c>
      <c r="I455" t="s">
        <v>11</v>
      </c>
      <c r="J455" t="str" cm="1">
        <f t="array" ref="J455">_xlfn.IFS(I455="S","Sauthamptonm",I455="Q","Queentown",I455="C","Cherburg",I455="B","Cabin")</f>
        <v>Sauthamptonm</v>
      </c>
      <c r="K455" t="s">
        <v>43</v>
      </c>
      <c r="L455" s="2">
        <v>33</v>
      </c>
      <c r="M455">
        <v>0</v>
      </c>
      <c r="N455">
        <v>0</v>
      </c>
      <c r="O455" t="s">
        <v>16</v>
      </c>
    </row>
    <row r="456" spans="1:15" x14ac:dyDescent="0.3">
      <c r="A456" s="1" t="s">
        <v>971</v>
      </c>
      <c r="B456" t="s">
        <v>76</v>
      </c>
      <c r="C456" t="s">
        <v>972</v>
      </c>
      <c r="D456" t="str">
        <f t="shared" si="7"/>
        <v>Female</v>
      </c>
      <c r="E456" t="s">
        <v>14</v>
      </c>
      <c r="F456" s="2">
        <v>39</v>
      </c>
      <c r="G456" s="2" t="str" cm="1">
        <f t="array" ref="G456">_xlfn.IFS(F456&lt;=8,"Child",F456&lt;=17,"Teen",F456&lt;=35,"Adult",F456&lt;=55,"Seniour Adult",F456&gt;=55,"Old Age")</f>
        <v>Seniour Adult</v>
      </c>
      <c r="H456" t="s">
        <v>18</v>
      </c>
      <c r="I456" t="s">
        <v>11</v>
      </c>
      <c r="J456" t="str" cm="1">
        <f t="array" ref="J456">_xlfn.IFS(I456="S","Sauthamptonm",I456="Q","Queentown",I456="C","Cherburg",I456="B","Cabin")</f>
        <v>Sauthamptonm</v>
      </c>
      <c r="K456" t="s">
        <v>15</v>
      </c>
      <c r="L456" s="2">
        <v>10.1</v>
      </c>
      <c r="M456">
        <v>0</v>
      </c>
      <c r="N456">
        <v>0</v>
      </c>
      <c r="O456" t="s">
        <v>16</v>
      </c>
    </row>
    <row r="457" spans="1:15" x14ac:dyDescent="0.3">
      <c r="A457" s="1" t="s">
        <v>973</v>
      </c>
      <c r="B457" t="s">
        <v>78</v>
      </c>
      <c r="C457" t="s">
        <v>262</v>
      </c>
      <c r="D457" t="str">
        <f t="shared" si="7"/>
        <v>Female</v>
      </c>
      <c r="E457" t="s">
        <v>14</v>
      </c>
      <c r="F457" s="2">
        <v>18</v>
      </c>
      <c r="G457" s="2" t="str" cm="1">
        <f t="array" ref="G457">_xlfn.IFS(F457&lt;=8,"Child",F457&lt;=17,"Teen",F457&lt;=35,"Adult",F457&lt;=55,"Seniour Adult",F457&gt;=55,"Old Age")</f>
        <v>Adult</v>
      </c>
      <c r="H457" t="s">
        <v>10</v>
      </c>
      <c r="I457" t="s">
        <v>36</v>
      </c>
      <c r="J457" t="str" cm="1">
        <f t="array" ref="J457">_xlfn.IFS(I457="S","Sauthamptonm",I457="Q","Queentown",I457="C","Cherburg",I457="B","Cabin")</f>
        <v>Queentown</v>
      </c>
      <c r="K457" t="s">
        <v>37</v>
      </c>
      <c r="L457" s="2">
        <v>15.1</v>
      </c>
      <c r="M457">
        <v>1</v>
      </c>
      <c r="N457">
        <v>0</v>
      </c>
      <c r="O457" t="s">
        <v>13</v>
      </c>
    </row>
    <row r="458" spans="1:15" x14ac:dyDescent="0.3">
      <c r="A458" s="1" t="s">
        <v>975</v>
      </c>
      <c r="B458" t="s">
        <v>78</v>
      </c>
      <c r="C458" t="s">
        <v>976</v>
      </c>
      <c r="D458" t="str">
        <f t="shared" si="7"/>
        <v>Female</v>
      </c>
      <c r="E458" t="s">
        <v>14</v>
      </c>
      <c r="F458" s="2">
        <v>27</v>
      </c>
      <c r="G458" s="2" t="str" cm="1">
        <f t="array" ref="G458">_xlfn.IFS(F458&lt;=8,"Child",F458&lt;=17,"Teen",F458&lt;=35,"Adult",F458&lt;=55,"Seniour Adult",F458&gt;=55,"Old Age")</f>
        <v>Adult</v>
      </c>
      <c r="H458" t="s">
        <v>25</v>
      </c>
      <c r="I458" t="s">
        <v>19</v>
      </c>
      <c r="J458" t="str" cm="1">
        <f t="array" ref="J458">_xlfn.IFS(I458="S","Sauthamptonm",I458="Q","Queentown",I458="C","Cherburg",I458="B","Cabin")</f>
        <v>Cherburg</v>
      </c>
      <c r="K458" t="s">
        <v>20</v>
      </c>
      <c r="L458" s="2">
        <v>106.0806</v>
      </c>
      <c r="M458">
        <v>0</v>
      </c>
      <c r="N458">
        <v>0</v>
      </c>
      <c r="O458" t="s">
        <v>16</v>
      </c>
    </row>
    <row r="459" spans="1:15" x14ac:dyDescent="0.3">
      <c r="A459" s="1" t="s">
        <v>977</v>
      </c>
      <c r="B459" t="s">
        <v>72</v>
      </c>
      <c r="C459" t="s">
        <v>598</v>
      </c>
      <c r="D459" t="str">
        <f t="shared" si="7"/>
        <v>Male</v>
      </c>
      <c r="E459" t="s">
        <v>9</v>
      </c>
      <c r="F459" s="2">
        <v>41</v>
      </c>
      <c r="G459" s="2" t="str" cm="1">
        <f t="array" ref="G459">_xlfn.IFS(F459&lt;=8,"Child",F459&lt;=17,"Teen",F459&lt;=35,"Adult",F459&lt;=55,"Seniour Adult",F459&gt;=55,"Old Age")</f>
        <v>Seniour Adult</v>
      </c>
      <c r="H459" t="s">
        <v>10</v>
      </c>
      <c r="I459" t="s">
        <v>11</v>
      </c>
      <c r="J459" t="str" cm="1">
        <f t="array" ref="J459">_xlfn.IFS(I459="S","Sauthamptonm",I459="Q","Queentown",I459="C","Cherburg",I459="B","Cabin")</f>
        <v>Sauthamptonm</v>
      </c>
      <c r="K459" t="s">
        <v>15</v>
      </c>
      <c r="L459" s="2">
        <v>24.03</v>
      </c>
      <c r="M459">
        <v>0</v>
      </c>
      <c r="N459">
        <v>0</v>
      </c>
      <c r="O459" t="s">
        <v>13</v>
      </c>
    </row>
    <row r="460" spans="1:15" x14ac:dyDescent="0.3">
      <c r="A460" s="1" t="s">
        <v>978</v>
      </c>
      <c r="B460" t="s">
        <v>72</v>
      </c>
      <c r="C460" t="s">
        <v>979</v>
      </c>
      <c r="D460" t="str">
        <f t="shared" si="7"/>
        <v>Male</v>
      </c>
      <c r="E460" t="s">
        <v>9</v>
      </c>
      <c r="F460" s="2">
        <v>35</v>
      </c>
      <c r="G460" s="2" t="str" cm="1">
        <f t="array" ref="G460">_xlfn.IFS(F460&lt;=8,"Child",F460&lt;=17,"Teen",F460&lt;=35,"Adult",F460&lt;=55,"Seniour Adult",F460&gt;=55,"Old Age")</f>
        <v>Adult</v>
      </c>
      <c r="H460" t="s">
        <v>25</v>
      </c>
      <c r="I460" t="s">
        <v>19</v>
      </c>
      <c r="J460" t="str" cm="1">
        <f t="array" ref="J460">_xlfn.IFS(I460="S","Sauthamptonm",I460="Q","Queentown",I460="C","Cherburg",I460="B","Cabin")</f>
        <v>Cherburg</v>
      </c>
      <c r="K460" t="s">
        <v>15</v>
      </c>
      <c r="L460" s="2">
        <v>512.0607</v>
      </c>
      <c r="M460">
        <v>0</v>
      </c>
      <c r="N460">
        <v>0</v>
      </c>
      <c r="O460" t="s">
        <v>16</v>
      </c>
    </row>
    <row r="461" spans="1:15" x14ac:dyDescent="0.3">
      <c r="A461" s="1" t="s">
        <v>980</v>
      </c>
      <c r="B461" t="s">
        <v>72</v>
      </c>
      <c r="C461" t="s">
        <v>981</v>
      </c>
      <c r="D461" t="str">
        <f t="shared" si="7"/>
        <v>Male</v>
      </c>
      <c r="E461" t="s">
        <v>9</v>
      </c>
      <c r="F461" s="2">
        <v>37</v>
      </c>
      <c r="G461" s="2" t="str" cm="1">
        <f t="array" ref="G461">_xlfn.IFS(F461&lt;=8,"Child",F461&lt;=17,"Teen",F461&lt;=35,"Adult",F461&lt;=55,"Seniour Adult",F461&gt;=55,"Old Age")</f>
        <v>Seniour Adult</v>
      </c>
      <c r="H461" t="s">
        <v>18</v>
      </c>
      <c r="I461" t="s">
        <v>11</v>
      </c>
      <c r="J461" t="str" cm="1">
        <f t="array" ref="J461">_xlfn.IFS(I461="S","Sauthamptonm",I461="Q","Queentown",I461="C","Cherburg",I461="B","Cabin")</f>
        <v>Sauthamptonm</v>
      </c>
      <c r="K461" t="s">
        <v>26</v>
      </c>
      <c r="L461" s="2">
        <v>12.1706</v>
      </c>
      <c r="M461">
        <v>0</v>
      </c>
      <c r="N461">
        <v>0</v>
      </c>
      <c r="O461" t="s">
        <v>13</v>
      </c>
    </row>
    <row r="462" spans="1:15" x14ac:dyDescent="0.3">
      <c r="A462" s="1" t="s">
        <v>982</v>
      </c>
      <c r="B462" t="s">
        <v>72</v>
      </c>
      <c r="C462" t="s">
        <v>983</v>
      </c>
      <c r="D462" t="str">
        <f t="shared" si="7"/>
        <v>Male</v>
      </c>
      <c r="E462" t="s">
        <v>9</v>
      </c>
      <c r="F462" s="2">
        <v>30</v>
      </c>
      <c r="G462" s="2" t="str" cm="1">
        <f t="array" ref="G462">_xlfn.IFS(F462&lt;=8,"Child",F462&lt;=17,"Teen",F462&lt;=35,"Adult",F462&lt;=55,"Seniour Adult",F462&gt;=55,"Old Age")</f>
        <v>Adult</v>
      </c>
      <c r="H462" t="s">
        <v>25</v>
      </c>
      <c r="I462" t="s">
        <v>19</v>
      </c>
      <c r="J462" t="str" cm="1">
        <f t="array" ref="J462">_xlfn.IFS(I462="S","Sauthamptonm",I462="Q","Queentown",I462="C","Cherburg",I462="B","Cabin")</f>
        <v>Cherburg</v>
      </c>
      <c r="K462" t="s">
        <v>12</v>
      </c>
      <c r="L462" s="2">
        <v>27.140499999999999</v>
      </c>
      <c r="M462">
        <v>0</v>
      </c>
      <c r="N462">
        <v>0</v>
      </c>
      <c r="O462" t="s">
        <v>13</v>
      </c>
    </row>
    <row r="463" spans="1:15" x14ac:dyDescent="0.3">
      <c r="A463" s="1" t="s">
        <v>984</v>
      </c>
      <c r="B463" t="s">
        <v>72</v>
      </c>
      <c r="C463" t="s">
        <v>985</v>
      </c>
      <c r="D463" t="str">
        <f t="shared" si="7"/>
        <v>Male</v>
      </c>
      <c r="E463" t="s">
        <v>9</v>
      </c>
      <c r="F463" s="2">
        <v>25</v>
      </c>
      <c r="G463" s="2" t="str" cm="1">
        <f t="array" ref="G463">_xlfn.IFS(F463&lt;=8,"Child",F463&lt;=17,"Teen",F463&lt;=35,"Adult",F463&lt;=55,"Seniour Adult",F463&gt;=55,"Old Age")</f>
        <v>Adult</v>
      </c>
      <c r="H463" t="s">
        <v>18</v>
      </c>
      <c r="I463" t="s">
        <v>11</v>
      </c>
      <c r="J463" t="str" cm="1">
        <f t="array" ref="J463">_xlfn.IFS(I463="S","Sauthamptonm",I463="Q","Queentown",I463="C","Cherburg",I463="B","Cabin")</f>
        <v>Sauthamptonm</v>
      </c>
      <c r="K463" t="s">
        <v>15</v>
      </c>
      <c r="L463" s="2">
        <v>10.1</v>
      </c>
      <c r="M463">
        <v>0</v>
      </c>
      <c r="N463">
        <v>0</v>
      </c>
      <c r="O463" t="s">
        <v>13</v>
      </c>
    </row>
    <row r="464" spans="1:15" x14ac:dyDescent="0.3">
      <c r="A464" s="1" t="s">
        <v>986</v>
      </c>
      <c r="B464" t="s">
        <v>72</v>
      </c>
      <c r="C464" t="s">
        <v>987</v>
      </c>
      <c r="D464" t="str">
        <f t="shared" si="7"/>
        <v>Male</v>
      </c>
      <c r="E464" t="s">
        <v>9</v>
      </c>
      <c r="F464" s="2">
        <v>24</v>
      </c>
      <c r="G464" s="2" t="str" cm="1">
        <f t="array" ref="G464">_xlfn.IFS(F464&lt;=8,"Child",F464&lt;=17,"Teen",F464&lt;=35,"Adult",F464&lt;=55,"Seniour Adult",F464&gt;=55,"Old Age")</f>
        <v>Adult</v>
      </c>
      <c r="H464" t="s">
        <v>10</v>
      </c>
      <c r="I464" t="s">
        <v>11</v>
      </c>
      <c r="J464" t="str" cm="1">
        <f t="array" ref="J464">_xlfn.IFS(I464="S","Sauthamptonm",I464="Q","Queentown",I464="C","Cherburg",I464="B","Cabin")</f>
        <v>Sauthamptonm</v>
      </c>
      <c r="K464" t="s">
        <v>46</v>
      </c>
      <c r="L464" s="2">
        <v>9.1</v>
      </c>
      <c r="M464">
        <v>0</v>
      </c>
      <c r="N464">
        <v>0</v>
      </c>
      <c r="O464" t="s">
        <v>13</v>
      </c>
    </row>
    <row r="465" spans="1:15" x14ac:dyDescent="0.3">
      <c r="A465" s="1" t="s">
        <v>988</v>
      </c>
      <c r="B465" t="s">
        <v>78</v>
      </c>
      <c r="C465" t="s">
        <v>989</v>
      </c>
      <c r="D465" t="str">
        <f t="shared" si="7"/>
        <v>Female</v>
      </c>
      <c r="E465" t="s">
        <v>14</v>
      </c>
      <c r="F465" s="2">
        <v>25</v>
      </c>
      <c r="G465" s="2" t="str" cm="1">
        <f t="array" ref="G465">_xlfn.IFS(F465&lt;=8,"Child",F465&lt;=17,"Teen",F465&lt;=35,"Adult",F465&lt;=55,"Seniour Adult",F465&gt;=55,"Old Age")</f>
        <v>Adult</v>
      </c>
      <c r="H465" t="s">
        <v>10</v>
      </c>
      <c r="I465" t="s">
        <v>11</v>
      </c>
      <c r="J465" t="str" cm="1">
        <f t="array" ref="J465">_xlfn.IFS(I465="S","Sauthamptonm",I465="Q","Queentown",I465="C","Cherburg",I465="B","Cabin")</f>
        <v>Sauthamptonm</v>
      </c>
      <c r="K465" t="s">
        <v>23</v>
      </c>
      <c r="L465" s="2">
        <v>7.1505999999999998</v>
      </c>
      <c r="M465">
        <v>0</v>
      </c>
      <c r="N465">
        <v>0</v>
      </c>
      <c r="O465" t="s">
        <v>13</v>
      </c>
    </row>
    <row r="466" spans="1:15" x14ac:dyDescent="0.3">
      <c r="A466" s="1" t="s">
        <v>990</v>
      </c>
      <c r="B466" t="s">
        <v>78</v>
      </c>
      <c r="C466" t="s">
        <v>991</v>
      </c>
      <c r="D466" t="str">
        <f t="shared" si="7"/>
        <v>Female</v>
      </c>
      <c r="E466" t="s">
        <v>14</v>
      </c>
      <c r="F466" s="2">
        <v>45</v>
      </c>
      <c r="G466" s="2" t="str" cm="1">
        <f t="array" ref="G466">_xlfn.IFS(F466&lt;=8,"Child",F466&lt;=17,"Teen",F466&lt;=35,"Adult",F466&lt;=55,"Seniour Adult",F466&gt;=55,"Old Age")</f>
        <v>Seniour Adult</v>
      </c>
      <c r="H466" t="s">
        <v>10</v>
      </c>
      <c r="I466" t="s">
        <v>11</v>
      </c>
      <c r="J466" t="str" cm="1">
        <f t="array" ref="J466">_xlfn.IFS(I466="S","Sauthamptonm",I466="Q","Queentown",I466="C","Cherburg",I466="B","Cabin")</f>
        <v>Sauthamptonm</v>
      </c>
      <c r="K466" t="s">
        <v>15</v>
      </c>
      <c r="L466" s="2">
        <v>7.15</v>
      </c>
      <c r="M466">
        <v>0</v>
      </c>
      <c r="N466">
        <v>0</v>
      </c>
      <c r="O466" t="s">
        <v>13</v>
      </c>
    </row>
    <row r="467" spans="1:15" x14ac:dyDescent="0.3">
      <c r="A467" s="1" t="s">
        <v>992</v>
      </c>
      <c r="B467" t="s">
        <v>72</v>
      </c>
      <c r="C467" t="s">
        <v>418</v>
      </c>
      <c r="D467" t="str">
        <f t="shared" si="7"/>
        <v>Male</v>
      </c>
      <c r="E467" t="s">
        <v>9</v>
      </c>
      <c r="F467" s="2">
        <v>42</v>
      </c>
      <c r="G467" s="2" t="str" cm="1">
        <f t="array" ref="G467">_xlfn.IFS(F467&lt;=8,"Child",F467&lt;=17,"Teen",F467&lt;=35,"Adult",F467&lt;=55,"Seniour Adult",F467&gt;=55,"Old Age")</f>
        <v>Seniour Adult</v>
      </c>
      <c r="H467" t="s">
        <v>25</v>
      </c>
      <c r="I467" t="s">
        <v>11</v>
      </c>
      <c r="J467" t="str" cm="1">
        <f t="array" ref="J467">_xlfn.IFS(I467="S","Sauthamptonm",I467="Q","Queentown",I467="C","Cherburg",I467="B","Cabin")</f>
        <v>Sauthamptonm</v>
      </c>
      <c r="K467" t="s">
        <v>23</v>
      </c>
      <c r="L467" s="2">
        <v>26.11</v>
      </c>
      <c r="M467">
        <v>0</v>
      </c>
      <c r="N467">
        <v>0</v>
      </c>
      <c r="O467" t="s">
        <v>13</v>
      </c>
    </row>
    <row r="468" spans="1:15" x14ac:dyDescent="0.3">
      <c r="A468" s="1" t="s">
        <v>993</v>
      </c>
      <c r="B468" t="s">
        <v>72</v>
      </c>
      <c r="C468" t="s">
        <v>994</v>
      </c>
      <c r="D468" t="str">
        <f t="shared" si="7"/>
        <v>Male</v>
      </c>
      <c r="E468" t="s">
        <v>9</v>
      </c>
      <c r="F468" s="2">
        <v>36</v>
      </c>
      <c r="G468" s="2" t="str" cm="1">
        <f t="array" ref="G468">_xlfn.IFS(F468&lt;=8,"Child",F468&lt;=17,"Teen",F468&lt;=35,"Adult",F468&lt;=55,"Seniour Adult",F468&gt;=55,"Old Age")</f>
        <v>Seniour Adult</v>
      </c>
      <c r="H468" t="s">
        <v>10</v>
      </c>
      <c r="I468" t="s">
        <v>11</v>
      </c>
      <c r="J468" t="str" cm="1">
        <f t="array" ref="J468">_xlfn.IFS(I468="S","Sauthamptonm",I468="Q","Queentown",I468="C","Cherburg",I468="B","Cabin")</f>
        <v>Sauthamptonm</v>
      </c>
      <c r="K468" t="s">
        <v>23</v>
      </c>
      <c r="L468" s="2">
        <v>15.11</v>
      </c>
      <c r="M468">
        <v>1</v>
      </c>
      <c r="N468">
        <v>0</v>
      </c>
      <c r="O468" t="s">
        <v>13</v>
      </c>
    </row>
    <row r="469" spans="1:15" x14ac:dyDescent="0.3">
      <c r="A469" s="1" t="s">
        <v>995</v>
      </c>
      <c r="B469" t="s">
        <v>72</v>
      </c>
      <c r="C469" t="s">
        <v>996</v>
      </c>
      <c r="D469" t="str">
        <f t="shared" si="7"/>
        <v>Male</v>
      </c>
      <c r="E469" t="s">
        <v>9</v>
      </c>
      <c r="F469" s="2">
        <v>20</v>
      </c>
      <c r="G469" s="2" t="str" cm="1">
        <f t="array" ref="G469">_xlfn.IFS(F469&lt;=8,"Child",F469&lt;=17,"Teen",F469&lt;=35,"Adult",F469&lt;=55,"Seniour Adult",F469&gt;=55,"Old Age")</f>
        <v>Adult</v>
      </c>
      <c r="H469" t="s">
        <v>10</v>
      </c>
      <c r="I469" t="s">
        <v>11</v>
      </c>
      <c r="J469" t="str" cm="1">
        <f t="array" ref="J469">_xlfn.IFS(I469="S","Sauthamptonm",I469="Q","Queentown",I469="C","Cherburg",I469="B","Cabin")</f>
        <v>Sauthamptonm</v>
      </c>
      <c r="K469" t="s">
        <v>22</v>
      </c>
      <c r="L469" s="2">
        <v>7.1806000000000001</v>
      </c>
      <c r="M469">
        <v>1</v>
      </c>
      <c r="N469">
        <v>0</v>
      </c>
      <c r="O469" t="s">
        <v>16</v>
      </c>
    </row>
    <row r="470" spans="1:15" x14ac:dyDescent="0.3">
      <c r="A470" s="1" t="s">
        <v>997</v>
      </c>
      <c r="B470" t="s">
        <v>76</v>
      </c>
      <c r="C470" t="s">
        <v>998</v>
      </c>
      <c r="D470" t="str">
        <f t="shared" si="7"/>
        <v>Female</v>
      </c>
      <c r="E470" t="s">
        <v>14</v>
      </c>
      <c r="F470" s="2">
        <v>55</v>
      </c>
      <c r="G470" s="2" t="str" cm="1">
        <f t="array" ref="G470">_xlfn.IFS(F470&lt;=8,"Child",F470&lt;=17,"Teen",F470&lt;=35,"Adult",F470&lt;=55,"Seniour Adult",F470&gt;=55,"Old Age")</f>
        <v>Seniour Adult</v>
      </c>
      <c r="H470" t="s">
        <v>25</v>
      </c>
      <c r="I470" t="s">
        <v>19</v>
      </c>
      <c r="J470" t="str" cm="1">
        <f t="array" ref="J470">_xlfn.IFS(I470="S","Sauthamptonm",I470="Q","Queentown",I470="C","Cherburg",I470="B","Cabin")</f>
        <v>Cherburg</v>
      </c>
      <c r="K470" t="s">
        <v>23</v>
      </c>
      <c r="L470" s="2">
        <v>27.140499999999999</v>
      </c>
      <c r="M470">
        <v>0</v>
      </c>
      <c r="N470">
        <v>0</v>
      </c>
      <c r="O470" t="s">
        <v>16</v>
      </c>
    </row>
    <row r="471" spans="1:15" x14ac:dyDescent="0.3">
      <c r="A471" s="1" t="s">
        <v>999</v>
      </c>
      <c r="B471" t="s">
        <v>72</v>
      </c>
      <c r="C471" t="s">
        <v>432</v>
      </c>
      <c r="D471" t="str">
        <f t="shared" si="7"/>
        <v>Male</v>
      </c>
      <c r="E471" t="s">
        <v>9</v>
      </c>
      <c r="F471" s="2">
        <v>21</v>
      </c>
      <c r="G471" s="2" t="str" cm="1">
        <f t="array" ref="G471">_xlfn.IFS(F471&lt;=8,"Child",F471&lt;=17,"Teen",F471&lt;=35,"Adult",F471&lt;=55,"Seniour Adult",F471&gt;=55,"Old Age")</f>
        <v>Adult</v>
      </c>
      <c r="H471" t="s">
        <v>10</v>
      </c>
      <c r="I471" t="s">
        <v>36</v>
      </c>
      <c r="J471" t="str" cm="1">
        <f t="array" ref="J471">_xlfn.IFS(I471="S","Sauthamptonm",I471="Q","Queentown",I471="C","Cherburg",I471="B","Cabin")</f>
        <v>Queentown</v>
      </c>
      <c r="K471" t="s">
        <v>37</v>
      </c>
      <c r="L471" s="2">
        <v>7.1707000000000001</v>
      </c>
      <c r="M471">
        <v>0</v>
      </c>
      <c r="N471">
        <v>0</v>
      </c>
      <c r="O471" t="s">
        <v>13</v>
      </c>
    </row>
    <row r="472" spans="1:15" x14ac:dyDescent="0.3">
      <c r="A472" s="1" t="s">
        <v>1000</v>
      </c>
      <c r="B472" t="s">
        <v>78</v>
      </c>
      <c r="C472" t="s">
        <v>1001</v>
      </c>
      <c r="D472" t="str">
        <f t="shared" si="7"/>
        <v>Female</v>
      </c>
      <c r="E472" t="s">
        <v>14</v>
      </c>
      <c r="F472" s="2">
        <v>16</v>
      </c>
      <c r="G472" s="2" t="str" cm="1">
        <f t="array" ref="G472">_xlfn.IFS(F472&lt;=8,"Child",F472&lt;=17,"Teen",F472&lt;=35,"Adult",F472&lt;=55,"Seniour Adult",F472&gt;=55,"Old Age")</f>
        <v>Teen</v>
      </c>
      <c r="H472" t="s">
        <v>25</v>
      </c>
      <c r="I472" t="s">
        <v>19</v>
      </c>
      <c r="J472" t="str" cm="1">
        <f t="array" ref="J472">_xlfn.IFS(I472="S","Sauthamptonm",I472="Q","Queentown",I472="C","Cherburg",I472="B","Cabin")</f>
        <v>Cherburg</v>
      </c>
      <c r="K472" t="s">
        <v>20</v>
      </c>
      <c r="L472" s="2">
        <v>39.08</v>
      </c>
      <c r="M472">
        <v>0</v>
      </c>
      <c r="N472">
        <v>1</v>
      </c>
      <c r="O472" t="s">
        <v>16</v>
      </c>
    </row>
    <row r="473" spans="1:15" x14ac:dyDescent="0.3">
      <c r="A473" s="1" t="s">
        <v>1002</v>
      </c>
      <c r="B473" t="s">
        <v>72</v>
      </c>
      <c r="C473" t="s">
        <v>90</v>
      </c>
      <c r="D473" t="str">
        <f t="shared" si="7"/>
        <v>Male</v>
      </c>
      <c r="E473" t="s">
        <v>9</v>
      </c>
      <c r="F473" s="2">
        <v>61</v>
      </c>
      <c r="G473" s="2" t="str" cm="1">
        <f t="array" ref="G473">_xlfn.IFS(F473&lt;=8,"Child",F473&lt;=17,"Teen",F473&lt;=35,"Adult",F473&lt;=55,"Seniour Adult",F473&gt;=55,"Old Age")</f>
        <v>Old Age</v>
      </c>
      <c r="H473" t="s">
        <v>18</v>
      </c>
      <c r="I473" t="s">
        <v>36</v>
      </c>
      <c r="J473" t="str" cm="1">
        <f t="array" ref="J473">_xlfn.IFS(I473="S","Sauthamptonm",I473="Q","Queentown",I473="C","Cherburg",I473="B","Cabin")</f>
        <v>Queentown</v>
      </c>
      <c r="K473" t="s">
        <v>37</v>
      </c>
      <c r="L473" s="2">
        <v>12.07</v>
      </c>
      <c r="M473">
        <v>0</v>
      </c>
      <c r="N473">
        <v>0</v>
      </c>
      <c r="O473" t="s">
        <v>13</v>
      </c>
    </row>
    <row r="474" spans="1:15" x14ac:dyDescent="0.3">
      <c r="A474" s="1" t="s">
        <v>1003</v>
      </c>
      <c r="B474" t="s">
        <v>72</v>
      </c>
      <c r="C474" t="s">
        <v>235</v>
      </c>
      <c r="D474" t="str">
        <f t="shared" si="7"/>
        <v>Male</v>
      </c>
      <c r="E474" t="s">
        <v>9</v>
      </c>
      <c r="F474" s="2">
        <v>28</v>
      </c>
      <c r="G474" s="2" t="str" cm="1">
        <f t="array" ref="G474">_xlfn.IFS(F474&lt;=8,"Child",F474&lt;=17,"Teen",F474&lt;=35,"Adult",F474&lt;=55,"Seniour Adult",F474&gt;=55,"Old Age")</f>
        <v>Adult</v>
      </c>
      <c r="H474" t="s">
        <v>10</v>
      </c>
      <c r="I474" t="s">
        <v>11</v>
      </c>
      <c r="J474" t="str" cm="1">
        <f t="array" ref="J474">_xlfn.IFS(I474="S","Sauthamptonm",I474="Q","Queentown",I474="C","Cherburg",I474="B","Cabin")</f>
        <v>Sauthamptonm</v>
      </c>
      <c r="K474" t="s">
        <v>15</v>
      </c>
      <c r="L474" s="2">
        <v>56.091099999999997</v>
      </c>
      <c r="M474">
        <v>0</v>
      </c>
      <c r="N474">
        <v>0</v>
      </c>
      <c r="O474" t="s">
        <v>13</v>
      </c>
    </row>
    <row r="475" spans="1:15" x14ac:dyDescent="0.3">
      <c r="A475" s="1" t="s">
        <v>1004</v>
      </c>
      <c r="B475" t="s">
        <v>72</v>
      </c>
      <c r="C475" t="s">
        <v>1005</v>
      </c>
      <c r="D475" t="str">
        <f t="shared" si="7"/>
        <v>Male</v>
      </c>
      <c r="E475" t="s">
        <v>9</v>
      </c>
      <c r="F475" s="2">
        <v>27</v>
      </c>
      <c r="G475" s="2" t="str" cm="1">
        <f t="array" ref="G475">_xlfn.IFS(F475&lt;=8,"Child",F475&lt;=17,"Teen",F475&lt;=35,"Adult",F475&lt;=55,"Seniour Adult",F475&gt;=55,"Old Age")</f>
        <v>Adult</v>
      </c>
      <c r="H475" t="s">
        <v>10</v>
      </c>
      <c r="I475" t="s">
        <v>11</v>
      </c>
      <c r="J475" t="str" cm="1">
        <f t="array" ref="J475">_xlfn.IFS(I475="S","Sauthamptonm",I475="Q","Queentown",I475="C","Cherburg",I475="B","Cabin")</f>
        <v>Sauthamptonm</v>
      </c>
      <c r="K475" t="s">
        <v>59</v>
      </c>
      <c r="L475" s="2">
        <v>9.1</v>
      </c>
      <c r="M475">
        <v>0</v>
      </c>
      <c r="N475">
        <v>0</v>
      </c>
      <c r="O475" t="s">
        <v>13</v>
      </c>
    </row>
    <row r="476" spans="1:15" x14ac:dyDescent="0.3">
      <c r="A476" s="1" t="s">
        <v>1006</v>
      </c>
      <c r="B476" t="s">
        <v>72</v>
      </c>
      <c r="C476" t="s">
        <v>381</v>
      </c>
      <c r="D476" t="str">
        <f t="shared" si="7"/>
        <v>Male</v>
      </c>
      <c r="E476" t="s">
        <v>9</v>
      </c>
      <c r="F476" s="2">
        <v>25</v>
      </c>
      <c r="G476" s="2" t="str" cm="1">
        <f t="array" ref="G476">_xlfn.IFS(F476&lt;=8,"Child",F476&lt;=17,"Teen",F476&lt;=35,"Adult",F476&lt;=55,"Seniour Adult",F476&gt;=55,"Old Age")</f>
        <v>Adult</v>
      </c>
      <c r="H476" t="s">
        <v>10</v>
      </c>
      <c r="I476" t="s">
        <v>11</v>
      </c>
      <c r="J476" t="str" cm="1">
        <f t="array" ref="J476">_xlfn.IFS(I476="S","Sauthamptonm",I476="Q","Queentown",I476="C","Cherburg",I476="B","Cabin")</f>
        <v>Sauthamptonm</v>
      </c>
      <c r="K476" t="s">
        <v>60</v>
      </c>
      <c r="L476" s="2">
        <v>7.05</v>
      </c>
      <c r="M476">
        <v>0</v>
      </c>
      <c r="N476">
        <v>0</v>
      </c>
      <c r="O476" t="s">
        <v>13</v>
      </c>
    </row>
    <row r="477" spans="1:15" x14ac:dyDescent="0.3">
      <c r="A477" s="1" t="s">
        <v>1007</v>
      </c>
      <c r="B477" t="s">
        <v>76</v>
      </c>
      <c r="C477" t="s">
        <v>1008</v>
      </c>
      <c r="D477" t="str">
        <f t="shared" si="7"/>
        <v>Female</v>
      </c>
      <c r="E477" t="s">
        <v>14</v>
      </c>
      <c r="F477" s="2">
        <v>34</v>
      </c>
      <c r="G477" s="2" t="str" cm="1">
        <f t="array" ref="G477">_xlfn.IFS(F477&lt;=8,"Child",F477&lt;=17,"Teen",F477&lt;=35,"Adult",F477&lt;=55,"Seniour Adult",F477&gt;=55,"Old Age")</f>
        <v>Adult</v>
      </c>
      <c r="H477" t="s">
        <v>10</v>
      </c>
      <c r="I477" t="s">
        <v>11</v>
      </c>
      <c r="J477" t="str" cm="1">
        <f t="array" ref="J477">_xlfn.IFS(I477="S","Sauthamptonm",I477="Q","Queentown",I477="C","Cherburg",I477="B","Cabin")</f>
        <v>Sauthamptonm</v>
      </c>
      <c r="K477" t="s">
        <v>15</v>
      </c>
      <c r="L477" s="2">
        <v>16.02</v>
      </c>
      <c r="M477">
        <v>1</v>
      </c>
      <c r="N477">
        <v>0</v>
      </c>
      <c r="O477" t="s">
        <v>13</v>
      </c>
    </row>
    <row r="478" spans="1:15" x14ac:dyDescent="0.3">
      <c r="A478" s="1" t="s">
        <v>1010</v>
      </c>
      <c r="B478" t="s">
        <v>72</v>
      </c>
      <c r="C478" t="s">
        <v>1011</v>
      </c>
      <c r="D478" t="str">
        <f t="shared" si="7"/>
        <v>Male</v>
      </c>
      <c r="E478" t="s">
        <v>9</v>
      </c>
      <c r="F478" s="2">
        <v>19</v>
      </c>
      <c r="G478" s="2" t="str" cm="1">
        <f t="array" ref="G478">_xlfn.IFS(F478&lt;=8,"Child",F478&lt;=17,"Teen",F478&lt;=35,"Adult",F478&lt;=55,"Seniour Adult",F478&gt;=55,"Old Age")</f>
        <v>Adult</v>
      </c>
      <c r="H478" t="s">
        <v>10</v>
      </c>
      <c r="I478" t="s">
        <v>11</v>
      </c>
      <c r="J478" t="str" cm="1">
        <f t="array" ref="J478">_xlfn.IFS(I478="S","Sauthamptonm",I478="Q","Queentown",I478="C","Cherburg",I478="B","Cabin")</f>
        <v>Sauthamptonm</v>
      </c>
      <c r="K478" t="s">
        <v>15</v>
      </c>
      <c r="L478" s="2">
        <v>7.1707000000000001</v>
      </c>
      <c r="M478">
        <v>0</v>
      </c>
      <c r="N478">
        <v>0</v>
      </c>
      <c r="O478" t="s">
        <v>13</v>
      </c>
    </row>
    <row r="479" spans="1:15" x14ac:dyDescent="0.3">
      <c r="A479" s="1" t="s">
        <v>1012</v>
      </c>
      <c r="B479" t="s">
        <v>78</v>
      </c>
      <c r="C479" t="s">
        <v>1013</v>
      </c>
      <c r="D479" t="str">
        <f t="shared" si="7"/>
        <v>Female</v>
      </c>
      <c r="E479" t="s">
        <v>14</v>
      </c>
      <c r="F479" s="2">
        <v>21</v>
      </c>
      <c r="G479" s="2" t="str" cm="1">
        <f t="array" ref="G479">_xlfn.IFS(F479&lt;=8,"Child",F479&lt;=17,"Teen",F479&lt;=35,"Adult",F479&lt;=55,"Seniour Adult",F479&gt;=55,"Old Age")</f>
        <v>Adult</v>
      </c>
      <c r="H479" t="s">
        <v>25</v>
      </c>
      <c r="I479" t="s">
        <v>19</v>
      </c>
      <c r="J479" t="str" cm="1">
        <f t="array" ref="J479">_xlfn.IFS(I479="S","Sauthamptonm",I479="Q","Queentown",I479="C","Cherburg",I479="B","Cabin")</f>
        <v>Cherburg</v>
      </c>
      <c r="K479" t="s">
        <v>12</v>
      </c>
      <c r="L479" s="2">
        <v>77.190200000000004</v>
      </c>
      <c r="M479">
        <v>0</v>
      </c>
      <c r="N479">
        <v>0</v>
      </c>
      <c r="O479" t="s">
        <v>16</v>
      </c>
    </row>
    <row r="480" spans="1:15" x14ac:dyDescent="0.3">
      <c r="A480" s="1" t="s">
        <v>1014</v>
      </c>
      <c r="B480" t="s">
        <v>72</v>
      </c>
      <c r="C480" t="s">
        <v>1015</v>
      </c>
      <c r="D480" t="str">
        <f t="shared" si="7"/>
        <v>Male</v>
      </c>
      <c r="E480" t="s">
        <v>9</v>
      </c>
      <c r="F480" s="2">
        <v>29</v>
      </c>
      <c r="G480" s="2" t="str" cm="1">
        <f t="array" ref="G480">_xlfn.IFS(F480&lt;=8,"Child",F480&lt;=17,"Teen",F480&lt;=35,"Adult",F480&lt;=55,"Seniour Adult",F480&gt;=55,"Old Age")</f>
        <v>Adult</v>
      </c>
      <c r="H480" t="s">
        <v>25</v>
      </c>
      <c r="I480" t="s">
        <v>11</v>
      </c>
      <c r="J480" t="str" cm="1">
        <f t="array" ref="J480">_xlfn.IFS(I480="S","Sauthamptonm",I480="Q","Queentown",I480="C","Cherburg",I480="B","Cabin")</f>
        <v>Sauthamptonm</v>
      </c>
      <c r="K480" t="s">
        <v>12</v>
      </c>
      <c r="L480" s="2">
        <v>30</v>
      </c>
      <c r="M480">
        <v>0</v>
      </c>
      <c r="N480">
        <v>0</v>
      </c>
      <c r="O480" t="s">
        <v>13</v>
      </c>
    </row>
    <row r="481" spans="1:15" x14ac:dyDescent="0.3">
      <c r="A481" s="1" t="s">
        <v>1016</v>
      </c>
      <c r="B481" t="s">
        <v>72</v>
      </c>
      <c r="C481" t="s">
        <v>1017</v>
      </c>
      <c r="D481" t="str">
        <f t="shared" si="7"/>
        <v>Male</v>
      </c>
      <c r="E481" t="s">
        <v>9</v>
      </c>
      <c r="F481" s="2">
        <v>30</v>
      </c>
      <c r="G481" s="2" t="str" cm="1">
        <f t="array" ref="G481">_xlfn.IFS(F481&lt;=8,"Child",F481&lt;=17,"Teen",F481&lt;=35,"Adult",F481&lt;=55,"Seniour Adult",F481&gt;=55,"Old Age")</f>
        <v>Adult</v>
      </c>
      <c r="H481" t="s">
        <v>25</v>
      </c>
      <c r="I481" t="s">
        <v>11</v>
      </c>
      <c r="J481" t="str" cm="1">
        <f t="array" ref="J481">_xlfn.IFS(I481="S","Sauthamptonm",I481="Q","Queentown",I481="C","Cherburg",I481="B","Cabin")</f>
        <v>Sauthamptonm</v>
      </c>
      <c r="K481" t="s">
        <v>12</v>
      </c>
      <c r="L481" s="2">
        <v>45.1</v>
      </c>
      <c r="M481">
        <v>0</v>
      </c>
      <c r="N481">
        <v>0</v>
      </c>
      <c r="O481" t="s">
        <v>13</v>
      </c>
    </row>
    <row r="482" spans="1:15" x14ac:dyDescent="0.3">
      <c r="A482" s="1" t="s">
        <v>1018</v>
      </c>
      <c r="B482" t="s">
        <v>72</v>
      </c>
      <c r="C482" t="s">
        <v>1019</v>
      </c>
      <c r="D482" t="str">
        <f t="shared" si="7"/>
        <v>Male</v>
      </c>
      <c r="E482" t="s">
        <v>9</v>
      </c>
      <c r="F482" s="2">
        <v>50</v>
      </c>
      <c r="G482" s="2" t="str" cm="1">
        <f t="array" ref="G482">_xlfn.IFS(F482&lt;=8,"Child",F482&lt;=17,"Teen",F482&lt;=35,"Adult",F482&lt;=55,"Seniour Adult",F482&gt;=55,"Old Age")</f>
        <v>Seniour Adult</v>
      </c>
      <c r="H482" t="s">
        <v>18</v>
      </c>
      <c r="I482" t="s">
        <v>11</v>
      </c>
      <c r="J482" t="str" cm="1">
        <f t="array" ref="J482">_xlfn.IFS(I482="S","Sauthamptonm",I482="Q","Queentown",I482="C","Cherburg",I482="B","Cabin")</f>
        <v>Sauthamptonm</v>
      </c>
      <c r="K482" t="s">
        <v>15</v>
      </c>
      <c r="L482" s="2">
        <v>26</v>
      </c>
      <c r="M482">
        <v>1</v>
      </c>
      <c r="N482">
        <v>0</v>
      </c>
      <c r="O482" t="s">
        <v>13</v>
      </c>
    </row>
    <row r="483" spans="1:15" x14ac:dyDescent="0.3">
      <c r="A483" s="1" t="s">
        <v>1020</v>
      </c>
      <c r="B483" t="s">
        <v>72</v>
      </c>
      <c r="C483" t="s">
        <v>1021</v>
      </c>
      <c r="D483" t="str">
        <f t="shared" si="7"/>
        <v>Male</v>
      </c>
      <c r="E483" t="s">
        <v>9</v>
      </c>
      <c r="F483" s="2">
        <v>20</v>
      </c>
      <c r="G483" s="2" t="str" cm="1">
        <f t="array" ref="G483">_xlfn.IFS(F483&lt;=8,"Child",F483&lt;=17,"Teen",F483&lt;=35,"Adult",F483&lt;=55,"Seniour Adult",F483&gt;=55,"Old Age")</f>
        <v>Adult</v>
      </c>
      <c r="H483" t="s">
        <v>10</v>
      </c>
      <c r="I483" t="s">
        <v>11</v>
      </c>
      <c r="J483" t="str" cm="1">
        <f t="array" ref="J483">_xlfn.IFS(I483="S","Sauthamptonm",I483="Q","Queentown",I483="C","Cherburg",I483="B","Cabin")</f>
        <v>Sauthamptonm</v>
      </c>
      <c r="K483" t="s">
        <v>15</v>
      </c>
      <c r="L483" s="2">
        <v>7.05</v>
      </c>
      <c r="M483">
        <v>0</v>
      </c>
      <c r="N483">
        <v>0</v>
      </c>
      <c r="O483" t="s">
        <v>13</v>
      </c>
    </row>
    <row r="484" spans="1:15" x14ac:dyDescent="0.3">
      <c r="A484" s="1" t="s">
        <v>1022</v>
      </c>
      <c r="B484" t="s">
        <v>72</v>
      </c>
      <c r="C484" t="s">
        <v>1023</v>
      </c>
      <c r="D484" t="str">
        <f t="shared" si="7"/>
        <v>Male</v>
      </c>
      <c r="E484" t="s">
        <v>9</v>
      </c>
      <c r="F484" s="2">
        <v>29</v>
      </c>
      <c r="G484" s="2" t="str" cm="1">
        <f t="array" ref="G484">_xlfn.IFS(F484&lt;=8,"Child",F484&lt;=17,"Teen",F484&lt;=35,"Adult",F484&lt;=55,"Seniour Adult",F484&gt;=55,"Old Age")</f>
        <v>Adult</v>
      </c>
      <c r="H484" t="s">
        <v>10</v>
      </c>
      <c r="I484" t="s">
        <v>11</v>
      </c>
      <c r="J484" t="str" cm="1">
        <f t="array" ref="J484">_xlfn.IFS(I484="S","Sauthamptonm",I484="Q","Queentown",I484="C","Cherburg",I484="B","Cabin")</f>
        <v>Sauthamptonm</v>
      </c>
      <c r="K484" t="s">
        <v>42</v>
      </c>
      <c r="L484" s="2">
        <v>8.1303000000000001</v>
      </c>
      <c r="M484">
        <v>0</v>
      </c>
      <c r="N484">
        <v>0</v>
      </c>
      <c r="O484" t="s">
        <v>16</v>
      </c>
    </row>
    <row r="485" spans="1:15" x14ac:dyDescent="0.3">
      <c r="A485" s="1" t="s">
        <v>1024</v>
      </c>
      <c r="B485" t="s">
        <v>72</v>
      </c>
      <c r="C485" t="s">
        <v>1025</v>
      </c>
      <c r="D485" t="str">
        <f t="shared" si="7"/>
        <v>Male</v>
      </c>
      <c r="E485" t="s">
        <v>9</v>
      </c>
      <c r="F485" s="2">
        <v>50</v>
      </c>
      <c r="G485" s="2" t="str" cm="1">
        <f t="array" ref="G485">_xlfn.IFS(F485&lt;=8,"Child",F485&lt;=17,"Teen",F485&lt;=35,"Adult",F485&lt;=55,"Seniour Adult",F485&gt;=55,"Old Age")</f>
        <v>Seniour Adult</v>
      </c>
      <c r="H485" t="s">
        <v>10</v>
      </c>
      <c r="I485" t="s">
        <v>11</v>
      </c>
      <c r="J485" t="str" cm="1">
        <f t="array" ref="J485">_xlfn.IFS(I485="S","Sauthamptonm",I485="Q","Queentown",I485="C","Cherburg",I485="B","Cabin")</f>
        <v>Sauthamptonm</v>
      </c>
      <c r="K485" t="s">
        <v>23</v>
      </c>
      <c r="L485" s="2">
        <v>7.0101000000000004</v>
      </c>
      <c r="M485">
        <v>0</v>
      </c>
      <c r="N485">
        <v>0</v>
      </c>
      <c r="O485" t="s">
        <v>13</v>
      </c>
    </row>
    <row r="486" spans="1:15" x14ac:dyDescent="0.3">
      <c r="A486" s="1" t="s">
        <v>1026</v>
      </c>
      <c r="B486" t="s">
        <v>78</v>
      </c>
      <c r="C486" t="s">
        <v>1027</v>
      </c>
      <c r="D486" t="str">
        <f t="shared" si="7"/>
        <v>Female</v>
      </c>
      <c r="E486" t="s">
        <v>14</v>
      </c>
      <c r="F486" s="2">
        <v>23</v>
      </c>
      <c r="G486" s="2" t="str" cm="1">
        <f t="array" ref="G486">_xlfn.IFS(F486&lt;=8,"Child",F486&lt;=17,"Teen",F486&lt;=35,"Adult",F486&lt;=55,"Seniour Adult",F486&gt;=55,"Old Age")</f>
        <v>Adult</v>
      </c>
      <c r="H486" t="s">
        <v>10</v>
      </c>
      <c r="I486" t="s">
        <v>11</v>
      </c>
      <c r="J486" t="str" cm="1">
        <f t="array" ref="J486">_xlfn.IFS(I486="S","Sauthamptonm",I486="Q","Queentown",I486="C","Cherburg",I486="B","Cabin")</f>
        <v>Sauthamptonm</v>
      </c>
      <c r="K486" t="s">
        <v>12</v>
      </c>
      <c r="L486" s="2">
        <v>7.1700999999999997</v>
      </c>
      <c r="M486">
        <v>0</v>
      </c>
      <c r="N486">
        <v>0</v>
      </c>
      <c r="O486" t="s">
        <v>16</v>
      </c>
    </row>
    <row r="487" spans="1:15" x14ac:dyDescent="0.3">
      <c r="A487" s="1" t="s">
        <v>1028</v>
      </c>
      <c r="B487" t="s">
        <v>72</v>
      </c>
      <c r="C487" t="s">
        <v>1029</v>
      </c>
      <c r="D487" t="str">
        <f t="shared" si="7"/>
        <v>Male</v>
      </c>
      <c r="E487" t="s">
        <v>9</v>
      </c>
      <c r="F487" s="2">
        <v>32</v>
      </c>
      <c r="G487" s="2" t="str" cm="1">
        <f t="array" ref="G487">_xlfn.IFS(F487&lt;=8,"Child",F487&lt;=17,"Teen",F487&lt;=35,"Adult",F487&lt;=55,"Seniour Adult",F487&gt;=55,"Old Age")</f>
        <v>Adult</v>
      </c>
      <c r="H487" t="s">
        <v>10</v>
      </c>
      <c r="I487" t="s">
        <v>11</v>
      </c>
      <c r="J487" t="str" cm="1">
        <f t="array" ref="J487">_xlfn.IFS(I487="S","Sauthamptonm",I487="Q","Queentown",I487="C","Cherburg",I487="B","Cabin")</f>
        <v>Sauthamptonm</v>
      </c>
      <c r="K487" t="s">
        <v>23</v>
      </c>
      <c r="L487" s="2">
        <v>7.1106999999999996</v>
      </c>
      <c r="M487">
        <v>0</v>
      </c>
      <c r="N487">
        <v>0</v>
      </c>
      <c r="O487" t="s">
        <v>16</v>
      </c>
    </row>
    <row r="488" spans="1:15" x14ac:dyDescent="0.3">
      <c r="A488" s="1" t="s">
        <v>1030</v>
      </c>
      <c r="B488" t="s">
        <v>78</v>
      </c>
      <c r="C488" t="s">
        <v>1031</v>
      </c>
      <c r="D488" t="str">
        <f t="shared" si="7"/>
        <v>Female</v>
      </c>
      <c r="E488" t="s">
        <v>14</v>
      </c>
      <c r="F488" s="2">
        <v>59</v>
      </c>
      <c r="G488" s="2" t="str" cm="1">
        <f t="array" ref="G488">_xlfn.IFS(F488&lt;=8,"Child",F488&lt;=17,"Teen",F488&lt;=35,"Adult",F488&lt;=55,"Seniour Adult",F488&gt;=55,"Old Age")</f>
        <v>Old Age</v>
      </c>
      <c r="H488" t="s">
        <v>25</v>
      </c>
      <c r="I488" t="s">
        <v>19</v>
      </c>
      <c r="J488" t="str" cm="1">
        <f t="array" ref="J488">_xlfn.IFS(I488="S","Sauthamptonm",I488="Q","Queentown",I488="C","Cherburg",I488="B","Cabin")</f>
        <v>Cherburg</v>
      </c>
      <c r="K488" t="s">
        <v>20</v>
      </c>
      <c r="L488" s="2">
        <v>146.10050000000001</v>
      </c>
      <c r="M488">
        <v>0</v>
      </c>
      <c r="N488">
        <v>0</v>
      </c>
      <c r="O488" t="s">
        <v>16</v>
      </c>
    </row>
    <row r="489" spans="1:15" x14ac:dyDescent="0.3">
      <c r="A489" s="1" t="s">
        <v>1032</v>
      </c>
      <c r="B489" t="s">
        <v>72</v>
      </c>
      <c r="C489" t="s">
        <v>1033</v>
      </c>
      <c r="D489" t="str">
        <f t="shared" si="7"/>
        <v>Male</v>
      </c>
      <c r="E489" t="s">
        <v>9</v>
      </c>
      <c r="F489" s="2">
        <v>30</v>
      </c>
      <c r="G489" s="2" t="str" cm="1">
        <f t="array" ref="G489">_xlfn.IFS(F489&lt;=8,"Child",F489&lt;=17,"Teen",F489&lt;=35,"Adult",F489&lt;=55,"Seniour Adult",F489&gt;=55,"Old Age")</f>
        <v>Adult</v>
      </c>
      <c r="H489" t="s">
        <v>10</v>
      </c>
      <c r="I489" t="s">
        <v>19</v>
      </c>
      <c r="J489" t="str" cm="1">
        <f t="array" ref="J489">_xlfn.IFS(I489="S","Sauthamptonm",I489="Q","Queentown",I489="C","Cherburg",I489="B","Cabin")</f>
        <v>Cherburg</v>
      </c>
      <c r="K489" t="s">
        <v>56</v>
      </c>
      <c r="L489" s="2">
        <v>6.0808999999999997</v>
      </c>
      <c r="M489">
        <v>0</v>
      </c>
      <c r="N489">
        <v>0</v>
      </c>
      <c r="O489" t="s">
        <v>13</v>
      </c>
    </row>
    <row r="490" spans="1:15" x14ac:dyDescent="0.3">
      <c r="A490" s="1" t="s">
        <v>1034</v>
      </c>
      <c r="B490" t="s">
        <v>72</v>
      </c>
      <c r="C490" t="s">
        <v>1035</v>
      </c>
      <c r="D490" t="str">
        <f t="shared" si="7"/>
        <v>Male</v>
      </c>
      <c r="E490" t="s">
        <v>9</v>
      </c>
      <c r="F490" s="2">
        <v>44</v>
      </c>
      <c r="G490" s="2" t="str" cm="1">
        <f t="array" ref="G490">_xlfn.IFS(F490&lt;=8,"Child",F490&lt;=17,"Teen",F490&lt;=35,"Adult",F490&lt;=55,"Seniour Adult",F490&gt;=55,"Old Age")</f>
        <v>Seniour Adult</v>
      </c>
      <c r="H490" t="s">
        <v>10</v>
      </c>
      <c r="I490" t="s">
        <v>11</v>
      </c>
      <c r="J490" t="str" cm="1">
        <f t="array" ref="J490">_xlfn.IFS(I490="S","Sauthamptonm",I490="Q","Queentown",I490="C","Cherburg",I490="B","Cabin")</f>
        <v>Sauthamptonm</v>
      </c>
      <c r="K490" t="s">
        <v>15</v>
      </c>
      <c r="L490" s="2">
        <v>7.1711</v>
      </c>
      <c r="M490">
        <v>0</v>
      </c>
      <c r="N490">
        <v>0</v>
      </c>
      <c r="O490" t="s">
        <v>13</v>
      </c>
    </row>
    <row r="491" spans="1:15" x14ac:dyDescent="0.3">
      <c r="A491" s="1" t="s">
        <v>1036</v>
      </c>
      <c r="B491" t="s">
        <v>72</v>
      </c>
      <c r="C491" t="s">
        <v>1037</v>
      </c>
      <c r="D491" t="str">
        <f t="shared" si="7"/>
        <v>Male</v>
      </c>
      <c r="E491" t="s">
        <v>9</v>
      </c>
      <c r="F491" s="2">
        <v>20</v>
      </c>
      <c r="G491" s="2" t="str" cm="1">
        <f t="array" ref="G491">_xlfn.IFS(F491&lt;=8,"Child",F491&lt;=17,"Teen",F491&lt;=35,"Adult",F491&lt;=55,"Seniour Adult",F491&gt;=55,"Old Age")</f>
        <v>Adult</v>
      </c>
      <c r="H491" t="s">
        <v>10</v>
      </c>
      <c r="I491" t="s">
        <v>11</v>
      </c>
      <c r="J491" t="str" cm="1">
        <f t="array" ref="J491">_xlfn.IFS(I491="S","Sauthamptonm",I491="Q","Queentown",I491="C","Cherburg",I491="B","Cabin")</f>
        <v>Sauthamptonm</v>
      </c>
      <c r="K491" t="s">
        <v>43</v>
      </c>
      <c r="L491" s="2">
        <v>7.11</v>
      </c>
      <c r="M491">
        <v>0</v>
      </c>
      <c r="N491">
        <v>0</v>
      </c>
      <c r="O491" t="s">
        <v>13</v>
      </c>
    </row>
    <row r="492" spans="1:15" x14ac:dyDescent="0.3">
      <c r="A492" s="1" t="s">
        <v>1038</v>
      </c>
      <c r="B492" t="s">
        <v>76</v>
      </c>
      <c r="C492" t="s">
        <v>262</v>
      </c>
      <c r="D492" t="str">
        <f t="shared" si="7"/>
        <v>Female</v>
      </c>
      <c r="E492" t="s">
        <v>14</v>
      </c>
      <c r="F492" s="2">
        <v>57</v>
      </c>
      <c r="G492" s="2" t="str" cm="1">
        <f t="array" ref="G492">_xlfn.IFS(F492&lt;=8,"Child",F492&lt;=17,"Teen",F492&lt;=35,"Adult",F492&lt;=55,"Seniour Adult",F492&gt;=55,"Old Age")</f>
        <v>Old Age</v>
      </c>
      <c r="H492" t="s">
        <v>18</v>
      </c>
      <c r="I492" t="s">
        <v>11</v>
      </c>
      <c r="J492" t="str" cm="1">
        <f t="array" ref="J492">_xlfn.IFS(I492="S","Sauthamptonm",I492="Q","Queentown",I492="C","Cherburg",I492="B","Cabin")</f>
        <v>Sauthamptonm</v>
      </c>
      <c r="K492" t="s">
        <v>15</v>
      </c>
      <c r="L492" s="2">
        <v>10.1</v>
      </c>
      <c r="M492">
        <v>0</v>
      </c>
      <c r="N492">
        <v>0</v>
      </c>
      <c r="O492" t="s">
        <v>13</v>
      </c>
    </row>
    <row r="493" spans="1:15" x14ac:dyDescent="0.3">
      <c r="A493" s="1" t="s">
        <v>1039</v>
      </c>
      <c r="B493" t="s">
        <v>78</v>
      </c>
      <c r="C493" t="s">
        <v>299</v>
      </c>
      <c r="D493" t="str">
        <f t="shared" si="7"/>
        <v>Female</v>
      </c>
      <c r="E493" t="s">
        <v>14</v>
      </c>
      <c r="F493" s="2">
        <v>21</v>
      </c>
      <c r="G493" s="2" t="str" cm="1">
        <f t="array" ref="G493">_xlfn.IFS(F493&lt;=8,"Child",F493&lt;=17,"Teen",F493&lt;=35,"Adult",F493&lt;=55,"Seniour Adult",F493&gt;=55,"Old Age")</f>
        <v>Adult</v>
      </c>
      <c r="H493" t="s">
        <v>10</v>
      </c>
      <c r="I493" t="s">
        <v>36</v>
      </c>
      <c r="J493" t="str" cm="1">
        <f t="array" ref="J493">_xlfn.IFS(I493="S","Sauthamptonm",I493="Q","Queentown",I493="C","Cherburg",I493="B","Cabin")</f>
        <v>Queentown</v>
      </c>
      <c r="K493" t="s">
        <v>37</v>
      </c>
      <c r="L493" s="2">
        <v>7.15</v>
      </c>
      <c r="M493">
        <v>0</v>
      </c>
      <c r="N493">
        <v>0</v>
      </c>
      <c r="O493" t="s">
        <v>16</v>
      </c>
    </row>
    <row r="494" spans="1:15" x14ac:dyDescent="0.3">
      <c r="A494" s="1" t="s">
        <v>1040</v>
      </c>
      <c r="B494" t="s">
        <v>78</v>
      </c>
      <c r="C494" t="s">
        <v>1041</v>
      </c>
      <c r="D494" t="str">
        <f t="shared" si="7"/>
        <v>Female</v>
      </c>
      <c r="E494" t="s">
        <v>14</v>
      </c>
      <c r="F494" s="2">
        <v>16</v>
      </c>
      <c r="G494" s="2" t="str" cm="1">
        <f t="array" ref="G494">_xlfn.IFS(F494&lt;=8,"Child",F494&lt;=17,"Teen",F494&lt;=35,"Adult",F494&lt;=55,"Seniour Adult",F494&gt;=55,"Old Age")</f>
        <v>Teen</v>
      </c>
      <c r="H494" t="s">
        <v>25</v>
      </c>
      <c r="I494" t="s">
        <v>11</v>
      </c>
      <c r="J494" t="str" cm="1">
        <f t="array" ref="J494">_xlfn.IFS(I494="S","Sauthamptonm",I494="Q","Queentown",I494="C","Cherburg",I494="B","Cabin")</f>
        <v>Sauthamptonm</v>
      </c>
      <c r="K494" t="s">
        <v>12</v>
      </c>
      <c r="L494" s="2">
        <v>211.0609</v>
      </c>
      <c r="M494">
        <v>0</v>
      </c>
      <c r="N494">
        <v>1</v>
      </c>
      <c r="O494" t="s">
        <v>16</v>
      </c>
    </row>
    <row r="495" spans="1:15" x14ac:dyDescent="0.3">
      <c r="A495" s="1" t="s">
        <v>1042</v>
      </c>
      <c r="B495" t="s">
        <v>72</v>
      </c>
      <c r="C495" t="s">
        <v>1043</v>
      </c>
      <c r="D495" t="str">
        <f t="shared" si="7"/>
        <v>Male</v>
      </c>
      <c r="E495" t="s">
        <v>9</v>
      </c>
      <c r="F495" s="2">
        <v>24</v>
      </c>
      <c r="G495" s="2" t="str" cm="1">
        <f t="array" ref="G495">_xlfn.IFS(F495&lt;=8,"Child",F495&lt;=17,"Teen",F495&lt;=35,"Adult",F495&lt;=55,"Seniour Adult",F495&gt;=55,"Old Age")</f>
        <v>Adult</v>
      </c>
      <c r="H495" t="s">
        <v>10</v>
      </c>
      <c r="I495" t="s">
        <v>11</v>
      </c>
      <c r="J495" t="str" cm="1">
        <f t="array" ref="J495">_xlfn.IFS(I495="S","Sauthamptonm",I495="Q","Queentown",I495="C","Cherburg",I495="B","Cabin")</f>
        <v>Sauthamptonm</v>
      </c>
      <c r="K495" t="s">
        <v>17</v>
      </c>
      <c r="L495" s="2">
        <v>7.0209999999999999</v>
      </c>
      <c r="M495">
        <v>0</v>
      </c>
      <c r="N495">
        <v>0</v>
      </c>
      <c r="O495" t="s">
        <v>16</v>
      </c>
    </row>
    <row r="496" spans="1:15" x14ac:dyDescent="0.3">
      <c r="A496" s="1" t="s">
        <v>1044</v>
      </c>
      <c r="B496" t="s">
        <v>72</v>
      </c>
      <c r="C496" t="s">
        <v>1045</v>
      </c>
      <c r="D496" t="str">
        <f t="shared" si="7"/>
        <v>Male</v>
      </c>
      <c r="E496" t="s">
        <v>9</v>
      </c>
      <c r="F496" s="2">
        <v>22</v>
      </c>
      <c r="G496" s="2" t="str" cm="1">
        <f t="array" ref="G496">_xlfn.IFS(F496&lt;=8,"Child",F496&lt;=17,"Teen",F496&lt;=35,"Adult",F496&lt;=55,"Seniour Adult",F496&gt;=55,"Old Age")</f>
        <v>Adult</v>
      </c>
      <c r="H496" t="s">
        <v>10</v>
      </c>
      <c r="I496" t="s">
        <v>11</v>
      </c>
      <c r="J496" t="str" cm="1">
        <f t="array" ref="J496">_xlfn.IFS(I496="S","Sauthamptonm",I496="Q","Queentown",I496="C","Cherburg",I496="B","Cabin")</f>
        <v>Sauthamptonm</v>
      </c>
      <c r="K496" t="s">
        <v>22</v>
      </c>
      <c r="L496" s="2">
        <v>7.0206</v>
      </c>
      <c r="M496">
        <v>0</v>
      </c>
      <c r="N496">
        <v>0</v>
      </c>
      <c r="O496" t="s">
        <v>13</v>
      </c>
    </row>
    <row r="497" spans="1:15" x14ac:dyDescent="0.3">
      <c r="A497" s="1" t="s">
        <v>1046</v>
      </c>
      <c r="B497" t="s">
        <v>72</v>
      </c>
      <c r="C497" t="s">
        <v>1047</v>
      </c>
      <c r="D497" t="str">
        <f t="shared" si="7"/>
        <v>Male</v>
      </c>
      <c r="E497" t="s">
        <v>9</v>
      </c>
      <c r="F497" s="2">
        <v>30</v>
      </c>
      <c r="G497" s="2" t="str" cm="1">
        <f t="array" ref="G497">_xlfn.IFS(F497&lt;=8,"Child",F497&lt;=17,"Teen",F497&lt;=35,"Adult",F497&lt;=55,"Seniour Adult",F497&gt;=55,"Old Age")</f>
        <v>Adult</v>
      </c>
      <c r="H497" t="s">
        <v>25</v>
      </c>
      <c r="I497" t="s">
        <v>11</v>
      </c>
      <c r="J497" t="str" cm="1">
        <f t="array" ref="J497">_xlfn.IFS(I497="S","Sauthamptonm",I497="Q","Queentown",I497="C","Cherburg",I497="B","Cabin")</f>
        <v>Sauthamptonm</v>
      </c>
      <c r="K497" t="s">
        <v>12</v>
      </c>
      <c r="L497" s="2">
        <v>26</v>
      </c>
      <c r="M497">
        <v>0</v>
      </c>
      <c r="N497">
        <v>0</v>
      </c>
      <c r="O497" t="s">
        <v>13</v>
      </c>
    </row>
    <row r="498" spans="1:15" x14ac:dyDescent="0.3">
      <c r="A498" s="1" t="s">
        <v>1048</v>
      </c>
      <c r="B498" t="s">
        <v>78</v>
      </c>
      <c r="C498" t="s">
        <v>273</v>
      </c>
      <c r="D498" t="str">
        <f t="shared" si="7"/>
        <v>Female</v>
      </c>
      <c r="E498" t="s">
        <v>14</v>
      </c>
      <c r="F498" s="2">
        <v>20</v>
      </c>
      <c r="G498" s="2" t="str" cm="1">
        <f t="array" ref="G498">_xlfn.IFS(F498&lt;=8,"Child",F498&lt;=17,"Teen",F498&lt;=35,"Adult",F498&lt;=55,"Seniour Adult",F498&gt;=55,"Old Age")</f>
        <v>Adult</v>
      </c>
      <c r="H498" t="s">
        <v>10</v>
      </c>
      <c r="I498" t="s">
        <v>36</v>
      </c>
      <c r="J498" t="str" cm="1">
        <f t="array" ref="J498">_xlfn.IFS(I498="S","Sauthamptonm",I498="Q","Queentown",I498="C","Cherburg",I498="B","Cabin")</f>
        <v>Queentown</v>
      </c>
      <c r="K498" t="s">
        <v>37</v>
      </c>
      <c r="L498" s="2">
        <v>7.1707000000000001</v>
      </c>
      <c r="M498">
        <v>0</v>
      </c>
      <c r="N498">
        <v>0</v>
      </c>
      <c r="O498" t="s">
        <v>13</v>
      </c>
    </row>
    <row r="499" spans="1:15" x14ac:dyDescent="0.3">
      <c r="A499" s="1" t="s">
        <v>1049</v>
      </c>
      <c r="B499" t="s">
        <v>78</v>
      </c>
      <c r="C499" t="s">
        <v>1050</v>
      </c>
      <c r="D499" t="str">
        <f t="shared" si="7"/>
        <v>Female</v>
      </c>
      <c r="E499" t="s">
        <v>14</v>
      </c>
      <c r="F499" s="2">
        <v>20</v>
      </c>
      <c r="G499" s="2" t="str" cm="1">
        <f t="array" ref="G499">_xlfn.IFS(F499&lt;=8,"Child",F499&lt;=17,"Teen",F499&lt;=35,"Adult",F499&lt;=55,"Seniour Adult",F499&gt;=55,"Old Age")</f>
        <v>Adult</v>
      </c>
      <c r="H499" t="s">
        <v>25</v>
      </c>
      <c r="I499" t="s">
        <v>11</v>
      </c>
      <c r="J499" t="str" cm="1">
        <f t="array" ref="J499">_xlfn.IFS(I499="S","Sauthamptonm",I499="Q","Queentown",I499="C","Cherburg",I499="B","Cabin")</f>
        <v>Sauthamptonm</v>
      </c>
      <c r="K499" t="s">
        <v>15</v>
      </c>
      <c r="L499" s="2">
        <v>86.1</v>
      </c>
      <c r="M499">
        <v>0</v>
      </c>
      <c r="N499">
        <v>0</v>
      </c>
      <c r="O499" t="s">
        <v>16</v>
      </c>
    </row>
    <row r="500" spans="1:15" x14ac:dyDescent="0.3">
      <c r="A500" s="1" t="s">
        <v>1051</v>
      </c>
      <c r="B500" t="s">
        <v>72</v>
      </c>
      <c r="C500" t="s">
        <v>942</v>
      </c>
      <c r="D500" t="str">
        <f t="shared" si="7"/>
        <v>Male</v>
      </c>
      <c r="E500" t="s">
        <v>9</v>
      </c>
      <c r="F500" s="2">
        <v>34</v>
      </c>
      <c r="G500" s="2" t="str" cm="1">
        <f t="array" ref="G500">_xlfn.IFS(F500&lt;=8,"Child",F500&lt;=17,"Teen",F500&lt;=35,"Adult",F500&lt;=55,"Seniour Adult",F500&gt;=55,"Old Age")</f>
        <v>Adult</v>
      </c>
      <c r="H500" t="s">
        <v>10</v>
      </c>
      <c r="I500" t="s">
        <v>11</v>
      </c>
      <c r="J500" t="str" cm="1">
        <f t="array" ref="J500">_xlfn.IFS(I500="S","Sauthamptonm",I500="Q","Queentown",I500="C","Cherburg",I500="B","Cabin")</f>
        <v>Sauthamptonm</v>
      </c>
      <c r="K500" t="s">
        <v>15</v>
      </c>
      <c r="L500" s="2">
        <v>8.01</v>
      </c>
      <c r="M500">
        <v>0</v>
      </c>
      <c r="N500">
        <v>0</v>
      </c>
      <c r="O500" t="s">
        <v>13</v>
      </c>
    </row>
    <row r="501" spans="1:15" x14ac:dyDescent="0.3">
      <c r="A501" s="1" t="s">
        <v>1052</v>
      </c>
      <c r="B501" t="s">
        <v>72</v>
      </c>
      <c r="C501" t="s">
        <v>1053</v>
      </c>
      <c r="D501" t="str">
        <f t="shared" si="7"/>
        <v>Male</v>
      </c>
      <c r="E501" t="s">
        <v>9</v>
      </c>
      <c r="F501" s="2">
        <v>29</v>
      </c>
      <c r="G501" s="2" t="str" cm="1">
        <f t="array" ref="G501">_xlfn.IFS(F501&lt;=8,"Child",F501&lt;=17,"Teen",F501&lt;=35,"Adult",F501&lt;=55,"Seniour Adult",F501&gt;=55,"Old Age")</f>
        <v>Adult</v>
      </c>
      <c r="H501" t="s">
        <v>10</v>
      </c>
      <c r="I501" t="s">
        <v>11</v>
      </c>
      <c r="J501" t="str" cm="1">
        <f t="array" ref="J501">_xlfn.IFS(I501="S","Sauthamptonm",I501="Q","Queentown",I501="C","Cherburg",I501="B","Cabin")</f>
        <v>Sauthamptonm</v>
      </c>
      <c r="K501" t="s">
        <v>22</v>
      </c>
      <c r="L501" s="2">
        <v>7.1806000000000001</v>
      </c>
      <c r="M501">
        <v>0</v>
      </c>
      <c r="N501">
        <v>0</v>
      </c>
      <c r="O501" t="s">
        <v>13</v>
      </c>
    </row>
    <row r="502" spans="1:15" x14ac:dyDescent="0.3">
      <c r="A502" s="1" t="s">
        <v>1054</v>
      </c>
      <c r="B502" t="s">
        <v>72</v>
      </c>
      <c r="C502" t="s">
        <v>1055</v>
      </c>
      <c r="D502" t="str">
        <f t="shared" si="7"/>
        <v>Male</v>
      </c>
      <c r="E502" t="s">
        <v>9</v>
      </c>
      <c r="F502" s="2">
        <v>25</v>
      </c>
      <c r="G502" s="2" t="str" cm="1">
        <f t="array" ref="G502">_xlfn.IFS(F502&lt;=8,"Child",F502&lt;=17,"Teen",F502&lt;=35,"Adult",F502&lt;=55,"Seniour Adult",F502&gt;=55,"Old Age")</f>
        <v>Adult</v>
      </c>
      <c r="H502" t="s">
        <v>18</v>
      </c>
      <c r="I502" t="s">
        <v>19</v>
      </c>
      <c r="J502" t="str" cm="1">
        <f t="array" ref="J502">_xlfn.IFS(I502="S","Sauthamptonm",I502="Q","Queentown",I502="C","Cherburg",I502="B","Cabin")</f>
        <v>Cherburg</v>
      </c>
      <c r="K502" t="s">
        <v>20</v>
      </c>
      <c r="L502" s="2">
        <v>15</v>
      </c>
      <c r="M502">
        <v>0</v>
      </c>
      <c r="N502">
        <v>0</v>
      </c>
      <c r="O502" t="s">
        <v>13</v>
      </c>
    </row>
    <row r="503" spans="1:15" x14ac:dyDescent="0.3">
      <c r="A503" s="1" t="s">
        <v>1056</v>
      </c>
      <c r="B503" t="s">
        <v>94</v>
      </c>
      <c r="C503" t="s">
        <v>1057</v>
      </c>
      <c r="D503" t="str">
        <f t="shared" si="7"/>
        <v>Male</v>
      </c>
      <c r="E503" t="s">
        <v>9</v>
      </c>
      <c r="F503" s="2">
        <v>1</v>
      </c>
      <c r="G503" s="2" t="str" cm="1">
        <f t="array" ref="G503">_xlfn.IFS(F503&lt;=8,"Child",F503&lt;=17,"Teen",F503&lt;=35,"Adult",F503&lt;=55,"Seniour Adult",F503&gt;=55,"Old Age")</f>
        <v>Child</v>
      </c>
      <c r="H503" t="s">
        <v>18</v>
      </c>
      <c r="I503" t="s">
        <v>19</v>
      </c>
      <c r="J503" t="str" cm="1">
        <f t="array" ref="J503">_xlfn.IFS(I503="S","Sauthamptonm",I503="Q","Queentown",I503="C","Cherburg",I503="B","Cabin")</f>
        <v>Cherburg</v>
      </c>
      <c r="K503" t="s">
        <v>20</v>
      </c>
      <c r="L503" s="2">
        <v>37</v>
      </c>
      <c r="M503">
        <v>0</v>
      </c>
      <c r="N503">
        <v>2</v>
      </c>
      <c r="O503" t="s">
        <v>16</v>
      </c>
    </row>
    <row r="504" spans="1:15" x14ac:dyDescent="0.3">
      <c r="A504" s="1" t="s">
        <v>1058</v>
      </c>
      <c r="B504" t="s">
        <v>72</v>
      </c>
      <c r="C504" t="s">
        <v>1059</v>
      </c>
      <c r="D504" t="str">
        <f t="shared" si="7"/>
        <v>Male</v>
      </c>
      <c r="E504" t="s">
        <v>9</v>
      </c>
      <c r="F504" s="2">
        <v>18</v>
      </c>
      <c r="G504" s="2" t="str" cm="1">
        <f t="array" ref="G504">_xlfn.IFS(F504&lt;=8,"Child",F504&lt;=17,"Teen",F504&lt;=35,"Adult",F504&lt;=55,"Seniour Adult",F504&gt;=55,"Old Age")</f>
        <v>Adult</v>
      </c>
      <c r="H504" t="s">
        <v>10</v>
      </c>
      <c r="I504" t="s">
        <v>19</v>
      </c>
      <c r="J504" t="str" cm="1">
        <f t="array" ref="J504">_xlfn.IFS(I504="S","Sauthamptonm",I504="Q","Queentown",I504="C","Cherburg",I504="B","Cabin")</f>
        <v>Cherburg</v>
      </c>
      <c r="K504" t="s">
        <v>21</v>
      </c>
      <c r="L504" s="2">
        <v>7.0407000000000002</v>
      </c>
      <c r="M504">
        <v>0</v>
      </c>
      <c r="N504">
        <v>0</v>
      </c>
      <c r="O504" t="s">
        <v>16</v>
      </c>
    </row>
    <row r="505" spans="1:15" x14ac:dyDescent="0.3">
      <c r="A505" s="1" t="s">
        <v>1060</v>
      </c>
      <c r="B505" t="s">
        <v>78</v>
      </c>
      <c r="C505" t="s">
        <v>262</v>
      </c>
      <c r="D505" t="str">
        <f t="shared" si="7"/>
        <v>Female</v>
      </c>
      <c r="E505" t="s">
        <v>14</v>
      </c>
      <c r="F505" s="2">
        <v>32</v>
      </c>
      <c r="G505" s="2" t="str" cm="1">
        <f t="array" ref="G505">_xlfn.IFS(F505&lt;=8,"Child",F505&lt;=17,"Teen",F505&lt;=35,"Adult",F505&lt;=55,"Seniour Adult",F505&gt;=55,"Old Age")</f>
        <v>Adult</v>
      </c>
      <c r="H505" t="s">
        <v>10</v>
      </c>
      <c r="I505" t="s">
        <v>36</v>
      </c>
      <c r="J505" t="str" cm="1">
        <f t="array" ref="J505">_xlfn.IFS(I505="S","Sauthamptonm",I505="Q","Queentown",I505="C","Cherburg",I505="B","Cabin")</f>
        <v>Queentown</v>
      </c>
      <c r="K505" t="s">
        <v>37</v>
      </c>
      <c r="L505" s="2">
        <v>7.15</v>
      </c>
      <c r="M505">
        <v>0</v>
      </c>
      <c r="N505">
        <v>0</v>
      </c>
      <c r="O505" t="s">
        <v>13</v>
      </c>
    </row>
    <row r="506" spans="1:15" x14ac:dyDescent="0.3">
      <c r="A506" s="1" t="s">
        <v>1061</v>
      </c>
      <c r="B506" t="s">
        <v>72</v>
      </c>
      <c r="C506" t="s">
        <v>1062</v>
      </c>
      <c r="D506" t="str">
        <f t="shared" si="7"/>
        <v>Male</v>
      </c>
      <c r="E506" t="s">
        <v>9</v>
      </c>
      <c r="F506" s="2">
        <v>30</v>
      </c>
      <c r="G506" s="2" t="str" cm="1">
        <f t="array" ref="G506">_xlfn.IFS(F506&lt;=8,"Child",F506&lt;=17,"Teen",F506&lt;=35,"Adult",F506&lt;=55,"Seniour Adult",F506&gt;=55,"Old Age")</f>
        <v>Adult</v>
      </c>
      <c r="H506" t="s">
        <v>18</v>
      </c>
      <c r="I506" t="s">
        <v>19</v>
      </c>
      <c r="J506" t="str" cm="1">
        <f t="array" ref="J506">_xlfn.IFS(I506="S","Sauthamptonm",I506="Q","Queentown",I506="C","Cherburg",I506="B","Cabin")</f>
        <v>Cherburg</v>
      </c>
      <c r="K506" t="s">
        <v>12</v>
      </c>
      <c r="L506" s="2">
        <v>15.1107</v>
      </c>
      <c r="M506">
        <v>0</v>
      </c>
      <c r="N506">
        <v>0</v>
      </c>
      <c r="O506" t="s">
        <v>13</v>
      </c>
    </row>
    <row r="507" spans="1:15" x14ac:dyDescent="0.3">
      <c r="A507" s="1" t="s">
        <v>1063</v>
      </c>
      <c r="B507" t="s">
        <v>78</v>
      </c>
      <c r="C507" t="s">
        <v>299</v>
      </c>
      <c r="D507" t="str">
        <f t="shared" si="7"/>
        <v>Female</v>
      </c>
      <c r="E507" t="s">
        <v>14</v>
      </c>
      <c r="F507" s="2">
        <v>28</v>
      </c>
      <c r="G507" s="2" t="str" cm="1">
        <f t="array" ref="G507">_xlfn.IFS(F507&lt;=8,"Child",F507&lt;=17,"Teen",F507&lt;=35,"Adult",F507&lt;=55,"Seniour Adult",F507&gt;=55,"Old Age")</f>
        <v>Adult</v>
      </c>
      <c r="H507" t="s">
        <v>10</v>
      </c>
      <c r="I507" t="s">
        <v>36</v>
      </c>
      <c r="J507" t="str" cm="1">
        <f t="array" ref="J507">_xlfn.IFS(I507="S","Sauthamptonm",I507="Q","Queentown",I507="C","Cherburg",I507="B","Cabin")</f>
        <v>Queentown</v>
      </c>
      <c r="K507" t="s">
        <v>37</v>
      </c>
      <c r="L507" s="2">
        <v>7.1409000000000002</v>
      </c>
      <c r="M507">
        <v>0</v>
      </c>
      <c r="N507">
        <v>0</v>
      </c>
      <c r="O507" t="s">
        <v>16</v>
      </c>
    </row>
    <row r="508" spans="1:15" x14ac:dyDescent="0.3">
      <c r="A508" s="1" t="s">
        <v>1064</v>
      </c>
      <c r="B508" t="s">
        <v>72</v>
      </c>
      <c r="C508" t="s">
        <v>1065</v>
      </c>
      <c r="D508" t="str">
        <f t="shared" si="7"/>
        <v>Male</v>
      </c>
      <c r="E508" t="s">
        <v>9</v>
      </c>
      <c r="F508" s="2">
        <v>25</v>
      </c>
      <c r="G508" s="2" t="str" cm="1">
        <f t="array" ref="G508">_xlfn.IFS(F508&lt;=8,"Child",F508&lt;=17,"Teen",F508&lt;=35,"Adult",F508&lt;=55,"Seniour Adult",F508&gt;=55,"Old Age")</f>
        <v>Adult</v>
      </c>
      <c r="H508" t="s">
        <v>10</v>
      </c>
      <c r="I508" t="s">
        <v>19</v>
      </c>
      <c r="J508" t="str" cm="1">
        <f t="array" ref="J508">_xlfn.IFS(I508="S","Sauthamptonm",I508="Q","Queentown",I508="C","Cherburg",I508="B","Cabin")</f>
        <v>Cherburg</v>
      </c>
      <c r="K508" t="s">
        <v>57</v>
      </c>
      <c r="L508" s="2">
        <v>7.0407000000000002</v>
      </c>
      <c r="M508">
        <v>0</v>
      </c>
      <c r="N508">
        <v>0</v>
      </c>
      <c r="O508" t="s">
        <v>13</v>
      </c>
    </row>
    <row r="509" spans="1:15" x14ac:dyDescent="0.3">
      <c r="A509" s="1" t="s">
        <v>1066</v>
      </c>
      <c r="B509" t="s">
        <v>72</v>
      </c>
      <c r="C509" t="s">
        <v>1067</v>
      </c>
      <c r="D509" t="str">
        <f t="shared" si="7"/>
        <v>Male</v>
      </c>
      <c r="E509" t="s">
        <v>9</v>
      </c>
      <c r="F509" s="2">
        <v>29</v>
      </c>
      <c r="G509" s="2" t="str" cm="1">
        <f t="array" ref="G509">_xlfn.IFS(F509&lt;=8,"Child",F509&lt;=17,"Teen",F509&lt;=35,"Adult",F509&lt;=55,"Seniour Adult",F509&gt;=55,"Old Age")</f>
        <v>Adult</v>
      </c>
      <c r="H509" t="s">
        <v>25</v>
      </c>
      <c r="I509" t="s">
        <v>19</v>
      </c>
      <c r="J509" t="str" cm="1">
        <f t="array" ref="J509">_xlfn.IFS(I509="S","Sauthamptonm",I509="Q","Queentown",I509="C","Cherburg",I509="B","Cabin")</f>
        <v>Cherburg</v>
      </c>
      <c r="K509" t="s">
        <v>20</v>
      </c>
      <c r="L509" s="2">
        <v>29.14</v>
      </c>
      <c r="M509">
        <v>0</v>
      </c>
      <c r="N509">
        <v>0</v>
      </c>
      <c r="O509" t="s">
        <v>16</v>
      </c>
    </row>
    <row r="510" spans="1:15" x14ac:dyDescent="0.3">
      <c r="A510" s="1" t="s">
        <v>1068</v>
      </c>
      <c r="B510" t="s">
        <v>72</v>
      </c>
      <c r="C510" t="s">
        <v>1069</v>
      </c>
      <c r="D510" t="str">
        <f t="shared" si="7"/>
        <v>Male</v>
      </c>
      <c r="E510" t="s">
        <v>9</v>
      </c>
      <c r="F510" s="2">
        <v>23</v>
      </c>
      <c r="G510" s="2" t="str" cm="1">
        <f t="array" ref="G510">_xlfn.IFS(F510&lt;=8,"Child",F510&lt;=17,"Teen",F510&lt;=35,"Adult",F510&lt;=55,"Seniour Adult",F510&gt;=55,"Old Age")</f>
        <v>Adult</v>
      </c>
      <c r="H510" t="s">
        <v>10</v>
      </c>
      <c r="I510" t="s">
        <v>11</v>
      </c>
      <c r="J510" t="str" cm="1">
        <f t="array" ref="J510">_xlfn.IFS(I510="S","Sauthamptonm",I510="Q","Queentown",I510="C","Cherburg",I510="B","Cabin")</f>
        <v>Sauthamptonm</v>
      </c>
      <c r="K510" t="s">
        <v>61</v>
      </c>
      <c r="L510" s="2">
        <v>7.1711</v>
      </c>
      <c r="M510">
        <v>0</v>
      </c>
      <c r="N510">
        <v>0</v>
      </c>
      <c r="O510" t="s">
        <v>13</v>
      </c>
    </row>
    <row r="511" spans="1:15" x14ac:dyDescent="0.3">
      <c r="A511" s="1" t="s">
        <v>1070</v>
      </c>
      <c r="B511" t="s">
        <v>72</v>
      </c>
      <c r="C511" t="s">
        <v>1071</v>
      </c>
      <c r="D511" t="str">
        <f t="shared" si="7"/>
        <v>Male</v>
      </c>
      <c r="E511" t="s">
        <v>9</v>
      </c>
      <c r="F511" s="2">
        <v>35</v>
      </c>
      <c r="G511" s="2" t="str" cm="1">
        <f t="array" ref="G511">_xlfn.IFS(F511&lt;=8,"Child",F511&lt;=17,"Teen",F511&lt;=35,"Adult",F511&lt;=55,"Seniour Adult",F511&gt;=55,"Old Age")</f>
        <v>Adult</v>
      </c>
      <c r="H511" t="s">
        <v>10</v>
      </c>
      <c r="I511" t="s">
        <v>11</v>
      </c>
      <c r="J511" t="str" cm="1">
        <f t="array" ref="J511">_xlfn.IFS(I511="S","Sauthamptonm",I511="Q","Queentown",I511="C","Cherburg",I511="B","Cabin")</f>
        <v>Sauthamptonm</v>
      </c>
      <c r="K511" t="s">
        <v>31</v>
      </c>
      <c r="L511" s="2">
        <v>7.1711</v>
      </c>
      <c r="M511">
        <v>0</v>
      </c>
      <c r="N511">
        <v>0</v>
      </c>
      <c r="O511" t="s">
        <v>13</v>
      </c>
    </row>
    <row r="512" spans="1:15" x14ac:dyDescent="0.3">
      <c r="A512" s="1" t="s">
        <v>1072</v>
      </c>
      <c r="B512" t="s">
        <v>72</v>
      </c>
      <c r="C512" t="s">
        <v>1073</v>
      </c>
      <c r="D512" t="str">
        <f t="shared" si="7"/>
        <v>Male</v>
      </c>
      <c r="E512" t="s">
        <v>9</v>
      </c>
      <c r="F512" s="2">
        <v>33</v>
      </c>
      <c r="G512" s="2" t="str" cm="1">
        <f t="array" ref="G512">_xlfn.IFS(F512&lt;=8,"Child",F512&lt;=17,"Teen",F512&lt;=35,"Adult",F512&lt;=55,"Seniour Adult",F512&gt;=55,"Old Age")</f>
        <v>Adult</v>
      </c>
      <c r="H512" t="s">
        <v>10</v>
      </c>
      <c r="I512" t="s">
        <v>19</v>
      </c>
      <c r="J512" t="str" cm="1">
        <f t="array" ref="J512">_xlfn.IFS(I512="S","Sauthamptonm",I512="Q","Queentown",I512="C","Cherburg",I512="B","Cabin")</f>
        <v>Cherburg</v>
      </c>
      <c r="K512" t="s">
        <v>55</v>
      </c>
      <c r="L512" s="2">
        <v>7.1711</v>
      </c>
      <c r="M512">
        <v>0</v>
      </c>
      <c r="N512">
        <v>0</v>
      </c>
      <c r="O512" t="s">
        <v>13</v>
      </c>
    </row>
    <row r="513" spans="1:15" x14ac:dyDescent="0.3">
      <c r="A513" s="1" t="s">
        <v>1074</v>
      </c>
      <c r="B513" t="s">
        <v>72</v>
      </c>
      <c r="C513" t="s">
        <v>1075</v>
      </c>
      <c r="D513" t="str">
        <f t="shared" si="7"/>
        <v>Male</v>
      </c>
      <c r="E513" t="s">
        <v>9</v>
      </c>
      <c r="F513" s="2">
        <v>18</v>
      </c>
      <c r="G513" s="2" t="str" cm="1">
        <f t="array" ref="G513">_xlfn.IFS(F513&lt;=8,"Child",F513&lt;=17,"Teen",F513&lt;=35,"Adult",F513&lt;=55,"Seniour Adult",F513&gt;=55,"Old Age")</f>
        <v>Adult</v>
      </c>
      <c r="H513" t="s">
        <v>25</v>
      </c>
      <c r="I513" t="s">
        <v>11</v>
      </c>
      <c r="J513" t="str" cm="1">
        <f t="array" ref="J513">_xlfn.IFS(I513="S","Sauthamptonm",I513="Q","Queentown",I513="C","Cherburg",I513="B","Cabin")</f>
        <v>Sauthamptonm</v>
      </c>
      <c r="K513" t="s">
        <v>12</v>
      </c>
      <c r="L513" s="2">
        <v>53.02</v>
      </c>
      <c r="M513">
        <v>1</v>
      </c>
      <c r="N513">
        <v>0</v>
      </c>
      <c r="O513" t="s">
        <v>13</v>
      </c>
    </row>
    <row r="514" spans="1:15" x14ac:dyDescent="0.3">
      <c r="A514" s="1" t="s">
        <v>1076</v>
      </c>
      <c r="B514" t="s">
        <v>72</v>
      </c>
      <c r="C514" t="s">
        <v>1077</v>
      </c>
      <c r="D514" t="str">
        <f t="shared" ref="D514:D577" si="8">PROPER(E514)</f>
        <v>Male</v>
      </c>
      <c r="E514" t="s">
        <v>9</v>
      </c>
      <c r="F514" s="2">
        <v>30</v>
      </c>
      <c r="G514" s="2" t="str" cm="1">
        <f t="array" ref="G514">_xlfn.IFS(F514&lt;=8,"Child",F514&lt;=17,"Teen",F514&lt;=35,"Adult",F514&lt;=55,"Seniour Adult",F514&gt;=55,"Old Age")</f>
        <v>Adult</v>
      </c>
      <c r="H514" t="s">
        <v>10</v>
      </c>
      <c r="I514" t="s">
        <v>19</v>
      </c>
      <c r="J514" t="str" cm="1">
        <f t="array" ref="J514">_xlfn.IFS(I514="S","Sauthamptonm",I514="Q","Queentown",I514="C","Cherburg",I514="B","Cabin")</f>
        <v>Cherburg</v>
      </c>
      <c r="K514" t="s">
        <v>31</v>
      </c>
      <c r="L514" s="2">
        <v>7.1711</v>
      </c>
      <c r="M514">
        <v>0</v>
      </c>
      <c r="N514">
        <v>0</v>
      </c>
      <c r="O514" t="s">
        <v>13</v>
      </c>
    </row>
    <row r="515" spans="1:15" x14ac:dyDescent="0.3">
      <c r="A515" s="1" t="s">
        <v>1078</v>
      </c>
      <c r="B515" t="s">
        <v>72</v>
      </c>
      <c r="C515" t="s">
        <v>229</v>
      </c>
      <c r="D515" t="str">
        <f t="shared" si="8"/>
        <v>Male</v>
      </c>
      <c r="E515" t="s">
        <v>9</v>
      </c>
      <c r="F515" s="2">
        <v>23</v>
      </c>
      <c r="G515" s="2" t="str" cm="1">
        <f t="array" ref="G515">_xlfn.IFS(F515&lt;=8,"Child",F515&lt;=17,"Teen",F515&lt;=35,"Adult",F515&lt;=55,"Seniour Adult",F515&gt;=55,"Old Age")</f>
        <v>Adult</v>
      </c>
      <c r="H515" t="s">
        <v>18</v>
      </c>
      <c r="I515" t="s">
        <v>11</v>
      </c>
      <c r="J515" t="str" cm="1">
        <f t="array" ref="J515">_xlfn.IFS(I515="S","Sauthamptonm",I515="Q","Queentown",I515="C","Cherburg",I515="B","Cabin")</f>
        <v>Sauthamptonm</v>
      </c>
      <c r="K515" t="s">
        <v>15</v>
      </c>
      <c r="L515" s="2">
        <v>13</v>
      </c>
      <c r="M515">
        <v>0</v>
      </c>
      <c r="N515">
        <v>0</v>
      </c>
      <c r="O515" t="s">
        <v>13</v>
      </c>
    </row>
    <row r="516" spans="1:15" x14ac:dyDescent="0.3">
      <c r="A516" s="1" t="s">
        <v>1079</v>
      </c>
      <c r="B516" t="s">
        <v>72</v>
      </c>
      <c r="C516" t="s">
        <v>1080</v>
      </c>
      <c r="D516" t="str">
        <f t="shared" si="8"/>
        <v>Male</v>
      </c>
      <c r="E516" t="s">
        <v>9</v>
      </c>
      <c r="F516" s="2">
        <v>36</v>
      </c>
      <c r="G516" s="2" t="str" cm="1">
        <f t="array" ref="G516">_xlfn.IFS(F516&lt;=8,"Child",F516&lt;=17,"Teen",F516&lt;=35,"Adult",F516&lt;=55,"Seniour Adult",F516&gt;=55,"Old Age")</f>
        <v>Seniour Adult</v>
      </c>
      <c r="H516" t="s">
        <v>18</v>
      </c>
      <c r="I516" t="s">
        <v>11</v>
      </c>
      <c r="J516" t="str" cm="1">
        <f t="array" ref="J516">_xlfn.IFS(I516="S","Sauthamptonm",I516="Q","Queentown",I516="C","Cherburg",I516="B","Cabin")</f>
        <v>Sauthamptonm</v>
      </c>
      <c r="K516" t="s">
        <v>15</v>
      </c>
      <c r="L516" s="2">
        <v>16</v>
      </c>
      <c r="M516">
        <v>0</v>
      </c>
      <c r="N516">
        <v>0</v>
      </c>
      <c r="O516" t="s">
        <v>13</v>
      </c>
    </row>
    <row r="517" spans="1:15" x14ac:dyDescent="0.3">
      <c r="A517" s="1" t="s">
        <v>1081</v>
      </c>
      <c r="B517" t="s">
        <v>1082</v>
      </c>
      <c r="C517" t="s">
        <v>1083</v>
      </c>
      <c r="D517" t="str">
        <f t="shared" si="8"/>
        <v>Female</v>
      </c>
      <c r="E517" t="s">
        <v>14</v>
      </c>
      <c r="F517" s="2">
        <v>24</v>
      </c>
      <c r="G517" s="2" t="str" cm="1">
        <f t="array" ref="G517">_xlfn.IFS(F517&lt;=8,"Child",F517&lt;=17,"Teen",F517&lt;=35,"Adult",F517&lt;=55,"Seniour Adult",F517&gt;=55,"Old Age")</f>
        <v>Adult</v>
      </c>
      <c r="H517" t="s">
        <v>25</v>
      </c>
      <c r="I517" t="s">
        <v>19</v>
      </c>
      <c r="J517" t="str" cm="1">
        <f t="array" ref="J517">_xlfn.IFS(I517="S","Sauthamptonm",I517="Q","Queentown",I517="C","Cherburg",I517="B","Cabin")</f>
        <v>Cherburg</v>
      </c>
      <c r="K517" t="s">
        <v>46</v>
      </c>
      <c r="L517" s="2">
        <v>49.100099999999998</v>
      </c>
      <c r="M517">
        <v>0</v>
      </c>
      <c r="N517">
        <v>0</v>
      </c>
      <c r="O517" t="s">
        <v>16</v>
      </c>
    </row>
    <row r="518" spans="1:15" x14ac:dyDescent="0.3">
      <c r="A518" s="1" t="s">
        <v>1084</v>
      </c>
      <c r="B518" t="s">
        <v>72</v>
      </c>
      <c r="C518" t="s">
        <v>1085</v>
      </c>
      <c r="D518" t="str">
        <f t="shared" si="8"/>
        <v>Male</v>
      </c>
      <c r="E518" t="s">
        <v>9</v>
      </c>
      <c r="F518" s="2">
        <v>46</v>
      </c>
      <c r="G518" s="2" t="str" cm="1">
        <f t="array" ref="G518">_xlfn.IFS(F518&lt;=8,"Child",F518&lt;=17,"Teen",F518&lt;=35,"Adult",F518&lt;=55,"Seniour Adult",F518&gt;=55,"Old Age")</f>
        <v>Seniour Adult</v>
      </c>
      <c r="H518" t="s">
        <v>25</v>
      </c>
      <c r="I518" t="s">
        <v>11</v>
      </c>
      <c r="J518" t="str" cm="1">
        <f t="array" ref="J518">_xlfn.IFS(I518="S","Sauthamptonm",I518="Q","Queentown",I518="C","Cherburg",I518="B","Cabin")</f>
        <v>Sauthamptonm</v>
      </c>
      <c r="K518" t="s">
        <v>26</v>
      </c>
      <c r="L518" s="2">
        <v>75.040999999999997</v>
      </c>
      <c r="M518">
        <v>0</v>
      </c>
      <c r="N518">
        <v>0</v>
      </c>
      <c r="O518" t="s">
        <v>13</v>
      </c>
    </row>
    <row r="519" spans="1:15" x14ac:dyDescent="0.3">
      <c r="A519" s="1" t="s">
        <v>1086</v>
      </c>
      <c r="B519" t="s">
        <v>78</v>
      </c>
      <c r="C519" t="s">
        <v>263</v>
      </c>
      <c r="D519" t="str">
        <f t="shared" si="8"/>
        <v>Female</v>
      </c>
      <c r="E519" t="s">
        <v>14</v>
      </c>
      <c r="F519" s="2">
        <v>25</v>
      </c>
      <c r="G519" s="2" t="str" cm="1">
        <f t="array" ref="G519">_xlfn.IFS(F519&lt;=8,"Child",F519&lt;=17,"Teen",F519&lt;=35,"Adult",F519&lt;=55,"Seniour Adult",F519&gt;=55,"Old Age")</f>
        <v>Adult</v>
      </c>
      <c r="H519" t="s">
        <v>10</v>
      </c>
      <c r="I519" t="s">
        <v>36</v>
      </c>
      <c r="J519" t="str" cm="1">
        <f t="array" ref="J519">_xlfn.IFS(I519="S","Sauthamptonm",I519="Q","Queentown",I519="C","Cherburg",I519="B","Cabin")</f>
        <v>Queentown</v>
      </c>
      <c r="K519" t="s">
        <v>37</v>
      </c>
      <c r="L519" s="2">
        <v>7.15</v>
      </c>
      <c r="M519">
        <v>0</v>
      </c>
      <c r="N519">
        <v>0</v>
      </c>
      <c r="O519" t="s">
        <v>16</v>
      </c>
    </row>
    <row r="520" spans="1:15" x14ac:dyDescent="0.3">
      <c r="A520" s="1" t="s">
        <v>1087</v>
      </c>
      <c r="B520" t="s">
        <v>72</v>
      </c>
      <c r="C520" t="s">
        <v>1088</v>
      </c>
      <c r="D520" t="str">
        <f t="shared" si="8"/>
        <v>Male</v>
      </c>
      <c r="E520" t="s">
        <v>9</v>
      </c>
      <c r="F520" s="2">
        <v>19</v>
      </c>
      <c r="G520" s="2" t="str" cm="1">
        <f t="array" ref="G520">_xlfn.IFS(F520&lt;=8,"Child",F520&lt;=17,"Teen",F520&lt;=35,"Adult",F520&lt;=55,"Seniour Adult",F520&gt;=55,"Old Age")</f>
        <v>Adult</v>
      </c>
      <c r="H520" t="s">
        <v>10</v>
      </c>
      <c r="I520" t="s">
        <v>36</v>
      </c>
      <c r="J520" t="str" cm="1">
        <f t="array" ref="J520">_xlfn.IFS(I520="S","Sauthamptonm",I520="Q","Queentown",I520="C","Cherburg",I520="B","Cabin")</f>
        <v>Queentown</v>
      </c>
      <c r="K520" t="s">
        <v>12</v>
      </c>
      <c r="L520" s="2">
        <v>7.15</v>
      </c>
      <c r="M520">
        <v>0</v>
      </c>
      <c r="N520">
        <v>0</v>
      </c>
      <c r="O520" t="s">
        <v>16</v>
      </c>
    </row>
    <row r="521" spans="1:15" x14ac:dyDescent="0.3">
      <c r="A521" s="1" t="s">
        <v>1089</v>
      </c>
      <c r="B521" t="s">
        <v>78</v>
      </c>
      <c r="C521" t="s">
        <v>490</v>
      </c>
      <c r="D521" t="str">
        <f t="shared" si="8"/>
        <v>Female</v>
      </c>
      <c r="E521" t="s">
        <v>14</v>
      </c>
      <c r="F521" s="2">
        <v>29</v>
      </c>
      <c r="G521" s="2" t="str" cm="1">
        <f t="array" ref="G521">_xlfn.IFS(F521&lt;=8,"Child",F521&lt;=17,"Teen",F521&lt;=35,"Adult",F521&lt;=55,"Seniour Adult",F521&gt;=55,"Old Age")</f>
        <v>Adult</v>
      </c>
      <c r="H521" t="s">
        <v>10</v>
      </c>
      <c r="I521" t="s">
        <v>36</v>
      </c>
      <c r="J521" t="str" cm="1">
        <f t="array" ref="J521">_xlfn.IFS(I521="S","Sauthamptonm",I521="Q","Queentown",I521="C","Cherburg",I521="B","Cabin")</f>
        <v>Queentown</v>
      </c>
      <c r="K521" t="s">
        <v>37</v>
      </c>
      <c r="L521" s="2">
        <v>23.05</v>
      </c>
      <c r="M521">
        <v>2</v>
      </c>
      <c r="N521">
        <v>0</v>
      </c>
      <c r="O521" t="s">
        <v>16</v>
      </c>
    </row>
    <row r="522" spans="1:15" x14ac:dyDescent="0.3">
      <c r="A522" s="1" t="s">
        <v>1091</v>
      </c>
      <c r="B522" t="s">
        <v>72</v>
      </c>
      <c r="C522" t="s">
        <v>1092</v>
      </c>
      <c r="D522" t="str">
        <f t="shared" si="8"/>
        <v>Male</v>
      </c>
      <c r="E522" t="s">
        <v>9</v>
      </c>
      <c r="F522" s="2">
        <v>32</v>
      </c>
      <c r="G522" s="2" t="str" cm="1">
        <f t="array" ref="G522">_xlfn.IFS(F522&lt;=8,"Child",F522&lt;=17,"Teen",F522&lt;=35,"Adult",F522&lt;=55,"Seniour Adult",F522&gt;=55,"Old Age")</f>
        <v>Adult</v>
      </c>
      <c r="H522" t="s">
        <v>18</v>
      </c>
      <c r="I522" t="s">
        <v>11</v>
      </c>
      <c r="J522" t="str" cm="1">
        <f t="array" ref="J522">_xlfn.IFS(I522="S","Sauthamptonm",I522="Q","Queentown",I522="C","Cherburg",I522="B","Cabin")</f>
        <v>Sauthamptonm</v>
      </c>
      <c r="K522" t="s">
        <v>48</v>
      </c>
      <c r="L522" s="2">
        <v>13.1</v>
      </c>
      <c r="M522">
        <v>0</v>
      </c>
      <c r="N522">
        <v>0</v>
      </c>
      <c r="O522" t="s">
        <v>13</v>
      </c>
    </row>
    <row r="523" spans="1:15" x14ac:dyDescent="0.3">
      <c r="A523" s="1" t="s">
        <v>1093</v>
      </c>
      <c r="B523" t="s">
        <v>72</v>
      </c>
      <c r="C523" t="s">
        <v>1094</v>
      </c>
      <c r="D523" t="str">
        <f t="shared" si="8"/>
        <v>Male</v>
      </c>
      <c r="E523" t="s">
        <v>9</v>
      </c>
      <c r="F523" s="2">
        <v>32</v>
      </c>
      <c r="G523" s="2" t="str" cm="1">
        <f t="array" ref="G523">_xlfn.IFS(F523&lt;=8,"Child",F523&lt;=17,"Teen",F523&lt;=35,"Adult",F523&lt;=55,"Seniour Adult",F523&gt;=55,"Old Age")</f>
        <v>Adult</v>
      </c>
      <c r="H523" t="s">
        <v>18</v>
      </c>
      <c r="I523" t="s">
        <v>11</v>
      </c>
      <c r="J523" t="str" cm="1">
        <f t="array" ref="J523">_xlfn.IFS(I523="S","Sauthamptonm",I523="Q","Queentown",I523="C","Cherburg",I523="B","Cabin")</f>
        <v>Sauthamptonm</v>
      </c>
      <c r="K523" t="s">
        <v>26</v>
      </c>
      <c r="L523" s="2">
        <v>13</v>
      </c>
      <c r="M523">
        <v>0</v>
      </c>
      <c r="N523">
        <v>0</v>
      </c>
      <c r="O523" t="s">
        <v>13</v>
      </c>
    </row>
    <row r="524" spans="1:15" x14ac:dyDescent="0.3">
      <c r="A524" s="1" t="s">
        <v>1095</v>
      </c>
      <c r="B524" t="s">
        <v>78</v>
      </c>
      <c r="C524" t="s">
        <v>273</v>
      </c>
      <c r="D524" t="str">
        <f t="shared" si="8"/>
        <v>Female</v>
      </c>
      <c r="E524" t="s">
        <v>14</v>
      </c>
      <c r="F524" s="2">
        <v>31</v>
      </c>
      <c r="G524" s="2" t="str" cm="1">
        <f t="array" ref="G524">_xlfn.IFS(F524&lt;=8,"Child",F524&lt;=17,"Teen",F524&lt;=35,"Adult",F524&lt;=55,"Seniour Adult",F524&gt;=55,"Old Age")</f>
        <v>Adult</v>
      </c>
      <c r="H524" t="s">
        <v>10</v>
      </c>
      <c r="I524" t="s">
        <v>36</v>
      </c>
      <c r="J524" t="str" cm="1">
        <f t="array" ref="J524">_xlfn.IFS(I524="S","Sauthamptonm",I524="Q","Queentown",I524="C","Cherburg",I524="B","Cabin")</f>
        <v>Queentown</v>
      </c>
      <c r="K524" t="s">
        <v>37</v>
      </c>
      <c r="L524" s="2">
        <v>7.1508000000000003</v>
      </c>
      <c r="M524">
        <v>0</v>
      </c>
      <c r="N524">
        <v>0</v>
      </c>
      <c r="O524" t="s">
        <v>16</v>
      </c>
    </row>
    <row r="525" spans="1:15" x14ac:dyDescent="0.3">
      <c r="A525" s="1" t="s">
        <v>1096</v>
      </c>
      <c r="B525" t="s">
        <v>72</v>
      </c>
      <c r="C525" t="s">
        <v>432</v>
      </c>
      <c r="D525" t="str">
        <f t="shared" si="8"/>
        <v>Male</v>
      </c>
      <c r="E525" t="s">
        <v>9</v>
      </c>
      <c r="F525" s="2">
        <v>20</v>
      </c>
      <c r="G525" s="2" t="str" cm="1">
        <f t="array" ref="G525">_xlfn.IFS(F525&lt;=8,"Child",F525&lt;=17,"Teen",F525&lt;=35,"Adult",F525&lt;=55,"Seniour Adult",F525&gt;=55,"Old Age")</f>
        <v>Adult</v>
      </c>
      <c r="H525" t="s">
        <v>10</v>
      </c>
      <c r="I525" t="s">
        <v>36</v>
      </c>
      <c r="J525" t="str" cm="1">
        <f t="array" ref="J525">_xlfn.IFS(I525="S","Sauthamptonm",I525="Q","Queentown",I525="C","Cherburg",I525="B","Cabin")</f>
        <v>Queentown</v>
      </c>
      <c r="K525" t="s">
        <v>37</v>
      </c>
      <c r="L525" s="2">
        <v>15.1</v>
      </c>
      <c r="M525">
        <v>0</v>
      </c>
      <c r="N525">
        <v>0</v>
      </c>
      <c r="O525" t="s">
        <v>13</v>
      </c>
    </row>
    <row r="526" spans="1:15" x14ac:dyDescent="0.3">
      <c r="A526" s="1" t="s">
        <v>1097</v>
      </c>
      <c r="B526" t="s">
        <v>72</v>
      </c>
      <c r="C526" t="s">
        <v>1098</v>
      </c>
      <c r="D526" t="str">
        <f t="shared" si="8"/>
        <v>Male</v>
      </c>
      <c r="E526" t="s">
        <v>9</v>
      </c>
      <c r="F526" s="2">
        <v>35</v>
      </c>
      <c r="G526" s="2" t="str" cm="1">
        <f t="array" ref="G526">_xlfn.IFS(F526&lt;=8,"Child",F526&lt;=17,"Teen",F526&lt;=35,"Adult",F526&lt;=55,"Seniour Adult",F526&gt;=55,"Old Age")</f>
        <v>Adult</v>
      </c>
      <c r="H526" t="s">
        <v>25</v>
      </c>
      <c r="I526" t="s">
        <v>11</v>
      </c>
      <c r="J526" t="str" cm="1">
        <f t="array" ref="J526">_xlfn.IFS(I526="S","Sauthamptonm",I526="Q","Queentown",I526="C","Cherburg",I526="B","Cabin")</f>
        <v>Sauthamptonm</v>
      </c>
      <c r="K526" t="s">
        <v>37</v>
      </c>
      <c r="L526" s="2">
        <v>26.050899999999999</v>
      </c>
      <c r="M526">
        <v>0</v>
      </c>
      <c r="N526">
        <v>0</v>
      </c>
      <c r="O526" t="s">
        <v>16</v>
      </c>
    </row>
    <row r="527" spans="1:15" x14ac:dyDescent="0.3">
      <c r="A527" s="1" t="s">
        <v>1099</v>
      </c>
      <c r="B527" t="s">
        <v>1100</v>
      </c>
      <c r="C527" t="s">
        <v>262</v>
      </c>
      <c r="D527" t="str">
        <f t="shared" si="8"/>
        <v>Female</v>
      </c>
      <c r="E527" t="s">
        <v>14</v>
      </c>
      <c r="F527" s="2">
        <v>22</v>
      </c>
      <c r="G527" s="2" t="str" cm="1">
        <f t="array" ref="G527">_xlfn.IFS(F527&lt;=8,"Child",F527&lt;=17,"Teen",F527&lt;=35,"Adult",F527&lt;=55,"Seniour Adult",F527&gt;=55,"Old Age")</f>
        <v>Adult</v>
      </c>
      <c r="H527" t="s">
        <v>10</v>
      </c>
      <c r="I527" t="s">
        <v>36</v>
      </c>
      <c r="J527" t="str" cm="1">
        <f t="array" ref="J527">_xlfn.IFS(I527="S","Sauthamptonm",I527="Q","Queentown",I527="C","Cherburg",I527="B","Cabin")</f>
        <v>Queentown</v>
      </c>
      <c r="K527" t="s">
        <v>37</v>
      </c>
      <c r="L527" s="2">
        <v>7.1707000000000001</v>
      </c>
      <c r="M527">
        <v>0</v>
      </c>
      <c r="N527">
        <v>0</v>
      </c>
      <c r="O527" t="s">
        <v>16</v>
      </c>
    </row>
    <row r="528" spans="1:15" x14ac:dyDescent="0.3">
      <c r="A528" s="1" t="s">
        <v>1101</v>
      </c>
      <c r="B528" t="s">
        <v>78</v>
      </c>
      <c r="C528" t="s">
        <v>1102</v>
      </c>
      <c r="D528" t="str">
        <f t="shared" si="8"/>
        <v>Female</v>
      </c>
      <c r="E528" t="s">
        <v>14</v>
      </c>
      <c r="F528" s="2">
        <v>17</v>
      </c>
      <c r="G528" s="2" t="str" cm="1">
        <f t="array" ref="G528">_xlfn.IFS(F528&lt;=8,"Child",F528&lt;=17,"Teen",F528&lt;=35,"Adult",F528&lt;=55,"Seniour Adult",F528&gt;=55,"Old Age")</f>
        <v>Teen</v>
      </c>
      <c r="H528" t="s">
        <v>10</v>
      </c>
      <c r="I528" t="s">
        <v>36</v>
      </c>
      <c r="J528" t="str" cm="1">
        <f t="array" ref="J528">_xlfn.IFS(I528="S","Sauthamptonm",I528="Q","Queentown",I528="C","Cherburg",I528="B","Cabin")</f>
        <v>Queentown</v>
      </c>
      <c r="K528" t="s">
        <v>12</v>
      </c>
      <c r="L528" s="2">
        <v>8</v>
      </c>
      <c r="M528">
        <v>0</v>
      </c>
      <c r="N528">
        <v>0</v>
      </c>
      <c r="O528" t="s">
        <v>16</v>
      </c>
    </row>
    <row r="529" spans="1:15" x14ac:dyDescent="0.3">
      <c r="A529" s="1" t="s">
        <v>1103</v>
      </c>
      <c r="B529" t="s">
        <v>72</v>
      </c>
      <c r="C529" t="s">
        <v>1104</v>
      </c>
      <c r="D529" t="str">
        <f t="shared" si="8"/>
        <v>Male</v>
      </c>
      <c r="E529" t="s">
        <v>9</v>
      </c>
      <c r="F529" s="2">
        <v>46</v>
      </c>
      <c r="G529" s="2" t="str" cm="1">
        <f t="array" ref="G529">_xlfn.IFS(F529&lt;=8,"Child",F529&lt;=17,"Teen",F529&lt;=35,"Adult",F529&lt;=55,"Seniour Adult",F529&gt;=55,"Old Age")</f>
        <v>Seniour Adult</v>
      </c>
      <c r="H529" t="s">
        <v>18</v>
      </c>
      <c r="I529" t="s">
        <v>11</v>
      </c>
      <c r="J529" t="str" cm="1">
        <f t="array" ref="J529">_xlfn.IFS(I529="S","Sauthamptonm",I529="Q","Queentown",I529="C","Cherburg",I529="B","Cabin")</f>
        <v>Sauthamptonm</v>
      </c>
      <c r="K529" t="s">
        <v>33</v>
      </c>
      <c r="L529" s="2">
        <v>26</v>
      </c>
      <c r="M529">
        <v>0</v>
      </c>
      <c r="N529">
        <v>0</v>
      </c>
      <c r="O529" t="s">
        <v>13</v>
      </c>
    </row>
    <row r="530" spans="1:15" x14ac:dyDescent="0.3">
      <c r="A530" s="1" t="s">
        <v>1105</v>
      </c>
      <c r="B530" t="s">
        <v>72</v>
      </c>
      <c r="C530" t="s">
        <v>646</v>
      </c>
      <c r="D530" t="str">
        <f t="shared" si="8"/>
        <v>Male</v>
      </c>
      <c r="E530" t="s">
        <v>9</v>
      </c>
      <c r="F530" s="2">
        <v>19</v>
      </c>
      <c r="G530" s="2" t="str" cm="1">
        <f t="array" ref="G530">_xlfn.IFS(F530&lt;=8,"Child",F530&lt;=17,"Teen",F530&lt;=35,"Adult",F530&lt;=55,"Seniour Adult",F530&gt;=55,"Old Age")</f>
        <v>Adult</v>
      </c>
      <c r="H530" t="s">
        <v>10</v>
      </c>
      <c r="I530" t="s">
        <v>36</v>
      </c>
      <c r="J530" t="str" cm="1">
        <f t="array" ref="J530">_xlfn.IFS(I530="S","Sauthamptonm",I530="Q","Queentown",I530="C","Cherburg",I530="B","Cabin")</f>
        <v>Queentown</v>
      </c>
      <c r="K530" t="s">
        <v>37</v>
      </c>
      <c r="L530" s="2">
        <v>7.15</v>
      </c>
      <c r="M530">
        <v>0</v>
      </c>
      <c r="N530">
        <v>0</v>
      </c>
      <c r="O530" t="s">
        <v>13</v>
      </c>
    </row>
    <row r="531" spans="1:15" x14ac:dyDescent="0.3">
      <c r="A531" s="1" t="s">
        <v>1106</v>
      </c>
      <c r="B531" t="s">
        <v>72</v>
      </c>
      <c r="C531" t="s">
        <v>1107</v>
      </c>
      <c r="D531" t="str">
        <f t="shared" si="8"/>
        <v>Male</v>
      </c>
      <c r="E531" t="s">
        <v>9</v>
      </c>
      <c r="F531" s="2">
        <v>27</v>
      </c>
      <c r="G531" s="2" t="str" cm="1">
        <f t="array" ref="G531">_xlfn.IFS(F531&lt;=8,"Child",F531&lt;=17,"Teen",F531&lt;=35,"Adult",F531&lt;=55,"Seniour Adult",F531&gt;=55,"Old Age")</f>
        <v>Adult</v>
      </c>
      <c r="H531" t="s">
        <v>10</v>
      </c>
      <c r="I531" t="s">
        <v>11</v>
      </c>
      <c r="J531" t="str" cm="1">
        <f t="array" ref="J531">_xlfn.IFS(I531="S","Sauthamptonm",I531="Q","Queentown",I531="C","Cherburg",I531="B","Cabin")</f>
        <v>Sauthamptonm</v>
      </c>
      <c r="K531" t="s">
        <v>15</v>
      </c>
      <c r="L531" s="2">
        <v>16.02</v>
      </c>
      <c r="M531">
        <v>1</v>
      </c>
      <c r="N531">
        <v>0</v>
      </c>
      <c r="O531" t="s">
        <v>13</v>
      </c>
    </row>
    <row r="532" spans="1:15" x14ac:dyDescent="0.3">
      <c r="A532" s="1" t="s">
        <v>1108</v>
      </c>
      <c r="B532" t="s">
        <v>78</v>
      </c>
      <c r="C532" t="s">
        <v>532</v>
      </c>
      <c r="D532" t="str">
        <f t="shared" si="8"/>
        <v>Female</v>
      </c>
      <c r="E532" t="s">
        <v>14</v>
      </c>
      <c r="F532" s="2">
        <v>32</v>
      </c>
      <c r="G532" s="2" t="str" cm="1">
        <f t="array" ref="G532">_xlfn.IFS(F532&lt;=8,"Child",F532&lt;=17,"Teen",F532&lt;=35,"Adult",F532&lt;=55,"Seniour Adult",F532&gt;=55,"Old Age")</f>
        <v>Adult</v>
      </c>
      <c r="H532" t="s">
        <v>10</v>
      </c>
      <c r="I532" t="s">
        <v>36</v>
      </c>
      <c r="J532" t="str" cm="1">
        <f t="array" ref="J532">_xlfn.IFS(I532="S","Sauthamptonm",I532="Q","Queentown",I532="C","Cherburg",I532="B","Cabin")</f>
        <v>Queentown</v>
      </c>
      <c r="K532" t="s">
        <v>37</v>
      </c>
      <c r="L532" s="2">
        <v>7.15</v>
      </c>
      <c r="M532">
        <v>0</v>
      </c>
      <c r="N532">
        <v>0</v>
      </c>
      <c r="O532" t="s">
        <v>13</v>
      </c>
    </row>
    <row r="533" spans="1:15" x14ac:dyDescent="0.3">
      <c r="A533" s="1" t="s">
        <v>1109</v>
      </c>
      <c r="B533" t="s">
        <v>76</v>
      </c>
      <c r="C533" t="s">
        <v>1110</v>
      </c>
      <c r="D533" t="str">
        <f t="shared" si="8"/>
        <v>Female</v>
      </c>
      <c r="E533" t="s">
        <v>14</v>
      </c>
      <c r="F533" s="2">
        <v>62</v>
      </c>
      <c r="G533" s="2" t="str" cm="1">
        <f t="array" ref="G533">_xlfn.IFS(F533&lt;=8,"Child",F533&lt;=17,"Teen",F533&lt;=35,"Adult",F533&lt;=55,"Seniour Adult",F533&gt;=55,"Old Age")</f>
        <v>Old Age</v>
      </c>
      <c r="H533" t="s">
        <v>10</v>
      </c>
      <c r="I533" t="s">
        <v>11</v>
      </c>
      <c r="J533" t="str" cm="1">
        <f t="array" ref="J533">_xlfn.IFS(I533="S","Sauthamptonm",I533="Q","Queentown",I533="C","Cherburg",I533="B","Cabin")</f>
        <v>Sauthamptonm</v>
      </c>
      <c r="K533" t="s">
        <v>15</v>
      </c>
      <c r="L533" s="2">
        <v>8.01</v>
      </c>
      <c r="M533">
        <v>0</v>
      </c>
      <c r="N533">
        <v>0</v>
      </c>
      <c r="O533" t="s">
        <v>13</v>
      </c>
    </row>
    <row r="534" spans="1:15" x14ac:dyDescent="0.3">
      <c r="A534" s="1" t="s">
        <v>1111</v>
      </c>
      <c r="B534" t="s">
        <v>72</v>
      </c>
      <c r="C534" t="s">
        <v>90</v>
      </c>
      <c r="D534" t="str">
        <f t="shared" si="8"/>
        <v>Male</v>
      </c>
      <c r="E534" t="s">
        <v>9</v>
      </c>
      <c r="F534" s="2">
        <v>22</v>
      </c>
      <c r="G534" s="2" t="str" cm="1">
        <f t="array" ref="G534">_xlfn.IFS(F534&lt;=8,"Child",F534&lt;=17,"Teen",F534&lt;=35,"Adult",F534&lt;=55,"Seniour Adult",F534&gt;=55,"Old Age")</f>
        <v>Adult</v>
      </c>
      <c r="H534" t="s">
        <v>10</v>
      </c>
      <c r="I534" t="s">
        <v>36</v>
      </c>
      <c r="J534" t="str" cm="1">
        <f t="array" ref="J534">_xlfn.IFS(I534="S","Sauthamptonm",I534="Q","Queentown",I534="C","Cherburg",I534="B","Cabin")</f>
        <v>Queentown</v>
      </c>
      <c r="K534" t="s">
        <v>37</v>
      </c>
      <c r="L534" s="2">
        <v>7.15</v>
      </c>
      <c r="M534">
        <v>0</v>
      </c>
      <c r="N534">
        <v>0</v>
      </c>
      <c r="O534" t="s">
        <v>13</v>
      </c>
    </row>
    <row r="535" spans="1:15" x14ac:dyDescent="0.3">
      <c r="A535" s="1" t="s">
        <v>1112</v>
      </c>
      <c r="B535" t="s">
        <v>76</v>
      </c>
      <c r="C535" t="s">
        <v>1113</v>
      </c>
      <c r="D535" t="str">
        <f t="shared" si="8"/>
        <v>Female</v>
      </c>
      <c r="E535" t="s">
        <v>14</v>
      </c>
      <c r="F535" s="2">
        <v>32</v>
      </c>
      <c r="G535" s="2" t="str" cm="1">
        <f t="array" ref="G535">_xlfn.IFS(F535&lt;=8,"Child",F535&lt;=17,"Teen",F535&lt;=35,"Adult",F535&lt;=55,"Seniour Adult",F535&gt;=55,"Old Age")</f>
        <v>Adult</v>
      </c>
      <c r="H535" t="s">
        <v>10</v>
      </c>
      <c r="I535" t="s">
        <v>11</v>
      </c>
      <c r="J535" t="str" cm="1">
        <f t="array" ref="J535">_xlfn.IFS(I535="S","Sauthamptonm",I535="Q","Queentown",I535="C","Cherburg",I535="B","Cabin")</f>
        <v>Sauthamptonm</v>
      </c>
      <c r="K535" t="s">
        <v>15</v>
      </c>
      <c r="L535" s="2">
        <v>8.01</v>
      </c>
      <c r="M535">
        <v>0</v>
      </c>
      <c r="N535">
        <v>0</v>
      </c>
      <c r="O535" t="s">
        <v>13</v>
      </c>
    </row>
    <row r="536" spans="1:15" x14ac:dyDescent="0.3">
      <c r="A536" s="1" t="s">
        <v>1114</v>
      </c>
      <c r="B536" t="s">
        <v>78</v>
      </c>
      <c r="C536" t="s">
        <v>1115</v>
      </c>
      <c r="D536" t="str">
        <f t="shared" si="8"/>
        <v>Female</v>
      </c>
      <c r="E536" t="s">
        <v>14</v>
      </c>
      <c r="F536" s="2">
        <v>13</v>
      </c>
      <c r="G536" s="2" t="str" cm="1">
        <f t="array" ref="G536">_xlfn.IFS(F536&lt;=8,"Child",F536&lt;=17,"Teen",F536&lt;=35,"Adult",F536&lt;=55,"Seniour Adult",F536&gt;=55,"Old Age")</f>
        <v>Teen</v>
      </c>
      <c r="H536" t="s">
        <v>18</v>
      </c>
      <c r="I536" t="s">
        <v>11</v>
      </c>
      <c r="J536" t="str" cm="1">
        <f t="array" ref="J536">_xlfn.IFS(I536="S","Sauthamptonm",I536="Q","Queentown",I536="C","Cherburg",I536="B","Cabin")</f>
        <v>Sauthamptonm</v>
      </c>
      <c r="K536" t="s">
        <v>15</v>
      </c>
      <c r="L536" s="2">
        <v>19.100000000000001</v>
      </c>
      <c r="M536">
        <v>0</v>
      </c>
      <c r="N536">
        <v>1</v>
      </c>
      <c r="O536" t="s">
        <v>16</v>
      </c>
    </row>
    <row r="537" spans="1:15" x14ac:dyDescent="0.3">
      <c r="A537" s="1" t="s">
        <v>1117</v>
      </c>
      <c r="B537" t="s">
        <v>72</v>
      </c>
      <c r="C537" t="s">
        <v>229</v>
      </c>
      <c r="D537" t="str">
        <f t="shared" si="8"/>
        <v>Male</v>
      </c>
      <c r="E537" t="s">
        <v>9</v>
      </c>
      <c r="F537" s="2">
        <v>19</v>
      </c>
      <c r="G537" s="2" t="str" cm="1">
        <f t="array" ref="G537">_xlfn.IFS(F537&lt;=8,"Child",F537&lt;=17,"Teen",F537&lt;=35,"Adult",F537&lt;=55,"Seniour Adult",F537&gt;=55,"Old Age")</f>
        <v>Adult</v>
      </c>
      <c r="H537" t="s">
        <v>18</v>
      </c>
      <c r="I537" t="s">
        <v>11</v>
      </c>
      <c r="J537" t="str" cm="1">
        <f t="array" ref="J537">_xlfn.IFS(I537="S","Sauthamptonm",I537="Q","Queentown",I537="C","Cherburg",I537="B","Cabin")</f>
        <v>Sauthamptonm</v>
      </c>
      <c r="K537" t="s">
        <v>15</v>
      </c>
      <c r="L537" s="2">
        <v>10.1</v>
      </c>
      <c r="M537">
        <v>0</v>
      </c>
      <c r="N537">
        <v>0</v>
      </c>
      <c r="O537" t="s">
        <v>16</v>
      </c>
    </row>
    <row r="538" spans="1:15" x14ac:dyDescent="0.3">
      <c r="A538" s="1" t="s">
        <v>1118</v>
      </c>
      <c r="B538" t="s">
        <v>72</v>
      </c>
      <c r="C538" t="s">
        <v>1119</v>
      </c>
      <c r="D538" t="str">
        <f t="shared" si="8"/>
        <v>Male</v>
      </c>
      <c r="E538" t="s">
        <v>9</v>
      </c>
      <c r="F538" s="2">
        <v>48</v>
      </c>
      <c r="G538" s="2" t="str" cm="1">
        <f t="array" ref="G538">_xlfn.IFS(F538&lt;=8,"Child",F538&lt;=17,"Teen",F538&lt;=35,"Adult",F538&lt;=55,"Seniour Adult",F538&gt;=55,"Old Age")</f>
        <v>Seniour Adult</v>
      </c>
      <c r="H538" t="s">
        <v>10</v>
      </c>
      <c r="I538" t="s">
        <v>11</v>
      </c>
      <c r="J538" t="str" cm="1">
        <f t="array" ref="J538">_xlfn.IFS(I538="S","Sauthamptonm",I538="Q","Queentown",I538="C","Cherburg",I538="B","Cabin")</f>
        <v>Sauthamptonm</v>
      </c>
      <c r="K538" t="s">
        <v>38</v>
      </c>
      <c r="L538" s="2">
        <v>8.01</v>
      </c>
      <c r="M538">
        <v>0</v>
      </c>
      <c r="N538">
        <v>0</v>
      </c>
      <c r="O538" t="s">
        <v>13</v>
      </c>
    </row>
    <row r="539" spans="1:15" x14ac:dyDescent="0.3">
      <c r="A539" s="1" t="s">
        <v>1120</v>
      </c>
      <c r="B539" t="s">
        <v>72</v>
      </c>
      <c r="C539" t="s">
        <v>932</v>
      </c>
      <c r="D539" t="str">
        <f t="shared" si="8"/>
        <v>Male</v>
      </c>
      <c r="E539" t="s">
        <v>9</v>
      </c>
      <c r="F539" s="2">
        <v>28</v>
      </c>
      <c r="G539" s="2" t="str" cm="1">
        <f t="array" ref="G539">_xlfn.IFS(F539&lt;=8,"Child",F539&lt;=17,"Teen",F539&lt;=35,"Adult",F539&lt;=55,"Seniour Adult",F539&gt;=55,"Old Age")</f>
        <v>Adult</v>
      </c>
      <c r="H539" t="s">
        <v>10</v>
      </c>
      <c r="I539" t="s">
        <v>36</v>
      </c>
      <c r="J539" t="str" cm="1">
        <f t="array" ref="J539">_xlfn.IFS(I539="S","Sauthamptonm",I539="Q","Queentown",I539="C","Cherburg",I539="B","Cabin")</f>
        <v>Queentown</v>
      </c>
      <c r="K539" t="s">
        <v>37</v>
      </c>
      <c r="L539" s="2">
        <v>7.15</v>
      </c>
      <c r="M539">
        <v>0</v>
      </c>
      <c r="N539">
        <v>0</v>
      </c>
      <c r="O539" t="s">
        <v>13</v>
      </c>
    </row>
    <row r="540" spans="1:15" x14ac:dyDescent="0.3">
      <c r="A540" s="1" t="s">
        <v>1121</v>
      </c>
      <c r="B540" t="s">
        <v>72</v>
      </c>
      <c r="C540" t="s">
        <v>866</v>
      </c>
      <c r="D540" t="str">
        <f t="shared" si="8"/>
        <v>Male</v>
      </c>
      <c r="E540" t="s">
        <v>9</v>
      </c>
      <c r="F540" s="2">
        <v>31</v>
      </c>
      <c r="G540" s="2" t="str" cm="1">
        <f t="array" ref="G540">_xlfn.IFS(F540&lt;=8,"Child",F540&lt;=17,"Teen",F540&lt;=35,"Adult",F540&lt;=55,"Seniour Adult",F540&gt;=55,"Old Age")</f>
        <v>Adult</v>
      </c>
      <c r="H540" t="s">
        <v>18</v>
      </c>
      <c r="I540" t="s">
        <v>11</v>
      </c>
      <c r="J540" t="str" cm="1">
        <f t="array" ref="J540">_xlfn.IFS(I540="S","Sauthamptonm",I540="Q","Queentown",I540="C","Cherburg",I540="B","Cabin")</f>
        <v>Sauthamptonm</v>
      </c>
      <c r="K540" t="s">
        <v>15</v>
      </c>
      <c r="L540" s="2">
        <v>13</v>
      </c>
      <c r="M540">
        <v>0</v>
      </c>
      <c r="N540">
        <v>0</v>
      </c>
      <c r="O540" t="s">
        <v>13</v>
      </c>
    </row>
    <row r="541" spans="1:15" x14ac:dyDescent="0.3">
      <c r="A541" s="1" t="s">
        <v>1122</v>
      </c>
      <c r="B541" t="s">
        <v>72</v>
      </c>
      <c r="C541" t="s">
        <v>1123</v>
      </c>
      <c r="D541" t="str">
        <f t="shared" si="8"/>
        <v>Male</v>
      </c>
      <c r="E541" t="s">
        <v>9</v>
      </c>
      <c r="F541" s="2">
        <v>21</v>
      </c>
      <c r="G541" s="2" t="str" cm="1">
        <f t="array" ref="G541">_xlfn.IFS(F541&lt;=8,"Child",F541&lt;=17,"Teen",F541&lt;=35,"Adult",F541&lt;=55,"Seniour Adult",F541&gt;=55,"Old Age")</f>
        <v>Adult</v>
      </c>
      <c r="H541" t="s">
        <v>10</v>
      </c>
      <c r="I541" t="s">
        <v>11</v>
      </c>
      <c r="J541" t="str" cm="1">
        <f t="array" ref="J541">_xlfn.IFS(I541="S","Sauthamptonm",I541="Q","Queentown",I541="C","Cherburg",I541="B","Cabin")</f>
        <v>Sauthamptonm</v>
      </c>
      <c r="K541" t="s">
        <v>17</v>
      </c>
      <c r="L541" s="2">
        <v>7.1505999999999998</v>
      </c>
      <c r="M541">
        <v>0</v>
      </c>
      <c r="N541">
        <v>0</v>
      </c>
      <c r="O541" t="s">
        <v>16</v>
      </c>
    </row>
    <row r="542" spans="1:15" x14ac:dyDescent="0.3">
      <c r="A542" s="1" t="s">
        <v>1124</v>
      </c>
      <c r="B542" t="s">
        <v>72</v>
      </c>
      <c r="C542" t="s">
        <v>1125</v>
      </c>
      <c r="D542" t="str">
        <f t="shared" si="8"/>
        <v>Male</v>
      </c>
      <c r="E542" t="s">
        <v>9</v>
      </c>
      <c r="F542" s="2">
        <v>28</v>
      </c>
      <c r="G542" s="2" t="str" cm="1">
        <f t="array" ref="G542">_xlfn.IFS(F542&lt;=8,"Child",F542&lt;=17,"Teen",F542&lt;=35,"Adult",F542&lt;=55,"Seniour Adult",F542&gt;=55,"Old Age")</f>
        <v>Adult</v>
      </c>
      <c r="H542" t="s">
        <v>10</v>
      </c>
      <c r="I542" t="s">
        <v>11</v>
      </c>
      <c r="J542" t="str" cm="1">
        <f t="array" ref="J542">_xlfn.IFS(I542="S","Sauthamptonm",I542="Q","Queentown",I542="C","Cherburg",I542="B","Cabin")</f>
        <v>Sauthamptonm</v>
      </c>
      <c r="K542" t="s">
        <v>31</v>
      </c>
      <c r="L542" s="2">
        <v>7.1711</v>
      </c>
      <c r="M542">
        <v>0</v>
      </c>
      <c r="N542">
        <v>0</v>
      </c>
      <c r="O542" t="s">
        <v>13</v>
      </c>
    </row>
    <row r="543" spans="1:15" x14ac:dyDescent="0.3">
      <c r="A543" s="1" t="s">
        <v>1126</v>
      </c>
      <c r="B543" t="s">
        <v>72</v>
      </c>
      <c r="C543" t="s">
        <v>561</v>
      </c>
      <c r="D543" t="str">
        <f t="shared" si="8"/>
        <v>Male</v>
      </c>
      <c r="E543" t="s">
        <v>9</v>
      </c>
      <c r="F543" s="2">
        <v>23</v>
      </c>
      <c r="G543" s="2" t="str" cm="1">
        <f t="array" ref="G543">_xlfn.IFS(F543&lt;=8,"Child",F543&lt;=17,"Teen",F543&lt;=35,"Adult",F543&lt;=55,"Seniour Adult",F543&gt;=55,"Old Age")</f>
        <v>Adult</v>
      </c>
      <c r="H543" t="s">
        <v>10</v>
      </c>
      <c r="I543" t="s">
        <v>11</v>
      </c>
      <c r="J543" t="str" cm="1">
        <f t="array" ref="J543">_xlfn.IFS(I543="S","Sauthamptonm",I543="Q","Queentown",I543="C","Cherburg",I543="B","Cabin")</f>
        <v>Sauthamptonm</v>
      </c>
      <c r="K543" t="s">
        <v>15</v>
      </c>
      <c r="L543" s="2">
        <v>8.01</v>
      </c>
      <c r="M543">
        <v>0</v>
      </c>
      <c r="N543">
        <v>0</v>
      </c>
      <c r="O543" t="s">
        <v>13</v>
      </c>
    </row>
    <row r="544" spans="1:15" x14ac:dyDescent="0.3">
      <c r="A544" s="1" t="s">
        <v>1127</v>
      </c>
      <c r="B544" t="s">
        <v>72</v>
      </c>
      <c r="C544" t="s">
        <v>1128</v>
      </c>
      <c r="D544" t="str">
        <f t="shared" si="8"/>
        <v>Male</v>
      </c>
      <c r="E544" t="s">
        <v>9</v>
      </c>
      <c r="F544" s="2">
        <v>65</v>
      </c>
      <c r="G544" s="2" t="str" cm="1">
        <f t="array" ref="G544">_xlfn.IFS(F544&lt;=8,"Child",F544&lt;=17,"Teen",F544&lt;=35,"Adult",F544&lt;=55,"Seniour Adult",F544&gt;=55,"Old Age")</f>
        <v>Old Age</v>
      </c>
      <c r="H544" t="s">
        <v>25</v>
      </c>
      <c r="I544" t="s">
        <v>19</v>
      </c>
      <c r="J544" t="str" cm="1">
        <f t="array" ref="J544">_xlfn.IFS(I544="S","Sauthamptonm",I544="Q","Queentown",I544="C","Cherburg",I544="B","Cabin")</f>
        <v>Cherburg</v>
      </c>
      <c r="K544" t="s">
        <v>12</v>
      </c>
      <c r="L544" s="2">
        <v>26.11</v>
      </c>
      <c r="M544">
        <v>0</v>
      </c>
      <c r="N544">
        <v>0</v>
      </c>
      <c r="O544" t="s">
        <v>13</v>
      </c>
    </row>
    <row r="545" spans="1:15" x14ac:dyDescent="0.3">
      <c r="A545" s="1" t="s">
        <v>1129</v>
      </c>
      <c r="B545" t="s">
        <v>72</v>
      </c>
      <c r="C545" t="s">
        <v>1130</v>
      </c>
      <c r="D545" t="str">
        <f t="shared" si="8"/>
        <v>Male</v>
      </c>
      <c r="E545" t="s">
        <v>9</v>
      </c>
      <c r="F545" s="2">
        <v>48</v>
      </c>
      <c r="G545" s="2" t="str" cm="1">
        <f t="array" ref="G545">_xlfn.IFS(F545&lt;=8,"Child",F545&lt;=17,"Teen",F545&lt;=35,"Adult",F545&lt;=55,"Seniour Adult",F545&gt;=55,"Old Age")</f>
        <v>Seniour Adult</v>
      </c>
      <c r="H545" t="s">
        <v>18</v>
      </c>
      <c r="I545" t="s">
        <v>11</v>
      </c>
      <c r="J545" t="str" cm="1">
        <f t="array" ref="J545">_xlfn.IFS(I545="S","Sauthamptonm",I545="Q","Queentown",I545="C","Cherburg",I545="B","Cabin")</f>
        <v>Sauthamptonm</v>
      </c>
      <c r="K545" t="s">
        <v>27</v>
      </c>
      <c r="L545" s="2">
        <v>13</v>
      </c>
      <c r="M545">
        <v>0</v>
      </c>
      <c r="N545">
        <v>0</v>
      </c>
      <c r="O545" t="s">
        <v>13</v>
      </c>
    </row>
    <row r="546" spans="1:15" x14ac:dyDescent="0.3">
      <c r="A546" s="1" t="s">
        <v>1131</v>
      </c>
      <c r="B546" t="s">
        <v>287</v>
      </c>
      <c r="C546" t="s">
        <v>779</v>
      </c>
      <c r="D546" t="str">
        <f t="shared" si="8"/>
        <v>Male</v>
      </c>
      <c r="E546" t="s">
        <v>9</v>
      </c>
      <c r="F546" s="2">
        <v>44</v>
      </c>
      <c r="G546" s="2" t="str" cm="1">
        <f t="array" ref="G546">_xlfn.IFS(F546&lt;=8,"Child",F546&lt;=17,"Teen",F546&lt;=35,"Adult",F546&lt;=55,"Seniour Adult",F546&gt;=55,"Old Age")</f>
        <v>Seniour Adult</v>
      </c>
      <c r="H546" t="s">
        <v>25</v>
      </c>
      <c r="I546" t="s">
        <v>36</v>
      </c>
      <c r="J546" t="str" cm="1">
        <f t="array" ref="J546">_xlfn.IFS(I546="S","Sauthamptonm",I546="Q","Queentown",I546="C","Cherburg",I546="B","Cabin")</f>
        <v>Queentown</v>
      </c>
      <c r="K546" t="s">
        <v>12</v>
      </c>
      <c r="L546" s="2">
        <v>90</v>
      </c>
      <c r="M546">
        <v>2</v>
      </c>
      <c r="N546">
        <v>0</v>
      </c>
      <c r="O546" t="s">
        <v>13</v>
      </c>
    </row>
    <row r="547" spans="1:15" x14ac:dyDescent="0.3">
      <c r="A547" s="1" t="s">
        <v>1132</v>
      </c>
      <c r="B547" t="s">
        <v>72</v>
      </c>
      <c r="C547" t="s">
        <v>443</v>
      </c>
      <c r="D547" t="str">
        <f t="shared" si="8"/>
        <v>Male</v>
      </c>
      <c r="E547" t="s">
        <v>9</v>
      </c>
      <c r="F547" s="2">
        <v>24</v>
      </c>
      <c r="G547" s="2" t="str" cm="1">
        <f t="array" ref="G547">_xlfn.IFS(F547&lt;=8,"Child",F547&lt;=17,"Teen",F547&lt;=35,"Adult",F547&lt;=55,"Seniour Adult",F547&gt;=55,"Old Age")</f>
        <v>Adult</v>
      </c>
      <c r="H547" t="s">
        <v>10</v>
      </c>
      <c r="I547" t="s">
        <v>11</v>
      </c>
      <c r="J547" t="str" cm="1">
        <f t="array" ref="J547">_xlfn.IFS(I547="S","Sauthamptonm",I547="Q","Queentown",I547="C","Cherburg",I547="B","Cabin")</f>
        <v>Sauthamptonm</v>
      </c>
      <c r="K547" t="s">
        <v>15</v>
      </c>
      <c r="L547" s="2">
        <v>7.1711</v>
      </c>
      <c r="M547">
        <v>0</v>
      </c>
      <c r="N547">
        <v>0</v>
      </c>
      <c r="O547" t="s">
        <v>13</v>
      </c>
    </row>
    <row r="548" spans="1:15" x14ac:dyDescent="0.3">
      <c r="A548" s="1" t="s">
        <v>1133</v>
      </c>
      <c r="B548" t="s">
        <v>72</v>
      </c>
      <c r="C548" t="s">
        <v>1134</v>
      </c>
      <c r="D548" t="str">
        <f t="shared" si="8"/>
        <v>Male</v>
      </c>
      <c r="E548" t="s">
        <v>9</v>
      </c>
      <c r="F548" s="2">
        <v>21</v>
      </c>
      <c r="G548" s="2" t="str" cm="1">
        <f t="array" ref="G548">_xlfn.IFS(F548&lt;=8,"Child",F548&lt;=17,"Teen",F548&lt;=35,"Adult",F548&lt;=55,"Seniour Adult",F548&gt;=55,"Old Age")</f>
        <v>Adult</v>
      </c>
      <c r="H548" t="s">
        <v>10</v>
      </c>
      <c r="I548" t="s">
        <v>11</v>
      </c>
      <c r="J548" t="str" cm="1">
        <f t="array" ref="J548">_xlfn.IFS(I548="S","Sauthamptonm",I548="Q","Queentown",I548="C","Cherburg",I548="B","Cabin")</f>
        <v>Sauthamptonm</v>
      </c>
      <c r="K548" t="s">
        <v>31</v>
      </c>
      <c r="L548" s="2">
        <v>7.1711</v>
      </c>
      <c r="M548">
        <v>0</v>
      </c>
      <c r="N548">
        <v>0</v>
      </c>
      <c r="O548" t="s">
        <v>13</v>
      </c>
    </row>
    <row r="549" spans="1:15" x14ac:dyDescent="0.3">
      <c r="A549" s="1" t="s">
        <v>1135</v>
      </c>
      <c r="B549" t="s">
        <v>72</v>
      </c>
      <c r="C549" t="s">
        <v>1136</v>
      </c>
      <c r="D549" t="str">
        <f t="shared" si="8"/>
        <v>Male</v>
      </c>
      <c r="E549" t="s">
        <v>9</v>
      </c>
      <c r="F549" s="2">
        <v>72</v>
      </c>
      <c r="G549" s="2" t="str" cm="1">
        <f t="array" ref="G549">_xlfn.IFS(F549&lt;=8,"Child",F549&lt;=17,"Teen",F549&lt;=35,"Adult",F549&lt;=55,"Seniour Adult",F549&gt;=55,"Old Age")</f>
        <v>Old Age</v>
      </c>
      <c r="H549" t="s">
        <v>18</v>
      </c>
      <c r="I549" t="s">
        <v>11</v>
      </c>
      <c r="J549" t="str" cm="1">
        <f t="array" ref="J549">_xlfn.IFS(I549="S","Sauthamptonm",I549="Q","Queentown",I549="C","Cherburg",I549="B","Cabin")</f>
        <v>Sauthamptonm</v>
      </c>
      <c r="K549" t="s">
        <v>15</v>
      </c>
      <c r="L549" s="2">
        <v>10.1</v>
      </c>
      <c r="M549">
        <v>0</v>
      </c>
      <c r="N549">
        <v>0</v>
      </c>
      <c r="O549" t="s">
        <v>13</v>
      </c>
    </row>
    <row r="550" spans="1:15" x14ac:dyDescent="0.3">
      <c r="A550" s="1" t="s">
        <v>1137</v>
      </c>
      <c r="B550" t="s">
        <v>72</v>
      </c>
      <c r="C550" t="s">
        <v>1138</v>
      </c>
      <c r="D550" t="str">
        <f t="shared" si="8"/>
        <v>Male</v>
      </c>
      <c r="E550" t="s">
        <v>9</v>
      </c>
      <c r="F550" s="2">
        <v>23</v>
      </c>
      <c r="G550" s="2" t="str" cm="1">
        <f t="array" ref="G550">_xlfn.IFS(F550&lt;=8,"Child",F550&lt;=17,"Teen",F550&lt;=35,"Adult",F550&lt;=55,"Seniour Adult",F550&gt;=55,"Old Age")</f>
        <v>Adult</v>
      </c>
      <c r="H550" t="s">
        <v>10</v>
      </c>
      <c r="I550" t="s">
        <v>11</v>
      </c>
      <c r="J550" t="str" cm="1">
        <f t="array" ref="J550">_xlfn.IFS(I550="S","Sauthamptonm",I550="Q","Queentown",I550="C","Cherburg",I550="B","Cabin")</f>
        <v>Sauthamptonm</v>
      </c>
      <c r="K550" t="s">
        <v>15</v>
      </c>
      <c r="L550" s="2">
        <v>7.1711</v>
      </c>
      <c r="M550">
        <v>0</v>
      </c>
      <c r="N550">
        <v>0</v>
      </c>
      <c r="O550" t="s">
        <v>13</v>
      </c>
    </row>
    <row r="551" spans="1:15" x14ac:dyDescent="0.3">
      <c r="A551" s="1" t="s">
        <v>1139</v>
      </c>
      <c r="B551" t="s">
        <v>78</v>
      </c>
      <c r="C551" t="s">
        <v>187</v>
      </c>
      <c r="D551" t="str">
        <f t="shared" si="8"/>
        <v>Female</v>
      </c>
      <c r="E551" t="s">
        <v>14</v>
      </c>
      <c r="F551" s="2">
        <v>23</v>
      </c>
      <c r="G551" s="2" t="str" cm="1">
        <f t="array" ref="G551">_xlfn.IFS(F551&lt;=8,"Child",F551&lt;=17,"Teen",F551&lt;=35,"Adult",F551&lt;=55,"Seniour Adult",F551&gt;=55,"Old Age")</f>
        <v>Adult</v>
      </c>
      <c r="H551" t="s">
        <v>10</v>
      </c>
      <c r="I551" t="s">
        <v>36</v>
      </c>
      <c r="J551" t="str" cm="1">
        <f t="array" ref="J551">_xlfn.IFS(I551="S","Sauthamptonm",I551="Q","Queentown",I551="C","Cherburg",I551="B","Cabin")</f>
        <v>Queentown</v>
      </c>
      <c r="K551" t="s">
        <v>37</v>
      </c>
      <c r="L551" s="2">
        <v>7.1707000000000001</v>
      </c>
      <c r="M551">
        <v>0</v>
      </c>
      <c r="N551">
        <v>0</v>
      </c>
      <c r="O551" t="s">
        <v>16</v>
      </c>
    </row>
    <row r="552" spans="1:15" x14ac:dyDescent="0.3">
      <c r="A552" s="1" t="s">
        <v>1140</v>
      </c>
      <c r="B552" t="s">
        <v>72</v>
      </c>
      <c r="C552" t="s">
        <v>1141</v>
      </c>
      <c r="D552" t="str">
        <f t="shared" si="8"/>
        <v>Male</v>
      </c>
      <c r="E552" t="s">
        <v>9</v>
      </c>
      <c r="F552" s="2">
        <v>30</v>
      </c>
      <c r="G552" s="2" t="str" cm="1">
        <f t="array" ref="G552">_xlfn.IFS(F552&lt;=8,"Child",F552&lt;=17,"Teen",F552&lt;=35,"Adult",F552&lt;=55,"Seniour Adult",F552&gt;=55,"Old Age")</f>
        <v>Adult</v>
      </c>
      <c r="H552" t="s">
        <v>25</v>
      </c>
      <c r="I552" t="s">
        <v>19</v>
      </c>
      <c r="J552" t="str" cm="1">
        <f t="array" ref="J552">_xlfn.IFS(I552="S","Sauthamptonm",I552="Q","Queentown",I552="C","Cherburg",I552="B","Cabin")</f>
        <v>Cherburg</v>
      </c>
      <c r="K552" t="s">
        <v>12</v>
      </c>
      <c r="L552" s="2">
        <v>57.15</v>
      </c>
      <c r="M552">
        <v>1</v>
      </c>
      <c r="N552">
        <v>0</v>
      </c>
      <c r="O552" t="s">
        <v>16</v>
      </c>
    </row>
    <row r="553" spans="1:15" x14ac:dyDescent="0.3">
      <c r="A553" s="1" t="s">
        <v>1142</v>
      </c>
      <c r="B553" t="s">
        <v>72</v>
      </c>
      <c r="C553" t="s">
        <v>1143</v>
      </c>
      <c r="D553" t="str">
        <f t="shared" si="8"/>
        <v>Male</v>
      </c>
      <c r="E553" t="s">
        <v>9</v>
      </c>
      <c r="F553" s="2">
        <v>27</v>
      </c>
      <c r="G553" s="2" t="str" cm="1">
        <f t="array" ref="G553">_xlfn.IFS(F553&lt;=8,"Child",F553&lt;=17,"Teen",F553&lt;=35,"Adult",F553&lt;=55,"Seniour Adult",F553&gt;=55,"Old Age")</f>
        <v>Adult</v>
      </c>
      <c r="H553" t="s">
        <v>10</v>
      </c>
      <c r="I553" t="s">
        <v>11</v>
      </c>
      <c r="J553" t="str" cm="1">
        <f t="array" ref="J553">_xlfn.IFS(I553="S","Sauthamptonm",I553="Q","Queentown",I553="C","Cherburg",I553="B","Cabin")</f>
        <v>Sauthamptonm</v>
      </c>
      <c r="K553" t="s">
        <v>17</v>
      </c>
      <c r="L553" s="2">
        <v>7.13</v>
      </c>
      <c r="M553">
        <v>0</v>
      </c>
      <c r="N553">
        <v>0</v>
      </c>
      <c r="O553" t="s">
        <v>13</v>
      </c>
    </row>
    <row r="554" spans="1:15" x14ac:dyDescent="0.3">
      <c r="A554" s="1" t="s">
        <v>1144</v>
      </c>
      <c r="B554" t="s">
        <v>72</v>
      </c>
      <c r="C554" t="s">
        <v>1145</v>
      </c>
      <c r="D554" t="str">
        <f t="shared" si="8"/>
        <v>Male</v>
      </c>
      <c r="E554" t="s">
        <v>9</v>
      </c>
      <c r="F554" s="2">
        <v>55</v>
      </c>
      <c r="G554" s="2" t="str" cm="1">
        <f t="array" ref="G554">_xlfn.IFS(F554&lt;=8,"Child",F554&lt;=17,"Teen",F554&lt;=35,"Adult",F554&lt;=55,"Seniour Adult",F554&gt;=55,"Old Age")</f>
        <v>Seniour Adult</v>
      </c>
      <c r="H554" t="s">
        <v>25</v>
      </c>
      <c r="I554" t="s">
        <v>11</v>
      </c>
      <c r="J554" t="str" cm="1">
        <f t="array" ref="J554">_xlfn.IFS(I554="S","Sauthamptonm",I554="Q","Queentown",I554="C","Cherburg",I554="B","Cabin")</f>
        <v>Sauthamptonm</v>
      </c>
      <c r="K554" t="s">
        <v>26</v>
      </c>
      <c r="L554" s="2">
        <v>30.1</v>
      </c>
      <c r="M554">
        <v>0</v>
      </c>
      <c r="N554">
        <v>0</v>
      </c>
      <c r="O554" t="s">
        <v>13</v>
      </c>
    </row>
    <row r="555" spans="1:15" x14ac:dyDescent="0.3">
      <c r="A555" s="1" t="s">
        <v>1146</v>
      </c>
      <c r="B555" t="s">
        <v>323</v>
      </c>
      <c r="C555" t="s">
        <v>1147</v>
      </c>
      <c r="D555" t="str">
        <f t="shared" si="8"/>
        <v>Male</v>
      </c>
      <c r="E555" t="s">
        <v>9</v>
      </c>
      <c r="F555" s="2">
        <v>27</v>
      </c>
      <c r="G555" s="2" t="str" cm="1">
        <f t="array" ref="G555">_xlfn.IFS(F555&lt;=8,"Child",F555&lt;=17,"Teen",F555&lt;=35,"Adult",F555&lt;=55,"Seniour Adult",F555&gt;=55,"Old Age")</f>
        <v>Adult</v>
      </c>
      <c r="H555" t="s">
        <v>18</v>
      </c>
      <c r="I555" t="s">
        <v>11</v>
      </c>
      <c r="J555" t="str" cm="1">
        <f t="array" ref="J555">_xlfn.IFS(I555="S","Sauthamptonm",I555="Q","Queentown",I555="C","Cherburg",I555="B","Cabin")</f>
        <v>Sauthamptonm</v>
      </c>
      <c r="K555" t="s">
        <v>15</v>
      </c>
      <c r="L555" s="2">
        <v>13</v>
      </c>
      <c r="M555">
        <v>0</v>
      </c>
      <c r="N555">
        <v>0</v>
      </c>
      <c r="O555" t="s">
        <v>13</v>
      </c>
    </row>
    <row r="556" spans="1:15" x14ac:dyDescent="0.3">
      <c r="A556" s="1" t="s">
        <v>1148</v>
      </c>
      <c r="B556" t="s">
        <v>72</v>
      </c>
      <c r="C556" t="s">
        <v>1149</v>
      </c>
      <c r="D556" t="str">
        <f t="shared" si="8"/>
        <v>Male</v>
      </c>
      <c r="E556" t="s">
        <v>9</v>
      </c>
      <c r="F556" s="2">
        <v>47</v>
      </c>
      <c r="G556" s="2" t="str" cm="1">
        <f t="array" ref="G556">_xlfn.IFS(F556&lt;=8,"Child",F556&lt;=17,"Teen",F556&lt;=35,"Adult",F556&lt;=55,"Seniour Adult",F556&gt;=55,"Old Age")</f>
        <v>Seniour Adult</v>
      </c>
      <c r="H556" t="s">
        <v>25</v>
      </c>
      <c r="I556" t="s">
        <v>11</v>
      </c>
      <c r="J556" t="str" cm="1">
        <f t="array" ref="J556">_xlfn.IFS(I556="S","Sauthamptonm",I556="Q","Queentown",I556="C","Cherburg",I556="B","Cabin")</f>
        <v>Sauthamptonm</v>
      </c>
      <c r="K556" t="s">
        <v>12</v>
      </c>
      <c r="L556" s="2">
        <v>42.08</v>
      </c>
      <c r="M556">
        <v>0</v>
      </c>
      <c r="N556">
        <v>0</v>
      </c>
      <c r="O556" t="s">
        <v>13</v>
      </c>
    </row>
    <row r="557" spans="1:15" x14ac:dyDescent="0.3">
      <c r="A557" s="1" t="s">
        <v>1150</v>
      </c>
      <c r="B557" t="s">
        <v>94</v>
      </c>
      <c r="C557" t="s">
        <v>1151</v>
      </c>
      <c r="D557" t="str">
        <f t="shared" si="8"/>
        <v>Male</v>
      </c>
      <c r="E557" t="s">
        <v>9</v>
      </c>
      <c r="F557" s="2">
        <v>7</v>
      </c>
      <c r="G557" s="2" t="str" cm="1">
        <f t="array" ref="G557">_xlfn.IFS(F557&lt;=8,"Child",F557&lt;=17,"Teen",F557&lt;=35,"Adult",F557&lt;=55,"Seniour Adult",F557&gt;=55,"Old Age")</f>
        <v>Child</v>
      </c>
      <c r="H557" t="s">
        <v>10</v>
      </c>
      <c r="I557" t="s">
        <v>11</v>
      </c>
      <c r="J557" t="str" cm="1">
        <f t="array" ref="J557">_xlfn.IFS(I557="S","Sauthamptonm",I557="Q","Queentown",I557="C","Cherburg",I557="B","Cabin")</f>
        <v>Sauthamptonm</v>
      </c>
      <c r="K557" t="s">
        <v>15</v>
      </c>
      <c r="L557" s="2">
        <v>12.0906</v>
      </c>
      <c r="M557">
        <v>0</v>
      </c>
      <c r="N557">
        <v>1</v>
      </c>
      <c r="O557" t="s">
        <v>16</v>
      </c>
    </row>
    <row r="558" spans="1:15" x14ac:dyDescent="0.3">
      <c r="A558" s="1" t="s">
        <v>1152</v>
      </c>
      <c r="B558" t="s">
        <v>78</v>
      </c>
      <c r="C558" t="s">
        <v>532</v>
      </c>
      <c r="D558" t="str">
        <f t="shared" si="8"/>
        <v>Female</v>
      </c>
      <c r="E558" t="s">
        <v>14</v>
      </c>
      <c r="F558" s="2">
        <v>28</v>
      </c>
      <c r="G558" s="2" t="str" cm="1">
        <f t="array" ref="G558">_xlfn.IFS(F558&lt;=8,"Child",F558&lt;=17,"Teen",F558&lt;=35,"Adult",F558&lt;=55,"Seniour Adult",F558&gt;=55,"Old Age")</f>
        <v>Adult</v>
      </c>
      <c r="H558" t="s">
        <v>10</v>
      </c>
      <c r="I558" t="s">
        <v>36</v>
      </c>
      <c r="J558" t="str" cm="1">
        <f t="array" ref="J558">_xlfn.IFS(I558="S","Sauthamptonm",I558="Q","Queentown",I558="C","Cherburg",I558="B","Cabin")</f>
        <v>Queentown</v>
      </c>
      <c r="K558" t="s">
        <v>37</v>
      </c>
      <c r="L558" s="2">
        <v>24.03</v>
      </c>
      <c r="M558">
        <v>1</v>
      </c>
      <c r="N558">
        <v>0</v>
      </c>
      <c r="O558" t="s">
        <v>16</v>
      </c>
    </row>
    <row r="559" spans="1:15" x14ac:dyDescent="0.3">
      <c r="A559" s="1" t="s">
        <v>1153</v>
      </c>
      <c r="B559" t="s">
        <v>287</v>
      </c>
      <c r="C559" t="s">
        <v>345</v>
      </c>
      <c r="D559" t="str">
        <f t="shared" si="8"/>
        <v>Male</v>
      </c>
      <c r="E559" t="s">
        <v>9</v>
      </c>
      <c r="F559" s="2">
        <v>54</v>
      </c>
      <c r="G559" s="2" t="str" cm="1">
        <f t="array" ref="G559">_xlfn.IFS(F559&lt;=8,"Child",F559&lt;=17,"Teen",F559&lt;=35,"Adult",F559&lt;=55,"Seniour Adult",F559&gt;=55,"Old Age")</f>
        <v>Seniour Adult</v>
      </c>
      <c r="H559" t="s">
        <v>18</v>
      </c>
      <c r="I559" t="s">
        <v>11</v>
      </c>
      <c r="J559" t="str" cm="1">
        <f t="array" ref="J559">_xlfn.IFS(I559="S","Sauthamptonm",I559="Q","Queentown",I559="C","Cherburg",I559="B","Cabin")</f>
        <v>Sauthamptonm</v>
      </c>
      <c r="K559" t="s">
        <v>12</v>
      </c>
      <c r="L559" s="2">
        <v>14</v>
      </c>
      <c r="M559">
        <v>0</v>
      </c>
      <c r="N559">
        <v>0</v>
      </c>
      <c r="O559" t="s">
        <v>13</v>
      </c>
    </row>
    <row r="560" spans="1:15" x14ac:dyDescent="0.3">
      <c r="A560" s="1" t="s">
        <v>1154</v>
      </c>
      <c r="B560" t="s">
        <v>72</v>
      </c>
      <c r="C560" t="s">
        <v>1155</v>
      </c>
      <c r="D560" t="str">
        <f t="shared" si="8"/>
        <v>Male</v>
      </c>
      <c r="E560" t="s">
        <v>9</v>
      </c>
      <c r="F560" s="2">
        <v>38</v>
      </c>
      <c r="G560" s="2" t="str" cm="1">
        <f t="array" ref="G560">_xlfn.IFS(F560&lt;=8,"Child",F560&lt;=17,"Teen",F560&lt;=35,"Adult",F560&lt;=55,"Seniour Adult",F560&gt;=55,"Old Age")</f>
        <v>Seniour Adult</v>
      </c>
      <c r="H560" t="s">
        <v>18</v>
      </c>
      <c r="I560" t="s">
        <v>11</v>
      </c>
      <c r="J560" t="str" cm="1">
        <f t="array" ref="J560">_xlfn.IFS(I560="S","Sauthamptonm",I560="Q","Queentown",I560="C","Cherburg",I560="B","Cabin")</f>
        <v>Sauthamptonm</v>
      </c>
      <c r="K560" t="s">
        <v>15</v>
      </c>
      <c r="L560" s="2">
        <v>26</v>
      </c>
      <c r="M560">
        <v>0</v>
      </c>
      <c r="N560">
        <v>0</v>
      </c>
      <c r="O560" t="s">
        <v>13</v>
      </c>
    </row>
    <row r="561" spans="1:15" x14ac:dyDescent="0.3">
      <c r="A561" s="1" t="s">
        <v>1156</v>
      </c>
      <c r="B561" t="s">
        <v>72</v>
      </c>
      <c r="C561" t="s">
        <v>1157</v>
      </c>
      <c r="D561" t="str">
        <f t="shared" si="8"/>
        <v>Male</v>
      </c>
      <c r="E561" t="s">
        <v>9</v>
      </c>
      <c r="F561" s="2">
        <v>30</v>
      </c>
      <c r="G561" s="2" t="str" cm="1">
        <f t="array" ref="G561">_xlfn.IFS(F561&lt;=8,"Child",F561&lt;=17,"Teen",F561&lt;=35,"Adult",F561&lt;=55,"Seniour Adult",F561&gt;=55,"Old Age")</f>
        <v>Adult</v>
      </c>
      <c r="H561" t="s">
        <v>10</v>
      </c>
      <c r="I561" t="s">
        <v>36</v>
      </c>
      <c r="J561" t="str" cm="1">
        <f t="array" ref="J561">_xlfn.IFS(I561="S","Sauthamptonm",I561="Q","Queentown",I561="C","Cherburg",I561="B","Cabin")</f>
        <v>Queentown</v>
      </c>
      <c r="K561" t="s">
        <v>37</v>
      </c>
      <c r="L561" s="2">
        <v>7.15</v>
      </c>
      <c r="M561">
        <v>0</v>
      </c>
      <c r="N561">
        <v>0</v>
      </c>
      <c r="O561" t="s">
        <v>13</v>
      </c>
    </row>
    <row r="562" spans="1:15" x14ac:dyDescent="0.3">
      <c r="A562" s="1" t="s">
        <v>1158</v>
      </c>
      <c r="B562" t="s">
        <v>72</v>
      </c>
      <c r="C562" t="s">
        <v>1159</v>
      </c>
      <c r="D562" t="str">
        <f t="shared" si="8"/>
        <v>Male</v>
      </c>
      <c r="E562" t="s">
        <v>9</v>
      </c>
      <c r="F562" s="2">
        <v>29</v>
      </c>
      <c r="G562" s="2" t="str" cm="1">
        <f t="array" ref="G562">_xlfn.IFS(F562&lt;=8,"Child",F562&lt;=17,"Teen",F562&lt;=35,"Adult",F562&lt;=55,"Seniour Adult",F562&gt;=55,"Old Age")</f>
        <v>Adult</v>
      </c>
      <c r="H562" t="s">
        <v>10</v>
      </c>
      <c r="I562" t="s">
        <v>11</v>
      </c>
      <c r="J562" t="str" cm="1">
        <f t="array" ref="J562">_xlfn.IFS(I562="S","Sauthamptonm",I562="Q","Queentown",I562="C","Cherburg",I562="B","Cabin")</f>
        <v>Sauthamptonm</v>
      </c>
      <c r="K562" t="s">
        <v>17</v>
      </c>
      <c r="L562" s="2">
        <v>7.1505999999999998</v>
      </c>
      <c r="M562">
        <v>0</v>
      </c>
      <c r="N562">
        <v>0</v>
      </c>
      <c r="O562" t="s">
        <v>16</v>
      </c>
    </row>
    <row r="563" spans="1:15" x14ac:dyDescent="0.3">
      <c r="A563" s="1" t="s">
        <v>1160</v>
      </c>
      <c r="B563" t="s">
        <v>76</v>
      </c>
      <c r="C563" t="s">
        <v>1161</v>
      </c>
      <c r="D563" t="str">
        <f t="shared" si="8"/>
        <v>Female</v>
      </c>
      <c r="E563" t="s">
        <v>14</v>
      </c>
      <c r="F563" s="2">
        <v>35</v>
      </c>
      <c r="G563" s="2" t="str" cm="1">
        <f t="array" ref="G563">_xlfn.IFS(F563&lt;=8,"Child",F563&lt;=17,"Teen",F563&lt;=35,"Adult",F563&lt;=55,"Seniour Adult",F563&gt;=55,"Old Age")</f>
        <v>Adult</v>
      </c>
      <c r="H563" t="s">
        <v>10</v>
      </c>
      <c r="I563" t="s">
        <v>19</v>
      </c>
      <c r="J563" t="str" cm="1">
        <f t="array" ref="J563">_xlfn.IFS(I563="S","Sauthamptonm",I563="Q","Queentown",I563="C","Cherburg",I563="B","Cabin")</f>
        <v>Cherburg</v>
      </c>
      <c r="K563" t="s">
        <v>21</v>
      </c>
      <c r="L563" s="2">
        <v>7.0407000000000002</v>
      </c>
      <c r="M563">
        <v>0</v>
      </c>
      <c r="N563">
        <v>0</v>
      </c>
      <c r="O563" t="s">
        <v>16</v>
      </c>
    </row>
    <row r="564" spans="1:15" x14ac:dyDescent="0.3">
      <c r="A564" s="1" t="s">
        <v>1162</v>
      </c>
      <c r="B564" t="s">
        <v>72</v>
      </c>
      <c r="C564" t="s">
        <v>1163</v>
      </c>
      <c r="D564" t="str">
        <f t="shared" si="8"/>
        <v>Male</v>
      </c>
      <c r="E564" t="s">
        <v>9</v>
      </c>
      <c r="F564" s="2">
        <v>28</v>
      </c>
      <c r="G564" s="2" t="str" cm="1">
        <f t="array" ref="G564">_xlfn.IFS(F564&lt;=8,"Child",F564&lt;=17,"Teen",F564&lt;=35,"Adult",F564&lt;=55,"Seniour Adult",F564&gt;=55,"Old Age")</f>
        <v>Adult</v>
      </c>
      <c r="H564" t="s">
        <v>10</v>
      </c>
      <c r="I564" t="s">
        <v>11</v>
      </c>
      <c r="J564" t="str" cm="1">
        <f t="array" ref="J564">_xlfn.IFS(I564="S","Sauthamptonm",I564="Q","Queentown",I564="C","Cherburg",I564="B","Cabin")</f>
        <v>Sauthamptonm</v>
      </c>
      <c r="K564" t="s">
        <v>15</v>
      </c>
      <c r="L564" s="2">
        <v>8.01</v>
      </c>
      <c r="M564">
        <v>0</v>
      </c>
      <c r="N564">
        <v>0</v>
      </c>
      <c r="O564" t="s">
        <v>13</v>
      </c>
    </row>
    <row r="565" spans="1:15" x14ac:dyDescent="0.3">
      <c r="A565" s="1" t="s">
        <v>1164</v>
      </c>
      <c r="B565" t="s">
        <v>94</v>
      </c>
      <c r="C565" t="s">
        <v>1165</v>
      </c>
      <c r="D565" t="str">
        <f t="shared" si="8"/>
        <v>Male</v>
      </c>
      <c r="E565" t="s">
        <v>9</v>
      </c>
      <c r="F565" s="2">
        <v>4</v>
      </c>
      <c r="G565" s="2" t="str" cm="1">
        <f t="array" ref="G565">_xlfn.IFS(F565&lt;=8,"Child",F565&lt;=17,"Teen",F565&lt;=35,"Adult",F565&lt;=55,"Seniour Adult",F565&gt;=55,"Old Age")</f>
        <v>Child</v>
      </c>
      <c r="H565" t="s">
        <v>10</v>
      </c>
      <c r="I565" t="s">
        <v>19</v>
      </c>
      <c r="J565" t="str" cm="1">
        <f t="array" ref="J565">_xlfn.IFS(I565="S","Sauthamptonm",I565="Q","Queentown",I565="C","Cherburg",I565="B","Cabin")</f>
        <v>Cherburg</v>
      </c>
      <c r="K565" t="s">
        <v>21</v>
      </c>
      <c r="L565" s="2">
        <v>15.0411</v>
      </c>
      <c r="M565">
        <v>1</v>
      </c>
      <c r="N565">
        <v>1</v>
      </c>
      <c r="O565" t="s">
        <v>16</v>
      </c>
    </row>
    <row r="566" spans="1:15" x14ac:dyDescent="0.3">
      <c r="A566" s="1" t="s">
        <v>1166</v>
      </c>
      <c r="B566" t="s">
        <v>72</v>
      </c>
      <c r="C566" t="s">
        <v>1167</v>
      </c>
      <c r="D566" t="str">
        <f t="shared" si="8"/>
        <v>Male</v>
      </c>
      <c r="E566" t="s">
        <v>9</v>
      </c>
      <c r="F566" s="2">
        <v>17</v>
      </c>
      <c r="G566" s="2" t="str" cm="1">
        <f t="array" ref="G566">_xlfn.IFS(F566&lt;=8,"Child",F566&lt;=17,"Teen",F566&lt;=35,"Adult",F566&lt;=55,"Seniour Adult",F566&gt;=55,"Old Age")</f>
        <v>Teen</v>
      </c>
      <c r="H566" t="s">
        <v>18</v>
      </c>
      <c r="I566" t="s">
        <v>11</v>
      </c>
      <c r="J566" t="str" cm="1">
        <f t="array" ref="J566">_xlfn.IFS(I566="S","Sauthamptonm",I566="Q","Queentown",I566="C","Cherburg",I566="B","Cabin")</f>
        <v>Sauthamptonm</v>
      </c>
      <c r="K566" t="s">
        <v>15</v>
      </c>
      <c r="L566" s="2">
        <v>10.1</v>
      </c>
      <c r="M566">
        <v>0</v>
      </c>
      <c r="N566">
        <v>0</v>
      </c>
      <c r="O566" t="s">
        <v>13</v>
      </c>
    </row>
    <row r="567" spans="1:15" x14ac:dyDescent="0.3">
      <c r="A567" s="1" t="s">
        <v>1168</v>
      </c>
      <c r="B567" t="s">
        <v>78</v>
      </c>
      <c r="C567" t="s">
        <v>263</v>
      </c>
      <c r="D567" t="str">
        <f t="shared" si="8"/>
        <v>Female</v>
      </c>
      <c r="E567" t="s">
        <v>14</v>
      </c>
      <c r="F567" s="2">
        <v>21</v>
      </c>
      <c r="G567" s="2" t="str" cm="1">
        <f t="array" ref="G567">_xlfn.IFS(F567&lt;=8,"Child",F567&lt;=17,"Teen",F567&lt;=35,"Adult",F567&lt;=55,"Seniour Adult",F567&gt;=55,"Old Age")</f>
        <v>Adult</v>
      </c>
      <c r="H567" t="s">
        <v>10</v>
      </c>
      <c r="I567" t="s">
        <v>36</v>
      </c>
      <c r="J567" t="str" cm="1">
        <f t="array" ref="J567">_xlfn.IFS(I567="S","Sauthamptonm",I567="Q","Queentown",I567="C","Cherburg",I567="B","Cabin")</f>
        <v>Queentown</v>
      </c>
      <c r="K567" t="s">
        <v>37</v>
      </c>
      <c r="L567" s="2">
        <v>7.1407999999999996</v>
      </c>
      <c r="M567">
        <v>0</v>
      </c>
      <c r="N567">
        <v>0</v>
      </c>
      <c r="O567" t="s">
        <v>16</v>
      </c>
    </row>
    <row r="568" spans="1:15" x14ac:dyDescent="0.3">
      <c r="A568" s="1" t="s">
        <v>1169</v>
      </c>
      <c r="B568" t="s">
        <v>78</v>
      </c>
      <c r="C568" t="s">
        <v>1170</v>
      </c>
      <c r="D568" t="str">
        <f t="shared" si="8"/>
        <v>Female</v>
      </c>
      <c r="E568" t="s">
        <v>14</v>
      </c>
      <c r="F568" s="2">
        <v>25</v>
      </c>
      <c r="G568" s="2" t="str" cm="1">
        <f t="array" ref="G568">_xlfn.IFS(F568&lt;=8,"Child",F568&lt;=17,"Teen",F568&lt;=35,"Adult",F568&lt;=55,"Seniour Adult",F568&gt;=55,"Old Age")</f>
        <v>Adult</v>
      </c>
      <c r="H568" t="s">
        <v>10</v>
      </c>
      <c r="I568" t="s">
        <v>36</v>
      </c>
      <c r="J568" t="str" cm="1">
        <f t="array" ref="J568">_xlfn.IFS(I568="S","Sauthamptonm",I568="Q","Queentown",I568="C","Cherburg",I568="B","Cabin")</f>
        <v>Queentown</v>
      </c>
      <c r="K568" t="s">
        <v>37</v>
      </c>
      <c r="L568" s="2">
        <v>7.15</v>
      </c>
      <c r="M568">
        <v>0</v>
      </c>
      <c r="N568">
        <v>0</v>
      </c>
      <c r="O568" t="s">
        <v>16</v>
      </c>
    </row>
    <row r="569" spans="1:15" x14ac:dyDescent="0.3">
      <c r="A569" s="1" t="s">
        <v>1171</v>
      </c>
      <c r="B569" t="s">
        <v>72</v>
      </c>
      <c r="C569" t="s">
        <v>347</v>
      </c>
      <c r="D569" t="str">
        <f t="shared" si="8"/>
        <v>Male</v>
      </c>
      <c r="E569" t="s">
        <v>9</v>
      </c>
      <c r="F569" s="2">
        <v>22</v>
      </c>
      <c r="G569" s="2" t="str" cm="1">
        <f t="array" ref="G569">_xlfn.IFS(F569&lt;=8,"Child",F569&lt;=17,"Teen",F569&lt;=35,"Adult",F569&lt;=55,"Seniour Adult",F569&gt;=55,"Old Age")</f>
        <v>Adult</v>
      </c>
      <c r="H569" t="s">
        <v>10</v>
      </c>
      <c r="I569" t="s">
        <v>11</v>
      </c>
      <c r="J569" t="str" cm="1">
        <f t="array" ref="J569">_xlfn.IFS(I569="S","Sauthamptonm",I569="Q","Queentown",I569="C","Cherburg",I569="B","Cabin")</f>
        <v>Sauthamptonm</v>
      </c>
      <c r="K569" t="s">
        <v>15</v>
      </c>
      <c r="L569" s="2">
        <v>8.01</v>
      </c>
      <c r="M569">
        <v>0</v>
      </c>
      <c r="N569">
        <v>0</v>
      </c>
      <c r="O569" t="s">
        <v>13</v>
      </c>
    </row>
    <row r="570" spans="1:15" x14ac:dyDescent="0.3">
      <c r="A570" s="1" t="s">
        <v>1172</v>
      </c>
      <c r="B570" t="s">
        <v>78</v>
      </c>
      <c r="C570" t="s">
        <v>263</v>
      </c>
      <c r="D570" t="str">
        <f t="shared" si="8"/>
        <v>Female</v>
      </c>
      <c r="E570" t="s">
        <v>14</v>
      </c>
      <c r="F570" s="2">
        <v>18</v>
      </c>
      <c r="G570" s="2" t="str" cm="1">
        <f t="array" ref="G570">_xlfn.IFS(F570&lt;=8,"Child",F570&lt;=17,"Teen",F570&lt;=35,"Adult",F570&lt;=55,"Seniour Adult",F570&gt;=55,"Old Age")</f>
        <v>Adult</v>
      </c>
      <c r="H570" t="s">
        <v>10</v>
      </c>
      <c r="I570" t="s">
        <v>36</v>
      </c>
      <c r="J570" t="str" cm="1">
        <f t="array" ref="J570">_xlfn.IFS(I570="S","Sauthamptonm",I570="Q","Queentown",I570="C","Cherburg",I570="B","Cabin")</f>
        <v>Queentown</v>
      </c>
      <c r="K570" t="s">
        <v>37</v>
      </c>
      <c r="L570" s="2">
        <v>15.1</v>
      </c>
      <c r="M570">
        <v>1</v>
      </c>
      <c r="N570">
        <v>0</v>
      </c>
      <c r="O570" t="s">
        <v>16</v>
      </c>
    </row>
    <row r="571" spans="1:15" x14ac:dyDescent="0.3">
      <c r="A571" s="1" t="s">
        <v>1173</v>
      </c>
      <c r="B571" t="s">
        <v>76</v>
      </c>
      <c r="C571" t="s">
        <v>1174</v>
      </c>
      <c r="D571" t="str">
        <f t="shared" si="8"/>
        <v>Female</v>
      </c>
      <c r="E571" t="s">
        <v>14</v>
      </c>
      <c r="F571" s="2">
        <v>22</v>
      </c>
      <c r="G571" s="2" t="str" cm="1">
        <f t="array" ref="G571">_xlfn.IFS(F571&lt;=8,"Child",F571&lt;=17,"Teen",F571&lt;=35,"Adult",F571&lt;=55,"Seniour Adult",F571&gt;=55,"Old Age")</f>
        <v>Adult</v>
      </c>
      <c r="H571" t="s">
        <v>10</v>
      </c>
      <c r="I571" t="s">
        <v>19</v>
      </c>
      <c r="J571" t="str" cm="1">
        <f t="array" ref="J571">_xlfn.IFS(I571="S","Sauthamptonm",I571="Q","Queentown",I571="C","Cherburg",I571="B","Cabin")</f>
        <v>Cherburg</v>
      </c>
      <c r="K571" t="s">
        <v>21</v>
      </c>
      <c r="L571" s="2">
        <v>7.0406000000000004</v>
      </c>
      <c r="M571">
        <v>0</v>
      </c>
      <c r="N571">
        <v>0</v>
      </c>
      <c r="O571" t="s">
        <v>16</v>
      </c>
    </row>
    <row r="572" spans="1:15" x14ac:dyDescent="0.3">
      <c r="A572" s="1" t="s">
        <v>1175</v>
      </c>
      <c r="B572" t="s">
        <v>72</v>
      </c>
      <c r="C572" t="s">
        <v>1176</v>
      </c>
      <c r="D572" t="str">
        <f t="shared" si="8"/>
        <v>Male</v>
      </c>
      <c r="E572" t="s">
        <v>9</v>
      </c>
      <c r="F572" s="2">
        <v>18</v>
      </c>
      <c r="G572" s="2" t="str" cm="1">
        <f t="array" ref="G572">_xlfn.IFS(F572&lt;=8,"Child",F572&lt;=17,"Teen",F572&lt;=35,"Adult",F572&lt;=55,"Seniour Adult",F572&gt;=55,"Old Age")</f>
        <v>Adult</v>
      </c>
      <c r="H572" t="s">
        <v>10</v>
      </c>
      <c r="I572" t="s">
        <v>11</v>
      </c>
      <c r="J572" t="str" cm="1">
        <f t="array" ref="J572">_xlfn.IFS(I572="S","Sauthamptonm",I572="Q","Queentown",I572="C","Cherburg",I572="B","Cabin")</f>
        <v>Sauthamptonm</v>
      </c>
      <c r="K572" t="s">
        <v>23</v>
      </c>
      <c r="L572" s="2">
        <v>7.15</v>
      </c>
      <c r="M572">
        <v>0</v>
      </c>
      <c r="N572">
        <v>0</v>
      </c>
      <c r="O572" t="s">
        <v>13</v>
      </c>
    </row>
    <row r="573" spans="1:15" x14ac:dyDescent="0.3">
      <c r="A573" s="1" t="s">
        <v>1177</v>
      </c>
      <c r="B573" t="s">
        <v>72</v>
      </c>
      <c r="C573" t="s">
        <v>1085</v>
      </c>
      <c r="D573" t="str">
        <f t="shared" si="8"/>
        <v>Male</v>
      </c>
      <c r="E573" t="s">
        <v>9</v>
      </c>
      <c r="F573" s="2">
        <v>63</v>
      </c>
      <c r="G573" s="2" t="str" cm="1">
        <f t="array" ref="G573">_xlfn.IFS(F573&lt;=8,"Child",F573&lt;=17,"Teen",F573&lt;=35,"Adult",F573&lt;=55,"Seniour Adult",F573&gt;=55,"Old Age")</f>
        <v>Old Age</v>
      </c>
      <c r="H573" t="s">
        <v>18</v>
      </c>
      <c r="I573" t="s">
        <v>36</v>
      </c>
      <c r="J573" t="str" cm="1">
        <f t="array" ref="J573">_xlfn.IFS(I573="S","Sauthamptonm",I573="Q","Queentown",I573="C","Cherburg",I573="B","Cabin")</f>
        <v>Queentown</v>
      </c>
      <c r="K573" t="s">
        <v>37</v>
      </c>
      <c r="L573" s="2">
        <v>9.1309000000000005</v>
      </c>
      <c r="M573">
        <v>0</v>
      </c>
      <c r="N573">
        <v>0</v>
      </c>
      <c r="O573" t="s">
        <v>13</v>
      </c>
    </row>
    <row r="574" spans="1:15" x14ac:dyDescent="0.3">
      <c r="A574" s="1" t="s">
        <v>1178</v>
      </c>
      <c r="B574" t="s">
        <v>72</v>
      </c>
      <c r="C574" t="s">
        <v>1179</v>
      </c>
      <c r="D574" t="str">
        <f t="shared" si="8"/>
        <v>Male</v>
      </c>
      <c r="E574" t="s">
        <v>9</v>
      </c>
      <c r="F574" s="2">
        <v>22</v>
      </c>
      <c r="G574" s="2" t="str" cm="1">
        <f t="array" ref="G574">_xlfn.IFS(F574&lt;=8,"Child",F574&lt;=17,"Teen",F574&lt;=35,"Adult",F574&lt;=55,"Seniour Adult",F574&gt;=55,"Old Age")</f>
        <v>Adult</v>
      </c>
      <c r="H574" t="s">
        <v>10</v>
      </c>
      <c r="I574" t="s">
        <v>11</v>
      </c>
      <c r="J574" t="str" cm="1">
        <f t="array" ref="J574">_xlfn.IFS(I574="S","Sauthamptonm",I574="Q","Queentown",I574="C","Cherburg",I574="B","Cabin")</f>
        <v>Sauthamptonm</v>
      </c>
      <c r="K574" t="s">
        <v>31</v>
      </c>
      <c r="L574" s="2">
        <v>7.1711</v>
      </c>
      <c r="M574">
        <v>0</v>
      </c>
      <c r="N574">
        <v>0</v>
      </c>
      <c r="O574" t="s">
        <v>13</v>
      </c>
    </row>
    <row r="575" spans="1:15" x14ac:dyDescent="0.3">
      <c r="A575" s="1" t="s">
        <v>1180</v>
      </c>
      <c r="B575" t="s">
        <v>78</v>
      </c>
      <c r="C575" t="s">
        <v>1181</v>
      </c>
      <c r="D575" t="str">
        <f t="shared" si="8"/>
        <v>Female</v>
      </c>
      <c r="E575" t="s">
        <v>14</v>
      </c>
      <c r="F575" s="2">
        <v>15</v>
      </c>
      <c r="G575" s="2" t="str" cm="1">
        <f t="array" ref="G575">_xlfn.IFS(F575&lt;=8,"Child",F575&lt;=17,"Teen",F575&lt;=35,"Adult",F575&lt;=55,"Seniour Adult",F575&gt;=55,"Old Age")</f>
        <v>Teen</v>
      </c>
      <c r="H575" t="s">
        <v>10</v>
      </c>
      <c r="I575" t="s">
        <v>19</v>
      </c>
      <c r="J575" t="str" cm="1">
        <f t="array" ref="J575">_xlfn.IFS(I575="S","Sauthamptonm",I575="Q","Queentown",I575="C","Cherburg",I575="B","Cabin")</f>
        <v>Cherburg</v>
      </c>
      <c r="K575" t="s">
        <v>21</v>
      </c>
      <c r="L575" s="2">
        <v>7.0406000000000004</v>
      </c>
      <c r="M575">
        <v>0</v>
      </c>
      <c r="N575">
        <v>0</v>
      </c>
      <c r="O575" t="s">
        <v>16</v>
      </c>
    </row>
    <row r="576" spans="1:15" x14ac:dyDescent="0.3">
      <c r="A576" s="1" t="s">
        <v>1182</v>
      </c>
      <c r="B576" t="s">
        <v>72</v>
      </c>
      <c r="C576" t="s">
        <v>1183</v>
      </c>
      <c r="D576" t="str">
        <f t="shared" si="8"/>
        <v>Male</v>
      </c>
      <c r="E576" t="s">
        <v>9</v>
      </c>
      <c r="F576" s="2">
        <v>17</v>
      </c>
      <c r="G576" s="2" t="str" cm="1">
        <f t="array" ref="G576">_xlfn.IFS(F576&lt;=8,"Child",F576&lt;=17,"Teen",F576&lt;=35,"Adult",F576&lt;=55,"Seniour Adult",F576&gt;=55,"Old Age")</f>
        <v>Teen</v>
      </c>
      <c r="H576" t="s">
        <v>10</v>
      </c>
      <c r="I576" t="s">
        <v>19</v>
      </c>
      <c r="J576" t="str" cm="1">
        <f t="array" ref="J576">_xlfn.IFS(I576="S","Sauthamptonm",I576="Q","Queentown",I576="C","Cherburg",I576="B","Cabin")</f>
        <v>Cherburg</v>
      </c>
      <c r="K576" t="s">
        <v>21</v>
      </c>
      <c r="L576" s="2">
        <v>7.0407000000000002</v>
      </c>
      <c r="M576">
        <v>0</v>
      </c>
      <c r="N576">
        <v>0</v>
      </c>
      <c r="O576" t="s">
        <v>13</v>
      </c>
    </row>
    <row r="577" spans="1:15" x14ac:dyDescent="0.3">
      <c r="A577" s="1" t="s">
        <v>1184</v>
      </c>
      <c r="B577" t="s">
        <v>78</v>
      </c>
      <c r="C577" t="s">
        <v>924</v>
      </c>
      <c r="D577" t="str">
        <f t="shared" si="8"/>
        <v>Female</v>
      </c>
      <c r="E577" t="s">
        <v>14</v>
      </c>
      <c r="F577" s="2">
        <v>1</v>
      </c>
      <c r="G577" s="2" t="str" cm="1">
        <f t="array" ref="G577">_xlfn.IFS(F577&lt;=8,"Child",F577&lt;=17,"Teen",F577&lt;=35,"Adult",F577&lt;=55,"Seniour Adult",F577&gt;=55,"Old Age")</f>
        <v>Child</v>
      </c>
      <c r="H577" t="s">
        <v>10</v>
      </c>
      <c r="I577" t="s">
        <v>19</v>
      </c>
      <c r="J577" t="str" cm="1">
        <f t="array" ref="J577">_xlfn.IFS(I577="S","Sauthamptonm",I577="Q","Queentown",I577="C","Cherburg",I577="B","Cabin")</f>
        <v>Cherburg</v>
      </c>
      <c r="K577" t="s">
        <v>21</v>
      </c>
      <c r="L577" s="2">
        <v>15.141</v>
      </c>
      <c r="M577">
        <v>0</v>
      </c>
      <c r="N577">
        <v>2</v>
      </c>
      <c r="O577" t="s">
        <v>16</v>
      </c>
    </row>
    <row r="578" spans="1:15" x14ac:dyDescent="0.3">
      <c r="A578" s="1" t="s">
        <v>1185</v>
      </c>
      <c r="B578" t="s">
        <v>72</v>
      </c>
      <c r="C578" t="s">
        <v>107</v>
      </c>
      <c r="D578" t="str">
        <f t="shared" ref="D578:D641" si="9">PROPER(E578)</f>
        <v>Male</v>
      </c>
      <c r="E578" t="s">
        <v>9</v>
      </c>
      <c r="F578" s="2">
        <v>36</v>
      </c>
      <c r="G578" s="2" t="str" cm="1">
        <f t="array" ref="G578">_xlfn.IFS(F578&lt;=8,"Child",F578&lt;=17,"Teen",F578&lt;=35,"Adult",F578&lt;=55,"Seniour Adult",F578&gt;=55,"Old Age")</f>
        <v>Seniour Adult</v>
      </c>
      <c r="H578" t="s">
        <v>10</v>
      </c>
      <c r="I578" t="s">
        <v>11</v>
      </c>
      <c r="J578" t="str" cm="1">
        <f t="array" ref="J578">_xlfn.IFS(I578="S","Sauthamptonm",I578="Q","Queentown",I578="C","Cherburg",I578="B","Cabin")</f>
        <v>Sauthamptonm</v>
      </c>
      <c r="K578" t="s">
        <v>15</v>
      </c>
      <c r="L578" s="2">
        <v>8.01</v>
      </c>
      <c r="M578">
        <v>0</v>
      </c>
      <c r="N578">
        <v>0</v>
      </c>
      <c r="O578" t="s">
        <v>13</v>
      </c>
    </row>
    <row r="579" spans="1:15" x14ac:dyDescent="0.3">
      <c r="A579" s="1" t="s">
        <v>1186</v>
      </c>
      <c r="B579" t="s">
        <v>72</v>
      </c>
      <c r="C579" t="s">
        <v>130</v>
      </c>
      <c r="D579" t="str">
        <f t="shared" si="9"/>
        <v>Male</v>
      </c>
      <c r="E579" t="s">
        <v>9</v>
      </c>
      <c r="F579" s="2">
        <v>32</v>
      </c>
      <c r="G579" s="2" t="str" cm="1">
        <f t="array" ref="G579">_xlfn.IFS(F579&lt;=8,"Child",F579&lt;=17,"Teen",F579&lt;=35,"Adult",F579&lt;=55,"Seniour Adult",F579&gt;=55,"Old Age")</f>
        <v>Adult</v>
      </c>
      <c r="H579" t="s">
        <v>10</v>
      </c>
      <c r="I579" t="s">
        <v>11</v>
      </c>
      <c r="J579" t="str" cm="1">
        <f t="array" ref="J579">_xlfn.IFS(I579="S","Sauthamptonm",I579="Q","Queentown",I579="C","Cherburg",I579="B","Cabin")</f>
        <v>Sauthamptonm</v>
      </c>
      <c r="K579" t="s">
        <v>15</v>
      </c>
      <c r="L579" s="2">
        <v>7.1711</v>
      </c>
      <c r="M579">
        <v>0</v>
      </c>
      <c r="N579">
        <v>0</v>
      </c>
      <c r="O579" t="s">
        <v>13</v>
      </c>
    </row>
    <row r="580" spans="1:15" x14ac:dyDescent="0.3">
      <c r="A580" s="1" t="s">
        <v>1187</v>
      </c>
      <c r="B580" t="s">
        <v>72</v>
      </c>
      <c r="C580" t="s">
        <v>1188</v>
      </c>
      <c r="D580" t="str">
        <f t="shared" si="9"/>
        <v>Male</v>
      </c>
      <c r="E580" t="s">
        <v>9</v>
      </c>
      <c r="F580" s="2">
        <v>20</v>
      </c>
      <c r="G580" s="2" t="str" cm="1">
        <f t="array" ref="G580">_xlfn.IFS(F580&lt;=8,"Child",F580&lt;=17,"Teen",F580&lt;=35,"Adult",F580&lt;=55,"Seniour Adult",F580&gt;=55,"Old Age")</f>
        <v>Adult</v>
      </c>
      <c r="H580" t="s">
        <v>10</v>
      </c>
      <c r="I580" t="s">
        <v>19</v>
      </c>
      <c r="J580" t="str" cm="1">
        <f t="array" ref="J580">_xlfn.IFS(I580="S","Sauthamptonm",I580="Q","Queentown",I580="C","Cherburg",I580="B","Cabin")</f>
        <v>Cherburg</v>
      </c>
      <c r="K580" t="s">
        <v>21</v>
      </c>
      <c r="L580" s="2">
        <v>7.0407000000000002</v>
      </c>
      <c r="M580">
        <v>0</v>
      </c>
      <c r="N580">
        <v>0</v>
      </c>
      <c r="O580" t="s">
        <v>13</v>
      </c>
    </row>
    <row r="581" spans="1:15" x14ac:dyDescent="0.3">
      <c r="A581" s="1" t="s">
        <v>1189</v>
      </c>
      <c r="B581" t="s">
        <v>72</v>
      </c>
      <c r="C581" t="s">
        <v>1190</v>
      </c>
      <c r="D581" t="str">
        <f t="shared" si="9"/>
        <v>Male</v>
      </c>
      <c r="E581" t="s">
        <v>9</v>
      </c>
      <c r="F581" s="2">
        <v>28</v>
      </c>
      <c r="G581" s="2" t="str" cm="1">
        <f t="array" ref="G581">_xlfn.IFS(F581&lt;=8,"Child",F581&lt;=17,"Teen",F581&lt;=35,"Adult",F581&lt;=55,"Seniour Adult",F581&gt;=55,"Old Age")</f>
        <v>Adult</v>
      </c>
      <c r="H581" t="s">
        <v>18</v>
      </c>
      <c r="I581" t="s">
        <v>19</v>
      </c>
      <c r="J581" t="str" cm="1">
        <f t="array" ref="J581">_xlfn.IFS(I581="S","Sauthamptonm",I581="Q","Queentown",I581="C","Cherburg",I581="B","Cabin")</f>
        <v>Cherburg</v>
      </c>
      <c r="K581" t="s">
        <v>12</v>
      </c>
      <c r="L581" s="2">
        <v>30.0105</v>
      </c>
      <c r="M581">
        <v>1</v>
      </c>
      <c r="N581">
        <v>0</v>
      </c>
      <c r="O581" t="s">
        <v>13</v>
      </c>
    </row>
    <row r="582" spans="1:15" x14ac:dyDescent="0.3">
      <c r="A582" s="1" t="s">
        <v>1191</v>
      </c>
      <c r="B582" t="s">
        <v>72</v>
      </c>
      <c r="C582" t="s">
        <v>1192</v>
      </c>
      <c r="D582" t="str">
        <f t="shared" si="9"/>
        <v>Male</v>
      </c>
      <c r="E582" t="s">
        <v>9</v>
      </c>
      <c r="F582" s="2">
        <v>20</v>
      </c>
      <c r="G582" s="2" t="str" cm="1">
        <f t="array" ref="G582">_xlfn.IFS(F582&lt;=8,"Child",F582&lt;=17,"Teen",F582&lt;=35,"Adult",F582&lt;=55,"Seniour Adult",F582&gt;=55,"Old Age")</f>
        <v>Adult</v>
      </c>
      <c r="H582" t="s">
        <v>10</v>
      </c>
      <c r="I582" t="s">
        <v>19</v>
      </c>
      <c r="J582" t="str" cm="1">
        <f t="array" ref="J582">_xlfn.IFS(I582="S","Sauthamptonm",I582="Q","Queentown",I582="C","Cherburg",I582="B","Cabin")</f>
        <v>Cherburg</v>
      </c>
      <c r="K582" t="s">
        <v>21</v>
      </c>
      <c r="L582" s="2">
        <v>7.0406000000000004</v>
      </c>
      <c r="M582">
        <v>0</v>
      </c>
      <c r="N582">
        <v>0</v>
      </c>
      <c r="O582" t="s">
        <v>13</v>
      </c>
    </row>
    <row r="583" spans="1:15" x14ac:dyDescent="0.3">
      <c r="A583" s="1" t="s">
        <v>1193</v>
      </c>
      <c r="B583" t="s">
        <v>72</v>
      </c>
      <c r="C583" t="s">
        <v>1019</v>
      </c>
      <c r="D583" t="str">
        <f t="shared" si="9"/>
        <v>Male</v>
      </c>
      <c r="E583" t="s">
        <v>9</v>
      </c>
      <c r="F583" s="2">
        <v>36</v>
      </c>
      <c r="G583" s="2" t="str" cm="1">
        <f t="array" ref="G583">_xlfn.IFS(F583&lt;=8,"Child",F583&lt;=17,"Teen",F583&lt;=35,"Adult",F583&lt;=55,"Seniour Adult",F583&gt;=55,"Old Age")</f>
        <v>Seniour Adult</v>
      </c>
      <c r="H583" t="s">
        <v>25</v>
      </c>
      <c r="I583" t="s">
        <v>19</v>
      </c>
      <c r="J583" t="str" cm="1">
        <f t="array" ref="J583">_xlfn.IFS(I583="S","Sauthamptonm",I583="Q","Queentown",I583="C","Cherburg",I583="B","Cabin")</f>
        <v>Cherburg</v>
      </c>
      <c r="K583" t="s">
        <v>12</v>
      </c>
      <c r="L583" s="2">
        <v>29.14</v>
      </c>
      <c r="M583">
        <v>0</v>
      </c>
      <c r="N583">
        <v>1</v>
      </c>
      <c r="O583" t="s">
        <v>13</v>
      </c>
    </row>
    <row r="584" spans="1:15" x14ac:dyDescent="0.3">
      <c r="A584" s="1" t="s">
        <v>1194</v>
      </c>
      <c r="B584" t="s">
        <v>78</v>
      </c>
      <c r="C584" t="s">
        <v>82</v>
      </c>
      <c r="D584" t="str">
        <f t="shared" si="9"/>
        <v>Female</v>
      </c>
      <c r="E584" t="s">
        <v>14</v>
      </c>
      <c r="F584" s="2">
        <v>21</v>
      </c>
      <c r="G584" s="2" t="str" cm="1">
        <f t="array" ref="G584">_xlfn.IFS(F584&lt;=8,"Child",F584&lt;=17,"Teen",F584&lt;=35,"Adult",F584&lt;=55,"Seniour Adult",F584&gt;=55,"Old Age")</f>
        <v>Adult</v>
      </c>
      <c r="H584" t="s">
        <v>10</v>
      </c>
      <c r="I584" t="s">
        <v>36</v>
      </c>
      <c r="J584" t="str" cm="1">
        <f t="array" ref="J584">_xlfn.IFS(I584="S","Sauthamptonm",I584="Q","Queentown",I584="C","Cherburg",I584="B","Cabin")</f>
        <v>Queentown</v>
      </c>
      <c r="K584" t="s">
        <v>37</v>
      </c>
      <c r="L584" s="2">
        <v>7.15</v>
      </c>
      <c r="M584">
        <v>0</v>
      </c>
      <c r="N584">
        <v>0</v>
      </c>
      <c r="O584" t="s">
        <v>13</v>
      </c>
    </row>
    <row r="585" spans="1:15" x14ac:dyDescent="0.3">
      <c r="A585" s="1" t="s">
        <v>1195</v>
      </c>
      <c r="B585" t="s">
        <v>94</v>
      </c>
      <c r="C585" t="s">
        <v>1196</v>
      </c>
      <c r="D585" t="str">
        <f t="shared" si="9"/>
        <v>Male</v>
      </c>
      <c r="E585" t="s">
        <v>9</v>
      </c>
      <c r="F585" s="2">
        <v>2</v>
      </c>
      <c r="G585" s="2" t="str" cm="1">
        <f t="array" ref="G585">_xlfn.IFS(F585&lt;=8,"Child",F585&lt;=17,"Teen",F585&lt;=35,"Adult",F585&lt;=55,"Seniour Adult",F585&gt;=55,"Old Age")</f>
        <v>Child</v>
      </c>
      <c r="H585" t="s">
        <v>18</v>
      </c>
      <c r="I585" t="s">
        <v>11</v>
      </c>
      <c r="J585" t="str" cm="1">
        <f t="array" ref="J585">_xlfn.IFS(I585="S","Sauthamptonm",I585="Q","Queentown",I585="C","Cherburg",I585="B","Cabin")</f>
        <v>Sauthamptonm</v>
      </c>
      <c r="K585" t="s">
        <v>20</v>
      </c>
      <c r="L585" s="2">
        <v>26</v>
      </c>
      <c r="M585">
        <v>1</v>
      </c>
      <c r="N585">
        <v>1</v>
      </c>
      <c r="O585" t="s">
        <v>16</v>
      </c>
    </row>
    <row r="586" spans="1:15" x14ac:dyDescent="0.3">
      <c r="A586" s="1" t="s">
        <v>1197</v>
      </c>
      <c r="B586" t="s">
        <v>72</v>
      </c>
      <c r="C586" t="s">
        <v>1198</v>
      </c>
      <c r="D586" t="str">
        <f t="shared" si="9"/>
        <v>Male</v>
      </c>
      <c r="E586" t="s">
        <v>9</v>
      </c>
      <c r="F586" s="2">
        <v>22</v>
      </c>
      <c r="G586" s="2" t="str" cm="1">
        <f t="array" ref="G586">_xlfn.IFS(F586&lt;=8,"Child",F586&lt;=17,"Teen",F586&lt;=35,"Adult",F586&lt;=55,"Seniour Adult",F586&gt;=55,"Old Age")</f>
        <v>Adult</v>
      </c>
      <c r="H586" t="s">
        <v>10</v>
      </c>
      <c r="I586" t="s">
        <v>11</v>
      </c>
      <c r="J586" t="str" cm="1">
        <f t="array" ref="J586">_xlfn.IFS(I586="S","Sauthamptonm",I586="Q","Queentown",I586="C","Cherburg",I586="B","Cabin")</f>
        <v>Sauthamptonm</v>
      </c>
      <c r="K586" t="s">
        <v>15</v>
      </c>
      <c r="L586" s="2">
        <v>7.1711</v>
      </c>
      <c r="M586">
        <v>0</v>
      </c>
      <c r="N586">
        <v>0</v>
      </c>
      <c r="O586" t="s">
        <v>13</v>
      </c>
    </row>
    <row r="587" spans="1:15" x14ac:dyDescent="0.3">
      <c r="A587" s="1" t="s">
        <v>1199</v>
      </c>
      <c r="B587" t="s">
        <v>72</v>
      </c>
      <c r="C587" t="s">
        <v>1200</v>
      </c>
      <c r="D587" t="str">
        <f t="shared" si="9"/>
        <v>Male</v>
      </c>
      <c r="E587" t="s">
        <v>9</v>
      </c>
      <c r="F587" s="2">
        <v>26</v>
      </c>
      <c r="G587" s="2" t="str" cm="1">
        <f t="array" ref="G587">_xlfn.IFS(F587&lt;=8,"Child",F587&lt;=17,"Teen",F587&lt;=35,"Adult",F587&lt;=55,"Seniour Adult",F587&gt;=55,"Old Age")</f>
        <v>Adult</v>
      </c>
      <c r="H587" t="s">
        <v>18</v>
      </c>
      <c r="I587" t="s">
        <v>11</v>
      </c>
      <c r="J587" t="str" cm="1">
        <f t="array" ref="J587">_xlfn.IFS(I587="S","Sauthamptonm",I587="Q","Queentown",I587="C","Cherburg",I587="B","Cabin")</f>
        <v>Sauthamptonm</v>
      </c>
      <c r="K587" t="s">
        <v>15</v>
      </c>
      <c r="L587" s="2">
        <v>13</v>
      </c>
      <c r="M587">
        <v>0</v>
      </c>
      <c r="N587">
        <v>0</v>
      </c>
      <c r="O587" t="s">
        <v>13</v>
      </c>
    </row>
    <row r="588" spans="1:15" x14ac:dyDescent="0.3">
      <c r="A588" s="1" t="s">
        <v>1201</v>
      </c>
      <c r="B588" t="s">
        <v>78</v>
      </c>
      <c r="C588" t="s">
        <v>1202</v>
      </c>
      <c r="D588" t="str">
        <f t="shared" si="9"/>
        <v>Female</v>
      </c>
      <c r="E588" t="s">
        <v>14</v>
      </c>
      <c r="F588" s="2">
        <v>31</v>
      </c>
      <c r="G588" s="2" t="str" cm="1">
        <f t="array" ref="G588">_xlfn.IFS(F588&lt;=8,"Child",F588&lt;=17,"Teen",F588&lt;=35,"Adult",F588&lt;=55,"Seniour Adult",F588&gt;=55,"Old Age")</f>
        <v>Adult</v>
      </c>
      <c r="H588" t="s">
        <v>25</v>
      </c>
      <c r="I588" t="s">
        <v>19</v>
      </c>
      <c r="J588" t="str" cm="1">
        <f t="array" ref="J588">_xlfn.IFS(I588="S","Sauthamptonm",I588="Q","Queentown",I588="C","Cherburg",I588="B","Cabin")</f>
        <v>Cherburg</v>
      </c>
      <c r="K588" t="s">
        <v>12</v>
      </c>
      <c r="L588" s="2">
        <v>113.0506</v>
      </c>
      <c r="M588">
        <v>1</v>
      </c>
      <c r="N588">
        <v>0</v>
      </c>
      <c r="O588" t="s">
        <v>16</v>
      </c>
    </row>
    <row r="589" spans="1:15" x14ac:dyDescent="0.3">
      <c r="A589" s="1" t="s">
        <v>1203</v>
      </c>
      <c r="B589" t="s">
        <v>78</v>
      </c>
      <c r="C589" t="s">
        <v>1204</v>
      </c>
      <c r="D589" t="str">
        <f t="shared" si="9"/>
        <v>Female</v>
      </c>
      <c r="E589" t="s">
        <v>14</v>
      </c>
      <c r="F589" s="2">
        <v>19</v>
      </c>
      <c r="G589" s="2" t="str" cm="1">
        <f t="array" ref="G589">_xlfn.IFS(F589&lt;=8,"Child",F589&lt;=17,"Teen",F589&lt;=35,"Adult",F589&lt;=55,"Seniour Adult",F589&gt;=55,"Old Age")</f>
        <v>Adult</v>
      </c>
      <c r="H589" t="s">
        <v>25</v>
      </c>
      <c r="I589" t="s">
        <v>11</v>
      </c>
      <c r="J589" t="str" cm="1">
        <f t="array" ref="J589">_xlfn.IFS(I589="S","Sauthamptonm",I589="Q","Queentown",I589="C","Cherburg",I589="B","Cabin")</f>
        <v>Sauthamptonm</v>
      </c>
      <c r="K589" t="s">
        <v>12</v>
      </c>
      <c r="L589" s="2">
        <v>26.050799999999999</v>
      </c>
      <c r="M589">
        <v>0</v>
      </c>
      <c r="N589">
        <v>2</v>
      </c>
      <c r="O589" t="s">
        <v>16</v>
      </c>
    </row>
    <row r="590" spans="1:15" x14ac:dyDescent="0.3">
      <c r="A590" s="1" t="s">
        <v>1205</v>
      </c>
      <c r="B590" t="s">
        <v>72</v>
      </c>
      <c r="C590" t="s">
        <v>603</v>
      </c>
      <c r="D590" t="str">
        <f t="shared" si="9"/>
        <v>Male</v>
      </c>
      <c r="E590" t="s">
        <v>9</v>
      </c>
      <c r="F590" s="2">
        <v>19</v>
      </c>
      <c r="G590" s="2" t="str" cm="1">
        <f t="array" ref="G590">_xlfn.IFS(F590&lt;=8,"Child",F590&lt;=17,"Teen",F590&lt;=35,"Adult",F590&lt;=55,"Seniour Adult",F590&gt;=55,"Old Age")</f>
        <v>Adult</v>
      </c>
      <c r="H590" t="s">
        <v>18</v>
      </c>
      <c r="I590" t="s">
        <v>11</v>
      </c>
      <c r="J590" t="str" cm="1">
        <f t="array" ref="J590">_xlfn.IFS(I590="S","Sauthamptonm",I590="Q","Queentown",I590="C","Cherburg",I590="B","Cabin")</f>
        <v>Sauthamptonm</v>
      </c>
      <c r="K590" t="s">
        <v>15</v>
      </c>
      <c r="L590" s="2">
        <v>36.15</v>
      </c>
      <c r="M590">
        <v>1</v>
      </c>
      <c r="N590">
        <v>1</v>
      </c>
      <c r="O590" t="s">
        <v>13</v>
      </c>
    </row>
    <row r="591" spans="1:15" x14ac:dyDescent="0.3">
      <c r="A591" s="1" t="s">
        <v>1206</v>
      </c>
      <c r="B591" t="s">
        <v>72</v>
      </c>
      <c r="C591" t="s">
        <v>1207</v>
      </c>
      <c r="D591" t="str">
        <f t="shared" si="9"/>
        <v>Male</v>
      </c>
      <c r="E591" t="s">
        <v>9</v>
      </c>
      <c r="F591" s="2">
        <v>60</v>
      </c>
      <c r="G591" s="2" t="str" cm="1">
        <f t="array" ref="G591">_xlfn.IFS(F591&lt;=8,"Child",F591&lt;=17,"Teen",F591&lt;=35,"Adult",F591&lt;=55,"Seniour Adult",F591&gt;=55,"Old Age")</f>
        <v>Old Age</v>
      </c>
      <c r="H591" t="s">
        <v>25</v>
      </c>
      <c r="I591" t="s">
        <v>11</v>
      </c>
      <c r="J591" t="str" cm="1">
        <f t="array" ref="J591">_xlfn.IFS(I591="S","Sauthamptonm",I591="Q","Queentown",I591="C","Cherburg",I591="B","Cabin")</f>
        <v>Sauthamptonm</v>
      </c>
      <c r="K591" t="s">
        <v>15</v>
      </c>
      <c r="L591" s="2">
        <v>26</v>
      </c>
      <c r="M591">
        <v>0</v>
      </c>
      <c r="N591">
        <v>0</v>
      </c>
      <c r="O591" t="s">
        <v>13</v>
      </c>
    </row>
    <row r="592" spans="1:15" x14ac:dyDescent="0.3">
      <c r="A592" s="1" t="s">
        <v>1208</v>
      </c>
      <c r="B592" t="s">
        <v>78</v>
      </c>
      <c r="C592" t="s">
        <v>1209</v>
      </c>
      <c r="D592" t="str">
        <f t="shared" si="9"/>
        <v>Female</v>
      </c>
      <c r="E592" t="s">
        <v>14</v>
      </c>
      <c r="F592" s="2">
        <v>29</v>
      </c>
      <c r="G592" s="2" t="str" cm="1">
        <f t="array" ref="G592">_xlfn.IFS(F592&lt;=8,"Child",F592&lt;=17,"Teen",F592&lt;=35,"Adult",F592&lt;=55,"Seniour Adult",F592&gt;=55,"Old Age")</f>
        <v>Adult</v>
      </c>
      <c r="H592" t="s">
        <v>10</v>
      </c>
      <c r="I592" t="s">
        <v>11</v>
      </c>
      <c r="J592" t="str" cm="1">
        <f t="array" ref="J592">_xlfn.IFS(I592="S","Sauthamptonm",I592="Q","Queentown",I592="C","Cherburg",I592="B","Cabin")</f>
        <v>Sauthamptonm</v>
      </c>
      <c r="K592" t="s">
        <v>22</v>
      </c>
      <c r="L592" s="2">
        <v>7.1806000000000001</v>
      </c>
      <c r="M592">
        <v>0</v>
      </c>
      <c r="N592">
        <v>0</v>
      </c>
      <c r="O592" t="s">
        <v>13</v>
      </c>
    </row>
    <row r="593" spans="1:15" x14ac:dyDescent="0.3">
      <c r="A593" s="1" t="s">
        <v>1210</v>
      </c>
      <c r="B593" t="s">
        <v>72</v>
      </c>
      <c r="C593" t="s">
        <v>81</v>
      </c>
      <c r="D593" t="str">
        <f t="shared" si="9"/>
        <v>Male</v>
      </c>
      <c r="E593" t="s">
        <v>9</v>
      </c>
      <c r="F593" s="2">
        <v>28</v>
      </c>
      <c r="G593" s="2" t="str" cm="1">
        <f t="array" ref="G593">_xlfn.IFS(F593&lt;=8,"Child",F593&lt;=17,"Teen",F593&lt;=35,"Adult",F593&lt;=55,"Seniour Adult",F593&gt;=55,"Old Age")</f>
        <v>Adult</v>
      </c>
      <c r="H593" t="s">
        <v>10</v>
      </c>
      <c r="I593" t="s">
        <v>11</v>
      </c>
      <c r="J593" t="str" cm="1">
        <f t="array" ref="J593">_xlfn.IFS(I593="S","Sauthamptonm",I593="Q","Queentown",I593="C","Cherburg",I593="B","Cabin")</f>
        <v>Sauthamptonm</v>
      </c>
      <c r="K593" t="s">
        <v>23</v>
      </c>
      <c r="L593" s="2">
        <v>8.01</v>
      </c>
      <c r="M593">
        <v>0</v>
      </c>
      <c r="N593">
        <v>0</v>
      </c>
      <c r="O593" t="s">
        <v>13</v>
      </c>
    </row>
    <row r="594" spans="1:15" x14ac:dyDescent="0.3">
      <c r="A594" s="1" t="s">
        <v>1211</v>
      </c>
      <c r="B594" t="s">
        <v>78</v>
      </c>
      <c r="C594" t="s">
        <v>1212</v>
      </c>
      <c r="D594" t="str">
        <f t="shared" si="9"/>
        <v>Female</v>
      </c>
      <c r="E594" t="s">
        <v>14</v>
      </c>
      <c r="F594" s="2">
        <v>18</v>
      </c>
      <c r="G594" s="2" t="str" cm="1">
        <f t="array" ref="G594">_xlfn.IFS(F594&lt;=8,"Child",F594&lt;=17,"Teen",F594&lt;=35,"Adult",F594&lt;=55,"Seniour Adult",F594&gt;=55,"Old Age")</f>
        <v>Adult</v>
      </c>
      <c r="H594" t="s">
        <v>10</v>
      </c>
      <c r="I594" t="s">
        <v>11</v>
      </c>
      <c r="J594" t="str" cm="1">
        <f t="array" ref="J594">_xlfn.IFS(I594="S","Sauthamptonm",I594="Q","Queentown",I594="C","Cherburg",I594="B","Cabin")</f>
        <v>Sauthamptonm</v>
      </c>
      <c r="K594" t="s">
        <v>23</v>
      </c>
      <c r="L594" s="2">
        <v>7.1505999999999998</v>
      </c>
      <c r="M594">
        <v>0</v>
      </c>
      <c r="N594">
        <v>0</v>
      </c>
      <c r="O594" t="s">
        <v>16</v>
      </c>
    </row>
    <row r="595" spans="1:15" x14ac:dyDescent="0.3">
      <c r="A595" s="1" t="s">
        <v>1213</v>
      </c>
      <c r="B595" t="s">
        <v>94</v>
      </c>
      <c r="C595" t="s">
        <v>1214</v>
      </c>
      <c r="D595" t="str">
        <f t="shared" si="9"/>
        <v>Male</v>
      </c>
      <c r="E595" t="s">
        <v>9</v>
      </c>
      <c r="F595" s="2">
        <v>11</v>
      </c>
      <c r="G595" s="2" t="str" cm="1">
        <f t="array" ref="G595">_xlfn.IFS(F595&lt;=8,"Child",F595&lt;=17,"Teen",F595&lt;=35,"Adult",F595&lt;=55,"Seniour Adult",F595&gt;=55,"Old Age")</f>
        <v>Teen</v>
      </c>
      <c r="H595" t="s">
        <v>10</v>
      </c>
      <c r="I595" t="s">
        <v>19</v>
      </c>
      <c r="J595" t="str" cm="1">
        <f t="array" ref="J595">_xlfn.IFS(I595="S","Sauthamptonm",I595="Q","Queentown",I595="C","Cherburg",I595="B","Cabin")</f>
        <v>Cherburg</v>
      </c>
      <c r="K595" t="s">
        <v>21</v>
      </c>
      <c r="L595" s="2">
        <v>11.041</v>
      </c>
      <c r="M595">
        <v>1</v>
      </c>
      <c r="N595">
        <v>0</v>
      </c>
      <c r="O595" t="s">
        <v>16</v>
      </c>
    </row>
    <row r="596" spans="1:15" x14ac:dyDescent="0.3">
      <c r="A596" s="1" t="s">
        <v>1215</v>
      </c>
      <c r="B596" t="s">
        <v>72</v>
      </c>
      <c r="C596" t="s">
        <v>1216</v>
      </c>
      <c r="D596" t="str">
        <f t="shared" si="9"/>
        <v>Male</v>
      </c>
      <c r="E596" t="s">
        <v>9</v>
      </c>
      <c r="F596" s="2">
        <v>41</v>
      </c>
      <c r="G596" s="2" t="str" cm="1">
        <f t="array" ref="G596">_xlfn.IFS(F596&lt;=8,"Child",F596&lt;=17,"Teen",F596&lt;=35,"Adult",F596&lt;=55,"Seniour Adult",F596&gt;=55,"Old Age")</f>
        <v>Seniour Adult</v>
      </c>
      <c r="H596" t="s">
        <v>10</v>
      </c>
      <c r="I596" t="s">
        <v>11</v>
      </c>
      <c r="J596" t="str" cm="1">
        <f t="array" ref="J596">_xlfn.IFS(I596="S","Sauthamptonm",I596="Q","Queentown",I596="C","Cherburg",I596="B","Cabin")</f>
        <v>Sauthamptonm</v>
      </c>
      <c r="K596" t="s">
        <v>22</v>
      </c>
      <c r="L596" s="2">
        <v>7.0206</v>
      </c>
      <c r="M596">
        <v>0</v>
      </c>
      <c r="N596">
        <v>0</v>
      </c>
      <c r="O596" t="s">
        <v>13</v>
      </c>
    </row>
    <row r="597" spans="1:15" x14ac:dyDescent="0.3">
      <c r="A597" s="1" t="s">
        <v>1217</v>
      </c>
      <c r="B597" t="s">
        <v>72</v>
      </c>
      <c r="C597" t="s">
        <v>1218</v>
      </c>
      <c r="D597" t="str">
        <f t="shared" si="9"/>
        <v>Male</v>
      </c>
      <c r="E597" t="s">
        <v>9</v>
      </c>
      <c r="F597" s="2">
        <v>39</v>
      </c>
      <c r="G597" s="2" t="str" cm="1">
        <f t="array" ref="G597">_xlfn.IFS(F597&lt;=8,"Child",F597&lt;=17,"Teen",F597&lt;=35,"Adult",F597&lt;=55,"Seniour Adult",F597&gt;=55,"Old Age")</f>
        <v>Seniour Adult</v>
      </c>
      <c r="H597" t="s">
        <v>10</v>
      </c>
      <c r="I597" t="s">
        <v>11</v>
      </c>
      <c r="J597" t="str" cm="1">
        <f t="array" ref="J597">_xlfn.IFS(I597="S","Sauthamptonm",I597="Q","Queentown",I597="C","Cherburg",I597="B","Cabin")</f>
        <v>Sauthamptonm</v>
      </c>
      <c r="K597" t="s">
        <v>12</v>
      </c>
      <c r="L597" s="2">
        <v>7.1806000000000001</v>
      </c>
      <c r="M597">
        <v>0</v>
      </c>
      <c r="N597">
        <v>0</v>
      </c>
      <c r="O597" t="s">
        <v>16</v>
      </c>
    </row>
    <row r="598" spans="1:15" x14ac:dyDescent="0.3">
      <c r="A598" s="1" t="s">
        <v>1219</v>
      </c>
      <c r="B598" t="s">
        <v>72</v>
      </c>
      <c r="C598" t="s">
        <v>1220</v>
      </c>
      <c r="D598" t="str">
        <f t="shared" si="9"/>
        <v>Male</v>
      </c>
      <c r="E598" t="s">
        <v>9</v>
      </c>
      <c r="F598" s="2">
        <v>20</v>
      </c>
      <c r="G598" s="2" t="str" cm="1">
        <f t="array" ref="G598">_xlfn.IFS(F598&lt;=8,"Child",F598&lt;=17,"Teen",F598&lt;=35,"Adult",F598&lt;=55,"Seniour Adult",F598&gt;=55,"Old Age")</f>
        <v>Adult</v>
      </c>
      <c r="H598" t="s">
        <v>10</v>
      </c>
      <c r="I598" t="s">
        <v>19</v>
      </c>
      <c r="J598" t="str" cm="1">
        <f t="array" ref="J598">_xlfn.IFS(I598="S","Sauthamptonm",I598="Q","Queentown",I598="C","Cherburg",I598="B","Cabin")</f>
        <v>Cherburg</v>
      </c>
      <c r="K598" t="s">
        <v>21</v>
      </c>
      <c r="L598" s="2">
        <v>7.0407000000000002</v>
      </c>
      <c r="M598">
        <v>0</v>
      </c>
      <c r="N598">
        <v>0</v>
      </c>
      <c r="O598" t="s">
        <v>13</v>
      </c>
    </row>
    <row r="599" spans="1:15" x14ac:dyDescent="0.3">
      <c r="A599" s="1" t="s">
        <v>1221</v>
      </c>
      <c r="B599" t="s">
        <v>72</v>
      </c>
      <c r="C599" t="s">
        <v>1222</v>
      </c>
      <c r="D599" t="str">
        <f t="shared" si="9"/>
        <v>Male</v>
      </c>
      <c r="E599" t="s">
        <v>9</v>
      </c>
      <c r="F599" s="2">
        <v>27</v>
      </c>
      <c r="G599" s="2" t="str" cm="1">
        <f t="array" ref="G599">_xlfn.IFS(F599&lt;=8,"Child",F599&lt;=17,"Teen",F599&lt;=35,"Adult",F599&lt;=55,"Seniour Adult",F599&gt;=55,"Old Age")</f>
        <v>Adult</v>
      </c>
      <c r="H599" t="s">
        <v>18</v>
      </c>
      <c r="I599" t="s">
        <v>11</v>
      </c>
      <c r="J599" t="str" cm="1">
        <f t="array" ref="J599">_xlfn.IFS(I599="S","Sauthamptonm",I599="Q","Queentown",I599="C","Cherburg",I599="B","Cabin")</f>
        <v>Sauthamptonm</v>
      </c>
      <c r="K599" t="s">
        <v>43</v>
      </c>
      <c r="L599" s="2">
        <v>13.1</v>
      </c>
      <c r="M599">
        <v>0</v>
      </c>
      <c r="N599">
        <v>0</v>
      </c>
      <c r="O599" t="s">
        <v>13</v>
      </c>
    </row>
    <row r="600" spans="1:15" x14ac:dyDescent="0.3">
      <c r="A600" s="1" t="s">
        <v>1223</v>
      </c>
      <c r="B600" t="s">
        <v>72</v>
      </c>
      <c r="C600" t="s">
        <v>1224</v>
      </c>
      <c r="D600" t="str">
        <f t="shared" si="9"/>
        <v>Male</v>
      </c>
      <c r="E600" t="s">
        <v>9</v>
      </c>
      <c r="F600" s="2">
        <v>21</v>
      </c>
      <c r="G600" s="2" t="str" cm="1">
        <f t="array" ref="G600">_xlfn.IFS(F600&lt;=8,"Child",F600&lt;=17,"Teen",F600&lt;=35,"Adult",F600&lt;=55,"Seniour Adult",F600&gt;=55,"Old Age")</f>
        <v>Adult</v>
      </c>
      <c r="H600" t="s">
        <v>10</v>
      </c>
      <c r="I600" t="s">
        <v>11</v>
      </c>
      <c r="J600" t="str" cm="1">
        <f t="array" ref="J600">_xlfn.IFS(I600="S","Sauthamptonm",I600="Q","Queentown",I600="C","Cherburg",I600="B","Cabin")</f>
        <v>Sauthamptonm</v>
      </c>
      <c r="K600" t="s">
        <v>15</v>
      </c>
      <c r="L600" s="2">
        <v>7.16</v>
      </c>
      <c r="M600">
        <v>0</v>
      </c>
      <c r="N600">
        <v>0</v>
      </c>
      <c r="O600" t="s">
        <v>13</v>
      </c>
    </row>
    <row r="601" spans="1:15" x14ac:dyDescent="0.3">
      <c r="A601" s="1" t="s">
        <v>1225</v>
      </c>
      <c r="B601" t="s">
        <v>72</v>
      </c>
      <c r="C601" t="s">
        <v>1226</v>
      </c>
      <c r="D601" t="str">
        <f t="shared" si="9"/>
        <v>Male</v>
      </c>
      <c r="E601" t="s">
        <v>9</v>
      </c>
      <c r="F601" s="2">
        <v>20</v>
      </c>
      <c r="G601" s="2" t="str" cm="1">
        <f t="array" ref="G601">_xlfn.IFS(F601&lt;=8,"Child",F601&lt;=17,"Teen",F601&lt;=35,"Adult",F601&lt;=55,"Seniour Adult",F601&gt;=55,"Old Age")</f>
        <v>Adult</v>
      </c>
      <c r="H601" t="s">
        <v>25</v>
      </c>
      <c r="I601" t="s">
        <v>19</v>
      </c>
      <c r="J601" t="str" cm="1">
        <f t="array" ref="J601">_xlfn.IFS(I601="S","Sauthamptonm",I601="Q","Queentown",I601="C","Cherburg",I601="B","Cabin")</f>
        <v>Cherburg</v>
      </c>
      <c r="K601" t="s">
        <v>62</v>
      </c>
      <c r="L601" s="2">
        <v>13.170299999999999</v>
      </c>
      <c r="M601">
        <v>0</v>
      </c>
      <c r="N601">
        <v>0</v>
      </c>
      <c r="O601" t="s">
        <v>16</v>
      </c>
    </row>
    <row r="602" spans="1:15" x14ac:dyDescent="0.3">
      <c r="A602" s="1" t="s">
        <v>1227</v>
      </c>
      <c r="B602" t="s">
        <v>76</v>
      </c>
      <c r="C602" t="s">
        <v>254</v>
      </c>
      <c r="D602" t="str">
        <f t="shared" si="9"/>
        <v>Female</v>
      </c>
      <c r="E602" t="s">
        <v>14</v>
      </c>
      <c r="F602" s="2">
        <v>29</v>
      </c>
      <c r="G602" s="2" t="str" cm="1">
        <f t="array" ref="G602">_xlfn.IFS(F602&lt;=8,"Child",F602&lt;=17,"Teen",F602&lt;=35,"Adult",F602&lt;=55,"Seniour Adult",F602&gt;=55,"Old Age")</f>
        <v>Adult</v>
      </c>
      <c r="H602" t="s">
        <v>18</v>
      </c>
      <c r="I602" t="s">
        <v>11</v>
      </c>
      <c r="J602" t="str" cm="1">
        <f t="array" ref="J602">_xlfn.IFS(I602="S","Sauthamptonm",I602="Q","Queentown",I602="C","Cherburg",I602="B","Cabin")</f>
        <v>Sauthamptonm</v>
      </c>
      <c r="K602" t="s">
        <v>12</v>
      </c>
      <c r="L602" s="2">
        <v>10.1</v>
      </c>
      <c r="M602">
        <v>0</v>
      </c>
      <c r="N602">
        <v>0</v>
      </c>
      <c r="O602" t="s">
        <v>16</v>
      </c>
    </row>
    <row r="603" spans="1:15" x14ac:dyDescent="0.3">
      <c r="A603" s="1" t="s">
        <v>1228</v>
      </c>
      <c r="B603" t="s">
        <v>78</v>
      </c>
      <c r="C603" t="s">
        <v>1229</v>
      </c>
      <c r="D603" t="str">
        <f t="shared" si="9"/>
        <v>Female</v>
      </c>
      <c r="E603" t="s">
        <v>14</v>
      </c>
      <c r="F603" s="2">
        <v>22</v>
      </c>
      <c r="G603" s="2" t="str" cm="1">
        <f t="array" ref="G603">_xlfn.IFS(F603&lt;=8,"Child",F603&lt;=17,"Teen",F603&lt;=35,"Adult",F603&lt;=55,"Seniour Adult",F603&gt;=55,"Old Age")</f>
        <v>Adult</v>
      </c>
      <c r="H603" t="s">
        <v>10</v>
      </c>
      <c r="I603" t="s">
        <v>11</v>
      </c>
      <c r="J603" t="str" cm="1">
        <f t="array" ref="J603">_xlfn.IFS(I603="S","Sauthamptonm",I603="Q","Queentown",I603="C","Cherburg",I603="B","Cabin")</f>
        <v>Sauthamptonm</v>
      </c>
      <c r="K603" t="s">
        <v>23</v>
      </c>
      <c r="L603" s="2">
        <v>7.15</v>
      </c>
      <c r="M603">
        <v>0</v>
      </c>
      <c r="N603">
        <v>0</v>
      </c>
      <c r="O603" t="s">
        <v>16</v>
      </c>
    </row>
    <row r="604" spans="1:15" x14ac:dyDescent="0.3">
      <c r="A604" s="1" t="s">
        <v>1230</v>
      </c>
      <c r="B604" t="s">
        <v>72</v>
      </c>
      <c r="C604" t="s">
        <v>1231</v>
      </c>
      <c r="D604" t="str">
        <f t="shared" si="9"/>
        <v>Male</v>
      </c>
      <c r="E604" t="s">
        <v>9</v>
      </c>
      <c r="F604" s="2">
        <v>60</v>
      </c>
      <c r="G604" s="2" t="str" cm="1">
        <f t="array" ref="G604">_xlfn.IFS(F604&lt;=8,"Child",F604&lt;=17,"Teen",F604&lt;=35,"Adult",F604&lt;=55,"Seniour Adult",F604&gt;=55,"Old Age")</f>
        <v>Old Age</v>
      </c>
      <c r="H604" t="s">
        <v>10</v>
      </c>
      <c r="I604" t="s">
        <v>11</v>
      </c>
      <c r="J604" t="str" cm="1">
        <f t="array" ref="J604">_xlfn.IFS(I604="S","Sauthamptonm",I604="Q","Queentown",I604="C","Cherburg",I604="B","Cabin")</f>
        <v>Sauthamptonm</v>
      </c>
      <c r="K604" t="s">
        <v>17</v>
      </c>
      <c r="L604" s="2">
        <v>6.0408999999999997</v>
      </c>
      <c r="M604">
        <v>0</v>
      </c>
      <c r="N604">
        <v>0</v>
      </c>
      <c r="O604" t="s">
        <v>13</v>
      </c>
    </row>
    <row r="605" spans="1:15" x14ac:dyDescent="0.3">
      <c r="A605" s="1" t="s">
        <v>1232</v>
      </c>
      <c r="B605" t="s">
        <v>72</v>
      </c>
      <c r="C605" t="s">
        <v>974</v>
      </c>
      <c r="D605" t="str">
        <f t="shared" si="9"/>
        <v>Male</v>
      </c>
      <c r="E605" t="s">
        <v>9</v>
      </c>
      <c r="F605" s="2">
        <v>21</v>
      </c>
      <c r="G605" s="2" t="str" cm="1">
        <f t="array" ref="G605">_xlfn.IFS(F605&lt;=8,"Child",F605&lt;=17,"Teen",F605&lt;=35,"Adult",F605&lt;=55,"Seniour Adult",F605&gt;=55,"Old Age")</f>
        <v>Adult</v>
      </c>
      <c r="H605" t="s">
        <v>10</v>
      </c>
      <c r="I605" t="s">
        <v>36</v>
      </c>
      <c r="J605" t="str" cm="1">
        <f t="array" ref="J605">_xlfn.IFS(I605="S","Sauthamptonm",I605="Q","Queentown",I605="C","Cherburg",I605="B","Cabin")</f>
        <v>Queentown</v>
      </c>
      <c r="K605" t="s">
        <v>37</v>
      </c>
      <c r="L605" s="2">
        <v>7.1607000000000003</v>
      </c>
      <c r="M605">
        <v>0</v>
      </c>
      <c r="N605">
        <v>0</v>
      </c>
      <c r="O605" t="s">
        <v>13</v>
      </c>
    </row>
    <row r="606" spans="1:15" x14ac:dyDescent="0.3">
      <c r="A606" s="1" t="s">
        <v>1233</v>
      </c>
      <c r="B606" t="s">
        <v>72</v>
      </c>
      <c r="C606" t="s">
        <v>1234</v>
      </c>
      <c r="D606" t="str">
        <f t="shared" si="9"/>
        <v>Male</v>
      </c>
      <c r="E606" t="s">
        <v>9</v>
      </c>
      <c r="F606" s="2">
        <v>18</v>
      </c>
      <c r="G606" s="2" t="str" cm="1">
        <f t="array" ref="G606">_xlfn.IFS(F606&lt;=8,"Child",F606&lt;=17,"Teen",F606&lt;=35,"Adult",F606&lt;=55,"Seniour Adult",F606&gt;=55,"Old Age")</f>
        <v>Adult</v>
      </c>
      <c r="H606" t="s">
        <v>10</v>
      </c>
      <c r="I606" t="s">
        <v>36</v>
      </c>
      <c r="J606" t="str" cm="1">
        <f t="array" ref="J606">_xlfn.IFS(I606="S","Sauthamptonm",I606="Q","Queentown",I606="C","Cherburg",I606="B","Cabin")</f>
        <v>Queentown</v>
      </c>
      <c r="K606" t="s">
        <v>37</v>
      </c>
      <c r="L606" s="2">
        <v>7.1407999999999996</v>
      </c>
      <c r="M606">
        <v>0</v>
      </c>
      <c r="N606">
        <v>0</v>
      </c>
      <c r="O606" t="s">
        <v>13</v>
      </c>
    </row>
    <row r="607" spans="1:15" x14ac:dyDescent="0.3">
      <c r="A607" s="1" t="s">
        <v>1235</v>
      </c>
      <c r="B607" t="s">
        <v>72</v>
      </c>
      <c r="C607" t="s">
        <v>1236</v>
      </c>
      <c r="D607" t="str">
        <f t="shared" si="9"/>
        <v>Male</v>
      </c>
      <c r="E607" t="s">
        <v>9</v>
      </c>
      <c r="F607" s="2">
        <v>17</v>
      </c>
      <c r="G607" s="2" t="str" cm="1">
        <f t="array" ref="G607">_xlfn.IFS(F607&lt;=8,"Child",F607&lt;=17,"Teen",F607&lt;=35,"Adult",F607&lt;=55,"Seniour Adult",F607&gt;=55,"Old Age")</f>
        <v>Teen</v>
      </c>
      <c r="H607" t="s">
        <v>10</v>
      </c>
      <c r="I607" t="s">
        <v>36</v>
      </c>
      <c r="J607" t="str" cm="1">
        <f t="array" ref="J607">_xlfn.IFS(I607="S","Sauthamptonm",I607="Q","Queentown",I607="C","Cherburg",I607="B","Cabin")</f>
        <v>Queentown</v>
      </c>
      <c r="K607" t="s">
        <v>37</v>
      </c>
      <c r="L607" s="2">
        <v>7.15</v>
      </c>
      <c r="M607">
        <v>0</v>
      </c>
      <c r="N607">
        <v>0</v>
      </c>
      <c r="O607" t="s">
        <v>13</v>
      </c>
    </row>
    <row r="608" spans="1:15" x14ac:dyDescent="0.3">
      <c r="A608" s="1" t="s">
        <v>1237</v>
      </c>
      <c r="B608" t="s">
        <v>72</v>
      </c>
      <c r="C608" t="s">
        <v>1238</v>
      </c>
      <c r="D608" t="str">
        <f t="shared" si="9"/>
        <v>Male</v>
      </c>
      <c r="E608" t="s">
        <v>9</v>
      </c>
      <c r="F608" s="2">
        <v>23</v>
      </c>
      <c r="G608" s="2" t="str" cm="1">
        <f t="array" ref="G608">_xlfn.IFS(F608&lt;=8,"Child",F608&lt;=17,"Teen",F608&lt;=35,"Adult",F608&lt;=55,"Seniour Adult",F608&gt;=55,"Old Age")</f>
        <v>Adult</v>
      </c>
      <c r="H608" t="s">
        <v>10</v>
      </c>
      <c r="I608" t="s">
        <v>11</v>
      </c>
      <c r="J608" t="str" cm="1">
        <f t="array" ref="J608">_xlfn.IFS(I608="S","Sauthamptonm",I608="Q","Queentown",I608="C","Cherburg",I608="B","Cabin")</f>
        <v>Sauthamptonm</v>
      </c>
      <c r="K608" t="s">
        <v>23</v>
      </c>
      <c r="L608" s="2">
        <v>9.0405999999999995</v>
      </c>
      <c r="M608">
        <v>0</v>
      </c>
      <c r="N608">
        <v>0</v>
      </c>
      <c r="O608" t="s">
        <v>13</v>
      </c>
    </row>
    <row r="609" spans="1:15" x14ac:dyDescent="0.3">
      <c r="A609" s="1" t="s">
        <v>1239</v>
      </c>
      <c r="B609" t="s">
        <v>78</v>
      </c>
      <c r="C609" t="s">
        <v>237</v>
      </c>
      <c r="D609" t="str">
        <f t="shared" si="9"/>
        <v>Female</v>
      </c>
      <c r="E609" t="s">
        <v>14</v>
      </c>
      <c r="F609" s="2">
        <v>24</v>
      </c>
      <c r="G609" s="2" t="str" cm="1">
        <f t="array" ref="G609">_xlfn.IFS(F609&lt;=8,"Child",F609&lt;=17,"Teen",F609&lt;=35,"Adult",F609&lt;=55,"Seniour Adult",F609&gt;=55,"Old Age")</f>
        <v>Adult</v>
      </c>
      <c r="H609" t="s">
        <v>10</v>
      </c>
      <c r="I609" t="s">
        <v>36</v>
      </c>
      <c r="J609" t="str" cm="1">
        <f t="array" ref="J609">_xlfn.IFS(I609="S","Sauthamptonm",I609="Q","Queentown",I609="C","Cherburg",I609="B","Cabin")</f>
        <v>Queentown</v>
      </c>
      <c r="K609" t="s">
        <v>37</v>
      </c>
      <c r="L609" s="2">
        <v>7.1707000000000001</v>
      </c>
      <c r="M609">
        <v>0</v>
      </c>
      <c r="N609">
        <v>0</v>
      </c>
      <c r="O609" t="s">
        <v>16</v>
      </c>
    </row>
    <row r="610" spans="1:15" x14ac:dyDescent="0.3">
      <c r="A610" s="1" t="s">
        <v>1240</v>
      </c>
      <c r="B610" t="s">
        <v>78</v>
      </c>
      <c r="C610" t="s">
        <v>1241</v>
      </c>
      <c r="D610" t="str">
        <f t="shared" si="9"/>
        <v>Female</v>
      </c>
      <c r="E610" t="s">
        <v>14</v>
      </c>
      <c r="F610" s="2">
        <v>22</v>
      </c>
      <c r="G610" s="2" t="str" cm="1">
        <f t="array" ref="G610">_xlfn.IFS(F610&lt;=8,"Child",F610&lt;=17,"Teen",F610&lt;=35,"Adult",F610&lt;=55,"Seniour Adult",F610&gt;=55,"Old Age")</f>
        <v>Adult</v>
      </c>
      <c r="H610" t="s">
        <v>10</v>
      </c>
      <c r="I610" t="s">
        <v>11</v>
      </c>
      <c r="J610" t="str" cm="1">
        <f t="array" ref="J610">_xlfn.IFS(I610="S","Sauthamptonm",I610="Q","Queentown",I610="C","Cherburg",I610="B","Cabin")</f>
        <v>Sauthamptonm</v>
      </c>
      <c r="K610" t="s">
        <v>23</v>
      </c>
      <c r="L610" s="2">
        <v>7.1505999999999998</v>
      </c>
      <c r="M610">
        <v>0</v>
      </c>
      <c r="N610">
        <v>0</v>
      </c>
      <c r="O610" t="s">
        <v>16</v>
      </c>
    </row>
    <row r="611" spans="1:15" x14ac:dyDescent="0.3">
      <c r="A611" s="1" t="s">
        <v>1242</v>
      </c>
      <c r="B611" t="s">
        <v>72</v>
      </c>
      <c r="C611" t="s">
        <v>341</v>
      </c>
      <c r="D611" t="str">
        <f t="shared" si="9"/>
        <v>Male</v>
      </c>
      <c r="E611" t="s">
        <v>9</v>
      </c>
      <c r="F611" s="2">
        <v>21</v>
      </c>
      <c r="G611" s="2" t="str" cm="1">
        <f t="array" ref="G611">_xlfn.IFS(F611&lt;=8,"Child",F611&lt;=17,"Teen",F611&lt;=35,"Adult",F611&lt;=55,"Seniour Adult",F611&gt;=55,"Old Age")</f>
        <v>Adult</v>
      </c>
      <c r="H611" t="s">
        <v>10</v>
      </c>
      <c r="I611" t="s">
        <v>36</v>
      </c>
      <c r="J611" t="str" cm="1">
        <f t="array" ref="J611">_xlfn.IFS(I611="S","Sauthamptonm",I611="Q","Queentown",I611="C","Cherburg",I611="B","Cabin")</f>
        <v>Queentown</v>
      </c>
      <c r="K611" t="s">
        <v>37</v>
      </c>
      <c r="L611" s="2">
        <v>7.15</v>
      </c>
      <c r="M611">
        <v>0</v>
      </c>
      <c r="N611">
        <v>0</v>
      </c>
      <c r="O611" t="s">
        <v>16</v>
      </c>
    </row>
    <row r="612" spans="1:15" x14ac:dyDescent="0.3">
      <c r="A612" s="1" t="s">
        <v>1243</v>
      </c>
      <c r="B612" t="s">
        <v>78</v>
      </c>
      <c r="C612" t="s">
        <v>755</v>
      </c>
      <c r="D612" t="str">
        <f t="shared" si="9"/>
        <v>Female</v>
      </c>
      <c r="E612" t="s">
        <v>14</v>
      </c>
      <c r="F612" s="2">
        <v>16</v>
      </c>
      <c r="G612" s="2" t="str" cm="1">
        <f t="array" ref="G612">_xlfn.IFS(F612&lt;=8,"Child",F612&lt;=17,"Teen",F612&lt;=35,"Adult",F612&lt;=55,"Seniour Adult",F612&gt;=55,"Old Age")</f>
        <v>Teen</v>
      </c>
      <c r="H612" t="s">
        <v>10</v>
      </c>
      <c r="I612" t="s">
        <v>36</v>
      </c>
      <c r="J612" t="str" cm="1">
        <f t="array" ref="J612">_xlfn.IFS(I612="S","Sauthamptonm",I612="Q","Queentown",I612="C","Cherburg",I612="B","Cabin")</f>
        <v>Queentown</v>
      </c>
      <c r="K612" t="s">
        <v>37</v>
      </c>
      <c r="L612" s="2">
        <v>7.1607000000000003</v>
      </c>
      <c r="M612">
        <v>0</v>
      </c>
      <c r="N612">
        <v>0</v>
      </c>
      <c r="O612" t="s">
        <v>16</v>
      </c>
    </row>
    <row r="613" spans="1:15" x14ac:dyDescent="0.3">
      <c r="A613" s="1" t="s">
        <v>1244</v>
      </c>
      <c r="B613" t="s">
        <v>1245</v>
      </c>
      <c r="C613" t="s">
        <v>1246</v>
      </c>
      <c r="D613" t="str">
        <f t="shared" si="9"/>
        <v>Female</v>
      </c>
      <c r="E613" t="s">
        <v>14</v>
      </c>
      <c r="F613" s="2">
        <v>39</v>
      </c>
      <c r="G613" s="2" t="str" cm="1">
        <f t="array" ref="G613">_xlfn.IFS(F613&lt;=8,"Child",F613&lt;=17,"Teen",F613&lt;=35,"Adult",F613&lt;=55,"Seniour Adult",F613&gt;=55,"Old Age")</f>
        <v>Seniour Adult</v>
      </c>
      <c r="H613" t="s">
        <v>25</v>
      </c>
      <c r="I613" t="s">
        <v>19</v>
      </c>
      <c r="J613" t="str" cm="1">
        <f t="array" ref="J613">_xlfn.IFS(I613="S","Sauthamptonm",I613="Q","Queentown",I613="C","Cherburg",I613="B","Cabin")</f>
        <v>Cherburg</v>
      </c>
      <c r="K613" t="s">
        <v>50</v>
      </c>
      <c r="L613" s="2">
        <v>108.18</v>
      </c>
      <c r="M613">
        <v>0</v>
      </c>
      <c r="N613">
        <v>0</v>
      </c>
      <c r="O613" t="s">
        <v>16</v>
      </c>
    </row>
    <row r="614" spans="1:15" x14ac:dyDescent="0.3">
      <c r="A614" s="1" t="s">
        <v>1247</v>
      </c>
      <c r="B614" t="s">
        <v>94</v>
      </c>
      <c r="C614" t="s">
        <v>1248</v>
      </c>
      <c r="D614" t="str">
        <f t="shared" si="9"/>
        <v>Male</v>
      </c>
      <c r="E614" t="s">
        <v>9</v>
      </c>
      <c r="F614" s="2">
        <v>9</v>
      </c>
      <c r="G614" s="2" t="str" cm="1">
        <f t="array" ref="G614">_xlfn.IFS(F614&lt;=8,"Child",F614&lt;=17,"Teen",F614&lt;=35,"Adult",F614&lt;=55,"Seniour Adult",F614&gt;=55,"Old Age")</f>
        <v>Teen</v>
      </c>
      <c r="H614" t="s">
        <v>10</v>
      </c>
      <c r="I614" t="s">
        <v>11</v>
      </c>
      <c r="J614" t="str" cm="1">
        <f t="array" ref="J614">_xlfn.IFS(I614="S","Sauthamptonm",I614="Q","Queentown",I614="C","Cherburg",I614="B","Cabin")</f>
        <v>Sauthamptonm</v>
      </c>
      <c r="K614" t="s">
        <v>17</v>
      </c>
      <c r="L614" s="2">
        <v>3.0305</v>
      </c>
      <c r="M614">
        <v>0</v>
      </c>
      <c r="N614">
        <v>1</v>
      </c>
      <c r="O614" t="s">
        <v>16</v>
      </c>
    </row>
    <row r="615" spans="1:15" x14ac:dyDescent="0.3">
      <c r="A615" s="1" t="s">
        <v>1249</v>
      </c>
      <c r="B615" t="s">
        <v>78</v>
      </c>
      <c r="C615" t="s">
        <v>1250</v>
      </c>
      <c r="D615" t="str">
        <f t="shared" si="9"/>
        <v>Female</v>
      </c>
      <c r="E615" t="s">
        <v>14</v>
      </c>
      <c r="F615" s="2">
        <v>31</v>
      </c>
      <c r="G615" s="2" t="str" cm="1">
        <f t="array" ref="G615">_xlfn.IFS(F615&lt;=8,"Child",F615&lt;=17,"Teen",F615&lt;=35,"Adult",F615&lt;=55,"Seniour Adult",F615&gt;=55,"Old Age")</f>
        <v>Adult</v>
      </c>
      <c r="H615" t="s">
        <v>10</v>
      </c>
      <c r="I615" t="s">
        <v>11</v>
      </c>
      <c r="J615" t="str" cm="1">
        <f t="array" ref="J615">_xlfn.IFS(I615="S","Sauthamptonm",I615="Q","Queentown",I615="C","Cherburg",I615="B","Cabin")</f>
        <v>Sauthamptonm</v>
      </c>
      <c r="K615" t="s">
        <v>23</v>
      </c>
      <c r="L615" s="2">
        <v>7.1700999999999997</v>
      </c>
      <c r="M615">
        <v>0</v>
      </c>
      <c r="N615">
        <v>0</v>
      </c>
      <c r="O615" t="s">
        <v>13</v>
      </c>
    </row>
    <row r="616" spans="1:15" x14ac:dyDescent="0.3">
      <c r="A616" s="1" t="s">
        <v>1251</v>
      </c>
      <c r="B616" t="s">
        <v>72</v>
      </c>
      <c r="C616" t="s">
        <v>1252</v>
      </c>
      <c r="D616" t="str">
        <f t="shared" si="9"/>
        <v>Male</v>
      </c>
      <c r="E616" t="s">
        <v>9</v>
      </c>
      <c r="F616" s="2">
        <v>20</v>
      </c>
      <c r="G616" s="2" t="str" cm="1">
        <f t="array" ref="G616">_xlfn.IFS(F616&lt;=8,"Child",F616&lt;=17,"Teen",F616&lt;=35,"Adult",F616&lt;=55,"Seniour Adult",F616&gt;=55,"Old Age")</f>
        <v>Adult</v>
      </c>
      <c r="H616" t="s">
        <v>10</v>
      </c>
      <c r="I616" t="s">
        <v>11</v>
      </c>
      <c r="J616" t="str" cm="1">
        <f t="array" ref="J616">_xlfn.IFS(I616="S","Sauthamptonm",I616="Q","Queentown",I616="C","Cherburg",I616="B","Cabin")</f>
        <v>Sauthamptonm</v>
      </c>
      <c r="K616" t="s">
        <v>17</v>
      </c>
      <c r="L616" s="2">
        <v>9.0405999999999995</v>
      </c>
      <c r="M616">
        <v>0</v>
      </c>
      <c r="N616">
        <v>0</v>
      </c>
      <c r="O616" t="s">
        <v>13</v>
      </c>
    </row>
    <row r="617" spans="1:15" x14ac:dyDescent="0.3">
      <c r="A617" s="1" t="s">
        <v>1253</v>
      </c>
      <c r="B617" t="s">
        <v>72</v>
      </c>
      <c r="C617" t="s">
        <v>1254</v>
      </c>
      <c r="D617" t="str">
        <f t="shared" si="9"/>
        <v>Male</v>
      </c>
      <c r="E617" t="s">
        <v>9</v>
      </c>
      <c r="F617" s="2">
        <v>29</v>
      </c>
      <c r="G617" s="2" t="str" cm="1">
        <f t="array" ref="G617">_xlfn.IFS(F617&lt;=8,"Child",F617&lt;=17,"Teen",F617&lt;=35,"Adult",F617&lt;=55,"Seniour Adult",F617&gt;=55,"Old Age")</f>
        <v>Adult</v>
      </c>
      <c r="H617" t="s">
        <v>25</v>
      </c>
      <c r="I617" t="s">
        <v>19</v>
      </c>
      <c r="J617" t="str" cm="1">
        <f t="array" ref="J617">_xlfn.IFS(I617="S","Sauthamptonm",I617="Q","Queentown",I617="C","Cherburg",I617="B","Cabin")</f>
        <v>Cherburg</v>
      </c>
      <c r="K617" t="s">
        <v>20</v>
      </c>
      <c r="L617" s="2">
        <v>25.140999999999998</v>
      </c>
      <c r="M617">
        <v>0</v>
      </c>
      <c r="N617">
        <v>0</v>
      </c>
      <c r="O617" t="s">
        <v>16</v>
      </c>
    </row>
    <row r="618" spans="1:15" x14ac:dyDescent="0.3">
      <c r="A618" s="1" t="s">
        <v>1255</v>
      </c>
      <c r="B618" t="s">
        <v>78</v>
      </c>
      <c r="C618" t="s">
        <v>1256</v>
      </c>
      <c r="D618" t="str">
        <f t="shared" si="9"/>
        <v>Female</v>
      </c>
      <c r="E618" t="s">
        <v>14</v>
      </c>
      <c r="F618" s="2">
        <v>23</v>
      </c>
      <c r="G618" s="2" t="str" cm="1">
        <f t="array" ref="G618">_xlfn.IFS(F618&lt;=8,"Child",F618&lt;=17,"Teen",F618&lt;=35,"Adult",F618&lt;=55,"Seniour Adult",F618&gt;=55,"Old Age")</f>
        <v>Adult</v>
      </c>
      <c r="H618" t="s">
        <v>10</v>
      </c>
      <c r="I618" t="s">
        <v>11</v>
      </c>
      <c r="J618" t="str" cm="1">
        <f t="array" ref="J618">_xlfn.IFS(I618="S","Sauthamptonm",I618="Q","Queentown",I618="C","Cherburg",I618="B","Cabin")</f>
        <v>Sauthamptonm</v>
      </c>
      <c r="K618" t="s">
        <v>63</v>
      </c>
      <c r="L618" s="2">
        <v>8.1303000000000001</v>
      </c>
      <c r="M618">
        <v>0</v>
      </c>
      <c r="N618">
        <v>0</v>
      </c>
      <c r="O618" t="s">
        <v>13</v>
      </c>
    </row>
    <row r="619" spans="1:15" x14ac:dyDescent="0.3">
      <c r="A619" s="1" t="s">
        <v>1257</v>
      </c>
      <c r="B619" t="s">
        <v>72</v>
      </c>
      <c r="C619" t="s">
        <v>1258</v>
      </c>
      <c r="D619" t="str">
        <f t="shared" si="9"/>
        <v>Male</v>
      </c>
      <c r="E619" t="s">
        <v>9</v>
      </c>
      <c r="F619" s="2">
        <v>16</v>
      </c>
      <c r="G619" s="2" t="str" cm="1">
        <f t="array" ref="G619">_xlfn.IFS(F619&lt;=8,"Child",F619&lt;=17,"Teen",F619&lt;=35,"Adult",F619&lt;=55,"Seniour Adult",F619&gt;=55,"Old Age")</f>
        <v>Teen</v>
      </c>
      <c r="H619" t="s">
        <v>10</v>
      </c>
      <c r="I619" t="s">
        <v>11</v>
      </c>
      <c r="J619" t="str" cm="1">
        <f t="array" ref="J619">_xlfn.IFS(I619="S","Sauthamptonm",I619="Q","Queentown",I619="C","Cherburg",I619="B","Cabin")</f>
        <v>Sauthamptonm</v>
      </c>
      <c r="K619" t="s">
        <v>23</v>
      </c>
      <c r="L619" s="2">
        <v>9.0404</v>
      </c>
      <c r="M619">
        <v>0</v>
      </c>
      <c r="N619">
        <v>0</v>
      </c>
      <c r="O619" t="s">
        <v>13</v>
      </c>
    </row>
    <row r="620" spans="1:15" x14ac:dyDescent="0.3">
      <c r="A620" s="1" t="s">
        <v>1259</v>
      </c>
      <c r="B620" t="s">
        <v>78</v>
      </c>
      <c r="C620" t="s">
        <v>1260</v>
      </c>
      <c r="D620" t="str">
        <f t="shared" si="9"/>
        <v>Female</v>
      </c>
      <c r="E620" t="s">
        <v>14</v>
      </c>
      <c r="F620" s="2">
        <v>22</v>
      </c>
      <c r="G620" s="2" t="str" cm="1">
        <f t="array" ref="G620">_xlfn.IFS(F620&lt;=8,"Child",F620&lt;=17,"Teen",F620&lt;=35,"Adult",F620&lt;=55,"Seniour Adult",F620&gt;=55,"Old Age")</f>
        <v>Adult</v>
      </c>
      <c r="H620" t="s">
        <v>25</v>
      </c>
      <c r="I620" t="s">
        <v>11</v>
      </c>
      <c r="J620" t="str" cm="1">
        <f t="array" ref="J620">_xlfn.IFS(I620="S","Sauthamptonm",I620="Q","Queentown",I620="C","Cherburg",I620="B","Cabin")</f>
        <v>Sauthamptonm</v>
      </c>
      <c r="K620" t="s">
        <v>12</v>
      </c>
      <c r="L620" s="2">
        <v>61.1907</v>
      </c>
      <c r="M620">
        <v>0</v>
      </c>
      <c r="N620">
        <v>1</v>
      </c>
      <c r="O620" t="s">
        <v>16</v>
      </c>
    </row>
    <row r="621" spans="1:15" x14ac:dyDescent="0.3">
      <c r="A621" s="1" t="s">
        <v>1261</v>
      </c>
      <c r="B621" t="s">
        <v>72</v>
      </c>
      <c r="C621" t="s">
        <v>1262</v>
      </c>
      <c r="D621" t="str">
        <f t="shared" si="9"/>
        <v>Male</v>
      </c>
      <c r="E621" t="s">
        <v>9</v>
      </c>
      <c r="F621" s="2">
        <v>64</v>
      </c>
      <c r="G621" s="2" t="str" cm="1">
        <f t="array" ref="G621">_xlfn.IFS(F621&lt;=8,"Child",F621&lt;=17,"Teen",F621&lt;=35,"Adult",F621&lt;=55,"Seniour Adult",F621&gt;=55,"Old Age")</f>
        <v>Old Age</v>
      </c>
      <c r="H621" t="s">
        <v>25</v>
      </c>
      <c r="I621" t="s">
        <v>11</v>
      </c>
      <c r="J621" t="str" cm="1">
        <f t="array" ref="J621">_xlfn.IFS(I621="S","Sauthamptonm",I621="Q","Queentown",I621="C","Cherburg",I621="B","Cabin")</f>
        <v>Sauthamptonm</v>
      </c>
      <c r="K621" t="s">
        <v>12</v>
      </c>
      <c r="L621" s="2">
        <v>61.1907</v>
      </c>
      <c r="M621">
        <v>0</v>
      </c>
      <c r="N621">
        <v>1</v>
      </c>
      <c r="O621" t="s">
        <v>13</v>
      </c>
    </row>
    <row r="622" spans="1:15" x14ac:dyDescent="0.3">
      <c r="A622" s="1" t="s">
        <v>1263</v>
      </c>
      <c r="B622" t="s">
        <v>78</v>
      </c>
      <c r="C622" t="s">
        <v>1264</v>
      </c>
      <c r="D622" t="str">
        <f t="shared" si="9"/>
        <v>Female</v>
      </c>
      <c r="E622" t="s">
        <v>14</v>
      </c>
      <c r="F622" s="2">
        <v>21</v>
      </c>
      <c r="G622" s="2" t="str" cm="1">
        <f t="array" ref="G622">_xlfn.IFS(F622&lt;=8,"Child",F622&lt;=17,"Teen",F622&lt;=35,"Adult",F622&lt;=55,"Seniour Adult",F622&gt;=55,"Old Age")</f>
        <v>Adult</v>
      </c>
      <c r="H622" t="s">
        <v>10</v>
      </c>
      <c r="I622" t="s">
        <v>36</v>
      </c>
      <c r="J622" t="str" cm="1">
        <f t="array" ref="J622">_xlfn.IFS(I622="S","Sauthamptonm",I622="Q","Queentown",I622="C","Cherburg",I622="B","Cabin")</f>
        <v>Queentown</v>
      </c>
      <c r="K622" t="s">
        <v>37</v>
      </c>
      <c r="L622" s="2">
        <v>7.1207000000000003</v>
      </c>
      <c r="M622">
        <v>0</v>
      </c>
      <c r="N622">
        <v>0</v>
      </c>
      <c r="O622" t="s">
        <v>13</v>
      </c>
    </row>
    <row r="623" spans="1:15" x14ac:dyDescent="0.3">
      <c r="A623" s="1" t="s">
        <v>1265</v>
      </c>
      <c r="B623" t="s">
        <v>72</v>
      </c>
      <c r="C623" t="s">
        <v>637</v>
      </c>
      <c r="D623" t="str">
        <f t="shared" si="9"/>
        <v>Male</v>
      </c>
      <c r="E623" t="s">
        <v>9</v>
      </c>
      <c r="F623" s="2">
        <v>38</v>
      </c>
      <c r="G623" s="2" t="str" cm="1">
        <f t="array" ref="G623">_xlfn.IFS(F623&lt;=8,"Child",F623&lt;=17,"Teen",F623&lt;=35,"Adult",F623&lt;=55,"Seniour Adult",F623&gt;=55,"Old Age")</f>
        <v>Seniour Adult</v>
      </c>
      <c r="H623" t="s">
        <v>18</v>
      </c>
      <c r="I623" t="s">
        <v>11</v>
      </c>
      <c r="J623" t="str" cm="1">
        <f t="array" ref="J623">_xlfn.IFS(I623="S","Sauthamptonm",I623="Q","Queentown",I623="C","Cherburg",I623="B","Cabin")</f>
        <v>Sauthamptonm</v>
      </c>
      <c r="K623" t="s">
        <v>12</v>
      </c>
      <c r="L623" s="2">
        <v>13</v>
      </c>
      <c r="M623">
        <v>0</v>
      </c>
      <c r="N623">
        <v>0</v>
      </c>
      <c r="O623" t="s">
        <v>13</v>
      </c>
    </row>
    <row r="624" spans="1:15" x14ac:dyDescent="0.3">
      <c r="A624" s="1" t="s">
        <v>1266</v>
      </c>
      <c r="B624" t="s">
        <v>72</v>
      </c>
      <c r="C624" t="s">
        <v>1267</v>
      </c>
      <c r="D624" t="str">
        <f t="shared" si="9"/>
        <v>Male</v>
      </c>
      <c r="E624" t="s">
        <v>9</v>
      </c>
      <c r="F624" s="2">
        <v>36</v>
      </c>
      <c r="G624" s="2" t="str" cm="1">
        <f t="array" ref="G624">_xlfn.IFS(F624&lt;=8,"Child",F624&lt;=17,"Teen",F624&lt;=35,"Adult",F624&lt;=55,"Seniour Adult",F624&gt;=55,"Old Age")</f>
        <v>Seniour Adult</v>
      </c>
      <c r="H624" t="s">
        <v>25</v>
      </c>
      <c r="I624" t="s">
        <v>19</v>
      </c>
      <c r="J624" t="str" cm="1">
        <f t="array" ref="J624">_xlfn.IFS(I624="S","Sauthamptonm",I624="Q","Queentown",I624="C","Cherburg",I624="B","Cabin")</f>
        <v>Cherburg</v>
      </c>
      <c r="K624" t="s">
        <v>64</v>
      </c>
      <c r="L624" s="2">
        <v>27.140499999999999</v>
      </c>
      <c r="M624">
        <v>0</v>
      </c>
      <c r="N624">
        <v>0</v>
      </c>
      <c r="O624" t="s">
        <v>13</v>
      </c>
    </row>
    <row r="625" spans="1:15" x14ac:dyDescent="0.3">
      <c r="A625" s="1" t="s">
        <v>1268</v>
      </c>
      <c r="B625" t="s">
        <v>72</v>
      </c>
      <c r="C625" t="s">
        <v>1269</v>
      </c>
      <c r="D625" t="str">
        <f t="shared" si="9"/>
        <v>Male</v>
      </c>
      <c r="E625" t="s">
        <v>9</v>
      </c>
      <c r="F625" s="2">
        <v>22</v>
      </c>
      <c r="G625" s="2" t="str" cm="1">
        <f t="array" ref="G625">_xlfn.IFS(F625&lt;=8,"Child",F625&lt;=17,"Teen",F625&lt;=35,"Adult",F625&lt;=55,"Seniour Adult",F625&gt;=55,"Old Age")</f>
        <v>Adult</v>
      </c>
      <c r="H625" t="s">
        <v>18</v>
      </c>
      <c r="I625" t="s">
        <v>11</v>
      </c>
      <c r="J625" t="str" cm="1">
        <f t="array" ref="J625">_xlfn.IFS(I625="S","Sauthamptonm",I625="Q","Queentown",I625="C","Cherburg",I625="B","Cabin")</f>
        <v>Sauthamptonm</v>
      </c>
      <c r="K625" t="s">
        <v>15</v>
      </c>
      <c r="L625" s="2">
        <v>10.1</v>
      </c>
      <c r="M625">
        <v>0</v>
      </c>
      <c r="N625">
        <v>0</v>
      </c>
      <c r="O625" t="s">
        <v>16</v>
      </c>
    </row>
    <row r="626" spans="1:15" x14ac:dyDescent="0.3">
      <c r="A626" s="1" t="s">
        <v>1270</v>
      </c>
      <c r="B626" t="s">
        <v>72</v>
      </c>
      <c r="C626" t="s">
        <v>1271</v>
      </c>
      <c r="D626" t="str">
        <f t="shared" si="9"/>
        <v>Male</v>
      </c>
      <c r="E626" t="s">
        <v>9</v>
      </c>
      <c r="F626" s="2">
        <v>27</v>
      </c>
      <c r="G626" s="2" t="str" cm="1">
        <f t="array" ref="G626">_xlfn.IFS(F626&lt;=8,"Child",F626&lt;=17,"Teen",F626&lt;=35,"Adult",F626&lt;=55,"Seniour Adult",F626&gt;=55,"Old Age")</f>
        <v>Adult</v>
      </c>
      <c r="H626" t="s">
        <v>18</v>
      </c>
      <c r="I626" t="s">
        <v>19</v>
      </c>
      <c r="J626" t="str" cm="1">
        <f t="array" ref="J626">_xlfn.IFS(I626="S","Sauthamptonm",I626="Q","Queentown",I626="C","Cherburg",I626="B","Cabin")</f>
        <v>Cherburg</v>
      </c>
      <c r="K626" t="s">
        <v>50</v>
      </c>
      <c r="L626" s="2">
        <v>13.170299999999999</v>
      </c>
      <c r="M626">
        <v>0</v>
      </c>
      <c r="N626">
        <v>0</v>
      </c>
      <c r="O626" t="s">
        <v>16</v>
      </c>
    </row>
    <row r="627" spans="1:15" x14ac:dyDescent="0.3">
      <c r="A627" s="1" t="s">
        <v>1272</v>
      </c>
      <c r="B627" t="s">
        <v>287</v>
      </c>
      <c r="C627" t="s">
        <v>1226</v>
      </c>
      <c r="D627" t="str">
        <f t="shared" si="9"/>
        <v>Male</v>
      </c>
      <c r="E627" t="s">
        <v>9</v>
      </c>
      <c r="F627" s="2">
        <v>23</v>
      </c>
      <c r="G627" s="2" t="str" cm="1">
        <f t="array" ref="G627">_xlfn.IFS(F627&lt;=8,"Child",F627&lt;=17,"Teen",F627&lt;=35,"Adult",F627&lt;=55,"Seniour Adult",F627&gt;=55,"Old Age")</f>
        <v>Adult</v>
      </c>
      <c r="H627" t="s">
        <v>18</v>
      </c>
      <c r="I627" t="s">
        <v>11</v>
      </c>
      <c r="J627" t="str" cm="1">
        <f t="array" ref="J627">_xlfn.IFS(I627="S","Sauthamptonm",I627="Q","Queentown",I627="C","Cherburg",I627="B","Cabin")</f>
        <v>Sauthamptonm</v>
      </c>
      <c r="K627" t="s">
        <v>26</v>
      </c>
      <c r="L627" s="2">
        <v>10.1</v>
      </c>
      <c r="M627">
        <v>0</v>
      </c>
      <c r="N627">
        <v>0</v>
      </c>
      <c r="O627" t="s">
        <v>13</v>
      </c>
    </row>
    <row r="628" spans="1:15" x14ac:dyDescent="0.3">
      <c r="A628" s="1" t="s">
        <v>1273</v>
      </c>
      <c r="B628" t="s">
        <v>1274</v>
      </c>
      <c r="C628" t="s">
        <v>1275</v>
      </c>
      <c r="D628" t="str">
        <f t="shared" si="9"/>
        <v>Male</v>
      </c>
      <c r="E628" t="s">
        <v>9</v>
      </c>
      <c r="F628" s="2">
        <v>29</v>
      </c>
      <c r="G628" s="2" t="str" cm="1">
        <f t="array" ref="G628">_xlfn.IFS(F628&lt;=8,"Child",F628&lt;=17,"Teen",F628&lt;=35,"Adult",F628&lt;=55,"Seniour Adult",F628&gt;=55,"Old Age")</f>
        <v>Adult</v>
      </c>
      <c r="H628" t="s">
        <v>18</v>
      </c>
      <c r="I628" t="s">
        <v>19</v>
      </c>
      <c r="J628" t="str" cm="1">
        <f t="array" ref="J628">_xlfn.IFS(I628="S","Sauthamptonm",I628="Q","Queentown",I628="C","Cherburg",I628="B","Cabin")</f>
        <v>Cherburg</v>
      </c>
      <c r="K628" t="s">
        <v>50</v>
      </c>
      <c r="L628" s="2">
        <v>13.170199999999999</v>
      </c>
      <c r="M628">
        <v>0</v>
      </c>
      <c r="N628">
        <v>0</v>
      </c>
      <c r="O628" t="s">
        <v>16</v>
      </c>
    </row>
    <row r="629" spans="1:15" x14ac:dyDescent="0.3">
      <c r="A629" s="1" t="s">
        <v>1276</v>
      </c>
      <c r="B629" t="s">
        <v>94</v>
      </c>
      <c r="C629" t="s">
        <v>1277</v>
      </c>
      <c r="D629" t="str">
        <f t="shared" si="9"/>
        <v>Male</v>
      </c>
      <c r="E629" t="s">
        <v>9</v>
      </c>
      <c r="F629" s="2">
        <v>2</v>
      </c>
      <c r="G629" s="2" t="str" cm="1">
        <f t="array" ref="G629">_xlfn.IFS(F629&lt;=8,"Child",F629&lt;=17,"Teen",F629&lt;=35,"Adult",F629&lt;=55,"Seniour Adult",F629&gt;=55,"Old Age")</f>
        <v>Child</v>
      </c>
      <c r="H629" t="s">
        <v>10</v>
      </c>
      <c r="I629" t="s">
        <v>11</v>
      </c>
      <c r="J629" t="str" cm="1">
        <f t="array" ref="J629">_xlfn.IFS(I629="S","Sauthamptonm",I629="Q","Queentown",I629="C","Cherburg",I629="B","Cabin")</f>
        <v>Sauthamptonm</v>
      </c>
      <c r="K629" t="s">
        <v>23</v>
      </c>
      <c r="L629" s="2">
        <v>21.0106</v>
      </c>
      <c r="M629">
        <v>3</v>
      </c>
      <c r="N629">
        <v>1</v>
      </c>
      <c r="O629" t="s">
        <v>13</v>
      </c>
    </row>
    <row r="630" spans="1:15" x14ac:dyDescent="0.3">
      <c r="A630" s="1" t="s">
        <v>1278</v>
      </c>
      <c r="B630" t="s">
        <v>94</v>
      </c>
      <c r="C630" t="s">
        <v>1279</v>
      </c>
      <c r="D630" t="str">
        <f t="shared" si="9"/>
        <v>Male</v>
      </c>
      <c r="E630" t="s">
        <v>9</v>
      </c>
      <c r="F630" s="2">
        <v>1</v>
      </c>
      <c r="G630" s="2" t="str" cm="1">
        <f t="array" ref="G630">_xlfn.IFS(F630&lt;=8,"Child",F630&lt;=17,"Teen",F630&lt;=35,"Adult",F630&lt;=55,"Seniour Adult",F630&gt;=55,"Old Age")</f>
        <v>Child</v>
      </c>
      <c r="H630" t="s">
        <v>10</v>
      </c>
      <c r="I630" t="s">
        <v>11</v>
      </c>
      <c r="J630" t="str" cm="1">
        <f t="array" ref="J630">_xlfn.IFS(I630="S","Sauthamptonm",I630="Q","Queentown",I630="C","Cherburg",I630="B","Cabin")</f>
        <v>Sauthamptonm</v>
      </c>
      <c r="K630" t="s">
        <v>22</v>
      </c>
      <c r="L630" s="2">
        <v>39.130899999999997</v>
      </c>
      <c r="M630">
        <v>4</v>
      </c>
      <c r="N630">
        <v>1</v>
      </c>
      <c r="O630" t="s">
        <v>13</v>
      </c>
    </row>
    <row r="631" spans="1:15" x14ac:dyDescent="0.3">
      <c r="A631" s="1" t="s">
        <v>1280</v>
      </c>
      <c r="B631" t="s">
        <v>72</v>
      </c>
      <c r="C631" t="s">
        <v>1281</v>
      </c>
      <c r="D631" t="str">
        <f t="shared" si="9"/>
        <v>Male</v>
      </c>
      <c r="E631" t="s">
        <v>9</v>
      </c>
      <c r="F631" s="2">
        <v>17</v>
      </c>
      <c r="G631" s="2" t="str" cm="1">
        <f t="array" ref="G631">_xlfn.IFS(F631&lt;=8,"Child",F631&lt;=17,"Teen",F631&lt;=35,"Adult",F631&lt;=55,"Seniour Adult",F631&gt;=55,"Old Age")</f>
        <v>Teen</v>
      </c>
      <c r="H631" t="s">
        <v>18</v>
      </c>
      <c r="I631" t="s">
        <v>11</v>
      </c>
      <c r="J631" t="str" cm="1">
        <f t="array" ref="J631">_xlfn.IFS(I631="S","Sauthamptonm",I631="Q","Queentown",I631="C","Cherburg",I631="B","Cabin")</f>
        <v>Sauthamptonm</v>
      </c>
      <c r="K631" t="s">
        <v>33</v>
      </c>
      <c r="L631" s="2">
        <v>10.1</v>
      </c>
      <c r="M631">
        <v>0</v>
      </c>
      <c r="N631">
        <v>0</v>
      </c>
      <c r="O631" t="s">
        <v>13</v>
      </c>
    </row>
    <row r="632" spans="1:15" x14ac:dyDescent="0.3">
      <c r="A632" s="1" t="s">
        <v>1282</v>
      </c>
      <c r="B632" t="s">
        <v>72</v>
      </c>
      <c r="C632" t="s">
        <v>1283</v>
      </c>
      <c r="D632" t="str">
        <f t="shared" si="9"/>
        <v>Male</v>
      </c>
      <c r="E632" t="s">
        <v>9</v>
      </c>
      <c r="F632" s="2">
        <v>21</v>
      </c>
      <c r="G632" s="2" t="str" cm="1">
        <f t="array" ref="G632">_xlfn.IFS(F632&lt;=8,"Child",F632&lt;=17,"Teen",F632&lt;=35,"Adult",F632&lt;=55,"Seniour Adult",F632&gt;=55,"Old Age")</f>
        <v>Adult</v>
      </c>
      <c r="H632" t="s">
        <v>18</v>
      </c>
      <c r="I632" t="s">
        <v>28</v>
      </c>
      <c r="J632" t="str" cm="1">
        <f t="array" ref="J632">_xlfn.IFS(I632="S","Sauthamptonm",I632="Q","Queentown",I632="C","Cherburg",I632="B","Cabin")</f>
        <v>Cabin</v>
      </c>
      <c r="K632" t="s">
        <v>29</v>
      </c>
      <c r="L632" s="2">
        <v>29</v>
      </c>
      <c r="M632">
        <v>0</v>
      </c>
      <c r="N632">
        <v>0</v>
      </c>
      <c r="O632" t="s">
        <v>13</v>
      </c>
    </row>
    <row r="633" spans="1:15" x14ac:dyDescent="0.3">
      <c r="A633" s="1" t="s">
        <v>1284</v>
      </c>
      <c r="B633" t="s">
        <v>76</v>
      </c>
      <c r="C633" t="s">
        <v>1285</v>
      </c>
      <c r="D633" t="str">
        <f t="shared" si="9"/>
        <v>Female</v>
      </c>
      <c r="E633" t="s">
        <v>14</v>
      </c>
      <c r="F633" s="2">
        <v>59</v>
      </c>
      <c r="G633" s="2" t="str" cm="1">
        <f t="array" ref="G633">_xlfn.IFS(F633&lt;=8,"Child",F633&lt;=17,"Teen",F633&lt;=35,"Adult",F633&lt;=55,"Seniour Adult",F633&gt;=55,"Old Age")</f>
        <v>Old Age</v>
      </c>
      <c r="H633" t="s">
        <v>18</v>
      </c>
      <c r="I633" t="s">
        <v>11</v>
      </c>
      <c r="J633" t="str" cm="1">
        <f t="array" ref="J633">_xlfn.IFS(I633="S","Sauthamptonm",I633="Q","Queentown",I633="C","Cherburg",I633="B","Cabin")</f>
        <v>Sauthamptonm</v>
      </c>
      <c r="K633" t="s">
        <v>12</v>
      </c>
      <c r="L633" s="2">
        <v>26</v>
      </c>
      <c r="M633">
        <v>0</v>
      </c>
      <c r="N633">
        <v>1</v>
      </c>
      <c r="O633" t="s">
        <v>16</v>
      </c>
    </row>
    <row r="634" spans="1:15" x14ac:dyDescent="0.3">
      <c r="A634" s="1" t="s">
        <v>1286</v>
      </c>
      <c r="B634" t="s">
        <v>72</v>
      </c>
      <c r="C634" t="s">
        <v>1287</v>
      </c>
      <c r="D634" t="str">
        <f t="shared" si="9"/>
        <v>Male</v>
      </c>
      <c r="E634" t="s">
        <v>9</v>
      </c>
      <c r="F634" s="2">
        <v>30</v>
      </c>
      <c r="G634" s="2" t="str" cm="1">
        <f t="array" ref="G634">_xlfn.IFS(F634&lt;=8,"Child",F634&lt;=17,"Teen",F634&lt;=35,"Adult",F634&lt;=55,"Seniour Adult",F634&gt;=55,"Old Age")</f>
        <v>Adult</v>
      </c>
      <c r="H634" t="s">
        <v>25</v>
      </c>
      <c r="I634" t="s">
        <v>28</v>
      </c>
      <c r="J634" t="str" cm="1">
        <f t="array" ref="J634">_xlfn.IFS(I634="S","Sauthamptonm",I634="Q","Queentown",I634="C","Cherburg",I634="B","Cabin")</f>
        <v>Cabin</v>
      </c>
      <c r="K634" t="s">
        <v>15</v>
      </c>
      <c r="L634" s="2">
        <v>29</v>
      </c>
      <c r="M634">
        <v>0</v>
      </c>
      <c r="N634">
        <v>0</v>
      </c>
      <c r="O634" t="s">
        <v>13</v>
      </c>
    </row>
    <row r="635" spans="1:15" x14ac:dyDescent="0.3">
      <c r="A635" s="1" t="s">
        <v>1288</v>
      </c>
      <c r="B635" t="s">
        <v>72</v>
      </c>
      <c r="C635" t="s">
        <v>1289</v>
      </c>
      <c r="D635" t="str">
        <f t="shared" si="9"/>
        <v>Male</v>
      </c>
      <c r="E635" t="s">
        <v>9</v>
      </c>
      <c r="F635" s="2">
        <v>40</v>
      </c>
      <c r="G635" s="2" t="str" cm="1">
        <f t="array" ref="G635">_xlfn.IFS(F635&lt;=8,"Child",F635&lt;=17,"Teen",F635&lt;=35,"Adult",F635&lt;=55,"Seniour Adult",F635&gt;=55,"Old Age")</f>
        <v>Seniour Adult</v>
      </c>
      <c r="H635" t="s">
        <v>25</v>
      </c>
      <c r="I635" t="s">
        <v>11</v>
      </c>
      <c r="J635" t="str" cm="1">
        <f t="array" ref="J635">_xlfn.IFS(I635="S","Sauthamptonm",I635="Q","Queentown",I635="C","Cherburg",I635="B","Cabin")</f>
        <v>Sauthamptonm</v>
      </c>
      <c r="K635" t="s">
        <v>15</v>
      </c>
      <c r="L635" s="2">
        <v>28.1</v>
      </c>
      <c r="M635">
        <v>0</v>
      </c>
      <c r="N635">
        <v>0</v>
      </c>
      <c r="O635" t="s">
        <v>13</v>
      </c>
    </row>
    <row r="636" spans="1:15" x14ac:dyDescent="0.3">
      <c r="A636" s="1" t="s">
        <v>1290</v>
      </c>
      <c r="B636" t="s">
        <v>72</v>
      </c>
      <c r="C636" t="s">
        <v>241</v>
      </c>
      <c r="D636" t="str">
        <f t="shared" si="9"/>
        <v>Male</v>
      </c>
      <c r="E636" t="s">
        <v>9</v>
      </c>
      <c r="F636" s="2">
        <v>21</v>
      </c>
      <c r="G636" s="2" t="str" cm="1">
        <f t="array" ref="G636">_xlfn.IFS(F636&lt;=8,"Child",F636&lt;=17,"Teen",F636&lt;=35,"Adult",F636&lt;=55,"Seniour Adult",F636&gt;=55,"Old Age")</f>
        <v>Adult</v>
      </c>
      <c r="H636" t="s">
        <v>10</v>
      </c>
      <c r="I636" t="s">
        <v>11</v>
      </c>
      <c r="J636" t="str" cm="1">
        <f t="array" ref="J636">_xlfn.IFS(I636="S","Sauthamptonm",I636="Q","Queentown",I636="C","Cherburg",I636="B","Cabin")</f>
        <v>Sauthamptonm</v>
      </c>
      <c r="K636" t="s">
        <v>55</v>
      </c>
      <c r="L636" s="2">
        <v>8.1303000000000001</v>
      </c>
      <c r="M636">
        <v>0</v>
      </c>
      <c r="N636">
        <v>0</v>
      </c>
      <c r="O636" t="s">
        <v>13</v>
      </c>
    </row>
    <row r="637" spans="1:15" x14ac:dyDescent="0.3">
      <c r="A637" s="1" t="s">
        <v>1291</v>
      </c>
      <c r="B637" t="s">
        <v>72</v>
      </c>
      <c r="C637" t="s">
        <v>698</v>
      </c>
      <c r="D637" t="str">
        <f t="shared" si="9"/>
        <v>Male</v>
      </c>
      <c r="E637" t="s">
        <v>9</v>
      </c>
      <c r="F637" s="2">
        <v>20</v>
      </c>
      <c r="G637" s="2" t="str" cm="1">
        <f t="array" ref="G637">_xlfn.IFS(F637&lt;=8,"Child",F637&lt;=17,"Teen",F637&lt;=35,"Adult",F637&lt;=55,"Seniour Adult",F637&gt;=55,"Old Age")</f>
        <v>Adult</v>
      </c>
      <c r="H637" t="s">
        <v>10</v>
      </c>
      <c r="I637" t="s">
        <v>11</v>
      </c>
      <c r="J637" t="str" cm="1">
        <f t="array" ref="J637">_xlfn.IFS(I637="S","Sauthamptonm",I637="Q","Queentown",I637="C","Cherburg",I637="B","Cabin")</f>
        <v>Sauthamptonm</v>
      </c>
      <c r="K637" t="s">
        <v>15</v>
      </c>
      <c r="L637" s="2">
        <v>14.1</v>
      </c>
      <c r="M637">
        <v>0</v>
      </c>
      <c r="N637">
        <v>0</v>
      </c>
      <c r="O637" t="s">
        <v>13</v>
      </c>
    </row>
    <row r="638" spans="1:15" x14ac:dyDescent="0.3">
      <c r="A638" s="1" t="s">
        <v>1292</v>
      </c>
      <c r="B638" t="s">
        <v>72</v>
      </c>
      <c r="C638" t="s">
        <v>1293</v>
      </c>
      <c r="D638" t="str">
        <f t="shared" si="9"/>
        <v>Male</v>
      </c>
      <c r="E638" t="s">
        <v>9</v>
      </c>
      <c r="F638" s="2">
        <v>32</v>
      </c>
      <c r="G638" s="2" t="str" cm="1">
        <f t="array" ref="G638">_xlfn.IFS(F638&lt;=8,"Child",F638&lt;=17,"Teen",F638&lt;=35,"Adult",F638&lt;=55,"Seniour Adult",F638&gt;=55,"Old Age")</f>
        <v>Adult</v>
      </c>
      <c r="H638" t="s">
        <v>10</v>
      </c>
      <c r="I638" t="s">
        <v>11</v>
      </c>
      <c r="J638" t="str" cm="1">
        <f t="array" ref="J638">_xlfn.IFS(I638="S","Sauthamptonm",I638="Q","Queentown",I638="C","Cherburg",I638="B","Cabin")</f>
        <v>Sauthamptonm</v>
      </c>
      <c r="K638" t="s">
        <v>63</v>
      </c>
      <c r="L638" s="2">
        <v>7.1711</v>
      </c>
      <c r="M638">
        <v>0</v>
      </c>
      <c r="N638">
        <v>0</v>
      </c>
      <c r="O638" t="s">
        <v>13</v>
      </c>
    </row>
    <row r="639" spans="1:15" x14ac:dyDescent="0.3">
      <c r="A639" s="1" t="s">
        <v>1294</v>
      </c>
      <c r="B639" t="s">
        <v>72</v>
      </c>
      <c r="C639" t="s">
        <v>1295</v>
      </c>
      <c r="D639" t="str">
        <f t="shared" si="9"/>
        <v>Male</v>
      </c>
      <c r="E639" t="s">
        <v>9</v>
      </c>
      <c r="F639" s="2">
        <v>23</v>
      </c>
      <c r="G639" s="2" t="str" cm="1">
        <f t="array" ref="G639">_xlfn.IFS(F639&lt;=8,"Child",F639&lt;=17,"Teen",F639&lt;=35,"Adult",F639&lt;=55,"Seniour Adult",F639&gt;=55,"Old Age")</f>
        <v>Adult</v>
      </c>
      <c r="H639" t="s">
        <v>25</v>
      </c>
      <c r="I639" t="s">
        <v>11</v>
      </c>
      <c r="J639" t="str" cm="1">
        <f t="array" ref="J639">_xlfn.IFS(I639="S","Sauthamptonm",I639="Q","Queentown",I639="C","Cherburg",I639="B","Cabin")</f>
        <v>Sauthamptonm</v>
      </c>
      <c r="K639" t="s">
        <v>26</v>
      </c>
      <c r="L639" s="2">
        <v>93.1</v>
      </c>
      <c r="M639">
        <v>0</v>
      </c>
      <c r="N639">
        <v>0</v>
      </c>
      <c r="O639" t="s">
        <v>13</v>
      </c>
    </row>
    <row r="640" spans="1:15" x14ac:dyDescent="0.3">
      <c r="A640" s="1" t="s">
        <v>1296</v>
      </c>
      <c r="B640" t="s">
        <v>94</v>
      </c>
      <c r="C640" t="s">
        <v>1297</v>
      </c>
      <c r="D640" t="str">
        <f t="shared" si="9"/>
        <v>Male</v>
      </c>
      <c r="E640" t="s">
        <v>9</v>
      </c>
      <c r="F640" s="2">
        <v>0.58333333330000003</v>
      </c>
      <c r="G640" s="2" t="str" cm="1">
        <f t="array" ref="G640">_xlfn.IFS(F640&lt;=8,"Child",F640&lt;=17,"Teen",F640&lt;=35,"Adult",F640&lt;=55,"Seniour Adult",F640&gt;=55,"Old Age")</f>
        <v>Child</v>
      </c>
      <c r="H640" t="s">
        <v>10</v>
      </c>
      <c r="I640" t="s">
        <v>11</v>
      </c>
      <c r="J640" t="str" cm="1">
        <f t="array" ref="J640">_xlfn.IFS(I640="S","Sauthamptonm",I640="Q","Queentown",I640="C","Cherburg",I640="B","Cabin")</f>
        <v>Sauthamptonm</v>
      </c>
      <c r="K640" t="s">
        <v>15</v>
      </c>
      <c r="L640" s="2">
        <v>13.150600000000001</v>
      </c>
      <c r="M640">
        <v>1</v>
      </c>
      <c r="N640">
        <v>1</v>
      </c>
      <c r="O640" t="s">
        <v>13</v>
      </c>
    </row>
    <row r="641" spans="1:15" x14ac:dyDescent="0.3">
      <c r="A641" s="1" t="s">
        <v>1298</v>
      </c>
      <c r="B641" t="s">
        <v>72</v>
      </c>
      <c r="C641" t="s">
        <v>345</v>
      </c>
      <c r="D641" t="str">
        <f t="shared" si="9"/>
        <v>Male</v>
      </c>
      <c r="E641" t="s">
        <v>9</v>
      </c>
      <c r="F641" s="2">
        <v>32</v>
      </c>
      <c r="G641" s="2" t="str" cm="1">
        <f t="array" ref="G641">_xlfn.IFS(F641&lt;=8,"Child",F641&lt;=17,"Teen",F641&lt;=35,"Adult",F641&lt;=55,"Seniour Adult",F641&gt;=55,"Old Age")</f>
        <v>Adult</v>
      </c>
      <c r="H641" t="s">
        <v>10</v>
      </c>
      <c r="I641" t="s">
        <v>11</v>
      </c>
      <c r="J641" t="str" cm="1">
        <f t="array" ref="J641">_xlfn.IFS(I641="S","Sauthamptonm",I641="Q","Queentown",I641="C","Cherburg",I641="B","Cabin")</f>
        <v>Sauthamptonm</v>
      </c>
      <c r="K641" t="s">
        <v>15</v>
      </c>
      <c r="L641" s="2">
        <v>7</v>
      </c>
      <c r="M641">
        <v>0</v>
      </c>
      <c r="N641">
        <v>0</v>
      </c>
      <c r="O641" t="s">
        <v>13</v>
      </c>
    </row>
    <row r="642" spans="1:15" x14ac:dyDescent="0.3">
      <c r="A642" s="1" t="s">
        <v>1299</v>
      </c>
      <c r="B642" t="s">
        <v>76</v>
      </c>
      <c r="C642" t="s">
        <v>693</v>
      </c>
      <c r="D642" t="str">
        <f t="shared" ref="D642:D705" si="10">PROPER(E642)</f>
        <v>Female</v>
      </c>
      <c r="E642" t="s">
        <v>14</v>
      </c>
      <c r="F642" s="2">
        <v>22</v>
      </c>
      <c r="G642" s="2" t="str" cm="1">
        <f t="array" ref="G642">_xlfn.IFS(F642&lt;=8,"Child",F642&lt;=17,"Teen",F642&lt;=35,"Adult",F642&lt;=55,"Seniour Adult",F642&gt;=55,"Old Age")</f>
        <v>Adult</v>
      </c>
      <c r="H642" t="s">
        <v>25</v>
      </c>
      <c r="I642" t="s">
        <v>11</v>
      </c>
      <c r="J642" t="str" cm="1">
        <f t="array" ref="J642">_xlfn.IFS(I642="S","Sauthamptonm",I642="Q","Queentown",I642="C","Cherburg",I642="B","Cabin")</f>
        <v>Sauthamptonm</v>
      </c>
      <c r="K642" t="s">
        <v>15</v>
      </c>
      <c r="L642" s="2">
        <v>66.12</v>
      </c>
      <c r="M642">
        <v>1</v>
      </c>
      <c r="N642">
        <v>0</v>
      </c>
      <c r="O642" t="s">
        <v>16</v>
      </c>
    </row>
    <row r="643" spans="1:15" x14ac:dyDescent="0.3">
      <c r="A643" s="1" t="s">
        <v>1300</v>
      </c>
      <c r="B643" t="s">
        <v>72</v>
      </c>
      <c r="C643" t="s">
        <v>1301</v>
      </c>
      <c r="D643" t="str">
        <f t="shared" si="10"/>
        <v>Male</v>
      </c>
      <c r="E643" t="s">
        <v>9</v>
      </c>
      <c r="F643" s="2">
        <v>28</v>
      </c>
      <c r="G643" s="2" t="str" cm="1">
        <f t="array" ref="G643">_xlfn.IFS(F643&lt;=8,"Child",F643&lt;=17,"Teen",F643&lt;=35,"Adult",F643&lt;=55,"Seniour Adult",F643&gt;=55,"Old Age")</f>
        <v>Adult</v>
      </c>
      <c r="H643" t="s">
        <v>10</v>
      </c>
      <c r="I643" t="s">
        <v>11</v>
      </c>
      <c r="J643" t="str" cm="1">
        <f t="array" ref="J643">_xlfn.IFS(I643="S","Sauthamptonm",I643="Q","Queentown",I643="C","Cherburg",I643="B","Cabin")</f>
        <v>Sauthamptonm</v>
      </c>
      <c r="K643" t="s">
        <v>17</v>
      </c>
      <c r="L643" s="2">
        <v>7.1505999999999998</v>
      </c>
      <c r="M643">
        <v>0</v>
      </c>
      <c r="N643">
        <v>0</v>
      </c>
      <c r="O643" t="s">
        <v>13</v>
      </c>
    </row>
    <row r="644" spans="1:15" x14ac:dyDescent="0.3">
      <c r="A644" s="1" t="s">
        <v>1302</v>
      </c>
      <c r="B644" t="s">
        <v>72</v>
      </c>
      <c r="C644" t="s">
        <v>1303</v>
      </c>
      <c r="D644" t="str">
        <f t="shared" si="10"/>
        <v>Male</v>
      </c>
      <c r="E644" t="s">
        <v>9</v>
      </c>
      <c r="F644" s="2">
        <v>24</v>
      </c>
      <c r="G644" s="2" t="str" cm="1">
        <f t="array" ref="G644">_xlfn.IFS(F644&lt;=8,"Child",F644&lt;=17,"Teen",F644&lt;=35,"Adult",F644&lt;=55,"Seniour Adult",F644&gt;=55,"Old Age")</f>
        <v>Adult</v>
      </c>
      <c r="H644" t="s">
        <v>10</v>
      </c>
      <c r="I644" t="s">
        <v>11</v>
      </c>
      <c r="J644" t="str" cm="1">
        <f t="array" ref="J644">_xlfn.IFS(I644="S","Sauthamptonm",I644="Q","Queentown",I644="C","Cherburg",I644="B","Cabin")</f>
        <v>Sauthamptonm</v>
      </c>
      <c r="K644" t="s">
        <v>15</v>
      </c>
      <c r="L644" s="2">
        <v>8.01</v>
      </c>
      <c r="M644">
        <v>0</v>
      </c>
      <c r="N644">
        <v>0</v>
      </c>
      <c r="O644" t="s">
        <v>13</v>
      </c>
    </row>
    <row r="645" spans="1:15" x14ac:dyDescent="0.3">
      <c r="A645" s="1" t="s">
        <v>1304</v>
      </c>
      <c r="B645" t="s">
        <v>72</v>
      </c>
      <c r="C645" t="s">
        <v>962</v>
      </c>
      <c r="D645" t="str">
        <f t="shared" si="10"/>
        <v>Male</v>
      </c>
      <c r="E645" t="s">
        <v>9</v>
      </c>
      <c r="F645" s="2">
        <v>21</v>
      </c>
      <c r="G645" s="2" t="str" cm="1">
        <f t="array" ref="G645">_xlfn.IFS(F645&lt;=8,"Child",F645&lt;=17,"Teen",F645&lt;=35,"Adult",F645&lt;=55,"Seniour Adult",F645&gt;=55,"Old Age")</f>
        <v>Adult</v>
      </c>
      <c r="H645" t="s">
        <v>10</v>
      </c>
      <c r="I645" t="s">
        <v>11</v>
      </c>
      <c r="J645" t="str" cm="1">
        <f t="array" ref="J645">_xlfn.IFS(I645="S","Sauthamptonm",I645="Q","Queentown",I645="C","Cherburg",I645="B","Cabin")</f>
        <v>Sauthamptonm</v>
      </c>
      <c r="K645" t="s">
        <v>22</v>
      </c>
      <c r="L645" s="2">
        <v>7.1806000000000001</v>
      </c>
      <c r="M645">
        <v>0</v>
      </c>
      <c r="N645">
        <v>0</v>
      </c>
      <c r="O645" t="s">
        <v>13</v>
      </c>
    </row>
    <row r="646" spans="1:15" x14ac:dyDescent="0.3">
      <c r="A646" s="1" t="s">
        <v>1305</v>
      </c>
      <c r="B646" t="s">
        <v>72</v>
      </c>
      <c r="C646" t="s">
        <v>1306</v>
      </c>
      <c r="D646" t="str">
        <f t="shared" si="10"/>
        <v>Male</v>
      </c>
      <c r="E646" t="s">
        <v>9</v>
      </c>
      <c r="F646" s="2">
        <v>25</v>
      </c>
      <c r="G646" s="2" t="str" cm="1">
        <f t="array" ref="G646">_xlfn.IFS(F646&lt;=8,"Child",F646&lt;=17,"Teen",F646&lt;=35,"Adult",F646&lt;=55,"Seniour Adult",F646&gt;=55,"Old Age")</f>
        <v>Adult</v>
      </c>
      <c r="H646" t="s">
        <v>10</v>
      </c>
      <c r="I646" t="s">
        <v>11</v>
      </c>
      <c r="J646" t="str" cm="1">
        <f t="array" ref="J646">_xlfn.IFS(I646="S","Sauthamptonm",I646="Q","Queentown",I646="C","Cherburg",I646="B","Cabin")</f>
        <v>Sauthamptonm</v>
      </c>
      <c r="K646" t="s">
        <v>22</v>
      </c>
      <c r="L646" s="2">
        <v>7.1806000000000001</v>
      </c>
      <c r="M646">
        <v>0</v>
      </c>
      <c r="N646">
        <v>0</v>
      </c>
      <c r="O646" t="s">
        <v>13</v>
      </c>
    </row>
    <row r="647" spans="1:15" x14ac:dyDescent="0.3">
      <c r="A647" s="1" t="s">
        <v>1307</v>
      </c>
      <c r="B647" t="s">
        <v>76</v>
      </c>
      <c r="C647" t="s">
        <v>1308</v>
      </c>
      <c r="D647" t="str">
        <f t="shared" si="10"/>
        <v>Female</v>
      </c>
      <c r="E647" t="s">
        <v>14</v>
      </c>
      <c r="F647" s="2">
        <v>22</v>
      </c>
      <c r="G647" s="2" t="str" cm="1">
        <f t="array" ref="G647">_xlfn.IFS(F647&lt;=8,"Child",F647&lt;=17,"Teen",F647&lt;=35,"Adult",F647&lt;=55,"Seniour Adult",F647&gt;=55,"Old Age")</f>
        <v>Adult</v>
      </c>
      <c r="H647" t="s">
        <v>25</v>
      </c>
      <c r="I647" t="s">
        <v>19</v>
      </c>
      <c r="J647" t="str" cm="1">
        <f t="array" ref="J647">_xlfn.IFS(I647="S","Sauthamptonm",I647="Q","Queentown",I647="C","Cherburg",I647="B","Cabin")</f>
        <v>Cherburg</v>
      </c>
      <c r="K647" t="s">
        <v>50</v>
      </c>
      <c r="L647" s="2">
        <v>108.18</v>
      </c>
      <c r="M647">
        <v>1</v>
      </c>
      <c r="N647">
        <v>0</v>
      </c>
      <c r="O647" t="s">
        <v>16</v>
      </c>
    </row>
    <row r="648" spans="1:15" x14ac:dyDescent="0.3">
      <c r="A648" s="1" t="s">
        <v>1310</v>
      </c>
      <c r="B648" t="s">
        <v>72</v>
      </c>
      <c r="C648" t="s">
        <v>1311</v>
      </c>
      <c r="D648" t="str">
        <f t="shared" si="10"/>
        <v>Male</v>
      </c>
      <c r="E648" t="s">
        <v>9</v>
      </c>
      <c r="F648" s="2">
        <v>19</v>
      </c>
      <c r="G648" s="2" t="str" cm="1">
        <f t="array" ref="G648">_xlfn.IFS(F648&lt;=8,"Child",F648&lt;=17,"Teen",F648&lt;=35,"Adult",F648&lt;=55,"Seniour Adult",F648&gt;=55,"Old Age")</f>
        <v>Adult</v>
      </c>
      <c r="H648" t="s">
        <v>18</v>
      </c>
      <c r="I648" t="s">
        <v>11</v>
      </c>
      <c r="J648" t="str" cm="1">
        <f t="array" ref="J648">_xlfn.IFS(I648="S","Sauthamptonm",I648="Q","Queentown",I648="C","Cherburg",I648="B","Cabin")</f>
        <v>Sauthamptonm</v>
      </c>
      <c r="K648" t="s">
        <v>15</v>
      </c>
      <c r="L648" s="2">
        <v>10.1</v>
      </c>
      <c r="M648">
        <v>0</v>
      </c>
      <c r="N648">
        <v>0</v>
      </c>
      <c r="O648" t="s">
        <v>13</v>
      </c>
    </row>
    <row r="649" spans="1:15" x14ac:dyDescent="0.3">
      <c r="A649" s="1" t="s">
        <v>1312</v>
      </c>
      <c r="B649" t="s">
        <v>72</v>
      </c>
      <c r="C649" t="s">
        <v>379</v>
      </c>
      <c r="D649" t="str">
        <f t="shared" si="10"/>
        <v>Male</v>
      </c>
      <c r="E649" t="s">
        <v>9</v>
      </c>
      <c r="F649" s="2">
        <v>24</v>
      </c>
      <c r="G649" s="2" t="str" cm="1">
        <f t="array" ref="G649">_xlfn.IFS(F649&lt;=8,"Child",F649&lt;=17,"Teen",F649&lt;=35,"Adult",F649&lt;=55,"Seniour Adult",F649&gt;=55,"Old Age")</f>
        <v>Adult</v>
      </c>
      <c r="H649" t="s">
        <v>10</v>
      </c>
      <c r="I649" t="s">
        <v>11</v>
      </c>
      <c r="J649" t="str" cm="1">
        <f t="array" ref="J649">_xlfn.IFS(I649="S","Sauthamptonm",I649="Q","Queentown",I649="C","Cherburg",I649="B","Cabin")</f>
        <v>Sauthamptonm</v>
      </c>
      <c r="K649" t="s">
        <v>15</v>
      </c>
      <c r="L649" s="2">
        <v>7.05</v>
      </c>
      <c r="M649">
        <v>0</v>
      </c>
      <c r="N649">
        <v>0</v>
      </c>
      <c r="O649" t="s">
        <v>13</v>
      </c>
    </row>
    <row r="650" spans="1:15" x14ac:dyDescent="0.3">
      <c r="A650" s="1" t="s">
        <v>1313</v>
      </c>
      <c r="B650" t="s">
        <v>72</v>
      </c>
      <c r="C650" t="s">
        <v>1314</v>
      </c>
      <c r="D650" t="str">
        <f t="shared" si="10"/>
        <v>Male</v>
      </c>
      <c r="E650" t="s">
        <v>9</v>
      </c>
      <c r="F650" s="2">
        <v>39</v>
      </c>
      <c r="G650" s="2" t="str" cm="1">
        <f t="array" ref="G650">_xlfn.IFS(F650&lt;=8,"Child",F650&lt;=17,"Teen",F650&lt;=35,"Adult",F650&lt;=55,"Seniour Adult",F650&gt;=55,"Old Age")</f>
        <v>Seniour Adult</v>
      </c>
      <c r="H650" t="s">
        <v>18</v>
      </c>
      <c r="I650" t="s">
        <v>19</v>
      </c>
      <c r="J650" t="str" cm="1">
        <f t="array" ref="J650">_xlfn.IFS(I650="S","Sauthamptonm",I650="Q","Queentown",I650="C","Cherburg",I650="B","Cabin")</f>
        <v>Cherburg</v>
      </c>
      <c r="K650" t="s">
        <v>20</v>
      </c>
      <c r="L650" s="2">
        <v>15.01</v>
      </c>
      <c r="M650">
        <v>0</v>
      </c>
      <c r="N650">
        <v>0</v>
      </c>
      <c r="O650" t="s">
        <v>13</v>
      </c>
    </row>
    <row r="651" spans="1:15" x14ac:dyDescent="0.3">
      <c r="A651" s="1" t="s">
        <v>1315</v>
      </c>
      <c r="B651" t="s">
        <v>78</v>
      </c>
      <c r="C651" t="s">
        <v>1316</v>
      </c>
      <c r="D651" t="str">
        <f t="shared" si="10"/>
        <v>Female</v>
      </c>
      <c r="E651" t="s">
        <v>14</v>
      </c>
      <c r="F651" s="2">
        <v>33</v>
      </c>
      <c r="G651" s="2" t="str" cm="1">
        <f t="array" ref="G651">_xlfn.IFS(F651&lt;=8,"Child",F651&lt;=17,"Teen",F651&lt;=35,"Adult",F651&lt;=55,"Seniour Adult",F651&gt;=55,"Old Age")</f>
        <v>Adult</v>
      </c>
      <c r="H651" t="s">
        <v>25</v>
      </c>
      <c r="I651" t="s">
        <v>11</v>
      </c>
      <c r="J651" t="str" cm="1">
        <f t="array" ref="J651">_xlfn.IFS(I651="S","Sauthamptonm",I651="Q","Queentown",I651="C","Cherburg",I651="B","Cabin")</f>
        <v>Sauthamptonm</v>
      </c>
      <c r="K651" t="s">
        <v>26</v>
      </c>
      <c r="L651" s="2">
        <v>93.1</v>
      </c>
      <c r="M651">
        <v>0</v>
      </c>
      <c r="N651">
        <v>0</v>
      </c>
      <c r="O651" t="s">
        <v>16</v>
      </c>
    </row>
    <row r="652" spans="1:15" x14ac:dyDescent="0.3">
      <c r="A652" s="1" t="s">
        <v>1317</v>
      </c>
      <c r="B652" t="s">
        <v>72</v>
      </c>
      <c r="C652" t="s">
        <v>1318</v>
      </c>
      <c r="D652" t="str">
        <f t="shared" si="10"/>
        <v>Male</v>
      </c>
      <c r="E652" t="s">
        <v>9</v>
      </c>
      <c r="F652" s="2">
        <v>25</v>
      </c>
      <c r="G652" s="2" t="str" cm="1">
        <f t="array" ref="G652">_xlfn.IFS(F652&lt;=8,"Child",F652&lt;=17,"Teen",F652&lt;=35,"Adult",F652&lt;=55,"Seniour Adult",F652&gt;=55,"Old Age")</f>
        <v>Adult</v>
      </c>
      <c r="H652" t="s">
        <v>10</v>
      </c>
      <c r="I652" t="s">
        <v>11</v>
      </c>
      <c r="J652" t="str" cm="1">
        <f t="array" ref="J652">_xlfn.IFS(I652="S","Sauthamptonm",I652="Q","Queentown",I652="C","Cherburg",I652="B","Cabin")</f>
        <v>Sauthamptonm</v>
      </c>
      <c r="K652" t="s">
        <v>23</v>
      </c>
      <c r="L652" s="2">
        <v>7.1505999999999998</v>
      </c>
      <c r="M652">
        <v>1</v>
      </c>
      <c r="N652">
        <v>0</v>
      </c>
      <c r="O652" t="s">
        <v>16</v>
      </c>
    </row>
    <row r="653" spans="1:15" x14ac:dyDescent="0.3">
      <c r="A653" s="1" t="s">
        <v>1319</v>
      </c>
      <c r="B653" t="s">
        <v>323</v>
      </c>
      <c r="C653" t="s">
        <v>136</v>
      </c>
      <c r="D653" t="str">
        <f t="shared" si="10"/>
        <v>Male</v>
      </c>
      <c r="E653" t="s">
        <v>9</v>
      </c>
      <c r="F653" s="2">
        <v>41</v>
      </c>
      <c r="G653" s="2" t="str" cm="1">
        <f t="array" ref="G653">_xlfn.IFS(F653&lt;=8,"Child",F653&lt;=17,"Teen",F653&lt;=35,"Adult",F653&lt;=55,"Seniour Adult",F653&gt;=55,"Old Age")</f>
        <v>Seniour Adult</v>
      </c>
      <c r="H653" t="s">
        <v>18</v>
      </c>
      <c r="I653" t="s">
        <v>11</v>
      </c>
      <c r="J653" t="str" cm="1">
        <f t="array" ref="J653">_xlfn.IFS(I653="S","Sauthamptonm",I653="Q","Queentown",I653="C","Cherburg",I653="B","Cabin")</f>
        <v>Sauthamptonm</v>
      </c>
      <c r="K653" t="s">
        <v>62</v>
      </c>
      <c r="L653" s="2">
        <v>13</v>
      </c>
      <c r="M653">
        <v>0</v>
      </c>
      <c r="N653">
        <v>0</v>
      </c>
      <c r="O653" t="s">
        <v>13</v>
      </c>
    </row>
    <row r="654" spans="1:15" x14ac:dyDescent="0.3">
      <c r="A654" s="1" t="s">
        <v>1320</v>
      </c>
      <c r="B654" t="s">
        <v>78</v>
      </c>
      <c r="C654" t="s">
        <v>1321</v>
      </c>
      <c r="D654" t="str">
        <f t="shared" si="10"/>
        <v>Female</v>
      </c>
      <c r="E654" t="s">
        <v>14</v>
      </c>
      <c r="F654" s="2">
        <v>28</v>
      </c>
      <c r="G654" s="2" t="str" cm="1">
        <f t="array" ref="G654">_xlfn.IFS(F654&lt;=8,"Child",F654&lt;=17,"Teen",F654&lt;=35,"Adult",F654&lt;=55,"Seniour Adult",F654&gt;=55,"Old Age")</f>
        <v>Adult</v>
      </c>
      <c r="H654" t="s">
        <v>10</v>
      </c>
      <c r="I654" t="s">
        <v>11</v>
      </c>
      <c r="J654" t="str" cm="1">
        <f t="array" ref="J654">_xlfn.IFS(I654="S","Sauthamptonm",I654="Q","Queentown",I654="C","Cherburg",I654="B","Cabin")</f>
        <v>Sauthamptonm</v>
      </c>
      <c r="K654" t="s">
        <v>63</v>
      </c>
      <c r="L654" s="2">
        <v>7.1711</v>
      </c>
      <c r="M654">
        <v>0</v>
      </c>
      <c r="N654">
        <v>0</v>
      </c>
      <c r="O654" t="s">
        <v>13</v>
      </c>
    </row>
    <row r="655" spans="1:15" x14ac:dyDescent="0.3">
      <c r="A655" s="1" t="s">
        <v>1322</v>
      </c>
      <c r="B655" t="s">
        <v>94</v>
      </c>
      <c r="C655" t="s">
        <v>1323</v>
      </c>
      <c r="D655" t="str">
        <f t="shared" si="10"/>
        <v>Male</v>
      </c>
      <c r="E655" t="s">
        <v>9</v>
      </c>
      <c r="F655" s="2">
        <v>4</v>
      </c>
      <c r="G655" s="2" t="str" cm="1">
        <f t="array" ref="G655">_xlfn.IFS(F655&lt;=8,"Child",F655&lt;=17,"Teen",F655&lt;=35,"Adult",F655&lt;=55,"Seniour Adult",F655&gt;=55,"Old Age")</f>
        <v>Child</v>
      </c>
      <c r="H655" t="s">
        <v>10</v>
      </c>
      <c r="I655" t="s">
        <v>19</v>
      </c>
      <c r="J655" t="str" cm="1">
        <f t="array" ref="J655">_xlfn.IFS(I655="S","Sauthamptonm",I655="Q","Queentown",I655="C","Cherburg",I655="B","Cabin")</f>
        <v>Cherburg</v>
      </c>
      <c r="K655" t="s">
        <v>21</v>
      </c>
      <c r="L655" s="2">
        <v>22.0702</v>
      </c>
      <c r="M655">
        <v>1</v>
      </c>
      <c r="N655">
        <v>1</v>
      </c>
      <c r="O655" t="s">
        <v>16</v>
      </c>
    </row>
    <row r="656" spans="1:15" x14ac:dyDescent="0.3">
      <c r="A656" s="1" t="s">
        <v>1324</v>
      </c>
      <c r="B656" t="s">
        <v>72</v>
      </c>
      <c r="C656" t="s">
        <v>1325</v>
      </c>
      <c r="D656" t="str">
        <f t="shared" si="10"/>
        <v>Male</v>
      </c>
      <c r="E656" t="s">
        <v>9</v>
      </c>
      <c r="F656" s="2">
        <v>24</v>
      </c>
      <c r="G656" s="2" t="str" cm="1">
        <f t="array" ref="G656">_xlfn.IFS(F656&lt;=8,"Child",F656&lt;=17,"Teen",F656&lt;=35,"Adult",F656&lt;=55,"Seniour Adult",F656&gt;=55,"Old Age")</f>
        <v>Adult</v>
      </c>
      <c r="H656" t="s">
        <v>10</v>
      </c>
      <c r="I656" t="s">
        <v>11</v>
      </c>
      <c r="J656" t="str" cm="1">
        <f t="array" ref="J656">_xlfn.IFS(I656="S","Sauthamptonm",I656="Q","Queentown",I656="C","Cherburg",I656="B","Cabin")</f>
        <v>Sauthamptonm</v>
      </c>
      <c r="K656" t="s">
        <v>15</v>
      </c>
      <c r="L656" s="2">
        <v>8.01</v>
      </c>
      <c r="M656">
        <v>0</v>
      </c>
      <c r="N656">
        <v>0</v>
      </c>
      <c r="O656" t="s">
        <v>13</v>
      </c>
    </row>
    <row r="657" spans="1:15" x14ac:dyDescent="0.3">
      <c r="A657" s="1" t="s">
        <v>1326</v>
      </c>
      <c r="B657" t="s">
        <v>78</v>
      </c>
      <c r="C657" t="s">
        <v>263</v>
      </c>
      <c r="D657" t="str">
        <f t="shared" si="10"/>
        <v>Female</v>
      </c>
      <c r="E657" t="s">
        <v>14</v>
      </c>
      <c r="F657" s="2">
        <v>28</v>
      </c>
      <c r="G657" s="2" t="str" cm="1">
        <f t="array" ref="G657">_xlfn.IFS(F657&lt;=8,"Child",F657&lt;=17,"Teen",F657&lt;=35,"Adult",F657&lt;=55,"Seniour Adult",F657&gt;=55,"Old Age")</f>
        <v>Adult</v>
      </c>
      <c r="H657" t="s">
        <v>10</v>
      </c>
      <c r="I657" t="s">
        <v>36</v>
      </c>
      <c r="J657" t="str" cm="1">
        <f t="array" ref="J657">_xlfn.IFS(I657="S","Sauthamptonm",I657="Q","Queentown",I657="C","Cherburg",I657="B","Cabin")</f>
        <v>Queentown</v>
      </c>
      <c r="K657" t="s">
        <v>37</v>
      </c>
      <c r="L657" s="2">
        <v>8.0208999999999993</v>
      </c>
      <c r="M657">
        <v>0</v>
      </c>
      <c r="N657">
        <v>0</v>
      </c>
      <c r="O657" t="s">
        <v>13</v>
      </c>
    </row>
    <row r="658" spans="1:15" x14ac:dyDescent="0.3">
      <c r="A658" s="1" t="s">
        <v>1327</v>
      </c>
      <c r="B658" t="s">
        <v>72</v>
      </c>
      <c r="C658" t="s">
        <v>1328</v>
      </c>
      <c r="D658" t="str">
        <f t="shared" si="10"/>
        <v>Male</v>
      </c>
      <c r="E658" t="s">
        <v>9</v>
      </c>
      <c r="F658" s="2">
        <v>19</v>
      </c>
      <c r="G658" s="2" t="str" cm="1">
        <f t="array" ref="G658">_xlfn.IFS(F658&lt;=8,"Child",F658&lt;=17,"Teen",F658&lt;=35,"Adult",F658&lt;=55,"Seniour Adult",F658&gt;=55,"Old Age")</f>
        <v>Adult</v>
      </c>
      <c r="H658" t="s">
        <v>10</v>
      </c>
      <c r="I658" t="s">
        <v>11</v>
      </c>
      <c r="J658" t="str" cm="1">
        <f t="array" ref="J658">_xlfn.IFS(I658="S","Sauthamptonm",I658="Q","Queentown",I658="C","Cherburg",I658="B","Cabin")</f>
        <v>Sauthamptonm</v>
      </c>
      <c r="K658" t="s">
        <v>31</v>
      </c>
      <c r="L658" s="2">
        <v>7.1711</v>
      </c>
      <c r="M658">
        <v>0</v>
      </c>
      <c r="N658">
        <v>0</v>
      </c>
      <c r="O658" t="s">
        <v>13</v>
      </c>
    </row>
    <row r="659" spans="1:15" x14ac:dyDescent="0.3">
      <c r="A659" s="1" t="s">
        <v>1329</v>
      </c>
      <c r="B659" t="s">
        <v>78</v>
      </c>
      <c r="C659" t="s">
        <v>1330</v>
      </c>
      <c r="D659" t="str">
        <f t="shared" si="10"/>
        <v>Female</v>
      </c>
      <c r="E659" t="s">
        <v>14</v>
      </c>
      <c r="F659" s="2">
        <v>18</v>
      </c>
      <c r="G659" s="2" t="str" cm="1">
        <f t="array" ref="G659">_xlfn.IFS(F659&lt;=8,"Child",F659&lt;=17,"Teen",F659&lt;=35,"Adult",F659&lt;=55,"Seniour Adult",F659&gt;=55,"Old Age")</f>
        <v>Adult</v>
      </c>
      <c r="H659" t="s">
        <v>10</v>
      </c>
      <c r="I659" t="s">
        <v>11</v>
      </c>
      <c r="J659" t="str" cm="1">
        <f t="array" ref="J659">_xlfn.IFS(I659="S","Sauthamptonm",I659="Q","Queentown",I659="C","Cherburg",I659="B","Cabin")</f>
        <v>Sauthamptonm</v>
      </c>
      <c r="K659" t="s">
        <v>23</v>
      </c>
      <c r="L659" s="2">
        <v>7.1505999999999998</v>
      </c>
      <c r="M659">
        <v>0</v>
      </c>
      <c r="N659">
        <v>0</v>
      </c>
      <c r="O659" t="s">
        <v>13</v>
      </c>
    </row>
    <row r="660" spans="1:15" x14ac:dyDescent="0.3">
      <c r="A660" s="1" t="s">
        <v>1331</v>
      </c>
      <c r="B660" t="s">
        <v>320</v>
      </c>
      <c r="C660" t="s">
        <v>1332</v>
      </c>
      <c r="D660" t="str">
        <f t="shared" si="10"/>
        <v>Male</v>
      </c>
      <c r="E660" t="s">
        <v>9</v>
      </c>
      <c r="F660" s="2">
        <v>52</v>
      </c>
      <c r="G660" s="2" t="str" cm="1">
        <f t="array" ref="G660">_xlfn.IFS(F660&lt;=8,"Child",F660&lt;=17,"Teen",F660&lt;=35,"Adult",F660&lt;=55,"Seniour Adult",F660&gt;=55,"Old Age")</f>
        <v>Seniour Adult</v>
      </c>
      <c r="H660" t="s">
        <v>25</v>
      </c>
      <c r="I660" t="s">
        <v>11</v>
      </c>
      <c r="J660" t="str" cm="1">
        <f t="array" ref="J660">_xlfn.IFS(I660="S","Sauthamptonm",I660="Q","Queentown",I660="C","Cherburg",I660="B","Cabin")</f>
        <v>Sauthamptonm</v>
      </c>
      <c r="K660" t="s">
        <v>26</v>
      </c>
      <c r="L660" s="2">
        <v>30.1</v>
      </c>
      <c r="M660">
        <v>0</v>
      </c>
      <c r="N660">
        <v>0</v>
      </c>
      <c r="O660" t="s">
        <v>16</v>
      </c>
    </row>
    <row r="661" spans="1:15" x14ac:dyDescent="0.3">
      <c r="A661" s="1" t="s">
        <v>1333</v>
      </c>
      <c r="B661" t="s">
        <v>78</v>
      </c>
      <c r="C661" t="s">
        <v>1334</v>
      </c>
      <c r="D661" t="str">
        <f t="shared" si="10"/>
        <v>Female</v>
      </c>
      <c r="E661" t="s">
        <v>14</v>
      </c>
      <c r="F661" s="2">
        <v>21</v>
      </c>
      <c r="G661" s="2" t="str" cm="1">
        <f t="array" ref="G661">_xlfn.IFS(F661&lt;=8,"Child",F661&lt;=17,"Teen",F661&lt;=35,"Adult",F661&lt;=55,"Seniour Adult",F661&gt;=55,"Old Age")</f>
        <v>Adult</v>
      </c>
      <c r="H661" t="s">
        <v>18</v>
      </c>
      <c r="I661" t="s">
        <v>11</v>
      </c>
      <c r="J661" t="str" cm="1">
        <f t="array" ref="J661">_xlfn.IFS(I661="S","Sauthamptonm",I661="Q","Queentown",I661="C","Cherburg",I661="B","Cabin")</f>
        <v>Sauthamptonm</v>
      </c>
      <c r="K661" t="s">
        <v>15</v>
      </c>
      <c r="L661" s="2">
        <v>21</v>
      </c>
      <c r="M661">
        <v>0</v>
      </c>
      <c r="N661">
        <v>1</v>
      </c>
      <c r="O661" t="s">
        <v>16</v>
      </c>
    </row>
    <row r="662" spans="1:15" x14ac:dyDescent="0.3">
      <c r="A662" s="1" t="s">
        <v>1335</v>
      </c>
      <c r="B662" t="s">
        <v>72</v>
      </c>
      <c r="C662" t="s">
        <v>1336</v>
      </c>
      <c r="D662" t="str">
        <f t="shared" si="10"/>
        <v>Male</v>
      </c>
      <c r="E662" t="s">
        <v>9</v>
      </c>
      <c r="F662" s="2">
        <v>33</v>
      </c>
      <c r="G662" s="2" t="str" cm="1">
        <f t="array" ref="G662">_xlfn.IFS(F662&lt;=8,"Child",F662&lt;=17,"Teen",F662&lt;=35,"Adult",F662&lt;=55,"Seniour Adult",F662&gt;=55,"Old Age")</f>
        <v>Adult</v>
      </c>
      <c r="H662" t="s">
        <v>10</v>
      </c>
      <c r="I662" t="s">
        <v>11</v>
      </c>
      <c r="J662" t="str" cm="1">
        <f t="array" ref="J662">_xlfn.IFS(I662="S","Sauthamptonm",I662="Q","Queentown",I662="C","Cherburg",I662="B","Cabin")</f>
        <v>Sauthamptonm</v>
      </c>
      <c r="K662" t="s">
        <v>47</v>
      </c>
      <c r="L662" s="2">
        <v>8.01</v>
      </c>
      <c r="M662">
        <v>0</v>
      </c>
      <c r="N662">
        <v>0</v>
      </c>
      <c r="O662" t="s">
        <v>16</v>
      </c>
    </row>
    <row r="663" spans="1:15" x14ac:dyDescent="0.3">
      <c r="A663" s="1" t="s">
        <v>1337</v>
      </c>
      <c r="B663" t="s">
        <v>76</v>
      </c>
      <c r="C663" t="s">
        <v>1338</v>
      </c>
      <c r="D663" t="str">
        <f t="shared" si="10"/>
        <v>Female</v>
      </c>
      <c r="E663" t="s">
        <v>14</v>
      </c>
      <c r="F663" s="2">
        <v>32</v>
      </c>
      <c r="G663" s="2" t="str" cm="1">
        <f t="array" ref="G663">_xlfn.IFS(F663&lt;=8,"Child",F663&lt;=17,"Teen",F663&lt;=35,"Adult",F663&lt;=55,"Seniour Adult",F663&gt;=55,"Old Age")</f>
        <v>Adult</v>
      </c>
      <c r="H663" t="s">
        <v>18</v>
      </c>
      <c r="I663" t="s">
        <v>11</v>
      </c>
      <c r="J663" t="str" cm="1">
        <f t="array" ref="J663">_xlfn.IFS(I663="S","Sauthamptonm",I663="Q","Queentown",I663="C","Cherburg",I663="B","Cabin")</f>
        <v>Sauthamptonm</v>
      </c>
      <c r="K663" t="s">
        <v>47</v>
      </c>
      <c r="L663" s="2">
        <v>13</v>
      </c>
      <c r="M663">
        <v>0</v>
      </c>
      <c r="N663">
        <v>0</v>
      </c>
      <c r="O663" t="s">
        <v>16</v>
      </c>
    </row>
    <row r="664" spans="1:15" x14ac:dyDescent="0.3">
      <c r="A664" s="1" t="s">
        <v>1339</v>
      </c>
      <c r="B664" t="s">
        <v>72</v>
      </c>
      <c r="C664" t="s">
        <v>1340</v>
      </c>
      <c r="D664" t="str">
        <f t="shared" si="10"/>
        <v>Male</v>
      </c>
      <c r="E664" t="s">
        <v>9</v>
      </c>
      <c r="F664" s="2">
        <v>27</v>
      </c>
      <c r="G664" s="2" t="str" cm="1">
        <f t="array" ref="G664">_xlfn.IFS(F664&lt;=8,"Child",F664&lt;=17,"Teen",F664&lt;=35,"Adult",F664&lt;=55,"Seniour Adult",F664&gt;=55,"Old Age")</f>
        <v>Adult</v>
      </c>
      <c r="H664" t="s">
        <v>10</v>
      </c>
      <c r="I664" t="s">
        <v>11</v>
      </c>
      <c r="J664" t="str" cm="1">
        <f t="array" ref="J664">_xlfn.IFS(I664="S","Sauthamptonm",I664="Q","Queentown",I664="C","Cherburg",I664="B","Cabin")</f>
        <v>Sauthamptonm</v>
      </c>
      <c r="K664" t="s">
        <v>15</v>
      </c>
      <c r="L664" s="2">
        <v>7.1711</v>
      </c>
      <c r="M664">
        <v>0</v>
      </c>
      <c r="N664">
        <v>0</v>
      </c>
      <c r="O664" t="s">
        <v>13</v>
      </c>
    </row>
    <row r="665" spans="1:15" x14ac:dyDescent="0.3">
      <c r="A665" s="1" t="s">
        <v>1341</v>
      </c>
      <c r="B665" t="s">
        <v>72</v>
      </c>
      <c r="C665" t="s">
        <v>1342</v>
      </c>
      <c r="D665" t="str">
        <f t="shared" si="10"/>
        <v>Male</v>
      </c>
      <c r="E665" t="s">
        <v>9</v>
      </c>
      <c r="F665" s="2">
        <v>17</v>
      </c>
      <c r="G665" s="2" t="str" cm="1">
        <f t="array" ref="G665">_xlfn.IFS(F665&lt;=8,"Child",F665&lt;=17,"Teen",F665&lt;=35,"Adult",F665&lt;=55,"Seniour Adult",F665&gt;=55,"Old Age")</f>
        <v>Teen</v>
      </c>
      <c r="H665" t="s">
        <v>10</v>
      </c>
      <c r="I665" t="s">
        <v>11</v>
      </c>
      <c r="J665" t="str" cm="1">
        <f t="array" ref="J665">_xlfn.IFS(I665="S","Sauthamptonm",I665="Q","Queentown",I665="C","Cherburg",I665="B","Cabin")</f>
        <v>Sauthamptonm</v>
      </c>
      <c r="K665" t="s">
        <v>63</v>
      </c>
      <c r="L665" s="2">
        <v>8.1303000000000001</v>
      </c>
      <c r="M665">
        <v>0</v>
      </c>
      <c r="N665">
        <v>0</v>
      </c>
      <c r="O665" t="s">
        <v>13</v>
      </c>
    </row>
    <row r="666" spans="1:15" x14ac:dyDescent="0.3">
      <c r="A666" s="1" t="s">
        <v>1343</v>
      </c>
      <c r="B666" t="s">
        <v>72</v>
      </c>
      <c r="C666" t="s">
        <v>646</v>
      </c>
      <c r="D666" t="str">
        <f t="shared" si="10"/>
        <v>Male</v>
      </c>
      <c r="E666" t="s">
        <v>9</v>
      </c>
      <c r="F666" s="2">
        <v>24</v>
      </c>
      <c r="G666" s="2" t="str" cm="1">
        <f t="array" ref="G666">_xlfn.IFS(F666&lt;=8,"Child",F666&lt;=17,"Teen",F666&lt;=35,"Adult",F666&lt;=55,"Seniour Adult",F666&gt;=55,"Old Age")</f>
        <v>Adult</v>
      </c>
      <c r="H666" t="s">
        <v>18</v>
      </c>
      <c r="I666" t="s">
        <v>11</v>
      </c>
      <c r="J666" t="str" cm="1">
        <f t="array" ref="J666">_xlfn.IFS(I666="S","Sauthamptonm",I666="Q","Queentown",I666="C","Cherburg",I666="B","Cabin")</f>
        <v>Sauthamptonm</v>
      </c>
      <c r="K666" t="s">
        <v>15</v>
      </c>
      <c r="L666" s="2">
        <v>13</v>
      </c>
      <c r="M666">
        <v>0</v>
      </c>
      <c r="N666">
        <v>0</v>
      </c>
      <c r="O666" t="s">
        <v>13</v>
      </c>
    </row>
    <row r="667" spans="1:15" x14ac:dyDescent="0.3">
      <c r="A667" s="1" t="s">
        <v>1344</v>
      </c>
      <c r="B667" t="s">
        <v>72</v>
      </c>
      <c r="C667" t="s">
        <v>1345</v>
      </c>
      <c r="D667" t="str">
        <f t="shared" si="10"/>
        <v>Male</v>
      </c>
      <c r="E667" t="s">
        <v>9</v>
      </c>
      <c r="F667" s="2">
        <v>30</v>
      </c>
      <c r="G667" s="2" t="str" cm="1">
        <f t="array" ref="G667">_xlfn.IFS(F667&lt;=8,"Child",F667&lt;=17,"Teen",F667&lt;=35,"Adult",F667&lt;=55,"Seniour Adult",F667&gt;=55,"Old Age")</f>
        <v>Adult</v>
      </c>
      <c r="H667" t="s">
        <v>18</v>
      </c>
      <c r="I667" t="s">
        <v>19</v>
      </c>
      <c r="J667" t="str" cm="1">
        <f t="array" ref="J667">_xlfn.IFS(I667="S","Sauthamptonm",I667="Q","Queentown",I667="C","Cherburg",I667="B","Cabin")</f>
        <v>Cherburg</v>
      </c>
      <c r="K667" t="s">
        <v>12</v>
      </c>
      <c r="L667" s="2">
        <v>12.1409</v>
      </c>
      <c r="M667">
        <v>0</v>
      </c>
      <c r="N667">
        <v>0</v>
      </c>
      <c r="O667" t="s">
        <v>16</v>
      </c>
    </row>
    <row r="668" spans="1:15" x14ac:dyDescent="0.3">
      <c r="A668" s="1" t="s">
        <v>1346</v>
      </c>
      <c r="B668" t="s">
        <v>72</v>
      </c>
      <c r="C668" t="s">
        <v>1347</v>
      </c>
      <c r="D668" t="str">
        <f t="shared" si="10"/>
        <v>Male</v>
      </c>
      <c r="E668" t="s">
        <v>9</v>
      </c>
      <c r="F668" s="2">
        <v>46</v>
      </c>
      <c r="G668" s="2" t="str" cm="1">
        <f t="array" ref="G668">_xlfn.IFS(F668&lt;=8,"Child",F668&lt;=17,"Teen",F668&lt;=35,"Adult",F668&lt;=55,"Seniour Adult",F668&gt;=55,"Old Age")</f>
        <v>Seniour Adult</v>
      </c>
      <c r="H668" t="s">
        <v>25</v>
      </c>
      <c r="I668" t="s">
        <v>11</v>
      </c>
      <c r="J668" t="str" cm="1">
        <f t="array" ref="J668">_xlfn.IFS(I668="S","Sauthamptonm",I668="Q","Queentown",I668="C","Cherburg",I668="B","Cabin")</f>
        <v>Sauthamptonm</v>
      </c>
      <c r="K668" t="s">
        <v>12</v>
      </c>
      <c r="L668" s="2">
        <v>52</v>
      </c>
      <c r="M668">
        <v>0</v>
      </c>
      <c r="N668">
        <v>0</v>
      </c>
      <c r="O668" t="s">
        <v>13</v>
      </c>
    </row>
    <row r="669" spans="1:15" x14ac:dyDescent="0.3">
      <c r="A669" s="1" t="s">
        <v>1348</v>
      </c>
      <c r="B669" t="s">
        <v>76</v>
      </c>
      <c r="C669" t="s">
        <v>1349</v>
      </c>
      <c r="D669" t="str">
        <f t="shared" si="10"/>
        <v>Female</v>
      </c>
      <c r="E669" t="s">
        <v>14</v>
      </c>
      <c r="F669" s="2">
        <v>56</v>
      </c>
      <c r="G669" s="2" t="str" cm="1">
        <f t="array" ref="G669">_xlfn.IFS(F669&lt;=8,"Child",F669&lt;=17,"Teen",F669&lt;=35,"Adult",F669&lt;=55,"Seniour Adult",F669&gt;=55,"Old Age")</f>
        <v>Old Age</v>
      </c>
      <c r="H669" t="s">
        <v>25</v>
      </c>
      <c r="I669" t="s">
        <v>19</v>
      </c>
      <c r="J669" t="str" cm="1">
        <f t="array" ref="J669">_xlfn.IFS(I669="S","Sauthamptonm",I669="Q","Queentown",I669="C","Cherburg",I669="B","Cabin")</f>
        <v>Cherburg</v>
      </c>
      <c r="K669" t="s">
        <v>12</v>
      </c>
      <c r="L669" s="2">
        <v>83.030199999999994</v>
      </c>
      <c r="M669">
        <v>0</v>
      </c>
      <c r="N669">
        <v>1</v>
      </c>
      <c r="O669" t="s">
        <v>16</v>
      </c>
    </row>
    <row r="670" spans="1:15" x14ac:dyDescent="0.3">
      <c r="A670" s="1" t="s">
        <v>1350</v>
      </c>
      <c r="B670" t="s">
        <v>72</v>
      </c>
      <c r="C670" t="s">
        <v>897</v>
      </c>
      <c r="D670" t="str">
        <f t="shared" si="10"/>
        <v>Male</v>
      </c>
      <c r="E670" t="s">
        <v>9</v>
      </c>
      <c r="F670" s="2">
        <v>27</v>
      </c>
      <c r="G670" s="2" t="str" cm="1">
        <f t="array" ref="G670">_xlfn.IFS(F670&lt;=8,"Child",F670&lt;=17,"Teen",F670&lt;=35,"Adult",F670&lt;=55,"Seniour Adult",F670&gt;=55,"Old Age")</f>
        <v>Adult</v>
      </c>
      <c r="H670" t="s">
        <v>18</v>
      </c>
      <c r="I670" t="s">
        <v>19</v>
      </c>
      <c r="J670" t="str" cm="1">
        <f t="array" ref="J670">_xlfn.IFS(I670="S","Sauthamptonm",I670="Q","Queentown",I670="C","Cherburg",I670="B","Cabin")</f>
        <v>Cherburg</v>
      </c>
      <c r="K670" t="s">
        <v>12</v>
      </c>
      <c r="L670" s="2">
        <v>15</v>
      </c>
      <c r="M670">
        <v>0</v>
      </c>
      <c r="N670">
        <v>0</v>
      </c>
      <c r="O670" t="s">
        <v>13</v>
      </c>
    </row>
    <row r="671" spans="1:15" x14ac:dyDescent="0.3">
      <c r="A671" s="1" t="s">
        <v>1351</v>
      </c>
      <c r="B671" t="s">
        <v>72</v>
      </c>
      <c r="C671" t="s">
        <v>1352</v>
      </c>
      <c r="D671" t="str">
        <f t="shared" si="10"/>
        <v>Male</v>
      </c>
      <c r="E671" t="s">
        <v>9</v>
      </c>
      <c r="F671" s="2">
        <v>16</v>
      </c>
      <c r="G671" s="2" t="str" cm="1">
        <f t="array" ref="G671">_xlfn.IFS(F671&lt;=8,"Child",F671&lt;=17,"Teen",F671&lt;=35,"Adult",F671&lt;=55,"Seniour Adult",F671&gt;=55,"Old Age")</f>
        <v>Teen</v>
      </c>
      <c r="H671" t="s">
        <v>10</v>
      </c>
      <c r="I671" t="s">
        <v>19</v>
      </c>
      <c r="J671" t="str" cm="1">
        <f t="array" ref="J671">_xlfn.IFS(I671="S","Sauthamptonm",I671="Q","Queentown",I671="C","Cherburg",I671="B","Cabin")</f>
        <v>Cherburg</v>
      </c>
      <c r="K671" t="s">
        <v>15</v>
      </c>
      <c r="L671" s="2">
        <v>8.1402999999999999</v>
      </c>
      <c r="M671">
        <v>0</v>
      </c>
      <c r="N671">
        <v>0</v>
      </c>
      <c r="O671" t="s">
        <v>13</v>
      </c>
    </row>
    <row r="672" spans="1:15" x14ac:dyDescent="0.3">
      <c r="A672" s="1" t="s">
        <v>1353</v>
      </c>
      <c r="B672" t="s">
        <v>78</v>
      </c>
      <c r="C672" t="s">
        <v>1354</v>
      </c>
      <c r="D672" t="str">
        <f t="shared" si="10"/>
        <v>Female</v>
      </c>
      <c r="E672" t="s">
        <v>14</v>
      </c>
      <c r="F672" s="2">
        <v>2</v>
      </c>
      <c r="G672" s="2" t="str" cm="1">
        <f t="array" ref="G672">_xlfn.IFS(F672&lt;=8,"Child",F672&lt;=17,"Teen",F672&lt;=35,"Adult",F672&lt;=55,"Seniour Adult",F672&gt;=55,"Old Age")</f>
        <v>Child</v>
      </c>
      <c r="H672" t="s">
        <v>18</v>
      </c>
      <c r="I672" t="s">
        <v>11</v>
      </c>
      <c r="J672" t="str" cm="1">
        <f t="array" ref="J672">_xlfn.IFS(I672="S","Sauthamptonm",I672="Q","Queentown",I672="C","Cherburg",I672="B","Cabin")</f>
        <v>Sauthamptonm</v>
      </c>
      <c r="K672" t="s">
        <v>15</v>
      </c>
      <c r="L672" s="2">
        <v>26</v>
      </c>
      <c r="M672">
        <v>1</v>
      </c>
      <c r="N672">
        <v>1</v>
      </c>
      <c r="O672" t="s">
        <v>16</v>
      </c>
    </row>
    <row r="673" spans="1:15" x14ac:dyDescent="0.3">
      <c r="A673" s="1" t="s">
        <v>1355</v>
      </c>
      <c r="B673" t="s">
        <v>72</v>
      </c>
      <c r="C673" t="s">
        <v>1356</v>
      </c>
      <c r="D673" t="str">
        <f t="shared" si="10"/>
        <v>Male</v>
      </c>
      <c r="E673" t="s">
        <v>9</v>
      </c>
      <c r="F673" s="2">
        <v>27</v>
      </c>
      <c r="G673" s="2" t="str" cm="1">
        <f t="array" ref="G673">_xlfn.IFS(F673&lt;=8,"Child",F673&lt;=17,"Teen",F673&lt;=35,"Adult",F673&lt;=55,"Seniour Adult",F673&gt;=55,"Old Age")</f>
        <v>Adult</v>
      </c>
      <c r="H673" t="s">
        <v>10</v>
      </c>
      <c r="I673" t="s">
        <v>11</v>
      </c>
      <c r="J673" t="str" cm="1">
        <f t="array" ref="J673">_xlfn.IFS(I673="S","Sauthamptonm",I673="Q","Queentown",I673="C","Cherburg",I673="B","Cabin")</f>
        <v>Sauthamptonm</v>
      </c>
      <c r="K673" t="s">
        <v>15</v>
      </c>
      <c r="L673" s="2">
        <v>7.1711</v>
      </c>
      <c r="M673">
        <v>0</v>
      </c>
      <c r="N673">
        <v>0</v>
      </c>
      <c r="O673" t="s">
        <v>13</v>
      </c>
    </row>
    <row r="674" spans="1:15" x14ac:dyDescent="0.3">
      <c r="A674" s="1" t="s">
        <v>1357</v>
      </c>
      <c r="B674" t="s">
        <v>72</v>
      </c>
      <c r="C674" t="s">
        <v>1358</v>
      </c>
      <c r="D674" t="str">
        <f t="shared" si="10"/>
        <v>Male</v>
      </c>
      <c r="E674" t="s">
        <v>9</v>
      </c>
      <c r="F674" s="2">
        <v>21</v>
      </c>
      <c r="G674" s="2" t="str" cm="1">
        <f t="array" ref="G674">_xlfn.IFS(F674&lt;=8,"Child",F674&lt;=17,"Teen",F674&lt;=35,"Adult",F674&lt;=55,"Seniour Adult",F674&gt;=55,"Old Age")</f>
        <v>Adult</v>
      </c>
      <c r="H674" t="s">
        <v>10</v>
      </c>
      <c r="I674" t="s">
        <v>19</v>
      </c>
      <c r="J674" t="str" cm="1">
        <f t="array" ref="J674">_xlfn.IFS(I674="S","Sauthamptonm",I674="Q","Queentown",I674="C","Cherburg",I674="B","Cabin")</f>
        <v>Cherburg</v>
      </c>
      <c r="K674" t="s">
        <v>21</v>
      </c>
      <c r="L674" s="2">
        <v>7.0406000000000004</v>
      </c>
      <c r="M674">
        <v>0</v>
      </c>
      <c r="N674">
        <v>0</v>
      </c>
      <c r="O674" t="s">
        <v>13</v>
      </c>
    </row>
    <row r="675" spans="1:15" x14ac:dyDescent="0.3">
      <c r="A675" s="1" t="s">
        <v>1359</v>
      </c>
      <c r="B675" t="s">
        <v>76</v>
      </c>
      <c r="C675" t="s">
        <v>1360</v>
      </c>
      <c r="D675" t="str">
        <f t="shared" si="10"/>
        <v>Female</v>
      </c>
      <c r="E675" t="s">
        <v>14</v>
      </c>
      <c r="F675" s="2">
        <v>63</v>
      </c>
      <c r="G675" s="2" t="str" cm="1">
        <f t="array" ref="G675">_xlfn.IFS(F675&lt;=8,"Child",F675&lt;=17,"Teen",F675&lt;=35,"Adult",F675&lt;=55,"Seniour Adult",F675&gt;=55,"Old Age")</f>
        <v>Old Age</v>
      </c>
      <c r="H675" t="s">
        <v>10</v>
      </c>
      <c r="I675" t="s">
        <v>11</v>
      </c>
      <c r="J675" t="str" cm="1">
        <f t="array" ref="J675">_xlfn.IFS(I675="S","Sauthamptonm",I675="Q","Queentown",I675="C","Cherburg",I675="B","Cabin")</f>
        <v>Sauthamptonm</v>
      </c>
      <c r="K675" t="s">
        <v>17</v>
      </c>
      <c r="L675" s="2">
        <v>8.0203000000000007</v>
      </c>
      <c r="M675">
        <v>0</v>
      </c>
      <c r="N675">
        <v>0</v>
      </c>
      <c r="O675" t="s">
        <v>13</v>
      </c>
    </row>
    <row r="676" spans="1:15" x14ac:dyDescent="0.3">
      <c r="A676" s="1" t="s">
        <v>1361</v>
      </c>
      <c r="B676" t="s">
        <v>72</v>
      </c>
      <c r="C676" t="s">
        <v>1362</v>
      </c>
      <c r="D676" t="str">
        <f t="shared" si="10"/>
        <v>Male</v>
      </c>
      <c r="E676" t="s">
        <v>9</v>
      </c>
      <c r="F676" s="2">
        <v>30</v>
      </c>
      <c r="G676" s="2" t="str" cm="1">
        <f t="array" ref="G676">_xlfn.IFS(F676&lt;=8,"Child",F676&lt;=17,"Teen",F676&lt;=35,"Adult",F676&lt;=55,"Seniour Adult",F676&gt;=55,"Old Age")</f>
        <v>Adult</v>
      </c>
      <c r="H676" t="s">
        <v>10</v>
      </c>
      <c r="I676" t="s">
        <v>19</v>
      </c>
      <c r="J676" t="str" cm="1">
        <f t="array" ref="J676">_xlfn.IFS(I676="S","Sauthamptonm",I676="Q","Queentown",I676="C","Cherburg",I676="B","Cabin")</f>
        <v>Cherburg</v>
      </c>
      <c r="K676" t="s">
        <v>21</v>
      </c>
      <c r="L676" s="2">
        <v>7.0407000000000002</v>
      </c>
      <c r="M676">
        <v>0</v>
      </c>
      <c r="N676">
        <v>0</v>
      </c>
      <c r="O676" t="s">
        <v>13</v>
      </c>
    </row>
    <row r="677" spans="1:15" x14ac:dyDescent="0.3">
      <c r="A677" s="1" t="s">
        <v>1363</v>
      </c>
      <c r="B677" t="s">
        <v>72</v>
      </c>
      <c r="C677" t="s">
        <v>1364</v>
      </c>
      <c r="D677" t="str">
        <f t="shared" si="10"/>
        <v>Male</v>
      </c>
      <c r="E677" t="s">
        <v>9</v>
      </c>
      <c r="F677" s="2">
        <v>18</v>
      </c>
      <c r="G677" s="2" t="str" cm="1">
        <f t="array" ref="G677">_xlfn.IFS(F677&lt;=8,"Child",F677&lt;=17,"Teen",F677&lt;=35,"Adult",F677&lt;=55,"Seniour Adult",F677&gt;=55,"Old Age")</f>
        <v>Adult</v>
      </c>
      <c r="H677" t="s">
        <v>10</v>
      </c>
      <c r="I677" t="s">
        <v>11</v>
      </c>
      <c r="J677" t="str" cm="1">
        <f t="array" ref="J677">_xlfn.IFS(I677="S","Sauthamptonm",I677="Q","Queentown",I677="C","Cherburg",I677="B","Cabin")</f>
        <v>Sauthamptonm</v>
      </c>
      <c r="K677" t="s">
        <v>40</v>
      </c>
      <c r="L677" s="2">
        <v>7.05</v>
      </c>
      <c r="M677">
        <v>0</v>
      </c>
      <c r="N677">
        <v>0</v>
      </c>
      <c r="O677" t="s">
        <v>13</v>
      </c>
    </row>
    <row r="678" spans="1:15" x14ac:dyDescent="0.3">
      <c r="A678" s="1" t="s">
        <v>1365</v>
      </c>
      <c r="B678" t="s">
        <v>72</v>
      </c>
      <c r="C678" t="s">
        <v>381</v>
      </c>
      <c r="D678" t="str">
        <f t="shared" si="10"/>
        <v>Male</v>
      </c>
      <c r="E678" t="s">
        <v>9</v>
      </c>
      <c r="F678" s="2">
        <v>36</v>
      </c>
      <c r="G678" s="2" t="str" cm="1">
        <f t="array" ref="G678">_xlfn.IFS(F678&lt;=8,"Child",F678&lt;=17,"Teen",F678&lt;=35,"Adult",F678&lt;=55,"Seniour Adult",F678&gt;=55,"Old Age")</f>
        <v>Seniour Adult</v>
      </c>
      <c r="H678" t="s">
        <v>18</v>
      </c>
      <c r="I678" t="s">
        <v>11</v>
      </c>
      <c r="J678" t="str" cm="1">
        <f t="array" ref="J678">_xlfn.IFS(I678="S","Sauthamptonm",I678="Q","Queentown",I678="C","Cherburg",I678="B","Cabin")</f>
        <v>Sauthamptonm</v>
      </c>
      <c r="K678" t="s">
        <v>15</v>
      </c>
      <c r="L678" s="2">
        <v>10.1</v>
      </c>
      <c r="M678">
        <v>0</v>
      </c>
      <c r="N678">
        <v>0</v>
      </c>
      <c r="O678" t="s">
        <v>13</v>
      </c>
    </row>
    <row r="679" spans="1:15" x14ac:dyDescent="0.3">
      <c r="A679" s="1" t="s">
        <v>1366</v>
      </c>
      <c r="B679" t="s">
        <v>72</v>
      </c>
      <c r="C679" t="s">
        <v>1367</v>
      </c>
      <c r="D679" t="str">
        <f t="shared" si="10"/>
        <v>Male</v>
      </c>
      <c r="E679" t="s">
        <v>9</v>
      </c>
      <c r="F679" s="2">
        <v>38</v>
      </c>
      <c r="G679" s="2" t="str" cm="1">
        <f t="array" ref="G679">_xlfn.IFS(F679&lt;=8,"Child",F679&lt;=17,"Teen",F679&lt;=35,"Adult",F679&lt;=55,"Seniour Adult",F679&gt;=55,"Old Age")</f>
        <v>Seniour Adult</v>
      </c>
      <c r="H679" t="s">
        <v>10</v>
      </c>
      <c r="I679" t="s">
        <v>11</v>
      </c>
      <c r="J679" t="str" cm="1">
        <f t="array" ref="J679">_xlfn.IFS(I679="S","Sauthamptonm",I679="Q","Queentown",I679="C","Cherburg",I679="B","Cabin")</f>
        <v>Sauthamptonm</v>
      </c>
      <c r="K679" t="s">
        <v>34</v>
      </c>
      <c r="L679" s="2">
        <v>7.1711</v>
      </c>
      <c r="M679">
        <v>0</v>
      </c>
      <c r="N679">
        <v>0</v>
      </c>
      <c r="O679" t="s">
        <v>13</v>
      </c>
    </row>
    <row r="680" spans="1:15" x14ac:dyDescent="0.3">
      <c r="A680" s="1" t="s">
        <v>1368</v>
      </c>
      <c r="B680" t="s">
        <v>72</v>
      </c>
      <c r="C680" t="s">
        <v>1369</v>
      </c>
      <c r="D680" t="str">
        <f t="shared" si="10"/>
        <v>Male</v>
      </c>
      <c r="E680" t="s">
        <v>9</v>
      </c>
      <c r="F680" s="2">
        <v>33</v>
      </c>
      <c r="G680" s="2" t="str" cm="1">
        <f t="array" ref="G680">_xlfn.IFS(F680&lt;=8,"Child",F680&lt;=17,"Teen",F680&lt;=35,"Adult",F680&lt;=55,"Seniour Adult",F680&gt;=55,"Old Age")</f>
        <v>Adult</v>
      </c>
      <c r="H680" t="s">
        <v>18</v>
      </c>
      <c r="I680" t="s">
        <v>11</v>
      </c>
      <c r="J680" t="str" cm="1">
        <f t="array" ref="J680">_xlfn.IFS(I680="S","Sauthamptonm",I680="Q","Queentown",I680="C","Cherburg",I680="B","Cabin")</f>
        <v>Sauthamptonm</v>
      </c>
      <c r="K680" t="s">
        <v>33</v>
      </c>
      <c r="L680" s="2">
        <v>21</v>
      </c>
      <c r="M680">
        <v>1</v>
      </c>
      <c r="N680">
        <v>0</v>
      </c>
      <c r="O680" t="s">
        <v>13</v>
      </c>
    </row>
    <row r="681" spans="1:15" x14ac:dyDescent="0.3">
      <c r="A681" s="1" t="s">
        <v>1370</v>
      </c>
      <c r="B681" t="s">
        <v>72</v>
      </c>
      <c r="C681" t="s">
        <v>1371</v>
      </c>
      <c r="D681" t="str">
        <f t="shared" si="10"/>
        <v>Male</v>
      </c>
      <c r="E681" t="s">
        <v>9</v>
      </c>
      <c r="F681" s="2">
        <v>37</v>
      </c>
      <c r="G681" s="2" t="str" cm="1">
        <f t="array" ref="G681">_xlfn.IFS(F681&lt;=8,"Child",F681&lt;=17,"Teen",F681&lt;=35,"Adult",F681&lt;=55,"Seniour Adult",F681&gt;=55,"Old Age")</f>
        <v>Seniour Adult</v>
      </c>
      <c r="H681" t="s">
        <v>25</v>
      </c>
      <c r="I681" t="s">
        <v>19</v>
      </c>
      <c r="J681" t="str" cm="1">
        <f t="array" ref="J681">_xlfn.IFS(I681="S","Sauthamptonm",I681="Q","Queentown",I681="C","Cherburg",I681="B","Cabin")</f>
        <v>Cherburg</v>
      </c>
      <c r="K681" t="s">
        <v>65</v>
      </c>
      <c r="L681" s="2">
        <v>29</v>
      </c>
      <c r="M681">
        <v>0</v>
      </c>
      <c r="N681">
        <v>0</v>
      </c>
      <c r="O681" t="s">
        <v>13</v>
      </c>
    </row>
    <row r="682" spans="1:15" x14ac:dyDescent="0.3">
      <c r="A682" s="1" t="s">
        <v>1372</v>
      </c>
      <c r="B682" t="s">
        <v>558</v>
      </c>
      <c r="C682" t="s">
        <v>1373</v>
      </c>
      <c r="D682" t="str">
        <f t="shared" si="10"/>
        <v>Female</v>
      </c>
      <c r="E682" t="s">
        <v>14</v>
      </c>
      <c r="F682" s="2">
        <v>29</v>
      </c>
      <c r="G682" s="2" t="str" cm="1">
        <f t="array" ref="G682">_xlfn.IFS(F682&lt;=8,"Child",F682&lt;=17,"Teen",F682&lt;=35,"Adult",F682&lt;=55,"Seniour Adult",F682&gt;=55,"Old Age")</f>
        <v>Adult</v>
      </c>
      <c r="H682" t="s">
        <v>18</v>
      </c>
      <c r="I682" t="s">
        <v>11</v>
      </c>
      <c r="J682" t="str" cm="1">
        <f t="array" ref="J682">_xlfn.IFS(I682="S","Sauthamptonm",I682="Q","Queentown",I682="C","Cherburg",I682="B","Cabin")</f>
        <v>Sauthamptonm</v>
      </c>
      <c r="K682" t="s">
        <v>50</v>
      </c>
      <c r="L682" s="2">
        <v>13</v>
      </c>
      <c r="M682">
        <v>0</v>
      </c>
      <c r="N682">
        <v>0</v>
      </c>
      <c r="O682" t="s">
        <v>16</v>
      </c>
    </row>
    <row r="683" spans="1:15" x14ac:dyDescent="0.3">
      <c r="A683" s="1" t="s">
        <v>1374</v>
      </c>
      <c r="B683" t="s">
        <v>72</v>
      </c>
      <c r="C683" t="s">
        <v>1375</v>
      </c>
      <c r="D683" t="str">
        <f t="shared" si="10"/>
        <v>Male</v>
      </c>
      <c r="E683" t="s">
        <v>9</v>
      </c>
      <c r="F683" s="2">
        <v>21</v>
      </c>
      <c r="G683" s="2" t="str" cm="1">
        <f t="array" ref="G683">_xlfn.IFS(F683&lt;=8,"Child",F683&lt;=17,"Teen",F683&lt;=35,"Adult",F683&lt;=55,"Seniour Adult",F683&gt;=55,"Old Age")</f>
        <v>Adult</v>
      </c>
      <c r="H683" t="s">
        <v>10</v>
      </c>
      <c r="I683" t="s">
        <v>11</v>
      </c>
      <c r="J683" t="str" cm="1">
        <f t="array" ref="J683">_xlfn.IFS(I683="S","Sauthamptonm",I683="Q","Queentown",I683="C","Cherburg",I683="B","Cabin")</f>
        <v>Sauthamptonm</v>
      </c>
      <c r="K683" t="s">
        <v>15</v>
      </c>
      <c r="L683" s="2">
        <v>8.01</v>
      </c>
      <c r="M683">
        <v>0</v>
      </c>
      <c r="N683">
        <v>0</v>
      </c>
      <c r="O683" t="s">
        <v>13</v>
      </c>
    </row>
    <row r="684" spans="1:15" x14ac:dyDescent="0.3">
      <c r="A684" s="1" t="s">
        <v>1376</v>
      </c>
      <c r="B684" t="s">
        <v>72</v>
      </c>
      <c r="C684" t="s">
        <v>1377</v>
      </c>
      <c r="D684" t="str">
        <f t="shared" si="10"/>
        <v>Male</v>
      </c>
      <c r="E684" t="s">
        <v>9</v>
      </c>
      <c r="F684" s="2">
        <v>33</v>
      </c>
      <c r="G684" s="2" t="str" cm="1">
        <f t="array" ref="G684">_xlfn.IFS(F684&lt;=8,"Child",F684&lt;=17,"Teen",F684&lt;=35,"Adult",F684&lt;=55,"Seniour Adult",F684&gt;=55,"Old Age")</f>
        <v>Adult</v>
      </c>
      <c r="H684" t="s">
        <v>25</v>
      </c>
      <c r="I684" t="s">
        <v>19</v>
      </c>
      <c r="J684" t="str" cm="1">
        <f t="array" ref="J684">_xlfn.IFS(I684="S","Sauthamptonm",I684="Q","Queentown",I684="C","Cherburg",I684="B","Cabin")</f>
        <v>Cherburg</v>
      </c>
      <c r="K684" t="s">
        <v>12</v>
      </c>
      <c r="L684" s="2">
        <v>39.119999999999997</v>
      </c>
      <c r="M684">
        <v>0</v>
      </c>
      <c r="N684">
        <v>0</v>
      </c>
      <c r="O684" t="s">
        <v>16</v>
      </c>
    </row>
    <row r="685" spans="1:15" x14ac:dyDescent="0.3">
      <c r="A685" s="1" t="s">
        <v>1378</v>
      </c>
      <c r="B685" t="s">
        <v>94</v>
      </c>
      <c r="C685" t="s">
        <v>161</v>
      </c>
      <c r="D685" t="str">
        <f t="shared" si="10"/>
        <v>Male</v>
      </c>
      <c r="E685" t="s">
        <v>9</v>
      </c>
      <c r="F685" s="2">
        <v>10</v>
      </c>
      <c r="G685" s="2" t="str" cm="1">
        <f t="array" ref="G685">_xlfn.IFS(F685&lt;=8,"Child",F685&lt;=17,"Teen",F685&lt;=35,"Adult",F685&lt;=55,"Seniour Adult",F685&gt;=55,"Old Age")</f>
        <v>Teen</v>
      </c>
      <c r="H685" t="s">
        <v>10</v>
      </c>
      <c r="I685" t="s">
        <v>36</v>
      </c>
      <c r="J685" t="str" cm="1">
        <f t="array" ref="J685">_xlfn.IFS(I685="S","Sauthamptonm",I685="Q","Queentown",I685="C","Cherburg",I685="B","Cabin")</f>
        <v>Queentown</v>
      </c>
      <c r="K685" t="s">
        <v>37</v>
      </c>
      <c r="L685" s="2">
        <v>29.020600000000002</v>
      </c>
      <c r="M685">
        <v>4</v>
      </c>
      <c r="N685">
        <v>1</v>
      </c>
      <c r="O685" t="s">
        <v>13</v>
      </c>
    </row>
    <row r="686" spans="1:15" x14ac:dyDescent="0.3">
      <c r="A686" s="1" t="s">
        <v>1379</v>
      </c>
      <c r="B686" t="s">
        <v>72</v>
      </c>
      <c r="C686" t="s">
        <v>1380</v>
      </c>
      <c r="D686" t="str">
        <f t="shared" si="10"/>
        <v>Male</v>
      </c>
      <c r="E686" t="s">
        <v>9</v>
      </c>
      <c r="F686" s="2">
        <v>23</v>
      </c>
      <c r="G686" s="2" t="str" cm="1">
        <f t="array" ref="G686">_xlfn.IFS(F686&lt;=8,"Child",F686&lt;=17,"Teen",F686&lt;=35,"Adult",F686&lt;=55,"Seniour Adult",F686&gt;=55,"Old Age")</f>
        <v>Adult</v>
      </c>
      <c r="H686" t="s">
        <v>18</v>
      </c>
      <c r="I686" t="s">
        <v>19</v>
      </c>
      <c r="J686" t="str" cm="1">
        <f t="array" ref="J686">_xlfn.IFS(I686="S","Sauthamptonm",I686="Q","Queentown",I686="C","Cherburg",I686="B","Cabin")</f>
        <v>Cherburg</v>
      </c>
      <c r="K686" t="s">
        <v>15</v>
      </c>
      <c r="L686" s="2">
        <v>15</v>
      </c>
      <c r="M686">
        <v>0</v>
      </c>
      <c r="N686">
        <v>0</v>
      </c>
      <c r="O686" t="s">
        <v>13</v>
      </c>
    </row>
    <row r="687" spans="1:15" x14ac:dyDescent="0.3">
      <c r="A687" s="1" t="s">
        <v>1381</v>
      </c>
      <c r="B687" t="s">
        <v>94</v>
      </c>
      <c r="C687" t="s">
        <v>1382</v>
      </c>
      <c r="D687" t="str">
        <f t="shared" si="10"/>
        <v>Male</v>
      </c>
      <c r="E687" t="s">
        <v>9</v>
      </c>
      <c r="F687" s="2">
        <v>0.75</v>
      </c>
      <c r="G687" s="2" t="str" cm="1">
        <f t="array" ref="G687">_xlfn.IFS(F687&lt;=8,"Child",F687&lt;=17,"Teen",F687&lt;=35,"Adult",F687&lt;=55,"Seniour Adult",F687&gt;=55,"Old Age")</f>
        <v>Child</v>
      </c>
      <c r="H687" t="s">
        <v>18</v>
      </c>
      <c r="I687" t="s">
        <v>11</v>
      </c>
      <c r="J687" t="str" cm="1">
        <f t="array" ref="J687">_xlfn.IFS(I687="S","Sauthamptonm",I687="Q","Queentown",I687="C","Cherburg",I687="B","Cabin")</f>
        <v>Sauthamptonm</v>
      </c>
      <c r="K687" t="s">
        <v>15</v>
      </c>
      <c r="L687" s="2">
        <v>18.149999999999999</v>
      </c>
      <c r="M687">
        <v>1</v>
      </c>
      <c r="N687">
        <v>1</v>
      </c>
      <c r="O687" t="s">
        <v>16</v>
      </c>
    </row>
    <row r="688" spans="1:15" x14ac:dyDescent="0.3">
      <c r="A688" s="1" t="s">
        <v>1384</v>
      </c>
      <c r="B688" t="s">
        <v>78</v>
      </c>
      <c r="C688" t="s">
        <v>1385</v>
      </c>
      <c r="D688" t="str">
        <f t="shared" si="10"/>
        <v>Female</v>
      </c>
      <c r="E688" t="s">
        <v>14</v>
      </c>
      <c r="F688" s="2">
        <v>58</v>
      </c>
      <c r="G688" s="2" t="str" cm="1">
        <f t="array" ref="G688">_xlfn.IFS(F688&lt;=8,"Child",F688&lt;=17,"Teen",F688&lt;=35,"Adult",F688&lt;=55,"Seniour Adult",F688&gt;=55,"Old Age")</f>
        <v>Old Age</v>
      </c>
      <c r="H688" t="s">
        <v>18</v>
      </c>
      <c r="I688" t="s">
        <v>11</v>
      </c>
      <c r="J688" t="str" cm="1">
        <f t="array" ref="J688">_xlfn.IFS(I688="S","Sauthamptonm",I688="Q","Queentown",I688="C","Cherburg",I688="B","Cabin")</f>
        <v>Sauthamptonm</v>
      </c>
      <c r="K688" t="s">
        <v>15</v>
      </c>
      <c r="L688" s="2">
        <v>10.1</v>
      </c>
      <c r="M688">
        <v>0</v>
      </c>
      <c r="N688">
        <v>0</v>
      </c>
      <c r="O688" t="s">
        <v>16</v>
      </c>
    </row>
    <row r="689" spans="1:15" x14ac:dyDescent="0.3">
      <c r="A689" s="1" t="s">
        <v>1386</v>
      </c>
      <c r="B689" t="s">
        <v>72</v>
      </c>
      <c r="C689" t="s">
        <v>1387</v>
      </c>
      <c r="D689" t="str">
        <f t="shared" si="10"/>
        <v>Male</v>
      </c>
      <c r="E689" t="s">
        <v>9</v>
      </c>
      <c r="F689" s="2">
        <v>22</v>
      </c>
      <c r="G689" s="2" t="str" cm="1">
        <f t="array" ref="G689">_xlfn.IFS(F689&lt;=8,"Child",F689&lt;=17,"Teen",F689&lt;=35,"Adult",F689&lt;=55,"Seniour Adult",F689&gt;=55,"Old Age")</f>
        <v>Adult</v>
      </c>
      <c r="H689" t="s">
        <v>25</v>
      </c>
      <c r="I689" t="s">
        <v>19</v>
      </c>
      <c r="J689" t="str" cm="1">
        <f t="array" ref="J689">_xlfn.IFS(I689="S","Sauthamptonm",I689="Q","Queentown",I689="C","Cherburg",I689="B","Cabin")</f>
        <v>Cherburg</v>
      </c>
      <c r="K689" t="s">
        <v>15</v>
      </c>
      <c r="L689" s="2">
        <v>135.1208</v>
      </c>
      <c r="M689">
        <v>0</v>
      </c>
      <c r="N689">
        <v>0</v>
      </c>
      <c r="O689" t="s">
        <v>13</v>
      </c>
    </row>
    <row r="690" spans="1:15" x14ac:dyDescent="0.3">
      <c r="A690" s="1" t="s">
        <v>1388</v>
      </c>
      <c r="B690" t="s">
        <v>78</v>
      </c>
      <c r="C690" t="s">
        <v>1389</v>
      </c>
      <c r="D690" t="str">
        <f t="shared" si="10"/>
        <v>Female</v>
      </c>
      <c r="E690" t="s">
        <v>14</v>
      </c>
      <c r="F690" s="2">
        <v>22</v>
      </c>
      <c r="G690" s="2" t="str" cm="1">
        <f t="array" ref="G690">_xlfn.IFS(F690&lt;=8,"Child",F690&lt;=17,"Teen",F690&lt;=35,"Adult",F690&lt;=55,"Seniour Adult",F690&gt;=55,"Old Age")</f>
        <v>Adult</v>
      </c>
      <c r="H690" t="s">
        <v>10</v>
      </c>
      <c r="I690" t="s">
        <v>11</v>
      </c>
      <c r="J690" t="str" cm="1">
        <f t="array" ref="J690">_xlfn.IFS(I690="S","Sauthamptonm",I690="Q","Queentown",I690="C","Cherburg",I690="B","Cabin")</f>
        <v>Sauthamptonm</v>
      </c>
      <c r="K690" t="s">
        <v>22</v>
      </c>
      <c r="L690" s="2">
        <v>39.130899999999997</v>
      </c>
      <c r="M690">
        <v>0</v>
      </c>
      <c r="N690">
        <v>0</v>
      </c>
      <c r="O690" t="s">
        <v>13</v>
      </c>
    </row>
    <row r="691" spans="1:15" x14ac:dyDescent="0.3">
      <c r="A691" s="1" t="s">
        <v>1390</v>
      </c>
      <c r="B691" t="s">
        <v>72</v>
      </c>
      <c r="C691" t="s">
        <v>1391</v>
      </c>
      <c r="D691" t="str">
        <f t="shared" si="10"/>
        <v>Male</v>
      </c>
      <c r="E691" t="s">
        <v>9</v>
      </c>
      <c r="F691" s="2">
        <v>35</v>
      </c>
      <c r="G691" s="2" t="str" cm="1">
        <f t="array" ref="G691">_xlfn.IFS(F691&lt;=8,"Child",F691&lt;=17,"Teen",F691&lt;=35,"Adult",F691&lt;=55,"Seniour Adult",F691&gt;=55,"Old Age")</f>
        <v>Adult</v>
      </c>
      <c r="H691" t="s">
        <v>10</v>
      </c>
      <c r="I691" t="s">
        <v>11</v>
      </c>
      <c r="J691" t="str" cm="1">
        <f t="array" ref="J691">_xlfn.IFS(I691="S","Sauthamptonm",I691="Q","Queentown",I691="C","Cherburg",I691="B","Cabin")</f>
        <v>Sauthamptonm</v>
      </c>
      <c r="K691" t="s">
        <v>22</v>
      </c>
      <c r="L691" s="2">
        <v>7.0206</v>
      </c>
      <c r="M691">
        <v>0</v>
      </c>
      <c r="N691">
        <v>0</v>
      </c>
      <c r="O691" t="s">
        <v>13</v>
      </c>
    </row>
    <row r="692" spans="1:15" x14ac:dyDescent="0.3">
      <c r="A692" s="1" t="s">
        <v>1392</v>
      </c>
      <c r="B692" t="s">
        <v>78</v>
      </c>
      <c r="C692" t="s">
        <v>82</v>
      </c>
      <c r="D692" t="str">
        <f t="shared" si="10"/>
        <v>Female</v>
      </c>
      <c r="E692" t="s">
        <v>14</v>
      </c>
      <c r="F692" s="2">
        <v>22</v>
      </c>
      <c r="G692" s="2" t="str" cm="1">
        <f t="array" ref="G692">_xlfn.IFS(F692&lt;=8,"Child",F692&lt;=17,"Teen",F692&lt;=35,"Adult",F692&lt;=55,"Seniour Adult",F692&gt;=55,"Old Age")</f>
        <v>Adult</v>
      </c>
      <c r="H692" t="s">
        <v>10</v>
      </c>
      <c r="I692" t="s">
        <v>36</v>
      </c>
      <c r="J692" t="str" cm="1">
        <f t="array" ref="J692">_xlfn.IFS(I692="S","Sauthamptonm",I692="Q","Queentown",I692="C","Cherburg",I692="B","Cabin")</f>
        <v>Queentown</v>
      </c>
      <c r="K692" t="s">
        <v>37</v>
      </c>
      <c r="L692" s="2">
        <v>7.1405000000000003</v>
      </c>
      <c r="M692">
        <v>0</v>
      </c>
      <c r="N692">
        <v>0</v>
      </c>
      <c r="O692" t="s">
        <v>16</v>
      </c>
    </row>
    <row r="693" spans="1:15" x14ac:dyDescent="0.3">
      <c r="A693" s="1" t="s">
        <v>1393</v>
      </c>
      <c r="B693" t="s">
        <v>72</v>
      </c>
      <c r="C693" t="s">
        <v>1394</v>
      </c>
      <c r="D693" t="str">
        <f t="shared" si="10"/>
        <v>Male</v>
      </c>
      <c r="E693" t="s">
        <v>9</v>
      </c>
      <c r="F693" s="2">
        <v>69</v>
      </c>
      <c r="G693" s="2" t="str" cm="1">
        <f t="array" ref="G693">_xlfn.IFS(F693&lt;=8,"Child",F693&lt;=17,"Teen",F693&lt;=35,"Adult",F693&lt;=55,"Seniour Adult",F693&gt;=55,"Old Age")</f>
        <v>Old Age</v>
      </c>
      <c r="H693" t="s">
        <v>10</v>
      </c>
      <c r="I693" t="s">
        <v>11</v>
      </c>
      <c r="J693" t="str" cm="1">
        <f t="array" ref="J693">_xlfn.IFS(I693="S","Sauthamptonm",I693="Q","Queentown",I693="C","Cherburg",I693="B","Cabin")</f>
        <v>Sauthamptonm</v>
      </c>
      <c r="K693" t="s">
        <v>15</v>
      </c>
      <c r="L693" s="2">
        <v>14.1</v>
      </c>
      <c r="M693">
        <v>0</v>
      </c>
      <c r="N693">
        <v>0</v>
      </c>
      <c r="O693" t="s">
        <v>13</v>
      </c>
    </row>
    <row r="694" spans="1:15" x14ac:dyDescent="0.3">
      <c r="A694" s="1" t="s">
        <v>1395</v>
      </c>
      <c r="B694" t="s">
        <v>76</v>
      </c>
      <c r="C694" t="s">
        <v>106</v>
      </c>
      <c r="D694" t="str">
        <f t="shared" si="10"/>
        <v>Female</v>
      </c>
      <c r="E694" t="s">
        <v>14</v>
      </c>
      <c r="F694" s="2">
        <v>43</v>
      </c>
      <c r="G694" s="2" t="str" cm="1">
        <f t="array" ref="G694">_xlfn.IFS(F694&lt;=8,"Child",F694&lt;=17,"Teen",F694&lt;=35,"Adult",F694&lt;=55,"Seniour Adult",F694&gt;=55,"Old Age")</f>
        <v>Seniour Adult</v>
      </c>
      <c r="H694" t="s">
        <v>25</v>
      </c>
      <c r="I694" t="s">
        <v>11</v>
      </c>
      <c r="J694" t="str" cm="1">
        <f t="array" ref="J694">_xlfn.IFS(I694="S","Sauthamptonm",I694="Q","Queentown",I694="C","Cherburg",I694="B","Cabin")</f>
        <v>Sauthamptonm</v>
      </c>
      <c r="K694" t="s">
        <v>12</v>
      </c>
      <c r="L694" s="2">
        <v>211.0609</v>
      </c>
      <c r="M694">
        <v>0</v>
      </c>
      <c r="N694">
        <v>1</v>
      </c>
      <c r="O694" t="s">
        <v>16</v>
      </c>
    </row>
    <row r="695" spans="1:15" x14ac:dyDescent="0.3">
      <c r="A695" s="1" t="s">
        <v>1396</v>
      </c>
      <c r="B695" t="s">
        <v>72</v>
      </c>
      <c r="C695" t="s">
        <v>1397</v>
      </c>
      <c r="D695" t="str">
        <f t="shared" si="10"/>
        <v>Male</v>
      </c>
      <c r="E695" t="s">
        <v>9</v>
      </c>
      <c r="F695" s="2">
        <v>50</v>
      </c>
      <c r="G695" s="2" t="str" cm="1">
        <f t="array" ref="G695">_xlfn.IFS(F695&lt;=8,"Child",F695&lt;=17,"Teen",F695&lt;=35,"Adult",F695&lt;=55,"Seniour Adult",F695&gt;=55,"Old Age")</f>
        <v>Seniour Adult</v>
      </c>
      <c r="H695" t="s">
        <v>10</v>
      </c>
      <c r="I695" t="s">
        <v>11</v>
      </c>
      <c r="J695" t="str" cm="1">
        <f t="array" ref="J695">_xlfn.IFS(I695="S","Sauthamptonm",I695="Q","Queentown",I695="C","Cherburg",I695="B","Cabin")</f>
        <v>Sauthamptonm</v>
      </c>
      <c r="K695" t="s">
        <v>15</v>
      </c>
      <c r="L695" s="2">
        <v>14.1</v>
      </c>
      <c r="M695">
        <v>1</v>
      </c>
      <c r="N695">
        <v>0</v>
      </c>
      <c r="O695" t="s">
        <v>13</v>
      </c>
    </row>
    <row r="696" spans="1:15" x14ac:dyDescent="0.3">
      <c r="A696" s="1" t="s">
        <v>1398</v>
      </c>
      <c r="B696" t="s">
        <v>72</v>
      </c>
      <c r="C696" t="s">
        <v>1399</v>
      </c>
      <c r="D696" t="str">
        <f t="shared" si="10"/>
        <v>Male</v>
      </c>
      <c r="E696" t="s">
        <v>9</v>
      </c>
      <c r="F696" s="2">
        <v>31</v>
      </c>
      <c r="G696" s="2" t="str" cm="1">
        <f t="array" ref="G696">_xlfn.IFS(F696&lt;=8,"Child",F696&lt;=17,"Teen",F696&lt;=35,"Adult",F696&lt;=55,"Seniour Adult",F696&gt;=55,"Old Age")</f>
        <v>Adult</v>
      </c>
      <c r="H696" t="s">
        <v>25</v>
      </c>
      <c r="I696" t="s">
        <v>11</v>
      </c>
      <c r="J696" t="str" cm="1">
        <f t="array" ref="J696">_xlfn.IFS(I696="S","Sauthamptonm",I696="Q","Queentown",I696="C","Cherburg",I696="B","Cabin")</f>
        <v>Sauthamptonm</v>
      </c>
      <c r="K696" t="s">
        <v>12</v>
      </c>
      <c r="L696" s="2">
        <v>50.091099999999997</v>
      </c>
      <c r="M696">
        <v>0</v>
      </c>
      <c r="N696">
        <v>0</v>
      </c>
      <c r="O696" t="s">
        <v>13</v>
      </c>
    </row>
    <row r="697" spans="1:15" x14ac:dyDescent="0.3">
      <c r="A697" s="1" t="s">
        <v>1400</v>
      </c>
      <c r="B697" t="s">
        <v>72</v>
      </c>
      <c r="C697" t="s">
        <v>1401</v>
      </c>
      <c r="D697" t="str">
        <f t="shared" si="10"/>
        <v>Male</v>
      </c>
      <c r="E697" t="s">
        <v>9</v>
      </c>
      <c r="F697" s="2">
        <v>18</v>
      </c>
      <c r="G697" s="2" t="str" cm="1">
        <f t="array" ref="G697">_xlfn.IFS(F697&lt;=8,"Child",F697&lt;=17,"Teen",F697&lt;=35,"Adult",F697&lt;=55,"Seniour Adult",F697&gt;=55,"Old Age")</f>
        <v>Adult</v>
      </c>
      <c r="H697" t="s">
        <v>18</v>
      </c>
      <c r="I697" t="s">
        <v>11</v>
      </c>
      <c r="J697" t="str" cm="1">
        <f t="array" ref="J697">_xlfn.IFS(I697="S","Sauthamptonm",I697="Q","Queentown",I697="C","Cherburg",I697="B","Cabin")</f>
        <v>Sauthamptonm</v>
      </c>
      <c r="K697" t="s">
        <v>15</v>
      </c>
      <c r="L697" s="2">
        <v>10.1</v>
      </c>
      <c r="M697">
        <v>0</v>
      </c>
      <c r="N697">
        <v>0</v>
      </c>
      <c r="O697" t="s">
        <v>13</v>
      </c>
    </row>
    <row r="698" spans="1:15" x14ac:dyDescent="0.3">
      <c r="A698" s="1" t="s">
        <v>1402</v>
      </c>
      <c r="B698" t="s">
        <v>72</v>
      </c>
      <c r="C698" t="s">
        <v>1403</v>
      </c>
      <c r="D698" t="str">
        <f t="shared" si="10"/>
        <v>Male</v>
      </c>
      <c r="E698" t="s">
        <v>9</v>
      </c>
      <c r="F698" s="2">
        <v>45</v>
      </c>
      <c r="G698" s="2" t="str" cm="1">
        <f t="array" ref="G698">_xlfn.IFS(F698&lt;=8,"Child",F698&lt;=17,"Teen",F698&lt;=35,"Adult",F698&lt;=55,"Seniour Adult",F698&gt;=55,"Old Age")</f>
        <v>Seniour Adult</v>
      </c>
      <c r="H698" t="s">
        <v>25</v>
      </c>
      <c r="I698" t="s">
        <v>11</v>
      </c>
      <c r="J698" t="str" cm="1">
        <f t="array" ref="J698">_xlfn.IFS(I698="S","Sauthamptonm",I698="Q","Queentown",I698="C","Cherburg",I698="B","Cabin")</f>
        <v>Sauthamptonm</v>
      </c>
      <c r="K698" t="s">
        <v>12</v>
      </c>
      <c r="L698" s="2">
        <v>26.11</v>
      </c>
      <c r="M698">
        <v>0</v>
      </c>
      <c r="N698">
        <v>0</v>
      </c>
      <c r="O698" t="s">
        <v>16</v>
      </c>
    </row>
    <row r="699" spans="1:15" x14ac:dyDescent="0.3">
      <c r="A699" s="1" t="s">
        <v>1404</v>
      </c>
      <c r="B699" t="s">
        <v>72</v>
      </c>
      <c r="C699" t="s">
        <v>1405</v>
      </c>
      <c r="D699" t="str">
        <f t="shared" si="10"/>
        <v>Male</v>
      </c>
      <c r="E699" t="s">
        <v>9</v>
      </c>
      <c r="F699" s="2">
        <v>49</v>
      </c>
      <c r="G699" s="2" t="str" cm="1">
        <f t="array" ref="G699">_xlfn.IFS(F699&lt;=8,"Child",F699&lt;=17,"Teen",F699&lt;=35,"Adult",F699&lt;=55,"Seniour Adult",F699&gt;=55,"Old Age")</f>
        <v>Seniour Adult</v>
      </c>
      <c r="H699" t="s">
        <v>10</v>
      </c>
      <c r="I699" t="s">
        <v>11</v>
      </c>
      <c r="J699" t="str" cm="1">
        <f t="array" ref="J699">_xlfn.IFS(I699="S","Sauthamptonm",I699="Q","Queentown",I699="C","Cherburg",I699="B","Cabin")</f>
        <v>Sauthamptonm</v>
      </c>
      <c r="K699" t="s">
        <v>17</v>
      </c>
      <c r="L699" s="2">
        <v>7.1505999999999998</v>
      </c>
      <c r="M699">
        <v>0</v>
      </c>
      <c r="N699">
        <v>0</v>
      </c>
      <c r="O699" t="s">
        <v>13</v>
      </c>
    </row>
    <row r="700" spans="1:15" x14ac:dyDescent="0.3">
      <c r="A700" s="1" t="s">
        <v>1406</v>
      </c>
      <c r="B700" t="s">
        <v>72</v>
      </c>
      <c r="C700" t="s">
        <v>1407</v>
      </c>
      <c r="D700" t="str">
        <f t="shared" si="10"/>
        <v>Male</v>
      </c>
      <c r="E700" t="s">
        <v>9</v>
      </c>
      <c r="F700" s="2">
        <v>39</v>
      </c>
      <c r="G700" s="2" t="str" cm="1">
        <f t="array" ref="G700">_xlfn.IFS(F700&lt;=8,"Child",F700&lt;=17,"Teen",F700&lt;=35,"Adult",F700&lt;=55,"Seniour Adult",F700&gt;=55,"Old Age")</f>
        <v>Seniour Adult</v>
      </c>
      <c r="H700" t="s">
        <v>25</v>
      </c>
      <c r="I700" t="s">
        <v>11</v>
      </c>
      <c r="J700" t="str" cm="1">
        <f t="array" ref="J700">_xlfn.IFS(I700="S","Sauthamptonm",I700="Q","Queentown",I700="C","Cherburg",I700="B","Cabin")</f>
        <v>Sauthamptonm</v>
      </c>
      <c r="K700" t="s">
        <v>12</v>
      </c>
      <c r="L700" s="2">
        <v>50</v>
      </c>
      <c r="M700">
        <v>0</v>
      </c>
      <c r="N700">
        <v>0</v>
      </c>
      <c r="O700" t="s">
        <v>13</v>
      </c>
    </row>
    <row r="701" spans="1:15" x14ac:dyDescent="0.3">
      <c r="A701" s="1" t="s">
        <v>1408</v>
      </c>
      <c r="B701" t="s">
        <v>78</v>
      </c>
      <c r="C701" t="s">
        <v>1409</v>
      </c>
      <c r="D701" t="str">
        <f t="shared" si="10"/>
        <v>Female</v>
      </c>
      <c r="E701" t="s">
        <v>14</v>
      </c>
      <c r="F701" s="2">
        <v>2</v>
      </c>
      <c r="G701" s="2" t="str" cm="1">
        <f t="array" ref="G701">_xlfn.IFS(F701&lt;=8,"Child",F701&lt;=17,"Teen",F701&lt;=35,"Adult",F701&lt;=55,"Seniour Adult",F701&gt;=55,"Old Age")</f>
        <v>Child</v>
      </c>
      <c r="H701" t="s">
        <v>10</v>
      </c>
      <c r="I701" t="s">
        <v>11</v>
      </c>
      <c r="J701" t="str" cm="1">
        <f t="array" ref="J701">_xlfn.IFS(I701="S","Sauthamptonm",I701="Q","Queentown",I701="C","Cherburg",I701="B","Cabin")</f>
        <v>Sauthamptonm</v>
      </c>
      <c r="K701" t="s">
        <v>22</v>
      </c>
      <c r="L701" s="2">
        <v>20.040299999999998</v>
      </c>
      <c r="M701">
        <v>1</v>
      </c>
      <c r="N701">
        <v>1</v>
      </c>
      <c r="O701" t="s">
        <v>13</v>
      </c>
    </row>
    <row r="702" spans="1:15" x14ac:dyDescent="0.3">
      <c r="A702" s="1" t="s">
        <v>1410</v>
      </c>
      <c r="B702" t="s">
        <v>78</v>
      </c>
      <c r="C702" t="s">
        <v>1411</v>
      </c>
      <c r="D702" t="str">
        <f t="shared" si="10"/>
        <v>Female</v>
      </c>
      <c r="E702" t="s">
        <v>14</v>
      </c>
      <c r="F702" s="2">
        <v>33</v>
      </c>
      <c r="G702" s="2" t="str" cm="1">
        <f t="array" ref="G702">_xlfn.IFS(F702&lt;=8,"Child",F702&lt;=17,"Teen",F702&lt;=35,"Adult",F702&lt;=55,"Seniour Adult",F702&gt;=55,"Old Age")</f>
        <v>Adult</v>
      </c>
      <c r="H702" t="s">
        <v>25</v>
      </c>
      <c r="I702" t="s">
        <v>19</v>
      </c>
      <c r="J702" t="str" cm="1">
        <f t="array" ref="J702">_xlfn.IFS(I702="S","Sauthamptonm",I702="Q","Queentown",I702="C","Cherburg",I702="B","Cabin")</f>
        <v>Cherburg</v>
      </c>
      <c r="K702" t="s">
        <v>20</v>
      </c>
      <c r="L702" s="2">
        <v>27.140499999999999</v>
      </c>
      <c r="M702">
        <v>0</v>
      </c>
      <c r="N702">
        <v>0</v>
      </c>
      <c r="O702" t="s">
        <v>16</v>
      </c>
    </row>
    <row r="703" spans="1:15" x14ac:dyDescent="0.3">
      <c r="A703" s="1" t="s">
        <v>1412</v>
      </c>
      <c r="B703" t="s">
        <v>72</v>
      </c>
      <c r="C703" t="s">
        <v>698</v>
      </c>
      <c r="D703" t="str">
        <f t="shared" si="10"/>
        <v>Male</v>
      </c>
      <c r="E703" t="s">
        <v>9</v>
      </c>
      <c r="F703" s="2">
        <v>46</v>
      </c>
      <c r="G703" s="2" t="str" cm="1">
        <f t="array" ref="G703">_xlfn.IFS(F703&lt;=8,"Child",F703&lt;=17,"Teen",F703&lt;=35,"Adult",F703&lt;=55,"Seniour Adult",F703&gt;=55,"Old Age")</f>
        <v>Seniour Adult</v>
      </c>
      <c r="H703" t="s">
        <v>25</v>
      </c>
      <c r="I703" t="s">
        <v>19</v>
      </c>
      <c r="J703" t="str" cm="1">
        <f t="array" ref="J703">_xlfn.IFS(I703="S","Sauthamptonm",I703="Q","Queentown",I703="C","Cherburg",I703="B","Cabin")</f>
        <v>Cherburg</v>
      </c>
      <c r="K703" t="s">
        <v>12</v>
      </c>
      <c r="L703" s="2">
        <v>79</v>
      </c>
      <c r="M703">
        <v>0</v>
      </c>
      <c r="N703">
        <v>0</v>
      </c>
      <c r="O703" t="s">
        <v>13</v>
      </c>
    </row>
    <row r="704" spans="1:15" x14ac:dyDescent="0.3">
      <c r="A704" s="1" t="s">
        <v>1413</v>
      </c>
      <c r="B704" t="s">
        <v>72</v>
      </c>
      <c r="C704" t="s">
        <v>1414</v>
      </c>
      <c r="D704" t="str">
        <f t="shared" si="10"/>
        <v>Male</v>
      </c>
      <c r="E704" t="s">
        <v>9</v>
      </c>
      <c r="F704" s="2">
        <v>36</v>
      </c>
      <c r="G704" s="2" t="str" cm="1">
        <f t="array" ref="G704">_xlfn.IFS(F704&lt;=8,"Child",F704&lt;=17,"Teen",F704&lt;=35,"Adult",F704&lt;=55,"Seniour Adult",F704&gt;=55,"Old Age")</f>
        <v>Seniour Adult</v>
      </c>
      <c r="H704" t="s">
        <v>25</v>
      </c>
      <c r="I704" t="s">
        <v>11</v>
      </c>
      <c r="J704" t="str" cm="1">
        <f t="array" ref="J704">_xlfn.IFS(I704="S","Sauthamptonm",I704="Q","Queentown",I704="C","Cherburg",I704="B","Cabin")</f>
        <v>Sauthamptonm</v>
      </c>
      <c r="K704" t="s">
        <v>26</v>
      </c>
      <c r="L704" s="2">
        <v>40.020600000000002</v>
      </c>
      <c r="M704">
        <v>0</v>
      </c>
      <c r="N704">
        <v>0</v>
      </c>
      <c r="O704" t="s">
        <v>13</v>
      </c>
    </row>
    <row r="705" spans="1:15" x14ac:dyDescent="0.3">
      <c r="A705" s="1" t="s">
        <v>1415</v>
      </c>
      <c r="B705" t="s">
        <v>1416</v>
      </c>
      <c r="C705" t="s">
        <v>1417</v>
      </c>
      <c r="D705" t="str">
        <f t="shared" si="10"/>
        <v>Female</v>
      </c>
      <c r="E705" t="s">
        <v>14</v>
      </c>
      <c r="F705" s="2">
        <v>33</v>
      </c>
      <c r="G705" s="2" t="str" cm="1">
        <f t="array" ref="G705">_xlfn.IFS(F705&lt;=8,"Child",F705&lt;=17,"Teen",F705&lt;=35,"Adult",F705&lt;=55,"Seniour Adult",F705&gt;=55,"Old Age")</f>
        <v>Adult</v>
      </c>
      <c r="H705" t="s">
        <v>25</v>
      </c>
      <c r="I705" t="s">
        <v>11</v>
      </c>
      <c r="J705" t="str" cm="1">
        <f t="array" ref="J705">_xlfn.IFS(I705="S","Sauthamptonm",I705="Q","Queentown",I705="C","Cherburg",I705="B","Cabin")</f>
        <v>Sauthamptonm</v>
      </c>
      <c r="K705" t="s">
        <v>15</v>
      </c>
      <c r="L705" s="2">
        <v>86.1</v>
      </c>
      <c r="M705">
        <v>0</v>
      </c>
      <c r="N705">
        <v>0</v>
      </c>
      <c r="O705" t="s">
        <v>16</v>
      </c>
    </row>
    <row r="706" spans="1:15" x14ac:dyDescent="0.3">
      <c r="A706" s="1" t="s">
        <v>1418</v>
      </c>
      <c r="B706" t="s">
        <v>78</v>
      </c>
      <c r="C706" t="s">
        <v>1419</v>
      </c>
      <c r="D706" t="str">
        <f t="shared" ref="D706:D769" si="11">PROPER(E706)</f>
        <v>Female</v>
      </c>
      <c r="E706" t="s">
        <v>14</v>
      </c>
      <c r="F706" s="2">
        <v>26</v>
      </c>
      <c r="G706" s="2" t="str" cm="1">
        <f t="array" ref="G706">_xlfn.IFS(F706&lt;=8,"Child",F706&lt;=17,"Teen",F706&lt;=35,"Adult",F706&lt;=55,"Seniour Adult",F706&gt;=55,"Old Age")</f>
        <v>Adult</v>
      </c>
      <c r="H706" t="s">
        <v>10</v>
      </c>
      <c r="I706" t="s">
        <v>11</v>
      </c>
      <c r="J706" t="str" cm="1">
        <f t="array" ref="J706">_xlfn.IFS(I706="S","Sauthamptonm",I706="Q","Queentown",I706="C","Cherburg",I706="B","Cabin")</f>
        <v>Sauthamptonm</v>
      </c>
      <c r="K706" t="s">
        <v>59</v>
      </c>
      <c r="L706" s="2">
        <v>8.01</v>
      </c>
      <c r="M706">
        <v>0</v>
      </c>
      <c r="N706">
        <v>0</v>
      </c>
      <c r="O706" t="s">
        <v>16</v>
      </c>
    </row>
    <row r="707" spans="1:15" x14ac:dyDescent="0.3">
      <c r="A707" s="1" t="s">
        <v>1420</v>
      </c>
      <c r="B707" t="s">
        <v>72</v>
      </c>
      <c r="C707" t="s">
        <v>646</v>
      </c>
      <c r="D707" t="str">
        <f t="shared" si="11"/>
        <v>Male</v>
      </c>
      <c r="E707" t="s">
        <v>9</v>
      </c>
      <c r="F707" s="2">
        <v>46</v>
      </c>
      <c r="G707" s="2" t="str" cm="1">
        <f t="array" ref="G707">_xlfn.IFS(F707&lt;=8,"Child",F707&lt;=17,"Teen",F707&lt;=35,"Adult",F707&lt;=55,"Seniour Adult",F707&gt;=55,"Old Age")</f>
        <v>Seniour Adult</v>
      </c>
      <c r="H707" t="s">
        <v>25</v>
      </c>
      <c r="I707" t="s">
        <v>19</v>
      </c>
      <c r="J707" t="str" cm="1">
        <f t="array" ref="J707">_xlfn.IFS(I707="S","Sauthamptonm",I707="Q","Queentown",I707="C","Cherburg",I707="B","Cabin")</f>
        <v>Cherburg</v>
      </c>
      <c r="K707" t="s">
        <v>12</v>
      </c>
      <c r="L707" s="2">
        <v>59.08</v>
      </c>
      <c r="M707">
        <v>1</v>
      </c>
      <c r="N707">
        <v>0</v>
      </c>
      <c r="O707" t="s">
        <v>13</v>
      </c>
    </row>
    <row r="708" spans="1:15" x14ac:dyDescent="0.3">
      <c r="A708" s="1" t="s">
        <v>1421</v>
      </c>
      <c r="B708" t="s">
        <v>72</v>
      </c>
      <c r="C708" t="s">
        <v>1422</v>
      </c>
      <c r="D708" t="str">
        <f t="shared" si="11"/>
        <v>Male</v>
      </c>
      <c r="E708" t="s">
        <v>9</v>
      </c>
      <c r="F708" s="2">
        <v>55</v>
      </c>
      <c r="G708" s="2" t="str" cm="1">
        <f t="array" ref="G708">_xlfn.IFS(F708&lt;=8,"Child",F708&lt;=17,"Teen",F708&lt;=35,"Adult",F708&lt;=55,"Seniour Adult",F708&gt;=55,"Old Age")</f>
        <v>Seniour Adult</v>
      </c>
      <c r="H708" t="s">
        <v>10</v>
      </c>
      <c r="I708" t="s">
        <v>11</v>
      </c>
      <c r="J708" t="str" cm="1">
        <f t="array" ref="J708">_xlfn.IFS(I708="S","Sauthamptonm",I708="Q","Queentown",I708="C","Cherburg",I708="B","Cabin")</f>
        <v>Sauthamptonm</v>
      </c>
      <c r="K708" t="s">
        <v>15</v>
      </c>
      <c r="L708" s="2">
        <v>8.01</v>
      </c>
      <c r="M708">
        <v>0</v>
      </c>
      <c r="N708">
        <v>0</v>
      </c>
      <c r="O708" t="s">
        <v>13</v>
      </c>
    </row>
    <row r="709" spans="1:15" x14ac:dyDescent="0.3">
      <c r="A709" s="1" t="s">
        <v>1423</v>
      </c>
      <c r="B709" t="s">
        <v>72</v>
      </c>
      <c r="C709" t="s">
        <v>1424</v>
      </c>
      <c r="D709" t="str">
        <f t="shared" si="11"/>
        <v>Male</v>
      </c>
      <c r="E709" t="s">
        <v>9</v>
      </c>
      <c r="F709" s="2">
        <v>59</v>
      </c>
      <c r="G709" s="2" t="str" cm="1">
        <f t="array" ref="G709">_xlfn.IFS(F709&lt;=8,"Child",F709&lt;=17,"Teen",F709&lt;=35,"Adult",F709&lt;=55,"Seniour Adult",F709&gt;=55,"Old Age")</f>
        <v>Old Age</v>
      </c>
      <c r="H709" t="s">
        <v>25</v>
      </c>
      <c r="I709" t="s">
        <v>11</v>
      </c>
      <c r="J709" t="str" cm="1">
        <f t="array" ref="J709">_xlfn.IFS(I709="S","Sauthamptonm",I709="Q","Queentown",I709="C","Cherburg",I709="B","Cabin")</f>
        <v>Sauthamptonm</v>
      </c>
      <c r="K709" t="s">
        <v>49</v>
      </c>
      <c r="L709" s="2">
        <v>26.11</v>
      </c>
      <c r="M709">
        <v>0</v>
      </c>
      <c r="N709">
        <v>0</v>
      </c>
      <c r="O709" t="s">
        <v>13</v>
      </c>
    </row>
    <row r="710" spans="1:15" x14ac:dyDescent="0.3">
      <c r="A710" s="1" t="s">
        <v>1425</v>
      </c>
      <c r="B710" t="s">
        <v>78</v>
      </c>
      <c r="C710" t="s">
        <v>1383</v>
      </c>
      <c r="D710" t="str">
        <f t="shared" si="11"/>
        <v>Female</v>
      </c>
      <c r="E710" t="s">
        <v>14</v>
      </c>
      <c r="F710" s="2">
        <v>22</v>
      </c>
      <c r="G710" s="2" t="str" cm="1">
        <f t="array" ref="G710">_xlfn.IFS(F710&lt;=8,"Child",F710&lt;=17,"Teen",F710&lt;=35,"Adult",F710&lt;=55,"Seniour Adult",F710&gt;=55,"Old Age")</f>
        <v>Adult</v>
      </c>
      <c r="H710" t="s">
        <v>18</v>
      </c>
      <c r="I710" t="s">
        <v>11</v>
      </c>
      <c r="J710" t="str" cm="1">
        <f t="array" ref="J710">_xlfn.IFS(I710="S","Sauthamptonm",I710="Q","Queentown",I710="C","Cherburg",I710="B","Cabin")</f>
        <v>Sauthamptonm</v>
      </c>
      <c r="K710" t="s">
        <v>33</v>
      </c>
      <c r="L710" s="2">
        <v>10.1</v>
      </c>
      <c r="M710">
        <v>0</v>
      </c>
      <c r="N710">
        <v>0</v>
      </c>
      <c r="O710" t="s">
        <v>16</v>
      </c>
    </row>
    <row r="711" spans="1:15" x14ac:dyDescent="0.3">
      <c r="A711" s="1" t="s">
        <v>1426</v>
      </c>
      <c r="B711" t="s">
        <v>72</v>
      </c>
      <c r="C711" t="s">
        <v>1427</v>
      </c>
      <c r="D711" t="str">
        <f t="shared" si="11"/>
        <v>Male</v>
      </c>
      <c r="E711" t="s">
        <v>9</v>
      </c>
      <c r="F711" s="2">
        <v>17</v>
      </c>
      <c r="G711" s="2" t="str" cm="1">
        <f t="array" ref="G711">_xlfn.IFS(F711&lt;=8,"Child",F711&lt;=17,"Teen",F711&lt;=35,"Adult",F711&lt;=55,"Seniour Adult",F711&gt;=55,"Old Age")</f>
        <v>Teen</v>
      </c>
      <c r="H711" t="s">
        <v>10</v>
      </c>
      <c r="I711" t="s">
        <v>11</v>
      </c>
      <c r="J711" t="str" cm="1">
        <f t="array" ref="J711">_xlfn.IFS(I711="S","Sauthamptonm",I711="Q","Queentown",I711="C","Cherburg",I711="B","Cabin")</f>
        <v>Sauthamptonm</v>
      </c>
      <c r="K711" t="s">
        <v>15</v>
      </c>
      <c r="L711" s="2">
        <v>8.01</v>
      </c>
      <c r="M711">
        <v>0</v>
      </c>
      <c r="N711">
        <v>0</v>
      </c>
      <c r="O711" t="s">
        <v>13</v>
      </c>
    </row>
    <row r="712" spans="1:15" x14ac:dyDescent="0.3">
      <c r="A712" s="1" t="s">
        <v>1428</v>
      </c>
      <c r="B712" t="s">
        <v>72</v>
      </c>
      <c r="C712" t="s">
        <v>206</v>
      </c>
      <c r="D712" t="str">
        <f t="shared" si="11"/>
        <v>Male</v>
      </c>
      <c r="E712" t="s">
        <v>9</v>
      </c>
      <c r="F712" s="2">
        <v>24</v>
      </c>
      <c r="G712" s="2" t="str" cm="1">
        <f t="array" ref="G712">_xlfn.IFS(F712&lt;=8,"Child",F712&lt;=17,"Teen",F712&lt;=35,"Adult",F712&lt;=55,"Seniour Adult",F712&gt;=55,"Old Age")</f>
        <v>Adult</v>
      </c>
      <c r="H712" t="s">
        <v>10</v>
      </c>
      <c r="I712" t="s">
        <v>36</v>
      </c>
      <c r="J712" t="str" cm="1">
        <f t="array" ref="J712">_xlfn.IFS(I712="S","Sauthamptonm",I712="Q","Queentown",I712="C","Cherburg",I712="B","Cabin")</f>
        <v>Queentown</v>
      </c>
      <c r="K712" t="s">
        <v>37</v>
      </c>
      <c r="L712" s="2">
        <v>7.15</v>
      </c>
      <c r="M712">
        <v>0</v>
      </c>
      <c r="N712">
        <v>0</v>
      </c>
      <c r="O712" t="s">
        <v>16</v>
      </c>
    </row>
    <row r="713" spans="1:15" x14ac:dyDescent="0.3">
      <c r="A713" s="1" t="s">
        <v>1429</v>
      </c>
      <c r="B713" t="s">
        <v>94</v>
      </c>
      <c r="C713" t="s">
        <v>1430</v>
      </c>
      <c r="D713" t="str">
        <f t="shared" si="11"/>
        <v>Male</v>
      </c>
      <c r="E713" t="s">
        <v>9</v>
      </c>
      <c r="F713" s="2">
        <v>13</v>
      </c>
      <c r="G713" s="2" t="str" cm="1">
        <f t="array" ref="G713">_xlfn.IFS(F713&lt;=8,"Child",F713&lt;=17,"Teen",F713&lt;=35,"Adult",F713&lt;=55,"Seniour Adult",F713&gt;=55,"Old Age")</f>
        <v>Teen</v>
      </c>
      <c r="H713" t="s">
        <v>25</v>
      </c>
      <c r="I713" t="s">
        <v>19</v>
      </c>
      <c r="J713" t="str" cm="1">
        <f t="array" ref="J713">_xlfn.IFS(I713="S","Sauthamptonm",I713="Q","Queentown",I713="C","Cherburg",I713="B","Cabin")</f>
        <v>Cherburg</v>
      </c>
      <c r="K713" t="s">
        <v>12</v>
      </c>
      <c r="L713" s="2">
        <v>262.07060000000001</v>
      </c>
      <c r="M713">
        <v>2</v>
      </c>
      <c r="N713">
        <v>2</v>
      </c>
      <c r="O713" t="s">
        <v>16</v>
      </c>
    </row>
    <row r="714" spans="1:15" x14ac:dyDescent="0.3">
      <c r="A714" s="1" t="s">
        <v>1431</v>
      </c>
      <c r="B714" t="s">
        <v>72</v>
      </c>
      <c r="C714" t="s">
        <v>1432</v>
      </c>
      <c r="D714" t="str">
        <f t="shared" si="11"/>
        <v>Male</v>
      </c>
      <c r="E714" t="s">
        <v>9</v>
      </c>
      <c r="F714" s="2">
        <v>30</v>
      </c>
      <c r="G714" s="2" t="str" cm="1">
        <f t="array" ref="G714">_xlfn.IFS(F714&lt;=8,"Child",F714&lt;=17,"Teen",F714&lt;=35,"Adult",F714&lt;=55,"Seniour Adult",F714&gt;=55,"Old Age")</f>
        <v>Adult</v>
      </c>
      <c r="H714" t="s">
        <v>10</v>
      </c>
      <c r="I714" t="s">
        <v>19</v>
      </c>
      <c r="J714" t="str" cm="1">
        <f t="array" ref="J714">_xlfn.IFS(I714="S","Sauthamptonm",I714="Q","Queentown",I714="C","Cherburg",I714="B","Cabin")</f>
        <v>Cherburg</v>
      </c>
      <c r="K714" t="s">
        <v>21</v>
      </c>
      <c r="L714" s="2">
        <v>7.0407000000000002</v>
      </c>
      <c r="M714">
        <v>0</v>
      </c>
      <c r="N714">
        <v>0</v>
      </c>
      <c r="O714" t="s">
        <v>13</v>
      </c>
    </row>
    <row r="715" spans="1:15" x14ac:dyDescent="0.3">
      <c r="A715" s="1" t="s">
        <v>1433</v>
      </c>
      <c r="B715" t="s">
        <v>72</v>
      </c>
      <c r="C715" t="s">
        <v>1434</v>
      </c>
      <c r="D715" t="str">
        <f t="shared" si="11"/>
        <v>Male</v>
      </c>
      <c r="E715" t="s">
        <v>9</v>
      </c>
      <c r="F715" s="2">
        <v>47</v>
      </c>
      <c r="G715" s="2" t="str" cm="1">
        <f t="array" ref="G715">_xlfn.IFS(F715&lt;=8,"Child",F715&lt;=17,"Teen",F715&lt;=35,"Adult",F715&lt;=55,"Seniour Adult",F715&gt;=55,"Old Age")</f>
        <v>Seniour Adult</v>
      </c>
      <c r="H715" t="s">
        <v>25</v>
      </c>
      <c r="I715" t="s">
        <v>11</v>
      </c>
      <c r="J715" t="str" cm="1">
        <f t="array" ref="J715">_xlfn.IFS(I715="S","Sauthamptonm",I715="Q","Queentown",I715="C","Cherburg",I715="B","Cabin")</f>
        <v>Sauthamptonm</v>
      </c>
      <c r="K715" t="s">
        <v>15</v>
      </c>
      <c r="L715" s="2">
        <v>30.1</v>
      </c>
      <c r="M715">
        <v>0</v>
      </c>
      <c r="N715">
        <v>0</v>
      </c>
      <c r="O715" t="s">
        <v>16</v>
      </c>
    </row>
    <row r="716" spans="1:15" x14ac:dyDescent="0.3">
      <c r="A716" s="1" t="s">
        <v>1435</v>
      </c>
      <c r="B716" t="s">
        <v>72</v>
      </c>
      <c r="C716" t="s">
        <v>1436</v>
      </c>
      <c r="D716" t="str">
        <f t="shared" si="11"/>
        <v>Male</v>
      </c>
      <c r="E716" t="s">
        <v>9</v>
      </c>
      <c r="F716" s="2">
        <v>19</v>
      </c>
      <c r="G716" s="2" t="str" cm="1">
        <f t="array" ref="G716">_xlfn.IFS(F716&lt;=8,"Child",F716&lt;=17,"Teen",F716&lt;=35,"Adult",F716&lt;=55,"Seniour Adult",F716&gt;=55,"Old Age")</f>
        <v>Adult</v>
      </c>
      <c r="H716" t="s">
        <v>10</v>
      </c>
      <c r="I716" t="s">
        <v>36</v>
      </c>
      <c r="J716" t="str" cm="1">
        <f t="array" ref="J716">_xlfn.IFS(I716="S","Sauthamptonm",I716="Q","Queentown",I716="C","Cherburg",I716="B","Cabin")</f>
        <v>Queentown</v>
      </c>
      <c r="K716" t="s">
        <v>37</v>
      </c>
      <c r="L716" s="2">
        <v>7.1406999999999998</v>
      </c>
      <c r="M716">
        <v>0</v>
      </c>
      <c r="N716">
        <v>0</v>
      </c>
      <c r="O716" t="s">
        <v>13</v>
      </c>
    </row>
    <row r="717" spans="1:15" x14ac:dyDescent="0.3">
      <c r="A717" s="1" t="s">
        <v>1437</v>
      </c>
      <c r="B717" t="s">
        <v>72</v>
      </c>
      <c r="C717" t="s">
        <v>251</v>
      </c>
      <c r="D717" t="str">
        <f t="shared" si="11"/>
        <v>Male</v>
      </c>
      <c r="E717" t="s">
        <v>9</v>
      </c>
      <c r="F717" s="2">
        <v>17</v>
      </c>
      <c r="G717" s="2" t="str" cm="1">
        <f t="array" ref="G717">_xlfn.IFS(F717&lt;=8,"Child",F717&lt;=17,"Teen",F717&lt;=35,"Adult",F717&lt;=55,"Seniour Adult",F717&gt;=55,"Old Age")</f>
        <v>Teen</v>
      </c>
      <c r="H717" t="s">
        <v>10</v>
      </c>
      <c r="I717" t="s">
        <v>11</v>
      </c>
      <c r="J717" t="str" cm="1">
        <f t="array" ref="J717">_xlfn.IFS(I717="S","Sauthamptonm",I717="Q","Queentown",I717="C","Cherburg",I717="B","Cabin")</f>
        <v>Sauthamptonm</v>
      </c>
      <c r="K717" t="s">
        <v>15</v>
      </c>
      <c r="L717" s="2">
        <v>7.1109999999999998</v>
      </c>
      <c r="M717">
        <v>0</v>
      </c>
      <c r="N717">
        <v>0</v>
      </c>
      <c r="O717" t="s">
        <v>13</v>
      </c>
    </row>
    <row r="718" spans="1:15" x14ac:dyDescent="0.3">
      <c r="A718" s="1" t="s">
        <v>1438</v>
      </c>
      <c r="B718" t="s">
        <v>72</v>
      </c>
      <c r="C718" t="s">
        <v>1439</v>
      </c>
      <c r="D718" t="str">
        <f t="shared" si="11"/>
        <v>Male</v>
      </c>
      <c r="E718" t="s">
        <v>9</v>
      </c>
      <c r="F718" s="2">
        <v>43</v>
      </c>
      <c r="G718" s="2" t="str" cm="1">
        <f t="array" ref="G718">_xlfn.IFS(F718&lt;=8,"Child",F718&lt;=17,"Teen",F718&lt;=35,"Adult",F718&lt;=55,"Seniour Adult",F718&gt;=55,"Old Age")</f>
        <v>Seniour Adult</v>
      </c>
      <c r="H718" t="s">
        <v>10</v>
      </c>
      <c r="I718" t="s">
        <v>11</v>
      </c>
      <c r="J718" t="str" cm="1">
        <f t="array" ref="J718">_xlfn.IFS(I718="S","Sauthamptonm",I718="Q","Queentown",I718="C","Cherburg",I718="B","Cabin")</f>
        <v>Sauthamptonm</v>
      </c>
      <c r="K718" t="s">
        <v>17</v>
      </c>
      <c r="L718" s="2">
        <v>7.05</v>
      </c>
      <c r="M718">
        <v>0</v>
      </c>
      <c r="N718">
        <v>0</v>
      </c>
      <c r="O718" t="s">
        <v>13</v>
      </c>
    </row>
    <row r="719" spans="1:15" x14ac:dyDescent="0.3">
      <c r="A719" s="1" t="s">
        <v>1440</v>
      </c>
      <c r="B719" t="s">
        <v>94</v>
      </c>
      <c r="C719" t="s">
        <v>1441</v>
      </c>
      <c r="D719" t="str">
        <f t="shared" si="11"/>
        <v>Male</v>
      </c>
      <c r="E719" t="s">
        <v>9</v>
      </c>
      <c r="F719" s="2">
        <v>13</v>
      </c>
      <c r="G719" s="2" t="str" cm="1">
        <f t="array" ref="G719">_xlfn.IFS(F719&lt;=8,"Child",F719&lt;=17,"Teen",F719&lt;=35,"Adult",F719&lt;=55,"Seniour Adult",F719&gt;=55,"Old Age")</f>
        <v>Teen</v>
      </c>
      <c r="H719" t="s">
        <v>10</v>
      </c>
      <c r="I719" t="s">
        <v>11</v>
      </c>
      <c r="J719" t="str" cm="1">
        <f t="array" ref="J719">_xlfn.IFS(I719="S","Sauthamptonm",I719="Q","Queentown",I719="C","Cherburg",I719="B","Cabin")</f>
        <v>Sauthamptonm</v>
      </c>
      <c r="K719" t="s">
        <v>15</v>
      </c>
      <c r="L719" s="2">
        <v>69.11</v>
      </c>
      <c r="M719">
        <v>8</v>
      </c>
      <c r="N719">
        <v>2</v>
      </c>
      <c r="O719" t="s">
        <v>13</v>
      </c>
    </row>
    <row r="720" spans="1:15" x14ac:dyDescent="0.3">
      <c r="A720" s="1" t="s">
        <v>1444</v>
      </c>
      <c r="B720" t="s">
        <v>1082</v>
      </c>
      <c r="C720" t="s">
        <v>1445</v>
      </c>
      <c r="D720" t="str">
        <f t="shared" si="11"/>
        <v>Female</v>
      </c>
      <c r="E720" t="s">
        <v>14</v>
      </c>
      <c r="F720" s="2">
        <v>24</v>
      </c>
      <c r="G720" s="2" t="str" cm="1">
        <f t="array" ref="G720">_xlfn.IFS(F720&lt;=8,"Child",F720&lt;=17,"Teen",F720&lt;=35,"Adult",F720&lt;=55,"Seniour Adult",F720&gt;=55,"Old Age")</f>
        <v>Adult</v>
      </c>
      <c r="H720" t="s">
        <v>25</v>
      </c>
      <c r="I720" t="s">
        <v>19</v>
      </c>
      <c r="J720" t="str" cm="1">
        <f t="array" ref="J720">_xlfn.IFS(I720="S","Sauthamptonm",I720="Q","Queentown",I720="C","Cherburg",I720="B","Cabin")</f>
        <v>Cherburg</v>
      </c>
      <c r="K720" t="s">
        <v>15</v>
      </c>
      <c r="L720" s="2">
        <v>69.06</v>
      </c>
      <c r="M720">
        <v>0</v>
      </c>
      <c r="N720">
        <v>0</v>
      </c>
      <c r="O720" t="s">
        <v>16</v>
      </c>
    </row>
    <row r="721" spans="1:15" x14ac:dyDescent="0.3">
      <c r="A721" s="1" t="s">
        <v>1446</v>
      </c>
      <c r="B721" t="s">
        <v>72</v>
      </c>
      <c r="C721" t="s">
        <v>861</v>
      </c>
      <c r="D721" t="str">
        <f t="shared" si="11"/>
        <v>Male</v>
      </c>
      <c r="E721" t="s">
        <v>9</v>
      </c>
      <c r="F721" s="2">
        <v>24</v>
      </c>
      <c r="G721" s="2" t="str" cm="1">
        <f t="array" ref="G721">_xlfn.IFS(F721&lt;=8,"Child",F721&lt;=17,"Teen",F721&lt;=35,"Adult",F721&lt;=55,"Seniour Adult",F721&gt;=55,"Old Age")</f>
        <v>Adult</v>
      </c>
      <c r="H721" t="s">
        <v>10</v>
      </c>
      <c r="I721" t="s">
        <v>11</v>
      </c>
      <c r="J721" t="str" cm="1">
        <f t="array" ref="J721">_xlfn.IFS(I721="S","Sauthamptonm",I721="Q","Queentown",I721="C","Cherburg",I721="B","Cabin")</f>
        <v>Sauthamptonm</v>
      </c>
      <c r="K721" t="s">
        <v>23</v>
      </c>
      <c r="L721" s="2">
        <v>9.0606000000000009</v>
      </c>
      <c r="M721">
        <v>0</v>
      </c>
      <c r="N721">
        <v>0</v>
      </c>
      <c r="O721" t="s">
        <v>13</v>
      </c>
    </row>
    <row r="722" spans="1:15" x14ac:dyDescent="0.3">
      <c r="A722" s="1" t="s">
        <v>1447</v>
      </c>
      <c r="B722" t="s">
        <v>78</v>
      </c>
      <c r="C722" t="s">
        <v>1448</v>
      </c>
      <c r="D722" t="str">
        <f t="shared" si="11"/>
        <v>Female</v>
      </c>
      <c r="E722" t="s">
        <v>14</v>
      </c>
      <c r="F722" s="2">
        <v>21</v>
      </c>
      <c r="G722" s="2" t="str" cm="1">
        <f t="array" ref="G722">_xlfn.IFS(F722&lt;=8,"Child",F722&lt;=17,"Teen",F722&lt;=35,"Adult",F722&lt;=55,"Seniour Adult",F722&gt;=55,"Old Age")</f>
        <v>Adult</v>
      </c>
      <c r="H722" t="s">
        <v>10</v>
      </c>
      <c r="I722" t="s">
        <v>11</v>
      </c>
      <c r="J722" t="str" cm="1">
        <f t="array" ref="J722">_xlfn.IFS(I722="S","Sauthamptonm",I722="Q","Queentown",I722="C","Cherburg",I722="B","Cabin")</f>
        <v>Sauthamptonm</v>
      </c>
      <c r="K722" t="s">
        <v>17</v>
      </c>
      <c r="L722" s="2">
        <v>7.13</v>
      </c>
      <c r="M722">
        <v>0</v>
      </c>
      <c r="N722">
        <v>0</v>
      </c>
      <c r="O722" t="s">
        <v>16</v>
      </c>
    </row>
    <row r="723" spans="1:15" x14ac:dyDescent="0.3">
      <c r="A723" s="1" t="s">
        <v>1449</v>
      </c>
      <c r="B723" t="s">
        <v>72</v>
      </c>
      <c r="C723" t="s">
        <v>1450</v>
      </c>
      <c r="D723" t="str">
        <f t="shared" si="11"/>
        <v>Male</v>
      </c>
      <c r="E723" t="s">
        <v>9</v>
      </c>
      <c r="F723" s="2">
        <v>43</v>
      </c>
      <c r="G723" s="2" t="str" cm="1">
        <f t="array" ref="G723">_xlfn.IFS(F723&lt;=8,"Child",F723&lt;=17,"Teen",F723&lt;=35,"Adult",F723&lt;=55,"Seniour Adult",F723&gt;=55,"Old Age")</f>
        <v>Seniour Adult</v>
      </c>
      <c r="H723" t="s">
        <v>25</v>
      </c>
      <c r="I723" t="s">
        <v>11</v>
      </c>
      <c r="J723" t="str" cm="1">
        <f t="array" ref="J723">_xlfn.IFS(I723="S","Sauthamptonm",I723="Q","Queentown",I723="C","Cherburg",I723="B","Cabin")</f>
        <v>Sauthamptonm</v>
      </c>
      <c r="K723" t="s">
        <v>12</v>
      </c>
      <c r="L723" s="2">
        <v>26</v>
      </c>
      <c r="M723">
        <v>0</v>
      </c>
      <c r="N723">
        <v>0</v>
      </c>
      <c r="O723" t="s">
        <v>16</v>
      </c>
    </row>
    <row r="724" spans="1:15" x14ac:dyDescent="0.3">
      <c r="A724" s="1" t="s">
        <v>1451</v>
      </c>
      <c r="B724" t="s">
        <v>72</v>
      </c>
      <c r="C724" t="s">
        <v>1452</v>
      </c>
      <c r="D724" t="str">
        <f t="shared" si="11"/>
        <v>Male</v>
      </c>
      <c r="E724" t="s">
        <v>9</v>
      </c>
      <c r="F724" s="2">
        <v>29</v>
      </c>
      <c r="G724" s="2" t="str" cm="1">
        <f t="array" ref="G724">_xlfn.IFS(F724&lt;=8,"Child",F724&lt;=17,"Teen",F724&lt;=35,"Adult",F724&lt;=55,"Seniour Adult",F724&gt;=55,"Old Age")</f>
        <v>Adult</v>
      </c>
      <c r="H724" t="s">
        <v>10</v>
      </c>
      <c r="I724" t="s">
        <v>11</v>
      </c>
      <c r="J724" t="str" cm="1">
        <f t="array" ref="J724">_xlfn.IFS(I724="S","Sauthamptonm",I724="Q","Queentown",I724="C","Cherburg",I724="B","Cabin")</f>
        <v>Sauthamptonm</v>
      </c>
      <c r="K724" t="s">
        <v>12</v>
      </c>
      <c r="L724" s="2">
        <v>7.1806000000000001</v>
      </c>
      <c r="M724">
        <v>0</v>
      </c>
      <c r="N724">
        <v>0</v>
      </c>
      <c r="O724" t="s">
        <v>13</v>
      </c>
    </row>
    <row r="725" spans="1:15" x14ac:dyDescent="0.3">
      <c r="A725" s="1" t="s">
        <v>1453</v>
      </c>
      <c r="B725" t="s">
        <v>72</v>
      </c>
      <c r="C725" t="s">
        <v>878</v>
      </c>
      <c r="D725" t="str">
        <f t="shared" si="11"/>
        <v>Male</v>
      </c>
      <c r="E725" t="s">
        <v>9</v>
      </c>
      <c r="F725" s="2">
        <v>17</v>
      </c>
      <c r="G725" s="2" t="str" cm="1">
        <f t="array" ref="G725">_xlfn.IFS(F725&lt;=8,"Child",F725&lt;=17,"Teen",F725&lt;=35,"Adult",F725&lt;=55,"Seniour Adult",F725&gt;=55,"Old Age")</f>
        <v>Teen</v>
      </c>
      <c r="H725" t="s">
        <v>10</v>
      </c>
      <c r="I725" t="s">
        <v>19</v>
      </c>
      <c r="J725" t="str" cm="1">
        <f t="array" ref="J725">_xlfn.IFS(I725="S","Sauthamptonm",I725="Q","Queentown",I725="C","Cherburg",I725="B","Cabin")</f>
        <v>Cherburg</v>
      </c>
      <c r="K725" t="s">
        <v>21</v>
      </c>
      <c r="L725" s="2">
        <v>21.130700000000001</v>
      </c>
      <c r="M725">
        <v>2</v>
      </c>
      <c r="N725">
        <v>0</v>
      </c>
      <c r="O725" t="s">
        <v>13</v>
      </c>
    </row>
    <row r="726" spans="1:15" x14ac:dyDescent="0.3">
      <c r="A726" s="1" t="s">
        <v>1454</v>
      </c>
      <c r="B726" t="s">
        <v>78</v>
      </c>
      <c r="C726" t="s">
        <v>1455</v>
      </c>
      <c r="D726" t="str">
        <f t="shared" si="11"/>
        <v>Female</v>
      </c>
      <c r="E726" t="s">
        <v>14</v>
      </c>
      <c r="F726" s="2">
        <v>1</v>
      </c>
      <c r="G726" s="2" t="str" cm="1">
        <f t="array" ref="G726">_xlfn.IFS(F726&lt;=8,"Child",F726&lt;=17,"Teen",F726&lt;=35,"Adult",F726&lt;=55,"Seniour Adult",F726&gt;=55,"Old Age")</f>
        <v>Child</v>
      </c>
      <c r="H726" t="s">
        <v>10</v>
      </c>
      <c r="I726" t="s">
        <v>11</v>
      </c>
      <c r="J726" t="str" cm="1">
        <f t="array" ref="J726">_xlfn.IFS(I726="S","Sauthamptonm",I726="Q","Queentown",I726="C","Cherburg",I726="B","Cabin")</f>
        <v>Sauthamptonm</v>
      </c>
      <c r="K726" t="s">
        <v>23</v>
      </c>
      <c r="L726" s="2">
        <v>16.14</v>
      </c>
      <c r="M726">
        <v>1</v>
      </c>
      <c r="N726">
        <v>1</v>
      </c>
      <c r="O726" t="s">
        <v>16</v>
      </c>
    </row>
    <row r="727" spans="1:15" x14ac:dyDescent="0.3">
      <c r="A727" s="1" t="s">
        <v>1456</v>
      </c>
      <c r="B727" t="s">
        <v>72</v>
      </c>
      <c r="C727" t="s">
        <v>1457</v>
      </c>
      <c r="D727" t="str">
        <f t="shared" si="11"/>
        <v>Male</v>
      </c>
      <c r="E727" t="s">
        <v>9</v>
      </c>
      <c r="F727" s="2">
        <v>21</v>
      </c>
      <c r="G727" s="2" t="str" cm="1">
        <f t="array" ref="G727">_xlfn.IFS(F727&lt;=8,"Child",F727&lt;=17,"Teen",F727&lt;=35,"Adult",F727&lt;=55,"Seniour Adult",F727&gt;=55,"Old Age")</f>
        <v>Adult</v>
      </c>
      <c r="H727" t="s">
        <v>10</v>
      </c>
      <c r="I727" t="s">
        <v>11</v>
      </c>
      <c r="J727" t="str" cm="1">
        <f t="array" ref="J727">_xlfn.IFS(I727="S","Sauthamptonm",I727="Q","Queentown",I727="C","Cherburg",I727="B","Cabin")</f>
        <v>Sauthamptonm</v>
      </c>
      <c r="K727" t="s">
        <v>46</v>
      </c>
      <c r="L727" s="2">
        <v>9.1</v>
      </c>
      <c r="M727">
        <v>0</v>
      </c>
      <c r="N727">
        <v>0</v>
      </c>
      <c r="O727" t="s">
        <v>16</v>
      </c>
    </row>
    <row r="728" spans="1:15" x14ac:dyDescent="0.3">
      <c r="A728" s="1" t="s">
        <v>1458</v>
      </c>
      <c r="B728" t="s">
        <v>72</v>
      </c>
      <c r="C728" t="s">
        <v>107</v>
      </c>
      <c r="D728" t="str">
        <f t="shared" si="11"/>
        <v>Male</v>
      </c>
      <c r="E728" t="s">
        <v>9</v>
      </c>
      <c r="F728" s="2">
        <v>19</v>
      </c>
      <c r="G728" s="2" t="str" cm="1">
        <f t="array" ref="G728">_xlfn.IFS(F728&lt;=8,"Child",F728&lt;=17,"Teen",F728&lt;=35,"Adult",F728&lt;=55,"Seniour Adult",F728&gt;=55,"Old Age")</f>
        <v>Adult</v>
      </c>
      <c r="H728" t="s">
        <v>10</v>
      </c>
      <c r="I728" t="s">
        <v>11</v>
      </c>
      <c r="J728" t="str" cm="1">
        <f t="array" ref="J728">_xlfn.IFS(I728="S","Sauthamptonm",I728="Q","Queentown",I728="C","Cherburg",I728="B","Cabin")</f>
        <v>Sauthamptonm</v>
      </c>
      <c r="K728" t="s">
        <v>15</v>
      </c>
      <c r="L728" s="2">
        <v>8.01</v>
      </c>
      <c r="M728">
        <v>0</v>
      </c>
      <c r="N728">
        <v>0</v>
      </c>
      <c r="O728" t="s">
        <v>13</v>
      </c>
    </row>
    <row r="729" spans="1:15" x14ac:dyDescent="0.3">
      <c r="A729" s="1" t="s">
        <v>1459</v>
      </c>
      <c r="B729" t="s">
        <v>72</v>
      </c>
      <c r="C729" t="s">
        <v>1460</v>
      </c>
      <c r="D729" t="str">
        <f t="shared" si="11"/>
        <v>Male</v>
      </c>
      <c r="E729" t="s">
        <v>9</v>
      </c>
      <c r="F729" s="2">
        <v>24</v>
      </c>
      <c r="G729" s="2" t="str" cm="1">
        <f t="array" ref="G729">_xlfn.IFS(F729&lt;=8,"Child",F729&lt;=17,"Teen",F729&lt;=35,"Adult",F729&lt;=55,"Seniour Adult",F729&gt;=55,"Old Age")</f>
        <v>Adult</v>
      </c>
      <c r="H729" t="s">
        <v>10</v>
      </c>
      <c r="I729" t="s">
        <v>11</v>
      </c>
      <c r="J729" t="str" cm="1">
        <f t="array" ref="J729">_xlfn.IFS(I729="S","Sauthamptonm",I729="Q","Queentown",I729="C","Cherburg",I729="B","Cabin")</f>
        <v>Sauthamptonm</v>
      </c>
      <c r="K729" t="s">
        <v>15</v>
      </c>
      <c r="L729" s="2">
        <v>8.01</v>
      </c>
      <c r="M729">
        <v>0</v>
      </c>
      <c r="N729">
        <v>0</v>
      </c>
      <c r="O729" t="s">
        <v>13</v>
      </c>
    </row>
    <row r="730" spans="1:15" x14ac:dyDescent="0.3">
      <c r="A730" s="1" t="s">
        <v>1461</v>
      </c>
      <c r="B730" t="s">
        <v>72</v>
      </c>
      <c r="C730" t="s">
        <v>598</v>
      </c>
      <c r="D730" t="str">
        <f t="shared" si="11"/>
        <v>Male</v>
      </c>
      <c r="E730" t="s">
        <v>9</v>
      </c>
      <c r="F730" s="2">
        <v>22</v>
      </c>
      <c r="G730" s="2" t="str" cm="1">
        <f t="array" ref="G730">_xlfn.IFS(F730&lt;=8,"Child",F730&lt;=17,"Teen",F730&lt;=35,"Adult",F730&lt;=55,"Seniour Adult",F730&gt;=55,"Old Age")</f>
        <v>Adult</v>
      </c>
      <c r="H730" t="s">
        <v>10</v>
      </c>
      <c r="I730" t="s">
        <v>36</v>
      </c>
      <c r="J730" t="str" cm="1">
        <f t="array" ref="J730">_xlfn.IFS(I730="S","Sauthamptonm",I730="Q","Queentown",I730="C","Cherburg",I730="B","Cabin")</f>
        <v>Queentown</v>
      </c>
      <c r="K730" t="s">
        <v>37</v>
      </c>
      <c r="L730" s="2">
        <v>7.1406000000000001</v>
      </c>
      <c r="M730">
        <v>0</v>
      </c>
      <c r="N730">
        <v>0</v>
      </c>
      <c r="O730" t="s">
        <v>13</v>
      </c>
    </row>
    <row r="731" spans="1:15" x14ac:dyDescent="0.3">
      <c r="A731" s="1" t="s">
        <v>1462</v>
      </c>
      <c r="B731" t="s">
        <v>76</v>
      </c>
      <c r="C731" t="s">
        <v>1445</v>
      </c>
      <c r="D731" t="str">
        <f t="shared" si="11"/>
        <v>Female</v>
      </c>
      <c r="E731" t="s">
        <v>14</v>
      </c>
      <c r="F731" s="2">
        <v>35</v>
      </c>
      <c r="G731" s="2" t="str" cm="1">
        <f t="array" ref="G731">_xlfn.IFS(F731&lt;=8,"Child",F731&lt;=17,"Teen",F731&lt;=35,"Adult",F731&lt;=55,"Seniour Adult",F731&gt;=55,"Old Age")</f>
        <v>Adult</v>
      </c>
      <c r="H731" t="s">
        <v>25</v>
      </c>
      <c r="I731" t="s">
        <v>19</v>
      </c>
      <c r="J731" t="str" cm="1">
        <f t="array" ref="J731">_xlfn.IFS(I731="S","Sauthamptonm",I731="Q","Queentown",I731="C","Cherburg",I731="B","Cabin")</f>
        <v>Cherburg</v>
      </c>
      <c r="K731" t="s">
        <v>62</v>
      </c>
      <c r="L731" s="2">
        <v>57.15</v>
      </c>
      <c r="M731">
        <v>1</v>
      </c>
      <c r="N731">
        <v>0</v>
      </c>
      <c r="O731" t="s">
        <v>16</v>
      </c>
    </row>
    <row r="732" spans="1:15" x14ac:dyDescent="0.3">
      <c r="A732" s="1" t="s">
        <v>1463</v>
      </c>
      <c r="B732" t="s">
        <v>72</v>
      </c>
      <c r="C732" t="s">
        <v>1464</v>
      </c>
      <c r="D732" t="str">
        <f t="shared" si="11"/>
        <v>Male</v>
      </c>
      <c r="E732" t="s">
        <v>9</v>
      </c>
      <c r="F732" s="2">
        <v>29</v>
      </c>
      <c r="G732" s="2" t="str" cm="1">
        <f t="array" ref="G732">_xlfn.IFS(F732&lt;=8,"Child",F732&lt;=17,"Teen",F732&lt;=35,"Adult",F732&lt;=55,"Seniour Adult",F732&gt;=55,"Old Age")</f>
        <v>Adult</v>
      </c>
      <c r="H732" t="s">
        <v>10</v>
      </c>
      <c r="I732" t="s">
        <v>11</v>
      </c>
      <c r="J732" t="str" cm="1">
        <f t="array" ref="J732">_xlfn.IFS(I732="S","Sauthamptonm",I732="Q","Queentown",I732="C","Cherburg",I732="B","Cabin")</f>
        <v>Sauthamptonm</v>
      </c>
      <c r="K732" t="s">
        <v>46</v>
      </c>
      <c r="L732" s="2">
        <v>9.1</v>
      </c>
      <c r="M732">
        <v>0</v>
      </c>
      <c r="N732">
        <v>0</v>
      </c>
      <c r="O732" t="s">
        <v>16</v>
      </c>
    </row>
    <row r="733" spans="1:15" x14ac:dyDescent="0.3">
      <c r="A733" s="1" t="s">
        <v>1465</v>
      </c>
      <c r="B733" t="s">
        <v>72</v>
      </c>
      <c r="C733" t="s">
        <v>1466</v>
      </c>
      <c r="D733" t="str">
        <f t="shared" si="11"/>
        <v>Male</v>
      </c>
      <c r="E733" t="s">
        <v>9</v>
      </c>
      <c r="F733" s="2">
        <v>22</v>
      </c>
      <c r="G733" s="2" t="str" cm="1">
        <f t="array" ref="G733">_xlfn.IFS(F733&lt;=8,"Child",F733&lt;=17,"Teen",F733&lt;=35,"Adult",F733&lt;=55,"Seniour Adult",F733&gt;=55,"Old Age")</f>
        <v>Adult</v>
      </c>
      <c r="H733" t="s">
        <v>18</v>
      </c>
      <c r="I733" t="s">
        <v>11</v>
      </c>
      <c r="J733" t="str" cm="1">
        <f t="array" ref="J733">_xlfn.IFS(I733="S","Sauthamptonm",I733="Q","Queentown",I733="C","Cherburg",I733="B","Cabin")</f>
        <v>Sauthamptonm</v>
      </c>
      <c r="K733" t="s">
        <v>15</v>
      </c>
      <c r="L733" s="2">
        <v>13</v>
      </c>
      <c r="M733">
        <v>0</v>
      </c>
      <c r="N733">
        <v>0</v>
      </c>
      <c r="O733" t="s">
        <v>13</v>
      </c>
    </row>
    <row r="734" spans="1:15" x14ac:dyDescent="0.3">
      <c r="A734" s="1" t="s">
        <v>1467</v>
      </c>
      <c r="B734" t="s">
        <v>72</v>
      </c>
      <c r="C734" t="s">
        <v>1468</v>
      </c>
      <c r="D734" t="str">
        <f t="shared" si="11"/>
        <v>Male</v>
      </c>
      <c r="E734" t="s">
        <v>9</v>
      </c>
      <c r="F734" s="2">
        <v>42</v>
      </c>
      <c r="G734" s="2" t="str" cm="1">
        <f t="array" ref="G734">_xlfn.IFS(F734&lt;=8,"Child",F734&lt;=17,"Teen",F734&lt;=35,"Adult",F734&lt;=55,"Seniour Adult",F734&gt;=55,"Old Age")</f>
        <v>Seniour Adult</v>
      </c>
      <c r="H734" t="s">
        <v>10</v>
      </c>
      <c r="I734" t="s">
        <v>11</v>
      </c>
      <c r="J734" t="str" cm="1">
        <f t="array" ref="J734">_xlfn.IFS(I734="S","Sauthamptonm",I734="Q","Queentown",I734="C","Cherburg",I734="B","Cabin")</f>
        <v>Sauthamptonm</v>
      </c>
      <c r="K734" t="s">
        <v>15</v>
      </c>
      <c r="L734" s="2">
        <v>7.1711</v>
      </c>
      <c r="M734">
        <v>0</v>
      </c>
      <c r="N734">
        <v>0</v>
      </c>
      <c r="O734" t="s">
        <v>13</v>
      </c>
    </row>
    <row r="735" spans="1:15" x14ac:dyDescent="0.3">
      <c r="A735" s="1" t="s">
        <v>1469</v>
      </c>
      <c r="B735" t="s">
        <v>72</v>
      </c>
      <c r="C735" t="s">
        <v>1470</v>
      </c>
      <c r="D735" t="str">
        <f t="shared" si="11"/>
        <v>Male</v>
      </c>
      <c r="E735" t="s">
        <v>9</v>
      </c>
      <c r="F735" s="2">
        <v>28</v>
      </c>
      <c r="G735" s="2" t="str" cm="1">
        <f t="array" ref="G735">_xlfn.IFS(F735&lt;=8,"Child",F735&lt;=17,"Teen",F735&lt;=35,"Adult",F735&lt;=55,"Seniour Adult",F735&gt;=55,"Old Age")</f>
        <v>Adult</v>
      </c>
      <c r="H735" t="s">
        <v>18</v>
      </c>
      <c r="I735" t="s">
        <v>11</v>
      </c>
      <c r="J735" t="str" cm="1">
        <f t="array" ref="J735">_xlfn.IFS(I735="S","Sauthamptonm",I735="Q","Queentown",I735="C","Cherburg",I735="B","Cabin")</f>
        <v>Sauthamptonm</v>
      </c>
      <c r="K735" t="s">
        <v>15</v>
      </c>
      <c r="L735" s="2">
        <v>13</v>
      </c>
      <c r="M735">
        <v>0</v>
      </c>
      <c r="N735">
        <v>0</v>
      </c>
      <c r="O735" t="s">
        <v>13</v>
      </c>
    </row>
    <row r="736" spans="1:15" x14ac:dyDescent="0.3">
      <c r="A736" s="1" t="s">
        <v>1471</v>
      </c>
      <c r="B736" t="s">
        <v>94</v>
      </c>
      <c r="C736" t="s">
        <v>914</v>
      </c>
      <c r="D736" t="str">
        <f t="shared" si="11"/>
        <v>Male</v>
      </c>
      <c r="E736" t="s">
        <v>9</v>
      </c>
      <c r="F736" s="2">
        <v>10</v>
      </c>
      <c r="G736" s="2" t="str" cm="1">
        <f t="array" ref="G736">_xlfn.IFS(F736&lt;=8,"Child",F736&lt;=17,"Teen",F736&lt;=35,"Adult",F736&lt;=55,"Seniour Adult",F736&gt;=55,"Old Age")</f>
        <v>Teen</v>
      </c>
      <c r="H736" t="s">
        <v>10</v>
      </c>
      <c r="I736" t="s">
        <v>19</v>
      </c>
      <c r="J736" t="str" cm="1">
        <f t="array" ref="J736">_xlfn.IFS(I736="S","Sauthamptonm",I736="Q","Queentown",I736="C","Cherburg",I736="B","Cabin")</f>
        <v>Cherburg</v>
      </c>
      <c r="K736" t="s">
        <v>21</v>
      </c>
      <c r="L736" s="2">
        <v>4</v>
      </c>
      <c r="M736">
        <v>0</v>
      </c>
      <c r="N736">
        <v>0</v>
      </c>
      <c r="O736" t="s">
        <v>13</v>
      </c>
    </row>
    <row r="737" spans="1:15" x14ac:dyDescent="0.3">
      <c r="A737" s="1" t="s">
        <v>1472</v>
      </c>
      <c r="B737" t="s">
        <v>78</v>
      </c>
      <c r="C737" t="s">
        <v>1473</v>
      </c>
      <c r="D737" t="str">
        <f t="shared" si="11"/>
        <v>Female</v>
      </c>
      <c r="E737" t="s">
        <v>14</v>
      </c>
      <c r="F737" s="2">
        <v>30</v>
      </c>
      <c r="G737" s="2" t="str" cm="1">
        <f t="array" ref="G737">_xlfn.IFS(F737&lt;=8,"Child",F737&lt;=17,"Teen",F737&lt;=35,"Adult",F737&lt;=55,"Seniour Adult",F737&gt;=55,"Old Age")</f>
        <v>Adult</v>
      </c>
      <c r="H737" t="s">
        <v>25</v>
      </c>
      <c r="I737" t="s">
        <v>11</v>
      </c>
      <c r="J737" t="str" cm="1">
        <f t="array" ref="J737">_xlfn.IFS(I737="S","Sauthamptonm",I737="Q","Queentown",I737="C","Cherburg",I737="B","Cabin")</f>
        <v>Sauthamptonm</v>
      </c>
      <c r="K737" t="s">
        <v>15</v>
      </c>
      <c r="L737" s="2">
        <v>31</v>
      </c>
      <c r="M737">
        <v>0</v>
      </c>
      <c r="N737">
        <v>0</v>
      </c>
      <c r="O737" t="s">
        <v>16</v>
      </c>
    </row>
    <row r="738" spans="1:15" x14ac:dyDescent="0.3">
      <c r="A738" s="1" t="s">
        <v>1474</v>
      </c>
      <c r="B738" t="s">
        <v>72</v>
      </c>
      <c r="C738" t="s">
        <v>1475</v>
      </c>
      <c r="D738" t="str">
        <f t="shared" si="11"/>
        <v>Male</v>
      </c>
      <c r="E738" t="s">
        <v>9</v>
      </c>
      <c r="F738" s="2">
        <v>34</v>
      </c>
      <c r="G738" s="2" t="str" cm="1">
        <f t="array" ref="G738">_xlfn.IFS(F738&lt;=8,"Child",F738&lt;=17,"Teen",F738&lt;=35,"Adult",F738&lt;=55,"Seniour Adult",F738&gt;=55,"Old Age")</f>
        <v>Adult</v>
      </c>
      <c r="H738" t="s">
        <v>25</v>
      </c>
      <c r="I738" t="s">
        <v>11</v>
      </c>
      <c r="J738" t="str" cm="1">
        <f t="array" ref="J738">_xlfn.IFS(I738="S","Sauthamptonm",I738="Q","Queentown",I738="C","Cherburg",I738="B","Cabin")</f>
        <v>Sauthamptonm</v>
      </c>
      <c r="K738" t="s">
        <v>12</v>
      </c>
      <c r="L738" s="2">
        <v>26.11</v>
      </c>
      <c r="M738">
        <v>0</v>
      </c>
      <c r="N738">
        <v>0</v>
      </c>
      <c r="O738" t="s">
        <v>16</v>
      </c>
    </row>
    <row r="739" spans="1:15" x14ac:dyDescent="0.3">
      <c r="A739" s="1" t="s">
        <v>1476</v>
      </c>
      <c r="B739" t="s">
        <v>72</v>
      </c>
      <c r="C739" t="s">
        <v>1477</v>
      </c>
      <c r="D739" t="str">
        <f t="shared" si="11"/>
        <v>Male</v>
      </c>
      <c r="E739" t="s">
        <v>9</v>
      </c>
      <c r="F739" s="2">
        <v>35</v>
      </c>
      <c r="G739" s="2" t="str" cm="1">
        <f t="array" ref="G739">_xlfn.IFS(F739&lt;=8,"Child",F739&lt;=17,"Teen",F739&lt;=35,"Adult",F739&lt;=55,"Seniour Adult",F739&gt;=55,"Old Age")</f>
        <v>Adult</v>
      </c>
      <c r="H739" t="s">
        <v>10</v>
      </c>
      <c r="I739" t="s">
        <v>11</v>
      </c>
      <c r="J739" t="str" cm="1">
        <f t="array" ref="J739">_xlfn.IFS(I739="S","Sauthamptonm",I739="Q","Queentown",I739="C","Cherburg",I739="B","Cabin")</f>
        <v>Sauthamptonm</v>
      </c>
      <c r="K739" t="s">
        <v>37</v>
      </c>
      <c r="L739" s="2">
        <v>29</v>
      </c>
      <c r="M739">
        <v>0</v>
      </c>
      <c r="N739" t="s">
        <v>30</v>
      </c>
      <c r="O739" t="s">
        <v>13</v>
      </c>
    </row>
    <row r="740" spans="1:15" x14ac:dyDescent="0.3">
      <c r="A740" s="1" t="s">
        <v>1478</v>
      </c>
      <c r="B740" t="s">
        <v>72</v>
      </c>
      <c r="C740" t="s">
        <v>1479</v>
      </c>
      <c r="D740" t="str">
        <f t="shared" si="11"/>
        <v>Male</v>
      </c>
      <c r="E740" t="s">
        <v>9</v>
      </c>
      <c r="F740" s="2">
        <v>29</v>
      </c>
      <c r="G740" s="2" t="str" cm="1">
        <f t="array" ref="G740">_xlfn.IFS(F740&lt;=8,"Child",F740&lt;=17,"Teen",F740&lt;=35,"Adult",F740&lt;=55,"Seniour Adult",F740&gt;=55,"Old Age")</f>
        <v>Adult</v>
      </c>
      <c r="H740" t="s">
        <v>18</v>
      </c>
      <c r="I740" t="s">
        <v>11</v>
      </c>
      <c r="J740" t="str" cm="1">
        <f t="array" ref="J740">_xlfn.IFS(I740="S","Sauthamptonm",I740="Q","Queentown",I740="C","Cherburg",I740="B","Cabin")</f>
        <v>Sauthamptonm</v>
      </c>
      <c r="K740" t="s">
        <v>15</v>
      </c>
      <c r="L740" s="2">
        <v>26</v>
      </c>
      <c r="M740">
        <v>0</v>
      </c>
      <c r="N740">
        <v>0</v>
      </c>
      <c r="O740" t="s">
        <v>13</v>
      </c>
    </row>
    <row r="741" spans="1:15" x14ac:dyDescent="0.3">
      <c r="A741" s="1" t="s">
        <v>1480</v>
      </c>
      <c r="B741" t="s">
        <v>72</v>
      </c>
      <c r="C741" t="s">
        <v>341</v>
      </c>
      <c r="D741" t="str">
        <f t="shared" si="11"/>
        <v>Male</v>
      </c>
      <c r="E741" t="s">
        <v>9</v>
      </c>
      <c r="F741" s="2">
        <v>27</v>
      </c>
      <c r="G741" s="2" t="str" cm="1">
        <f t="array" ref="G741">_xlfn.IFS(F741&lt;=8,"Child",F741&lt;=17,"Teen",F741&lt;=35,"Adult",F741&lt;=55,"Seniour Adult",F741&gt;=55,"Old Age")</f>
        <v>Adult</v>
      </c>
      <c r="H741" t="s">
        <v>10</v>
      </c>
      <c r="I741" t="s">
        <v>36</v>
      </c>
      <c r="J741" t="str" cm="1">
        <f t="array" ref="J741">_xlfn.IFS(I741="S","Sauthamptonm",I741="Q","Queentown",I741="C","Cherburg",I741="B","Cabin")</f>
        <v>Queentown</v>
      </c>
      <c r="K741" t="s">
        <v>37</v>
      </c>
      <c r="L741" s="2">
        <v>7.15</v>
      </c>
      <c r="M741">
        <v>0</v>
      </c>
      <c r="N741">
        <v>0</v>
      </c>
      <c r="O741" t="s">
        <v>13</v>
      </c>
    </row>
    <row r="742" spans="1:15" x14ac:dyDescent="0.3">
      <c r="A742" s="1" t="s">
        <v>1481</v>
      </c>
      <c r="B742" t="s">
        <v>72</v>
      </c>
      <c r="C742" t="s">
        <v>1482</v>
      </c>
      <c r="D742" t="str">
        <f t="shared" si="11"/>
        <v>Male</v>
      </c>
      <c r="E742" t="s">
        <v>9</v>
      </c>
      <c r="F742" s="2">
        <v>19</v>
      </c>
      <c r="G742" s="2" t="str" cm="1">
        <f t="array" ref="G742">_xlfn.IFS(F742&lt;=8,"Child",F742&lt;=17,"Teen",F742&lt;=35,"Adult",F742&lt;=55,"Seniour Adult",F742&gt;=55,"Old Age")</f>
        <v>Adult</v>
      </c>
      <c r="H742" t="s">
        <v>10</v>
      </c>
      <c r="I742" t="s">
        <v>19</v>
      </c>
      <c r="J742" t="str" cm="1">
        <f t="array" ref="J742">_xlfn.IFS(I742="S","Sauthamptonm",I742="Q","Queentown",I742="C","Cherburg",I742="B","Cabin")</f>
        <v>Cherburg</v>
      </c>
      <c r="K742" t="s">
        <v>15</v>
      </c>
      <c r="L742" s="2">
        <v>7.0406000000000004</v>
      </c>
      <c r="M742">
        <v>0</v>
      </c>
      <c r="N742">
        <v>0</v>
      </c>
      <c r="O742" t="s">
        <v>13</v>
      </c>
    </row>
    <row r="743" spans="1:15" x14ac:dyDescent="0.3">
      <c r="A743" s="1" t="s">
        <v>1483</v>
      </c>
      <c r="B743" t="s">
        <v>72</v>
      </c>
      <c r="C743" t="s">
        <v>1484</v>
      </c>
      <c r="D743" t="str">
        <f t="shared" si="11"/>
        <v>Male</v>
      </c>
      <c r="E743" t="s">
        <v>9</v>
      </c>
      <c r="F743" s="2">
        <v>55</v>
      </c>
      <c r="G743" s="2" t="str" cm="1">
        <f t="array" ref="G743">_xlfn.IFS(F743&lt;=8,"Child",F743&lt;=17,"Teen",F743&lt;=35,"Adult",F743&lt;=55,"Seniour Adult",F743&gt;=55,"Old Age")</f>
        <v>Seniour Adult</v>
      </c>
      <c r="H743" t="s">
        <v>10</v>
      </c>
      <c r="I743" t="s">
        <v>11</v>
      </c>
      <c r="J743" t="str" cm="1">
        <f t="array" ref="J743">_xlfn.IFS(I743="S","Sauthamptonm",I743="Q","Queentown",I743="C","Cherburg",I743="B","Cabin")</f>
        <v>Sauthamptonm</v>
      </c>
      <c r="K743" t="s">
        <v>15</v>
      </c>
      <c r="L743" s="2">
        <v>15.02</v>
      </c>
      <c r="M743">
        <v>0</v>
      </c>
      <c r="N743">
        <v>0</v>
      </c>
      <c r="O743" t="s">
        <v>13</v>
      </c>
    </row>
    <row r="744" spans="1:15" x14ac:dyDescent="0.3">
      <c r="A744" s="1" t="s">
        <v>1485</v>
      </c>
      <c r="B744" t="s">
        <v>76</v>
      </c>
      <c r="C744" t="s">
        <v>1486</v>
      </c>
      <c r="D744" t="str">
        <f t="shared" si="11"/>
        <v>Female</v>
      </c>
      <c r="E744" t="s">
        <v>14</v>
      </c>
      <c r="F744" s="2">
        <v>25</v>
      </c>
      <c r="G744" s="2" t="str" cm="1">
        <f t="array" ref="G744">_xlfn.IFS(F744&lt;=8,"Child",F744&lt;=17,"Teen",F744&lt;=35,"Adult",F744&lt;=55,"Seniour Adult",F744&gt;=55,"Old Age")</f>
        <v>Adult</v>
      </c>
      <c r="H744" t="s">
        <v>18</v>
      </c>
      <c r="I744" t="s">
        <v>11</v>
      </c>
      <c r="J744" t="str" cm="1">
        <f t="array" ref="J744">_xlfn.IFS(I744="S","Sauthamptonm",I744="Q","Queentown",I744="C","Cherburg",I744="B","Cabin")</f>
        <v>Sauthamptonm</v>
      </c>
      <c r="K744" t="s">
        <v>12</v>
      </c>
      <c r="L744" s="2">
        <v>26</v>
      </c>
      <c r="M744">
        <v>0</v>
      </c>
      <c r="N744">
        <v>1</v>
      </c>
      <c r="O744" t="s">
        <v>16</v>
      </c>
    </row>
    <row r="745" spans="1:15" x14ac:dyDescent="0.3">
      <c r="A745" s="1" t="s">
        <v>1487</v>
      </c>
      <c r="B745" t="s">
        <v>72</v>
      </c>
      <c r="C745" t="s">
        <v>1488</v>
      </c>
      <c r="D745" t="str">
        <f t="shared" si="11"/>
        <v>Male</v>
      </c>
      <c r="E745" t="s">
        <v>9</v>
      </c>
      <c r="F745" s="2">
        <v>26</v>
      </c>
      <c r="G745" s="2" t="str" cm="1">
        <f t="array" ref="G745">_xlfn.IFS(F745&lt;=8,"Child",F745&lt;=17,"Teen",F745&lt;=35,"Adult",F745&lt;=55,"Seniour Adult",F745&gt;=55,"Old Age")</f>
        <v>Adult</v>
      </c>
      <c r="H745" t="s">
        <v>10</v>
      </c>
      <c r="I745" t="s">
        <v>19</v>
      </c>
      <c r="J745" t="str" cm="1">
        <f t="array" ref="J745">_xlfn.IFS(I745="S","Sauthamptonm",I745="Q","Queentown",I745="C","Cherburg",I745="B","Cabin")</f>
        <v>Cherburg</v>
      </c>
      <c r="K745" t="s">
        <v>21</v>
      </c>
      <c r="L745" s="2">
        <v>7.0406000000000004</v>
      </c>
      <c r="M745">
        <v>0</v>
      </c>
      <c r="N745">
        <v>0</v>
      </c>
      <c r="O745" t="s">
        <v>13</v>
      </c>
    </row>
    <row r="746" spans="1:15" x14ac:dyDescent="0.3">
      <c r="A746" s="1" t="s">
        <v>1489</v>
      </c>
      <c r="B746" t="s">
        <v>78</v>
      </c>
      <c r="C746" t="s">
        <v>237</v>
      </c>
      <c r="D746" t="str">
        <f t="shared" si="11"/>
        <v>Female</v>
      </c>
      <c r="E746" t="s">
        <v>14</v>
      </c>
      <c r="F746" s="2">
        <v>20</v>
      </c>
      <c r="G746" s="2" t="str" cm="1">
        <f t="array" ref="G746">_xlfn.IFS(F746&lt;=8,"Child",F746&lt;=17,"Teen",F746&lt;=35,"Adult",F746&lt;=55,"Seniour Adult",F746&gt;=55,"Old Age")</f>
        <v>Adult</v>
      </c>
      <c r="H746" t="s">
        <v>10</v>
      </c>
      <c r="I746" t="s">
        <v>36</v>
      </c>
      <c r="J746" t="str" cm="1">
        <f t="array" ref="J746">_xlfn.IFS(I746="S","Sauthamptonm",I746="Q","Queentown",I746="C","Cherburg",I746="B","Cabin")</f>
        <v>Queentown</v>
      </c>
      <c r="K746" t="s">
        <v>37</v>
      </c>
      <c r="L746" s="2">
        <v>7.1607000000000003</v>
      </c>
      <c r="M746">
        <v>0</v>
      </c>
      <c r="N746">
        <v>0</v>
      </c>
      <c r="O746" t="s">
        <v>16</v>
      </c>
    </row>
    <row r="747" spans="1:15" x14ac:dyDescent="0.3">
      <c r="A747" s="1" t="s">
        <v>1490</v>
      </c>
      <c r="B747" t="s">
        <v>72</v>
      </c>
      <c r="C747" t="s">
        <v>1491</v>
      </c>
      <c r="D747" t="str">
        <f t="shared" si="11"/>
        <v>Male</v>
      </c>
      <c r="E747" t="s">
        <v>9</v>
      </c>
      <c r="F747" s="2">
        <v>22</v>
      </c>
      <c r="G747" s="2" t="str" cm="1">
        <f t="array" ref="G747">_xlfn.IFS(F747&lt;=8,"Child",F747&lt;=17,"Teen",F747&lt;=35,"Adult",F747&lt;=55,"Seniour Adult",F747&gt;=55,"Old Age")</f>
        <v>Adult</v>
      </c>
      <c r="H747" t="s">
        <v>10</v>
      </c>
      <c r="I747" t="s">
        <v>11</v>
      </c>
      <c r="J747" t="str" cm="1">
        <f t="array" ref="J747">_xlfn.IFS(I747="S","Sauthamptonm",I747="Q","Queentown",I747="C","Cherburg",I747="B","Cabin")</f>
        <v>Sauthamptonm</v>
      </c>
      <c r="K747" t="s">
        <v>15</v>
      </c>
      <c r="L747" s="2">
        <v>8.01</v>
      </c>
      <c r="M747">
        <v>0</v>
      </c>
      <c r="N747">
        <v>0</v>
      </c>
      <c r="O747" t="s">
        <v>13</v>
      </c>
    </row>
    <row r="748" spans="1:15" x14ac:dyDescent="0.3">
      <c r="A748" s="1" t="s">
        <v>1492</v>
      </c>
      <c r="B748" t="s">
        <v>78</v>
      </c>
      <c r="C748" t="s">
        <v>1493</v>
      </c>
      <c r="D748" t="str">
        <f t="shared" si="11"/>
        <v>Female</v>
      </c>
      <c r="E748" t="s">
        <v>14</v>
      </c>
      <c r="F748" s="2">
        <v>40</v>
      </c>
      <c r="G748" s="2" t="str" cm="1">
        <f t="array" ref="G748">_xlfn.IFS(F748&lt;=8,"Child",F748&lt;=17,"Teen",F748&lt;=35,"Adult",F748&lt;=55,"Seniour Adult",F748&gt;=55,"Old Age")</f>
        <v>Seniour Adult</v>
      </c>
      <c r="H748" t="s">
        <v>25</v>
      </c>
      <c r="I748" t="s">
        <v>11</v>
      </c>
      <c r="J748" t="str" cm="1">
        <f t="array" ref="J748">_xlfn.IFS(I748="S","Sauthamptonm",I748="Q","Queentown",I748="C","Cherburg",I748="B","Cabin")</f>
        <v>Sauthamptonm</v>
      </c>
      <c r="K748" t="s">
        <v>12</v>
      </c>
      <c r="L748" s="2">
        <v>153.09030000000001</v>
      </c>
      <c r="M748">
        <v>0</v>
      </c>
      <c r="N748">
        <v>0</v>
      </c>
      <c r="O748" t="s">
        <v>16</v>
      </c>
    </row>
    <row r="749" spans="1:15" x14ac:dyDescent="0.3">
      <c r="A749" s="1" t="s">
        <v>1494</v>
      </c>
      <c r="B749" t="s">
        <v>78</v>
      </c>
      <c r="C749" t="s">
        <v>1495</v>
      </c>
      <c r="D749" t="str">
        <f t="shared" si="11"/>
        <v>Female</v>
      </c>
      <c r="E749" t="s">
        <v>14</v>
      </c>
      <c r="F749" s="2">
        <v>17</v>
      </c>
      <c r="G749" s="2" t="str" cm="1">
        <f t="array" ref="G749">_xlfn.IFS(F749&lt;=8,"Child",F749&lt;=17,"Teen",F749&lt;=35,"Adult",F749&lt;=55,"Seniour Adult",F749&gt;=55,"Old Age")</f>
        <v>Teen</v>
      </c>
      <c r="H749" t="s">
        <v>18</v>
      </c>
      <c r="I749" t="s">
        <v>11</v>
      </c>
      <c r="J749" t="str" cm="1">
        <f t="array" ref="J749">_xlfn.IFS(I749="S","Sauthamptonm",I749="Q","Queentown",I749="C","Cherburg",I749="B","Cabin")</f>
        <v>Sauthamptonm</v>
      </c>
      <c r="K749" t="s">
        <v>22</v>
      </c>
      <c r="L749" s="2">
        <v>13</v>
      </c>
      <c r="M749">
        <v>0</v>
      </c>
      <c r="N749">
        <v>2</v>
      </c>
      <c r="O749" t="s">
        <v>16</v>
      </c>
    </row>
    <row r="750" spans="1:15" x14ac:dyDescent="0.3">
      <c r="A750" s="1" t="s">
        <v>1496</v>
      </c>
      <c r="B750" t="s">
        <v>72</v>
      </c>
      <c r="C750" t="s">
        <v>1497</v>
      </c>
      <c r="D750" t="str">
        <f t="shared" si="11"/>
        <v>Male</v>
      </c>
      <c r="E750" t="s">
        <v>9</v>
      </c>
      <c r="F750" s="2">
        <v>35</v>
      </c>
      <c r="G750" s="2" t="str" cm="1">
        <f t="array" ref="G750">_xlfn.IFS(F750&lt;=8,"Child",F750&lt;=17,"Teen",F750&lt;=35,"Adult",F750&lt;=55,"Seniour Adult",F750&gt;=55,"Old Age")</f>
        <v>Adult</v>
      </c>
      <c r="H750" t="s">
        <v>25</v>
      </c>
      <c r="I750" t="s">
        <v>11</v>
      </c>
      <c r="J750" t="str" cm="1">
        <f t="array" ref="J750">_xlfn.IFS(I750="S","Sauthamptonm",I750="Q","Queentown",I750="C","Cherburg",I750="B","Cabin")</f>
        <v>Sauthamptonm</v>
      </c>
      <c r="K750" t="s">
        <v>12</v>
      </c>
      <c r="L750" s="2">
        <v>26.050899999999999</v>
      </c>
      <c r="M750">
        <v>0</v>
      </c>
      <c r="N750">
        <v>0</v>
      </c>
      <c r="O750" t="s">
        <v>16</v>
      </c>
    </row>
    <row r="751" spans="1:15" x14ac:dyDescent="0.3">
      <c r="A751" s="1" t="s">
        <v>1498</v>
      </c>
      <c r="B751" t="s">
        <v>76</v>
      </c>
      <c r="C751" t="s">
        <v>1499</v>
      </c>
      <c r="D751" t="str">
        <f t="shared" si="11"/>
        <v>Female</v>
      </c>
      <c r="E751" t="s">
        <v>14</v>
      </c>
      <c r="F751" s="2">
        <v>39</v>
      </c>
      <c r="G751" s="2" t="str" cm="1">
        <f t="array" ref="G751">_xlfn.IFS(F751&lt;=8,"Child",F751&lt;=17,"Teen",F751&lt;=35,"Adult",F751&lt;=55,"Seniour Adult",F751&gt;=55,"Old Age")</f>
        <v>Seniour Adult</v>
      </c>
      <c r="H751" t="s">
        <v>25</v>
      </c>
      <c r="I751" t="s">
        <v>19</v>
      </c>
      <c r="J751" t="str" cm="1">
        <f t="array" ref="J751">_xlfn.IFS(I751="S","Sauthamptonm",I751="Q","Queentown",I751="C","Cherburg",I751="B","Cabin")</f>
        <v>Cherburg</v>
      </c>
      <c r="K751" t="s">
        <v>12</v>
      </c>
      <c r="L751" s="2">
        <v>55.18</v>
      </c>
      <c r="M751">
        <v>1</v>
      </c>
      <c r="N751">
        <v>0</v>
      </c>
      <c r="O751" t="s">
        <v>16</v>
      </c>
    </row>
    <row r="752" spans="1:15" x14ac:dyDescent="0.3">
      <c r="A752" s="1" t="s">
        <v>1500</v>
      </c>
      <c r="B752" t="s">
        <v>72</v>
      </c>
      <c r="C752" t="s">
        <v>90</v>
      </c>
      <c r="D752" t="str">
        <f t="shared" si="11"/>
        <v>Male</v>
      </c>
      <c r="E752" t="s">
        <v>9</v>
      </c>
      <c r="F752" s="2">
        <v>40</v>
      </c>
      <c r="G752" s="2" t="str" cm="1">
        <f t="array" ref="G752">_xlfn.IFS(F752&lt;=8,"Child",F752&lt;=17,"Teen",F752&lt;=35,"Adult",F752&lt;=55,"Seniour Adult",F752&gt;=55,"Old Age")</f>
        <v>Seniour Adult</v>
      </c>
      <c r="H752" t="s">
        <v>10</v>
      </c>
      <c r="I752" t="s">
        <v>11</v>
      </c>
      <c r="J752" t="str" cm="1">
        <f t="array" ref="J752">_xlfn.IFS(I752="S","Sauthamptonm",I752="Q","Queentown",I752="C","Cherburg",I752="B","Cabin")</f>
        <v>Sauthamptonm</v>
      </c>
      <c r="K752" t="s">
        <v>15</v>
      </c>
      <c r="L752" s="2">
        <v>8.01</v>
      </c>
      <c r="M752">
        <v>0</v>
      </c>
      <c r="N752">
        <v>0</v>
      </c>
      <c r="O752" t="s">
        <v>13</v>
      </c>
    </row>
    <row r="753" spans="1:15" x14ac:dyDescent="0.3">
      <c r="A753" s="1" t="s">
        <v>1501</v>
      </c>
      <c r="B753" t="s">
        <v>72</v>
      </c>
      <c r="C753" t="s">
        <v>1502</v>
      </c>
      <c r="D753" t="str">
        <f t="shared" si="11"/>
        <v>Male</v>
      </c>
      <c r="E753" t="s">
        <v>9</v>
      </c>
      <c r="F753" s="2">
        <v>56</v>
      </c>
      <c r="G753" s="2" t="str" cm="1">
        <f t="array" ref="G753">_xlfn.IFS(F753&lt;=8,"Child",F753&lt;=17,"Teen",F753&lt;=35,"Adult",F753&lt;=55,"Seniour Adult",F753&gt;=55,"Old Age")</f>
        <v>Old Age</v>
      </c>
      <c r="H753" t="s">
        <v>25</v>
      </c>
      <c r="I753" t="s">
        <v>11</v>
      </c>
      <c r="J753" t="str" cm="1">
        <f t="array" ref="J753">_xlfn.IFS(I753="S","Sauthamptonm",I753="Q","Queentown",I753="C","Cherburg",I753="B","Cabin")</f>
        <v>Sauthamptonm</v>
      </c>
      <c r="K753" t="s">
        <v>32</v>
      </c>
      <c r="L753" s="2">
        <v>35.1</v>
      </c>
      <c r="M753">
        <v>0</v>
      </c>
      <c r="N753">
        <v>0</v>
      </c>
      <c r="O753" t="s">
        <v>16</v>
      </c>
    </row>
    <row r="754" spans="1:15" x14ac:dyDescent="0.3">
      <c r="A754" s="1" t="s">
        <v>1503</v>
      </c>
      <c r="B754" t="s">
        <v>78</v>
      </c>
      <c r="C754" t="s">
        <v>1504</v>
      </c>
      <c r="D754" t="str">
        <f t="shared" si="11"/>
        <v>Female</v>
      </c>
      <c r="E754" t="s">
        <v>14</v>
      </c>
      <c r="F754" s="2">
        <v>20</v>
      </c>
      <c r="G754" s="2" t="str" cm="1">
        <f t="array" ref="G754">_xlfn.IFS(F754&lt;=8,"Child",F754&lt;=17,"Teen",F754&lt;=35,"Adult",F754&lt;=55,"Seniour Adult",F754&gt;=55,"Old Age")</f>
        <v>Adult</v>
      </c>
      <c r="H754" t="s">
        <v>18</v>
      </c>
      <c r="I754" t="s">
        <v>11</v>
      </c>
      <c r="J754" t="str" cm="1">
        <f t="array" ref="J754">_xlfn.IFS(I754="S","Sauthamptonm",I754="Q","Queentown",I754="C","Cherburg",I754="B","Cabin")</f>
        <v>Sauthamptonm</v>
      </c>
      <c r="K754" t="s">
        <v>15</v>
      </c>
      <c r="L754" s="2">
        <v>36.15</v>
      </c>
      <c r="M754">
        <v>0</v>
      </c>
      <c r="N754">
        <v>0</v>
      </c>
      <c r="O754" t="s">
        <v>16</v>
      </c>
    </row>
    <row r="755" spans="1:15" x14ac:dyDescent="0.3">
      <c r="A755" s="1" t="s">
        <v>1505</v>
      </c>
      <c r="B755" t="s">
        <v>78</v>
      </c>
      <c r="C755" t="s">
        <v>505</v>
      </c>
      <c r="D755" t="str">
        <f t="shared" si="11"/>
        <v>Female</v>
      </c>
      <c r="E755" t="s">
        <v>14</v>
      </c>
      <c r="F755" s="2">
        <v>30</v>
      </c>
      <c r="G755" s="2" t="str" cm="1">
        <f t="array" ref="G755">_xlfn.IFS(F755&lt;=8,"Child",F755&lt;=17,"Teen",F755&lt;=35,"Adult",F755&lt;=55,"Seniour Adult",F755&gt;=55,"Old Age")</f>
        <v>Adult</v>
      </c>
      <c r="H755" t="s">
        <v>18</v>
      </c>
      <c r="I755" t="s">
        <v>11</v>
      </c>
      <c r="J755" t="str" cm="1">
        <f t="array" ref="J755">_xlfn.IFS(I755="S","Sauthamptonm",I755="Q","Queentown",I755="C","Cherburg",I755="B","Cabin")</f>
        <v>Sauthamptonm</v>
      </c>
      <c r="K755" t="s">
        <v>22</v>
      </c>
      <c r="L755" s="2">
        <v>13</v>
      </c>
      <c r="M755">
        <v>0</v>
      </c>
      <c r="N755">
        <v>0</v>
      </c>
      <c r="O755" t="s">
        <v>16</v>
      </c>
    </row>
    <row r="756" spans="1:15" x14ac:dyDescent="0.3">
      <c r="A756" s="1" t="s">
        <v>1506</v>
      </c>
      <c r="B756" t="s">
        <v>72</v>
      </c>
      <c r="C756" t="s">
        <v>1507</v>
      </c>
      <c r="D756" t="str">
        <f t="shared" si="11"/>
        <v>Male</v>
      </c>
      <c r="E756" t="s">
        <v>9</v>
      </c>
      <c r="F756" s="2">
        <v>22</v>
      </c>
      <c r="G756" s="2" t="str" cm="1">
        <f t="array" ref="G756">_xlfn.IFS(F756&lt;=8,"Child",F756&lt;=17,"Teen",F756&lt;=35,"Adult",F756&lt;=55,"Seniour Adult",F756&gt;=55,"Old Age")</f>
        <v>Adult</v>
      </c>
      <c r="H756" t="s">
        <v>10</v>
      </c>
      <c r="I756" t="s">
        <v>19</v>
      </c>
      <c r="J756" t="str" cm="1">
        <f t="array" ref="J756">_xlfn.IFS(I756="S","Sauthamptonm",I756="Q","Queentown",I756="C","Cherburg",I756="B","Cabin")</f>
        <v>Cherburg</v>
      </c>
      <c r="K756" t="s">
        <v>57</v>
      </c>
      <c r="L756" s="2">
        <v>7.0407000000000002</v>
      </c>
      <c r="M756">
        <v>0</v>
      </c>
      <c r="N756">
        <v>0</v>
      </c>
      <c r="O756" t="s">
        <v>13</v>
      </c>
    </row>
    <row r="757" spans="1:15" x14ac:dyDescent="0.3">
      <c r="A757" s="1" t="s">
        <v>1508</v>
      </c>
      <c r="B757" t="s">
        <v>72</v>
      </c>
      <c r="C757" t="s">
        <v>1509</v>
      </c>
      <c r="D757" t="str">
        <f t="shared" si="11"/>
        <v>Male</v>
      </c>
      <c r="E757" t="s">
        <v>9</v>
      </c>
      <c r="F757" s="2">
        <v>20</v>
      </c>
      <c r="G757" s="2" t="str" cm="1">
        <f t="array" ref="G757">_xlfn.IFS(F757&lt;=8,"Child",F757&lt;=17,"Teen",F757&lt;=35,"Adult",F757&lt;=55,"Seniour Adult",F757&gt;=55,"Old Age")</f>
        <v>Adult</v>
      </c>
      <c r="H757" t="s">
        <v>10</v>
      </c>
      <c r="I757" t="s">
        <v>11</v>
      </c>
      <c r="J757" t="str" cm="1">
        <f t="array" ref="J757">_xlfn.IFS(I757="S","Sauthamptonm",I757="Q","Queentown",I757="C","Cherburg",I757="B","Cabin")</f>
        <v>Sauthamptonm</v>
      </c>
      <c r="K757" t="s">
        <v>15</v>
      </c>
      <c r="L757" s="2">
        <v>8.01</v>
      </c>
      <c r="M757">
        <v>0</v>
      </c>
      <c r="N757">
        <v>0</v>
      </c>
      <c r="O757" t="s">
        <v>13</v>
      </c>
    </row>
    <row r="758" spans="1:15" x14ac:dyDescent="0.3">
      <c r="A758" s="1" t="s">
        <v>1510</v>
      </c>
      <c r="B758" t="s">
        <v>72</v>
      </c>
      <c r="C758" t="s">
        <v>1511</v>
      </c>
      <c r="D758" t="str">
        <f t="shared" si="11"/>
        <v>Male</v>
      </c>
      <c r="E758" t="s">
        <v>9</v>
      </c>
      <c r="F758" s="2">
        <v>40</v>
      </c>
      <c r="G758" s="2" t="str" cm="1">
        <f t="array" ref="G758">_xlfn.IFS(F758&lt;=8,"Child",F758&lt;=17,"Teen",F758&lt;=35,"Adult",F758&lt;=55,"Seniour Adult",F758&gt;=55,"Old Age")</f>
        <v>Seniour Adult</v>
      </c>
      <c r="H758" t="s">
        <v>10</v>
      </c>
      <c r="I758" t="s">
        <v>11</v>
      </c>
      <c r="J758" t="str" cm="1">
        <f t="array" ref="J758">_xlfn.IFS(I758="S","Sauthamptonm",I758="Q","Queentown",I758="C","Cherburg",I758="B","Cabin")</f>
        <v>Sauthamptonm</v>
      </c>
      <c r="K758" t="s">
        <v>34</v>
      </c>
      <c r="L758" s="2">
        <v>7.1711</v>
      </c>
      <c r="M758">
        <v>0</v>
      </c>
      <c r="N758">
        <v>0</v>
      </c>
      <c r="O758" t="s">
        <v>13</v>
      </c>
    </row>
    <row r="759" spans="1:15" x14ac:dyDescent="0.3">
      <c r="A759" s="1" t="s">
        <v>1512</v>
      </c>
      <c r="B759" t="s">
        <v>72</v>
      </c>
      <c r="C759" t="s">
        <v>1513</v>
      </c>
      <c r="D759" t="str">
        <f t="shared" si="11"/>
        <v>Male</v>
      </c>
      <c r="E759" t="s">
        <v>9</v>
      </c>
      <c r="F759" s="2">
        <v>21</v>
      </c>
      <c r="G759" s="2" t="str" cm="1">
        <f t="array" ref="G759">_xlfn.IFS(F759&lt;=8,"Child",F759&lt;=17,"Teen",F759&lt;=35,"Adult",F759&lt;=55,"Seniour Adult",F759&gt;=55,"Old Age")</f>
        <v>Adult</v>
      </c>
      <c r="H759" t="s">
        <v>10</v>
      </c>
      <c r="I759" t="s">
        <v>11</v>
      </c>
      <c r="J759" t="str" cm="1">
        <f t="array" ref="J759">_xlfn.IFS(I759="S","Sauthamptonm",I759="Q","Queentown",I759="C","Cherburg",I759="B","Cabin")</f>
        <v>Sauthamptonm</v>
      </c>
      <c r="K759" t="s">
        <v>12</v>
      </c>
      <c r="L759" s="2">
        <v>7.1806000000000001</v>
      </c>
      <c r="M759">
        <v>0</v>
      </c>
      <c r="N759">
        <v>0</v>
      </c>
      <c r="O759" t="s">
        <v>13</v>
      </c>
    </row>
    <row r="760" spans="1:15" x14ac:dyDescent="0.3">
      <c r="A760" s="1" t="s">
        <v>1514</v>
      </c>
      <c r="B760" t="s">
        <v>78</v>
      </c>
      <c r="C760" t="s">
        <v>1229</v>
      </c>
      <c r="D760" t="str">
        <f t="shared" si="11"/>
        <v>Female</v>
      </c>
      <c r="E760" t="s">
        <v>14</v>
      </c>
      <c r="F760" s="2">
        <v>18</v>
      </c>
      <c r="G760" s="2" t="str" cm="1">
        <f t="array" ref="G760">_xlfn.IFS(F760&lt;=8,"Child",F760&lt;=17,"Teen",F760&lt;=35,"Adult",F760&lt;=55,"Seniour Adult",F760&gt;=55,"Old Age")</f>
        <v>Adult</v>
      </c>
      <c r="H760" t="s">
        <v>10</v>
      </c>
      <c r="I760" t="s">
        <v>11</v>
      </c>
      <c r="J760" t="str" cm="1">
        <f t="array" ref="J760">_xlfn.IFS(I760="S","Sauthamptonm",I760="Q","Queentown",I760="C","Cherburg",I760="B","Cabin")</f>
        <v>Sauthamptonm</v>
      </c>
      <c r="K760" t="s">
        <v>22</v>
      </c>
      <c r="L760" s="2">
        <v>6.0911</v>
      </c>
      <c r="M760">
        <v>0</v>
      </c>
      <c r="N760">
        <v>0</v>
      </c>
      <c r="O760" t="s">
        <v>16</v>
      </c>
    </row>
    <row r="761" spans="1:15" x14ac:dyDescent="0.3">
      <c r="A761" s="1" t="s">
        <v>1515</v>
      </c>
      <c r="B761" t="s">
        <v>72</v>
      </c>
      <c r="C761" t="s">
        <v>1516</v>
      </c>
      <c r="D761" t="str">
        <f t="shared" si="11"/>
        <v>Male</v>
      </c>
      <c r="E761" t="s">
        <v>9</v>
      </c>
      <c r="F761" s="2">
        <v>59</v>
      </c>
      <c r="G761" s="2" t="str" cm="1">
        <f t="array" ref="G761">_xlfn.IFS(F761&lt;=8,"Child",F761&lt;=17,"Teen",F761&lt;=35,"Adult",F761&lt;=55,"Seniour Adult",F761&gt;=55,"Old Age")</f>
        <v>Old Age</v>
      </c>
      <c r="H761" t="s">
        <v>18</v>
      </c>
      <c r="I761" t="s">
        <v>11</v>
      </c>
      <c r="J761" t="str" cm="1">
        <f t="array" ref="J761">_xlfn.IFS(I761="S","Sauthamptonm",I761="Q","Queentown",I761="C","Cherburg",I761="B","Cabin")</f>
        <v>Sauthamptonm</v>
      </c>
      <c r="K761" t="s">
        <v>23</v>
      </c>
      <c r="L761" s="2">
        <v>13.1</v>
      </c>
      <c r="M761">
        <v>0</v>
      </c>
      <c r="N761">
        <v>0</v>
      </c>
      <c r="O761" t="s">
        <v>13</v>
      </c>
    </row>
    <row r="762" spans="1:15" x14ac:dyDescent="0.3">
      <c r="A762" s="1" t="s">
        <v>1517</v>
      </c>
      <c r="B762" t="s">
        <v>94</v>
      </c>
      <c r="C762" t="s">
        <v>1518</v>
      </c>
      <c r="D762" t="str">
        <f t="shared" si="11"/>
        <v>Male</v>
      </c>
      <c r="E762" t="s">
        <v>9</v>
      </c>
      <c r="F762" s="2">
        <v>5</v>
      </c>
      <c r="G762" s="2" t="str" cm="1">
        <f t="array" ref="G762">_xlfn.IFS(F762&lt;=8,"Child",F762&lt;=17,"Teen",F762&lt;=35,"Adult",F762&lt;=55,"Seniour Adult",F762&gt;=55,"Old Age")</f>
        <v>Child</v>
      </c>
      <c r="H762" t="s">
        <v>10</v>
      </c>
      <c r="I762" t="s">
        <v>11</v>
      </c>
      <c r="J762" t="str" cm="1">
        <f t="array" ref="J762">_xlfn.IFS(I762="S","Sauthamptonm",I762="Q","Queentown",I762="C","Cherburg",I762="B","Cabin")</f>
        <v>Sauthamptonm</v>
      </c>
      <c r="K762" t="s">
        <v>12</v>
      </c>
      <c r="L762" s="2">
        <v>27.18</v>
      </c>
      <c r="M762">
        <v>3</v>
      </c>
      <c r="N762">
        <v>2</v>
      </c>
      <c r="O762" t="s">
        <v>13</v>
      </c>
    </row>
    <row r="763" spans="1:15" x14ac:dyDescent="0.3">
      <c r="A763" s="1" t="s">
        <v>1519</v>
      </c>
      <c r="B763" t="s">
        <v>72</v>
      </c>
      <c r="C763" t="s">
        <v>1520</v>
      </c>
      <c r="D763" t="str">
        <f t="shared" si="11"/>
        <v>Male</v>
      </c>
      <c r="E763" t="s">
        <v>9</v>
      </c>
      <c r="F763" s="2">
        <v>42</v>
      </c>
      <c r="G763" s="2" t="str" cm="1">
        <f t="array" ref="G763">_xlfn.IFS(F763&lt;=8,"Child",F763&lt;=17,"Teen",F763&lt;=35,"Adult",F763&lt;=55,"Seniour Adult",F763&gt;=55,"Old Age")</f>
        <v>Seniour Adult</v>
      </c>
      <c r="H763" t="s">
        <v>10</v>
      </c>
      <c r="I763" t="s">
        <v>11</v>
      </c>
      <c r="J763" t="str" cm="1">
        <f t="array" ref="J763">_xlfn.IFS(I763="S","Sauthamptonm",I763="Q","Queentown",I763="C","Cherburg",I763="B","Cabin")</f>
        <v>Sauthamptonm</v>
      </c>
      <c r="K763" t="s">
        <v>15</v>
      </c>
      <c r="L763" s="2">
        <v>7.1711</v>
      </c>
      <c r="M763">
        <v>0</v>
      </c>
      <c r="N763">
        <v>0</v>
      </c>
      <c r="O763" t="s">
        <v>13</v>
      </c>
    </row>
    <row r="764" spans="1:15" x14ac:dyDescent="0.3">
      <c r="A764" s="1" t="s">
        <v>1521</v>
      </c>
      <c r="B764" t="s">
        <v>78</v>
      </c>
      <c r="C764" t="s">
        <v>1522</v>
      </c>
      <c r="D764" t="str">
        <f t="shared" si="11"/>
        <v>Female</v>
      </c>
      <c r="E764" t="s">
        <v>14</v>
      </c>
      <c r="F764" s="2">
        <v>30</v>
      </c>
      <c r="G764" s="2" t="str" cm="1">
        <f t="array" ref="G764">_xlfn.IFS(F764&lt;=8,"Child",F764&lt;=17,"Teen",F764&lt;=35,"Adult",F764&lt;=55,"Seniour Adult",F764&gt;=55,"Old Age")</f>
        <v>Adult</v>
      </c>
      <c r="H764" t="s">
        <v>18</v>
      </c>
      <c r="I764" t="s">
        <v>36</v>
      </c>
      <c r="J764" t="str" cm="1">
        <f t="array" ref="J764">_xlfn.IFS(I764="S","Sauthamptonm",I764="Q","Queentown",I764="C","Cherburg",I764="B","Cabin")</f>
        <v>Queentown</v>
      </c>
      <c r="K764" t="s">
        <v>26</v>
      </c>
      <c r="L764" s="2">
        <v>12.07</v>
      </c>
      <c r="M764">
        <v>0</v>
      </c>
      <c r="N764">
        <v>0</v>
      </c>
      <c r="O764" t="s">
        <v>16</v>
      </c>
    </row>
    <row r="765" spans="1:15" x14ac:dyDescent="0.3">
      <c r="A765" s="1" t="s">
        <v>1523</v>
      </c>
      <c r="B765" t="s">
        <v>72</v>
      </c>
      <c r="C765" t="s">
        <v>1524</v>
      </c>
      <c r="D765" t="str">
        <f t="shared" si="11"/>
        <v>Male</v>
      </c>
      <c r="E765" t="s">
        <v>9</v>
      </c>
      <c r="F765" s="2">
        <v>35</v>
      </c>
      <c r="G765" s="2" t="str" cm="1">
        <f t="array" ref="G765">_xlfn.IFS(F765&lt;=8,"Child",F765&lt;=17,"Teen",F765&lt;=35,"Adult",F765&lt;=55,"Seniour Adult",F765&gt;=55,"Old Age")</f>
        <v>Adult</v>
      </c>
      <c r="H765" t="s">
        <v>18</v>
      </c>
      <c r="I765" t="s">
        <v>11</v>
      </c>
      <c r="J765" t="str" cm="1">
        <f t="array" ref="J765">_xlfn.IFS(I765="S","Sauthamptonm",I765="Q","Queentown",I765="C","Cherburg",I765="B","Cabin")</f>
        <v>Sauthamptonm</v>
      </c>
      <c r="K765" t="s">
        <v>15</v>
      </c>
      <c r="L765" s="2">
        <v>10.1</v>
      </c>
      <c r="M765">
        <v>0</v>
      </c>
      <c r="N765">
        <v>0</v>
      </c>
      <c r="O765" t="s">
        <v>13</v>
      </c>
    </row>
    <row r="766" spans="1:15" x14ac:dyDescent="0.3">
      <c r="A766" s="1" t="s">
        <v>1525</v>
      </c>
      <c r="B766" t="s">
        <v>72</v>
      </c>
      <c r="C766" t="s">
        <v>1526</v>
      </c>
      <c r="D766" t="str">
        <f t="shared" si="11"/>
        <v>Male</v>
      </c>
      <c r="E766" t="s">
        <v>9</v>
      </c>
      <c r="F766" s="2">
        <v>20</v>
      </c>
      <c r="G766" s="2" t="str" cm="1">
        <f t="array" ref="G766">_xlfn.IFS(F766&lt;=8,"Child",F766&lt;=17,"Teen",F766&lt;=35,"Adult",F766&lt;=55,"Seniour Adult",F766&gt;=55,"Old Age")</f>
        <v>Adult</v>
      </c>
      <c r="H766" t="s">
        <v>10</v>
      </c>
      <c r="I766" t="s">
        <v>11</v>
      </c>
      <c r="J766" t="str" cm="1">
        <f t="array" ref="J766">_xlfn.IFS(I766="S","Sauthamptonm",I766="Q","Queentown",I766="C","Cherburg",I766="B","Cabin")</f>
        <v>Sauthamptonm</v>
      </c>
      <c r="K766" t="s">
        <v>15</v>
      </c>
      <c r="L766" s="2">
        <v>8.01</v>
      </c>
      <c r="M766">
        <v>0</v>
      </c>
      <c r="N766">
        <v>0</v>
      </c>
      <c r="O766" t="s">
        <v>13</v>
      </c>
    </row>
    <row r="767" spans="1:15" x14ac:dyDescent="0.3">
      <c r="A767" s="1" t="s">
        <v>1527</v>
      </c>
      <c r="B767" t="s">
        <v>72</v>
      </c>
      <c r="C767" t="s">
        <v>1528</v>
      </c>
      <c r="D767" t="str">
        <f t="shared" si="11"/>
        <v>Male</v>
      </c>
      <c r="E767" t="s">
        <v>9</v>
      </c>
      <c r="F767" s="2">
        <v>28</v>
      </c>
      <c r="G767" s="2" t="str" cm="1">
        <f t="array" ref="G767">_xlfn.IFS(F767&lt;=8,"Child",F767&lt;=17,"Teen",F767&lt;=35,"Adult",F767&lt;=55,"Seniour Adult",F767&gt;=55,"Old Age")</f>
        <v>Adult</v>
      </c>
      <c r="H767" t="s">
        <v>25</v>
      </c>
      <c r="I767" t="s">
        <v>11</v>
      </c>
      <c r="J767" t="str" cm="1">
        <f t="array" ref="J767">_xlfn.IFS(I767="S","Sauthamptonm",I767="Q","Queentown",I767="C","Cherburg",I767="B","Cabin")</f>
        <v>Sauthamptonm</v>
      </c>
      <c r="K767" t="s">
        <v>12</v>
      </c>
      <c r="L767" s="2">
        <v>35.1</v>
      </c>
      <c r="M767">
        <v>0</v>
      </c>
      <c r="N767">
        <v>0</v>
      </c>
      <c r="O767" t="s">
        <v>16</v>
      </c>
    </row>
    <row r="768" spans="1:15" x14ac:dyDescent="0.3">
      <c r="A768" s="1" t="s">
        <v>1529</v>
      </c>
      <c r="B768" t="s">
        <v>72</v>
      </c>
      <c r="C768" t="s">
        <v>1530</v>
      </c>
      <c r="D768" t="str">
        <f t="shared" si="11"/>
        <v>Male</v>
      </c>
      <c r="E768" t="s">
        <v>9</v>
      </c>
      <c r="F768" s="2">
        <v>56</v>
      </c>
      <c r="G768" s="2" t="str" cm="1">
        <f t="array" ref="G768">_xlfn.IFS(F768&lt;=8,"Child",F768&lt;=17,"Teen",F768&lt;=35,"Adult",F768&lt;=55,"Seniour Adult",F768&gt;=55,"Old Age")</f>
        <v>Old Age</v>
      </c>
      <c r="H768" t="s">
        <v>25</v>
      </c>
      <c r="I768" t="s">
        <v>11</v>
      </c>
      <c r="J768" t="str" cm="1">
        <f t="array" ref="J768">_xlfn.IFS(I768="S","Sauthamptonm",I768="Q","Queentown",I768="C","Cherburg",I768="B","Cabin")</f>
        <v>Sauthamptonm</v>
      </c>
      <c r="K768" t="s">
        <v>15</v>
      </c>
      <c r="L768" s="2">
        <v>26.11</v>
      </c>
      <c r="M768">
        <v>0</v>
      </c>
      <c r="N768">
        <v>0</v>
      </c>
      <c r="O768" t="s">
        <v>13</v>
      </c>
    </row>
    <row r="769" spans="1:15" x14ac:dyDescent="0.3">
      <c r="A769" s="1" t="s">
        <v>1531</v>
      </c>
      <c r="B769" t="s">
        <v>72</v>
      </c>
      <c r="C769" t="s">
        <v>1532</v>
      </c>
      <c r="D769" t="str">
        <f t="shared" si="11"/>
        <v>Male</v>
      </c>
      <c r="E769" t="s">
        <v>9</v>
      </c>
      <c r="F769" s="2">
        <v>37</v>
      </c>
      <c r="G769" s="2" t="str" cm="1">
        <f t="array" ref="G769">_xlfn.IFS(F769&lt;=8,"Child",F769&lt;=17,"Teen",F769&lt;=35,"Adult",F769&lt;=55,"Seniour Adult",F769&gt;=55,"Old Age")</f>
        <v>Seniour Adult</v>
      </c>
      <c r="H769" t="s">
        <v>10</v>
      </c>
      <c r="I769" t="s">
        <v>11</v>
      </c>
      <c r="J769" t="str" cm="1">
        <f t="array" ref="J769">_xlfn.IFS(I769="S","Sauthamptonm",I769="Q","Queentown",I769="C","Cherburg",I769="B","Cabin")</f>
        <v>Sauthamptonm</v>
      </c>
      <c r="K769" t="s">
        <v>63</v>
      </c>
      <c r="L769" s="2">
        <v>8.1303000000000001</v>
      </c>
      <c r="M769">
        <v>0</v>
      </c>
      <c r="N769">
        <v>0</v>
      </c>
      <c r="O769" t="s">
        <v>13</v>
      </c>
    </row>
    <row r="770" spans="1:15" x14ac:dyDescent="0.3">
      <c r="A770" s="1" t="s">
        <v>1533</v>
      </c>
      <c r="B770" t="s">
        <v>78</v>
      </c>
      <c r="C770" t="s">
        <v>1534</v>
      </c>
      <c r="D770" t="str">
        <f t="shared" ref="D770:D833" si="12">PROPER(E770)</f>
        <v>Female</v>
      </c>
      <c r="E770" t="s">
        <v>14</v>
      </c>
      <c r="F770" s="2">
        <v>49</v>
      </c>
      <c r="G770" s="2" t="str" cm="1">
        <f t="array" ref="G770">_xlfn.IFS(F770&lt;=8,"Child",F770&lt;=17,"Teen",F770&lt;=35,"Adult",F770&lt;=55,"Seniour Adult",F770&gt;=55,"Old Age")</f>
        <v>Seniour Adult</v>
      </c>
      <c r="H770" t="s">
        <v>18</v>
      </c>
      <c r="I770" t="s">
        <v>11</v>
      </c>
      <c r="J770" t="str" cm="1">
        <f t="array" ref="J770">_xlfn.IFS(I770="S","Sauthamptonm",I770="Q","Queentown",I770="C","Cherburg",I770="B","Cabin")</f>
        <v>Sauthamptonm</v>
      </c>
      <c r="K770" t="s">
        <v>15</v>
      </c>
      <c r="L770" s="2">
        <v>13</v>
      </c>
      <c r="M770">
        <v>0</v>
      </c>
      <c r="N770">
        <v>0</v>
      </c>
      <c r="O770" t="s">
        <v>16</v>
      </c>
    </row>
    <row r="771" spans="1:15" x14ac:dyDescent="0.3">
      <c r="A771" s="1" t="s">
        <v>1536</v>
      </c>
      <c r="B771" t="s">
        <v>78</v>
      </c>
      <c r="C771" t="s">
        <v>191</v>
      </c>
      <c r="D771" t="str">
        <f t="shared" si="12"/>
        <v>Female</v>
      </c>
      <c r="E771" t="s">
        <v>14</v>
      </c>
      <c r="F771" s="2">
        <v>18</v>
      </c>
      <c r="G771" s="2" t="str" cm="1">
        <f t="array" ref="G771">_xlfn.IFS(F771&lt;=8,"Child",F771&lt;=17,"Teen",F771&lt;=35,"Adult",F771&lt;=55,"Seniour Adult",F771&gt;=55,"Old Age")</f>
        <v>Adult</v>
      </c>
      <c r="H771" t="s">
        <v>10</v>
      </c>
      <c r="I771" t="s">
        <v>36</v>
      </c>
      <c r="J771" t="str" cm="1">
        <f t="array" ref="J771">_xlfn.IFS(I771="S","Sauthamptonm",I771="Q","Queentown",I771="C","Cherburg",I771="B","Cabin")</f>
        <v>Queentown</v>
      </c>
      <c r="K771" t="s">
        <v>37</v>
      </c>
      <c r="L771" s="2">
        <v>7.1407999999999996</v>
      </c>
      <c r="M771">
        <v>0</v>
      </c>
      <c r="N771">
        <v>0</v>
      </c>
      <c r="O771" t="s">
        <v>16</v>
      </c>
    </row>
    <row r="772" spans="1:15" x14ac:dyDescent="0.3">
      <c r="A772" s="1" t="s">
        <v>1537</v>
      </c>
      <c r="B772" t="s">
        <v>72</v>
      </c>
      <c r="C772" t="s">
        <v>1538</v>
      </c>
      <c r="D772" t="str">
        <f t="shared" si="12"/>
        <v>Male</v>
      </c>
      <c r="E772" t="s">
        <v>9</v>
      </c>
      <c r="F772" s="2">
        <v>24</v>
      </c>
      <c r="G772" s="2" t="str" cm="1">
        <f t="array" ref="G772">_xlfn.IFS(F772&lt;=8,"Child",F772&lt;=17,"Teen",F772&lt;=35,"Adult",F772&lt;=55,"Seniour Adult",F772&gt;=55,"Old Age")</f>
        <v>Adult</v>
      </c>
      <c r="H772" t="s">
        <v>25</v>
      </c>
      <c r="I772" t="s">
        <v>11</v>
      </c>
      <c r="J772" t="str" cm="1">
        <f t="array" ref="J772">_xlfn.IFS(I772="S","Sauthamptonm",I772="Q","Queentown",I772="C","Cherburg",I772="B","Cabin")</f>
        <v>Sauthamptonm</v>
      </c>
      <c r="K772" t="s">
        <v>12</v>
      </c>
      <c r="L772" s="2">
        <v>82.050399999999996</v>
      </c>
      <c r="M772">
        <v>1</v>
      </c>
      <c r="N772">
        <v>0</v>
      </c>
      <c r="O772" t="s">
        <v>16</v>
      </c>
    </row>
    <row r="773" spans="1:15" x14ac:dyDescent="0.3">
      <c r="A773" s="1" t="s">
        <v>1539</v>
      </c>
      <c r="B773" t="s">
        <v>72</v>
      </c>
      <c r="C773" t="s">
        <v>1540</v>
      </c>
      <c r="D773" t="str">
        <f t="shared" si="12"/>
        <v>Male</v>
      </c>
      <c r="E773" t="s">
        <v>9</v>
      </c>
      <c r="F773" s="2">
        <v>25</v>
      </c>
      <c r="G773" s="2" t="str" cm="1">
        <f t="array" ref="G773">_xlfn.IFS(F773&lt;=8,"Child",F773&lt;=17,"Teen",F773&lt;=35,"Adult",F773&lt;=55,"Seniour Adult",F773&gt;=55,"Old Age")</f>
        <v>Adult</v>
      </c>
      <c r="H773" t="s">
        <v>18</v>
      </c>
      <c r="I773" t="s">
        <v>11</v>
      </c>
      <c r="J773" t="str" cm="1">
        <f t="array" ref="J773">_xlfn.IFS(I773="S","Sauthamptonm",I773="Q","Queentown",I773="C","Cherburg",I773="B","Cabin")</f>
        <v>Sauthamptonm</v>
      </c>
      <c r="K773" t="s">
        <v>15</v>
      </c>
      <c r="L773" s="2">
        <v>13</v>
      </c>
      <c r="M773">
        <v>0</v>
      </c>
      <c r="N773">
        <v>0</v>
      </c>
      <c r="O773" t="s">
        <v>13</v>
      </c>
    </row>
    <row r="774" spans="1:15" x14ac:dyDescent="0.3">
      <c r="A774" s="1" t="s">
        <v>1541</v>
      </c>
      <c r="B774" t="s">
        <v>72</v>
      </c>
      <c r="C774" t="s">
        <v>1542</v>
      </c>
      <c r="D774" t="str">
        <f t="shared" si="12"/>
        <v>Male</v>
      </c>
      <c r="E774" t="s">
        <v>9</v>
      </c>
      <c r="F774" s="2">
        <v>19</v>
      </c>
      <c r="G774" s="2" t="str" cm="1">
        <f t="array" ref="G774">_xlfn.IFS(F774&lt;=8,"Child",F774&lt;=17,"Teen",F774&lt;=35,"Adult",F774&lt;=55,"Seniour Adult",F774&gt;=55,"Old Age")</f>
        <v>Adult</v>
      </c>
      <c r="H774" t="s">
        <v>10</v>
      </c>
      <c r="I774" t="s">
        <v>11</v>
      </c>
      <c r="J774" t="str" cm="1">
        <f t="array" ref="J774">_xlfn.IFS(I774="S","Sauthamptonm",I774="Q","Queentown",I774="C","Cherburg",I774="B","Cabin")</f>
        <v>Sauthamptonm</v>
      </c>
      <c r="K774" t="s">
        <v>17</v>
      </c>
      <c r="L774" s="2">
        <v>7.13</v>
      </c>
      <c r="M774">
        <v>0</v>
      </c>
      <c r="N774">
        <v>0</v>
      </c>
      <c r="O774" t="s">
        <v>13</v>
      </c>
    </row>
    <row r="775" spans="1:15" x14ac:dyDescent="0.3">
      <c r="A775" s="1" t="s">
        <v>1543</v>
      </c>
      <c r="B775" t="s">
        <v>72</v>
      </c>
      <c r="C775" t="s">
        <v>1544</v>
      </c>
      <c r="D775" t="str">
        <f t="shared" si="12"/>
        <v>Male</v>
      </c>
      <c r="E775" t="s">
        <v>9</v>
      </c>
      <c r="F775" s="2">
        <v>31</v>
      </c>
      <c r="G775" s="2" t="str" cm="1">
        <f t="array" ref="G775">_xlfn.IFS(F775&lt;=8,"Child",F775&lt;=17,"Teen",F775&lt;=35,"Adult",F775&lt;=55,"Seniour Adult",F775&gt;=55,"Old Age")</f>
        <v>Adult</v>
      </c>
      <c r="H775" t="s">
        <v>10</v>
      </c>
      <c r="I775" t="s">
        <v>11</v>
      </c>
      <c r="J775" t="str" cm="1">
        <f t="array" ref="J775">_xlfn.IFS(I775="S","Sauthamptonm",I775="Q","Queentown",I775="C","Cherburg",I775="B","Cabin")</f>
        <v>Sauthamptonm</v>
      </c>
      <c r="K775" t="s">
        <v>15</v>
      </c>
      <c r="L775" s="2">
        <v>8.01</v>
      </c>
      <c r="M775">
        <v>0</v>
      </c>
      <c r="N775">
        <v>0</v>
      </c>
      <c r="O775" t="s">
        <v>13</v>
      </c>
    </row>
    <row r="776" spans="1:15" x14ac:dyDescent="0.3">
      <c r="A776" s="1" t="s">
        <v>1545</v>
      </c>
      <c r="B776" t="s">
        <v>72</v>
      </c>
      <c r="C776" t="s">
        <v>1546</v>
      </c>
      <c r="D776" t="str">
        <f t="shared" si="12"/>
        <v>Male</v>
      </c>
      <c r="E776" t="s">
        <v>9</v>
      </c>
      <c r="F776" s="2">
        <v>23</v>
      </c>
      <c r="G776" s="2" t="str" cm="1">
        <f t="array" ref="G776">_xlfn.IFS(F776&lt;=8,"Child",F776&lt;=17,"Teen",F776&lt;=35,"Adult",F776&lt;=55,"Seniour Adult",F776&gt;=55,"Old Age")</f>
        <v>Adult</v>
      </c>
      <c r="H776" t="s">
        <v>10</v>
      </c>
      <c r="I776" t="s">
        <v>11</v>
      </c>
      <c r="J776" t="str" cm="1">
        <f t="array" ref="J776">_xlfn.IFS(I776="S","Sauthamptonm",I776="Q","Queentown",I776="C","Cherburg",I776="B","Cabin")</f>
        <v>Sauthamptonm</v>
      </c>
      <c r="K776" t="s">
        <v>15</v>
      </c>
      <c r="L776" s="2">
        <v>8.01</v>
      </c>
      <c r="M776">
        <v>0</v>
      </c>
      <c r="N776">
        <v>0</v>
      </c>
      <c r="O776" t="s">
        <v>13</v>
      </c>
    </row>
    <row r="777" spans="1:15" x14ac:dyDescent="0.3">
      <c r="A777" s="1" t="s">
        <v>1547</v>
      </c>
      <c r="B777" t="s">
        <v>94</v>
      </c>
      <c r="C777" t="s">
        <v>1222</v>
      </c>
      <c r="D777" t="str">
        <f t="shared" si="12"/>
        <v>Male</v>
      </c>
      <c r="E777" t="s">
        <v>9</v>
      </c>
      <c r="F777" s="2">
        <v>6</v>
      </c>
      <c r="G777" s="2" t="str" cm="1">
        <f t="array" ref="G777">_xlfn.IFS(F777&lt;=8,"Child",F777&lt;=17,"Teen",F777&lt;=35,"Adult",F777&lt;=55,"Seniour Adult",F777&gt;=55,"Old Age")</f>
        <v>Child</v>
      </c>
      <c r="H777" t="s">
        <v>25</v>
      </c>
      <c r="I777" t="s">
        <v>19</v>
      </c>
      <c r="J777" t="str" cm="1">
        <f t="array" ref="J777">_xlfn.IFS(I777="S","Sauthamptonm",I777="Q","Queentown",I777="C","Cherburg",I777="B","Cabin")</f>
        <v>Cherburg</v>
      </c>
      <c r="K777" t="s">
        <v>12</v>
      </c>
      <c r="L777" s="2">
        <v>134.1</v>
      </c>
      <c r="M777">
        <v>0</v>
      </c>
      <c r="N777">
        <v>2</v>
      </c>
      <c r="O777" t="s">
        <v>16</v>
      </c>
    </row>
    <row r="778" spans="1:15" x14ac:dyDescent="0.3">
      <c r="A778" s="1" t="s">
        <v>1548</v>
      </c>
      <c r="B778" t="s">
        <v>76</v>
      </c>
      <c r="C778" t="s">
        <v>1549</v>
      </c>
      <c r="D778" t="str">
        <f t="shared" si="12"/>
        <v>Female</v>
      </c>
      <c r="E778" t="s">
        <v>14</v>
      </c>
      <c r="F778" s="2">
        <v>48</v>
      </c>
      <c r="G778" s="2" t="str" cm="1">
        <f t="array" ref="G778">_xlfn.IFS(F778&lt;=8,"Child",F778&lt;=17,"Teen",F778&lt;=35,"Adult",F778&lt;=55,"Seniour Adult",F778&gt;=55,"Old Age")</f>
        <v>Seniour Adult</v>
      </c>
      <c r="H778" t="s">
        <v>25</v>
      </c>
      <c r="I778" t="s">
        <v>19</v>
      </c>
      <c r="J778" t="str" cm="1">
        <f t="array" ref="J778">_xlfn.IFS(I778="S","Sauthamptonm",I778="Q","Queentown",I778="C","Cherburg",I778="B","Cabin")</f>
        <v>Cherburg</v>
      </c>
      <c r="K778" t="s">
        <v>12</v>
      </c>
      <c r="L778" s="2">
        <v>146.10050000000001</v>
      </c>
      <c r="M778">
        <v>1</v>
      </c>
      <c r="N778">
        <v>0</v>
      </c>
      <c r="O778" t="s">
        <v>16</v>
      </c>
    </row>
    <row r="779" spans="1:15" x14ac:dyDescent="0.3">
      <c r="A779" s="1" t="s">
        <v>1550</v>
      </c>
      <c r="B779" t="s">
        <v>72</v>
      </c>
      <c r="C779" t="s">
        <v>1551</v>
      </c>
      <c r="D779" t="str">
        <f t="shared" si="12"/>
        <v>Male</v>
      </c>
      <c r="E779" t="s">
        <v>9</v>
      </c>
      <c r="F779" s="2">
        <v>31</v>
      </c>
      <c r="G779" s="2" t="str" cm="1">
        <f t="array" ref="G779">_xlfn.IFS(F779&lt;=8,"Child",F779&lt;=17,"Teen",F779&lt;=35,"Adult",F779&lt;=55,"Seniour Adult",F779&gt;=55,"Old Age")</f>
        <v>Adult</v>
      </c>
      <c r="H779" t="s">
        <v>10</v>
      </c>
      <c r="I779" t="s">
        <v>11</v>
      </c>
      <c r="J779" t="str" cm="1">
        <f t="array" ref="J779">_xlfn.IFS(I779="S","Sauthamptonm",I779="Q","Queentown",I779="C","Cherburg",I779="B","Cabin")</f>
        <v>Sauthamptonm</v>
      </c>
      <c r="K779" t="s">
        <v>15</v>
      </c>
      <c r="L779" s="2">
        <v>8.01</v>
      </c>
      <c r="M779">
        <v>0</v>
      </c>
      <c r="N779">
        <v>0</v>
      </c>
      <c r="O779" t="s">
        <v>13</v>
      </c>
    </row>
    <row r="780" spans="1:15" x14ac:dyDescent="0.3">
      <c r="A780" s="1" t="s">
        <v>1552</v>
      </c>
      <c r="B780" t="s">
        <v>287</v>
      </c>
      <c r="C780" t="s">
        <v>1553</v>
      </c>
      <c r="D780" t="str">
        <f t="shared" si="12"/>
        <v>Male</v>
      </c>
      <c r="E780" t="s">
        <v>9</v>
      </c>
      <c r="F780" s="2">
        <v>32</v>
      </c>
      <c r="G780" s="2" t="str" cm="1">
        <f t="array" ref="G780">_xlfn.IFS(F780&lt;=8,"Child",F780&lt;=17,"Teen",F780&lt;=35,"Adult",F780&lt;=55,"Seniour Adult",F780&gt;=55,"Old Age")</f>
        <v>Adult</v>
      </c>
      <c r="H780" t="s">
        <v>25</v>
      </c>
      <c r="I780" t="s">
        <v>11</v>
      </c>
      <c r="J780" t="str" cm="1">
        <f t="array" ref="J780">_xlfn.IFS(I780="S","Sauthamptonm",I780="Q","Queentown",I780="C","Cherburg",I780="B","Cabin")</f>
        <v>Sauthamptonm</v>
      </c>
      <c r="K780" t="s">
        <v>32</v>
      </c>
      <c r="L780" s="2">
        <v>30.1</v>
      </c>
      <c r="M780">
        <v>0</v>
      </c>
      <c r="N780">
        <v>0</v>
      </c>
      <c r="O780" t="s">
        <v>16</v>
      </c>
    </row>
    <row r="781" spans="1:15" x14ac:dyDescent="0.3">
      <c r="A781" s="1" t="s">
        <v>1554</v>
      </c>
      <c r="B781" t="s">
        <v>72</v>
      </c>
      <c r="C781" t="s">
        <v>443</v>
      </c>
      <c r="D781" t="str">
        <f t="shared" si="12"/>
        <v>Male</v>
      </c>
      <c r="E781" t="s">
        <v>9</v>
      </c>
      <c r="F781" s="2">
        <v>23</v>
      </c>
      <c r="G781" s="2" t="str" cm="1">
        <f t="array" ref="G781">_xlfn.IFS(F781&lt;=8,"Child",F781&lt;=17,"Teen",F781&lt;=35,"Adult",F781&lt;=55,"Seniour Adult",F781&gt;=55,"Old Age")</f>
        <v>Adult</v>
      </c>
      <c r="H781" t="s">
        <v>10</v>
      </c>
      <c r="I781" t="s">
        <v>11</v>
      </c>
      <c r="J781" t="str" cm="1">
        <f t="array" ref="J781">_xlfn.IFS(I781="S","Sauthamptonm",I781="Q","Queentown",I781="C","Cherburg",I781="B","Cabin")</f>
        <v>Sauthamptonm</v>
      </c>
      <c r="K781" t="s">
        <v>31</v>
      </c>
      <c r="L781" s="2">
        <v>7.1711</v>
      </c>
      <c r="M781">
        <v>0</v>
      </c>
      <c r="N781">
        <v>0</v>
      </c>
      <c r="O781" t="s">
        <v>13</v>
      </c>
    </row>
    <row r="782" spans="1:15" x14ac:dyDescent="0.3">
      <c r="A782" s="1" t="s">
        <v>1555</v>
      </c>
      <c r="B782" t="s">
        <v>72</v>
      </c>
      <c r="C782" t="s">
        <v>443</v>
      </c>
      <c r="D782" t="str">
        <f t="shared" si="12"/>
        <v>Male</v>
      </c>
      <c r="E782" t="s">
        <v>9</v>
      </c>
      <c r="F782" s="2">
        <v>33</v>
      </c>
      <c r="G782" s="2" t="str" cm="1">
        <f t="array" ref="G782">_xlfn.IFS(F782&lt;=8,"Child",F782&lt;=17,"Teen",F782&lt;=35,"Adult",F782&lt;=55,"Seniour Adult",F782&gt;=55,"Old Age")</f>
        <v>Adult</v>
      </c>
      <c r="H782" t="s">
        <v>10</v>
      </c>
      <c r="I782" t="s">
        <v>19</v>
      </c>
      <c r="J782" t="str" cm="1">
        <f t="array" ref="J782">_xlfn.IFS(I782="S","Sauthamptonm",I782="Q","Queentown",I782="C","Cherburg",I782="B","Cabin")</f>
        <v>Cherburg</v>
      </c>
      <c r="K782" t="s">
        <v>63</v>
      </c>
      <c r="L782" s="2">
        <v>8.1309000000000005</v>
      </c>
      <c r="M782">
        <v>0</v>
      </c>
      <c r="N782">
        <v>0</v>
      </c>
      <c r="O782" t="s">
        <v>13</v>
      </c>
    </row>
    <row r="783" spans="1:15" x14ac:dyDescent="0.3">
      <c r="A783" s="1" t="s">
        <v>1556</v>
      </c>
      <c r="B783" t="s">
        <v>78</v>
      </c>
      <c r="C783" t="s">
        <v>1557</v>
      </c>
      <c r="D783" t="str">
        <f t="shared" si="12"/>
        <v>Female</v>
      </c>
      <c r="E783" t="s">
        <v>14</v>
      </c>
      <c r="F783" s="2">
        <v>24</v>
      </c>
      <c r="G783" s="2" t="str" cm="1">
        <f t="array" ref="G783">_xlfn.IFS(F783&lt;=8,"Child",F783&lt;=17,"Teen",F783&lt;=35,"Adult",F783&lt;=55,"Seniour Adult",F783&gt;=55,"Old Age")</f>
        <v>Adult</v>
      </c>
      <c r="H783" t="s">
        <v>10</v>
      </c>
      <c r="I783" t="s">
        <v>11</v>
      </c>
      <c r="J783" t="str" cm="1">
        <f t="array" ref="J783">_xlfn.IFS(I783="S","Sauthamptonm",I783="Q","Queentown",I783="C","Cherburg",I783="B","Cabin")</f>
        <v>Sauthamptonm</v>
      </c>
      <c r="K783" t="s">
        <v>15</v>
      </c>
      <c r="L783" s="2">
        <v>7.11</v>
      </c>
      <c r="M783">
        <v>0</v>
      </c>
      <c r="N783">
        <v>0</v>
      </c>
      <c r="O783" t="s">
        <v>16</v>
      </c>
    </row>
    <row r="784" spans="1:15" x14ac:dyDescent="0.3">
      <c r="A784" s="1" t="s">
        <v>1558</v>
      </c>
      <c r="B784" t="s">
        <v>72</v>
      </c>
      <c r="C784" t="s">
        <v>1559</v>
      </c>
      <c r="D784" t="str">
        <f t="shared" si="12"/>
        <v>Male</v>
      </c>
      <c r="E784" t="s">
        <v>9</v>
      </c>
      <c r="F784" s="2">
        <v>42</v>
      </c>
      <c r="G784" s="2" t="str" cm="1">
        <f t="array" ref="G784">_xlfn.IFS(F784&lt;=8,"Child",F784&lt;=17,"Teen",F784&lt;=35,"Adult",F784&lt;=55,"Seniour Adult",F784&gt;=55,"Old Age")</f>
        <v>Seniour Adult</v>
      </c>
      <c r="H784" t="s">
        <v>18</v>
      </c>
      <c r="I784" t="s">
        <v>19</v>
      </c>
      <c r="J784" t="str" cm="1">
        <f t="array" ref="J784">_xlfn.IFS(I784="S","Sauthamptonm",I784="Q","Queentown",I784="C","Cherburg",I784="B","Cabin")</f>
        <v>Cherburg</v>
      </c>
      <c r="K784" t="s">
        <v>12</v>
      </c>
      <c r="L784" s="2">
        <v>15</v>
      </c>
      <c r="M784">
        <v>0</v>
      </c>
      <c r="N784">
        <v>0</v>
      </c>
      <c r="O784" t="s">
        <v>13</v>
      </c>
    </row>
    <row r="785" spans="1:15" x14ac:dyDescent="0.3">
      <c r="A785" s="1" t="s">
        <v>1560</v>
      </c>
      <c r="B785" t="s">
        <v>72</v>
      </c>
      <c r="C785" t="s">
        <v>213</v>
      </c>
      <c r="D785" t="str">
        <f t="shared" si="12"/>
        <v>Male</v>
      </c>
      <c r="E785" t="s">
        <v>9</v>
      </c>
      <c r="F785" s="2">
        <v>62</v>
      </c>
      <c r="G785" s="2" t="str" cm="1">
        <f t="array" ref="G785">_xlfn.IFS(F785&lt;=8,"Child",F785&lt;=17,"Teen",F785&lt;=35,"Adult",F785&lt;=55,"Seniour Adult",F785&gt;=55,"Old Age")</f>
        <v>Old Age</v>
      </c>
      <c r="H785" t="s">
        <v>25</v>
      </c>
      <c r="I785" t="s">
        <v>11</v>
      </c>
      <c r="J785" t="str" cm="1">
        <f t="array" ref="J785">_xlfn.IFS(I785="S","Sauthamptonm",I785="Q","Queentown",I785="C","Cherburg",I785="B","Cabin")</f>
        <v>Sauthamptonm</v>
      </c>
      <c r="K785" t="s">
        <v>15</v>
      </c>
      <c r="L785" s="2">
        <v>26.11</v>
      </c>
      <c r="M785">
        <v>0</v>
      </c>
      <c r="N785">
        <v>0</v>
      </c>
      <c r="O785" t="s">
        <v>13</v>
      </c>
    </row>
    <row r="786" spans="1:15" x14ac:dyDescent="0.3">
      <c r="A786" s="1" t="s">
        <v>1561</v>
      </c>
      <c r="B786" t="s">
        <v>72</v>
      </c>
      <c r="C786" t="s">
        <v>1562</v>
      </c>
      <c r="D786" t="str">
        <f t="shared" si="12"/>
        <v>Male</v>
      </c>
      <c r="E786" t="s">
        <v>9</v>
      </c>
      <c r="F786" s="2">
        <v>54</v>
      </c>
      <c r="G786" s="2" t="str" cm="1">
        <f t="array" ref="G786">_xlfn.IFS(F786&lt;=8,"Child",F786&lt;=17,"Teen",F786&lt;=35,"Adult",F786&lt;=55,"Seniour Adult",F786&gt;=55,"Old Age")</f>
        <v>Seniour Adult</v>
      </c>
      <c r="H786" t="s">
        <v>25</v>
      </c>
      <c r="I786" t="s">
        <v>19</v>
      </c>
      <c r="J786" t="str" cm="1">
        <f t="array" ref="J786">_xlfn.IFS(I786="S","Sauthamptonm",I786="Q","Queentown",I786="C","Cherburg",I786="B","Cabin")</f>
        <v>Cherburg</v>
      </c>
      <c r="K786" t="s">
        <v>12</v>
      </c>
      <c r="L786" s="2">
        <v>55.081000000000003</v>
      </c>
      <c r="M786">
        <v>1</v>
      </c>
      <c r="N786">
        <v>0</v>
      </c>
      <c r="O786" t="s">
        <v>16</v>
      </c>
    </row>
    <row r="787" spans="1:15" x14ac:dyDescent="0.3">
      <c r="A787" s="1" t="s">
        <v>1563</v>
      </c>
      <c r="B787" t="s">
        <v>76</v>
      </c>
      <c r="C787" t="s">
        <v>1564</v>
      </c>
      <c r="D787" t="str">
        <f t="shared" si="12"/>
        <v>Female</v>
      </c>
      <c r="E787" t="s">
        <v>14</v>
      </c>
      <c r="F787" s="2">
        <v>52</v>
      </c>
      <c r="G787" s="2" t="str" cm="1">
        <f t="array" ref="G787">_xlfn.IFS(F787&lt;=8,"Child",F787&lt;=17,"Teen",F787&lt;=35,"Adult",F787&lt;=55,"Seniour Adult",F787&gt;=55,"Old Age")</f>
        <v>Seniour Adult</v>
      </c>
      <c r="H787" t="s">
        <v>25</v>
      </c>
      <c r="I787" t="s">
        <v>19</v>
      </c>
      <c r="J787" t="str" cm="1">
        <f t="array" ref="J787">_xlfn.IFS(I787="S","Sauthamptonm",I787="Q","Queentown",I787="C","Cherburg",I787="B","Cabin")</f>
        <v>Cherburg</v>
      </c>
      <c r="K787" t="s">
        <v>12</v>
      </c>
      <c r="L787" s="2">
        <v>78.050399999999996</v>
      </c>
      <c r="M787">
        <v>1</v>
      </c>
      <c r="N787">
        <v>0</v>
      </c>
      <c r="O787" t="s">
        <v>16</v>
      </c>
    </row>
    <row r="788" spans="1:15" x14ac:dyDescent="0.3">
      <c r="A788" s="1" t="s">
        <v>1565</v>
      </c>
      <c r="B788" t="s">
        <v>72</v>
      </c>
      <c r="C788" t="s">
        <v>1566</v>
      </c>
      <c r="D788" t="str">
        <f t="shared" si="12"/>
        <v>Male</v>
      </c>
      <c r="E788" t="s">
        <v>9</v>
      </c>
      <c r="F788" s="2">
        <v>64</v>
      </c>
      <c r="G788" s="2" t="str" cm="1">
        <f t="array" ref="G788">_xlfn.IFS(F788&lt;=8,"Child",F788&lt;=17,"Teen",F788&lt;=35,"Adult",F788&lt;=55,"Seniour Adult",F788&gt;=55,"Old Age")</f>
        <v>Old Age</v>
      </c>
      <c r="H788" t="s">
        <v>25</v>
      </c>
      <c r="I788" t="s">
        <v>19</v>
      </c>
      <c r="J788" t="str" cm="1">
        <f t="array" ref="J788">_xlfn.IFS(I788="S","Sauthamptonm",I788="Q","Queentown",I788="C","Cherburg",I788="B","Cabin")</f>
        <v>Cherburg</v>
      </c>
      <c r="K788" t="s">
        <v>12</v>
      </c>
      <c r="L788" s="2">
        <v>27.140499999999999</v>
      </c>
      <c r="M788">
        <v>0</v>
      </c>
      <c r="N788">
        <v>0</v>
      </c>
      <c r="O788" t="s">
        <v>13</v>
      </c>
    </row>
    <row r="789" spans="1:15" x14ac:dyDescent="0.3">
      <c r="A789" s="1" t="s">
        <v>1567</v>
      </c>
      <c r="B789" t="s">
        <v>72</v>
      </c>
      <c r="C789" t="s">
        <v>1568</v>
      </c>
      <c r="D789" t="str">
        <f t="shared" si="12"/>
        <v>Male</v>
      </c>
      <c r="E789" t="s">
        <v>9</v>
      </c>
      <c r="F789" s="2">
        <v>24</v>
      </c>
      <c r="G789" s="2" t="str" cm="1">
        <f t="array" ref="G789">_xlfn.IFS(F789&lt;=8,"Child",F789&lt;=17,"Teen",F789&lt;=35,"Adult",F789&lt;=55,"Seniour Adult",F789&gt;=55,"Old Age")</f>
        <v>Adult</v>
      </c>
      <c r="H789" t="s">
        <v>18</v>
      </c>
      <c r="I789" t="s">
        <v>11</v>
      </c>
      <c r="J789" t="str" cm="1">
        <f t="array" ref="J789">_xlfn.IFS(I789="S","Sauthamptonm",I789="Q","Queentown",I789="C","Cherburg",I789="B","Cabin")</f>
        <v>Sauthamptonm</v>
      </c>
      <c r="K789" t="s">
        <v>15</v>
      </c>
      <c r="L789" s="2">
        <v>10.1</v>
      </c>
      <c r="M789">
        <v>0</v>
      </c>
      <c r="N789">
        <v>0</v>
      </c>
      <c r="O789" t="s">
        <v>13</v>
      </c>
    </row>
    <row r="790" spans="1:15" x14ac:dyDescent="0.3">
      <c r="A790" s="1" t="s">
        <v>1569</v>
      </c>
      <c r="B790" t="s">
        <v>76</v>
      </c>
      <c r="C790" t="s">
        <v>1570</v>
      </c>
      <c r="D790" t="str">
        <f t="shared" si="12"/>
        <v>Female</v>
      </c>
      <c r="E790" t="s">
        <v>14</v>
      </c>
      <c r="F790" s="2">
        <v>61</v>
      </c>
      <c r="G790" s="2" t="str" cm="1">
        <f t="array" ref="G790">_xlfn.IFS(F790&lt;=8,"Child",F790&lt;=17,"Teen",F790&lt;=35,"Adult",F790&lt;=55,"Seniour Adult",F790&gt;=55,"Old Age")</f>
        <v>Old Age</v>
      </c>
      <c r="H790" t="s">
        <v>25</v>
      </c>
      <c r="I790" t="s">
        <v>11</v>
      </c>
      <c r="J790" t="str" cm="1">
        <f t="array" ref="J790">_xlfn.IFS(I790="S","Sauthamptonm",I790="Q","Queentown",I790="C","Cherburg",I790="B","Cabin")</f>
        <v>Sauthamptonm</v>
      </c>
      <c r="K790" t="s">
        <v>12</v>
      </c>
      <c r="L790" s="2">
        <v>80</v>
      </c>
      <c r="M790">
        <v>0</v>
      </c>
      <c r="N790">
        <v>0</v>
      </c>
      <c r="O790" t="s">
        <v>16</v>
      </c>
    </row>
    <row r="791" spans="1:15" x14ac:dyDescent="0.3">
      <c r="A791" s="1" t="s">
        <v>1571</v>
      </c>
      <c r="B791" t="s">
        <v>72</v>
      </c>
      <c r="C791" t="s">
        <v>128</v>
      </c>
      <c r="D791" t="str">
        <f t="shared" si="12"/>
        <v>Male</v>
      </c>
      <c r="E791" t="s">
        <v>9</v>
      </c>
      <c r="F791" s="2">
        <v>59</v>
      </c>
      <c r="G791" s="2" t="str" cm="1">
        <f t="array" ref="G791">_xlfn.IFS(F791&lt;=8,"Child",F791&lt;=17,"Teen",F791&lt;=35,"Adult",F791&lt;=55,"Seniour Adult",F791&gt;=55,"Old Age")</f>
        <v>Old Age</v>
      </c>
      <c r="H791" t="s">
        <v>10</v>
      </c>
      <c r="I791" t="s">
        <v>11</v>
      </c>
      <c r="J791" t="str" cm="1">
        <f t="array" ref="J791">_xlfn.IFS(I791="S","Sauthamptonm",I791="Q","Queentown",I791="C","Cherburg",I791="B","Cabin")</f>
        <v>Sauthamptonm</v>
      </c>
      <c r="K791" t="s">
        <v>15</v>
      </c>
      <c r="L791" s="2">
        <v>29</v>
      </c>
      <c r="M791">
        <v>0</v>
      </c>
      <c r="N791">
        <v>0</v>
      </c>
      <c r="O791" t="s">
        <v>13</v>
      </c>
    </row>
    <row r="792" spans="1:15" x14ac:dyDescent="0.3">
      <c r="A792" s="1" t="s">
        <v>1572</v>
      </c>
      <c r="B792" t="s">
        <v>72</v>
      </c>
      <c r="C792" t="s">
        <v>1573</v>
      </c>
      <c r="D792" t="str">
        <f t="shared" si="12"/>
        <v>Male</v>
      </c>
      <c r="E792" t="s">
        <v>9</v>
      </c>
      <c r="F792" s="2">
        <v>19</v>
      </c>
      <c r="G792" s="2" t="str" cm="1">
        <f t="array" ref="G792">_xlfn.IFS(F792&lt;=8,"Child",F792&lt;=17,"Teen",F792&lt;=35,"Adult",F792&lt;=55,"Seniour Adult",F792&gt;=55,"Old Age")</f>
        <v>Adult</v>
      </c>
      <c r="H792" t="s">
        <v>10</v>
      </c>
      <c r="I792" t="s">
        <v>11</v>
      </c>
      <c r="J792" t="str" cm="1">
        <f t="array" ref="J792">_xlfn.IFS(I792="S","Sauthamptonm",I792="Q","Queentown",I792="C","Cherburg",I792="B","Cabin")</f>
        <v>Sauthamptonm</v>
      </c>
      <c r="K792" t="s">
        <v>31</v>
      </c>
      <c r="L792" s="2">
        <v>7.1711</v>
      </c>
      <c r="M792">
        <v>0</v>
      </c>
      <c r="N792">
        <v>0</v>
      </c>
      <c r="O792" t="s">
        <v>13</v>
      </c>
    </row>
    <row r="793" spans="1:15" x14ac:dyDescent="0.3">
      <c r="A793" s="1" t="s">
        <v>1574</v>
      </c>
      <c r="B793" t="s">
        <v>78</v>
      </c>
      <c r="C793" t="s">
        <v>1575</v>
      </c>
      <c r="D793" t="str">
        <f t="shared" si="12"/>
        <v>Female</v>
      </c>
      <c r="E793" t="s">
        <v>14</v>
      </c>
      <c r="F793" s="2">
        <v>22</v>
      </c>
      <c r="G793" s="2" t="str" cm="1">
        <f t="array" ref="G793">_xlfn.IFS(F793&lt;=8,"Child",F793&lt;=17,"Teen",F793&lt;=35,"Adult",F793&lt;=55,"Seniour Adult",F793&gt;=55,"Old Age")</f>
        <v>Adult</v>
      </c>
      <c r="H793" t="s">
        <v>10</v>
      </c>
      <c r="I793" t="s">
        <v>11</v>
      </c>
      <c r="J793" t="str" cm="1">
        <f t="array" ref="J793">_xlfn.IFS(I793="S","Sauthamptonm",I793="Q","Queentown",I793="C","Cherburg",I793="B","Cabin")</f>
        <v>Sauthamptonm</v>
      </c>
      <c r="K793" t="s">
        <v>22</v>
      </c>
      <c r="L793" s="2">
        <v>9.1608999999999998</v>
      </c>
      <c r="M793">
        <v>0</v>
      </c>
      <c r="N793">
        <v>0</v>
      </c>
      <c r="O793" t="s">
        <v>13</v>
      </c>
    </row>
    <row r="794" spans="1:15" x14ac:dyDescent="0.3">
      <c r="A794" s="1" t="s">
        <v>1576</v>
      </c>
      <c r="B794" t="s">
        <v>72</v>
      </c>
      <c r="C794" t="s">
        <v>1577</v>
      </c>
      <c r="D794" t="str">
        <f t="shared" si="12"/>
        <v>Male</v>
      </c>
      <c r="E794" t="s">
        <v>9</v>
      </c>
      <c r="F794" s="2">
        <v>30</v>
      </c>
      <c r="G794" s="2" t="str" cm="1">
        <f t="array" ref="G794">_xlfn.IFS(F794&lt;=8,"Child",F794&lt;=17,"Teen",F794&lt;=35,"Adult",F794&lt;=55,"Seniour Adult",F794&gt;=55,"Old Age")</f>
        <v>Adult</v>
      </c>
      <c r="H794" t="s">
        <v>10</v>
      </c>
      <c r="I794" t="s">
        <v>11</v>
      </c>
      <c r="J794" t="str" cm="1">
        <f t="array" ref="J794">_xlfn.IFS(I794="S","Sauthamptonm",I794="Q","Queentown",I794="C","Cherburg",I794="B","Cabin")</f>
        <v>Sauthamptonm</v>
      </c>
      <c r="K794" t="s">
        <v>22</v>
      </c>
      <c r="L794" s="2">
        <v>7.1806000000000001</v>
      </c>
      <c r="M794">
        <v>0</v>
      </c>
      <c r="N794">
        <v>0</v>
      </c>
      <c r="O794" t="s">
        <v>16</v>
      </c>
    </row>
    <row r="795" spans="1:15" x14ac:dyDescent="0.3">
      <c r="A795" s="1" t="s">
        <v>1578</v>
      </c>
      <c r="B795" t="s">
        <v>72</v>
      </c>
      <c r="C795" t="s">
        <v>1579</v>
      </c>
      <c r="D795" t="str">
        <f t="shared" si="12"/>
        <v>Male</v>
      </c>
      <c r="E795" t="s">
        <v>9</v>
      </c>
      <c r="F795" s="2">
        <v>67</v>
      </c>
      <c r="G795" s="2" t="str" cm="1">
        <f t="array" ref="G795">_xlfn.IFS(F795&lt;=8,"Child",F795&lt;=17,"Teen",F795&lt;=35,"Adult",F795&lt;=55,"Seniour Adult",F795&gt;=55,"Old Age")</f>
        <v>Old Age</v>
      </c>
      <c r="H795" t="s">
        <v>25</v>
      </c>
      <c r="I795" t="s">
        <v>11</v>
      </c>
      <c r="J795" t="str" cm="1">
        <f t="array" ref="J795">_xlfn.IFS(I795="S","Sauthamptonm",I795="Q","Queentown",I795="C","Cherburg",I795="B","Cabin")</f>
        <v>Sauthamptonm</v>
      </c>
      <c r="K795" t="s">
        <v>12</v>
      </c>
      <c r="L795" s="2">
        <v>221.1507</v>
      </c>
      <c r="M795">
        <v>1</v>
      </c>
      <c r="N795">
        <v>0</v>
      </c>
      <c r="O795" t="s">
        <v>13</v>
      </c>
    </row>
    <row r="796" spans="1:15" x14ac:dyDescent="0.3">
      <c r="A796" s="1" t="s">
        <v>1580</v>
      </c>
      <c r="B796" t="s">
        <v>72</v>
      </c>
      <c r="C796" t="s">
        <v>443</v>
      </c>
      <c r="D796" t="str">
        <f t="shared" si="12"/>
        <v>Male</v>
      </c>
      <c r="E796" t="s">
        <v>9</v>
      </c>
      <c r="F796" s="2">
        <v>27</v>
      </c>
      <c r="G796" s="2" t="str" cm="1">
        <f t="array" ref="G796">_xlfn.IFS(F796&lt;=8,"Child",F796&lt;=17,"Teen",F796&lt;=35,"Adult",F796&lt;=55,"Seniour Adult",F796&gt;=55,"Old Age")</f>
        <v>Adult</v>
      </c>
      <c r="H796" t="s">
        <v>10</v>
      </c>
      <c r="I796" t="s">
        <v>11</v>
      </c>
      <c r="J796" t="str" cm="1">
        <f t="array" ref="J796">_xlfn.IFS(I796="S","Sauthamptonm",I796="Q","Queentown",I796="C","Cherburg",I796="B","Cabin")</f>
        <v>Sauthamptonm</v>
      </c>
      <c r="K796" t="s">
        <v>63</v>
      </c>
      <c r="L796" s="2">
        <v>8.1303000000000001</v>
      </c>
      <c r="M796">
        <v>0</v>
      </c>
      <c r="N796">
        <v>0</v>
      </c>
      <c r="O796" t="s">
        <v>13</v>
      </c>
    </row>
    <row r="797" spans="1:15" x14ac:dyDescent="0.3">
      <c r="A797" s="1" t="s">
        <v>1581</v>
      </c>
      <c r="B797" t="s">
        <v>78</v>
      </c>
      <c r="C797" t="s">
        <v>1582</v>
      </c>
      <c r="D797" t="str">
        <f t="shared" si="12"/>
        <v>Female</v>
      </c>
      <c r="E797" t="s">
        <v>14</v>
      </c>
      <c r="F797" s="2">
        <v>2</v>
      </c>
      <c r="G797" s="2" t="str" cm="1">
        <f t="array" ref="G797">_xlfn.IFS(F797&lt;=8,"Child",F797&lt;=17,"Teen",F797&lt;=35,"Adult",F797&lt;=55,"Seniour Adult",F797&gt;=55,"Old Age")</f>
        <v>Child</v>
      </c>
      <c r="H797" t="s">
        <v>10</v>
      </c>
      <c r="I797" t="s">
        <v>11</v>
      </c>
      <c r="J797" t="str" cm="1">
        <f t="array" ref="J797">_xlfn.IFS(I797="S","Sauthamptonm",I797="Q","Queentown",I797="C","Cherburg",I797="B","Cabin")</f>
        <v>Sauthamptonm</v>
      </c>
      <c r="K797" t="s">
        <v>12</v>
      </c>
      <c r="L797" s="2">
        <v>10.090299999999999</v>
      </c>
      <c r="M797">
        <v>0</v>
      </c>
      <c r="N797">
        <v>1</v>
      </c>
      <c r="O797" t="s">
        <v>13</v>
      </c>
    </row>
    <row r="798" spans="1:15" x14ac:dyDescent="0.3">
      <c r="A798" s="1" t="s">
        <v>1583</v>
      </c>
      <c r="B798" t="s">
        <v>72</v>
      </c>
      <c r="C798" t="s">
        <v>1584</v>
      </c>
      <c r="D798" t="str">
        <f t="shared" si="12"/>
        <v>Male</v>
      </c>
      <c r="E798" t="s">
        <v>9</v>
      </c>
      <c r="F798" s="2">
        <v>20</v>
      </c>
      <c r="G798" s="2" t="str" cm="1">
        <f t="array" ref="G798">_xlfn.IFS(F798&lt;=8,"Child",F798&lt;=17,"Teen",F798&lt;=35,"Adult",F798&lt;=55,"Seniour Adult",F798&gt;=55,"Old Age")</f>
        <v>Adult</v>
      </c>
      <c r="H798" t="s">
        <v>10</v>
      </c>
      <c r="I798" t="s">
        <v>11</v>
      </c>
      <c r="J798" t="str" cm="1">
        <f t="array" ref="J798">_xlfn.IFS(I798="S","Sauthamptonm",I798="Q","Queentown",I798="C","Cherburg",I798="B","Cabin")</f>
        <v>Sauthamptonm</v>
      </c>
      <c r="K798" t="s">
        <v>15</v>
      </c>
      <c r="L798" s="2">
        <v>8.01</v>
      </c>
      <c r="M798">
        <v>0</v>
      </c>
      <c r="N798">
        <v>0</v>
      </c>
      <c r="O798" t="s">
        <v>16</v>
      </c>
    </row>
    <row r="799" spans="1:15" x14ac:dyDescent="0.3">
      <c r="A799" s="1" t="s">
        <v>1585</v>
      </c>
      <c r="B799" t="s">
        <v>72</v>
      </c>
      <c r="C799" t="s">
        <v>1586</v>
      </c>
      <c r="D799" t="str">
        <f t="shared" si="12"/>
        <v>Male</v>
      </c>
      <c r="E799" t="s">
        <v>9</v>
      </c>
      <c r="F799" s="2">
        <v>44</v>
      </c>
      <c r="G799" s="2" t="str" cm="1">
        <f t="array" ref="G799">_xlfn.IFS(F799&lt;=8,"Child",F799&lt;=17,"Teen",F799&lt;=35,"Adult",F799&lt;=55,"Seniour Adult",F799&gt;=55,"Old Age")</f>
        <v>Seniour Adult</v>
      </c>
      <c r="H799" t="s">
        <v>10</v>
      </c>
      <c r="I799" t="s">
        <v>11</v>
      </c>
      <c r="J799" t="str" cm="1">
        <f t="array" ref="J799">_xlfn.IFS(I799="S","Sauthamptonm",I799="Q","Queentown",I799="C","Cherburg",I799="B","Cabin")</f>
        <v>Sauthamptonm</v>
      </c>
      <c r="K799" t="s">
        <v>22</v>
      </c>
      <c r="L799" s="2">
        <v>7.1806000000000001</v>
      </c>
      <c r="M799">
        <v>0</v>
      </c>
      <c r="N799">
        <v>0</v>
      </c>
      <c r="O799" t="s">
        <v>16</v>
      </c>
    </row>
    <row r="800" spans="1:15" x14ac:dyDescent="0.3">
      <c r="A800" s="1" t="s">
        <v>1587</v>
      </c>
      <c r="B800" t="s">
        <v>72</v>
      </c>
      <c r="C800" t="s">
        <v>1588</v>
      </c>
      <c r="D800" t="str">
        <f t="shared" si="12"/>
        <v>Male</v>
      </c>
      <c r="E800" t="s">
        <v>9</v>
      </c>
      <c r="F800" s="2">
        <v>25</v>
      </c>
      <c r="G800" s="2" t="str" cm="1">
        <f t="array" ref="G800">_xlfn.IFS(F800&lt;=8,"Child",F800&lt;=17,"Teen",F800&lt;=35,"Adult",F800&lt;=55,"Seniour Adult",F800&gt;=55,"Old Age")</f>
        <v>Adult</v>
      </c>
      <c r="H800" t="s">
        <v>10</v>
      </c>
      <c r="I800" t="s">
        <v>11</v>
      </c>
      <c r="J800" t="str" cm="1">
        <f t="array" ref="J800">_xlfn.IFS(I800="S","Sauthamptonm",I800="Q","Queentown",I800="C","Cherburg",I800="B","Cabin")</f>
        <v>Sauthamptonm</v>
      </c>
      <c r="K800" t="s">
        <v>15</v>
      </c>
      <c r="L800" s="2">
        <v>7.01</v>
      </c>
      <c r="M800">
        <v>0</v>
      </c>
      <c r="N800">
        <v>0</v>
      </c>
      <c r="O800" t="s">
        <v>13</v>
      </c>
    </row>
    <row r="801" spans="1:15" x14ac:dyDescent="0.3">
      <c r="A801" s="1" t="s">
        <v>1589</v>
      </c>
      <c r="B801" t="s">
        <v>72</v>
      </c>
      <c r="C801" t="s">
        <v>1442</v>
      </c>
      <c r="D801" t="str">
        <f t="shared" si="12"/>
        <v>Male</v>
      </c>
      <c r="E801" t="s">
        <v>9</v>
      </c>
      <c r="F801" s="2">
        <v>61</v>
      </c>
      <c r="G801" s="2" t="str" cm="1">
        <f t="array" ref="G801">_xlfn.IFS(F801&lt;=8,"Child",F801&lt;=17,"Teen",F801&lt;=35,"Adult",F801&lt;=55,"Seniour Adult",F801&gt;=55,"Old Age")</f>
        <v>Old Age</v>
      </c>
      <c r="H801" t="s">
        <v>25</v>
      </c>
      <c r="I801" t="s">
        <v>11</v>
      </c>
      <c r="J801" t="str" cm="1">
        <f t="array" ref="J801">_xlfn.IFS(I801="S","Sauthamptonm",I801="Q","Queentown",I801="C","Cherburg",I801="B","Cabin")</f>
        <v>Sauthamptonm</v>
      </c>
      <c r="K801" t="s">
        <v>15</v>
      </c>
      <c r="L801" s="2">
        <v>32.060499999999998</v>
      </c>
      <c r="M801">
        <v>0</v>
      </c>
      <c r="N801">
        <v>0</v>
      </c>
      <c r="O801" t="s">
        <v>13</v>
      </c>
    </row>
    <row r="802" spans="1:15" x14ac:dyDescent="0.3">
      <c r="A802" s="1" t="s">
        <v>1590</v>
      </c>
      <c r="B802" t="s">
        <v>72</v>
      </c>
      <c r="C802" t="s">
        <v>1591</v>
      </c>
      <c r="D802" t="str">
        <f t="shared" si="12"/>
        <v>Male</v>
      </c>
      <c r="E802" t="s">
        <v>9</v>
      </c>
      <c r="F802" s="2">
        <v>74</v>
      </c>
      <c r="G802" s="2" t="str" cm="1">
        <f t="array" ref="G802">_xlfn.IFS(F802&lt;=8,"Child",F802&lt;=17,"Teen",F802&lt;=35,"Adult",F802&lt;=55,"Seniour Adult",F802&gt;=55,"Old Age")</f>
        <v>Old Age</v>
      </c>
      <c r="H802" t="s">
        <v>10</v>
      </c>
      <c r="I802" t="s">
        <v>11</v>
      </c>
      <c r="J802" t="str" cm="1">
        <f t="array" ref="J802">_xlfn.IFS(I802="S","Sauthamptonm",I802="Q","Queentown",I802="C","Cherburg",I802="B","Cabin")</f>
        <v>Sauthamptonm</v>
      </c>
      <c r="K802" t="s">
        <v>23</v>
      </c>
      <c r="L802" s="2">
        <v>7.1505999999999998</v>
      </c>
      <c r="M802">
        <v>0</v>
      </c>
      <c r="N802">
        <v>0</v>
      </c>
      <c r="O802" t="s">
        <v>13</v>
      </c>
    </row>
    <row r="803" spans="1:15" x14ac:dyDescent="0.3">
      <c r="A803" s="1" t="s">
        <v>1592</v>
      </c>
      <c r="B803" t="s">
        <v>72</v>
      </c>
      <c r="C803" t="s">
        <v>698</v>
      </c>
      <c r="D803" t="str">
        <f t="shared" si="12"/>
        <v>Male</v>
      </c>
      <c r="E803" t="s">
        <v>9</v>
      </c>
      <c r="F803" s="2">
        <v>19</v>
      </c>
      <c r="G803" s="2" t="str" cm="1">
        <f t="array" ref="G803">_xlfn.IFS(F803&lt;=8,"Child",F803&lt;=17,"Teen",F803&lt;=35,"Adult",F803&lt;=55,"Seniour Adult",F803&gt;=55,"Old Age")</f>
        <v>Adult</v>
      </c>
      <c r="H803" t="s">
        <v>18</v>
      </c>
      <c r="I803" t="s">
        <v>11</v>
      </c>
      <c r="J803" t="str" cm="1">
        <f t="array" ref="J803">_xlfn.IFS(I803="S","Sauthamptonm",I803="Q","Queentown",I803="C","Cherburg",I803="B","Cabin")</f>
        <v>Sauthamptonm</v>
      </c>
      <c r="K803" t="s">
        <v>15</v>
      </c>
      <c r="L803" s="2">
        <v>13</v>
      </c>
      <c r="M803">
        <v>0</v>
      </c>
      <c r="N803">
        <v>0</v>
      </c>
      <c r="O803" t="s">
        <v>13</v>
      </c>
    </row>
    <row r="804" spans="1:15" x14ac:dyDescent="0.3">
      <c r="A804" s="1" t="s">
        <v>1593</v>
      </c>
      <c r="B804" t="s">
        <v>72</v>
      </c>
      <c r="C804" t="s">
        <v>1594</v>
      </c>
      <c r="D804" t="str">
        <f t="shared" si="12"/>
        <v>Male</v>
      </c>
      <c r="E804" t="s">
        <v>9</v>
      </c>
      <c r="F804" s="2">
        <v>14</v>
      </c>
      <c r="G804" s="2" t="str" cm="1">
        <f t="array" ref="G804">_xlfn.IFS(F804&lt;=8,"Child",F804&lt;=17,"Teen",F804&lt;=35,"Adult",F804&lt;=55,"Seniour Adult",F804&gt;=55,"Old Age")</f>
        <v>Teen</v>
      </c>
      <c r="H804" t="s">
        <v>18</v>
      </c>
      <c r="I804" t="s">
        <v>11</v>
      </c>
      <c r="J804" t="str" cm="1">
        <f t="array" ref="J804">_xlfn.IFS(I804="S","Sauthamptonm",I804="Q","Queentown",I804="C","Cherburg",I804="B","Cabin")</f>
        <v>Sauthamptonm</v>
      </c>
      <c r="K804" t="s">
        <v>15</v>
      </c>
      <c r="L804" s="2">
        <v>65</v>
      </c>
      <c r="M804">
        <v>0</v>
      </c>
      <c r="N804">
        <v>0</v>
      </c>
      <c r="O804" t="s">
        <v>13</v>
      </c>
    </row>
    <row r="805" spans="1:15" x14ac:dyDescent="0.3">
      <c r="A805" s="1" t="s">
        <v>1595</v>
      </c>
      <c r="B805" t="s">
        <v>76</v>
      </c>
      <c r="C805" t="s">
        <v>1596</v>
      </c>
      <c r="D805" t="str">
        <f t="shared" si="12"/>
        <v>Female</v>
      </c>
      <c r="E805" t="s">
        <v>14</v>
      </c>
      <c r="F805" s="2">
        <v>46</v>
      </c>
      <c r="G805" s="2" t="str" cm="1">
        <f t="array" ref="G805">_xlfn.IFS(F805&lt;=8,"Child",F805&lt;=17,"Teen",F805&lt;=35,"Adult",F805&lt;=55,"Seniour Adult",F805&gt;=55,"Old Age")</f>
        <v>Seniour Adult</v>
      </c>
      <c r="H805" t="s">
        <v>25</v>
      </c>
      <c r="I805" t="s">
        <v>11</v>
      </c>
      <c r="J805" t="str" cm="1">
        <f t="array" ref="J805">_xlfn.IFS(I805="S","Sauthamptonm",I805="Q","Queentown",I805="C","Cherburg",I805="B","Cabin")</f>
        <v>Sauthamptonm</v>
      </c>
      <c r="K805" t="s">
        <v>12</v>
      </c>
      <c r="L805" s="2">
        <v>25.180700000000002</v>
      </c>
      <c r="M805">
        <v>0</v>
      </c>
      <c r="N805">
        <v>0</v>
      </c>
      <c r="O805" t="s">
        <v>16</v>
      </c>
    </row>
    <row r="806" spans="1:15" x14ac:dyDescent="0.3">
      <c r="A806" s="1" t="s">
        <v>1597</v>
      </c>
      <c r="B806" t="s">
        <v>94</v>
      </c>
      <c r="C806" t="s">
        <v>1598</v>
      </c>
      <c r="D806" t="str">
        <f t="shared" si="12"/>
        <v>Male</v>
      </c>
      <c r="E806" t="s">
        <v>9</v>
      </c>
      <c r="F806" s="2">
        <v>1</v>
      </c>
      <c r="G806" s="2" t="str" cm="1">
        <f t="array" ref="G806">_xlfn.IFS(F806&lt;=8,"Child",F806&lt;=17,"Teen",F806&lt;=35,"Adult",F806&lt;=55,"Seniour Adult",F806&gt;=55,"Old Age")</f>
        <v>Child</v>
      </c>
      <c r="H806" t="s">
        <v>10</v>
      </c>
      <c r="I806" t="s">
        <v>19</v>
      </c>
      <c r="J806" t="str" cm="1">
        <f t="array" ref="J806">_xlfn.IFS(I806="S","Sauthamptonm",I806="Q","Queentown",I806="C","Cherburg",I806="B","Cabin")</f>
        <v>Cherburg</v>
      </c>
      <c r="K806" t="s">
        <v>21</v>
      </c>
      <c r="L806" s="2">
        <v>8.1004000000000005</v>
      </c>
      <c r="M806">
        <v>0</v>
      </c>
      <c r="N806">
        <v>1</v>
      </c>
      <c r="O806" t="s">
        <v>16</v>
      </c>
    </row>
    <row r="807" spans="1:15" x14ac:dyDescent="0.3">
      <c r="A807" s="1" t="s">
        <v>1599</v>
      </c>
      <c r="B807" t="s">
        <v>78</v>
      </c>
      <c r="C807" t="s">
        <v>528</v>
      </c>
      <c r="D807" t="str">
        <f t="shared" si="12"/>
        <v>Female</v>
      </c>
      <c r="E807" t="s">
        <v>14</v>
      </c>
      <c r="F807" s="2">
        <v>18</v>
      </c>
      <c r="G807" s="2" t="str" cm="1">
        <f t="array" ref="G807">_xlfn.IFS(F807&lt;=8,"Child",F807&lt;=17,"Teen",F807&lt;=35,"Adult",F807&lt;=55,"Seniour Adult",F807&gt;=55,"Old Age")</f>
        <v>Adult</v>
      </c>
      <c r="H807" t="s">
        <v>25</v>
      </c>
      <c r="I807" t="s">
        <v>11</v>
      </c>
      <c r="J807" t="str" cm="1">
        <f t="array" ref="J807">_xlfn.IFS(I807="S","Sauthamptonm",I807="Q","Queentown",I807="C","Cherburg",I807="B","Cabin")</f>
        <v>Sauthamptonm</v>
      </c>
      <c r="K807" t="s">
        <v>12</v>
      </c>
      <c r="L807" s="2">
        <v>79.13</v>
      </c>
      <c r="M807">
        <v>0</v>
      </c>
      <c r="N807">
        <v>2</v>
      </c>
      <c r="O807" t="s">
        <v>16</v>
      </c>
    </row>
    <row r="808" spans="1:15" x14ac:dyDescent="0.3">
      <c r="A808" s="1" t="s">
        <v>1600</v>
      </c>
      <c r="B808" t="s">
        <v>72</v>
      </c>
      <c r="C808" t="s">
        <v>1601</v>
      </c>
      <c r="D808" t="str">
        <f t="shared" si="12"/>
        <v>Male</v>
      </c>
      <c r="E808" t="s">
        <v>9</v>
      </c>
      <c r="F808" s="2">
        <v>48</v>
      </c>
      <c r="G808" s="2" t="str" cm="1">
        <f t="array" ref="G808">_xlfn.IFS(F808&lt;=8,"Child",F808&lt;=17,"Teen",F808&lt;=35,"Adult",F808&lt;=55,"Seniour Adult",F808&gt;=55,"Old Age")</f>
        <v>Seniour Adult</v>
      </c>
      <c r="H808" t="s">
        <v>25</v>
      </c>
      <c r="I808" t="s">
        <v>11</v>
      </c>
      <c r="J808" t="str" cm="1">
        <f t="array" ref="J808">_xlfn.IFS(I808="S","Sauthamptonm",I808="Q","Queentown",I808="C","Cherburg",I808="B","Cabin")</f>
        <v>Sauthamptonm</v>
      </c>
      <c r="K808" t="s">
        <v>12</v>
      </c>
      <c r="L808" s="2">
        <v>52</v>
      </c>
      <c r="M808">
        <v>1</v>
      </c>
      <c r="N808">
        <v>0</v>
      </c>
      <c r="O808" t="s">
        <v>16</v>
      </c>
    </row>
    <row r="809" spans="1:15" x14ac:dyDescent="0.3">
      <c r="A809" s="1" t="s">
        <v>1602</v>
      </c>
      <c r="B809" t="s">
        <v>72</v>
      </c>
      <c r="C809" t="s">
        <v>1603</v>
      </c>
      <c r="D809" t="str">
        <f t="shared" si="12"/>
        <v>Male</v>
      </c>
      <c r="E809" t="s">
        <v>9</v>
      </c>
      <c r="F809" s="2">
        <v>25</v>
      </c>
      <c r="G809" s="2" t="str" cm="1">
        <f t="array" ref="G809">_xlfn.IFS(F809&lt;=8,"Child",F809&lt;=17,"Teen",F809&lt;=35,"Adult",F809&lt;=55,"Seniour Adult",F809&gt;=55,"Old Age")</f>
        <v>Adult</v>
      </c>
      <c r="H809" t="s">
        <v>10</v>
      </c>
      <c r="I809" t="s">
        <v>11</v>
      </c>
      <c r="J809" t="str" cm="1">
        <f t="array" ref="J809">_xlfn.IFS(I809="S","Sauthamptonm",I809="Q","Queentown",I809="C","Cherburg",I809="B","Cabin")</f>
        <v>Sauthamptonm</v>
      </c>
      <c r="K809" t="s">
        <v>23</v>
      </c>
      <c r="L809" s="2">
        <v>7.1510999999999996</v>
      </c>
      <c r="M809">
        <v>0</v>
      </c>
      <c r="N809">
        <v>0</v>
      </c>
      <c r="O809" t="s">
        <v>16</v>
      </c>
    </row>
    <row r="810" spans="1:15" x14ac:dyDescent="0.3">
      <c r="A810" s="1" t="s">
        <v>1604</v>
      </c>
      <c r="B810" t="s">
        <v>72</v>
      </c>
      <c r="C810" t="s">
        <v>1605</v>
      </c>
      <c r="D810" t="str">
        <f t="shared" si="12"/>
        <v>Male</v>
      </c>
      <c r="E810" t="s">
        <v>9</v>
      </c>
      <c r="F810" s="2">
        <v>49</v>
      </c>
      <c r="G810" s="2" t="str" cm="1">
        <f t="array" ref="G810">_xlfn.IFS(F810&lt;=8,"Child",F810&lt;=17,"Teen",F810&lt;=35,"Adult",F810&lt;=55,"Seniour Adult",F810&gt;=55,"Old Age")</f>
        <v>Seniour Adult</v>
      </c>
      <c r="H810" t="s">
        <v>25</v>
      </c>
      <c r="I810" t="s">
        <v>19</v>
      </c>
      <c r="J810" t="str" cm="1">
        <f t="array" ref="J810">_xlfn.IFS(I810="S","Sauthamptonm",I810="Q","Queentown",I810="C","Cherburg",I810="B","Cabin")</f>
        <v>Cherburg</v>
      </c>
      <c r="K810" t="s">
        <v>12</v>
      </c>
      <c r="L810" s="2">
        <v>110.1708</v>
      </c>
      <c r="M810">
        <v>1</v>
      </c>
      <c r="N810">
        <v>1</v>
      </c>
      <c r="O810" t="s">
        <v>13</v>
      </c>
    </row>
    <row r="811" spans="1:15" x14ac:dyDescent="0.3">
      <c r="A811" s="1" t="s">
        <v>1606</v>
      </c>
      <c r="B811" t="s">
        <v>72</v>
      </c>
      <c r="C811" t="s">
        <v>1607</v>
      </c>
      <c r="D811" t="str">
        <f t="shared" si="12"/>
        <v>Male</v>
      </c>
      <c r="E811" t="s">
        <v>9</v>
      </c>
      <c r="F811" s="2">
        <v>34</v>
      </c>
      <c r="G811" s="2" t="str" cm="1">
        <f t="array" ref="G811">_xlfn.IFS(F811&lt;=8,"Child",F811&lt;=17,"Teen",F811&lt;=35,"Adult",F811&lt;=55,"Seniour Adult",F811&gt;=55,"Old Age")</f>
        <v>Adult</v>
      </c>
      <c r="H811" t="s">
        <v>10</v>
      </c>
      <c r="I811" t="s">
        <v>11</v>
      </c>
      <c r="J811" t="str" cm="1">
        <f t="array" ref="J811">_xlfn.IFS(I811="S","Sauthamptonm",I811="Q","Queentown",I811="C","Cherburg",I811="B","Cabin")</f>
        <v>Sauthamptonm</v>
      </c>
      <c r="K811" t="s">
        <v>15</v>
      </c>
      <c r="L811" s="2">
        <v>8.01</v>
      </c>
      <c r="M811">
        <v>0</v>
      </c>
      <c r="N811">
        <v>0</v>
      </c>
      <c r="O811" t="s">
        <v>13</v>
      </c>
    </row>
    <row r="812" spans="1:15" x14ac:dyDescent="0.3">
      <c r="A812" s="1" t="s">
        <v>1608</v>
      </c>
      <c r="B812" t="s">
        <v>72</v>
      </c>
      <c r="C812" t="s">
        <v>90</v>
      </c>
      <c r="D812" t="str">
        <f t="shared" si="12"/>
        <v>Male</v>
      </c>
      <c r="E812" t="s">
        <v>9</v>
      </c>
      <c r="F812" s="2">
        <v>34</v>
      </c>
      <c r="G812" s="2" t="str" cm="1">
        <f t="array" ref="G812">_xlfn.IFS(F812&lt;=8,"Child",F812&lt;=17,"Teen",F812&lt;=35,"Adult",F812&lt;=55,"Seniour Adult",F812&gt;=55,"Old Age")</f>
        <v>Adult</v>
      </c>
      <c r="H812" t="s">
        <v>10</v>
      </c>
      <c r="I812" t="s">
        <v>19</v>
      </c>
      <c r="J812" t="str" cm="1">
        <f t="array" ref="J812">_xlfn.IFS(I812="S","Sauthamptonm",I812="Q","Queentown",I812="C","Cherburg",I812="B","Cabin")</f>
        <v>Cherburg</v>
      </c>
      <c r="K812" t="s">
        <v>15</v>
      </c>
      <c r="L812" s="2">
        <v>6.0808999999999997</v>
      </c>
      <c r="M812">
        <v>0</v>
      </c>
      <c r="N812">
        <v>0</v>
      </c>
      <c r="O812" t="s">
        <v>13</v>
      </c>
    </row>
    <row r="813" spans="1:15" x14ac:dyDescent="0.3">
      <c r="A813" s="1" t="s">
        <v>1609</v>
      </c>
      <c r="B813" t="s">
        <v>72</v>
      </c>
      <c r="C813" t="s">
        <v>1610</v>
      </c>
      <c r="D813" t="str">
        <f t="shared" si="12"/>
        <v>Male</v>
      </c>
      <c r="E813" t="s">
        <v>9</v>
      </c>
      <c r="F813" s="2">
        <v>37</v>
      </c>
      <c r="G813" s="2" t="str" cm="1">
        <f t="array" ref="G813">_xlfn.IFS(F813&lt;=8,"Child",F813&lt;=17,"Teen",F813&lt;=35,"Adult",F813&lt;=55,"Seniour Adult",F813&gt;=55,"Old Age")</f>
        <v>Seniour Adult</v>
      </c>
      <c r="H813" t="s">
        <v>10</v>
      </c>
      <c r="I813" t="s">
        <v>11</v>
      </c>
      <c r="J813" t="str" cm="1">
        <f t="array" ref="J813">_xlfn.IFS(I813="S","Sauthamptonm",I813="Q","Queentown",I813="C","Cherburg",I813="B","Cabin")</f>
        <v>Sauthamptonm</v>
      </c>
      <c r="K813" t="s">
        <v>43</v>
      </c>
      <c r="L813" s="2">
        <v>8.01</v>
      </c>
      <c r="M813">
        <v>0</v>
      </c>
      <c r="N813">
        <v>0</v>
      </c>
      <c r="O813" t="s">
        <v>13</v>
      </c>
    </row>
    <row r="814" spans="1:15" x14ac:dyDescent="0.3">
      <c r="A814" s="1" t="s">
        <v>1611</v>
      </c>
      <c r="B814" t="s">
        <v>78</v>
      </c>
      <c r="C814" t="s">
        <v>1612</v>
      </c>
      <c r="D814" t="str">
        <f t="shared" si="12"/>
        <v>Female</v>
      </c>
      <c r="E814" t="s">
        <v>14</v>
      </c>
      <c r="F814" s="2">
        <v>38</v>
      </c>
      <c r="G814" s="2" t="str" cm="1">
        <f t="array" ref="G814">_xlfn.IFS(F814&lt;=8,"Child",F814&lt;=17,"Teen",F814&lt;=35,"Adult",F814&lt;=55,"Seniour Adult",F814&gt;=55,"Old Age")</f>
        <v>Seniour Adult</v>
      </c>
      <c r="H814" t="s">
        <v>25</v>
      </c>
      <c r="I814" t="s">
        <v>19</v>
      </c>
      <c r="J814" t="str" cm="1">
        <f t="array" ref="J814">_xlfn.IFS(I814="S","Sauthamptonm",I814="Q","Queentown",I814="C","Cherburg",I814="B","Cabin")</f>
        <v>Cherburg</v>
      </c>
      <c r="K814" t="s">
        <v>12</v>
      </c>
      <c r="L814" s="2">
        <v>80</v>
      </c>
      <c r="M814">
        <v>0</v>
      </c>
      <c r="N814">
        <v>0</v>
      </c>
      <c r="O814" t="s">
        <v>16</v>
      </c>
    </row>
    <row r="815" spans="1:15" x14ac:dyDescent="0.3">
      <c r="A815" s="1" t="s">
        <v>1613</v>
      </c>
      <c r="B815" t="s">
        <v>72</v>
      </c>
      <c r="C815" t="s">
        <v>1479</v>
      </c>
      <c r="D815" t="str">
        <f t="shared" si="12"/>
        <v>Male</v>
      </c>
      <c r="E815" t="s">
        <v>9</v>
      </c>
      <c r="F815" s="2">
        <v>37</v>
      </c>
      <c r="G815" s="2" t="str" cm="1">
        <f t="array" ref="G815">_xlfn.IFS(F815&lt;=8,"Child",F815&lt;=17,"Teen",F815&lt;=35,"Adult",F815&lt;=55,"Seniour Adult",F815&gt;=55,"Old Age")</f>
        <v>Seniour Adult</v>
      </c>
      <c r="H815" t="s">
        <v>10</v>
      </c>
      <c r="I815" t="s">
        <v>11</v>
      </c>
      <c r="J815" t="str" cm="1">
        <f t="array" ref="J815">_xlfn.IFS(I815="S","Sauthamptonm",I815="Q","Queentown",I815="C","Cherburg",I815="B","Cabin")</f>
        <v>Sauthamptonm</v>
      </c>
      <c r="K815" t="s">
        <v>15</v>
      </c>
      <c r="L815" s="2">
        <v>16.02</v>
      </c>
      <c r="M815">
        <v>1</v>
      </c>
      <c r="N815">
        <v>0</v>
      </c>
      <c r="O815" t="s">
        <v>13</v>
      </c>
    </row>
    <row r="816" spans="1:15" x14ac:dyDescent="0.3">
      <c r="A816" s="1" t="s">
        <v>1614</v>
      </c>
      <c r="B816" t="s">
        <v>72</v>
      </c>
      <c r="C816" t="s">
        <v>1615</v>
      </c>
      <c r="D816" t="str">
        <f t="shared" si="12"/>
        <v>Male</v>
      </c>
      <c r="E816" t="s">
        <v>9</v>
      </c>
      <c r="F816" s="2">
        <v>32</v>
      </c>
      <c r="G816" s="2" t="str" cm="1">
        <f t="array" ref="G816">_xlfn.IFS(F816&lt;=8,"Child",F816&lt;=17,"Teen",F816&lt;=35,"Adult",F816&lt;=55,"Seniour Adult",F816&gt;=55,"Old Age")</f>
        <v>Adult</v>
      </c>
      <c r="H816" t="s">
        <v>10</v>
      </c>
      <c r="I816" t="s">
        <v>11</v>
      </c>
      <c r="J816" t="str" cm="1">
        <f t="array" ref="J816">_xlfn.IFS(I816="S","Sauthamptonm",I816="Q","Queentown",I816="C","Cherburg",I816="B","Cabin")</f>
        <v>Sauthamptonm</v>
      </c>
      <c r="K816" t="s">
        <v>22</v>
      </c>
      <c r="L816" s="2">
        <v>7.1806000000000001</v>
      </c>
      <c r="M816">
        <v>0</v>
      </c>
      <c r="N816">
        <v>0</v>
      </c>
      <c r="O816" t="s">
        <v>13</v>
      </c>
    </row>
    <row r="817" spans="1:15" x14ac:dyDescent="0.3">
      <c r="A817" s="1" t="s">
        <v>1616</v>
      </c>
      <c r="B817" t="s">
        <v>72</v>
      </c>
      <c r="C817" t="s">
        <v>1617</v>
      </c>
      <c r="D817" t="str">
        <f t="shared" si="12"/>
        <v>Male</v>
      </c>
      <c r="E817" t="s">
        <v>9</v>
      </c>
      <c r="F817" s="2">
        <v>20</v>
      </c>
      <c r="G817" s="2" t="str" cm="1">
        <f t="array" ref="G817">_xlfn.IFS(F817&lt;=8,"Child",F817&lt;=17,"Teen",F817&lt;=35,"Adult",F817&lt;=55,"Seniour Adult",F817&gt;=55,"Old Age")</f>
        <v>Adult</v>
      </c>
      <c r="H817" t="s">
        <v>10</v>
      </c>
      <c r="I817" t="s">
        <v>36</v>
      </c>
      <c r="J817" t="str" cm="1">
        <f t="array" ref="J817">_xlfn.IFS(I817="S","Sauthamptonm",I817="Q","Queentown",I817="C","Cherburg",I817="B","Cabin")</f>
        <v>Queentown</v>
      </c>
      <c r="K817" t="s">
        <v>37</v>
      </c>
      <c r="L817" s="2">
        <v>7.15</v>
      </c>
      <c r="M817">
        <v>0</v>
      </c>
      <c r="N817">
        <v>0</v>
      </c>
      <c r="O817" t="s">
        <v>13</v>
      </c>
    </row>
    <row r="818" spans="1:15" x14ac:dyDescent="0.3">
      <c r="A818" s="1" t="s">
        <v>1618</v>
      </c>
      <c r="B818" t="s">
        <v>72</v>
      </c>
      <c r="C818" t="s">
        <v>872</v>
      </c>
      <c r="D818" t="str">
        <f t="shared" si="12"/>
        <v>Male</v>
      </c>
      <c r="E818" t="s">
        <v>9</v>
      </c>
      <c r="F818" s="2">
        <v>23</v>
      </c>
      <c r="G818" s="2" t="str" cm="1">
        <f t="array" ref="G818">_xlfn.IFS(F818&lt;=8,"Child",F818&lt;=17,"Teen",F818&lt;=35,"Adult",F818&lt;=55,"Seniour Adult",F818&gt;=55,"Old Age")</f>
        <v>Adult</v>
      </c>
      <c r="H818" t="s">
        <v>10</v>
      </c>
      <c r="I818" t="s">
        <v>11</v>
      </c>
      <c r="J818" t="str" cm="1">
        <f t="array" ref="J818">_xlfn.IFS(I818="S","Sauthamptonm",I818="Q","Queentown",I818="C","Cherburg",I818="B","Cabin")</f>
        <v>Sauthamptonm</v>
      </c>
      <c r="K818" t="s">
        <v>31</v>
      </c>
      <c r="L818" s="2">
        <v>7.1711</v>
      </c>
      <c r="M818">
        <v>0</v>
      </c>
      <c r="N818">
        <v>0</v>
      </c>
      <c r="O818" t="s">
        <v>13</v>
      </c>
    </row>
    <row r="819" spans="1:15" x14ac:dyDescent="0.3">
      <c r="A819" s="1" t="s">
        <v>1619</v>
      </c>
      <c r="B819" t="s">
        <v>72</v>
      </c>
      <c r="C819" t="s">
        <v>1620</v>
      </c>
      <c r="D819" t="str">
        <f t="shared" si="12"/>
        <v>Male</v>
      </c>
      <c r="E819" t="s">
        <v>9</v>
      </c>
      <c r="F819" s="2">
        <v>22</v>
      </c>
      <c r="G819" s="2" t="str" cm="1">
        <f t="array" ref="G819">_xlfn.IFS(F819&lt;=8,"Child",F819&lt;=17,"Teen",F819&lt;=35,"Adult",F819&lt;=55,"Seniour Adult",F819&gt;=55,"Old Age")</f>
        <v>Adult</v>
      </c>
      <c r="H819" t="s">
        <v>10</v>
      </c>
      <c r="I819" t="s">
        <v>11</v>
      </c>
      <c r="J819" t="str" cm="1">
        <f t="array" ref="J819">_xlfn.IFS(I819="S","Sauthamptonm",I819="Q","Queentown",I819="C","Cherburg",I819="B","Cabin")</f>
        <v>Sauthamptonm</v>
      </c>
      <c r="K819" t="s">
        <v>15</v>
      </c>
      <c r="L819" s="2">
        <v>8.01</v>
      </c>
      <c r="M819">
        <v>0</v>
      </c>
      <c r="N819">
        <v>0</v>
      </c>
      <c r="O819" t="s">
        <v>13</v>
      </c>
    </row>
    <row r="820" spans="1:15" x14ac:dyDescent="0.3">
      <c r="A820" s="1" t="s">
        <v>1621</v>
      </c>
      <c r="B820" t="s">
        <v>78</v>
      </c>
      <c r="C820" t="s">
        <v>187</v>
      </c>
      <c r="D820" t="str">
        <f t="shared" si="12"/>
        <v>Female</v>
      </c>
      <c r="E820" t="s">
        <v>14</v>
      </c>
      <c r="F820" s="2">
        <v>48</v>
      </c>
      <c r="G820" s="2" t="str" cm="1">
        <f t="array" ref="G820">_xlfn.IFS(F820&lt;=8,"Child",F820&lt;=17,"Teen",F820&lt;=35,"Adult",F820&lt;=55,"Seniour Adult",F820&gt;=55,"Old Age")</f>
        <v>Seniour Adult</v>
      </c>
      <c r="H820" t="s">
        <v>18</v>
      </c>
      <c r="I820" t="s">
        <v>11</v>
      </c>
      <c r="J820" t="str" cm="1">
        <f t="array" ref="J820">_xlfn.IFS(I820="S","Sauthamptonm",I820="Q","Queentown",I820="C","Cherburg",I820="B","Cabin")</f>
        <v>Sauthamptonm</v>
      </c>
      <c r="K820" t="s">
        <v>37</v>
      </c>
      <c r="L820" s="2">
        <v>10.1</v>
      </c>
      <c r="M820">
        <v>0</v>
      </c>
      <c r="N820">
        <v>0</v>
      </c>
      <c r="O820" t="s">
        <v>16</v>
      </c>
    </row>
    <row r="821" spans="1:15" x14ac:dyDescent="0.3">
      <c r="A821" s="1" t="s">
        <v>1622</v>
      </c>
      <c r="B821" t="s">
        <v>72</v>
      </c>
      <c r="C821" t="s">
        <v>1623</v>
      </c>
      <c r="D821" t="str">
        <f t="shared" si="12"/>
        <v>Male</v>
      </c>
      <c r="E821" t="s">
        <v>9</v>
      </c>
      <c r="F821" s="2">
        <v>41</v>
      </c>
      <c r="G821" s="2" t="str" cm="1">
        <f t="array" ref="G821">_xlfn.IFS(F821&lt;=8,"Child",F821&lt;=17,"Teen",F821&lt;=35,"Adult",F821&lt;=55,"Seniour Adult",F821&gt;=55,"Old Age")</f>
        <v>Seniour Adult</v>
      </c>
      <c r="H821" t="s">
        <v>10</v>
      </c>
      <c r="I821" t="s">
        <v>11</v>
      </c>
      <c r="J821" t="str" cm="1">
        <f t="array" ref="J821">_xlfn.IFS(I821="S","Sauthamptonm",I821="Q","Queentown",I821="C","Cherburg",I821="B","Cabin")</f>
        <v>Sauthamptonm</v>
      </c>
      <c r="K821" t="s">
        <v>15</v>
      </c>
      <c r="L821" s="2">
        <v>8.01</v>
      </c>
      <c r="M821">
        <v>0</v>
      </c>
      <c r="N821">
        <v>0</v>
      </c>
      <c r="O821" t="s">
        <v>13</v>
      </c>
    </row>
    <row r="822" spans="1:15" x14ac:dyDescent="0.3">
      <c r="A822" s="1" t="s">
        <v>1624</v>
      </c>
      <c r="B822" t="s">
        <v>72</v>
      </c>
      <c r="C822" t="s">
        <v>1625</v>
      </c>
      <c r="D822" t="str">
        <f t="shared" si="12"/>
        <v>Male</v>
      </c>
      <c r="E822" t="s">
        <v>9</v>
      </c>
      <c r="F822" s="2">
        <v>20</v>
      </c>
      <c r="G822" s="2" t="str" cm="1">
        <f t="array" ref="G822">_xlfn.IFS(F822&lt;=8,"Child",F822&lt;=17,"Teen",F822&lt;=35,"Adult",F822&lt;=55,"Seniour Adult",F822&gt;=55,"Old Age")</f>
        <v>Adult</v>
      </c>
      <c r="H822" t="s">
        <v>10</v>
      </c>
      <c r="I822" t="s">
        <v>19</v>
      </c>
      <c r="J822" t="str" cm="1">
        <f t="array" ref="J822">_xlfn.IFS(I822="S","Sauthamptonm",I822="Q","Queentown",I822="C","Cherburg",I822="B","Cabin")</f>
        <v>Cherburg</v>
      </c>
      <c r="K822" t="s">
        <v>21</v>
      </c>
      <c r="L822" s="2">
        <v>7.0407000000000002</v>
      </c>
      <c r="M822">
        <v>0</v>
      </c>
      <c r="N822">
        <v>0</v>
      </c>
      <c r="O822" t="s">
        <v>13</v>
      </c>
    </row>
    <row r="823" spans="1:15" x14ac:dyDescent="0.3">
      <c r="A823" s="1" t="s">
        <v>1626</v>
      </c>
      <c r="B823" t="s">
        <v>72</v>
      </c>
      <c r="C823" t="s">
        <v>107</v>
      </c>
      <c r="D823" t="str">
        <f t="shared" si="12"/>
        <v>Male</v>
      </c>
      <c r="E823" t="s">
        <v>9</v>
      </c>
      <c r="F823" s="2">
        <v>26</v>
      </c>
      <c r="G823" s="2" t="str" cm="1">
        <f t="array" ref="G823">_xlfn.IFS(F823&lt;=8,"Child",F823&lt;=17,"Teen",F823&lt;=35,"Adult",F823&lt;=55,"Seniour Adult",F823&gt;=55,"Old Age")</f>
        <v>Adult</v>
      </c>
      <c r="H823" t="s">
        <v>10</v>
      </c>
      <c r="I823" t="s">
        <v>11</v>
      </c>
      <c r="J823" t="str" cm="1">
        <f t="array" ref="J823">_xlfn.IFS(I823="S","Sauthamptonm",I823="Q","Queentown",I823="C","Cherburg",I823="B","Cabin")</f>
        <v>Sauthamptonm</v>
      </c>
      <c r="K823" t="s">
        <v>23</v>
      </c>
      <c r="L823" s="2">
        <v>29</v>
      </c>
      <c r="M823">
        <v>0</v>
      </c>
      <c r="N823">
        <v>0</v>
      </c>
      <c r="O823" t="s">
        <v>16</v>
      </c>
    </row>
    <row r="824" spans="1:15" x14ac:dyDescent="0.3">
      <c r="A824" s="1" t="s">
        <v>1627</v>
      </c>
      <c r="B824" t="s">
        <v>72</v>
      </c>
      <c r="C824" t="s">
        <v>1628</v>
      </c>
      <c r="D824" t="str">
        <f t="shared" si="12"/>
        <v>Male</v>
      </c>
      <c r="E824" t="s">
        <v>9</v>
      </c>
      <c r="F824" s="2">
        <v>25</v>
      </c>
      <c r="G824" s="2" t="str" cm="1">
        <f t="array" ref="G824">_xlfn.IFS(F824&lt;=8,"Child",F824&lt;=17,"Teen",F824&lt;=35,"Adult",F824&lt;=55,"Seniour Adult",F824&gt;=55,"Old Age")</f>
        <v>Adult</v>
      </c>
      <c r="H824" t="s">
        <v>10</v>
      </c>
      <c r="I824" t="s">
        <v>11</v>
      </c>
      <c r="J824" t="str" cm="1">
        <f t="array" ref="J824">_xlfn.IFS(I824="S","Sauthamptonm",I824="Q","Queentown",I824="C","Cherburg",I824="B","Cabin")</f>
        <v>Sauthamptonm</v>
      </c>
      <c r="K824" t="s">
        <v>31</v>
      </c>
      <c r="L824" s="2">
        <v>7.1711</v>
      </c>
      <c r="M824">
        <v>0</v>
      </c>
      <c r="N824">
        <v>0</v>
      </c>
      <c r="O824" t="s">
        <v>13</v>
      </c>
    </row>
    <row r="825" spans="1:15" x14ac:dyDescent="0.3">
      <c r="A825" s="1" t="s">
        <v>1629</v>
      </c>
      <c r="B825" t="s">
        <v>72</v>
      </c>
      <c r="C825" t="s">
        <v>1630</v>
      </c>
      <c r="D825" t="str">
        <f t="shared" si="12"/>
        <v>Male</v>
      </c>
      <c r="E825" t="s">
        <v>9</v>
      </c>
      <c r="F825" s="2">
        <v>23</v>
      </c>
      <c r="G825" s="2" t="str" cm="1">
        <f t="array" ref="G825">_xlfn.IFS(F825&lt;=8,"Child",F825&lt;=17,"Teen",F825&lt;=35,"Adult",F825&lt;=55,"Seniour Adult",F825&gt;=55,"Old Age")</f>
        <v>Adult</v>
      </c>
      <c r="H825" t="s">
        <v>18</v>
      </c>
      <c r="I825" t="s">
        <v>11</v>
      </c>
      <c r="J825" t="str" cm="1">
        <f t="array" ref="J825">_xlfn.IFS(I825="S","Sauthamptonm",I825="Q","Queentown",I825="C","Cherburg",I825="B","Cabin")</f>
        <v>Sauthamptonm</v>
      </c>
      <c r="K825" t="s">
        <v>15</v>
      </c>
      <c r="L825" s="2">
        <v>13</v>
      </c>
      <c r="M825">
        <v>0</v>
      </c>
      <c r="N825">
        <v>0</v>
      </c>
      <c r="O825" t="s">
        <v>13</v>
      </c>
    </row>
    <row r="826" spans="1:15" x14ac:dyDescent="0.3">
      <c r="A826" s="1" t="s">
        <v>1631</v>
      </c>
      <c r="B826" t="s">
        <v>76</v>
      </c>
      <c r="C826" t="s">
        <v>1632</v>
      </c>
      <c r="D826" t="str">
        <f t="shared" si="12"/>
        <v>Female</v>
      </c>
      <c r="E826" t="s">
        <v>14</v>
      </c>
      <c r="F826" s="2">
        <v>27</v>
      </c>
      <c r="G826" s="2" t="str" cm="1">
        <f t="array" ref="G826">_xlfn.IFS(F826&lt;=8,"Child",F826&lt;=17,"Teen",F826&lt;=35,"Adult",F826&lt;=55,"Seniour Adult",F826&gt;=55,"Old Age")</f>
        <v>Adult</v>
      </c>
      <c r="H826" t="s">
        <v>18</v>
      </c>
      <c r="I826" t="s">
        <v>11</v>
      </c>
      <c r="J826" t="str" cm="1">
        <f t="array" ref="J826">_xlfn.IFS(I826="S","Sauthamptonm",I826="Q","Queentown",I826="C","Cherburg",I826="B","Cabin")</f>
        <v>Sauthamptonm</v>
      </c>
      <c r="K826" t="s">
        <v>43</v>
      </c>
      <c r="L826" s="2">
        <v>12.13</v>
      </c>
      <c r="M826">
        <v>0</v>
      </c>
      <c r="N826">
        <v>0</v>
      </c>
      <c r="O826" t="s">
        <v>16</v>
      </c>
    </row>
    <row r="827" spans="1:15" x14ac:dyDescent="0.3">
      <c r="A827" s="1" t="s">
        <v>1633</v>
      </c>
      <c r="B827" t="s">
        <v>78</v>
      </c>
      <c r="C827" t="s">
        <v>1634</v>
      </c>
      <c r="D827" t="str">
        <f t="shared" si="12"/>
        <v>Female</v>
      </c>
      <c r="E827" t="s">
        <v>14</v>
      </c>
      <c r="F827" s="2">
        <v>27</v>
      </c>
      <c r="G827" s="2" t="str" cm="1">
        <f t="array" ref="G827">_xlfn.IFS(F827&lt;=8,"Child",F827&lt;=17,"Teen",F827&lt;=35,"Adult",F827&lt;=55,"Seniour Adult",F827&gt;=55,"Old Age")</f>
        <v>Adult</v>
      </c>
      <c r="H827" t="s">
        <v>18</v>
      </c>
      <c r="I827" t="s">
        <v>11</v>
      </c>
      <c r="J827" t="str" cm="1">
        <f t="array" ref="J827">_xlfn.IFS(I827="S","Sauthamptonm",I827="Q","Queentown",I827="C","Cherburg",I827="B","Cabin")</f>
        <v>Sauthamptonm</v>
      </c>
      <c r="K827" t="s">
        <v>15</v>
      </c>
      <c r="L827" s="2">
        <v>10.1</v>
      </c>
      <c r="M827">
        <v>0</v>
      </c>
      <c r="N827">
        <v>0</v>
      </c>
      <c r="O827" t="s">
        <v>16</v>
      </c>
    </row>
    <row r="828" spans="1:15" x14ac:dyDescent="0.3">
      <c r="A828" s="1" t="s">
        <v>1635</v>
      </c>
      <c r="B828" t="s">
        <v>72</v>
      </c>
      <c r="C828" t="s">
        <v>1636</v>
      </c>
      <c r="D828" t="str">
        <f t="shared" si="12"/>
        <v>Male</v>
      </c>
      <c r="E828" t="s">
        <v>9</v>
      </c>
      <c r="F828" s="2">
        <v>31</v>
      </c>
      <c r="G828" s="2" t="str" cm="1">
        <f t="array" ref="G828">_xlfn.IFS(F828&lt;=8,"Child",F828&lt;=17,"Teen",F828&lt;=35,"Adult",F828&lt;=55,"Seniour Adult",F828&gt;=55,"Old Age")</f>
        <v>Adult</v>
      </c>
      <c r="H828" t="s">
        <v>25</v>
      </c>
      <c r="I828" t="s">
        <v>19</v>
      </c>
      <c r="J828" t="str" cm="1">
        <f t="array" ref="J828">_xlfn.IFS(I828="S","Sauthamptonm",I828="Q","Queentown",I828="C","Cherburg",I828="B","Cabin")</f>
        <v>Cherburg</v>
      </c>
      <c r="K828" t="s">
        <v>12</v>
      </c>
      <c r="L828" s="2">
        <v>28.100899999999999</v>
      </c>
      <c r="M828">
        <v>0</v>
      </c>
      <c r="N828">
        <v>0</v>
      </c>
      <c r="O828" t="s">
        <v>16</v>
      </c>
    </row>
    <row r="829" spans="1:15" x14ac:dyDescent="0.3">
      <c r="A829" s="1" t="s">
        <v>1637</v>
      </c>
      <c r="B829" t="s">
        <v>94</v>
      </c>
      <c r="C829" t="s">
        <v>1638</v>
      </c>
      <c r="D829" t="str">
        <f t="shared" si="12"/>
        <v>Male</v>
      </c>
      <c r="E829" t="s">
        <v>9</v>
      </c>
      <c r="F829" s="2">
        <v>8</v>
      </c>
      <c r="G829" s="2" t="str" cm="1">
        <f t="array" ref="G829">_xlfn.IFS(F829&lt;=8,"Child",F829&lt;=17,"Teen",F829&lt;=35,"Adult",F829&lt;=55,"Seniour Adult",F829&gt;=55,"Old Age")</f>
        <v>Child</v>
      </c>
      <c r="H829" t="s">
        <v>10</v>
      </c>
      <c r="I829" t="s">
        <v>19</v>
      </c>
      <c r="J829" t="str" cm="1">
        <f t="array" ref="J829">_xlfn.IFS(I829="S","Sauthamptonm",I829="Q","Queentown",I829="C","Cherburg",I829="B","Cabin")</f>
        <v>Cherburg</v>
      </c>
      <c r="K829" t="s">
        <v>21</v>
      </c>
      <c r="L829" s="2">
        <v>15.0411</v>
      </c>
      <c r="M829">
        <v>1</v>
      </c>
      <c r="N829">
        <v>1</v>
      </c>
      <c r="O829" t="s">
        <v>16</v>
      </c>
    </row>
    <row r="830" spans="1:15" x14ac:dyDescent="0.3">
      <c r="A830" s="1" t="s">
        <v>1639</v>
      </c>
      <c r="B830" t="s">
        <v>72</v>
      </c>
      <c r="C830" t="s">
        <v>1640</v>
      </c>
      <c r="D830" t="str">
        <f t="shared" si="12"/>
        <v>Male</v>
      </c>
      <c r="E830" t="s">
        <v>9</v>
      </c>
      <c r="F830" s="2">
        <v>36</v>
      </c>
      <c r="G830" s="2" t="str" cm="1">
        <f t="array" ref="G830">_xlfn.IFS(F830&lt;=8,"Child",F830&lt;=17,"Teen",F830&lt;=35,"Adult",F830&lt;=55,"Seniour Adult",F830&gt;=55,"Old Age")</f>
        <v>Seniour Adult</v>
      </c>
      <c r="H830" t="s">
        <v>10</v>
      </c>
      <c r="I830" t="s">
        <v>11</v>
      </c>
      <c r="J830" t="str" cm="1">
        <f t="array" ref="J830">_xlfn.IFS(I830="S","Sauthamptonm",I830="Q","Queentown",I830="C","Cherburg",I830="B","Cabin")</f>
        <v>Sauthamptonm</v>
      </c>
      <c r="K830" t="s">
        <v>63</v>
      </c>
      <c r="L830" s="2">
        <v>7.1711</v>
      </c>
      <c r="M830">
        <v>0</v>
      </c>
      <c r="N830">
        <v>0</v>
      </c>
      <c r="O830" t="s">
        <v>13</v>
      </c>
    </row>
    <row r="831" spans="1:15" x14ac:dyDescent="0.3">
      <c r="A831" s="1" t="s">
        <v>1641</v>
      </c>
      <c r="B831" t="s">
        <v>78</v>
      </c>
      <c r="C831" t="s">
        <v>1229</v>
      </c>
      <c r="D831" t="str">
        <f t="shared" si="12"/>
        <v>Female</v>
      </c>
      <c r="E831" t="s">
        <v>14</v>
      </c>
      <c r="F831" s="2">
        <v>18</v>
      </c>
      <c r="G831" s="2" t="str" cm="1">
        <f t="array" ref="G831">_xlfn.IFS(F831&lt;=8,"Child",F831&lt;=17,"Teen",F831&lt;=35,"Adult",F831&lt;=55,"Seniour Adult",F831&gt;=55,"Old Age")</f>
        <v>Adult</v>
      </c>
      <c r="H831" t="s">
        <v>10</v>
      </c>
      <c r="I831" t="s">
        <v>11</v>
      </c>
      <c r="J831" t="str" cm="1">
        <f t="array" ref="J831">_xlfn.IFS(I831="S","Sauthamptonm",I831="Q","Queentown",I831="C","Cherburg",I831="B","Cabin")</f>
        <v>Sauthamptonm</v>
      </c>
      <c r="K831" t="s">
        <v>22</v>
      </c>
      <c r="L831" s="2">
        <v>9.1609999999999996</v>
      </c>
      <c r="M831">
        <v>0</v>
      </c>
      <c r="N831">
        <v>0</v>
      </c>
      <c r="O831" t="s">
        <v>16</v>
      </c>
    </row>
    <row r="832" spans="1:15" x14ac:dyDescent="0.3">
      <c r="A832" s="1" t="s">
        <v>1642</v>
      </c>
      <c r="B832" t="s">
        <v>76</v>
      </c>
      <c r="C832" t="s">
        <v>1643</v>
      </c>
      <c r="D832" t="str">
        <f t="shared" si="12"/>
        <v>Female</v>
      </c>
      <c r="E832" t="s">
        <v>14</v>
      </c>
      <c r="F832" s="2">
        <v>63</v>
      </c>
      <c r="G832" s="2" t="str" cm="1">
        <f t="array" ref="G832">_xlfn.IFS(F832&lt;=8,"Child",F832&lt;=17,"Teen",F832&lt;=35,"Adult",F832&lt;=55,"Seniour Adult",F832&gt;=55,"Old Age")</f>
        <v>Old Age</v>
      </c>
      <c r="H832" t="s">
        <v>10</v>
      </c>
      <c r="I832" t="s">
        <v>11</v>
      </c>
      <c r="J832" t="str" cm="1">
        <f t="array" ref="J832">_xlfn.IFS(I832="S","Sauthamptonm",I832="Q","Queentown",I832="C","Cherburg",I832="B","Cabin")</f>
        <v>Sauthamptonm</v>
      </c>
      <c r="K832" t="s">
        <v>22</v>
      </c>
      <c r="L832" s="2">
        <v>9.1109000000000009</v>
      </c>
      <c r="M832">
        <v>0</v>
      </c>
      <c r="N832">
        <v>0</v>
      </c>
      <c r="O832" t="s">
        <v>16</v>
      </c>
    </row>
    <row r="833" spans="1:15" x14ac:dyDescent="0.3">
      <c r="A833" s="1" t="s">
        <v>1644</v>
      </c>
      <c r="B833" t="s">
        <v>76</v>
      </c>
      <c r="C833" t="s">
        <v>1645</v>
      </c>
      <c r="D833" t="str">
        <f t="shared" si="12"/>
        <v>Female</v>
      </c>
      <c r="E833" t="s">
        <v>14</v>
      </c>
      <c r="F833" s="2">
        <v>26</v>
      </c>
      <c r="G833" s="2" t="str" cm="1">
        <f t="array" ref="G833">_xlfn.IFS(F833&lt;=8,"Child",F833&lt;=17,"Teen",F833&lt;=35,"Adult",F833&lt;=55,"Seniour Adult",F833&gt;=55,"Old Age")</f>
        <v>Adult</v>
      </c>
      <c r="H833" t="s">
        <v>18</v>
      </c>
      <c r="I833" t="s">
        <v>11</v>
      </c>
      <c r="J833" t="str" cm="1">
        <f t="array" ref="J833">_xlfn.IFS(I833="S","Sauthamptonm",I833="Q","Queentown",I833="C","Cherburg",I833="B","Cabin")</f>
        <v>Sauthamptonm</v>
      </c>
      <c r="K833" t="s">
        <v>15</v>
      </c>
      <c r="L833" s="2">
        <v>21</v>
      </c>
      <c r="M833">
        <v>1</v>
      </c>
      <c r="N833">
        <v>0</v>
      </c>
      <c r="O833" t="s">
        <v>13</v>
      </c>
    </row>
    <row r="834" spans="1:15" x14ac:dyDescent="0.3">
      <c r="A834" s="1" t="s">
        <v>1646</v>
      </c>
      <c r="B834" t="s">
        <v>1647</v>
      </c>
      <c r="C834" t="s">
        <v>1648</v>
      </c>
      <c r="D834" t="str">
        <f t="shared" ref="D834:D897" si="13">PROPER(E834)</f>
        <v>Male</v>
      </c>
      <c r="E834" t="s">
        <v>9</v>
      </c>
      <c r="F834" s="2">
        <v>39</v>
      </c>
      <c r="G834" s="2" t="str" cm="1">
        <f t="array" ref="G834">_xlfn.IFS(F834&lt;=8,"Child",F834&lt;=17,"Teen",F834&lt;=35,"Adult",F834&lt;=55,"Seniour Adult",F834&gt;=55,"Old Age")</f>
        <v>Seniour Adult</v>
      </c>
      <c r="H834" t="s">
        <v>25</v>
      </c>
      <c r="I834" t="s">
        <v>19</v>
      </c>
      <c r="J834" t="str" cm="1">
        <f t="array" ref="J834">_xlfn.IFS(I834="S","Sauthamptonm",I834="Q","Queentown",I834="C","Cherburg",I834="B","Cabin")</f>
        <v>Cherburg</v>
      </c>
      <c r="K834" t="s">
        <v>66</v>
      </c>
      <c r="L834" s="2">
        <v>27.140499999999999</v>
      </c>
      <c r="M834">
        <v>0</v>
      </c>
      <c r="N834">
        <v>0</v>
      </c>
      <c r="O834" t="s">
        <v>13</v>
      </c>
    </row>
    <row r="835" spans="1:15" x14ac:dyDescent="0.3">
      <c r="A835" s="1" t="s">
        <v>1649</v>
      </c>
      <c r="B835" t="s">
        <v>94</v>
      </c>
      <c r="C835" t="s">
        <v>1650</v>
      </c>
      <c r="D835" t="str">
        <f t="shared" si="13"/>
        <v>Male</v>
      </c>
      <c r="E835" t="s">
        <v>9</v>
      </c>
      <c r="F835" s="2">
        <v>10</v>
      </c>
      <c r="G835" s="2" t="str" cm="1">
        <f t="array" ref="G835">_xlfn.IFS(F835&lt;=8,"Child",F835&lt;=17,"Teen",F835&lt;=35,"Adult",F835&lt;=55,"Seniour Adult",F835&gt;=55,"Old Age")</f>
        <v>Teen</v>
      </c>
      <c r="H835" t="s">
        <v>10</v>
      </c>
      <c r="I835" t="s">
        <v>11</v>
      </c>
      <c r="J835" t="str" cm="1">
        <f t="array" ref="J835">_xlfn.IFS(I835="S","Sauthamptonm",I835="Q","Queentown",I835="C","Cherburg",I835="B","Cabin")</f>
        <v>Sauthamptonm</v>
      </c>
      <c r="K835" t="s">
        <v>15</v>
      </c>
      <c r="L835" s="2">
        <v>14.1</v>
      </c>
      <c r="M835">
        <v>1</v>
      </c>
      <c r="N835">
        <v>1</v>
      </c>
      <c r="O835" t="s">
        <v>13</v>
      </c>
    </row>
    <row r="836" spans="1:15" x14ac:dyDescent="0.3">
      <c r="A836" s="1" t="s">
        <v>1652</v>
      </c>
      <c r="B836" t="s">
        <v>72</v>
      </c>
      <c r="C836" t="s">
        <v>1653</v>
      </c>
      <c r="D836" t="str">
        <f t="shared" si="13"/>
        <v>Male</v>
      </c>
      <c r="E836" t="s">
        <v>9</v>
      </c>
      <c r="F836" s="2">
        <v>28</v>
      </c>
      <c r="G836" s="2" t="str" cm="1">
        <f t="array" ref="G836">_xlfn.IFS(F836&lt;=8,"Child",F836&lt;=17,"Teen",F836&lt;=35,"Adult",F836&lt;=55,"Seniour Adult",F836&gt;=55,"Old Age")</f>
        <v>Adult</v>
      </c>
      <c r="H836" t="s">
        <v>10</v>
      </c>
      <c r="I836" t="s">
        <v>11</v>
      </c>
      <c r="J836" t="str" cm="1">
        <f t="array" ref="J836">_xlfn.IFS(I836="S","Sauthamptonm",I836="Q","Queentown",I836="C","Cherburg",I836="B","Cabin")</f>
        <v>Sauthamptonm</v>
      </c>
      <c r="K836" t="s">
        <v>46</v>
      </c>
      <c r="L836" s="2">
        <v>9.1</v>
      </c>
      <c r="M836">
        <v>0</v>
      </c>
      <c r="N836">
        <v>0</v>
      </c>
      <c r="O836" t="s">
        <v>13</v>
      </c>
    </row>
    <row r="837" spans="1:15" x14ac:dyDescent="0.3">
      <c r="A837" s="1" t="s">
        <v>1654</v>
      </c>
      <c r="B837" t="s">
        <v>72</v>
      </c>
      <c r="C837" t="s">
        <v>1309</v>
      </c>
      <c r="D837" t="str">
        <f t="shared" si="13"/>
        <v>Male</v>
      </c>
      <c r="E837" t="s">
        <v>9</v>
      </c>
      <c r="F837" s="2">
        <v>46</v>
      </c>
      <c r="G837" s="2" t="str" cm="1">
        <f t="array" ref="G837">_xlfn.IFS(F837&lt;=8,"Child",F837&lt;=17,"Teen",F837&lt;=35,"Adult",F837&lt;=55,"Seniour Adult",F837&gt;=55,"Old Age")</f>
        <v>Seniour Adult</v>
      </c>
      <c r="H837" t="s">
        <v>10</v>
      </c>
      <c r="I837" t="s">
        <v>11</v>
      </c>
      <c r="J837" t="str" cm="1">
        <f t="array" ref="J837">_xlfn.IFS(I837="S","Sauthamptonm",I837="Q","Queentown",I837="C","Cherburg",I837="B","Cabin")</f>
        <v>Sauthamptonm</v>
      </c>
      <c r="K837" t="s">
        <v>46</v>
      </c>
      <c r="L837" s="2">
        <v>9</v>
      </c>
      <c r="M837">
        <v>0</v>
      </c>
      <c r="N837">
        <v>0</v>
      </c>
      <c r="O837" t="s">
        <v>13</v>
      </c>
    </row>
    <row r="838" spans="1:15" x14ac:dyDescent="0.3">
      <c r="A838" s="1" t="s">
        <v>1655</v>
      </c>
      <c r="B838" t="s">
        <v>72</v>
      </c>
      <c r="C838" t="s">
        <v>1656</v>
      </c>
      <c r="D838" t="str">
        <f t="shared" si="13"/>
        <v>Male</v>
      </c>
      <c r="E838" t="s">
        <v>9</v>
      </c>
      <c r="F838" s="2">
        <v>61</v>
      </c>
      <c r="G838" s="2" t="str" cm="1">
        <f t="array" ref="G838">_xlfn.IFS(F838&lt;=8,"Child",F838&lt;=17,"Teen",F838&lt;=35,"Adult",F838&lt;=55,"Seniour Adult",F838&gt;=55,"Old Age")</f>
        <v>Old Age</v>
      </c>
      <c r="H838" t="s">
        <v>25</v>
      </c>
      <c r="I838" t="s">
        <v>11</v>
      </c>
      <c r="J838" t="str" cm="1">
        <f t="array" ref="J838">_xlfn.IFS(I838="S","Sauthamptonm",I838="Q","Queentown",I838="C","Cherburg",I838="B","Cabin")</f>
        <v>Sauthamptonm</v>
      </c>
      <c r="K838" t="s">
        <v>12</v>
      </c>
      <c r="L838" s="2">
        <v>33.1</v>
      </c>
      <c r="M838">
        <v>0</v>
      </c>
      <c r="N838">
        <v>0</v>
      </c>
      <c r="O838" t="s">
        <v>13</v>
      </c>
    </row>
    <row r="839" spans="1:15" x14ac:dyDescent="0.3">
      <c r="A839" s="1" t="s">
        <v>1657</v>
      </c>
      <c r="B839" t="s">
        <v>78</v>
      </c>
      <c r="C839" t="s">
        <v>1658</v>
      </c>
      <c r="D839" t="str">
        <f t="shared" si="13"/>
        <v>Female</v>
      </c>
      <c r="E839" t="s">
        <v>14</v>
      </c>
      <c r="F839" s="2">
        <v>18</v>
      </c>
      <c r="G839" s="2" t="str" cm="1">
        <f t="array" ref="G839">_xlfn.IFS(F839&lt;=8,"Child",F839&lt;=17,"Teen",F839&lt;=35,"Adult",F839&lt;=55,"Seniour Adult",F839&gt;=55,"Old Age")</f>
        <v>Adult</v>
      </c>
      <c r="H839" t="s">
        <v>10</v>
      </c>
      <c r="I839" t="s">
        <v>11</v>
      </c>
      <c r="J839" t="str" cm="1">
        <f t="array" ref="J839">_xlfn.IFS(I839="S","Sauthamptonm",I839="Q","Queentown",I839="C","Cherburg",I839="B","Cabin")</f>
        <v>Sauthamptonm</v>
      </c>
      <c r="K839" t="s">
        <v>46</v>
      </c>
      <c r="L839" s="2">
        <v>18</v>
      </c>
      <c r="M839">
        <v>2</v>
      </c>
      <c r="N839">
        <v>0</v>
      </c>
      <c r="O839" t="s">
        <v>13</v>
      </c>
    </row>
    <row r="840" spans="1:15" x14ac:dyDescent="0.3">
      <c r="A840" s="1" t="s">
        <v>1659</v>
      </c>
      <c r="B840" t="s">
        <v>72</v>
      </c>
      <c r="C840" t="s">
        <v>1660</v>
      </c>
      <c r="D840" t="str">
        <f t="shared" si="13"/>
        <v>Male</v>
      </c>
      <c r="E840" t="s">
        <v>9</v>
      </c>
      <c r="F840" s="2">
        <v>35</v>
      </c>
      <c r="G840" s="2" t="str" cm="1">
        <f t="array" ref="G840">_xlfn.IFS(F840&lt;=8,"Child",F840&lt;=17,"Teen",F840&lt;=35,"Adult",F840&lt;=55,"Seniour Adult",F840&gt;=55,"Old Age")</f>
        <v>Adult</v>
      </c>
      <c r="H840" t="s">
        <v>10</v>
      </c>
      <c r="I840" t="s">
        <v>11</v>
      </c>
      <c r="J840" t="str" cm="1">
        <f t="array" ref="J840">_xlfn.IFS(I840="S","Sauthamptonm",I840="Q","Queentown",I840="C","Cherburg",I840="B","Cabin")</f>
        <v>Sauthamptonm</v>
      </c>
      <c r="K840" t="s">
        <v>46</v>
      </c>
      <c r="L840" s="2">
        <v>9.1</v>
      </c>
      <c r="M840">
        <v>0</v>
      </c>
      <c r="N840">
        <v>0</v>
      </c>
      <c r="O840" t="s">
        <v>13</v>
      </c>
    </row>
    <row r="841" spans="1:15" x14ac:dyDescent="0.3">
      <c r="A841" s="1" t="s">
        <v>1661</v>
      </c>
      <c r="B841" t="s">
        <v>72</v>
      </c>
      <c r="C841" t="s">
        <v>1662</v>
      </c>
      <c r="D841" t="str">
        <f t="shared" si="13"/>
        <v>Male</v>
      </c>
      <c r="E841" t="s">
        <v>9</v>
      </c>
      <c r="F841" s="2">
        <v>28</v>
      </c>
      <c r="G841" s="2" t="str" cm="1">
        <f t="array" ref="G841">_xlfn.IFS(F841&lt;=8,"Child",F841&lt;=17,"Teen",F841&lt;=35,"Adult",F841&lt;=55,"Seniour Adult",F841&gt;=55,"Old Age")</f>
        <v>Adult</v>
      </c>
      <c r="H841" t="s">
        <v>10</v>
      </c>
      <c r="I841" t="s">
        <v>11</v>
      </c>
      <c r="J841" t="str" cm="1">
        <f t="array" ref="J841">_xlfn.IFS(I841="S","Sauthamptonm",I841="Q","Queentown",I841="C","Cherburg",I841="B","Cabin")</f>
        <v>Sauthamptonm</v>
      </c>
      <c r="K841" t="s">
        <v>46</v>
      </c>
      <c r="L841" s="2">
        <v>9.1</v>
      </c>
      <c r="M841">
        <v>0</v>
      </c>
      <c r="N841">
        <v>0</v>
      </c>
      <c r="O841" t="s">
        <v>13</v>
      </c>
    </row>
    <row r="842" spans="1:15" x14ac:dyDescent="0.3">
      <c r="A842" s="1" t="s">
        <v>1663</v>
      </c>
      <c r="B842" t="s">
        <v>78</v>
      </c>
      <c r="C842" t="s">
        <v>1664</v>
      </c>
      <c r="D842" t="str">
        <f t="shared" si="13"/>
        <v>Female</v>
      </c>
      <c r="E842" t="s">
        <v>14</v>
      </c>
      <c r="F842" s="2">
        <v>10</v>
      </c>
      <c r="G842" s="2" t="str" cm="1">
        <f t="array" ref="G842">_xlfn.IFS(F842&lt;=8,"Child",F842&lt;=17,"Teen",F842&lt;=35,"Adult",F842&lt;=55,"Seniour Adult",F842&gt;=55,"Old Age")</f>
        <v>Teen</v>
      </c>
      <c r="H842" t="s">
        <v>10</v>
      </c>
      <c r="I842" t="s">
        <v>11</v>
      </c>
      <c r="J842" t="str" cm="1">
        <f t="array" ref="J842">_xlfn.IFS(I842="S","Sauthamptonm",I842="Q","Queentown",I842="C","Cherburg",I842="B","Cabin")</f>
        <v>Sauthamptonm</v>
      </c>
      <c r="K842" t="s">
        <v>46</v>
      </c>
      <c r="L842" s="2">
        <v>24.03</v>
      </c>
      <c r="M842">
        <v>0</v>
      </c>
      <c r="N842">
        <v>2</v>
      </c>
      <c r="O842" t="s">
        <v>13</v>
      </c>
    </row>
    <row r="843" spans="1:15" x14ac:dyDescent="0.3">
      <c r="A843" s="1" t="s">
        <v>1666</v>
      </c>
      <c r="B843" t="s">
        <v>72</v>
      </c>
      <c r="C843" t="s">
        <v>1667</v>
      </c>
      <c r="D843" t="str">
        <f t="shared" si="13"/>
        <v>Male</v>
      </c>
      <c r="E843" t="s">
        <v>9</v>
      </c>
      <c r="F843" s="2">
        <v>23</v>
      </c>
      <c r="G843" s="2" t="str" cm="1">
        <f t="array" ref="G843">_xlfn.IFS(F843&lt;=8,"Child",F843&lt;=17,"Teen",F843&lt;=35,"Adult",F843&lt;=55,"Seniour Adult",F843&gt;=55,"Old Age")</f>
        <v>Adult</v>
      </c>
      <c r="H843" t="s">
        <v>10</v>
      </c>
      <c r="I843" t="s">
        <v>11</v>
      </c>
      <c r="J843" t="str" cm="1">
        <f t="array" ref="J843">_xlfn.IFS(I843="S","Sauthamptonm",I843="Q","Queentown",I843="C","Cherburg",I843="B","Cabin")</f>
        <v>Sauthamptonm</v>
      </c>
      <c r="K843" t="s">
        <v>46</v>
      </c>
      <c r="L843" s="2">
        <v>9.1</v>
      </c>
      <c r="M843">
        <v>0</v>
      </c>
      <c r="N843">
        <v>0</v>
      </c>
      <c r="O843" t="s">
        <v>13</v>
      </c>
    </row>
    <row r="844" spans="1:15" x14ac:dyDescent="0.3">
      <c r="A844" s="1" t="s">
        <v>1668</v>
      </c>
      <c r="B844" t="s">
        <v>72</v>
      </c>
      <c r="C844" t="s">
        <v>381</v>
      </c>
      <c r="D844" t="str">
        <f t="shared" si="13"/>
        <v>Male</v>
      </c>
      <c r="E844" t="s">
        <v>9</v>
      </c>
      <c r="F844" s="2">
        <v>22</v>
      </c>
      <c r="G844" s="2" t="str" cm="1">
        <f t="array" ref="G844">_xlfn.IFS(F844&lt;=8,"Child",F844&lt;=17,"Teen",F844&lt;=35,"Adult",F844&lt;=55,"Seniour Adult",F844&gt;=55,"Old Age")</f>
        <v>Adult</v>
      </c>
      <c r="H844" t="s">
        <v>10</v>
      </c>
      <c r="I844" t="s">
        <v>19</v>
      </c>
      <c r="J844" t="str" cm="1">
        <f t="array" ref="J844">_xlfn.IFS(I844="S","Sauthamptonm",I844="Q","Queentown",I844="C","Cherburg",I844="B","Cabin")</f>
        <v>Cherburg</v>
      </c>
      <c r="K844" t="s">
        <v>57</v>
      </c>
      <c r="L844" s="2">
        <v>7.0406000000000004</v>
      </c>
      <c r="M844">
        <v>0</v>
      </c>
      <c r="N844">
        <v>0</v>
      </c>
      <c r="O844" t="s">
        <v>16</v>
      </c>
    </row>
    <row r="845" spans="1:15" x14ac:dyDescent="0.3">
      <c r="A845" s="1" t="s">
        <v>1669</v>
      </c>
      <c r="B845" t="s">
        <v>72</v>
      </c>
      <c r="C845" t="s">
        <v>598</v>
      </c>
      <c r="D845" t="str">
        <f t="shared" si="13"/>
        <v>Male</v>
      </c>
      <c r="E845" t="s">
        <v>9</v>
      </c>
      <c r="F845" s="2">
        <v>40</v>
      </c>
      <c r="G845" s="2" t="str" cm="1">
        <f t="array" ref="G845">_xlfn.IFS(F845&lt;=8,"Child",F845&lt;=17,"Teen",F845&lt;=35,"Adult",F845&lt;=55,"Seniour Adult",F845&gt;=55,"Old Age")</f>
        <v>Seniour Adult</v>
      </c>
      <c r="H845" t="s">
        <v>18</v>
      </c>
      <c r="I845" t="s">
        <v>11</v>
      </c>
      <c r="J845" t="str" cm="1">
        <f t="array" ref="J845">_xlfn.IFS(I845="S","Sauthamptonm",I845="Q","Queentown",I845="C","Cherburg",I845="B","Cabin")</f>
        <v>Sauthamptonm</v>
      </c>
      <c r="K845" t="s">
        <v>12</v>
      </c>
      <c r="L845" s="2">
        <v>13</v>
      </c>
      <c r="M845">
        <v>0</v>
      </c>
      <c r="N845">
        <v>0</v>
      </c>
      <c r="O845" t="s">
        <v>13</v>
      </c>
    </row>
    <row r="846" spans="1:15" x14ac:dyDescent="0.3">
      <c r="A846" s="1" t="s">
        <v>1670</v>
      </c>
      <c r="B846" t="s">
        <v>72</v>
      </c>
      <c r="C846" t="s">
        <v>1671</v>
      </c>
      <c r="D846" t="str">
        <f t="shared" si="13"/>
        <v>Male</v>
      </c>
      <c r="E846" t="s">
        <v>9</v>
      </c>
      <c r="F846" s="2">
        <v>20</v>
      </c>
      <c r="G846" s="2" t="str" cm="1">
        <f t="array" ref="G846">_xlfn.IFS(F846&lt;=8,"Child",F846&lt;=17,"Teen",F846&lt;=35,"Adult",F846&lt;=55,"Seniour Adult",F846&gt;=55,"Old Age")</f>
        <v>Adult</v>
      </c>
      <c r="H846" t="s">
        <v>10</v>
      </c>
      <c r="I846" t="s">
        <v>11</v>
      </c>
      <c r="J846" t="str" cm="1">
        <f t="array" ref="J846">_xlfn.IFS(I846="S","Sauthamptonm",I846="Q","Queentown",I846="C","Cherburg",I846="B","Cabin")</f>
        <v>Sauthamptonm</v>
      </c>
      <c r="K846" t="s">
        <v>23</v>
      </c>
      <c r="L846" s="2">
        <v>7.1700999999999997</v>
      </c>
      <c r="M846">
        <v>0</v>
      </c>
      <c r="N846">
        <v>0</v>
      </c>
      <c r="O846" t="s">
        <v>13</v>
      </c>
    </row>
    <row r="847" spans="1:15" x14ac:dyDescent="0.3">
      <c r="A847" s="1" t="s">
        <v>1672</v>
      </c>
      <c r="B847" t="s">
        <v>78</v>
      </c>
      <c r="C847" t="s">
        <v>1673</v>
      </c>
      <c r="D847" t="str">
        <f t="shared" si="13"/>
        <v>Female</v>
      </c>
      <c r="E847" t="s">
        <v>14</v>
      </c>
      <c r="F847" s="2">
        <v>14</v>
      </c>
      <c r="G847" s="2" t="str" cm="1">
        <f t="array" ref="G847">_xlfn.IFS(F847&lt;=8,"Child",F847&lt;=17,"Teen",F847&lt;=35,"Adult",F847&lt;=55,"Seniour Adult",F847&gt;=55,"Old Age")</f>
        <v>Teen</v>
      </c>
      <c r="H847" t="s">
        <v>10</v>
      </c>
      <c r="I847" t="s">
        <v>11</v>
      </c>
      <c r="J847" t="str" cm="1">
        <f t="array" ref="J847">_xlfn.IFS(I847="S","Sauthamptonm",I847="Q","Queentown",I847="C","Cherburg",I847="B","Cabin")</f>
        <v>Sauthamptonm</v>
      </c>
      <c r="K847" t="s">
        <v>23</v>
      </c>
      <c r="L847" s="2">
        <v>7.1700999999999997</v>
      </c>
      <c r="M847">
        <v>0</v>
      </c>
      <c r="N847">
        <v>0</v>
      </c>
      <c r="O847" t="s">
        <v>13</v>
      </c>
    </row>
    <row r="848" spans="1:15" x14ac:dyDescent="0.3">
      <c r="A848" s="1" t="s">
        <v>1674</v>
      </c>
      <c r="B848" t="s">
        <v>72</v>
      </c>
      <c r="C848" t="s">
        <v>1675</v>
      </c>
      <c r="D848" t="str">
        <f t="shared" si="13"/>
        <v>Male</v>
      </c>
      <c r="E848" t="s">
        <v>9</v>
      </c>
      <c r="F848" s="2">
        <v>21</v>
      </c>
      <c r="G848" s="2" t="str" cm="1">
        <f t="array" ref="G848">_xlfn.IFS(F848&lt;=8,"Child",F848&lt;=17,"Teen",F848&lt;=35,"Adult",F848&lt;=55,"Seniour Adult",F848&gt;=55,"Old Age")</f>
        <v>Adult</v>
      </c>
      <c r="H848" t="s">
        <v>10</v>
      </c>
      <c r="I848" t="s">
        <v>11</v>
      </c>
      <c r="J848" t="str" cm="1">
        <f t="array" ref="J848">_xlfn.IFS(I848="S","Sauthamptonm",I848="Q","Queentown",I848="C","Cherburg",I848="B","Cabin")</f>
        <v>Sauthamptonm</v>
      </c>
      <c r="K848" t="s">
        <v>55</v>
      </c>
      <c r="L848" s="2">
        <v>7.1711</v>
      </c>
      <c r="M848">
        <v>0</v>
      </c>
      <c r="N848">
        <v>0</v>
      </c>
      <c r="O848" t="s">
        <v>13</v>
      </c>
    </row>
    <row r="849" spans="1:15" x14ac:dyDescent="0.3">
      <c r="A849" s="1" t="s">
        <v>1676</v>
      </c>
      <c r="B849" t="s">
        <v>72</v>
      </c>
      <c r="C849" t="s">
        <v>1677</v>
      </c>
      <c r="D849" t="str">
        <f t="shared" si="13"/>
        <v>Male</v>
      </c>
      <c r="E849" t="s">
        <v>9</v>
      </c>
      <c r="F849" s="2">
        <v>22</v>
      </c>
      <c r="G849" s="2" t="str" cm="1">
        <f t="array" ref="G849">_xlfn.IFS(F849&lt;=8,"Child",F849&lt;=17,"Teen",F849&lt;=35,"Adult",F849&lt;=55,"Seniour Adult",F849&gt;=55,"Old Age")</f>
        <v>Adult</v>
      </c>
      <c r="H849" t="s">
        <v>10</v>
      </c>
      <c r="I849" t="s">
        <v>11</v>
      </c>
      <c r="J849" t="str" cm="1">
        <f t="array" ref="J849">_xlfn.IFS(I849="S","Sauthamptonm",I849="Q","Queentown",I849="C","Cherburg",I849="B","Cabin")</f>
        <v>Sauthamptonm</v>
      </c>
      <c r="K849" t="s">
        <v>46</v>
      </c>
      <c r="L849" s="2">
        <v>9</v>
      </c>
      <c r="M849">
        <v>0</v>
      </c>
      <c r="N849">
        <v>0</v>
      </c>
      <c r="O849" t="s">
        <v>13</v>
      </c>
    </row>
    <row r="850" spans="1:15" x14ac:dyDescent="0.3">
      <c r="A850" s="1" t="s">
        <v>1678</v>
      </c>
      <c r="B850" t="s">
        <v>72</v>
      </c>
      <c r="C850" t="s">
        <v>1679</v>
      </c>
      <c r="D850" t="str">
        <f t="shared" si="13"/>
        <v>Male</v>
      </c>
      <c r="E850" t="s">
        <v>9</v>
      </c>
      <c r="F850" s="2">
        <v>48</v>
      </c>
      <c r="G850" s="2" t="str" cm="1">
        <f t="array" ref="G850">_xlfn.IFS(F850&lt;=8,"Child",F850&lt;=17,"Teen",F850&lt;=35,"Adult",F850&lt;=55,"Seniour Adult",F850&gt;=55,"Old Age")</f>
        <v>Seniour Adult</v>
      </c>
      <c r="H850" t="s">
        <v>25</v>
      </c>
      <c r="I850" t="s">
        <v>11</v>
      </c>
      <c r="J850" t="str" cm="1">
        <f t="array" ref="J850">_xlfn.IFS(I850="S","Sauthamptonm",I850="Q","Queentown",I850="C","Cherburg",I850="B","Cabin")</f>
        <v>Sauthamptonm</v>
      </c>
      <c r="K850" t="s">
        <v>12</v>
      </c>
      <c r="L850" s="2">
        <v>34</v>
      </c>
      <c r="M850">
        <v>0</v>
      </c>
      <c r="N850">
        <v>0</v>
      </c>
      <c r="O850" t="s">
        <v>13</v>
      </c>
    </row>
    <row r="851" spans="1:15" x14ac:dyDescent="0.3">
      <c r="A851" s="1" t="s">
        <v>1680</v>
      </c>
      <c r="B851" t="s">
        <v>78</v>
      </c>
      <c r="C851" t="s">
        <v>1681</v>
      </c>
      <c r="D851" t="str">
        <f t="shared" si="13"/>
        <v>Female</v>
      </c>
      <c r="E851" t="s">
        <v>14</v>
      </c>
      <c r="F851" s="2">
        <v>36</v>
      </c>
      <c r="G851" s="2" t="str" cm="1">
        <f t="array" ref="G851">_xlfn.IFS(F851&lt;=8,"Child",F851&lt;=17,"Teen",F851&lt;=35,"Adult",F851&lt;=55,"Seniour Adult",F851&gt;=55,"Old Age")</f>
        <v>Seniour Adult</v>
      </c>
      <c r="H851" t="s">
        <v>18</v>
      </c>
      <c r="I851" t="s">
        <v>11</v>
      </c>
      <c r="J851" t="str" cm="1">
        <f t="array" ref="J851">_xlfn.IFS(I851="S","Sauthamptonm",I851="Q","Queentown",I851="C","Cherburg",I851="B","Cabin")</f>
        <v>Sauthamptonm</v>
      </c>
      <c r="K851" t="s">
        <v>15</v>
      </c>
      <c r="L851" s="2">
        <v>21</v>
      </c>
      <c r="M851">
        <v>0</v>
      </c>
      <c r="N851">
        <v>0</v>
      </c>
      <c r="O851" t="s">
        <v>16</v>
      </c>
    </row>
    <row r="852" spans="1:15" x14ac:dyDescent="0.3">
      <c r="A852" s="1" t="s">
        <v>1682</v>
      </c>
      <c r="B852" t="s">
        <v>78</v>
      </c>
      <c r="C852" t="s">
        <v>1683</v>
      </c>
      <c r="D852" t="str">
        <f t="shared" si="13"/>
        <v>Female</v>
      </c>
      <c r="E852" t="s">
        <v>14</v>
      </c>
      <c r="F852" s="2">
        <v>37</v>
      </c>
      <c r="G852" s="2" t="str" cm="1">
        <f t="array" ref="G852">_xlfn.IFS(F852&lt;=8,"Child",F852&lt;=17,"Teen",F852&lt;=35,"Adult",F852&lt;=55,"Seniour Adult",F852&gt;=55,"Old Age")</f>
        <v>Seniour Adult</v>
      </c>
      <c r="H852" t="s">
        <v>25</v>
      </c>
      <c r="I852" t="s">
        <v>19</v>
      </c>
      <c r="J852" t="str" cm="1">
        <f t="array" ref="J852">_xlfn.IFS(I852="S","Sauthamptonm",I852="Q","Queentown",I852="C","Cherburg",I852="B","Cabin")</f>
        <v>Cherburg</v>
      </c>
      <c r="K852" t="s">
        <v>15</v>
      </c>
      <c r="L852" s="2">
        <v>512.0607</v>
      </c>
      <c r="M852">
        <v>0</v>
      </c>
      <c r="N852">
        <v>0</v>
      </c>
      <c r="O852" t="s">
        <v>16</v>
      </c>
    </row>
    <row r="853" spans="1:15" x14ac:dyDescent="0.3">
      <c r="A853" s="1" t="s">
        <v>1684</v>
      </c>
      <c r="B853" t="s">
        <v>72</v>
      </c>
      <c r="C853" t="s">
        <v>1442</v>
      </c>
      <c r="D853" t="str">
        <f t="shared" si="13"/>
        <v>Male</v>
      </c>
      <c r="E853" t="s">
        <v>9</v>
      </c>
      <c r="F853" s="2">
        <v>35</v>
      </c>
      <c r="G853" s="2" t="str" cm="1">
        <f t="array" ref="G853">_xlfn.IFS(F853&lt;=8,"Child",F853&lt;=17,"Teen",F853&lt;=35,"Adult",F853&lt;=55,"Seniour Adult",F853&gt;=55,"Old Age")</f>
        <v>Adult</v>
      </c>
      <c r="H853" t="s">
        <v>10</v>
      </c>
      <c r="I853" t="s">
        <v>11</v>
      </c>
      <c r="J853" t="str" cm="1">
        <f t="array" ref="J853">_xlfn.IFS(I853="S","Sauthamptonm",I853="Q","Queentown",I853="C","Cherburg",I853="B","Cabin")</f>
        <v>Sauthamptonm</v>
      </c>
      <c r="K853" t="s">
        <v>15</v>
      </c>
      <c r="L853" s="2">
        <v>8.01</v>
      </c>
      <c r="M853">
        <v>0</v>
      </c>
      <c r="N853">
        <v>0</v>
      </c>
      <c r="O853" t="s">
        <v>13</v>
      </c>
    </row>
    <row r="854" spans="1:15" x14ac:dyDescent="0.3">
      <c r="A854" s="1" t="s">
        <v>1685</v>
      </c>
      <c r="B854" t="s">
        <v>72</v>
      </c>
      <c r="C854" t="s">
        <v>1686</v>
      </c>
      <c r="D854" t="str">
        <f t="shared" si="13"/>
        <v>Male</v>
      </c>
      <c r="E854" t="s">
        <v>9</v>
      </c>
      <c r="F854" s="2">
        <v>31</v>
      </c>
      <c r="G854" s="2" t="str" cm="1">
        <f t="array" ref="G854">_xlfn.IFS(F854&lt;=8,"Child",F854&lt;=17,"Teen",F854&lt;=35,"Adult",F854&lt;=55,"Seniour Adult",F854&gt;=55,"Old Age")</f>
        <v>Adult</v>
      </c>
      <c r="H854" t="s">
        <v>10</v>
      </c>
      <c r="I854" t="s">
        <v>11</v>
      </c>
      <c r="J854" t="str" cm="1">
        <f t="array" ref="J854">_xlfn.IFS(I854="S","Sauthamptonm",I854="Q","Queentown",I854="C","Cherburg",I854="B","Cabin")</f>
        <v>Sauthamptonm</v>
      </c>
      <c r="K854" t="s">
        <v>15</v>
      </c>
      <c r="L854" s="2">
        <v>7.11</v>
      </c>
      <c r="M854">
        <v>0</v>
      </c>
      <c r="N854">
        <v>0</v>
      </c>
      <c r="O854" t="s">
        <v>13</v>
      </c>
    </row>
    <row r="855" spans="1:15" x14ac:dyDescent="0.3">
      <c r="A855" s="1" t="s">
        <v>1687</v>
      </c>
      <c r="B855" t="s">
        <v>72</v>
      </c>
      <c r="C855" t="s">
        <v>1688</v>
      </c>
      <c r="D855" t="str">
        <f t="shared" si="13"/>
        <v>Male</v>
      </c>
      <c r="E855" t="s">
        <v>9</v>
      </c>
      <c r="F855" s="2">
        <v>19</v>
      </c>
      <c r="G855" s="2" t="str" cm="1">
        <f t="array" ref="G855">_xlfn.IFS(F855&lt;=8,"Child",F855&lt;=17,"Teen",F855&lt;=35,"Adult",F855&lt;=55,"Seniour Adult",F855&gt;=55,"Old Age")</f>
        <v>Adult</v>
      </c>
      <c r="H855" t="s">
        <v>18</v>
      </c>
      <c r="I855" t="s">
        <v>28</v>
      </c>
      <c r="J855" t="str" cm="1">
        <f t="array" ref="J855">_xlfn.IFS(I855="S","Sauthamptonm",I855="Q","Queentown",I855="C","Cherburg",I855="B","Cabin")</f>
        <v>Cabin</v>
      </c>
      <c r="K855" t="s">
        <v>29</v>
      </c>
      <c r="L855" s="2">
        <v>29</v>
      </c>
      <c r="M855">
        <v>0</v>
      </c>
      <c r="N855">
        <v>0</v>
      </c>
      <c r="O855" t="s">
        <v>13</v>
      </c>
    </row>
    <row r="856" spans="1:15" x14ac:dyDescent="0.3">
      <c r="A856" s="1" t="s">
        <v>1689</v>
      </c>
      <c r="B856" t="s">
        <v>78</v>
      </c>
      <c r="C856" t="s">
        <v>1690</v>
      </c>
      <c r="D856" t="str">
        <f t="shared" si="13"/>
        <v>Female</v>
      </c>
      <c r="E856" t="s">
        <v>14</v>
      </c>
      <c r="F856" s="2">
        <v>12</v>
      </c>
      <c r="G856" s="2" t="str" cm="1">
        <f t="array" ref="G856">_xlfn.IFS(F856&lt;=8,"Child",F856&lt;=17,"Teen",F856&lt;=35,"Adult",F856&lt;=55,"Seniour Adult",F856&gt;=55,"Old Age")</f>
        <v>Teen</v>
      </c>
      <c r="H856" t="s">
        <v>18</v>
      </c>
      <c r="I856" t="s">
        <v>11</v>
      </c>
      <c r="J856" t="str" cm="1">
        <f t="array" ref="J856">_xlfn.IFS(I856="S","Sauthamptonm",I856="Q","Queentown",I856="C","Cherburg",I856="B","Cabin")</f>
        <v>Sauthamptonm</v>
      </c>
      <c r="K856" t="s">
        <v>43</v>
      </c>
      <c r="L856" s="2">
        <v>15.15</v>
      </c>
      <c r="M856">
        <v>0</v>
      </c>
      <c r="N856">
        <v>0</v>
      </c>
      <c r="O856" t="s">
        <v>16</v>
      </c>
    </row>
    <row r="857" spans="1:15" x14ac:dyDescent="0.3">
      <c r="A857" s="1" t="s">
        <v>1691</v>
      </c>
      <c r="B857" t="s">
        <v>72</v>
      </c>
      <c r="C857" t="s">
        <v>1692</v>
      </c>
      <c r="D857" t="str">
        <f t="shared" si="13"/>
        <v>Male</v>
      </c>
      <c r="E857" t="s">
        <v>9</v>
      </c>
      <c r="F857" s="2">
        <v>23</v>
      </c>
      <c r="G857" s="2" t="str" cm="1">
        <f t="array" ref="G857">_xlfn.IFS(F857&lt;=8,"Child",F857&lt;=17,"Teen",F857&lt;=35,"Adult",F857&lt;=55,"Seniour Adult",F857&gt;=55,"Old Age")</f>
        <v>Adult</v>
      </c>
      <c r="H857" t="s">
        <v>10</v>
      </c>
      <c r="I857" t="s">
        <v>19</v>
      </c>
      <c r="J857" t="str" cm="1">
        <f t="array" ref="J857">_xlfn.IFS(I857="S","Sauthamptonm",I857="Q","Queentown",I857="C","Cherburg",I857="B","Cabin")</f>
        <v>Cherburg</v>
      </c>
      <c r="K857" t="s">
        <v>21</v>
      </c>
      <c r="L857" s="2">
        <v>7.0406000000000004</v>
      </c>
      <c r="M857">
        <v>0</v>
      </c>
      <c r="N857">
        <v>0</v>
      </c>
      <c r="O857" t="s">
        <v>13</v>
      </c>
    </row>
    <row r="858" spans="1:15" x14ac:dyDescent="0.3">
      <c r="A858" s="1" t="s">
        <v>1693</v>
      </c>
      <c r="B858" t="s">
        <v>78</v>
      </c>
      <c r="C858" t="s">
        <v>1694</v>
      </c>
      <c r="D858" t="str">
        <f t="shared" si="13"/>
        <v>Female</v>
      </c>
      <c r="E858" t="s">
        <v>14</v>
      </c>
      <c r="F858" s="2">
        <v>37</v>
      </c>
      <c r="G858" s="2" t="str" cm="1">
        <f t="array" ref="G858">_xlfn.IFS(F858&lt;=8,"Child",F858&lt;=17,"Teen",F858&lt;=35,"Adult",F858&lt;=55,"Seniour Adult",F858&gt;=55,"Old Age")</f>
        <v>Seniour Adult</v>
      </c>
      <c r="H858" t="s">
        <v>18</v>
      </c>
      <c r="I858" t="s">
        <v>11</v>
      </c>
      <c r="J858" t="str" cm="1">
        <f t="array" ref="J858">_xlfn.IFS(I858="S","Sauthamptonm",I858="Q","Queentown",I858="C","Cherburg",I858="B","Cabin")</f>
        <v>Sauthamptonm</v>
      </c>
      <c r="K858" t="s">
        <v>15</v>
      </c>
      <c r="L858" s="2">
        <v>13</v>
      </c>
      <c r="M858">
        <v>0</v>
      </c>
      <c r="N858">
        <v>0</v>
      </c>
      <c r="O858" t="s">
        <v>16</v>
      </c>
    </row>
    <row r="859" spans="1:15" x14ac:dyDescent="0.3">
      <c r="A859" s="1" t="s">
        <v>1695</v>
      </c>
      <c r="B859" t="s">
        <v>151</v>
      </c>
      <c r="C859" t="s">
        <v>90</v>
      </c>
      <c r="D859" t="str">
        <f t="shared" si="13"/>
        <v>Male</v>
      </c>
      <c r="E859" t="s">
        <v>9</v>
      </c>
      <c r="F859" s="2">
        <v>59</v>
      </c>
      <c r="G859" s="2" t="str" cm="1">
        <f t="array" ref="G859">_xlfn.IFS(F859&lt;=8,"Child",F859&lt;=17,"Teen",F859&lt;=35,"Adult",F859&lt;=55,"Seniour Adult",F859&gt;=55,"Old Age")</f>
        <v>Old Age</v>
      </c>
      <c r="H859" t="s">
        <v>25</v>
      </c>
      <c r="I859" t="s">
        <v>11</v>
      </c>
      <c r="J859" t="str" cm="1">
        <f t="array" ref="J859">_xlfn.IFS(I859="S","Sauthamptonm",I859="Q","Queentown",I859="C","Cherburg",I859="B","Cabin")</f>
        <v>Sauthamptonm</v>
      </c>
      <c r="K859" t="s">
        <v>12</v>
      </c>
      <c r="L859" s="2">
        <v>26.11</v>
      </c>
      <c r="M859">
        <v>0</v>
      </c>
      <c r="N859">
        <v>0</v>
      </c>
      <c r="O859" t="s">
        <v>13</v>
      </c>
    </row>
    <row r="860" spans="1:15" x14ac:dyDescent="0.3">
      <c r="A860" s="1" t="s">
        <v>1696</v>
      </c>
      <c r="B860" t="s">
        <v>72</v>
      </c>
      <c r="C860" t="s">
        <v>1697</v>
      </c>
      <c r="D860" t="str">
        <f t="shared" si="13"/>
        <v>Male</v>
      </c>
      <c r="E860" t="s">
        <v>9</v>
      </c>
      <c r="F860" s="2">
        <v>37</v>
      </c>
      <c r="G860" s="2" t="str" cm="1">
        <f t="array" ref="G860">_xlfn.IFS(F860&lt;=8,"Child",F860&lt;=17,"Teen",F860&lt;=35,"Adult",F860&lt;=55,"Seniour Adult",F860&gt;=55,"Old Age")</f>
        <v>Seniour Adult</v>
      </c>
      <c r="H860" t="s">
        <v>18</v>
      </c>
      <c r="I860" t="s">
        <v>11</v>
      </c>
      <c r="J860" t="str" cm="1">
        <f t="array" ref="J860">_xlfn.IFS(I860="S","Sauthamptonm",I860="Q","Queentown",I860="C","Cherburg",I860="B","Cabin")</f>
        <v>Sauthamptonm</v>
      </c>
      <c r="K860" t="s">
        <v>35</v>
      </c>
      <c r="L860" s="2">
        <v>26</v>
      </c>
      <c r="M860">
        <v>1</v>
      </c>
      <c r="N860">
        <v>0</v>
      </c>
      <c r="O860" t="s">
        <v>13</v>
      </c>
    </row>
    <row r="861" spans="1:15" x14ac:dyDescent="0.3">
      <c r="A861" s="1" t="s">
        <v>1698</v>
      </c>
      <c r="B861" t="s">
        <v>94</v>
      </c>
      <c r="C861" t="s">
        <v>1699</v>
      </c>
      <c r="D861" t="str">
        <f t="shared" si="13"/>
        <v>Male</v>
      </c>
      <c r="E861" t="s">
        <v>9</v>
      </c>
      <c r="F861" s="2">
        <v>2</v>
      </c>
      <c r="G861" s="2" t="str" cm="1">
        <f t="array" ref="G861">_xlfn.IFS(F861&lt;=8,"Child",F861&lt;=17,"Teen",F861&lt;=35,"Adult",F861&lt;=55,"Seniour Adult",F861&gt;=55,"Old Age")</f>
        <v>Child</v>
      </c>
      <c r="H861" t="s">
        <v>18</v>
      </c>
      <c r="I861" t="s">
        <v>11</v>
      </c>
      <c r="J861" t="str" cm="1">
        <f t="array" ref="J861">_xlfn.IFS(I861="S","Sauthamptonm",I861="Q","Queentown",I861="C","Cherburg",I861="B","Cabin")</f>
        <v>Sauthamptonm</v>
      </c>
      <c r="K861" t="s">
        <v>15</v>
      </c>
      <c r="L861" s="2">
        <v>23</v>
      </c>
      <c r="M861">
        <v>1</v>
      </c>
      <c r="N861">
        <v>1</v>
      </c>
      <c r="O861" t="s">
        <v>16</v>
      </c>
    </row>
    <row r="862" spans="1:15" x14ac:dyDescent="0.3">
      <c r="A862" s="1" t="s">
        <v>1700</v>
      </c>
      <c r="B862" t="s">
        <v>72</v>
      </c>
      <c r="C862" t="s">
        <v>866</v>
      </c>
      <c r="D862" t="str">
        <f t="shared" si="13"/>
        <v>Male</v>
      </c>
      <c r="E862" t="s">
        <v>9</v>
      </c>
      <c r="F862" s="2">
        <v>27</v>
      </c>
      <c r="G862" s="2" t="str" cm="1">
        <f t="array" ref="G862">_xlfn.IFS(F862&lt;=8,"Child",F862&lt;=17,"Teen",F862&lt;=35,"Adult",F862&lt;=55,"Seniour Adult",F862&gt;=55,"Old Age")</f>
        <v>Adult</v>
      </c>
      <c r="H862" t="s">
        <v>10</v>
      </c>
      <c r="I862" t="s">
        <v>11</v>
      </c>
      <c r="J862" t="str" cm="1">
        <f t="array" ref="J862">_xlfn.IFS(I862="S","Sauthamptonm",I862="Q","Queentown",I862="C","Cherburg",I862="B","Cabin")</f>
        <v>Sauthamptonm</v>
      </c>
      <c r="K862" t="s">
        <v>23</v>
      </c>
      <c r="L862" s="2">
        <v>7.1510999999999996</v>
      </c>
      <c r="M862">
        <v>0</v>
      </c>
      <c r="N862">
        <v>0</v>
      </c>
      <c r="O862" t="s">
        <v>16</v>
      </c>
    </row>
    <row r="863" spans="1:15" x14ac:dyDescent="0.3">
      <c r="A863" s="1" t="s">
        <v>1701</v>
      </c>
      <c r="B863" t="s">
        <v>78</v>
      </c>
      <c r="C863" t="s">
        <v>1702</v>
      </c>
      <c r="D863" t="str">
        <f t="shared" si="13"/>
        <v>Female</v>
      </c>
      <c r="E863" t="s">
        <v>14</v>
      </c>
      <c r="F863" s="2">
        <v>0.83333333330000003</v>
      </c>
      <c r="G863" s="2" t="str" cm="1">
        <f t="array" ref="G863">_xlfn.IFS(F863&lt;=8,"Child",F863&lt;=17,"Teen",F863&lt;=35,"Adult",F863&lt;=55,"Seniour Adult",F863&gt;=55,"Old Age")</f>
        <v>Child</v>
      </c>
      <c r="H863" t="s">
        <v>18</v>
      </c>
      <c r="I863" t="s">
        <v>11</v>
      </c>
      <c r="J863" t="str" cm="1">
        <f t="array" ref="J863">_xlfn.IFS(I863="S","Sauthamptonm",I863="Q","Queentown",I863="C","Cherburg",I863="B","Cabin")</f>
        <v>Sauthamptonm</v>
      </c>
      <c r="K863" t="s">
        <v>15</v>
      </c>
      <c r="L863" s="2">
        <v>27.15</v>
      </c>
      <c r="M863">
        <v>1</v>
      </c>
      <c r="N863">
        <v>2</v>
      </c>
      <c r="O863" t="s">
        <v>16</v>
      </c>
    </row>
    <row r="864" spans="1:15" x14ac:dyDescent="0.3">
      <c r="A864" s="1" t="s">
        <v>1703</v>
      </c>
      <c r="B864" t="s">
        <v>72</v>
      </c>
      <c r="C864" t="s">
        <v>1704</v>
      </c>
      <c r="D864" t="str">
        <f t="shared" si="13"/>
        <v>Male</v>
      </c>
      <c r="E864" t="s">
        <v>9</v>
      </c>
      <c r="F864" s="2">
        <v>65</v>
      </c>
      <c r="G864" s="2" t="str" cm="1">
        <f t="array" ref="G864">_xlfn.IFS(F864&lt;=8,"Child",F864&lt;=17,"Teen",F864&lt;=35,"Adult",F864&lt;=55,"Seniour Adult",F864&gt;=55,"Old Age")</f>
        <v>Old Age</v>
      </c>
      <c r="H864" t="s">
        <v>18</v>
      </c>
      <c r="I864" t="s">
        <v>11</v>
      </c>
      <c r="J864" t="str" cm="1">
        <f t="array" ref="J864">_xlfn.IFS(I864="S","Sauthamptonm",I864="Q","Queentown",I864="C","Cherburg",I864="B","Cabin")</f>
        <v>Sauthamptonm</v>
      </c>
      <c r="K864" t="s">
        <v>15</v>
      </c>
      <c r="L864" s="2">
        <v>10.1</v>
      </c>
      <c r="M864">
        <v>0</v>
      </c>
      <c r="N864">
        <v>0</v>
      </c>
      <c r="O864" t="s">
        <v>13</v>
      </c>
    </row>
    <row r="865" spans="1:15" x14ac:dyDescent="0.3">
      <c r="A865" s="1" t="s">
        <v>1705</v>
      </c>
      <c r="B865" t="s">
        <v>72</v>
      </c>
      <c r="C865" t="s">
        <v>1706</v>
      </c>
      <c r="D865" t="str">
        <f t="shared" si="13"/>
        <v>Male</v>
      </c>
      <c r="E865" t="s">
        <v>9</v>
      </c>
      <c r="F865" s="2">
        <v>26</v>
      </c>
      <c r="G865" s="2" t="str" cm="1">
        <f t="array" ref="G865">_xlfn.IFS(F865&lt;=8,"Child",F865&lt;=17,"Teen",F865&lt;=35,"Adult",F865&lt;=55,"Seniour Adult",F865&gt;=55,"Old Age")</f>
        <v>Adult</v>
      </c>
      <c r="H865" t="s">
        <v>18</v>
      </c>
      <c r="I865" t="s">
        <v>11</v>
      </c>
      <c r="J865" t="str" cm="1">
        <f t="array" ref="J865">_xlfn.IFS(I865="S","Sauthamptonm",I865="Q","Queentown",I865="C","Cherburg",I865="B","Cabin")</f>
        <v>Sauthamptonm</v>
      </c>
      <c r="K865" t="s">
        <v>15</v>
      </c>
      <c r="L865" s="2">
        <v>12.1706</v>
      </c>
      <c r="M865">
        <v>0</v>
      </c>
      <c r="N865">
        <v>0</v>
      </c>
      <c r="O865" t="s">
        <v>13</v>
      </c>
    </row>
    <row r="866" spans="1:15" x14ac:dyDescent="0.3">
      <c r="A866" s="1" t="s">
        <v>1707</v>
      </c>
      <c r="B866" t="s">
        <v>72</v>
      </c>
      <c r="C866" t="s">
        <v>1019</v>
      </c>
      <c r="D866" t="str">
        <f t="shared" si="13"/>
        <v>Male</v>
      </c>
      <c r="E866" t="s">
        <v>9</v>
      </c>
      <c r="F866" s="2">
        <v>31</v>
      </c>
      <c r="G866" s="2" t="str" cm="1">
        <f t="array" ref="G866">_xlfn.IFS(F866&lt;=8,"Child",F866&lt;=17,"Teen",F866&lt;=35,"Adult",F866&lt;=55,"Seniour Adult",F866&gt;=55,"Old Age")</f>
        <v>Adult</v>
      </c>
      <c r="H866" t="s">
        <v>18</v>
      </c>
      <c r="I866" t="s">
        <v>11</v>
      </c>
      <c r="J866" t="str" cm="1">
        <f t="array" ref="J866">_xlfn.IFS(I866="S","Sauthamptonm",I866="Q","Queentown",I866="C","Cherburg",I866="B","Cabin")</f>
        <v>Sauthamptonm</v>
      </c>
      <c r="K866" t="s">
        <v>15</v>
      </c>
      <c r="L866" s="2">
        <v>13</v>
      </c>
      <c r="M866">
        <v>0</v>
      </c>
      <c r="N866">
        <v>0</v>
      </c>
      <c r="O866" t="s">
        <v>16</v>
      </c>
    </row>
    <row r="867" spans="1:15" x14ac:dyDescent="0.3">
      <c r="A867" s="1" t="s">
        <v>1708</v>
      </c>
      <c r="B867" t="s">
        <v>72</v>
      </c>
      <c r="C867" t="s">
        <v>1709</v>
      </c>
      <c r="D867" t="str">
        <f t="shared" si="13"/>
        <v>Male</v>
      </c>
      <c r="E867" t="s">
        <v>9</v>
      </c>
      <c r="F867" s="2">
        <v>54</v>
      </c>
      <c r="G867" s="2" t="str" cm="1">
        <f t="array" ref="G867">_xlfn.IFS(F867&lt;=8,"Child",F867&lt;=17,"Teen",F867&lt;=35,"Adult",F867&lt;=55,"Seniour Adult",F867&gt;=55,"Old Age")</f>
        <v>Seniour Adult</v>
      </c>
      <c r="H867" t="s">
        <v>25</v>
      </c>
      <c r="I867" t="s">
        <v>11</v>
      </c>
      <c r="J867" t="str" cm="1">
        <f t="array" ref="J867">_xlfn.IFS(I867="S","Sauthamptonm",I867="Q","Queentown",I867="C","Cherburg",I867="B","Cabin")</f>
        <v>Sauthamptonm</v>
      </c>
      <c r="K867" t="s">
        <v>12</v>
      </c>
      <c r="L867" s="2">
        <v>77.050899999999999</v>
      </c>
      <c r="M867">
        <v>0</v>
      </c>
      <c r="N867">
        <v>1</v>
      </c>
      <c r="O867" t="s">
        <v>13</v>
      </c>
    </row>
    <row r="868" spans="1:15" x14ac:dyDescent="0.3">
      <c r="A868" s="1" t="s">
        <v>1710</v>
      </c>
      <c r="B868" t="s">
        <v>1711</v>
      </c>
      <c r="C868" t="s">
        <v>1712</v>
      </c>
      <c r="D868" t="str">
        <f t="shared" si="13"/>
        <v>Male</v>
      </c>
      <c r="E868" t="s">
        <v>9</v>
      </c>
      <c r="F868" s="2">
        <v>57</v>
      </c>
      <c r="G868" s="2" t="str" cm="1">
        <f t="array" ref="G868">_xlfn.IFS(F868&lt;=8,"Child",F868&lt;=17,"Teen",F868&lt;=35,"Adult",F868&lt;=55,"Seniour Adult",F868&gt;=55,"Old Age")</f>
        <v>Old Age</v>
      </c>
      <c r="H868" t="s">
        <v>25</v>
      </c>
      <c r="I868" t="s">
        <v>11</v>
      </c>
      <c r="J868" t="str" cm="1">
        <f t="array" ref="J868">_xlfn.IFS(I868="S","Sauthamptonm",I868="Q","Queentown",I868="C","Cherburg",I868="B","Cabin")</f>
        <v>Sauthamptonm</v>
      </c>
      <c r="K868" t="s">
        <v>12</v>
      </c>
      <c r="L868" s="2">
        <v>164.1704</v>
      </c>
      <c r="M868">
        <v>1</v>
      </c>
      <c r="N868">
        <v>1</v>
      </c>
      <c r="O868" t="s">
        <v>13</v>
      </c>
    </row>
    <row r="869" spans="1:15" x14ac:dyDescent="0.3">
      <c r="A869" s="1" t="s">
        <v>1713</v>
      </c>
      <c r="B869" t="s">
        <v>72</v>
      </c>
      <c r="C869" t="s">
        <v>1714</v>
      </c>
      <c r="D869" t="str">
        <f t="shared" si="13"/>
        <v>Male</v>
      </c>
      <c r="E869" t="s">
        <v>9</v>
      </c>
      <c r="F869" s="2">
        <v>51</v>
      </c>
      <c r="G869" s="2" t="str" cm="1">
        <f t="array" ref="G869">_xlfn.IFS(F869&lt;=8,"Child",F869&lt;=17,"Teen",F869&lt;=35,"Adult",F869&lt;=55,"Seniour Adult",F869&gt;=55,"Old Age")</f>
        <v>Seniour Adult</v>
      </c>
      <c r="H869" t="s">
        <v>10</v>
      </c>
      <c r="I869" t="s">
        <v>11</v>
      </c>
      <c r="J869" t="str" cm="1">
        <f t="array" ref="J869">_xlfn.IFS(I869="S","Sauthamptonm",I869="Q","Queentown",I869="C","Cherburg",I869="B","Cabin")</f>
        <v>Sauthamptonm</v>
      </c>
      <c r="K869" t="s">
        <v>23</v>
      </c>
      <c r="L869" s="2">
        <v>7.15</v>
      </c>
      <c r="M869">
        <v>0</v>
      </c>
      <c r="N869">
        <v>0</v>
      </c>
      <c r="O869" t="s">
        <v>13</v>
      </c>
    </row>
    <row r="870" spans="1:15" x14ac:dyDescent="0.3">
      <c r="A870" s="1" t="s">
        <v>1715</v>
      </c>
      <c r="B870" t="s">
        <v>72</v>
      </c>
      <c r="C870" t="s">
        <v>1716</v>
      </c>
      <c r="D870" t="str">
        <f t="shared" si="13"/>
        <v>Male</v>
      </c>
      <c r="E870" t="s">
        <v>9</v>
      </c>
      <c r="F870" s="2">
        <v>50</v>
      </c>
      <c r="G870" s="2" t="str" cm="1">
        <f t="array" ref="G870">_xlfn.IFS(F870&lt;=8,"Child",F870&lt;=17,"Teen",F870&lt;=35,"Adult",F870&lt;=55,"Seniour Adult",F870&gt;=55,"Old Age")</f>
        <v>Seniour Adult</v>
      </c>
      <c r="H870" t="s">
        <v>25</v>
      </c>
      <c r="I870" t="s">
        <v>11</v>
      </c>
      <c r="J870" t="str" cm="1">
        <f t="array" ref="J870">_xlfn.IFS(I870="S","Sauthamptonm",I870="Q","Queentown",I870="C","Cherburg",I870="B","Cabin")</f>
        <v>Sauthamptonm</v>
      </c>
      <c r="K870" t="s">
        <v>12</v>
      </c>
      <c r="L870" s="2">
        <v>211.1</v>
      </c>
      <c r="M870">
        <v>1</v>
      </c>
      <c r="N870">
        <v>1</v>
      </c>
      <c r="O870" t="s">
        <v>13</v>
      </c>
    </row>
    <row r="871" spans="1:15" x14ac:dyDescent="0.3">
      <c r="A871" s="1" t="s">
        <v>1717</v>
      </c>
      <c r="B871" t="s">
        <v>72</v>
      </c>
      <c r="C871" t="s">
        <v>858</v>
      </c>
      <c r="D871" t="str">
        <f t="shared" si="13"/>
        <v>Male</v>
      </c>
      <c r="E871" t="s">
        <v>9</v>
      </c>
      <c r="F871" s="2">
        <v>18</v>
      </c>
      <c r="G871" s="2" t="str" cm="1">
        <f t="array" ref="G871">_xlfn.IFS(F871&lt;=8,"Child",F871&lt;=17,"Teen",F871&lt;=35,"Adult",F871&lt;=55,"Seniour Adult",F871&gt;=55,"Old Age")</f>
        <v>Adult</v>
      </c>
      <c r="H871" t="s">
        <v>10</v>
      </c>
      <c r="I871" t="s">
        <v>11</v>
      </c>
      <c r="J871" t="str" cm="1">
        <f t="array" ref="J871">_xlfn.IFS(I871="S","Sauthamptonm",I871="Q","Queentown",I871="C","Cherburg",I871="B","Cabin")</f>
        <v>Sauthamptonm</v>
      </c>
      <c r="K871" t="s">
        <v>22</v>
      </c>
      <c r="L871" s="2">
        <v>6.0911</v>
      </c>
      <c r="M871">
        <v>1</v>
      </c>
      <c r="N871">
        <v>0</v>
      </c>
      <c r="O871" t="s">
        <v>13</v>
      </c>
    </row>
    <row r="872" spans="1:15" x14ac:dyDescent="0.3">
      <c r="A872" s="1" t="s">
        <v>1718</v>
      </c>
      <c r="B872" t="s">
        <v>76</v>
      </c>
      <c r="C872" t="s">
        <v>237</v>
      </c>
      <c r="D872" t="str">
        <f t="shared" si="13"/>
        <v>Female</v>
      </c>
      <c r="E872" t="s">
        <v>14</v>
      </c>
      <c r="F872" s="2">
        <v>47</v>
      </c>
      <c r="G872" s="2" t="str" cm="1">
        <f t="array" ref="G872">_xlfn.IFS(F872&lt;=8,"Child",F872&lt;=17,"Teen",F872&lt;=35,"Adult",F872&lt;=55,"Seniour Adult",F872&gt;=55,"Old Age")</f>
        <v>Seniour Adult</v>
      </c>
      <c r="H872" t="s">
        <v>10</v>
      </c>
      <c r="I872" t="s">
        <v>11</v>
      </c>
      <c r="J872" t="str" cm="1">
        <f t="array" ref="J872">_xlfn.IFS(I872="S","Sauthamptonm",I872="Q","Queentown",I872="C","Cherburg",I872="B","Cabin")</f>
        <v>Sauthamptonm</v>
      </c>
      <c r="K872" t="s">
        <v>15</v>
      </c>
      <c r="L872" s="2">
        <v>7</v>
      </c>
      <c r="M872">
        <v>1</v>
      </c>
      <c r="N872">
        <v>0</v>
      </c>
      <c r="O872" t="s">
        <v>16</v>
      </c>
    </row>
    <row r="873" spans="1:15" x14ac:dyDescent="0.3">
      <c r="A873" s="1" t="s">
        <v>1719</v>
      </c>
      <c r="B873" t="s">
        <v>76</v>
      </c>
      <c r="C873" t="s">
        <v>1116</v>
      </c>
      <c r="D873" t="str">
        <f t="shared" si="13"/>
        <v>Female</v>
      </c>
      <c r="E873" t="s">
        <v>14</v>
      </c>
      <c r="F873" s="2">
        <v>30</v>
      </c>
      <c r="G873" s="2" t="str" cm="1">
        <f t="array" ref="G873">_xlfn.IFS(F873&lt;=8,"Child",F873&lt;=17,"Teen",F873&lt;=35,"Adult",F873&lt;=55,"Seniour Adult",F873&gt;=55,"Old Age")</f>
        <v>Adult</v>
      </c>
      <c r="H873" t="s">
        <v>18</v>
      </c>
      <c r="I873" t="s">
        <v>11</v>
      </c>
      <c r="J873" t="str" cm="1">
        <f t="array" ref="J873">_xlfn.IFS(I873="S","Sauthamptonm",I873="Q","Queentown",I873="C","Cherburg",I873="B","Cabin")</f>
        <v>Sauthamptonm</v>
      </c>
      <c r="K873" t="s">
        <v>15</v>
      </c>
      <c r="L873" s="2">
        <v>26</v>
      </c>
      <c r="M873">
        <v>1</v>
      </c>
      <c r="N873">
        <v>0</v>
      </c>
      <c r="O873" t="s">
        <v>16</v>
      </c>
    </row>
    <row r="874" spans="1:15" x14ac:dyDescent="0.3">
      <c r="A874" s="1" t="s">
        <v>1720</v>
      </c>
      <c r="B874" t="s">
        <v>78</v>
      </c>
      <c r="C874" t="s">
        <v>1721</v>
      </c>
      <c r="D874" t="str">
        <f t="shared" si="13"/>
        <v>Female</v>
      </c>
      <c r="E874" t="s">
        <v>14</v>
      </c>
      <c r="F874" s="2">
        <v>21</v>
      </c>
      <c r="G874" s="2" t="str" cm="1">
        <f t="array" ref="G874">_xlfn.IFS(F874&lt;=8,"Child",F874&lt;=17,"Teen",F874&lt;=35,"Adult",F874&lt;=55,"Seniour Adult",F874&gt;=55,"Old Age")</f>
        <v>Adult</v>
      </c>
      <c r="H874" t="s">
        <v>25</v>
      </c>
      <c r="I874" t="s">
        <v>11</v>
      </c>
      <c r="J874" t="str" cm="1">
        <f t="array" ref="J874">_xlfn.IFS(I874="S","Sauthamptonm",I874="Q","Queentown",I874="C","Cherburg",I874="B","Cabin")</f>
        <v>Sauthamptonm</v>
      </c>
      <c r="K874" t="s">
        <v>12</v>
      </c>
      <c r="L874" s="2">
        <v>26.11</v>
      </c>
      <c r="M874">
        <v>0</v>
      </c>
      <c r="N874">
        <v>0</v>
      </c>
      <c r="O874" t="s">
        <v>16</v>
      </c>
    </row>
    <row r="875" spans="1:15" x14ac:dyDescent="0.3">
      <c r="A875" s="1" t="s">
        <v>1722</v>
      </c>
      <c r="B875" t="s">
        <v>72</v>
      </c>
      <c r="C875" t="s">
        <v>1723</v>
      </c>
      <c r="D875" t="str">
        <f t="shared" si="13"/>
        <v>Male</v>
      </c>
      <c r="E875" t="s">
        <v>9</v>
      </c>
      <c r="F875" s="2">
        <v>37</v>
      </c>
      <c r="G875" s="2" t="str" cm="1">
        <f t="array" ref="G875">_xlfn.IFS(F875&lt;=8,"Child",F875&lt;=17,"Teen",F875&lt;=35,"Adult",F875&lt;=55,"Seniour Adult",F875&gt;=55,"Old Age")</f>
        <v>Seniour Adult</v>
      </c>
      <c r="H875" t="s">
        <v>10</v>
      </c>
      <c r="I875" t="s">
        <v>19</v>
      </c>
      <c r="J875" t="str" cm="1">
        <f t="array" ref="J875">_xlfn.IFS(I875="S","Sauthamptonm",I875="Q","Queentown",I875="C","Cherburg",I875="B","Cabin")</f>
        <v>Cherburg</v>
      </c>
      <c r="K875" t="s">
        <v>15</v>
      </c>
      <c r="L875" s="2">
        <v>8.1402999999999999</v>
      </c>
      <c r="M875">
        <v>0</v>
      </c>
      <c r="N875">
        <v>0</v>
      </c>
      <c r="O875" t="s">
        <v>13</v>
      </c>
    </row>
    <row r="876" spans="1:15" x14ac:dyDescent="0.3">
      <c r="A876" s="1" t="s">
        <v>1724</v>
      </c>
      <c r="B876" t="s">
        <v>72</v>
      </c>
      <c r="C876" t="s">
        <v>1725</v>
      </c>
      <c r="D876" t="str">
        <f t="shared" si="13"/>
        <v>Male</v>
      </c>
      <c r="E876" t="s">
        <v>9</v>
      </c>
      <c r="F876" s="2">
        <v>21</v>
      </c>
      <c r="G876" s="2" t="str" cm="1">
        <f t="array" ref="G876">_xlfn.IFS(F876&lt;=8,"Child",F876&lt;=17,"Teen",F876&lt;=35,"Adult",F876&lt;=55,"Seniour Adult",F876&gt;=55,"Old Age")</f>
        <v>Adult</v>
      </c>
      <c r="H876" t="s">
        <v>10</v>
      </c>
      <c r="I876" t="s">
        <v>11</v>
      </c>
      <c r="J876" t="str" cm="1">
        <f t="array" ref="J876">_xlfn.IFS(I876="S","Sauthamptonm",I876="Q","Queentown",I876="C","Cherburg",I876="B","Cabin")</f>
        <v>Sauthamptonm</v>
      </c>
      <c r="K876" t="s">
        <v>40</v>
      </c>
      <c r="L876" s="2">
        <v>7.11</v>
      </c>
      <c r="M876">
        <v>0</v>
      </c>
      <c r="N876">
        <v>0</v>
      </c>
      <c r="O876" t="s">
        <v>13</v>
      </c>
    </row>
    <row r="877" spans="1:15" x14ac:dyDescent="0.3">
      <c r="A877" s="1" t="s">
        <v>1726</v>
      </c>
      <c r="B877" t="s">
        <v>72</v>
      </c>
      <c r="C877" t="s">
        <v>1727</v>
      </c>
      <c r="D877" t="str">
        <f t="shared" si="13"/>
        <v>Male</v>
      </c>
      <c r="E877" t="s">
        <v>9</v>
      </c>
      <c r="F877" s="2">
        <v>51</v>
      </c>
      <c r="G877" s="2" t="str" cm="1">
        <f t="array" ref="G877">_xlfn.IFS(F877&lt;=8,"Child",F877&lt;=17,"Teen",F877&lt;=35,"Adult",F877&lt;=55,"Seniour Adult",F877&gt;=55,"Old Age")</f>
        <v>Seniour Adult</v>
      </c>
      <c r="H877" t="s">
        <v>25</v>
      </c>
      <c r="I877" t="s">
        <v>19</v>
      </c>
      <c r="J877" t="str" cm="1">
        <f t="array" ref="J877">_xlfn.IFS(I877="S","Sauthamptonm",I877="Q","Queentown",I877="C","Cherburg",I877="B","Cabin")</f>
        <v>Cherburg</v>
      </c>
      <c r="K877" t="s">
        <v>32</v>
      </c>
      <c r="L877" s="2">
        <v>61.070700000000002</v>
      </c>
      <c r="M877">
        <v>0</v>
      </c>
      <c r="N877">
        <v>1</v>
      </c>
      <c r="O877" t="s">
        <v>13</v>
      </c>
    </row>
    <row r="878" spans="1:15" x14ac:dyDescent="0.3">
      <c r="A878" s="1" t="s">
        <v>1728</v>
      </c>
      <c r="B878" t="s">
        <v>78</v>
      </c>
      <c r="C878" t="s">
        <v>1729</v>
      </c>
      <c r="D878" t="str">
        <f t="shared" si="13"/>
        <v>Female</v>
      </c>
      <c r="E878" t="s">
        <v>14</v>
      </c>
      <c r="F878" s="2">
        <v>31</v>
      </c>
      <c r="G878" s="2" t="str" cm="1">
        <f t="array" ref="G878">_xlfn.IFS(F878&lt;=8,"Child",F878&lt;=17,"Teen",F878&lt;=35,"Adult",F878&lt;=55,"Seniour Adult",F878&gt;=55,"Old Age")</f>
        <v>Adult</v>
      </c>
      <c r="H878" t="s">
        <v>25</v>
      </c>
      <c r="I878" t="s">
        <v>19</v>
      </c>
      <c r="J878" t="str" cm="1">
        <f t="array" ref="J878">_xlfn.IFS(I878="S","Sauthamptonm",I878="Q","Queentown",I878="C","Cherburg",I878="B","Cabin")</f>
        <v>Cherburg</v>
      </c>
      <c r="K878" t="s">
        <v>15</v>
      </c>
      <c r="L878" s="2">
        <v>134.1</v>
      </c>
      <c r="M878">
        <v>0</v>
      </c>
      <c r="N878">
        <v>0</v>
      </c>
      <c r="O878" t="s">
        <v>16</v>
      </c>
    </row>
    <row r="879" spans="1:15" x14ac:dyDescent="0.3">
      <c r="A879" s="1" t="s">
        <v>1730</v>
      </c>
      <c r="B879" t="s">
        <v>72</v>
      </c>
      <c r="C879" t="s">
        <v>1731</v>
      </c>
      <c r="D879" t="str">
        <f t="shared" si="13"/>
        <v>Male</v>
      </c>
      <c r="E879" t="s">
        <v>9</v>
      </c>
      <c r="F879" s="2">
        <v>21</v>
      </c>
      <c r="G879" s="2" t="str" cm="1">
        <f t="array" ref="G879">_xlfn.IFS(F879&lt;=8,"Child",F879&lt;=17,"Teen",F879&lt;=35,"Adult",F879&lt;=55,"Seniour Adult",F879&gt;=55,"Old Age")</f>
        <v>Adult</v>
      </c>
      <c r="H879" t="s">
        <v>10</v>
      </c>
      <c r="I879" t="s">
        <v>11</v>
      </c>
      <c r="J879" t="str" cm="1">
        <f t="array" ref="J879">_xlfn.IFS(I879="S","Sauthamptonm",I879="Q","Queentown",I879="C","Cherburg",I879="B","Cabin")</f>
        <v>Sauthamptonm</v>
      </c>
      <c r="K879" t="s">
        <v>41</v>
      </c>
      <c r="L879" s="2">
        <v>7.05</v>
      </c>
      <c r="M879">
        <v>0</v>
      </c>
      <c r="N879">
        <v>0</v>
      </c>
      <c r="O879" t="s">
        <v>13</v>
      </c>
    </row>
    <row r="880" spans="1:15" x14ac:dyDescent="0.3">
      <c r="A880" s="1" t="s">
        <v>1732</v>
      </c>
      <c r="B880" t="s">
        <v>72</v>
      </c>
      <c r="C880" t="s">
        <v>161</v>
      </c>
      <c r="D880" t="str">
        <f t="shared" si="13"/>
        <v>Male</v>
      </c>
      <c r="E880" t="s">
        <v>9</v>
      </c>
      <c r="F880" s="2">
        <v>27</v>
      </c>
      <c r="G880" s="2" t="str" cm="1">
        <f t="array" ref="G880">_xlfn.IFS(F880&lt;=8,"Child",F880&lt;=17,"Teen",F880&lt;=35,"Adult",F880&lt;=55,"Seniour Adult",F880&gt;=55,"Old Age")</f>
        <v>Adult</v>
      </c>
      <c r="H880" t="s">
        <v>10</v>
      </c>
      <c r="I880" t="s">
        <v>11</v>
      </c>
      <c r="J880" t="str" cm="1">
        <f t="array" ref="J880">_xlfn.IFS(I880="S","Sauthamptonm",I880="Q","Queentown",I880="C","Cherburg",I880="B","Cabin")</f>
        <v>Sauthamptonm</v>
      </c>
      <c r="K880" t="s">
        <v>32</v>
      </c>
      <c r="L880" s="2">
        <v>8.1303000000000001</v>
      </c>
      <c r="M880">
        <v>0</v>
      </c>
      <c r="N880">
        <v>0</v>
      </c>
      <c r="O880" t="s">
        <v>13</v>
      </c>
    </row>
    <row r="881" spans="1:15" x14ac:dyDescent="0.3">
      <c r="A881" s="1" t="s">
        <v>1733</v>
      </c>
      <c r="B881" t="s">
        <v>72</v>
      </c>
      <c r="C881" t="s">
        <v>1734</v>
      </c>
      <c r="D881" t="str">
        <f t="shared" si="13"/>
        <v>Male</v>
      </c>
      <c r="E881" t="s">
        <v>9</v>
      </c>
      <c r="F881" s="2">
        <v>54</v>
      </c>
      <c r="G881" s="2" t="str" cm="1">
        <f t="array" ref="G881">_xlfn.IFS(F881&lt;=8,"Child",F881&lt;=17,"Teen",F881&lt;=35,"Adult",F881&lt;=55,"Seniour Adult",F881&gt;=55,"Old Age")</f>
        <v>Seniour Adult</v>
      </c>
      <c r="H881" t="s">
        <v>10</v>
      </c>
      <c r="I881" t="s">
        <v>11</v>
      </c>
      <c r="J881" t="str" cm="1">
        <f t="array" ref="J881">_xlfn.IFS(I881="S","Sauthamptonm",I881="Q","Queentown",I881="C","Cherburg",I881="B","Cabin")</f>
        <v>Sauthamptonm</v>
      </c>
      <c r="K881" t="s">
        <v>15</v>
      </c>
      <c r="L881" s="2">
        <v>7.05</v>
      </c>
      <c r="M881">
        <v>0</v>
      </c>
      <c r="N881">
        <v>0</v>
      </c>
      <c r="O881" t="s">
        <v>13</v>
      </c>
    </row>
    <row r="882" spans="1:15" x14ac:dyDescent="0.3">
      <c r="A882" s="1" t="s">
        <v>1735</v>
      </c>
      <c r="B882" t="s">
        <v>72</v>
      </c>
      <c r="C882" t="s">
        <v>1736</v>
      </c>
      <c r="D882" t="str">
        <f t="shared" si="13"/>
        <v>Male</v>
      </c>
      <c r="E882" t="s">
        <v>9</v>
      </c>
      <c r="F882" s="2">
        <v>36</v>
      </c>
      <c r="G882" s="2" t="str" cm="1">
        <f t="array" ref="G882">_xlfn.IFS(F882&lt;=8,"Child",F882&lt;=17,"Teen",F882&lt;=35,"Adult",F882&lt;=55,"Seniour Adult",F882&gt;=55,"Old Age")</f>
        <v>Seniour Adult</v>
      </c>
      <c r="H882" t="s">
        <v>10</v>
      </c>
      <c r="I882" t="s">
        <v>11</v>
      </c>
      <c r="J882" t="str" cm="1">
        <f t="array" ref="J882">_xlfn.IFS(I882="S","Sauthamptonm",I882="Q","Queentown",I882="C","Cherburg",I882="B","Cabin")</f>
        <v>Sauthamptonm</v>
      </c>
      <c r="K882" t="s">
        <v>46</v>
      </c>
      <c r="L882" s="2">
        <v>9.1</v>
      </c>
      <c r="M882">
        <v>0</v>
      </c>
      <c r="N882">
        <v>0</v>
      </c>
      <c r="O882" t="s">
        <v>13</v>
      </c>
    </row>
    <row r="883" spans="1:15" x14ac:dyDescent="0.3">
      <c r="A883" s="1" t="s">
        <v>1737</v>
      </c>
      <c r="B883" t="s">
        <v>72</v>
      </c>
      <c r="C883" t="s">
        <v>1738</v>
      </c>
      <c r="D883" t="str">
        <f t="shared" si="13"/>
        <v>Male</v>
      </c>
      <c r="E883" t="s">
        <v>9</v>
      </c>
      <c r="F883" s="2">
        <v>32</v>
      </c>
      <c r="G883" s="2" t="str" cm="1">
        <f t="array" ref="G883">_xlfn.IFS(F883&lt;=8,"Child",F883&lt;=17,"Teen",F883&lt;=35,"Adult",F883&lt;=55,"Seniour Adult",F883&gt;=55,"Old Age")</f>
        <v>Adult</v>
      </c>
      <c r="H883" t="s">
        <v>18</v>
      </c>
      <c r="I883" t="s">
        <v>11</v>
      </c>
      <c r="J883" t="str" cm="1">
        <f t="array" ref="J883">_xlfn.IFS(I883="S","Sauthamptonm",I883="Q","Queentown",I883="C","Cherburg",I883="B","Cabin")</f>
        <v>Sauthamptonm</v>
      </c>
      <c r="K883" t="s">
        <v>15</v>
      </c>
      <c r="L883" s="2">
        <v>29</v>
      </c>
      <c r="M883">
        <v>0</v>
      </c>
      <c r="N883" t="s">
        <v>30</v>
      </c>
      <c r="O883" t="s">
        <v>13</v>
      </c>
    </row>
    <row r="884" spans="1:15" x14ac:dyDescent="0.3">
      <c r="A884" s="1" t="s">
        <v>1739</v>
      </c>
      <c r="B884" t="s">
        <v>72</v>
      </c>
      <c r="C884" t="s">
        <v>1740</v>
      </c>
      <c r="D884" t="str">
        <f t="shared" si="13"/>
        <v>Male</v>
      </c>
      <c r="E884" t="s">
        <v>9</v>
      </c>
      <c r="F884" s="2">
        <v>46</v>
      </c>
      <c r="G884" s="2" t="str" cm="1">
        <f t="array" ref="G884">_xlfn.IFS(F884&lt;=8,"Child",F884&lt;=17,"Teen",F884&lt;=35,"Adult",F884&lt;=55,"Seniour Adult",F884&gt;=55,"Old Age")</f>
        <v>Seniour Adult</v>
      </c>
      <c r="H884" t="s">
        <v>25</v>
      </c>
      <c r="I884" t="s">
        <v>11</v>
      </c>
      <c r="J884" t="str" cm="1">
        <f t="array" ref="J884">_xlfn.IFS(I884="S","Sauthamptonm",I884="Q","Queentown",I884="C","Cherburg",I884="B","Cabin")</f>
        <v>Sauthamptonm</v>
      </c>
      <c r="K884" t="s">
        <v>15</v>
      </c>
      <c r="L884" s="2">
        <v>35.1</v>
      </c>
      <c r="M884">
        <v>0</v>
      </c>
      <c r="N884">
        <v>0</v>
      </c>
      <c r="O884" t="s">
        <v>16</v>
      </c>
    </row>
    <row r="885" spans="1:15" x14ac:dyDescent="0.3">
      <c r="A885" s="1" t="s">
        <v>1741</v>
      </c>
      <c r="B885" t="s">
        <v>78</v>
      </c>
      <c r="C885" t="s">
        <v>1742</v>
      </c>
      <c r="D885" t="str">
        <f t="shared" si="13"/>
        <v>Female</v>
      </c>
      <c r="E885" t="s">
        <v>14</v>
      </c>
      <c r="F885" s="2">
        <v>26</v>
      </c>
      <c r="G885" s="2" t="str" cm="1">
        <f t="array" ref="G885">_xlfn.IFS(F885&lt;=8,"Child",F885&lt;=17,"Teen",F885&lt;=35,"Adult",F885&lt;=55,"Seniour Adult",F885&gt;=55,"Old Age")</f>
        <v>Adult</v>
      </c>
      <c r="H885" t="s">
        <v>18</v>
      </c>
      <c r="I885" t="s">
        <v>11</v>
      </c>
      <c r="J885" t="str" cm="1">
        <f t="array" ref="J885">_xlfn.IFS(I885="S","Sauthamptonm",I885="Q","Queentown",I885="C","Cherburg",I885="B","Cabin")</f>
        <v>Sauthamptonm</v>
      </c>
      <c r="K885" t="s">
        <v>15</v>
      </c>
      <c r="L885" s="2">
        <v>13.1</v>
      </c>
      <c r="M885">
        <v>0</v>
      </c>
      <c r="N885">
        <v>0</v>
      </c>
      <c r="O885" t="s">
        <v>16</v>
      </c>
    </row>
    <row r="886" spans="1:15" x14ac:dyDescent="0.3">
      <c r="A886" s="1" t="s">
        <v>1743</v>
      </c>
      <c r="B886" t="s">
        <v>72</v>
      </c>
      <c r="C886" t="s">
        <v>1744</v>
      </c>
      <c r="D886" t="str">
        <f t="shared" si="13"/>
        <v>Male</v>
      </c>
      <c r="E886" t="s">
        <v>9</v>
      </c>
      <c r="F886" s="2">
        <v>27</v>
      </c>
      <c r="G886" s="2" t="str" cm="1">
        <f t="array" ref="G886">_xlfn.IFS(F886&lt;=8,"Child",F886&lt;=17,"Teen",F886&lt;=35,"Adult",F886&lt;=55,"Seniour Adult",F886&gt;=55,"Old Age")</f>
        <v>Adult</v>
      </c>
      <c r="H886" t="s">
        <v>10</v>
      </c>
      <c r="I886" t="s">
        <v>19</v>
      </c>
      <c r="J886" t="str" cm="1">
        <f t="array" ref="J886">_xlfn.IFS(I886="S","Sauthamptonm",I886="Q","Queentown",I886="C","Cherburg",I886="B","Cabin")</f>
        <v>Cherburg</v>
      </c>
      <c r="K886" t="s">
        <v>21</v>
      </c>
      <c r="L886" s="2">
        <v>14.0901</v>
      </c>
      <c r="M886">
        <v>1</v>
      </c>
      <c r="N886">
        <v>0</v>
      </c>
      <c r="O886" t="s">
        <v>13</v>
      </c>
    </row>
    <row r="887" spans="1:15" x14ac:dyDescent="0.3">
      <c r="A887" s="1" t="s">
        <v>1745</v>
      </c>
      <c r="B887" t="s">
        <v>76</v>
      </c>
      <c r="C887" t="s">
        <v>1746</v>
      </c>
      <c r="D887" t="str">
        <f t="shared" si="13"/>
        <v>Female</v>
      </c>
      <c r="E887" t="s">
        <v>14</v>
      </c>
      <c r="F887" s="2">
        <v>15</v>
      </c>
      <c r="G887" s="2" t="str" cm="1">
        <f t="array" ref="G887">_xlfn.IFS(F887&lt;=8,"Child",F887&lt;=17,"Teen",F887&lt;=35,"Adult",F887&lt;=55,"Seniour Adult",F887&gt;=55,"Old Age")</f>
        <v>Teen</v>
      </c>
      <c r="H887" t="s">
        <v>10</v>
      </c>
      <c r="I887" t="s">
        <v>19</v>
      </c>
      <c r="J887" t="str" cm="1">
        <f t="array" ref="J887">_xlfn.IFS(I887="S","Sauthamptonm",I887="Q","Queentown",I887="C","Cherburg",I887="B","Cabin")</f>
        <v>Cherburg</v>
      </c>
      <c r="K887" t="s">
        <v>21</v>
      </c>
      <c r="L887" s="2">
        <v>14.0901</v>
      </c>
      <c r="M887">
        <v>1</v>
      </c>
      <c r="N887">
        <v>0</v>
      </c>
      <c r="O887" t="s">
        <v>16</v>
      </c>
    </row>
    <row r="888" spans="1:15" x14ac:dyDescent="0.3">
      <c r="A888" s="1" t="s">
        <v>1747</v>
      </c>
      <c r="B888" t="s">
        <v>78</v>
      </c>
      <c r="C888" t="s">
        <v>1748</v>
      </c>
      <c r="D888" t="str">
        <f t="shared" si="13"/>
        <v>Female</v>
      </c>
      <c r="E888" t="s">
        <v>14</v>
      </c>
      <c r="F888" s="2">
        <v>36</v>
      </c>
      <c r="G888" s="2" t="str" cm="1">
        <f t="array" ref="G888">_xlfn.IFS(F888&lt;=8,"Child",F888&lt;=17,"Teen",F888&lt;=35,"Adult",F888&lt;=55,"Seniour Adult",F888&gt;=55,"Old Age")</f>
        <v>Seniour Adult</v>
      </c>
      <c r="H888" t="s">
        <v>25</v>
      </c>
      <c r="I888" t="s">
        <v>19</v>
      </c>
      <c r="J888" t="str" cm="1">
        <f t="array" ref="J888">_xlfn.IFS(I888="S","Sauthamptonm",I888="Q","Queentown",I888="C","Cherburg",I888="B","Cabin")</f>
        <v>Cherburg</v>
      </c>
      <c r="K888" t="s">
        <v>12</v>
      </c>
      <c r="L888" s="2">
        <v>135.1208</v>
      </c>
      <c r="M888">
        <v>0</v>
      </c>
      <c r="N888">
        <v>0</v>
      </c>
      <c r="O888" t="s">
        <v>16</v>
      </c>
    </row>
    <row r="889" spans="1:15" x14ac:dyDescent="0.3">
      <c r="A889" s="1" t="s">
        <v>1749</v>
      </c>
      <c r="B889" t="s">
        <v>72</v>
      </c>
      <c r="C889" t="s">
        <v>1750</v>
      </c>
      <c r="D889" t="str">
        <f t="shared" si="13"/>
        <v>Male</v>
      </c>
      <c r="E889" t="s">
        <v>9</v>
      </c>
      <c r="F889" s="2">
        <v>26</v>
      </c>
      <c r="G889" s="2" t="str" cm="1">
        <f t="array" ref="G889">_xlfn.IFS(F889&lt;=8,"Child",F889&lt;=17,"Teen",F889&lt;=35,"Adult",F889&lt;=55,"Seniour Adult",F889&gt;=55,"Old Age")</f>
        <v>Adult</v>
      </c>
      <c r="H889" t="s">
        <v>10</v>
      </c>
      <c r="I889" t="s">
        <v>19</v>
      </c>
      <c r="J889" t="str" cm="1">
        <f t="array" ref="J889">_xlfn.IFS(I889="S","Sauthamptonm",I889="Q","Queentown",I889="C","Cherburg",I889="B","Cabin")</f>
        <v>Cherburg</v>
      </c>
      <c r="K889" t="s">
        <v>21</v>
      </c>
      <c r="L889" s="2">
        <v>7.0406000000000004</v>
      </c>
      <c r="M889">
        <v>0</v>
      </c>
      <c r="N889">
        <v>0</v>
      </c>
      <c r="O889" t="s">
        <v>13</v>
      </c>
    </row>
    <row r="890" spans="1:15" x14ac:dyDescent="0.3">
      <c r="A890" s="1" t="s">
        <v>1751</v>
      </c>
      <c r="B890" t="s">
        <v>72</v>
      </c>
      <c r="C890" t="s">
        <v>1750</v>
      </c>
      <c r="D890" t="str">
        <f t="shared" si="13"/>
        <v>Male</v>
      </c>
      <c r="E890" t="s">
        <v>9</v>
      </c>
      <c r="F890" s="2">
        <v>45</v>
      </c>
      <c r="G890" s="2" t="str" cm="1">
        <f t="array" ref="G890">_xlfn.IFS(F890&lt;=8,"Child",F890&lt;=17,"Teen",F890&lt;=35,"Adult",F890&lt;=55,"Seniour Adult",F890&gt;=55,"Old Age")</f>
        <v>Seniour Adult</v>
      </c>
      <c r="H890" t="s">
        <v>10</v>
      </c>
      <c r="I890" t="s">
        <v>19</v>
      </c>
      <c r="J890" t="str" cm="1">
        <f t="array" ref="J890">_xlfn.IFS(I890="S","Sauthamptonm",I890="Q","Queentown",I890="C","Cherburg",I890="B","Cabin")</f>
        <v>Cherburg</v>
      </c>
      <c r="K890" t="s">
        <v>21</v>
      </c>
      <c r="L890" s="2">
        <v>7.0407000000000002</v>
      </c>
      <c r="M890">
        <v>0</v>
      </c>
      <c r="N890">
        <v>0</v>
      </c>
      <c r="O890" t="s">
        <v>13</v>
      </c>
    </row>
    <row r="891" spans="1:15" x14ac:dyDescent="0.3">
      <c r="A891" s="1" t="s">
        <v>1752</v>
      </c>
      <c r="B891" t="s">
        <v>76</v>
      </c>
      <c r="C891" t="s">
        <v>1753</v>
      </c>
      <c r="D891" t="str">
        <f t="shared" si="13"/>
        <v>Female</v>
      </c>
      <c r="E891" t="s">
        <v>14</v>
      </c>
      <c r="F891" s="2">
        <v>23</v>
      </c>
      <c r="G891" s="2" t="str" cm="1">
        <f t="array" ref="G891">_xlfn.IFS(F891&lt;=8,"Child",F891&lt;=17,"Teen",F891&lt;=35,"Adult",F891&lt;=55,"Seniour Adult",F891&gt;=55,"Old Age")</f>
        <v>Adult</v>
      </c>
      <c r="H891" t="s">
        <v>10</v>
      </c>
      <c r="I891" t="s">
        <v>19</v>
      </c>
      <c r="J891" t="str" cm="1">
        <f t="array" ref="J891">_xlfn.IFS(I891="S","Sauthamptonm",I891="Q","Queentown",I891="C","Cherburg",I891="B","Cabin")</f>
        <v>Cherburg</v>
      </c>
      <c r="K891" t="s">
        <v>21</v>
      </c>
      <c r="L891" s="2">
        <v>22.0702</v>
      </c>
      <c r="M891">
        <v>0</v>
      </c>
      <c r="N891">
        <v>2</v>
      </c>
      <c r="O891" t="s">
        <v>16</v>
      </c>
    </row>
    <row r="892" spans="1:15" x14ac:dyDescent="0.3">
      <c r="A892" s="1" t="s">
        <v>1754</v>
      </c>
      <c r="B892" t="s">
        <v>78</v>
      </c>
      <c r="C892" t="s">
        <v>1755</v>
      </c>
      <c r="D892" t="str">
        <f t="shared" si="13"/>
        <v>Female</v>
      </c>
      <c r="E892" t="s">
        <v>14</v>
      </c>
      <c r="F892" s="2">
        <v>24</v>
      </c>
      <c r="G892" s="2" t="str" cm="1">
        <f t="array" ref="G892">_xlfn.IFS(F892&lt;=8,"Child",F892&lt;=17,"Teen",F892&lt;=35,"Adult",F892&lt;=55,"Seniour Adult",F892&gt;=55,"Old Age")</f>
        <v>Adult</v>
      </c>
      <c r="H892" t="s">
        <v>18</v>
      </c>
      <c r="I892" t="s">
        <v>11</v>
      </c>
      <c r="J892" t="str" cm="1">
        <f t="array" ref="J892">_xlfn.IFS(I892="S","Sauthamptonm",I892="Q","Queentown",I892="C","Cherburg",I892="B","Cabin")</f>
        <v>Sauthamptonm</v>
      </c>
      <c r="K892" t="s">
        <v>20</v>
      </c>
      <c r="L892" s="2">
        <v>13</v>
      </c>
      <c r="M892">
        <v>0</v>
      </c>
      <c r="N892">
        <v>0</v>
      </c>
      <c r="O892" t="s">
        <v>13</v>
      </c>
    </row>
    <row r="893" spans="1:15" x14ac:dyDescent="0.3">
      <c r="A893" s="1" t="s">
        <v>1756</v>
      </c>
      <c r="B893" t="s">
        <v>72</v>
      </c>
      <c r="C893" t="s">
        <v>1757</v>
      </c>
      <c r="D893" t="str">
        <f t="shared" si="13"/>
        <v>Male</v>
      </c>
      <c r="E893" t="s">
        <v>9</v>
      </c>
      <c r="F893" s="2">
        <v>22</v>
      </c>
      <c r="G893" s="2" t="str" cm="1">
        <f t="array" ref="G893">_xlfn.IFS(F893&lt;=8,"Child",F893&lt;=17,"Teen",F893&lt;=35,"Adult",F893&lt;=55,"Seniour Adult",F893&gt;=55,"Old Age")</f>
        <v>Adult</v>
      </c>
      <c r="H893" t="s">
        <v>10</v>
      </c>
      <c r="I893" t="s">
        <v>19</v>
      </c>
      <c r="J893" t="str" cm="1">
        <f t="array" ref="J893">_xlfn.IFS(I893="S","Sauthamptonm",I893="Q","Queentown",I893="C","Cherburg",I893="B","Cabin")</f>
        <v>Cherburg</v>
      </c>
      <c r="K893" t="s">
        <v>57</v>
      </c>
      <c r="L893" s="2">
        <v>7.0406000000000004</v>
      </c>
      <c r="M893">
        <v>0</v>
      </c>
      <c r="N893">
        <v>0</v>
      </c>
      <c r="O893" t="s">
        <v>13</v>
      </c>
    </row>
    <row r="894" spans="1:15" x14ac:dyDescent="0.3">
      <c r="A894" s="1" t="s">
        <v>1758</v>
      </c>
      <c r="B894" t="s">
        <v>72</v>
      </c>
      <c r="C894" t="s">
        <v>917</v>
      </c>
      <c r="D894" t="str">
        <f t="shared" si="13"/>
        <v>Male</v>
      </c>
      <c r="E894" t="s">
        <v>9</v>
      </c>
      <c r="F894" s="2">
        <v>25</v>
      </c>
      <c r="G894" s="2" t="str" cm="1">
        <f t="array" ref="G894">_xlfn.IFS(F894&lt;=8,"Child",F894&lt;=17,"Teen",F894&lt;=35,"Adult",F894&lt;=55,"Seniour Adult",F894&gt;=55,"Old Age")</f>
        <v>Adult</v>
      </c>
      <c r="H894" t="s">
        <v>10</v>
      </c>
      <c r="I894" t="s">
        <v>19</v>
      </c>
      <c r="J894" t="str" cm="1">
        <f t="array" ref="J894">_xlfn.IFS(I894="S","Sauthamptonm",I894="Q","Queentown",I894="C","Cherburg",I894="B","Cabin")</f>
        <v>Cherburg</v>
      </c>
      <c r="K894" t="s">
        <v>21</v>
      </c>
      <c r="L894" s="2">
        <v>7.0406000000000004</v>
      </c>
      <c r="M894">
        <v>0</v>
      </c>
      <c r="N894">
        <v>0</v>
      </c>
      <c r="O894" t="s">
        <v>16</v>
      </c>
    </row>
    <row r="895" spans="1:15" x14ac:dyDescent="0.3">
      <c r="A895" s="1" t="s">
        <v>1759</v>
      </c>
      <c r="B895" t="s">
        <v>72</v>
      </c>
      <c r="C895" t="s">
        <v>1760</v>
      </c>
      <c r="D895" t="str">
        <f t="shared" si="13"/>
        <v>Male</v>
      </c>
      <c r="E895" t="s">
        <v>9</v>
      </c>
      <c r="F895" s="2">
        <v>29</v>
      </c>
      <c r="G895" s="2" t="str" cm="1">
        <f t="array" ref="G895">_xlfn.IFS(F895&lt;=8,"Child",F895&lt;=17,"Teen",F895&lt;=35,"Adult",F895&lt;=55,"Seniour Adult",F895&gt;=55,"Old Age")</f>
        <v>Adult</v>
      </c>
      <c r="H895" t="s">
        <v>10</v>
      </c>
      <c r="I895" t="s">
        <v>11</v>
      </c>
      <c r="J895" t="str" cm="1">
        <f t="array" ref="J895">_xlfn.IFS(I895="S","Sauthamptonm",I895="Q","Queentown",I895="C","Cherburg",I895="B","Cabin")</f>
        <v>Sauthamptonm</v>
      </c>
      <c r="K895" t="s">
        <v>62</v>
      </c>
      <c r="L895" s="2">
        <v>7.1706000000000003</v>
      </c>
      <c r="M895">
        <v>0</v>
      </c>
      <c r="N895">
        <v>0</v>
      </c>
      <c r="O895" t="s">
        <v>13</v>
      </c>
    </row>
    <row r="896" spans="1:15" x14ac:dyDescent="0.3">
      <c r="A896" s="1" t="s">
        <v>1761</v>
      </c>
      <c r="B896" t="s">
        <v>72</v>
      </c>
      <c r="C896" t="s">
        <v>213</v>
      </c>
      <c r="D896" t="str">
        <f t="shared" si="13"/>
        <v>Male</v>
      </c>
      <c r="E896" t="s">
        <v>9</v>
      </c>
      <c r="F896" s="2">
        <v>34</v>
      </c>
      <c r="G896" s="2" t="str" cm="1">
        <f t="array" ref="G896">_xlfn.IFS(F896&lt;=8,"Child",F896&lt;=17,"Teen",F896&lt;=35,"Adult",F896&lt;=55,"Seniour Adult",F896&gt;=55,"Old Age")</f>
        <v>Adult</v>
      </c>
      <c r="H896" t="s">
        <v>51</v>
      </c>
      <c r="I896" t="s">
        <v>11</v>
      </c>
      <c r="J896" t="str" cm="1">
        <f t="array" ref="J896">_xlfn.IFS(I896="S","Sauthamptonm",I896="Q","Queentown",I896="C","Cherburg",I896="B","Cabin")</f>
        <v>Sauthamptonm</v>
      </c>
      <c r="K896" t="s">
        <v>15</v>
      </c>
      <c r="L896" s="2">
        <v>29</v>
      </c>
      <c r="M896">
        <v>0</v>
      </c>
      <c r="N896" t="s">
        <v>30</v>
      </c>
      <c r="O896" t="s">
        <v>13</v>
      </c>
    </row>
    <row r="897" spans="1:15" x14ac:dyDescent="0.3">
      <c r="A897" s="1" t="s">
        <v>1762</v>
      </c>
      <c r="B897" t="s">
        <v>72</v>
      </c>
      <c r="C897" t="s">
        <v>1763</v>
      </c>
      <c r="D897" t="str">
        <f t="shared" si="13"/>
        <v>Male</v>
      </c>
      <c r="E897" t="s">
        <v>9</v>
      </c>
      <c r="F897" s="2">
        <v>20</v>
      </c>
      <c r="G897" s="2" t="str" cm="1">
        <f t="array" ref="G897">_xlfn.IFS(F897&lt;=8,"Child",F897&lt;=17,"Teen",F897&lt;=35,"Adult",F897&lt;=55,"Seniour Adult",F897&gt;=55,"Old Age")</f>
        <v>Adult</v>
      </c>
      <c r="H897" t="s">
        <v>67</v>
      </c>
      <c r="I897" t="s">
        <v>11</v>
      </c>
      <c r="J897" t="str" cm="1">
        <f t="array" ref="J897">_xlfn.IFS(I897="S","Sauthamptonm",I897="Q","Queentown",I897="C","Cherburg",I897="B","Cabin")</f>
        <v>Sauthamptonm</v>
      </c>
      <c r="K897" t="s">
        <v>33</v>
      </c>
      <c r="L897" s="2">
        <v>29</v>
      </c>
      <c r="M897">
        <v>0</v>
      </c>
      <c r="N897" t="s">
        <v>30</v>
      </c>
      <c r="O897" t="s">
        <v>13</v>
      </c>
    </row>
    <row r="898" spans="1:15" x14ac:dyDescent="0.3">
      <c r="A898" s="1" t="s">
        <v>1764</v>
      </c>
      <c r="B898" t="s">
        <v>72</v>
      </c>
      <c r="C898" t="s">
        <v>1297</v>
      </c>
      <c r="D898" t="str">
        <f t="shared" ref="D898:D961" si="14">PROPER(E898)</f>
        <v>Male</v>
      </c>
      <c r="E898" t="s">
        <v>9</v>
      </c>
      <c r="F898" s="2">
        <v>31</v>
      </c>
      <c r="G898" s="2" t="str" cm="1">
        <f t="array" ref="G898">_xlfn.IFS(F898&lt;=8,"Child",F898&lt;=17,"Teen",F898&lt;=35,"Adult",F898&lt;=55,"Seniour Adult",F898&gt;=55,"Old Age")</f>
        <v>Adult</v>
      </c>
      <c r="H898" t="s">
        <v>67</v>
      </c>
      <c r="I898" t="s">
        <v>11</v>
      </c>
      <c r="J898" t="str" cm="1">
        <f t="array" ref="J898">_xlfn.IFS(I898="S","Sauthamptonm",I898="Q","Queentown",I898="C","Cherburg",I898="B","Cabin")</f>
        <v>Sauthamptonm</v>
      </c>
      <c r="K898" t="s">
        <v>15</v>
      </c>
      <c r="L898" s="2">
        <v>29</v>
      </c>
      <c r="M898">
        <v>0</v>
      </c>
      <c r="N898" t="s">
        <v>30</v>
      </c>
      <c r="O898" t="s">
        <v>13</v>
      </c>
    </row>
    <row r="899" spans="1:15" x14ac:dyDescent="0.3">
      <c r="A899" s="1" t="s">
        <v>1765</v>
      </c>
      <c r="B899" t="s">
        <v>1766</v>
      </c>
      <c r="C899" t="s">
        <v>1767</v>
      </c>
      <c r="D899" t="str">
        <f t="shared" si="14"/>
        <v>Male</v>
      </c>
      <c r="E899" t="s">
        <v>9</v>
      </c>
      <c r="F899" s="2">
        <v>22</v>
      </c>
      <c r="G899" s="2" t="str" cm="1">
        <f t="array" ref="G899">_xlfn.IFS(F899&lt;=8,"Child",F899&lt;=17,"Teen",F899&lt;=35,"Adult",F899&lt;=55,"Seniour Adult",F899&gt;=55,"Old Age")</f>
        <v>Adult</v>
      </c>
      <c r="H899" t="s">
        <v>68</v>
      </c>
      <c r="I899" t="s">
        <v>11</v>
      </c>
      <c r="J899" t="str" cm="1">
        <f t="array" ref="J899">_xlfn.IFS(I899="S","Sauthamptonm",I899="Q","Queentown",I899="C","Cherburg",I899="B","Cabin")</f>
        <v>Sauthamptonm</v>
      </c>
      <c r="K899" t="s">
        <v>15</v>
      </c>
      <c r="L899" s="2">
        <v>29</v>
      </c>
      <c r="M899">
        <v>0</v>
      </c>
      <c r="N899" t="s">
        <v>30</v>
      </c>
      <c r="O899" t="s">
        <v>13</v>
      </c>
    </row>
    <row r="900" spans="1:15" x14ac:dyDescent="0.3">
      <c r="A900" s="1" t="s">
        <v>1768</v>
      </c>
      <c r="B900" t="s">
        <v>72</v>
      </c>
      <c r="C900" t="s">
        <v>1769</v>
      </c>
      <c r="D900" t="str">
        <f t="shared" si="14"/>
        <v>Male</v>
      </c>
      <c r="E900" t="s">
        <v>9</v>
      </c>
      <c r="F900" s="2">
        <v>36</v>
      </c>
      <c r="G900" s="2" t="str" cm="1">
        <f t="array" ref="G900">_xlfn.IFS(F900&lt;=8,"Child",F900&lt;=17,"Teen",F900&lt;=35,"Adult",F900&lt;=55,"Seniour Adult",F900&gt;=55,"Old Age")</f>
        <v>Seniour Adult</v>
      </c>
      <c r="H900" t="s">
        <v>51</v>
      </c>
      <c r="I900" t="s">
        <v>28</v>
      </c>
      <c r="J900" t="str" cm="1">
        <f t="array" ref="J900">_xlfn.IFS(I900="S","Sauthamptonm",I900="Q","Queentown",I900="C","Cherburg",I900="B","Cabin")</f>
        <v>Cabin</v>
      </c>
      <c r="K900" t="s">
        <v>15</v>
      </c>
      <c r="L900" s="2">
        <v>29</v>
      </c>
      <c r="M900">
        <v>0</v>
      </c>
      <c r="N900" t="s">
        <v>30</v>
      </c>
      <c r="O900" t="s">
        <v>13</v>
      </c>
    </row>
    <row r="901" spans="1:15" x14ac:dyDescent="0.3">
      <c r="A901" s="1" t="s">
        <v>1770</v>
      </c>
      <c r="B901" t="s">
        <v>72</v>
      </c>
      <c r="C901" t="s">
        <v>1771</v>
      </c>
      <c r="D901" t="str">
        <f t="shared" si="14"/>
        <v>Male</v>
      </c>
      <c r="E901" t="s">
        <v>9</v>
      </c>
      <c r="F901" s="2">
        <v>35</v>
      </c>
      <c r="G901" s="2" t="str" cm="1">
        <f t="array" ref="G901">_xlfn.IFS(F901&lt;=8,"Child",F901&lt;=17,"Teen",F901&lt;=35,"Adult",F901&lt;=55,"Seniour Adult",F901&gt;=55,"Old Age")</f>
        <v>Adult</v>
      </c>
      <c r="H901" t="s">
        <v>69</v>
      </c>
      <c r="I901" t="s">
        <v>11</v>
      </c>
      <c r="J901" t="str" cm="1">
        <f t="array" ref="J901">_xlfn.IFS(I901="S","Sauthamptonm",I901="Q","Queentown",I901="C","Cherburg",I901="B","Cabin")</f>
        <v>Sauthamptonm</v>
      </c>
      <c r="K901" t="s">
        <v>15</v>
      </c>
      <c r="L901" s="2">
        <v>29</v>
      </c>
      <c r="M901">
        <v>0</v>
      </c>
      <c r="N901" t="s">
        <v>30</v>
      </c>
      <c r="O901" t="s">
        <v>16</v>
      </c>
    </row>
    <row r="902" spans="1:15" x14ac:dyDescent="0.3">
      <c r="A902" s="1" t="s">
        <v>1772</v>
      </c>
      <c r="B902" t="s">
        <v>72</v>
      </c>
      <c r="C902" t="s">
        <v>1773</v>
      </c>
      <c r="D902" t="str">
        <f t="shared" si="14"/>
        <v>Male</v>
      </c>
      <c r="E902" t="s">
        <v>9</v>
      </c>
      <c r="F902" s="2">
        <v>26</v>
      </c>
      <c r="G902" s="2" t="str" cm="1">
        <f t="array" ref="G902">_xlfn.IFS(F902&lt;=8,"Child",F902&lt;=17,"Teen",F902&lt;=35,"Adult",F902&lt;=55,"Seniour Adult",F902&gt;=55,"Old Age")</f>
        <v>Adult</v>
      </c>
      <c r="H902" t="s">
        <v>67</v>
      </c>
      <c r="I902" t="s">
        <v>11</v>
      </c>
      <c r="J902" t="str" cm="1">
        <f t="array" ref="J902">_xlfn.IFS(I902="S","Sauthamptonm",I902="Q","Queentown",I902="C","Cherburg",I902="B","Cabin")</f>
        <v>Sauthamptonm</v>
      </c>
      <c r="K902" t="s">
        <v>15</v>
      </c>
      <c r="L902" s="2">
        <v>29</v>
      </c>
      <c r="M902">
        <v>0</v>
      </c>
      <c r="N902" t="s">
        <v>30</v>
      </c>
      <c r="O902" t="s">
        <v>13</v>
      </c>
    </row>
    <row r="903" spans="1:15" x14ac:dyDescent="0.3">
      <c r="A903" s="1" t="s">
        <v>1774</v>
      </c>
      <c r="B903" t="s">
        <v>72</v>
      </c>
      <c r="C903" t="s">
        <v>1775</v>
      </c>
      <c r="D903" t="str">
        <f t="shared" si="14"/>
        <v>Male</v>
      </c>
      <c r="E903" t="s">
        <v>9</v>
      </c>
      <c r="F903" s="2">
        <v>41</v>
      </c>
      <c r="G903" s="2" t="str" cm="1">
        <f t="array" ref="G903">_xlfn.IFS(F903&lt;=8,"Child",F903&lt;=17,"Teen",F903&lt;=35,"Adult",F903&lt;=55,"Seniour Adult",F903&gt;=55,"Old Age")</f>
        <v>Seniour Adult</v>
      </c>
      <c r="H903" t="s">
        <v>67</v>
      </c>
      <c r="I903" t="s">
        <v>11</v>
      </c>
      <c r="J903" t="str" cm="1">
        <f t="array" ref="J903">_xlfn.IFS(I903="S","Sauthamptonm",I903="Q","Queentown",I903="C","Cherburg",I903="B","Cabin")</f>
        <v>Sauthamptonm</v>
      </c>
      <c r="K903" t="s">
        <v>37</v>
      </c>
      <c r="L903" s="2">
        <v>29</v>
      </c>
      <c r="M903">
        <v>0</v>
      </c>
      <c r="N903" t="s">
        <v>30</v>
      </c>
      <c r="O903" t="s">
        <v>13</v>
      </c>
    </row>
    <row r="904" spans="1:15" x14ac:dyDescent="0.3">
      <c r="A904" s="1" t="s">
        <v>1776</v>
      </c>
      <c r="B904" t="s">
        <v>72</v>
      </c>
      <c r="C904" t="s">
        <v>1777</v>
      </c>
      <c r="D904" t="str">
        <f t="shared" si="14"/>
        <v>Male</v>
      </c>
      <c r="E904" t="s">
        <v>9</v>
      </c>
      <c r="F904" s="2">
        <v>26</v>
      </c>
      <c r="G904" s="2" t="str" cm="1">
        <f t="array" ref="G904">_xlfn.IFS(F904&lt;=8,"Child",F904&lt;=17,"Teen",F904&lt;=35,"Adult",F904&lt;=55,"Seniour Adult",F904&gt;=55,"Old Age")</f>
        <v>Adult</v>
      </c>
      <c r="H904" t="s">
        <v>68</v>
      </c>
      <c r="I904" t="s">
        <v>11</v>
      </c>
      <c r="J904" t="str" cm="1">
        <f t="array" ref="J904">_xlfn.IFS(I904="S","Sauthamptonm",I904="Q","Queentown",I904="C","Cherburg",I904="B","Cabin")</f>
        <v>Sauthamptonm</v>
      </c>
      <c r="K904" t="s">
        <v>15</v>
      </c>
      <c r="L904" s="2">
        <v>29</v>
      </c>
      <c r="M904">
        <v>0</v>
      </c>
      <c r="N904" t="s">
        <v>30</v>
      </c>
      <c r="O904" t="s">
        <v>13</v>
      </c>
    </row>
    <row r="905" spans="1:15" x14ac:dyDescent="0.3">
      <c r="A905" s="1" t="s">
        <v>1778</v>
      </c>
      <c r="B905" t="s">
        <v>72</v>
      </c>
      <c r="C905" t="s">
        <v>1779</v>
      </c>
      <c r="D905" t="str">
        <f t="shared" si="14"/>
        <v>Male</v>
      </c>
      <c r="E905" t="s">
        <v>9</v>
      </c>
      <c r="F905" s="2">
        <v>21</v>
      </c>
      <c r="G905" s="2" t="str" cm="1">
        <f t="array" ref="G905">_xlfn.IFS(F905&lt;=8,"Child",F905&lt;=17,"Teen",F905&lt;=35,"Adult",F905&lt;=55,"Seniour Adult",F905&gt;=55,"Old Age")</f>
        <v>Adult</v>
      </c>
      <c r="H905" t="s">
        <v>51</v>
      </c>
      <c r="I905" t="s">
        <v>11</v>
      </c>
      <c r="J905" t="str" cm="1">
        <f t="array" ref="J905">_xlfn.IFS(I905="S","Sauthamptonm",I905="Q","Queentown",I905="C","Cherburg",I905="B","Cabin")</f>
        <v>Sauthamptonm</v>
      </c>
      <c r="K905" t="s">
        <v>15</v>
      </c>
      <c r="L905" s="2">
        <v>29</v>
      </c>
      <c r="M905">
        <v>0</v>
      </c>
      <c r="N905" t="s">
        <v>30</v>
      </c>
      <c r="O905" t="s">
        <v>16</v>
      </c>
    </row>
    <row r="906" spans="1:15" x14ac:dyDescent="0.3">
      <c r="A906" s="1" t="s">
        <v>1780</v>
      </c>
      <c r="B906" t="s">
        <v>72</v>
      </c>
      <c r="C906" t="s">
        <v>1781</v>
      </c>
      <c r="D906" t="str">
        <f t="shared" si="14"/>
        <v>Male</v>
      </c>
      <c r="E906" t="s">
        <v>9</v>
      </c>
      <c r="F906" s="2">
        <v>23</v>
      </c>
      <c r="G906" s="2" t="str" cm="1">
        <f t="array" ref="G906">_xlfn.IFS(F906&lt;=8,"Child",F906&lt;=17,"Teen",F906&lt;=35,"Adult",F906&lt;=55,"Seniour Adult",F906&gt;=55,"Old Age")</f>
        <v>Adult</v>
      </c>
      <c r="H906" t="s">
        <v>67</v>
      </c>
      <c r="I906" t="s">
        <v>11</v>
      </c>
      <c r="J906" t="str" cm="1">
        <f t="array" ref="J906">_xlfn.IFS(I906="S","Sauthamptonm",I906="Q","Queentown",I906="C","Cherburg",I906="B","Cabin")</f>
        <v>Sauthamptonm</v>
      </c>
      <c r="K906" t="s">
        <v>15</v>
      </c>
      <c r="L906" s="2">
        <v>29</v>
      </c>
      <c r="M906">
        <v>0</v>
      </c>
      <c r="N906" t="s">
        <v>30</v>
      </c>
      <c r="O906" t="s">
        <v>13</v>
      </c>
    </row>
    <row r="907" spans="1:15" x14ac:dyDescent="0.3">
      <c r="A907" s="1" t="s">
        <v>1782</v>
      </c>
      <c r="B907" t="s">
        <v>72</v>
      </c>
      <c r="C907" t="s">
        <v>1783</v>
      </c>
      <c r="D907" t="str">
        <f t="shared" si="14"/>
        <v>Male</v>
      </c>
      <c r="E907" t="s">
        <v>9</v>
      </c>
      <c r="F907" s="2">
        <v>37</v>
      </c>
      <c r="G907" s="2" t="str" cm="1">
        <f t="array" ref="G907">_xlfn.IFS(F907&lt;=8,"Child",F907&lt;=17,"Teen",F907&lt;=35,"Adult",F907&lt;=55,"Seniour Adult",F907&gt;=55,"Old Age")</f>
        <v>Seniour Adult</v>
      </c>
      <c r="H907" t="s">
        <v>67</v>
      </c>
      <c r="I907" t="s">
        <v>28</v>
      </c>
      <c r="J907" t="str" cm="1">
        <f t="array" ref="J907">_xlfn.IFS(I907="S","Sauthamptonm",I907="Q","Queentown",I907="C","Cherburg",I907="B","Cabin")</f>
        <v>Cabin</v>
      </c>
      <c r="K907" t="s">
        <v>15</v>
      </c>
      <c r="L907" s="2">
        <v>29</v>
      </c>
      <c r="M907">
        <v>0</v>
      </c>
      <c r="N907" t="s">
        <v>30</v>
      </c>
      <c r="O907" t="s">
        <v>13</v>
      </c>
    </row>
    <row r="908" spans="1:15" x14ac:dyDescent="0.3">
      <c r="A908" s="1" t="s">
        <v>1784</v>
      </c>
      <c r="B908" t="s">
        <v>72</v>
      </c>
      <c r="C908" t="s">
        <v>1785</v>
      </c>
      <c r="D908" t="str">
        <f t="shared" si="14"/>
        <v>Male</v>
      </c>
      <c r="E908" t="s">
        <v>9</v>
      </c>
      <c r="F908" s="2">
        <v>28</v>
      </c>
      <c r="G908" s="2" t="str" cm="1">
        <f t="array" ref="G908">_xlfn.IFS(F908&lt;=8,"Child",F908&lt;=17,"Teen",F908&lt;=35,"Adult",F908&lt;=55,"Seniour Adult",F908&gt;=55,"Old Age")</f>
        <v>Adult</v>
      </c>
      <c r="H908" t="s">
        <v>67</v>
      </c>
      <c r="I908" t="s">
        <v>11</v>
      </c>
      <c r="J908" t="str" cm="1">
        <f t="array" ref="J908">_xlfn.IFS(I908="S","Sauthamptonm",I908="Q","Queentown",I908="C","Cherburg",I908="B","Cabin")</f>
        <v>Sauthamptonm</v>
      </c>
      <c r="K908" t="s">
        <v>15</v>
      </c>
      <c r="L908" s="2">
        <v>29</v>
      </c>
      <c r="M908">
        <v>0</v>
      </c>
      <c r="N908" t="s">
        <v>30</v>
      </c>
      <c r="O908" t="s">
        <v>16</v>
      </c>
    </row>
    <row r="909" spans="1:15" x14ac:dyDescent="0.3">
      <c r="A909" s="1" t="s">
        <v>1786</v>
      </c>
      <c r="B909" t="s">
        <v>72</v>
      </c>
      <c r="C909" t="s">
        <v>1704</v>
      </c>
      <c r="D909" t="str">
        <f t="shared" si="14"/>
        <v>Male</v>
      </c>
      <c r="E909" t="s">
        <v>9</v>
      </c>
      <c r="F909" s="2">
        <v>33</v>
      </c>
      <c r="G909" s="2" t="str" cm="1">
        <f t="array" ref="G909">_xlfn.IFS(F909&lt;=8,"Child",F909&lt;=17,"Teen",F909&lt;=35,"Adult",F909&lt;=55,"Seniour Adult",F909&gt;=55,"Old Age")</f>
        <v>Adult</v>
      </c>
      <c r="H909" t="s">
        <v>67</v>
      </c>
      <c r="I909" t="s">
        <v>11</v>
      </c>
      <c r="J909" t="str" cm="1">
        <f t="array" ref="J909">_xlfn.IFS(I909="S","Sauthamptonm",I909="Q","Queentown",I909="C","Cherburg",I909="B","Cabin")</f>
        <v>Sauthamptonm</v>
      </c>
      <c r="K909" t="s">
        <v>15</v>
      </c>
      <c r="L909" s="2">
        <v>29</v>
      </c>
      <c r="M909">
        <v>0</v>
      </c>
      <c r="N909" t="s">
        <v>30</v>
      </c>
      <c r="O909" t="s">
        <v>13</v>
      </c>
    </row>
    <row r="910" spans="1:15" x14ac:dyDescent="0.3">
      <c r="A910" s="1" t="s">
        <v>1787</v>
      </c>
      <c r="B910" t="s">
        <v>72</v>
      </c>
      <c r="C910" t="s">
        <v>637</v>
      </c>
      <c r="D910" t="str">
        <f t="shared" si="14"/>
        <v>Male</v>
      </c>
      <c r="E910" t="s">
        <v>9</v>
      </c>
      <c r="F910" s="2">
        <v>24</v>
      </c>
      <c r="G910" s="2" t="str" cm="1">
        <f t="array" ref="G910">_xlfn.IFS(F910&lt;=8,"Child",F910&lt;=17,"Teen",F910&lt;=35,"Adult",F910&lt;=55,"Seniour Adult",F910&gt;=55,"Old Age")</f>
        <v>Adult</v>
      </c>
      <c r="H910" t="s">
        <v>51</v>
      </c>
      <c r="I910" t="s">
        <v>11</v>
      </c>
      <c r="J910" t="str" cm="1">
        <f t="array" ref="J910">_xlfn.IFS(I910="S","Sauthamptonm",I910="Q","Queentown",I910="C","Cherburg",I910="B","Cabin")</f>
        <v>Sauthamptonm</v>
      </c>
      <c r="K910" t="s">
        <v>15</v>
      </c>
      <c r="L910" s="2">
        <v>29</v>
      </c>
      <c r="M910">
        <v>0</v>
      </c>
      <c r="N910" t="s">
        <v>30</v>
      </c>
      <c r="O910" t="s">
        <v>13</v>
      </c>
    </row>
    <row r="911" spans="1:15" x14ac:dyDescent="0.3">
      <c r="A911" s="1" t="s">
        <v>1788</v>
      </c>
      <c r="B911" t="s">
        <v>72</v>
      </c>
      <c r="C911" t="s">
        <v>173</v>
      </c>
      <c r="D911" t="str">
        <f t="shared" si="14"/>
        <v>Male</v>
      </c>
      <c r="E911" t="s">
        <v>9</v>
      </c>
      <c r="F911" s="2">
        <v>19</v>
      </c>
      <c r="G911" s="2" t="str" cm="1">
        <f t="array" ref="G911">_xlfn.IFS(F911&lt;=8,"Child",F911&lt;=17,"Teen",F911&lt;=35,"Adult",F911&lt;=55,"Seniour Adult",F911&gt;=55,"Old Age")</f>
        <v>Adult</v>
      </c>
      <c r="H911" t="s">
        <v>67</v>
      </c>
      <c r="I911" t="s">
        <v>11</v>
      </c>
      <c r="J911" t="str" cm="1">
        <f t="array" ref="J911">_xlfn.IFS(I911="S","Sauthamptonm",I911="Q","Queentown",I911="C","Cherburg",I911="B","Cabin")</f>
        <v>Sauthamptonm</v>
      </c>
      <c r="K911" t="s">
        <v>15</v>
      </c>
      <c r="L911" s="2">
        <v>29</v>
      </c>
      <c r="M911">
        <v>0</v>
      </c>
      <c r="N911" t="s">
        <v>30</v>
      </c>
      <c r="O911" t="s">
        <v>16</v>
      </c>
    </row>
    <row r="912" spans="1:15" x14ac:dyDescent="0.3">
      <c r="A912" s="1" t="s">
        <v>1789</v>
      </c>
      <c r="B912" t="s">
        <v>1766</v>
      </c>
      <c r="C912" t="s">
        <v>1790</v>
      </c>
      <c r="D912" t="str">
        <f t="shared" si="14"/>
        <v>Male</v>
      </c>
      <c r="E912" t="s">
        <v>9</v>
      </c>
      <c r="F912" s="2">
        <v>24</v>
      </c>
      <c r="G912" s="2" t="str" cm="1">
        <f t="array" ref="G912">_xlfn.IFS(F912&lt;=8,"Child",F912&lt;=17,"Teen",F912&lt;=35,"Adult",F912&lt;=55,"Seniour Adult",F912&gt;=55,"Old Age")</f>
        <v>Adult</v>
      </c>
      <c r="H912" t="s">
        <v>68</v>
      </c>
      <c r="I912" t="s">
        <v>11</v>
      </c>
      <c r="J912" t="str" cm="1">
        <f t="array" ref="J912">_xlfn.IFS(I912="S","Sauthamptonm",I912="Q","Queentown",I912="C","Cherburg",I912="B","Cabin")</f>
        <v>Sauthamptonm</v>
      </c>
      <c r="K912" t="s">
        <v>15</v>
      </c>
      <c r="L912" s="2">
        <v>29</v>
      </c>
      <c r="M912">
        <v>0</v>
      </c>
      <c r="N912" t="s">
        <v>30</v>
      </c>
      <c r="O912" t="s">
        <v>13</v>
      </c>
    </row>
    <row r="913" spans="1:15" x14ac:dyDescent="0.3">
      <c r="A913" s="1" t="s">
        <v>1791</v>
      </c>
      <c r="B913" t="s">
        <v>72</v>
      </c>
      <c r="C913" t="s">
        <v>916</v>
      </c>
      <c r="D913" t="str">
        <f t="shared" si="14"/>
        <v>Male</v>
      </c>
      <c r="E913" t="s">
        <v>9</v>
      </c>
      <c r="F913" s="2">
        <v>34</v>
      </c>
      <c r="G913" s="2" t="str" cm="1">
        <f t="array" ref="G913">_xlfn.IFS(F913&lt;=8,"Child",F913&lt;=17,"Teen",F913&lt;=35,"Adult",F913&lt;=55,"Seniour Adult",F913&gt;=55,"Old Age")</f>
        <v>Adult</v>
      </c>
      <c r="H913" t="s">
        <v>51</v>
      </c>
      <c r="I913" t="s">
        <v>11</v>
      </c>
      <c r="J913" t="str" cm="1">
        <f t="array" ref="J913">_xlfn.IFS(I913="S","Sauthamptonm",I913="Q","Queentown",I913="C","Cherburg",I913="B","Cabin")</f>
        <v>Sauthamptonm</v>
      </c>
      <c r="K913" t="s">
        <v>15</v>
      </c>
      <c r="L913" s="2">
        <v>29</v>
      </c>
      <c r="M913">
        <v>0</v>
      </c>
      <c r="N913" t="s">
        <v>30</v>
      </c>
      <c r="O913" t="s">
        <v>13</v>
      </c>
    </row>
    <row r="914" spans="1:15" x14ac:dyDescent="0.3">
      <c r="A914" s="1" t="s">
        <v>1792</v>
      </c>
      <c r="B914" t="s">
        <v>72</v>
      </c>
      <c r="C914" t="s">
        <v>1793</v>
      </c>
      <c r="D914" t="str">
        <f t="shared" si="14"/>
        <v>Male</v>
      </c>
      <c r="E914" t="s">
        <v>9</v>
      </c>
      <c r="F914" s="2">
        <v>19</v>
      </c>
      <c r="G914" s="2" t="str" cm="1">
        <f t="array" ref="G914">_xlfn.IFS(F914&lt;=8,"Child",F914&lt;=17,"Teen",F914&lt;=35,"Adult",F914&lt;=55,"Seniour Adult",F914&gt;=55,"Old Age")</f>
        <v>Adult</v>
      </c>
      <c r="H914" t="s">
        <v>67</v>
      </c>
      <c r="I914" t="s">
        <v>11</v>
      </c>
      <c r="J914" t="str" cm="1">
        <f t="array" ref="J914">_xlfn.IFS(I914="S","Sauthamptonm",I914="Q","Queentown",I914="C","Cherburg",I914="B","Cabin")</f>
        <v>Sauthamptonm</v>
      </c>
      <c r="K914" t="s">
        <v>15</v>
      </c>
      <c r="L914" s="2">
        <v>29</v>
      </c>
      <c r="M914">
        <v>0</v>
      </c>
      <c r="N914" t="s">
        <v>30</v>
      </c>
      <c r="O914" t="s">
        <v>13</v>
      </c>
    </row>
    <row r="915" spans="1:15" x14ac:dyDescent="0.3">
      <c r="A915" s="1" t="s">
        <v>1794</v>
      </c>
      <c r="B915" t="s">
        <v>72</v>
      </c>
      <c r="C915" t="s">
        <v>1019</v>
      </c>
      <c r="D915" t="str">
        <f t="shared" si="14"/>
        <v>Male</v>
      </c>
      <c r="E915" t="s">
        <v>9</v>
      </c>
      <c r="F915" s="2">
        <v>30</v>
      </c>
      <c r="G915" s="2" t="str" cm="1">
        <f t="array" ref="G915">_xlfn.IFS(F915&lt;=8,"Child",F915&lt;=17,"Teen",F915&lt;=35,"Adult",F915&lt;=55,"Seniour Adult",F915&gt;=55,"Old Age")</f>
        <v>Adult</v>
      </c>
      <c r="H915" t="s">
        <v>51</v>
      </c>
      <c r="I915" t="s">
        <v>11</v>
      </c>
      <c r="J915" t="str" cm="1">
        <f t="array" ref="J915">_xlfn.IFS(I915="S","Sauthamptonm",I915="Q","Queentown",I915="C","Cherburg",I915="B","Cabin")</f>
        <v>Sauthamptonm</v>
      </c>
      <c r="K915" t="s">
        <v>15</v>
      </c>
      <c r="L915" s="2">
        <v>29</v>
      </c>
      <c r="M915">
        <v>0</v>
      </c>
      <c r="N915" t="s">
        <v>30</v>
      </c>
      <c r="O915" t="s">
        <v>13</v>
      </c>
    </row>
    <row r="916" spans="1:15" x14ac:dyDescent="0.3">
      <c r="A916" s="1" t="s">
        <v>1795</v>
      </c>
      <c r="B916" t="s">
        <v>72</v>
      </c>
      <c r="C916" t="s">
        <v>1019</v>
      </c>
      <c r="D916" t="str">
        <f t="shared" si="14"/>
        <v>Male</v>
      </c>
      <c r="E916" t="s">
        <v>9</v>
      </c>
      <c r="F916" s="2">
        <v>29</v>
      </c>
      <c r="G916" s="2" t="str" cm="1">
        <f t="array" ref="G916">_xlfn.IFS(F916&lt;=8,"Child",F916&lt;=17,"Teen",F916&lt;=35,"Adult",F916&lt;=55,"Seniour Adult",F916&gt;=55,"Old Age")</f>
        <v>Adult</v>
      </c>
      <c r="H916" t="s">
        <v>51</v>
      </c>
      <c r="I916" t="s">
        <v>11</v>
      </c>
      <c r="J916" t="str" cm="1">
        <f t="array" ref="J916">_xlfn.IFS(I916="S","Sauthamptonm",I916="Q","Queentown",I916="C","Cherburg",I916="B","Cabin")</f>
        <v>Sauthamptonm</v>
      </c>
      <c r="K916" t="s">
        <v>15</v>
      </c>
      <c r="L916" s="2">
        <v>29</v>
      </c>
      <c r="M916">
        <v>0</v>
      </c>
      <c r="N916" t="s">
        <v>30</v>
      </c>
      <c r="O916" t="s">
        <v>13</v>
      </c>
    </row>
    <row r="917" spans="1:15" x14ac:dyDescent="0.3">
      <c r="A917" s="1" t="s">
        <v>1796</v>
      </c>
      <c r="B917" t="s">
        <v>72</v>
      </c>
      <c r="C917" t="s">
        <v>618</v>
      </c>
      <c r="D917" t="str">
        <f t="shared" si="14"/>
        <v>Male</v>
      </c>
      <c r="E917" t="s">
        <v>9</v>
      </c>
      <c r="F917" s="2">
        <v>16</v>
      </c>
      <c r="G917" s="2" t="str" cm="1">
        <f t="array" ref="G917">_xlfn.IFS(F917&lt;=8,"Child",F917&lt;=17,"Teen",F917&lt;=35,"Adult",F917&lt;=55,"Seniour Adult",F917&gt;=55,"Old Age")</f>
        <v>Teen</v>
      </c>
      <c r="H917" t="s">
        <v>67</v>
      </c>
      <c r="I917" t="s">
        <v>11</v>
      </c>
      <c r="J917" t="str" cm="1">
        <f t="array" ref="J917">_xlfn.IFS(I917="S","Sauthamptonm",I917="Q","Queentown",I917="C","Cherburg",I917="B","Cabin")</f>
        <v>Sauthamptonm</v>
      </c>
      <c r="K917" t="s">
        <v>15</v>
      </c>
      <c r="L917" s="2">
        <v>29</v>
      </c>
      <c r="M917">
        <v>0</v>
      </c>
      <c r="N917" t="s">
        <v>30</v>
      </c>
      <c r="O917" t="s">
        <v>13</v>
      </c>
    </row>
    <row r="918" spans="1:15" x14ac:dyDescent="0.3">
      <c r="A918" s="1" t="s">
        <v>1797</v>
      </c>
      <c r="B918" t="s">
        <v>72</v>
      </c>
      <c r="C918" t="s">
        <v>1442</v>
      </c>
      <c r="D918" t="str">
        <f t="shared" si="14"/>
        <v>Male</v>
      </c>
      <c r="E918" t="s">
        <v>9</v>
      </c>
      <c r="F918" s="2">
        <v>28</v>
      </c>
      <c r="G918" s="2" t="str" cm="1">
        <f t="array" ref="G918">_xlfn.IFS(F918&lt;=8,"Child",F918&lt;=17,"Teen",F918&lt;=35,"Adult",F918&lt;=55,"Seniour Adult",F918&gt;=55,"Old Age")</f>
        <v>Adult</v>
      </c>
      <c r="H918" t="s">
        <v>51</v>
      </c>
      <c r="I918" t="s">
        <v>11</v>
      </c>
      <c r="J918" t="str" cm="1">
        <f t="array" ref="J918">_xlfn.IFS(I918="S","Sauthamptonm",I918="Q","Queentown",I918="C","Cherburg",I918="B","Cabin")</f>
        <v>Sauthamptonm</v>
      </c>
      <c r="K918" t="s">
        <v>15</v>
      </c>
      <c r="L918" s="2">
        <v>29</v>
      </c>
      <c r="M918">
        <v>0</v>
      </c>
      <c r="N918" t="s">
        <v>30</v>
      </c>
      <c r="O918" t="s">
        <v>16</v>
      </c>
    </row>
    <row r="919" spans="1:15" x14ac:dyDescent="0.3">
      <c r="A919" s="1" t="s">
        <v>1798</v>
      </c>
      <c r="B919" t="s">
        <v>72</v>
      </c>
      <c r="C919" t="s">
        <v>1799</v>
      </c>
      <c r="D919" t="str">
        <f t="shared" si="14"/>
        <v>Male</v>
      </c>
      <c r="E919" t="s">
        <v>9</v>
      </c>
      <c r="F919" s="2">
        <v>34</v>
      </c>
      <c r="G919" s="2" t="str" cm="1">
        <f t="array" ref="G919">_xlfn.IFS(F919&lt;=8,"Child",F919&lt;=17,"Teen",F919&lt;=35,"Adult",F919&lt;=55,"Seniour Adult",F919&gt;=55,"Old Age")</f>
        <v>Adult</v>
      </c>
      <c r="H919" t="s">
        <v>67</v>
      </c>
      <c r="I919" t="s">
        <v>28</v>
      </c>
      <c r="J919" t="str" cm="1">
        <f t="array" ref="J919">_xlfn.IFS(I919="S","Sauthamptonm",I919="Q","Queentown",I919="C","Cherburg",I919="B","Cabin")</f>
        <v>Cabin</v>
      </c>
      <c r="K919" t="s">
        <v>15</v>
      </c>
      <c r="L919" s="2">
        <v>29</v>
      </c>
      <c r="M919">
        <v>0</v>
      </c>
      <c r="N919" t="s">
        <v>30</v>
      </c>
      <c r="O919" t="s">
        <v>13</v>
      </c>
    </row>
    <row r="920" spans="1:15" x14ac:dyDescent="0.3">
      <c r="A920" s="1" t="s">
        <v>1800</v>
      </c>
      <c r="B920" t="s">
        <v>72</v>
      </c>
      <c r="C920" t="s">
        <v>1801</v>
      </c>
      <c r="D920" t="str">
        <f t="shared" si="14"/>
        <v>Male</v>
      </c>
      <c r="E920" t="s">
        <v>9</v>
      </c>
      <c r="F920" s="2">
        <v>36</v>
      </c>
      <c r="G920" s="2" t="str" cm="1">
        <f t="array" ref="G920">_xlfn.IFS(F920&lt;=8,"Child",F920&lt;=17,"Teen",F920&lt;=35,"Adult",F920&lt;=55,"Seniour Adult",F920&gt;=55,"Old Age")</f>
        <v>Seniour Adult</v>
      </c>
      <c r="H920" t="s">
        <v>67</v>
      </c>
      <c r="I920" t="s">
        <v>11</v>
      </c>
      <c r="J920" t="str" cm="1">
        <f t="array" ref="J920">_xlfn.IFS(I920="S","Sauthamptonm",I920="Q","Queentown",I920="C","Cherburg",I920="B","Cabin")</f>
        <v>Sauthamptonm</v>
      </c>
      <c r="K920" t="s">
        <v>15</v>
      </c>
      <c r="L920" s="2">
        <v>29</v>
      </c>
      <c r="M920">
        <v>0</v>
      </c>
      <c r="N920" t="s">
        <v>30</v>
      </c>
      <c r="O920" t="s">
        <v>13</v>
      </c>
    </row>
    <row r="921" spans="1:15" x14ac:dyDescent="0.3">
      <c r="A921" s="1" t="s">
        <v>1802</v>
      </c>
      <c r="B921" t="s">
        <v>72</v>
      </c>
      <c r="C921" t="s">
        <v>104</v>
      </c>
      <c r="D921" t="str">
        <f t="shared" si="14"/>
        <v>Male</v>
      </c>
      <c r="E921" t="s">
        <v>9</v>
      </c>
      <c r="F921" s="2">
        <v>32</v>
      </c>
      <c r="G921" s="2" t="str" cm="1">
        <f t="array" ref="G921">_xlfn.IFS(F921&lt;=8,"Child",F921&lt;=17,"Teen",F921&lt;=35,"Adult",F921&lt;=55,"Seniour Adult",F921&gt;=55,"Old Age")</f>
        <v>Adult</v>
      </c>
      <c r="H921" t="s">
        <v>67</v>
      </c>
      <c r="I921" t="s">
        <v>11</v>
      </c>
      <c r="J921" t="str" cm="1">
        <f t="array" ref="J921">_xlfn.IFS(I921="S","Sauthamptonm",I921="Q","Queentown",I921="C","Cherburg",I921="B","Cabin")</f>
        <v>Sauthamptonm</v>
      </c>
      <c r="K921" t="s">
        <v>15</v>
      </c>
      <c r="L921" s="2">
        <v>29</v>
      </c>
      <c r="M921">
        <v>0</v>
      </c>
      <c r="N921" t="s">
        <v>30</v>
      </c>
      <c r="O921" t="s">
        <v>13</v>
      </c>
    </row>
    <row r="922" spans="1:15" x14ac:dyDescent="0.3">
      <c r="A922" s="1" t="s">
        <v>1803</v>
      </c>
      <c r="B922" t="s">
        <v>1766</v>
      </c>
      <c r="C922" t="s">
        <v>1804</v>
      </c>
      <c r="D922" t="str">
        <f t="shared" si="14"/>
        <v>Male</v>
      </c>
      <c r="E922" t="s">
        <v>9</v>
      </c>
      <c r="F922" s="2">
        <v>27</v>
      </c>
      <c r="G922" s="2" t="str" cm="1">
        <f t="array" ref="G922">_xlfn.IFS(F922&lt;=8,"Child",F922&lt;=17,"Teen",F922&lt;=35,"Adult",F922&lt;=55,"Seniour Adult",F922&gt;=55,"Old Age")</f>
        <v>Adult</v>
      </c>
      <c r="H922" t="s">
        <v>68</v>
      </c>
      <c r="I922" t="s">
        <v>11</v>
      </c>
      <c r="J922" t="str" cm="1">
        <f t="array" ref="J922">_xlfn.IFS(I922="S","Sauthamptonm",I922="Q","Queentown",I922="C","Cherburg",I922="B","Cabin")</f>
        <v>Sauthamptonm</v>
      </c>
      <c r="K922" t="s">
        <v>15</v>
      </c>
      <c r="L922" s="2">
        <v>29</v>
      </c>
      <c r="M922">
        <v>0</v>
      </c>
      <c r="N922" t="s">
        <v>30</v>
      </c>
      <c r="O922" t="s">
        <v>13</v>
      </c>
    </row>
    <row r="923" spans="1:15" x14ac:dyDescent="0.3">
      <c r="A923" s="1" t="s">
        <v>1805</v>
      </c>
      <c r="B923" t="s">
        <v>1766</v>
      </c>
      <c r="C923" t="s">
        <v>1806</v>
      </c>
      <c r="D923" t="str">
        <f t="shared" si="14"/>
        <v>Male</v>
      </c>
      <c r="E923" t="s">
        <v>9</v>
      </c>
      <c r="F923" s="2">
        <v>33</v>
      </c>
      <c r="G923" s="2" t="str" cm="1">
        <f t="array" ref="G923">_xlfn.IFS(F923&lt;=8,"Child",F923&lt;=17,"Teen",F923&lt;=35,"Adult",F923&lt;=55,"Seniour Adult",F923&gt;=55,"Old Age")</f>
        <v>Adult</v>
      </c>
      <c r="H923" t="s">
        <v>68</v>
      </c>
      <c r="I923" t="s">
        <v>11</v>
      </c>
      <c r="J923" t="str" cm="1">
        <f t="array" ref="J923">_xlfn.IFS(I923="S","Sauthamptonm",I923="Q","Queentown",I923="C","Cherburg",I923="B","Cabin")</f>
        <v>Sauthamptonm</v>
      </c>
      <c r="K923" t="s">
        <v>15</v>
      </c>
      <c r="L923" s="2">
        <v>29</v>
      </c>
      <c r="M923">
        <v>0</v>
      </c>
      <c r="N923" t="s">
        <v>30</v>
      </c>
      <c r="O923" t="s">
        <v>13</v>
      </c>
    </row>
    <row r="924" spans="1:15" x14ac:dyDescent="0.3">
      <c r="A924" s="1" t="s">
        <v>1807</v>
      </c>
      <c r="B924" t="s">
        <v>72</v>
      </c>
      <c r="C924" t="s">
        <v>1808</v>
      </c>
      <c r="D924" t="str">
        <f t="shared" si="14"/>
        <v>Male</v>
      </c>
      <c r="E924" t="s">
        <v>9</v>
      </c>
      <c r="F924" s="2">
        <v>31</v>
      </c>
      <c r="G924" s="2" t="str" cm="1">
        <f t="array" ref="G924">_xlfn.IFS(F924&lt;=8,"Child",F924&lt;=17,"Teen",F924&lt;=35,"Adult",F924&lt;=55,"Seniour Adult",F924&gt;=55,"Old Age")</f>
        <v>Adult</v>
      </c>
      <c r="H924" t="s">
        <v>67</v>
      </c>
      <c r="I924" t="s">
        <v>11</v>
      </c>
      <c r="J924" t="str" cm="1">
        <f t="array" ref="J924">_xlfn.IFS(I924="S","Sauthamptonm",I924="Q","Queentown",I924="C","Cherburg",I924="B","Cabin")</f>
        <v>Sauthamptonm</v>
      </c>
      <c r="K924" t="s">
        <v>15</v>
      </c>
      <c r="L924" s="2">
        <v>29</v>
      </c>
      <c r="M924">
        <v>0</v>
      </c>
      <c r="N924" t="s">
        <v>30</v>
      </c>
      <c r="O924" t="s">
        <v>13</v>
      </c>
    </row>
    <row r="925" spans="1:15" x14ac:dyDescent="0.3">
      <c r="A925" s="1" t="s">
        <v>1809</v>
      </c>
      <c r="B925" t="s">
        <v>72</v>
      </c>
      <c r="C925" t="s">
        <v>1810</v>
      </c>
      <c r="D925" t="str">
        <f t="shared" si="14"/>
        <v>Male</v>
      </c>
      <c r="E925" t="s">
        <v>9</v>
      </c>
      <c r="F925" s="2">
        <v>35</v>
      </c>
      <c r="G925" s="2" t="str" cm="1">
        <f t="array" ref="G925">_xlfn.IFS(F925&lt;=8,"Child",F925&lt;=17,"Teen",F925&lt;=35,"Adult",F925&lt;=55,"Seniour Adult",F925&gt;=55,"Old Age")</f>
        <v>Adult</v>
      </c>
      <c r="H925" t="s">
        <v>67</v>
      </c>
      <c r="I925" t="s">
        <v>11</v>
      </c>
      <c r="J925" t="str" cm="1">
        <f t="array" ref="J925">_xlfn.IFS(I925="S","Sauthamptonm",I925="Q","Queentown",I925="C","Cherburg",I925="B","Cabin")</f>
        <v>Sauthamptonm</v>
      </c>
      <c r="K925" t="s">
        <v>15</v>
      </c>
      <c r="L925" s="2">
        <v>29</v>
      </c>
      <c r="M925">
        <v>0</v>
      </c>
      <c r="N925" t="s">
        <v>30</v>
      </c>
      <c r="O925" t="s">
        <v>13</v>
      </c>
    </row>
    <row r="926" spans="1:15" x14ac:dyDescent="0.3">
      <c r="A926" s="1" t="s">
        <v>1811</v>
      </c>
      <c r="B926" t="s">
        <v>72</v>
      </c>
      <c r="C926" t="s">
        <v>104</v>
      </c>
      <c r="D926" t="str">
        <f t="shared" si="14"/>
        <v>Male</v>
      </c>
      <c r="E926" t="s">
        <v>9</v>
      </c>
      <c r="F926" s="2">
        <v>19</v>
      </c>
      <c r="G926" s="2" t="str" cm="1">
        <f t="array" ref="G926">_xlfn.IFS(F926&lt;=8,"Child",F926&lt;=17,"Teen",F926&lt;=35,"Adult",F926&lt;=55,"Seniour Adult",F926&gt;=55,"Old Age")</f>
        <v>Adult</v>
      </c>
      <c r="H926" t="s">
        <v>67</v>
      </c>
      <c r="I926" t="s">
        <v>11</v>
      </c>
      <c r="J926" t="str" cm="1">
        <f t="array" ref="J926">_xlfn.IFS(I926="S","Sauthamptonm",I926="Q","Queentown",I926="C","Cherburg",I926="B","Cabin")</f>
        <v>Sauthamptonm</v>
      </c>
      <c r="K926" t="s">
        <v>15</v>
      </c>
      <c r="L926" s="2">
        <v>29</v>
      </c>
      <c r="M926">
        <v>0</v>
      </c>
      <c r="N926" t="s">
        <v>30</v>
      </c>
      <c r="O926" t="s">
        <v>13</v>
      </c>
    </row>
    <row r="927" spans="1:15" x14ac:dyDescent="0.3">
      <c r="A927" s="1" t="s">
        <v>1812</v>
      </c>
      <c r="B927" t="s">
        <v>72</v>
      </c>
      <c r="C927" t="s">
        <v>347</v>
      </c>
      <c r="D927" t="str">
        <f t="shared" si="14"/>
        <v>Male</v>
      </c>
      <c r="E927" t="s">
        <v>9</v>
      </c>
      <c r="F927" s="2">
        <v>51</v>
      </c>
      <c r="G927" s="2" t="str" cm="1">
        <f t="array" ref="G927">_xlfn.IFS(F927&lt;=8,"Child",F927&lt;=17,"Teen",F927&lt;=35,"Adult",F927&lt;=55,"Seniour Adult",F927&gt;=55,"Old Age")</f>
        <v>Seniour Adult</v>
      </c>
      <c r="H927" t="s">
        <v>51</v>
      </c>
      <c r="I927" t="s">
        <v>28</v>
      </c>
      <c r="J927" t="str" cm="1">
        <f t="array" ref="J927">_xlfn.IFS(I927="S","Sauthamptonm",I927="Q","Queentown",I927="C","Cherburg",I927="B","Cabin")</f>
        <v>Cabin</v>
      </c>
      <c r="K927" t="s">
        <v>15</v>
      </c>
      <c r="L927" s="2">
        <v>29</v>
      </c>
      <c r="M927">
        <v>0</v>
      </c>
      <c r="N927" t="s">
        <v>30</v>
      </c>
      <c r="O927" t="s">
        <v>13</v>
      </c>
    </row>
    <row r="928" spans="1:15" x14ac:dyDescent="0.3">
      <c r="A928" s="1" t="s">
        <v>1813</v>
      </c>
      <c r="B928" t="s">
        <v>72</v>
      </c>
      <c r="C928" t="s">
        <v>561</v>
      </c>
      <c r="D928" t="str">
        <f t="shared" si="14"/>
        <v>Male</v>
      </c>
      <c r="E928" t="s">
        <v>9</v>
      </c>
      <c r="F928" s="2">
        <v>24</v>
      </c>
      <c r="G928" s="2" t="str" cm="1">
        <f t="array" ref="G928">_xlfn.IFS(F928&lt;=8,"Child",F928&lt;=17,"Teen",F928&lt;=35,"Adult",F928&lt;=55,"Seniour Adult",F928&gt;=55,"Old Age")</f>
        <v>Adult</v>
      </c>
      <c r="H928" t="s">
        <v>51</v>
      </c>
      <c r="I928" t="s">
        <v>11</v>
      </c>
      <c r="J928" t="str" cm="1">
        <f t="array" ref="J928">_xlfn.IFS(I928="S","Sauthamptonm",I928="Q","Queentown",I928="C","Cherburg",I928="B","Cabin")</f>
        <v>Sauthamptonm</v>
      </c>
      <c r="K928" t="s">
        <v>15</v>
      </c>
      <c r="L928" s="2">
        <v>29</v>
      </c>
      <c r="M928">
        <v>0</v>
      </c>
      <c r="N928" t="s">
        <v>30</v>
      </c>
      <c r="O928" t="s">
        <v>13</v>
      </c>
    </row>
    <row r="929" spans="1:15" x14ac:dyDescent="0.3">
      <c r="A929" s="1" t="s">
        <v>1814</v>
      </c>
      <c r="B929" t="s">
        <v>72</v>
      </c>
      <c r="C929" t="s">
        <v>1815</v>
      </c>
      <c r="D929" t="str">
        <f t="shared" si="14"/>
        <v>Male</v>
      </c>
      <c r="E929" t="s">
        <v>9</v>
      </c>
      <c r="F929" s="2">
        <v>30</v>
      </c>
      <c r="G929" s="2" t="str" cm="1">
        <f t="array" ref="G929">_xlfn.IFS(F929&lt;=8,"Child",F929&lt;=17,"Teen",F929&lt;=35,"Adult",F929&lt;=55,"Seniour Adult",F929&gt;=55,"Old Age")</f>
        <v>Adult</v>
      </c>
      <c r="H929" t="s">
        <v>67</v>
      </c>
      <c r="I929" t="s">
        <v>11</v>
      </c>
      <c r="J929" t="str" cm="1">
        <f t="array" ref="J929">_xlfn.IFS(I929="S","Sauthamptonm",I929="Q","Queentown",I929="C","Cherburg",I929="B","Cabin")</f>
        <v>Sauthamptonm</v>
      </c>
      <c r="K929" t="s">
        <v>15</v>
      </c>
      <c r="L929" s="2">
        <v>29</v>
      </c>
      <c r="M929">
        <v>0</v>
      </c>
      <c r="N929" t="s">
        <v>30</v>
      </c>
      <c r="O929" t="s">
        <v>13</v>
      </c>
    </row>
    <row r="930" spans="1:15" x14ac:dyDescent="0.3">
      <c r="A930" s="1" t="s">
        <v>1816</v>
      </c>
      <c r="B930" t="s">
        <v>72</v>
      </c>
      <c r="C930" t="s">
        <v>1817</v>
      </c>
      <c r="D930" t="str">
        <f t="shared" si="14"/>
        <v>Male</v>
      </c>
      <c r="E930" t="s">
        <v>9</v>
      </c>
      <c r="F930" s="2">
        <v>30</v>
      </c>
      <c r="G930" s="2" t="str" cm="1">
        <f t="array" ref="G930">_xlfn.IFS(F930&lt;=8,"Child",F930&lt;=17,"Teen",F930&lt;=35,"Adult",F930&lt;=55,"Seniour Adult",F930&gt;=55,"Old Age")</f>
        <v>Adult</v>
      </c>
      <c r="H930" t="s">
        <v>51</v>
      </c>
      <c r="I930" t="s">
        <v>11</v>
      </c>
      <c r="J930" t="str" cm="1">
        <f t="array" ref="J930">_xlfn.IFS(I930="S","Sauthamptonm",I930="Q","Queentown",I930="C","Cherburg",I930="B","Cabin")</f>
        <v>Sauthamptonm</v>
      </c>
      <c r="K930" t="s">
        <v>15</v>
      </c>
      <c r="L930" s="2">
        <v>29</v>
      </c>
      <c r="M930">
        <v>0</v>
      </c>
      <c r="N930" t="s">
        <v>30</v>
      </c>
      <c r="O930" t="s">
        <v>13</v>
      </c>
    </row>
    <row r="931" spans="1:15" x14ac:dyDescent="0.3">
      <c r="A931" s="1" t="s">
        <v>1818</v>
      </c>
      <c r="B931" t="s">
        <v>72</v>
      </c>
      <c r="C931" t="s">
        <v>206</v>
      </c>
      <c r="D931" t="str">
        <f t="shared" si="14"/>
        <v>Male</v>
      </c>
      <c r="E931" t="s">
        <v>9</v>
      </c>
      <c r="F931" s="2">
        <v>47</v>
      </c>
      <c r="G931" s="2" t="str" cm="1">
        <f t="array" ref="G931">_xlfn.IFS(F931&lt;=8,"Child",F931&lt;=17,"Teen",F931&lt;=35,"Adult",F931&lt;=55,"Seniour Adult",F931&gt;=55,"Old Age")</f>
        <v>Seniour Adult</v>
      </c>
      <c r="H931" t="s">
        <v>51</v>
      </c>
      <c r="I931" t="s">
        <v>11</v>
      </c>
      <c r="J931" t="str" cm="1">
        <f t="array" ref="J931">_xlfn.IFS(I931="S","Sauthamptonm",I931="Q","Queentown",I931="C","Cherburg",I931="B","Cabin")</f>
        <v>Sauthamptonm</v>
      </c>
      <c r="K931" t="s">
        <v>15</v>
      </c>
      <c r="L931" s="2">
        <v>29</v>
      </c>
      <c r="M931">
        <v>0</v>
      </c>
      <c r="N931" t="s">
        <v>30</v>
      </c>
      <c r="O931" t="s">
        <v>13</v>
      </c>
    </row>
    <row r="932" spans="1:15" x14ac:dyDescent="0.3">
      <c r="A932" s="1" t="s">
        <v>1819</v>
      </c>
      <c r="B932" t="s">
        <v>1766</v>
      </c>
      <c r="C932" t="s">
        <v>1820</v>
      </c>
      <c r="D932" t="str">
        <f t="shared" si="14"/>
        <v>Male</v>
      </c>
      <c r="E932" t="s">
        <v>9</v>
      </c>
      <c r="F932" s="2">
        <v>22</v>
      </c>
      <c r="G932" s="2" t="str" cm="1">
        <f t="array" ref="G932">_xlfn.IFS(F932&lt;=8,"Child",F932&lt;=17,"Teen",F932&lt;=35,"Adult",F932&lt;=55,"Seniour Adult",F932&gt;=55,"Old Age")</f>
        <v>Adult</v>
      </c>
      <c r="H932" t="s">
        <v>68</v>
      </c>
      <c r="I932" t="s">
        <v>11</v>
      </c>
      <c r="J932" t="str" cm="1">
        <f t="array" ref="J932">_xlfn.IFS(I932="S","Sauthamptonm",I932="Q","Queentown",I932="C","Cherburg",I932="B","Cabin")</f>
        <v>Sauthamptonm</v>
      </c>
      <c r="K932" t="s">
        <v>15</v>
      </c>
      <c r="L932" s="2">
        <v>29</v>
      </c>
      <c r="M932">
        <v>0</v>
      </c>
      <c r="N932" t="s">
        <v>30</v>
      </c>
      <c r="O932" t="s">
        <v>13</v>
      </c>
    </row>
    <row r="933" spans="1:15" x14ac:dyDescent="0.3">
      <c r="A933" s="1" t="s">
        <v>1821</v>
      </c>
      <c r="B933" t="s">
        <v>72</v>
      </c>
      <c r="C933" t="s">
        <v>206</v>
      </c>
      <c r="D933" t="str">
        <f t="shared" si="14"/>
        <v>Male</v>
      </c>
      <c r="E933" t="s">
        <v>9</v>
      </c>
      <c r="F933" s="2">
        <v>31</v>
      </c>
      <c r="G933" s="2" t="str" cm="1">
        <f t="array" ref="G933">_xlfn.IFS(F933&lt;=8,"Child",F933&lt;=17,"Teen",F933&lt;=35,"Adult",F933&lt;=55,"Seniour Adult",F933&gt;=55,"Old Age")</f>
        <v>Adult</v>
      </c>
      <c r="H933" t="s">
        <v>67</v>
      </c>
      <c r="I933" t="s">
        <v>11</v>
      </c>
      <c r="J933" t="str" cm="1">
        <f t="array" ref="J933">_xlfn.IFS(I933="S","Sauthamptonm",I933="Q","Queentown",I933="C","Cherburg",I933="B","Cabin")</f>
        <v>Sauthamptonm</v>
      </c>
      <c r="K933" t="s">
        <v>15</v>
      </c>
      <c r="L933" s="2">
        <v>29</v>
      </c>
      <c r="M933">
        <v>0</v>
      </c>
      <c r="N933" t="s">
        <v>30</v>
      </c>
      <c r="O933" t="s">
        <v>13</v>
      </c>
    </row>
    <row r="934" spans="1:15" x14ac:dyDescent="0.3">
      <c r="A934" s="1" t="s">
        <v>1822</v>
      </c>
      <c r="B934" t="s">
        <v>72</v>
      </c>
      <c r="C934" t="s">
        <v>1823</v>
      </c>
      <c r="D934" t="str">
        <f t="shared" si="14"/>
        <v>Male</v>
      </c>
      <c r="E934" t="s">
        <v>9</v>
      </c>
      <c r="F934" s="2">
        <v>40</v>
      </c>
      <c r="G934" s="2" t="str" cm="1">
        <f t="array" ref="G934">_xlfn.IFS(F934&lt;=8,"Child",F934&lt;=17,"Teen",F934&lt;=35,"Adult",F934&lt;=55,"Seniour Adult",F934&gt;=55,"Old Age")</f>
        <v>Seniour Adult</v>
      </c>
      <c r="H934" t="s">
        <v>67</v>
      </c>
      <c r="I934" t="s">
        <v>28</v>
      </c>
      <c r="J934" t="str" cm="1">
        <f t="array" ref="J934">_xlfn.IFS(I934="S","Sauthamptonm",I934="Q","Queentown",I934="C","Cherburg",I934="B","Cabin")</f>
        <v>Cabin</v>
      </c>
      <c r="K934" t="s">
        <v>15</v>
      </c>
      <c r="L934" s="2">
        <v>29</v>
      </c>
      <c r="M934">
        <v>0</v>
      </c>
      <c r="N934" t="s">
        <v>30</v>
      </c>
      <c r="O934" t="s">
        <v>13</v>
      </c>
    </row>
    <row r="935" spans="1:15" x14ac:dyDescent="0.3">
      <c r="A935" s="1" t="s">
        <v>1824</v>
      </c>
      <c r="B935" t="s">
        <v>72</v>
      </c>
      <c r="C935" t="s">
        <v>381</v>
      </c>
      <c r="D935" t="str">
        <f t="shared" si="14"/>
        <v>Male</v>
      </c>
      <c r="E935" t="s">
        <v>9</v>
      </c>
      <c r="F935" s="2">
        <v>26</v>
      </c>
      <c r="G935" s="2" t="str" cm="1">
        <f t="array" ref="G935">_xlfn.IFS(F935&lt;=8,"Child",F935&lt;=17,"Teen",F935&lt;=35,"Adult",F935&lt;=55,"Seniour Adult",F935&gt;=55,"Old Age")</f>
        <v>Adult</v>
      </c>
      <c r="H935" t="s">
        <v>68</v>
      </c>
      <c r="I935" t="s">
        <v>11</v>
      </c>
      <c r="J935" t="str" cm="1">
        <f t="array" ref="J935">_xlfn.IFS(I935="S","Sauthamptonm",I935="Q","Queentown",I935="C","Cherburg",I935="B","Cabin")</f>
        <v>Sauthamptonm</v>
      </c>
      <c r="K935" t="s">
        <v>15</v>
      </c>
      <c r="L935" s="2">
        <v>29</v>
      </c>
      <c r="M935">
        <v>0</v>
      </c>
      <c r="N935" t="s">
        <v>30</v>
      </c>
      <c r="O935" t="s">
        <v>13</v>
      </c>
    </row>
    <row r="936" spans="1:15" x14ac:dyDescent="0.3">
      <c r="A936" s="1" t="s">
        <v>1825</v>
      </c>
      <c r="B936" t="s">
        <v>72</v>
      </c>
      <c r="C936" t="s">
        <v>1826</v>
      </c>
      <c r="D936" t="str">
        <f t="shared" si="14"/>
        <v>Male</v>
      </c>
      <c r="E936" t="s">
        <v>9</v>
      </c>
      <c r="F936" s="2">
        <v>22</v>
      </c>
      <c r="G936" s="2" t="str" cm="1">
        <f t="array" ref="G936">_xlfn.IFS(F936&lt;=8,"Child",F936&lt;=17,"Teen",F936&lt;=35,"Adult",F936&lt;=55,"Seniour Adult",F936&gt;=55,"Old Age")</f>
        <v>Adult</v>
      </c>
      <c r="H936" t="s">
        <v>51</v>
      </c>
      <c r="I936" t="s">
        <v>11</v>
      </c>
      <c r="J936" t="str" cm="1">
        <f t="array" ref="J936">_xlfn.IFS(I936="S","Sauthamptonm",I936="Q","Queentown",I936="C","Cherburg",I936="B","Cabin")</f>
        <v>Sauthamptonm</v>
      </c>
      <c r="K936" t="s">
        <v>15</v>
      </c>
      <c r="L936" s="2">
        <v>29</v>
      </c>
      <c r="M936">
        <v>0</v>
      </c>
      <c r="N936" t="s">
        <v>30</v>
      </c>
      <c r="O936" t="s">
        <v>13</v>
      </c>
    </row>
    <row r="937" spans="1:15" x14ac:dyDescent="0.3">
      <c r="A937" s="1" t="s">
        <v>1827</v>
      </c>
      <c r="B937" t="s">
        <v>72</v>
      </c>
      <c r="C937" t="s">
        <v>416</v>
      </c>
      <c r="D937" t="str">
        <f t="shared" si="14"/>
        <v>Male</v>
      </c>
      <c r="E937" t="s">
        <v>9</v>
      </c>
      <c r="F937" s="2">
        <v>31</v>
      </c>
      <c r="G937" s="2" t="str" cm="1">
        <f t="array" ref="G937">_xlfn.IFS(F937&lt;=8,"Child",F937&lt;=17,"Teen",F937&lt;=35,"Adult",F937&lt;=55,"Seniour Adult",F937&gt;=55,"Old Age")</f>
        <v>Adult</v>
      </c>
      <c r="H937" t="s">
        <v>51</v>
      </c>
      <c r="I937" t="s">
        <v>11</v>
      </c>
      <c r="J937" t="str" cm="1">
        <f t="array" ref="J937">_xlfn.IFS(I937="S","Sauthamptonm",I937="Q","Queentown",I937="C","Cherburg",I937="B","Cabin")</f>
        <v>Sauthamptonm</v>
      </c>
      <c r="K937" t="s">
        <v>15</v>
      </c>
      <c r="L937" s="2">
        <v>29</v>
      </c>
      <c r="M937">
        <v>0</v>
      </c>
      <c r="N937" t="s">
        <v>30</v>
      </c>
      <c r="O937" t="s">
        <v>13</v>
      </c>
    </row>
    <row r="938" spans="1:15" x14ac:dyDescent="0.3">
      <c r="A938" s="1" t="s">
        <v>1828</v>
      </c>
      <c r="B938" t="s">
        <v>72</v>
      </c>
      <c r="C938" t="s">
        <v>1829</v>
      </c>
      <c r="D938" t="str">
        <f t="shared" si="14"/>
        <v>Male</v>
      </c>
      <c r="E938" t="s">
        <v>9</v>
      </c>
      <c r="F938" s="2">
        <v>28</v>
      </c>
      <c r="G938" s="2" t="str" cm="1">
        <f t="array" ref="G938">_xlfn.IFS(F938&lt;=8,"Child",F938&lt;=17,"Teen",F938&lt;=35,"Adult",F938&lt;=55,"Seniour Adult",F938&gt;=55,"Old Age")</f>
        <v>Adult</v>
      </c>
      <c r="H938" t="s">
        <v>68</v>
      </c>
      <c r="I938" t="s">
        <v>11</v>
      </c>
      <c r="J938" t="str" cm="1">
        <f t="array" ref="J938">_xlfn.IFS(I938="S","Sauthamptonm",I938="Q","Queentown",I938="C","Cherburg",I938="B","Cabin")</f>
        <v>Sauthamptonm</v>
      </c>
      <c r="K938" t="s">
        <v>15</v>
      </c>
      <c r="L938" s="2">
        <v>29</v>
      </c>
      <c r="M938">
        <v>0</v>
      </c>
      <c r="N938" t="s">
        <v>30</v>
      </c>
      <c r="O938" t="s">
        <v>13</v>
      </c>
    </row>
    <row r="939" spans="1:15" x14ac:dyDescent="0.3">
      <c r="A939" s="1" t="s">
        <v>1830</v>
      </c>
      <c r="B939" t="s">
        <v>72</v>
      </c>
      <c r="C939" t="s">
        <v>1831</v>
      </c>
      <c r="D939" t="str">
        <f t="shared" si="14"/>
        <v>Male</v>
      </c>
      <c r="E939" t="s">
        <v>9</v>
      </c>
      <c r="F939" s="2">
        <v>20</v>
      </c>
      <c r="G939" s="2" t="str" cm="1">
        <f t="array" ref="G939">_xlfn.IFS(F939&lt;=8,"Child",F939&lt;=17,"Teen",F939&lt;=35,"Adult",F939&lt;=55,"Seniour Adult",F939&gt;=55,"Old Age")</f>
        <v>Adult</v>
      </c>
      <c r="H939" t="s">
        <v>51</v>
      </c>
      <c r="I939" t="s">
        <v>11</v>
      </c>
      <c r="J939" t="str" cm="1">
        <f t="array" ref="J939">_xlfn.IFS(I939="S","Sauthamptonm",I939="Q","Queentown",I939="C","Cherburg",I939="B","Cabin")</f>
        <v>Sauthamptonm</v>
      </c>
      <c r="K939" t="s">
        <v>15</v>
      </c>
      <c r="L939" s="2">
        <v>29</v>
      </c>
      <c r="M939">
        <v>0</v>
      </c>
      <c r="N939" t="s">
        <v>30</v>
      </c>
      <c r="O939" t="s">
        <v>13</v>
      </c>
    </row>
    <row r="940" spans="1:15" x14ac:dyDescent="0.3">
      <c r="A940" s="1" t="s">
        <v>1832</v>
      </c>
      <c r="B940" t="s">
        <v>72</v>
      </c>
      <c r="C940" t="s">
        <v>598</v>
      </c>
      <c r="D940" t="str">
        <f t="shared" si="14"/>
        <v>Male</v>
      </c>
      <c r="E940" t="s">
        <v>9</v>
      </c>
      <c r="F940" s="2">
        <v>20</v>
      </c>
      <c r="G940" s="2" t="str" cm="1">
        <f t="array" ref="G940">_xlfn.IFS(F940&lt;=8,"Child",F940&lt;=17,"Teen",F940&lt;=35,"Adult",F940&lt;=55,"Seniour Adult",F940&gt;=55,"Old Age")</f>
        <v>Adult</v>
      </c>
      <c r="H940" t="s">
        <v>51</v>
      </c>
      <c r="I940" t="s">
        <v>11</v>
      </c>
      <c r="J940" t="str" cm="1">
        <f t="array" ref="J940">_xlfn.IFS(I940="S","Sauthamptonm",I940="Q","Queentown",I940="C","Cherburg",I940="B","Cabin")</f>
        <v>Sauthamptonm</v>
      </c>
      <c r="K940" t="s">
        <v>15</v>
      </c>
      <c r="L940" s="2">
        <v>29</v>
      </c>
      <c r="M940">
        <v>0</v>
      </c>
      <c r="N940" t="s">
        <v>30</v>
      </c>
      <c r="O940" t="s">
        <v>13</v>
      </c>
    </row>
    <row r="941" spans="1:15" x14ac:dyDescent="0.3">
      <c r="A941" s="1" t="s">
        <v>1833</v>
      </c>
      <c r="B941" t="s">
        <v>72</v>
      </c>
      <c r="C941" t="s">
        <v>1834</v>
      </c>
      <c r="D941" t="str">
        <f t="shared" si="14"/>
        <v>Male</v>
      </c>
      <c r="E941" t="s">
        <v>9</v>
      </c>
      <c r="F941" s="2">
        <v>20</v>
      </c>
      <c r="G941" s="2" t="str" cm="1">
        <f t="array" ref="G941">_xlfn.IFS(F941&lt;=8,"Child",F941&lt;=17,"Teen",F941&lt;=35,"Adult",F941&lt;=55,"Seniour Adult",F941&gt;=55,"Old Age")</f>
        <v>Adult</v>
      </c>
      <c r="H941" t="s">
        <v>51</v>
      </c>
      <c r="I941" t="s">
        <v>11</v>
      </c>
      <c r="J941" t="str" cm="1">
        <f t="array" ref="J941">_xlfn.IFS(I941="S","Sauthamptonm",I941="Q","Queentown",I941="C","Cherburg",I941="B","Cabin")</f>
        <v>Sauthamptonm</v>
      </c>
      <c r="K941" t="s">
        <v>15</v>
      </c>
      <c r="L941" s="2">
        <v>29</v>
      </c>
      <c r="M941">
        <v>0</v>
      </c>
      <c r="N941" t="s">
        <v>30</v>
      </c>
      <c r="O941" t="s">
        <v>16</v>
      </c>
    </row>
    <row r="942" spans="1:15" x14ac:dyDescent="0.3">
      <c r="A942" s="1" t="s">
        <v>1835</v>
      </c>
      <c r="B942" t="s">
        <v>72</v>
      </c>
      <c r="C942" t="s">
        <v>1297</v>
      </c>
      <c r="D942" t="str">
        <f t="shared" si="14"/>
        <v>Male</v>
      </c>
      <c r="E942" t="s">
        <v>9</v>
      </c>
      <c r="F942" s="2">
        <v>23</v>
      </c>
      <c r="G942" s="2" t="str" cm="1">
        <f t="array" ref="G942">_xlfn.IFS(F942&lt;=8,"Child",F942&lt;=17,"Teen",F942&lt;=35,"Adult",F942&lt;=55,"Seniour Adult",F942&gt;=55,"Old Age")</f>
        <v>Adult</v>
      </c>
      <c r="H942" t="s">
        <v>51</v>
      </c>
      <c r="I942" t="s">
        <v>11</v>
      </c>
      <c r="J942" t="str" cm="1">
        <f t="array" ref="J942">_xlfn.IFS(I942="S","Sauthamptonm",I942="Q","Queentown",I942="C","Cherburg",I942="B","Cabin")</f>
        <v>Sauthamptonm</v>
      </c>
      <c r="K942" t="s">
        <v>15</v>
      </c>
      <c r="L942" s="2">
        <v>29</v>
      </c>
      <c r="M942">
        <v>0</v>
      </c>
      <c r="N942" t="s">
        <v>30</v>
      </c>
      <c r="O942" t="s">
        <v>13</v>
      </c>
    </row>
    <row r="943" spans="1:15" x14ac:dyDescent="0.3">
      <c r="A943" s="1" t="s">
        <v>1836</v>
      </c>
      <c r="B943" t="s">
        <v>72</v>
      </c>
      <c r="C943" t="s">
        <v>1356</v>
      </c>
      <c r="D943" t="str">
        <f t="shared" si="14"/>
        <v>Male</v>
      </c>
      <c r="E943" t="s">
        <v>9</v>
      </c>
      <c r="F943" s="2">
        <v>28</v>
      </c>
      <c r="G943" s="2" t="str" cm="1">
        <f t="array" ref="G943">_xlfn.IFS(F943&lt;=8,"Child",F943&lt;=17,"Teen",F943&lt;=35,"Adult",F943&lt;=55,"Seniour Adult",F943&gt;=55,"Old Age")</f>
        <v>Adult</v>
      </c>
      <c r="H943" t="s">
        <v>51</v>
      </c>
      <c r="I943" t="s">
        <v>11</v>
      </c>
      <c r="J943" t="str" cm="1">
        <f t="array" ref="J943">_xlfn.IFS(I943="S","Sauthamptonm",I943="Q","Queentown",I943="C","Cherburg",I943="B","Cabin")</f>
        <v>Sauthamptonm</v>
      </c>
      <c r="K943" t="s">
        <v>15</v>
      </c>
      <c r="L943" s="2">
        <v>29</v>
      </c>
      <c r="M943">
        <v>0</v>
      </c>
      <c r="N943" t="s">
        <v>30</v>
      </c>
      <c r="O943" t="s">
        <v>13</v>
      </c>
    </row>
    <row r="944" spans="1:15" x14ac:dyDescent="0.3">
      <c r="A944" s="1" t="s">
        <v>1838</v>
      </c>
      <c r="B944" t="s">
        <v>72</v>
      </c>
      <c r="C944" t="s">
        <v>1839</v>
      </c>
      <c r="D944" t="str">
        <f t="shared" si="14"/>
        <v>Male</v>
      </c>
      <c r="E944" t="s">
        <v>9</v>
      </c>
      <c r="F944" s="2">
        <v>23</v>
      </c>
      <c r="G944" s="2" t="str" cm="1">
        <f t="array" ref="G944">_xlfn.IFS(F944&lt;=8,"Child",F944&lt;=17,"Teen",F944&lt;=35,"Adult",F944&lt;=55,"Seniour Adult",F944&gt;=55,"Old Age")</f>
        <v>Adult</v>
      </c>
      <c r="H944" t="s">
        <v>51</v>
      </c>
      <c r="I944" t="s">
        <v>11</v>
      </c>
      <c r="J944" t="str" cm="1">
        <f t="array" ref="J944">_xlfn.IFS(I944="S","Sauthamptonm",I944="Q","Queentown",I944="C","Cherburg",I944="B","Cabin")</f>
        <v>Sauthamptonm</v>
      </c>
      <c r="K944" t="s">
        <v>15</v>
      </c>
      <c r="L944" s="2">
        <v>29</v>
      </c>
      <c r="M944">
        <v>0</v>
      </c>
      <c r="N944" t="s">
        <v>30</v>
      </c>
      <c r="O944" t="s">
        <v>16</v>
      </c>
    </row>
    <row r="945" spans="1:15" x14ac:dyDescent="0.3">
      <c r="A945" s="1" t="s">
        <v>1840</v>
      </c>
      <c r="B945" t="s">
        <v>72</v>
      </c>
      <c r="C945" t="s">
        <v>598</v>
      </c>
      <c r="D945" t="str">
        <f t="shared" si="14"/>
        <v>Male</v>
      </c>
      <c r="E945" t="s">
        <v>9</v>
      </c>
      <c r="F945" s="2">
        <v>32</v>
      </c>
      <c r="G945" s="2" t="str" cm="1">
        <f t="array" ref="G945">_xlfn.IFS(F945&lt;=8,"Child",F945&lt;=17,"Teen",F945&lt;=35,"Adult",F945&lt;=55,"Seniour Adult",F945&gt;=55,"Old Age")</f>
        <v>Adult</v>
      </c>
      <c r="H945" t="s">
        <v>51</v>
      </c>
      <c r="I945" t="s">
        <v>11</v>
      </c>
      <c r="J945" t="str" cm="1">
        <f t="array" ref="J945">_xlfn.IFS(I945="S","Sauthamptonm",I945="Q","Queentown",I945="C","Cherburg",I945="B","Cabin")</f>
        <v>Sauthamptonm</v>
      </c>
      <c r="K945" t="s">
        <v>29</v>
      </c>
      <c r="L945" s="2">
        <v>29</v>
      </c>
      <c r="M945">
        <v>0</v>
      </c>
      <c r="N945" t="s">
        <v>30</v>
      </c>
      <c r="O945" t="s">
        <v>13</v>
      </c>
    </row>
    <row r="946" spans="1:15" x14ac:dyDescent="0.3">
      <c r="A946" s="1" t="s">
        <v>1841</v>
      </c>
      <c r="B946" t="s">
        <v>72</v>
      </c>
      <c r="C946" t="s">
        <v>1842</v>
      </c>
      <c r="D946" t="str">
        <f t="shared" si="14"/>
        <v>Male</v>
      </c>
      <c r="E946" t="s">
        <v>9</v>
      </c>
      <c r="F946" s="2">
        <v>22</v>
      </c>
      <c r="G946" s="2" t="str" cm="1">
        <f t="array" ref="G946">_xlfn.IFS(F946&lt;=8,"Child",F946&lt;=17,"Teen",F946&lt;=35,"Adult",F946&lt;=55,"Seniour Adult",F946&gt;=55,"Old Age")</f>
        <v>Adult</v>
      </c>
      <c r="H946" t="s">
        <v>51</v>
      </c>
      <c r="I946" t="s">
        <v>11</v>
      </c>
      <c r="J946" t="str" cm="1">
        <f t="array" ref="J946">_xlfn.IFS(I946="S","Sauthamptonm",I946="Q","Queentown",I946="C","Cherburg",I946="B","Cabin")</f>
        <v>Sauthamptonm</v>
      </c>
      <c r="K946" t="s">
        <v>15</v>
      </c>
      <c r="L946" s="2">
        <v>29</v>
      </c>
      <c r="M946">
        <v>0</v>
      </c>
      <c r="N946" t="s">
        <v>30</v>
      </c>
      <c r="O946" t="s">
        <v>13</v>
      </c>
    </row>
    <row r="947" spans="1:15" x14ac:dyDescent="0.3">
      <c r="A947" s="1" t="s">
        <v>1843</v>
      </c>
      <c r="B947" t="s">
        <v>76</v>
      </c>
      <c r="C947" t="s">
        <v>1445</v>
      </c>
      <c r="D947" t="str">
        <f t="shared" si="14"/>
        <v>Female</v>
      </c>
      <c r="E947" t="s">
        <v>14</v>
      </c>
      <c r="F947" s="2">
        <v>45</v>
      </c>
      <c r="G947" s="2" t="str" cm="1">
        <f t="array" ref="G947">_xlfn.IFS(F947&lt;=8,"Child",F947&lt;=17,"Teen",F947&lt;=35,"Adult",F947&lt;=55,"Seniour Adult",F947&gt;=55,"Old Age")</f>
        <v>Seniour Adult</v>
      </c>
      <c r="H947" t="s">
        <v>67</v>
      </c>
      <c r="I947" t="s">
        <v>11</v>
      </c>
      <c r="J947" t="str" cm="1">
        <f t="array" ref="J947">_xlfn.IFS(I947="S","Sauthamptonm",I947="Q","Queentown",I947="C","Cherburg",I947="B","Cabin")</f>
        <v>Sauthamptonm</v>
      </c>
      <c r="K947" t="s">
        <v>32</v>
      </c>
      <c r="L947" s="2">
        <v>29</v>
      </c>
      <c r="M947">
        <v>0</v>
      </c>
      <c r="N947" t="s">
        <v>30</v>
      </c>
      <c r="O947" t="s">
        <v>16</v>
      </c>
    </row>
    <row r="948" spans="1:15" x14ac:dyDescent="0.3">
      <c r="A948" s="1" t="s">
        <v>1844</v>
      </c>
      <c r="B948" t="s">
        <v>72</v>
      </c>
      <c r="C948" t="s">
        <v>1665</v>
      </c>
      <c r="D948" t="str">
        <f t="shared" si="14"/>
        <v>Male</v>
      </c>
      <c r="E948" t="s">
        <v>9</v>
      </c>
      <c r="F948" s="2">
        <v>26</v>
      </c>
      <c r="G948" s="2" t="str" cm="1">
        <f t="array" ref="G948">_xlfn.IFS(F948&lt;=8,"Child",F948&lt;=17,"Teen",F948&lt;=35,"Adult",F948&lt;=55,"Seniour Adult",F948&gt;=55,"Old Age")</f>
        <v>Adult</v>
      </c>
      <c r="H948" t="s">
        <v>68</v>
      </c>
      <c r="I948" t="s">
        <v>11</v>
      </c>
      <c r="J948" t="str" cm="1">
        <f t="array" ref="J948">_xlfn.IFS(I948="S","Sauthamptonm",I948="Q","Queentown",I948="C","Cherburg",I948="B","Cabin")</f>
        <v>Sauthamptonm</v>
      </c>
      <c r="K948" t="s">
        <v>15</v>
      </c>
      <c r="L948" s="2">
        <v>29</v>
      </c>
      <c r="M948">
        <v>0</v>
      </c>
      <c r="N948" t="s">
        <v>30</v>
      </c>
      <c r="O948" t="s">
        <v>13</v>
      </c>
    </row>
    <row r="949" spans="1:15" x14ac:dyDescent="0.3">
      <c r="A949" s="1" t="s">
        <v>1845</v>
      </c>
      <c r="B949" t="s">
        <v>72</v>
      </c>
      <c r="C949" t="s">
        <v>1846</v>
      </c>
      <c r="D949" t="str">
        <f t="shared" si="14"/>
        <v>Male</v>
      </c>
      <c r="E949" t="s">
        <v>9</v>
      </c>
      <c r="F949" s="2">
        <v>30</v>
      </c>
      <c r="G949" s="2" t="str" cm="1">
        <f t="array" ref="G949">_xlfn.IFS(F949&lt;=8,"Child",F949&lt;=17,"Teen",F949&lt;=35,"Adult",F949&lt;=55,"Seniour Adult",F949&gt;=55,"Old Age")</f>
        <v>Adult</v>
      </c>
      <c r="H949" t="s">
        <v>67</v>
      </c>
      <c r="I949" t="s">
        <v>11</v>
      </c>
      <c r="J949" t="str" cm="1">
        <f t="array" ref="J949">_xlfn.IFS(I949="S","Sauthamptonm",I949="Q","Queentown",I949="C","Cherburg",I949="B","Cabin")</f>
        <v>Sauthamptonm</v>
      </c>
      <c r="K949" t="s">
        <v>15</v>
      </c>
      <c r="L949" s="2">
        <v>29</v>
      </c>
      <c r="M949">
        <v>0</v>
      </c>
      <c r="N949" t="s">
        <v>30</v>
      </c>
      <c r="O949" t="s">
        <v>13</v>
      </c>
    </row>
    <row r="950" spans="1:15" x14ac:dyDescent="0.3">
      <c r="A950" s="1" t="s">
        <v>1847</v>
      </c>
      <c r="B950" t="s">
        <v>72</v>
      </c>
      <c r="C950" t="s">
        <v>1848</v>
      </c>
      <c r="D950" t="str">
        <f t="shared" si="14"/>
        <v>Male</v>
      </c>
      <c r="E950" t="s">
        <v>9</v>
      </c>
      <c r="F950" s="2">
        <v>43</v>
      </c>
      <c r="G950" s="2" t="str" cm="1">
        <f t="array" ref="G950">_xlfn.IFS(F950&lt;=8,"Child",F950&lt;=17,"Teen",F950&lt;=35,"Adult",F950&lt;=55,"Seniour Adult",F950&gt;=55,"Old Age")</f>
        <v>Seniour Adult</v>
      </c>
      <c r="H950" t="s">
        <v>68</v>
      </c>
      <c r="I950" t="s">
        <v>11</v>
      </c>
      <c r="J950" t="str" cm="1">
        <f t="array" ref="J950">_xlfn.IFS(I950="S","Sauthamptonm",I950="Q","Queentown",I950="C","Cherburg",I950="B","Cabin")</f>
        <v>Sauthamptonm</v>
      </c>
      <c r="K950" t="s">
        <v>15</v>
      </c>
      <c r="L950" s="2">
        <v>29</v>
      </c>
      <c r="M950">
        <v>0</v>
      </c>
      <c r="N950" t="s">
        <v>30</v>
      </c>
      <c r="O950" t="s">
        <v>13</v>
      </c>
    </row>
    <row r="951" spans="1:15" x14ac:dyDescent="0.3">
      <c r="A951" s="1" t="s">
        <v>1849</v>
      </c>
      <c r="B951" t="s">
        <v>72</v>
      </c>
      <c r="C951" t="s">
        <v>1850</v>
      </c>
      <c r="D951" t="str">
        <f t="shared" si="14"/>
        <v>Male</v>
      </c>
      <c r="E951" t="s">
        <v>9</v>
      </c>
      <c r="F951" s="2">
        <v>59</v>
      </c>
      <c r="G951" s="2" t="str" cm="1">
        <f t="array" ref="G951">_xlfn.IFS(F951&lt;=8,"Child",F951&lt;=17,"Teen",F951&lt;=35,"Adult",F951&lt;=55,"Seniour Adult",F951&gt;=55,"Old Age")</f>
        <v>Old Age</v>
      </c>
      <c r="H951" t="s">
        <v>67</v>
      </c>
      <c r="I951" t="s">
        <v>11</v>
      </c>
      <c r="J951" t="str" cm="1">
        <f t="array" ref="J951">_xlfn.IFS(I951="S","Sauthamptonm",I951="Q","Queentown",I951="C","Cherburg",I951="B","Cabin")</f>
        <v>Sauthamptonm</v>
      </c>
      <c r="K951" t="s">
        <v>43</v>
      </c>
      <c r="L951" s="2">
        <v>29</v>
      </c>
      <c r="M951">
        <v>0</v>
      </c>
      <c r="N951" t="s">
        <v>30</v>
      </c>
      <c r="O951" t="s">
        <v>13</v>
      </c>
    </row>
    <row r="952" spans="1:15" x14ac:dyDescent="0.3">
      <c r="A952" s="1" t="s">
        <v>1851</v>
      </c>
      <c r="B952" t="s">
        <v>72</v>
      </c>
      <c r="C952" t="s">
        <v>1852</v>
      </c>
      <c r="D952" t="str">
        <f t="shared" si="14"/>
        <v>Male</v>
      </c>
      <c r="E952" t="s">
        <v>9</v>
      </c>
      <c r="F952" s="2">
        <v>27</v>
      </c>
      <c r="G952" s="2" t="str" cm="1">
        <f t="array" ref="G952">_xlfn.IFS(F952&lt;=8,"Child",F952&lt;=17,"Teen",F952&lt;=35,"Adult",F952&lt;=55,"Seniour Adult",F952&gt;=55,"Old Age")</f>
        <v>Adult</v>
      </c>
      <c r="H952" t="s">
        <v>68</v>
      </c>
      <c r="I952" t="s">
        <v>11</v>
      </c>
      <c r="J952" t="str" cm="1">
        <f t="array" ref="J952">_xlfn.IFS(I952="S","Sauthamptonm",I952="Q","Queentown",I952="C","Cherburg",I952="B","Cabin")</f>
        <v>Sauthamptonm</v>
      </c>
      <c r="K952" t="s">
        <v>15</v>
      </c>
      <c r="L952" s="2">
        <v>29</v>
      </c>
      <c r="M952">
        <v>0</v>
      </c>
      <c r="N952" t="s">
        <v>30</v>
      </c>
      <c r="O952" t="s">
        <v>13</v>
      </c>
    </row>
    <row r="953" spans="1:15" x14ac:dyDescent="0.3">
      <c r="A953" s="1" t="s">
        <v>1853</v>
      </c>
      <c r="B953" t="s">
        <v>72</v>
      </c>
      <c r="C953" t="s">
        <v>229</v>
      </c>
      <c r="D953" t="str">
        <f t="shared" si="14"/>
        <v>Male</v>
      </c>
      <c r="E953" t="s">
        <v>9</v>
      </c>
      <c r="F953" s="2">
        <v>40</v>
      </c>
      <c r="G953" s="2" t="str" cm="1">
        <f t="array" ref="G953">_xlfn.IFS(F953&lt;=8,"Child",F953&lt;=17,"Teen",F953&lt;=35,"Adult",F953&lt;=55,"Seniour Adult",F953&gt;=55,"Old Age")</f>
        <v>Seniour Adult</v>
      </c>
      <c r="H953" t="s">
        <v>67</v>
      </c>
      <c r="I953" t="s">
        <v>28</v>
      </c>
      <c r="J953" t="str" cm="1">
        <f t="array" ref="J953">_xlfn.IFS(I953="S","Sauthamptonm",I953="Q","Queentown",I953="C","Cherburg",I953="B","Cabin")</f>
        <v>Cabin</v>
      </c>
      <c r="K953" t="s">
        <v>15</v>
      </c>
      <c r="L953" s="2">
        <v>29</v>
      </c>
      <c r="M953">
        <v>0</v>
      </c>
      <c r="N953" t="s">
        <v>30</v>
      </c>
      <c r="O953" t="s">
        <v>13</v>
      </c>
    </row>
    <row r="954" spans="1:15" x14ac:dyDescent="0.3">
      <c r="A954" s="1" t="s">
        <v>1854</v>
      </c>
      <c r="B954" t="s">
        <v>72</v>
      </c>
      <c r="C954" t="s">
        <v>1855</v>
      </c>
      <c r="D954" t="str">
        <f t="shared" si="14"/>
        <v>Male</v>
      </c>
      <c r="E954" t="s">
        <v>9</v>
      </c>
      <c r="F954" s="2">
        <v>38</v>
      </c>
      <c r="G954" s="2" t="str" cm="1">
        <f t="array" ref="G954">_xlfn.IFS(F954&lt;=8,"Child",F954&lt;=17,"Teen",F954&lt;=35,"Adult",F954&lt;=55,"Seniour Adult",F954&gt;=55,"Old Age")</f>
        <v>Seniour Adult</v>
      </c>
      <c r="H954" t="s">
        <v>67</v>
      </c>
      <c r="I954" t="s">
        <v>11</v>
      </c>
      <c r="J954" t="str" cm="1">
        <f t="array" ref="J954">_xlfn.IFS(I954="S","Sauthamptonm",I954="Q","Queentown",I954="C","Cherburg",I954="B","Cabin")</f>
        <v>Sauthamptonm</v>
      </c>
      <c r="K954" t="s">
        <v>15</v>
      </c>
      <c r="L954" s="2">
        <v>29</v>
      </c>
      <c r="M954">
        <v>0</v>
      </c>
      <c r="N954" t="s">
        <v>30</v>
      </c>
      <c r="O954" t="s">
        <v>13</v>
      </c>
    </row>
    <row r="955" spans="1:15" x14ac:dyDescent="0.3">
      <c r="A955" s="1" t="s">
        <v>1856</v>
      </c>
      <c r="B955" t="s">
        <v>72</v>
      </c>
      <c r="C955" t="s">
        <v>229</v>
      </c>
      <c r="D955" t="str">
        <f t="shared" si="14"/>
        <v>Male</v>
      </c>
      <c r="E955" t="s">
        <v>9</v>
      </c>
      <c r="F955" s="2">
        <v>33</v>
      </c>
      <c r="G955" s="2" t="str" cm="1">
        <f t="array" ref="G955">_xlfn.IFS(F955&lt;=8,"Child",F955&lt;=17,"Teen",F955&lt;=35,"Adult",F955&lt;=55,"Seniour Adult",F955&gt;=55,"Old Age")</f>
        <v>Adult</v>
      </c>
      <c r="H955" t="s">
        <v>67</v>
      </c>
      <c r="I955" t="s">
        <v>28</v>
      </c>
      <c r="J955" t="str" cm="1">
        <f t="array" ref="J955">_xlfn.IFS(I955="S","Sauthamptonm",I955="Q","Queentown",I955="C","Cherburg",I955="B","Cabin")</f>
        <v>Cabin</v>
      </c>
      <c r="K955" t="s">
        <v>15</v>
      </c>
      <c r="L955" s="2">
        <v>29</v>
      </c>
      <c r="M955">
        <v>0</v>
      </c>
      <c r="N955" t="s">
        <v>30</v>
      </c>
      <c r="O955" t="s">
        <v>13</v>
      </c>
    </row>
    <row r="956" spans="1:15" x14ac:dyDescent="0.3">
      <c r="A956" s="1" t="s">
        <v>1857</v>
      </c>
      <c r="B956" t="s">
        <v>72</v>
      </c>
      <c r="C956" t="s">
        <v>213</v>
      </c>
      <c r="D956" t="str">
        <f t="shared" si="14"/>
        <v>Male</v>
      </c>
      <c r="E956" t="s">
        <v>9</v>
      </c>
      <c r="F956" s="2">
        <v>46</v>
      </c>
      <c r="G956" s="2" t="str" cm="1">
        <f t="array" ref="G956">_xlfn.IFS(F956&lt;=8,"Child",F956&lt;=17,"Teen",F956&lt;=35,"Adult",F956&lt;=55,"Seniour Adult",F956&gt;=55,"Old Age")</f>
        <v>Seniour Adult</v>
      </c>
      <c r="H956" t="s">
        <v>51</v>
      </c>
      <c r="I956" t="s">
        <v>11</v>
      </c>
      <c r="J956" t="str" cm="1">
        <f t="array" ref="J956">_xlfn.IFS(I956="S","Sauthamptonm",I956="Q","Queentown",I956="C","Cherburg",I956="B","Cabin")</f>
        <v>Sauthamptonm</v>
      </c>
      <c r="K956" t="s">
        <v>15</v>
      </c>
      <c r="L956" s="2">
        <v>29</v>
      </c>
      <c r="M956">
        <v>0</v>
      </c>
      <c r="N956" t="s">
        <v>30</v>
      </c>
      <c r="O956" t="s">
        <v>13</v>
      </c>
    </row>
    <row r="957" spans="1:15" x14ac:dyDescent="0.3">
      <c r="A957" s="1" t="s">
        <v>1858</v>
      </c>
      <c r="B957" t="s">
        <v>72</v>
      </c>
      <c r="C957" t="s">
        <v>1859</v>
      </c>
      <c r="D957" t="str">
        <f t="shared" si="14"/>
        <v>Male</v>
      </c>
      <c r="E957" t="s">
        <v>9</v>
      </c>
      <c r="F957" s="2">
        <v>24</v>
      </c>
      <c r="G957" s="2" t="str" cm="1">
        <f t="array" ref="G957">_xlfn.IFS(F957&lt;=8,"Child",F957&lt;=17,"Teen",F957&lt;=35,"Adult",F957&lt;=55,"Seniour Adult",F957&gt;=55,"Old Age")</f>
        <v>Adult</v>
      </c>
      <c r="H957" t="s">
        <v>67</v>
      </c>
      <c r="I957" t="s">
        <v>11</v>
      </c>
      <c r="J957" t="str" cm="1">
        <f t="array" ref="J957">_xlfn.IFS(I957="S","Sauthamptonm",I957="Q","Queentown",I957="C","Cherburg",I957="B","Cabin")</f>
        <v>Sauthamptonm</v>
      </c>
      <c r="K957" t="s">
        <v>15</v>
      </c>
      <c r="L957" s="2">
        <v>29</v>
      </c>
      <c r="M957">
        <v>0</v>
      </c>
      <c r="N957" t="s">
        <v>30</v>
      </c>
      <c r="O957" t="s">
        <v>13</v>
      </c>
    </row>
    <row r="958" spans="1:15" x14ac:dyDescent="0.3">
      <c r="A958" s="1" t="s">
        <v>1860</v>
      </c>
      <c r="B958" t="s">
        <v>78</v>
      </c>
      <c r="C958" t="s">
        <v>1861</v>
      </c>
      <c r="D958" t="str">
        <f t="shared" si="14"/>
        <v>Female</v>
      </c>
      <c r="E958" t="s">
        <v>14</v>
      </c>
      <c r="F958" s="2">
        <v>31</v>
      </c>
      <c r="G958" s="2" t="str" cm="1">
        <f t="array" ref="G958">_xlfn.IFS(F958&lt;=8,"Child",F958&lt;=17,"Teen",F958&lt;=35,"Adult",F958&lt;=55,"Seniour Adult",F958&gt;=55,"Old Age")</f>
        <v>Adult</v>
      </c>
      <c r="H958" t="s">
        <v>68</v>
      </c>
      <c r="I958" t="s">
        <v>11</v>
      </c>
      <c r="J958" t="str" cm="1">
        <f t="array" ref="J958">_xlfn.IFS(I958="S","Sauthamptonm",I958="Q","Queentown",I958="C","Cherburg",I958="B","Cabin")</f>
        <v>Sauthamptonm</v>
      </c>
      <c r="K958" t="s">
        <v>15</v>
      </c>
      <c r="L958" s="2">
        <v>29</v>
      </c>
      <c r="M958">
        <v>0</v>
      </c>
      <c r="N958" t="s">
        <v>30</v>
      </c>
      <c r="O958" t="s">
        <v>16</v>
      </c>
    </row>
    <row r="959" spans="1:15" x14ac:dyDescent="0.3">
      <c r="A959" s="1" t="s">
        <v>1862</v>
      </c>
      <c r="B959" t="s">
        <v>72</v>
      </c>
      <c r="C959" t="s">
        <v>1863</v>
      </c>
      <c r="D959" t="str">
        <f t="shared" si="14"/>
        <v>Male</v>
      </c>
      <c r="E959" t="s">
        <v>9</v>
      </c>
      <c r="F959" s="2">
        <v>28</v>
      </c>
      <c r="G959" s="2" t="str" cm="1">
        <f t="array" ref="G959">_xlfn.IFS(F959&lt;=8,"Child",F959&lt;=17,"Teen",F959&lt;=35,"Adult",F959&lt;=55,"Seniour Adult",F959&gt;=55,"Old Age")</f>
        <v>Adult</v>
      </c>
      <c r="H959" t="s">
        <v>69</v>
      </c>
      <c r="I959" t="s">
        <v>28</v>
      </c>
      <c r="J959" t="str" cm="1">
        <f t="array" ref="J959">_xlfn.IFS(I959="S","Sauthamptonm",I959="Q","Queentown",I959="C","Cherburg",I959="B","Cabin")</f>
        <v>Cabin</v>
      </c>
      <c r="K959" t="s">
        <v>15</v>
      </c>
      <c r="L959" s="2">
        <v>29</v>
      </c>
      <c r="M959">
        <v>0</v>
      </c>
      <c r="N959" t="s">
        <v>30</v>
      </c>
      <c r="O959" t="s">
        <v>16</v>
      </c>
    </row>
    <row r="960" spans="1:15" x14ac:dyDescent="0.3">
      <c r="A960" s="1" t="s">
        <v>1864</v>
      </c>
      <c r="B960" t="s">
        <v>72</v>
      </c>
      <c r="C960" t="s">
        <v>90</v>
      </c>
      <c r="D960" t="str">
        <f t="shared" si="14"/>
        <v>Male</v>
      </c>
      <c r="E960" t="s">
        <v>9</v>
      </c>
      <c r="F960" s="2">
        <v>37</v>
      </c>
      <c r="G960" s="2" t="str" cm="1">
        <f t="array" ref="G960">_xlfn.IFS(F960&lt;=8,"Child",F960&lt;=17,"Teen",F960&lt;=35,"Adult",F960&lt;=55,"Seniour Adult",F960&gt;=55,"Old Age")</f>
        <v>Seniour Adult</v>
      </c>
      <c r="H960" t="s">
        <v>67</v>
      </c>
      <c r="I960" t="s">
        <v>11</v>
      </c>
      <c r="J960" t="str" cm="1">
        <f t="array" ref="J960">_xlfn.IFS(I960="S","Sauthamptonm",I960="Q","Queentown",I960="C","Cherburg",I960="B","Cabin")</f>
        <v>Sauthamptonm</v>
      </c>
      <c r="K960" t="s">
        <v>15</v>
      </c>
      <c r="L960" s="2">
        <v>29</v>
      </c>
      <c r="M960">
        <v>0</v>
      </c>
      <c r="N960" t="s">
        <v>30</v>
      </c>
      <c r="O960" t="s">
        <v>13</v>
      </c>
    </row>
    <row r="961" spans="1:15" x14ac:dyDescent="0.3">
      <c r="A961" s="1" t="s">
        <v>1865</v>
      </c>
      <c r="B961" t="s">
        <v>72</v>
      </c>
      <c r="C961" t="s">
        <v>379</v>
      </c>
      <c r="D961" t="str">
        <f t="shared" si="14"/>
        <v>Male</v>
      </c>
      <c r="E961" t="s">
        <v>9</v>
      </c>
      <c r="F961" s="2">
        <v>36</v>
      </c>
      <c r="G961" s="2" t="str" cm="1">
        <f t="array" ref="G961">_xlfn.IFS(F961&lt;=8,"Child",F961&lt;=17,"Teen",F961&lt;=35,"Adult",F961&lt;=55,"Seniour Adult",F961&gt;=55,"Old Age")</f>
        <v>Seniour Adult</v>
      </c>
      <c r="H961" t="s">
        <v>67</v>
      </c>
      <c r="I961" t="s">
        <v>28</v>
      </c>
      <c r="J961" t="str" cm="1">
        <f t="array" ref="J961">_xlfn.IFS(I961="S","Sauthamptonm",I961="Q","Queentown",I961="C","Cherburg",I961="B","Cabin")</f>
        <v>Cabin</v>
      </c>
      <c r="K961" t="s">
        <v>15</v>
      </c>
      <c r="L961" s="2">
        <v>29</v>
      </c>
      <c r="M961">
        <v>0</v>
      </c>
      <c r="N961" t="s">
        <v>30</v>
      </c>
      <c r="O961" t="s">
        <v>13</v>
      </c>
    </row>
    <row r="962" spans="1:15" x14ac:dyDescent="0.3">
      <c r="A962" s="1" t="s">
        <v>1867</v>
      </c>
      <c r="B962" t="s">
        <v>72</v>
      </c>
      <c r="C962" t="s">
        <v>1868</v>
      </c>
      <c r="D962" t="str">
        <f t="shared" ref="D962:D1025" si="15">PROPER(E962)</f>
        <v>Male</v>
      </c>
      <c r="E962" t="s">
        <v>9</v>
      </c>
      <c r="F962" s="2">
        <v>43</v>
      </c>
      <c r="G962" s="2" t="str" cm="1">
        <f t="array" ref="G962">_xlfn.IFS(F962&lt;=8,"Child",F962&lt;=17,"Teen",F962&lt;=35,"Adult",F962&lt;=55,"Seniour Adult",F962&gt;=55,"Old Age")</f>
        <v>Seniour Adult</v>
      </c>
      <c r="H962" t="s">
        <v>67</v>
      </c>
      <c r="I962" t="s">
        <v>11</v>
      </c>
      <c r="J962" t="str" cm="1">
        <f t="array" ref="J962">_xlfn.IFS(I962="S","Sauthamptonm",I962="Q","Queentown",I962="C","Cherburg",I962="B","Cabin")</f>
        <v>Sauthamptonm</v>
      </c>
      <c r="K962" t="s">
        <v>15</v>
      </c>
      <c r="L962" s="2">
        <v>29</v>
      </c>
      <c r="M962">
        <v>0</v>
      </c>
      <c r="N962" t="s">
        <v>30</v>
      </c>
      <c r="O962" t="s">
        <v>13</v>
      </c>
    </row>
    <row r="963" spans="1:15" x14ac:dyDescent="0.3">
      <c r="A963" s="1" t="s">
        <v>1869</v>
      </c>
      <c r="B963" t="s">
        <v>72</v>
      </c>
      <c r="C963" t="s">
        <v>119</v>
      </c>
      <c r="D963" t="str">
        <f t="shared" si="15"/>
        <v>Male</v>
      </c>
      <c r="E963" t="s">
        <v>9</v>
      </c>
      <c r="F963" s="2">
        <v>30</v>
      </c>
      <c r="G963" s="2" t="str" cm="1">
        <f t="array" ref="G963">_xlfn.IFS(F963&lt;=8,"Child",F963&lt;=17,"Teen",F963&lt;=35,"Adult",F963&lt;=55,"Seniour Adult",F963&gt;=55,"Old Age")</f>
        <v>Adult</v>
      </c>
      <c r="H963" t="s">
        <v>51</v>
      </c>
      <c r="I963" t="s">
        <v>11</v>
      </c>
      <c r="J963" t="str" cm="1">
        <f t="array" ref="J963">_xlfn.IFS(I963="S","Sauthamptonm",I963="Q","Queentown",I963="C","Cherburg",I963="B","Cabin")</f>
        <v>Sauthamptonm</v>
      </c>
      <c r="K963" t="s">
        <v>15</v>
      </c>
      <c r="L963" s="2">
        <v>29</v>
      </c>
      <c r="M963">
        <v>0</v>
      </c>
      <c r="N963" t="s">
        <v>30</v>
      </c>
      <c r="O963" t="s">
        <v>13</v>
      </c>
    </row>
    <row r="964" spans="1:15" x14ac:dyDescent="0.3">
      <c r="A964" s="1" t="s">
        <v>1870</v>
      </c>
      <c r="B964" t="s">
        <v>72</v>
      </c>
      <c r="C964" t="s">
        <v>814</v>
      </c>
      <c r="D964" t="str">
        <f t="shared" si="15"/>
        <v>Male</v>
      </c>
      <c r="E964" t="s">
        <v>9</v>
      </c>
      <c r="F964" s="2">
        <v>52</v>
      </c>
      <c r="G964" s="2" t="str" cm="1">
        <f t="array" ref="G964">_xlfn.IFS(F964&lt;=8,"Child",F964&lt;=17,"Teen",F964&lt;=35,"Adult",F964&lt;=55,"Seniour Adult",F964&gt;=55,"Old Age")</f>
        <v>Seniour Adult</v>
      </c>
      <c r="H964" t="s">
        <v>67</v>
      </c>
      <c r="I964" t="s">
        <v>28</v>
      </c>
      <c r="J964" t="str" cm="1">
        <f t="array" ref="J964">_xlfn.IFS(I964="S","Sauthamptonm",I964="Q","Queentown",I964="C","Cherburg",I964="B","Cabin")</f>
        <v>Cabin</v>
      </c>
      <c r="K964" t="s">
        <v>15</v>
      </c>
      <c r="L964" s="2">
        <v>29</v>
      </c>
      <c r="M964">
        <v>0</v>
      </c>
      <c r="N964" t="s">
        <v>30</v>
      </c>
      <c r="O964" t="s">
        <v>13</v>
      </c>
    </row>
    <row r="965" spans="1:15" x14ac:dyDescent="0.3">
      <c r="A965" s="1" t="s">
        <v>1871</v>
      </c>
      <c r="B965" t="s">
        <v>72</v>
      </c>
      <c r="C965" t="s">
        <v>161</v>
      </c>
      <c r="D965" t="str">
        <f t="shared" si="15"/>
        <v>Male</v>
      </c>
      <c r="E965" t="s">
        <v>9</v>
      </c>
      <c r="F965" s="2">
        <v>34</v>
      </c>
      <c r="G965" s="2" t="str" cm="1">
        <f t="array" ref="G965">_xlfn.IFS(F965&lt;=8,"Child",F965&lt;=17,"Teen",F965&lt;=35,"Adult",F965&lt;=55,"Seniour Adult",F965&gt;=55,"Old Age")</f>
        <v>Adult</v>
      </c>
      <c r="H965" t="s">
        <v>51</v>
      </c>
      <c r="I965" t="s">
        <v>11</v>
      </c>
      <c r="J965" t="str" cm="1">
        <f t="array" ref="J965">_xlfn.IFS(I965="S","Sauthamptonm",I965="Q","Queentown",I965="C","Cherburg",I965="B","Cabin")</f>
        <v>Sauthamptonm</v>
      </c>
      <c r="K965" t="s">
        <v>15</v>
      </c>
      <c r="L965" s="2">
        <v>29</v>
      </c>
      <c r="M965">
        <v>0</v>
      </c>
      <c r="N965" t="s">
        <v>30</v>
      </c>
      <c r="O965" t="s">
        <v>13</v>
      </c>
    </row>
    <row r="966" spans="1:15" x14ac:dyDescent="0.3">
      <c r="A966" s="1" t="s">
        <v>1872</v>
      </c>
      <c r="B966" t="s">
        <v>72</v>
      </c>
      <c r="C966" t="s">
        <v>1855</v>
      </c>
      <c r="D966" t="str">
        <f t="shared" si="15"/>
        <v>Male</v>
      </c>
      <c r="E966" t="s">
        <v>9</v>
      </c>
      <c r="F966" s="2">
        <v>43</v>
      </c>
      <c r="G966" s="2" t="str" cm="1">
        <f t="array" ref="G966">_xlfn.IFS(F966&lt;=8,"Child",F966&lt;=17,"Teen",F966&lt;=35,"Adult",F966&lt;=55,"Seniour Adult",F966&gt;=55,"Old Age")</f>
        <v>Seniour Adult</v>
      </c>
      <c r="H966" t="s">
        <v>69</v>
      </c>
      <c r="I966" t="s">
        <v>11</v>
      </c>
      <c r="J966" t="str" cm="1">
        <f t="array" ref="J966">_xlfn.IFS(I966="S","Sauthamptonm",I966="Q","Queentown",I966="C","Cherburg",I966="B","Cabin")</f>
        <v>Sauthamptonm</v>
      </c>
      <c r="K966" t="s">
        <v>15</v>
      </c>
      <c r="L966" s="2">
        <v>29</v>
      </c>
      <c r="M966">
        <v>0</v>
      </c>
      <c r="N966" t="s">
        <v>30</v>
      </c>
      <c r="O966" t="s">
        <v>16</v>
      </c>
    </row>
    <row r="967" spans="1:15" x14ac:dyDescent="0.3">
      <c r="A967" s="1" t="s">
        <v>1873</v>
      </c>
      <c r="B967" t="s">
        <v>72</v>
      </c>
      <c r="C967" t="s">
        <v>1874</v>
      </c>
      <c r="D967" t="str">
        <f t="shared" si="15"/>
        <v>Male</v>
      </c>
      <c r="E967" t="s">
        <v>9</v>
      </c>
      <c r="F967" s="2">
        <v>22</v>
      </c>
      <c r="G967" s="2" t="str" cm="1">
        <f t="array" ref="G967">_xlfn.IFS(F967&lt;=8,"Child",F967&lt;=17,"Teen",F967&lt;=35,"Adult",F967&lt;=55,"Seniour Adult",F967&gt;=55,"Old Age")</f>
        <v>Adult</v>
      </c>
      <c r="H967" t="s">
        <v>67</v>
      </c>
      <c r="I967" t="s">
        <v>28</v>
      </c>
      <c r="J967" t="str" cm="1">
        <f t="array" ref="J967">_xlfn.IFS(I967="S","Sauthamptonm",I967="Q","Queentown",I967="C","Cherburg",I967="B","Cabin")</f>
        <v>Cabin</v>
      </c>
      <c r="K967" t="s">
        <v>15</v>
      </c>
      <c r="L967" s="2">
        <v>29</v>
      </c>
      <c r="M967">
        <v>0</v>
      </c>
      <c r="N967" t="s">
        <v>30</v>
      </c>
      <c r="O967" t="s">
        <v>16</v>
      </c>
    </row>
    <row r="968" spans="1:15" x14ac:dyDescent="0.3">
      <c r="A968" s="1" t="s">
        <v>1875</v>
      </c>
      <c r="B968" t="s">
        <v>72</v>
      </c>
      <c r="C968" t="s">
        <v>1876</v>
      </c>
      <c r="D968" t="str">
        <f t="shared" si="15"/>
        <v>Male</v>
      </c>
      <c r="E968" t="s">
        <v>9</v>
      </c>
      <c r="F968" s="2">
        <v>42</v>
      </c>
      <c r="G968" s="2" t="str" cm="1">
        <f t="array" ref="G968">_xlfn.IFS(F968&lt;=8,"Child",F968&lt;=17,"Teen",F968&lt;=35,"Adult",F968&lt;=55,"Seniour Adult",F968&gt;=55,"Old Age")</f>
        <v>Seniour Adult</v>
      </c>
      <c r="H968" t="s">
        <v>69</v>
      </c>
      <c r="I968" t="s">
        <v>28</v>
      </c>
      <c r="J968" t="str" cm="1">
        <f t="array" ref="J968">_xlfn.IFS(I968="S","Sauthamptonm",I968="Q","Queentown",I968="C","Cherburg",I968="B","Cabin")</f>
        <v>Cabin</v>
      </c>
      <c r="K968" t="s">
        <v>15</v>
      </c>
      <c r="L968" s="2">
        <v>29</v>
      </c>
      <c r="M968">
        <v>0</v>
      </c>
      <c r="N968" t="s">
        <v>30</v>
      </c>
      <c r="O968" t="s">
        <v>16</v>
      </c>
    </row>
    <row r="969" spans="1:15" x14ac:dyDescent="0.3">
      <c r="A969" s="1" t="s">
        <v>1877</v>
      </c>
      <c r="B969" t="s">
        <v>72</v>
      </c>
      <c r="C969" t="s">
        <v>119</v>
      </c>
      <c r="D969" t="str">
        <f t="shared" si="15"/>
        <v>Male</v>
      </c>
      <c r="E969" t="s">
        <v>9</v>
      </c>
      <c r="F969" s="2">
        <v>38</v>
      </c>
      <c r="G969" s="2" t="str" cm="1">
        <f t="array" ref="G969">_xlfn.IFS(F969&lt;=8,"Child",F969&lt;=17,"Teen",F969&lt;=35,"Adult",F969&lt;=55,"Seniour Adult",F969&gt;=55,"Old Age")</f>
        <v>Seniour Adult</v>
      </c>
      <c r="H969" t="s">
        <v>67</v>
      </c>
      <c r="I969" t="s">
        <v>11</v>
      </c>
      <c r="J969" t="str" cm="1">
        <f t="array" ref="J969">_xlfn.IFS(I969="S","Sauthamptonm",I969="Q","Queentown",I969="C","Cherburg",I969="B","Cabin")</f>
        <v>Sauthamptonm</v>
      </c>
      <c r="K969" t="s">
        <v>15</v>
      </c>
      <c r="L969" s="2">
        <v>29</v>
      </c>
      <c r="M969">
        <v>0</v>
      </c>
      <c r="N969" t="s">
        <v>30</v>
      </c>
      <c r="O969" t="s">
        <v>13</v>
      </c>
    </row>
    <row r="970" spans="1:15" x14ac:dyDescent="0.3">
      <c r="A970" s="1" t="s">
        <v>1878</v>
      </c>
      <c r="B970" t="s">
        <v>72</v>
      </c>
      <c r="C970" t="s">
        <v>1879</v>
      </c>
      <c r="D970" t="str">
        <f t="shared" si="15"/>
        <v>Male</v>
      </c>
      <c r="E970" t="s">
        <v>9</v>
      </c>
      <c r="F970" s="2">
        <v>28</v>
      </c>
      <c r="G970" s="2" t="str" cm="1">
        <f t="array" ref="G970">_xlfn.IFS(F970&lt;=8,"Child",F970&lt;=17,"Teen",F970&lt;=35,"Adult",F970&lt;=55,"Seniour Adult",F970&gt;=55,"Old Age")</f>
        <v>Adult</v>
      </c>
      <c r="H970" t="s">
        <v>67</v>
      </c>
      <c r="I970" t="s">
        <v>11</v>
      </c>
      <c r="J970" t="str" cm="1">
        <f t="array" ref="J970">_xlfn.IFS(I970="S","Sauthamptonm",I970="Q","Queentown",I970="C","Cherburg",I970="B","Cabin")</f>
        <v>Sauthamptonm</v>
      </c>
      <c r="K970" t="s">
        <v>15</v>
      </c>
      <c r="L970" s="2">
        <v>29</v>
      </c>
      <c r="M970">
        <v>0</v>
      </c>
      <c r="N970" t="s">
        <v>30</v>
      </c>
      <c r="O970" t="s">
        <v>13</v>
      </c>
    </row>
    <row r="971" spans="1:15" x14ac:dyDescent="0.3">
      <c r="A971" s="1" t="s">
        <v>1880</v>
      </c>
      <c r="B971" t="s">
        <v>72</v>
      </c>
      <c r="C971" t="s">
        <v>1881</v>
      </c>
      <c r="D971" t="str">
        <f t="shared" si="15"/>
        <v>Male</v>
      </c>
      <c r="E971" t="s">
        <v>9</v>
      </c>
      <c r="F971" s="2">
        <v>25</v>
      </c>
      <c r="G971" s="2" t="str" cm="1">
        <f t="array" ref="G971">_xlfn.IFS(F971&lt;=8,"Child",F971&lt;=17,"Teen",F971&lt;=35,"Adult",F971&lt;=55,"Seniour Adult",F971&gt;=55,"Old Age")</f>
        <v>Adult</v>
      </c>
      <c r="H971" t="s">
        <v>51</v>
      </c>
      <c r="I971" t="s">
        <v>11</v>
      </c>
      <c r="J971" t="str" cm="1">
        <f t="array" ref="J971">_xlfn.IFS(I971="S","Sauthamptonm",I971="Q","Queentown",I971="C","Cherburg",I971="B","Cabin")</f>
        <v>Sauthamptonm</v>
      </c>
      <c r="K971" t="s">
        <v>15</v>
      </c>
      <c r="L971" s="2">
        <v>29</v>
      </c>
      <c r="M971">
        <v>0</v>
      </c>
      <c r="N971" t="s">
        <v>30</v>
      </c>
      <c r="O971" t="s">
        <v>13</v>
      </c>
    </row>
    <row r="972" spans="1:15" x14ac:dyDescent="0.3">
      <c r="A972" s="1" t="s">
        <v>1882</v>
      </c>
      <c r="B972" t="s">
        <v>72</v>
      </c>
      <c r="C972" t="s">
        <v>1883</v>
      </c>
      <c r="D972" t="str">
        <f t="shared" si="15"/>
        <v>Male</v>
      </c>
      <c r="E972" t="s">
        <v>9</v>
      </c>
      <c r="F972" s="2">
        <v>31</v>
      </c>
      <c r="G972" s="2" t="str" cm="1">
        <f t="array" ref="G972">_xlfn.IFS(F972&lt;=8,"Child",F972&lt;=17,"Teen",F972&lt;=35,"Adult",F972&lt;=55,"Seniour Adult",F972&gt;=55,"Old Age")</f>
        <v>Adult</v>
      </c>
      <c r="H972" t="s">
        <v>67</v>
      </c>
      <c r="I972" t="s">
        <v>11</v>
      </c>
      <c r="J972" t="str" cm="1">
        <f t="array" ref="J972">_xlfn.IFS(I972="S","Sauthamptonm",I972="Q","Queentown",I972="C","Cherburg",I972="B","Cabin")</f>
        <v>Sauthamptonm</v>
      </c>
      <c r="K972" t="s">
        <v>15</v>
      </c>
      <c r="L972" s="2">
        <v>29</v>
      </c>
      <c r="M972">
        <v>0</v>
      </c>
      <c r="N972" t="s">
        <v>30</v>
      </c>
      <c r="O972" t="s">
        <v>13</v>
      </c>
    </row>
    <row r="973" spans="1:15" x14ac:dyDescent="0.3">
      <c r="A973" s="1" t="s">
        <v>1884</v>
      </c>
      <c r="B973" t="s">
        <v>72</v>
      </c>
      <c r="C973" t="s">
        <v>1885</v>
      </c>
      <c r="D973" t="str">
        <f t="shared" si="15"/>
        <v>Male</v>
      </c>
      <c r="E973" t="s">
        <v>9</v>
      </c>
      <c r="F973" s="2">
        <v>33</v>
      </c>
      <c r="G973" s="2" t="str" cm="1">
        <f t="array" ref="G973">_xlfn.IFS(F973&lt;=8,"Child",F973&lt;=17,"Teen",F973&lt;=35,"Adult",F973&lt;=55,"Seniour Adult",F973&gt;=55,"Old Age")</f>
        <v>Adult</v>
      </c>
      <c r="H973" t="s">
        <v>67</v>
      </c>
      <c r="I973" t="s">
        <v>28</v>
      </c>
      <c r="J973" t="str" cm="1">
        <f t="array" ref="J973">_xlfn.IFS(I973="S","Sauthamptonm",I973="Q","Queentown",I973="C","Cherburg",I973="B","Cabin")</f>
        <v>Cabin</v>
      </c>
      <c r="K973" t="s">
        <v>15</v>
      </c>
      <c r="L973" s="2">
        <v>29</v>
      </c>
      <c r="M973">
        <v>0</v>
      </c>
      <c r="N973" t="s">
        <v>30</v>
      </c>
      <c r="O973" t="s">
        <v>13</v>
      </c>
    </row>
    <row r="974" spans="1:15" x14ac:dyDescent="0.3">
      <c r="A974" s="1" t="s">
        <v>1888</v>
      </c>
      <c r="B974" t="s">
        <v>72</v>
      </c>
      <c r="C974" t="s">
        <v>1725</v>
      </c>
      <c r="D974" t="str">
        <f t="shared" si="15"/>
        <v>Male</v>
      </c>
      <c r="E974" t="s">
        <v>9</v>
      </c>
      <c r="F974" s="2">
        <v>26</v>
      </c>
      <c r="G974" s="2" t="str" cm="1">
        <f t="array" ref="G974">_xlfn.IFS(F974&lt;=8,"Child",F974&lt;=17,"Teen",F974&lt;=35,"Adult",F974&lt;=55,"Seniour Adult",F974&gt;=55,"Old Age")</f>
        <v>Adult</v>
      </c>
      <c r="H974" t="s">
        <v>69</v>
      </c>
      <c r="I974" t="s">
        <v>11</v>
      </c>
      <c r="J974" t="str" cm="1">
        <f t="array" ref="J974">_xlfn.IFS(I974="S","Sauthamptonm",I974="Q","Queentown",I974="C","Cherburg",I974="B","Cabin")</f>
        <v>Sauthamptonm</v>
      </c>
      <c r="K974" t="s">
        <v>15</v>
      </c>
      <c r="L974" s="2">
        <v>29</v>
      </c>
      <c r="M974">
        <v>0</v>
      </c>
      <c r="N974" t="s">
        <v>30</v>
      </c>
      <c r="O974" t="s">
        <v>16</v>
      </c>
    </row>
    <row r="975" spans="1:15" x14ac:dyDescent="0.3">
      <c r="A975" s="1" t="s">
        <v>1889</v>
      </c>
      <c r="B975" t="s">
        <v>72</v>
      </c>
      <c r="C975" t="s">
        <v>1890</v>
      </c>
      <c r="D975" t="str">
        <f t="shared" si="15"/>
        <v>Male</v>
      </c>
      <c r="E975" t="s">
        <v>9</v>
      </c>
      <c r="F975" s="2">
        <v>22</v>
      </c>
      <c r="G975" s="2" t="str" cm="1">
        <f t="array" ref="G975">_xlfn.IFS(F975&lt;=8,"Child",F975&lt;=17,"Teen",F975&lt;=35,"Adult",F975&lt;=55,"Seniour Adult",F975&gt;=55,"Old Age")</f>
        <v>Adult</v>
      </c>
      <c r="H975" t="s">
        <v>67</v>
      </c>
      <c r="I975" t="s">
        <v>11</v>
      </c>
      <c r="J975" t="str" cm="1">
        <f t="array" ref="J975">_xlfn.IFS(I975="S","Sauthamptonm",I975="Q","Queentown",I975="C","Cherburg",I975="B","Cabin")</f>
        <v>Sauthamptonm</v>
      </c>
      <c r="K975" t="s">
        <v>15</v>
      </c>
      <c r="L975" s="2">
        <v>29</v>
      </c>
      <c r="M975">
        <v>0</v>
      </c>
      <c r="N975" t="s">
        <v>30</v>
      </c>
      <c r="O975" t="s">
        <v>13</v>
      </c>
    </row>
    <row r="976" spans="1:15" x14ac:dyDescent="0.3">
      <c r="A976" s="1" t="s">
        <v>1891</v>
      </c>
      <c r="B976" t="s">
        <v>72</v>
      </c>
      <c r="C976" t="s">
        <v>1892</v>
      </c>
      <c r="D976" t="str">
        <f t="shared" si="15"/>
        <v>Male</v>
      </c>
      <c r="E976" t="s">
        <v>9</v>
      </c>
      <c r="F976" s="2">
        <v>37</v>
      </c>
      <c r="G976" s="2" t="str" cm="1">
        <f t="array" ref="G976">_xlfn.IFS(F976&lt;=8,"Child",F976&lt;=17,"Teen",F976&lt;=35,"Adult",F976&lt;=55,"Seniour Adult",F976&gt;=55,"Old Age")</f>
        <v>Seniour Adult</v>
      </c>
      <c r="H976" t="s">
        <v>67</v>
      </c>
      <c r="I976" t="s">
        <v>11</v>
      </c>
      <c r="J976" t="str" cm="1">
        <f t="array" ref="J976">_xlfn.IFS(I976="S","Sauthamptonm",I976="Q","Queentown",I976="C","Cherburg",I976="B","Cabin")</f>
        <v>Sauthamptonm</v>
      </c>
      <c r="K976" t="s">
        <v>15</v>
      </c>
      <c r="L976" s="2">
        <v>29</v>
      </c>
      <c r="M976">
        <v>0</v>
      </c>
      <c r="N976" t="s">
        <v>30</v>
      </c>
      <c r="O976" t="s">
        <v>13</v>
      </c>
    </row>
    <row r="977" spans="1:15" x14ac:dyDescent="0.3">
      <c r="A977" s="1" t="s">
        <v>1893</v>
      </c>
      <c r="B977" t="s">
        <v>72</v>
      </c>
      <c r="C977" t="s">
        <v>1894</v>
      </c>
      <c r="D977" t="str">
        <f t="shared" si="15"/>
        <v>Male</v>
      </c>
      <c r="E977" t="s">
        <v>9</v>
      </c>
      <c r="F977" s="2">
        <v>21</v>
      </c>
      <c r="G977" s="2" t="str" cm="1">
        <f t="array" ref="G977">_xlfn.IFS(F977&lt;=8,"Child",F977&lt;=17,"Teen",F977&lt;=35,"Adult",F977&lt;=55,"Seniour Adult",F977&gt;=55,"Old Age")</f>
        <v>Adult</v>
      </c>
      <c r="H977" t="s">
        <v>67</v>
      </c>
      <c r="I977" t="s">
        <v>28</v>
      </c>
      <c r="J977" t="str" cm="1">
        <f t="array" ref="J977">_xlfn.IFS(I977="S","Sauthamptonm",I977="Q","Queentown",I977="C","Cherburg",I977="B","Cabin")</f>
        <v>Cabin</v>
      </c>
      <c r="K977" t="s">
        <v>15</v>
      </c>
      <c r="L977" s="2">
        <v>29</v>
      </c>
      <c r="M977">
        <v>0</v>
      </c>
      <c r="N977" t="s">
        <v>30</v>
      </c>
      <c r="O977" t="s">
        <v>13</v>
      </c>
    </row>
    <row r="978" spans="1:15" x14ac:dyDescent="0.3">
      <c r="A978" s="1" t="s">
        <v>1895</v>
      </c>
      <c r="B978" t="s">
        <v>72</v>
      </c>
      <c r="C978" t="s">
        <v>1019</v>
      </c>
      <c r="D978" t="str">
        <f t="shared" si="15"/>
        <v>Male</v>
      </c>
      <c r="E978" t="s">
        <v>9</v>
      </c>
      <c r="F978" s="2">
        <v>18</v>
      </c>
      <c r="G978" s="2" t="str" cm="1">
        <f t="array" ref="G978">_xlfn.IFS(F978&lt;=8,"Child",F978&lt;=17,"Teen",F978&lt;=35,"Adult",F978&lt;=55,"Seniour Adult",F978&gt;=55,"Old Age")</f>
        <v>Adult</v>
      </c>
      <c r="H978" t="s">
        <v>67</v>
      </c>
      <c r="I978" t="s">
        <v>11</v>
      </c>
      <c r="J978" t="str" cm="1">
        <f t="array" ref="J978">_xlfn.IFS(I978="S","Sauthamptonm",I978="Q","Queentown",I978="C","Cherburg",I978="B","Cabin")</f>
        <v>Sauthamptonm</v>
      </c>
      <c r="K978" t="s">
        <v>15</v>
      </c>
      <c r="L978" s="2">
        <v>29</v>
      </c>
      <c r="M978">
        <v>0</v>
      </c>
      <c r="N978" t="s">
        <v>30</v>
      </c>
      <c r="O978" t="s">
        <v>16</v>
      </c>
    </row>
    <row r="979" spans="1:15" x14ac:dyDescent="0.3">
      <c r="A979" s="1" t="s">
        <v>1896</v>
      </c>
      <c r="B979" t="s">
        <v>72</v>
      </c>
      <c r="C979" t="s">
        <v>1897</v>
      </c>
      <c r="D979" t="str">
        <f t="shared" si="15"/>
        <v>Male</v>
      </c>
      <c r="E979" t="s">
        <v>9</v>
      </c>
      <c r="F979" s="2">
        <v>20</v>
      </c>
      <c r="G979" s="2" t="str" cm="1">
        <f t="array" ref="G979">_xlfn.IFS(F979&lt;=8,"Child",F979&lt;=17,"Teen",F979&lt;=35,"Adult",F979&lt;=55,"Seniour Adult",F979&gt;=55,"Old Age")</f>
        <v>Adult</v>
      </c>
      <c r="H979" t="s">
        <v>67</v>
      </c>
      <c r="I979" t="s">
        <v>11</v>
      </c>
      <c r="J979" t="str" cm="1">
        <f t="array" ref="J979">_xlfn.IFS(I979="S","Sauthamptonm",I979="Q","Queentown",I979="C","Cherburg",I979="B","Cabin")</f>
        <v>Sauthamptonm</v>
      </c>
      <c r="K979" t="s">
        <v>15</v>
      </c>
      <c r="L979" s="2">
        <v>29</v>
      </c>
      <c r="M979">
        <v>0</v>
      </c>
      <c r="N979" t="s">
        <v>30</v>
      </c>
      <c r="O979" t="s">
        <v>16</v>
      </c>
    </row>
    <row r="980" spans="1:15" x14ac:dyDescent="0.3">
      <c r="A980" s="1" t="s">
        <v>1898</v>
      </c>
      <c r="B980" t="s">
        <v>72</v>
      </c>
      <c r="C980" t="s">
        <v>1899</v>
      </c>
      <c r="D980" t="str">
        <f t="shared" si="15"/>
        <v>Male</v>
      </c>
      <c r="E980" t="s">
        <v>9</v>
      </c>
      <c r="F980" s="2">
        <v>29</v>
      </c>
      <c r="G980" s="2" t="str" cm="1">
        <f t="array" ref="G980">_xlfn.IFS(F980&lt;=8,"Child",F980&lt;=17,"Teen",F980&lt;=35,"Adult",F980&lt;=55,"Seniour Adult",F980&gt;=55,"Old Age")</f>
        <v>Adult</v>
      </c>
      <c r="H980" t="s">
        <v>67</v>
      </c>
      <c r="I980" t="s">
        <v>11</v>
      </c>
      <c r="J980" t="str" cm="1">
        <f t="array" ref="J980">_xlfn.IFS(I980="S","Sauthamptonm",I980="Q","Queentown",I980="C","Cherburg",I980="B","Cabin")</f>
        <v>Sauthamptonm</v>
      </c>
      <c r="K980" t="s">
        <v>15</v>
      </c>
      <c r="L980" s="2">
        <v>29</v>
      </c>
      <c r="M980">
        <v>0</v>
      </c>
      <c r="N980" t="s">
        <v>30</v>
      </c>
      <c r="O980" t="s">
        <v>13</v>
      </c>
    </row>
    <row r="981" spans="1:15" x14ac:dyDescent="0.3">
      <c r="A981" s="1" t="s">
        <v>1900</v>
      </c>
      <c r="B981" t="s">
        <v>72</v>
      </c>
      <c r="C981" t="s">
        <v>1901</v>
      </c>
      <c r="D981" t="str">
        <f t="shared" si="15"/>
        <v>Male</v>
      </c>
      <c r="E981" t="s">
        <v>9</v>
      </c>
      <c r="F981" s="2">
        <v>35</v>
      </c>
      <c r="G981" s="2" t="str" cm="1">
        <f t="array" ref="G981">_xlfn.IFS(F981&lt;=8,"Child",F981&lt;=17,"Teen",F981&lt;=35,"Adult",F981&lt;=55,"Seniour Adult",F981&gt;=55,"Old Age")</f>
        <v>Adult</v>
      </c>
      <c r="H981" t="s">
        <v>51</v>
      </c>
      <c r="I981" t="s">
        <v>11</v>
      </c>
      <c r="J981" t="str" cm="1">
        <f t="array" ref="J981">_xlfn.IFS(I981="S","Sauthamptonm",I981="Q","Queentown",I981="C","Cherburg",I981="B","Cabin")</f>
        <v>Sauthamptonm</v>
      </c>
      <c r="K981" t="s">
        <v>15</v>
      </c>
      <c r="L981" s="2">
        <v>29</v>
      </c>
      <c r="M981">
        <v>0</v>
      </c>
      <c r="N981" t="s">
        <v>30</v>
      </c>
      <c r="O981" t="s">
        <v>13</v>
      </c>
    </row>
    <row r="982" spans="1:15" x14ac:dyDescent="0.3">
      <c r="A982" s="1" t="s">
        <v>1902</v>
      </c>
      <c r="B982" t="s">
        <v>72</v>
      </c>
      <c r="C982" t="s">
        <v>1725</v>
      </c>
      <c r="D982" t="str">
        <f t="shared" si="15"/>
        <v>Male</v>
      </c>
      <c r="E982" t="s">
        <v>9</v>
      </c>
      <c r="F982" s="2">
        <v>35</v>
      </c>
      <c r="G982" s="2" t="str" cm="1">
        <f t="array" ref="G982">_xlfn.IFS(F982&lt;=8,"Child",F982&lt;=17,"Teen",F982&lt;=35,"Adult",F982&lt;=55,"Seniour Adult",F982&gt;=55,"Old Age")</f>
        <v>Adult</v>
      </c>
      <c r="H982" t="s">
        <v>51</v>
      </c>
      <c r="I982" t="s">
        <v>11</v>
      </c>
      <c r="J982" t="str" cm="1">
        <f t="array" ref="J982">_xlfn.IFS(I982="S","Sauthamptonm",I982="Q","Queentown",I982="C","Cherburg",I982="B","Cabin")</f>
        <v>Sauthamptonm</v>
      </c>
      <c r="K982" t="s">
        <v>15</v>
      </c>
      <c r="L982" s="2">
        <v>29</v>
      </c>
      <c r="M982">
        <v>0</v>
      </c>
      <c r="N982" t="s">
        <v>30</v>
      </c>
      <c r="O982" t="s">
        <v>13</v>
      </c>
    </row>
    <row r="983" spans="1:15" x14ac:dyDescent="0.3">
      <c r="A983" s="1" t="s">
        <v>1903</v>
      </c>
      <c r="B983" t="s">
        <v>72</v>
      </c>
      <c r="C983" t="s">
        <v>90</v>
      </c>
      <c r="D983" t="str">
        <f t="shared" si="15"/>
        <v>Male</v>
      </c>
      <c r="E983" t="s">
        <v>9</v>
      </c>
      <c r="F983" s="2">
        <v>23</v>
      </c>
      <c r="G983" s="2" t="str" cm="1">
        <f t="array" ref="G983">_xlfn.IFS(F983&lt;=8,"Child",F983&lt;=17,"Teen",F983&lt;=35,"Adult",F983&lt;=55,"Seniour Adult",F983&gt;=55,"Old Age")</f>
        <v>Adult</v>
      </c>
      <c r="H983" t="s">
        <v>67</v>
      </c>
      <c r="I983" t="s">
        <v>11</v>
      </c>
      <c r="J983" t="str" cm="1">
        <f t="array" ref="J983">_xlfn.IFS(I983="S","Sauthamptonm",I983="Q","Queentown",I983="C","Cherburg",I983="B","Cabin")</f>
        <v>Sauthamptonm</v>
      </c>
      <c r="K983" t="s">
        <v>15</v>
      </c>
      <c r="L983" s="2">
        <v>29</v>
      </c>
      <c r="M983">
        <v>0</v>
      </c>
      <c r="N983" t="s">
        <v>30</v>
      </c>
      <c r="O983" t="s">
        <v>13</v>
      </c>
    </row>
    <row r="984" spans="1:15" x14ac:dyDescent="0.3">
      <c r="A984" s="1" t="s">
        <v>1904</v>
      </c>
      <c r="B984" t="s">
        <v>72</v>
      </c>
      <c r="C984" t="s">
        <v>1905</v>
      </c>
      <c r="D984" t="str">
        <f t="shared" si="15"/>
        <v>Male</v>
      </c>
      <c r="E984" t="s">
        <v>9</v>
      </c>
      <c r="F984" s="2">
        <v>45</v>
      </c>
      <c r="G984" s="2" t="str" cm="1">
        <f t="array" ref="G984">_xlfn.IFS(F984&lt;=8,"Child",F984&lt;=17,"Teen",F984&lt;=35,"Adult",F984&lt;=55,"Seniour Adult",F984&gt;=55,"Old Age")</f>
        <v>Seniour Adult</v>
      </c>
      <c r="H984" t="s">
        <v>67</v>
      </c>
      <c r="I984" t="s">
        <v>11</v>
      </c>
      <c r="J984" t="str" cm="1">
        <f t="array" ref="J984">_xlfn.IFS(I984="S","Sauthamptonm",I984="Q","Queentown",I984="C","Cherburg",I984="B","Cabin")</f>
        <v>Sauthamptonm</v>
      </c>
      <c r="K984" t="s">
        <v>15</v>
      </c>
      <c r="L984" s="2">
        <v>29</v>
      </c>
      <c r="M984">
        <v>0</v>
      </c>
      <c r="N984" t="s">
        <v>30</v>
      </c>
      <c r="O984" t="s">
        <v>13</v>
      </c>
    </row>
    <row r="985" spans="1:15" x14ac:dyDescent="0.3">
      <c r="A985" s="1" t="s">
        <v>1906</v>
      </c>
      <c r="B985" t="s">
        <v>72</v>
      </c>
      <c r="C985" t="s">
        <v>1740</v>
      </c>
      <c r="D985" t="str">
        <f t="shared" si="15"/>
        <v>Male</v>
      </c>
      <c r="E985" t="s">
        <v>9</v>
      </c>
      <c r="F985" s="2">
        <v>30</v>
      </c>
      <c r="G985" s="2" t="str" cm="1">
        <f t="array" ref="G985">_xlfn.IFS(F985&lt;=8,"Child",F985&lt;=17,"Teen",F985&lt;=35,"Adult",F985&lt;=55,"Seniour Adult",F985&gt;=55,"Old Age")</f>
        <v>Adult</v>
      </c>
      <c r="H985" t="s">
        <v>51</v>
      </c>
      <c r="I985" t="s">
        <v>28</v>
      </c>
      <c r="J985" t="str" cm="1">
        <f t="array" ref="J985">_xlfn.IFS(I985="S","Sauthamptonm",I985="Q","Queentown",I985="C","Cherburg",I985="B","Cabin")</f>
        <v>Cabin</v>
      </c>
      <c r="K985" t="s">
        <v>29</v>
      </c>
      <c r="L985" s="2">
        <v>29</v>
      </c>
      <c r="M985">
        <v>0</v>
      </c>
      <c r="N985" t="s">
        <v>30</v>
      </c>
      <c r="O985" t="s">
        <v>13</v>
      </c>
    </row>
    <row r="986" spans="1:15" x14ac:dyDescent="0.3">
      <c r="A986" s="1" t="s">
        <v>1907</v>
      </c>
      <c r="B986" t="s">
        <v>72</v>
      </c>
      <c r="C986" t="s">
        <v>90</v>
      </c>
      <c r="D986" t="str">
        <f t="shared" si="15"/>
        <v>Male</v>
      </c>
      <c r="E986" t="s">
        <v>9</v>
      </c>
      <c r="F986" s="2">
        <v>40</v>
      </c>
      <c r="G986" s="2" t="str" cm="1">
        <f t="array" ref="G986">_xlfn.IFS(F986&lt;=8,"Child",F986&lt;=17,"Teen",F986&lt;=35,"Adult",F986&lt;=55,"Seniour Adult",F986&gt;=55,"Old Age")</f>
        <v>Seniour Adult</v>
      </c>
      <c r="H986" t="s">
        <v>51</v>
      </c>
      <c r="I986" t="s">
        <v>11</v>
      </c>
      <c r="J986" t="str" cm="1">
        <f t="array" ref="J986">_xlfn.IFS(I986="S","Sauthamptonm",I986="Q","Queentown",I986="C","Cherburg",I986="B","Cabin")</f>
        <v>Sauthamptonm</v>
      </c>
      <c r="K986" t="s">
        <v>15</v>
      </c>
      <c r="L986" s="2">
        <v>29</v>
      </c>
      <c r="M986">
        <v>0</v>
      </c>
      <c r="N986" t="s">
        <v>30</v>
      </c>
      <c r="O986" t="s">
        <v>13</v>
      </c>
    </row>
    <row r="987" spans="1:15" x14ac:dyDescent="0.3">
      <c r="A987" s="1" t="s">
        <v>1908</v>
      </c>
      <c r="B987" t="s">
        <v>72</v>
      </c>
      <c r="C987" t="s">
        <v>104</v>
      </c>
      <c r="D987" t="str">
        <f t="shared" si="15"/>
        <v>Male</v>
      </c>
      <c r="E987" t="s">
        <v>9</v>
      </c>
      <c r="F987" s="2">
        <v>31</v>
      </c>
      <c r="G987" s="2" t="str" cm="1">
        <f t="array" ref="G987">_xlfn.IFS(F987&lt;=8,"Child",F987&lt;=17,"Teen",F987&lt;=35,"Adult",F987&lt;=55,"Seniour Adult",F987&gt;=55,"Old Age")</f>
        <v>Adult</v>
      </c>
      <c r="H987" t="s">
        <v>67</v>
      </c>
      <c r="I987" t="s">
        <v>11</v>
      </c>
      <c r="J987" t="str" cm="1">
        <f t="array" ref="J987">_xlfn.IFS(I987="S","Sauthamptonm",I987="Q","Queentown",I987="C","Cherburg",I987="B","Cabin")</f>
        <v>Sauthamptonm</v>
      </c>
      <c r="K987" t="s">
        <v>15</v>
      </c>
      <c r="L987" s="2">
        <v>29</v>
      </c>
      <c r="M987">
        <v>0</v>
      </c>
      <c r="N987" t="s">
        <v>30</v>
      </c>
      <c r="O987" t="s">
        <v>13</v>
      </c>
    </row>
    <row r="988" spans="1:15" x14ac:dyDescent="0.3">
      <c r="A988" s="1" t="s">
        <v>1909</v>
      </c>
      <c r="B988" t="s">
        <v>72</v>
      </c>
      <c r="C988" t="s">
        <v>1910</v>
      </c>
      <c r="D988" t="str">
        <f t="shared" si="15"/>
        <v>Male</v>
      </c>
      <c r="E988" t="s">
        <v>9</v>
      </c>
      <c r="F988" s="2">
        <v>46</v>
      </c>
      <c r="G988" s="2" t="str" cm="1">
        <f t="array" ref="G988">_xlfn.IFS(F988&lt;=8,"Child",F988&lt;=17,"Teen",F988&lt;=35,"Adult",F988&lt;=55,"Seniour Adult",F988&gt;=55,"Old Age")</f>
        <v>Seniour Adult</v>
      </c>
      <c r="H988" t="s">
        <v>51</v>
      </c>
      <c r="I988" t="s">
        <v>11</v>
      </c>
      <c r="J988" t="str" cm="1">
        <f t="array" ref="J988">_xlfn.IFS(I988="S","Sauthamptonm",I988="Q","Queentown",I988="C","Cherburg",I988="B","Cabin")</f>
        <v>Sauthamptonm</v>
      </c>
      <c r="K988" t="s">
        <v>15</v>
      </c>
      <c r="L988" s="2">
        <v>29</v>
      </c>
      <c r="M988">
        <v>0</v>
      </c>
      <c r="N988" t="s">
        <v>30</v>
      </c>
      <c r="O988" t="s">
        <v>13</v>
      </c>
    </row>
    <row r="989" spans="1:15" x14ac:dyDescent="0.3">
      <c r="A989" s="1" t="s">
        <v>1911</v>
      </c>
      <c r="B989" t="s">
        <v>72</v>
      </c>
      <c r="C989" t="s">
        <v>1905</v>
      </c>
      <c r="D989" t="str">
        <f t="shared" si="15"/>
        <v>Male</v>
      </c>
      <c r="E989" t="s">
        <v>9</v>
      </c>
      <c r="F989" s="2">
        <v>33</v>
      </c>
      <c r="G989" s="2" t="str" cm="1">
        <f t="array" ref="G989">_xlfn.IFS(F989&lt;=8,"Child",F989&lt;=17,"Teen",F989&lt;=35,"Adult",F989&lt;=55,"Seniour Adult",F989&gt;=55,"Old Age")</f>
        <v>Adult</v>
      </c>
      <c r="H989" t="s">
        <v>67</v>
      </c>
      <c r="I989" t="s">
        <v>28</v>
      </c>
      <c r="J989" t="str" cm="1">
        <f t="array" ref="J989">_xlfn.IFS(I989="S","Sauthamptonm",I989="Q","Queentown",I989="C","Cherburg",I989="B","Cabin")</f>
        <v>Cabin</v>
      </c>
      <c r="K989" t="s">
        <v>15</v>
      </c>
      <c r="L989" s="2">
        <v>29</v>
      </c>
      <c r="M989">
        <v>0</v>
      </c>
      <c r="N989" t="s">
        <v>30</v>
      </c>
      <c r="O989" t="s">
        <v>13</v>
      </c>
    </row>
    <row r="990" spans="1:15" x14ac:dyDescent="0.3">
      <c r="A990" s="1" t="s">
        <v>1912</v>
      </c>
      <c r="B990" t="s">
        <v>1766</v>
      </c>
      <c r="C990" t="s">
        <v>1913</v>
      </c>
      <c r="D990" t="str">
        <f t="shared" si="15"/>
        <v>Male</v>
      </c>
      <c r="E990" t="s">
        <v>9</v>
      </c>
      <c r="F990" s="2">
        <v>32</v>
      </c>
      <c r="G990" s="2" t="str" cm="1">
        <f t="array" ref="G990">_xlfn.IFS(F990&lt;=8,"Child",F990&lt;=17,"Teen",F990&lt;=35,"Adult",F990&lt;=55,"Seniour Adult",F990&gt;=55,"Old Age")</f>
        <v>Adult</v>
      </c>
      <c r="H990" t="s">
        <v>68</v>
      </c>
      <c r="I990" t="s">
        <v>11</v>
      </c>
      <c r="J990" t="str" cm="1">
        <f t="array" ref="J990">_xlfn.IFS(I990="S","Sauthamptonm",I990="Q","Queentown",I990="C","Cherburg",I990="B","Cabin")</f>
        <v>Sauthamptonm</v>
      </c>
      <c r="K990" t="s">
        <v>38</v>
      </c>
      <c r="L990" s="2">
        <v>29</v>
      </c>
      <c r="M990">
        <v>0</v>
      </c>
      <c r="N990" t="s">
        <v>30</v>
      </c>
      <c r="O990" t="s">
        <v>13</v>
      </c>
    </row>
    <row r="991" spans="1:15" x14ac:dyDescent="0.3">
      <c r="A991" s="1" t="s">
        <v>1914</v>
      </c>
      <c r="B991" t="s">
        <v>72</v>
      </c>
      <c r="C991" t="s">
        <v>128</v>
      </c>
      <c r="D991" t="str">
        <f t="shared" si="15"/>
        <v>Male</v>
      </c>
      <c r="E991" t="s">
        <v>9</v>
      </c>
      <c r="F991" s="2">
        <v>44</v>
      </c>
      <c r="G991" s="2" t="str" cm="1">
        <f t="array" ref="G991">_xlfn.IFS(F991&lt;=8,"Child",F991&lt;=17,"Teen",F991&lt;=35,"Adult",F991&lt;=55,"Seniour Adult",F991&gt;=55,"Old Age")</f>
        <v>Seniour Adult</v>
      </c>
      <c r="H991" t="s">
        <v>51</v>
      </c>
      <c r="I991" t="s">
        <v>11</v>
      </c>
      <c r="J991" t="str" cm="1">
        <f t="array" ref="J991">_xlfn.IFS(I991="S","Sauthamptonm",I991="Q","Queentown",I991="C","Cherburg",I991="B","Cabin")</f>
        <v>Sauthamptonm</v>
      </c>
      <c r="K991" t="s">
        <v>15</v>
      </c>
      <c r="L991" s="2">
        <v>29</v>
      </c>
      <c r="M991">
        <v>0</v>
      </c>
      <c r="N991" t="s">
        <v>30</v>
      </c>
      <c r="O991" t="s">
        <v>13</v>
      </c>
    </row>
    <row r="992" spans="1:15" x14ac:dyDescent="0.3">
      <c r="A992" s="1" t="s">
        <v>1915</v>
      </c>
      <c r="B992" t="s">
        <v>72</v>
      </c>
      <c r="C992" t="s">
        <v>1019</v>
      </c>
      <c r="D992" t="str">
        <f t="shared" si="15"/>
        <v>Male</v>
      </c>
      <c r="E992" t="s">
        <v>9</v>
      </c>
      <c r="F992" s="2">
        <v>34</v>
      </c>
      <c r="G992" s="2" t="str" cm="1">
        <f t="array" ref="G992">_xlfn.IFS(F992&lt;=8,"Child",F992&lt;=17,"Teen",F992&lt;=35,"Adult",F992&lt;=55,"Seniour Adult",F992&gt;=55,"Old Age")</f>
        <v>Adult</v>
      </c>
      <c r="H992" t="s">
        <v>67</v>
      </c>
      <c r="I992" t="s">
        <v>11</v>
      </c>
      <c r="J992" t="str" cm="1">
        <f t="array" ref="J992">_xlfn.IFS(I992="S","Sauthamptonm",I992="Q","Queentown",I992="C","Cherburg",I992="B","Cabin")</f>
        <v>Sauthamptonm</v>
      </c>
      <c r="K992" t="s">
        <v>15</v>
      </c>
      <c r="L992" s="2">
        <v>29</v>
      </c>
      <c r="M992">
        <v>0</v>
      </c>
      <c r="N992" t="s">
        <v>30</v>
      </c>
      <c r="O992" t="s">
        <v>13</v>
      </c>
    </row>
    <row r="993" spans="1:15" x14ac:dyDescent="0.3">
      <c r="A993" s="1" t="s">
        <v>1916</v>
      </c>
      <c r="B993" t="s">
        <v>72</v>
      </c>
      <c r="C993" t="s">
        <v>206</v>
      </c>
      <c r="D993" t="str">
        <f t="shared" si="15"/>
        <v>Male</v>
      </c>
      <c r="E993" t="s">
        <v>9</v>
      </c>
      <c r="F993" s="2">
        <v>37</v>
      </c>
      <c r="G993" s="2" t="str" cm="1">
        <f t="array" ref="G993">_xlfn.IFS(F993&lt;=8,"Child",F993&lt;=17,"Teen",F993&lt;=35,"Adult",F993&lt;=55,"Seniour Adult",F993&gt;=55,"Old Age")</f>
        <v>Seniour Adult</v>
      </c>
      <c r="H993" t="s">
        <v>51</v>
      </c>
      <c r="I993" t="s">
        <v>11</v>
      </c>
      <c r="J993" t="str" cm="1">
        <f t="array" ref="J993">_xlfn.IFS(I993="S","Sauthamptonm",I993="Q","Queentown",I993="C","Cherburg",I993="B","Cabin")</f>
        <v>Sauthamptonm</v>
      </c>
      <c r="K993" t="s">
        <v>15</v>
      </c>
      <c r="L993" s="2">
        <v>29</v>
      </c>
      <c r="M993">
        <v>0</v>
      </c>
      <c r="N993" t="s">
        <v>30</v>
      </c>
      <c r="O993" t="s">
        <v>13</v>
      </c>
    </row>
    <row r="994" spans="1:15" x14ac:dyDescent="0.3">
      <c r="A994" s="1" t="s">
        <v>1917</v>
      </c>
      <c r="B994" t="s">
        <v>78</v>
      </c>
      <c r="C994" t="s">
        <v>1918</v>
      </c>
      <c r="D994" t="str">
        <f t="shared" si="15"/>
        <v>Female</v>
      </c>
      <c r="E994" t="s">
        <v>14</v>
      </c>
      <c r="F994" s="2">
        <v>33</v>
      </c>
      <c r="G994" s="2" t="str" cm="1">
        <f t="array" ref="G994">_xlfn.IFS(F994&lt;=8,"Child",F994&lt;=17,"Teen",F994&lt;=35,"Adult",F994&lt;=55,"Seniour Adult",F994&gt;=55,"Old Age")</f>
        <v>Adult</v>
      </c>
      <c r="H994" t="s">
        <v>67</v>
      </c>
      <c r="I994" t="s">
        <v>11</v>
      </c>
      <c r="J994" t="str" cm="1">
        <f t="array" ref="J994">_xlfn.IFS(I994="S","Sauthamptonm",I994="Q","Queentown",I994="C","Cherburg",I994="B","Cabin")</f>
        <v>Sauthamptonm</v>
      </c>
      <c r="K994" t="s">
        <v>15</v>
      </c>
      <c r="L994" s="2">
        <v>29</v>
      </c>
      <c r="M994">
        <v>0</v>
      </c>
      <c r="N994" t="s">
        <v>30</v>
      </c>
      <c r="O994" t="s">
        <v>16</v>
      </c>
    </row>
    <row r="995" spans="1:15" x14ac:dyDescent="0.3">
      <c r="A995" s="1" t="s">
        <v>1919</v>
      </c>
      <c r="B995" t="s">
        <v>72</v>
      </c>
      <c r="C995" t="s">
        <v>1920</v>
      </c>
      <c r="D995" t="str">
        <f t="shared" si="15"/>
        <v>Male</v>
      </c>
      <c r="E995" t="s">
        <v>9</v>
      </c>
      <c r="F995" s="2">
        <v>28</v>
      </c>
      <c r="G995" s="2" t="str" cm="1">
        <f t="array" ref="G995">_xlfn.IFS(F995&lt;=8,"Child",F995&lt;=17,"Teen",F995&lt;=35,"Adult",F995&lt;=55,"Seniour Adult",F995&gt;=55,"Old Age")</f>
        <v>Adult</v>
      </c>
      <c r="H995" t="s">
        <v>67</v>
      </c>
      <c r="I995" t="s">
        <v>11</v>
      </c>
      <c r="J995" t="str" cm="1">
        <f t="array" ref="J995">_xlfn.IFS(I995="S","Sauthamptonm",I995="Q","Queentown",I995="C","Cherburg",I995="B","Cabin")</f>
        <v>Sauthamptonm</v>
      </c>
      <c r="K995" t="s">
        <v>15</v>
      </c>
      <c r="L995" s="2">
        <v>29</v>
      </c>
      <c r="M995">
        <v>0</v>
      </c>
      <c r="N995" t="s">
        <v>30</v>
      </c>
      <c r="O995" t="s">
        <v>13</v>
      </c>
    </row>
    <row r="996" spans="1:15" x14ac:dyDescent="0.3">
      <c r="A996" s="1" t="s">
        <v>1921</v>
      </c>
      <c r="B996" t="s">
        <v>72</v>
      </c>
      <c r="C996" t="s">
        <v>814</v>
      </c>
      <c r="D996" t="str">
        <f t="shared" si="15"/>
        <v>Male</v>
      </c>
      <c r="E996" t="s">
        <v>9</v>
      </c>
      <c r="F996" s="2">
        <v>22</v>
      </c>
      <c r="G996" s="2" t="str" cm="1">
        <f t="array" ref="G996">_xlfn.IFS(F996&lt;=8,"Child",F996&lt;=17,"Teen",F996&lt;=35,"Adult",F996&lt;=55,"Seniour Adult",F996&gt;=55,"Old Age")</f>
        <v>Adult</v>
      </c>
      <c r="H996" t="s">
        <v>51</v>
      </c>
      <c r="I996" t="s">
        <v>11</v>
      </c>
      <c r="J996" t="str" cm="1">
        <f t="array" ref="J996">_xlfn.IFS(I996="S","Sauthamptonm",I996="Q","Queentown",I996="C","Cherburg",I996="B","Cabin")</f>
        <v>Sauthamptonm</v>
      </c>
      <c r="K996" t="s">
        <v>15</v>
      </c>
      <c r="L996" s="2">
        <v>29</v>
      </c>
      <c r="M996">
        <v>0</v>
      </c>
      <c r="N996" t="s">
        <v>30</v>
      </c>
      <c r="O996" t="s">
        <v>16</v>
      </c>
    </row>
    <row r="997" spans="1:15" x14ac:dyDescent="0.3">
      <c r="A997" s="1" t="s">
        <v>1922</v>
      </c>
      <c r="B997" t="s">
        <v>72</v>
      </c>
      <c r="C997" t="s">
        <v>1923</v>
      </c>
      <c r="D997" t="str">
        <f t="shared" si="15"/>
        <v>Male</v>
      </c>
      <c r="E997" t="s">
        <v>9</v>
      </c>
      <c r="F997" s="2">
        <v>39</v>
      </c>
      <c r="G997" s="2" t="str" cm="1">
        <f t="array" ref="G997">_xlfn.IFS(F997&lt;=8,"Child",F997&lt;=17,"Teen",F997&lt;=35,"Adult",F997&lt;=55,"Seniour Adult",F997&gt;=55,"Old Age")</f>
        <v>Seniour Adult</v>
      </c>
      <c r="H997" t="s">
        <v>67</v>
      </c>
      <c r="I997" t="s">
        <v>28</v>
      </c>
      <c r="J997" t="str" cm="1">
        <f t="array" ref="J997">_xlfn.IFS(I997="S","Sauthamptonm",I997="Q","Queentown",I997="C","Cherburg",I997="B","Cabin")</f>
        <v>Cabin</v>
      </c>
      <c r="K997" t="s">
        <v>15</v>
      </c>
      <c r="L997" s="2">
        <v>29</v>
      </c>
      <c r="M997">
        <v>0</v>
      </c>
      <c r="N997" t="s">
        <v>30</v>
      </c>
      <c r="O997" t="s">
        <v>13</v>
      </c>
    </row>
    <row r="998" spans="1:15" x14ac:dyDescent="0.3">
      <c r="A998" s="1" t="s">
        <v>1924</v>
      </c>
      <c r="B998" t="s">
        <v>72</v>
      </c>
      <c r="C998" t="s">
        <v>1925</v>
      </c>
      <c r="D998" t="str">
        <f t="shared" si="15"/>
        <v>Male</v>
      </c>
      <c r="E998" t="s">
        <v>9</v>
      </c>
      <c r="F998" s="2">
        <v>21</v>
      </c>
      <c r="G998" s="2" t="str" cm="1">
        <f t="array" ref="G998">_xlfn.IFS(F998&lt;=8,"Child",F998&lt;=17,"Teen",F998&lt;=35,"Adult",F998&lt;=55,"Seniour Adult",F998&gt;=55,"Old Age")</f>
        <v>Adult</v>
      </c>
      <c r="H998" t="s">
        <v>67</v>
      </c>
      <c r="I998" t="s">
        <v>11</v>
      </c>
      <c r="J998" t="str" cm="1">
        <f t="array" ref="J998">_xlfn.IFS(I998="S","Sauthamptonm",I998="Q","Queentown",I998="C","Cherburg",I998="B","Cabin")</f>
        <v>Sauthamptonm</v>
      </c>
      <c r="K998" t="s">
        <v>15</v>
      </c>
      <c r="L998" s="2">
        <v>29</v>
      </c>
      <c r="M998">
        <v>0</v>
      </c>
      <c r="N998" t="s">
        <v>30</v>
      </c>
      <c r="O998" t="s">
        <v>13</v>
      </c>
    </row>
    <row r="999" spans="1:15" x14ac:dyDescent="0.3">
      <c r="A999" s="1" t="s">
        <v>1926</v>
      </c>
      <c r="B999" t="s">
        <v>72</v>
      </c>
      <c r="C999" t="s">
        <v>1927</v>
      </c>
      <c r="D999" t="str">
        <f t="shared" si="15"/>
        <v>Male</v>
      </c>
      <c r="E999" t="s">
        <v>9</v>
      </c>
      <c r="F999" s="2">
        <v>25</v>
      </c>
      <c r="G999" s="2" t="str" cm="1">
        <f t="array" ref="G999">_xlfn.IFS(F999&lt;=8,"Child",F999&lt;=17,"Teen",F999&lt;=35,"Adult",F999&lt;=55,"Seniour Adult",F999&gt;=55,"Old Age")</f>
        <v>Adult</v>
      </c>
      <c r="H999" t="s">
        <v>68</v>
      </c>
      <c r="I999" t="s">
        <v>11</v>
      </c>
      <c r="J999" t="str" cm="1">
        <f t="array" ref="J999">_xlfn.IFS(I999="S","Sauthamptonm",I999="Q","Queentown",I999="C","Cherburg",I999="B","Cabin")</f>
        <v>Sauthamptonm</v>
      </c>
      <c r="K999" t="s">
        <v>15</v>
      </c>
      <c r="L999" s="2">
        <v>29</v>
      </c>
      <c r="M999">
        <v>0</v>
      </c>
      <c r="N999" t="s">
        <v>30</v>
      </c>
      <c r="O999" t="s">
        <v>13</v>
      </c>
    </row>
    <row r="1000" spans="1:15" x14ac:dyDescent="0.3">
      <c r="A1000" s="1" t="s">
        <v>1928</v>
      </c>
      <c r="B1000" t="s">
        <v>72</v>
      </c>
      <c r="C1000" t="s">
        <v>256</v>
      </c>
      <c r="D1000" t="str">
        <f t="shared" si="15"/>
        <v>Male</v>
      </c>
      <c r="E1000" t="s">
        <v>9</v>
      </c>
      <c r="F1000" s="2">
        <v>25</v>
      </c>
      <c r="G1000" s="2" t="str" cm="1">
        <f t="array" ref="G1000">_xlfn.IFS(F1000&lt;=8,"Child",F1000&lt;=17,"Teen",F1000&lt;=35,"Adult",F1000&lt;=55,"Seniour Adult",F1000&gt;=55,"Old Age")</f>
        <v>Adult</v>
      </c>
      <c r="H1000" t="s">
        <v>67</v>
      </c>
      <c r="I1000" t="s">
        <v>11</v>
      </c>
      <c r="J1000" t="str" cm="1">
        <f t="array" ref="J1000">_xlfn.IFS(I1000="S","Sauthamptonm",I1000="Q","Queentown",I1000="C","Cherburg",I1000="B","Cabin")</f>
        <v>Sauthamptonm</v>
      </c>
      <c r="K1000" t="s">
        <v>15</v>
      </c>
      <c r="L1000" s="2">
        <v>29</v>
      </c>
      <c r="M1000">
        <v>0</v>
      </c>
      <c r="N1000" t="s">
        <v>30</v>
      </c>
      <c r="O1000" t="s">
        <v>13</v>
      </c>
    </row>
    <row r="1001" spans="1:15" x14ac:dyDescent="0.3">
      <c r="A1001" s="1" t="s">
        <v>1929</v>
      </c>
      <c r="B1001" t="s">
        <v>72</v>
      </c>
      <c r="C1001" t="s">
        <v>1930</v>
      </c>
      <c r="D1001" t="str">
        <f t="shared" si="15"/>
        <v>Male</v>
      </c>
      <c r="E1001" t="s">
        <v>9</v>
      </c>
      <c r="F1001" s="2">
        <v>25</v>
      </c>
      <c r="G1001" s="2" t="str" cm="1">
        <f t="array" ref="G1001">_xlfn.IFS(F1001&lt;=8,"Child",F1001&lt;=17,"Teen",F1001&lt;=35,"Adult",F1001&lt;=55,"Seniour Adult",F1001&gt;=55,"Old Age")</f>
        <v>Adult</v>
      </c>
      <c r="H1001" t="s">
        <v>51</v>
      </c>
      <c r="I1001" t="s">
        <v>11</v>
      </c>
      <c r="J1001" t="str" cm="1">
        <f t="array" ref="J1001">_xlfn.IFS(I1001="S","Sauthamptonm",I1001="Q","Queentown",I1001="C","Cherburg",I1001="B","Cabin")</f>
        <v>Sauthamptonm</v>
      </c>
      <c r="K1001" t="s">
        <v>15</v>
      </c>
      <c r="L1001" s="2">
        <v>29</v>
      </c>
      <c r="M1001">
        <v>0</v>
      </c>
      <c r="N1001" t="s">
        <v>30</v>
      </c>
      <c r="O1001" t="s">
        <v>13</v>
      </c>
    </row>
    <row r="1002" spans="1:15" x14ac:dyDescent="0.3">
      <c r="A1002" s="1" t="s">
        <v>1931</v>
      </c>
      <c r="B1002" t="s">
        <v>72</v>
      </c>
      <c r="C1002" t="s">
        <v>687</v>
      </c>
      <c r="D1002" t="str">
        <f t="shared" si="15"/>
        <v>Male</v>
      </c>
      <c r="E1002" t="s">
        <v>9</v>
      </c>
      <c r="F1002" s="2">
        <v>28</v>
      </c>
      <c r="G1002" s="2" t="str" cm="1">
        <f t="array" ref="G1002">_xlfn.IFS(F1002&lt;=8,"Child",F1002&lt;=17,"Teen",F1002&lt;=35,"Adult",F1002&lt;=55,"Seniour Adult",F1002&gt;=55,"Old Age")</f>
        <v>Adult</v>
      </c>
      <c r="H1002" t="s">
        <v>67</v>
      </c>
      <c r="I1002" t="s">
        <v>28</v>
      </c>
      <c r="J1002" t="str" cm="1">
        <f t="array" ref="J1002">_xlfn.IFS(I1002="S","Sauthamptonm",I1002="Q","Queentown",I1002="C","Cherburg",I1002="B","Cabin")</f>
        <v>Cabin</v>
      </c>
      <c r="K1002" t="s">
        <v>15</v>
      </c>
      <c r="L1002" s="2">
        <v>29</v>
      </c>
      <c r="M1002">
        <v>0</v>
      </c>
      <c r="N1002" t="s">
        <v>30</v>
      </c>
      <c r="O1002" t="s">
        <v>13</v>
      </c>
    </row>
    <row r="1003" spans="1:15" x14ac:dyDescent="0.3">
      <c r="A1003" s="1" t="s">
        <v>1932</v>
      </c>
      <c r="B1003" t="s">
        <v>72</v>
      </c>
      <c r="C1003" t="s">
        <v>1933</v>
      </c>
      <c r="D1003" t="str">
        <f t="shared" si="15"/>
        <v>Male</v>
      </c>
      <c r="E1003" t="s">
        <v>9</v>
      </c>
      <c r="F1003" s="2">
        <v>37</v>
      </c>
      <c r="G1003" s="2" t="str" cm="1">
        <f t="array" ref="G1003">_xlfn.IFS(F1003&lt;=8,"Child",F1003&lt;=17,"Teen",F1003&lt;=35,"Adult",F1003&lt;=55,"Seniour Adult",F1003&gt;=55,"Old Age")</f>
        <v>Seniour Adult</v>
      </c>
      <c r="H1003" t="s">
        <v>51</v>
      </c>
      <c r="I1003" t="s">
        <v>28</v>
      </c>
      <c r="J1003" t="str" cm="1">
        <f t="array" ref="J1003">_xlfn.IFS(I1003="S","Sauthamptonm",I1003="Q","Queentown",I1003="C","Cherburg",I1003="B","Cabin")</f>
        <v>Cabin</v>
      </c>
      <c r="K1003" t="s">
        <v>15</v>
      </c>
      <c r="L1003" s="2">
        <v>29</v>
      </c>
      <c r="M1003">
        <v>0</v>
      </c>
      <c r="N1003" t="s">
        <v>30</v>
      </c>
      <c r="O1003" t="s">
        <v>13</v>
      </c>
    </row>
    <row r="1004" spans="1:15" x14ac:dyDescent="0.3">
      <c r="A1004" s="1" t="s">
        <v>1934</v>
      </c>
      <c r="B1004" t="s">
        <v>72</v>
      </c>
      <c r="C1004" t="s">
        <v>1935</v>
      </c>
      <c r="D1004" t="str">
        <f t="shared" si="15"/>
        <v>Male</v>
      </c>
      <c r="E1004" t="s">
        <v>9</v>
      </c>
      <c r="F1004" s="2">
        <v>29</v>
      </c>
      <c r="G1004" s="2" t="str" cm="1">
        <f t="array" ref="G1004">_xlfn.IFS(F1004&lt;=8,"Child",F1004&lt;=17,"Teen",F1004&lt;=35,"Adult",F1004&lt;=55,"Seniour Adult",F1004&gt;=55,"Old Age")</f>
        <v>Adult</v>
      </c>
      <c r="H1004" t="s">
        <v>67</v>
      </c>
      <c r="I1004" t="s">
        <v>11</v>
      </c>
      <c r="J1004" t="str" cm="1">
        <f t="array" ref="J1004">_xlfn.IFS(I1004="S","Sauthamptonm",I1004="Q","Queentown",I1004="C","Cherburg",I1004="B","Cabin")</f>
        <v>Sauthamptonm</v>
      </c>
      <c r="K1004" t="s">
        <v>15</v>
      </c>
      <c r="L1004" s="2">
        <v>29</v>
      </c>
      <c r="M1004">
        <v>0</v>
      </c>
      <c r="N1004" t="s">
        <v>30</v>
      </c>
      <c r="O1004" t="s">
        <v>13</v>
      </c>
    </row>
    <row r="1005" spans="1:15" x14ac:dyDescent="0.3">
      <c r="A1005" s="1" t="s">
        <v>1936</v>
      </c>
      <c r="B1005" t="s">
        <v>72</v>
      </c>
      <c r="C1005" t="s">
        <v>379</v>
      </c>
      <c r="D1005" t="str">
        <f t="shared" si="15"/>
        <v>Male</v>
      </c>
      <c r="E1005" t="s">
        <v>9</v>
      </c>
      <c r="F1005" s="2">
        <v>25</v>
      </c>
      <c r="G1005" s="2" t="str" cm="1">
        <f t="array" ref="G1005">_xlfn.IFS(F1005&lt;=8,"Child",F1005&lt;=17,"Teen",F1005&lt;=35,"Adult",F1005&lt;=55,"Seniour Adult",F1005&gt;=55,"Old Age")</f>
        <v>Adult</v>
      </c>
      <c r="H1005" t="s">
        <v>51</v>
      </c>
      <c r="I1005" t="s">
        <v>11</v>
      </c>
      <c r="J1005" t="str" cm="1">
        <f t="array" ref="J1005">_xlfn.IFS(I1005="S","Sauthamptonm",I1005="Q","Queentown",I1005="C","Cherburg",I1005="B","Cabin")</f>
        <v>Sauthamptonm</v>
      </c>
      <c r="K1005" t="s">
        <v>15</v>
      </c>
      <c r="L1005" s="2">
        <v>29</v>
      </c>
      <c r="M1005">
        <v>0</v>
      </c>
      <c r="N1005" t="s">
        <v>30</v>
      </c>
      <c r="O1005" t="s">
        <v>13</v>
      </c>
    </row>
    <row r="1006" spans="1:15" x14ac:dyDescent="0.3">
      <c r="A1006" s="1" t="s">
        <v>1937</v>
      </c>
      <c r="B1006" t="s">
        <v>72</v>
      </c>
      <c r="C1006" t="s">
        <v>1938</v>
      </c>
      <c r="D1006" t="str">
        <f t="shared" si="15"/>
        <v>Male</v>
      </c>
      <c r="E1006" t="s">
        <v>9</v>
      </c>
      <c r="F1006" s="2">
        <v>34</v>
      </c>
      <c r="G1006" s="2" t="str" cm="1">
        <f t="array" ref="G1006">_xlfn.IFS(F1006&lt;=8,"Child",F1006&lt;=17,"Teen",F1006&lt;=35,"Adult",F1006&lt;=55,"Seniour Adult",F1006&gt;=55,"Old Age")</f>
        <v>Adult</v>
      </c>
      <c r="H1006" t="s">
        <v>67</v>
      </c>
      <c r="I1006" t="s">
        <v>11</v>
      </c>
      <c r="J1006" t="str" cm="1">
        <f t="array" ref="J1006">_xlfn.IFS(I1006="S","Sauthamptonm",I1006="Q","Queentown",I1006="C","Cherburg",I1006="B","Cabin")</f>
        <v>Sauthamptonm</v>
      </c>
      <c r="K1006" t="s">
        <v>15</v>
      </c>
      <c r="L1006" s="2">
        <v>29</v>
      </c>
      <c r="M1006">
        <v>0</v>
      </c>
      <c r="N1006" t="s">
        <v>30</v>
      </c>
      <c r="O1006" t="s">
        <v>13</v>
      </c>
    </row>
    <row r="1007" spans="1:15" x14ac:dyDescent="0.3">
      <c r="A1007" s="1" t="s">
        <v>1939</v>
      </c>
      <c r="B1007" t="s">
        <v>72</v>
      </c>
      <c r="C1007" t="s">
        <v>1460</v>
      </c>
      <c r="D1007" t="str">
        <f t="shared" si="15"/>
        <v>Male</v>
      </c>
      <c r="E1007" t="s">
        <v>9</v>
      </c>
      <c r="F1007" s="2">
        <v>33</v>
      </c>
      <c r="G1007" s="2" t="str" cm="1">
        <f t="array" ref="G1007">_xlfn.IFS(F1007&lt;=8,"Child",F1007&lt;=17,"Teen",F1007&lt;=35,"Adult",F1007&lt;=55,"Seniour Adult",F1007&gt;=55,"Old Age")</f>
        <v>Adult</v>
      </c>
      <c r="H1007" t="s">
        <v>69</v>
      </c>
      <c r="I1007" t="s">
        <v>11</v>
      </c>
      <c r="J1007" t="str" cm="1">
        <f t="array" ref="J1007">_xlfn.IFS(I1007="S","Sauthamptonm",I1007="Q","Queentown",I1007="C","Cherburg",I1007="B","Cabin")</f>
        <v>Sauthamptonm</v>
      </c>
      <c r="K1007" t="s">
        <v>15</v>
      </c>
      <c r="L1007" s="2">
        <v>29</v>
      </c>
      <c r="M1007">
        <v>0</v>
      </c>
      <c r="N1007" t="s">
        <v>30</v>
      </c>
      <c r="O1007" t="s">
        <v>16</v>
      </c>
    </row>
    <row r="1008" spans="1:15" x14ac:dyDescent="0.3">
      <c r="A1008" s="1" t="s">
        <v>1940</v>
      </c>
      <c r="B1008" t="s">
        <v>72</v>
      </c>
      <c r="C1008" t="s">
        <v>119</v>
      </c>
      <c r="D1008" t="str">
        <f t="shared" si="15"/>
        <v>Male</v>
      </c>
      <c r="E1008" t="s">
        <v>9</v>
      </c>
      <c r="F1008" s="2">
        <v>22</v>
      </c>
      <c r="G1008" s="2" t="str" cm="1">
        <f t="array" ref="G1008">_xlfn.IFS(F1008&lt;=8,"Child",F1008&lt;=17,"Teen",F1008&lt;=35,"Adult",F1008&lt;=55,"Seniour Adult",F1008&gt;=55,"Old Age")</f>
        <v>Adult</v>
      </c>
      <c r="H1008" t="s">
        <v>51</v>
      </c>
      <c r="I1008" t="s">
        <v>11</v>
      </c>
      <c r="J1008" t="str" cm="1">
        <f t="array" ref="J1008">_xlfn.IFS(I1008="S","Sauthamptonm",I1008="Q","Queentown",I1008="C","Cherburg",I1008="B","Cabin")</f>
        <v>Sauthamptonm</v>
      </c>
      <c r="K1008" t="s">
        <v>15</v>
      </c>
      <c r="L1008" s="2">
        <v>29</v>
      </c>
      <c r="M1008">
        <v>0</v>
      </c>
      <c r="N1008" t="s">
        <v>30</v>
      </c>
      <c r="O1008" t="s">
        <v>13</v>
      </c>
    </row>
    <row r="1009" spans="1:15" x14ac:dyDescent="0.3">
      <c r="A1009" s="1" t="s">
        <v>1941</v>
      </c>
      <c r="B1009" t="s">
        <v>72</v>
      </c>
      <c r="C1009" t="s">
        <v>1297</v>
      </c>
      <c r="D1009" t="str">
        <f t="shared" si="15"/>
        <v>Male</v>
      </c>
      <c r="E1009" t="s">
        <v>9</v>
      </c>
      <c r="F1009" s="2">
        <v>29</v>
      </c>
      <c r="G1009" s="2" t="str" cm="1">
        <f t="array" ref="G1009">_xlfn.IFS(F1009&lt;=8,"Child",F1009&lt;=17,"Teen",F1009&lt;=35,"Adult",F1009&lt;=55,"Seniour Adult",F1009&gt;=55,"Old Age")</f>
        <v>Adult</v>
      </c>
      <c r="H1009" t="s">
        <v>67</v>
      </c>
      <c r="I1009" t="s">
        <v>11</v>
      </c>
      <c r="J1009" t="str" cm="1">
        <f t="array" ref="J1009">_xlfn.IFS(I1009="S","Sauthamptonm",I1009="Q","Queentown",I1009="C","Cherburg",I1009="B","Cabin")</f>
        <v>Sauthamptonm</v>
      </c>
      <c r="K1009" t="s">
        <v>15</v>
      </c>
      <c r="L1009" s="2">
        <v>29</v>
      </c>
      <c r="M1009">
        <v>0</v>
      </c>
      <c r="N1009" t="s">
        <v>30</v>
      </c>
      <c r="O1009" t="s">
        <v>13</v>
      </c>
    </row>
    <row r="1010" spans="1:15" x14ac:dyDescent="0.3">
      <c r="A1010" s="1" t="s">
        <v>1942</v>
      </c>
      <c r="B1010" t="s">
        <v>72</v>
      </c>
      <c r="C1010" t="s">
        <v>1887</v>
      </c>
      <c r="D1010" t="str">
        <f t="shared" si="15"/>
        <v>Male</v>
      </c>
      <c r="E1010" t="s">
        <v>9</v>
      </c>
      <c r="F1010" s="2">
        <v>33</v>
      </c>
      <c r="G1010" s="2" t="str" cm="1">
        <f t="array" ref="G1010">_xlfn.IFS(F1010&lt;=8,"Child",F1010&lt;=17,"Teen",F1010&lt;=35,"Adult",F1010&lt;=55,"Seniour Adult",F1010&gt;=55,"Old Age")</f>
        <v>Adult</v>
      </c>
      <c r="H1010" t="s">
        <v>67</v>
      </c>
      <c r="I1010" t="s">
        <v>11</v>
      </c>
      <c r="J1010" t="str" cm="1">
        <f t="array" ref="J1010">_xlfn.IFS(I1010="S","Sauthamptonm",I1010="Q","Queentown",I1010="C","Cherburg",I1010="B","Cabin")</f>
        <v>Sauthamptonm</v>
      </c>
      <c r="K1010" t="s">
        <v>15</v>
      </c>
      <c r="L1010" s="2">
        <v>29</v>
      </c>
      <c r="M1010">
        <v>0</v>
      </c>
      <c r="N1010" t="s">
        <v>30</v>
      </c>
      <c r="O1010" t="s">
        <v>16</v>
      </c>
    </row>
    <row r="1011" spans="1:15" x14ac:dyDescent="0.3">
      <c r="A1011" s="1" t="s">
        <v>1943</v>
      </c>
      <c r="B1011" t="s">
        <v>72</v>
      </c>
      <c r="C1011" t="s">
        <v>90</v>
      </c>
      <c r="D1011" t="str">
        <f t="shared" si="15"/>
        <v>Male</v>
      </c>
      <c r="E1011" t="s">
        <v>9</v>
      </c>
      <c r="F1011" s="2">
        <v>17</v>
      </c>
      <c r="G1011" s="2" t="str" cm="1">
        <f t="array" ref="G1011">_xlfn.IFS(F1011&lt;=8,"Child",F1011&lt;=17,"Teen",F1011&lt;=35,"Adult",F1011&lt;=55,"Seniour Adult",F1011&gt;=55,"Old Age")</f>
        <v>Teen</v>
      </c>
      <c r="H1011" t="s">
        <v>67</v>
      </c>
      <c r="I1011" t="s">
        <v>11</v>
      </c>
      <c r="J1011" t="str" cm="1">
        <f t="array" ref="J1011">_xlfn.IFS(I1011="S","Sauthamptonm",I1011="Q","Queentown",I1011="C","Cherburg",I1011="B","Cabin")</f>
        <v>Sauthamptonm</v>
      </c>
      <c r="K1011" t="s">
        <v>29</v>
      </c>
      <c r="L1011" s="2">
        <v>29</v>
      </c>
      <c r="M1011">
        <v>0</v>
      </c>
      <c r="N1011" t="s">
        <v>30</v>
      </c>
      <c r="O1011" t="s">
        <v>16</v>
      </c>
    </row>
    <row r="1012" spans="1:15" x14ac:dyDescent="0.3">
      <c r="A1012" s="1" t="s">
        <v>1944</v>
      </c>
      <c r="B1012" t="s">
        <v>72</v>
      </c>
      <c r="C1012" t="s">
        <v>698</v>
      </c>
      <c r="D1012" t="str">
        <f t="shared" si="15"/>
        <v>Male</v>
      </c>
      <c r="E1012" t="s">
        <v>9</v>
      </c>
      <c r="F1012" s="2">
        <v>34</v>
      </c>
      <c r="G1012" s="2" t="str" cm="1">
        <f t="array" ref="G1012">_xlfn.IFS(F1012&lt;=8,"Child",F1012&lt;=17,"Teen",F1012&lt;=35,"Adult",F1012&lt;=55,"Seniour Adult",F1012&gt;=55,"Old Age")</f>
        <v>Adult</v>
      </c>
      <c r="H1012" t="s">
        <v>51</v>
      </c>
      <c r="I1012" t="s">
        <v>11</v>
      </c>
      <c r="J1012" t="str" cm="1">
        <f t="array" ref="J1012">_xlfn.IFS(I1012="S","Sauthamptonm",I1012="Q","Queentown",I1012="C","Cherburg",I1012="B","Cabin")</f>
        <v>Sauthamptonm</v>
      </c>
      <c r="K1012" t="s">
        <v>15</v>
      </c>
      <c r="L1012" s="2">
        <v>29</v>
      </c>
      <c r="M1012">
        <v>0</v>
      </c>
      <c r="N1012" t="s">
        <v>30</v>
      </c>
      <c r="O1012" t="s">
        <v>16</v>
      </c>
    </row>
    <row r="1013" spans="1:15" x14ac:dyDescent="0.3">
      <c r="A1013" s="1" t="s">
        <v>1945</v>
      </c>
      <c r="B1013" t="s">
        <v>72</v>
      </c>
      <c r="C1013" t="s">
        <v>1946</v>
      </c>
      <c r="D1013" t="str">
        <f t="shared" si="15"/>
        <v>Male</v>
      </c>
      <c r="E1013" t="s">
        <v>9</v>
      </c>
      <c r="F1013" s="2">
        <v>25</v>
      </c>
      <c r="G1013" s="2" t="str" cm="1">
        <f t="array" ref="G1013">_xlfn.IFS(F1013&lt;=8,"Child",F1013&lt;=17,"Teen",F1013&lt;=35,"Adult",F1013&lt;=55,"Seniour Adult",F1013&gt;=55,"Old Age")</f>
        <v>Adult</v>
      </c>
      <c r="H1013" t="s">
        <v>67</v>
      </c>
      <c r="I1013" t="s">
        <v>28</v>
      </c>
      <c r="J1013" t="str" cm="1">
        <f t="array" ref="J1013">_xlfn.IFS(I1013="S","Sauthamptonm",I1013="Q","Queentown",I1013="C","Cherburg",I1013="B","Cabin")</f>
        <v>Cabin</v>
      </c>
      <c r="K1013" t="s">
        <v>15</v>
      </c>
      <c r="L1013" s="2">
        <v>29</v>
      </c>
      <c r="M1013">
        <v>0</v>
      </c>
      <c r="N1013" t="s">
        <v>30</v>
      </c>
      <c r="O1013" t="s">
        <v>13</v>
      </c>
    </row>
    <row r="1014" spans="1:15" x14ac:dyDescent="0.3">
      <c r="A1014" s="1" t="s">
        <v>1947</v>
      </c>
      <c r="B1014" t="s">
        <v>72</v>
      </c>
      <c r="C1014" t="s">
        <v>1948</v>
      </c>
      <c r="D1014" t="str">
        <f t="shared" si="15"/>
        <v>Male</v>
      </c>
      <c r="E1014" t="s">
        <v>9</v>
      </c>
      <c r="F1014" s="2">
        <v>45</v>
      </c>
      <c r="G1014" s="2" t="str" cm="1">
        <f t="array" ref="G1014">_xlfn.IFS(F1014&lt;=8,"Child",F1014&lt;=17,"Teen",F1014&lt;=35,"Adult",F1014&lt;=55,"Seniour Adult",F1014&gt;=55,"Old Age")</f>
        <v>Seniour Adult</v>
      </c>
      <c r="H1014" t="s">
        <v>67</v>
      </c>
      <c r="I1014" t="s">
        <v>11</v>
      </c>
      <c r="J1014" t="str" cm="1">
        <f t="array" ref="J1014">_xlfn.IFS(I1014="S","Sauthamptonm",I1014="Q","Queentown",I1014="C","Cherburg",I1014="B","Cabin")</f>
        <v>Sauthamptonm</v>
      </c>
      <c r="K1014" t="s">
        <v>15</v>
      </c>
      <c r="L1014" s="2">
        <v>29</v>
      </c>
      <c r="M1014">
        <v>0</v>
      </c>
      <c r="N1014" t="s">
        <v>30</v>
      </c>
      <c r="O1014" t="s">
        <v>13</v>
      </c>
    </row>
    <row r="1015" spans="1:15" x14ac:dyDescent="0.3">
      <c r="A1015" s="1" t="s">
        <v>1949</v>
      </c>
      <c r="B1015" t="s">
        <v>72</v>
      </c>
      <c r="C1015" t="s">
        <v>119</v>
      </c>
      <c r="D1015" t="str">
        <f t="shared" si="15"/>
        <v>Male</v>
      </c>
      <c r="E1015" t="s">
        <v>9</v>
      </c>
      <c r="F1015" s="2">
        <v>26</v>
      </c>
      <c r="G1015" s="2" t="str" cm="1">
        <f t="array" ref="G1015">_xlfn.IFS(F1015&lt;=8,"Child",F1015&lt;=17,"Teen",F1015&lt;=35,"Adult",F1015&lt;=55,"Seniour Adult",F1015&gt;=55,"Old Age")</f>
        <v>Adult</v>
      </c>
      <c r="H1015" t="s">
        <v>51</v>
      </c>
      <c r="I1015" t="s">
        <v>11</v>
      </c>
      <c r="J1015" t="str" cm="1">
        <f t="array" ref="J1015">_xlfn.IFS(I1015="S","Sauthamptonm",I1015="Q","Queentown",I1015="C","Cherburg",I1015="B","Cabin")</f>
        <v>Sauthamptonm</v>
      </c>
      <c r="K1015" t="s">
        <v>15</v>
      </c>
      <c r="L1015" s="2">
        <v>29</v>
      </c>
      <c r="M1015">
        <v>0</v>
      </c>
      <c r="N1015" t="s">
        <v>30</v>
      </c>
      <c r="O1015" t="s">
        <v>13</v>
      </c>
    </row>
    <row r="1016" spans="1:15" x14ac:dyDescent="0.3">
      <c r="A1016" s="1" t="s">
        <v>1950</v>
      </c>
      <c r="B1016" t="s">
        <v>72</v>
      </c>
      <c r="C1016" t="s">
        <v>1951</v>
      </c>
      <c r="D1016" t="str">
        <f t="shared" si="15"/>
        <v>Male</v>
      </c>
      <c r="E1016" t="s">
        <v>9</v>
      </c>
      <c r="F1016" s="2">
        <v>28</v>
      </c>
      <c r="G1016" s="2" t="str" cm="1">
        <f t="array" ref="G1016">_xlfn.IFS(F1016&lt;=8,"Child",F1016&lt;=17,"Teen",F1016&lt;=35,"Adult",F1016&lt;=55,"Seniour Adult",F1016&gt;=55,"Old Age")</f>
        <v>Adult</v>
      </c>
      <c r="H1016" t="s">
        <v>51</v>
      </c>
      <c r="I1016" t="s">
        <v>11</v>
      </c>
      <c r="J1016" t="str" cm="1">
        <f t="array" ref="J1016">_xlfn.IFS(I1016="S","Sauthamptonm",I1016="Q","Queentown",I1016="C","Cherburg",I1016="B","Cabin")</f>
        <v>Sauthamptonm</v>
      </c>
      <c r="K1016" t="s">
        <v>15</v>
      </c>
      <c r="L1016" s="2">
        <v>29</v>
      </c>
      <c r="M1016">
        <v>0</v>
      </c>
      <c r="N1016" t="s">
        <v>30</v>
      </c>
      <c r="O1016" t="s">
        <v>13</v>
      </c>
    </row>
    <row r="1017" spans="1:15" x14ac:dyDescent="0.3">
      <c r="A1017" s="1" t="s">
        <v>1952</v>
      </c>
      <c r="B1017" t="s">
        <v>72</v>
      </c>
      <c r="C1017" t="s">
        <v>1953</v>
      </c>
      <c r="D1017" t="str">
        <f t="shared" si="15"/>
        <v>Male</v>
      </c>
      <c r="E1017" t="s">
        <v>9</v>
      </c>
      <c r="F1017" s="2">
        <v>27</v>
      </c>
      <c r="G1017" s="2" t="str" cm="1">
        <f t="array" ref="G1017">_xlfn.IFS(F1017&lt;=8,"Child",F1017&lt;=17,"Teen",F1017&lt;=35,"Adult",F1017&lt;=55,"Seniour Adult",F1017&gt;=55,"Old Age")</f>
        <v>Adult</v>
      </c>
      <c r="H1017" t="s">
        <v>67</v>
      </c>
      <c r="I1017" t="s">
        <v>11</v>
      </c>
      <c r="J1017" t="str" cm="1">
        <f t="array" ref="J1017">_xlfn.IFS(I1017="S","Sauthamptonm",I1017="Q","Queentown",I1017="C","Cherburg",I1017="B","Cabin")</f>
        <v>Sauthamptonm</v>
      </c>
      <c r="K1017" t="s">
        <v>15</v>
      </c>
      <c r="L1017" s="2">
        <v>29</v>
      </c>
      <c r="M1017">
        <v>0</v>
      </c>
      <c r="N1017" t="s">
        <v>30</v>
      </c>
      <c r="O1017" t="s">
        <v>13</v>
      </c>
    </row>
    <row r="1018" spans="1:15" x14ac:dyDescent="0.3">
      <c r="A1018" s="1" t="s">
        <v>1954</v>
      </c>
      <c r="B1018" t="s">
        <v>72</v>
      </c>
      <c r="C1018" t="s">
        <v>1955</v>
      </c>
      <c r="D1018" t="str">
        <f t="shared" si="15"/>
        <v>Male</v>
      </c>
      <c r="E1018" t="s">
        <v>9</v>
      </c>
      <c r="F1018" s="2">
        <v>33</v>
      </c>
      <c r="G1018" s="2" t="str" cm="1">
        <f t="array" ref="G1018">_xlfn.IFS(F1018&lt;=8,"Child",F1018&lt;=17,"Teen",F1018&lt;=35,"Adult",F1018&lt;=55,"Seniour Adult",F1018&gt;=55,"Old Age")</f>
        <v>Adult</v>
      </c>
      <c r="H1018" t="s">
        <v>51</v>
      </c>
      <c r="I1018" t="s">
        <v>11</v>
      </c>
      <c r="J1018" t="str" cm="1">
        <f t="array" ref="J1018">_xlfn.IFS(I1018="S","Sauthamptonm",I1018="Q","Queentown",I1018="C","Cherburg",I1018="B","Cabin")</f>
        <v>Sauthamptonm</v>
      </c>
      <c r="K1018" t="s">
        <v>15</v>
      </c>
      <c r="L1018" s="2">
        <v>29</v>
      </c>
      <c r="M1018">
        <v>0</v>
      </c>
      <c r="N1018" t="s">
        <v>30</v>
      </c>
      <c r="O1018" t="s">
        <v>13</v>
      </c>
    </row>
    <row r="1019" spans="1:15" x14ac:dyDescent="0.3">
      <c r="A1019" s="1" t="s">
        <v>1956</v>
      </c>
      <c r="B1019" t="s">
        <v>72</v>
      </c>
      <c r="C1019" t="s">
        <v>1957</v>
      </c>
      <c r="D1019" t="str">
        <f t="shared" si="15"/>
        <v>Male</v>
      </c>
      <c r="E1019" t="s">
        <v>9</v>
      </c>
      <c r="F1019" s="2">
        <v>19</v>
      </c>
      <c r="G1019" s="2" t="str" cm="1">
        <f t="array" ref="G1019">_xlfn.IFS(F1019&lt;=8,"Child",F1019&lt;=17,"Teen",F1019&lt;=35,"Adult",F1019&lt;=55,"Seniour Adult",F1019&gt;=55,"Old Age")</f>
        <v>Adult</v>
      </c>
      <c r="H1019" t="s">
        <v>68</v>
      </c>
      <c r="I1019" t="s">
        <v>11</v>
      </c>
      <c r="J1019" t="str" cm="1">
        <f t="array" ref="J1019">_xlfn.IFS(I1019="S","Sauthamptonm",I1019="Q","Queentown",I1019="C","Cherburg",I1019="B","Cabin")</f>
        <v>Sauthamptonm</v>
      </c>
      <c r="K1019" t="s">
        <v>15</v>
      </c>
      <c r="L1019" s="2">
        <v>29</v>
      </c>
      <c r="M1019">
        <v>0</v>
      </c>
      <c r="N1019" t="s">
        <v>30</v>
      </c>
      <c r="O1019" t="s">
        <v>13</v>
      </c>
    </row>
    <row r="1020" spans="1:15" x14ac:dyDescent="0.3">
      <c r="A1020" s="1" t="s">
        <v>1958</v>
      </c>
      <c r="B1020" t="s">
        <v>72</v>
      </c>
      <c r="C1020" t="s">
        <v>1226</v>
      </c>
      <c r="D1020" t="str">
        <f t="shared" si="15"/>
        <v>Male</v>
      </c>
      <c r="E1020" t="s">
        <v>9</v>
      </c>
      <c r="F1020" s="2">
        <v>36</v>
      </c>
      <c r="G1020" s="2" t="str" cm="1">
        <f t="array" ref="G1020">_xlfn.IFS(F1020&lt;=8,"Child",F1020&lt;=17,"Teen",F1020&lt;=35,"Adult",F1020&lt;=55,"Seniour Adult",F1020&gt;=55,"Old Age")</f>
        <v>Seniour Adult</v>
      </c>
      <c r="H1020" t="s">
        <v>51</v>
      </c>
      <c r="I1020" t="s">
        <v>11</v>
      </c>
      <c r="J1020" t="str" cm="1">
        <f t="array" ref="J1020">_xlfn.IFS(I1020="S","Sauthamptonm",I1020="Q","Queentown",I1020="C","Cherburg",I1020="B","Cabin")</f>
        <v>Sauthamptonm</v>
      </c>
      <c r="K1020" t="s">
        <v>15</v>
      </c>
      <c r="L1020" s="2">
        <v>29</v>
      </c>
      <c r="M1020">
        <v>0</v>
      </c>
      <c r="N1020" t="s">
        <v>30</v>
      </c>
      <c r="O1020" t="s">
        <v>13</v>
      </c>
    </row>
    <row r="1021" spans="1:15" x14ac:dyDescent="0.3">
      <c r="A1021" s="1" t="s">
        <v>1959</v>
      </c>
      <c r="B1021" t="s">
        <v>72</v>
      </c>
      <c r="C1021" t="s">
        <v>561</v>
      </c>
      <c r="D1021" t="str">
        <f t="shared" si="15"/>
        <v>Male</v>
      </c>
      <c r="E1021" t="s">
        <v>9</v>
      </c>
      <c r="F1021" s="2">
        <v>28</v>
      </c>
      <c r="G1021" s="2" t="str" cm="1">
        <f t="array" ref="G1021">_xlfn.IFS(F1021&lt;=8,"Child",F1021&lt;=17,"Teen",F1021&lt;=35,"Adult",F1021&lt;=55,"Seniour Adult",F1021&gt;=55,"Old Age")</f>
        <v>Adult</v>
      </c>
      <c r="H1021" t="s">
        <v>69</v>
      </c>
      <c r="I1021" t="s">
        <v>11</v>
      </c>
      <c r="J1021" t="str" cm="1">
        <f t="array" ref="J1021">_xlfn.IFS(I1021="S","Sauthamptonm",I1021="Q","Queentown",I1021="C","Cherburg",I1021="B","Cabin")</f>
        <v>Sauthamptonm</v>
      </c>
      <c r="K1021" t="s">
        <v>15</v>
      </c>
      <c r="L1021" s="2">
        <v>29</v>
      </c>
      <c r="M1021">
        <v>0</v>
      </c>
      <c r="N1021" t="s">
        <v>30</v>
      </c>
      <c r="O1021" t="s">
        <v>13</v>
      </c>
    </row>
    <row r="1022" spans="1:15" x14ac:dyDescent="0.3">
      <c r="A1022" s="1" t="s">
        <v>1960</v>
      </c>
      <c r="B1022" t="s">
        <v>72</v>
      </c>
      <c r="C1022" t="s">
        <v>1961</v>
      </c>
      <c r="D1022" t="str">
        <f t="shared" si="15"/>
        <v>Male</v>
      </c>
      <c r="E1022" t="s">
        <v>9</v>
      </c>
      <c r="F1022" s="2">
        <v>30</v>
      </c>
      <c r="G1022" s="2" t="str" cm="1">
        <f t="array" ref="G1022">_xlfn.IFS(F1022&lt;=8,"Child",F1022&lt;=17,"Teen",F1022&lt;=35,"Adult",F1022&lt;=55,"Seniour Adult",F1022&gt;=55,"Old Age")</f>
        <v>Adult</v>
      </c>
      <c r="H1022" t="s">
        <v>51</v>
      </c>
      <c r="I1022" t="s">
        <v>11</v>
      </c>
      <c r="J1022" t="str" cm="1">
        <f t="array" ref="J1022">_xlfn.IFS(I1022="S","Sauthamptonm",I1022="Q","Queentown",I1022="C","Cherburg",I1022="B","Cabin")</f>
        <v>Sauthamptonm</v>
      </c>
      <c r="K1022" t="s">
        <v>15</v>
      </c>
      <c r="L1022" s="2">
        <v>29</v>
      </c>
      <c r="M1022">
        <v>0</v>
      </c>
      <c r="N1022" t="s">
        <v>30</v>
      </c>
      <c r="O1022" t="s">
        <v>16</v>
      </c>
    </row>
    <row r="1023" spans="1:15" x14ac:dyDescent="0.3">
      <c r="A1023" s="1" t="s">
        <v>1962</v>
      </c>
      <c r="B1023" t="s">
        <v>72</v>
      </c>
      <c r="C1023" t="s">
        <v>1963</v>
      </c>
      <c r="D1023" t="str">
        <f t="shared" si="15"/>
        <v>Male</v>
      </c>
      <c r="E1023" t="s">
        <v>9</v>
      </c>
      <c r="F1023" s="2">
        <v>28</v>
      </c>
      <c r="G1023" s="2" t="str" cm="1">
        <f t="array" ref="G1023">_xlfn.IFS(F1023&lt;=8,"Child",F1023&lt;=17,"Teen",F1023&lt;=35,"Adult",F1023&lt;=55,"Seniour Adult",F1023&gt;=55,"Old Age")</f>
        <v>Adult</v>
      </c>
      <c r="H1023" t="s">
        <v>68</v>
      </c>
      <c r="I1023" t="s">
        <v>11</v>
      </c>
      <c r="J1023" t="str" cm="1">
        <f t="array" ref="J1023">_xlfn.IFS(I1023="S","Sauthamptonm",I1023="Q","Queentown",I1023="C","Cherburg",I1023="B","Cabin")</f>
        <v>Sauthamptonm</v>
      </c>
      <c r="K1023" t="s">
        <v>20</v>
      </c>
      <c r="L1023" s="2">
        <v>29</v>
      </c>
      <c r="M1023">
        <v>0</v>
      </c>
      <c r="N1023" t="s">
        <v>30</v>
      </c>
      <c r="O1023" t="s">
        <v>13</v>
      </c>
    </row>
    <row r="1024" spans="1:15" x14ac:dyDescent="0.3">
      <c r="A1024" s="1" t="s">
        <v>1964</v>
      </c>
      <c r="B1024" t="s">
        <v>72</v>
      </c>
      <c r="C1024" t="s">
        <v>1965</v>
      </c>
      <c r="D1024" t="str">
        <f t="shared" si="15"/>
        <v>Male</v>
      </c>
      <c r="E1024" t="s">
        <v>9</v>
      </c>
      <c r="F1024" s="2">
        <v>30</v>
      </c>
      <c r="G1024" s="2" t="str" cm="1">
        <f t="array" ref="G1024">_xlfn.IFS(F1024&lt;=8,"Child",F1024&lt;=17,"Teen",F1024&lt;=35,"Adult",F1024&lt;=55,"Seniour Adult",F1024&gt;=55,"Old Age")</f>
        <v>Adult</v>
      </c>
      <c r="H1024" t="s">
        <v>67</v>
      </c>
      <c r="I1024" t="s">
        <v>11</v>
      </c>
      <c r="J1024" t="str" cm="1">
        <f t="array" ref="J1024">_xlfn.IFS(I1024="S","Sauthamptonm",I1024="Q","Queentown",I1024="C","Cherburg",I1024="B","Cabin")</f>
        <v>Sauthamptonm</v>
      </c>
      <c r="K1024" t="s">
        <v>15</v>
      </c>
      <c r="L1024" s="2">
        <v>29</v>
      </c>
      <c r="M1024">
        <v>0</v>
      </c>
      <c r="N1024" t="s">
        <v>30</v>
      </c>
      <c r="O1024" t="s">
        <v>13</v>
      </c>
    </row>
    <row r="1025" spans="1:15" x14ac:dyDescent="0.3">
      <c r="A1025" s="1" t="s">
        <v>1966</v>
      </c>
      <c r="B1025" t="s">
        <v>72</v>
      </c>
      <c r="C1025" t="s">
        <v>1967</v>
      </c>
      <c r="D1025" t="str">
        <f t="shared" si="15"/>
        <v>Male</v>
      </c>
      <c r="E1025" t="s">
        <v>9</v>
      </c>
      <c r="F1025" s="2">
        <v>27</v>
      </c>
      <c r="G1025" s="2" t="str" cm="1">
        <f t="array" ref="G1025">_xlfn.IFS(F1025&lt;=8,"Child",F1025&lt;=17,"Teen",F1025&lt;=35,"Adult",F1025&lt;=55,"Seniour Adult",F1025&gt;=55,"Old Age")</f>
        <v>Adult</v>
      </c>
      <c r="H1025" t="s">
        <v>51</v>
      </c>
      <c r="I1025" t="s">
        <v>28</v>
      </c>
      <c r="J1025" t="str" cm="1">
        <f t="array" ref="J1025">_xlfn.IFS(I1025="S","Sauthamptonm",I1025="Q","Queentown",I1025="C","Cherburg",I1025="B","Cabin")</f>
        <v>Cabin</v>
      </c>
      <c r="K1025" t="s">
        <v>15</v>
      </c>
      <c r="L1025" s="2">
        <v>29</v>
      </c>
      <c r="M1025">
        <v>0</v>
      </c>
      <c r="N1025" t="s">
        <v>30</v>
      </c>
      <c r="O1025" t="s">
        <v>13</v>
      </c>
    </row>
    <row r="1026" spans="1:15" x14ac:dyDescent="0.3">
      <c r="A1026" s="1" t="s">
        <v>1968</v>
      </c>
      <c r="B1026" t="s">
        <v>72</v>
      </c>
      <c r="C1026" t="s">
        <v>211</v>
      </c>
      <c r="D1026" t="str">
        <f t="shared" ref="D1026:D1089" si="16">PROPER(E1026)</f>
        <v>Male</v>
      </c>
      <c r="E1026" t="s">
        <v>9</v>
      </c>
      <c r="F1026" s="2">
        <v>23</v>
      </c>
      <c r="G1026" s="2" t="str" cm="1">
        <f t="array" ref="G1026">_xlfn.IFS(F1026&lt;=8,"Child",F1026&lt;=17,"Teen",F1026&lt;=35,"Adult",F1026&lt;=55,"Seniour Adult",F1026&gt;=55,"Old Age")</f>
        <v>Adult</v>
      </c>
      <c r="H1026" t="s">
        <v>51</v>
      </c>
      <c r="I1026" t="s">
        <v>11</v>
      </c>
      <c r="J1026" t="str" cm="1">
        <f t="array" ref="J1026">_xlfn.IFS(I1026="S","Sauthamptonm",I1026="Q","Queentown",I1026="C","Cherburg",I1026="B","Cabin")</f>
        <v>Sauthamptonm</v>
      </c>
      <c r="K1026" t="s">
        <v>15</v>
      </c>
      <c r="L1026" s="2">
        <v>29</v>
      </c>
      <c r="M1026">
        <v>0</v>
      </c>
      <c r="N1026" t="s">
        <v>30</v>
      </c>
      <c r="O1026" t="s">
        <v>13</v>
      </c>
    </row>
    <row r="1027" spans="1:15" x14ac:dyDescent="0.3">
      <c r="A1027" s="1" t="s">
        <v>1969</v>
      </c>
      <c r="B1027" t="s">
        <v>72</v>
      </c>
      <c r="C1027" t="s">
        <v>1970</v>
      </c>
      <c r="D1027" t="str">
        <f t="shared" si="16"/>
        <v>Male</v>
      </c>
      <c r="E1027" t="s">
        <v>9</v>
      </c>
      <c r="F1027" s="2">
        <v>20</v>
      </c>
      <c r="G1027" s="2" t="str" cm="1">
        <f t="array" ref="G1027">_xlfn.IFS(F1027&lt;=8,"Child",F1027&lt;=17,"Teen",F1027&lt;=35,"Adult",F1027&lt;=55,"Seniour Adult",F1027&gt;=55,"Old Age")</f>
        <v>Adult</v>
      </c>
      <c r="H1027" t="s">
        <v>67</v>
      </c>
      <c r="I1027" t="s">
        <v>11</v>
      </c>
      <c r="J1027" t="str" cm="1">
        <f t="array" ref="J1027">_xlfn.IFS(I1027="S","Sauthamptonm",I1027="Q","Queentown",I1027="C","Cherburg",I1027="B","Cabin")</f>
        <v>Sauthamptonm</v>
      </c>
      <c r="K1027" t="s">
        <v>15</v>
      </c>
      <c r="L1027" s="2">
        <v>29</v>
      </c>
      <c r="M1027">
        <v>0</v>
      </c>
      <c r="N1027" t="s">
        <v>30</v>
      </c>
      <c r="O1027" t="s">
        <v>16</v>
      </c>
    </row>
    <row r="1028" spans="1:15" x14ac:dyDescent="0.3">
      <c r="A1028" s="1" t="s">
        <v>1971</v>
      </c>
      <c r="B1028" t="s">
        <v>72</v>
      </c>
      <c r="C1028" t="s">
        <v>1972</v>
      </c>
      <c r="D1028" t="str">
        <f t="shared" si="16"/>
        <v>Male</v>
      </c>
      <c r="E1028" t="s">
        <v>9</v>
      </c>
      <c r="F1028" s="2">
        <v>43</v>
      </c>
      <c r="G1028" s="2" t="str" cm="1">
        <f t="array" ref="G1028">_xlfn.IFS(F1028&lt;=8,"Child",F1028&lt;=17,"Teen",F1028&lt;=35,"Adult",F1028&lt;=55,"Seniour Adult",F1028&gt;=55,"Old Age")</f>
        <v>Seniour Adult</v>
      </c>
      <c r="H1028" t="s">
        <v>67</v>
      </c>
      <c r="I1028" t="s">
        <v>28</v>
      </c>
      <c r="J1028" t="str" cm="1">
        <f t="array" ref="J1028">_xlfn.IFS(I1028="S","Sauthamptonm",I1028="Q","Queentown",I1028="C","Cherburg",I1028="B","Cabin")</f>
        <v>Cabin</v>
      </c>
      <c r="K1028" t="s">
        <v>15</v>
      </c>
      <c r="L1028" s="2">
        <v>29</v>
      </c>
      <c r="M1028">
        <v>0</v>
      </c>
      <c r="N1028" t="s">
        <v>30</v>
      </c>
      <c r="O1028" t="s">
        <v>16</v>
      </c>
    </row>
    <row r="1029" spans="1:15" x14ac:dyDescent="0.3">
      <c r="A1029" s="1" t="s">
        <v>1973</v>
      </c>
      <c r="B1029" t="s">
        <v>72</v>
      </c>
      <c r="C1029" t="s">
        <v>1974</v>
      </c>
      <c r="D1029" t="str">
        <f t="shared" si="16"/>
        <v>Male</v>
      </c>
      <c r="E1029" t="s">
        <v>9</v>
      </c>
      <c r="F1029" s="2">
        <v>45</v>
      </c>
      <c r="G1029" s="2" t="str" cm="1">
        <f t="array" ref="G1029">_xlfn.IFS(F1029&lt;=8,"Child",F1029&lt;=17,"Teen",F1029&lt;=35,"Adult",F1029&lt;=55,"Seniour Adult",F1029&gt;=55,"Old Age")</f>
        <v>Seniour Adult</v>
      </c>
      <c r="H1029" t="s">
        <v>51</v>
      </c>
      <c r="I1029" t="s">
        <v>28</v>
      </c>
      <c r="J1029" t="str" cm="1">
        <f t="array" ref="J1029">_xlfn.IFS(I1029="S","Sauthamptonm",I1029="Q","Queentown",I1029="C","Cherburg",I1029="B","Cabin")</f>
        <v>Cabin</v>
      </c>
      <c r="K1029" t="s">
        <v>15</v>
      </c>
      <c r="L1029" s="2">
        <v>29</v>
      </c>
      <c r="M1029">
        <v>0</v>
      </c>
      <c r="N1029" t="s">
        <v>30</v>
      </c>
      <c r="O1029" t="s">
        <v>13</v>
      </c>
    </row>
    <row r="1030" spans="1:15" x14ac:dyDescent="0.3">
      <c r="A1030" s="1" t="s">
        <v>1975</v>
      </c>
      <c r="B1030" t="s">
        <v>72</v>
      </c>
      <c r="C1030" t="s">
        <v>598</v>
      </c>
      <c r="D1030" t="str">
        <f t="shared" si="16"/>
        <v>Male</v>
      </c>
      <c r="E1030" t="s">
        <v>9</v>
      </c>
      <c r="F1030" s="2">
        <v>21</v>
      </c>
      <c r="G1030" s="2" t="str" cm="1">
        <f t="array" ref="G1030">_xlfn.IFS(F1030&lt;=8,"Child",F1030&lt;=17,"Teen",F1030&lt;=35,"Adult",F1030&lt;=55,"Seniour Adult",F1030&gt;=55,"Old Age")</f>
        <v>Adult</v>
      </c>
      <c r="H1030" t="s">
        <v>51</v>
      </c>
      <c r="I1030" t="s">
        <v>11</v>
      </c>
      <c r="J1030" t="str" cm="1">
        <f t="array" ref="J1030">_xlfn.IFS(I1030="S","Sauthamptonm",I1030="Q","Queentown",I1030="C","Cherburg",I1030="B","Cabin")</f>
        <v>Sauthamptonm</v>
      </c>
      <c r="K1030" t="s">
        <v>15</v>
      </c>
      <c r="L1030" s="2">
        <v>29</v>
      </c>
      <c r="M1030">
        <v>0</v>
      </c>
      <c r="N1030" t="s">
        <v>30</v>
      </c>
      <c r="O1030" t="s">
        <v>16</v>
      </c>
    </row>
    <row r="1031" spans="1:15" x14ac:dyDescent="0.3">
      <c r="A1031" s="1" t="s">
        <v>1976</v>
      </c>
      <c r="B1031" t="s">
        <v>72</v>
      </c>
      <c r="C1031" t="s">
        <v>104</v>
      </c>
      <c r="D1031" t="str">
        <f t="shared" si="16"/>
        <v>Male</v>
      </c>
      <c r="E1031" t="s">
        <v>9</v>
      </c>
      <c r="F1031" s="2">
        <v>33</v>
      </c>
      <c r="G1031" s="2" t="str" cm="1">
        <f t="array" ref="G1031">_xlfn.IFS(F1031&lt;=8,"Child",F1031&lt;=17,"Teen",F1031&lt;=35,"Adult",F1031&lt;=55,"Seniour Adult",F1031&gt;=55,"Old Age")</f>
        <v>Adult</v>
      </c>
      <c r="H1031" t="s">
        <v>67</v>
      </c>
      <c r="I1031" t="s">
        <v>11</v>
      </c>
      <c r="J1031" t="str" cm="1">
        <f t="array" ref="J1031">_xlfn.IFS(I1031="S","Sauthamptonm",I1031="Q","Queentown",I1031="C","Cherburg",I1031="B","Cabin")</f>
        <v>Sauthamptonm</v>
      </c>
      <c r="K1031" t="s">
        <v>15</v>
      </c>
      <c r="L1031" s="2">
        <v>29</v>
      </c>
      <c r="M1031">
        <v>0</v>
      </c>
      <c r="N1031" t="s">
        <v>30</v>
      </c>
      <c r="O1031" t="s">
        <v>13</v>
      </c>
    </row>
    <row r="1032" spans="1:15" x14ac:dyDescent="0.3">
      <c r="A1032" s="1" t="s">
        <v>1977</v>
      </c>
      <c r="B1032" t="s">
        <v>72</v>
      </c>
      <c r="C1032" t="s">
        <v>1978</v>
      </c>
      <c r="D1032" t="str">
        <f t="shared" si="16"/>
        <v>Male</v>
      </c>
      <c r="E1032" t="s">
        <v>9</v>
      </c>
      <c r="F1032" s="2">
        <v>39</v>
      </c>
      <c r="G1032" s="2" t="str" cm="1">
        <f t="array" ref="G1032">_xlfn.IFS(F1032&lt;=8,"Child",F1032&lt;=17,"Teen",F1032&lt;=35,"Adult",F1032&lt;=55,"Seniour Adult",F1032&gt;=55,"Old Age")</f>
        <v>Seniour Adult</v>
      </c>
      <c r="H1032" t="s">
        <v>67</v>
      </c>
      <c r="I1032" t="s">
        <v>28</v>
      </c>
      <c r="J1032" t="str" cm="1">
        <f t="array" ref="J1032">_xlfn.IFS(I1032="S","Sauthamptonm",I1032="Q","Queentown",I1032="C","Cherburg",I1032="B","Cabin")</f>
        <v>Cabin</v>
      </c>
      <c r="K1032" t="s">
        <v>15</v>
      </c>
      <c r="L1032" s="2">
        <v>29</v>
      </c>
      <c r="M1032">
        <v>0</v>
      </c>
      <c r="N1032" t="s">
        <v>30</v>
      </c>
      <c r="O1032" t="s">
        <v>13</v>
      </c>
    </row>
    <row r="1033" spans="1:15" x14ac:dyDescent="0.3">
      <c r="A1033" s="1" t="s">
        <v>1979</v>
      </c>
      <c r="B1033" t="s">
        <v>72</v>
      </c>
      <c r="C1033" t="s">
        <v>1980</v>
      </c>
      <c r="D1033" t="str">
        <f t="shared" si="16"/>
        <v>Male</v>
      </c>
      <c r="E1033" t="s">
        <v>9</v>
      </c>
      <c r="F1033" s="2">
        <v>45</v>
      </c>
      <c r="G1033" s="2" t="str" cm="1">
        <f t="array" ref="G1033">_xlfn.IFS(F1033&lt;=8,"Child",F1033&lt;=17,"Teen",F1033&lt;=35,"Adult",F1033&lt;=55,"Seniour Adult",F1033&gt;=55,"Old Age")</f>
        <v>Seniour Adult</v>
      </c>
      <c r="H1033" t="s">
        <v>67</v>
      </c>
      <c r="I1033" t="s">
        <v>11</v>
      </c>
      <c r="J1033" t="str" cm="1">
        <f t="array" ref="J1033">_xlfn.IFS(I1033="S","Sauthamptonm",I1033="Q","Queentown",I1033="C","Cherburg",I1033="B","Cabin")</f>
        <v>Sauthamptonm</v>
      </c>
      <c r="K1033" t="s">
        <v>15</v>
      </c>
      <c r="L1033" s="2">
        <v>29</v>
      </c>
      <c r="M1033">
        <v>0</v>
      </c>
      <c r="N1033" t="s">
        <v>30</v>
      </c>
      <c r="O1033" t="s">
        <v>13</v>
      </c>
    </row>
    <row r="1034" spans="1:15" x14ac:dyDescent="0.3">
      <c r="A1034" s="1" t="s">
        <v>1981</v>
      </c>
      <c r="B1034" t="s">
        <v>72</v>
      </c>
      <c r="C1034" t="s">
        <v>296</v>
      </c>
      <c r="D1034" t="str">
        <f t="shared" si="16"/>
        <v>Male</v>
      </c>
      <c r="E1034" t="s">
        <v>9</v>
      </c>
      <c r="F1034" s="2">
        <v>44</v>
      </c>
      <c r="G1034" s="2" t="str" cm="1">
        <f t="array" ref="G1034">_xlfn.IFS(F1034&lt;=8,"Child",F1034&lt;=17,"Teen",F1034&lt;=35,"Adult",F1034&lt;=55,"Seniour Adult",F1034&gt;=55,"Old Age")</f>
        <v>Seniour Adult</v>
      </c>
      <c r="H1034" t="s">
        <v>51</v>
      </c>
      <c r="I1034" t="s">
        <v>11</v>
      </c>
      <c r="J1034" t="str" cm="1">
        <f t="array" ref="J1034">_xlfn.IFS(I1034="S","Sauthamptonm",I1034="Q","Queentown",I1034="C","Cherburg",I1034="B","Cabin")</f>
        <v>Sauthamptonm</v>
      </c>
      <c r="K1034" t="s">
        <v>15</v>
      </c>
      <c r="L1034" s="2">
        <v>29</v>
      </c>
      <c r="M1034">
        <v>0</v>
      </c>
      <c r="N1034" t="s">
        <v>30</v>
      </c>
      <c r="O1034" t="s">
        <v>13</v>
      </c>
    </row>
    <row r="1035" spans="1:15" x14ac:dyDescent="0.3">
      <c r="A1035" s="1" t="s">
        <v>1982</v>
      </c>
      <c r="B1035" t="s">
        <v>1766</v>
      </c>
      <c r="C1035" t="s">
        <v>605</v>
      </c>
      <c r="D1035" t="str">
        <f t="shared" si="16"/>
        <v>Male</v>
      </c>
      <c r="E1035" t="s">
        <v>9</v>
      </c>
      <c r="F1035" s="2">
        <v>17</v>
      </c>
      <c r="G1035" s="2" t="str" cm="1">
        <f t="array" ref="G1035">_xlfn.IFS(F1035&lt;=8,"Child",F1035&lt;=17,"Teen",F1035&lt;=35,"Adult",F1035&lt;=55,"Seniour Adult",F1035&gt;=55,"Old Age")</f>
        <v>Teen</v>
      </c>
      <c r="H1035" t="s">
        <v>68</v>
      </c>
      <c r="I1035" t="s">
        <v>11</v>
      </c>
      <c r="J1035" t="str" cm="1">
        <f t="array" ref="J1035">_xlfn.IFS(I1035="S","Sauthamptonm",I1035="Q","Queentown",I1035="C","Cherburg",I1035="B","Cabin")</f>
        <v>Sauthamptonm</v>
      </c>
      <c r="K1035" t="s">
        <v>15</v>
      </c>
      <c r="L1035" s="2">
        <v>29</v>
      </c>
      <c r="M1035">
        <v>0</v>
      </c>
      <c r="N1035" t="s">
        <v>30</v>
      </c>
      <c r="O1035" t="s">
        <v>13</v>
      </c>
    </row>
    <row r="1036" spans="1:15" x14ac:dyDescent="0.3">
      <c r="A1036" s="1" t="s">
        <v>1983</v>
      </c>
      <c r="B1036" t="s">
        <v>72</v>
      </c>
      <c r="C1036" t="s">
        <v>1594</v>
      </c>
      <c r="D1036" t="str">
        <f t="shared" si="16"/>
        <v>Male</v>
      </c>
      <c r="E1036" t="s">
        <v>9</v>
      </c>
      <c r="F1036" s="2">
        <v>30</v>
      </c>
      <c r="G1036" s="2" t="str" cm="1">
        <f t="array" ref="G1036">_xlfn.IFS(F1036&lt;=8,"Child",F1036&lt;=17,"Teen",F1036&lt;=35,"Adult",F1036&lt;=55,"Seniour Adult",F1036&gt;=55,"Old Age")</f>
        <v>Adult</v>
      </c>
      <c r="H1036" t="s">
        <v>67</v>
      </c>
      <c r="I1036" t="s">
        <v>11</v>
      </c>
      <c r="J1036" t="str" cm="1">
        <f t="array" ref="J1036">_xlfn.IFS(I1036="S","Sauthamptonm",I1036="Q","Queentown",I1036="C","Cherburg",I1036="B","Cabin")</f>
        <v>Sauthamptonm</v>
      </c>
      <c r="K1036" t="s">
        <v>15</v>
      </c>
      <c r="L1036" s="2">
        <v>29</v>
      </c>
      <c r="M1036">
        <v>0</v>
      </c>
      <c r="N1036" t="s">
        <v>30</v>
      </c>
      <c r="O1036" t="s">
        <v>16</v>
      </c>
    </row>
    <row r="1037" spans="1:15" x14ac:dyDescent="0.3">
      <c r="A1037" s="1" t="s">
        <v>1984</v>
      </c>
      <c r="B1037" t="s">
        <v>72</v>
      </c>
      <c r="C1037" t="s">
        <v>1985</v>
      </c>
      <c r="D1037" t="str">
        <f t="shared" si="16"/>
        <v>Male</v>
      </c>
      <c r="E1037" t="s">
        <v>9</v>
      </c>
      <c r="F1037" s="2">
        <v>35</v>
      </c>
      <c r="G1037" s="2" t="str" cm="1">
        <f t="array" ref="G1037">_xlfn.IFS(F1037&lt;=8,"Child",F1037&lt;=17,"Teen",F1037&lt;=35,"Adult",F1037&lt;=55,"Seniour Adult",F1037&gt;=55,"Old Age")</f>
        <v>Adult</v>
      </c>
      <c r="H1037" t="s">
        <v>67</v>
      </c>
      <c r="I1037" t="s">
        <v>28</v>
      </c>
      <c r="J1037" t="str" cm="1">
        <f t="array" ref="J1037">_xlfn.IFS(I1037="S","Sauthamptonm",I1037="Q","Queentown",I1037="C","Cherburg",I1037="B","Cabin")</f>
        <v>Cabin</v>
      </c>
      <c r="K1037" t="s">
        <v>15</v>
      </c>
      <c r="L1037" s="2">
        <v>29</v>
      </c>
      <c r="M1037">
        <v>0</v>
      </c>
      <c r="N1037" t="s">
        <v>30</v>
      </c>
      <c r="O1037" t="s">
        <v>13</v>
      </c>
    </row>
    <row r="1038" spans="1:15" x14ac:dyDescent="0.3">
      <c r="A1038" s="1" t="s">
        <v>1986</v>
      </c>
      <c r="B1038" t="s">
        <v>72</v>
      </c>
      <c r="C1038" t="s">
        <v>1987</v>
      </c>
      <c r="D1038" t="str">
        <f t="shared" si="16"/>
        <v>Male</v>
      </c>
      <c r="E1038" t="s">
        <v>9</v>
      </c>
      <c r="F1038" s="2">
        <v>49</v>
      </c>
      <c r="G1038" s="2" t="str" cm="1">
        <f t="array" ref="G1038">_xlfn.IFS(F1038&lt;=8,"Child",F1038&lt;=17,"Teen",F1038&lt;=35,"Adult",F1038&lt;=55,"Seniour Adult",F1038&gt;=55,"Old Age")</f>
        <v>Seniour Adult</v>
      </c>
      <c r="H1038" t="s">
        <v>67</v>
      </c>
      <c r="I1038" t="s">
        <v>28</v>
      </c>
      <c r="J1038" t="str" cm="1">
        <f t="array" ref="J1038">_xlfn.IFS(I1038="S","Sauthamptonm",I1038="Q","Queentown",I1038="C","Cherburg",I1038="B","Cabin")</f>
        <v>Cabin</v>
      </c>
      <c r="K1038" t="s">
        <v>15</v>
      </c>
      <c r="L1038" s="2">
        <v>29</v>
      </c>
      <c r="M1038">
        <v>0</v>
      </c>
      <c r="N1038" t="s">
        <v>30</v>
      </c>
      <c r="O1038" t="s">
        <v>16</v>
      </c>
    </row>
    <row r="1039" spans="1:15" x14ac:dyDescent="0.3">
      <c r="A1039" s="1" t="s">
        <v>1988</v>
      </c>
      <c r="B1039" t="s">
        <v>72</v>
      </c>
      <c r="C1039" t="s">
        <v>618</v>
      </c>
      <c r="D1039" t="str">
        <f t="shared" si="16"/>
        <v>Male</v>
      </c>
      <c r="E1039" t="s">
        <v>9</v>
      </c>
      <c r="F1039" s="2">
        <v>26</v>
      </c>
      <c r="G1039" s="2" t="str" cm="1">
        <f t="array" ref="G1039">_xlfn.IFS(F1039&lt;=8,"Child",F1039&lt;=17,"Teen",F1039&lt;=35,"Adult",F1039&lt;=55,"Seniour Adult",F1039&gt;=55,"Old Age")</f>
        <v>Adult</v>
      </c>
      <c r="H1039" t="s">
        <v>51</v>
      </c>
      <c r="I1039" t="s">
        <v>11</v>
      </c>
      <c r="J1039" t="str" cm="1">
        <f t="array" ref="J1039">_xlfn.IFS(I1039="S","Sauthamptonm",I1039="Q","Queentown",I1039="C","Cherburg",I1039="B","Cabin")</f>
        <v>Sauthamptonm</v>
      </c>
      <c r="K1039" t="s">
        <v>15</v>
      </c>
      <c r="L1039" s="2">
        <v>29</v>
      </c>
      <c r="M1039">
        <v>0</v>
      </c>
      <c r="N1039" t="s">
        <v>30</v>
      </c>
      <c r="O1039" t="s">
        <v>13</v>
      </c>
    </row>
    <row r="1040" spans="1:15" x14ac:dyDescent="0.3">
      <c r="A1040" s="1" t="s">
        <v>1989</v>
      </c>
      <c r="B1040" t="s">
        <v>72</v>
      </c>
      <c r="C1040" t="s">
        <v>1990</v>
      </c>
      <c r="D1040" t="str">
        <f t="shared" si="16"/>
        <v>Male</v>
      </c>
      <c r="E1040" t="s">
        <v>9</v>
      </c>
      <c r="F1040" s="2">
        <v>18</v>
      </c>
      <c r="G1040" s="2" t="str" cm="1">
        <f t="array" ref="G1040">_xlfn.IFS(F1040&lt;=8,"Child",F1040&lt;=17,"Teen",F1040&lt;=35,"Adult",F1040&lt;=55,"Seniour Adult",F1040&gt;=55,"Old Age")</f>
        <v>Adult</v>
      </c>
      <c r="H1040" t="s">
        <v>67</v>
      </c>
      <c r="I1040" t="s">
        <v>11</v>
      </c>
      <c r="J1040" t="str" cm="1">
        <f t="array" ref="J1040">_xlfn.IFS(I1040="S","Sauthamptonm",I1040="Q","Queentown",I1040="C","Cherburg",I1040="B","Cabin")</f>
        <v>Sauthamptonm</v>
      </c>
      <c r="K1040" t="s">
        <v>15</v>
      </c>
      <c r="L1040" s="2">
        <v>29</v>
      </c>
      <c r="M1040">
        <v>0</v>
      </c>
      <c r="N1040" t="s">
        <v>30</v>
      </c>
      <c r="O1040" t="s">
        <v>13</v>
      </c>
    </row>
    <row r="1041" spans="1:15" x14ac:dyDescent="0.3">
      <c r="A1041" s="1" t="s">
        <v>1991</v>
      </c>
      <c r="B1041" t="s">
        <v>72</v>
      </c>
      <c r="C1041" t="s">
        <v>347</v>
      </c>
      <c r="D1041" t="str">
        <f t="shared" si="16"/>
        <v>Male</v>
      </c>
      <c r="E1041" t="s">
        <v>9</v>
      </c>
      <c r="F1041" s="2">
        <v>23</v>
      </c>
      <c r="G1041" s="2" t="str" cm="1">
        <f t="array" ref="G1041">_xlfn.IFS(F1041&lt;=8,"Child",F1041&lt;=17,"Teen",F1041&lt;=35,"Adult",F1041&lt;=55,"Seniour Adult",F1041&gt;=55,"Old Age")</f>
        <v>Adult</v>
      </c>
      <c r="H1041" t="s">
        <v>51</v>
      </c>
      <c r="I1041" t="s">
        <v>11</v>
      </c>
      <c r="J1041" t="str" cm="1">
        <f t="array" ref="J1041">_xlfn.IFS(I1041="S","Sauthamptonm",I1041="Q","Queentown",I1041="C","Cherburg",I1041="B","Cabin")</f>
        <v>Sauthamptonm</v>
      </c>
      <c r="K1041" t="s">
        <v>15</v>
      </c>
      <c r="L1041" s="2">
        <v>29</v>
      </c>
      <c r="M1041">
        <v>0</v>
      </c>
      <c r="N1041" t="s">
        <v>30</v>
      </c>
      <c r="O1041" t="s">
        <v>13</v>
      </c>
    </row>
    <row r="1042" spans="1:15" x14ac:dyDescent="0.3">
      <c r="A1042" s="1" t="s">
        <v>1992</v>
      </c>
      <c r="B1042" t="s">
        <v>72</v>
      </c>
      <c r="C1042" t="s">
        <v>1993</v>
      </c>
      <c r="D1042" t="str">
        <f t="shared" si="16"/>
        <v>Male</v>
      </c>
      <c r="E1042" t="s">
        <v>9</v>
      </c>
      <c r="F1042" s="2">
        <v>18</v>
      </c>
      <c r="G1042" s="2" t="str" cm="1">
        <f t="array" ref="G1042">_xlfn.IFS(F1042&lt;=8,"Child",F1042&lt;=17,"Teen",F1042&lt;=35,"Adult",F1042&lt;=55,"Seniour Adult",F1042&gt;=55,"Old Age")</f>
        <v>Adult</v>
      </c>
      <c r="H1042" t="s">
        <v>68</v>
      </c>
      <c r="I1042" t="s">
        <v>11</v>
      </c>
      <c r="J1042" t="str" cm="1">
        <f t="array" ref="J1042">_xlfn.IFS(I1042="S","Sauthamptonm",I1042="Q","Queentown",I1042="C","Cherburg",I1042="B","Cabin")</f>
        <v>Sauthamptonm</v>
      </c>
      <c r="K1042" t="s">
        <v>15</v>
      </c>
      <c r="L1042" s="2">
        <v>29</v>
      </c>
      <c r="M1042">
        <v>0</v>
      </c>
      <c r="N1042" t="s">
        <v>30</v>
      </c>
      <c r="O1042" t="s">
        <v>13</v>
      </c>
    </row>
    <row r="1043" spans="1:15" x14ac:dyDescent="0.3">
      <c r="A1043" s="1" t="s">
        <v>1994</v>
      </c>
      <c r="B1043" t="s">
        <v>72</v>
      </c>
      <c r="C1043" t="s">
        <v>1995</v>
      </c>
      <c r="D1043" t="str">
        <f t="shared" si="16"/>
        <v>Male</v>
      </c>
      <c r="E1043" t="s">
        <v>9</v>
      </c>
      <c r="F1043" s="2">
        <v>35</v>
      </c>
      <c r="G1043" s="2" t="str" cm="1">
        <f t="array" ref="G1043">_xlfn.IFS(F1043&lt;=8,"Child",F1043&lt;=17,"Teen",F1043&lt;=35,"Adult",F1043&lt;=55,"Seniour Adult",F1043&gt;=55,"Old Age")</f>
        <v>Adult</v>
      </c>
      <c r="H1043" t="s">
        <v>67</v>
      </c>
      <c r="I1043" t="s">
        <v>28</v>
      </c>
      <c r="J1043" t="str" cm="1">
        <f t="array" ref="J1043">_xlfn.IFS(I1043="S","Sauthamptonm",I1043="Q","Queentown",I1043="C","Cherburg",I1043="B","Cabin")</f>
        <v>Cabin</v>
      </c>
      <c r="K1043" t="s">
        <v>15</v>
      </c>
      <c r="L1043" s="2">
        <v>29</v>
      </c>
      <c r="M1043">
        <v>0</v>
      </c>
      <c r="N1043" t="s">
        <v>30</v>
      </c>
      <c r="O1043" t="s">
        <v>13</v>
      </c>
    </row>
    <row r="1044" spans="1:15" x14ac:dyDescent="0.3">
      <c r="A1044" s="1" t="s">
        <v>1996</v>
      </c>
      <c r="B1044" t="s">
        <v>1766</v>
      </c>
      <c r="C1044" t="s">
        <v>1997</v>
      </c>
      <c r="D1044" t="str">
        <f t="shared" si="16"/>
        <v>Male</v>
      </c>
      <c r="E1044" t="s">
        <v>9</v>
      </c>
      <c r="F1044" s="2">
        <v>20</v>
      </c>
      <c r="G1044" s="2" t="str" cm="1">
        <f t="array" ref="G1044">_xlfn.IFS(F1044&lt;=8,"Child",F1044&lt;=17,"Teen",F1044&lt;=35,"Adult",F1044&lt;=55,"Seniour Adult",F1044&gt;=55,"Old Age")</f>
        <v>Adult</v>
      </c>
      <c r="H1044" t="s">
        <v>68</v>
      </c>
      <c r="I1044" t="s">
        <v>11</v>
      </c>
      <c r="J1044" t="str" cm="1">
        <f t="array" ref="J1044">_xlfn.IFS(I1044="S","Sauthamptonm",I1044="Q","Queentown",I1044="C","Cherburg",I1044="B","Cabin")</f>
        <v>Sauthamptonm</v>
      </c>
      <c r="K1044" t="s">
        <v>15</v>
      </c>
      <c r="L1044" s="2">
        <v>29</v>
      </c>
      <c r="M1044">
        <v>0</v>
      </c>
      <c r="N1044" t="s">
        <v>30</v>
      </c>
      <c r="O1044" t="s">
        <v>13</v>
      </c>
    </row>
    <row r="1045" spans="1:15" x14ac:dyDescent="0.3">
      <c r="A1045" s="1" t="s">
        <v>1998</v>
      </c>
      <c r="B1045" t="s">
        <v>72</v>
      </c>
      <c r="C1045" t="s">
        <v>1999</v>
      </c>
      <c r="D1045" t="str">
        <f t="shared" si="16"/>
        <v>Male</v>
      </c>
      <c r="E1045" t="s">
        <v>9</v>
      </c>
      <c r="F1045" s="2">
        <v>29</v>
      </c>
      <c r="G1045" s="2" t="str" cm="1">
        <f t="array" ref="G1045">_xlfn.IFS(F1045&lt;=8,"Child",F1045&lt;=17,"Teen",F1045&lt;=35,"Adult",F1045&lt;=55,"Seniour Adult",F1045&gt;=55,"Old Age")</f>
        <v>Adult</v>
      </c>
      <c r="H1045" t="s">
        <v>67</v>
      </c>
      <c r="I1045" t="s">
        <v>28</v>
      </c>
      <c r="J1045" t="str" cm="1">
        <f t="array" ref="J1045">_xlfn.IFS(I1045="S","Sauthamptonm",I1045="Q","Queentown",I1045="C","Cherburg",I1045="B","Cabin")</f>
        <v>Cabin</v>
      </c>
      <c r="K1045" t="s">
        <v>15</v>
      </c>
      <c r="L1045" s="2">
        <v>29</v>
      </c>
      <c r="M1045">
        <v>0</v>
      </c>
      <c r="N1045" t="s">
        <v>30</v>
      </c>
      <c r="O1045" t="s">
        <v>13</v>
      </c>
    </row>
    <row r="1046" spans="1:15" x14ac:dyDescent="0.3">
      <c r="A1046" s="1" t="s">
        <v>2000</v>
      </c>
      <c r="B1046" t="s">
        <v>72</v>
      </c>
      <c r="C1046" t="s">
        <v>2001</v>
      </c>
      <c r="D1046" t="str">
        <f t="shared" si="16"/>
        <v>Male</v>
      </c>
      <c r="E1046" t="s">
        <v>9</v>
      </c>
      <c r="F1046" s="2">
        <v>38</v>
      </c>
      <c r="G1046" s="2" t="str" cm="1">
        <f t="array" ref="G1046">_xlfn.IFS(F1046&lt;=8,"Child",F1046&lt;=17,"Teen",F1046&lt;=35,"Adult",F1046&lt;=55,"Seniour Adult",F1046&gt;=55,"Old Age")</f>
        <v>Seniour Adult</v>
      </c>
      <c r="H1046" t="s">
        <v>67</v>
      </c>
      <c r="I1046" t="s">
        <v>11</v>
      </c>
      <c r="J1046" t="str" cm="1">
        <f t="array" ref="J1046">_xlfn.IFS(I1046="S","Sauthamptonm",I1046="Q","Queentown",I1046="C","Cherburg",I1046="B","Cabin")</f>
        <v>Sauthamptonm</v>
      </c>
      <c r="K1046" t="s">
        <v>15</v>
      </c>
      <c r="L1046" s="2">
        <v>29</v>
      </c>
      <c r="M1046">
        <v>0</v>
      </c>
      <c r="N1046" t="s">
        <v>30</v>
      </c>
      <c r="O1046" t="s">
        <v>13</v>
      </c>
    </row>
    <row r="1047" spans="1:15" x14ac:dyDescent="0.3">
      <c r="A1047" s="1" t="s">
        <v>2002</v>
      </c>
      <c r="B1047" t="s">
        <v>72</v>
      </c>
      <c r="C1047" t="s">
        <v>2003</v>
      </c>
      <c r="D1047" t="str">
        <f t="shared" si="16"/>
        <v>Male</v>
      </c>
      <c r="E1047" t="s">
        <v>9</v>
      </c>
      <c r="F1047" s="2">
        <v>20</v>
      </c>
      <c r="G1047" s="2" t="str" cm="1">
        <f t="array" ref="G1047">_xlfn.IFS(F1047&lt;=8,"Child",F1047&lt;=17,"Teen",F1047&lt;=35,"Adult",F1047&lt;=55,"Seniour Adult",F1047&gt;=55,"Old Age")</f>
        <v>Adult</v>
      </c>
      <c r="H1047" t="s">
        <v>68</v>
      </c>
      <c r="I1047" t="s">
        <v>11</v>
      </c>
      <c r="J1047" t="str" cm="1">
        <f t="array" ref="J1047">_xlfn.IFS(I1047="S","Sauthamptonm",I1047="Q","Queentown",I1047="C","Cherburg",I1047="B","Cabin")</f>
        <v>Sauthamptonm</v>
      </c>
      <c r="K1047" t="s">
        <v>15</v>
      </c>
      <c r="L1047" s="2">
        <v>29</v>
      </c>
      <c r="M1047">
        <v>0</v>
      </c>
      <c r="N1047" t="s">
        <v>30</v>
      </c>
      <c r="O1047" t="s">
        <v>13</v>
      </c>
    </row>
    <row r="1048" spans="1:15" x14ac:dyDescent="0.3">
      <c r="A1048" s="1" t="s">
        <v>2004</v>
      </c>
      <c r="B1048" t="s">
        <v>72</v>
      </c>
      <c r="C1048" t="s">
        <v>916</v>
      </c>
      <c r="D1048" t="str">
        <f t="shared" si="16"/>
        <v>Male</v>
      </c>
      <c r="E1048" t="s">
        <v>9</v>
      </c>
      <c r="F1048" s="2">
        <v>27</v>
      </c>
      <c r="G1048" s="2" t="str" cm="1">
        <f t="array" ref="G1048">_xlfn.IFS(F1048&lt;=8,"Child",F1048&lt;=17,"Teen",F1048&lt;=35,"Adult",F1048&lt;=55,"Seniour Adult",F1048&gt;=55,"Old Age")</f>
        <v>Adult</v>
      </c>
      <c r="H1048" t="s">
        <v>51</v>
      </c>
      <c r="I1048" t="s">
        <v>11</v>
      </c>
      <c r="J1048" t="str" cm="1">
        <f t="array" ref="J1048">_xlfn.IFS(I1048="S","Sauthamptonm",I1048="Q","Queentown",I1048="C","Cherburg",I1048="B","Cabin")</f>
        <v>Sauthamptonm</v>
      </c>
      <c r="K1048" t="s">
        <v>15</v>
      </c>
      <c r="L1048" s="2">
        <v>29</v>
      </c>
      <c r="M1048">
        <v>0</v>
      </c>
      <c r="N1048" t="s">
        <v>30</v>
      </c>
      <c r="O1048" t="s">
        <v>16</v>
      </c>
    </row>
    <row r="1049" spans="1:15" x14ac:dyDescent="0.3">
      <c r="A1049" s="1" t="s">
        <v>2005</v>
      </c>
      <c r="B1049" t="s">
        <v>72</v>
      </c>
      <c r="C1049" t="s">
        <v>104</v>
      </c>
      <c r="D1049" t="str">
        <f t="shared" si="16"/>
        <v>Male</v>
      </c>
      <c r="E1049" t="s">
        <v>9</v>
      </c>
      <c r="F1049" s="2">
        <v>37</v>
      </c>
      <c r="G1049" s="2" t="str" cm="1">
        <f t="array" ref="G1049">_xlfn.IFS(F1049&lt;=8,"Child",F1049&lt;=17,"Teen",F1049&lt;=35,"Adult",F1049&lt;=55,"Seniour Adult",F1049&gt;=55,"Old Age")</f>
        <v>Seniour Adult</v>
      </c>
      <c r="H1049" t="s">
        <v>51</v>
      </c>
      <c r="I1049" t="s">
        <v>11</v>
      </c>
      <c r="J1049" t="str" cm="1">
        <f t="array" ref="J1049">_xlfn.IFS(I1049="S","Sauthamptonm",I1049="Q","Queentown",I1049="C","Cherburg",I1049="B","Cabin")</f>
        <v>Sauthamptonm</v>
      </c>
      <c r="K1049" t="s">
        <v>15</v>
      </c>
      <c r="L1049" s="2">
        <v>29</v>
      </c>
      <c r="M1049">
        <v>0</v>
      </c>
      <c r="N1049" t="s">
        <v>30</v>
      </c>
      <c r="O1049" t="s">
        <v>13</v>
      </c>
    </row>
    <row r="1050" spans="1:15" x14ac:dyDescent="0.3">
      <c r="A1050" s="1" t="s">
        <v>2006</v>
      </c>
      <c r="B1050" t="s">
        <v>72</v>
      </c>
      <c r="C1050" t="s">
        <v>90</v>
      </c>
      <c r="D1050" t="str">
        <f t="shared" si="16"/>
        <v>Male</v>
      </c>
      <c r="E1050" t="s">
        <v>9</v>
      </c>
      <c r="F1050" s="2">
        <v>30</v>
      </c>
      <c r="G1050" s="2" t="str" cm="1">
        <f t="array" ref="G1050">_xlfn.IFS(F1050&lt;=8,"Child",F1050&lt;=17,"Teen",F1050&lt;=35,"Adult",F1050&lt;=55,"Seniour Adult",F1050&gt;=55,"Old Age")</f>
        <v>Adult</v>
      </c>
      <c r="H1050" t="s">
        <v>51</v>
      </c>
      <c r="I1050" t="s">
        <v>11</v>
      </c>
      <c r="J1050" t="str" cm="1">
        <f t="array" ref="J1050">_xlfn.IFS(I1050="S","Sauthamptonm",I1050="Q","Queentown",I1050="C","Cherburg",I1050="B","Cabin")</f>
        <v>Sauthamptonm</v>
      </c>
      <c r="K1050" t="s">
        <v>15</v>
      </c>
      <c r="L1050" s="2">
        <v>29</v>
      </c>
      <c r="M1050">
        <v>0</v>
      </c>
      <c r="N1050" t="s">
        <v>30</v>
      </c>
      <c r="O1050" t="s">
        <v>16</v>
      </c>
    </row>
    <row r="1051" spans="1:15" x14ac:dyDescent="0.3">
      <c r="A1051" s="1" t="s">
        <v>2007</v>
      </c>
      <c r="B1051" t="s">
        <v>72</v>
      </c>
      <c r="C1051" t="s">
        <v>2008</v>
      </c>
      <c r="D1051" t="str">
        <f t="shared" si="16"/>
        <v>Male</v>
      </c>
      <c r="E1051" t="s">
        <v>9</v>
      </c>
      <c r="F1051" s="2">
        <v>34</v>
      </c>
      <c r="G1051" s="2" t="str" cm="1">
        <f t="array" ref="G1051">_xlfn.IFS(F1051&lt;=8,"Child",F1051&lt;=17,"Teen",F1051&lt;=35,"Adult",F1051&lt;=55,"Seniour Adult",F1051&gt;=55,"Old Age")</f>
        <v>Adult</v>
      </c>
      <c r="H1051" t="s">
        <v>51</v>
      </c>
      <c r="I1051" t="s">
        <v>11</v>
      </c>
      <c r="J1051" t="str" cm="1">
        <f t="array" ref="J1051">_xlfn.IFS(I1051="S","Sauthamptonm",I1051="Q","Queentown",I1051="C","Cherburg",I1051="B","Cabin")</f>
        <v>Sauthamptonm</v>
      </c>
      <c r="K1051" t="s">
        <v>15</v>
      </c>
      <c r="L1051" s="2">
        <v>29</v>
      </c>
      <c r="M1051">
        <v>0</v>
      </c>
      <c r="N1051" t="s">
        <v>30</v>
      </c>
      <c r="O1051" t="s">
        <v>16</v>
      </c>
    </row>
    <row r="1052" spans="1:15" x14ac:dyDescent="0.3">
      <c r="A1052" s="1" t="s">
        <v>2009</v>
      </c>
      <c r="B1052" t="s">
        <v>72</v>
      </c>
      <c r="C1052" t="s">
        <v>2010</v>
      </c>
      <c r="D1052" t="str">
        <f t="shared" si="16"/>
        <v>Male</v>
      </c>
      <c r="E1052" t="s">
        <v>9</v>
      </c>
      <c r="F1052" s="2">
        <v>49</v>
      </c>
      <c r="G1052" s="2" t="str" cm="1">
        <f t="array" ref="G1052">_xlfn.IFS(F1052&lt;=8,"Child",F1052&lt;=17,"Teen",F1052&lt;=35,"Adult",F1052&lt;=55,"Seniour Adult",F1052&gt;=55,"Old Age")</f>
        <v>Seniour Adult</v>
      </c>
      <c r="H1052" t="s">
        <v>67</v>
      </c>
      <c r="I1052" t="s">
        <v>11</v>
      </c>
      <c r="J1052" t="str" cm="1">
        <f t="array" ref="J1052">_xlfn.IFS(I1052="S","Sauthamptonm",I1052="Q","Queentown",I1052="C","Cherburg",I1052="B","Cabin")</f>
        <v>Sauthamptonm</v>
      </c>
      <c r="K1052" t="s">
        <v>15</v>
      </c>
      <c r="L1052" s="2">
        <v>29</v>
      </c>
      <c r="M1052">
        <v>0</v>
      </c>
      <c r="N1052" t="s">
        <v>30</v>
      </c>
      <c r="O1052" t="s">
        <v>13</v>
      </c>
    </row>
    <row r="1053" spans="1:15" x14ac:dyDescent="0.3">
      <c r="A1053" s="1" t="s">
        <v>2011</v>
      </c>
      <c r="B1053" t="s">
        <v>72</v>
      </c>
      <c r="C1053" t="s">
        <v>1831</v>
      </c>
      <c r="D1053" t="str">
        <f t="shared" si="16"/>
        <v>Male</v>
      </c>
      <c r="E1053" t="s">
        <v>9</v>
      </c>
      <c r="F1053" s="2">
        <v>39</v>
      </c>
      <c r="G1053" s="2" t="str" cm="1">
        <f t="array" ref="G1053">_xlfn.IFS(F1053&lt;=8,"Child",F1053&lt;=17,"Teen",F1053&lt;=35,"Adult",F1053&lt;=55,"Seniour Adult",F1053&gt;=55,"Old Age")</f>
        <v>Seniour Adult</v>
      </c>
      <c r="H1053" t="s">
        <v>51</v>
      </c>
      <c r="I1053" t="s">
        <v>28</v>
      </c>
      <c r="J1053" t="str" cm="1">
        <f t="array" ref="J1053">_xlfn.IFS(I1053="S","Sauthamptonm",I1053="Q","Queentown",I1053="C","Cherburg",I1053="B","Cabin")</f>
        <v>Cabin</v>
      </c>
      <c r="K1053" t="s">
        <v>15</v>
      </c>
      <c r="L1053" s="2">
        <v>29</v>
      </c>
      <c r="M1053">
        <v>0</v>
      </c>
      <c r="N1053" t="s">
        <v>30</v>
      </c>
      <c r="O1053" t="s">
        <v>13</v>
      </c>
    </row>
    <row r="1054" spans="1:15" x14ac:dyDescent="0.3">
      <c r="A1054" s="1" t="s">
        <v>2012</v>
      </c>
      <c r="B1054" t="s">
        <v>72</v>
      </c>
      <c r="C1054" t="s">
        <v>2013</v>
      </c>
      <c r="D1054" t="str">
        <f t="shared" si="16"/>
        <v>Male</v>
      </c>
      <c r="E1054" t="s">
        <v>9</v>
      </c>
      <c r="F1054" s="2">
        <v>27</v>
      </c>
      <c r="G1054" s="2" t="str" cm="1">
        <f t="array" ref="G1054">_xlfn.IFS(F1054&lt;=8,"Child",F1054&lt;=17,"Teen",F1054&lt;=35,"Adult",F1054&lt;=55,"Seniour Adult",F1054&gt;=55,"Old Age")</f>
        <v>Adult</v>
      </c>
      <c r="H1054" t="s">
        <v>51</v>
      </c>
      <c r="I1054" t="s">
        <v>11</v>
      </c>
      <c r="J1054" t="str" cm="1">
        <f t="array" ref="J1054">_xlfn.IFS(I1054="S","Sauthamptonm",I1054="Q","Queentown",I1054="C","Cherburg",I1054="B","Cabin")</f>
        <v>Sauthamptonm</v>
      </c>
      <c r="K1054" t="s">
        <v>70</v>
      </c>
      <c r="L1054" s="2">
        <v>29</v>
      </c>
      <c r="M1054">
        <v>0</v>
      </c>
      <c r="N1054" t="s">
        <v>30</v>
      </c>
      <c r="O1054" t="s">
        <v>13</v>
      </c>
    </row>
    <row r="1055" spans="1:15" x14ac:dyDescent="0.3">
      <c r="A1055" s="1" t="s">
        <v>2014</v>
      </c>
      <c r="B1055" t="s">
        <v>72</v>
      </c>
      <c r="C1055" t="s">
        <v>1442</v>
      </c>
      <c r="D1055" t="str">
        <f t="shared" si="16"/>
        <v>Male</v>
      </c>
      <c r="E1055" t="s">
        <v>9</v>
      </c>
      <c r="F1055" s="2">
        <v>22</v>
      </c>
      <c r="G1055" s="2" t="str" cm="1">
        <f t="array" ref="G1055">_xlfn.IFS(F1055&lt;=8,"Child",F1055&lt;=17,"Teen",F1055&lt;=35,"Adult",F1055&lt;=55,"Seniour Adult",F1055&gt;=55,"Old Age")</f>
        <v>Adult</v>
      </c>
      <c r="H1055" t="s">
        <v>51</v>
      </c>
      <c r="I1055" t="s">
        <v>11</v>
      </c>
      <c r="J1055" t="str" cm="1">
        <f t="array" ref="J1055">_xlfn.IFS(I1055="S","Sauthamptonm",I1055="Q","Queentown",I1055="C","Cherburg",I1055="B","Cabin")</f>
        <v>Sauthamptonm</v>
      </c>
      <c r="K1055" t="s">
        <v>15</v>
      </c>
      <c r="L1055" s="2">
        <v>29</v>
      </c>
      <c r="M1055">
        <v>0</v>
      </c>
      <c r="N1055" t="s">
        <v>30</v>
      </c>
      <c r="O1055" t="s">
        <v>16</v>
      </c>
    </row>
    <row r="1056" spans="1:15" x14ac:dyDescent="0.3">
      <c r="A1056" s="1" t="s">
        <v>2015</v>
      </c>
      <c r="B1056" t="s">
        <v>72</v>
      </c>
      <c r="C1056" t="s">
        <v>347</v>
      </c>
      <c r="D1056" t="str">
        <f t="shared" si="16"/>
        <v>Male</v>
      </c>
      <c r="E1056" t="s">
        <v>9</v>
      </c>
      <c r="F1056" s="2">
        <v>39</v>
      </c>
      <c r="G1056" s="2" t="str" cm="1">
        <f t="array" ref="G1056">_xlfn.IFS(F1056&lt;=8,"Child",F1056&lt;=17,"Teen",F1056&lt;=35,"Adult",F1056&lt;=55,"Seniour Adult",F1056&gt;=55,"Old Age")</f>
        <v>Seniour Adult</v>
      </c>
      <c r="H1056" t="s">
        <v>67</v>
      </c>
      <c r="I1056" t="s">
        <v>28</v>
      </c>
      <c r="J1056" t="str" cm="1">
        <f t="array" ref="J1056">_xlfn.IFS(I1056="S","Sauthamptonm",I1056="Q","Queentown",I1056="C","Cherburg",I1056="B","Cabin")</f>
        <v>Cabin</v>
      </c>
      <c r="K1056" t="s">
        <v>15</v>
      </c>
      <c r="L1056" s="2">
        <v>29</v>
      </c>
      <c r="M1056">
        <v>0</v>
      </c>
      <c r="N1056" t="s">
        <v>30</v>
      </c>
      <c r="O1056" t="s">
        <v>13</v>
      </c>
    </row>
    <row r="1057" spans="1:15" x14ac:dyDescent="0.3">
      <c r="A1057" s="1" t="s">
        <v>2016</v>
      </c>
      <c r="B1057" t="s">
        <v>1766</v>
      </c>
      <c r="C1057" t="s">
        <v>2017</v>
      </c>
      <c r="D1057" t="str">
        <f t="shared" si="16"/>
        <v>Male</v>
      </c>
      <c r="E1057" t="s">
        <v>9</v>
      </c>
      <c r="F1057" s="2">
        <v>17</v>
      </c>
      <c r="G1057" s="2" t="str" cm="1">
        <f t="array" ref="G1057">_xlfn.IFS(F1057&lt;=8,"Child",F1057&lt;=17,"Teen",F1057&lt;=35,"Adult",F1057&lt;=55,"Seniour Adult",F1057&gt;=55,"Old Age")</f>
        <v>Teen</v>
      </c>
      <c r="H1057" t="s">
        <v>68</v>
      </c>
      <c r="I1057" t="s">
        <v>11</v>
      </c>
      <c r="J1057" t="str" cm="1">
        <f t="array" ref="J1057">_xlfn.IFS(I1057="S","Sauthamptonm",I1057="Q","Queentown",I1057="C","Cherburg",I1057="B","Cabin")</f>
        <v>Sauthamptonm</v>
      </c>
      <c r="K1057" t="s">
        <v>38</v>
      </c>
      <c r="L1057" s="2">
        <v>29</v>
      </c>
      <c r="M1057">
        <v>0</v>
      </c>
      <c r="N1057" t="s">
        <v>30</v>
      </c>
      <c r="O1057" t="s">
        <v>13</v>
      </c>
    </row>
    <row r="1058" spans="1:15" x14ac:dyDescent="0.3">
      <c r="A1058" s="1" t="s">
        <v>2018</v>
      </c>
      <c r="B1058" t="s">
        <v>72</v>
      </c>
      <c r="C1058" t="s">
        <v>2019</v>
      </c>
      <c r="D1058" t="str">
        <f t="shared" si="16"/>
        <v>Male</v>
      </c>
      <c r="E1058" t="s">
        <v>9</v>
      </c>
      <c r="F1058" s="2">
        <v>35</v>
      </c>
      <c r="G1058" s="2" t="str" cm="1">
        <f t="array" ref="G1058">_xlfn.IFS(F1058&lt;=8,"Child",F1058&lt;=17,"Teen",F1058&lt;=35,"Adult",F1058&lt;=55,"Seniour Adult",F1058&gt;=55,"Old Age")</f>
        <v>Adult</v>
      </c>
      <c r="H1058" t="s">
        <v>67</v>
      </c>
      <c r="I1058" t="s">
        <v>28</v>
      </c>
      <c r="J1058" t="str" cm="1">
        <f t="array" ref="J1058">_xlfn.IFS(I1058="S","Sauthamptonm",I1058="Q","Queentown",I1058="C","Cherburg",I1058="B","Cabin")</f>
        <v>Cabin</v>
      </c>
      <c r="K1058" t="s">
        <v>15</v>
      </c>
      <c r="L1058" s="2">
        <v>29</v>
      </c>
      <c r="M1058">
        <v>0</v>
      </c>
      <c r="N1058" t="s">
        <v>30</v>
      </c>
      <c r="O1058" t="s">
        <v>13</v>
      </c>
    </row>
    <row r="1059" spans="1:15" x14ac:dyDescent="0.3">
      <c r="A1059" s="1" t="s">
        <v>2020</v>
      </c>
      <c r="B1059" t="s">
        <v>72</v>
      </c>
      <c r="C1059" t="s">
        <v>2021</v>
      </c>
      <c r="D1059" t="str">
        <f t="shared" si="16"/>
        <v>Male</v>
      </c>
      <c r="E1059" t="s">
        <v>9</v>
      </c>
      <c r="F1059" s="2">
        <v>23</v>
      </c>
      <c r="G1059" s="2" t="str" cm="1">
        <f t="array" ref="G1059">_xlfn.IFS(F1059&lt;=8,"Child",F1059&lt;=17,"Teen",F1059&lt;=35,"Adult",F1059&lt;=55,"Seniour Adult",F1059&gt;=55,"Old Age")</f>
        <v>Adult</v>
      </c>
      <c r="H1059" t="s">
        <v>51</v>
      </c>
      <c r="I1059" t="s">
        <v>11</v>
      </c>
      <c r="J1059" t="str" cm="1">
        <f t="array" ref="J1059">_xlfn.IFS(I1059="S","Sauthamptonm",I1059="Q","Queentown",I1059="C","Cherburg",I1059="B","Cabin")</f>
        <v>Sauthamptonm</v>
      </c>
      <c r="K1059" t="s">
        <v>15</v>
      </c>
      <c r="L1059" s="2">
        <v>29</v>
      </c>
      <c r="M1059">
        <v>0</v>
      </c>
      <c r="N1059" t="s">
        <v>30</v>
      </c>
      <c r="O1059" t="s">
        <v>16</v>
      </c>
    </row>
    <row r="1060" spans="1:15" x14ac:dyDescent="0.3">
      <c r="A1060" s="1" t="s">
        <v>2022</v>
      </c>
      <c r="B1060" t="s">
        <v>72</v>
      </c>
      <c r="C1060" t="s">
        <v>2023</v>
      </c>
      <c r="D1060" t="str">
        <f t="shared" si="16"/>
        <v>Male</v>
      </c>
      <c r="E1060" t="s">
        <v>9</v>
      </c>
      <c r="F1060" s="2">
        <v>20</v>
      </c>
      <c r="G1060" s="2" t="str" cm="1">
        <f t="array" ref="G1060">_xlfn.IFS(F1060&lt;=8,"Child",F1060&lt;=17,"Teen",F1060&lt;=35,"Adult",F1060&lt;=55,"Seniour Adult",F1060&gt;=55,"Old Age")</f>
        <v>Adult</v>
      </c>
      <c r="H1060" t="s">
        <v>68</v>
      </c>
      <c r="I1060" t="s">
        <v>11</v>
      </c>
      <c r="J1060" t="str" cm="1">
        <f t="array" ref="J1060">_xlfn.IFS(I1060="S","Sauthamptonm",I1060="Q","Queentown",I1060="C","Cherburg",I1060="B","Cabin")</f>
        <v>Sauthamptonm</v>
      </c>
      <c r="K1060" t="s">
        <v>15</v>
      </c>
      <c r="L1060" s="2">
        <v>29</v>
      </c>
      <c r="M1060">
        <v>0</v>
      </c>
      <c r="N1060" t="s">
        <v>30</v>
      </c>
      <c r="O1060" t="s">
        <v>13</v>
      </c>
    </row>
    <row r="1061" spans="1:15" x14ac:dyDescent="0.3">
      <c r="A1061" s="1" t="s">
        <v>2024</v>
      </c>
      <c r="B1061" t="s">
        <v>72</v>
      </c>
      <c r="C1061" t="s">
        <v>1855</v>
      </c>
      <c r="D1061" t="str">
        <f t="shared" si="16"/>
        <v>Male</v>
      </c>
      <c r="E1061" t="s">
        <v>9</v>
      </c>
      <c r="F1061" s="2">
        <v>22</v>
      </c>
      <c r="G1061" s="2" t="str" cm="1">
        <f t="array" ref="G1061">_xlfn.IFS(F1061&lt;=8,"Child",F1061&lt;=17,"Teen",F1061&lt;=35,"Adult",F1061&lt;=55,"Seniour Adult",F1061&gt;=55,"Old Age")</f>
        <v>Adult</v>
      </c>
      <c r="H1061" t="s">
        <v>67</v>
      </c>
      <c r="I1061" t="s">
        <v>11</v>
      </c>
      <c r="J1061" t="str" cm="1">
        <f t="array" ref="J1061">_xlfn.IFS(I1061="S","Sauthamptonm",I1061="Q","Queentown",I1061="C","Cherburg",I1061="B","Cabin")</f>
        <v>Sauthamptonm</v>
      </c>
      <c r="K1061" t="s">
        <v>15</v>
      </c>
      <c r="L1061" s="2">
        <v>29</v>
      </c>
      <c r="M1061">
        <v>0</v>
      </c>
      <c r="N1061" t="s">
        <v>30</v>
      </c>
      <c r="O1061" t="s">
        <v>13</v>
      </c>
    </row>
    <row r="1062" spans="1:15" x14ac:dyDescent="0.3">
      <c r="A1062" s="1" t="s">
        <v>2025</v>
      </c>
      <c r="B1062" t="s">
        <v>72</v>
      </c>
      <c r="C1062" t="s">
        <v>2026</v>
      </c>
      <c r="D1062" t="str">
        <f t="shared" si="16"/>
        <v>Male</v>
      </c>
      <c r="E1062" t="s">
        <v>9</v>
      </c>
      <c r="F1062" s="2">
        <v>36</v>
      </c>
      <c r="G1062" s="2" t="str" cm="1">
        <f t="array" ref="G1062">_xlfn.IFS(F1062&lt;=8,"Child",F1062&lt;=17,"Teen",F1062&lt;=35,"Adult",F1062&lt;=55,"Seniour Adult",F1062&gt;=55,"Old Age")</f>
        <v>Seniour Adult</v>
      </c>
      <c r="H1062" t="s">
        <v>51</v>
      </c>
      <c r="I1062" t="s">
        <v>28</v>
      </c>
      <c r="J1062" t="str" cm="1">
        <f t="array" ref="J1062">_xlfn.IFS(I1062="S","Sauthamptonm",I1062="Q","Queentown",I1062="C","Cherburg",I1062="B","Cabin")</f>
        <v>Cabin</v>
      </c>
      <c r="K1062" t="s">
        <v>37</v>
      </c>
      <c r="L1062" s="2">
        <v>29</v>
      </c>
      <c r="M1062">
        <v>0</v>
      </c>
      <c r="N1062" t="s">
        <v>30</v>
      </c>
      <c r="O1062" t="s">
        <v>13</v>
      </c>
    </row>
    <row r="1063" spans="1:15" x14ac:dyDescent="0.3">
      <c r="A1063" s="1" t="s">
        <v>2027</v>
      </c>
      <c r="B1063" t="s">
        <v>72</v>
      </c>
      <c r="C1063" t="s">
        <v>104</v>
      </c>
      <c r="D1063" t="str">
        <f t="shared" si="16"/>
        <v>Male</v>
      </c>
      <c r="E1063" t="s">
        <v>9</v>
      </c>
      <c r="F1063" s="2">
        <v>48</v>
      </c>
      <c r="G1063" s="2" t="str" cm="1">
        <f t="array" ref="G1063">_xlfn.IFS(F1063&lt;=8,"Child",F1063&lt;=17,"Teen",F1063&lt;=35,"Adult",F1063&lt;=55,"Seniour Adult",F1063&gt;=55,"Old Age")</f>
        <v>Seniour Adult</v>
      </c>
      <c r="H1063" t="s">
        <v>67</v>
      </c>
      <c r="I1063" t="s">
        <v>11</v>
      </c>
      <c r="J1063" t="str" cm="1">
        <f t="array" ref="J1063">_xlfn.IFS(I1063="S","Sauthamptonm",I1063="Q","Queentown",I1063="C","Cherburg",I1063="B","Cabin")</f>
        <v>Sauthamptonm</v>
      </c>
      <c r="K1063" t="s">
        <v>15</v>
      </c>
      <c r="L1063" s="2">
        <v>29</v>
      </c>
      <c r="M1063">
        <v>0</v>
      </c>
      <c r="N1063" t="s">
        <v>30</v>
      </c>
      <c r="O1063" t="s">
        <v>13</v>
      </c>
    </row>
    <row r="1064" spans="1:15" x14ac:dyDescent="0.3">
      <c r="A1064" s="1" t="s">
        <v>2028</v>
      </c>
      <c r="B1064" t="s">
        <v>72</v>
      </c>
      <c r="C1064" t="s">
        <v>598</v>
      </c>
      <c r="D1064" t="str">
        <f t="shared" si="16"/>
        <v>Male</v>
      </c>
      <c r="E1064" t="s">
        <v>9</v>
      </c>
      <c r="F1064" s="2">
        <v>38</v>
      </c>
      <c r="G1064" s="2" t="str" cm="1">
        <f t="array" ref="G1064">_xlfn.IFS(F1064&lt;=8,"Child",F1064&lt;=17,"Teen",F1064&lt;=35,"Adult",F1064&lt;=55,"Seniour Adult",F1064&gt;=55,"Old Age")</f>
        <v>Seniour Adult</v>
      </c>
      <c r="H1064" t="s">
        <v>51</v>
      </c>
      <c r="I1064" t="s">
        <v>11</v>
      </c>
      <c r="J1064" t="str" cm="1">
        <f t="array" ref="J1064">_xlfn.IFS(I1064="S","Sauthamptonm",I1064="Q","Queentown",I1064="C","Cherburg",I1064="B","Cabin")</f>
        <v>Sauthamptonm</v>
      </c>
      <c r="K1064" t="s">
        <v>15</v>
      </c>
      <c r="L1064" s="2">
        <v>29</v>
      </c>
      <c r="M1064">
        <v>0</v>
      </c>
      <c r="N1064" t="s">
        <v>30</v>
      </c>
      <c r="O1064" t="s">
        <v>13</v>
      </c>
    </row>
    <row r="1065" spans="1:15" x14ac:dyDescent="0.3">
      <c r="A1065" s="1" t="s">
        <v>2029</v>
      </c>
      <c r="B1065" t="s">
        <v>72</v>
      </c>
      <c r="C1065" t="s">
        <v>2030</v>
      </c>
      <c r="D1065" t="str">
        <f t="shared" si="16"/>
        <v>Male</v>
      </c>
      <c r="E1065" t="s">
        <v>9</v>
      </c>
      <c r="F1065" s="2">
        <v>24</v>
      </c>
      <c r="G1065" s="2" t="str" cm="1">
        <f t="array" ref="G1065">_xlfn.IFS(F1065&lt;=8,"Child",F1065&lt;=17,"Teen",F1065&lt;=35,"Adult",F1065&lt;=55,"Seniour Adult",F1065&gt;=55,"Old Age")</f>
        <v>Adult</v>
      </c>
      <c r="H1065" t="s">
        <v>51</v>
      </c>
      <c r="I1065" t="s">
        <v>28</v>
      </c>
      <c r="J1065" t="str" cm="1">
        <f t="array" ref="J1065">_xlfn.IFS(I1065="S","Sauthamptonm",I1065="Q","Queentown",I1065="C","Cherburg",I1065="B","Cabin")</f>
        <v>Cabin</v>
      </c>
      <c r="K1065" t="s">
        <v>39</v>
      </c>
      <c r="L1065" s="2">
        <v>29</v>
      </c>
      <c r="M1065">
        <v>0</v>
      </c>
      <c r="N1065" t="s">
        <v>30</v>
      </c>
      <c r="O1065" t="s">
        <v>13</v>
      </c>
    </row>
    <row r="1066" spans="1:15" x14ac:dyDescent="0.3">
      <c r="A1066" s="1" t="s">
        <v>2031</v>
      </c>
      <c r="B1066" t="s">
        <v>72</v>
      </c>
      <c r="C1066" t="s">
        <v>561</v>
      </c>
      <c r="D1066" t="str">
        <f t="shared" si="16"/>
        <v>Male</v>
      </c>
      <c r="E1066" t="s">
        <v>9</v>
      </c>
      <c r="F1066" s="2">
        <v>41</v>
      </c>
      <c r="G1066" s="2" t="str" cm="1">
        <f t="array" ref="G1066">_xlfn.IFS(F1066&lt;=8,"Child",F1066&lt;=17,"Teen",F1066&lt;=35,"Adult",F1066&lt;=55,"Seniour Adult",F1066&gt;=55,"Old Age")</f>
        <v>Seniour Adult</v>
      </c>
      <c r="H1066" t="s">
        <v>51</v>
      </c>
      <c r="I1066" t="s">
        <v>11</v>
      </c>
      <c r="J1066" t="str" cm="1">
        <f t="array" ref="J1066">_xlfn.IFS(I1066="S","Sauthamptonm",I1066="Q","Queentown",I1066="C","Cherburg",I1066="B","Cabin")</f>
        <v>Sauthamptonm</v>
      </c>
      <c r="K1066" t="s">
        <v>15</v>
      </c>
      <c r="L1066" s="2">
        <v>29</v>
      </c>
      <c r="M1066">
        <v>0</v>
      </c>
      <c r="N1066" t="s">
        <v>30</v>
      </c>
      <c r="O1066" t="s">
        <v>16</v>
      </c>
    </row>
    <row r="1067" spans="1:15" x14ac:dyDescent="0.3">
      <c r="A1067" s="1" t="s">
        <v>2032</v>
      </c>
      <c r="B1067" t="s">
        <v>72</v>
      </c>
      <c r="C1067" t="s">
        <v>489</v>
      </c>
      <c r="D1067" t="str">
        <f t="shared" si="16"/>
        <v>Male</v>
      </c>
      <c r="E1067" t="s">
        <v>9</v>
      </c>
      <c r="F1067" s="2">
        <v>22</v>
      </c>
      <c r="G1067" s="2" t="str" cm="1">
        <f t="array" ref="G1067">_xlfn.IFS(F1067&lt;=8,"Child",F1067&lt;=17,"Teen",F1067&lt;=35,"Adult",F1067&lt;=55,"Seniour Adult",F1067&gt;=55,"Old Age")</f>
        <v>Adult</v>
      </c>
      <c r="H1067" t="s">
        <v>51</v>
      </c>
      <c r="I1067" t="s">
        <v>11</v>
      </c>
      <c r="J1067" t="str" cm="1">
        <f t="array" ref="J1067">_xlfn.IFS(I1067="S","Sauthamptonm",I1067="Q","Queentown",I1067="C","Cherburg",I1067="B","Cabin")</f>
        <v>Sauthamptonm</v>
      </c>
      <c r="K1067" t="s">
        <v>15</v>
      </c>
      <c r="L1067" s="2">
        <v>29</v>
      </c>
      <c r="M1067">
        <v>0</v>
      </c>
      <c r="N1067" t="s">
        <v>30</v>
      </c>
      <c r="O1067" t="s">
        <v>13</v>
      </c>
    </row>
    <row r="1068" spans="1:15" x14ac:dyDescent="0.3">
      <c r="A1068" s="1" t="s">
        <v>2033</v>
      </c>
      <c r="B1068" t="s">
        <v>72</v>
      </c>
      <c r="C1068" t="s">
        <v>1019</v>
      </c>
      <c r="D1068" t="str">
        <f t="shared" si="16"/>
        <v>Male</v>
      </c>
      <c r="E1068" t="s">
        <v>9</v>
      </c>
      <c r="F1068" s="2">
        <v>44</v>
      </c>
      <c r="G1068" s="2" t="str" cm="1">
        <f t="array" ref="G1068">_xlfn.IFS(F1068&lt;=8,"Child",F1068&lt;=17,"Teen",F1068&lt;=35,"Adult",F1068&lt;=55,"Seniour Adult",F1068&gt;=55,"Old Age")</f>
        <v>Seniour Adult</v>
      </c>
      <c r="H1068" t="s">
        <v>51</v>
      </c>
      <c r="I1068" t="s">
        <v>11</v>
      </c>
      <c r="J1068" t="str" cm="1">
        <f t="array" ref="J1068">_xlfn.IFS(I1068="S","Sauthamptonm",I1068="Q","Queentown",I1068="C","Cherburg",I1068="B","Cabin")</f>
        <v>Sauthamptonm</v>
      </c>
      <c r="K1068" t="s">
        <v>15</v>
      </c>
      <c r="L1068" s="2">
        <v>29</v>
      </c>
      <c r="M1068">
        <v>0</v>
      </c>
      <c r="N1068" t="s">
        <v>30</v>
      </c>
      <c r="O1068" t="s">
        <v>13</v>
      </c>
    </row>
    <row r="1069" spans="1:15" x14ac:dyDescent="0.3">
      <c r="A1069" s="1" t="s">
        <v>2034</v>
      </c>
      <c r="B1069" t="s">
        <v>72</v>
      </c>
      <c r="C1069" t="s">
        <v>2035</v>
      </c>
      <c r="D1069" t="str">
        <f t="shared" si="16"/>
        <v>Male</v>
      </c>
      <c r="E1069" t="s">
        <v>9</v>
      </c>
      <c r="F1069" s="2">
        <v>23</v>
      </c>
      <c r="G1069" s="2" t="str" cm="1">
        <f t="array" ref="G1069">_xlfn.IFS(F1069&lt;=8,"Child",F1069&lt;=17,"Teen",F1069&lt;=35,"Adult",F1069&lt;=55,"Seniour Adult",F1069&gt;=55,"Old Age")</f>
        <v>Adult</v>
      </c>
      <c r="H1069" t="s">
        <v>67</v>
      </c>
      <c r="I1069" t="s">
        <v>11</v>
      </c>
      <c r="J1069" t="str" cm="1">
        <f t="array" ref="J1069">_xlfn.IFS(I1069="S","Sauthamptonm",I1069="Q","Queentown",I1069="C","Cherburg",I1069="B","Cabin")</f>
        <v>Sauthamptonm</v>
      </c>
      <c r="K1069" t="s">
        <v>15</v>
      </c>
      <c r="L1069" s="2">
        <v>29</v>
      </c>
      <c r="M1069">
        <v>0</v>
      </c>
      <c r="N1069" t="s">
        <v>30</v>
      </c>
      <c r="O1069" t="s">
        <v>13</v>
      </c>
    </row>
    <row r="1070" spans="1:15" x14ac:dyDescent="0.3">
      <c r="A1070" s="1" t="s">
        <v>2036</v>
      </c>
      <c r="B1070" t="s">
        <v>72</v>
      </c>
      <c r="C1070" t="s">
        <v>2037</v>
      </c>
      <c r="D1070" t="str">
        <f t="shared" si="16"/>
        <v>Male</v>
      </c>
      <c r="E1070" t="s">
        <v>9</v>
      </c>
      <c r="F1070" s="2">
        <v>23</v>
      </c>
      <c r="G1070" s="2" t="str" cm="1">
        <f t="array" ref="G1070">_xlfn.IFS(F1070&lt;=8,"Child",F1070&lt;=17,"Teen",F1070&lt;=35,"Adult",F1070&lt;=55,"Seniour Adult",F1070&gt;=55,"Old Age")</f>
        <v>Adult</v>
      </c>
      <c r="H1070" t="s">
        <v>67</v>
      </c>
      <c r="I1070" t="s">
        <v>11</v>
      </c>
      <c r="J1070" t="str" cm="1">
        <f t="array" ref="J1070">_xlfn.IFS(I1070="S","Sauthamptonm",I1070="Q","Queentown",I1070="C","Cherburg",I1070="B","Cabin")</f>
        <v>Sauthamptonm</v>
      </c>
      <c r="K1070" t="s">
        <v>15</v>
      </c>
      <c r="L1070" s="2">
        <v>29</v>
      </c>
      <c r="M1070">
        <v>0</v>
      </c>
      <c r="N1070" t="s">
        <v>30</v>
      </c>
      <c r="O1070" t="s">
        <v>13</v>
      </c>
    </row>
    <row r="1071" spans="1:15" x14ac:dyDescent="0.3">
      <c r="A1071" s="1" t="s">
        <v>2038</v>
      </c>
      <c r="B1071" t="s">
        <v>72</v>
      </c>
      <c r="C1071" t="s">
        <v>1311</v>
      </c>
      <c r="D1071" t="str">
        <f t="shared" si="16"/>
        <v>Male</v>
      </c>
      <c r="E1071" t="s">
        <v>9</v>
      </c>
      <c r="F1071" s="2">
        <v>39</v>
      </c>
      <c r="G1071" s="2" t="str" cm="1">
        <f t="array" ref="G1071">_xlfn.IFS(F1071&lt;=8,"Child",F1071&lt;=17,"Teen",F1071&lt;=35,"Adult",F1071&lt;=55,"Seniour Adult",F1071&gt;=55,"Old Age")</f>
        <v>Seniour Adult</v>
      </c>
      <c r="H1071" t="s">
        <v>67</v>
      </c>
      <c r="I1071" t="s">
        <v>11</v>
      </c>
      <c r="J1071" t="str" cm="1">
        <f t="array" ref="J1071">_xlfn.IFS(I1071="S","Sauthamptonm",I1071="Q","Queentown",I1071="C","Cherburg",I1071="B","Cabin")</f>
        <v>Sauthamptonm</v>
      </c>
      <c r="K1071" t="s">
        <v>15</v>
      </c>
      <c r="L1071" s="2">
        <v>29</v>
      </c>
      <c r="M1071">
        <v>0</v>
      </c>
      <c r="N1071" t="s">
        <v>30</v>
      </c>
      <c r="O1071" t="s">
        <v>13</v>
      </c>
    </row>
    <row r="1072" spans="1:15" x14ac:dyDescent="0.3">
      <c r="A1072" s="1" t="s">
        <v>2039</v>
      </c>
      <c r="B1072" t="s">
        <v>72</v>
      </c>
      <c r="C1072" t="s">
        <v>2040</v>
      </c>
      <c r="D1072" t="str">
        <f t="shared" si="16"/>
        <v>Male</v>
      </c>
      <c r="E1072" t="s">
        <v>9</v>
      </c>
      <c r="F1072" s="2">
        <v>39</v>
      </c>
      <c r="G1072" s="2" t="str" cm="1">
        <f t="array" ref="G1072">_xlfn.IFS(F1072&lt;=8,"Child",F1072&lt;=17,"Teen",F1072&lt;=35,"Adult",F1072&lt;=55,"Seniour Adult",F1072&gt;=55,"Old Age")</f>
        <v>Seniour Adult</v>
      </c>
      <c r="H1072" t="s">
        <v>67</v>
      </c>
      <c r="I1072" t="s">
        <v>11</v>
      </c>
      <c r="J1072" t="str" cm="1">
        <f t="array" ref="J1072">_xlfn.IFS(I1072="S","Sauthamptonm",I1072="Q","Queentown",I1072="C","Cherburg",I1072="B","Cabin")</f>
        <v>Sauthamptonm</v>
      </c>
      <c r="K1072" t="s">
        <v>40</v>
      </c>
      <c r="L1072" s="2">
        <v>29</v>
      </c>
      <c r="M1072">
        <v>0</v>
      </c>
      <c r="N1072" t="s">
        <v>30</v>
      </c>
      <c r="O1072" t="s">
        <v>13</v>
      </c>
    </row>
    <row r="1073" spans="1:15" x14ac:dyDescent="0.3">
      <c r="A1073" s="1" t="s">
        <v>2041</v>
      </c>
      <c r="B1073" t="s">
        <v>72</v>
      </c>
      <c r="C1073" t="s">
        <v>107</v>
      </c>
      <c r="D1073" t="str">
        <f t="shared" si="16"/>
        <v>Male</v>
      </c>
      <c r="E1073" t="s">
        <v>9</v>
      </c>
      <c r="F1073" s="2">
        <v>48</v>
      </c>
      <c r="G1073" s="2" t="str" cm="1">
        <f t="array" ref="G1073">_xlfn.IFS(F1073&lt;=8,"Child",F1073&lt;=17,"Teen",F1073&lt;=35,"Adult",F1073&lt;=55,"Seniour Adult",F1073&gt;=55,"Old Age")</f>
        <v>Seniour Adult</v>
      </c>
      <c r="H1073" t="s">
        <v>67</v>
      </c>
      <c r="I1073" t="s">
        <v>11</v>
      </c>
      <c r="J1073" t="str" cm="1">
        <f t="array" ref="J1073">_xlfn.IFS(I1073="S","Sauthamptonm",I1073="Q","Queentown",I1073="C","Cherburg",I1073="B","Cabin")</f>
        <v>Sauthamptonm</v>
      </c>
      <c r="K1073" t="s">
        <v>15</v>
      </c>
      <c r="L1073" s="2">
        <v>29</v>
      </c>
      <c r="M1073">
        <v>0</v>
      </c>
      <c r="N1073" t="s">
        <v>30</v>
      </c>
      <c r="O1073" t="s">
        <v>13</v>
      </c>
    </row>
    <row r="1074" spans="1:15" x14ac:dyDescent="0.3">
      <c r="A1074" s="1" t="s">
        <v>2042</v>
      </c>
      <c r="B1074" t="s">
        <v>72</v>
      </c>
      <c r="C1074" t="s">
        <v>2043</v>
      </c>
      <c r="D1074" t="str">
        <f t="shared" si="16"/>
        <v>Male</v>
      </c>
      <c r="E1074" t="s">
        <v>9</v>
      </c>
      <c r="F1074" s="2">
        <v>23</v>
      </c>
      <c r="G1074" s="2" t="str" cm="1">
        <f t="array" ref="G1074">_xlfn.IFS(F1074&lt;=8,"Child",F1074&lt;=17,"Teen",F1074&lt;=35,"Adult",F1074&lt;=55,"Seniour Adult",F1074&gt;=55,"Old Age")</f>
        <v>Adult</v>
      </c>
      <c r="H1074" t="s">
        <v>51</v>
      </c>
      <c r="I1074" t="s">
        <v>11</v>
      </c>
      <c r="J1074" t="str" cm="1">
        <f t="array" ref="J1074">_xlfn.IFS(I1074="S","Sauthamptonm",I1074="Q","Queentown",I1074="C","Cherburg",I1074="B","Cabin")</f>
        <v>Sauthamptonm</v>
      </c>
      <c r="K1074" t="s">
        <v>15</v>
      </c>
      <c r="L1074" s="2">
        <v>29</v>
      </c>
      <c r="M1074">
        <v>0</v>
      </c>
      <c r="N1074" t="s">
        <v>30</v>
      </c>
      <c r="O1074" t="s">
        <v>13</v>
      </c>
    </row>
    <row r="1075" spans="1:15" x14ac:dyDescent="0.3">
      <c r="A1075" s="1" t="s">
        <v>2044</v>
      </c>
      <c r="B1075" t="s">
        <v>72</v>
      </c>
      <c r="C1075" t="s">
        <v>2045</v>
      </c>
      <c r="D1075" t="str">
        <f t="shared" si="16"/>
        <v>Male</v>
      </c>
      <c r="E1075" t="s">
        <v>9</v>
      </c>
      <c r="F1075" s="2">
        <v>29</v>
      </c>
      <c r="G1075" s="2" t="str" cm="1">
        <f t="array" ref="G1075">_xlfn.IFS(F1075&lt;=8,"Child",F1075&lt;=17,"Teen",F1075&lt;=35,"Adult",F1075&lt;=55,"Seniour Adult",F1075&gt;=55,"Old Age")</f>
        <v>Adult</v>
      </c>
      <c r="H1075" t="s">
        <v>67</v>
      </c>
      <c r="I1075" t="s">
        <v>11</v>
      </c>
      <c r="J1075" t="str" cm="1">
        <f t="array" ref="J1075">_xlfn.IFS(I1075="S","Sauthamptonm",I1075="Q","Queentown",I1075="C","Cherburg",I1075="B","Cabin")</f>
        <v>Sauthamptonm</v>
      </c>
      <c r="K1075" t="s">
        <v>15</v>
      </c>
      <c r="L1075" s="2">
        <v>29</v>
      </c>
      <c r="M1075">
        <v>0</v>
      </c>
      <c r="N1075" t="s">
        <v>30</v>
      </c>
      <c r="O1075" t="s">
        <v>16</v>
      </c>
    </row>
    <row r="1076" spans="1:15" x14ac:dyDescent="0.3">
      <c r="A1076" s="1" t="s">
        <v>2046</v>
      </c>
      <c r="B1076" t="s">
        <v>72</v>
      </c>
      <c r="C1076" t="s">
        <v>735</v>
      </c>
      <c r="D1076" t="str">
        <f t="shared" si="16"/>
        <v>Male</v>
      </c>
      <c r="E1076" t="s">
        <v>9</v>
      </c>
      <c r="F1076" s="2">
        <v>34</v>
      </c>
      <c r="G1076" s="2" t="str" cm="1">
        <f t="array" ref="G1076">_xlfn.IFS(F1076&lt;=8,"Child",F1076&lt;=17,"Teen",F1076&lt;=35,"Adult",F1076&lt;=55,"Seniour Adult",F1076&gt;=55,"Old Age")</f>
        <v>Adult</v>
      </c>
      <c r="H1076" t="s">
        <v>67</v>
      </c>
      <c r="I1076" t="s">
        <v>11</v>
      </c>
      <c r="J1076" t="str" cm="1">
        <f t="array" ref="J1076">_xlfn.IFS(I1076="S","Sauthamptonm",I1076="Q","Queentown",I1076="C","Cherburg",I1076="B","Cabin")</f>
        <v>Sauthamptonm</v>
      </c>
      <c r="K1076" t="s">
        <v>15</v>
      </c>
      <c r="L1076" s="2">
        <v>29</v>
      </c>
      <c r="M1076">
        <v>0</v>
      </c>
      <c r="N1076" t="s">
        <v>30</v>
      </c>
      <c r="O1076" t="s">
        <v>13</v>
      </c>
    </row>
    <row r="1077" spans="1:15" x14ac:dyDescent="0.3">
      <c r="A1077" s="1" t="s">
        <v>2047</v>
      </c>
      <c r="B1077" t="s">
        <v>72</v>
      </c>
      <c r="C1077" t="s">
        <v>2048</v>
      </c>
      <c r="D1077" t="str">
        <f t="shared" si="16"/>
        <v>Male</v>
      </c>
      <c r="E1077" t="s">
        <v>9</v>
      </c>
      <c r="F1077" s="2">
        <v>18</v>
      </c>
      <c r="G1077" s="2" t="str" cm="1">
        <f t="array" ref="G1077">_xlfn.IFS(F1077&lt;=8,"Child",F1077&lt;=17,"Teen",F1077&lt;=35,"Adult",F1077&lt;=55,"Seniour Adult",F1077&gt;=55,"Old Age")</f>
        <v>Adult</v>
      </c>
      <c r="H1077" t="s">
        <v>51</v>
      </c>
      <c r="I1077" t="s">
        <v>28</v>
      </c>
      <c r="J1077" t="str" cm="1">
        <f t="array" ref="J1077">_xlfn.IFS(I1077="S","Sauthamptonm",I1077="Q","Queentown",I1077="C","Cherburg",I1077="B","Cabin")</f>
        <v>Cabin</v>
      </c>
      <c r="K1077" t="s">
        <v>29</v>
      </c>
      <c r="L1077" s="2">
        <v>29</v>
      </c>
      <c r="M1077">
        <v>0</v>
      </c>
      <c r="N1077" t="s">
        <v>30</v>
      </c>
      <c r="O1077" t="s">
        <v>13</v>
      </c>
    </row>
    <row r="1078" spans="1:15" x14ac:dyDescent="0.3">
      <c r="A1078" s="1" t="s">
        <v>2049</v>
      </c>
      <c r="B1078" t="s">
        <v>72</v>
      </c>
      <c r="C1078" t="s">
        <v>1155</v>
      </c>
      <c r="D1078" t="str">
        <f t="shared" si="16"/>
        <v>Male</v>
      </c>
      <c r="E1078" t="s">
        <v>9</v>
      </c>
      <c r="F1078" s="2">
        <v>43</v>
      </c>
      <c r="G1078" s="2" t="str" cm="1">
        <f t="array" ref="G1078">_xlfn.IFS(F1078&lt;=8,"Child",F1078&lt;=17,"Teen",F1078&lt;=35,"Adult",F1078&lt;=55,"Seniour Adult",F1078&gt;=55,"Old Age")</f>
        <v>Seniour Adult</v>
      </c>
      <c r="H1078" t="s">
        <v>67</v>
      </c>
      <c r="I1078" t="s">
        <v>28</v>
      </c>
      <c r="J1078" t="str" cm="1">
        <f t="array" ref="J1078">_xlfn.IFS(I1078="S","Sauthamptonm",I1078="Q","Queentown",I1078="C","Cherburg",I1078="B","Cabin")</f>
        <v>Cabin</v>
      </c>
      <c r="K1078" t="s">
        <v>15</v>
      </c>
      <c r="L1078" s="2">
        <v>29</v>
      </c>
      <c r="M1078">
        <v>0</v>
      </c>
      <c r="N1078" t="s">
        <v>30</v>
      </c>
      <c r="O1078" t="s">
        <v>16</v>
      </c>
    </row>
    <row r="1079" spans="1:15" x14ac:dyDescent="0.3">
      <c r="A1079" s="1" t="s">
        <v>2050</v>
      </c>
      <c r="B1079" t="s">
        <v>72</v>
      </c>
      <c r="C1079" t="s">
        <v>2051</v>
      </c>
      <c r="D1079" t="str">
        <f t="shared" si="16"/>
        <v>Male</v>
      </c>
      <c r="E1079" t="s">
        <v>9</v>
      </c>
      <c r="F1079" s="2">
        <v>38</v>
      </c>
      <c r="G1079" s="2" t="str" cm="1">
        <f t="array" ref="G1079">_xlfn.IFS(F1079&lt;=8,"Child",F1079&lt;=17,"Teen",F1079&lt;=35,"Adult",F1079&lt;=55,"Seniour Adult",F1079&gt;=55,"Old Age")</f>
        <v>Seniour Adult</v>
      </c>
      <c r="H1079" t="s">
        <v>67</v>
      </c>
      <c r="I1079" t="s">
        <v>28</v>
      </c>
      <c r="J1079" t="str" cm="1">
        <f t="array" ref="J1079">_xlfn.IFS(I1079="S","Sauthamptonm",I1079="Q","Queentown",I1079="C","Cherburg",I1079="B","Cabin")</f>
        <v>Cabin</v>
      </c>
      <c r="K1079" t="s">
        <v>15</v>
      </c>
      <c r="L1079" s="2">
        <v>29</v>
      </c>
      <c r="M1079">
        <v>0</v>
      </c>
      <c r="N1079" t="s">
        <v>30</v>
      </c>
      <c r="O1079" t="s">
        <v>13</v>
      </c>
    </row>
    <row r="1080" spans="1:15" x14ac:dyDescent="0.3">
      <c r="A1080" s="1" t="s">
        <v>2052</v>
      </c>
      <c r="B1080" t="s">
        <v>72</v>
      </c>
      <c r="C1080" t="s">
        <v>2053</v>
      </c>
      <c r="D1080" t="str">
        <f t="shared" si="16"/>
        <v>Male</v>
      </c>
      <c r="E1080" t="s">
        <v>9</v>
      </c>
      <c r="F1080" s="2">
        <v>22</v>
      </c>
      <c r="G1080" s="2" t="str" cm="1">
        <f t="array" ref="G1080">_xlfn.IFS(F1080&lt;=8,"Child",F1080&lt;=17,"Teen",F1080&lt;=35,"Adult",F1080&lt;=55,"Seniour Adult",F1080&gt;=55,"Old Age")</f>
        <v>Adult</v>
      </c>
      <c r="H1080" t="s">
        <v>67</v>
      </c>
      <c r="I1080" t="s">
        <v>28</v>
      </c>
      <c r="J1080" t="str" cm="1">
        <f t="array" ref="J1080">_xlfn.IFS(I1080="S","Sauthamptonm",I1080="Q","Queentown",I1080="C","Cherburg",I1080="B","Cabin")</f>
        <v>Cabin</v>
      </c>
      <c r="K1080" t="s">
        <v>15</v>
      </c>
      <c r="L1080" s="2">
        <v>29</v>
      </c>
      <c r="M1080">
        <v>0</v>
      </c>
      <c r="N1080" t="s">
        <v>30</v>
      </c>
      <c r="O1080" t="s">
        <v>13</v>
      </c>
    </row>
    <row r="1081" spans="1:15" x14ac:dyDescent="0.3">
      <c r="A1081" s="1" t="s">
        <v>2054</v>
      </c>
      <c r="B1081" t="s">
        <v>72</v>
      </c>
      <c r="C1081" t="s">
        <v>779</v>
      </c>
      <c r="D1081" t="str">
        <f t="shared" si="16"/>
        <v>Male</v>
      </c>
      <c r="E1081" t="s">
        <v>9</v>
      </c>
      <c r="F1081" s="2">
        <v>39</v>
      </c>
      <c r="G1081" s="2" t="str" cm="1">
        <f t="array" ref="G1081">_xlfn.IFS(F1081&lt;=8,"Child",F1081&lt;=17,"Teen",F1081&lt;=35,"Adult",F1081&lt;=55,"Seniour Adult",F1081&gt;=55,"Old Age")</f>
        <v>Seniour Adult</v>
      </c>
      <c r="H1081" t="s">
        <v>51</v>
      </c>
      <c r="I1081" t="s">
        <v>28</v>
      </c>
      <c r="J1081" t="str" cm="1">
        <f t="array" ref="J1081">_xlfn.IFS(I1081="S","Sauthamptonm",I1081="Q","Queentown",I1081="C","Cherburg",I1081="B","Cabin")</f>
        <v>Cabin</v>
      </c>
      <c r="K1081" t="s">
        <v>15</v>
      </c>
      <c r="L1081" s="2">
        <v>29</v>
      </c>
      <c r="M1081">
        <v>0</v>
      </c>
      <c r="N1081" t="s">
        <v>30</v>
      </c>
      <c r="O1081" t="s">
        <v>13</v>
      </c>
    </row>
    <row r="1082" spans="1:15" x14ac:dyDescent="0.3">
      <c r="A1082" s="1" t="s">
        <v>2055</v>
      </c>
      <c r="B1082" t="s">
        <v>72</v>
      </c>
      <c r="C1082" t="s">
        <v>2056</v>
      </c>
      <c r="D1082" t="str">
        <f t="shared" si="16"/>
        <v>Male</v>
      </c>
      <c r="E1082" t="s">
        <v>9</v>
      </c>
      <c r="F1082" s="2">
        <v>37</v>
      </c>
      <c r="G1082" s="2" t="str" cm="1">
        <f t="array" ref="G1082">_xlfn.IFS(F1082&lt;=8,"Child",F1082&lt;=17,"Teen",F1082&lt;=35,"Adult",F1082&lt;=55,"Seniour Adult",F1082&gt;=55,"Old Age")</f>
        <v>Seniour Adult</v>
      </c>
      <c r="H1082" t="s">
        <v>67</v>
      </c>
      <c r="I1082" t="s">
        <v>28</v>
      </c>
      <c r="J1082" t="str" cm="1">
        <f t="array" ref="J1082">_xlfn.IFS(I1082="S","Sauthamptonm",I1082="Q","Queentown",I1082="C","Cherburg",I1082="B","Cabin")</f>
        <v>Cabin</v>
      </c>
      <c r="K1082" t="s">
        <v>15</v>
      </c>
      <c r="L1082" s="2">
        <v>29</v>
      </c>
      <c r="M1082">
        <v>0</v>
      </c>
      <c r="N1082" t="s">
        <v>30</v>
      </c>
      <c r="O1082" t="s">
        <v>16</v>
      </c>
    </row>
    <row r="1083" spans="1:15" x14ac:dyDescent="0.3">
      <c r="A1083" s="1" t="s">
        <v>2057</v>
      </c>
      <c r="B1083" t="s">
        <v>72</v>
      </c>
      <c r="C1083" t="s">
        <v>1088</v>
      </c>
      <c r="D1083" t="str">
        <f t="shared" si="16"/>
        <v>Male</v>
      </c>
      <c r="E1083" t="s">
        <v>9</v>
      </c>
      <c r="F1083" s="2">
        <v>30</v>
      </c>
      <c r="G1083" s="2" t="str" cm="1">
        <f t="array" ref="G1083">_xlfn.IFS(F1083&lt;=8,"Child",F1083&lt;=17,"Teen",F1083&lt;=35,"Adult",F1083&lt;=55,"Seniour Adult",F1083&gt;=55,"Old Age")</f>
        <v>Adult</v>
      </c>
      <c r="H1083" t="s">
        <v>51</v>
      </c>
      <c r="I1083" t="s">
        <v>11</v>
      </c>
      <c r="J1083" t="str" cm="1">
        <f t="array" ref="J1083">_xlfn.IFS(I1083="S","Sauthamptonm",I1083="Q","Queentown",I1083="C","Cherburg",I1083="B","Cabin")</f>
        <v>Sauthamptonm</v>
      </c>
      <c r="K1083" t="s">
        <v>15</v>
      </c>
      <c r="L1083" s="2">
        <v>29</v>
      </c>
      <c r="M1083">
        <v>0</v>
      </c>
      <c r="N1083" t="s">
        <v>30</v>
      </c>
      <c r="O1083" t="s">
        <v>13</v>
      </c>
    </row>
    <row r="1084" spans="1:15" x14ac:dyDescent="0.3">
      <c r="A1084" s="1" t="s">
        <v>2058</v>
      </c>
      <c r="B1084" t="s">
        <v>72</v>
      </c>
      <c r="C1084" t="s">
        <v>489</v>
      </c>
      <c r="D1084" t="str">
        <f t="shared" si="16"/>
        <v>Male</v>
      </c>
      <c r="E1084" t="s">
        <v>9</v>
      </c>
      <c r="F1084" s="2">
        <v>29</v>
      </c>
      <c r="G1084" s="2" t="str" cm="1">
        <f t="array" ref="G1084">_xlfn.IFS(F1084&lt;=8,"Child",F1084&lt;=17,"Teen",F1084&lt;=35,"Adult",F1084&lt;=55,"Seniour Adult",F1084&gt;=55,"Old Age")</f>
        <v>Adult</v>
      </c>
      <c r="H1084" t="s">
        <v>67</v>
      </c>
      <c r="I1084" t="s">
        <v>28</v>
      </c>
      <c r="J1084" t="str" cm="1">
        <f t="array" ref="J1084">_xlfn.IFS(I1084="S","Sauthamptonm",I1084="Q","Queentown",I1084="C","Cherburg",I1084="B","Cabin")</f>
        <v>Cabin</v>
      </c>
      <c r="K1084" t="s">
        <v>15</v>
      </c>
      <c r="L1084" s="2">
        <v>29</v>
      </c>
      <c r="M1084">
        <v>0</v>
      </c>
      <c r="N1084" t="s">
        <v>30</v>
      </c>
      <c r="O1084" t="s">
        <v>13</v>
      </c>
    </row>
    <row r="1085" spans="1:15" x14ac:dyDescent="0.3">
      <c r="A1085" s="1" t="s">
        <v>2059</v>
      </c>
      <c r="B1085" t="s">
        <v>72</v>
      </c>
      <c r="C1085" t="s">
        <v>1037</v>
      </c>
      <c r="D1085" t="str">
        <f t="shared" si="16"/>
        <v>Male</v>
      </c>
      <c r="E1085" t="s">
        <v>9</v>
      </c>
      <c r="F1085" s="2">
        <v>42</v>
      </c>
      <c r="G1085" s="2" t="str" cm="1">
        <f t="array" ref="G1085">_xlfn.IFS(F1085&lt;=8,"Child",F1085&lt;=17,"Teen",F1085&lt;=35,"Adult",F1085&lt;=55,"Seniour Adult",F1085&gt;=55,"Old Age")</f>
        <v>Seniour Adult</v>
      </c>
      <c r="H1085" t="s">
        <v>67</v>
      </c>
      <c r="I1085" t="s">
        <v>11</v>
      </c>
      <c r="J1085" t="str" cm="1">
        <f t="array" ref="J1085">_xlfn.IFS(I1085="S","Sauthamptonm",I1085="Q","Queentown",I1085="C","Cherburg",I1085="B","Cabin")</f>
        <v>Sauthamptonm</v>
      </c>
      <c r="K1085" t="s">
        <v>15</v>
      </c>
      <c r="L1085" s="2">
        <v>29</v>
      </c>
      <c r="M1085">
        <v>0</v>
      </c>
      <c r="N1085" t="s">
        <v>30</v>
      </c>
      <c r="O1085" t="s">
        <v>13</v>
      </c>
    </row>
    <row r="1086" spans="1:15" x14ac:dyDescent="0.3">
      <c r="A1086" s="1" t="s">
        <v>2060</v>
      </c>
      <c r="B1086" t="s">
        <v>72</v>
      </c>
      <c r="C1086" t="s">
        <v>2061</v>
      </c>
      <c r="D1086" t="str">
        <f t="shared" si="16"/>
        <v>Male</v>
      </c>
      <c r="E1086" t="s">
        <v>9</v>
      </c>
      <c r="F1086" s="2">
        <v>33</v>
      </c>
      <c r="G1086" s="2" t="str" cm="1">
        <f t="array" ref="G1086">_xlfn.IFS(F1086&lt;=8,"Child",F1086&lt;=17,"Teen",F1086&lt;=35,"Adult",F1086&lt;=55,"Seniour Adult",F1086&gt;=55,"Old Age")</f>
        <v>Adult</v>
      </c>
      <c r="H1086" t="s">
        <v>51</v>
      </c>
      <c r="I1086" t="s">
        <v>11</v>
      </c>
      <c r="J1086" t="str" cm="1">
        <f t="array" ref="J1086">_xlfn.IFS(I1086="S","Sauthamptonm",I1086="Q","Queentown",I1086="C","Cherburg",I1086="B","Cabin")</f>
        <v>Sauthamptonm</v>
      </c>
      <c r="K1086" t="s">
        <v>15</v>
      </c>
      <c r="L1086" s="2">
        <v>29</v>
      </c>
      <c r="M1086">
        <v>0</v>
      </c>
      <c r="N1086" t="s">
        <v>30</v>
      </c>
      <c r="O1086" t="s">
        <v>13</v>
      </c>
    </row>
    <row r="1087" spans="1:15" x14ac:dyDescent="0.3">
      <c r="A1087" s="1" t="s">
        <v>2062</v>
      </c>
      <c r="B1087" t="s">
        <v>72</v>
      </c>
      <c r="C1087" t="s">
        <v>104</v>
      </c>
      <c r="D1087" t="str">
        <f t="shared" si="16"/>
        <v>Male</v>
      </c>
      <c r="E1087" t="s">
        <v>9</v>
      </c>
      <c r="F1087" s="2">
        <v>39</v>
      </c>
      <c r="G1087" s="2" t="str" cm="1">
        <f t="array" ref="G1087">_xlfn.IFS(F1087&lt;=8,"Child",F1087&lt;=17,"Teen",F1087&lt;=35,"Adult",F1087&lt;=55,"Seniour Adult",F1087&gt;=55,"Old Age")</f>
        <v>Seniour Adult</v>
      </c>
      <c r="H1087" t="s">
        <v>51</v>
      </c>
      <c r="I1087" t="s">
        <v>11</v>
      </c>
      <c r="J1087" t="str" cm="1">
        <f t="array" ref="J1087">_xlfn.IFS(I1087="S","Sauthamptonm",I1087="Q","Queentown",I1087="C","Cherburg",I1087="B","Cabin")</f>
        <v>Sauthamptonm</v>
      </c>
      <c r="K1087" t="s">
        <v>15</v>
      </c>
      <c r="L1087" s="2">
        <v>29</v>
      </c>
      <c r="M1087">
        <v>0</v>
      </c>
      <c r="N1087" t="s">
        <v>30</v>
      </c>
      <c r="O1087" t="s">
        <v>13</v>
      </c>
    </row>
    <row r="1088" spans="1:15" x14ac:dyDescent="0.3">
      <c r="A1088" s="1" t="s">
        <v>2063</v>
      </c>
      <c r="B1088" t="s">
        <v>1766</v>
      </c>
      <c r="C1088" t="s">
        <v>2064</v>
      </c>
      <c r="D1088" t="str">
        <f t="shared" si="16"/>
        <v>Male</v>
      </c>
      <c r="E1088" t="s">
        <v>9</v>
      </c>
      <c r="F1088" s="2">
        <v>30</v>
      </c>
      <c r="G1088" s="2" t="str" cm="1">
        <f t="array" ref="G1088">_xlfn.IFS(F1088&lt;=8,"Child",F1088&lt;=17,"Teen",F1088&lt;=35,"Adult",F1088&lt;=55,"Seniour Adult",F1088&gt;=55,"Old Age")</f>
        <v>Adult</v>
      </c>
      <c r="H1088" t="s">
        <v>68</v>
      </c>
      <c r="I1088" t="s">
        <v>11</v>
      </c>
      <c r="J1088" t="str" cm="1">
        <f t="array" ref="J1088">_xlfn.IFS(I1088="S","Sauthamptonm",I1088="Q","Queentown",I1088="C","Cherburg",I1088="B","Cabin")</f>
        <v>Sauthamptonm</v>
      </c>
      <c r="K1088" t="s">
        <v>15</v>
      </c>
      <c r="L1088" s="2">
        <v>29</v>
      </c>
      <c r="M1088">
        <v>0</v>
      </c>
      <c r="N1088" t="s">
        <v>30</v>
      </c>
      <c r="O1088" t="s">
        <v>13</v>
      </c>
    </row>
    <row r="1089" spans="1:15" x14ac:dyDescent="0.3">
      <c r="A1089" s="1" t="s">
        <v>2065</v>
      </c>
      <c r="B1089" t="s">
        <v>72</v>
      </c>
      <c r="C1089" t="s">
        <v>2066</v>
      </c>
      <c r="D1089" t="str">
        <f t="shared" si="16"/>
        <v>Male</v>
      </c>
      <c r="E1089" t="s">
        <v>9</v>
      </c>
      <c r="F1089" s="2">
        <v>19</v>
      </c>
      <c r="G1089" s="2" t="str" cm="1">
        <f t="array" ref="G1089">_xlfn.IFS(F1089&lt;=8,"Child",F1089&lt;=17,"Teen",F1089&lt;=35,"Adult",F1089&lt;=55,"Seniour Adult",F1089&gt;=55,"Old Age")</f>
        <v>Adult</v>
      </c>
      <c r="H1089" t="s">
        <v>67</v>
      </c>
      <c r="I1089" t="s">
        <v>11</v>
      </c>
      <c r="J1089" t="str" cm="1">
        <f t="array" ref="J1089">_xlfn.IFS(I1089="S","Sauthamptonm",I1089="Q","Queentown",I1089="C","Cherburg",I1089="B","Cabin")</f>
        <v>Sauthamptonm</v>
      </c>
      <c r="K1089" t="s">
        <v>15</v>
      </c>
      <c r="L1089" s="2">
        <v>29</v>
      </c>
      <c r="M1089">
        <v>0</v>
      </c>
      <c r="N1089" t="s">
        <v>30</v>
      </c>
      <c r="O1089" t="s">
        <v>13</v>
      </c>
    </row>
    <row r="1090" spans="1:15" x14ac:dyDescent="0.3">
      <c r="A1090" s="1" t="s">
        <v>2067</v>
      </c>
      <c r="B1090" t="s">
        <v>1766</v>
      </c>
      <c r="C1090" t="s">
        <v>2068</v>
      </c>
      <c r="D1090" t="str">
        <f t="shared" ref="D1090:D1153" si="17">PROPER(E1090)</f>
        <v>Male</v>
      </c>
      <c r="E1090" t="s">
        <v>9</v>
      </c>
      <c r="F1090" s="2">
        <v>23</v>
      </c>
      <c r="G1090" s="2" t="str" cm="1">
        <f t="array" ref="G1090">_xlfn.IFS(F1090&lt;=8,"Child",F1090&lt;=17,"Teen",F1090&lt;=35,"Adult",F1090&lt;=55,"Seniour Adult",F1090&gt;=55,"Old Age")</f>
        <v>Adult</v>
      </c>
      <c r="H1090" t="s">
        <v>68</v>
      </c>
      <c r="I1090" t="s">
        <v>11</v>
      </c>
      <c r="J1090" t="str" cm="1">
        <f t="array" ref="J1090">_xlfn.IFS(I1090="S","Sauthamptonm",I1090="Q","Queentown",I1090="C","Cherburg",I1090="B","Cabin")</f>
        <v>Sauthamptonm</v>
      </c>
      <c r="K1090" t="s">
        <v>15</v>
      </c>
      <c r="L1090" s="2">
        <v>29</v>
      </c>
      <c r="M1090">
        <v>0</v>
      </c>
      <c r="N1090" t="s">
        <v>30</v>
      </c>
      <c r="O1090" t="s">
        <v>13</v>
      </c>
    </row>
    <row r="1091" spans="1:15" x14ac:dyDescent="0.3">
      <c r="A1091" s="1" t="s">
        <v>2069</v>
      </c>
      <c r="B1091" t="s">
        <v>72</v>
      </c>
      <c r="C1091" t="s">
        <v>2070</v>
      </c>
      <c r="D1091" t="str">
        <f t="shared" si="17"/>
        <v>Male</v>
      </c>
      <c r="E1091" t="s">
        <v>9</v>
      </c>
      <c r="F1091" s="2">
        <v>21</v>
      </c>
      <c r="G1091" s="2" t="str" cm="1">
        <f t="array" ref="G1091">_xlfn.IFS(F1091&lt;=8,"Child",F1091&lt;=17,"Teen",F1091&lt;=35,"Adult",F1091&lt;=55,"Seniour Adult",F1091&gt;=55,"Old Age")</f>
        <v>Adult</v>
      </c>
      <c r="H1091" t="s">
        <v>51</v>
      </c>
      <c r="I1091" t="s">
        <v>11</v>
      </c>
      <c r="J1091" t="str" cm="1">
        <f t="array" ref="J1091">_xlfn.IFS(I1091="S","Sauthamptonm",I1091="Q","Queentown",I1091="C","Cherburg",I1091="B","Cabin")</f>
        <v>Sauthamptonm</v>
      </c>
      <c r="K1091" t="s">
        <v>15</v>
      </c>
      <c r="L1091" s="2">
        <v>29</v>
      </c>
      <c r="M1091">
        <v>0</v>
      </c>
      <c r="N1091" t="s">
        <v>30</v>
      </c>
      <c r="O1091" t="s">
        <v>16</v>
      </c>
    </row>
    <row r="1092" spans="1:15" x14ac:dyDescent="0.3">
      <c r="A1092" s="1" t="s">
        <v>2071</v>
      </c>
      <c r="B1092" t="s">
        <v>72</v>
      </c>
      <c r="C1092" t="s">
        <v>206</v>
      </c>
      <c r="D1092" t="str">
        <f t="shared" si="17"/>
        <v>Male</v>
      </c>
      <c r="E1092" t="s">
        <v>9</v>
      </c>
      <c r="F1092" s="2">
        <v>52</v>
      </c>
      <c r="G1092" s="2" t="str" cm="1">
        <f t="array" ref="G1092">_xlfn.IFS(F1092&lt;=8,"Child",F1092&lt;=17,"Teen",F1092&lt;=35,"Adult",F1092&lt;=55,"Seniour Adult",F1092&gt;=55,"Old Age")</f>
        <v>Seniour Adult</v>
      </c>
      <c r="H1092" t="s">
        <v>51</v>
      </c>
      <c r="I1092" t="s">
        <v>11</v>
      </c>
      <c r="J1092" t="str" cm="1">
        <f t="array" ref="J1092">_xlfn.IFS(I1092="S","Sauthamptonm",I1092="Q","Queentown",I1092="C","Cherburg",I1092="B","Cabin")</f>
        <v>Sauthamptonm</v>
      </c>
      <c r="K1092" t="s">
        <v>15</v>
      </c>
      <c r="L1092" s="2">
        <v>29</v>
      </c>
      <c r="M1092">
        <v>0</v>
      </c>
      <c r="N1092" t="s">
        <v>30</v>
      </c>
      <c r="O1092" t="s">
        <v>16</v>
      </c>
    </row>
    <row r="1093" spans="1:15" x14ac:dyDescent="0.3">
      <c r="A1093" s="1" t="s">
        <v>2072</v>
      </c>
      <c r="B1093" t="s">
        <v>72</v>
      </c>
      <c r="C1093" t="s">
        <v>1442</v>
      </c>
      <c r="D1093" t="str">
        <f t="shared" si="17"/>
        <v>Male</v>
      </c>
      <c r="E1093" t="s">
        <v>9</v>
      </c>
      <c r="F1093" s="2">
        <v>24</v>
      </c>
      <c r="G1093" s="2" t="str" cm="1">
        <f t="array" ref="G1093">_xlfn.IFS(F1093&lt;=8,"Child",F1093&lt;=17,"Teen",F1093&lt;=35,"Adult",F1093&lt;=55,"Seniour Adult",F1093&gt;=55,"Old Age")</f>
        <v>Adult</v>
      </c>
      <c r="H1093" t="s">
        <v>69</v>
      </c>
      <c r="I1093" t="s">
        <v>28</v>
      </c>
      <c r="J1093" t="str" cm="1">
        <f t="array" ref="J1093">_xlfn.IFS(I1093="S","Sauthamptonm",I1093="Q","Queentown",I1093="C","Cherburg",I1093="B","Cabin")</f>
        <v>Cabin</v>
      </c>
      <c r="K1093" t="s">
        <v>15</v>
      </c>
      <c r="L1093" s="2">
        <v>29</v>
      </c>
      <c r="M1093">
        <v>0</v>
      </c>
      <c r="N1093" t="s">
        <v>30</v>
      </c>
      <c r="O1093" t="s">
        <v>16</v>
      </c>
    </row>
    <row r="1094" spans="1:15" x14ac:dyDescent="0.3">
      <c r="A1094" s="1" t="s">
        <v>2073</v>
      </c>
      <c r="B1094" t="s">
        <v>72</v>
      </c>
      <c r="C1094" t="s">
        <v>496</v>
      </c>
      <c r="D1094" t="str">
        <f t="shared" si="17"/>
        <v>Male</v>
      </c>
      <c r="E1094" t="s">
        <v>9</v>
      </c>
      <c r="F1094" s="2">
        <v>26</v>
      </c>
      <c r="G1094" s="2" t="str" cm="1">
        <f t="array" ref="G1094">_xlfn.IFS(F1094&lt;=8,"Child",F1094&lt;=17,"Teen",F1094&lt;=35,"Adult",F1094&lt;=55,"Seniour Adult",F1094&gt;=55,"Old Age")</f>
        <v>Adult</v>
      </c>
      <c r="H1094" t="s">
        <v>67</v>
      </c>
      <c r="I1094" t="s">
        <v>28</v>
      </c>
      <c r="J1094" t="str" cm="1">
        <f t="array" ref="J1094">_xlfn.IFS(I1094="S","Sauthamptonm",I1094="Q","Queentown",I1094="C","Cherburg",I1094="B","Cabin")</f>
        <v>Cabin</v>
      </c>
      <c r="K1094" t="s">
        <v>15</v>
      </c>
      <c r="L1094" s="2">
        <v>29</v>
      </c>
      <c r="M1094">
        <v>0</v>
      </c>
      <c r="N1094" t="s">
        <v>30</v>
      </c>
      <c r="O1094" t="s">
        <v>13</v>
      </c>
    </row>
    <row r="1095" spans="1:15" x14ac:dyDescent="0.3">
      <c r="A1095" s="1" t="s">
        <v>2074</v>
      </c>
      <c r="B1095" t="s">
        <v>72</v>
      </c>
      <c r="C1095" t="s">
        <v>598</v>
      </c>
      <c r="D1095" t="str">
        <f t="shared" si="17"/>
        <v>Male</v>
      </c>
      <c r="E1095" t="s">
        <v>9</v>
      </c>
      <c r="F1095" s="2">
        <v>27</v>
      </c>
      <c r="G1095" s="2" t="str" cm="1">
        <f t="array" ref="G1095">_xlfn.IFS(F1095&lt;=8,"Child",F1095&lt;=17,"Teen",F1095&lt;=35,"Adult",F1095&lt;=55,"Seniour Adult",F1095&gt;=55,"Old Age")</f>
        <v>Adult</v>
      </c>
      <c r="H1095" t="s">
        <v>69</v>
      </c>
      <c r="I1095" t="s">
        <v>11</v>
      </c>
      <c r="J1095" t="str" cm="1">
        <f t="array" ref="J1095">_xlfn.IFS(I1095="S","Sauthamptonm",I1095="Q","Queentown",I1095="C","Cherburg",I1095="B","Cabin")</f>
        <v>Sauthamptonm</v>
      </c>
      <c r="K1095" t="s">
        <v>15</v>
      </c>
      <c r="L1095" s="2">
        <v>29</v>
      </c>
      <c r="M1095">
        <v>0</v>
      </c>
      <c r="N1095" t="s">
        <v>30</v>
      </c>
      <c r="O1095" t="s">
        <v>16</v>
      </c>
    </row>
    <row r="1096" spans="1:15" x14ac:dyDescent="0.3">
      <c r="A1096" s="1" t="s">
        <v>2075</v>
      </c>
      <c r="B1096" t="s">
        <v>72</v>
      </c>
      <c r="C1096" t="s">
        <v>2076</v>
      </c>
      <c r="D1096" t="str">
        <f t="shared" si="17"/>
        <v>Male</v>
      </c>
      <c r="E1096" t="s">
        <v>9</v>
      </c>
      <c r="F1096" s="2">
        <v>37</v>
      </c>
      <c r="G1096" s="2" t="str" cm="1">
        <f t="array" ref="G1096">_xlfn.IFS(F1096&lt;=8,"Child",F1096&lt;=17,"Teen",F1096&lt;=35,"Adult",F1096&lt;=55,"Seniour Adult",F1096&gt;=55,"Old Age")</f>
        <v>Seniour Adult</v>
      </c>
      <c r="H1096" t="s">
        <v>51</v>
      </c>
      <c r="I1096" t="s">
        <v>28</v>
      </c>
      <c r="J1096" t="str" cm="1">
        <f t="array" ref="J1096">_xlfn.IFS(I1096="S","Sauthamptonm",I1096="Q","Queentown",I1096="C","Cherburg",I1096="B","Cabin")</f>
        <v>Cabin</v>
      </c>
      <c r="K1096" t="s">
        <v>15</v>
      </c>
      <c r="L1096" s="2">
        <v>29</v>
      </c>
      <c r="M1096">
        <v>0</v>
      </c>
      <c r="N1096" t="s">
        <v>30</v>
      </c>
      <c r="O1096" t="s">
        <v>13</v>
      </c>
    </row>
    <row r="1097" spans="1:15" x14ac:dyDescent="0.3">
      <c r="A1097" s="1" t="s">
        <v>2077</v>
      </c>
      <c r="B1097" t="s">
        <v>72</v>
      </c>
      <c r="C1097" t="s">
        <v>1881</v>
      </c>
      <c r="D1097" t="str">
        <f t="shared" si="17"/>
        <v>Male</v>
      </c>
      <c r="E1097" t="s">
        <v>9</v>
      </c>
      <c r="F1097" s="2">
        <v>30</v>
      </c>
      <c r="G1097" s="2" t="str" cm="1">
        <f t="array" ref="G1097">_xlfn.IFS(F1097&lt;=8,"Child",F1097&lt;=17,"Teen",F1097&lt;=35,"Adult",F1097&lt;=55,"Seniour Adult",F1097&gt;=55,"Old Age")</f>
        <v>Adult</v>
      </c>
      <c r="H1097" t="s">
        <v>51</v>
      </c>
      <c r="I1097" t="s">
        <v>11</v>
      </c>
      <c r="J1097" t="str" cm="1">
        <f t="array" ref="J1097">_xlfn.IFS(I1097="S","Sauthamptonm",I1097="Q","Queentown",I1097="C","Cherburg",I1097="B","Cabin")</f>
        <v>Sauthamptonm</v>
      </c>
      <c r="K1097" t="s">
        <v>15</v>
      </c>
      <c r="L1097" s="2">
        <v>29</v>
      </c>
      <c r="M1097">
        <v>0</v>
      </c>
      <c r="N1097" t="s">
        <v>30</v>
      </c>
      <c r="O1097" t="s">
        <v>13</v>
      </c>
    </row>
    <row r="1098" spans="1:15" x14ac:dyDescent="0.3">
      <c r="A1098" s="1" t="s">
        <v>2078</v>
      </c>
      <c r="B1098" t="s">
        <v>72</v>
      </c>
      <c r="C1098" t="s">
        <v>2079</v>
      </c>
      <c r="D1098" t="str">
        <f t="shared" si="17"/>
        <v>Male</v>
      </c>
      <c r="E1098" t="s">
        <v>9</v>
      </c>
      <c r="F1098" s="2">
        <v>21</v>
      </c>
      <c r="G1098" s="2" t="str" cm="1">
        <f t="array" ref="G1098">_xlfn.IFS(F1098&lt;=8,"Child",F1098&lt;=17,"Teen",F1098&lt;=35,"Adult",F1098&lt;=55,"Seniour Adult",F1098&gt;=55,"Old Age")</f>
        <v>Adult</v>
      </c>
      <c r="H1098" t="s">
        <v>51</v>
      </c>
      <c r="I1098" t="s">
        <v>11</v>
      </c>
      <c r="J1098" t="str" cm="1">
        <f t="array" ref="J1098">_xlfn.IFS(I1098="S","Sauthamptonm",I1098="Q","Queentown",I1098="C","Cherburg",I1098="B","Cabin")</f>
        <v>Sauthamptonm</v>
      </c>
      <c r="K1098" t="s">
        <v>15</v>
      </c>
      <c r="L1098" s="2">
        <v>29</v>
      </c>
      <c r="M1098">
        <v>0</v>
      </c>
      <c r="N1098" t="s">
        <v>30</v>
      </c>
      <c r="O1098" t="s">
        <v>16</v>
      </c>
    </row>
    <row r="1099" spans="1:15" x14ac:dyDescent="0.3">
      <c r="A1099" s="1" t="s">
        <v>2080</v>
      </c>
      <c r="B1099" t="s">
        <v>72</v>
      </c>
      <c r="C1099" t="s">
        <v>2081</v>
      </c>
      <c r="D1099" t="str">
        <f t="shared" si="17"/>
        <v>Male</v>
      </c>
      <c r="E1099" t="s">
        <v>9</v>
      </c>
      <c r="F1099" s="2">
        <v>45</v>
      </c>
      <c r="G1099" s="2" t="str" cm="1">
        <f t="array" ref="G1099">_xlfn.IFS(F1099&lt;=8,"Child",F1099&lt;=17,"Teen",F1099&lt;=35,"Adult",F1099&lt;=55,"Seniour Adult",F1099&gt;=55,"Old Age")</f>
        <v>Seniour Adult</v>
      </c>
      <c r="H1099" t="s">
        <v>67</v>
      </c>
      <c r="I1099" t="s">
        <v>28</v>
      </c>
      <c r="J1099" t="str" cm="1">
        <f t="array" ref="J1099">_xlfn.IFS(I1099="S","Sauthamptonm",I1099="Q","Queentown",I1099="C","Cherburg",I1099="B","Cabin")</f>
        <v>Cabin</v>
      </c>
      <c r="K1099" t="s">
        <v>15</v>
      </c>
      <c r="L1099" s="2">
        <v>29</v>
      </c>
      <c r="M1099">
        <v>0</v>
      </c>
      <c r="N1099" t="s">
        <v>30</v>
      </c>
      <c r="O1099" t="s">
        <v>13</v>
      </c>
    </row>
    <row r="1100" spans="1:15" x14ac:dyDescent="0.3">
      <c r="A1100" s="1" t="s">
        <v>2082</v>
      </c>
      <c r="B1100" t="s">
        <v>72</v>
      </c>
      <c r="C1100" t="s">
        <v>2083</v>
      </c>
      <c r="D1100" t="str">
        <f t="shared" si="17"/>
        <v>Male</v>
      </c>
      <c r="E1100" t="s">
        <v>9</v>
      </c>
      <c r="F1100" s="2">
        <v>29</v>
      </c>
      <c r="G1100" s="2" t="str" cm="1">
        <f t="array" ref="G1100">_xlfn.IFS(F1100&lt;=8,"Child",F1100&lt;=17,"Teen",F1100&lt;=35,"Adult",F1100&lt;=55,"Seniour Adult",F1100&gt;=55,"Old Age")</f>
        <v>Adult</v>
      </c>
      <c r="H1100" t="s">
        <v>51</v>
      </c>
      <c r="I1100" t="s">
        <v>11</v>
      </c>
      <c r="J1100" t="str" cm="1">
        <f t="array" ref="J1100">_xlfn.IFS(I1100="S","Sauthamptonm",I1100="Q","Queentown",I1100="C","Cherburg",I1100="B","Cabin")</f>
        <v>Sauthamptonm</v>
      </c>
      <c r="K1100" t="s">
        <v>15</v>
      </c>
      <c r="L1100" s="2">
        <v>29</v>
      </c>
      <c r="M1100">
        <v>0</v>
      </c>
      <c r="N1100" t="s">
        <v>30</v>
      </c>
      <c r="O1100" t="s">
        <v>16</v>
      </c>
    </row>
    <row r="1101" spans="1:15" x14ac:dyDescent="0.3">
      <c r="A1101" s="1" t="s">
        <v>2084</v>
      </c>
      <c r="B1101" t="s">
        <v>1766</v>
      </c>
      <c r="C1101" t="s">
        <v>2085</v>
      </c>
      <c r="D1101" t="str">
        <f t="shared" si="17"/>
        <v>Male</v>
      </c>
      <c r="E1101" t="s">
        <v>9</v>
      </c>
      <c r="F1101" s="2">
        <v>37</v>
      </c>
      <c r="G1101" s="2" t="str" cm="1">
        <f t="array" ref="G1101">_xlfn.IFS(F1101&lt;=8,"Child",F1101&lt;=17,"Teen",F1101&lt;=35,"Adult",F1101&lt;=55,"Seniour Adult",F1101&gt;=55,"Old Age")</f>
        <v>Seniour Adult</v>
      </c>
      <c r="H1101" t="s">
        <v>68</v>
      </c>
      <c r="I1101" t="s">
        <v>11</v>
      </c>
      <c r="J1101" t="str" cm="1">
        <f t="array" ref="J1101">_xlfn.IFS(I1101="S","Sauthamptonm",I1101="Q","Queentown",I1101="C","Cherburg",I1101="B","Cabin")</f>
        <v>Sauthamptonm</v>
      </c>
      <c r="K1101" t="s">
        <v>15</v>
      </c>
      <c r="L1101" s="2">
        <v>29</v>
      </c>
      <c r="M1101">
        <v>0</v>
      </c>
      <c r="N1101" t="s">
        <v>30</v>
      </c>
      <c r="O1101" t="s">
        <v>13</v>
      </c>
    </row>
    <row r="1102" spans="1:15" x14ac:dyDescent="0.3">
      <c r="A1102" s="1" t="s">
        <v>2086</v>
      </c>
      <c r="B1102" t="s">
        <v>72</v>
      </c>
      <c r="C1102" t="s">
        <v>2087</v>
      </c>
      <c r="D1102" t="str">
        <f t="shared" si="17"/>
        <v>Male</v>
      </c>
      <c r="E1102" t="s">
        <v>9</v>
      </c>
      <c r="F1102" s="2">
        <v>32</v>
      </c>
      <c r="G1102" s="2" t="str" cm="1">
        <f t="array" ref="G1102">_xlfn.IFS(F1102&lt;=8,"Child",F1102&lt;=17,"Teen",F1102&lt;=35,"Adult",F1102&lt;=55,"Seniour Adult",F1102&gt;=55,"Old Age")</f>
        <v>Adult</v>
      </c>
      <c r="H1102" t="s">
        <v>67</v>
      </c>
      <c r="I1102" t="s">
        <v>11</v>
      </c>
      <c r="J1102" t="str" cm="1">
        <f t="array" ref="J1102">_xlfn.IFS(I1102="S","Sauthamptonm",I1102="Q","Queentown",I1102="C","Cherburg",I1102="B","Cabin")</f>
        <v>Sauthamptonm</v>
      </c>
      <c r="K1102" t="s">
        <v>15</v>
      </c>
      <c r="L1102" s="2">
        <v>29</v>
      </c>
      <c r="M1102">
        <v>0</v>
      </c>
      <c r="N1102" t="s">
        <v>30</v>
      </c>
      <c r="O1102" t="s">
        <v>13</v>
      </c>
    </row>
    <row r="1103" spans="1:15" x14ac:dyDescent="0.3">
      <c r="A1103" s="1" t="s">
        <v>2088</v>
      </c>
      <c r="B1103" t="s">
        <v>72</v>
      </c>
      <c r="C1103" t="s">
        <v>2089</v>
      </c>
      <c r="D1103" t="str">
        <f t="shared" si="17"/>
        <v>Male</v>
      </c>
      <c r="E1103" t="s">
        <v>9</v>
      </c>
      <c r="F1103" s="2">
        <v>26</v>
      </c>
      <c r="G1103" s="2" t="str" cm="1">
        <f t="array" ref="G1103">_xlfn.IFS(F1103&lt;=8,"Child",F1103&lt;=17,"Teen",F1103&lt;=35,"Adult",F1103&lt;=55,"Seniour Adult",F1103&gt;=55,"Old Age")</f>
        <v>Adult</v>
      </c>
      <c r="H1103" t="s">
        <v>51</v>
      </c>
      <c r="I1103" t="s">
        <v>11</v>
      </c>
      <c r="J1103" t="str" cm="1">
        <f t="array" ref="J1103">_xlfn.IFS(I1103="S","Sauthamptonm",I1103="Q","Queentown",I1103="C","Cherburg",I1103="B","Cabin")</f>
        <v>Sauthamptonm</v>
      </c>
      <c r="K1103" t="s">
        <v>15</v>
      </c>
      <c r="L1103" s="2">
        <v>29</v>
      </c>
      <c r="M1103">
        <v>0</v>
      </c>
      <c r="N1103" t="s">
        <v>30</v>
      </c>
      <c r="O1103" t="s">
        <v>13</v>
      </c>
    </row>
    <row r="1104" spans="1:15" x14ac:dyDescent="0.3">
      <c r="A1104" s="1" t="s">
        <v>2090</v>
      </c>
      <c r="B1104" t="s">
        <v>72</v>
      </c>
      <c r="C1104" t="s">
        <v>2091</v>
      </c>
      <c r="D1104" t="str">
        <f t="shared" si="17"/>
        <v>Male</v>
      </c>
      <c r="E1104" t="s">
        <v>9</v>
      </c>
      <c r="F1104" s="2">
        <v>36</v>
      </c>
      <c r="G1104" s="2" t="str" cm="1">
        <f t="array" ref="G1104">_xlfn.IFS(F1104&lt;=8,"Child",F1104&lt;=17,"Teen",F1104&lt;=35,"Adult",F1104&lt;=55,"Seniour Adult",F1104&gt;=55,"Old Age")</f>
        <v>Seniour Adult</v>
      </c>
      <c r="H1104" t="s">
        <v>67</v>
      </c>
      <c r="I1104" t="s">
        <v>11</v>
      </c>
      <c r="J1104" t="str" cm="1">
        <f t="array" ref="J1104">_xlfn.IFS(I1104="S","Sauthamptonm",I1104="Q","Queentown",I1104="C","Cherburg",I1104="B","Cabin")</f>
        <v>Sauthamptonm</v>
      </c>
      <c r="K1104" t="s">
        <v>15</v>
      </c>
      <c r="L1104" s="2">
        <v>29</v>
      </c>
      <c r="M1104">
        <v>0</v>
      </c>
      <c r="N1104" t="s">
        <v>30</v>
      </c>
      <c r="O1104" t="s">
        <v>16</v>
      </c>
    </row>
    <row r="1105" spans="1:15" x14ac:dyDescent="0.3">
      <c r="A1105" s="1" t="s">
        <v>2092</v>
      </c>
      <c r="B1105" t="s">
        <v>1766</v>
      </c>
      <c r="C1105" t="s">
        <v>2093</v>
      </c>
      <c r="D1105" t="str">
        <f t="shared" si="17"/>
        <v>Male</v>
      </c>
      <c r="E1105" t="s">
        <v>9</v>
      </c>
      <c r="F1105" s="2">
        <v>31</v>
      </c>
      <c r="G1105" s="2" t="str" cm="1">
        <f t="array" ref="G1105">_xlfn.IFS(F1105&lt;=8,"Child",F1105&lt;=17,"Teen",F1105&lt;=35,"Adult",F1105&lt;=55,"Seniour Adult",F1105&gt;=55,"Old Age")</f>
        <v>Adult</v>
      </c>
      <c r="H1105" t="s">
        <v>68</v>
      </c>
      <c r="I1105" t="s">
        <v>11</v>
      </c>
      <c r="J1105" t="str" cm="1">
        <f t="array" ref="J1105">_xlfn.IFS(I1105="S","Sauthamptonm",I1105="Q","Queentown",I1105="C","Cherburg",I1105="B","Cabin")</f>
        <v>Sauthamptonm</v>
      </c>
      <c r="K1105" t="s">
        <v>15</v>
      </c>
      <c r="L1105" s="2">
        <v>29</v>
      </c>
      <c r="M1105">
        <v>0</v>
      </c>
      <c r="N1105" t="s">
        <v>30</v>
      </c>
      <c r="O1105" t="s">
        <v>13</v>
      </c>
    </row>
    <row r="1106" spans="1:15" x14ac:dyDescent="0.3">
      <c r="A1106" s="1" t="s">
        <v>2094</v>
      </c>
      <c r="B1106" t="s">
        <v>72</v>
      </c>
      <c r="C1106" t="s">
        <v>2095</v>
      </c>
      <c r="D1106" t="str">
        <f t="shared" si="17"/>
        <v>Male</v>
      </c>
      <c r="E1106" t="s">
        <v>9</v>
      </c>
      <c r="F1106" s="2">
        <v>61</v>
      </c>
      <c r="G1106" s="2" t="str" cm="1">
        <f t="array" ref="G1106">_xlfn.IFS(F1106&lt;=8,"Child",F1106&lt;=17,"Teen",F1106&lt;=35,"Adult",F1106&lt;=55,"Seniour Adult",F1106&gt;=55,"Old Age")</f>
        <v>Old Age</v>
      </c>
      <c r="H1106" t="s">
        <v>51</v>
      </c>
      <c r="I1106" t="s">
        <v>11</v>
      </c>
      <c r="J1106" t="str" cm="1">
        <f t="array" ref="J1106">_xlfn.IFS(I1106="S","Sauthamptonm",I1106="Q","Queentown",I1106="C","Cherburg",I1106="B","Cabin")</f>
        <v>Sauthamptonm</v>
      </c>
      <c r="K1106" t="s">
        <v>15</v>
      </c>
      <c r="L1106" s="2">
        <v>29</v>
      </c>
      <c r="M1106">
        <v>0</v>
      </c>
      <c r="N1106" t="s">
        <v>30</v>
      </c>
      <c r="O1106" t="s">
        <v>16</v>
      </c>
    </row>
    <row r="1107" spans="1:15" x14ac:dyDescent="0.3">
      <c r="A1107" s="1" t="s">
        <v>2096</v>
      </c>
      <c r="B1107" t="s">
        <v>72</v>
      </c>
      <c r="C1107" t="s">
        <v>1460</v>
      </c>
      <c r="D1107" t="str">
        <f t="shared" si="17"/>
        <v>Male</v>
      </c>
      <c r="E1107" t="s">
        <v>9</v>
      </c>
      <c r="F1107" s="2">
        <v>36</v>
      </c>
      <c r="G1107" s="2" t="str" cm="1">
        <f t="array" ref="G1107">_xlfn.IFS(F1107&lt;=8,"Child",F1107&lt;=17,"Teen",F1107&lt;=35,"Adult",F1107&lt;=55,"Seniour Adult",F1107&gt;=55,"Old Age")</f>
        <v>Seniour Adult</v>
      </c>
      <c r="H1107" t="s">
        <v>51</v>
      </c>
      <c r="I1107" t="s">
        <v>11</v>
      </c>
      <c r="J1107" t="str" cm="1">
        <f t="array" ref="J1107">_xlfn.IFS(I1107="S","Sauthamptonm",I1107="Q","Queentown",I1107="C","Cherburg",I1107="B","Cabin")</f>
        <v>Sauthamptonm</v>
      </c>
      <c r="K1107" t="s">
        <v>15</v>
      </c>
      <c r="L1107" s="2">
        <v>29</v>
      </c>
      <c r="M1107">
        <v>0</v>
      </c>
      <c r="N1107" t="s">
        <v>30</v>
      </c>
      <c r="O1107" t="s">
        <v>13</v>
      </c>
    </row>
    <row r="1108" spans="1:15" x14ac:dyDescent="0.3">
      <c r="A1108" s="1" t="s">
        <v>2097</v>
      </c>
      <c r="B1108" t="s">
        <v>72</v>
      </c>
      <c r="C1108" t="s">
        <v>2098</v>
      </c>
      <c r="D1108" t="str">
        <f t="shared" si="17"/>
        <v>Male</v>
      </c>
      <c r="E1108" t="s">
        <v>9</v>
      </c>
      <c r="F1108" s="2">
        <v>32</v>
      </c>
      <c r="G1108" s="2" t="str" cm="1">
        <f t="array" ref="G1108">_xlfn.IFS(F1108&lt;=8,"Child",F1108&lt;=17,"Teen",F1108&lt;=35,"Adult",F1108&lt;=55,"Seniour Adult",F1108&gt;=55,"Old Age")</f>
        <v>Adult</v>
      </c>
      <c r="H1108" t="s">
        <v>51</v>
      </c>
      <c r="I1108" t="s">
        <v>11</v>
      </c>
      <c r="J1108" t="str" cm="1">
        <f t="array" ref="J1108">_xlfn.IFS(I1108="S","Sauthamptonm",I1108="Q","Queentown",I1108="C","Cherburg",I1108="B","Cabin")</f>
        <v>Sauthamptonm</v>
      </c>
      <c r="K1108" t="s">
        <v>15</v>
      </c>
      <c r="L1108" s="2">
        <v>29</v>
      </c>
      <c r="M1108">
        <v>0</v>
      </c>
      <c r="N1108" t="s">
        <v>30</v>
      </c>
      <c r="O1108" t="s">
        <v>13</v>
      </c>
    </row>
    <row r="1109" spans="1:15" x14ac:dyDescent="0.3">
      <c r="A1109" s="1" t="s">
        <v>2100</v>
      </c>
      <c r="B1109" t="s">
        <v>76</v>
      </c>
      <c r="C1109" t="s">
        <v>2101</v>
      </c>
      <c r="D1109" t="str">
        <f t="shared" si="17"/>
        <v>Female</v>
      </c>
      <c r="E1109" t="s">
        <v>14</v>
      </c>
      <c r="F1109" s="2">
        <v>45</v>
      </c>
      <c r="G1109" s="2" t="str" cm="1">
        <f t="array" ref="G1109">_xlfn.IFS(F1109&lt;=8,"Child",F1109&lt;=17,"Teen",F1109&lt;=35,"Adult",F1109&lt;=55,"Seniour Adult",F1109&gt;=55,"Old Age")</f>
        <v>Seniour Adult</v>
      </c>
      <c r="H1109" t="s">
        <v>67</v>
      </c>
      <c r="I1109" t="s">
        <v>11</v>
      </c>
      <c r="J1109" t="str" cm="1">
        <f t="array" ref="J1109">_xlfn.IFS(I1109="S","Sauthamptonm",I1109="Q","Queentown",I1109="C","Cherburg",I1109="B","Cabin")</f>
        <v>Sauthamptonm</v>
      </c>
      <c r="K1109" t="s">
        <v>15</v>
      </c>
      <c r="L1109" s="2">
        <v>29</v>
      </c>
      <c r="M1109">
        <v>0</v>
      </c>
      <c r="N1109" t="s">
        <v>30</v>
      </c>
      <c r="O1109" t="s">
        <v>16</v>
      </c>
    </row>
    <row r="1110" spans="1:15" x14ac:dyDescent="0.3">
      <c r="A1110" s="1" t="s">
        <v>2102</v>
      </c>
      <c r="B1110" t="s">
        <v>72</v>
      </c>
      <c r="C1110" t="s">
        <v>2103</v>
      </c>
      <c r="D1110" t="str">
        <f t="shared" si="17"/>
        <v>Male</v>
      </c>
      <c r="E1110" t="s">
        <v>9</v>
      </c>
      <c r="F1110" s="2">
        <v>28</v>
      </c>
      <c r="G1110" s="2" t="str" cm="1">
        <f t="array" ref="G1110">_xlfn.IFS(F1110&lt;=8,"Child",F1110&lt;=17,"Teen",F1110&lt;=35,"Adult",F1110&lt;=55,"Seniour Adult",F1110&gt;=55,"Old Age")</f>
        <v>Adult</v>
      </c>
      <c r="H1110" t="s">
        <v>67</v>
      </c>
      <c r="I1110" t="s">
        <v>11</v>
      </c>
      <c r="J1110" t="str" cm="1">
        <f t="array" ref="J1110">_xlfn.IFS(I1110="S","Sauthamptonm",I1110="Q","Queentown",I1110="C","Cherburg",I1110="B","Cabin")</f>
        <v>Sauthamptonm</v>
      </c>
      <c r="K1110" t="s">
        <v>15</v>
      </c>
      <c r="L1110" s="2">
        <v>29</v>
      </c>
      <c r="M1110">
        <v>0</v>
      </c>
      <c r="N1110" t="s">
        <v>30</v>
      </c>
      <c r="O1110" t="s">
        <v>13</v>
      </c>
    </row>
    <row r="1111" spans="1:15" x14ac:dyDescent="0.3">
      <c r="A1111" s="1" t="s">
        <v>2104</v>
      </c>
      <c r="B1111" t="s">
        <v>72</v>
      </c>
      <c r="C1111" t="s">
        <v>1881</v>
      </c>
      <c r="D1111" t="str">
        <f t="shared" si="17"/>
        <v>Male</v>
      </c>
      <c r="E1111" t="s">
        <v>9</v>
      </c>
      <c r="F1111" s="2">
        <v>29</v>
      </c>
      <c r="G1111" s="2" t="str" cm="1">
        <f t="array" ref="G1111">_xlfn.IFS(F1111&lt;=8,"Child",F1111&lt;=17,"Teen",F1111&lt;=35,"Adult",F1111&lt;=55,"Seniour Adult",F1111&gt;=55,"Old Age")</f>
        <v>Adult</v>
      </c>
      <c r="H1111" t="s">
        <v>51</v>
      </c>
      <c r="I1111" t="s">
        <v>11</v>
      </c>
      <c r="J1111" t="str" cm="1">
        <f t="array" ref="J1111">_xlfn.IFS(I1111="S","Sauthamptonm",I1111="Q","Queentown",I1111="C","Cherburg",I1111="B","Cabin")</f>
        <v>Sauthamptonm</v>
      </c>
      <c r="K1111" t="s">
        <v>15</v>
      </c>
      <c r="L1111" s="2">
        <v>29</v>
      </c>
      <c r="M1111">
        <v>0</v>
      </c>
      <c r="N1111" t="s">
        <v>30</v>
      </c>
      <c r="O1111" t="s">
        <v>13</v>
      </c>
    </row>
    <row r="1112" spans="1:15" x14ac:dyDescent="0.3">
      <c r="A1112" s="1" t="s">
        <v>2105</v>
      </c>
      <c r="B1112" t="s">
        <v>72</v>
      </c>
      <c r="C1112" t="s">
        <v>561</v>
      </c>
      <c r="D1112" t="str">
        <f t="shared" si="17"/>
        <v>Male</v>
      </c>
      <c r="E1112" t="s">
        <v>9</v>
      </c>
      <c r="F1112" s="2">
        <v>41</v>
      </c>
      <c r="G1112" s="2" t="str" cm="1">
        <f t="array" ref="G1112">_xlfn.IFS(F1112&lt;=8,"Child",F1112&lt;=17,"Teen",F1112&lt;=35,"Adult",F1112&lt;=55,"Seniour Adult",F1112&gt;=55,"Old Age")</f>
        <v>Seniour Adult</v>
      </c>
      <c r="H1112" t="s">
        <v>51</v>
      </c>
      <c r="I1112" t="s">
        <v>11</v>
      </c>
      <c r="J1112" t="str" cm="1">
        <f t="array" ref="J1112">_xlfn.IFS(I1112="S","Sauthamptonm",I1112="Q","Queentown",I1112="C","Cherburg",I1112="B","Cabin")</f>
        <v>Sauthamptonm</v>
      </c>
      <c r="K1112" t="s">
        <v>15</v>
      </c>
      <c r="L1112" s="2">
        <v>29</v>
      </c>
      <c r="M1112">
        <v>0</v>
      </c>
      <c r="N1112" t="s">
        <v>30</v>
      </c>
      <c r="O1112" t="s">
        <v>13</v>
      </c>
    </row>
    <row r="1113" spans="1:15" x14ac:dyDescent="0.3">
      <c r="A1113" s="1" t="s">
        <v>2106</v>
      </c>
      <c r="B1113" t="s">
        <v>72</v>
      </c>
      <c r="C1113" t="s">
        <v>489</v>
      </c>
      <c r="D1113" t="str">
        <f t="shared" si="17"/>
        <v>Male</v>
      </c>
      <c r="E1113" t="s">
        <v>9</v>
      </c>
      <c r="F1113" s="2">
        <v>40</v>
      </c>
      <c r="G1113" s="2" t="str" cm="1">
        <f t="array" ref="G1113">_xlfn.IFS(F1113&lt;=8,"Child",F1113&lt;=17,"Teen",F1113&lt;=35,"Adult",F1113&lt;=55,"Seniour Adult",F1113&gt;=55,"Old Age")</f>
        <v>Seniour Adult</v>
      </c>
      <c r="H1113" t="s">
        <v>67</v>
      </c>
      <c r="I1113" t="s">
        <v>28</v>
      </c>
      <c r="J1113" t="str" cm="1">
        <f t="array" ref="J1113">_xlfn.IFS(I1113="S","Sauthamptonm",I1113="Q","Queentown",I1113="C","Cherburg",I1113="B","Cabin")</f>
        <v>Cabin</v>
      </c>
      <c r="K1113" t="s">
        <v>15</v>
      </c>
      <c r="L1113" s="2">
        <v>29</v>
      </c>
      <c r="M1113">
        <v>0</v>
      </c>
      <c r="N1113" t="s">
        <v>30</v>
      </c>
      <c r="O1113" t="s">
        <v>13</v>
      </c>
    </row>
    <row r="1114" spans="1:15" x14ac:dyDescent="0.3">
      <c r="A1114" s="1" t="s">
        <v>2107</v>
      </c>
      <c r="B1114" t="s">
        <v>72</v>
      </c>
      <c r="C1114" t="s">
        <v>2108</v>
      </c>
      <c r="D1114" t="str">
        <f t="shared" si="17"/>
        <v>Male</v>
      </c>
      <c r="E1114" t="s">
        <v>9</v>
      </c>
      <c r="F1114" s="2">
        <v>22</v>
      </c>
      <c r="G1114" s="2" t="str" cm="1">
        <f t="array" ref="G1114">_xlfn.IFS(F1114&lt;=8,"Child",F1114&lt;=17,"Teen",F1114&lt;=35,"Adult",F1114&lt;=55,"Seniour Adult",F1114&gt;=55,"Old Age")</f>
        <v>Adult</v>
      </c>
      <c r="H1114" t="s">
        <v>51</v>
      </c>
      <c r="I1114" t="s">
        <v>11</v>
      </c>
      <c r="J1114" t="str" cm="1">
        <f t="array" ref="J1114">_xlfn.IFS(I1114="S","Sauthamptonm",I1114="Q","Queentown",I1114="C","Cherburg",I1114="B","Cabin")</f>
        <v>Sauthamptonm</v>
      </c>
      <c r="K1114" t="s">
        <v>15</v>
      </c>
      <c r="L1114" s="2">
        <v>29</v>
      </c>
      <c r="M1114">
        <v>0</v>
      </c>
      <c r="N1114" t="s">
        <v>30</v>
      </c>
      <c r="O1114" t="s">
        <v>13</v>
      </c>
    </row>
    <row r="1115" spans="1:15" x14ac:dyDescent="0.3">
      <c r="A1115" s="1" t="s">
        <v>2110</v>
      </c>
      <c r="B1115" t="s">
        <v>72</v>
      </c>
      <c r="C1115" t="s">
        <v>1771</v>
      </c>
      <c r="D1115" t="str">
        <f t="shared" si="17"/>
        <v>Male</v>
      </c>
      <c r="E1115" t="s">
        <v>9</v>
      </c>
      <c r="F1115" s="2">
        <v>22</v>
      </c>
      <c r="G1115" s="2" t="str" cm="1">
        <f t="array" ref="G1115">_xlfn.IFS(F1115&lt;=8,"Child",F1115&lt;=17,"Teen",F1115&lt;=35,"Adult",F1115&lt;=55,"Seniour Adult",F1115&gt;=55,"Old Age")</f>
        <v>Adult</v>
      </c>
      <c r="H1115" t="s">
        <v>51</v>
      </c>
      <c r="I1115" t="s">
        <v>11</v>
      </c>
      <c r="J1115" t="str" cm="1">
        <f t="array" ref="J1115">_xlfn.IFS(I1115="S","Sauthamptonm",I1115="Q","Queentown",I1115="C","Cherburg",I1115="B","Cabin")</f>
        <v>Sauthamptonm</v>
      </c>
      <c r="K1115" t="s">
        <v>15</v>
      </c>
      <c r="L1115" s="2">
        <v>29</v>
      </c>
      <c r="M1115">
        <v>0</v>
      </c>
      <c r="N1115" t="s">
        <v>30</v>
      </c>
      <c r="O1115" t="s">
        <v>13</v>
      </c>
    </row>
    <row r="1116" spans="1:15" x14ac:dyDescent="0.3">
      <c r="A1116" s="1" t="s">
        <v>2111</v>
      </c>
      <c r="B1116" t="s">
        <v>72</v>
      </c>
      <c r="C1116" t="s">
        <v>381</v>
      </c>
      <c r="D1116" t="str">
        <f t="shared" si="17"/>
        <v>Male</v>
      </c>
      <c r="E1116" t="s">
        <v>9</v>
      </c>
      <c r="F1116" s="2">
        <v>43</v>
      </c>
      <c r="G1116" s="2" t="str" cm="1">
        <f t="array" ref="G1116">_xlfn.IFS(F1116&lt;=8,"Child",F1116&lt;=17,"Teen",F1116&lt;=35,"Adult",F1116&lt;=55,"Seniour Adult",F1116&gt;=55,"Old Age")</f>
        <v>Seniour Adult</v>
      </c>
      <c r="H1116" t="s">
        <v>51</v>
      </c>
      <c r="I1116" t="s">
        <v>11</v>
      </c>
      <c r="J1116" t="str" cm="1">
        <f t="array" ref="J1116">_xlfn.IFS(I1116="S","Sauthamptonm",I1116="Q","Queentown",I1116="C","Cherburg",I1116="B","Cabin")</f>
        <v>Sauthamptonm</v>
      </c>
      <c r="K1116" t="s">
        <v>15</v>
      </c>
      <c r="L1116" s="2">
        <v>29</v>
      </c>
      <c r="M1116">
        <v>0</v>
      </c>
      <c r="N1116" t="s">
        <v>30</v>
      </c>
      <c r="O1116" t="s">
        <v>13</v>
      </c>
    </row>
    <row r="1117" spans="1:15" x14ac:dyDescent="0.3">
      <c r="A1117" s="1" t="s">
        <v>2112</v>
      </c>
      <c r="B1117" t="s">
        <v>78</v>
      </c>
      <c r="C1117" t="s">
        <v>262</v>
      </c>
      <c r="D1117" t="str">
        <f t="shared" si="17"/>
        <v>Female</v>
      </c>
      <c r="E1117" t="s">
        <v>14</v>
      </c>
      <c r="F1117" s="2">
        <v>45</v>
      </c>
      <c r="G1117" s="2" t="str" cm="1">
        <f t="array" ref="G1117">_xlfn.IFS(F1117&lt;=8,"Child",F1117&lt;=17,"Teen",F1117&lt;=35,"Adult",F1117&lt;=55,"Seniour Adult",F1117&gt;=55,"Old Age")</f>
        <v>Seniour Adult</v>
      </c>
      <c r="H1117" t="s">
        <v>67</v>
      </c>
      <c r="I1117" t="s">
        <v>11</v>
      </c>
      <c r="J1117" t="str" cm="1">
        <f t="array" ref="J1117">_xlfn.IFS(I1117="S","Sauthamptonm",I1117="Q","Queentown",I1117="C","Cherburg",I1117="B","Cabin")</f>
        <v>Sauthamptonm</v>
      </c>
      <c r="K1117" t="s">
        <v>15</v>
      </c>
      <c r="L1117" s="2">
        <v>29</v>
      </c>
      <c r="M1117">
        <v>0</v>
      </c>
      <c r="N1117" t="s">
        <v>30</v>
      </c>
      <c r="O1117" t="s">
        <v>16</v>
      </c>
    </row>
    <row r="1118" spans="1:15" x14ac:dyDescent="0.3">
      <c r="A1118" s="1" t="s">
        <v>2113</v>
      </c>
      <c r="B1118" t="s">
        <v>72</v>
      </c>
      <c r="C1118" t="s">
        <v>2114</v>
      </c>
      <c r="D1118" t="str">
        <f t="shared" si="17"/>
        <v>Male</v>
      </c>
      <c r="E1118" t="s">
        <v>9</v>
      </c>
      <c r="F1118" s="2">
        <v>24</v>
      </c>
      <c r="G1118" s="2" t="str" cm="1">
        <f t="array" ref="G1118">_xlfn.IFS(F1118&lt;=8,"Child",F1118&lt;=17,"Teen",F1118&lt;=35,"Adult",F1118&lt;=55,"Seniour Adult",F1118&gt;=55,"Old Age")</f>
        <v>Adult</v>
      </c>
      <c r="H1118" t="s">
        <v>68</v>
      </c>
      <c r="I1118" t="s">
        <v>11</v>
      </c>
      <c r="J1118" t="str" cm="1">
        <f t="array" ref="J1118">_xlfn.IFS(I1118="S","Sauthamptonm",I1118="Q","Queentown",I1118="C","Cherburg",I1118="B","Cabin")</f>
        <v>Sauthamptonm</v>
      </c>
      <c r="K1118" t="s">
        <v>15</v>
      </c>
      <c r="L1118" s="2">
        <v>29</v>
      </c>
      <c r="M1118">
        <v>0</v>
      </c>
      <c r="N1118" t="s">
        <v>30</v>
      </c>
      <c r="O1118" t="s">
        <v>13</v>
      </c>
    </row>
    <row r="1119" spans="1:15" x14ac:dyDescent="0.3">
      <c r="A1119" s="1" t="s">
        <v>2115</v>
      </c>
      <c r="B1119" t="s">
        <v>72</v>
      </c>
      <c r="C1119" t="s">
        <v>698</v>
      </c>
      <c r="D1119" t="str">
        <f t="shared" si="17"/>
        <v>Male</v>
      </c>
      <c r="E1119" t="s">
        <v>9</v>
      </c>
      <c r="F1119" s="2">
        <v>24</v>
      </c>
      <c r="G1119" s="2" t="str" cm="1">
        <f t="array" ref="G1119">_xlfn.IFS(F1119&lt;=8,"Child",F1119&lt;=17,"Teen",F1119&lt;=35,"Adult",F1119&lt;=55,"Seniour Adult",F1119&gt;=55,"Old Age")</f>
        <v>Adult</v>
      </c>
      <c r="H1119" t="s">
        <v>51</v>
      </c>
      <c r="I1119" t="s">
        <v>11</v>
      </c>
      <c r="J1119" t="str" cm="1">
        <f t="array" ref="J1119">_xlfn.IFS(I1119="S","Sauthamptonm",I1119="Q","Queentown",I1119="C","Cherburg",I1119="B","Cabin")</f>
        <v>Sauthamptonm</v>
      </c>
      <c r="K1119" t="s">
        <v>15</v>
      </c>
      <c r="L1119" s="2">
        <v>29</v>
      </c>
      <c r="M1119">
        <v>0</v>
      </c>
      <c r="N1119" t="s">
        <v>30</v>
      </c>
      <c r="O1119" t="s">
        <v>13</v>
      </c>
    </row>
    <row r="1120" spans="1:15" x14ac:dyDescent="0.3">
      <c r="A1120" s="1" t="s">
        <v>2116</v>
      </c>
      <c r="B1120" t="s">
        <v>72</v>
      </c>
      <c r="C1120" t="s">
        <v>2117</v>
      </c>
      <c r="D1120" t="str">
        <f t="shared" si="17"/>
        <v>Male</v>
      </c>
      <c r="E1120" t="s">
        <v>9</v>
      </c>
      <c r="F1120" s="2">
        <v>30</v>
      </c>
      <c r="G1120" s="2" t="str" cm="1">
        <f t="array" ref="G1120">_xlfn.IFS(F1120&lt;=8,"Child",F1120&lt;=17,"Teen",F1120&lt;=35,"Adult",F1120&lt;=55,"Seniour Adult",F1120&gt;=55,"Old Age")</f>
        <v>Adult</v>
      </c>
      <c r="H1120" t="s">
        <v>67</v>
      </c>
      <c r="I1120" t="s">
        <v>11</v>
      </c>
      <c r="J1120" t="str" cm="1">
        <f t="array" ref="J1120">_xlfn.IFS(I1120="S","Sauthamptonm",I1120="Q","Queentown",I1120="C","Cherburg",I1120="B","Cabin")</f>
        <v>Sauthamptonm</v>
      </c>
      <c r="K1120" t="s">
        <v>15</v>
      </c>
      <c r="L1120" s="2">
        <v>29</v>
      </c>
      <c r="M1120">
        <v>0</v>
      </c>
      <c r="N1120" t="s">
        <v>30</v>
      </c>
      <c r="O1120" t="s">
        <v>13</v>
      </c>
    </row>
    <row r="1121" spans="1:15" x14ac:dyDescent="0.3">
      <c r="A1121" s="1" t="s">
        <v>2118</v>
      </c>
      <c r="B1121" t="s">
        <v>72</v>
      </c>
      <c r="C1121" t="s">
        <v>2119</v>
      </c>
      <c r="D1121" t="str">
        <f t="shared" si="17"/>
        <v>Male</v>
      </c>
      <c r="E1121" t="s">
        <v>9</v>
      </c>
      <c r="F1121" s="2">
        <v>29</v>
      </c>
      <c r="G1121" s="2" t="str" cm="1">
        <f t="array" ref="G1121">_xlfn.IFS(F1121&lt;=8,"Child",F1121&lt;=17,"Teen",F1121&lt;=35,"Adult",F1121&lt;=55,"Seniour Adult",F1121&gt;=55,"Old Age")</f>
        <v>Adult</v>
      </c>
      <c r="H1121" t="s">
        <v>67</v>
      </c>
      <c r="I1121" t="s">
        <v>11</v>
      </c>
      <c r="J1121" t="str" cm="1">
        <f t="array" ref="J1121">_xlfn.IFS(I1121="S","Sauthamptonm",I1121="Q","Queentown",I1121="C","Cherburg",I1121="B","Cabin")</f>
        <v>Sauthamptonm</v>
      </c>
      <c r="K1121" t="s">
        <v>15</v>
      </c>
      <c r="L1121" s="2">
        <v>29</v>
      </c>
      <c r="M1121">
        <v>0</v>
      </c>
      <c r="N1121" t="s">
        <v>30</v>
      </c>
      <c r="O1121" t="s">
        <v>16</v>
      </c>
    </row>
    <row r="1122" spans="1:15" x14ac:dyDescent="0.3">
      <c r="A1122" s="1" t="s">
        <v>2120</v>
      </c>
      <c r="B1122" t="s">
        <v>72</v>
      </c>
      <c r="C1122" t="s">
        <v>2121</v>
      </c>
      <c r="D1122" t="str">
        <f t="shared" si="17"/>
        <v>Male</v>
      </c>
      <c r="E1122" t="s">
        <v>9</v>
      </c>
      <c r="F1122" s="2">
        <v>37</v>
      </c>
      <c r="G1122" s="2" t="str" cm="1">
        <f t="array" ref="G1122">_xlfn.IFS(F1122&lt;=8,"Child",F1122&lt;=17,"Teen",F1122&lt;=35,"Adult",F1122&lt;=55,"Seniour Adult",F1122&gt;=55,"Old Age")</f>
        <v>Seniour Adult</v>
      </c>
      <c r="H1122" t="s">
        <v>67</v>
      </c>
      <c r="I1122" t="s">
        <v>11</v>
      </c>
      <c r="J1122" t="str" cm="1">
        <f t="array" ref="J1122">_xlfn.IFS(I1122="S","Sauthamptonm",I1122="Q","Queentown",I1122="C","Cherburg",I1122="B","Cabin")</f>
        <v>Sauthamptonm</v>
      </c>
      <c r="K1122" t="s">
        <v>12</v>
      </c>
      <c r="L1122" s="2">
        <v>29</v>
      </c>
      <c r="M1122">
        <v>0</v>
      </c>
      <c r="N1122" t="s">
        <v>30</v>
      </c>
      <c r="O1122" t="s">
        <v>13</v>
      </c>
    </row>
    <row r="1123" spans="1:15" x14ac:dyDescent="0.3">
      <c r="A1123" s="1" t="s">
        <v>2122</v>
      </c>
      <c r="B1123" t="s">
        <v>72</v>
      </c>
      <c r="C1123" t="s">
        <v>90</v>
      </c>
      <c r="D1123" t="str">
        <f t="shared" si="17"/>
        <v>Male</v>
      </c>
      <c r="E1123" t="s">
        <v>9</v>
      </c>
      <c r="F1123" s="2">
        <v>35</v>
      </c>
      <c r="G1123" s="2" t="str" cm="1">
        <f t="array" ref="G1123">_xlfn.IFS(F1123&lt;=8,"Child",F1123&lt;=17,"Teen",F1123&lt;=35,"Adult",F1123&lt;=55,"Seniour Adult",F1123&gt;=55,"Old Age")</f>
        <v>Adult</v>
      </c>
      <c r="H1123" t="s">
        <v>51</v>
      </c>
      <c r="I1123" t="s">
        <v>28</v>
      </c>
      <c r="J1123" t="str" cm="1">
        <f t="array" ref="J1123">_xlfn.IFS(I1123="S","Sauthamptonm",I1123="Q","Queentown",I1123="C","Cherburg",I1123="B","Cabin")</f>
        <v>Cabin</v>
      </c>
      <c r="K1123" t="s">
        <v>29</v>
      </c>
      <c r="L1123" s="2">
        <v>29</v>
      </c>
      <c r="M1123">
        <v>0</v>
      </c>
      <c r="N1123" t="s">
        <v>30</v>
      </c>
      <c r="O1123" t="s">
        <v>16</v>
      </c>
    </row>
    <row r="1124" spans="1:15" x14ac:dyDescent="0.3">
      <c r="A1124" s="1" t="s">
        <v>2123</v>
      </c>
      <c r="B1124" t="s">
        <v>72</v>
      </c>
      <c r="C1124" t="s">
        <v>161</v>
      </c>
      <c r="D1124" t="str">
        <f t="shared" si="17"/>
        <v>Male</v>
      </c>
      <c r="E1124" t="s">
        <v>9</v>
      </c>
      <c r="F1124" s="2">
        <v>31</v>
      </c>
      <c r="G1124" s="2" t="str" cm="1">
        <f t="array" ref="G1124">_xlfn.IFS(F1124&lt;=8,"Child",F1124&lt;=17,"Teen",F1124&lt;=35,"Adult",F1124&lt;=55,"Seniour Adult",F1124&gt;=55,"Old Age")</f>
        <v>Adult</v>
      </c>
      <c r="H1124" t="s">
        <v>69</v>
      </c>
      <c r="I1124" t="s">
        <v>28</v>
      </c>
      <c r="J1124" t="str" cm="1">
        <f t="array" ref="J1124">_xlfn.IFS(I1124="S","Sauthamptonm",I1124="Q","Queentown",I1124="C","Cherburg",I1124="B","Cabin")</f>
        <v>Cabin</v>
      </c>
      <c r="K1124" t="s">
        <v>15</v>
      </c>
      <c r="L1124" s="2">
        <v>29</v>
      </c>
      <c r="M1124">
        <v>0</v>
      </c>
      <c r="N1124" t="s">
        <v>30</v>
      </c>
      <c r="O1124" t="s">
        <v>16</v>
      </c>
    </row>
    <row r="1125" spans="1:15" x14ac:dyDescent="0.3">
      <c r="A1125" s="1" t="s">
        <v>2124</v>
      </c>
      <c r="B1125" t="s">
        <v>72</v>
      </c>
      <c r="C1125" t="s">
        <v>2125</v>
      </c>
      <c r="D1125" t="str">
        <f t="shared" si="17"/>
        <v>Male</v>
      </c>
      <c r="E1125" t="s">
        <v>9</v>
      </c>
      <c r="F1125" s="2">
        <v>22</v>
      </c>
      <c r="G1125" s="2" t="str" cm="1">
        <f t="array" ref="G1125">_xlfn.IFS(F1125&lt;=8,"Child",F1125&lt;=17,"Teen",F1125&lt;=35,"Adult",F1125&lt;=55,"Seniour Adult",F1125&gt;=55,"Old Age")</f>
        <v>Adult</v>
      </c>
      <c r="H1125" t="s">
        <v>67</v>
      </c>
      <c r="I1125" t="s">
        <v>11</v>
      </c>
      <c r="J1125" t="str" cm="1">
        <f t="array" ref="J1125">_xlfn.IFS(I1125="S","Sauthamptonm",I1125="Q","Queentown",I1125="C","Cherburg",I1125="B","Cabin")</f>
        <v>Sauthamptonm</v>
      </c>
      <c r="K1125" t="s">
        <v>15</v>
      </c>
      <c r="L1125" s="2">
        <v>29</v>
      </c>
      <c r="M1125">
        <v>0</v>
      </c>
      <c r="N1125" t="s">
        <v>30</v>
      </c>
      <c r="O1125" t="s">
        <v>16</v>
      </c>
    </row>
    <row r="1126" spans="1:15" x14ac:dyDescent="0.3">
      <c r="A1126" s="1" t="s">
        <v>2126</v>
      </c>
      <c r="B1126" t="s">
        <v>72</v>
      </c>
      <c r="C1126" t="s">
        <v>1933</v>
      </c>
      <c r="D1126" t="str">
        <f t="shared" si="17"/>
        <v>Male</v>
      </c>
      <c r="E1126" t="s">
        <v>9</v>
      </c>
      <c r="F1126" s="2">
        <v>23</v>
      </c>
      <c r="G1126" s="2" t="str" cm="1">
        <f t="array" ref="G1126">_xlfn.IFS(F1126&lt;=8,"Child",F1126&lt;=17,"Teen",F1126&lt;=35,"Adult",F1126&lt;=55,"Seniour Adult",F1126&gt;=55,"Old Age")</f>
        <v>Adult</v>
      </c>
      <c r="H1126" t="s">
        <v>51</v>
      </c>
      <c r="I1126" t="s">
        <v>11</v>
      </c>
      <c r="J1126" t="str" cm="1">
        <f t="array" ref="J1126">_xlfn.IFS(I1126="S","Sauthamptonm",I1126="Q","Queentown",I1126="C","Cherburg",I1126="B","Cabin")</f>
        <v>Sauthamptonm</v>
      </c>
      <c r="K1126" t="s">
        <v>15</v>
      </c>
      <c r="L1126" s="2">
        <v>29</v>
      </c>
      <c r="M1126">
        <v>0</v>
      </c>
      <c r="N1126" t="s">
        <v>30</v>
      </c>
      <c r="O1126" t="s">
        <v>13</v>
      </c>
    </row>
    <row r="1127" spans="1:15" x14ac:dyDescent="0.3">
      <c r="A1127" s="1" t="s">
        <v>2127</v>
      </c>
      <c r="B1127" t="s">
        <v>72</v>
      </c>
      <c r="C1127" t="s">
        <v>2128</v>
      </c>
      <c r="D1127" t="str">
        <f t="shared" si="17"/>
        <v>Male</v>
      </c>
      <c r="E1127" t="s">
        <v>9</v>
      </c>
      <c r="F1127" s="2">
        <v>41</v>
      </c>
      <c r="G1127" s="2" t="str" cm="1">
        <f t="array" ref="G1127">_xlfn.IFS(F1127&lt;=8,"Child",F1127&lt;=17,"Teen",F1127&lt;=35,"Adult",F1127&lt;=55,"Seniour Adult",F1127&gt;=55,"Old Age")</f>
        <v>Seniour Adult</v>
      </c>
      <c r="H1127" t="s">
        <v>67</v>
      </c>
      <c r="I1127" t="s">
        <v>11</v>
      </c>
      <c r="J1127" t="str" cm="1">
        <f t="array" ref="J1127">_xlfn.IFS(I1127="S","Sauthamptonm",I1127="Q","Queentown",I1127="C","Cherburg",I1127="B","Cabin")</f>
        <v>Sauthamptonm</v>
      </c>
      <c r="K1127" t="s">
        <v>15</v>
      </c>
      <c r="L1127" s="2">
        <v>29</v>
      </c>
      <c r="M1127">
        <v>0</v>
      </c>
      <c r="N1127" t="s">
        <v>30</v>
      </c>
      <c r="O1127" t="s">
        <v>13</v>
      </c>
    </row>
    <row r="1128" spans="1:15" x14ac:dyDescent="0.3">
      <c r="A1128" s="1" t="s">
        <v>2129</v>
      </c>
      <c r="B1128" t="s">
        <v>72</v>
      </c>
      <c r="C1128" t="s">
        <v>2130</v>
      </c>
      <c r="D1128" t="str">
        <f t="shared" si="17"/>
        <v>Male</v>
      </c>
      <c r="E1128" t="s">
        <v>9</v>
      </c>
      <c r="F1128" s="2">
        <v>47</v>
      </c>
      <c r="G1128" s="2" t="str" cm="1">
        <f t="array" ref="G1128">_xlfn.IFS(F1128&lt;=8,"Child",F1128&lt;=17,"Teen",F1128&lt;=35,"Adult",F1128&lt;=55,"Seniour Adult",F1128&gt;=55,"Old Age")</f>
        <v>Seniour Adult</v>
      </c>
      <c r="H1128" t="s">
        <v>67</v>
      </c>
      <c r="I1128" t="s">
        <v>11</v>
      </c>
      <c r="J1128" t="str" cm="1">
        <f t="array" ref="J1128">_xlfn.IFS(I1128="S","Sauthamptonm",I1128="Q","Queentown",I1128="C","Cherburg",I1128="B","Cabin")</f>
        <v>Sauthamptonm</v>
      </c>
      <c r="K1128" t="s">
        <v>15</v>
      </c>
      <c r="L1128" s="2">
        <v>29</v>
      </c>
      <c r="M1128">
        <v>0</v>
      </c>
      <c r="N1128" t="s">
        <v>30</v>
      </c>
      <c r="O1128" t="s">
        <v>13</v>
      </c>
    </row>
    <row r="1129" spans="1:15" x14ac:dyDescent="0.3">
      <c r="A1129" s="1" t="s">
        <v>2131</v>
      </c>
      <c r="B1129" t="s">
        <v>72</v>
      </c>
      <c r="C1129" t="s">
        <v>345</v>
      </c>
      <c r="D1129" t="str">
        <f t="shared" si="17"/>
        <v>Male</v>
      </c>
      <c r="E1129" t="s">
        <v>9</v>
      </c>
      <c r="F1129" s="2">
        <v>25</v>
      </c>
      <c r="G1129" s="2" t="str" cm="1">
        <f t="array" ref="G1129">_xlfn.IFS(F1129&lt;=8,"Child",F1129&lt;=17,"Teen",F1129&lt;=35,"Adult",F1129&lt;=55,"Seniour Adult",F1129&gt;=55,"Old Age")</f>
        <v>Adult</v>
      </c>
      <c r="H1129" t="s">
        <v>67</v>
      </c>
      <c r="I1129" t="s">
        <v>28</v>
      </c>
      <c r="J1129" t="str" cm="1">
        <f t="array" ref="J1129">_xlfn.IFS(I1129="S","Sauthamptonm",I1129="Q","Queentown",I1129="C","Cherburg",I1129="B","Cabin")</f>
        <v>Cabin</v>
      </c>
      <c r="K1129" t="s">
        <v>15</v>
      </c>
      <c r="L1129" s="2">
        <v>29</v>
      </c>
      <c r="M1129">
        <v>0</v>
      </c>
      <c r="N1129" t="s">
        <v>30</v>
      </c>
      <c r="O1129" t="s">
        <v>13</v>
      </c>
    </row>
    <row r="1130" spans="1:15" x14ac:dyDescent="0.3">
      <c r="A1130" s="1" t="s">
        <v>2132</v>
      </c>
      <c r="B1130" t="s">
        <v>72</v>
      </c>
      <c r="C1130" t="s">
        <v>1090</v>
      </c>
      <c r="D1130" t="str">
        <f t="shared" si="17"/>
        <v>Male</v>
      </c>
      <c r="E1130" t="s">
        <v>9</v>
      </c>
      <c r="F1130" s="2">
        <v>54</v>
      </c>
      <c r="G1130" s="2" t="str" cm="1">
        <f t="array" ref="G1130">_xlfn.IFS(F1130&lt;=8,"Child",F1130&lt;=17,"Teen",F1130&lt;=35,"Adult",F1130&lt;=55,"Seniour Adult",F1130&gt;=55,"Old Age")</f>
        <v>Seniour Adult</v>
      </c>
      <c r="H1130" t="s">
        <v>51</v>
      </c>
      <c r="I1130" t="s">
        <v>11</v>
      </c>
      <c r="J1130" t="str" cm="1">
        <f t="array" ref="J1130">_xlfn.IFS(I1130="S","Sauthamptonm",I1130="Q","Queentown",I1130="C","Cherburg",I1130="B","Cabin")</f>
        <v>Sauthamptonm</v>
      </c>
      <c r="K1130" t="s">
        <v>37</v>
      </c>
      <c r="L1130" s="2">
        <v>29</v>
      </c>
      <c r="M1130">
        <v>0</v>
      </c>
      <c r="N1130" t="s">
        <v>30</v>
      </c>
      <c r="O1130" t="s">
        <v>13</v>
      </c>
    </row>
    <row r="1131" spans="1:15" x14ac:dyDescent="0.3">
      <c r="A1131" s="1" t="s">
        <v>2133</v>
      </c>
      <c r="B1131" t="s">
        <v>72</v>
      </c>
      <c r="C1131" t="s">
        <v>698</v>
      </c>
      <c r="D1131" t="str">
        <f t="shared" si="17"/>
        <v>Male</v>
      </c>
      <c r="E1131" t="s">
        <v>9</v>
      </c>
      <c r="F1131" s="2">
        <v>30</v>
      </c>
      <c r="G1131" s="2" t="str" cm="1">
        <f t="array" ref="G1131">_xlfn.IFS(F1131&lt;=8,"Child",F1131&lt;=17,"Teen",F1131&lt;=35,"Adult",F1131&lt;=55,"Seniour Adult",F1131&gt;=55,"Old Age")</f>
        <v>Adult</v>
      </c>
      <c r="H1131" t="s">
        <v>51</v>
      </c>
      <c r="I1131" t="s">
        <v>11</v>
      </c>
      <c r="J1131" t="str" cm="1">
        <f t="array" ref="J1131">_xlfn.IFS(I1131="S","Sauthamptonm",I1131="Q","Queentown",I1131="C","Cherburg",I1131="B","Cabin")</f>
        <v>Sauthamptonm</v>
      </c>
      <c r="K1131" t="s">
        <v>15</v>
      </c>
      <c r="L1131" s="2">
        <v>29</v>
      </c>
      <c r="M1131">
        <v>0</v>
      </c>
      <c r="N1131" t="s">
        <v>30</v>
      </c>
      <c r="O1131" t="s">
        <v>13</v>
      </c>
    </row>
    <row r="1132" spans="1:15" x14ac:dyDescent="0.3">
      <c r="A1132" s="1" t="s">
        <v>2134</v>
      </c>
      <c r="B1132" t="s">
        <v>72</v>
      </c>
      <c r="C1132" t="s">
        <v>363</v>
      </c>
      <c r="D1132" t="str">
        <f t="shared" si="17"/>
        <v>Male</v>
      </c>
      <c r="E1132" t="s">
        <v>9</v>
      </c>
      <c r="F1132" s="2">
        <v>21</v>
      </c>
      <c r="G1132" s="2" t="str" cm="1">
        <f t="array" ref="G1132">_xlfn.IFS(F1132&lt;=8,"Child",F1132&lt;=17,"Teen",F1132&lt;=35,"Adult",F1132&lt;=55,"Seniour Adult",F1132&gt;=55,"Old Age")</f>
        <v>Adult</v>
      </c>
      <c r="H1132" t="s">
        <v>67</v>
      </c>
      <c r="I1132" t="s">
        <v>11</v>
      </c>
      <c r="J1132" t="str" cm="1">
        <f t="array" ref="J1132">_xlfn.IFS(I1132="S","Sauthamptonm",I1132="Q","Queentown",I1132="C","Cherburg",I1132="B","Cabin")</f>
        <v>Sauthamptonm</v>
      </c>
      <c r="K1132" t="s">
        <v>15</v>
      </c>
      <c r="L1132" s="2">
        <v>29</v>
      </c>
      <c r="M1132">
        <v>0</v>
      </c>
      <c r="N1132" t="s">
        <v>30</v>
      </c>
      <c r="O1132" t="s">
        <v>13</v>
      </c>
    </row>
    <row r="1133" spans="1:15" x14ac:dyDescent="0.3">
      <c r="A1133" s="1" t="s">
        <v>2135</v>
      </c>
      <c r="B1133" t="s">
        <v>72</v>
      </c>
      <c r="C1133" t="s">
        <v>713</v>
      </c>
      <c r="D1133" t="str">
        <f t="shared" si="17"/>
        <v>Male</v>
      </c>
      <c r="E1133" t="s">
        <v>9</v>
      </c>
      <c r="F1133" s="2">
        <v>21</v>
      </c>
      <c r="G1133" s="2" t="str" cm="1">
        <f t="array" ref="G1133">_xlfn.IFS(F1133&lt;=8,"Child",F1133&lt;=17,"Teen",F1133&lt;=35,"Adult",F1133&lt;=55,"Seniour Adult",F1133&gt;=55,"Old Age")</f>
        <v>Adult</v>
      </c>
      <c r="H1133" t="s">
        <v>67</v>
      </c>
      <c r="I1133" t="s">
        <v>11</v>
      </c>
      <c r="J1133" t="str" cm="1">
        <f t="array" ref="J1133">_xlfn.IFS(I1133="S","Sauthamptonm",I1133="Q","Queentown",I1133="C","Cherburg",I1133="B","Cabin")</f>
        <v>Sauthamptonm</v>
      </c>
      <c r="K1133" t="s">
        <v>15</v>
      </c>
      <c r="L1133" s="2">
        <v>29</v>
      </c>
      <c r="M1133">
        <v>0</v>
      </c>
      <c r="N1133" t="s">
        <v>30</v>
      </c>
      <c r="O1133" t="s">
        <v>16</v>
      </c>
    </row>
    <row r="1134" spans="1:15" x14ac:dyDescent="0.3">
      <c r="A1134" s="1" t="s">
        <v>2136</v>
      </c>
      <c r="B1134" t="s">
        <v>72</v>
      </c>
      <c r="C1134" t="s">
        <v>90</v>
      </c>
      <c r="D1134" t="str">
        <f t="shared" si="17"/>
        <v>Male</v>
      </c>
      <c r="E1134" t="s">
        <v>9</v>
      </c>
      <c r="F1134" s="2">
        <v>40</v>
      </c>
      <c r="G1134" s="2" t="str" cm="1">
        <f t="array" ref="G1134">_xlfn.IFS(F1134&lt;=8,"Child",F1134&lt;=17,"Teen",F1134&lt;=35,"Adult",F1134&lt;=55,"Seniour Adult",F1134&gt;=55,"Old Age")</f>
        <v>Seniour Adult</v>
      </c>
      <c r="H1134" t="s">
        <v>67</v>
      </c>
      <c r="I1134" t="s">
        <v>28</v>
      </c>
      <c r="J1134" t="str" cm="1">
        <f t="array" ref="J1134">_xlfn.IFS(I1134="S","Sauthamptonm",I1134="Q","Queentown",I1134="C","Cherburg",I1134="B","Cabin")</f>
        <v>Cabin</v>
      </c>
      <c r="K1134" t="s">
        <v>15</v>
      </c>
      <c r="L1134" s="2">
        <v>29</v>
      </c>
      <c r="M1134">
        <v>0</v>
      </c>
      <c r="N1134" t="s">
        <v>30</v>
      </c>
      <c r="O1134" t="s">
        <v>16</v>
      </c>
    </row>
    <row r="1135" spans="1:15" x14ac:dyDescent="0.3">
      <c r="A1135" s="1" t="s">
        <v>2137</v>
      </c>
      <c r="B1135" t="s">
        <v>72</v>
      </c>
      <c r="C1135" t="s">
        <v>2138</v>
      </c>
      <c r="D1135" t="str">
        <f t="shared" si="17"/>
        <v>Male</v>
      </c>
      <c r="E1135" t="s">
        <v>9</v>
      </c>
      <c r="F1135" s="2">
        <v>21</v>
      </c>
      <c r="G1135" s="2" t="str" cm="1">
        <f t="array" ref="G1135">_xlfn.IFS(F1135&lt;=8,"Child",F1135&lt;=17,"Teen",F1135&lt;=35,"Adult",F1135&lt;=55,"Seniour Adult",F1135&gt;=55,"Old Age")</f>
        <v>Adult</v>
      </c>
      <c r="H1135" t="s">
        <v>67</v>
      </c>
      <c r="I1135" t="s">
        <v>11</v>
      </c>
      <c r="J1135" t="str" cm="1">
        <f t="array" ref="J1135">_xlfn.IFS(I1135="S","Sauthamptonm",I1135="Q","Queentown",I1135="C","Cherburg",I1135="B","Cabin")</f>
        <v>Sauthamptonm</v>
      </c>
      <c r="K1135" t="s">
        <v>15</v>
      </c>
      <c r="L1135" s="2">
        <v>29</v>
      </c>
      <c r="M1135">
        <v>0</v>
      </c>
      <c r="N1135" t="s">
        <v>30</v>
      </c>
      <c r="O1135" t="s">
        <v>16</v>
      </c>
    </row>
    <row r="1136" spans="1:15" x14ac:dyDescent="0.3">
      <c r="A1136" s="1" t="s">
        <v>2139</v>
      </c>
      <c r="B1136" t="s">
        <v>72</v>
      </c>
      <c r="C1136" t="s">
        <v>2140</v>
      </c>
      <c r="D1136" t="str">
        <f t="shared" si="17"/>
        <v>Male</v>
      </c>
      <c r="E1136" t="s">
        <v>9</v>
      </c>
      <c r="F1136" s="2">
        <v>34</v>
      </c>
      <c r="G1136" s="2" t="str" cm="1">
        <f t="array" ref="G1136">_xlfn.IFS(F1136&lt;=8,"Child",F1136&lt;=17,"Teen",F1136&lt;=35,"Adult",F1136&lt;=55,"Seniour Adult",F1136&gt;=55,"Old Age")</f>
        <v>Adult</v>
      </c>
      <c r="H1136" t="s">
        <v>51</v>
      </c>
      <c r="I1136" t="s">
        <v>28</v>
      </c>
      <c r="J1136" t="str" cm="1">
        <f t="array" ref="J1136">_xlfn.IFS(I1136="S","Sauthamptonm",I1136="Q","Queentown",I1136="C","Cherburg",I1136="B","Cabin")</f>
        <v>Cabin</v>
      </c>
      <c r="K1136" t="s">
        <v>29</v>
      </c>
      <c r="L1136" s="2">
        <v>29</v>
      </c>
      <c r="M1136">
        <v>0</v>
      </c>
      <c r="N1136" t="s">
        <v>30</v>
      </c>
      <c r="O1136" t="s">
        <v>13</v>
      </c>
    </row>
    <row r="1137" spans="1:15" x14ac:dyDescent="0.3">
      <c r="A1137" s="1" t="s">
        <v>2141</v>
      </c>
      <c r="B1137" t="s">
        <v>72</v>
      </c>
      <c r="C1137" t="s">
        <v>1740</v>
      </c>
      <c r="D1137" t="str">
        <f t="shared" si="17"/>
        <v>Male</v>
      </c>
      <c r="E1137" t="s">
        <v>9</v>
      </c>
      <c r="F1137" s="2">
        <v>23</v>
      </c>
      <c r="G1137" s="2" t="str" cm="1">
        <f t="array" ref="G1137">_xlfn.IFS(F1137&lt;=8,"Child",F1137&lt;=17,"Teen",F1137&lt;=35,"Adult",F1137&lt;=55,"Seniour Adult",F1137&gt;=55,"Old Age")</f>
        <v>Adult</v>
      </c>
      <c r="H1137" t="s">
        <v>67</v>
      </c>
      <c r="I1137" t="s">
        <v>11</v>
      </c>
      <c r="J1137" t="str" cm="1">
        <f t="array" ref="J1137">_xlfn.IFS(I1137="S","Sauthamptonm",I1137="Q","Queentown",I1137="C","Cherburg",I1137="B","Cabin")</f>
        <v>Sauthamptonm</v>
      </c>
      <c r="K1137" t="s">
        <v>15</v>
      </c>
      <c r="L1137" s="2">
        <v>29</v>
      </c>
      <c r="M1137">
        <v>0</v>
      </c>
      <c r="N1137" t="s">
        <v>30</v>
      </c>
      <c r="O1137" t="s">
        <v>13</v>
      </c>
    </row>
    <row r="1138" spans="1:15" x14ac:dyDescent="0.3">
      <c r="A1138" s="1" t="s">
        <v>2142</v>
      </c>
      <c r="B1138" t="s">
        <v>72</v>
      </c>
      <c r="C1138" t="s">
        <v>598</v>
      </c>
      <c r="D1138" t="str">
        <f t="shared" si="17"/>
        <v>Male</v>
      </c>
      <c r="E1138" t="s">
        <v>9</v>
      </c>
      <c r="F1138" s="2">
        <v>52</v>
      </c>
      <c r="G1138" s="2" t="str" cm="1">
        <f t="array" ref="G1138">_xlfn.IFS(F1138&lt;=8,"Child",F1138&lt;=17,"Teen",F1138&lt;=35,"Adult",F1138&lt;=55,"Seniour Adult",F1138&gt;=55,"Old Age")</f>
        <v>Seniour Adult</v>
      </c>
      <c r="H1138" t="s">
        <v>67</v>
      </c>
      <c r="I1138" t="s">
        <v>11</v>
      </c>
      <c r="J1138" t="str" cm="1">
        <f t="array" ref="J1138">_xlfn.IFS(I1138="S","Sauthamptonm",I1138="Q","Queentown",I1138="C","Cherburg",I1138="B","Cabin")</f>
        <v>Sauthamptonm</v>
      </c>
      <c r="K1138" t="s">
        <v>15</v>
      </c>
      <c r="L1138" s="2">
        <v>29</v>
      </c>
      <c r="M1138">
        <v>0</v>
      </c>
      <c r="N1138" t="s">
        <v>30</v>
      </c>
      <c r="O1138" t="s">
        <v>13</v>
      </c>
    </row>
    <row r="1139" spans="1:15" x14ac:dyDescent="0.3">
      <c r="A1139" s="1" t="s">
        <v>2143</v>
      </c>
      <c r="B1139" t="s">
        <v>72</v>
      </c>
      <c r="C1139" t="s">
        <v>618</v>
      </c>
      <c r="D1139" t="str">
        <f t="shared" si="17"/>
        <v>Male</v>
      </c>
      <c r="E1139" t="s">
        <v>9</v>
      </c>
      <c r="F1139" s="2">
        <v>45</v>
      </c>
      <c r="G1139" s="2" t="str" cm="1">
        <f t="array" ref="G1139">_xlfn.IFS(F1139&lt;=8,"Child",F1139&lt;=17,"Teen",F1139&lt;=35,"Adult",F1139&lt;=55,"Seniour Adult",F1139&gt;=55,"Old Age")</f>
        <v>Seniour Adult</v>
      </c>
      <c r="H1139" t="s">
        <v>67</v>
      </c>
      <c r="I1139" t="s">
        <v>28</v>
      </c>
      <c r="J1139" t="str" cm="1">
        <f t="array" ref="J1139">_xlfn.IFS(I1139="S","Sauthamptonm",I1139="Q","Queentown",I1139="C","Cherburg",I1139="B","Cabin")</f>
        <v>Cabin</v>
      </c>
      <c r="K1139" t="s">
        <v>15</v>
      </c>
      <c r="L1139" s="2">
        <v>29</v>
      </c>
      <c r="M1139">
        <v>0</v>
      </c>
      <c r="N1139" t="s">
        <v>30</v>
      </c>
      <c r="O1139" t="s">
        <v>13</v>
      </c>
    </row>
    <row r="1140" spans="1:15" x14ac:dyDescent="0.3">
      <c r="A1140" s="1" t="s">
        <v>2144</v>
      </c>
      <c r="B1140" t="s">
        <v>72</v>
      </c>
      <c r="C1140" t="s">
        <v>99</v>
      </c>
      <c r="D1140" t="str">
        <f t="shared" si="17"/>
        <v>Male</v>
      </c>
      <c r="E1140" t="s">
        <v>9</v>
      </c>
      <c r="F1140" s="2">
        <v>22</v>
      </c>
      <c r="G1140" s="2" t="str" cm="1">
        <f t="array" ref="G1140">_xlfn.IFS(F1140&lt;=8,"Child",F1140&lt;=17,"Teen",F1140&lt;=35,"Adult",F1140&lt;=55,"Seniour Adult",F1140&gt;=55,"Old Age")</f>
        <v>Adult</v>
      </c>
      <c r="H1140" t="s">
        <v>51</v>
      </c>
      <c r="I1140" t="s">
        <v>11</v>
      </c>
      <c r="J1140" t="str" cm="1">
        <f t="array" ref="J1140">_xlfn.IFS(I1140="S","Sauthamptonm",I1140="Q","Queentown",I1140="C","Cherburg",I1140="B","Cabin")</f>
        <v>Sauthamptonm</v>
      </c>
      <c r="K1140" t="s">
        <v>15</v>
      </c>
      <c r="L1140" s="2">
        <v>29</v>
      </c>
      <c r="M1140">
        <v>0</v>
      </c>
      <c r="N1140" t="s">
        <v>30</v>
      </c>
      <c r="O1140" t="s">
        <v>16</v>
      </c>
    </row>
    <row r="1141" spans="1:15" x14ac:dyDescent="0.3">
      <c r="A1141" s="1" t="s">
        <v>2145</v>
      </c>
      <c r="B1141" t="s">
        <v>72</v>
      </c>
      <c r="C1141" t="s">
        <v>2146</v>
      </c>
      <c r="D1141" t="str">
        <f t="shared" si="17"/>
        <v>Male</v>
      </c>
      <c r="E1141" t="s">
        <v>9</v>
      </c>
      <c r="F1141" s="2">
        <v>30</v>
      </c>
      <c r="G1141" s="2" t="str" cm="1">
        <f t="array" ref="G1141">_xlfn.IFS(F1141&lt;=8,"Child",F1141&lt;=17,"Teen",F1141&lt;=35,"Adult",F1141&lt;=55,"Seniour Adult",F1141&gt;=55,"Old Age")</f>
        <v>Adult</v>
      </c>
      <c r="H1141" t="s">
        <v>67</v>
      </c>
      <c r="I1141" t="s">
        <v>11</v>
      </c>
      <c r="J1141" t="str" cm="1">
        <f t="array" ref="J1141">_xlfn.IFS(I1141="S","Sauthamptonm",I1141="Q","Queentown",I1141="C","Cherburg",I1141="B","Cabin")</f>
        <v>Sauthamptonm</v>
      </c>
      <c r="K1141" t="s">
        <v>15</v>
      </c>
      <c r="L1141" s="2">
        <v>29</v>
      </c>
      <c r="M1141">
        <v>0</v>
      </c>
      <c r="N1141" t="s">
        <v>30</v>
      </c>
      <c r="O1141" t="s">
        <v>13</v>
      </c>
    </row>
    <row r="1142" spans="1:15" x14ac:dyDescent="0.3">
      <c r="A1142" s="1" t="s">
        <v>2147</v>
      </c>
      <c r="B1142" t="s">
        <v>72</v>
      </c>
      <c r="C1142" t="s">
        <v>2148</v>
      </c>
      <c r="D1142" t="str">
        <f t="shared" si="17"/>
        <v>Male</v>
      </c>
      <c r="E1142" t="s">
        <v>9</v>
      </c>
      <c r="F1142" s="2">
        <v>43</v>
      </c>
      <c r="G1142" s="2" t="str" cm="1">
        <f t="array" ref="G1142">_xlfn.IFS(F1142&lt;=8,"Child",F1142&lt;=17,"Teen",F1142&lt;=35,"Adult",F1142&lt;=55,"Seniour Adult",F1142&gt;=55,"Old Age")</f>
        <v>Seniour Adult</v>
      </c>
      <c r="H1142" t="s">
        <v>69</v>
      </c>
      <c r="I1142" t="s">
        <v>28</v>
      </c>
      <c r="J1142" t="str" cm="1">
        <f t="array" ref="J1142">_xlfn.IFS(I1142="S","Sauthamptonm",I1142="Q","Queentown",I1142="C","Cherburg",I1142="B","Cabin")</f>
        <v>Cabin</v>
      </c>
      <c r="K1142" t="s">
        <v>15</v>
      </c>
      <c r="L1142" s="2">
        <v>29</v>
      </c>
      <c r="M1142">
        <v>0</v>
      </c>
      <c r="N1142" t="s">
        <v>30</v>
      </c>
      <c r="O1142" t="s">
        <v>16</v>
      </c>
    </row>
    <row r="1143" spans="1:15" x14ac:dyDescent="0.3">
      <c r="A1143" s="1" t="s">
        <v>2149</v>
      </c>
      <c r="B1143" t="s">
        <v>72</v>
      </c>
      <c r="C1143" t="s">
        <v>2150</v>
      </c>
      <c r="D1143" t="str">
        <f t="shared" si="17"/>
        <v>Male</v>
      </c>
      <c r="E1143" t="s">
        <v>9</v>
      </c>
      <c r="F1143" s="2">
        <v>28</v>
      </c>
      <c r="G1143" s="2" t="str" cm="1">
        <f t="array" ref="G1143">_xlfn.IFS(F1143&lt;=8,"Child",F1143&lt;=17,"Teen",F1143&lt;=35,"Adult",F1143&lt;=55,"Seniour Adult",F1143&gt;=55,"Old Age")</f>
        <v>Adult</v>
      </c>
      <c r="H1143" t="s">
        <v>51</v>
      </c>
      <c r="I1143" t="s">
        <v>11</v>
      </c>
      <c r="J1143" t="str" cm="1">
        <f t="array" ref="J1143">_xlfn.IFS(I1143="S","Sauthamptonm",I1143="Q","Queentown",I1143="C","Cherburg",I1143="B","Cabin")</f>
        <v>Sauthamptonm</v>
      </c>
      <c r="K1143" t="s">
        <v>15</v>
      </c>
      <c r="L1143" s="2">
        <v>29</v>
      </c>
      <c r="M1143">
        <v>0</v>
      </c>
      <c r="N1143" t="s">
        <v>30</v>
      </c>
      <c r="O1143" t="s">
        <v>16</v>
      </c>
    </row>
    <row r="1144" spans="1:15" x14ac:dyDescent="0.3">
      <c r="A1144" s="1" t="s">
        <v>2151</v>
      </c>
      <c r="B1144" t="s">
        <v>72</v>
      </c>
      <c r="C1144" t="s">
        <v>2152</v>
      </c>
      <c r="D1144" t="str">
        <f t="shared" si="17"/>
        <v>Male</v>
      </c>
      <c r="E1144" t="s">
        <v>9</v>
      </c>
      <c r="F1144" s="2">
        <v>40</v>
      </c>
      <c r="G1144" s="2" t="str" cm="1">
        <f t="array" ref="G1144">_xlfn.IFS(F1144&lt;=8,"Child",F1144&lt;=17,"Teen",F1144&lt;=35,"Adult",F1144&lt;=55,"Seniour Adult",F1144&gt;=55,"Old Age")</f>
        <v>Seniour Adult</v>
      </c>
      <c r="H1144" t="s">
        <v>67</v>
      </c>
      <c r="I1144" t="s">
        <v>28</v>
      </c>
      <c r="J1144" t="str" cm="1">
        <f t="array" ref="J1144">_xlfn.IFS(I1144="S","Sauthamptonm",I1144="Q","Queentown",I1144="C","Cherburg",I1144="B","Cabin")</f>
        <v>Cabin</v>
      </c>
      <c r="K1144" t="s">
        <v>15</v>
      </c>
      <c r="L1144" s="2">
        <v>29</v>
      </c>
      <c r="M1144">
        <v>0</v>
      </c>
      <c r="N1144" t="s">
        <v>30</v>
      </c>
      <c r="O1144" t="s">
        <v>13</v>
      </c>
    </row>
    <row r="1145" spans="1:15" x14ac:dyDescent="0.3">
      <c r="A1145" s="1" t="s">
        <v>2153</v>
      </c>
      <c r="B1145" t="s">
        <v>72</v>
      </c>
      <c r="C1145" t="s">
        <v>2154</v>
      </c>
      <c r="D1145" t="str">
        <f t="shared" si="17"/>
        <v>Male</v>
      </c>
      <c r="E1145" t="s">
        <v>9</v>
      </c>
      <c r="F1145" s="2">
        <v>26</v>
      </c>
      <c r="G1145" s="2" t="str" cm="1">
        <f t="array" ref="G1145">_xlfn.IFS(F1145&lt;=8,"Child",F1145&lt;=17,"Teen",F1145&lt;=35,"Adult",F1145&lt;=55,"Seniour Adult",F1145&gt;=55,"Old Age")</f>
        <v>Adult</v>
      </c>
      <c r="H1145" t="s">
        <v>67</v>
      </c>
      <c r="I1145" t="s">
        <v>11</v>
      </c>
      <c r="J1145" t="str" cm="1">
        <f t="array" ref="J1145">_xlfn.IFS(I1145="S","Sauthamptonm",I1145="Q","Queentown",I1145="C","Cherburg",I1145="B","Cabin")</f>
        <v>Sauthamptonm</v>
      </c>
      <c r="K1145" t="s">
        <v>15</v>
      </c>
      <c r="L1145" s="2">
        <v>29</v>
      </c>
      <c r="M1145">
        <v>0</v>
      </c>
      <c r="N1145" t="s">
        <v>30</v>
      </c>
      <c r="O1145" t="s">
        <v>13</v>
      </c>
    </row>
    <row r="1146" spans="1:15" x14ac:dyDescent="0.3">
      <c r="A1146" s="1" t="s">
        <v>2155</v>
      </c>
      <c r="B1146" t="s">
        <v>72</v>
      </c>
      <c r="C1146" t="s">
        <v>379</v>
      </c>
      <c r="D1146" t="str">
        <f t="shared" si="17"/>
        <v>Male</v>
      </c>
      <c r="E1146" t="s">
        <v>9</v>
      </c>
      <c r="F1146" s="2">
        <v>33</v>
      </c>
      <c r="G1146" s="2" t="str" cm="1">
        <f t="array" ref="G1146">_xlfn.IFS(F1146&lt;=8,"Child",F1146&lt;=17,"Teen",F1146&lt;=35,"Adult",F1146&lt;=55,"Seniour Adult",F1146&gt;=55,"Old Age")</f>
        <v>Adult</v>
      </c>
      <c r="H1146" t="s">
        <v>51</v>
      </c>
      <c r="I1146" t="s">
        <v>28</v>
      </c>
      <c r="J1146" t="str" cm="1">
        <f t="array" ref="J1146">_xlfn.IFS(I1146="S","Sauthamptonm",I1146="Q","Queentown",I1146="C","Cherburg",I1146="B","Cabin")</f>
        <v>Cabin</v>
      </c>
      <c r="K1146" t="s">
        <v>15</v>
      </c>
      <c r="L1146" s="2">
        <v>29</v>
      </c>
      <c r="M1146">
        <v>0</v>
      </c>
      <c r="N1146" t="s">
        <v>30</v>
      </c>
      <c r="O1146" t="s">
        <v>13</v>
      </c>
    </row>
    <row r="1147" spans="1:15" x14ac:dyDescent="0.3">
      <c r="A1147" s="1" t="s">
        <v>2156</v>
      </c>
      <c r="B1147" t="s">
        <v>72</v>
      </c>
      <c r="C1147" t="s">
        <v>598</v>
      </c>
      <c r="D1147" t="str">
        <f t="shared" si="17"/>
        <v>Male</v>
      </c>
      <c r="E1147" t="s">
        <v>9</v>
      </c>
      <c r="F1147" s="2">
        <v>45</v>
      </c>
      <c r="G1147" s="2" t="str" cm="1">
        <f t="array" ref="G1147">_xlfn.IFS(F1147&lt;=8,"Child",F1147&lt;=17,"Teen",F1147&lt;=35,"Adult",F1147&lt;=55,"Seniour Adult",F1147&gt;=55,"Old Age")</f>
        <v>Seniour Adult</v>
      </c>
      <c r="H1147" t="s">
        <v>51</v>
      </c>
      <c r="I1147" t="s">
        <v>11</v>
      </c>
      <c r="J1147" t="str" cm="1">
        <f t="array" ref="J1147">_xlfn.IFS(I1147="S","Sauthamptonm",I1147="Q","Queentown",I1147="C","Cherburg",I1147="B","Cabin")</f>
        <v>Sauthamptonm</v>
      </c>
      <c r="K1147" t="s">
        <v>15</v>
      </c>
      <c r="L1147" s="2">
        <v>29</v>
      </c>
      <c r="M1147">
        <v>0</v>
      </c>
      <c r="N1147" t="s">
        <v>30</v>
      </c>
      <c r="O1147" t="s">
        <v>13</v>
      </c>
    </row>
    <row r="1148" spans="1:15" x14ac:dyDescent="0.3">
      <c r="A1148" s="1" t="s">
        <v>2157</v>
      </c>
      <c r="B1148" t="s">
        <v>72</v>
      </c>
      <c r="C1148" t="s">
        <v>128</v>
      </c>
      <c r="D1148" t="str">
        <f t="shared" si="17"/>
        <v>Male</v>
      </c>
      <c r="E1148" t="s">
        <v>9</v>
      </c>
      <c r="F1148" s="2">
        <v>37</v>
      </c>
      <c r="G1148" s="2" t="str" cm="1">
        <f t="array" ref="G1148">_xlfn.IFS(F1148&lt;=8,"Child",F1148&lt;=17,"Teen",F1148&lt;=35,"Adult",F1148&lt;=55,"Seniour Adult",F1148&gt;=55,"Old Age")</f>
        <v>Seniour Adult</v>
      </c>
      <c r="H1148" t="s">
        <v>67</v>
      </c>
      <c r="I1148" t="s">
        <v>28</v>
      </c>
      <c r="J1148" t="str" cm="1">
        <f t="array" ref="J1148">_xlfn.IFS(I1148="S","Sauthamptonm",I1148="Q","Queentown",I1148="C","Cherburg",I1148="B","Cabin")</f>
        <v>Cabin</v>
      </c>
      <c r="K1148" t="s">
        <v>15</v>
      </c>
      <c r="L1148" s="2">
        <v>29</v>
      </c>
      <c r="M1148">
        <v>0</v>
      </c>
      <c r="N1148" t="s">
        <v>30</v>
      </c>
      <c r="O1148" t="s">
        <v>13</v>
      </c>
    </row>
    <row r="1149" spans="1:15" x14ac:dyDescent="0.3">
      <c r="A1149" s="1" t="s">
        <v>2158</v>
      </c>
      <c r="B1149" t="s">
        <v>72</v>
      </c>
      <c r="C1149" t="s">
        <v>932</v>
      </c>
      <c r="D1149" t="str">
        <f t="shared" si="17"/>
        <v>Male</v>
      </c>
      <c r="E1149" t="s">
        <v>9</v>
      </c>
      <c r="F1149" s="2">
        <v>29</v>
      </c>
      <c r="G1149" s="2" t="str" cm="1">
        <f t="array" ref="G1149">_xlfn.IFS(F1149&lt;=8,"Child",F1149&lt;=17,"Teen",F1149&lt;=35,"Adult",F1149&lt;=55,"Seniour Adult",F1149&gt;=55,"Old Age")</f>
        <v>Adult</v>
      </c>
      <c r="H1149" t="s">
        <v>69</v>
      </c>
      <c r="I1149" t="s">
        <v>11</v>
      </c>
      <c r="J1149" t="str" cm="1">
        <f t="array" ref="J1149">_xlfn.IFS(I1149="S","Sauthamptonm",I1149="Q","Queentown",I1149="C","Cherburg",I1149="B","Cabin")</f>
        <v>Sauthamptonm</v>
      </c>
      <c r="K1149" t="s">
        <v>15</v>
      </c>
      <c r="L1149" s="2">
        <v>29</v>
      </c>
      <c r="M1149">
        <v>0</v>
      </c>
      <c r="N1149" t="s">
        <v>30</v>
      </c>
      <c r="O1149" t="s">
        <v>16</v>
      </c>
    </row>
    <row r="1150" spans="1:15" x14ac:dyDescent="0.3">
      <c r="A1150" s="1" t="s">
        <v>2159</v>
      </c>
      <c r="B1150" t="s">
        <v>72</v>
      </c>
      <c r="C1150" t="s">
        <v>1886</v>
      </c>
      <c r="D1150" t="str">
        <f t="shared" si="17"/>
        <v>Male</v>
      </c>
      <c r="E1150" t="s">
        <v>9</v>
      </c>
      <c r="F1150" s="2">
        <v>36</v>
      </c>
      <c r="G1150" s="2" t="str" cm="1">
        <f t="array" ref="G1150">_xlfn.IFS(F1150&lt;=8,"Child",F1150&lt;=17,"Teen",F1150&lt;=35,"Adult",F1150&lt;=55,"Seniour Adult",F1150&gt;=55,"Old Age")</f>
        <v>Seniour Adult</v>
      </c>
      <c r="H1150" t="s">
        <v>67</v>
      </c>
      <c r="I1150" t="s">
        <v>11</v>
      </c>
      <c r="J1150" t="str" cm="1">
        <f t="array" ref="J1150">_xlfn.IFS(I1150="S","Sauthamptonm",I1150="Q","Queentown",I1150="C","Cherburg",I1150="B","Cabin")</f>
        <v>Sauthamptonm</v>
      </c>
      <c r="K1150" t="s">
        <v>15</v>
      </c>
      <c r="L1150" s="2">
        <v>29</v>
      </c>
      <c r="M1150">
        <v>0</v>
      </c>
      <c r="N1150" t="s">
        <v>30</v>
      </c>
      <c r="O1150" t="s">
        <v>13</v>
      </c>
    </row>
    <row r="1151" spans="1:15" x14ac:dyDescent="0.3">
      <c r="A1151" s="1" t="s">
        <v>2160</v>
      </c>
      <c r="B1151" t="s">
        <v>72</v>
      </c>
      <c r="C1151" t="s">
        <v>2161</v>
      </c>
      <c r="D1151" t="str">
        <f t="shared" si="17"/>
        <v>Male</v>
      </c>
      <c r="E1151" t="s">
        <v>9</v>
      </c>
      <c r="F1151" s="2">
        <v>40</v>
      </c>
      <c r="G1151" s="2" t="str" cm="1">
        <f t="array" ref="G1151">_xlfn.IFS(F1151&lt;=8,"Child",F1151&lt;=17,"Teen",F1151&lt;=35,"Adult",F1151&lt;=55,"Seniour Adult",F1151&gt;=55,"Old Age")</f>
        <v>Seniour Adult</v>
      </c>
      <c r="H1151" t="s">
        <v>67</v>
      </c>
      <c r="I1151" t="s">
        <v>11</v>
      </c>
      <c r="J1151" t="str" cm="1">
        <f t="array" ref="J1151">_xlfn.IFS(I1151="S","Sauthamptonm",I1151="Q","Queentown",I1151="C","Cherburg",I1151="B","Cabin")</f>
        <v>Sauthamptonm</v>
      </c>
      <c r="K1151" t="s">
        <v>15</v>
      </c>
      <c r="L1151" s="2">
        <v>29</v>
      </c>
      <c r="M1151">
        <v>0</v>
      </c>
      <c r="N1151" t="s">
        <v>30</v>
      </c>
      <c r="O1151" t="s">
        <v>13</v>
      </c>
    </row>
    <row r="1152" spans="1:15" x14ac:dyDescent="0.3">
      <c r="A1152" s="1" t="s">
        <v>2162</v>
      </c>
      <c r="B1152" t="s">
        <v>72</v>
      </c>
      <c r="C1152" t="s">
        <v>779</v>
      </c>
      <c r="D1152" t="str">
        <f t="shared" si="17"/>
        <v>Male</v>
      </c>
      <c r="E1152" t="s">
        <v>9</v>
      </c>
      <c r="F1152" s="2">
        <v>36</v>
      </c>
      <c r="G1152" s="2" t="str" cm="1">
        <f t="array" ref="G1152">_xlfn.IFS(F1152&lt;=8,"Child",F1152&lt;=17,"Teen",F1152&lt;=35,"Adult",F1152&lt;=55,"Seniour Adult",F1152&gt;=55,"Old Age")</f>
        <v>Seniour Adult</v>
      </c>
      <c r="H1152" t="s">
        <v>67</v>
      </c>
      <c r="I1152" t="s">
        <v>11</v>
      </c>
      <c r="J1152" t="str" cm="1">
        <f t="array" ref="J1152">_xlfn.IFS(I1152="S","Sauthamptonm",I1152="Q","Queentown",I1152="C","Cherburg",I1152="B","Cabin")</f>
        <v>Sauthamptonm</v>
      </c>
      <c r="K1152" t="s">
        <v>15</v>
      </c>
      <c r="L1152" s="2">
        <v>29</v>
      </c>
      <c r="M1152">
        <v>0</v>
      </c>
      <c r="N1152" t="s">
        <v>30</v>
      </c>
      <c r="O1152" t="s">
        <v>13</v>
      </c>
    </row>
    <row r="1153" spans="1:15" x14ac:dyDescent="0.3">
      <c r="A1153" s="1" t="s">
        <v>2163</v>
      </c>
      <c r="B1153" t="s">
        <v>72</v>
      </c>
      <c r="C1153" t="s">
        <v>2164</v>
      </c>
      <c r="D1153" t="str">
        <f t="shared" si="17"/>
        <v>Male</v>
      </c>
      <c r="E1153" t="s">
        <v>9</v>
      </c>
      <c r="F1153" s="2">
        <v>31</v>
      </c>
      <c r="G1153" s="2" t="str" cm="1">
        <f t="array" ref="G1153">_xlfn.IFS(F1153&lt;=8,"Child",F1153&lt;=17,"Teen",F1153&lt;=35,"Adult",F1153&lt;=55,"Seniour Adult",F1153&gt;=55,"Old Age")</f>
        <v>Adult</v>
      </c>
      <c r="H1153" t="s">
        <v>51</v>
      </c>
      <c r="I1153" t="s">
        <v>11</v>
      </c>
      <c r="J1153" t="str" cm="1">
        <f t="array" ref="J1153">_xlfn.IFS(I1153="S","Sauthamptonm",I1153="Q","Queentown",I1153="C","Cherburg",I1153="B","Cabin")</f>
        <v>Sauthamptonm</v>
      </c>
      <c r="K1153" t="s">
        <v>15</v>
      </c>
      <c r="L1153" s="2">
        <v>29</v>
      </c>
      <c r="M1153">
        <v>0</v>
      </c>
      <c r="N1153" t="s">
        <v>30</v>
      </c>
      <c r="O1153" t="s">
        <v>13</v>
      </c>
    </row>
    <row r="1154" spans="1:15" x14ac:dyDescent="0.3">
      <c r="A1154" s="1" t="s">
        <v>2165</v>
      </c>
      <c r="B1154" t="s">
        <v>72</v>
      </c>
      <c r="C1154" t="s">
        <v>2166</v>
      </c>
      <c r="D1154" t="str">
        <f t="shared" ref="D1154:D1217" si="18">PROPER(E1154)</f>
        <v>Male</v>
      </c>
      <c r="E1154" t="s">
        <v>9</v>
      </c>
      <c r="F1154" s="2">
        <v>25</v>
      </c>
      <c r="G1154" s="2" t="str" cm="1">
        <f t="array" ref="G1154">_xlfn.IFS(F1154&lt;=8,"Child",F1154&lt;=17,"Teen",F1154&lt;=35,"Adult",F1154&lt;=55,"Seniour Adult",F1154&gt;=55,"Old Age")</f>
        <v>Adult</v>
      </c>
      <c r="H1154" t="s">
        <v>67</v>
      </c>
      <c r="I1154" t="s">
        <v>11</v>
      </c>
      <c r="J1154" t="str" cm="1">
        <f t="array" ref="J1154">_xlfn.IFS(I1154="S","Sauthamptonm",I1154="Q","Queentown",I1154="C","Cherburg",I1154="B","Cabin")</f>
        <v>Sauthamptonm</v>
      </c>
      <c r="K1154" t="s">
        <v>15</v>
      </c>
      <c r="L1154" s="2">
        <v>29</v>
      </c>
      <c r="M1154">
        <v>0</v>
      </c>
      <c r="N1154" t="s">
        <v>30</v>
      </c>
      <c r="O1154" t="s">
        <v>13</v>
      </c>
    </row>
    <row r="1155" spans="1:15" x14ac:dyDescent="0.3">
      <c r="A1155" s="1" t="s">
        <v>2167</v>
      </c>
      <c r="B1155" t="s">
        <v>72</v>
      </c>
      <c r="C1155" t="s">
        <v>2168</v>
      </c>
      <c r="D1155" t="str">
        <f t="shared" si="18"/>
        <v>Male</v>
      </c>
      <c r="E1155" t="s">
        <v>9</v>
      </c>
      <c r="F1155" s="2">
        <v>19</v>
      </c>
      <c r="G1155" s="2" t="str" cm="1">
        <f t="array" ref="G1155">_xlfn.IFS(F1155&lt;=8,"Child",F1155&lt;=17,"Teen",F1155&lt;=35,"Adult",F1155&lt;=55,"Seniour Adult",F1155&gt;=55,"Old Age")</f>
        <v>Adult</v>
      </c>
      <c r="H1155" t="s">
        <v>67</v>
      </c>
      <c r="I1155" t="s">
        <v>28</v>
      </c>
      <c r="J1155" t="str" cm="1">
        <f t="array" ref="J1155">_xlfn.IFS(I1155="S","Sauthamptonm",I1155="Q","Queentown",I1155="C","Cherburg",I1155="B","Cabin")</f>
        <v>Cabin</v>
      </c>
      <c r="K1155" t="s">
        <v>15</v>
      </c>
      <c r="L1155" s="2">
        <v>29</v>
      </c>
      <c r="M1155">
        <v>0</v>
      </c>
      <c r="N1155" t="s">
        <v>30</v>
      </c>
      <c r="O1155" t="s">
        <v>13</v>
      </c>
    </row>
    <row r="1156" spans="1:15" x14ac:dyDescent="0.3">
      <c r="A1156" s="1" t="s">
        <v>2169</v>
      </c>
      <c r="B1156" t="s">
        <v>72</v>
      </c>
      <c r="C1156" t="s">
        <v>2170</v>
      </c>
      <c r="D1156" t="str">
        <f t="shared" si="18"/>
        <v>Male</v>
      </c>
      <c r="E1156" t="s">
        <v>9</v>
      </c>
      <c r="F1156" s="2">
        <v>29</v>
      </c>
      <c r="G1156" s="2" t="str" cm="1">
        <f t="array" ref="G1156">_xlfn.IFS(F1156&lt;=8,"Child",F1156&lt;=17,"Teen",F1156&lt;=35,"Adult",F1156&lt;=55,"Seniour Adult",F1156&gt;=55,"Old Age")</f>
        <v>Adult</v>
      </c>
      <c r="H1156" t="s">
        <v>51</v>
      </c>
      <c r="I1156" t="s">
        <v>28</v>
      </c>
      <c r="J1156" t="str" cm="1">
        <f t="array" ref="J1156">_xlfn.IFS(I1156="S","Sauthamptonm",I1156="Q","Queentown",I1156="C","Cherburg",I1156="B","Cabin")</f>
        <v>Cabin</v>
      </c>
      <c r="K1156" t="s">
        <v>15</v>
      </c>
      <c r="L1156" s="2">
        <v>29</v>
      </c>
      <c r="M1156">
        <v>0</v>
      </c>
      <c r="N1156" t="s">
        <v>30</v>
      </c>
      <c r="O1156" t="s">
        <v>13</v>
      </c>
    </row>
    <row r="1157" spans="1:15" x14ac:dyDescent="0.3">
      <c r="A1157" s="1" t="s">
        <v>2171</v>
      </c>
      <c r="B1157" t="s">
        <v>72</v>
      </c>
      <c r="C1157" t="s">
        <v>2172</v>
      </c>
      <c r="D1157" t="str">
        <f t="shared" si="18"/>
        <v>Male</v>
      </c>
      <c r="E1157" t="s">
        <v>9</v>
      </c>
      <c r="F1157" s="2">
        <v>46</v>
      </c>
      <c r="G1157" s="2" t="str" cm="1">
        <f t="array" ref="G1157">_xlfn.IFS(F1157&lt;=8,"Child",F1157&lt;=17,"Teen",F1157&lt;=35,"Adult",F1157&lt;=55,"Seniour Adult",F1157&gt;=55,"Old Age")</f>
        <v>Seniour Adult</v>
      </c>
      <c r="H1157" t="s">
        <v>51</v>
      </c>
      <c r="I1157" t="s">
        <v>28</v>
      </c>
      <c r="J1157" t="str" cm="1">
        <f t="array" ref="J1157">_xlfn.IFS(I1157="S","Sauthamptonm",I1157="Q","Queentown",I1157="C","Cherburg",I1157="B","Cabin")</f>
        <v>Cabin</v>
      </c>
      <c r="K1157" t="s">
        <v>15</v>
      </c>
      <c r="L1157" s="2">
        <v>29</v>
      </c>
      <c r="M1157">
        <v>0</v>
      </c>
      <c r="N1157" t="s">
        <v>30</v>
      </c>
      <c r="O1157" t="s">
        <v>13</v>
      </c>
    </row>
    <row r="1158" spans="1:15" x14ac:dyDescent="0.3">
      <c r="A1158" s="1" t="s">
        <v>2173</v>
      </c>
      <c r="B1158" t="s">
        <v>72</v>
      </c>
      <c r="C1158" t="s">
        <v>1686</v>
      </c>
      <c r="D1158" t="str">
        <f t="shared" si="18"/>
        <v>Male</v>
      </c>
      <c r="E1158" t="s">
        <v>9</v>
      </c>
      <c r="F1158" s="2">
        <v>43</v>
      </c>
      <c r="G1158" s="2" t="str" cm="1">
        <f t="array" ref="G1158">_xlfn.IFS(F1158&lt;=8,"Child",F1158&lt;=17,"Teen",F1158&lt;=35,"Adult",F1158&lt;=55,"Seniour Adult",F1158&gt;=55,"Old Age")</f>
        <v>Seniour Adult</v>
      </c>
      <c r="H1158" t="s">
        <v>67</v>
      </c>
      <c r="I1158" t="s">
        <v>11</v>
      </c>
      <c r="J1158" t="str" cm="1">
        <f t="array" ref="J1158">_xlfn.IFS(I1158="S","Sauthamptonm",I1158="Q","Queentown",I1158="C","Cherburg",I1158="B","Cabin")</f>
        <v>Sauthamptonm</v>
      </c>
      <c r="K1158" t="s">
        <v>15</v>
      </c>
      <c r="L1158" s="2">
        <v>29</v>
      </c>
      <c r="M1158">
        <v>0</v>
      </c>
      <c r="N1158" t="s">
        <v>30</v>
      </c>
      <c r="O1158" t="s">
        <v>13</v>
      </c>
    </row>
    <row r="1159" spans="1:15" x14ac:dyDescent="0.3">
      <c r="A1159" s="1" t="s">
        <v>2174</v>
      </c>
      <c r="B1159" t="s">
        <v>72</v>
      </c>
      <c r="C1159" t="s">
        <v>1887</v>
      </c>
      <c r="D1159" t="str">
        <f t="shared" si="18"/>
        <v>Male</v>
      </c>
      <c r="E1159" t="s">
        <v>9</v>
      </c>
      <c r="F1159" s="2">
        <v>22</v>
      </c>
      <c r="G1159" s="2" t="str" cm="1">
        <f t="array" ref="G1159">_xlfn.IFS(F1159&lt;=8,"Child",F1159&lt;=17,"Teen",F1159&lt;=35,"Adult",F1159&lt;=55,"Seniour Adult",F1159&gt;=55,"Old Age")</f>
        <v>Adult</v>
      </c>
      <c r="H1159" t="s">
        <v>67</v>
      </c>
      <c r="I1159" t="s">
        <v>11</v>
      </c>
      <c r="J1159" t="str" cm="1">
        <f t="array" ref="J1159">_xlfn.IFS(I1159="S","Sauthamptonm",I1159="Q","Queentown",I1159="C","Cherburg",I1159="B","Cabin")</f>
        <v>Sauthamptonm</v>
      </c>
      <c r="K1159" t="s">
        <v>15</v>
      </c>
      <c r="L1159" s="2">
        <v>29</v>
      </c>
      <c r="M1159">
        <v>0</v>
      </c>
      <c r="N1159" t="s">
        <v>30</v>
      </c>
      <c r="O1159" t="s">
        <v>13</v>
      </c>
    </row>
    <row r="1160" spans="1:15" x14ac:dyDescent="0.3">
      <c r="A1160" s="1" t="s">
        <v>2175</v>
      </c>
      <c r="B1160" t="s">
        <v>72</v>
      </c>
      <c r="C1160" t="s">
        <v>128</v>
      </c>
      <c r="D1160" t="str">
        <f t="shared" si="18"/>
        <v>Male</v>
      </c>
      <c r="E1160" t="s">
        <v>9</v>
      </c>
      <c r="F1160" s="2">
        <v>28</v>
      </c>
      <c r="G1160" s="2" t="str" cm="1">
        <f t="array" ref="G1160">_xlfn.IFS(F1160&lt;=8,"Child",F1160&lt;=17,"Teen",F1160&lt;=35,"Adult",F1160&lt;=55,"Seniour Adult",F1160&gt;=55,"Old Age")</f>
        <v>Adult</v>
      </c>
      <c r="H1160" t="s">
        <v>67</v>
      </c>
      <c r="I1160" t="s">
        <v>28</v>
      </c>
      <c r="J1160" t="str" cm="1">
        <f t="array" ref="J1160">_xlfn.IFS(I1160="S","Sauthamptonm",I1160="Q","Queentown",I1160="C","Cherburg",I1160="B","Cabin")</f>
        <v>Cabin</v>
      </c>
      <c r="K1160" t="s">
        <v>15</v>
      </c>
      <c r="L1160" s="2">
        <v>29</v>
      </c>
      <c r="M1160">
        <v>0</v>
      </c>
      <c r="N1160" t="s">
        <v>30</v>
      </c>
      <c r="O1160" t="s">
        <v>13</v>
      </c>
    </row>
    <row r="1161" spans="1:15" x14ac:dyDescent="0.3">
      <c r="A1161" s="1" t="s">
        <v>2176</v>
      </c>
      <c r="B1161" t="s">
        <v>72</v>
      </c>
      <c r="C1161" t="s">
        <v>2177</v>
      </c>
      <c r="D1161" t="str">
        <f t="shared" si="18"/>
        <v>Male</v>
      </c>
      <c r="E1161" t="s">
        <v>9</v>
      </c>
      <c r="F1161" s="2">
        <v>24</v>
      </c>
      <c r="G1161" s="2" t="str" cm="1">
        <f t="array" ref="G1161">_xlfn.IFS(F1161&lt;=8,"Child",F1161&lt;=17,"Teen",F1161&lt;=35,"Adult",F1161&lt;=55,"Seniour Adult",F1161&gt;=55,"Old Age")</f>
        <v>Adult</v>
      </c>
      <c r="H1161" t="s">
        <v>67</v>
      </c>
      <c r="I1161" t="s">
        <v>11</v>
      </c>
      <c r="J1161" t="str" cm="1">
        <f t="array" ref="J1161">_xlfn.IFS(I1161="S","Sauthamptonm",I1161="Q","Queentown",I1161="C","Cherburg",I1161="B","Cabin")</f>
        <v>Sauthamptonm</v>
      </c>
      <c r="K1161" t="s">
        <v>15</v>
      </c>
      <c r="L1161" s="2">
        <v>29</v>
      </c>
      <c r="M1161">
        <v>0</v>
      </c>
      <c r="N1161" t="s">
        <v>30</v>
      </c>
      <c r="O1161" t="s">
        <v>13</v>
      </c>
    </row>
    <row r="1162" spans="1:15" x14ac:dyDescent="0.3">
      <c r="A1162" s="1" t="s">
        <v>2178</v>
      </c>
      <c r="B1162" t="s">
        <v>72</v>
      </c>
      <c r="C1162" t="s">
        <v>119</v>
      </c>
      <c r="D1162" t="str">
        <f t="shared" si="18"/>
        <v>Male</v>
      </c>
      <c r="E1162" t="s">
        <v>9</v>
      </c>
      <c r="F1162" s="2">
        <v>29</v>
      </c>
      <c r="G1162" s="2" t="str" cm="1">
        <f t="array" ref="G1162">_xlfn.IFS(F1162&lt;=8,"Child",F1162&lt;=17,"Teen",F1162&lt;=35,"Adult",F1162&lt;=55,"Seniour Adult",F1162&gt;=55,"Old Age")</f>
        <v>Adult</v>
      </c>
      <c r="H1162" t="s">
        <v>69</v>
      </c>
      <c r="I1162" t="s">
        <v>28</v>
      </c>
      <c r="J1162" t="str" cm="1">
        <f t="array" ref="J1162">_xlfn.IFS(I1162="S","Sauthamptonm",I1162="Q","Queentown",I1162="C","Cherburg",I1162="B","Cabin")</f>
        <v>Cabin</v>
      </c>
      <c r="K1162" t="s">
        <v>15</v>
      </c>
      <c r="L1162" s="2">
        <v>29</v>
      </c>
      <c r="M1162">
        <v>0</v>
      </c>
      <c r="N1162" t="s">
        <v>30</v>
      </c>
      <c r="O1162" t="s">
        <v>13</v>
      </c>
    </row>
    <row r="1163" spans="1:15" x14ac:dyDescent="0.3">
      <c r="A1163" s="1" t="s">
        <v>2179</v>
      </c>
      <c r="B1163" t="s">
        <v>72</v>
      </c>
      <c r="C1163" t="s">
        <v>2180</v>
      </c>
      <c r="D1163" t="str">
        <f t="shared" si="18"/>
        <v>Male</v>
      </c>
      <c r="E1163" t="s">
        <v>9</v>
      </c>
      <c r="F1163" s="2">
        <v>29</v>
      </c>
      <c r="G1163" s="2" t="str" cm="1">
        <f t="array" ref="G1163">_xlfn.IFS(F1163&lt;=8,"Child",F1163&lt;=17,"Teen",F1163&lt;=35,"Adult",F1163&lt;=55,"Seniour Adult",F1163&gt;=55,"Old Age")</f>
        <v>Adult</v>
      </c>
      <c r="H1163" t="s">
        <v>51</v>
      </c>
      <c r="I1163" t="s">
        <v>11</v>
      </c>
      <c r="J1163" t="str" cm="1">
        <f t="array" ref="J1163">_xlfn.IFS(I1163="S","Sauthamptonm",I1163="Q","Queentown",I1163="C","Cherburg",I1163="B","Cabin")</f>
        <v>Sauthamptonm</v>
      </c>
      <c r="K1163" t="s">
        <v>15</v>
      </c>
      <c r="L1163" s="2">
        <v>29</v>
      </c>
      <c r="M1163">
        <v>0</v>
      </c>
      <c r="N1163" t="s">
        <v>30</v>
      </c>
      <c r="O1163" t="s">
        <v>13</v>
      </c>
    </row>
    <row r="1164" spans="1:15" x14ac:dyDescent="0.3">
      <c r="A1164" s="1" t="s">
        <v>2181</v>
      </c>
      <c r="B1164" t="s">
        <v>72</v>
      </c>
      <c r="C1164" t="s">
        <v>1311</v>
      </c>
      <c r="D1164" t="str">
        <f t="shared" si="18"/>
        <v>Male</v>
      </c>
      <c r="E1164" t="s">
        <v>9</v>
      </c>
      <c r="F1164" s="2">
        <v>15</v>
      </c>
      <c r="G1164" s="2" t="str" cm="1">
        <f t="array" ref="G1164">_xlfn.IFS(F1164&lt;=8,"Child",F1164&lt;=17,"Teen",F1164&lt;=35,"Adult",F1164&lt;=55,"Seniour Adult",F1164&gt;=55,"Old Age")</f>
        <v>Teen</v>
      </c>
      <c r="H1164" t="s">
        <v>67</v>
      </c>
      <c r="I1164" t="s">
        <v>11</v>
      </c>
      <c r="J1164" t="str" cm="1">
        <f t="array" ref="J1164">_xlfn.IFS(I1164="S","Sauthamptonm",I1164="Q","Queentown",I1164="C","Cherburg",I1164="B","Cabin")</f>
        <v>Sauthamptonm</v>
      </c>
      <c r="K1164" t="s">
        <v>15</v>
      </c>
      <c r="L1164" s="2">
        <v>29</v>
      </c>
      <c r="M1164">
        <v>0</v>
      </c>
      <c r="N1164" t="s">
        <v>30</v>
      </c>
      <c r="O1164" t="s">
        <v>13</v>
      </c>
    </row>
    <row r="1165" spans="1:15" x14ac:dyDescent="0.3">
      <c r="A1165" s="1" t="s">
        <v>2182</v>
      </c>
      <c r="B1165" t="s">
        <v>72</v>
      </c>
      <c r="C1165" t="s">
        <v>2183</v>
      </c>
      <c r="D1165" t="str">
        <f t="shared" si="18"/>
        <v>Male</v>
      </c>
      <c r="E1165" t="s">
        <v>9</v>
      </c>
      <c r="F1165" s="2">
        <v>33</v>
      </c>
      <c r="G1165" s="2" t="str" cm="1">
        <f t="array" ref="G1165">_xlfn.IFS(F1165&lt;=8,"Child",F1165&lt;=17,"Teen",F1165&lt;=35,"Adult",F1165&lt;=55,"Seniour Adult",F1165&gt;=55,"Old Age")</f>
        <v>Adult</v>
      </c>
      <c r="H1165" t="s">
        <v>69</v>
      </c>
      <c r="I1165" t="s">
        <v>11</v>
      </c>
      <c r="J1165" t="str" cm="1">
        <f t="array" ref="J1165">_xlfn.IFS(I1165="S","Sauthamptonm",I1165="Q","Queentown",I1165="C","Cherburg",I1165="B","Cabin")</f>
        <v>Sauthamptonm</v>
      </c>
      <c r="K1165" t="s">
        <v>15</v>
      </c>
      <c r="L1165" s="2">
        <v>29</v>
      </c>
      <c r="M1165">
        <v>0</v>
      </c>
      <c r="N1165" t="s">
        <v>30</v>
      </c>
      <c r="O1165" t="s">
        <v>16</v>
      </c>
    </row>
    <row r="1166" spans="1:15" x14ac:dyDescent="0.3">
      <c r="A1166" s="1" t="s">
        <v>2184</v>
      </c>
      <c r="B1166" t="s">
        <v>72</v>
      </c>
      <c r="C1166" t="s">
        <v>1535</v>
      </c>
      <c r="D1166" t="str">
        <f t="shared" si="18"/>
        <v>Male</v>
      </c>
      <c r="E1166" t="s">
        <v>9</v>
      </c>
      <c r="F1166" s="2">
        <v>23</v>
      </c>
      <c r="G1166" s="2" t="str" cm="1">
        <f t="array" ref="G1166">_xlfn.IFS(F1166&lt;=8,"Child",F1166&lt;=17,"Teen",F1166&lt;=35,"Adult",F1166&lt;=55,"Seniour Adult",F1166&gt;=55,"Old Age")</f>
        <v>Adult</v>
      </c>
      <c r="H1166" t="s">
        <v>51</v>
      </c>
      <c r="I1166" t="s">
        <v>11</v>
      </c>
      <c r="J1166" t="str" cm="1">
        <f t="array" ref="J1166">_xlfn.IFS(I1166="S","Sauthamptonm",I1166="Q","Queentown",I1166="C","Cherburg",I1166="B","Cabin")</f>
        <v>Sauthamptonm</v>
      </c>
      <c r="K1166" t="s">
        <v>15</v>
      </c>
      <c r="L1166" s="2">
        <v>29</v>
      </c>
      <c r="M1166">
        <v>0</v>
      </c>
      <c r="N1166" t="s">
        <v>30</v>
      </c>
      <c r="O1166" t="s">
        <v>13</v>
      </c>
    </row>
    <row r="1167" spans="1:15" x14ac:dyDescent="0.3">
      <c r="A1167" s="1" t="s">
        <v>2185</v>
      </c>
      <c r="B1167" t="s">
        <v>72</v>
      </c>
      <c r="C1167" t="s">
        <v>2186</v>
      </c>
      <c r="D1167" t="str">
        <f t="shared" si="18"/>
        <v>Male</v>
      </c>
      <c r="E1167" t="s">
        <v>9</v>
      </c>
      <c r="F1167" s="2">
        <v>36</v>
      </c>
      <c r="G1167" s="2" t="str" cm="1">
        <f t="array" ref="G1167">_xlfn.IFS(F1167&lt;=8,"Child",F1167&lt;=17,"Teen",F1167&lt;=35,"Adult",F1167&lt;=55,"Seniour Adult",F1167&gt;=55,"Old Age")</f>
        <v>Seniour Adult</v>
      </c>
      <c r="H1167" t="s">
        <v>51</v>
      </c>
      <c r="I1167" t="s">
        <v>28</v>
      </c>
      <c r="J1167" t="str" cm="1">
        <f t="array" ref="J1167">_xlfn.IFS(I1167="S","Sauthamptonm",I1167="Q","Queentown",I1167="C","Cherburg",I1167="B","Cabin")</f>
        <v>Cabin</v>
      </c>
      <c r="K1167" t="s">
        <v>15</v>
      </c>
      <c r="L1167" s="2">
        <v>29</v>
      </c>
      <c r="M1167">
        <v>0</v>
      </c>
      <c r="N1167" t="s">
        <v>30</v>
      </c>
      <c r="O1167" t="s">
        <v>13</v>
      </c>
    </row>
    <row r="1168" spans="1:15" x14ac:dyDescent="0.3">
      <c r="A1168" s="1" t="s">
        <v>2187</v>
      </c>
      <c r="B1168" t="s">
        <v>72</v>
      </c>
      <c r="C1168" t="s">
        <v>229</v>
      </c>
      <c r="D1168" t="str">
        <f t="shared" si="18"/>
        <v>Male</v>
      </c>
      <c r="E1168" t="s">
        <v>9</v>
      </c>
      <c r="F1168" s="2">
        <v>38</v>
      </c>
      <c r="G1168" s="2" t="str" cm="1">
        <f t="array" ref="G1168">_xlfn.IFS(F1168&lt;=8,"Child",F1168&lt;=17,"Teen",F1168&lt;=35,"Adult",F1168&lt;=55,"Seniour Adult",F1168&gt;=55,"Old Age")</f>
        <v>Seniour Adult</v>
      </c>
      <c r="H1168" t="s">
        <v>67</v>
      </c>
      <c r="I1168" t="s">
        <v>28</v>
      </c>
      <c r="J1168" t="str" cm="1">
        <f t="array" ref="J1168">_xlfn.IFS(I1168="S","Sauthamptonm",I1168="Q","Queentown",I1168="C","Cherburg",I1168="B","Cabin")</f>
        <v>Cabin</v>
      </c>
      <c r="K1168" t="s">
        <v>15</v>
      </c>
      <c r="L1168" s="2">
        <v>29</v>
      </c>
      <c r="M1168">
        <v>0</v>
      </c>
      <c r="N1168" t="s">
        <v>30</v>
      </c>
      <c r="O1168" t="s">
        <v>13</v>
      </c>
    </row>
    <row r="1169" spans="1:15" x14ac:dyDescent="0.3">
      <c r="A1169" s="1" t="s">
        <v>2188</v>
      </c>
      <c r="B1169" t="s">
        <v>72</v>
      </c>
      <c r="C1169" t="s">
        <v>2189</v>
      </c>
      <c r="D1169" t="str">
        <f t="shared" si="18"/>
        <v>Male</v>
      </c>
      <c r="E1169" t="s">
        <v>9</v>
      </c>
      <c r="F1169" s="2">
        <v>31</v>
      </c>
      <c r="G1169" s="2" t="str" cm="1">
        <f t="array" ref="G1169">_xlfn.IFS(F1169&lt;=8,"Child",F1169&lt;=17,"Teen",F1169&lt;=35,"Adult",F1169&lt;=55,"Seniour Adult",F1169&gt;=55,"Old Age")</f>
        <v>Adult</v>
      </c>
      <c r="H1169" t="s">
        <v>67</v>
      </c>
      <c r="I1169" t="s">
        <v>28</v>
      </c>
      <c r="J1169" t="str" cm="1">
        <f t="array" ref="J1169">_xlfn.IFS(I1169="S","Sauthamptonm",I1169="Q","Queentown",I1169="C","Cherburg",I1169="B","Cabin")</f>
        <v>Cabin</v>
      </c>
      <c r="K1169" t="s">
        <v>15</v>
      </c>
      <c r="L1169" s="2">
        <v>29</v>
      </c>
      <c r="M1169">
        <v>0</v>
      </c>
      <c r="N1169" t="s">
        <v>30</v>
      </c>
      <c r="O1169" t="s">
        <v>13</v>
      </c>
    </row>
    <row r="1170" spans="1:15" x14ac:dyDescent="0.3">
      <c r="A1170" s="1" t="s">
        <v>2190</v>
      </c>
      <c r="B1170" t="s">
        <v>72</v>
      </c>
      <c r="C1170" t="s">
        <v>213</v>
      </c>
      <c r="D1170" t="str">
        <f t="shared" si="18"/>
        <v>Male</v>
      </c>
      <c r="E1170" t="s">
        <v>9</v>
      </c>
      <c r="F1170" s="2">
        <v>34</v>
      </c>
      <c r="G1170" s="2" t="str" cm="1">
        <f t="array" ref="G1170">_xlfn.IFS(F1170&lt;=8,"Child",F1170&lt;=17,"Teen",F1170&lt;=35,"Adult",F1170&lt;=55,"Seniour Adult",F1170&gt;=55,"Old Age")</f>
        <v>Adult</v>
      </c>
      <c r="H1170" t="s">
        <v>67</v>
      </c>
      <c r="I1170" t="s">
        <v>11</v>
      </c>
      <c r="J1170" t="str" cm="1">
        <f t="array" ref="J1170">_xlfn.IFS(I1170="S","Sauthamptonm",I1170="Q","Queentown",I1170="C","Cherburg",I1170="B","Cabin")</f>
        <v>Sauthamptonm</v>
      </c>
      <c r="K1170" t="s">
        <v>15</v>
      </c>
      <c r="L1170" s="2">
        <v>29</v>
      </c>
      <c r="M1170">
        <v>0</v>
      </c>
      <c r="N1170" t="s">
        <v>30</v>
      </c>
      <c r="O1170" t="s">
        <v>13</v>
      </c>
    </row>
    <row r="1171" spans="1:15" x14ac:dyDescent="0.3">
      <c r="A1171" s="1" t="s">
        <v>2191</v>
      </c>
      <c r="B1171" t="s">
        <v>72</v>
      </c>
      <c r="C1171" t="s">
        <v>1460</v>
      </c>
      <c r="D1171" t="str">
        <f t="shared" si="18"/>
        <v>Male</v>
      </c>
      <c r="E1171" t="s">
        <v>9</v>
      </c>
      <c r="F1171" s="2">
        <v>18</v>
      </c>
      <c r="G1171" s="2" t="str" cm="1">
        <f t="array" ref="G1171">_xlfn.IFS(F1171&lt;=8,"Child",F1171&lt;=17,"Teen",F1171&lt;=35,"Adult",F1171&lt;=55,"Seniour Adult",F1171&gt;=55,"Old Age")</f>
        <v>Adult</v>
      </c>
      <c r="H1171" t="s">
        <v>67</v>
      </c>
      <c r="I1171" t="s">
        <v>11</v>
      </c>
      <c r="J1171" t="str" cm="1">
        <f t="array" ref="J1171">_xlfn.IFS(I1171="S","Sauthamptonm",I1171="Q","Queentown",I1171="C","Cherburg",I1171="B","Cabin")</f>
        <v>Sauthamptonm</v>
      </c>
      <c r="K1171" t="s">
        <v>15</v>
      </c>
      <c r="L1171" s="2">
        <v>29</v>
      </c>
      <c r="M1171">
        <v>0</v>
      </c>
      <c r="N1171" t="s">
        <v>30</v>
      </c>
      <c r="O1171" t="s">
        <v>13</v>
      </c>
    </row>
    <row r="1172" spans="1:15" x14ac:dyDescent="0.3">
      <c r="A1172" s="1" t="s">
        <v>2192</v>
      </c>
      <c r="B1172" t="s">
        <v>72</v>
      </c>
      <c r="C1172" t="s">
        <v>2193</v>
      </c>
      <c r="D1172" t="str">
        <f t="shared" si="18"/>
        <v>Male</v>
      </c>
      <c r="E1172" t="s">
        <v>9</v>
      </c>
      <c r="F1172" s="2">
        <v>32</v>
      </c>
      <c r="G1172" s="2" t="str" cm="1">
        <f t="array" ref="G1172">_xlfn.IFS(F1172&lt;=8,"Child",F1172&lt;=17,"Teen",F1172&lt;=35,"Adult",F1172&lt;=55,"Seniour Adult",F1172&gt;=55,"Old Age")</f>
        <v>Adult</v>
      </c>
      <c r="H1172" t="s">
        <v>67</v>
      </c>
      <c r="I1172" t="s">
        <v>11</v>
      </c>
      <c r="J1172" t="str" cm="1">
        <f t="array" ref="J1172">_xlfn.IFS(I1172="S","Sauthamptonm",I1172="Q","Queentown",I1172="C","Cherburg",I1172="B","Cabin")</f>
        <v>Sauthamptonm</v>
      </c>
      <c r="K1172" t="s">
        <v>15</v>
      </c>
      <c r="L1172" s="2">
        <v>29</v>
      </c>
      <c r="M1172">
        <v>0</v>
      </c>
      <c r="N1172" t="s">
        <v>30</v>
      </c>
      <c r="O1172" t="s">
        <v>13</v>
      </c>
    </row>
    <row r="1173" spans="1:15" x14ac:dyDescent="0.3">
      <c r="A1173" s="1" t="s">
        <v>2195</v>
      </c>
      <c r="B1173" t="s">
        <v>72</v>
      </c>
      <c r="C1173" t="s">
        <v>2196</v>
      </c>
      <c r="D1173" t="str">
        <f t="shared" si="18"/>
        <v>Male</v>
      </c>
      <c r="E1173" t="s">
        <v>9</v>
      </c>
      <c r="F1173" s="2">
        <v>41</v>
      </c>
      <c r="G1173" s="2" t="str" cm="1">
        <f t="array" ref="G1173">_xlfn.IFS(F1173&lt;=8,"Child",F1173&lt;=17,"Teen",F1173&lt;=35,"Adult",F1173&lt;=55,"Seniour Adult",F1173&gt;=55,"Old Age")</f>
        <v>Seniour Adult</v>
      </c>
      <c r="H1173" t="s">
        <v>51</v>
      </c>
      <c r="I1173" t="s">
        <v>11</v>
      </c>
      <c r="J1173" t="str" cm="1">
        <f t="array" ref="J1173">_xlfn.IFS(I1173="S","Sauthamptonm",I1173="Q","Queentown",I1173="C","Cherburg",I1173="B","Cabin")</f>
        <v>Sauthamptonm</v>
      </c>
      <c r="K1173" t="s">
        <v>15</v>
      </c>
      <c r="L1173" s="2">
        <v>29</v>
      </c>
      <c r="M1173">
        <v>0</v>
      </c>
      <c r="N1173" t="s">
        <v>30</v>
      </c>
      <c r="O1173" t="s">
        <v>13</v>
      </c>
    </row>
    <row r="1174" spans="1:15" x14ac:dyDescent="0.3">
      <c r="A1174" s="1" t="s">
        <v>2197</v>
      </c>
      <c r="B1174" t="s">
        <v>72</v>
      </c>
      <c r="C1174" t="s">
        <v>598</v>
      </c>
      <c r="D1174" t="str">
        <f t="shared" si="18"/>
        <v>Male</v>
      </c>
      <c r="E1174" t="s">
        <v>9</v>
      </c>
      <c r="F1174" s="2">
        <v>31</v>
      </c>
      <c r="G1174" s="2" t="str" cm="1">
        <f t="array" ref="G1174">_xlfn.IFS(F1174&lt;=8,"Child",F1174&lt;=17,"Teen",F1174&lt;=35,"Adult",F1174&lt;=55,"Seniour Adult",F1174&gt;=55,"Old Age")</f>
        <v>Adult</v>
      </c>
      <c r="H1174" t="s">
        <v>67</v>
      </c>
      <c r="I1174" t="s">
        <v>11</v>
      </c>
      <c r="J1174" t="str" cm="1">
        <f t="array" ref="J1174">_xlfn.IFS(I1174="S","Sauthamptonm",I1174="Q","Queentown",I1174="C","Cherburg",I1174="B","Cabin")</f>
        <v>Sauthamptonm</v>
      </c>
      <c r="K1174" t="s">
        <v>15</v>
      </c>
      <c r="L1174" s="2">
        <v>29</v>
      </c>
      <c r="M1174">
        <v>0</v>
      </c>
      <c r="N1174" t="s">
        <v>30</v>
      </c>
      <c r="O1174" t="s">
        <v>13</v>
      </c>
    </row>
    <row r="1175" spans="1:15" x14ac:dyDescent="0.3">
      <c r="A1175" s="1" t="s">
        <v>2198</v>
      </c>
      <c r="B1175" t="s">
        <v>72</v>
      </c>
      <c r="C1175" t="s">
        <v>2199</v>
      </c>
      <c r="D1175" t="str">
        <f t="shared" si="18"/>
        <v>Male</v>
      </c>
      <c r="E1175" t="s">
        <v>9</v>
      </c>
      <c r="F1175" s="2">
        <v>19</v>
      </c>
      <c r="G1175" s="2" t="str" cm="1">
        <f t="array" ref="G1175">_xlfn.IFS(F1175&lt;=8,"Child",F1175&lt;=17,"Teen",F1175&lt;=35,"Adult",F1175&lt;=55,"Seniour Adult",F1175&gt;=55,"Old Age")</f>
        <v>Adult</v>
      </c>
      <c r="H1175" t="s">
        <v>67</v>
      </c>
      <c r="I1175" t="s">
        <v>11</v>
      </c>
      <c r="J1175" t="str" cm="1">
        <f t="array" ref="J1175">_xlfn.IFS(I1175="S","Sauthamptonm",I1175="Q","Queentown",I1175="C","Cherburg",I1175="B","Cabin")</f>
        <v>Sauthamptonm</v>
      </c>
      <c r="K1175" t="s">
        <v>15</v>
      </c>
      <c r="L1175" s="2">
        <v>29</v>
      </c>
      <c r="M1175">
        <v>0</v>
      </c>
      <c r="N1175" t="s">
        <v>30</v>
      </c>
      <c r="O1175" t="s">
        <v>16</v>
      </c>
    </row>
    <row r="1176" spans="1:15" x14ac:dyDescent="0.3">
      <c r="A1176" s="1" t="s">
        <v>2200</v>
      </c>
      <c r="B1176" t="s">
        <v>72</v>
      </c>
      <c r="C1176" t="s">
        <v>2201</v>
      </c>
      <c r="D1176" t="str">
        <f t="shared" si="18"/>
        <v>Male</v>
      </c>
      <c r="E1176" t="s">
        <v>9</v>
      </c>
      <c r="F1176" s="2">
        <v>31</v>
      </c>
      <c r="G1176" s="2" t="str" cm="1">
        <f t="array" ref="G1176">_xlfn.IFS(F1176&lt;=8,"Child",F1176&lt;=17,"Teen",F1176&lt;=35,"Adult",F1176&lt;=55,"Seniour Adult",F1176&gt;=55,"Old Age")</f>
        <v>Adult</v>
      </c>
      <c r="H1176" t="s">
        <v>67</v>
      </c>
      <c r="I1176" t="s">
        <v>11</v>
      </c>
      <c r="J1176" t="str" cm="1">
        <f t="array" ref="J1176">_xlfn.IFS(I1176="S","Sauthamptonm",I1176="Q","Queentown",I1176="C","Cherburg",I1176="B","Cabin")</f>
        <v>Sauthamptonm</v>
      </c>
      <c r="K1176" t="s">
        <v>15</v>
      </c>
      <c r="L1176" s="2">
        <v>29</v>
      </c>
      <c r="M1176">
        <v>0</v>
      </c>
      <c r="N1176" t="s">
        <v>30</v>
      </c>
      <c r="O1176" t="s">
        <v>13</v>
      </c>
    </row>
    <row r="1177" spans="1:15" x14ac:dyDescent="0.3">
      <c r="A1177" s="1" t="s">
        <v>2202</v>
      </c>
      <c r="B1177" t="s">
        <v>72</v>
      </c>
      <c r="C1177" t="s">
        <v>698</v>
      </c>
      <c r="D1177" t="str">
        <f t="shared" si="18"/>
        <v>Male</v>
      </c>
      <c r="E1177" t="s">
        <v>9</v>
      </c>
      <c r="F1177" s="2">
        <v>19</v>
      </c>
      <c r="G1177" s="2" t="str" cm="1">
        <f t="array" ref="G1177">_xlfn.IFS(F1177&lt;=8,"Child",F1177&lt;=17,"Teen",F1177&lt;=35,"Adult",F1177&lt;=55,"Seniour Adult",F1177&gt;=55,"Old Age")</f>
        <v>Adult</v>
      </c>
      <c r="H1177" t="s">
        <v>51</v>
      </c>
      <c r="I1177" t="s">
        <v>11</v>
      </c>
      <c r="J1177" t="str" cm="1">
        <f t="array" ref="J1177">_xlfn.IFS(I1177="S","Sauthamptonm",I1177="Q","Queentown",I1177="C","Cherburg",I1177="B","Cabin")</f>
        <v>Sauthamptonm</v>
      </c>
      <c r="K1177" t="s">
        <v>15</v>
      </c>
      <c r="L1177" s="2">
        <v>29</v>
      </c>
      <c r="M1177">
        <v>0</v>
      </c>
      <c r="N1177" t="s">
        <v>30</v>
      </c>
      <c r="O1177" t="s">
        <v>13</v>
      </c>
    </row>
    <row r="1178" spans="1:15" x14ac:dyDescent="0.3">
      <c r="A1178" s="1" t="s">
        <v>2203</v>
      </c>
      <c r="B1178" t="s">
        <v>72</v>
      </c>
      <c r="C1178" t="s">
        <v>251</v>
      </c>
      <c r="D1178" t="str">
        <f t="shared" si="18"/>
        <v>Male</v>
      </c>
      <c r="E1178" t="s">
        <v>9</v>
      </c>
      <c r="F1178" s="2">
        <v>21</v>
      </c>
      <c r="G1178" s="2" t="str" cm="1">
        <f t="array" ref="G1178">_xlfn.IFS(F1178&lt;=8,"Child",F1178&lt;=17,"Teen",F1178&lt;=35,"Adult",F1178&lt;=55,"Seniour Adult",F1178&gt;=55,"Old Age")</f>
        <v>Adult</v>
      </c>
      <c r="H1178" t="s">
        <v>67</v>
      </c>
      <c r="I1178" t="s">
        <v>11</v>
      </c>
      <c r="J1178" t="str" cm="1">
        <f t="array" ref="J1178">_xlfn.IFS(I1178="S","Sauthamptonm",I1178="Q","Queentown",I1178="C","Cherburg",I1178="B","Cabin")</f>
        <v>Sauthamptonm</v>
      </c>
      <c r="K1178" t="s">
        <v>15</v>
      </c>
      <c r="L1178" s="2">
        <v>29</v>
      </c>
      <c r="M1178">
        <v>0</v>
      </c>
      <c r="N1178" t="s">
        <v>30</v>
      </c>
      <c r="O1178" t="s">
        <v>13</v>
      </c>
    </row>
    <row r="1179" spans="1:15" x14ac:dyDescent="0.3">
      <c r="A1179" s="1" t="s">
        <v>2204</v>
      </c>
      <c r="B1179" t="s">
        <v>72</v>
      </c>
      <c r="C1179" t="s">
        <v>361</v>
      </c>
      <c r="D1179" t="str">
        <f t="shared" si="18"/>
        <v>Male</v>
      </c>
      <c r="E1179" t="s">
        <v>9</v>
      </c>
      <c r="F1179" s="2">
        <v>20</v>
      </c>
      <c r="G1179" s="2" t="str" cm="1">
        <f t="array" ref="G1179">_xlfn.IFS(F1179&lt;=8,"Child",F1179&lt;=17,"Teen",F1179&lt;=35,"Adult",F1179&lt;=55,"Seniour Adult",F1179&gt;=55,"Old Age")</f>
        <v>Adult</v>
      </c>
      <c r="H1179" t="s">
        <v>67</v>
      </c>
      <c r="I1179" t="s">
        <v>11</v>
      </c>
      <c r="J1179" t="str" cm="1">
        <f t="array" ref="J1179">_xlfn.IFS(I1179="S","Sauthamptonm",I1179="Q","Queentown",I1179="C","Cherburg",I1179="B","Cabin")</f>
        <v>Sauthamptonm</v>
      </c>
      <c r="K1179" t="s">
        <v>15</v>
      </c>
      <c r="L1179" s="2">
        <v>29</v>
      </c>
      <c r="M1179">
        <v>0</v>
      </c>
      <c r="N1179" t="s">
        <v>30</v>
      </c>
      <c r="O1179" t="s">
        <v>13</v>
      </c>
    </row>
    <row r="1180" spans="1:15" x14ac:dyDescent="0.3">
      <c r="A1180" s="1" t="s">
        <v>2205</v>
      </c>
      <c r="B1180" t="s">
        <v>72</v>
      </c>
      <c r="C1180" t="s">
        <v>1866</v>
      </c>
      <c r="D1180" t="str">
        <f t="shared" si="18"/>
        <v>Male</v>
      </c>
      <c r="E1180" t="s">
        <v>9</v>
      </c>
      <c r="F1180" s="2">
        <v>33</v>
      </c>
      <c r="G1180" s="2" t="str" cm="1">
        <f t="array" ref="G1180">_xlfn.IFS(F1180&lt;=8,"Child",F1180&lt;=17,"Teen",F1180&lt;=35,"Adult",F1180&lt;=55,"Seniour Adult",F1180&gt;=55,"Old Age")</f>
        <v>Adult</v>
      </c>
      <c r="H1180" t="s">
        <v>51</v>
      </c>
      <c r="I1180" t="s">
        <v>11</v>
      </c>
      <c r="J1180" t="str" cm="1">
        <f t="array" ref="J1180">_xlfn.IFS(I1180="S","Sauthamptonm",I1180="Q","Queentown",I1180="C","Cherburg",I1180="B","Cabin")</f>
        <v>Sauthamptonm</v>
      </c>
      <c r="K1180" t="s">
        <v>15</v>
      </c>
      <c r="L1180" s="2">
        <v>29</v>
      </c>
      <c r="M1180">
        <v>0</v>
      </c>
      <c r="N1180" t="s">
        <v>30</v>
      </c>
      <c r="O1180" t="s">
        <v>13</v>
      </c>
    </row>
    <row r="1181" spans="1:15" x14ac:dyDescent="0.3">
      <c r="A1181" s="1" t="s">
        <v>2206</v>
      </c>
      <c r="B1181" t="s">
        <v>72</v>
      </c>
      <c r="C1181" t="s">
        <v>379</v>
      </c>
      <c r="D1181" t="str">
        <f t="shared" si="18"/>
        <v>Male</v>
      </c>
      <c r="E1181" t="s">
        <v>9</v>
      </c>
      <c r="F1181" s="2">
        <v>30</v>
      </c>
      <c r="G1181" s="2" t="str" cm="1">
        <f t="array" ref="G1181">_xlfn.IFS(F1181&lt;=8,"Child",F1181&lt;=17,"Teen",F1181&lt;=35,"Adult",F1181&lt;=55,"Seniour Adult",F1181&gt;=55,"Old Age")</f>
        <v>Adult</v>
      </c>
      <c r="H1181" t="s">
        <v>51</v>
      </c>
      <c r="I1181" t="s">
        <v>11</v>
      </c>
      <c r="J1181" t="str" cm="1">
        <f t="array" ref="J1181">_xlfn.IFS(I1181="S","Sauthamptonm",I1181="Q","Queentown",I1181="C","Cherburg",I1181="B","Cabin")</f>
        <v>Sauthamptonm</v>
      </c>
      <c r="K1181" t="s">
        <v>15</v>
      </c>
      <c r="L1181" s="2">
        <v>29</v>
      </c>
      <c r="M1181">
        <v>0</v>
      </c>
      <c r="N1181" t="s">
        <v>30</v>
      </c>
      <c r="O1181" t="s">
        <v>13</v>
      </c>
    </row>
    <row r="1182" spans="1:15" x14ac:dyDescent="0.3">
      <c r="A1182" s="1" t="s">
        <v>2207</v>
      </c>
      <c r="B1182" t="s">
        <v>72</v>
      </c>
      <c r="C1182" t="s">
        <v>2208</v>
      </c>
      <c r="D1182" t="str">
        <f t="shared" si="18"/>
        <v>Male</v>
      </c>
      <c r="E1182" t="s">
        <v>9</v>
      </c>
      <c r="F1182" s="2">
        <v>22</v>
      </c>
      <c r="G1182" s="2" t="str" cm="1">
        <f t="array" ref="G1182">_xlfn.IFS(F1182&lt;=8,"Child",F1182&lt;=17,"Teen",F1182&lt;=35,"Adult",F1182&lt;=55,"Seniour Adult",F1182&gt;=55,"Old Age")</f>
        <v>Adult</v>
      </c>
      <c r="H1182" t="s">
        <v>67</v>
      </c>
      <c r="I1182" t="s">
        <v>28</v>
      </c>
      <c r="J1182" t="str" cm="1">
        <f t="array" ref="J1182">_xlfn.IFS(I1182="S","Sauthamptonm",I1182="Q","Queentown",I1182="C","Cherburg",I1182="B","Cabin")</f>
        <v>Cabin</v>
      </c>
      <c r="K1182" t="s">
        <v>15</v>
      </c>
      <c r="L1182" s="2">
        <v>29</v>
      </c>
      <c r="M1182">
        <v>0</v>
      </c>
      <c r="N1182" t="s">
        <v>30</v>
      </c>
      <c r="O1182" t="s">
        <v>13</v>
      </c>
    </row>
    <row r="1183" spans="1:15" x14ac:dyDescent="0.3">
      <c r="A1183" s="1" t="s">
        <v>2209</v>
      </c>
      <c r="B1183" t="s">
        <v>72</v>
      </c>
      <c r="C1183" t="s">
        <v>347</v>
      </c>
      <c r="D1183" t="str">
        <f t="shared" si="18"/>
        <v>Male</v>
      </c>
      <c r="E1183" t="s">
        <v>9</v>
      </c>
      <c r="F1183" s="2">
        <v>59</v>
      </c>
      <c r="G1183" s="2" t="str" cm="1">
        <f t="array" ref="G1183">_xlfn.IFS(F1183&lt;=8,"Child",F1183&lt;=17,"Teen",F1183&lt;=35,"Adult",F1183&lt;=55,"Seniour Adult",F1183&gt;=55,"Old Age")</f>
        <v>Old Age</v>
      </c>
      <c r="H1183" t="s">
        <v>51</v>
      </c>
      <c r="I1183" t="s">
        <v>11</v>
      </c>
      <c r="J1183" t="str" cm="1">
        <f t="array" ref="J1183">_xlfn.IFS(I1183="S","Sauthamptonm",I1183="Q","Queentown",I1183="C","Cherburg",I1183="B","Cabin")</f>
        <v>Sauthamptonm</v>
      </c>
      <c r="K1183" t="s">
        <v>15</v>
      </c>
      <c r="L1183" s="2">
        <v>29</v>
      </c>
      <c r="M1183">
        <v>0</v>
      </c>
      <c r="N1183" t="s">
        <v>30</v>
      </c>
      <c r="O1183" t="s">
        <v>13</v>
      </c>
    </row>
    <row r="1184" spans="1:15" x14ac:dyDescent="0.3">
      <c r="A1184" s="1" t="s">
        <v>2210</v>
      </c>
      <c r="B1184" t="s">
        <v>72</v>
      </c>
      <c r="C1184" t="s">
        <v>2211</v>
      </c>
      <c r="D1184" t="str">
        <f t="shared" si="18"/>
        <v>Male</v>
      </c>
      <c r="E1184" t="s">
        <v>9</v>
      </c>
      <c r="F1184" s="2">
        <v>38</v>
      </c>
      <c r="G1184" s="2" t="str" cm="1">
        <f t="array" ref="G1184">_xlfn.IFS(F1184&lt;=8,"Child",F1184&lt;=17,"Teen",F1184&lt;=35,"Adult",F1184&lt;=55,"Seniour Adult",F1184&gt;=55,"Old Age")</f>
        <v>Seniour Adult</v>
      </c>
      <c r="H1184" t="s">
        <v>68</v>
      </c>
      <c r="I1184" t="s">
        <v>11</v>
      </c>
      <c r="J1184" t="str" cm="1">
        <f t="array" ref="J1184">_xlfn.IFS(I1184="S","Sauthamptonm",I1184="Q","Queentown",I1184="C","Cherburg",I1184="B","Cabin")</f>
        <v>Sauthamptonm</v>
      </c>
      <c r="K1184" t="s">
        <v>20</v>
      </c>
      <c r="L1184" s="2">
        <v>29</v>
      </c>
      <c r="M1184">
        <v>0</v>
      </c>
      <c r="N1184" t="s">
        <v>30</v>
      </c>
      <c r="O1184" t="s">
        <v>13</v>
      </c>
    </row>
    <row r="1185" spans="1:15" x14ac:dyDescent="0.3">
      <c r="A1185" s="1" t="s">
        <v>2212</v>
      </c>
      <c r="B1185" t="s">
        <v>72</v>
      </c>
      <c r="C1185" t="s">
        <v>128</v>
      </c>
      <c r="D1185" t="str">
        <f t="shared" si="18"/>
        <v>Male</v>
      </c>
      <c r="E1185" t="s">
        <v>9</v>
      </c>
      <c r="F1185" s="2">
        <v>27</v>
      </c>
      <c r="G1185" s="2" t="str" cm="1">
        <f t="array" ref="G1185">_xlfn.IFS(F1185&lt;=8,"Child",F1185&lt;=17,"Teen",F1185&lt;=35,"Adult",F1185&lt;=55,"Seniour Adult",F1185&gt;=55,"Old Age")</f>
        <v>Adult</v>
      </c>
      <c r="H1185" t="s">
        <v>51</v>
      </c>
      <c r="I1185" t="s">
        <v>11</v>
      </c>
      <c r="J1185" t="str" cm="1">
        <f t="array" ref="J1185">_xlfn.IFS(I1185="S","Sauthamptonm",I1185="Q","Queentown",I1185="C","Cherburg",I1185="B","Cabin")</f>
        <v>Sauthamptonm</v>
      </c>
      <c r="K1185" t="s">
        <v>40</v>
      </c>
      <c r="L1185" s="2">
        <v>29</v>
      </c>
      <c r="M1185">
        <v>0</v>
      </c>
      <c r="N1185" t="s">
        <v>30</v>
      </c>
      <c r="O1185" t="s">
        <v>13</v>
      </c>
    </row>
    <row r="1186" spans="1:15" x14ac:dyDescent="0.3">
      <c r="A1186" s="1" t="s">
        <v>2213</v>
      </c>
      <c r="B1186" t="s">
        <v>72</v>
      </c>
      <c r="C1186" t="s">
        <v>2214</v>
      </c>
      <c r="D1186" t="str">
        <f t="shared" si="18"/>
        <v>Male</v>
      </c>
      <c r="E1186" t="s">
        <v>9</v>
      </c>
      <c r="F1186" s="2">
        <v>35</v>
      </c>
      <c r="G1186" s="2" t="str" cm="1">
        <f t="array" ref="G1186">_xlfn.IFS(F1186&lt;=8,"Child",F1186&lt;=17,"Teen",F1186&lt;=35,"Adult",F1186&lt;=55,"Seniour Adult",F1186&gt;=55,"Old Age")</f>
        <v>Adult</v>
      </c>
      <c r="H1186" t="s">
        <v>67</v>
      </c>
      <c r="I1186" t="s">
        <v>28</v>
      </c>
      <c r="J1186" t="str" cm="1">
        <f t="array" ref="J1186">_xlfn.IFS(I1186="S","Sauthamptonm",I1186="Q","Queentown",I1186="C","Cherburg",I1186="B","Cabin")</f>
        <v>Cabin</v>
      </c>
      <c r="K1186" t="s">
        <v>15</v>
      </c>
      <c r="L1186" s="2">
        <v>29</v>
      </c>
      <c r="M1186">
        <v>0</v>
      </c>
      <c r="N1186" t="s">
        <v>30</v>
      </c>
      <c r="O1186" t="s">
        <v>13</v>
      </c>
    </row>
    <row r="1187" spans="1:15" x14ac:dyDescent="0.3">
      <c r="A1187" s="1" t="s">
        <v>2215</v>
      </c>
      <c r="B1187" t="s">
        <v>72</v>
      </c>
      <c r="C1187" t="s">
        <v>2216</v>
      </c>
      <c r="D1187" t="str">
        <f t="shared" si="18"/>
        <v>Male</v>
      </c>
      <c r="E1187" t="s">
        <v>9</v>
      </c>
      <c r="F1187" s="2">
        <v>29</v>
      </c>
      <c r="G1187" s="2" t="str" cm="1">
        <f t="array" ref="G1187">_xlfn.IFS(F1187&lt;=8,"Child",F1187&lt;=17,"Teen",F1187&lt;=35,"Adult",F1187&lt;=55,"Seniour Adult",F1187&gt;=55,"Old Age")</f>
        <v>Adult</v>
      </c>
      <c r="H1187" t="s">
        <v>68</v>
      </c>
      <c r="I1187" t="s">
        <v>11</v>
      </c>
      <c r="J1187" t="str" cm="1">
        <f t="array" ref="J1187">_xlfn.IFS(I1187="S","Sauthamptonm",I1187="Q","Queentown",I1187="C","Cherburg",I1187="B","Cabin")</f>
        <v>Sauthamptonm</v>
      </c>
      <c r="K1187" t="s">
        <v>15</v>
      </c>
      <c r="L1187" s="2">
        <v>29</v>
      </c>
      <c r="M1187">
        <v>0</v>
      </c>
      <c r="N1187" t="s">
        <v>30</v>
      </c>
      <c r="O1187" t="s">
        <v>13</v>
      </c>
    </row>
    <row r="1188" spans="1:15" x14ac:dyDescent="0.3">
      <c r="A1188" s="1" t="s">
        <v>2217</v>
      </c>
      <c r="B1188" t="s">
        <v>72</v>
      </c>
      <c r="C1188" t="s">
        <v>296</v>
      </c>
      <c r="D1188" t="str">
        <f t="shared" si="18"/>
        <v>Male</v>
      </c>
      <c r="E1188" t="s">
        <v>9</v>
      </c>
      <c r="F1188" s="2">
        <v>28</v>
      </c>
      <c r="G1188" s="2" t="str" cm="1">
        <f t="array" ref="G1188">_xlfn.IFS(F1188&lt;=8,"Child",F1188&lt;=17,"Teen",F1188&lt;=35,"Adult",F1188&lt;=55,"Seniour Adult",F1188&gt;=55,"Old Age")</f>
        <v>Adult</v>
      </c>
      <c r="H1188" t="s">
        <v>68</v>
      </c>
      <c r="I1188" t="s">
        <v>11</v>
      </c>
      <c r="J1188" t="str" cm="1">
        <f t="array" ref="J1188">_xlfn.IFS(I1188="S","Sauthamptonm",I1188="Q","Queentown",I1188="C","Cherburg",I1188="B","Cabin")</f>
        <v>Sauthamptonm</v>
      </c>
      <c r="K1188" t="s">
        <v>15</v>
      </c>
      <c r="L1188" s="2">
        <v>29</v>
      </c>
      <c r="M1188">
        <v>0</v>
      </c>
      <c r="N1188" t="s">
        <v>30</v>
      </c>
      <c r="O1188" t="s">
        <v>13</v>
      </c>
    </row>
    <row r="1189" spans="1:15" x14ac:dyDescent="0.3">
      <c r="A1189" s="1" t="s">
        <v>2218</v>
      </c>
      <c r="B1189" t="s">
        <v>72</v>
      </c>
      <c r="C1189" t="s">
        <v>2219</v>
      </c>
      <c r="D1189" t="str">
        <f t="shared" si="18"/>
        <v>Male</v>
      </c>
      <c r="E1189" t="s">
        <v>9</v>
      </c>
      <c r="F1189" s="2">
        <v>55</v>
      </c>
      <c r="G1189" s="2" t="str" cm="1">
        <f t="array" ref="G1189">_xlfn.IFS(F1189&lt;=8,"Child",F1189&lt;=17,"Teen",F1189&lt;=35,"Adult",F1189&lt;=55,"Seniour Adult",F1189&gt;=55,"Old Age")</f>
        <v>Seniour Adult</v>
      </c>
      <c r="H1189" t="s">
        <v>67</v>
      </c>
      <c r="I1189" t="s">
        <v>28</v>
      </c>
      <c r="J1189" t="str" cm="1">
        <f t="array" ref="J1189">_xlfn.IFS(I1189="S","Sauthamptonm",I1189="Q","Queentown",I1189="C","Cherburg",I1189="B","Cabin")</f>
        <v>Cabin</v>
      </c>
      <c r="K1189" t="s">
        <v>15</v>
      </c>
      <c r="L1189" s="2">
        <v>29</v>
      </c>
      <c r="M1189">
        <v>0</v>
      </c>
      <c r="N1189" t="s">
        <v>30</v>
      </c>
      <c r="O1189" t="s">
        <v>13</v>
      </c>
    </row>
    <row r="1190" spans="1:15" x14ac:dyDescent="0.3">
      <c r="A1190" s="1" t="s">
        <v>2220</v>
      </c>
      <c r="B1190" t="s">
        <v>78</v>
      </c>
      <c r="C1190" t="s">
        <v>2221</v>
      </c>
      <c r="D1190" t="str">
        <f t="shared" si="18"/>
        <v>Female</v>
      </c>
      <c r="E1190" t="s">
        <v>14</v>
      </c>
      <c r="F1190" s="2">
        <v>24</v>
      </c>
      <c r="G1190" s="2" t="str" cm="1">
        <f t="array" ref="G1190">_xlfn.IFS(F1190&lt;=8,"Child",F1190&lt;=17,"Teen",F1190&lt;=35,"Adult",F1190&lt;=55,"Seniour Adult",F1190&gt;=55,"Old Age")</f>
        <v>Adult</v>
      </c>
      <c r="H1190" t="s">
        <v>67</v>
      </c>
      <c r="I1190" t="s">
        <v>11</v>
      </c>
      <c r="J1190" t="str" cm="1">
        <f t="array" ref="J1190">_xlfn.IFS(I1190="S","Sauthamptonm",I1190="Q","Queentown",I1190="C","Cherburg",I1190="B","Cabin")</f>
        <v>Sauthamptonm</v>
      </c>
      <c r="K1190" t="s">
        <v>15</v>
      </c>
      <c r="L1190" s="2">
        <v>29</v>
      </c>
      <c r="M1190">
        <v>0</v>
      </c>
      <c r="N1190" t="s">
        <v>30</v>
      </c>
      <c r="O1190" t="s">
        <v>16</v>
      </c>
    </row>
    <row r="1191" spans="1:15" x14ac:dyDescent="0.3">
      <c r="A1191" s="1" t="s">
        <v>2222</v>
      </c>
      <c r="B1191" t="s">
        <v>72</v>
      </c>
      <c r="C1191" t="s">
        <v>2223</v>
      </c>
      <c r="D1191" t="str">
        <f t="shared" si="18"/>
        <v>Male</v>
      </c>
      <c r="E1191" t="s">
        <v>9</v>
      </c>
      <c r="F1191" s="2">
        <v>23</v>
      </c>
      <c r="G1191" s="2" t="str" cm="1">
        <f t="array" ref="G1191">_xlfn.IFS(F1191&lt;=8,"Child",F1191&lt;=17,"Teen",F1191&lt;=35,"Adult",F1191&lt;=55,"Seniour Adult",F1191&gt;=55,"Old Age")</f>
        <v>Adult</v>
      </c>
      <c r="H1191" t="s">
        <v>69</v>
      </c>
      <c r="I1191" t="s">
        <v>28</v>
      </c>
      <c r="J1191" t="str" cm="1">
        <f t="array" ref="J1191">_xlfn.IFS(I1191="S","Sauthamptonm",I1191="Q","Queentown",I1191="C","Cherburg",I1191="B","Cabin")</f>
        <v>Cabin</v>
      </c>
      <c r="K1191" t="s">
        <v>15</v>
      </c>
      <c r="L1191" s="2">
        <v>29</v>
      </c>
      <c r="M1191">
        <v>0</v>
      </c>
      <c r="N1191" t="s">
        <v>30</v>
      </c>
      <c r="O1191" t="s">
        <v>16</v>
      </c>
    </row>
    <row r="1192" spans="1:15" x14ac:dyDescent="0.3">
      <c r="A1192" s="1" t="s">
        <v>2224</v>
      </c>
      <c r="B1192" t="s">
        <v>72</v>
      </c>
      <c r="C1192" t="s">
        <v>2225</v>
      </c>
      <c r="D1192" t="str">
        <f t="shared" si="18"/>
        <v>Male</v>
      </c>
      <c r="E1192" t="s">
        <v>9</v>
      </c>
      <c r="F1192" s="2">
        <v>38</v>
      </c>
      <c r="G1192" s="2" t="str" cm="1">
        <f t="array" ref="G1192">_xlfn.IFS(F1192&lt;=8,"Child",F1192&lt;=17,"Teen",F1192&lt;=35,"Adult",F1192&lt;=55,"Seniour Adult",F1192&gt;=55,"Old Age")</f>
        <v>Seniour Adult</v>
      </c>
      <c r="H1192" t="s">
        <v>51</v>
      </c>
      <c r="I1192" t="s">
        <v>11</v>
      </c>
      <c r="J1192" t="str" cm="1">
        <f t="array" ref="J1192">_xlfn.IFS(I1192="S","Sauthamptonm",I1192="Q","Queentown",I1192="C","Cherburg",I1192="B","Cabin")</f>
        <v>Sauthamptonm</v>
      </c>
      <c r="K1192" t="s">
        <v>15</v>
      </c>
      <c r="L1192" s="2">
        <v>29</v>
      </c>
      <c r="M1192">
        <v>0</v>
      </c>
      <c r="N1192" t="s">
        <v>30</v>
      </c>
      <c r="O1192" t="s">
        <v>13</v>
      </c>
    </row>
    <row r="1193" spans="1:15" x14ac:dyDescent="0.3">
      <c r="A1193" s="1" t="s">
        <v>2226</v>
      </c>
      <c r="B1193" t="s">
        <v>72</v>
      </c>
      <c r="C1193" t="s">
        <v>2227</v>
      </c>
      <c r="D1193" t="str">
        <f t="shared" si="18"/>
        <v>Male</v>
      </c>
      <c r="E1193" t="s">
        <v>9</v>
      </c>
      <c r="F1193" s="2">
        <v>24</v>
      </c>
      <c r="G1193" s="2" t="str" cm="1">
        <f t="array" ref="G1193">_xlfn.IFS(F1193&lt;=8,"Child",F1193&lt;=17,"Teen",F1193&lt;=35,"Adult",F1193&lt;=55,"Seniour Adult",F1193&gt;=55,"Old Age")</f>
        <v>Adult</v>
      </c>
      <c r="H1193" t="s">
        <v>68</v>
      </c>
      <c r="I1193" t="s">
        <v>11</v>
      </c>
      <c r="J1193" t="str" cm="1">
        <f t="array" ref="J1193">_xlfn.IFS(I1193="S","Sauthamptonm",I1193="Q","Queentown",I1193="C","Cherburg",I1193="B","Cabin")</f>
        <v>Sauthamptonm</v>
      </c>
      <c r="K1193" t="s">
        <v>15</v>
      </c>
      <c r="L1193" s="2">
        <v>29</v>
      </c>
      <c r="M1193">
        <v>0</v>
      </c>
      <c r="N1193" t="s">
        <v>30</v>
      </c>
      <c r="O1193" t="s">
        <v>13</v>
      </c>
    </row>
    <row r="1194" spans="1:15" x14ac:dyDescent="0.3">
      <c r="A1194" s="1" t="s">
        <v>2228</v>
      </c>
      <c r="B1194" t="s">
        <v>72</v>
      </c>
      <c r="C1194" t="s">
        <v>2196</v>
      </c>
      <c r="D1194" t="str">
        <f t="shared" si="18"/>
        <v>Male</v>
      </c>
      <c r="E1194" t="s">
        <v>9</v>
      </c>
      <c r="F1194" s="2">
        <v>32</v>
      </c>
      <c r="G1194" s="2" t="str" cm="1">
        <f t="array" ref="G1194">_xlfn.IFS(F1194&lt;=8,"Child",F1194&lt;=17,"Teen",F1194&lt;=35,"Adult",F1194&lt;=55,"Seniour Adult",F1194&gt;=55,"Old Age")</f>
        <v>Adult</v>
      </c>
      <c r="H1194" t="s">
        <v>67</v>
      </c>
      <c r="I1194" t="s">
        <v>28</v>
      </c>
      <c r="J1194" t="str" cm="1">
        <f t="array" ref="J1194">_xlfn.IFS(I1194="S","Sauthamptonm",I1194="Q","Queentown",I1194="C","Cherburg",I1194="B","Cabin")</f>
        <v>Cabin</v>
      </c>
      <c r="K1194" t="s">
        <v>15</v>
      </c>
      <c r="L1194" s="2">
        <v>29</v>
      </c>
      <c r="M1194">
        <v>0</v>
      </c>
      <c r="N1194" t="s">
        <v>30</v>
      </c>
      <c r="O1194" t="s">
        <v>16</v>
      </c>
    </row>
    <row r="1195" spans="1:15" x14ac:dyDescent="0.3">
      <c r="A1195" s="1" t="s">
        <v>2229</v>
      </c>
      <c r="B1195" t="s">
        <v>72</v>
      </c>
      <c r="C1195" t="s">
        <v>472</v>
      </c>
      <c r="D1195" t="str">
        <f t="shared" si="18"/>
        <v>Male</v>
      </c>
      <c r="E1195" t="s">
        <v>9</v>
      </c>
      <c r="F1195" s="2">
        <v>31</v>
      </c>
      <c r="G1195" s="2" t="str" cm="1">
        <f t="array" ref="G1195">_xlfn.IFS(F1195&lt;=8,"Child",F1195&lt;=17,"Teen",F1195&lt;=35,"Adult",F1195&lt;=55,"Seniour Adult",F1195&gt;=55,"Old Age")</f>
        <v>Adult</v>
      </c>
      <c r="H1195" t="s">
        <v>51</v>
      </c>
      <c r="I1195" t="s">
        <v>11</v>
      </c>
      <c r="J1195" t="str" cm="1">
        <f t="array" ref="J1195">_xlfn.IFS(I1195="S","Sauthamptonm",I1195="Q","Queentown",I1195="C","Cherburg",I1195="B","Cabin")</f>
        <v>Sauthamptonm</v>
      </c>
      <c r="K1195" t="s">
        <v>15</v>
      </c>
      <c r="L1195" s="2">
        <v>29</v>
      </c>
      <c r="M1195">
        <v>0</v>
      </c>
      <c r="N1195" t="s">
        <v>30</v>
      </c>
      <c r="O1195" t="s">
        <v>16</v>
      </c>
    </row>
    <row r="1196" spans="1:15" x14ac:dyDescent="0.3">
      <c r="A1196" s="1" t="s">
        <v>2230</v>
      </c>
      <c r="B1196" t="s">
        <v>72</v>
      </c>
      <c r="C1196" t="s">
        <v>211</v>
      </c>
      <c r="D1196" t="str">
        <f t="shared" si="18"/>
        <v>Male</v>
      </c>
      <c r="E1196" t="s">
        <v>9</v>
      </c>
      <c r="F1196" s="2">
        <v>38</v>
      </c>
      <c r="G1196" s="2" t="str" cm="1">
        <f t="array" ref="G1196">_xlfn.IFS(F1196&lt;=8,"Child",F1196&lt;=17,"Teen",F1196&lt;=35,"Adult",F1196&lt;=55,"Seniour Adult",F1196&gt;=55,"Old Age")</f>
        <v>Seniour Adult</v>
      </c>
      <c r="H1196" t="s">
        <v>51</v>
      </c>
      <c r="I1196" t="s">
        <v>11</v>
      </c>
      <c r="J1196" t="str" cm="1">
        <f t="array" ref="J1196">_xlfn.IFS(I1196="S","Sauthamptonm",I1196="Q","Queentown",I1196="C","Cherburg",I1196="B","Cabin")</f>
        <v>Sauthamptonm</v>
      </c>
      <c r="K1196" t="s">
        <v>15</v>
      </c>
      <c r="L1196" s="2">
        <v>29</v>
      </c>
      <c r="M1196">
        <v>0</v>
      </c>
      <c r="N1196" t="s">
        <v>30</v>
      </c>
      <c r="O1196" t="s">
        <v>13</v>
      </c>
    </row>
    <row r="1197" spans="1:15" x14ac:dyDescent="0.3">
      <c r="A1197" s="1" t="s">
        <v>2231</v>
      </c>
      <c r="B1197" t="s">
        <v>72</v>
      </c>
      <c r="C1197" t="s">
        <v>2232</v>
      </c>
      <c r="D1197" t="str">
        <f t="shared" si="18"/>
        <v>Male</v>
      </c>
      <c r="E1197" t="s">
        <v>9</v>
      </c>
      <c r="F1197" s="2">
        <v>30</v>
      </c>
      <c r="G1197" s="2" t="str" cm="1">
        <f t="array" ref="G1197">_xlfn.IFS(F1197&lt;=8,"Child",F1197&lt;=17,"Teen",F1197&lt;=35,"Adult",F1197&lt;=55,"Seniour Adult",F1197&gt;=55,"Old Age")</f>
        <v>Adult</v>
      </c>
      <c r="H1197" t="s">
        <v>51</v>
      </c>
      <c r="I1197" t="s">
        <v>11</v>
      </c>
      <c r="J1197" t="str" cm="1">
        <f t="array" ref="J1197">_xlfn.IFS(I1197="S","Sauthamptonm",I1197="Q","Queentown",I1197="C","Cherburg",I1197="B","Cabin")</f>
        <v>Sauthamptonm</v>
      </c>
      <c r="K1197" t="s">
        <v>15</v>
      </c>
      <c r="L1197" s="2">
        <v>29</v>
      </c>
      <c r="M1197">
        <v>0</v>
      </c>
      <c r="N1197" t="s">
        <v>30</v>
      </c>
      <c r="O1197" t="s">
        <v>13</v>
      </c>
    </row>
    <row r="1198" spans="1:15" x14ac:dyDescent="0.3">
      <c r="A1198" s="1" t="s">
        <v>2233</v>
      </c>
      <c r="B1198" t="s">
        <v>72</v>
      </c>
      <c r="C1198" t="s">
        <v>2234</v>
      </c>
      <c r="D1198" t="str">
        <f t="shared" si="18"/>
        <v>Male</v>
      </c>
      <c r="E1198" t="s">
        <v>9</v>
      </c>
      <c r="F1198" s="2">
        <v>40</v>
      </c>
      <c r="G1198" s="2" t="str" cm="1">
        <f t="array" ref="G1198">_xlfn.IFS(F1198&lt;=8,"Child",F1198&lt;=17,"Teen",F1198&lt;=35,"Adult",F1198&lt;=55,"Seniour Adult",F1198&gt;=55,"Old Age")</f>
        <v>Seniour Adult</v>
      </c>
      <c r="H1198" t="s">
        <v>51</v>
      </c>
      <c r="I1198" t="s">
        <v>11</v>
      </c>
      <c r="J1198" t="str" cm="1">
        <f t="array" ref="J1198">_xlfn.IFS(I1198="S","Sauthamptonm",I1198="Q","Queentown",I1198="C","Cherburg",I1198="B","Cabin")</f>
        <v>Sauthamptonm</v>
      </c>
      <c r="K1198" t="s">
        <v>15</v>
      </c>
      <c r="L1198" s="2">
        <v>29</v>
      </c>
      <c r="M1198">
        <v>0</v>
      </c>
      <c r="N1198" t="s">
        <v>30</v>
      </c>
      <c r="O1198" t="s">
        <v>16</v>
      </c>
    </row>
    <row r="1199" spans="1:15" x14ac:dyDescent="0.3">
      <c r="A1199" s="1" t="s">
        <v>2235</v>
      </c>
      <c r="B1199" t="s">
        <v>72</v>
      </c>
      <c r="C1199" t="s">
        <v>378</v>
      </c>
      <c r="D1199" t="str">
        <f t="shared" si="18"/>
        <v>Male</v>
      </c>
      <c r="E1199" t="s">
        <v>9</v>
      </c>
      <c r="F1199" s="2">
        <v>44</v>
      </c>
      <c r="G1199" s="2" t="str" cm="1">
        <f t="array" ref="G1199">_xlfn.IFS(F1199&lt;=8,"Child",F1199&lt;=17,"Teen",F1199&lt;=35,"Adult",F1199&lt;=55,"Seniour Adult",F1199&gt;=55,"Old Age")</f>
        <v>Seniour Adult</v>
      </c>
      <c r="H1199" t="s">
        <v>51</v>
      </c>
      <c r="I1199" t="s">
        <v>11</v>
      </c>
      <c r="J1199" t="str" cm="1">
        <f t="array" ref="J1199">_xlfn.IFS(I1199="S","Sauthamptonm",I1199="Q","Queentown",I1199="C","Cherburg",I1199="B","Cabin")</f>
        <v>Sauthamptonm</v>
      </c>
      <c r="K1199" t="s">
        <v>15</v>
      </c>
      <c r="L1199" s="2">
        <v>29</v>
      </c>
      <c r="M1199">
        <v>0</v>
      </c>
      <c r="N1199" t="s">
        <v>30</v>
      </c>
      <c r="O1199" t="s">
        <v>13</v>
      </c>
    </row>
    <row r="1200" spans="1:15" x14ac:dyDescent="0.3">
      <c r="A1200" s="1" t="s">
        <v>2236</v>
      </c>
      <c r="B1200" t="s">
        <v>72</v>
      </c>
      <c r="C1200" t="s">
        <v>2237</v>
      </c>
      <c r="D1200" t="str">
        <f t="shared" si="18"/>
        <v>Male</v>
      </c>
      <c r="E1200" t="s">
        <v>9</v>
      </c>
      <c r="F1200" s="2">
        <v>30</v>
      </c>
      <c r="G1200" s="2" t="str" cm="1">
        <f t="array" ref="G1200">_xlfn.IFS(F1200&lt;=8,"Child",F1200&lt;=17,"Teen",F1200&lt;=35,"Adult",F1200&lt;=55,"Seniour Adult",F1200&gt;=55,"Old Age")</f>
        <v>Adult</v>
      </c>
      <c r="H1200" t="s">
        <v>67</v>
      </c>
      <c r="I1200" t="s">
        <v>11</v>
      </c>
      <c r="J1200" t="str" cm="1">
        <f t="array" ref="J1200">_xlfn.IFS(I1200="S","Sauthamptonm",I1200="Q","Queentown",I1200="C","Cherburg",I1200="B","Cabin")</f>
        <v>Sauthamptonm</v>
      </c>
      <c r="K1200" t="s">
        <v>15</v>
      </c>
      <c r="L1200" s="2">
        <v>29</v>
      </c>
      <c r="M1200">
        <v>0</v>
      </c>
      <c r="N1200" t="s">
        <v>30</v>
      </c>
      <c r="O1200" t="s">
        <v>16</v>
      </c>
    </row>
    <row r="1201" spans="1:15" x14ac:dyDescent="0.3">
      <c r="A1201" s="1" t="s">
        <v>2238</v>
      </c>
      <c r="B1201" t="s">
        <v>72</v>
      </c>
      <c r="C1201" t="s">
        <v>128</v>
      </c>
      <c r="D1201" t="str">
        <f t="shared" si="18"/>
        <v>Male</v>
      </c>
      <c r="E1201" t="s">
        <v>9</v>
      </c>
      <c r="F1201" s="2">
        <v>18</v>
      </c>
      <c r="G1201" s="2" t="str" cm="1">
        <f t="array" ref="G1201">_xlfn.IFS(F1201&lt;=8,"Child",F1201&lt;=17,"Teen",F1201&lt;=35,"Adult",F1201&lt;=55,"Seniour Adult",F1201&gt;=55,"Old Age")</f>
        <v>Adult</v>
      </c>
      <c r="H1201" t="s">
        <v>67</v>
      </c>
      <c r="I1201" t="s">
        <v>11</v>
      </c>
      <c r="J1201" t="str" cm="1">
        <f t="array" ref="J1201">_xlfn.IFS(I1201="S","Sauthamptonm",I1201="Q","Queentown",I1201="C","Cherburg",I1201="B","Cabin")</f>
        <v>Sauthamptonm</v>
      </c>
      <c r="K1201" t="s">
        <v>15</v>
      </c>
      <c r="L1201" s="2">
        <v>29</v>
      </c>
      <c r="M1201">
        <v>0</v>
      </c>
      <c r="N1201" t="s">
        <v>30</v>
      </c>
      <c r="O1201" t="s">
        <v>13</v>
      </c>
    </row>
    <row r="1202" spans="1:15" x14ac:dyDescent="0.3">
      <c r="A1202" s="1" t="s">
        <v>2239</v>
      </c>
      <c r="B1202" t="s">
        <v>72</v>
      </c>
      <c r="C1202" t="s">
        <v>698</v>
      </c>
      <c r="D1202" t="str">
        <f t="shared" si="18"/>
        <v>Male</v>
      </c>
      <c r="E1202" t="s">
        <v>9</v>
      </c>
      <c r="F1202" s="2">
        <v>22</v>
      </c>
      <c r="G1202" s="2" t="str" cm="1">
        <f t="array" ref="G1202">_xlfn.IFS(F1202&lt;=8,"Child",F1202&lt;=17,"Teen",F1202&lt;=35,"Adult",F1202&lt;=55,"Seniour Adult",F1202&gt;=55,"Old Age")</f>
        <v>Adult</v>
      </c>
      <c r="H1202" t="s">
        <v>51</v>
      </c>
      <c r="I1202" t="s">
        <v>11</v>
      </c>
      <c r="J1202" t="str" cm="1">
        <f t="array" ref="J1202">_xlfn.IFS(I1202="S","Sauthamptonm",I1202="Q","Queentown",I1202="C","Cherburg",I1202="B","Cabin")</f>
        <v>Sauthamptonm</v>
      </c>
      <c r="K1202" t="s">
        <v>15</v>
      </c>
      <c r="L1202" s="2">
        <v>29</v>
      </c>
      <c r="M1202">
        <v>0</v>
      </c>
      <c r="N1202" t="s">
        <v>30</v>
      </c>
      <c r="O1202" t="s">
        <v>16</v>
      </c>
    </row>
    <row r="1203" spans="1:15" x14ac:dyDescent="0.3">
      <c r="A1203" s="1" t="s">
        <v>2240</v>
      </c>
      <c r="B1203" t="s">
        <v>72</v>
      </c>
      <c r="C1203" t="s">
        <v>2241</v>
      </c>
      <c r="D1203" t="str">
        <f t="shared" si="18"/>
        <v>Male</v>
      </c>
      <c r="E1203" t="s">
        <v>9</v>
      </c>
      <c r="F1203" s="2">
        <v>43</v>
      </c>
      <c r="G1203" s="2" t="str" cm="1">
        <f t="array" ref="G1203">_xlfn.IFS(F1203&lt;=8,"Child",F1203&lt;=17,"Teen",F1203&lt;=35,"Adult",F1203&lt;=55,"Seniour Adult",F1203&gt;=55,"Old Age")</f>
        <v>Seniour Adult</v>
      </c>
      <c r="H1203" t="s">
        <v>51</v>
      </c>
      <c r="I1203" t="s">
        <v>28</v>
      </c>
      <c r="J1203" t="str" cm="1">
        <f t="array" ref="J1203">_xlfn.IFS(I1203="S","Sauthamptonm",I1203="Q","Queentown",I1203="C","Cherburg",I1203="B","Cabin")</f>
        <v>Cabin</v>
      </c>
      <c r="K1203" t="s">
        <v>15</v>
      </c>
      <c r="L1203" s="2">
        <v>29</v>
      </c>
      <c r="M1203">
        <v>0</v>
      </c>
      <c r="N1203" t="s">
        <v>30</v>
      </c>
      <c r="O1203" t="s">
        <v>13</v>
      </c>
    </row>
    <row r="1204" spans="1:15" x14ac:dyDescent="0.3">
      <c r="A1204" s="1" t="s">
        <v>2242</v>
      </c>
      <c r="B1204" t="s">
        <v>72</v>
      </c>
      <c r="C1204" t="s">
        <v>1460</v>
      </c>
      <c r="D1204" t="str">
        <f t="shared" si="18"/>
        <v>Male</v>
      </c>
      <c r="E1204" t="s">
        <v>9</v>
      </c>
      <c r="F1204" s="2">
        <v>37</v>
      </c>
      <c r="G1204" s="2" t="str" cm="1">
        <f t="array" ref="G1204">_xlfn.IFS(F1204&lt;=8,"Child",F1204&lt;=17,"Teen",F1204&lt;=35,"Adult",F1204&lt;=55,"Seniour Adult",F1204&gt;=55,"Old Age")</f>
        <v>Seniour Adult</v>
      </c>
      <c r="H1204" t="s">
        <v>51</v>
      </c>
      <c r="I1204" t="s">
        <v>11</v>
      </c>
      <c r="J1204" t="str" cm="1">
        <f t="array" ref="J1204">_xlfn.IFS(I1204="S","Sauthamptonm",I1204="Q","Queentown",I1204="C","Cherburg",I1204="B","Cabin")</f>
        <v>Sauthamptonm</v>
      </c>
      <c r="K1204" t="s">
        <v>15</v>
      </c>
      <c r="L1204" s="2">
        <v>29</v>
      </c>
      <c r="M1204">
        <v>0</v>
      </c>
      <c r="N1204" t="s">
        <v>30</v>
      </c>
      <c r="O1204" t="s">
        <v>13</v>
      </c>
    </row>
    <row r="1205" spans="1:15" x14ac:dyDescent="0.3">
      <c r="A1205" s="1" t="s">
        <v>2243</v>
      </c>
      <c r="B1205" t="s">
        <v>72</v>
      </c>
      <c r="C1205" t="s">
        <v>1019</v>
      </c>
      <c r="D1205" t="str">
        <f t="shared" si="18"/>
        <v>Male</v>
      </c>
      <c r="E1205" t="s">
        <v>9</v>
      </c>
      <c r="F1205" s="2">
        <v>30</v>
      </c>
      <c r="G1205" s="2" t="str" cm="1">
        <f t="array" ref="G1205">_xlfn.IFS(F1205&lt;=8,"Child",F1205&lt;=17,"Teen",F1205&lt;=35,"Adult",F1205&lt;=55,"Seniour Adult",F1205&gt;=55,"Old Age")</f>
        <v>Adult</v>
      </c>
      <c r="H1205" t="s">
        <v>67</v>
      </c>
      <c r="I1205" t="s">
        <v>11</v>
      </c>
      <c r="J1205" t="str" cm="1">
        <f t="array" ref="J1205">_xlfn.IFS(I1205="S","Sauthamptonm",I1205="Q","Queentown",I1205="C","Cherburg",I1205="B","Cabin")</f>
        <v>Sauthamptonm</v>
      </c>
      <c r="K1205" t="s">
        <v>15</v>
      </c>
      <c r="L1205" s="2">
        <v>29</v>
      </c>
      <c r="M1205">
        <v>0</v>
      </c>
      <c r="N1205" t="s">
        <v>30</v>
      </c>
      <c r="O1205" t="s">
        <v>13</v>
      </c>
    </row>
    <row r="1206" spans="1:15" x14ac:dyDescent="0.3">
      <c r="A1206" s="1" t="s">
        <v>2244</v>
      </c>
      <c r="B1206" t="s">
        <v>72</v>
      </c>
      <c r="C1206" t="s">
        <v>866</v>
      </c>
      <c r="D1206" t="str">
        <f t="shared" si="18"/>
        <v>Male</v>
      </c>
      <c r="E1206" t="s">
        <v>9</v>
      </c>
      <c r="F1206" s="2">
        <v>44</v>
      </c>
      <c r="G1206" s="2" t="str" cm="1">
        <f t="array" ref="G1206">_xlfn.IFS(F1206&lt;=8,"Child",F1206&lt;=17,"Teen",F1206&lt;=35,"Adult",F1206&lt;=55,"Seniour Adult",F1206&gt;=55,"Old Age")</f>
        <v>Seniour Adult</v>
      </c>
      <c r="H1206" t="s">
        <v>51</v>
      </c>
      <c r="I1206" t="s">
        <v>28</v>
      </c>
      <c r="J1206" t="str" cm="1">
        <f t="array" ref="J1206">_xlfn.IFS(I1206="S","Sauthamptonm",I1206="Q","Queentown",I1206="C","Cherburg",I1206="B","Cabin")</f>
        <v>Cabin</v>
      </c>
      <c r="K1206" t="s">
        <v>15</v>
      </c>
      <c r="L1206" s="2">
        <v>29</v>
      </c>
      <c r="M1206">
        <v>0</v>
      </c>
      <c r="N1206" t="s">
        <v>30</v>
      </c>
      <c r="O1206" t="s">
        <v>13</v>
      </c>
    </row>
    <row r="1207" spans="1:15" x14ac:dyDescent="0.3">
      <c r="A1207" s="1" t="s">
        <v>2245</v>
      </c>
      <c r="B1207" t="s">
        <v>72</v>
      </c>
      <c r="C1207" t="s">
        <v>213</v>
      </c>
      <c r="D1207" t="str">
        <f t="shared" si="18"/>
        <v>Male</v>
      </c>
      <c r="E1207" t="s">
        <v>9</v>
      </c>
      <c r="F1207" s="2">
        <v>28</v>
      </c>
      <c r="G1207" s="2" t="str" cm="1">
        <f t="array" ref="G1207">_xlfn.IFS(F1207&lt;=8,"Child",F1207&lt;=17,"Teen",F1207&lt;=35,"Adult",F1207&lt;=55,"Seniour Adult",F1207&gt;=55,"Old Age")</f>
        <v>Adult</v>
      </c>
      <c r="H1207" t="s">
        <v>67</v>
      </c>
      <c r="I1207" t="s">
        <v>11</v>
      </c>
      <c r="J1207" t="str" cm="1">
        <f t="array" ref="J1207">_xlfn.IFS(I1207="S","Sauthamptonm",I1207="Q","Queentown",I1207="C","Cherburg",I1207="B","Cabin")</f>
        <v>Sauthamptonm</v>
      </c>
      <c r="K1207" t="s">
        <v>15</v>
      </c>
      <c r="L1207" s="2">
        <v>29</v>
      </c>
      <c r="M1207">
        <v>0</v>
      </c>
      <c r="N1207" t="s">
        <v>30</v>
      </c>
      <c r="O1207" t="s">
        <v>13</v>
      </c>
    </row>
    <row r="1208" spans="1:15" x14ac:dyDescent="0.3">
      <c r="A1208" s="1" t="s">
        <v>2246</v>
      </c>
      <c r="B1208" t="s">
        <v>72</v>
      </c>
      <c r="C1208" t="s">
        <v>2247</v>
      </c>
      <c r="D1208" t="str">
        <f t="shared" si="18"/>
        <v>Male</v>
      </c>
      <c r="E1208" t="s">
        <v>9</v>
      </c>
      <c r="F1208" s="2">
        <v>26</v>
      </c>
      <c r="G1208" s="2" t="str" cm="1">
        <f t="array" ref="G1208">_xlfn.IFS(F1208&lt;=8,"Child",F1208&lt;=17,"Teen",F1208&lt;=35,"Adult",F1208&lt;=55,"Seniour Adult",F1208&gt;=55,"Old Age")</f>
        <v>Adult</v>
      </c>
      <c r="H1208" t="s">
        <v>51</v>
      </c>
      <c r="I1208" t="s">
        <v>11</v>
      </c>
      <c r="J1208" t="str" cm="1">
        <f t="array" ref="J1208">_xlfn.IFS(I1208="S","Sauthamptonm",I1208="Q","Queentown",I1208="C","Cherburg",I1208="B","Cabin")</f>
        <v>Sauthamptonm</v>
      </c>
      <c r="K1208" t="s">
        <v>43</v>
      </c>
      <c r="L1208" s="2">
        <v>29</v>
      </c>
      <c r="M1208">
        <v>0</v>
      </c>
      <c r="N1208" t="s">
        <v>30</v>
      </c>
      <c r="O1208" t="s">
        <v>13</v>
      </c>
    </row>
    <row r="1209" spans="1:15" x14ac:dyDescent="0.3">
      <c r="A1209" s="1" t="s">
        <v>2248</v>
      </c>
      <c r="B1209" t="s">
        <v>72</v>
      </c>
      <c r="C1209" t="s">
        <v>251</v>
      </c>
      <c r="D1209" t="str">
        <f t="shared" si="18"/>
        <v>Male</v>
      </c>
      <c r="E1209" t="s">
        <v>9</v>
      </c>
      <c r="F1209" s="2">
        <v>36</v>
      </c>
      <c r="G1209" s="2" t="str" cm="1">
        <f t="array" ref="G1209">_xlfn.IFS(F1209&lt;=8,"Child",F1209&lt;=17,"Teen",F1209&lt;=35,"Adult",F1209&lt;=55,"Seniour Adult",F1209&gt;=55,"Old Age")</f>
        <v>Seniour Adult</v>
      </c>
      <c r="H1209" t="s">
        <v>67</v>
      </c>
      <c r="I1209" t="s">
        <v>28</v>
      </c>
      <c r="J1209" t="str" cm="1">
        <f t="array" ref="J1209">_xlfn.IFS(I1209="S","Sauthamptonm",I1209="Q","Queentown",I1209="C","Cherburg",I1209="B","Cabin")</f>
        <v>Cabin</v>
      </c>
      <c r="K1209" t="s">
        <v>15</v>
      </c>
      <c r="L1209" s="2">
        <v>29</v>
      </c>
      <c r="M1209">
        <v>0</v>
      </c>
      <c r="N1209" t="s">
        <v>30</v>
      </c>
      <c r="O1209" t="s">
        <v>13</v>
      </c>
    </row>
    <row r="1210" spans="1:15" x14ac:dyDescent="0.3">
      <c r="A1210" s="1" t="s">
        <v>2249</v>
      </c>
      <c r="B1210" t="s">
        <v>72</v>
      </c>
      <c r="C1210" t="s">
        <v>2250</v>
      </c>
      <c r="D1210" t="str">
        <f t="shared" si="18"/>
        <v>Male</v>
      </c>
      <c r="E1210" t="s">
        <v>9</v>
      </c>
      <c r="F1210" s="2">
        <v>34</v>
      </c>
      <c r="G1210" s="2" t="str" cm="1">
        <f t="array" ref="G1210">_xlfn.IFS(F1210&lt;=8,"Child",F1210&lt;=17,"Teen",F1210&lt;=35,"Adult",F1210&lt;=55,"Seniour Adult",F1210&gt;=55,"Old Age")</f>
        <v>Adult</v>
      </c>
      <c r="H1210" t="s">
        <v>67</v>
      </c>
      <c r="I1210" t="s">
        <v>11</v>
      </c>
      <c r="J1210" t="str" cm="1">
        <f t="array" ref="J1210">_xlfn.IFS(I1210="S","Sauthamptonm",I1210="Q","Queentown",I1210="C","Cherburg",I1210="B","Cabin")</f>
        <v>Sauthamptonm</v>
      </c>
      <c r="K1210" t="s">
        <v>37</v>
      </c>
      <c r="L1210" s="2">
        <v>29</v>
      </c>
      <c r="M1210">
        <v>0</v>
      </c>
      <c r="N1210" t="s">
        <v>30</v>
      </c>
      <c r="O1210" t="s">
        <v>13</v>
      </c>
    </row>
    <row r="1211" spans="1:15" x14ac:dyDescent="0.3">
      <c r="A1211" s="1" t="s">
        <v>2251</v>
      </c>
      <c r="B1211" t="s">
        <v>72</v>
      </c>
      <c r="C1211" t="s">
        <v>2252</v>
      </c>
      <c r="D1211" t="str">
        <f t="shared" si="18"/>
        <v>Male</v>
      </c>
      <c r="E1211" t="s">
        <v>9</v>
      </c>
      <c r="F1211" s="2">
        <v>18</v>
      </c>
      <c r="G1211" s="2" t="str" cm="1">
        <f t="array" ref="G1211">_xlfn.IFS(F1211&lt;=8,"Child",F1211&lt;=17,"Teen",F1211&lt;=35,"Adult",F1211&lt;=55,"Seniour Adult",F1211&gt;=55,"Old Age")</f>
        <v>Adult</v>
      </c>
      <c r="H1211" t="s">
        <v>67</v>
      </c>
      <c r="I1211" t="s">
        <v>11</v>
      </c>
      <c r="J1211" t="str" cm="1">
        <f t="array" ref="J1211">_xlfn.IFS(I1211="S","Sauthamptonm",I1211="Q","Queentown",I1211="C","Cherburg",I1211="B","Cabin")</f>
        <v>Sauthamptonm</v>
      </c>
      <c r="K1211" t="s">
        <v>15</v>
      </c>
      <c r="L1211" s="2">
        <v>29</v>
      </c>
      <c r="M1211">
        <v>0</v>
      </c>
      <c r="N1211" t="s">
        <v>30</v>
      </c>
      <c r="O1211" t="s">
        <v>13</v>
      </c>
    </row>
    <row r="1212" spans="1:15" x14ac:dyDescent="0.3">
      <c r="A1212" s="1" t="s">
        <v>2253</v>
      </c>
      <c r="B1212" t="s">
        <v>72</v>
      </c>
      <c r="C1212" t="s">
        <v>2254</v>
      </c>
      <c r="D1212" t="str">
        <f t="shared" si="18"/>
        <v>Male</v>
      </c>
      <c r="E1212" t="s">
        <v>9</v>
      </c>
      <c r="F1212" s="2">
        <v>48</v>
      </c>
      <c r="G1212" s="2" t="str" cm="1">
        <f t="array" ref="G1212">_xlfn.IFS(F1212&lt;=8,"Child",F1212&lt;=17,"Teen",F1212&lt;=35,"Adult",F1212&lt;=55,"Seniour Adult",F1212&gt;=55,"Old Age")</f>
        <v>Seniour Adult</v>
      </c>
      <c r="H1212" t="s">
        <v>67</v>
      </c>
      <c r="I1212" t="s">
        <v>11</v>
      </c>
      <c r="J1212" t="str" cm="1">
        <f t="array" ref="J1212">_xlfn.IFS(I1212="S","Sauthamptonm",I1212="Q","Queentown",I1212="C","Cherburg",I1212="B","Cabin")</f>
        <v>Sauthamptonm</v>
      </c>
      <c r="K1212" t="s">
        <v>15</v>
      </c>
      <c r="L1212" s="2">
        <v>29</v>
      </c>
      <c r="M1212">
        <v>0</v>
      </c>
      <c r="N1212" t="s">
        <v>30</v>
      </c>
      <c r="O1212" t="s">
        <v>13</v>
      </c>
    </row>
    <row r="1213" spans="1:15" x14ac:dyDescent="0.3">
      <c r="A1213" s="1" t="s">
        <v>2255</v>
      </c>
      <c r="B1213" t="s">
        <v>72</v>
      </c>
      <c r="C1213" t="s">
        <v>2256</v>
      </c>
      <c r="D1213" t="str">
        <f t="shared" si="18"/>
        <v>Male</v>
      </c>
      <c r="E1213" t="s">
        <v>9</v>
      </c>
      <c r="F1213" s="2">
        <v>30</v>
      </c>
      <c r="G1213" s="2" t="str" cm="1">
        <f t="array" ref="G1213">_xlfn.IFS(F1213&lt;=8,"Child",F1213&lt;=17,"Teen",F1213&lt;=35,"Adult",F1213&lt;=55,"Seniour Adult",F1213&gt;=55,"Old Age")</f>
        <v>Adult</v>
      </c>
      <c r="H1213" t="s">
        <v>51</v>
      </c>
      <c r="I1213" t="s">
        <v>11</v>
      </c>
      <c r="J1213" t="str" cm="1">
        <f t="array" ref="J1213">_xlfn.IFS(I1213="S","Sauthamptonm",I1213="Q","Queentown",I1213="C","Cherburg",I1213="B","Cabin")</f>
        <v>Sauthamptonm</v>
      </c>
      <c r="K1213" t="s">
        <v>15</v>
      </c>
      <c r="L1213" s="2">
        <v>29</v>
      </c>
      <c r="M1213">
        <v>0</v>
      </c>
      <c r="N1213" t="s">
        <v>30</v>
      </c>
      <c r="O1213" t="s">
        <v>13</v>
      </c>
    </row>
    <row r="1214" spans="1:15" x14ac:dyDescent="0.3">
      <c r="A1214" s="1" t="s">
        <v>2257</v>
      </c>
      <c r="B1214" t="s">
        <v>72</v>
      </c>
      <c r="C1214" t="s">
        <v>2258</v>
      </c>
      <c r="D1214" t="str">
        <f t="shared" si="18"/>
        <v>Male</v>
      </c>
      <c r="E1214" t="s">
        <v>9</v>
      </c>
      <c r="F1214" s="2">
        <v>36</v>
      </c>
      <c r="G1214" s="2" t="str" cm="1">
        <f t="array" ref="G1214">_xlfn.IFS(F1214&lt;=8,"Child",F1214&lt;=17,"Teen",F1214&lt;=35,"Adult",F1214&lt;=55,"Seniour Adult",F1214&gt;=55,"Old Age")</f>
        <v>Seniour Adult</v>
      </c>
      <c r="H1214" t="s">
        <v>67</v>
      </c>
      <c r="I1214" t="s">
        <v>11</v>
      </c>
      <c r="J1214" t="str" cm="1">
        <f t="array" ref="J1214">_xlfn.IFS(I1214="S","Sauthamptonm",I1214="Q","Queentown",I1214="C","Cherburg",I1214="B","Cabin")</f>
        <v>Sauthamptonm</v>
      </c>
      <c r="K1214" t="s">
        <v>15</v>
      </c>
      <c r="L1214" s="2">
        <v>29</v>
      </c>
      <c r="M1214">
        <v>0</v>
      </c>
      <c r="N1214" t="s">
        <v>30</v>
      </c>
      <c r="O1214" t="s">
        <v>13</v>
      </c>
    </row>
    <row r="1215" spans="1:15" x14ac:dyDescent="0.3">
      <c r="A1215" s="1" t="s">
        <v>2259</v>
      </c>
      <c r="B1215" t="s">
        <v>72</v>
      </c>
      <c r="C1215" t="s">
        <v>598</v>
      </c>
      <c r="D1215" t="str">
        <f t="shared" si="18"/>
        <v>Male</v>
      </c>
      <c r="E1215" t="s">
        <v>9</v>
      </c>
      <c r="F1215" s="2">
        <v>43</v>
      </c>
      <c r="G1215" s="2" t="str" cm="1">
        <f t="array" ref="G1215">_xlfn.IFS(F1215&lt;=8,"Child",F1215&lt;=17,"Teen",F1215&lt;=35,"Adult",F1215&lt;=55,"Seniour Adult",F1215&gt;=55,"Old Age")</f>
        <v>Seniour Adult</v>
      </c>
      <c r="H1215" t="s">
        <v>51</v>
      </c>
      <c r="I1215" t="s">
        <v>11</v>
      </c>
      <c r="J1215" t="str" cm="1">
        <f t="array" ref="J1215">_xlfn.IFS(I1215="S","Sauthamptonm",I1215="Q","Queentown",I1215="C","Cherburg",I1215="B","Cabin")</f>
        <v>Sauthamptonm</v>
      </c>
      <c r="K1215" t="s">
        <v>15</v>
      </c>
      <c r="L1215" s="2">
        <v>29</v>
      </c>
      <c r="M1215">
        <v>0</v>
      </c>
      <c r="N1215" t="s">
        <v>30</v>
      </c>
      <c r="O1215" t="s">
        <v>13</v>
      </c>
    </row>
    <row r="1216" spans="1:15" x14ac:dyDescent="0.3">
      <c r="A1216" s="1" t="s">
        <v>2260</v>
      </c>
      <c r="B1216" t="s">
        <v>72</v>
      </c>
      <c r="C1216" t="s">
        <v>2261</v>
      </c>
      <c r="D1216" t="str">
        <f t="shared" si="18"/>
        <v>Male</v>
      </c>
      <c r="E1216" t="s">
        <v>9</v>
      </c>
      <c r="F1216" s="2">
        <v>31</v>
      </c>
      <c r="G1216" s="2" t="str" cm="1">
        <f t="array" ref="G1216">_xlfn.IFS(F1216&lt;=8,"Child",F1216&lt;=17,"Teen",F1216&lt;=35,"Adult",F1216&lt;=55,"Seniour Adult",F1216&gt;=55,"Old Age")</f>
        <v>Adult</v>
      </c>
      <c r="H1216" t="s">
        <v>67</v>
      </c>
      <c r="I1216" t="s">
        <v>11</v>
      </c>
      <c r="J1216" t="str" cm="1">
        <f t="array" ref="J1216">_xlfn.IFS(I1216="S","Sauthamptonm",I1216="Q","Queentown",I1216="C","Cherburg",I1216="B","Cabin")</f>
        <v>Sauthamptonm</v>
      </c>
      <c r="K1216" t="s">
        <v>15</v>
      </c>
      <c r="L1216" s="2">
        <v>29</v>
      </c>
      <c r="M1216">
        <v>0</v>
      </c>
      <c r="N1216" t="s">
        <v>30</v>
      </c>
      <c r="O1216" t="s">
        <v>13</v>
      </c>
    </row>
    <row r="1217" spans="1:15" x14ac:dyDescent="0.3">
      <c r="A1217" s="1" t="s">
        <v>2262</v>
      </c>
      <c r="B1217" t="s">
        <v>72</v>
      </c>
      <c r="C1217" t="s">
        <v>1923</v>
      </c>
      <c r="D1217" t="str">
        <f t="shared" si="18"/>
        <v>Male</v>
      </c>
      <c r="E1217" t="s">
        <v>9</v>
      </c>
      <c r="F1217" s="2">
        <v>33</v>
      </c>
      <c r="G1217" s="2" t="str" cm="1">
        <f t="array" ref="G1217">_xlfn.IFS(F1217&lt;=8,"Child",F1217&lt;=17,"Teen",F1217&lt;=35,"Adult",F1217&lt;=55,"Seniour Adult",F1217&gt;=55,"Old Age")</f>
        <v>Adult</v>
      </c>
      <c r="H1217" t="s">
        <v>67</v>
      </c>
      <c r="I1217" t="s">
        <v>11</v>
      </c>
      <c r="J1217" t="str" cm="1">
        <f t="array" ref="J1217">_xlfn.IFS(I1217="S","Sauthamptonm",I1217="Q","Queentown",I1217="C","Cherburg",I1217="B","Cabin")</f>
        <v>Sauthamptonm</v>
      </c>
      <c r="K1217" t="s">
        <v>15</v>
      </c>
      <c r="L1217" s="2">
        <v>29</v>
      </c>
      <c r="M1217">
        <v>0</v>
      </c>
      <c r="N1217" t="s">
        <v>30</v>
      </c>
      <c r="O1217" t="s">
        <v>13</v>
      </c>
    </row>
    <row r="1218" spans="1:15" x14ac:dyDescent="0.3">
      <c r="A1218" s="1" t="s">
        <v>2263</v>
      </c>
      <c r="B1218" t="s">
        <v>72</v>
      </c>
      <c r="C1218" t="s">
        <v>128</v>
      </c>
      <c r="D1218" t="str">
        <f t="shared" ref="D1218:D1281" si="19">PROPER(E1218)</f>
        <v>Male</v>
      </c>
      <c r="E1218" t="s">
        <v>9</v>
      </c>
      <c r="F1218" s="2">
        <v>43</v>
      </c>
      <c r="G1218" s="2" t="str" cm="1">
        <f t="array" ref="G1218">_xlfn.IFS(F1218&lt;=8,"Child",F1218&lt;=17,"Teen",F1218&lt;=35,"Adult",F1218&lt;=55,"Seniour Adult",F1218&gt;=55,"Old Age")</f>
        <v>Seniour Adult</v>
      </c>
      <c r="H1218" t="s">
        <v>51</v>
      </c>
      <c r="I1218" t="s">
        <v>11</v>
      </c>
      <c r="J1218" t="str" cm="1">
        <f t="array" ref="J1218">_xlfn.IFS(I1218="S","Sauthamptonm",I1218="Q","Queentown",I1218="C","Cherburg",I1218="B","Cabin")</f>
        <v>Sauthamptonm</v>
      </c>
      <c r="K1218" t="s">
        <v>15</v>
      </c>
      <c r="L1218" s="2">
        <v>29</v>
      </c>
      <c r="M1218">
        <v>0</v>
      </c>
      <c r="N1218" t="s">
        <v>30</v>
      </c>
      <c r="O1218" t="s">
        <v>16</v>
      </c>
    </row>
    <row r="1219" spans="1:15" x14ac:dyDescent="0.3">
      <c r="A1219" s="1" t="s">
        <v>2264</v>
      </c>
      <c r="B1219" t="s">
        <v>72</v>
      </c>
      <c r="C1219" t="s">
        <v>2265</v>
      </c>
      <c r="D1219" t="str">
        <f t="shared" si="19"/>
        <v>Male</v>
      </c>
      <c r="E1219" t="s">
        <v>9</v>
      </c>
      <c r="F1219" s="2">
        <v>20</v>
      </c>
      <c r="G1219" s="2" t="str" cm="1">
        <f t="array" ref="G1219">_xlfn.IFS(F1219&lt;=8,"Child",F1219&lt;=17,"Teen",F1219&lt;=35,"Adult",F1219&lt;=55,"Seniour Adult",F1219&gt;=55,"Old Age")</f>
        <v>Adult</v>
      </c>
      <c r="H1219" t="s">
        <v>67</v>
      </c>
      <c r="I1219" t="s">
        <v>11</v>
      </c>
      <c r="J1219" t="str" cm="1">
        <f t="array" ref="J1219">_xlfn.IFS(I1219="S","Sauthamptonm",I1219="Q","Queentown",I1219="C","Cherburg",I1219="B","Cabin")</f>
        <v>Sauthamptonm</v>
      </c>
      <c r="K1219" t="s">
        <v>15</v>
      </c>
      <c r="L1219" s="2">
        <v>29</v>
      </c>
      <c r="M1219">
        <v>0</v>
      </c>
      <c r="N1219" t="s">
        <v>30</v>
      </c>
      <c r="O1219" t="s">
        <v>13</v>
      </c>
    </row>
    <row r="1220" spans="1:15" x14ac:dyDescent="0.3">
      <c r="A1220" s="1" t="s">
        <v>2266</v>
      </c>
      <c r="B1220" t="s">
        <v>72</v>
      </c>
      <c r="C1220" t="s">
        <v>1866</v>
      </c>
      <c r="D1220" t="str">
        <f t="shared" si="19"/>
        <v>Male</v>
      </c>
      <c r="E1220" t="s">
        <v>9</v>
      </c>
      <c r="F1220" s="2">
        <v>41</v>
      </c>
      <c r="G1220" s="2" t="str" cm="1">
        <f t="array" ref="G1220">_xlfn.IFS(F1220&lt;=8,"Child",F1220&lt;=17,"Teen",F1220&lt;=35,"Adult",F1220&lt;=55,"Seniour Adult",F1220&gt;=55,"Old Age")</f>
        <v>Seniour Adult</v>
      </c>
      <c r="H1220" t="s">
        <v>51</v>
      </c>
      <c r="I1220" t="s">
        <v>11</v>
      </c>
      <c r="J1220" t="str" cm="1">
        <f t="array" ref="J1220">_xlfn.IFS(I1220="S","Sauthamptonm",I1220="Q","Queentown",I1220="C","Cherburg",I1220="B","Cabin")</f>
        <v>Sauthamptonm</v>
      </c>
      <c r="K1220" t="s">
        <v>15</v>
      </c>
      <c r="L1220" s="2">
        <v>29</v>
      </c>
      <c r="M1220">
        <v>0</v>
      </c>
      <c r="N1220" t="s">
        <v>30</v>
      </c>
      <c r="O1220" t="s">
        <v>13</v>
      </c>
    </row>
    <row r="1221" spans="1:15" x14ac:dyDescent="0.3">
      <c r="A1221" s="1" t="s">
        <v>2267</v>
      </c>
      <c r="B1221" t="s">
        <v>72</v>
      </c>
      <c r="C1221" t="s">
        <v>104</v>
      </c>
      <c r="D1221" t="str">
        <f t="shared" si="19"/>
        <v>Male</v>
      </c>
      <c r="E1221" t="s">
        <v>9</v>
      </c>
      <c r="F1221" s="2">
        <v>46</v>
      </c>
      <c r="G1221" s="2" t="str" cm="1">
        <f t="array" ref="G1221">_xlfn.IFS(F1221&lt;=8,"Child",F1221&lt;=17,"Teen",F1221&lt;=35,"Adult",F1221&lt;=55,"Seniour Adult",F1221&gt;=55,"Old Age")</f>
        <v>Seniour Adult</v>
      </c>
      <c r="H1221" t="s">
        <v>67</v>
      </c>
      <c r="I1221" t="s">
        <v>28</v>
      </c>
      <c r="J1221" t="str" cm="1">
        <f t="array" ref="J1221">_xlfn.IFS(I1221="S","Sauthamptonm",I1221="Q","Queentown",I1221="C","Cherburg",I1221="B","Cabin")</f>
        <v>Cabin</v>
      </c>
      <c r="K1221" t="s">
        <v>15</v>
      </c>
      <c r="L1221" s="2">
        <v>29</v>
      </c>
      <c r="M1221">
        <v>0</v>
      </c>
      <c r="N1221" t="s">
        <v>30</v>
      </c>
      <c r="O1221" t="s">
        <v>13</v>
      </c>
    </row>
    <row r="1222" spans="1:15" x14ac:dyDescent="0.3">
      <c r="A1222" s="1" t="s">
        <v>2268</v>
      </c>
      <c r="B1222" t="s">
        <v>72</v>
      </c>
      <c r="C1222" t="s">
        <v>902</v>
      </c>
      <c r="D1222" t="str">
        <f t="shared" si="19"/>
        <v>Male</v>
      </c>
      <c r="E1222" t="s">
        <v>9</v>
      </c>
      <c r="F1222" s="2">
        <v>55</v>
      </c>
      <c r="G1222" s="2" t="str" cm="1">
        <f t="array" ref="G1222">_xlfn.IFS(F1222&lt;=8,"Child",F1222&lt;=17,"Teen",F1222&lt;=35,"Adult",F1222&lt;=55,"Seniour Adult",F1222&gt;=55,"Old Age")</f>
        <v>Seniour Adult</v>
      </c>
      <c r="H1222" t="s">
        <v>67</v>
      </c>
      <c r="I1222" t="s">
        <v>28</v>
      </c>
      <c r="J1222" t="str" cm="1">
        <f t="array" ref="J1222">_xlfn.IFS(I1222="S","Sauthamptonm",I1222="Q","Queentown",I1222="C","Cherburg",I1222="B","Cabin")</f>
        <v>Cabin</v>
      </c>
      <c r="K1222" t="s">
        <v>15</v>
      </c>
      <c r="L1222" s="2">
        <v>29</v>
      </c>
      <c r="M1222">
        <v>0</v>
      </c>
      <c r="N1222" t="s">
        <v>30</v>
      </c>
      <c r="O1222" t="s">
        <v>13</v>
      </c>
    </row>
    <row r="1223" spans="1:15" x14ac:dyDescent="0.3">
      <c r="A1223" s="1" t="s">
        <v>2269</v>
      </c>
      <c r="B1223" t="s">
        <v>78</v>
      </c>
      <c r="C1223" t="s">
        <v>254</v>
      </c>
      <c r="D1223" t="str">
        <f t="shared" si="19"/>
        <v>Female</v>
      </c>
      <c r="E1223" t="s">
        <v>14</v>
      </c>
      <c r="F1223" s="2">
        <v>40</v>
      </c>
      <c r="G1223" s="2" t="str" cm="1">
        <f t="array" ref="G1223">_xlfn.IFS(F1223&lt;=8,"Child",F1223&lt;=17,"Teen",F1223&lt;=35,"Adult",F1223&lt;=55,"Seniour Adult",F1223&gt;=55,"Old Age")</f>
        <v>Seniour Adult</v>
      </c>
      <c r="H1223" t="s">
        <v>67</v>
      </c>
      <c r="I1223" t="s">
        <v>11</v>
      </c>
      <c r="J1223" t="str" cm="1">
        <f t="array" ref="J1223">_xlfn.IFS(I1223="S","Sauthamptonm",I1223="Q","Queentown",I1223="C","Cherburg",I1223="B","Cabin")</f>
        <v>Sauthamptonm</v>
      </c>
      <c r="K1223" t="s">
        <v>15</v>
      </c>
      <c r="L1223" s="2">
        <v>29</v>
      </c>
      <c r="M1223">
        <v>0</v>
      </c>
      <c r="N1223" t="s">
        <v>30</v>
      </c>
      <c r="O1223" t="s">
        <v>16</v>
      </c>
    </row>
    <row r="1224" spans="1:15" x14ac:dyDescent="0.3">
      <c r="A1224" s="1" t="s">
        <v>2270</v>
      </c>
      <c r="B1224" t="s">
        <v>72</v>
      </c>
      <c r="C1224" t="s">
        <v>618</v>
      </c>
      <c r="D1224" t="str">
        <f t="shared" si="19"/>
        <v>Male</v>
      </c>
      <c r="E1224" t="s">
        <v>9</v>
      </c>
      <c r="F1224" s="2">
        <v>36</v>
      </c>
      <c r="G1224" s="2" t="str" cm="1">
        <f t="array" ref="G1224">_xlfn.IFS(F1224&lt;=8,"Child",F1224&lt;=17,"Teen",F1224&lt;=35,"Adult",F1224&lt;=55,"Seniour Adult",F1224&gt;=55,"Old Age")</f>
        <v>Seniour Adult</v>
      </c>
      <c r="H1224" t="s">
        <v>67</v>
      </c>
      <c r="I1224" t="s">
        <v>28</v>
      </c>
      <c r="J1224" t="str" cm="1">
        <f t="array" ref="J1224">_xlfn.IFS(I1224="S","Sauthamptonm",I1224="Q","Queentown",I1224="C","Cherburg",I1224="B","Cabin")</f>
        <v>Cabin</v>
      </c>
      <c r="K1224" t="s">
        <v>15</v>
      </c>
      <c r="L1224" s="2">
        <v>29</v>
      </c>
      <c r="M1224">
        <v>0</v>
      </c>
      <c r="N1224" t="s">
        <v>30</v>
      </c>
      <c r="O1224" t="s">
        <v>13</v>
      </c>
    </row>
    <row r="1225" spans="1:15" x14ac:dyDescent="0.3">
      <c r="A1225" s="1" t="s">
        <v>2271</v>
      </c>
      <c r="B1225" t="s">
        <v>76</v>
      </c>
      <c r="C1225" t="s">
        <v>2272</v>
      </c>
      <c r="D1225" t="str">
        <f t="shared" si="19"/>
        <v>Female</v>
      </c>
      <c r="E1225" t="s">
        <v>14</v>
      </c>
      <c r="F1225" s="2">
        <v>50</v>
      </c>
      <c r="G1225" s="2" t="str" cm="1">
        <f t="array" ref="G1225">_xlfn.IFS(F1225&lt;=8,"Child",F1225&lt;=17,"Teen",F1225&lt;=35,"Adult",F1225&lt;=55,"Seniour Adult",F1225&gt;=55,"Old Age")</f>
        <v>Seniour Adult</v>
      </c>
      <c r="H1225" t="s">
        <v>67</v>
      </c>
      <c r="I1225" t="s">
        <v>11</v>
      </c>
      <c r="J1225" t="str" cm="1">
        <f t="array" ref="J1225">_xlfn.IFS(I1225="S","Sauthamptonm",I1225="Q","Queentown",I1225="C","Cherburg",I1225="B","Cabin")</f>
        <v>Sauthamptonm</v>
      </c>
      <c r="K1225" t="s">
        <v>15</v>
      </c>
      <c r="L1225" s="2">
        <v>29</v>
      </c>
      <c r="M1225">
        <v>0</v>
      </c>
      <c r="N1225" t="s">
        <v>30</v>
      </c>
      <c r="O1225" t="s">
        <v>16</v>
      </c>
    </row>
    <row r="1226" spans="1:15" x14ac:dyDescent="0.3">
      <c r="A1226" s="1" t="s">
        <v>2273</v>
      </c>
      <c r="B1226" t="s">
        <v>72</v>
      </c>
      <c r="C1226" t="s">
        <v>1886</v>
      </c>
      <c r="D1226" t="str">
        <f t="shared" si="19"/>
        <v>Male</v>
      </c>
      <c r="E1226" t="s">
        <v>9</v>
      </c>
      <c r="F1226" s="2">
        <v>18</v>
      </c>
      <c r="G1226" s="2" t="str" cm="1">
        <f t="array" ref="G1226">_xlfn.IFS(F1226&lt;=8,"Child",F1226&lt;=17,"Teen",F1226&lt;=35,"Adult",F1226&lt;=55,"Seniour Adult",F1226&gt;=55,"Old Age")</f>
        <v>Adult</v>
      </c>
      <c r="H1226" t="s">
        <v>51</v>
      </c>
      <c r="I1226" t="s">
        <v>11</v>
      </c>
      <c r="J1226" t="str" cm="1">
        <f t="array" ref="J1226">_xlfn.IFS(I1226="S","Sauthamptonm",I1226="Q","Queentown",I1226="C","Cherburg",I1226="B","Cabin")</f>
        <v>Sauthamptonm</v>
      </c>
      <c r="K1226" t="s">
        <v>15</v>
      </c>
      <c r="L1226" s="2">
        <v>29</v>
      </c>
      <c r="M1226">
        <v>0</v>
      </c>
      <c r="N1226" t="s">
        <v>30</v>
      </c>
      <c r="O1226" t="s">
        <v>13</v>
      </c>
    </row>
    <row r="1227" spans="1:15" x14ac:dyDescent="0.3">
      <c r="A1227" s="1" t="s">
        <v>2274</v>
      </c>
      <c r="B1227" t="s">
        <v>72</v>
      </c>
      <c r="C1227" t="s">
        <v>1436</v>
      </c>
      <c r="D1227" t="str">
        <f t="shared" si="19"/>
        <v>Male</v>
      </c>
      <c r="E1227" t="s">
        <v>9</v>
      </c>
      <c r="F1227" s="2">
        <v>25</v>
      </c>
      <c r="G1227" s="2" t="str" cm="1">
        <f t="array" ref="G1227">_xlfn.IFS(F1227&lt;=8,"Child",F1227&lt;=17,"Teen",F1227&lt;=35,"Adult",F1227&lt;=55,"Seniour Adult",F1227&gt;=55,"Old Age")</f>
        <v>Adult</v>
      </c>
      <c r="H1227" t="s">
        <v>67</v>
      </c>
      <c r="I1227" t="s">
        <v>28</v>
      </c>
      <c r="J1227" t="str" cm="1">
        <f t="array" ref="J1227">_xlfn.IFS(I1227="S","Sauthamptonm",I1227="Q","Queentown",I1227="C","Cherburg",I1227="B","Cabin")</f>
        <v>Cabin</v>
      </c>
      <c r="K1227" t="s">
        <v>12</v>
      </c>
      <c r="L1227" s="2">
        <v>29</v>
      </c>
      <c r="M1227">
        <v>0</v>
      </c>
      <c r="N1227" t="s">
        <v>30</v>
      </c>
      <c r="O1227" t="s">
        <v>13</v>
      </c>
    </row>
    <row r="1228" spans="1:15" x14ac:dyDescent="0.3">
      <c r="A1228" s="1" t="s">
        <v>2275</v>
      </c>
      <c r="B1228" t="s">
        <v>72</v>
      </c>
      <c r="C1228" t="s">
        <v>1817</v>
      </c>
      <c r="D1228" t="str">
        <f t="shared" si="19"/>
        <v>Male</v>
      </c>
      <c r="E1228" t="s">
        <v>9</v>
      </c>
      <c r="F1228" s="2">
        <v>26</v>
      </c>
      <c r="G1228" s="2" t="str" cm="1">
        <f t="array" ref="G1228">_xlfn.IFS(F1228&lt;=8,"Child",F1228&lt;=17,"Teen",F1228&lt;=35,"Adult",F1228&lt;=55,"Seniour Adult",F1228&gt;=55,"Old Age")</f>
        <v>Adult</v>
      </c>
      <c r="H1228" t="s">
        <v>67</v>
      </c>
      <c r="I1228" t="s">
        <v>28</v>
      </c>
      <c r="J1228" t="str" cm="1">
        <f t="array" ref="J1228">_xlfn.IFS(I1228="S","Sauthamptonm",I1228="Q","Queentown",I1228="C","Cherburg",I1228="B","Cabin")</f>
        <v>Cabin</v>
      </c>
      <c r="K1228" t="s">
        <v>15</v>
      </c>
      <c r="L1228" s="2">
        <v>29</v>
      </c>
      <c r="M1228">
        <v>0</v>
      </c>
      <c r="N1228" t="s">
        <v>30</v>
      </c>
      <c r="O1228" t="s">
        <v>13</v>
      </c>
    </row>
    <row r="1229" spans="1:15" x14ac:dyDescent="0.3">
      <c r="A1229" s="1" t="s">
        <v>2276</v>
      </c>
      <c r="B1229" t="s">
        <v>72</v>
      </c>
      <c r="C1229" t="s">
        <v>2277</v>
      </c>
      <c r="D1229" t="str">
        <f t="shared" si="19"/>
        <v>Male</v>
      </c>
      <c r="E1229" t="s">
        <v>9</v>
      </c>
      <c r="F1229" s="2">
        <v>27</v>
      </c>
      <c r="G1229" s="2" t="str" cm="1">
        <f t="array" ref="G1229">_xlfn.IFS(F1229&lt;=8,"Child",F1229&lt;=17,"Teen",F1229&lt;=35,"Adult",F1229&lt;=55,"Seniour Adult",F1229&gt;=55,"Old Age")</f>
        <v>Adult</v>
      </c>
      <c r="H1229" t="s">
        <v>67</v>
      </c>
      <c r="I1229" t="s">
        <v>11</v>
      </c>
      <c r="J1229" t="str" cm="1">
        <f t="array" ref="J1229">_xlfn.IFS(I1229="S","Sauthamptonm",I1229="Q","Queentown",I1229="C","Cherburg",I1229="B","Cabin")</f>
        <v>Sauthamptonm</v>
      </c>
      <c r="K1229" t="s">
        <v>15</v>
      </c>
      <c r="L1229" s="2">
        <v>29</v>
      </c>
      <c r="M1229">
        <v>0</v>
      </c>
      <c r="N1229" t="s">
        <v>30</v>
      </c>
      <c r="O1229" t="s">
        <v>16</v>
      </c>
    </row>
    <row r="1230" spans="1:15" x14ac:dyDescent="0.3">
      <c r="A1230" s="1" t="s">
        <v>2278</v>
      </c>
      <c r="B1230" t="s">
        <v>72</v>
      </c>
      <c r="C1230" t="s">
        <v>472</v>
      </c>
      <c r="D1230" t="str">
        <f t="shared" si="19"/>
        <v>Male</v>
      </c>
      <c r="E1230" t="s">
        <v>9</v>
      </c>
      <c r="F1230" s="2">
        <v>24</v>
      </c>
      <c r="G1230" s="2" t="str" cm="1">
        <f t="array" ref="G1230">_xlfn.IFS(F1230&lt;=8,"Child",F1230&lt;=17,"Teen",F1230&lt;=35,"Adult",F1230&lt;=55,"Seniour Adult",F1230&gt;=55,"Old Age")</f>
        <v>Adult</v>
      </c>
      <c r="H1230" t="s">
        <v>67</v>
      </c>
      <c r="I1230" t="s">
        <v>11</v>
      </c>
      <c r="J1230" t="str" cm="1">
        <f t="array" ref="J1230">_xlfn.IFS(I1230="S","Sauthamptonm",I1230="Q","Queentown",I1230="C","Cherburg",I1230="B","Cabin")</f>
        <v>Sauthamptonm</v>
      </c>
      <c r="K1230" t="s">
        <v>15</v>
      </c>
      <c r="L1230" s="2">
        <v>29</v>
      </c>
      <c r="M1230">
        <v>0</v>
      </c>
      <c r="N1230" t="s">
        <v>30</v>
      </c>
      <c r="O1230" t="s">
        <v>13</v>
      </c>
    </row>
    <row r="1231" spans="1:15" x14ac:dyDescent="0.3">
      <c r="A1231" s="1" t="s">
        <v>2279</v>
      </c>
      <c r="B1231" t="s">
        <v>72</v>
      </c>
      <c r="C1231" t="s">
        <v>2280</v>
      </c>
      <c r="D1231" t="str">
        <f t="shared" si="19"/>
        <v>Male</v>
      </c>
      <c r="E1231" t="s">
        <v>9</v>
      </c>
      <c r="F1231" s="2">
        <v>38</v>
      </c>
      <c r="G1231" s="2" t="str" cm="1">
        <f t="array" ref="G1231">_xlfn.IFS(F1231&lt;=8,"Child",F1231&lt;=17,"Teen",F1231&lt;=35,"Adult",F1231&lt;=55,"Seniour Adult",F1231&gt;=55,"Old Age")</f>
        <v>Seniour Adult</v>
      </c>
      <c r="H1231" t="s">
        <v>69</v>
      </c>
      <c r="I1231" t="s">
        <v>28</v>
      </c>
      <c r="J1231" t="str" cm="1">
        <f t="array" ref="J1231">_xlfn.IFS(I1231="S","Sauthamptonm",I1231="Q","Queentown",I1231="C","Cherburg",I1231="B","Cabin")</f>
        <v>Cabin</v>
      </c>
      <c r="K1231" t="s">
        <v>15</v>
      </c>
      <c r="L1231" s="2">
        <v>29</v>
      </c>
      <c r="M1231">
        <v>0</v>
      </c>
      <c r="N1231" t="s">
        <v>30</v>
      </c>
      <c r="O1231" t="s">
        <v>16</v>
      </c>
    </row>
    <row r="1232" spans="1:15" x14ac:dyDescent="0.3">
      <c r="A1232" s="1" t="s">
        <v>2281</v>
      </c>
      <c r="B1232" t="s">
        <v>72</v>
      </c>
      <c r="C1232" t="s">
        <v>2282</v>
      </c>
      <c r="D1232" t="str">
        <f t="shared" si="19"/>
        <v>Male</v>
      </c>
      <c r="E1232" t="s">
        <v>9</v>
      </c>
      <c r="F1232" s="2">
        <v>30</v>
      </c>
      <c r="G1232" s="2" t="str" cm="1">
        <f t="array" ref="G1232">_xlfn.IFS(F1232&lt;=8,"Child",F1232&lt;=17,"Teen",F1232&lt;=35,"Adult",F1232&lt;=55,"Seniour Adult",F1232&gt;=55,"Old Age")</f>
        <v>Adult</v>
      </c>
      <c r="H1232" t="s">
        <v>51</v>
      </c>
      <c r="I1232" t="s">
        <v>11</v>
      </c>
      <c r="J1232" t="str" cm="1">
        <f t="array" ref="J1232">_xlfn.IFS(I1232="S","Sauthamptonm",I1232="Q","Queentown",I1232="C","Cherburg",I1232="B","Cabin")</f>
        <v>Sauthamptonm</v>
      </c>
      <c r="K1232" t="s">
        <v>15</v>
      </c>
      <c r="L1232" s="2">
        <v>29</v>
      </c>
      <c r="M1232">
        <v>0</v>
      </c>
      <c r="N1232" t="s">
        <v>30</v>
      </c>
      <c r="O1232" t="s">
        <v>16</v>
      </c>
    </row>
    <row r="1233" spans="1:15" x14ac:dyDescent="0.3">
      <c r="A1233" s="1" t="s">
        <v>2283</v>
      </c>
      <c r="B1233" t="s">
        <v>72</v>
      </c>
      <c r="C1233" t="s">
        <v>2284</v>
      </c>
      <c r="D1233" t="str">
        <f t="shared" si="19"/>
        <v>Male</v>
      </c>
      <c r="E1233" t="s">
        <v>9</v>
      </c>
      <c r="F1233" s="2">
        <v>40</v>
      </c>
      <c r="G1233" s="2" t="str" cm="1">
        <f t="array" ref="G1233">_xlfn.IFS(F1233&lt;=8,"Child",F1233&lt;=17,"Teen",F1233&lt;=35,"Adult",F1233&lt;=55,"Seniour Adult",F1233&gt;=55,"Old Age")</f>
        <v>Seniour Adult</v>
      </c>
      <c r="H1233" t="s">
        <v>67</v>
      </c>
      <c r="I1233" t="s">
        <v>28</v>
      </c>
      <c r="J1233" t="str" cm="1">
        <f t="array" ref="J1233">_xlfn.IFS(I1233="S","Sauthamptonm",I1233="Q","Queentown",I1233="C","Cherburg",I1233="B","Cabin")</f>
        <v>Cabin</v>
      </c>
      <c r="K1233" t="s">
        <v>15</v>
      </c>
      <c r="L1233" s="2">
        <v>29</v>
      </c>
      <c r="M1233">
        <v>0</v>
      </c>
      <c r="N1233" t="s">
        <v>30</v>
      </c>
      <c r="O1233" t="s">
        <v>16</v>
      </c>
    </row>
    <row r="1234" spans="1:15" x14ac:dyDescent="0.3">
      <c r="A1234" s="1" t="s">
        <v>2285</v>
      </c>
      <c r="B1234" t="s">
        <v>72</v>
      </c>
      <c r="C1234" t="s">
        <v>2193</v>
      </c>
      <c r="D1234" t="str">
        <f t="shared" si="19"/>
        <v>Male</v>
      </c>
      <c r="E1234" t="s">
        <v>9</v>
      </c>
      <c r="F1234" s="2">
        <v>41</v>
      </c>
      <c r="G1234" s="2" t="str" cm="1">
        <f t="array" ref="G1234">_xlfn.IFS(F1234&lt;=8,"Child",F1234&lt;=17,"Teen",F1234&lt;=35,"Adult",F1234&lt;=55,"Seniour Adult",F1234&gt;=55,"Old Age")</f>
        <v>Seniour Adult</v>
      </c>
      <c r="H1234" t="s">
        <v>67</v>
      </c>
      <c r="I1234" t="s">
        <v>28</v>
      </c>
      <c r="J1234" t="str" cm="1">
        <f t="array" ref="J1234">_xlfn.IFS(I1234="S","Sauthamptonm",I1234="Q","Queentown",I1234="C","Cherburg",I1234="B","Cabin")</f>
        <v>Cabin</v>
      </c>
      <c r="K1234" t="s">
        <v>15</v>
      </c>
      <c r="L1234" s="2">
        <v>29</v>
      </c>
      <c r="M1234">
        <v>0</v>
      </c>
      <c r="N1234" t="s">
        <v>30</v>
      </c>
      <c r="O1234" t="s">
        <v>13</v>
      </c>
    </row>
    <row r="1235" spans="1:15" x14ac:dyDescent="0.3">
      <c r="A1235" s="1" t="s">
        <v>2286</v>
      </c>
      <c r="B1235" t="s">
        <v>72</v>
      </c>
      <c r="C1235" t="s">
        <v>2287</v>
      </c>
      <c r="D1235" t="str">
        <f t="shared" si="19"/>
        <v>Male</v>
      </c>
      <c r="E1235" t="s">
        <v>9</v>
      </c>
      <c r="F1235" s="2">
        <v>33</v>
      </c>
      <c r="G1235" s="2" t="str" cm="1">
        <f t="array" ref="G1235">_xlfn.IFS(F1235&lt;=8,"Child",F1235&lt;=17,"Teen",F1235&lt;=35,"Adult",F1235&lt;=55,"Seniour Adult",F1235&gt;=55,"Old Age")</f>
        <v>Adult</v>
      </c>
      <c r="H1235" t="s">
        <v>67</v>
      </c>
      <c r="I1235" t="s">
        <v>11</v>
      </c>
      <c r="J1235" t="str" cm="1">
        <f t="array" ref="J1235">_xlfn.IFS(I1235="S","Sauthamptonm",I1235="Q","Queentown",I1235="C","Cherburg",I1235="B","Cabin")</f>
        <v>Sauthamptonm</v>
      </c>
      <c r="K1235" t="s">
        <v>15</v>
      </c>
      <c r="L1235" s="2">
        <v>29</v>
      </c>
      <c r="M1235">
        <v>0</v>
      </c>
      <c r="N1235" t="s">
        <v>30</v>
      </c>
      <c r="O1235" t="s">
        <v>13</v>
      </c>
    </row>
    <row r="1236" spans="1:15" x14ac:dyDescent="0.3">
      <c r="A1236" s="1" t="s">
        <v>2288</v>
      </c>
      <c r="B1236" t="s">
        <v>72</v>
      </c>
      <c r="C1236" t="s">
        <v>2289</v>
      </c>
      <c r="D1236" t="str">
        <f t="shared" si="19"/>
        <v>Male</v>
      </c>
      <c r="E1236" t="s">
        <v>9</v>
      </c>
      <c r="F1236" s="2">
        <v>20</v>
      </c>
      <c r="G1236" s="2" t="str" cm="1">
        <f t="array" ref="G1236">_xlfn.IFS(F1236&lt;=8,"Child",F1236&lt;=17,"Teen",F1236&lt;=35,"Adult",F1236&lt;=55,"Seniour Adult",F1236&gt;=55,"Old Age")</f>
        <v>Adult</v>
      </c>
      <c r="H1236" t="s">
        <v>67</v>
      </c>
      <c r="I1236" t="s">
        <v>11</v>
      </c>
      <c r="J1236" t="str" cm="1">
        <f t="array" ref="J1236">_xlfn.IFS(I1236="S","Sauthamptonm",I1236="Q","Queentown",I1236="C","Cherburg",I1236="B","Cabin")</f>
        <v>Sauthamptonm</v>
      </c>
      <c r="K1236" t="s">
        <v>15</v>
      </c>
      <c r="L1236" s="2">
        <v>29</v>
      </c>
      <c r="M1236">
        <v>0</v>
      </c>
      <c r="N1236" t="s">
        <v>30</v>
      </c>
      <c r="O1236" t="s">
        <v>13</v>
      </c>
    </row>
    <row r="1237" spans="1:15" x14ac:dyDescent="0.3">
      <c r="A1237" s="1" t="s">
        <v>2290</v>
      </c>
      <c r="B1237" t="s">
        <v>72</v>
      </c>
      <c r="C1237" t="s">
        <v>2291</v>
      </c>
      <c r="D1237" t="str">
        <f t="shared" si="19"/>
        <v>Male</v>
      </c>
      <c r="E1237" t="s">
        <v>9</v>
      </c>
      <c r="F1237" s="2">
        <v>29</v>
      </c>
      <c r="G1237" s="2" t="str" cm="1">
        <f t="array" ref="G1237">_xlfn.IFS(F1237&lt;=8,"Child",F1237&lt;=17,"Teen",F1237&lt;=35,"Adult",F1237&lt;=55,"Seniour Adult",F1237&gt;=55,"Old Age")</f>
        <v>Adult</v>
      </c>
      <c r="H1237" t="s">
        <v>69</v>
      </c>
      <c r="I1237" t="s">
        <v>28</v>
      </c>
      <c r="J1237" t="str" cm="1">
        <f t="array" ref="J1237">_xlfn.IFS(I1237="S","Sauthamptonm",I1237="Q","Queentown",I1237="C","Cherburg",I1237="B","Cabin")</f>
        <v>Cabin</v>
      </c>
      <c r="K1237" t="s">
        <v>40</v>
      </c>
      <c r="L1237" s="2">
        <v>29</v>
      </c>
      <c r="M1237">
        <v>0</v>
      </c>
      <c r="N1237" t="s">
        <v>30</v>
      </c>
      <c r="O1237" t="s">
        <v>16</v>
      </c>
    </row>
    <row r="1238" spans="1:15" x14ac:dyDescent="0.3">
      <c r="A1238" s="1" t="s">
        <v>2292</v>
      </c>
      <c r="B1238" t="s">
        <v>72</v>
      </c>
      <c r="C1238" t="s">
        <v>1009</v>
      </c>
      <c r="D1238" t="str">
        <f t="shared" si="19"/>
        <v>Male</v>
      </c>
      <c r="E1238" t="s">
        <v>9</v>
      </c>
      <c r="F1238" s="2">
        <v>25</v>
      </c>
      <c r="G1238" s="2" t="str" cm="1">
        <f t="array" ref="G1238">_xlfn.IFS(F1238&lt;=8,"Child",F1238&lt;=17,"Teen",F1238&lt;=35,"Adult",F1238&lt;=55,"Seniour Adult",F1238&gt;=55,"Old Age")</f>
        <v>Adult</v>
      </c>
      <c r="H1238" t="s">
        <v>69</v>
      </c>
      <c r="I1238" t="s">
        <v>11</v>
      </c>
      <c r="J1238" t="str" cm="1">
        <f t="array" ref="J1238">_xlfn.IFS(I1238="S","Sauthamptonm",I1238="Q","Queentown",I1238="C","Cherburg",I1238="B","Cabin")</f>
        <v>Sauthamptonm</v>
      </c>
      <c r="K1238" t="s">
        <v>15</v>
      </c>
      <c r="L1238" s="2">
        <v>29</v>
      </c>
      <c r="M1238">
        <v>0</v>
      </c>
      <c r="N1238" t="s">
        <v>30</v>
      </c>
      <c r="O1238" t="s">
        <v>16</v>
      </c>
    </row>
    <row r="1239" spans="1:15" x14ac:dyDescent="0.3">
      <c r="A1239" s="1" t="s">
        <v>2293</v>
      </c>
      <c r="B1239" t="s">
        <v>72</v>
      </c>
      <c r="C1239" t="s">
        <v>1019</v>
      </c>
      <c r="D1239" t="str">
        <f t="shared" si="19"/>
        <v>Male</v>
      </c>
      <c r="E1239" t="s">
        <v>9</v>
      </c>
      <c r="F1239" s="2">
        <v>45</v>
      </c>
      <c r="G1239" s="2" t="str" cm="1">
        <f t="array" ref="G1239">_xlfn.IFS(F1239&lt;=8,"Child",F1239&lt;=17,"Teen",F1239&lt;=35,"Adult",F1239&lt;=55,"Seniour Adult",F1239&gt;=55,"Old Age")</f>
        <v>Seniour Adult</v>
      </c>
      <c r="H1239" t="s">
        <v>67</v>
      </c>
      <c r="I1239" t="s">
        <v>11</v>
      </c>
      <c r="J1239" t="str" cm="1">
        <f t="array" ref="J1239">_xlfn.IFS(I1239="S","Sauthamptonm",I1239="Q","Queentown",I1239="C","Cherburg",I1239="B","Cabin")</f>
        <v>Sauthamptonm</v>
      </c>
      <c r="K1239" t="s">
        <v>15</v>
      </c>
      <c r="L1239" s="2">
        <v>29</v>
      </c>
      <c r="M1239">
        <v>0</v>
      </c>
      <c r="N1239" t="s">
        <v>30</v>
      </c>
      <c r="O1239" t="s">
        <v>13</v>
      </c>
    </row>
    <row r="1240" spans="1:15" x14ac:dyDescent="0.3">
      <c r="A1240" s="1" t="s">
        <v>2294</v>
      </c>
      <c r="B1240" t="s">
        <v>72</v>
      </c>
      <c r="C1240" t="s">
        <v>107</v>
      </c>
      <c r="D1240" t="str">
        <f t="shared" si="19"/>
        <v>Male</v>
      </c>
      <c r="E1240" t="s">
        <v>9</v>
      </c>
      <c r="F1240" s="2">
        <v>26</v>
      </c>
      <c r="G1240" s="2" t="str" cm="1">
        <f t="array" ref="G1240">_xlfn.IFS(F1240&lt;=8,"Child",F1240&lt;=17,"Teen",F1240&lt;=35,"Adult",F1240&lt;=55,"Seniour Adult",F1240&gt;=55,"Old Age")</f>
        <v>Adult</v>
      </c>
      <c r="H1240" t="s">
        <v>69</v>
      </c>
      <c r="I1240" t="s">
        <v>11</v>
      </c>
      <c r="J1240" t="str" cm="1">
        <f t="array" ref="J1240">_xlfn.IFS(I1240="S","Sauthamptonm",I1240="Q","Queentown",I1240="C","Cherburg",I1240="B","Cabin")</f>
        <v>Sauthamptonm</v>
      </c>
      <c r="K1240" t="s">
        <v>37</v>
      </c>
      <c r="L1240" s="2">
        <v>29</v>
      </c>
      <c r="M1240">
        <v>0</v>
      </c>
      <c r="N1240" t="s">
        <v>30</v>
      </c>
      <c r="O1240" t="s">
        <v>13</v>
      </c>
    </row>
    <row r="1241" spans="1:15" x14ac:dyDescent="0.3">
      <c r="A1241" s="1" t="s">
        <v>2295</v>
      </c>
      <c r="B1241" t="s">
        <v>72</v>
      </c>
      <c r="C1241" t="s">
        <v>2296</v>
      </c>
      <c r="D1241" t="str">
        <f t="shared" si="19"/>
        <v>Male</v>
      </c>
      <c r="E1241" t="s">
        <v>9</v>
      </c>
      <c r="F1241" s="2">
        <v>24</v>
      </c>
      <c r="G1241" s="2" t="str" cm="1">
        <f t="array" ref="G1241">_xlfn.IFS(F1241&lt;=8,"Child",F1241&lt;=17,"Teen",F1241&lt;=35,"Adult",F1241&lt;=55,"Seniour Adult",F1241&gt;=55,"Old Age")</f>
        <v>Adult</v>
      </c>
      <c r="H1241" t="s">
        <v>67</v>
      </c>
      <c r="I1241" t="s">
        <v>11</v>
      </c>
      <c r="J1241" t="str" cm="1">
        <f t="array" ref="J1241">_xlfn.IFS(I1241="S","Sauthamptonm",I1241="Q","Queentown",I1241="C","Cherburg",I1241="B","Cabin")</f>
        <v>Sauthamptonm</v>
      </c>
      <c r="K1241" t="s">
        <v>15</v>
      </c>
      <c r="L1241" s="2">
        <v>29</v>
      </c>
      <c r="M1241">
        <v>0</v>
      </c>
      <c r="N1241" t="s">
        <v>30</v>
      </c>
      <c r="O1241" t="s">
        <v>13</v>
      </c>
    </row>
    <row r="1242" spans="1:15" x14ac:dyDescent="0.3">
      <c r="A1242" s="1" t="s">
        <v>2297</v>
      </c>
      <c r="B1242" t="s">
        <v>72</v>
      </c>
      <c r="C1242" t="s">
        <v>1037</v>
      </c>
      <c r="D1242" t="str">
        <f t="shared" si="19"/>
        <v>Male</v>
      </c>
      <c r="E1242" t="s">
        <v>9</v>
      </c>
      <c r="F1242" s="2">
        <v>34</v>
      </c>
      <c r="G1242" s="2" t="str" cm="1">
        <f t="array" ref="G1242">_xlfn.IFS(F1242&lt;=8,"Child",F1242&lt;=17,"Teen",F1242&lt;=35,"Adult",F1242&lt;=55,"Seniour Adult",F1242&gt;=55,"Old Age")</f>
        <v>Adult</v>
      </c>
      <c r="H1242" t="s">
        <v>67</v>
      </c>
      <c r="I1242" t="s">
        <v>11</v>
      </c>
      <c r="J1242" t="str" cm="1">
        <f t="array" ref="J1242">_xlfn.IFS(I1242="S","Sauthamptonm",I1242="Q","Queentown",I1242="C","Cherburg",I1242="B","Cabin")</f>
        <v>Sauthamptonm</v>
      </c>
      <c r="K1242" t="s">
        <v>15</v>
      </c>
      <c r="L1242" s="2">
        <v>29</v>
      </c>
      <c r="M1242">
        <v>0</v>
      </c>
      <c r="N1242" t="s">
        <v>30</v>
      </c>
      <c r="O1242" t="s">
        <v>13</v>
      </c>
    </row>
    <row r="1243" spans="1:15" x14ac:dyDescent="0.3">
      <c r="A1243" s="1" t="s">
        <v>2298</v>
      </c>
      <c r="B1243" t="s">
        <v>72</v>
      </c>
      <c r="C1243" t="s">
        <v>2299</v>
      </c>
      <c r="D1243" t="str">
        <f t="shared" si="19"/>
        <v>Male</v>
      </c>
      <c r="E1243" t="s">
        <v>9</v>
      </c>
      <c r="F1243" s="2">
        <v>36</v>
      </c>
      <c r="G1243" s="2" t="str" cm="1">
        <f t="array" ref="G1243">_xlfn.IFS(F1243&lt;=8,"Child",F1243&lt;=17,"Teen",F1243&lt;=35,"Adult",F1243&lt;=55,"Seniour Adult",F1243&gt;=55,"Old Age")</f>
        <v>Seniour Adult</v>
      </c>
      <c r="H1243" t="s">
        <v>67</v>
      </c>
      <c r="I1243" t="s">
        <v>28</v>
      </c>
      <c r="J1243" t="str" cm="1">
        <f t="array" ref="J1243">_xlfn.IFS(I1243="S","Sauthamptonm",I1243="Q","Queentown",I1243="C","Cherburg",I1243="B","Cabin")</f>
        <v>Cabin</v>
      </c>
      <c r="K1243" t="s">
        <v>15</v>
      </c>
      <c r="L1243" s="2">
        <v>29</v>
      </c>
      <c r="M1243">
        <v>0</v>
      </c>
      <c r="N1243" t="s">
        <v>30</v>
      </c>
      <c r="O1243" t="s">
        <v>13</v>
      </c>
    </row>
    <row r="1244" spans="1:15" x14ac:dyDescent="0.3">
      <c r="A1244" s="1" t="s">
        <v>2300</v>
      </c>
      <c r="B1244" t="s">
        <v>72</v>
      </c>
      <c r="C1244" t="s">
        <v>2301</v>
      </c>
      <c r="D1244" t="str">
        <f t="shared" si="19"/>
        <v>Male</v>
      </c>
      <c r="E1244" t="s">
        <v>9</v>
      </c>
      <c r="F1244" s="2">
        <v>40</v>
      </c>
      <c r="G1244" s="2" t="str" cm="1">
        <f t="array" ref="G1244">_xlfn.IFS(F1244&lt;=8,"Child",F1244&lt;=17,"Teen",F1244&lt;=35,"Adult",F1244&lt;=55,"Seniour Adult",F1244&gt;=55,"Old Age")</f>
        <v>Seniour Adult</v>
      </c>
      <c r="H1244" t="s">
        <v>67</v>
      </c>
      <c r="I1244" t="s">
        <v>11</v>
      </c>
      <c r="J1244" t="str" cm="1">
        <f t="array" ref="J1244">_xlfn.IFS(I1244="S","Sauthamptonm",I1244="Q","Queentown",I1244="C","Cherburg",I1244="B","Cabin")</f>
        <v>Sauthamptonm</v>
      </c>
      <c r="K1244" t="s">
        <v>15</v>
      </c>
      <c r="L1244" s="2">
        <v>29</v>
      </c>
      <c r="M1244">
        <v>0</v>
      </c>
      <c r="N1244" t="s">
        <v>30</v>
      </c>
      <c r="O1244" t="s">
        <v>13</v>
      </c>
    </row>
    <row r="1245" spans="1:15" x14ac:dyDescent="0.3">
      <c r="A1245" s="1" t="s">
        <v>2302</v>
      </c>
      <c r="B1245" t="s">
        <v>72</v>
      </c>
      <c r="C1245" t="s">
        <v>2303</v>
      </c>
      <c r="D1245" t="str">
        <f t="shared" si="19"/>
        <v>Male</v>
      </c>
      <c r="E1245" t="s">
        <v>9</v>
      </c>
      <c r="F1245" s="2">
        <v>50</v>
      </c>
      <c r="G1245" s="2" t="str" cm="1">
        <f t="array" ref="G1245">_xlfn.IFS(F1245&lt;=8,"Child",F1245&lt;=17,"Teen",F1245&lt;=35,"Adult",F1245&lt;=55,"Seniour Adult",F1245&gt;=55,"Old Age")</f>
        <v>Seniour Adult</v>
      </c>
      <c r="H1245" t="s">
        <v>67</v>
      </c>
      <c r="I1245" t="s">
        <v>11</v>
      </c>
      <c r="J1245" t="str" cm="1">
        <f t="array" ref="J1245">_xlfn.IFS(I1245="S","Sauthamptonm",I1245="Q","Queentown",I1245="C","Cherburg",I1245="B","Cabin")</f>
        <v>Sauthamptonm</v>
      </c>
      <c r="K1245" t="s">
        <v>12</v>
      </c>
      <c r="L1245" s="2">
        <v>29</v>
      </c>
      <c r="M1245">
        <v>0</v>
      </c>
      <c r="N1245" t="s">
        <v>30</v>
      </c>
      <c r="O1245" t="s">
        <v>13</v>
      </c>
    </row>
    <row r="1246" spans="1:15" x14ac:dyDescent="0.3">
      <c r="A1246" s="1" t="s">
        <v>2304</v>
      </c>
      <c r="B1246" t="s">
        <v>72</v>
      </c>
      <c r="C1246" t="s">
        <v>1443</v>
      </c>
      <c r="D1246" t="str">
        <f t="shared" si="19"/>
        <v>Male</v>
      </c>
      <c r="E1246" t="s">
        <v>9</v>
      </c>
      <c r="F1246" s="2">
        <v>27</v>
      </c>
      <c r="G1246" s="2" t="str" cm="1">
        <f t="array" ref="G1246">_xlfn.IFS(F1246&lt;=8,"Child",F1246&lt;=17,"Teen",F1246&lt;=35,"Adult",F1246&lt;=55,"Seniour Adult",F1246&gt;=55,"Old Age")</f>
        <v>Adult</v>
      </c>
      <c r="H1246" t="s">
        <v>51</v>
      </c>
      <c r="I1246" t="s">
        <v>11</v>
      </c>
      <c r="J1246" t="str" cm="1">
        <f t="array" ref="J1246">_xlfn.IFS(I1246="S","Sauthamptonm",I1246="Q","Queentown",I1246="C","Cherburg",I1246="B","Cabin")</f>
        <v>Sauthamptonm</v>
      </c>
      <c r="K1246" t="s">
        <v>15</v>
      </c>
      <c r="L1246" s="2">
        <v>29</v>
      </c>
      <c r="M1246">
        <v>0</v>
      </c>
      <c r="N1246" t="s">
        <v>30</v>
      </c>
      <c r="O1246" t="s">
        <v>13</v>
      </c>
    </row>
    <row r="1247" spans="1:15" x14ac:dyDescent="0.3">
      <c r="A1247" s="1" t="s">
        <v>2305</v>
      </c>
      <c r="B1247" t="s">
        <v>72</v>
      </c>
      <c r="C1247" t="s">
        <v>598</v>
      </c>
      <c r="D1247" t="str">
        <f t="shared" si="19"/>
        <v>Male</v>
      </c>
      <c r="E1247" t="s">
        <v>9</v>
      </c>
      <c r="F1247" s="2">
        <v>27</v>
      </c>
      <c r="G1247" s="2" t="str" cm="1">
        <f t="array" ref="G1247">_xlfn.IFS(F1247&lt;=8,"Child",F1247&lt;=17,"Teen",F1247&lt;=35,"Adult",F1247&lt;=55,"Seniour Adult",F1247&gt;=55,"Old Age")</f>
        <v>Adult</v>
      </c>
      <c r="H1247" t="s">
        <v>67</v>
      </c>
      <c r="I1247" t="s">
        <v>11</v>
      </c>
      <c r="J1247" t="str" cm="1">
        <f t="array" ref="J1247">_xlfn.IFS(I1247="S","Sauthamptonm",I1247="Q","Queentown",I1247="C","Cherburg",I1247="B","Cabin")</f>
        <v>Sauthamptonm</v>
      </c>
      <c r="K1247" t="s">
        <v>43</v>
      </c>
      <c r="L1247" s="2">
        <v>29</v>
      </c>
      <c r="M1247">
        <v>0</v>
      </c>
      <c r="N1247" t="s">
        <v>30</v>
      </c>
      <c r="O1247" t="s">
        <v>13</v>
      </c>
    </row>
    <row r="1248" spans="1:15" x14ac:dyDescent="0.3">
      <c r="A1248" s="1" t="s">
        <v>2306</v>
      </c>
      <c r="B1248" t="s">
        <v>72</v>
      </c>
      <c r="C1248" t="s">
        <v>2307</v>
      </c>
      <c r="D1248" t="str">
        <f t="shared" si="19"/>
        <v>Male</v>
      </c>
      <c r="E1248" t="s">
        <v>9</v>
      </c>
      <c r="F1248" s="2">
        <v>21</v>
      </c>
      <c r="G1248" s="2" t="str" cm="1">
        <f t="array" ref="G1248">_xlfn.IFS(F1248&lt;=8,"Child",F1248&lt;=17,"Teen",F1248&lt;=35,"Adult",F1248&lt;=55,"Seniour Adult",F1248&gt;=55,"Old Age")</f>
        <v>Adult</v>
      </c>
      <c r="H1248" t="s">
        <v>67</v>
      </c>
      <c r="I1248" t="s">
        <v>11</v>
      </c>
      <c r="J1248" t="str" cm="1">
        <f t="array" ref="J1248">_xlfn.IFS(I1248="S","Sauthamptonm",I1248="Q","Queentown",I1248="C","Cherburg",I1248="B","Cabin")</f>
        <v>Sauthamptonm</v>
      </c>
      <c r="K1248" t="s">
        <v>15</v>
      </c>
      <c r="L1248" s="2">
        <v>29</v>
      </c>
      <c r="M1248">
        <v>0</v>
      </c>
      <c r="N1248" t="s">
        <v>30</v>
      </c>
      <c r="O1248" t="s">
        <v>13</v>
      </c>
    </row>
    <row r="1249" spans="1:15" x14ac:dyDescent="0.3">
      <c r="A1249" s="1" t="s">
        <v>2308</v>
      </c>
      <c r="B1249" t="s">
        <v>78</v>
      </c>
      <c r="C1249" t="s">
        <v>2309</v>
      </c>
      <c r="D1249" t="str">
        <f t="shared" si="19"/>
        <v>Female</v>
      </c>
      <c r="E1249" t="s">
        <v>14</v>
      </c>
      <c r="F1249" s="2">
        <v>28</v>
      </c>
      <c r="G1249" s="2" t="str" cm="1">
        <f t="array" ref="G1249">_xlfn.IFS(F1249&lt;=8,"Child",F1249&lt;=17,"Teen",F1249&lt;=35,"Adult",F1249&lt;=55,"Seniour Adult",F1249&gt;=55,"Old Age")</f>
        <v>Adult</v>
      </c>
      <c r="H1249" t="s">
        <v>67</v>
      </c>
      <c r="I1249" t="s">
        <v>11</v>
      </c>
      <c r="J1249" t="str" cm="1">
        <f t="array" ref="J1249">_xlfn.IFS(I1249="S","Sauthamptonm",I1249="Q","Queentown",I1249="C","Cherburg",I1249="B","Cabin")</f>
        <v>Sauthamptonm</v>
      </c>
      <c r="K1249" t="s">
        <v>15</v>
      </c>
      <c r="L1249" s="2">
        <v>29</v>
      </c>
      <c r="M1249">
        <v>0</v>
      </c>
      <c r="N1249" t="s">
        <v>30</v>
      </c>
      <c r="O1249" t="s">
        <v>16</v>
      </c>
    </row>
    <row r="1250" spans="1:15" x14ac:dyDescent="0.3">
      <c r="A1250" s="1" t="s">
        <v>2310</v>
      </c>
      <c r="B1250" t="s">
        <v>72</v>
      </c>
      <c r="C1250" t="s">
        <v>1460</v>
      </c>
      <c r="D1250" t="str">
        <f t="shared" si="19"/>
        <v>Male</v>
      </c>
      <c r="E1250" t="s">
        <v>9</v>
      </c>
      <c r="F1250" s="2">
        <v>40</v>
      </c>
      <c r="G1250" s="2" t="str" cm="1">
        <f t="array" ref="G1250">_xlfn.IFS(F1250&lt;=8,"Child",F1250&lt;=17,"Teen",F1250&lt;=35,"Adult",F1250&lt;=55,"Seniour Adult",F1250&gt;=55,"Old Age")</f>
        <v>Seniour Adult</v>
      </c>
      <c r="H1250" t="s">
        <v>51</v>
      </c>
      <c r="I1250" t="s">
        <v>11</v>
      </c>
      <c r="J1250" t="str" cm="1">
        <f t="array" ref="J1250">_xlfn.IFS(I1250="S","Sauthamptonm",I1250="Q","Queentown",I1250="C","Cherburg",I1250="B","Cabin")</f>
        <v>Sauthamptonm</v>
      </c>
      <c r="K1250" t="s">
        <v>15</v>
      </c>
      <c r="L1250" s="2">
        <v>29</v>
      </c>
      <c r="M1250">
        <v>0</v>
      </c>
      <c r="N1250" t="s">
        <v>30</v>
      </c>
      <c r="O1250" t="s">
        <v>13</v>
      </c>
    </row>
    <row r="1251" spans="1:15" x14ac:dyDescent="0.3">
      <c r="A1251" s="1" t="s">
        <v>2311</v>
      </c>
      <c r="B1251" t="s">
        <v>78</v>
      </c>
      <c r="C1251" t="s">
        <v>2312</v>
      </c>
      <c r="D1251" t="str">
        <f t="shared" si="19"/>
        <v>Female</v>
      </c>
      <c r="E1251" t="s">
        <v>14</v>
      </c>
      <c r="F1251" s="2">
        <v>20</v>
      </c>
      <c r="G1251" s="2" t="str" cm="1">
        <f t="array" ref="G1251">_xlfn.IFS(F1251&lt;=8,"Child",F1251&lt;=17,"Teen",F1251&lt;=35,"Adult",F1251&lt;=55,"Seniour Adult",F1251&gt;=55,"Old Age")</f>
        <v>Adult</v>
      </c>
      <c r="H1251" t="s">
        <v>68</v>
      </c>
      <c r="I1251" t="s">
        <v>11</v>
      </c>
      <c r="J1251" t="str" cm="1">
        <f t="array" ref="J1251">_xlfn.IFS(I1251="S","Sauthamptonm",I1251="Q","Queentown",I1251="C","Cherburg",I1251="B","Cabin")</f>
        <v>Sauthamptonm</v>
      </c>
      <c r="K1251" t="s">
        <v>15</v>
      </c>
      <c r="L1251" s="2">
        <v>29</v>
      </c>
      <c r="M1251">
        <v>0</v>
      </c>
      <c r="N1251" t="s">
        <v>30</v>
      </c>
      <c r="O1251" t="s">
        <v>16</v>
      </c>
    </row>
    <row r="1252" spans="1:15" x14ac:dyDescent="0.3">
      <c r="A1252" s="1" t="s">
        <v>2313</v>
      </c>
      <c r="B1252" t="s">
        <v>72</v>
      </c>
      <c r="C1252" t="s">
        <v>2314</v>
      </c>
      <c r="D1252" t="str">
        <f t="shared" si="19"/>
        <v>Male</v>
      </c>
      <c r="E1252" t="s">
        <v>9</v>
      </c>
      <c r="F1252" s="2">
        <v>25</v>
      </c>
      <c r="G1252" s="2" t="str" cm="1">
        <f t="array" ref="G1252">_xlfn.IFS(F1252&lt;=8,"Child",F1252&lt;=17,"Teen",F1252&lt;=35,"Adult",F1252&lt;=55,"Seniour Adult",F1252&gt;=55,"Old Age")</f>
        <v>Adult</v>
      </c>
      <c r="H1252" t="s">
        <v>51</v>
      </c>
      <c r="I1252" t="s">
        <v>11</v>
      </c>
      <c r="J1252" t="str" cm="1">
        <f t="array" ref="J1252">_xlfn.IFS(I1252="S","Sauthamptonm",I1252="Q","Queentown",I1252="C","Cherburg",I1252="B","Cabin")</f>
        <v>Sauthamptonm</v>
      </c>
      <c r="K1252" t="s">
        <v>15</v>
      </c>
      <c r="L1252" s="2">
        <v>29</v>
      </c>
      <c r="M1252">
        <v>0</v>
      </c>
      <c r="N1252" t="s">
        <v>30</v>
      </c>
      <c r="O1252" t="s">
        <v>13</v>
      </c>
    </row>
    <row r="1253" spans="1:15" x14ac:dyDescent="0.3">
      <c r="A1253" s="1" t="s">
        <v>2315</v>
      </c>
      <c r="B1253" t="s">
        <v>72</v>
      </c>
      <c r="C1253" t="s">
        <v>2316</v>
      </c>
      <c r="D1253" t="str">
        <f t="shared" si="19"/>
        <v>Male</v>
      </c>
      <c r="E1253" t="s">
        <v>9</v>
      </c>
      <c r="F1253" s="2">
        <v>32</v>
      </c>
      <c r="G1253" s="2" t="str" cm="1">
        <f t="array" ref="G1253">_xlfn.IFS(F1253&lt;=8,"Child",F1253&lt;=17,"Teen",F1253&lt;=35,"Adult",F1253&lt;=55,"Seniour Adult",F1253&gt;=55,"Old Age")</f>
        <v>Adult</v>
      </c>
      <c r="H1253" t="s">
        <v>51</v>
      </c>
      <c r="I1253" t="s">
        <v>11</v>
      </c>
      <c r="J1253" t="str" cm="1">
        <f t="array" ref="J1253">_xlfn.IFS(I1253="S","Sauthamptonm",I1253="Q","Queentown",I1253="C","Cherburg",I1253="B","Cabin")</f>
        <v>Sauthamptonm</v>
      </c>
      <c r="K1253" t="s">
        <v>15</v>
      </c>
      <c r="L1253" s="2">
        <v>29</v>
      </c>
      <c r="M1253">
        <v>0</v>
      </c>
      <c r="N1253" t="s">
        <v>30</v>
      </c>
      <c r="O1253" t="s">
        <v>16</v>
      </c>
    </row>
    <row r="1254" spans="1:15" x14ac:dyDescent="0.3">
      <c r="A1254" s="1" t="s">
        <v>2317</v>
      </c>
      <c r="B1254" t="s">
        <v>72</v>
      </c>
      <c r="C1254" t="s">
        <v>381</v>
      </c>
      <c r="D1254" t="str">
        <f t="shared" si="19"/>
        <v>Male</v>
      </c>
      <c r="E1254" t="s">
        <v>9</v>
      </c>
      <c r="F1254" s="2">
        <v>30</v>
      </c>
      <c r="G1254" s="2" t="str" cm="1">
        <f t="array" ref="G1254">_xlfn.IFS(F1254&lt;=8,"Child",F1254&lt;=17,"Teen",F1254&lt;=35,"Adult",F1254&lt;=55,"Seniour Adult",F1254&gt;=55,"Old Age")</f>
        <v>Adult</v>
      </c>
      <c r="H1254" t="s">
        <v>69</v>
      </c>
      <c r="I1254" t="s">
        <v>11</v>
      </c>
      <c r="J1254" t="str" cm="1">
        <f t="array" ref="J1254">_xlfn.IFS(I1254="S","Sauthamptonm",I1254="Q","Queentown",I1254="C","Cherburg",I1254="B","Cabin")</f>
        <v>Sauthamptonm</v>
      </c>
      <c r="K1254" t="s">
        <v>15</v>
      </c>
      <c r="L1254" s="2">
        <v>29</v>
      </c>
      <c r="M1254">
        <v>0</v>
      </c>
      <c r="N1254" t="s">
        <v>30</v>
      </c>
      <c r="O1254" t="s">
        <v>13</v>
      </c>
    </row>
    <row r="1255" spans="1:15" x14ac:dyDescent="0.3">
      <c r="A1255" s="1" t="s">
        <v>2318</v>
      </c>
      <c r="B1255" t="s">
        <v>72</v>
      </c>
      <c r="C1255" t="s">
        <v>2319</v>
      </c>
      <c r="D1255" t="str">
        <f t="shared" si="19"/>
        <v>Male</v>
      </c>
      <c r="E1255" t="s">
        <v>9</v>
      </c>
      <c r="F1255" s="2">
        <v>29</v>
      </c>
      <c r="G1255" s="2" t="str" cm="1">
        <f t="array" ref="G1255">_xlfn.IFS(F1255&lt;=8,"Child",F1255&lt;=17,"Teen",F1255&lt;=35,"Adult",F1255&lt;=55,"Seniour Adult",F1255&gt;=55,"Old Age")</f>
        <v>Adult</v>
      </c>
      <c r="H1255" t="s">
        <v>69</v>
      </c>
      <c r="I1255" t="s">
        <v>11</v>
      </c>
      <c r="J1255" t="str" cm="1">
        <f t="array" ref="J1255">_xlfn.IFS(I1255="S","Sauthamptonm",I1255="Q","Queentown",I1255="C","Cherburg",I1255="B","Cabin")</f>
        <v>Sauthamptonm</v>
      </c>
      <c r="K1255" t="s">
        <v>40</v>
      </c>
      <c r="L1255" s="2">
        <v>29</v>
      </c>
      <c r="M1255">
        <v>0</v>
      </c>
      <c r="N1255" t="s">
        <v>30</v>
      </c>
      <c r="O1255" t="s">
        <v>13</v>
      </c>
    </row>
    <row r="1256" spans="1:15" x14ac:dyDescent="0.3">
      <c r="A1256" s="1" t="s">
        <v>2320</v>
      </c>
      <c r="B1256" t="s">
        <v>1766</v>
      </c>
      <c r="C1256" t="s">
        <v>2321</v>
      </c>
      <c r="D1256" t="str">
        <f t="shared" si="19"/>
        <v>Male</v>
      </c>
      <c r="E1256" t="s">
        <v>9</v>
      </c>
      <c r="F1256" s="2">
        <v>20</v>
      </c>
      <c r="G1256" s="2" t="str" cm="1">
        <f t="array" ref="G1256">_xlfn.IFS(F1256&lt;=8,"Child",F1256&lt;=17,"Teen",F1256&lt;=35,"Adult",F1256&lt;=55,"Seniour Adult",F1256&gt;=55,"Old Age")</f>
        <v>Adult</v>
      </c>
      <c r="H1256" t="s">
        <v>68</v>
      </c>
      <c r="I1256" t="s">
        <v>11</v>
      </c>
      <c r="J1256" t="str" cm="1">
        <f t="array" ref="J1256">_xlfn.IFS(I1256="S","Sauthamptonm",I1256="Q","Queentown",I1256="C","Cherburg",I1256="B","Cabin")</f>
        <v>Sauthamptonm</v>
      </c>
      <c r="K1256" t="s">
        <v>15</v>
      </c>
      <c r="L1256" s="2">
        <v>29</v>
      </c>
      <c r="M1256">
        <v>0</v>
      </c>
      <c r="N1256" t="s">
        <v>30</v>
      </c>
      <c r="O1256" t="s">
        <v>13</v>
      </c>
    </row>
    <row r="1257" spans="1:15" x14ac:dyDescent="0.3">
      <c r="A1257" s="1" t="s">
        <v>2322</v>
      </c>
      <c r="B1257" t="s">
        <v>72</v>
      </c>
      <c r="C1257" t="s">
        <v>2323</v>
      </c>
      <c r="D1257" t="str">
        <f t="shared" si="19"/>
        <v>Male</v>
      </c>
      <c r="E1257" t="s">
        <v>9</v>
      </c>
      <c r="F1257" s="2">
        <v>25</v>
      </c>
      <c r="G1257" s="2" t="str" cm="1">
        <f t="array" ref="G1257">_xlfn.IFS(F1257&lt;=8,"Child",F1257&lt;=17,"Teen",F1257&lt;=35,"Adult",F1257&lt;=55,"Seniour Adult",F1257&gt;=55,"Old Age")</f>
        <v>Adult</v>
      </c>
      <c r="H1257" t="s">
        <v>68</v>
      </c>
      <c r="I1257" t="s">
        <v>11</v>
      </c>
      <c r="J1257" t="str" cm="1">
        <f t="array" ref="J1257">_xlfn.IFS(I1257="S","Sauthamptonm",I1257="Q","Queentown",I1257="C","Cherburg",I1257="B","Cabin")</f>
        <v>Sauthamptonm</v>
      </c>
      <c r="K1257" t="s">
        <v>15</v>
      </c>
      <c r="L1257" s="2">
        <v>29</v>
      </c>
      <c r="M1257">
        <v>0</v>
      </c>
      <c r="N1257" t="s">
        <v>30</v>
      </c>
      <c r="O1257" t="s">
        <v>16</v>
      </c>
    </row>
    <row r="1258" spans="1:15" x14ac:dyDescent="0.3">
      <c r="A1258" s="1" t="s">
        <v>2324</v>
      </c>
      <c r="B1258" t="s">
        <v>72</v>
      </c>
      <c r="C1258" t="s">
        <v>90</v>
      </c>
      <c r="D1258" t="str">
        <f t="shared" si="19"/>
        <v>Male</v>
      </c>
      <c r="E1258" t="s">
        <v>9</v>
      </c>
      <c r="F1258" s="2">
        <v>30</v>
      </c>
      <c r="G1258" s="2" t="str" cm="1">
        <f t="array" ref="G1258">_xlfn.IFS(F1258&lt;=8,"Child",F1258&lt;=17,"Teen",F1258&lt;=35,"Adult",F1258&lt;=55,"Seniour Adult",F1258&gt;=55,"Old Age")</f>
        <v>Adult</v>
      </c>
      <c r="H1258" t="s">
        <v>69</v>
      </c>
      <c r="I1258" t="s">
        <v>28</v>
      </c>
      <c r="J1258" t="str" cm="1">
        <f t="array" ref="J1258">_xlfn.IFS(I1258="S","Sauthamptonm",I1258="Q","Queentown",I1258="C","Cherburg",I1258="B","Cabin")</f>
        <v>Cabin</v>
      </c>
      <c r="K1258" t="s">
        <v>15</v>
      </c>
      <c r="L1258" s="2">
        <v>29</v>
      </c>
      <c r="M1258">
        <v>0</v>
      </c>
      <c r="N1258" t="s">
        <v>30</v>
      </c>
      <c r="O1258" t="s">
        <v>13</v>
      </c>
    </row>
    <row r="1259" spans="1:15" x14ac:dyDescent="0.3">
      <c r="A1259" s="1" t="s">
        <v>2325</v>
      </c>
      <c r="B1259" t="s">
        <v>72</v>
      </c>
      <c r="C1259" t="s">
        <v>1799</v>
      </c>
      <c r="D1259" t="str">
        <f t="shared" si="19"/>
        <v>Male</v>
      </c>
      <c r="E1259" t="s">
        <v>9</v>
      </c>
      <c r="F1259" s="2">
        <v>22</v>
      </c>
      <c r="G1259" s="2" t="str" cm="1">
        <f t="array" ref="G1259">_xlfn.IFS(F1259&lt;=8,"Child",F1259&lt;=17,"Teen",F1259&lt;=35,"Adult",F1259&lt;=55,"Seniour Adult",F1259&gt;=55,"Old Age")</f>
        <v>Adult</v>
      </c>
      <c r="H1259" t="s">
        <v>51</v>
      </c>
      <c r="I1259" t="s">
        <v>11</v>
      </c>
      <c r="J1259" t="str" cm="1">
        <f t="array" ref="J1259">_xlfn.IFS(I1259="S","Sauthamptonm",I1259="Q","Queentown",I1259="C","Cherburg",I1259="B","Cabin")</f>
        <v>Sauthamptonm</v>
      </c>
      <c r="K1259" t="s">
        <v>15</v>
      </c>
      <c r="L1259" s="2">
        <v>29</v>
      </c>
      <c r="M1259">
        <v>0</v>
      </c>
      <c r="N1259" t="s">
        <v>30</v>
      </c>
      <c r="O1259" t="s">
        <v>13</v>
      </c>
    </row>
    <row r="1260" spans="1:15" x14ac:dyDescent="0.3">
      <c r="A1260" s="1" t="s">
        <v>2326</v>
      </c>
      <c r="B1260" t="s">
        <v>72</v>
      </c>
      <c r="C1260" t="s">
        <v>2327</v>
      </c>
      <c r="D1260" t="str">
        <f t="shared" si="19"/>
        <v>Male</v>
      </c>
      <c r="E1260" t="s">
        <v>9</v>
      </c>
      <c r="F1260" s="2">
        <v>31</v>
      </c>
      <c r="G1260" s="2" t="str" cm="1">
        <f t="array" ref="G1260">_xlfn.IFS(F1260&lt;=8,"Child",F1260&lt;=17,"Teen",F1260&lt;=35,"Adult",F1260&lt;=55,"Seniour Adult",F1260&gt;=55,"Old Age")</f>
        <v>Adult</v>
      </c>
      <c r="H1260" t="s">
        <v>67</v>
      </c>
      <c r="I1260" t="s">
        <v>28</v>
      </c>
      <c r="J1260" t="str" cm="1">
        <f t="array" ref="J1260">_xlfn.IFS(I1260="S","Sauthamptonm",I1260="Q","Queentown",I1260="C","Cherburg",I1260="B","Cabin")</f>
        <v>Cabin</v>
      </c>
      <c r="K1260" t="s">
        <v>15</v>
      </c>
      <c r="L1260" s="2">
        <v>29</v>
      </c>
      <c r="M1260">
        <v>0</v>
      </c>
      <c r="N1260" t="s">
        <v>30</v>
      </c>
      <c r="O1260" t="s">
        <v>16</v>
      </c>
    </row>
    <row r="1261" spans="1:15" x14ac:dyDescent="0.3">
      <c r="A1261" s="1" t="s">
        <v>2328</v>
      </c>
      <c r="B1261" t="s">
        <v>72</v>
      </c>
      <c r="C1261" t="s">
        <v>2329</v>
      </c>
      <c r="D1261" t="str">
        <f t="shared" si="19"/>
        <v>Male</v>
      </c>
      <c r="E1261" t="s">
        <v>9</v>
      </c>
      <c r="F1261" s="2">
        <v>28</v>
      </c>
      <c r="G1261" s="2" t="str" cm="1">
        <f t="array" ref="G1261">_xlfn.IFS(F1261&lt;=8,"Child",F1261&lt;=17,"Teen",F1261&lt;=35,"Adult",F1261&lt;=55,"Seniour Adult",F1261&gt;=55,"Old Age")</f>
        <v>Adult</v>
      </c>
      <c r="H1261" t="s">
        <v>51</v>
      </c>
      <c r="I1261" t="s">
        <v>11</v>
      </c>
      <c r="J1261" t="str" cm="1">
        <f t="array" ref="J1261">_xlfn.IFS(I1261="S","Sauthamptonm",I1261="Q","Queentown",I1261="C","Cherburg",I1261="B","Cabin")</f>
        <v>Sauthamptonm</v>
      </c>
      <c r="K1261" t="s">
        <v>15</v>
      </c>
      <c r="L1261" s="2">
        <v>29</v>
      </c>
      <c r="M1261">
        <v>0</v>
      </c>
      <c r="N1261" t="s">
        <v>30</v>
      </c>
      <c r="O1261" t="s">
        <v>13</v>
      </c>
    </row>
    <row r="1262" spans="1:15" x14ac:dyDescent="0.3">
      <c r="A1262" s="1" t="s">
        <v>2330</v>
      </c>
      <c r="B1262" t="s">
        <v>72</v>
      </c>
      <c r="C1262" t="s">
        <v>1226</v>
      </c>
      <c r="D1262" t="str">
        <f t="shared" si="19"/>
        <v>Male</v>
      </c>
      <c r="E1262" t="s">
        <v>9</v>
      </c>
      <c r="F1262" s="2">
        <v>53</v>
      </c>
      <c r="G1262" s="2" t="str" cm="1">
        <f t="array" ref="G1262">_xlfn.IFS(F1262&lt;=8,"Child",F1262&lt;=17,"Teen",F1262&lt;=35,"Adult",F1262&lt;=55,"Seniour Adult",F1262&gt;=55,"Old Age")</f>
        <v>Seniour Adult</v>
      </c>
      <c r="H1262" t="s">
        <v>67</v>
      </c>
      <c r="I1262" t="s">
        <v>28</v>
      </c>
      <c r="J1262" t="str" cm="1">
        <f t="array" ref="J1262">_xlfn.IFS(I1262="S","Sauthamptonm",I1262="Q","Queentown",I1262="C","Cherburg",I1262="B","Cabin")</f>
        <v>Cabin</v>
      </c>
      <c r="K1262" t="s">
        <v>15</v>
      </c>
      <c r="L1262" s="2">
        <v>29</v>
      </c>
      <c r="M1262">
        <v>0</v>
      </c>
      <c r="N1262" t="s">
        <v>30</v>
      </c>
      <c r="O1262" t="s">
        <v>13</v>
      </c>
    </row>
    <row r="1263" spans="1:15" x14ac:dyDescent="0.3">
      <c r="A1263" s="1" t="s">
        <v>2331</v>
      </c>
      <c r="B1263" t="s">
        <v>72</v>
      </c>
      <c r="C1263" t="s">
        <v>2332</v>
      </c>
      <c r="D1263" t="str">
        <f t="shared" si="19"/>
        <v>Male</v>
      </c>
      <c r="E1263" t="s">
        <v>9</v>
      </c>
      <c r="F1263" s="2">
        <v>25</v>
      </c>
      <c r="G1263" s="2" t="str" cm="1">
        <f t="array" ref="G1263">_xlfn.IFS(F1263&lt;=8,"Child",F1263&lt;=17,"Teen",F1263&lt;=35,"Adult",F1263&lt;=55,"Seniour Adult",F1263&gt;=55,"Old Age")</f>
        <v>Adult</v>
      </c>
      <c r="H1263" t="s">
        <v>51</v>
      </c>
      <c r="I1263" t="s">
        <v>11</v>
      </c>
      <c r="J1263" t="str" cm="1">
        <f t="array" ref="J1263">_xlfn.IFS(I1263="S","Sauthamptonm",I1263="Q","Queentown",I1263="C","Cherburg",I1263="B","Cabin")</f>
        <v>Sauthamptonm</v>
      </c>
      <c r="K1263" t="s">
        <v>15</v>
      </c>
      <c r="L1263" s="2">
        <v>29</v>
      </c>
      <c r="M1263">
        <v>0</v>
      </c>
      <c r="N1263" t="s">
        <v>30</v>
      </c>
      <c r="O1263" t="s">
        <v>16</v>
      </c>
    </row>
    <row r="1264" spans="1:15" x14ac:dyDescent="0.3">
      <c r="A1264" s="1" t="s">
        <v>2333</v>
      </c>
      <c r="B1264" t="s">
        <v>72</v>
      </c>
      <c r="C1264" t="s">
        <v>2008</v>
      </c>
      <c r="D1264" t="str">
        <f t="shared" si="19"/>
        <v>Male</v>
      </c>
      <c r="E1264" t="s">
        <v>9</v>
      </c>
      <c r="F1264" s="2">
        <v>38</v>
      </c>
      <c r="G1264" s="2" t="str" cm="1">
        <f t="array" ref="G1264">_xlfn.IFS(F1264&lt;=8,"Child",F1264&lt;=17,"Teen",F1264&lt;=35,"Adult",F1264&lt;=55,"Seniour Adult",F1264&gt;=55,"Old Age")</f>
        <v>Seniour Adult</v>
      </c>
      <c r="H1264" t="s">
        <v>51</v>
      </c>
      <c r="I1264" t="s">
        <v>11</v>
      </c>
      <c r="J1264" t="str" cm="1">
        <f t="array" ref="J1264">_xlfn.IFS(I1264="S","Sauthamptonm",I1264="Q","Queentown",I1264="C","Cherburg",I1264="B","Cabin")</f>
        <v>Sauthamptonm</v>
      </c>
      <c r="K1264" t="s">
        <v>15</v>
      </c>
      <c r="L1264" s="2">
        <v>29</v>
      </c>
      <c r="M1264">
        <v>0</v>
      </c>
      <c r="N1264" t="s">
        <v>30</v>
      </c>
      <c r="O1264" t="s">
        <v>13</v>
      </c>
    </row>
    <row r="1265" spans="1:15" x14ac:dyDescent="0.3">
      <c r="A1265" s="1" t="s">
        <v>2334</v>
      </c>
      <c r="B1265" t="s">
        <v>72</v>
      </c>
      <c r="C1265" t="s">
        <v>104</v>
      </c>
      <c r="D1265" t="str">
        <f t="shared" si="19"/>
        <v>Male</v>
      </c>
      <c r="E1265" t="s">
        <v>9</v>
      </c>
      <c r="F1265" s="2">
        <v>23</v>
      </c>
      <c r="G1265" s="2" t="str" cm="1">
        <f t="array" ref="G1265">_xlfn.IFS(F1265&lt;=8,"Child",F1265&lt;=17,"Teen",F1265&lt;=35,"Adult",F1265&lt;=55,"Seniour Adult",F1265&gt;=55,"Old Age")</f>
        <v>Adult</v>
      </c>
      <c r="H1265" t="s">
        <v>51</v>
      </c>
      <c r="I1265" t="s">
        <v>11</v>
      </c>
      <c r="J1265" t="str" cm="1">
        <f t="array" ref="J1265">_xlfn.IFS(I1265="S","Sauthamptonm",I1265="Q","Queentown",I1265="C","Cherburg",I1265="B","Cabin")</f>
        <v>Sauthamptonm</v>
      </c>
      <c r="K1265" t="s">
        <v>15</v>
      </c>
      <c r="L1265" s="2">
        <v>29</v>
      </c>
      <c r="M1265">
        <v>0</v>
      </c>
      <c r="N1265" t="s">
        <v>30</v>
      </c>
      <c r="O1265" t="s">
        <v>13</v>
      </c>
    </row>
    <row r="1266" spans="1:15" x14ac:dyDescent="0.3">
      <c r="A1266" s="1" t="s">
        <v>2335</v>
      </c>
      <c r="B1266" t="s">
        <v>72</v>
      </c>
      <c r="C1266" t="s">
        <v>2099</v>
      </c>
      <c r="D1266" t="str">
        <f t="shared" si="19"/>
        <v>Male</v>
      </c>
      <c r="E1266" t="s">
        <v>9</v>
      </c>
      <c r="F1266" s="2">
        <v>38</v>
      </c>
      <c r="G1266" s="2" t="str" cm="1">
        <f t="array" ref="G1266">_xlfn.IFS(F1266&lt;=8,"Child",F1266&lt;=17,"Teen",F1266&lt;=35,"Adult",F1266&lt;=55,"Seniour Adult",F1266&gt;=55,"Old Age")</f>
        <v>Seniour Adult</v>
      </c>
      <c r="H1266" t="s">
        <v>51</v>
      </c>
      <c r="I1266" t="s">
        <v>11</v>
      </c>
      <c r="J1266" t="str" cm="1">
        <f t="array" ref="J1266">_xlfn.IFS(I1266="S","Sauthamptonm",I1266="Q","Queentown",I1266="C","Cherburg",I1266="B","Cabin")</f>
        <v>Sauthamptonm</v>
      </c>
      <c r="K1266" t="s">
        <v>15</v>
      </c>
      <c r="L1266" s="2">
        <v>29</v>
      </c>
      <c r="M1266">
        <v>0</v>
      </c>
      <c r="N1266" t="s">
        <v>30</v>
      </c>
      <c r="O1266" t="s">
        <v>13</v>
      </c>
    </row>
    <row r="1267" spans="1:15" x14ac:dyDescent="0.3">
      <c r="A1267" s="1" t="s">
        <v>2336</v>
      </c>
      <c r="B1267" t="s">
        <v>72</v>
      </c>
      <c r="C1267" t="s">
        <v>2337</v>
      </c>
      <c r="D1267" t="str">
        <f t="shared" si="19"/>
        <v>Male</v>
      </c>
      <c r="E1267" t="s">
        <v>9</v>
      </c>
      <c r="F1267" s="2">
        <v>36</v>
      </c>
      <c r="G1267" s="2" t="str" cm="1">
        <f t="array" ref="G1267">_xlfn.IFS(F1267&lt;=8,"Child",F1267&lt;=17,"Teen",F1267&lt;=35,"Adult",F1267&lt;=55,"Seniour Adult",F1267&gt;=55,"Old Age")</f>
        <v>Seniour Adult</v>
      </c>
      <c r="H1267" t="s">
        <v>67</v>
      </c>
      <c r="I1267" t="s">
        <v>28</v>
      </c>
      <c r="J1267" t="str" cm="1">
        <f t="array" ref="J1267">_xlfn.IFS(I1267="S","Sauthamptonm",I1267="Q","Queentown",I1267="C","Cherburg",I1267="B","Cabin")</f>
        <v>Cabin</v>
      </c>
      <c r="K1267" t="s">
        <v>43</v>
      </c>
      <c r="L1267" s="2">
        <v>29</v>
      </c>
      <c r="M1267">
        <v>0</v>
      </c>
      <c r="N1267" t="s">
        <v>30</v>
      </c>
      <c r="O1267" t="s">
        <v>13</v>
      </c>
    </row>
    <row r="1268" spans="1:15" x14ac:dyDescent="0.3">
      <c r="A1268" s="1" t="s">
        <v>2338</v>
      </c>
      <c r="B1268" t="s">
        <v>72</v>
      </c>
      <c r="C1268" t="s">
        <v>2339</v>
      </c>
      <c r="D1268" t="str">
        <f t="shared" si="19"/>
        <v>Male</v>
      </c>
      <c r="E1268" t="s">
        <v>9</v>
      </c>
      <c r="F1268" s="2">
        <v>37</v>
      </c>
      <c r="G1268" s="2" t="str" cm="1">
        <f t="array" ref="G1268">_xlfn.IFS(F1268&lt;=8,"Child",F1268&lt;=17,"Teen",F1268&lt;=35,"Adult",F1268&lt;=55,"Seniour Adult",F1268&gt;=55,"Old Age")</f>
        <v>Seniour Adult</v>
      </c>
      <c r="H1268" t="s">
        <v>67</v>
      </c>
      <c r="I1268" t="s">
        <v>11</v>
      </c>
      <c r="J1268" t="str" cm="1">
        <f t="array" ref="J1268">_xlfn.IFS(I1268="S","Sauthamptonm",I1268="Q","Queentown",I1268="C","Cherburg",I1268="B","Cabin")</f>
        <v>Sauthamptonm</v>
      </c>
      <c r="K1268" t="s">
        <v>15</v>
      </c>
      <c r="L1268" s="2">
        <v>29</v>
      </c>
      <c r="M1268">
        <v>0</v>
      </c>
      <c r="N1268" t="s">
        <v>30</v>
      </c>
      <c r="O1268" t="s">
        <v>13</v>
      </c>
    </row>
    <row r="1269" spans="1:15" x14ac:dyDescent="0.3">
      <c r="A1269" s="1" t="s">
        <v>2340</v>
      </c>
      <c r="B1269" t="s">
        <v>72</v>
      </c>
      <c r="C1269" t="s">
        <v>598</v>
      </c>
      <c r="D1269" t="str">
        <f t="shared" si="19"/>
        <v>Male</v>
      </c>
      <c r="E1269" t="s">
        <v>9</v>
      </c>
      <c r="F1269" s="2">
        <v>29</v>
      </c>
      <c r="G1269" s="2" t="str" cm="1">
        <f t="array" ref="G1269">_xlfn.IFS(F1269&lt;=8,"Child",F1269&lt;=17,"Teen",F1269&lt;=35,"Adult",F1269&lt;=55,"Seniour Adult",F1269&gt;=55,"Old Age")</f>
        <v>Adult</v>
      </c>
      <c r="H1269" t="s">
        <v>51</v>
      </c>
      <c r="I1269" t="s">
        <v>11</v>
      </c>
      <c r="J1269" t="str" cm="1">
        <f t="array" ref="J1269">_xlfn.IFS(I1269="S","Sauthamptonm",I1269="Q","Queentown",I1269="C","Cherburg",I1269="B","Cabin")</f>
        <v>Sauthamptonm</v>
      </c>
      <c r="K1269" t="s">
        <v>15</v>
      </c>
      <c r="L1269" s="2">
        <v>29</v>
      </c>
      <c r="M1269">
        <v>0</v>
      </c>
      <c r="N1269" t="s">
        <v>30</v>
      </c>
      <c r="O1269" t="s">
        <v>16</v>
      </c>
    </row>
    <row r="1270" spans="1:15" x14ac:dyDescent="0.3">
      <c r="A1270" s="1" t="s">
        <v>2341</v>
      </c>
      <c r="B1270" t="s">
        <v>72</v>
      </c>
      <c r="C1270" t="s">
        <v>2342</v>
      </c>
      <c r="D1270" t="str">
        <f t="shared" si="19"/>
        <v>Male</v>
      </c>
      <c r="E1270" t="s">
        <v>9</v>
      </c>
      <c r="F1270" s="2">
        <v>34</v>
      </c>
      <c r="G1270" s="2" t="str" cm="1">
        <f t="array" ref="G1270">_xlfn.IFS(F1270&lt;=8,"Child",F1270&lt;=17,"Teen",F1270&lt;=35,"Adult",F1270&lt;=55,"Seniour Adult",F1270&gt;=55,"Old Age")</f>
        <v>Adult</v>
      </c>
      <c r="H1270" t="s">
        <v>51</v>
      </c>
      <c r="I1270" t="s">
        <v>11</v>
      </c>
      <c r="J1270" t="str" cm="1">
        <f t="array" ref="J1270">_xlfn.IFS(I1270="S","Sauthamptonm",I1270="Q","Queentown",I1270="C","Cherburg",I1270="B","Cabin")</f>
        <v>Sauthamptonm</v>
      </c>
      <c r="K1270" t="s">
        <v>15</v>
      </c>
      <c r="L1270" s="2">
        <v>29</v>
      </c>
      <c r="M1270">
        <v>0</v>
      </c>
      <c r="N1270" t="s">
        <v>30</v>
      </c>
      <c r="O1270" t="s">
        <v>13</v>
      </c>
    </row>
    <row r="1271" spans="1:15" x14ac:dyDescent="0.3">
      <c r="A1271" s="1" t="s">
        <v>2343</v>
      </c>
      <c r="B1271" t="s">
        <v>72</v>
      </c>
      <c r="C1271" t="s">
        <v>2344</v>
      </c>
      <c r="D1271" t="str">
        <f t="shared" si="19"/>
        <v>Male</v>
      </c>
      <c r="E1271" t="s">
        <v>9</v>
      </c>
      <c r="F1271" s="2">
        <v>30</v>
      </c>
      <c r="G1271" s="2" t="str" cm="1">
        <f t="array" ref="G1271">_xlfn.IFS(F1271&lt;=8,"Child",F1271&lt;=17,"Teen",F1271&lt;=35,"Adult",F1271&lt;=55,"Seniour Adult",F1271&gt;=55,"Old Age")</f>
        <v>Adult</v>
      </c>
      <c r="H1271" t="s">
        <v>51</v>
      </c>
      <c r="I1271" t="s">
        <v>11</v>
      </c>
      <c r="J1271" t="str" cm="1">
        <f t="array" ref="J1271">_xlfn.IFS(I1271="S","Sauthamptonm",I1271="Q","Queentown",I1271="C","Cherburg",I1271="B","Cabin")</f>
        <v>Sauthamptonm</v>
      </c>
      <c r="K1271" t="s">
        <v>15</v>
      </c>
      <c r="L1271" s="2">
        <v>29</v>
      </c>
      <c r="M1271">
        <v>0</v>
      </c>
      <c r="N1271" t="s">
        <v>30</v>
      </c>
      <c r="O1271" t="s">
        <v>13</v>
      </c>
    </row>
    <row r="1272" spans="1:15" x14ac:dyDescent="0.3">
      <c r="A1272" s="1" t="s">
        <v>2345</v>
      </c>
      <c r="B1272" t="s">
        <v>72</v>
      </c>
      <c r="C1272" t="s">
        <v>598</v>
      </c>
      <c r="D1272" t="str">
        <f t="shared" si="19"/>
        <v>Male</v>
      </c>
      <c r="E1272" t="s">
        <v>9</v>
      </c>
      <c r="F1272" s="2">
        <v>17</v>
      </c>
      <c r="G1272" s="2" t="str" cm="1">
        <f t="array" ref="G1272">_xlfn.IFS(F1272&lt;=8,"Child",F1272&lt;=17,"Teen",F1272&lt;=35,"Adult",F1272&lt;=55,"Seniour Adult",F1272&gt;=55,"Old Age")</f>
        <v>Teen</v>
      </c>
      <c r="H1272" t="s">
        <v>67</v>
      </c>
      <c r="I1272" t="s">
        <v>11</v>
      </c>
      <c r="J1272" t="str" cm="1">
        <f t="array" ref="J1272">_xlfn.IFS(I1272="S","Sauthamptonm",I1272="Q","Queentown",I1272="C","Cherburg",I1272="B","Cabin")</f>
        <v>Sauthamptonm</v>
      </c>
      <c r="K1272" t="s">
        <v>15</v>
      </c>
      <c r="L1272" s="2">
        <v>29</v>
      </c>
      <c r="M1272">
        <v>0</v>
      </c>
      <c r="N1272" t="s">
        <v>30</v>
      </c>
      <c r="O1272" t="s">
        <v>13</v>
      </c>
    </row>
    <row r="1273" spans="1:15" x14ac:dyDescent="0.3">
      <c r="A1273" s="1" t="s">
        <v>2346</v>
      </c>
      <c r="B1273" t="s">
        <v>72</v>
      </c>
      <c r="C1273" t="s">
        <v>128</v>
      </c>
      <c r="D1273" t="str">
        <f t="shared" si="19"/>
        <v>Male</v>
      </c>
      <c r="E1273" t="s">
        <v>9</v>
      </c>
      <c r="F1273" s="2">
        <v>38</v>
      </c>
      <c r="G1273" s="2" t="str" cm="1">
        <f t="array" ref="G1273">_xlfn.IFS(F1273&lt;=8,"Child",F1273&lt;=17,"Teen",F1273&lt;=35,"Adult",F1273&lt;=55,"Seniour Adult",F1273&gt;=55,"Old Age")</f>
        <v>Seniour Adult</v>
      </c>
      <c r="H1273" t="s">
        <v>51</v>
      </c>
      <c r="I1273" t="s">
        <v>11</v>
      </c>
      <c r="J1273" t="str" cm="1">
        <f t="array" ref="J1273">_xlfn.IFS(I1273="S","Sauthamptonm",I1273="Q","Queentown",I1273="C","Cherburg",I1273="B","Cabin")</f>
        <v>Sauthamptonm</v>
      </c>
      <c r="K1273" t="s">
        <v>15</v>
      </c>
      <c r="L1273" s="2">
        <v>29</v>
      </c>
      <c r="M1273">
        <v>0</v>
      </c>
      <c r="N1273" t="s">
        <v>30</v>
      </c>
      <c r="O1273" t="s">
        <v>13</v>
      </c>
    </row>
    <row r="1274" spans="1:15" x14ac:dyDescent="0.3">
      <c r="A1274" s="1" t="s">
        <v>2347</v>
      </c>
      <c r="B1274" t="s">
        <v>72</v>
      </c>
      <c r="C1274" t="s">
        <v>104</v>
      </c>
      <c r="D1274" t="str">
        <f t="shared" si="19"/>
        <v>Male</v>
      </c>
      <c r="E1274" t="s">
        <v>9</v>
      </c>
      <c r="F1274" s="2">
        <v>21</v>
      </c>
      <c r="G1274" s="2" t="str" cm="1">
        <f t="array" ref="G1274">_xlfn.IFS(F1274&lt;=8,"Child",F1274&lt;=17,"Teen",F1274&lt;=35,"Adult",F1274&lt;=55,"Seniour Adult",F1274&gt;=55,"Old Age")</f>
        <v>Adult</v>
      </c>
      <c r="H1274" t="s">
        <v>51</v>
      </c>
      <c r="I1274" t="s">
        <v>11</v>
      </c>
      <c r="J1274" t="str" cm="1">
        <f t="array" ref="J1274">_xlfn.IFS(I1274="S","Sauthamptonm",I1274="Q","Queentown",I1274="C","Cherburg",I1274="B","Cabin")</f>
        <v>Sauthamptonm</v>
      </c>
      <c r="K1274" t="s">
        <v>15</v>
      </c>
      <c r="L1274" s="2">
        <v>29</v>
      </c>
      <c r="M1274">
        <v>0</v>
      </c>
      <c r="N1274" t="s">
        <v>30</v>
      </c>
      <c r="O1274" t="s">
        <v>16</v>
      </c>
    </row>
    <row r="1275" spans="1:15" x14ac:dyDescent="0.3">
      <c r="A1275" s="1" t="s">
        <v>2348</v>
      </c>
      <c r="B1275" t="s">
        <v>72</v>
      </c>
      <c r="C1275" t="s">
        <v>2349</v>
      </c>
      <c r="D1275" t="str">
        <f t="shared" si="19"/>
        <v>Male</v>
      </c>
      <c r="E1275" t="s">
        <v>9</v>
      </c>
      <c r="F1275" s="2">
        <v>30</v>
      </c>
      <c r="G1275" s="2" t="str" cm="1">
        <f t="array" ref="G1275">_xlfn.IFS(F1275&lt;=8,"Child",F1275&lt;=17,"Teen",F1275&lt;=35,"Adult",F1275&lt;=55,"Seniour Adult",F1275&gt;=55,"Old Age")</f>
        <v>Adult</v>
      </c>
      <c r="H1275" t="s">
        <v>67</v>
      </c>
      <c r="I1275" t="s">
        <v>28</v>
      </c>
      <c r="J1275" t="str" cm="1">
        <f t="array" ref="J1275">_xlfn.IFS(I1275="S","Sauthamptonm",I1275="Q","Queentown",I1275="C","Cherburg",I1275="B","Cabin")</f>
        <v>Cabin</v>
      </c>
      <c r="K1275" t="s">
        <v>15</v>
      </c>
      <c r="L1275" s="2">
        <v>29</v>
      </c>
      <c r="M1275">
        <v>0</v>
      </c>
      <c r="N1275" t="s">
        <v>30</v>
      </c>
      <c r="O1275" t="s">
        <v>16</v>
      </c>
    </row>
    <row r="1276" spans="1:15" x14ac:dyDescent="0.3">
      <c r="A1276" s="1" t="s">
        <v>2350</v>
      </c>
      <c r="B1276" t="s">
        <v>76</v>
      </c>
      <c r="C1276" t="s">
        <v>2351</v>
      </c>
      <c r="D1276" t="str">
        <f t="shared" si="19"/>
        <v>Female</v>
      </c>
      <c r="E1276" t="s">
        <v>14</v>
      </c>
      <c r="F1276" s="2">
        <v>40</v>
      </c>
      <c r="G1276" s="2" t="str" cm="1">
        <f t="array" ref="G1276">_xlfn.IFS(F1276&lt;=8,"Child",F1276&lt;=17,"Teen",F1276&lt;=35,"Adult",F1276&lt;=55,"Seniour Adult",F1276&gt;=55,"Old Age")</f>
        <v>Seniour Adult</v>
      </c>
      <c r="H1276" t="s">
        <v>67</v>
      </c>
      <c r="I1276" t="s">
        <v>11</v>
      </c>
      <c r="J1276" t="str" cm="1">
        <f t="array" ref="J1276">_xlfn.IFS(I1276="S","Sauthamptonm",I1276="Q","Queentown",I1276="C","Cherburg",I1276="B","Cabin")</f>
        <v>Sauthamptonm</v>
      </c>
      <c r="K1276" t="s">
        <v>15</v>
      </c>
      <c r="L1276" s="2">
        <v>29</v>
      </c>
      <c r="M1276">
        <v>0</v>
      </c>
      <c r="N1276" t="s">
        <v>30</v>
      </c>
      <c r="O1276" t="s">
        <v>16</v>
      </c>
    </row>
    <row r="1277" spans="1:15" x14ac:dyDescent="0.3">
      <c r="A1277" s="1" t="s">
        <v>2352</v>
      </c>
      <c r="B1277" t="s">
        <v>72</v>
      </c>
      <c r="C1277" t="s">
        <v>618</v>
      </c>
      <c r="D1277" t="str">
        <f t="shared" si="19"/>
        <v>Male</v>
      </c>
      <c r="E1277" t="s">
        <v>9</v>
      </c>
      <c r="F1277" s="2">
        <v>23</v>
      </c>
      <c r="G1277" s="2" t="str" cm="1">
        <f t="array" ref="G1277">_xlfn.IFS(F1277&lt;=8,"Child",F1277&lt;=17,"Teen",F1277&lt;=35,"Adult",F1277&lt;=55,"Seniour Adult",F1277&gt;=55,"Old Age")</f>
        <v>Adult</v>
      </c>
      <c r="H1277" t="s">
        <v>67</v>
      </c>
      <c r="I1277" t="s">
        <v>28</v>
      </c>
      <c r="J1277" t="str" cm="1">
        <f t="array" ref="J1277">_xlfn.IFS(I1277="S","Sauthamptonm",I1277="Q","Queentown",I1277="C","Cherburg",I1277="B","Cabin")</f>
        <v>Cabin</v>
      </c>
      <c r="K1277" t="s">
        <v>15</v>
      </c>
      <c r="L1277" s="2">
        <v>29</v>
      </c>
      <c r="M1277">
        <v>0</v>
      </c>
      <c r="N1277" t="s">
        <v>30</v>
      </c>
      <c r="O1277" t="s">
        <v>16</v>
      </c>
    </row>
    <row r="1278" spans="1:15" x14ac:dyDescent="0.3">
      <c r="A1278" s="1" t="s">
        <v>2353</v>
      </c>
      <c r="B1278" t="s">
        <v>72</v>
      </c>
      <c r="C1278" t="s">
        <v>2354</v>
      </c>
      <c r="D1278" t="str">
        <f t="shared" si="19"/>
        <v>Male</v>
      </c>
      <c r="E1278" t="s">
        <v>9</v>
      </c>
      <c r="F1278" s="2">
        <v>36</v>
      </c>
      <c r="G1278" s="2" t="str" cm="1">
        <f t="array" ref="G1278">_xlfn.IFS(F1278&lt;=8,"Child",F1278&lt;=17,"Teen",F1278&lt;=35,"Adult",F1278&lt;=55,"Seniour Adult",F1278&gt;=55,"Old Age")</f>
        <v>Seniour Adult</v>
      </c>
      <c r="H1278" t="s">
        <v>67</v>
      </c>
      <c r="I1278" t="s">
        <v>28</v>
      </c>
      <c r="J1278" t="str" cm="1">
        <f t="array" ref="J1278">_xlfn.IFS(I1278="S","Sauthamptonm",I1278="Q","Queentown",I1278="C","Cherburg",I1278="B","Cabin")</f>
        <v>Cabin</v>
      </c>
      <c r="K1278" t="s">
        <v>15</v>
      </c>
      <c r="L1278" s="2">
        <v>29</v>
      </c>
      <c r="M1278">
        <v>0</v>
      </c>
      <c r="N1278" t="s">
        <v>30</v>
      </c>
      <c r="O1278" t="s">
        <v>13</v>
      </c>
    </row>
    <row r="1279" spans="1:15" x14ac:dyDescent="0.3">
      <c r="A1279" s="1" t="s">
        <v>2355</v>
      </c>
      <c r="B1279" t="s">
        <v>72</v>
      </c>
      <c r="C1279" t="s">
        <v>104</v>
      </c>
      <c r="D1279" t="str">
        <f t="shared" si="19"/>
        <v>Male</v>
      </c>
      <c r="E1279" t="s">
        <v>9</v>
      </c>
      <c r="F1279" s="2">
        <v>44</v>
      </c>
      <c r="G1279" s="2" t="str" cm="1">
        <f t="array" ref="G1279">_xlfn.IFS(F1279&lt;=8,"Child",F1279&lt;=17,"Teen",F1279&lt;=35,"Adult",F1279&lt;=55,"Seniour Adult",F1279&gt;=55,"Old Age")</f>
        <v>Seniour Adult</v>
      </c>
      <c r="H1279" t="s">
        <v>67</v>
      </c>
      <c r="I1279" t="s">
        <v>28</v>
      </c>
      <c r="J1279" t="str" cm="1">
        <f t="array" ref="J1279">_xlfn.IFS(I1279="S","Sauthamptonm",I1279="Q","Queentown",I1279="C","Cherburg",I1279="B","Cabin")</f>
        <v>Cabin</v>
      </c>
      <c r="K1279" t="s">
        <v>15</v>
      </c>
      <c r="L1279" s="2">
        <v>29</v>
      </c>
      <c r="M1279">
        <v>0</v>
      </c>
      <c r="N1279" t="s">
        <v>30</v>
      </c>
      <c r="O1279" t="s">
        <v>13</v>
      </c>
    </row>
    <row r="1280" spans="1:15" x14ac:dyDescent="0.3">
      <c r="A1280" s="1" t="s">
        <v>2356</v>
      </c>
      <c r="B1280" t="s">
        <v>72</v>
      </c>
      <c r="C1280" t="s">
        <v>104</v>
      </c>
      <c r="D1280" t="str">
        <f t="shared" si="19"/>
        <v>Male</v>
      </c>
      <c r="E1280" t="s">
        <v>9</v>
      </c>
      <c r="F1280" s="2">
        <v>26</v>
      </c>
      <c r="G1280" s="2" t="str" cm="1">
        <f t="array" ref="G1280">_xlfn.IFS(F1280&lt;=8,"Child",F1280&lt;=17,"Teen",F1280&lt;=35,"Adult",F1280&lt;=55,"Seniour Adult",F1280&gt;=55,"Old Age")</f>
        <v>Adult</v>
      </c>
      <c r="H1280" t="s">
        <v>51</v>
      </c>
      <c r="I1280" t="s">
        <v>28</v>
      </c>
      <c r="J1280" t="str" cm="1">
        <f t="array" ref="J1280">_xlfn.IFS(I1280="S","Sauthamptonm",I1280="Q","Queentown",I1280="C","Cherburg",I1280="B","Cabin")</f>
        <v>Cabin</v>
      </c>
      <c r="K1280" t="s">
        <v>29</v>
      </c>
      <c r="L1280" s="2">
        <v>29</v>
      </c>
      <c r="M1280">
        <v>0</v>
      </c>
      <c r="N1280" t="s">
        <v>30</v>
      </c>
      <c r="O1280" t="s">
        <v>13</v>
      </c>
    </row>
    <row r="1281" spans="1:15" x14ac:dyDescent="0.3">
      <c r="A1281" s="1" t="s">
        <v>2357</v>
      </c>
      <c r="B1281" t="s">
        <v>72</v>
      </c>
      <c r="C1281" t="s">
        <v>2358</v>
      </c>
      <c r="D1281" t="str">
        <f t="shared" si="19"/>
        <v>Male</v>
      </c>
      <c r="E1281" t="s">
        <v>9</v>
      </c>
      <c r="F1281" s="2">
        <v>32</v>
      </c>
      <c r="G1281" s="2" t="str" cm="1">
        <f t="array" ref="G1281">_xlfn.IFS(F1281&lt;=8,"Child",F1281&lt;=17,"Teen",F1281&lt;=35,"Adult",F1281&lt;=55,"Seniour Adult",F1281&gt;=55,"Old Age")</f>
        <v>Adult</v>
      </c>
      <c r="H1281" t="s">
        <v>51</v>
      </c>
      <c r="I1281" t="s">
        <v>11</v>
      </c>
      <c r="J1281" t="str" cm="1">
        <f t="array" ref="J1281">_xlfn.IFS(I1281="S","Sauthamptonm",I1281="Q","Queentown",I1281="C","Cherburg",I1281="B","Cabin")</f>
        <v>Sauthamptonm</v>
      </c>
      <c r="K1281" t="s">
        <v>15</v>
      </c>
      <c r="L1281" s="2">
        <v>29</v>
      </c>
      <c r="M1281">
        <v>0</v>
      </c>
      <c r="N1281" t="s">
        <v>30</v>
      </c>
      <c r="O1281" t="s">
        <v>13</v>
      </c>
    </row>
    <row r="1282" spans="1:15" x14ac:dyDescent="0.3">
      <c r="A1282" s="1" t="s">
        <v>2359</v>
      </c>
      <c r="B1282" t="s">
        <v>72</v>
      </c>
      <c r="C1282" t="s">
        <v>104</v>
      </c>
      <c r="D1282" t="str">
        <f t="shared" ref="D1282:D1345" si="20">PROPER(E1282)</f>
        <v>Male</v>
      </c>
      <c r="E1282" t="s">
        <v>9</v>
      </c>
      <c r="F1282" s="2">
        <v>22</v>
      </c>
      <c r="G1282" s="2" t="str" cm="1">
        <f t="array" ref="G1282">_xlfn.IFS(F1282&lt;=8,"Child",F1282&lt;=17,"Teen",F1282&lt;=35,"Adult",F1282&lt;=55,"Seniour Adult",F1282&gt;=55,"Old Age")</f>
        <v>Adult</v>
      </c>
      <c r="H1282" t="s">
        <v>51</v>
      </c>
      <c r="I1282" t="s">
        <v>28</v>
      </c>
      <c r="J1282" t="str" cm="1">
        <f t="array" ref="J1282">_xlfn.IFS(I1282="S","Sauthamptonm",I1282="Q","Queentown",I1282="C","Cherburg",I1282="B","Cabin")</f>
        <v>Cabin</v>
      </c>
      <c r="K1282" t="s">
        <v>29</v>
      </c>
      <c r="L1282" s="2">
        <v>29</v>
      </c>
      <c r="M1282">
        <v>0</v>
      </c>
      <c r="N1282" t="s">
        <v>30</v>
      </c>
      <c r="O1282" t="s">
        <v>13</v>
      </c>
    </row>
    <row r="1283" spans="1:15" x14ac:dyDescent="0.3">
      <c r="A1283" s="1" t="s">
        <v>2360</v>
      </c>
      <c r="B1283" t="s">
        <v>72</v>
      </c>
      <c r="C1283" t="s">
        <v>618</v>
      </c>
      <c r="D1283" t="str">
        <f t="shared" si="20"/>
        <v>Male</v>
      </c>
      <c r="E1283" t="s">
        <v>9</v>
      </c>
      <c r="F1283" s="2">
        <v>34</v>
      </c>
      <c r="G1283" s="2" t="str" cm="1">
        <f t="array" ref="G1283">_xlfn.IFS(F1283&lt;=8,"Child",F1283&lt;=17,"Teen",F1283&lt;=35,"Adult",F1283&lt;=55,"Seniour Adult",F1283&gt;=55,"Old Age")</f>
        <v>Adult</v>
      </c>
      <c r="H1283" t="s">
        <v>67</v>
      </c>
      <c r="I1283" t="s">
        <v>11</v>
      </c>
      <c r="J1283" t="str" cm="1">
        <f t="array" ref="J1283">_xlfn.IFS(I1283="S","Sauthamptonm",I1283="Q","Queentown",I1283="C","Cherburg",I1283="B","Cabin")</f>
        <v>Sauthamptonm</v>
      </c>
      <c r="K1283" t="s">
        <v>15</v>
      </c>
      <c r="L1283" s="2">
        <v>29</v>
      </c>
      <c r="M1283">
        <v>0</v>
      </c>
      <c r="N1283" t="s">
        <v>30</v>
      </c>
      <c r="O1283" t="s">
        <v>13</v>
      </c>
    </row>
    <row r="1284" spans="1:15" x14ac:dyDescent="0.3">
      <c r="A1284" s="1" t="s">
        <v>2361</v>
      </c>
      <c r="B1284" t="s">
        <v>72</v>
      </c>
      <c r="C1284" t="s">
        <v>2362</v>
      </c>
      <c r="D1284" t="str">
        <f t="shared" si="20"/>
        <v>Male</v>
      </c>
      <c r="E1284" t="s">
        <v>9</v>
      </c>
      <c r="F1284" s="2">
        <v>27</v>
      </c>
      <c r="G1284" s="2" t="str" cm="1">
        <f t="array" ref="G1284">_xlfn.IFS(F1284&lt;=8,"Child",F1284&lt;=17,"Teen",F1284&lt;=35,"Adult",F1284&lt;=55,"Seniour Adult",F1284&gt;=55,"Old Age")</f>
        <v>Adult</v>
      </c>
      <c r="H1284" t="s">
        <v>51</v>
      </c>
      <c r="I1284" t="s">
        <v>28</v>
      </c>
      <c r="J1284" t="str" cm="1">
        <f t="array" ref="J1284">_xlfn.IFS(I1284="S","Sauthamptonm",I1284="Q","Queentown",I1284="C","Cherburg",I1284="B","Cabin")</f>
        <v>Cabin</v>
      </c>
      <c r="K1284" t="s">
        <v>37</v>
      </c>
      <c r="L1284" s="2">
        <v>29</v>
      </c>
      <c r="M1284">
        <v>0</v>
      </c>
      <c r="N1284" t="s">
        <v>30</v>
      </c>
      <c r="O1284" t="s">
        <v>13</v>
      </c>
    </row>
    <row r="1285" spans="1:15" x14ac:dyDescent="0.3">
      <c r="A1285" s="1" t="s">
        <v>2363</v>
      </c>
      <c r="B1285" t="s">
        <v>72</v>
      </c>
      <c r="C1285" t="s">
        <v>698</v>
      </c>
      <c r="D1285" t="str">
        <f t="shared" si="20"/>
        <v>Male</v>
      </c>
      <c r="E1285" t="s">
        <v>9</v>
      </c>
      <c r="F1285" s="2">
        <v>28</v>
      </c>
      <c r="G1285" s="2" t="str" cm="1">
        <f t="array" ref="G1285">_xlfn.IFS(F1285&lt;=8,"Child",F1285&lt;=17,"Teen",F1285&lt;=35,"Adult",F1285&lt;=55,"Seniour Adult",F1285&gt;=55,"Old Age")</f>
        <v>Adult</v>
      </c>
      <c r="H1285" t="s">
        <v>51</v>
      </c>
      <c r="I1285" t="s">
        <v>11</v>
      </c>
      <c r="J1285" t="str" cm="1">
        <f t="array" ref="J1285">_xlfn.IFS(I1285="S","Sauthamptonm",I1285="Q","Queentown",I1285="C","Cherburg",I1285="B","Cabin")</f>
        <v>Sauthamptonm</v>
      </c>
      <c r="K1285" t="s">
        <v>15</v>
      </c>
      <c r="L1285" s="2">
        <v>29</v>
      </c>
      <c r="M1285">
        <v>0</v>
      </c>
      <c r="N1285" t="s">
        <v>30</v>
      </c>
      <c r="O1285" t="s">
        <v>13</v>
      </c>
    </row>
    <row r="1286" spans="1:15" x14ac:dyDescent="0.3">
      <c r="A1286" s="1" t="s">
        <v>2364</v>
      </c>
      <c r="B1286" t="s">
        <v>72</v>
      </c>
      <c r="C1286" t="s">
        <v>932</v>
      </c>
      <c r="D1286" t="str">
        <f t="shared" si="20"/>
        <v>Male</v>
      </c>
      <c r="E1286" t="s">
        <v>9</v>
      </c>
      <c r="F1286" s="2">
        <v>26</v>
      </c>
      <c r="G1286" s="2" t="str" cm="1">
        <f t="array" ref="G1286">_xlfn.IFS(F1286&lt;=8,"Child",F1286&lt;=17,"Teen",F1286&lt;=35,"Adult",F1286&lt;=55,"Seniour Adult",F1286&gt;=55,"Old Age")</f>
        <v>Adult</v>
      </c>
      <c r="H1286" t="s">
        <v>51</v>
      </c>
      <c r="I1286" t="s">
        <v>28</v>
      </c>
      <c r="J1286" t="str" cm="1">
        <f t="array" ref="J1286">_xlfn.IFS(I1286="S","Sauthamptonm",I1286="Q","Queentown",I1286="C","Cherburg",I1286="B","Cabin")</f>
        <v>Cabin</v>
      </c>
      <c r="K1286" t="s">
        <v>43</v>
      </c>
      <c r="L1286" s="2">
        <v>29</v>
      </c>
      <c r="M1286">
        <v>0</v>
      </c>
      <c r="N1286" t="s">
        <v>30</v>
      </c>
      <c r="O1286" t="s">
        <v>13</v>
      </c>
    </row>
    <row r="1287" spans="1:15" x14ac:dyDescent="0.3">
      <c r="A1287" s="1" t="s">
        <v>2365</v>
      </c>
      <c r="B1287" t="s">
        <v>72</v>
      </c>
      <c r="C1287" t="s">
        <v>748</v>
      </c>
      <c r="D1287" t="str">
        <f t="shared" si="20"/>
        <v>Male</v>
      </c>
      <c r="E1287" t="s">
        <v>9</v>
      </c>
      <c r="F1287" s="2">
        <v>51</v>
      </c>
      <c r="G1287" s="2" t="str" cm="1">
        <f t="array" ref="G1287">_xlfn.IFS(F1287&lt;=8,"Child",F1287&lt;=17,"Teen",F1287&lt;=35,"Adult",F1287&lt;=55,"Seniour Adult",F1287&gt;=55,"Old Age")</f>
        <v>Seniour Adult</v>
      </c>
      <c r="H1287" t="s">
        <v>67</v>
      </c>
      <c r="I1287" t="s">
        <v>11</v>
      </c>
      <c r="J1287" t="str" cm="1">
        <f t="array" ref="J1287">_xlfn.IFS(I1287="S","Sauthamptonm",I1287="Q","Queentown",I1287="C","Cherburg",I1287="B","Cabin")</f>
        <v>Sauthamptonm</v>
      </c>
      <c r="K1287" t="s">
        <v>15</v>
      </c>
      <c r="L1287" s="2">
        <v>29</v>
      </c>
      <c r="M1287">
        <v>0</v>
      </c>
      <c r="N1287" t="s">
        <v>30</v>
      </c>
      <c r="O1287" t="s">
        <v>16</v>
      </c>
    </row>
    <row r="1288" spans="1:15" x14ac:dyDescent="0.3">
      <c r="A1288" s="1" t="s">
        <v>2366</v>
      </c>
      <c r="B1288" t="s">
        <v>72</v>
      </c>
      <c r="C1288" t="s">
        <v>104</v>
      </c>
      <c r="D1288" t="str">
        <f t="shared" si="20"/>
        <v>Male</v>
      </c>
      <c r="E1288" t="s">
        <v>9</v>
      </c>
      <c r="F1288" s="2">
        <v>46</v>
      </c>
      <c r="G1288" s="2" t="str" cm="1">
        <f t="array" ref="G1288">_xlfn.IFS(F1288&lt;=8,"Child",F1288&lt;=17,"Teen",F1288&lt;=35,"Adult",F1288&lt;=55,"Seniour Adult",F1288&gt;=55,"Old Age")</f>
        <v>Seniour Adult</v>
      </c>
      <c r="H1288" t="s">
        <v>51</v>
      </c>
      <c r="I1288" t="s">
        <v>11</v>
      </c>
      <c r="J1288" t="str" cm="1">
        <f t="array" ref="J1288">_xlfn.IFS(I1288="S","Sauthamptonm",I1288="Q","Queentown",I1288="C","Cherburg",I1288="B","Cabin")</f>
        <v>Sauthamptonm</v>
      </c>
      <c r="K1288" t="s">
        <v>15</v>
      </c>
      <c r="L1288" s="2">
        <v>29</v>
      </c>
      <c r="M1288">
        <v>0</v>
      </c>
      <c r="N1288" t="s">
        <v>30</v>
      </c>
      <c r="O1288" t="s">
        <v>13</v>
      </c>
    </row>
    <row r="1289" spans="1:15" x14ac:dyDescent="0.3">
      <c r="A1289" s="1" t="s">
        <v>2367</v>
      </c>
      <c r="B1289" t="s">
        <v>72</v>
      </c>
      <c r="C1289" t="s">
        <v>2368</v>
      </c>
      <c r="D1289" t="str">
        <f t="shared" si="20"/>
        <v>Male</v>
      </c>
      <c r="E1289" t="s">
        <v>9</v>
      </c>
      <c r="F1289" s="2">
        <v>53</v>
      </c>
      <c r="G1289" s="2" t="str" cm="1">
        <f t="array" ref="G1289">_xlfn.IFS(F1289&lt;=8,"Child",F1289&lt;=17,"Teen",F1289&lt;=35,"Adult",F1289&lt;=55,"Seniour Adult",F1289&gt;=55,"Old Age")</f>
        <v>Seniour Adult</v>
      </c>
      <c r="H1289" t="s">
        <v>67</v>
      </c>
      <c r="I1289" t="s">
        <v>28</v>
      </c>
      <c r="J1289" t="str" cm="1">
        <f t="array" ref="J1289">_xlfn.IFS(I1289="S","Sauthamptonm",I1289="Q","Queentown",I1289="C","Cherburg",I1289="B","Cabin")</f>
        <v>Cabin</v>
      </c>
      <c r="K1289" t="s">
        <v>21</v>
      </c>
      <c r="L1289" s="2">
        <v>29</v>
      </c>
      <c r="M1289">
        <v>0</v>
      </c>
      <c r="N1289" t="s">
        <v>30</v>
      </c>
      <c r="O1289" t="s">
        <v>13</v>
      </c>
    </row>
    <row r="1290" spans="1:15" x14ac:dyDescent="0.3">
      <c r="A1290" s="1" t="s">
        <v>2369</v>
      </c>
      <c r="B1290" t="s">
        <v>1274</v>
      </c>
      <c r="C1290" t="s">
        <v>2370</v>
      </c>
      <c r="D1290" t="str">
        <f t="shared" si="20"/>
        <v>Male</v>
      </c>
      <c r="E1290" t="s">
        <v>9</v>
      </c>
      <c r="F1290" s="2">
        <v>20</v>
      </c>
      <c r="G1290" s="2" t="str" cm="1">
        <f t="array" ref="G1290">_xlfn.IFS(F1290&lt;=8,"Child",F1290&lt;=17,"Teen",F1290&lt;=35,"Adult",F1290&lt;=55,"Seniour Adult",F1290&gt;=55,"Old Age")</f>
        <v>Adult</v>
      </c>
      <c r="H1290" t="s">
        <v>68</v>
      </c>
      <c r="I1290" t="s">
        <v>11</v>
      </c>
      <c r="J1290" t="str" cm="1">
        <f t="array" ref="J1290">_xlfn.IFS(I1290="S","Sauthamptonm",I1290="Q","Queentown",I1290="C","Cherburg",I1290="B","Cabin")</f>
        <v>Sauthamptonm</v>
      </c>
      <c r="K1290" t="s">
        <v>50</v>
      </c>
      <c r="L1290" s="2">
        <v>29</v>
      </c>
      <c r="M1290">
        <v>0</v>
      </c>
      <c r="N1290" t="s">
        <v>30</v>
      </c>
      <c r="O1290" t="s">
        <v>13</v>
      </c>
    </row>
    <row r="1291" spans="1:15" x14ac:dyDescent="0.3">
      <c r="A1291" s="1" t="s">
        <v>2371</v>
      </c>
      <c r="B1291" t="s">
        <v>1766</v>
      </c>
      <c r="C1291" t="s">
        <v>1804</v>
      </c>
      <c r="D1291" t="str">
        <f t="shared" si="20"/>
        <v>Male</v>
      </c>
      <c r="E1291" t="s">
        <v>9</v>
      </c>
      <c r="F1291" s="2">
        <v>23</v>
      </c>
      <c r="G1291" s="2" t="str" cm="1">
        <f t="array" ref="G1291">_xlfn.IFS(F1291&lt;=8,"Child",F1291&lt;=17,"Teen",F1291&lt;=35,"Adult",F1291&lt;=55,"Seniour Adult",F1291&gt;=55,"Old Age")</f>
        <v>Adult</v>
      </c>
      <c r="H1291" t="s">
        <v>68</v>
      </c>
      <c r="I1291" t="s">
        <v>11</v>
      </c>
      <c r="J1291" t="str" cm="1">
        <f t="array" ref="J1291">_xlfn.IFS(I1291="S","Sauthamptonm",I1291="Q","Queentown",I1291="C","Cherburg",I1291="B","Cabin")</f>
        <v>Sauthamptonm</v>
      </c>
      <c r="K1291" t="s">
        <v>15</v>
      </c>
      <c r="L1291" s="2">
        <v>29</v>
      </c>
      <c r="M1291">
        <v>0</v>
      </c>
      <c r="N1291" t="s">
        <v>30</v>
      </c>
      <c r="O1291" t="s">
        <v>13</v>
      </c>
    </row>
    <row r="1292" spans="1:15" x14ac:dyDescent="0.3">
      <c r="A1292" s="1" t="s">
        <v>2372</v>
      </c>
      <c r="B1292" t="s">
        <v>72</v>
      </c>
      <c r="C1292" t="s">
        <v>2373</v>
      </c>
      <c r="D1292" t="str">
        <f t="shared" si="20"/>
        <v>Male</v>
      </c>
      <c r="E1292" t="s">
        <v>9</v>
      </c>
      <c r="F1292" s="2">
        <v>24</v>
      </c>
      <c r="G1292" s="2" t="str" cm="1">
        <f t="array" ref="G1292">_xlfn.IFS(F1292&lt;=8,"Child",F1292&lt;=17,"Teen",F1292&lt;=35,"Adult",F1292&lt;=55,"Seniour Adult",F1292&gt;=55,"Old Age")</f>
        <v>Adult</v>
      </c>
      <c r="H1292" t="s">
        <v>69</v>
      </c>
      <c r="I1292" t="s">
        <v>28</v>
      </c>
      <c r="J1292" t="str" cm="1">
        <f t="array" ref="J1292">_xlfn.IFS(I1292="S","Sauthamptonm",I1292="Q","Queentown",I1292="C","Cherburg",I1292="B","Cabin")</f>
        <v>Cabin</v>
      </c>
      <c r="K1292" t="s">
        <v>15</v>
      </c>
      <c r="L1292" s="2">
        <v>29</v>
      </c>
      <c r="M1292">
        <v>0</v>
      </c>
      <c r="N1292" t="s">
        <v>30</v>
      </c>
      <c r="O1292" t="s">
        <v>13</v>
      </c>
    </row>
    <row r="1293" spans="1:15" x14ac:dyDescent="0.3">
      <c r="A1293" s="1" t="s">
        <v>2374</v>
      </c>
      <c r="B1293" t="s">
        <v>72</v>
      </c>
      <c r="C1293" t="s">
        <v>1422</v>
      </c>
      <c r="D1293" t="str">
        <f t="shared" si="20"/>
        <v>Male</v>
      </c>
      <c r="E1293" t="s">
        <v>9</v>
      </c>
      <c r="F1293" s="2">
        <v>44</v>
      </c>
      <c r="G1293" s="2" t="str" cm="1">
        <f t="array" ref="G1293">_xlfn.IFS(F1293&lt;=8,"Child",F1293&lt;=17,"Teen",F1293&lt;=35,"Adult",F1293&lt;=55,"Seniour Adult",F1293&gt;=55,"Old Age")</f>
        <v>Seniour Adult</v>
      </c>
      <c r="H1293" t="s">
        <v>51</v>
      </c>
      <c r="I1293" t="s">
        <v>11</v>
      </c>
      <c r="J1293" t="str" cm="1">
        <f t="array" ref="J1293">_xlfn.IFS(I1293="S","Sauthamptonm",I1293="Q","Queentown",I1293="C","Cherburg",I1293="B","Cabin")</f>
        <v>Sauthamptonm</v>
      </c>
      <c r="K1293" t="s">
        <v>15</v>
      </c>
      <c r="L1293" s="2">
        <v>29</v>
      </c>
      <c r="M1293">
        <v>0</v>
      </c>
      <c r="N1293" t="s">
        <v>30</v>
      </c>
      <c r="O1293" t="s">
        <v>13</v>
      </c>
    </row>
    <row r="1294" spans="1:15" x14ac:dyDescent="0.3">
      <c r="A1294" s="1" t="s">
        <v>2375</v>
      </c>
      <c r="B1294" t="s">
        <v>72</v>
      </c>
      <c r="C1294" t="s">
        <v>1783</v>
      </c>
      <c r="D1294" t="str">
        <f t="shared" si="20"/>
        <v>Male</v>
      </c>
      <c r="E1294" t="s">
        <v>9</v>
      </c>
      <c r="F1294" s="2">
        <v>42</v>
      </c>
      <c r="G1294" s="2" t="str" cm="1">
        <f t="array" ref="G1294">_xlfn.IFS(F1294&lt;=8,"Child",F1294&lt;=17,"Teen",F1294&lt;=35,"Adult",F1294&lt;=55,"Seniour Adult",F1294&gt;=55,"Old Age")</f>
        <v>Seniour Adult</v>
      </c>
      <c r="H1294" t="s">
        <v>67</v>
      </c>
      <c r="I1294" t="s">
        <v>11</v>
      </c>
      <c r="J1294" t="str" cm="1">
        <f t="array" ref="J1294">_xlfn.IFS(I1294="S","Sauthamptonm",I1294="Q","Queentown",I1294="C","Cherburg",I1294="B","Cabin")</f>
        <v>Sauthamptonm</v>
      </c>
      <c r="K1294" t="s">
        <v>15</v>
      </c>
      <c r="L1294" s="2">
        <v>29</v>
      </c>
      <c r="M1294">
        <v>0</v>
      </c>
      <c r="N1294" t="s">
        <v>30</v>
      </c>
      <c r="O1294" t="s">
        <v>13</v>
      </c>
    </row>
    <row r="1295" spans="1:15" x14ac:dyDescent="0.3">
      <c r="A1295" s="1" t="s">
        <v>2376</v>
      </c>
      <c r="B1295" t="s">
        <v>72</v>
      </c>
      <c r="C1295" t="s">
        <v>2377</v>
      </c>
      <c r="D1295" t="str">
        <f t="shared" si="20"/>
        <v>Male</v>
      </c>
      <c r="E1295" t="s">
        <v>9</v>
      </c>
      <c r="F1295" s="2">
        <v>27</v>
      </c>
      <c r="G1295" s="2" t="str" cm="1">
        <f t="array" ref="G1295">_xlfn.IFS(F1295&lt;=8,"Child",F1295&lt;=17,"Teen",F1295&lt;=35,"Adult",F1295&lt;=55,"Seniour Adult",F1295&gt;=55,"Old Age")</f>
        <v>Adult</v>
      </c>
      <c r="H1295" t="s">
        <v>51</v>
      </c>
      <c r="I1295" t="s">
        <v>11</v>
      </c>
      <c r="J1295" t="str" cm="1">
        <f t="array" ref="J1295">_xlfn.IFS(I1295="S","Sauthamptonm",I1295="Q","Queentown",I1295="C","Cherburg",I1295="B","Cabin")</f>
        <v>Sauthamptonm</v>
      </c>
      <c r="K1295" t="s">
        <v>15</v>
      </c>
      <c r="L1295" s="2">
        <v>29</v>
      </c>
      <c r="M1295">
        <v>0</v>
      </c>
      <c r="N1295" t="s">
        <v>30</v>
      </c>
      <c r="O1295" t="s">
        <v>13</v>
      </c>
    </row>
    <row r="1296" spans="1:15" x14ac:dyDescent="0.3">
      <c r="A1296" s="1" t="s">
        <v>2378</v>
      </c>
      <c r="B1296" t="s">
        <v>72</v>
      </c>
      <c r="C1296" t="s">
        <v>618</v>
      </c>
      <c r="D1296" t="str">
        <f t="shared" si="20"/>
        <v>Male</v>
      </c>
      <c r="E1296" t="s">
        <v>9</v>
      </c>
      <c r="F1296" s="2">
        <v>30</v>
      </c>
      <c r="G1296" s="2" t="str" cm="1">
        <f t="array" ref="G1296">_xlfn.IFS(F1296&lt;=8,"Child",F1296&lt;=17,"Teen",F1296&lt;=35,"Adult",F1296&lt;=55,"Seniour Adult",F1296&gt;=55,"Old Age")</f>
        <v>Adult</v>
      </c>
      <c r="H1296" t="s">
        <v>51</v>
      </c>
      <c r="I1296" t="s">
        <v>11</v>
      </c>
      <c r="J1296" t="str" cm="1">
        <f t="array" ref="J1296">_xlfn.IFS(I1296="S","Sauthamptonm",I1296="Q","Queentown",I1296="C","Cherburg",I1296="B","Cabin")</f>
        <v>Sauthamptonm</v>
      </c>
      <c r="K1296" t="s">
        <v>15</v>
      </c>
      <c r="L1296" s="2">
        <v>29</v>
      </c>
      <c r="M1296">
        <v>0</v>
      </c>
      <c r="N1296" t="s">
        <v>30</v>
      </c>
      <c r="O1296" t="s">
        <v>13</v>
      </c>
    </row>
    <row r="1297" spans="1:15" x14ac:dyDescent="0.3">
      <c r="A1297" s="1" t="s">
        <v>2379</v>
      </c>
      <c r="B1297" t="s">
        <v>72</v>
      </c>
      <c r="C1297" t="s">
        <v>2380</v>
      </c>
      <c r="D1297" t="str">
        <f t="shared" si="20"/>
        <v>Male</v>
      </c>
      <c r="E1297" t="s">
        <v>9</v>
      </c>
      <c r="F1297" s="2">
        <v>24</v>
      </c>
      <c r="G1297" s="2" t="str" cm="1">
        <f t="array" ref="G1297">_xlfn.IFS(F1297&lt;=8,"Child",F1297&lt;=17,"Teen",F1297&lt;=35,"Adult",F1297&lt;=55,"Seniour Adult",F1297&gt;=55,"Old Age")</f>
        <v>Adult</v>
      </c>
      <c r="H1297" t="s">
        <v>51</v>
      </c>
      <c r="I1297" t="s">
        <v>28</v>
      </c>
      <c r="J1297" t="str" cm="1">
        <f t="array" ref="J1297">_xlfn.IFS(I1297="S","Sauthamptonm",I1297="Q","Queentown",I1297="C","Cherburg",I1297="B","Cabin")</f>
        <v>Cabin</v>
      </c>
      <c r="K1297" t="s">
        <v>43</v>
      </c>
      <c r="L1297" s="2">
        <v>29</v>
      </c>
      <c r="M1297">
        <v>0</v>
      </c>
      <c r="N1297" t="s">
        <v>30</v>
      </c>
      <c r="O1297" t="s">
        <v>13</v>
      </c>
    </row>
    <row r="1298" spans="1:15" x14ac:dyDescent="0.3">
      <c r="A1298" s="1" t="s">
        <v>2381</v>
      </c>
      <c r="B1298" t="s">
        <v>72</v>
      </c>
      <c r="C1298" t="s">
        <v>2382</v>
      </c>
      <c r="D1298" t="str">
        <f t="shared" si="20"/>
        <v>Male</v>
      </c>
      <c r="E1298" t="s">
        <v>9</v>
      </c>
      <c r="F1298" s="2">
        <v>37</v>
      </c>
      <c r="G1298" s="2" t="str" cm="1">
        <f t="array" ref="G1298">_xlfn.IFS(F1298&lt;=8,"Child",F1298&lt;=17,"Teen",F1298&lt;=35,"Adult",F1298&lt;=55,"Seniour Adult",F1298&gt;=55,"Old Age")</f>
        <v>Seniour Adult</v>
      </c>
      <c r="H1298" t="s">
        <v>67</v>
      </c>
      <c r="I1298" t="s">
        <v>11</v>
      </c>
      <c r="J1298" t="str" cm="1">
        <f t="array" ref="J1298">_xlfn.IFS(I1298="S","Sauthamptonm",I1298="Q","Queentown",I1298="C","Cherburg",I1298="B","Cabin")</f>
        <v>Sauthamptonm</v>
      </c>
      <c r="K1298" t="s">
        <v>15</v>
      </c>
      <c r="L1298" s="2">
        <v>29</v>
      </c>
      <c r="M1298">
        <v>0</v>
      </c>
      <c r="N1298" t="s">
        <v>30</v>
      </c>
      <c r="O1298" t="s">
        <v>13</v>
      </c>
    </row>
    <row r="1299" spans="1:15" x14ac:dyDescent="0.3">
      <c r="A1299" s="1" t="s">
        <v>2383</v>
      </c>
      <c r="B1299" t="s">
        <v>72</v>
      </c>
      <c r="C1299" t="s">
        <v>2384</v>
      </c>
      <c r="D1299" t="str">
        <f t="shared" si="20"/>
        <v>Male</v>
      </c>
      <c r="E1299" t="s">
        <v>9</v>
      </c>
      <c r="F1299" s="2">
        <v>39</v>
      </c>
      <c r="G1299" s="2" t="str" cm="1">
        <f t="array" ref="G1299">_xlfn.IFS(F1299&lt;=8,"Child",F1299&lt;=17,"Teen",F1299&lt;=35,"Adult",F1299&lt;=55,"Seniour Adult",F1299&gt;=55,"Old Age")</f>
        <v>Seniour Adult</v>
      </c>
      <c r="H1299" t="s">
        <v>69</v>
      </c>
      <c r="I1299" t="s">
        <v>28</v>
      </c>
      <c r="J1299" t="str" cm="1">
        <f t="array" ref="J1299">_xlfn.IFS(I1299="S","Sauthamptonm",I1299="Q","Queentown",I1299="C","Cherburg",I1299="B","Cabin")</f>
        <v>Cabin</v>
      </c>
      <c r="K1299" t="s">
        <v>43</v>
      </c>
      <c r="L1299" s="2">
        <v>29</v>
      </c>
      <c r="M1299">
        <v>0</v>
      </c>
      <c r="N1299" t="s">
        <v>30</v>
      </c>
      <c r="O1299" t="s">
        <v>13</v>
      </c>
    </row>
    <row r="1300" spans="1:15" x14ac:dyDescent="0.3">
      <c r="A1300" s="1" t="s">
        <v>2385</v>
      </c>
      <c r="B1300" t="s">
        <v>1766</v>
      </c>
      <c r="C1300" t="s">
        <v>2386</v>
      </c>
      <c r="D1300" t="str">
        <f t="shared" si="20"/>
        <v>Male</v>
      </c>
      <c r="E1300" t="s">
        <v>9</v>
      </c>
      <c r="F1300" s="2">
        <v>42</v>
      </c>
      <c r="G1300" s="2" t="str" cm="1">
        <f t="array" ref="G1300">_xlfn.IFS(F1300&lt;=8,"Child",F1300&lt;=17,"Teen",F1300&lt;=35,"Adult",F1300&lt;=55,"Seniour Adult",F1300&gt;=55,"Old Age")</f>
        <v>Seniour Adult</v>
      </c>
      <c r="H1300" t="s">
        <v>68</v>
      </c>
      <c r="I1300" t="s">
        <v>11</v>
      </c>
      <c r="J1300" t="str" cm="1">
        <f t="array" ref="J1300">_xlfn.IFS(I1300="S","Sauthamptonm",I1300="Q","Queentown",I1300="C","Cherburg",I1300="B","Cabin")</f>
        <v>Sauthamptonm</v>
      </c>
      <c r="K1300" t="s">
        <v>38</v>
      </c>
      <c r="L1300" s="2">
        <v>29</v>
      </c>
      <c r="M1300">
        <v>0</v>
      </c>
      <c r="N1300" t="s">
        <v>30</v>
      </c>
      <c r="O1300" t="s">
        <v>13</v>
      </c>
    </row>
    <row r="1301" spans="1:15" x14ac:dyDescent="0.3">
      <c r="A1301" s="1" t="s">
        <v>2387</v>
      </c>
      <c r="B1301" t="s">
        <v>72</v>
      </c>
      <c r="C1301" t="s">
        <v>2388</v>
      </c>
      <c r="D1301" t="str">
        <f t="shared" si="20"/>
        <v>Male</v>
      </c>
      <c r="E1301" t="s">
        <v>9</v>
      </c>
      <c r="F1301" s="2">
        <v>26</v>
      </c>
      <c r="G1301" s="2" t="str" cm="1">
        <f t="array" ref="G1301">_xlfn.IFS(F1301&lt;=8,"Child",F1301&lt;=17,"Teen",F1301&lt;=35,"Adult",F1301&lt;=55,"Seniour Adult",F1301&gt;=55,"Old Age")</f>
        <v>Adult</v>
      </c>
      <c r="H1301" t="s">
        <v>67</v>
      </c>
      <c r="I1301" t="s">
        <v>11</v>
      </c>
      <c r="J1301" t="str" cm="1">
        <f t="array" ref="J1301">_xlfn.IFS(I1301="S","Sauthamptonm",I1301="Q","Queentown",I1301="C","Cherburg",I1301="B","Cabin")</f>
        <v>Sauthamptonm</v>
      </c>
      <c r="K1301" t="s">
        <v>15</v>
      </c>
      <c r="L1301" s="2">
        <v>29</v>
      </c>
      <c r="M1301">
        <v>0</v>
      </c>
      <c r="N1301" t="s">
        <v>30</v>
      </c>
      <c r="O1301" t="s">
        <v>16</v>
      </c>
    </row>
    <row r="1302" spans="1:15" x14ac:dyDescent="0.3">
      <c r="A1302" s="1" t="s">
        <v>2389</v>
      </c>
      <c r="B1302" t="s">
        <v>72</v>
      </c>
      <c r="C1302" t="s">
        <v>2390</v>
      </c>
      <c r="D1302" t="str">
        <f t="shared" si="20"/>
        <v>Male</v>
      </c>
      <c r="E1302" t="s">
        <v>9</v>
      </c>
      <c r="F1302" s="2">
        <v>30</v>
      </c>
      <c r="G1302" s="2" t="str" cm="1">
        <f t="array" ref="G1302">_xlfn.IFS(F1302&lt;=8,"Child",F1302&lt;=17,"Teen",F1302&lt;=35,"Adult",F1302&lt;=55,"Seniour Adult",F1302&gt;=55,"Old Age")</f>
        <v>Adult</v>
      </c>
      <c r="H1302" t="s">
        <v>51</v>
      </c>
      <c r="I1302" t="s">
        <v>11</v>
      </c>
      <c r="J1302" t="str" cm="1">
        <f t="array" ref="J1302">_xlfn.IFS(I1302="S","Sauthamptonm",I1302="Q","Queentown",I1302="C","Cherburg",I1302="B","Cabin")</f>
        <v>Sauthamptonm</v>
      </c>
      <c r="K1302" t="s">
        <v>15</v>
      </c>
      <c r="L1302" s="2">
        <v>29</v>
      </c>
      <c r="M1302">
        <v>0</v>
      </c>
      <c r="N1302" t="s">
        <v>30</v>
      </c>
      <c r="O1302" t="s">
        <v>13</v>
      </c>
    </row>
    <row r="1303" spans="1:15" x14ac:dyDescent="0.3">
      <c r="A1303" s="1" t="s">
        <v>2391</v>
      </c>
      <c r="B1303" t="s">
        <v>72</v>
      </c>
      <c r="C1303" t="s">
        <v>1925</v>
      </c>
      <c r="D1303" t="str">
        <f t="shared" si="20"/>
        <v>Male</v>
      </c>
      <c r="E1303" t="s">
        <v>9</v>
      </c>
      <c r="F1303" s="2">
        <v>33</v>
      </c>
      <c r="G1303" s="2" t="str" cm="1">
        <f t="array" ref="G1303">_xlfn.IFS(F1303&lt;=8,"Child",F1303&lt;=17,"Teen",F1303&lt;=35,"Adult",F1303&lt;=55,"Seniour Adult",F1303&gt;=55,"Old Age")</f>
        <v>Adult</v>
      </c>
      <c r="H1303" t="s">
        <v>51</v>
      </c>
      <c r="I1303" t="s">
        <v>11</v>
      </c>
      <c r="J1303" t="str" cm="1">
        <f t="array" ref="J1303">_xlfn.IFS(I1303="S","Sauthamptonm",I1303="Q","Queentown",I1303="C","Cherburg",I1303="B","Cabin")</f>
        <v>Sauthamptonm</v>
      </c>
      <c r="K1303" t="s">
        <v>15</v>
      </c>
      <c r="L1303" s="2">
        <v>29</v>
      </c>
      <c r="M1303">
        <v>0</v>
      </c>
      <c r="N1303" t="s">
        <v>30</v>
      </c>
      <c r="O1303" t="s">
        <v>13</v>
      </c>
    </row>
    <row r="1304" spans="1:15" x14ac:dyDescent="0.3">
      <c r="A1304" s="1" t="s">
        <v>2392</v>
      </c>
      <c r="B1304" t="s">
        <v>72</v>
      </c>
      <c r="C1304" t="s">
        <v>2393</v>
      </c>
      <c r="D1304" t="str">
        <f t="shared" si="20"/>
        <v>Male</v>
      </c>
      <c r="E1304" t="s">
        <v>9</v>
      </c>
      <c r="F1304" s="2">
        <v>48</v>
      </c>
      <c r="G1304" s="2" t="str" cm="1">
        <f t="array" ref="G1304">_xlfn.IFS(F1304&lt;=8,"Child",F1304&lt;=17,"Teen",F1304&lt;=35,"Adult",F1304&lt;=55,"Seniour Adult",F1304&gt;=55,"Old Age")</f>
        <v>Seniour Adult</v>
      </c>
      <c r="H1304" t="s">
        <v>69</v>
      </c>
      <c r="I1304" t="s">
        <v>28</v>
      </c>
      <c r="J1304" t="str" cm="1">
        <f t="array" ref="J1304">_xlfn.IFS(I1304="S","Sauthamptonm",I1304="Q","Queentown",I1304="C","Cherburg",I1304="B","Cabin")</f>
        <v>Cabin</v>
      </c>
      <c r="K1304" t="s">
        <v>48</v>
      </c>
      <c r="L1304" s="2">
        <v>29</v>
      </c>
      <c r="M1304">
        <v>0</v>
      </c>
      <c r="N1304" t="s">
        <v>30</v>
      </c>
      <c r="O1304" t="s">
        <v>13</v>
      </c>
    </row>
    <row r="1305" spans="1:15" x14ac:dyDescent="0.3">
      <c r="A1305" s="1" t="s">
        <v>2394</v>
      </c>
      <c r="B1305" t="s">
        <v>72</v>
      </c>
      <c r="C1305" t="s">
        <v>2395</v>
      </c>
      <c r="D1305" t="str">
        <f t="shared" si="20"/>
        <v>Male</v>
      </c>
      <c r="E1305" t="s">
        <v>9</v>
      </c>
      <c r="F1305" s="2">
        <v>30</v>
      </c>
      <c r="G1305" s="2" t="str" cm="1">
        <f t="array" ref="G1305">_xlfn.IFS(F1305&lt;=8,"Child",F1305&lt;=17,"Teen",F1305&lt;=35,"Adult",F1305&lt;=55,"Seniour Adult",F1305&gt;=55,"Old Age")</f>
        <v>Adult</v>
      </c>
      <c r="H1305" t="s">
        <v>51</v>
      </c>
      <c r="I1305" t="s">
        <v>11</v>
      </c>
      <c r="J1305" t="str" cm="1">
        <f t="array" ref="J1305">_xlfn.IFS(I1305="S","Sauthamptonm",I1305="Q","Queentown",I1305="C","Cherburg",I1305="B","Cabin")</f>
        <v>Sauthamptonm</v>
      </c>
      <c r="K1305" t="s">
        <v>43</v>
      </c>
      <c r="L1305" s="2">
        <v>29</v>
      </c>
      <c r="M1305">
        <v>0</v>
      </c>
      <c r="N1305" t="s">
        <v>30</v>
      </c>
      <c r="O1305" t="s">
        <v>13</v>
      </c>
    </row>
    <row r="1306" spans="1:15" x14ac:dyDescent="0.3">
      <c r="A1306" s="1" t="s">
        <v>2396</v>
      </c>
      <c r="B1306" t="s">
        <v>72</v>
      </c>
      <c r="C1306" t="s">
        <v>2397</v>
      </c>
      <c r="D1306" t="str">
        <f t="shared" si="20"/>
        <v>Male</v>
      </c>
      <c r="E1306" t="s">
        <v>9</v>
      </c>
      <c r="F1306" s="2">
        <v>42</v>
      </c>
      <c r="G1306" s="2" t="str" cm="1">
        <f t="array" ref="G1306">_xlfn.IFS(F1306&lt;=8,"Child",F1306&lt;=17,"Teen",F1306&lt;=35,"Adult",F1306&lt;=55,"Seniour Adult",F1306&gt;=55,"Old Age")</f>
        <v>Seniour Adult</v>
      </c>
      <c r="H1306" t="s">
        <v>51</v>
      </c>
      <c r="I1306" t="s">
        <v>11</v>
      </c>
      <c r="J1306" t="str" cm="1">
        <f t="array" ref="J1306">_xlfn.IFS(I1306="S","Sauthamptonm",I1306="Q","Queentown",I1306="C","Cherburg",I1306="B","Cabin")</f>
        <v>Sauthamptonm</v>
      </c>
      <c r="K1306" t="s">
        <v>15</v>
      </c>
      <c r="L1306" s="2">
        <v>29</v>
      </c>
      <c r="M1306">
        <v>0</v>
      </c>
      <c r="N1306" t="s">
        <v>30</v>
      </c>
      <c r="O1306" t="s">
        <v>13</v>
      </c>
    </row>
    <row r="1307" spans="1:15" x14ac:dyDescent="0.3">
      <c r="A1307" s="1" t="s">
        <v>2398</v>
      </c>
      <c r="B1307" t="s">
        <v>72</v>
      </c>
      <c r="C1307" t="s">
        <v>598</v>
      </c>
      <c r="D1307" t="str">
        <f t="shared" si="20"/>
        <v>Male</v>
      </c>
      <c r="E1307" t="s">
        <v>9</v>
      </c>
      <c r="F1307" s="2">
        <v>22</v>
      </c>
      <c r="G1307" s="2" t="str" cm="1">
        <f t="array" ref="G1307">_xlfn.IFS(F1307&lt;=8,"Child",F1307&lt;=17,"Teen",F1307&lt;=35,"Adult",F1307&lt;=55,"Seniour Adult",F1307&gt;=55,"Old Age")</f>
        <v>Adult</v>
      </c>
      <c r="H1307" t="s">
        <v>51</v>
      </c>
      <c r="I1307" t="s">
        <v>11</v>
      </c>
      <c r="J1307" t="str" cm="1">
        <f t="array" ref="J1307">_xlfn.IFS(I1307="S","Sauthamptonm",I1307="Q","Queentown",I1307="C","Cherburg",I1307="B","Cabin")</f>
        <v>Sauthamptonm</v>
      </c>
      <c r="K1307" t="s">
        <v>15</v>
      </c>
      <c r="L1307" s="2">
        <v>29</v>
      </c>
      <c r="M1307">
        <v>0</v>
      </c>
      <c r="N1307" t="s">
        <v>30</v>
      </c>
      <c r="O1307" t="s">
        <v>13</v>
      </c>
    </row>
    <row r="1308" spans="1:15" x14ac:dyDescent="0.3">
      <c r="A1308" s="1" t="s">
        <v>2399</v>
      </c>
      <c r="B1308" t="s">
        <v>72</v>
      </c>
      <c r="C1308" t="s">
        <v>2400</v>
      </c>
      <c r="D1308" t="str">
        <f t="shared" si="20"/>
        <v>Male</v>
      </c>
      <c r="E1308" t="s">
        <v>9</v>
      </c>
      <c r="F1308" s="2">
        <v>21</v>
      </c>
      <c r="G1308" s="2" t="str" cm="1">
        <f t="array" ref="G1308">_xlfn.IFS(F1308&lt;=8,"Child",F1308&lt;=17,"Teen",F1308&lt;=35,"Adult",F1308&lt;=55,"Seniour Adult",F1308&gt;=55,"Old Age")</f>
        <v>Adult</v>
      </c>
      <c r="H1308" t="s">
        <v>51</v>
      </c>
      <c r="I1308" t="s">
        <v>11</v>
      </c>
      <c r="J1308" t="str" cm="1">
        <f t="array" ref="J1308">_xlfn.IFS(I1308="S","Sauthamptonm",I1308="Q","Queentown",I1308="C","Cherburg",I1308="B","Cabin")</f>
        <v>Sauthamptonm</v>
      </c>
      <c r="K1308" t="s">
        <v>15</v>
      </c>
      <c r="L1308" s="2">
        <v>29</v>
      </c>
      <c r="M1308">
        <v>0</v>
      </c>
      <c r="N1308" t="s">
        <v>30</v>
      </c>
      <c r="O1308" t="s">
        <v>13</v>
      </c>
    </row>
    <row r="1309" spans="1:15" x14ac:dyDescent="0.3">
      <c r="A1309" s="1" t="s">
        <v>2401</v>
      </c>
      <c r="B1309" t="s">
        <v>72</v>
      </c>
      <c r="C1309" t="s">
        <v>104</v>
      </c>
      <c r="D1309" t="str">
        <f t="shared" si="20"/>
        <v>Male</v>
      </c>
      <c r="E1309" t="s">
        <v>9</v>
      </c>
      <c r="F1309" s="2">
        <v>30</v>
      </c>
      <c r="G1309" s="2" t="str" cm="1">
        <f t="array" ref="G1309">_xlfn.IFS(F1309&lt;=8,"Child",F1309&lt;=17,"Teen",F1309&lt;=35,"Adult",F1309&lt;=55,"Seniour Adult",F1309&gt;=55,"Old Age")</f>
        <v>Adult</v>
      </c>
      <c r="H1309" t="s">
        <v>51</v>
      </c>
      <c r="I1309" t="s">
        <v>11</v>
      </c>
      <c r="J1309" t="str" cm="1">
        <f t="array" ref="J1309">_xlfn.IFS(I1309="S","Sauthamptonm",I1309="Q","Queentown",I1309="C","Cherburg",I1309="B","Cabin")</f>
        <v>Sauthamptonm</v>
      </c>
      <c r="K1309" t="s">
        <v>15</v>
      </c>
      <c r="L1309" s="2">
        <v>29</v>
      </c>
      <c r="M1309">
        <v>0</v>
      </c>
      <c r="N1309" t="s">
        <v>30</v>
      </c>
      <c r="O1309" t="s">
        <v>16</v>
      </c>
    </row>
    <row r="1310" spans="1:15" x14ac:dyDescent="0.3">
      <c r="A1310" s="1" t="s">
        <v>2402</v>
      </c>
      <c r="B1310" t="s">
        <v>72</v>
      </c>
      <c r="C1310" t="s">
        <v>1019</v>
      </c>
      <c r="D1310" t="str">
        <f t="shared" si="20"/>
        <v>Male</v>
      </c>
      <c r="E1310" t="s">
        <v>9</v>
      </c>
      <c r="F1310" s="2">
        <v>31</v>
      </c>
      <c r="G1310" s="2" t="str" cm="1">
        <f t="array" ref="G1310">_xlfn.IFS(F1310&lt;=8,"Child",F1310&lt;=17,"Teen",F1310&lt;=35,"Adult",F1310&lt;=55,"Seniour Adult",F1310&gt;=55,"Old Age")</f>
        <v>Adult</v>
      </c>
      <c r="H1310" t="s">
        <v>51</v>
      </c>
      <c r="I1310" t="s">
        <v>11</v>
      </c>
      <c r="J1310" t="str" cm="1">
        <f t="array" ref="J1310">_xlfn.IFS(I1310="S","Sauthamptonm",I1310="Q","Queentown",I1310="C","Cherburg",I1310="B","Cabin")</f>
        <v>Sauthamptonm</v>
      </c>
      <c r="K1310" t="s">
        <v>15</v>
      </c>
      <c r="L1310" s="2">
        <v>29</v>
      </c>
      <c r="M1310">
        <v>0</v>
      </c>
      <c r="N1310" t="s">
        <v>30</v>
      </c>
      <c r="O1310" t="s">
        <v>13</v>
      </c>
    </row>
    <row r="1311" spans="1:15" x14ac:dyDescent="0.3">
      <c r="A1311" s="1" t="s">
        <v>2403</v>
      </c>
      <c r="B1311" t="s">
        <v>72</v>
      </c>
      <c r="C1311" t="s">
        <v>1886</v>
      </c>
      <c r="D1311" t="str">
        <f t="shared" si="20"/>
        <v>Male</v>
      </c>
      <c r="E1311" t="s">
        <v>9</v>
      </c>
      <c r="F1311" s="2">
        <v>32</v>
      </c>
      <c r="G1311" s="2" t="str" cm="1">
        <f t="array" ref="G1311">_xlfn.IFS(F1311&lt;=8,"Child",F1311&lt;=17,"Teen",F1311&lt;=35,"Adult",F1311&lt;=55,"Seniour Adult",F1311&gt;=55,"Old Age")</f>
        <v>Adult</v>
      </c>
      <c r="H1311" t="s">
        <v>51</v>
      </c>
      <c r="I1311" t="s">
        <v>11</v>
      </c>
      <c r="J1311" t="str" cm="1">
        <f t="array" ref="J1311">_xlfn.IFS(I1311="S","Sauthamptonm",I1311="Q","Queentown",I1311="C","Cherburg",I1311="B","Cabin")</f>
        <v>Sauthamptonm</v>
      </c>
      <c r="K1311" t="s">
        <v>15</v>
      </c>
      <c r="L1311" s="2">
        <v>29</v>
      </c>
      <c r="M1311">
        <v>0</v>
      </c>
      <c r="N1311" t="s">
        <v>30</v>
      </c>
      <c r="O1311" t="s">
        <v>16</v>
      </c>
    </row>
    <row r="1312" spans="1:15" x14ac:dyDescent="0.3">
      <c r="A1312" s="1" t="s">
        <v>2404</v>
      </c>
      <c r="B1312" t="s">
        <v>72</v>
      </c>
      <c r="C1312" t="s">
        <v>363</v>
      </c>
      <c r="D1312" t="str">
        <f t="shared" si="20"/>
        <v>Male</v>
      </c>
      <c r="E1312" t="s">
        <v>9</v>
      </c>
      <c r="F1312" s="2">
        <v>27</v>
      </c>
      <c r="G1312" s="2" t="str" cm="1">
        <f t="array" ref="G1312">_xlfn.IFS(F1312&lt;=8,"Child",F1312&lt;=17,"Teen",F1312&lt;=35,"Adult",F1312&lt;=55,"Seniour Adult",F1312&gt;=55,"Old Age")</f>
        <v>Adult</v>
      </c>
      <c r="H1312" t="s">
        <v>69</v>
      </c>
      <c r="I1312" t="s">
        <v>28</v>
      </c>
      <c r="J1312" t="str" cm="1">
        <f t="array" ref="J1312">_xlfn.IFS(I1312="S","Sauthamptonm",I1312="Q","Queentown",I1312="C","Cherburg",I1312="B","Cabin")</f>
        <v>Cabin</v>
      </c>
      <c r="K1312" t="s">
        <v>33</v>
      </c>
      <c r="L1312" s="2">
        <v>29</v>
      </c>
      <c r="M1312">
        <v>0</v>
      </c>
      <c r="N1312" t="s">
        <v>30</v>
      </c>
      <c r="O1312" t="s">
        <v>16</v>
      </c>
    </row>
    <row r="1313" spans="1:15" x14ac:dyDescent="0.3">
      <c r="A1313" s="1" t="s">
        <v>2405</v>
      </c>
      <c r="B1313" t="s">
        <v>287</v>
      </c>
      <c r="C1313" t="s">
        <v>2406</v>
      </c>
      <c r="D1313" t="str">
        <f t="shared" si="20"/>
        <v>Male</v>
      </c>
      <c r="E1313" t="s">
        <v>9</v>
      </c>
      <c r="F1313" s="2">
        <v>63</v>
      </c>
      <c r="G1313" s="2" t="str" cm="1">
        <f t="array" ref="G1313">_xlfn.IFS(F1313&lt;=8,"Child",F1313&lt;=17,"Teen",F1313&lt;=35,"Adult",F1313&lt;=55,"Seniour Adult",F1313&gt;=55,"Old Age")</f>
        <v>Old Age</v>
      </c>
      <c r="H1313" t="s">
        <v>69</v>
      </c>
      <c r="I1313" t="s">
        <v>28</v>
      </c>
      <c r="J1313" t="str" cm="1">
        <f t="array" ref="J1313">_xlfn.IFS(I1313="S","Sauthamptonm",I1313="Q","Queentown",I1313="C","Cherburg",I1313="B","Cabin")</f>
        <v>Cabin</v>
      </c>
      <c r="K1313" t="s">
        <v>15</v>
      </c>
      <c r="L1313" s="2">
        <v>29</v>
      </c>
      <c r="M1313">
        <v>0</v>
      </c>
      <c r="N1313" t="s">
        <v>30</v>
      </c>
      <c r="O1313" t="s">
        <v>13</v>
      </c>
    </row>
    <row r="1314" spans="1:15" x14ac:dyDescent="0.3">
      <c r="A1314" s="1" t="s">
        <v>2407</v>
      </c>
      <c r="B1314" t="s">
        <v>72</v>
      </c>
      <c r="C1314" t="s">
        <v>2408</v>
      </c>
      <c r="D1314" t="str">
        <f t="shared" si="20"/>
        <v>Male</v>
      </c>
      <c r="E1314" t="s">
        <v>9</v>
      </c>
      <c r="F1314" s="2">
        <v>31</v>
      </c>
      <c r="G1314" s="2" t="str" cm="1">
        <f t="array" ref="G1314">_xlfn.IFS(F1314&lt;=8,"Child",F1314&lt;=17,"Teen",F1314&lt;=35,"Adult",F1314&lt;=55,"Seniour Adult",F1314&gt;=55,"Old Age")</f>
        <v>Adult</v>
      </c>
      <c r="H1314" t="s">
        <v>67</v>
      </c>
      <c r="I1314" t="s">
        <v>11</v>
      </c>
      <c r="J1314" t="str" cm="1">
        <f t="array" ref="J1314">_xlfn.IFS(I1314="S","Sauthamptonm",I1314="Q","Queentown",I1314="C","Cherburg",I1314="B","Cabin")</f>
        <v>Sauthamptonm</v>
      </c>
      <c r="K1314" t="s">
        <v>15</v>
      </c>
      <c r="L1314" s="2">
        <v>29</v>
      </c>
      <c r="M1314">
        <v>0</v>
      </c>
      <c r="N1314" t="s">
        <v>30</v>
      </c>
      <c r="O1314" t="s">
        <v>13</v>
      </c>
    </row>
    <row r="1315" spans="1:15" x14ac:dyDescent="0.3">
      <c r="A1315" s="1" t="s">
        <v>2409</v>
      </c>
      <c r="B1315" t="s">
        <v>72</v>
      </c>
      <c r="C1315" t="s">
        <v>598</v>
      </c>
      <c r="D1315" t="str">
        <f t="shared" si="20"/>
        <v>Male</v>
      </c>
      <c r="E1315" t="s">
        <v>9</v>
      </c>
      <c r="F1315" s="2">
        <v>39</v>
      </c>
      <c r="G1315" s="2" t="str" cm="1">
        <f t="array" ref="G1315">_xlfn.IFS(F1315&lt;=8,"Child",F1315&lt;=17,"Teen",F1315&lt;=35,"Adult",F1315&lt;=55,"Seniour Adult",F1315&gt;=55,"Old Age")</f>
        <v>Seniour Adult</v>
      </c>
      <c r="H1315" t="s">
        <v>67</v>
      </c>
      <c r="I1315" t="s">
        <v>11</v>
      </c>
      <c r="J1315" t="str" cm="1">
        <f t="array" ref="J1315">_xlfn.IFS(I1315="S","Sauthamptonm",I1315="Q","Queentown",I1315="C","Cherburg",I1315="B","Cabin")</f>
        <v>Sauthamptonm</v>
      </c>
      <c r="K1315" t="s">
        <v>43</v>
      </c>
      <c r="L1315" s="2">
        <v>29</v>
      </c>
      <c r="M1315">
        <v>0</v>
      </c>
      <c r="N1315" t="s">
        <v>30</v>
      </c>
      <c r="O1315" t="s">
        <v>13</v>
      </c>
    </row>
    <row r="1316" spans="1:15" x14ac:dyDescent="0.3">
      <c r="A1316" s="1" t="s">
        <v>2410</v>
      </c>
      <c r="B1316" t="s">
        <v>72</v>
      </c>
      <c r="C1316" t="s">
        <v>779</v>
      </c>
      <c r="D1316" t="str">
        <f t="shared" si="20"/>
        <v>Male</v>
      </c>
      <c r="E1316" t="s">
        <v>9</v>
      </c>
      <c r="F1316" s="2">
        <v>32</v>
      </c>
      <c r="G1316" s="2" t="str" cm="1">
        <f t="array" ref="G1316">_xlfn.IFS(F1316&lt;=8,"Child",F1316&lt;=17,"Teen",F1316&lt;=35,"Adult",F1316&lt;=55,"Seniour Adult",F1316&gt;=55,"Old Age")</f>
        <v>Adult</v>
      </c>
      <c r="H1316" t="s">
        <v>67</v>
      </c>
      <c r="I1316" t="s">
        <v>28</v>
      </c>
      <c r="J1316" t="str" cm="1">
        <f t="array" ref="J1316">_xlfn.IFS(I1316="S","Sauthamptonm",I1316="Q","Queentown",I1316="C","Cherburg",I1316="B","Cabin")</f>
        <v>Cabin</v>
      </c>
      <c r="K1316" t="s">
        <v>15</v>
      </c>
      <c r="L1316" s="2">
        <v>29</v>
      </c>
      <c r="M1316">
        <v>0</v>
      </c>
      <c r="N1316" t="s">
        <v>30</v>
      </c>
      <c r="O1316" t="s">
        <v>13</v>
      </c>
    </row>
    <row r="1317" spans="1:15" x14ac:dyDescent="0.3">
      <c r="A1317" s="1" t="s">
        <v>2411</v>
      </c>
      <c r="B1317" t="s">
        <v>72</v>
      </c>
      <c r="C1317" t="s">
        <v>561</v>
      </c>
      <c r="D1317" t="str">
        <f t="shared" si="20"/>
        <v>Male</v>
      </c>
      <c r="E1317" t="s">
        <v>9</v>
      </c>
      <c r="F1317" s="2">
        <v>27</v>
      </c>
      <c r="G1317" s="2" t="str" cm="1">
        <f t="array" ref="G1317">_xlfn.IFS(F1317&lt;=8,"Child",F1317&lt;=17,"Teen",F1317&lt;=35,"Adult",F1317&lt;=55,"Seniour Adult",F1317&gt;=55,"Old Age")</f>
        <v>Adult</v>
      </c>
      <c r="H1317" t="s">
        <v>69</v>
      </c>
      <c r="I1317" t="s">
        <v>11</v>
      </c>
      <c r="J1317" t="str" cm="1">
        <f t="array" ref="J1317">_xlfn.IFS(I1317="S","Sauthamptonm",I1317="Q","Queentown",I1317="C","Cherburg",I1317="B","Cabin")</f>
        <v>Sauthamptonm</v>
      </c>
      <c r="K1317" t="s">
        <v>15</v>
      </c>
      <c r="L1317" s="2">
        <v>29</v>
      </c>
      <c r="M1317">
        <v>0</v>
      </c>
      <c r="N1317" t="s">
        <v>30</v>
      </c>
      <c r="O1317" t="s">
        <v>16</v>
      </c>
    </row>
    <row r="1318" spans="1:15" x14ac:dyDescent="0.3">
      <c r="A1318" s="1" t="s">
        <v>2412</v>
      </c>
      <c r="B1318" t="s">
        <v>72</v>
      </c>
      <c r="C1318" t="s">
        <v>2413</v>
      </c>
      <c r="D1318" t="str">
        <f t="shared" si="20"/>
        <v>Male</v>
      </c>
      <c r="E1318" t="s">
        <v>9</v>
      </c>
      <c r="F1318" s="2">
        <v>36</v>
      </c>
      <c r="G1318" s="2" t="str" cm="1">
        <f t="array" ref="G1318">_xlfn.IFS(F1318&lt;=8,"Child",F1318&lt;=17,"Teen",F1318&lt;=35,"Adult",F1318&lt;=55,"Seniour Adult",F1318&gt;=55,"Old Age")</f>
        <v>Seniour Adult</v>
      </c>
      <c r="H1318" t="s">
        <v>51</v>
      </c>
      <c r="I1318" t="s">
        <v>11</v>
      </c>
      <c r="J1318" t="str" cm="1">
        <f t="array" ref="J1318">_xlfn.IFS(I1318="S","Sauthamptonm",I1318="Q","Queentown",I1318="C","Cherburg",I1318="B","Cabin")</f>
        <v>Sauthamptonm</v>
      </c>
      <c r="K1318" t="s">
        <v>15</v>
      </c>
      <c r="L1318" s="2">
        <v>29</v>
      </c>
      <c r="M1318">
        <v>0</v>
      </c>
      <c r="N1318" t="s">
        <v>30</v>
      </c>
      <c r="O1318" t="s">
        <v>16</v>
      </c>
    </row>
    <row r="1319" spans="1:15" x14ac:dyDescent="0.3">
      <c r="A1319" s="1" t="s">
        <v>2414</v>
      </c>
      <c r="B1319" t="s">
        <v>72</v>
      </c>
      <c r="C1319" t="s">
        <v>773</v>
      </c>
      <c r="D1319" t="str">
        <f t="shared" si="20"/>
        <v>Male</v>
      </c>
      <c r="E1319" t="s">
        <v>9</v>
      </c>
      <c r="F1319" s="2">
        <v>43</v>
      </c>
      <c r="G1319" s="2" t="str" cm="1">
        <f t="array" ref="G1319">_xlfn.IFS(F1319&lt;=8,"Child",F1319&lt;=17,"Teen",F1319&lt;=35,"Adult",F1319&lt;=55,"Seniour Adult",F1319&gt;=55,"Old Age")</f>
        <v>Seniour Adult</v>
      </c>
      <c r="H1319" t="s">
        <v>67</v>
      </c>
      <c r="I1319" t="s">
        <v>11</v>
      </c>
      <c r="J1319" t="str" cm="1">
        <f t="array" ref="J1319">_xlfn.IFS(I1319="S","Sauthamptonm",I1319="Q","Queentown",I1319="C","Cherburg",I1319="B","Cabin")</f>
        <v>Sauthamptonm</v>
      </c>
      <c r="K1319" t="s">
        <v>40</v>
      </c>
      <c r="L1319" s="2">
        <v>29</v>
      </c>
      <c r="M1319">
        <v>0</v>
      </c>
      <c r="N1319" t="s">
        <v>30</v>
      </c>
      <c r="O1319" t="s">
        <v>13</v>
      </c>
    </row>
    <row r="1320" spans="1:15" x14ac:dyDescent="0.3">
      <c r="A1320" s="1" t="s">
        <v>2415</v>
      </c>
      <c r="B1320" t="s">
        <v>72</v>
      </c>
      <c r="C1320" t="s">
        <v>2416</v>
      </c>
      <c r="D1320" t="str">
        <f t="shared" si="20"/>
        <v>Male</v>
      </c>
      <c r="E1320" t="s">
        <v>9</v>
      </c>
      <c r="F1320" s="2">
        <v>17</v>
      </c>
      <c r="G1320" s="2" t="str" cm="1">
        <f t="array" ref="G1320">_xlfn.IFS(F1320&lt;=8,"Child",F1320&lt;=17,"Teen",F1320&lt;=35,"Adult",F1320&lt;=55,"Seniour Adult",F1320&gt;=55,"Old Age")</f>
        <v>Teen</v>
      </c>
      <c r="H1320" t="s">
        <v>67</v>
      </c>
      <c r="I1320" t="s">
        <v>11</v>
      </c>
      <c r="J1320" t="str" cm="1">
        <f t="array" ref="J1320">_xlfn.IFS(I1320="S","Sauthamptonm",I1320="Q","Queentown",I1320="C","Cherburg",I1320="B","Cabin")</f>
        <v>Sauthamptonm</v>
      </c>
      <c r="K1320" t="s">
        <v>15</v>
      </c>
      <c r="L1320" s="2">
        <v>29</v>
      </c>
      <c r="M1320">
        <v>0</v>
      </c>
      <c r="N1320" t="s">
        <v>30</v>
      </c>
      <c r="O1320" t="s">
        <v>13</v>
      </c>
    </row>
    <row r="1321" spans="1:15" x14ac:dyDescent="0.3">
      <c r="A1321" s="1" t="s">
        <v>2417</v>
      </c>
      <c r="B1321" t="s">
        <v>1766</v>
      </c>
      <c r="C1321" t="s">
        <v>2418</v>
      </c>
      <c r="D1321" t="str">
        <f t="shared" si="20"/>
        <v>Male</v>
      </c>
      <c r="E1321" t="s">
        <v>9</v>
      </c>
      <c r="F1321" s="2">
        <v>19</v>
      </c>
      <c r="G1321" s="2" t="str" cm="1">
        <f t="array" ref="G1321">_xlfn.IFS(F1321&lt;=8,"Child",F1321&lt;=17,"Teen",F1321&lt;=35,"Adult",F1321&lt;=55,"Seniour Adult",F1321&gt;=55,"Old Age")</f>
        <v>Adult</v>
      </c>
      <c r="H1321" t="s">
        <v>68</v>
      </c>
      <c r="I1321" t="s">
        <v>11</v>
      </c>
      <c r="J1321" t="str" cm="1">
        <f t="array" ref="J1321">_xlfn.IFS(I1321="S","Sauthamptonm",I1321="Q","Queentown",I1321="C","Cherburg",I1321="B","Cabin")</f>
        <v>Sauthamptonm</v>
      </c>
      <c r="K1321" t="s">
        <v>15</v>
      </c>
      <c r="L1321" s="2">
        <v>29</v>
      </c>
      <c r="M1321">
        <v>0</v>
      </c>
      <c r="N1321" t="s">
        <v>30</v>
      </c>
      <c r="O1321" t="s">
        <v>13</v>
      </c>
    </row>
    <row r="1322" spans="1:15" x14ac:dyDescent="0.3">
      <c r="A1322" s="1" t="s">
        <v>2419</v>
      </c>
      <c r="B1322" t="s">
        <v>72</v>
      </c>
      <c r="C1322" t="s">
        <v>2420</v>
      </c>
      <c r="D1322" t="str">
        <f t="shared" si="20"/>
        <v>Male</v>
      </c>
      <c r="E1322" t="s">
        <v>9</v>
      </c>
      <c r="F1322" s="2">
        <v>32</v>
      </c>
      <c r="G1322" s="2" t="str" cm="1">
        <f t="array" ref="G1322">_xlfn.IFS(F1322&lt;=8,"Child",F1322&lt;=17,"Teen",F1322&lt;=35,"Adult",F1322&lt;=55,"Seniour Adult",F1322&gt;=55,"Old Age")</f>
        <v>Adult</v>
      </c>
      <c r="H1322" t="s">
        <v>51</v>
      </c>
      <c r="I1322" t="s">
        <v>11</v>
      </c>
      <c r="J1322" t="str" cm="1">
        <f t="array" ref="J1322">_xlfn.IFS(I1322="S","Sauthamptonm",I1322="Q","Queentown",I1322="C","Cherburg",I1322="B","Cabin")</f>
        <v>Sauthamptonm</v>
      </c>
      <c r="K1322" t="s">
        <v>15</v>
      </c>
      <c r="L1322" s="2">
        <v>29</v>
      </c>
      <c r="M1322">
        <v>0</v>
      </c>
      <c r="N1322" t="s">
        <v>30</v>
      </c>
      <c r="O1322" t="s">
        <v>13</v>
      </c>
    </row>
    <row r="1323" spans="1:15" x14ac:dyDescent="0.3">
      <c r="A1323" s="1" t="s">
        <v>2421</v>
      </c>
      <c r="B1323" t="s">
        <v>72</v>
      </c>
      <c r="C1323" t="s">
        <v>1019</v>
      </c>
      <c r="D1323" t="str">
        <f t="shared" si="20"/>
        <v>Male</v>
      </c>
      <c r="E1323" t="s">
        <v>9</v>
      </c>
      <c r="F1323" s="2">
        <v>32</v>
      </c>
      <c r="G1323" s="2" t="str" cm="1">
        <f t="array" ref="G1323">_xlfn.IFS(F1323&lt;=8,"Child",F1323&lt;=17,"Teen",F1323&lt;=35,"Adult",F1323&lt;=55,"Seniour Adult",F1323&gt;=55,"Old Age")</f>
        <v>Adult</v>
      </c>
      <c r="H1323" t="s">
        <v>51</v>
      </c>
      <c r="I1323" t="s">
        <v>11</v>
      </c>
      <c r="J1323" t="str" cm="1">
        <f t="array" ref="J1323">_xlfn.IFS(I1323="S","Sauthamptonm",I1323="Q","Queentown",I1323="C","Cherburg",I1323="B","Cabin")</f>
        <v>Sauthamptonm</v>
      </c>
      <c r="K1323" t="s">
        <v>15</v>
      </c>
      <c r="L1323" s="2">
        <v>29</v>
      </c>
      <c r="M1323">
        <v>0</v>
      </c>
      <c r="N1323" t="s">
        <v>30</v>
      </c>
      <c r="O1323" t="s">
        <v>13</v>
      </c>
    </row>
    <row r="1324" spans="1:15" x14ac:dyDescent="0.3">
      <c r="A1324" s="1" t="s">
        <v>2422</v>
      </c>
      <c r="B1324" t="s">
        <v>72</v>
      </c>
      <c r="C1324" t="s">
        <v>2423</v>
      </c>
      <c r="D1324" t="str">
        <f t="shared" si="20"/>
        <v>Male</v>
      </c>
      <c r="E1324" t="s">
        <v>9</v>
      </c>
      <c r="F1324" s="2">
        <v>29</v>
      </c>
      <c r="G1324" s="2" t="str" cm="1">
        <f t="array" ref="G1324">_xlfn.IFS(F1324&lt;=8,"Child",F1324&lt;=17,"Teen",F1324&lt;=35,"Adult",F1324&lt;=55,"Seniour Adult",F1324&gt;=55,"Old Age")</f>
        <v>Adult</v>
      </c>
      <c r="H1324" t="s">
        <v>67</v>
      </c>
      <c r="I1324" t="s">
        <v>11</v>
      </c>
      <c r="J1324" t="str" cm="1">
        <f t="array" ref="J1324">_xlfn.IFS(I1324="S","Sauthamptonm",I1324="Q","Queentown",I1324="C","Cherburg",I1324="B","Cabin")</f>
        <v>Sauthamptonm</v>
      </c>
      <c r="K1324" t="s">
        <v>15</v>
      </c>
      <c r="L1324" s="2">
        <v>29</v>
      </c>
      <c r="M1324">
        <v>0</v>
      </c>
      <c r="N1324" t="s">
        <v>30</v>
      </c>
      <c r="O1324" t="s">
        <v>13</v>
      </c>
    </row>
    <row r="1325" spans="1:15" x14ac:dyDescent="0.3">
      <c r="A1325" s="1" t="s">
        <v>2424</v>
      </c>
      <c r="B1325" t="s">
        <v>72</v>
      </c>
      <c r="C1325" t="s">
        <v>2425</v>
      </c>
      <c r="D1325" t="str">
        <f t="shared" si="20"/>
        <v>Male</v>
      </c>
      <c r="E1325" t="s">
        <v>9</v>
      </c>
      <c r="F1325" s="2">
        <v>45</v>
      </c>
      <c r="G1325" s="2" t="str" cm="1">
        <f t="array" ref="G1325">_xlfn.IFS(F1325&lt;=8,"Child",F1325&lt;=17,"Teen",F1325&lt;=35,"Adult",F1325&lt;=55,"Seniour Adult",F1325&gt;=55,"Old Age")</f>
        <v>Seniour Adult</v>
      </c>
      <c r="H1325" t="s">
        <v>51</v>
      </c>
      <c r="I1325" t="s">
        <v>28</v>
      </c>
      <c r="J1325" t="str" cm="1">
        <f t="array" ref="J1325">_xlfn.IFS(I1325="S","Sauthamptonm",I1325="Q","Queentown",I1325="C","Cherburg",I1325="B","Cabin")</f>
        <v>Cabin</v>
      </c>
      <c r="K1325" t="s">
        <v>15</v>
      </c>
      <c r="L1325" s="2">
        <v>29</v>
      </c>
      <c r="M1325">
        <v>0</v>
      </c>
      <c r="N1325" t="s">
        <v>30</v>
      </c>
      <c r="O1325" t="s">
        <v>13</v>
      </c>
    </row>
    <row r="1326" spans="1:15" x14ac:dyDescent="0.3">
      <c r="A1326" s="1" t="s">
        <v>2426</v>
      </c>
      <c r="B1326" t="s">
        <v>72</v>
      </c>
      <c r="C1326" t="s">
        <v>206</v>
      </c>
      <c r="D1326" t="str">
        <f t="shared" si="20"/>
        <v>Male</v>
      </c>
      <c r="E1326" t="s">
        <v>9</v>
      </c>
      <c r="F1326" s="2">
        <v>37</v>
      </c>
      <c r="G1326" s="2" t="str" cm="1">
        <f t="array" ref="G1326">_xlfn.IFS(F1326&lt;=8,"Child",F1326&lt;=17,"Teen",F1326&lt;=35,"Adult",F1326&lt;=55,"Seniour Adult",F1326&gt;=55,"Old Age")</f>
        <v>Seniour Adult</v>
      </c>
      <c r="H1326" t="s">
        <v>67</v>
      </c>
      <c r="I1326" t="s">
        <v>11</v>
      </c>
      <c r="J1326" t="str" cm="1">
        <f t="array" ref="J1326">_xlfn.IFS(I1326="S","Sauthamptonm",I1326="Q","Queentown",I1326="C","Cherburg",I1326="B","Cabin")</f>
        <v>Sauthamptonm</v>
      </c>
      <c r="K1326" t="s">
        <v>15</v>
      </c>
      <c r="L1326" s="2">
        <v>29</v>
      </c>
      <c r="M1326">
        <v>0</v>
      </c>
      <c r="N1326" t="s">
        <v>30</v>
      </c>
      <c r="O1326" t="s">
        <v>13</v>
      </c>
    </row>
    <row r="1327" spans="1:15" x14ac:dyDescent="0.3">
      <c r="A1327" s="1" t="s">
        <v>2427</v>
      </c>
      <c r="B1327" t="s">
        <v>72</v>
      </c>
      <c r="C1327" t="s">
        <v>2428</v>
      </c>
      <c r="D1327" t="str">
        <f t="shared" si="20"/>
        <v>Male</v>
      </c>
      <c r="E1327" t="s">
        <v>9</v>
      </c>
      <c r="F1327" s="2">
        <v>45</v>
      </c>
      <c r="G1327" s="2" t="str" cm="1">
        <f t="array" ref="G1327">_xlfn.IFS(F1327&lt;=8,"Child",F1327&lt;=17,"Teen",F1327&lt;=35,"Adult",F1327&lt;=55,"Seniour Adult",F1327&gt;=55,"Old Age")</f>
        <v>Seniour Adult</v>
      </c>
      <c r="H1327" t="s">
        <v>69</v>
      </c>
      <c r="I1327" t="s">
        <v>11</v>
      </c>
      <c r="J1327" t="str" cm="1">
        <f t="array" ref="J1327">_xlfn.IFS(I1327="S","Sauthamptonm",I1327="Q","Queentown",I1327="C","Cherburg",I1327="B","Cabin")</f>
        <v>Sauthamptonm</v>
      </c>
      <c r="K1327" t="s">
        <v>15</v>
      </c>
      <c r="L1327" s="2">
        <v>29</v>
      </c>
      <c r="M1327">
        <v>0</v>
      </c>
      <c r="N1327" t="s">
        <v>30</v>
      </c>
      <c r="O1327" t="s">
        <v>16</v>
      </c>
    </row>
    <row r="1328" spans="1:15" x14ac:dyDescent="0.3">
      <c r="A1328" s="1" t="s">
        <v>2429</v>
      </c>
      <c r="B1328" t="s">
        <v>72</v>
      </c>
      <c r="C1328" t="s">
        <v>2430</v>
      </c>
      <c r="D1328" t="str">
        <f t="shared" si="20"/>
        <v>Male</v>
      </c>
      <c r="E1328" t="s">
        <v>9</v>
      </c>
      <c r="F1328" s="2">
        <v>25</v>
      </c>
      <c r="G1328" s="2" t="str" cm="1">
        <f t="array" ref="G1328">_xlfn.IFS(F1328&lt;=8,"Child",F1328&lt;=17,"Teen",F1328&lt;=35,"Adult",F1328&lt;=55,"Seniour Adult",F1328&gt;=55,"Old Age")</f>
        <v>Adult</v>
      </c>
      <c r="H1328" t="s">
        <v>67</v>
      </c>
      <c r="I1328" t="s">
        <v>11</v>
      </c>
      <c r="J1328" t="str" cm="1">
        <f t="array" ref="J1328">_xlfn.IFS(I1328="S","Sauthamptonm",I1328="Q","Queentown",I1328="C","Cherburg",I1328="B","Cabin")</f>
        <v>Sauthamptonm</v>
      </c>
      <c r="K1328" t="s">
        <v>15</v>
      </c>
      <c r="L1328" s="2">
        <v>29</v>
      </c>
      <c r="M1328">
        <v>0</v>
      </c>
      <c r="N1328" t="s">
        <v>30</v>
      </c>
      <c r="O1328" t="s">
        <v>16</v>
      </c>
    </row>
    <row r="1329" spans="1:15" x14ac:dyDescent="0.3">
      <c r="A1329" s="1" t="s">
        <v>2431</v>
      </c>
      <c r="B1329" t="s">
        <v>1766</v>
      </c>
      <c r="C1329" t="s">
        <v>2432</v>
      </c>
      <c r="D1329" t="str">
        <f t="shared" si="20"/>
        <v>Male</v>
      </c>
      <c r="E1329" t="s">
        <v>9</v>
      </c>
      <c r="F1329" s="2">
        <v>21</v>
      </c>
      <c r="G1329" s="2" t="str" cm="1">
        <f t="array" ref="G1329">_xlfn.IFS(F1329&lt;=8,"Child",F1329&lt;=17,"Teen",F1329&lt;=35,"Adult",F1329&lt;=55,"Seniour Adult",F1329&gt;=55,"Old Age")</f>
        <v>Adult</v>
      </c>
      <c r="H1329" t="s">
        <v>68</v>
      </c>
      <c r="I1329" t="s">
        <v>11</v>
      </c>
      <c r="J1329" t="str" cm="1">
        <f t="array" ref="J1329">_xlfn.IFS(I1329="S","Sauthamptonm",I1329="Q","Queentown",I1329="C","Cherburg",I1329="B","Cabin")</f>
        <v>Sauthamptonm</v>
      </c>
      <c r="K1329" t="s">
        <v>15</v>
      </c>
      <c r="L1329" s="2">
        <v>29</v>
      </c>
      <c r="M1329">
        <v>0</v>
      </c>
      <c r="N1329" t="s">
        <v>30</v>
      </c>
      <c r="O1329" t="s">
        <v>13</v>
      </c>
    </row>
    <row r="1330" spans="1:15" x14ac:dyDescent="0.3">
      <c r="A1330" s="1" t="s">
        <v>2433</v>
      </c>
      <c r="B1330" t="s">
        <v>72</v>
      </c>
      <c r="C1330" t="s">
        <v>698</v>
      </c>
      <c r="D1330" t="str">
        <f t="shared" si="20"/>
        <v>Male</v>
      </c>
      <c r="E1330" t="s">
        <v>9</v>
      </c>
      <c r="F1330" s="2">
        <v>39</v>
      </c>
      <c r="G1330" s="2" t="str" cm="1">
        <f t="array" ref="G1330">_xlfn.IFS(F1330&lt;=8,"Child",F1330&lt;=17,"Teen",F1330&lt;=35,"Adult",F1330&lt;=55,"Seniour Adult",F1330&gt;=55,"Old Age")</f>
        <v>Seniour Adult</v>
      </c>
      <c r="H1330" t="s">
        <v>51</v>
      </c>
      <c r="I1330" t="s">
        <v>11</v>
      </c>
      <c r="J1330" t="str" cm="1">
        <f t="array" ref="J1330">_xlfn.IFS(I1330="S","Sauthamptonm",I1330="Q","Queentown",I1330="C","Cherburg",I1330="B","Cabin")</f>
        <v>Sauthamptonm</v>
      </c>
      <c r="K1330" t="s">
        <v>15</v>
      </c>
      <c r="L1330" s="2">
        <v>29</v>
      </c>
      <c r="M1330">
        <v>0</v>
      </c>
      <c r="N1330" t="s">
        <v>30</v>
      </c>
      <c r="O1330" t="s">
        <v>16</v>
      </c>
    </row>
    <row r="1331" spans="1:15" x14ac:dyDescent="0.3">
      <c r="A1331" s="1" t="s">
        <v>2434</v>
      </c>
      <c r="B1331" t="s">
        <v>72</v>
      </c>
      <c r="C1331" t="s">
        <v>2435</v>
      </c>
      <c r="D1331" t="str">
        <f t="shared" si="20"/>
        <v>Male</v>
      </c>
      <c r="E1331" t="s">
        <v>9</v>
      </c>
      <c r="F1331" s="2">
        <v>34</v>
      </c>
      <c r="G1331" s="2" t="str" cm="1">
        <f t="array" ref="G1331">_xlfn.IFS(F1331&lt;=8,"Child",F1331&lt;=17,"Teen",F1331&lt;=35,"Adult",F1331&lt;=55,"Seniour Adult",F1331&gt;=55,"Old Age")</f>
        <v>Adult</v>
      </c>
      <c r="H1331" t="s">
        <v>67</v>
      </c>
      <c r="I1331" t="s">
        <v>11</v>
      </c>
      <c r="J1331" t="str" cm="1">
        <f t="array" ref="J1331">_xlfn.IFS(I1331="S","Sauthamptonm",I1331="Q","Queentown",I1331="C","Cherburg",I1331="B","Cabin")</f>
        <v>Sauthamptonm</v>
      </c>
      <c r="K1331" t="s">
        <v>15</v>
      </c>
      <c r="L1331" s="2">
        <v>29</v>
      </c>
      <c r="M1331">
        <v>0</v>
      </c>
      <c r="N1331" t="s">
        <v>30</v>
      </c>
      <c r="O1331" t="s">
        <v>13</v>
      </c>
    </row>
    <row r="1332" spans="1:15" x14ac:dyDescent="0.3">
      <c r="A1332" s="1" t="s">
        <v>2436</v>
      </c>
      <c r="B1332" t="s">
        <v>72</v>
      </c>
      <c r="C1332" t="s">
        <v>2437</v>
      </c>
      <c r="D1332" t="str">
        <f t="shared" si="20"/>
        <v>Male</v>
      </c>
      <c r="E1332" t="s">
        <v>9</v>
      </c>
      <c r="F1332" s="2">
        <v>31</v>
      </c>
      <c r="G1332" s="2" t="str" cm="1">
        <f t="array" ref="G1332">_xlfn.IFS(F1332&lt;=8,"Child",F1332&lt;=17,"Teen",F1332&lt;=35,"Adult",F1332&lt;=55,"Seniour Adult",F1332&gt;=55,"Old Age")</f>
        <v>Adult</v>
      </c>
      <c r="H1332" t="s">
        <v>67</v>
      </c>
      <c r="I1332" t="s">
        <v>11</v>
      </c>
      <c r="J1332" t="str" cm="1">
        <f t="array" ref="J1332">_xlfn.IFS(I1332="S","Sauthamptonm",I1332="Q","Queentown",I1332="C","Cherburg",I1332="B","Cabin")</f>
        <v>Sauthamptonm</v>
      </c>
      <c r="K1332" t="s">
        <v>15</v>
      </c>
      <c r="L1332" s="2">
        <v>29</v>
      </c>
      <c r="M1332">
        <v>0</v>
      </c>
      <c r="N1332" t="s">
        <v>30</v>
      </c>
      <c r="O1332" t="s">
        <v>13</v>
      </c>
    </row>
    <row r="1333" spans="1:15" x14ac:dyDescent="0.3">
      <c r="A1333" s="1" t="s">
        <v>2438</v>
      </c>
      <c r="B1333" t="s">
        <v>72</v>
      </c>
      <c r="C1333" t="s">
        <v>2439</v>
      </c>
      <c r="D1333" t="str">
        <f t="shared" si="20"/>
        <v>Male</v>
      </c>
      <c r="E1333" t="s">
        <v>9</v>
      </c>
      <c r="F1333" s="2">
        <v>49</v>
      </c>
      <c r="G1333" s="2" t="str" cm="1">
        <f t="array" ref="G1333">_xlfn.IFS(F1333&lt;=8,"Child",F1333&lt;=17,"Teen",F1333&lt;=35,"Adult",F1333&lt;=55,"Seniour Adult",F1333&gt;=55,"Old Age")</f>
        <v>Seniour Adult</v>
      </c>
      <c r="H1333" t="s">
        <v>67</v>
      </c>
      <c r="I1333" t="s">
        <v>28</v>
      </c>
      <c r="J1333" t="str" cm="1">
        <f t="array" ref="J1333">_xlfn.IFS(I1333="S","Sauthamptonm",I1333="Q","Queentown",I1333="C","Cherburg",I1333="B","Cabin")</f>
        <v>Cabin</v>
      </c>
      <c r="K1333" t="s">
        <v>15</v>
      </c>
      <c r="L1333" s="2">
        <v>29</v>
      </c>
      <c r="M1333">
        <v>0</v>
      </c>
      <c r="N1333" t="s">
        <v>30</v>
      </c>
      <c r="O1333" t="s">
        <v>13</v>
      </c>
    </row>
    <row r="1334" spans="1:15" x14ac:dyDescent="0.3">
      <c r="A1334" s="1" t="s">
        <v>2440</v>
      </c>
      <c r="B1334" t="s">
        <v>1766</v>
      </c>
      <c r="C1334" t="s">
        <v>2441</v>
      </c>
      <c r="D1334" t="str">
        <f t="shared" si="20"/>
        <v>Male</v>
      </c>
      <c r="E1334" t="s">
        <v>9</v>
      </c>
      <c r="F1334" s="2">
        <v>20</v>
      </c>
      <c r="G1334" s="2" t="str" cm="1">
        <f t="array" ref="G1334">_xlfn.IFS(F1334&lt;=8,"Child",F1334&lt;=17,"Teen",F1334&lt;=35,"Adult",F1334&lt;=55,"Seniour Adult",F1334&gt;=55,"Old Age")</f>
        <v>Adult</v>
      </c>
      <c r="H1334" t="s">
        <v>68</v>
      </c>
      <c r="I1334" t="s">
        <v>11</v>
      </c>
      <c r="J1334" t="str" cm="1">
        <f t="array" ref="J1334">_xlfn.IFS(I1334="S","Sauthamptonm",I1334="Q","Queentown",I1334="C","Cherburg",I1334="B","Cabin")</f>
        <v>Sauthamptonm</v>
      </c>
      <c r="K1334" t="s">
        <v>15</v>
      </c>
      <c r="L1334" s="2">
        <v>29</v>
      </c>
      <c r="M1334">
        <v>0</v>
      </c>
      <c r="N1334" t="s">
        <v>30</v>
      </c>
      <c r="O1334" t="s">
        <v>13</v>
      </c>
    </row>
    <row r="1335" spans="1:15" x14ac:dyDescent="0.3">
      <c r="A1335" s="1" t="s">
        <v>2442</v>
      </c>
      <c r="B1335" t="s">
        <v>72</v>
      </c>
      <c r="C1335" t="s">
        <v>2443</v>
      </c>
      <c r="D1335" t="str">
        <f t="shared" si="20"/>
        <v>Male</v>
      </c>
      <c r="E1335" t="s">
        <v>9</v>
      </c>
      <c r="F1335" s="2">
        <v>22</v>
      </c>
      <c r="G1335" s="2" t="str" cm="1">
        <f t="array" ref="G1335">_xlfn.IFS(F1335&lt;=8,"Child",F1335&lt;=17,"Teen",F1335&lt;=35,"Adult",F1335&lt;=55,"Seniour Adult",F1335&gt;=55,"Old Age")</f>
        <v>Adult</v>
      </c>
      <c r="H1335" t="s">
        <v>67</v>
      </c>
      <c r="I1335" t="s">
        <v>11</v>
      </c>
      <c r="J1335" t="str" cm="1">
        <f t="array" ref="J1335">_xlfn.IFS(I1335="S","Sauthamptonm",I1335="Q","Queentown",I1335="C","Cherburg",I1335="B","Cabin")</f>
        <v>Sauthamptonm</v>
      </c>
      <c r="K1335" t="s">
        <v>15</v>
      </c>
      <c r="L1335" s="2">
        <v>29</v>
      </c>
      <c r="M1335">
        <v>0</v>
      </c>
      <c r="N1335" t="s">
        <v>30</v>
      </c>
      <c r="O1335" t="s">
        <v>13</v>
      </c>
    </row>
    <row r="1336" spans="1:15" x14ac:dyDescent="0.3">
      <c r="A1336" s="1" t="s">
        <v>2444</v>
      </c>
      <c r="B1336" t="s">
        <v>72</v>
      </c>
      <c r="C1336" t="s">
        <v>1651</v>
      </c>
      <c r="D1336" t="str">
        <f t="shared" si="20"/>
        <v>Male</v>
      </c>
      <c r="E1336" t="s">
        <v>9</v>
      </c>
      <c r="F1336" s="2">
        <v>37</v>
      </c>
      <c r="G1336" s="2" t="str" cm="1">
        <f t="array" ref="G1336">_xlfn.IFS(F1336&lt;=8,"Child",F1336&lt;=17,"Teen",F1336&lt;=35,"Adult",F1336&lt;=55,"Seniour Adult",F1336&gt;=55,"Old Age")</f>
        <v>Seniour Adult</v>
      </c>
      <c r="H1336" t="s">
        <v>69</v>
      </c>
      <c r="I1336" t="s">
        <v>28</v>
      </c>
      <c r="J1336" t="str" cm="1">
        <f t="array" ref="J1336">_xlfn.IFS(I1336="S","Sauthamptonm",I1336="Q","Queentown",I1336="C","Cherburg",I1336="B","Cabin")</f>
        <v>Cabin</v>
      </c>
      <c r="K1336" t="s">
        <v>15</v>
      </c>
      <c r="L1336" s="2">
        <v>29</v>
      </c>
      <c r="M1336">
        <v>0</v>
      </c>
      <c r="N1336" t="s">
        <v>30</v>
      </c>
      <c r="O1336" t="s">
        <v>16</v>
      </c>
    </row>
    <row r="1337" spans="1:15" x14ac:dyDescent="0.3">
      <c r="A1337" s="1" t="s">
        <v>2445</v>
      </c>
      <c r="B1337" t="s">
        <v>1766</v>
      </c>
      <c r="C1337" t="s">
        <v>2446</v>
      </c>
      <c r="D1337" t="str">
        <f t="shared" si="20"/>
        <v>Male</v>
      </c>
      <c r="E1337" t="s">
        <v>9</v>
      </c>
      <c r="F1337" s="2">
        <v>20</v>
      </c>
      <c r="G1337" s="2" t="str" cm="1">
        <f t="array" ref="G1337">_xlfn.IFS(F1337&lt;=8,"Child",F1337&lt;=17,"Teen",F1337&lt;=35,"Adult",F1337&lt;=55,"Seniour Adult",F1337&gt;=55,"Old Age")</f>
        <v>Adult</v>
      </c>
      <c r="H1337" t="s">
        <v>68</v>
      </c>
      <c r="I1337" t="s">
        <v>11</v>
      </c>
      <c r="J1337" t="str" cm="1">
        <f t="array" ref="J1337">_xlfn.IFS(I1337="S","Sauthamptonm",I1337="Q","Queentown",I1337="C","Cherburg",I1337="B","Cabin")</f>
        <v>Sauthamptonm</v>
      </c>
      <c r="K1337" t="s">
        <v>15</v>
      </c>
      <c r="L1337" s="2">
        <v>29</v>
      </c>
      <c r="M1337">
        <v>0</v>
      </c>
      <c r="N1337" t="s">
        <v>30</v>
      </c>
      <c r="O1337" t="s">
        <v>13</v>
      </c>
    </row>
    <row r="1338" spans="1:15" x14ac:dyDescent="0.3">
      <c r="A1338" s="1" t="s">
        <v>2447</v>
      </c>
      <c r="B1338" t="s">
        <v>72</v>
      </c>
      <c r="C1338" t="s">
        <v>2282</v>
      </c>
      <c r="D1338" t="str">
        <f t="shared" si="20"/>
        <v>Male</v>
      </c>
      <c r="E1338" t="s">
        <v>9</v>
      </c>
      <c r="F1338" s="2">
        <v>48</v>
      </c>
      <c r="G1338" s="2" t="str" cm="1">
        <f t="array" ref="G1338">_xlfn.IFS(F1338&lt;=8,"Child",F1338&lt;=17,"Teen",F1338&lt;=35,"Adult",F1338&lt;=55,"Seniour Adult",F1338&gt;=55,"Old Age")</f>
        <v>Seniour Adult</v>
      </c>
      <c r="H1338" t="s">
        <v>67</v>
      </c>
      <c r="I1338" t="s">
        <v>11</v>
      </c>
      <c r="J1338" t="str" cm="1">
        <f t="array" ref="J1338">_xlfn.IFS(I1338="S","Sauthamptonm",I1338="Q","Queentown",I1338="C","Cherburg",I1338="B","Cabin")</f>
        <v>Sauthamptonm</v>
      </c>
      <c r="K1338" t="s">
        <v>15</v>
      </c>
      <c r="L1338" s="2">
        <v>29</v>
      </c>
      <c r="M1338">
        <v>0</v>
      </c>
      <c r="N1338" t="s">
        <v>30</v>
      </c>
      <c r="O1338" t="s">
        <v>13</v>
      </c>
    </row>
    <row r="1339" spans="1:15" x14ac:dyDescent="0.3">
      <c r="A1339" s="1" t="s">
        <v>2448</v>
      </c>
      <c r="B1339" t="s">
        <v>72</v>
      </c>
      <c r="C1339" t="s">
        <v>2449</v>
      </c>
      <c r="D1339" t="str">
        <f t="shared" si="20"/>
        <v>Male</v>
      </c>
      <c r="E1339" t="s">
        <v>9</v>
      </c>
      <c r="F1339" s="2">
        <v>32</v>
      </c>
      <c r="G1339" s="2" t="str" cm="1">
        <f t="array" ref="G1339">_xlfn.IFS(F1339&lt;=8,"Child",F1339&lt;=17,"Teen",F1339&lt;=35,"Adult",F1339&lt;=55,"Seniour Adult",F1339&gt;=55,"Old Age")</f>
        <v>Adult</v>
      </c>
      <c r="H1339" t="s">
        <v>67</v>
      </c>
      <c r="I1339" t="s">
        <v>11</v>
      </c>
      <c r="J1339" t="str" cm="1">
        <f t="array" ref="J1339">_xlfn.IFS(I1339="S","Sauthamptonm",I1339="Q","Queentown",I1339="C","Cherburg",I1339="B","Cabin")</f>
        <v>Sauthamptonm</v>
      </c>
      <c r="K1339" t="s">
        <v>15</v>
      </c>
      <c r="L1339" s="2">
        <v>29</v>
      </c>
      <c r="M1339">
        <v>0</v>
      </c>
      <c r="N1339" t="s">
        <v>30</v>
      </c>
      <c r="O1339" t="s">
        <v>13</v>
      </c>
    </row>
    <row r="1340" spans="1:15" x14ac:dyDescent="0.3">
      <c r="A1340" s="1" t="s">
        <v>2450</v>
      </c>
      <c r="B1340" t="s">
        <v>72</v>
      </c>
      <c r="C1340" t="s">
        <v>2451</v>
      </c>
      <c r="D1340" t="str">
        <f t="shared" si="20"/>
        <v>Male</v>
      </c>
      <c r="E1340" t="s">
        <v>9</v>
      </c>
      <c r="F1340" s="2">
        <v>19</v>
      </c>
      <c r="G1340" s="2" t="str" cm="1">
        <f t="array" ref="G1340">_xlfn.IFS(F1340&lt;=8,"Child",F1340&lt;=17,"Teen",F1340&lt;=35,"Adult",F1340&lt;=55,"Seniour Adult",F1340&gt;=55,"Old Age")</f>
        <v>Adult</v>
      </c>
      <c r="H1340" t="s">
        <v>51</v>
      </c>
      <c r="I1340" t="s">
        <v>11</v>
      </c>
      <c r="J1340" t="str" cm="1">
        <f t="array" ref="J1340">_xlfn.IFS(I1340="S","Sauthamptonm",I1340="Q","Queentown",I1340="C","Cherburg",I1340="B","Cabin")</f>
        <v>Sauthamptonm</v>
      </c>
      <c r="K1340" t="s">
        <v>15</v>
      </c>
      <c r="L1340" s="2">
        <v>29</v>
      </c>
      <c r="M1340">
        <v>0</v>
      </c>
      <c r="N1340" t="s">
        <v>30</v>
      </c>
      <c r="O1340" t="s">
        <v>16</v>
      </c>
    </row>
    <row r="1341" spans="1:15" x14ac:dyDescent="0.3">
      <c r="A1341" s="1" t="s">
        <v>2452</v>
      </c>
      <c r="B1341" t="s">
        <v>72</v>
      </c>
      <c r="C1341" t="s">
        <v>2453</v>
      </c>
      <c r="D1341" t="str">
        <f t="shared" si="20"/>
        <v>Male</v>
      </c>
      <c r="E1341" t="s">
        <v>9</v>
      </c>
      <c r="F1341" s="2">
        <v>25</v>
      </c>
      <c r="G1341" s="2" t="str" cm="1">
        <f t="array" ref="G1341">_xlfn.IFS(F1341&lt;=8,"Child",F1341&lt;=17,"Teen",F1341&lt;=35,"Adult",F1341&lt;=55,"Seniour Adult",F1341&gt;=55,"Old Age")</f>
        <v>Adult</v>
      </c>
      <c r="H1341" t="s">
        <v>67</v>
      </c>
      <c r="I1341" t="s">
        <v>11</v>
      </c>
      <c r="J1341" t="str" cm="1">
        <f t="array" ref="J1341">_xlfn.IFS(I1341="S","Sauthamptonm",I1341="Q","Queentown",I1341="C","Cherburg",I1341="B","Cabin")</f>
        <v>Sauthamptonm</v>
      </c>
      <c r="K1341" t="s">
        <v>15</v>
      </c>
      <c r="L1341" s="2">
        <v>29</v>
      </c>
      <c r="M1341">
        <v>0</v>
      </c>
      <c r="N1341" t="s">
        <v>30</v>
      </c>
      <c r="O1341" t="s">
        <v>13</v>
      </c>
    </row>
    <row r="1342" spans="1:15" x14ac:dyDescent="0.3">
      <c r="A1342" s="1" t="s">
        <v>2454</v>
      </c>
      <c r="B1342" t="s">
        <v>72</v>
      </c>
      <c r="C1342" t="s">
        <v>2455</v>
      </c>
      <c r="D1342" t="str">
        <f t="shared" si="20"/>
        <v>Male</v>
      </c>
      <c r="E1342" t="s">
        <v>9</v>
      </c>
      <c r="F1342" s="2">
        <v>30</v>
      </c>
      <c r="G1342" s="2" t="str" cm="1">
        <f t="array" ref="G1342">_xlfn.IFS(F1342&lt;=8,"Child",F1342&lt;=17,"Teen",F1342&lt;=35,"Adult",F1342&lt;=55,"Seniour Adult",F1342&gt;=55,"Old Age")</f>
        <v>Adult</v>
      </c>
      <c r="H1342" t="s">
        <v>67</v>
      </c>
      <c r="I1342" t="s">
        <v>11</v>
      </c>
      <c r="J1342" t="str" cm="1">
        <f t="array" ref="J1342">_xlfn.IFS(I1342="S","Sauthamptonm",I1342="Q","Queentown",I1342="C","Cherburg",I1342="B","Cabin")</f>
        <v>Sauthamptonm</v>
      </c>
      <c r="K1342" t="s">
        <v>62</v>
      </c>
      <c r="L1342" s="2">
        <v>29</v>
      </c>
      <c r="M1342">
        <v>0</v>
      </c>
      <c r="N1342" t="s">
        <v>30</v>
      </c>
      <c r="O1342" t="s">
        <v>16</v>
      </c>
    </row>
    <row r="1343" spans="1:15" x14ac:dyDescent="0.3">
      <c r="A1343" s="1" t="s">
        <v>2456</v>
      </c>
      <c r="B1343" t="s">
        <v>72</v>
      </c>
      <c r="C1343" t="s">
        <v>2457</v>
      </c>
      <c r="D1343" t="str">
        <f t="shared" si="20"/>
        <v>Male</v>
      </c>
      <c r="E1343" t="s">
        <v>9</v>
      </c>
      <c r="F1343" s="2">
        <v>23</v>
      </c>
      <c r="G1343" s="2" t="str" cm="1">
        <f t="array" ref="G1343">_xlfn.IFS(F1343&lt;=8,"Child",F1343&lt;=17,"Teen",F1343&lt;=35,"Adult",F1343&lt;=55,"Seniour Adult",F1343&gt;=55,"Old Age")</f>
        <v>Adult</v>
      </c>
      <c r="H1343" t="s">
        <v>67</v>
      </c>
      <c r="I1343" t="s">
        <v>28</v>
      </c>
      <c r="J1343" t="str" cm="1">
        <f t="array" ref="J1343">_xlfn.IFS(I1343="S","Sauthamptonm",I1343="Q","Queentown",I1343="C","Cherburg",I1343="B","Cabin")</f>
        <v>Cabin</v>
      </c>
      <c r="K1343" t="s">
        <v>15</v>
      </c>
      <c r="L1343" s="2">
        <v>29</v>
      </c>
      <c r="M1343">
        <v>0</v>
      </c>
      <c r="N1343" t="s">
        <v>30</v>
      </c>
      <c r="O1343" t="s">
        <v>16</v>
      </c>
    </row>
    <row r="1344" spans="1:15" x14ac:dyDescent="0.3">
      <c r="A1344" s="1" t="s">
        <v>2458</v>
      </c>
      <c r="B1344" t="s">
        <v>1766</v>
      </c>
      <c r="C1344" t="s">
        <v>2256</v>
      </c>
      <c r="D1344" t="str">
        <f t="shared" si="20"/>
        <v>Male</v>
      </c>
      <c r="E1344" t="s">
        <v>9</v>
      </c>
      <c r="F1344" s="2">
        <v>17</v>
      </c>
      <c r="G1344" s="2" t="str" cm="1">
        <f t="array" ref="G1344">_xlfn.IFS(F1344&lt;=8,"Child",F1344&lt;=17,"Teen",F1344&lt;=35,"Adult",F1344&lt;=55,"Seniour Adult",F1344&gt;=55,"Old Age")</f>
        <v>Teen</v>
      </c>
      <c r="H1344" t="s">
        <v>68</v>
      </c>
      <c r="I1344" t="s">
        <v>11</v>
      </c>
      <c r="J1344" t="str" cm="1">
        <f t="array" ref="J1344">_xlfn.IFS(I1344="S","Sauthamptonm",I1344="Q","Queentown",I1344="C","Cherburg",I1344="B","Cabin")</f>
        <v>Sauthamptonm</v>
      </c>
      <c r="K1344" t="s">
        <v>15</v>
      </c>
      <c r="L1344" s="2">
        <v>29</v>
      </c>
      <c r="M1344">
        <v>0</v>
      </c>
      <c r="N1344" t="s">
        <v>30</v>
      </c>
      <c r="O1344" t="s">
        <v>13</v>
      </c>
    </row>
    <row r="1345" spans="1:15" x14ac:dyDescent="0.3">
      <c r="A1345" s="1" t="s">
        <v>2459</v>
      </c>
      <c r="B1345" t="s">
        <v>1766</v>
      </c>
      <c r="C1345" t="s">
        <v>2460</v>
      </c>
      <c r="D1345" t="str">
        <f t="shared" si="20"/>
        <v>Male</v>
      </c>
      <c r="E1345" t="s">
        <v>9</v>
      </c>
      <c r="F1345" s="2">
        <v>33</v>
      </c>
      <c r="G1345" s="2" t="str" cm="1">
        <f t="array" ref="G1345">_xlfn.IFS(F1345&lt;=8,"Child",F1345&lt;=17,"Teen",F1345&lt;=35,"Adult",F1345&lt;=55,"Seniour Adult",F1345&gt;=55,"Old Age")</f>
        <v>Adult</v>
      </c>
      <c r="H1345" t="s">
        <v>68</v>
      </c>
      <c r="I1345" t="s">
        <v>11</v>
      </c>
      <c r="J1345" t="str" cm="1">
        <f t="array" ref="J1345">_xlfn.IFS(I1345="S","Sauthamptonm",I1345="Q","Queentown",I1345="C","Cherburg",I1345="B","Cabin")</f>
        <v>Sauthamptonm</v>
      </c>
      <c r="K1345" t="s">
        <v>15</v>
      </c>
      <c r="L1345" s="2">
        <v>29</v>
      </c>
      <c r="M1345">
        <v>0</v>
      </c>
      <c r="N1345" t="s">
        <v>30</v>
      </c>
      <c r="O1345" t="s">
        <v>13</v>
      </c>
    </row>
    <row r="1346" spans="1:15" x14ac:dyDescent="0.3">
      <c r="A1346" s="1" t="s">
        <v>2461</v>
      </c>
      <c r="B1346" t="s">
        <v>72</v>
      </c>
      <c r="C1346" t="s">
        <v>578</v>
      </c>
      <c r="D1346" t="str">
        <f t="shared" ref="D1346:D1409" si="21">PROPER(E1346)</f>
        <v>Male</v>
      </c>
      <c r="E1346" t="s">
        <v>9</v>
      </c>
      <c r="F1346" s="2">
        <v>25</v>
      </c>
      <c r="G1346" s="2" t="str" cm="1">
        <f t="array" ref="G1346">_xlfn.IFS(F1346&lt;=8,"Child",F1346&lt;=17,"Teen",F1346&lt;=35,"Adult",F1346&lt;=55,"Seniour Adult",F1346&gt;=55,"Old Age")</f>
        <v>Adult</v>
      </c>
      <c r="H1346" t="s">
        <v>51</v>
      </c>
      <c r="I1346" t="s">
        <v>11</v>
      </c>
      <c r="J1346" t="str" cm="1">
        <f t="array" ref="J1346">_xlfn.IFS(I1346="S","Sauthamptonm",I1346="Q","Queentown",I1346="C","Cherburg",I1346="B","Cabin")</f>
        <v>Sauthamptonm</v>
      </c>
      <c r="K1346" t="s">
        <v>15</v>
      </c>
      <c r="L1346" s="2">
        <v>29</v>
      </c>
      <c r="M1346">
        <v>0</v>
      </c>
      <c r="N1346" t="s">
        <v>30</v>
      </c>
      <c r="O1346" t="s">
        <v>13</v>
      </c>
    </row>
    <row r="1347" spans="1:15" x14ac:dyDescent="0.3">
      <c r="A1347" s="1" t="s">
        <v>2462</v>
      </c>
      <c r="B1347" t="s">
        <v>72</v>
      </c>
      <c r="C1347" t="s">
        <v>2463</v>
      </c>
      <c r="D1347" t="str">
        <f t="shared" si="21"/>
        <v>Male</v>
      </c>
      <c r="E1347" t="s">
        <v>9</v>
      </c>
      <c r="F1347" s="2">
        <v>34</v>
      </c>
      <c r="G1347" s="2" t="str" cm="1">
        <f t="array" ref="G1347">_xlfn.IFS(F1347&lt;=8,"Child",F1347&lt;=17,"Teen",F1347&lt;=35,"Adult",F1347&lt;=55,"Seniour Adult",F1347&gt;=55,"Old Age")</f>
        <v>Adult</v>
      </c>
      <c r="H1347" t="s">
        <v>69</v>
      </c>
      <c r="I1347" t="s">
        <v>28</v>
      </c>
      <c r="J1347" t="str" cm="1">
        <f t="array" ref="J1347">_xlfn.IFS(I1347="S","Sauthamptonm",I1347="Q","Queentown",I1347="C","Cherburg",I1347="B","Cabin")</f>
        <v>Cabin</v>
      </c>
      <c r="K1347" t="s">
        <v>15</v>
      </c>
      <c r="L1347" s="2">
        <v>29</v>
      </c>
      <c r="M1347">
        <v>0</v>
      </c>
      <c r="N1347" t="s">
        <v>30</v>
      </c>
      <c r="O1347" t="s">
        <v>16</v>
      </c>
    </row>
    <row r="1348" spans="1:15" x14ac:dyDescent="0.3">
      <c r="A1348" s="1" t="s">
        <v>2464</v>
      </c>
      <c r="B1348" t="s">
        <v>72</v>
      </c>
      <c r="C1348" t="s">
        <v>2465</v>
      </c>
      <c r="D1348" t="str">
        <f t="shared" si="21"/>
        <v>Male</v>
      </c>
      <c r="E1348" t="s">
        <v>9</v>
      </c>
      <c r="F1348" s="2">
        <v>18</v>
      </c>
      <c r="G1348" s="2" t="str" cm="1">
        <f t="array" ref="G1348">_xlfn.IFS(F1348&lt;=8,"Child",F1348&lt;=17,"Teen",F1348&lt;=35,"Adult",F1348&lt;=55,"Seniour Adult",F1348&gt;=55,"Old Age")</f>
        <v>Adult</v>
      </c>
      <c r="H1348" t="s">
        <v>67</v>
      </c>
      <c r="I1348" t="s">
        <v>11</v>
      </c>
      <c r="J1348" t="str" cm="1">
        <f t="array" ref="J1348">_xlfn.IFS(I1348="S","Sauthamptonm",I1348="Q","Queentown",I1348="C","Cherburg",I1348="B","Cabin")</f>
        <v>Sauthamptonm</v>
      </c>
      <c r="K1348" t="s">
        <v>15</v>
      </c>
      <c r="L1348" s="2">
        <v>29</v>
      </c>
      <c r="M1348">
        <v>0</v>
      </c>
      <c r="N1348" t="s">
        <v>30</v>
      </c>
      <c r="O1348" t="s">
        <v>13</v>
      </c>
    </row>
    <row r="1349" spans="1:15" x14ac:dyDescent="0.3">
      <c r="A1349" s="1" t="s">
        <v>2466</v>
      </c>
      <c r="B1349" t="s">
        <v>72</v>
      </c>
      <c r="C1349" t="s">
        <v>2467</v>
      </c>
      <c r="D1349" t="str">
        <f t="shared" si="21"/>
        <v>Male</v>
      </c>
      <c r="E1349" t="s">
        <v>9</v>
      </c>
      <c r="F1349" s="2">
        <v>24</v>
      </c>
      <c r="G1349" s="2" t="str" cm="1">
        <f t="array" ref="G1349">_xlfn.IFS(F1349&lt;=8,"Child",F1349&lt;=17,"Teen",F1349&lt;=35,"Adult",F1349&lt;=55,"Seniour Adult",F1349&gt;=55,"Old Age")</f>
        <v>Adult</v>
      </c>
      <c r="H1349" t="s">
        <v>51</v>
      </c>
      <c r="I1349" t="s">
        <v>11</v>
      </c>
      <c r="J1349" t="str" cm="1">
        <f t="array" ref="J1349">_xlfn.IFS(I1349="S","Sauthamptonm",I1349="Q","Queentown",I1349="C","Cherburg",I1349="B","Cabin")</f>
        <v>Sauthamptonm</v>
      </c>
      <c r="K1349" t="s">
        <v>15</v>
      </c>
      <c r="L1349" s="2">
        <v>29</v>
      </c>
      <c r="M1349">
        <v>0</v>
      </c>
      <c r="N1349" t="s">
        <v>30</v>
      </c>
      <c r="O1349" t="s">
        <v>16</v>
      </c>
    </row>
    <row r="1350" spans="1:15" x14ac:dyDescent="0.3">
      <c r="A1350" s="1" t="s">
        <v>2468</v>
      </c>
      <c r="B1350" t="s">
        <v>1766</v>
      </c>
      <c r="C1350" t="s">
        <v>2469</v>
      </c>
      <c r="D1350" t="str">
        <f t="shared" si="21"/>
        <v>Male</v>
      </c>
      <c r="E1350" t="s">
        <v>9</v>
      </c>
      <c r="F1350" s="2">
        <v>28</v>
      </c>
      <c r="G1350" s="2" t="str" cm="1">
        <f t="array" ref="G1350">_xlfn.IFS(F1350&lt;=8,"Child",F1350&lt;=17,"Teen",F1350&lt;=35,"Adult",F1350&lt;=55,"Seniour Adult",F1350&gt;=55,"Old Age")</f>
        <v>Adult</v>
      </c>
      <c r="H1350" t="s">
        <v>68</v>
      </c>
      <c r="I1350" t="s">
        <v>11</v>
      </c>
      <c r="J1350" t="str" cm="1">
        <f t="array" ref="J1350">_xlfn.IFS(I1350="S","Sauthamptonm",I1350="Q","Queentown",I1350="C","Cherburg",I1350="B","Cabin")</f>
        <v>Sauthamptonm</v>
      </c>
      <c r="K1350" t="s">
        <v>15</v>
      </c>
      <c r="L1350" s="2">
        <v>29</v>
      </c>
      <c r="M1350">
        <v>0</v>
      </c>
      <c r="N1350" t="s">
        <v>30</v>
      </c>
      <c r="O1350" t="s">
        <v>13</v>
      </c>
    </row>
    <row r="1351" spans="1:15" x14ac:dyDescent="0.3">
      <c r="A1351" s="1" t="s">
        <v>2470</v>
      </c>
      <c r="B1351" t="s">
        <v>72</v>
      </c>
      <c r="C1351" t="s">
        <v>2397</v>
      </c>
      <c r="D1351" t="str">
        <f t="shared" si="21"/>
        <v>Male</v>
      </c>
      <c r="E1351" t="s">
        <v>9</v>
      </c>
      <c r="F1351" s="2">
        <v>33</v>
      </c>
      <c r="G1351" s="2" t="str" cm="1">
        <f t="array" ref="G1351">_xlfn.IFS(F1351&lt;=8,"Child",F1351&lt;=17,"Teen",F1351&lt;=35,"Adult",F1351&lt;=55,"Seniour Adult",F1351&gt;=55,"Old Age")</f>
        <v>Adult</v>
      </c>
      <c r="H1351" t="s">
        <v>69</v>
      </c>
      <c r="I1351" t="s">
        <v>11</v>
      </c>
      <c r="J1351" t="str" cm="1">
        <f t="array" ref="J1351">_xlfn.IFS(I1351="S","Sauthamptonm",I1351="Q","Queentown",I1351="C","Cherburg",I1351="B","Cabin")</f>
        <v>Sauthamptonm</v>
      </c>
      <c r="K1351" t="s">
        <v>33</v>
      </c>
      <c r="L1351" s="2">
        <v>29</v>
      </c>
      <c r="M1351">
        <v>0</v>
      </c>
      <c r="N1351" t="s">
        <v>30</v>
      </c>
      <c r="O1351" t="s">
        <v>16</v>
      </c>
    </row>
    <row r="1352" spans="1:15" x14ac:dyDescent="0.3">
      <c r="A1352" s="1" t="s">
        <v>2471</v>
      </c>
      <c r="B1352" t="s">
        <v>72</v>
      </c>
      <c r="C1352" t="s">
        <v>698</v>
      </c>
      <c r="D1352" t="str">
        <f t="shared" si="21"/>
        <v>Male</v>
      </c>
      <c r="E1352" t="s">
        <v>9</v>
      </c>
      <c r="F1352" s="2">
        <v>33</v>
      </c>
      <c r="G1352" s="2" t="str" cm="1">
        <f t="array" ref="G1352">_xlfn.IFS(F1352&lt;=8,"Child",F1352&lt;=17,"Teen",F1352&lt;=35,"Adult",F1352&lt;=55,"Seniour Adult",F1352&gt;=55,"Old Age")</f>
        <v>Adult</v>
      </c>
      <c r="H1352" t="s">
        <v>51</v>
      </c>
      <c r="I1352" t="s">
        <v>11</v>
      </c>
      <c r="J1352" t="str" cm="1">
        <f t="array" ref="J1352">_xlfn.IFS(I1352="S","Sauthamptonm",I1352="Q","Queentown",I1352="C","Cherburg",I1352="B","Cabin")</f>
        <v>Sauthamptonm</v>
      </c>
      <c r="K1352" t="s">
        <v>15</v>
      </c>
      <c r="L1352" s="2">
        <v>29</v>
      </c>
      <c r="M1352">
        <v>0</v>
      </c>
      <c r="N1352" t="s">
        <v>30</v>
      </c>
      <c r="O1352" t="s">
        <v>13</v>
      </c>
    </row>
    <row r="1353" spans="1:15" x14ac:dyDescent="0.3">
      <c r="A1353" s="1" t="s">
        <v>2472</v>
      </c>
      <c r="B1353" t="s">
        <v>72</v>
      </c>
      <c r="C1353" t="s">
        <v>2473</v>
      </c>
      <c r="D1353" t="str">
        <f t="shared" si="21"/>
        <v>Male</v>
      </c>
      <c r="E1353" t="s">
        <v>9</v>
      </c>
      <c r="F1353" s="2">
        <v>36</v>
      </c>
      <c r="G1353" s="2" t="str" cm="1">
        <f t="array" ref="G1353">_xlfn.IFS(F1353&lt;=8,"Child",F1353&lt;=17,"Teen",F1353&lt;=35,"Adult",F1353&lt;=55,"Seniour Adult",F1353&gt;=55,"Old Age")</f>
        <v>Seniour Adult</v>
      </c>
      <c r="H1353" t="s">
        <v>67</v>
      </c>
      <c r="I1353" t="s">
        <v>11</v>
      </c>
      <c r="J1353" t="str" cm="1">
        <f t="array" ref="J1353">_xlfn.IFS(I1353="S","Sauthamptonm",I1353="Q","Queentown",I1353="C","Cherburg",I1353="B","Cabin")</f>
        <v>Sauthamptonm</v>
      </c>
      <c r="K1353" t="s">
        <v>15</v>
      </c>
      <c r="L1353" s="2">
        <v>29</v>
      </c>
      <c r="M1353">
        <v>0</v>
      </c>
      <c r="N1353" t="s">
        <v>30</v>
      </c>
      <c r="O1353" t="s">
        <v>13</v>
      </c>
    </row>
    <row r="1354" spans="1:15" x14ac:dyDescent="0.3">
      <c r="A1354" s="1" t="s">
        <v>2474</v>
      </c>
      <c r="B1354" t="s">
        <v>72</v>
      </c>
      <c r="C1354" t="s">
        <v>430</v>
      </c>
      <c r="D1354" t="str">
        <f t="shared" si="21"/>
        <v>Male</v>
      </c>
      <c r="E1354" t="s">
        <v>9</v>
      </c>
      <c r="F1354" s="2">
        <v>34</v>
      </c>
      <c r="G1354" s="2" t="str" cm="1">
        <f t="array" ref="G1354">_xlfn.IFS(F1354&lt;=8,"Child",F1354&lt;=17,"Teen",F1354&lt;=35,"Adult",F1354&lt;=55,"Seniour Adult",F1354&gt;=55,"Old Age")</f>
        <v>Adult</v>
      </c>
      <c r="H1354" t="s">
        <v>67</v>
      </c>
      <c r="I1354" t="s">
        <v>11</v>
      </c>
      <c r="J1354" t="str" cm="1">
        <f t="array" ref="J1354">_xlfn.IFS(I1354="S","Sauthamptonm",I1354="Q","Queentown",I1354="C","Cherburg",I1354="B","Cabin")</f>
        <v>Sauthamptonm</v>
      </c>
      <c r="K1354" t="s">
        <v>15</v>
      </c>
      <c r="L1354" s="2">
        <v>29</v>
      </c>
      <c r="M1354">
        <v>0</v>
      </c>
      <c r="N1354" t="s">
        <v>30</v>
      </c>
      <c r="O1354" t="s">
        <v>13</v>
      </c>
    </row>
    <row r="1355" spans="1:15" x14ac:dyDescent="0.3">
      <c r="A1355" s="1" t="s">
        <v>2475</v>
      </c>
      <c r="B1355" t="s">
        <v>72</v>
      </c>
      <c r="C1355" t="s">
        <v>561</v>
      </c>
      <c r="D1355" t="str">
        <f t="shared" si="21"/>
        <v>Male</v>
      </c>
      <c r="E1355" t="s">
        <v>9</v>
      </c>
      <c r="F1355" s="2">
        <v>22</v>
      </c>
      <c r="G1355" s="2" t="str" cm="1">
        <f t="array" ref="G1355">_xlfn.IFS(F1355&lt;=8,"Child",F1355&lt;=17,"Teen",F1355&lt;=35,"Adult",F1355&lt;=55,"Seniour Adult",F1355&gt;=55,"Old Age")</f>
        <v>Adult</v>
      </c>
      <c r="H1355" t="s">
        <v>67</v>
      </c>
      <c r="I1355" t="s">
        <v>11</v>
      </c>
      <c r="J1355" t="str" cm="1">
        <f t="array" ref="J1355">_xlfn.IFS(I1355="S","Sauthamptonm",I1355="Q","Queentown",I1355="C","Cherburg",I1355="B","Cabin")</f>
        <v>Sauthamptonm</v>
      </c>
      <c r="K1355" t="s">
        <v>15</v>
      </c>
      <c r="L1355" s="2">
        <v>29</v>
      </c>
      <c r="M1355">
        <v>0</v>
      </c>
      <c r="N1355" t="s">
        <v>30</v>
      </c>
      <c r="O1355" t="s">
        <v>16</v>
      </c>
    </row>
    <row r="1356" spans="1:15" x14ac:dyDescent="0.3">
      <c r="A1356" s="1" t="s">
        <v>2476</v>
      </c>
      <c r="B1356" t="s">
        <v>72</v>
      </c>
      <c r="C1356" t="s">
        <v>1933</v>
      </c>
      <c r="D1356" t="str">
        <f t="shared" si="21"/>
        <v>Male</v>
      </c>
      <c r="E1356" t="s">
        <v>9</v>
      </c>
      <c r="F1356" s="2">
        <v>30</v>
      </c>
      <c r="G1356" s="2" t="str" cm="1">
        <f t="array" ref="G1356">_xlfn.IFS(F1356&lt;=8,"Child",F1356&lt;=17,"Teen",F1356&lt;=35,"Adult",F1356&lt;=55,"Seniour Adult",F1356&gt;=55,"Old Age")</f>
        <v>Adult</v>
      </c>
      <c r="H1356" t="s">
        <v>51</v>
      </c>
      <c r="I1356" t="s">
        <v>11</v>
      </c>
      <c r="J1356" t="str" cm="1">
        <f t="array" ref="J1356">_xlfn.IFS(I1356="S","Sauthamptonm",I1356="Q","Queentown",I1356="C","Cherburg",I1356="B","Cabin")</f>
        <v>Sauthamptonm</v>
      </c>
      <c r="K1356" t="s">
        <v>15</v>
      </c>
      <c r="L1356" s="2">
        <v>29</v>
      </c>
      <c r="M1356">
        <v>0</v>
      </c>
      <c r="N1356" t="s">
        <v>30</v>
      </c>
      <c r="O1356" t="s">
        <v>16</v>
      </c>
    </row>
    <row r="1357" spans="1:15" x14ac:dyDescent="0.3">
      <c r="A1357" s="1" t="s">
        <v>2477</v>
      </c>
      <c r="B1357" t="s">
        <v>72</v>
      </c>
      <c r="C1357" t="s">
        <v>2478</v>
      </c>
      <c r="D1357" t="str">
        <f t="shared" si="21"/>
        <v>Male</v>
      </c>
      <c r="E1357" t="s">
        <v>9</v>
      </c>
      <c r="F1357" s="2">
        <v>23</v>
      </c>
      <c r="G1357" s="2" t="str" cm="1">
        <f t="array" ref="G1357">_xlfn.IFS(F1357&lt;=8,"Child",F1357&lt;=17,"Teen",F1357&lt;=35,"Adult",F1357&lt;=55,"Seniour Adult",F1357&gt;=55,"Old Age")</f>
        <v>Adult</v>
      </c>
      <c r="H1357" t="s">
        <v>67</v>
      </c>
      <c r="I1357" t="s">
        <v>11</v>
      </c>
      <c r="J1357" t="str" cm="1">
        <f t="array" ref="J1357">_xlfn.IFS(I1357="S","Sauthamptonm",I1357="Q","Queentown",I1357="C","Cherburg",I1357="B","Cabin")</f>
        <v>Sauthamptonm</v>
      </c>
      <c r="K1357" t="s">
        <v>15</v>
      </c>
      <c r="L1357" s="2">
        <v>29</v>
      </c>
      <c r="M1357">
        <v>0</v>
      </c>
      <c r="N1357" t="s">
        <v>30</v>
      </c>
      <c r="O1357" t="s">
        <v>16</v>
      </c>
    </row>
    <row r="1358" spans="1:15" x14ac:dyDescent="0.3">
      <c r="A1358" s="1" t="s">
        <v>2479</v>
      </c>
      <c r="B1358" t="s">
        <v>72</v>
      </c>
      <c r="C1358" t="s">
        <v>2480</v>
      </c>
      <c r="D1358" t="str">
        <f t="shared" si="21"/>
        <v>Male</v>
      </c>
      <c r="E1358" t="s">
        <v>9</v>
      </c>
      <c r="F1358" s="2">
        <v>20</v>
      </c>
      <c r="G1358" s="2" t="str" cm="1">
        <f t="array" ref="G1358">_xlfn.IFS(F1358&lt;=8,"Child",F1358&lt;=17,"Teen",F1358&lt;=35,"Adult",F1358&lt;=55,"Seniour Adult",F1358&gt;=55,"Old Age")</f>
        <v>Adult</v>
      </c>
      <c r="H1358" t="s">
        <v>51</v>
      </c>
      <c r="I1358" t="s">
        <v>11</v>
      </c>
      <c r="J1358" t="str" cm="1">
        <f t="array" ref="J1358">_xlfn.IFS(I1358="S","Sauthamptonm",I1358="Q","Queentown",I1358="C","Cherburg",I1358="B","Cabin")</f>
        <v>Sauthamptonm</v>
      </c>
      <c r="K1358" t="s">
        <v>15</v>
      </c>
      <c r="L1358" s="2">
        <v>29</v>
      </c>
      <c r="M1358">
        <v>0</v>
      </c>
      <c r="N1358" t="s">
        <v>30</v>
      </c>
      <c r="O1358" t="s">
        <v>13</v>
      </c>
    </row>
    <row r="1359" spans="1:15" x14ac:dyDescent="0.3">
      <c r="A1359" s="1" t="s">
        <v>2481</v>
      </c>
      <c r="B1359" t="s">
        <v>72</v>
      </c>
      <c r="C1359" t="s">
        <v>2482</v>
      </c>
      <c r="D1359" t="str">
        <f t="shared" si="21"/>
        <v>Male</v>
      </c>
      <c r="E1359" t="s">
        <v>9</v>
      </c>
      <c r="F1359" s="2">
        <v>17</v>
      </c>
      <c r="G1359" s="2" t="str" cm="1">
        <f t="array" ref="G1359">_xlfn.IFS(F1359&lt;=8,"Child",F1359&lt;=17,"Teen",F1359&lt;=35,"Adult",F1359&lt;=55,"Seniour Adult",F1359&gt;=55,"Old Age")</f>
        <v>Teen</v>
      </c>
      <c r="H1359" t="s">
        <v>68</v>
      </c>
      <c r="I1359" t="s">
        <v>11</v>
      </c>
      <c r="J1359" t="str" cm="1">
        <f t="array" ref="J1359">_xlfn.IFS(I1359="S","Sauthamptonm",I1359="Q","Queentown",I1359="C","Cherburg",I1359="B","Cabin")</f>
        <v>Sauthamptonm</v>
      </c>
      <c r="K1359" t="s">
        <v>15</v>
      </c>
      <c r="L1359" s="2">
        <v>29</v>
      </c>
      <c r="M1359">
        <v>0</v>
      </c>
      <c r="N1359" t="s">
        <v>30</v>
      </c>
      <c r="O1359" t="s">
        <v>13</v>
      </c>
    </row>
    <row r="1360" spans="1:15" x14ac:dyDescent="0.3">
      <c r="A1360" s="1" t="s">
        <v>2483</v>
      </c>
      <c r="B1360" t="s">
        <v>76</v>
      </c>
      <c r="C1360" t="s">
        <v>2484</v>
      </c>
      <c r="D1360" t="str">
        <f t="shared" si="21"/>
        <v>Female</v>
      </c>
      <c r="E1360" t="s">
        <v>14</v>
      </c>
      <c r="F1360" s="2">
        <v>36</v>
      </c>
      <c r="G1360" s="2" t="str" cm="1">
        <f t="array" ref="G1360">_xlfn.IFS(F1360&lt;=8,"Child",F1360&lt;=17,"Teen",F1360&lt;=35,"Adult",F1360&lt;=55,"Seniour Adult",F1360&gt;=55,"Old Age")</f>
        <v>Seniour Adult</v>
      </c>
      <c r="H1360" t="s">
        <v>67</v>
      </c>
      <c r="I1360" t="s">
        <v>11</v>
      </c>
      <c r="J1360" t="str" cm="1">
        <f t="array" ref="J1360">_xlfn.IFS(I1360="S","Sauthamptonm",I1360="Q","Queentown",I1360="C","Cherburg",I1360="B","Cabin")</f>
        <v>Sauthamptonm</v>
      </c>
      <c r="K1360" t="s">
        <v>15</v>
      </c>
      <c r="L1360" s="2">
        <v>29</v>
      </c>
      <c r="M1360">
        <v>0</v>
      </c>
      <c r="N1360" t="s">
        <v>30</v>
      </c>
      <c r="O1360" t="s">
        <v>16</v>
      </c>
    </row>
    <row r="1361" spans="1:15" x14ac:dyDescent="0.3">
      <c r="A1361" s="1" t="s">
        <v>2485</v>
      </c>
      <c r="B1361" t="s">
        <v>72</v>
      </c>
      <c r="C1361" t="s">
        <v>2486</v>
      </c>
      <c r="D1361" t="str">
        <f t="shared" si="21"/>
        <v>Male</v>
      </c>
      <c r="E1361" t="s">
        <v>9</v>
      </c>
      <c r="F1361" s="2">
        <v>23</v>
      </c>
      <c r="G1361" s="2" t="str" cm="1">
        <f t="array" ref="G1361">_xlfn.IFS(F1361&lt;=8,"Child",F1361&lt;=17,"Teen",F1361&lt;=35,"Adult",F1361&lt;=55,"Seniour Adult",F1361&gt;=55,"Old Age")</f>
        <v>Adult</v>
      </c>
      <c r="H1361" t="s">
        <v>67</v>
      </c>
      <c r="I1361" t="s">
        <v>11</v>
      </c>
      <c r="J1361" t="str" cm="1">
        <f t="array" ref="J1361">_xlfn.IFS(I1361="S","Sauthamptonm",I1361="Q","Queentown",I1361="C","Cherburg",I1361="B","Cabin")</f>
        <v>Sauthamptonm</v>
      </c>
      <c r="K1361" t="s">
        <v>15</v>
      </c>
      <c r="L1361" s="2">
        <v>29</v>
      </c>
      <c r="M1361">
        <v>0</v>
      </c>
      <c r="N1361" t="s">
        <v>30</v>
      </c>
      <c r="O1361" t="s">
        <v>13</v>
      </c>
    </row>
    <row r="1362" spans="1:15" x14ac:dyDescent="0.3">
      <c r="A1362" s="1" t="s">
        <v>2487</v>
      </c>
      <c r="B1362" t="s">
        <v>72</v>
      </c>
      <c r="C1362" t="s">
        <v>1876</v>
      </c>
      <c r="D1362" t="str">
        <f t="shared" si="21"/>
        <v>Male</v>
      </c>
      <c r="E1362" t="s">
        <v>9</v>
      </c>
      <c r="F1362" s="2">
        <v>24</v>
      </c>
      <c r="G1362" s="2" t="str" cm="1">
        <f t="array" ref="G1362">_xlfn.IFS(F1362&lt;=8,"Child",F1362&lt;=17,"Teen",F1362&lt;=35,"Adult",F1362&lt;=55,"Seniour Adult",F1362&gt;=55,"Old Age")</f>
        <v>Adult</v>
      </c>
      <c r="H1362" t="s">
        <v>51</v>
      </c>
      <c r="I1362" t="s">
        <v>11</v>
      </c>
      <c r="J1362" t="str" cm="1">
        <f t="array" ref="J1362">_xlfn.IFS(I1362="S","Sauthamptonm",I1362="Q","Queentown",I1362="C","Cherburg",I1362="B","Cabin")</f>
        <v>Sauthamptonm</v>
      </c>
      <c r="K1362" t="s">
        <v>15</v>
      </c>
      <c r="L1362" s="2">
        <v>29</v>
      </c>
      <c r="M1362">
        <v>0</v>
      </c>
      <c r="N1362" t="s">
        <v>30</v>
      </c>
      <c r="O1362" t="s">
        <v>16</v>
      </c>
    </row>
    <row r="1363" spans="1:15" x14ac:dyDescent="0.3">
      <c r="A1363" s="1" t="s">
        <v>2488</v>
      </c>
      <c r="B1363" t="s">
        <v>72</v>
      </c>
      <c r="C1363" t="s">
        <v>2489</v>
      </c>
      <c r="D1363" t="str">
        <f t="shared" si="21"/>
        <v>Male</v>
      </c>
      <c r="E1363" t="s">
        <v>9</v>
      </c>
      <c r="F1363" s="2">
        <v>21</v>
      </c>
      <c r="G1363" s="2" t="str" cm="1">
        <f t="array" ref="G1363">_xlfn.IFS(F1363&lt;=8,"Child",F1363&lt;=17,"Teen",F1363&lt;=35,"Adult",F1363&lt;=55,"Seniour Adult",F1363&gt;=55,"Old Age")</f>
        <v>Adult</v>
      </c>
      <c r="H1363" t="s">
        <v>67</v>
      </c>
      <c r="I1363" t="s">
        <v>11</v>
      </c>
      <c r="J1363" t="str" cm="1">
        <f t="array" ref="J1363">_xlfn.IFS(I1363="S","Sauthamptonm",I1363="Q","Queentown",I1363="C","Cherburg",I1363="B","Cabin")</f>
        <v>Sauthamptonm</v>
      </c>
      <c r="K1363" t="s">
        <v>15</v>
      </c>
      <c r="L1363" s="2">
        <v>29</v>
      </c>
      <c r="M1363">
        <v>0</v>
      </c>
      <c r="N1363" t="s">
        <v>30</v>
      </c>
      <c r="O1363" t="s">
        <v>16</v>
      </c>
    </row>
    <row r="1364" spans="1:15" x14ac:dyDescent="0.3">
      <c r="A1364" s="1" t="s">
        <v>2490</v>
      </c>
      <c r="B1364" t="s">
        <v>72</v>
      </c>
      <c r="C1364" t="s">
        <v>1019</v>
      </c>
      <c r="D1364" t="str">
        <f t="shared" si="21"/>
        <v>Male</v>
      </c>
      <c r="E1364" t="s">
        <v>9</v>
      </c>
      <c r="F1364" s="2">
        <v>46</v>
      </c>
      <c r="G1364" s="2" t="str" cm="1">
        <f t="array" ref="G1364">_xlfn.IFS(F1364&lt;=8,"Child",F1364&lt;=17,"Teen",F1364&lt;=35,"Adult",F1364&lt;=55,"Seniour Adult",F1364&gt;=55,"Old Age")</f>
        <v>Seniour Adult</v>
      </c>
      <c r="H1364" t="s">
        <v>67</v>
      </c>
      <c r="I1364" t="s">
        <v>28</v>
      </c>
      <c r="J1364" t="str" cm="1">
        <f t="array" ref="J1364">_xlfn.IFS(I1364="S","Sauthamptonm",I1364="Q","Queentown",I1364="C","Cherburg",I1364="B","Cabin")</f>
        <v>Cabin</v>
      </c>
      <c r="K1364" t="s">
        <v>15</v>
      </c>
      <c r="L1364" s="2">
        <v>29</v>
      </c>
      <c r="M1364">
        <v>0</v>
      </c>
      <c r="N1364" t="s">
        <v>30</v>
      </c>
      <c r="O1364" t="s">
        <v>13</v>
      </c>
    </row>
    <row r="1365" spans="1:15" x14ac:dyDescent="0.3">
      <c r="A1365" s="1" t="s">
        <v>2491</v>
      </c>
      <c r="B1365" t="s">
        <v>72</v>
      </c>
      <c r="C1365" t="s">
        <v>2492</v>
      </c>
      <c r="D1365" t="str">
        <f t="shared" si="21"/>
        <v>Male</v>
      </c>
      <c r="E1365" t="s">
        <v>9</v>
      </c>
      <c r="F1365" s="2">
        <v>22</v>
      </c>
      <c r="G1365" s="2" t="str" cm="1">
        <f t="array" ref="G1365">_xlfn.IFS(F1365&lt;=8,"Child",F1365&lt;=17,"Teen",F1365&lt;=35,"Adult",F1365&lt;=55,"Seniour Adult",F1365&gt;=55,"Old Age")</f>
        <v>Adult</v>
      </c>
      <c r="H1365" t="s">
        <v>51</v>
      </c>
      <c r="I1365" t="s">
        <v>11</v>
      </c>
      <c r="J1365" t="str" cm="1">
        <f t="array" ref="J1365">_xlfn.IFS(I1365="S","Sauthamptonm",I1365="Q","Queentown",I1365="C","Cherburg",I1365="B","Cabin")</f>
        <v>Sauthamptonm</v>
      </c>
      <c r="K1365" t="s">
        <v>15</v>
      </c>
      <c r="L1365" s="2">
        <v>29</v>
      </c>
      <c r="M1365">
        <v>0</v>
      </c>
      <c r="N1365" t="s">
        <v>30</v>
      </c>
      <c r="O1365" t="s">
        <v>13</v>
      </c>
    </row>
    <row r="1366" spans="1:15" x14ac:dyDescent="0.3">
      <c r="A1366" s="1" t="s">
        <v>2493</v>
      </c>
      <c r="B1366" t="s">
        <v>72</v>
      </c>
      <c r="C1366" t="s">
        <v>1686</v>
      </c>
      <c r="D1366" t="str">
        <f t="shared" si="21"/>
        <v>Male</v>
      </c>
      <c r="E1366" t="s">
        <v>9</v>
      </c>
      <c r="F1366" s="2">
        <v>23</v>
      </c>
      <c r="G1366" s="2" t="str" cm="1">
        <f t="array" ref="G1366">_xlfn.IFS(F1366&lt;=8,"Child",F1366&lt;=17,"Teen",F1366&lt;=35,"Adult",F1366&lt;=55,"Seniour Adult",F1366&gt;=55,"Old Age")</f>
        <v>Adult</v>
      </c>
      <c r="H1366" t="s">
        <v>67</v>
      </c>
      <c r="I1366" t="s">
        <v>11</v>
      </c>
      <c r="J1366" t="str" cm="1">
        <f t="array" ref="J1366">_xlfn.IFS(I1366="S","Sauthamptonm",I1366="Q","Queentown",I1366="C","Cherburg",I1366="B","Cabin")</f>
        <v>Sauthamptonm</v>
      </c>
      <c r="K1366" t="s">
        <v>15</v>
      </c>
      <c r="L1366" s="2">
        <v>29</v>
      </c>
      <c r="M1366">
        <v>0</v>
      </c>
      <c r="N1366" t="s">
        <v>30</v>
      </c>
      <c r="O1366" t="s">
        <v>13</v>
      </c>
    </row>
    <row r="1367" spans="1:15" x14ac:dyDescent="0.3">
      <c r="A1367" s="1" t="s">
        <v>2494</v>
      </c>
      <c r="B1367" t="s">
        <v>72</v>
      </c>
      <c r="C1367" t="s">
        <v>1226</v>
      </c>
      <c r="D1367" t="str">
        <f t="shared" si="21"/>
        <v>Male</v>
      </c>
      <c r="E1367" t="s">
        <v>9</v>
      </c>
      <c r="F1367" s="2">
        <v>20</v>
      </c>
      <c r="G1367" s="2" t="str" cm="1">
        <f t="array" ref="G1367">_xlfn.IFS(F1367&lt;=8,"Child",F1367&lt;=17,"Teen",F1367&lt;=35,"Adult",F1367&lt;=55,"Seniour Adult",F1367&gt;=55,"Old Age")</f>
        <v>Adult</v>
      </c>
      <c r="H1367" t="s">
        <v>67</v>
      </c>
      <c r="I1367" t="s">
        <v>11</v>
      </c>
      <c r="J1367" t="str" cm="1">
        <f t="array" ref="J1367">_xlfn.IFS(I1367="S","Sauthamptonm",I1367="Q","Queentown",I1367="C","Cherburg",I1367="B","Cabin")</f>
        <v>Sauthamptonm</v>
      </c>
      <c r="K1367" t="s">
        <v>15</v>
      </c>
      <c r="L1367" s="2">
        <v>29</v>
      </c>
      <c r="M1367">
        <v>0</v>
      </c>
      <c r="N1367" t="s">
        <v>30</v>
      </c>
      <c r="O1367" t="s">
        <v>16</v>
      </c>
    </row>
    <row r="1368" spans="1:15" x14ac:dyDescent="0.3">
      <c r="A1368" s="1" t="s">
        <v>2495</v>
      </c>
      <c r="B1368" t="s">
        <v>72</v>
      </c>
      <c r="C1368" t="s">
        <v>2496</v>
      </c>
      <c r="D1368" t="str">
        <f t="shared" si="21"/>
        <v>Male</v>
      </c>
      <c r="E1368" t="s">
        <v>9</v>
      </c>
      <c r="F1368" s="2">
        <v>22</v>
      </c>
      <c r="G1368" s="2" t="str" cm="1">
        <f t="array" ref="G1368">_xlfn.IFS(F1368&lt;=8,"Child",F1368&lt;=17,"Teen",F1368&lt;=35,"Adult",F1368&lt;=55,"Seniour Adult",F1368&gt;=55,"Old Age")</f>
        <v>Adult</v>
      </c>
      <c r="H1368" t="s">
        <v>51</v>
      </c>
      <c r="I1368" t="s">
        <v>11</v>
      </c>
      <c r="J1368" t="str" cm="1">
        <f t="array" ref="J1368">_xlfn.IFS(I1368="S","Sauthamptonm",I1368="Q","Queentown",I1368="C","Cherburg",I1368="B","Cabin")</f>
        <v>Sauthamptonm</v>
      </c>
      <c r="K1368" t="s">
        <v>15</v>
      </c>
      <c r="L1368" s="2">
        <v>29</v>
      </c>
      <c r="M1368">
        <v>0</v>
      </c>
      <c r="N1368" t="s">
        <v>30</v>
      </c>
      <c r="O1368" t="s">
        <v>16</v>
      </c>
    </row>
    <row r="1369" spans="1:15" x14ac:dyDescent="0.3">
      <c r="A1369" s="1" t="s">
        <v>2497</v>
      </c>
      <c r="B1369" t="s">
        <v>72</v>
      </c>
      <c r="C1369" t="s">
        <v>1047</v>
      </c>
      <c r="D1369" t="str">
        <f t="shared" si="21"/>
        <v>Male</v>
      </c>
      <c r="E1369" t="s">
        <v>9</v>
      </c>
      <c r="F1369" s="2">
        <v>44</v>
      </c>
      <c r="G1369" s="2" t="str" cm="1">
        <f t="array" ref="G1369">_xlfn.IFS(F1369&lt;=8,"Child",F1369&lt;=17,"Teen",F1369&lt;=35,"Adult",F1369&lt;=55,"Seniour Adult",F1369&gt;=55,"Old Age")</f>
        <v>Seniour Adult</v>
      </c>
      <c r="H1369" t="s">
        <v>67</v>
      </c>
      <c r="I1369" t="s">
        <v>28</v>
      </c>
      <c r="J1369" t="str" cm="1">
        <f t="array" ref="J1369">_xlfn.IFS(I1369="S","Sauthamptonm",I1369="Q","Queentown",I1369="C","Cherburg",I1369="B","Cabin")</f>
        <v>Cabin</v>
      </c>
      <c r="K1369" t="s">
        <v>15</v>
      </c>
      <c r="L1369" s="2">
        <v>29</v>
      </c>
      <c r="M1369">
        <v>0</v>
      </c>
      <c r="N1369" t="s">
        <v>30</v>
      </c>
      <c r="O1369" t="s">
        <v>13</v>
      </c>
    </row>
    <row r="1370" spans="1:15" x14ac:dyDescent="0.3">
      <c r="A1370" s="1" t="s">
        <v>2498</v>
      </c>
      <c r="B1370" t="s">
        <v>72</v>
      </c>
      <c r="C1370" t="s">
        <v>2499</v>
      </c>
      <c r="D1370" t="str">
        <f t="shared" si="21"/>
        <v>Male</v>
      </c>
      <c r="E1370" t="s">
        <v>9</v>
      </c>
      <c r="F1370" s="2">
        <v>29</v>
      </c>
      <c r="G1370" s="2" t="str" cm="1">
        <f t="array" ref="G1370">_xlfn.IFS(F1370&lt;=8,"Child",F1370&lt;=17,"Teen",F1370&lt;=35,"Adult",F1370&lt;=55,"Seniour Adult",F1370&gt;=55,"Old Age")</f>
        <v>Adult</v>
      </c>
      <c r="H1370" t="s">
        <v>67</v>
      </c>
      <c r="I1370" t="s">
        <v>11</v>
      </c>
      <c r="J1370" t="str" cm="1">
        <f t="array" ref="J1370">_xlfn.IFS(I1370="S","Sauthamptonm",I1370="Q","Queentown",I1370="C","Cherburg",I1370="B","Cabin")</f>
        <v>Sauthamptonm</v>
      </c>
      <c r="K1370" t="s">
        <v>15</v>
      </c>
      <c r="L1370" s="2">
        <v>29</v>
      </c>
      <c r="M1370">
        <v>0</v>
      </c>
      <c r="N1370" t="s">
        <v>30</v>
      </c>
      <c r="O1370" t="s">
        <v>13</v>
      </c>
    </row>
    <row r="1371" spans="1:15" x14ac:dyDescent="0.3">
      <c r="A1371" s="1" t="s">
        <v>2500</v>
      </c>
      <c r="B1371" t="s">
        <v>72</v>
      </c>
      <c r="C1371" t="s">
        <v>128</v>
      </c>
      <c r="D1371" t="str">
        <f t="shared" si="21"/>
        <v>Male</v>
      </c>
      <c r="E1371" t="s">
        <v>9</v>
      </c>
      <c r="F1371" s="2">
        <v>29</v>
      </c>
      <c r="G1371" s="2" t="str" cm="1">
        <f t="array" ref="G1371">_xlfn.IFS(F1371&lt;=8,"Child",F1371&lt;=17,"Teen",F1371&lt;=35,"Adult",F1371&lt;=55,"Seniour Adult",F1371&gt;=55,"Old Age")</f>
        <v>Adult</v>
      </c>
      <c r="H1371" t="s">
        <v>51</v>
      </c>
      <c r="I1371" t="s">
        <v>11</v>
      </c>
      <c r="J1371" t="str" cm="1">
        <f t="array" ref="J1371">_xlfn.IFS(I1371="S","Sauthamptonm",I1371="Q","Queentown",I1371="C","Cherburg",I1371="B","Cabin")</f>
        <v>Sauthamptonm</v>
      </c>
      <c r="K1371" t="s">
        <v>15</v>
      </c>
      <c r="L1371" s="2">
        <v>29</v>
      </c>
      <c r="M1371">
        <v>0</v>
      </c>
      <c r="N1371" t="s">
        <v>30</v>
      </c>
      <c r="O1371" t="s">
        <v>16</v>
      </c>
    </row>
    <row r="1372" spans="1:15" x14ac:dyDescent="0.3">
      <c r="A1372" s="1" t="s">
        <v>2501</v>
      </c>
      <c r="B1372" t="s">
        <v>72</v>
      </c>
      <c r="C1372" t="s">
        <v>2502</v>
      </c>
      <c r="D1372" t="str">
        <f t="shared" si="21"/>
        <v>Male</v>
      </c>
      <c r="E1372" t="s">
        <v>9</v>
      </c>
      <c r="F1372" s="2">
        <v>50</v>
      </c>
      <c r="G1372" s="2" t="str" cm="1">
        <f t="array" ref="G1372">_xlfn.IFS(F1372&lt;=8,"Child",F1372&lt;=17,"Teen",F1372&lt;=35,"Adult",F1372&lt;=55,"Seniour Adult",F1372&gt;=55,"Old Age")</f>
        <v>Seniour Adult</v>
      </c>
      <c r="H1372" t="s">
        <v>67</v>
      </c>
      <c r="I1372" t="s">
        <v>28</v>
      </c>
      <c r="J1372" t="str" cm="1">
        <f t="array" ref="J1372">_xlfn.IFS(I1372="S","Sauthamptonm",I1372="Q","Queentown",I1372="C","Cherburg",I1372="B","Cabin")</f>
        <v>Cabin</v>
      </c>
      <c r="K1372" t="s">
        <v>15</v>
      </c>
      <c r="L1372" s="2">
        <v>29</v>
      </c>
      <c r="M1372">
        <v>0</v>
      </c>
      <c r="N1372" t="s">
        <v>30</v>
      </c>
      <c r="O1372" t="s">
        <v>13</v>
      </c>
    </row>
    <row r="1373" spans="1:15" x14ac:dyDescent="0.3">
      <c r="A1373" s="1" t="s">
        <v>2503</v>
      </c>
      <c r="B1373" t="s">
        <v>72</v>
      </c>
      <c r="C1373" t="s">
        <v>107</v>
      </c>
      <c r="D1373" t="str">
        <f t="shared" si="21"/>
        <v>Male</v>
      </c>
      <c r="E1373" t="s">
        <v>9</v>
      </c>
      <c r="F1373" s="2">
        <v>38</v>
      </c>
      <c r="G1373" s="2" t="str" cm="1">
        <f t="array" ref="G1373">_xlfn.IFS(F1373&lt;=8,"Child",F1373&lt;=17,"Teen",F1373&lt;=35,"Adult",F1373&lt;=55,"Seniour Adult",F1373&gt;=55,"Old Age")</f>
        <v>Seniour Adult</v>
      </c>
      <c r="H1373" t="s">
        <v>67</v>
      </c>
      <c r="I1373" t="s">
        <v>28</v>
      </c>
      <c r="J1373" t="str" cm="1">
        <f t="array" ref="J1373">_xlfn.IFS(I1373="S","Sauthamptonm",I1373="Q","Queentown",I1373="C","Cherburg",I1373="B","Cabin")</f>
        <v>Cabin</v>
      </c>
      <c r="K1373" t="s">
        <v>33</v>
      </c>
      <c r="L1373" s="2">
        <v>29</v>
      </c>
      <c r="M1373">
        <v>0</v>
      </c>
      <c r="N1373" t="s">
        <v>30</v>
      </c>
      <c r="O1373" t="s">
        <v>13</v>
      </c>
    </row>
    <row r="1374" spans="1:15" x14ac:dyDescent="0.3">
      <c r="A1374" s="1" t="s">
        <v>2504</v>
      </c>
      <c r="B1374" t="s">
        <v>1766</v>
      </c>
      <c r="C1374" t="s">
        <v>2505</v>
      </c>
      <c r="D1374" t="str">
        <f t="shared" si="21"/>
        <v>Male</v>
      </c>
      <c r="E1374" t="s">
        <v>9</v>
      </c>
      <c r="F1374" s="2">
        <v>21</v>
      </c>
      <c r="G1374" s="2" t="str" cm="1">
        <f t="array" ref="G1374">_xlfn.IFS(F1374&lt;=8,"Child",F1374&lt;=17,"Teen",F1374&lt;=35,"Adult",F1374&lt;=55,"Seniour Adult",F1374&gt;=55,"Old Age")</f>
        <v>Adult</v>
      </c>
      <c r="H1374" t="s">
        <v>68</v>
      </c>
      <c r="I1374" t="s">
        <v>11</v>
      </c>
      <c r="J1374" t="str" cm="1">
        <f t="array" ref="J1374">_xlfn.IFS(I1374="S","Sauthamptonm",I1374="Q","Queentown",I1374="C","Cherburg",I1374="B","Cabin")</f>
        <v>Sauthamptonm</v>
      </c>
      <c r="K1374" t="s">
        <v>15</v>
      </c>
      <c r="L1374" s="2">
        <v>29</v>
      </c>
      <c r="M1374">
        <v>0</v>
      </c>
      <c r="N1374" t="s">
        <v>30</v>
      </c>
      <c r="O1374" t="s">
        <v>13</v>
      </c>
    </row>
    <row r="1375" spans="1:15" x14ac:dyDescent="0.3">
      <c r="A1375" s="1" t="s">
        <v>2506</v>
      </c>
      <c r="B1375" t="s">
        <v>72</v>
      </c>
      <c r="C1375" t="s">
        <v>2507</v>
      </c>
      <c r="D1375" t="str">
        <f t="shared" si="21"/>
        <v>Male</v>
      </c>
      <c r="E1375" t="s">
        <v>9</v>
      </c>
      <c r="F1375" s="2">
        <v>32</v>
      </c>
      <c r="G1375" s="2" t="str" cm="1">
        <f t="array" ref="G1375">_xlfn.IFS(F1375&lt;=8,"Child",F1375&lt;=17,"Teen",F1375&lt;=35,"Adult",F1375&lt;=55,"Seniour Adult",F1375&gt;=55,"Old Age")</f>
        <v>Adult</v>
      </c>
      <c r="H1375" t="s">
        <v>67</v>
      </c>
      <c r="I1375" t="s">
        <v>28</v>
      </c>
      <c r="J1375" t="str" cm="1">
        <f t="array" ref="J1375">_xlfn.IFS(I1375="S","Sauthamptonm",I1375="Q","Queentown",I1375="C","Cherburg",I1375="B","Cabin")</f>
        <v>Cabin</v>
      </c>
      <c r="K1375" t="s">
        <v>15</v>
      </c>
      <c r="L1375" s="2">
        <v>29</v>
      </c>
      <c r="M1375">
        <v>0</v>
      </c>
      <c r="N1375" t="s">
        <v>30</v>
      </c>
      <c r="O1375" t="s">
        <v>16</v>
      </c>
    </row>
    <row r="1376" spans="1:15" x14ac:dyDescent="0.3">
      <c r="A1376" s="1" t="s">
        <v>2508</v>
      </c>
      <c r="B1376" t="s">
        <v>72</v>
      </c>
      <c r="C1376" t="s">
        <v>347</v>
      </c>
      <c r="D1376" t="str">
        <f t="shared" si="21"/>
        <v>Male</v>
      </c>
      <c r="E1376" t="s">
        <v>9</v>
      </c>
      <c r="F1376" s="2">
        <v>20</v>
      </c>
      <c r="G1376" s="2" t="str" cm="1">
        <f t="array" ref="G1376">_xlfn.IFS(F1376&lt;=8,"Child",F1376&lt;=17,"Teen",F1376&lt;=35,"Adult",F1376&lt;=55,"Seniour Adult",F1376&gt;=55,"Old Age")</f>
        <v>Adult</v>
      </c>
      <c r="H1376" t="s">
        <v>51</v>
      </c>
      <c r="I1376" t="s">
        <v>11</v>
      </c>
      <c r="J1376" t="str" cm="1">
        <f t="array" ref="J1376">_xlfn.IFS(I1376="S","Sauthamptonm",I1376="Q","Queentown",I1376="C","Cherburg",I1376="B","Cabin")</f>
        <v>Sauthamptonm</v>
      </c>
      <c r="K1376" t="s">
        <v>15</v>
      </c>
      <c r="L1376" s="2">
        <v>29</v>
      </c>
      <c r="M1376">
        <v>0</v>
      </c>
      <c r="N1376" t="s">
        <v>30</v>
      </c>
      <c r="O1376" t="s">
        <v>13</v>
      </c>
    </row>
    <row r="1377" spans="1:15" x14ac:dyDescent="0.3">
      <c r="A1377" s="1" t="s">
        <v>2509</v>
      </c>
      <c r="B1377" t="s">
        <v>72</v>
      </c>
      <c r="C1377" t="s">
        <v>2510</v>
      </c>
      <c r="D1377" t="str">
        <f t="shared" si="21"/>
        <v>Male</v>
      </c>
      <c r="E1377" t="s">
        <v>9</v>
      </c>
      <c r="F1377" s="2">
        <v>30</v>
      </c>
      <c r="G1377" s="2" t="str" cm="1">
        <f t="array" ref="G1377">_xlfn.IFS(F1377&lt;=8,"Child",F1377&lt;=17,"Teen",F1377&lt;=35,"Adult",F1377&lt;=55,"Seniour Adult",F1377&gt;=55,"Old Age")</f>
        <v>Adult</v>
      </c>
      <c r="H1377" t="s">
        <v>51</v>
      </c>
      <c r="I1377" t="s">
        <v>11</v>
      </c>
      <c r="J1377" t="str" cm="1">
        <f t="array" ref="J1377">_xlfn.IFS(I1377="S","Sauthamptonm",I1377="Q","Queentown",I1377="C","Cherburg",I1377="B","Cabin")</f>
        <v>Sauthamptonm</v>
      </c>
      <c r="K1377" t="s">
        <v>15</v>
      </c>
      <c r="L1377" s="2">
        <v>29</v>
      </c>
      <c r="M1377">
        <v>0</v>
      </c>
      <c r="N1377" t="s">
        <v>30</v>
      </c>
      <c r="O1377" t="s">
        <v>13</v>
      </c>
    </row>
    <row r="1378" spans="1:15" x14ac:dyDescent="0.3">
      <c r="A1378" s="1" t="s">
        <v>2511</v>
      </c>
      <c r="B1378" t="s">
        <v>72</v>
      </c>
      <c r="C1378" t="s">
        <v>2512</v>
      </c>
      <c r="D1378" t="str">
        <f t="shared" si="21"/>
        <v>Male</v>
      </c>
      <c r="E1378" t="s">
        <v>9</v>
      </c>
      <c r="F1378" s="2">
        <v>31</v>
      </c>
      <c r="G1378" s="2" t="str" cm="1">
        <f t="array" ref="G1378">_xlfn.IFS(F1378&lt;=8,"Child",F1378&lt;=17,"Teen",F1378&lt;=35,"Adult",F1378&lt;=55,"Seniour Adult",F1378&gt;=55,"Old Age")</f>
        <v>Adult</v>
      </c>
      <c r="H1378" t="s">
        <v>67</v>
      </c>
      <c r="I1378" t="s">
        <v>28</v>
      </c>
      <c r="J1378" t="str" cm="1">
        <f t="array" ref="J1378">_xlfn.IFS(I1378="S","Sauthamptonm",I1378="Q","Queentown",I1378="C","Cherburg",I1378="B","Cabin")</f>
        <v>Cabin</v>
      </c>
      <c r="K1378" t="s">
        <v>15</v>
      </c>
      <c r="L1378" s="2">
        <v>29</v>
      </c>
      <c r="M1378">
        <v>0</v>
      </c>
      <c r="N1378" t="s">
        <v>30</v>
      </c>
      <c r="O1378" t="s">
        <v>13</v>
      </c>
    </row>
    <row r="1379" spans="1:15" x14ac:dyDescent="0.3">
      <c r="A1379" s="1" t="s">
        <v>2513</v>
      </c>
      <c r="B1379" t="s">
        <v>1766</v>
      </c>
      <c r="C1379" t="s">
        <v>2514</v>
      </c>
      <c r="D1379" t="str">
        <f t="shared" si="21"/>
        <v>Male</v>
      </c>
      <c r="E1379" t="s">
        <v>9</v>
      </c>
      <c r="F1379" s="2">
        <v>22</v>
      </c>
      <c r="G1379" s="2" t="str" cm="1">
        <f t="array" ref="G1379">_xlfn.IFS(F1379&lt;=8,"Child",F1379&lt;=17,"Teen",F1379&lt;=35,"Adult",F1379&lt;=55,"Seniour Adult",F1379&gt;=55,"Old Age")</f>
        <v>Adult</v>
      </c>
      <c r="H1379" t="s">
        <v>68</v>
      </c>
      <c r="I1379" t="s">
        <v>11</v>
      </c>
      <c r="J1379" t="str" cm="1">
        <f t="array" ref="J1379">_xlfn.IFS(I1379="S","Sauthamptonm",I1379="Q","Queentown",I1379="C","Cherburg",I1379="B","Cabin")</f>
        <v>Sauthamptonm</v>
      </c>
      <c r="K1379" t="s">
        <v>15</v>
      </c>
      <c r="L1379" s="2">
        <v>29</v>
      </c>
      <c r="M1379">
        <v>0</v>
      </c>
      <c r="N1379" t="s">
        <v>30</v>
      </c>
      <c r="O1379" t="s">
        <v>13</v>
      </c>
    </row>
    <row r="1380" spans="1:15" x14ac:dyDescent="0.3">
      <c r="A1380" s="1" t="s">
        <v>2515</v>
      </c>
      <c r="B1380" t="s">
        <v>72</v>
      </c>
      <c r="C1380" t="s">
        <v>2516</v>
      </c>
      <c r="D1380" t="str">
        <f t="shared" si="21"/>
        <v>Male</v>
      </c>
      <c r="E1380" t="s">
        <v>9</v>
      </c>
      <c r="F1380" s="2">
        <v>36</v>
      </c>
      <c r="G1380" s="2" t="str" cm="1">
        <f t="array" ref="G1380">_xlfn.IFS(F1380&lt;=8,"Child",F1380&lt;=17,"Teen",F1380&lt;=35,"Adult",F1380&lt;=55,"Seniour Adult",F1380&gt;=55,"Old Age")</f>
        <v>Seniour Adult</v>
      </c>
      <c r="H1380" t="s">
        <v>51</v>
      </c>
      <c r="I1380" t="s">
        <v>11</v>
      </c>
      <c r="J1380" t="str" cm="1">
        <f t="array" ref="J1380">_xlfn.IFS(I1380="S","Sauthamptonm",I1380="Q","Queentown",I1380="C","Cherburg",I1380="B","Cabin")</f>
        <v>Sauthamptonm</v>
      </c>
      <c r="K1380" t="s">
        <v>15</v>
      </c>
      <c r="L1380" s="2">
        <v>29</v>
      </c>
      <c r="M1380">
        <v>0</v>
      </c>
      <c r="N1380" t="s">
        <v>30</v>
      </c>
      <c r="O1380" t="s">
        <v>13</v>
      </c>
    </row>
    <row r="1381" spans="1:15" x14ac:dyDescent="0.3">
      <c r="A1381" s="1" t="s">
        <v>2517</v>
      </c>
      <c r="B1381" t="s">
        <v>72</v>
      </c>
      <c r="C1381" t="s">
        <v>2518</v>
      </c>
      <c r="D1381" t="str">
        <f t="shared" si="21"/>
        <v>Male</v>
      </c>
      <c r="E1381" t="s">
        <v>9</v>
      </c>
      <c r="F1381" s="2">
        <v>22</v>
      </c>
      <c r="G1381" s="2" t="str" cm="1">
        <f t="array" ref="G1381">_xlfn.IFS(F1381&lt;=8,"Child",F1381&lt;=17,"Teen",F1381&lt;=35,"Adult",F1381&lt;=55,"Seniour Adult",F1381&gt;=55,"Old Age")</f>
        <v>Adult</v>
      </c>
      <c r="H1381" t="s">
        <v>67</v>
      </c>
      <c r="I1381" t="s">
        <v>11</v>
      </c>
      <c r="J1381" t="str" cm="1">
        <f t="array" ref="J1381">_xlfn.IFS(I1381="S","Sauthamptonm",I1381="Q","Queentown",I1381="C","Cherburg",I1381="B","Cabin")</f>
        <v>Sauthamptonm</v>
      </c>
      <c r="K1381" t="s">
        <v>15</v>
      </c>
      <c r="L1381" s="2">
        <v>29</v>
      </c>
      <c r="M1381">
        <v>0</v>
      </c>
      <c r="N1381" t="s">
        <v>30</v>
      </c>
      <c r="O1381" t="s">
        <v>13</v>
      </c>
    </row>
    <row r="1382" spans="1:15" x14ac:dyDescent="0.3">
      <c r="A1382" s="1" t="s">
        <v>2519</v>
      </c>
      <c r="B1382" t="s">
        <v>72</v>
      </c>
      <c r="C1382" t="s">
        <v>2520</v>
      </c>
      <c r="D1382" t="str">
        <f t="shared" si="21"/>
        <v>Male</v>
      </c>
      <c r="E1382" t="s">
        <v>9</v>
      </c>
      <c r="F1382" s="2">
        <v>30</v>
      </c>
      <c r="G1382" s="2" t="str" cm="1">
        <f t="array" ref="G1382">_xlfn.IFS(F1382&lt;=8,"Child",F1382&lt;=17,"Teen",F1382&lt;=35,"Adult",F1382&lt;=55,"Seniour Adult",F1382&gt;=55,"Old Age")</f>
        <v>Adult</v>
      </c>
      <c r="H1382" t="s">
        <v>67</v>
      </c>
      <c r="I1382" t="s">
        <v>11</v>
      </c>
      <c r="J1382" t="str" cm="1">
        <f t="array" ref="J1382">_xlfn.IFS(I1382="S","Sauthamptonm",I1382="Q","Queentown",I1382="C","Cherburg",I1382="B","Cabin")</f>
        <v>Sauthamptonm</v>
      </c>
      <c r="K1382" t="s">
        <v>15</v>
      </c>
      <c r="L1382" s="2">
        <v>29</v>
      </c>
      <c r="M1382">
        <v>0</v>
      </c>
      <c r="N1382" t="s">
        <v>30</v>
      </c>
      <c r="O1382" t="s">
        <v>13</v>
      </c>
    </row>
    <row r="1383" spans="1:15" x14ac:dyDescent="0.3">
      <c r="A1383" s="1" t="s">
        <v>2521</v>
      </c>
      <c r="B1383" t="s">
        <v>1766</v>
      </c>
      <c r="C1383" t="s">
        <v>2522</v>
      </c>
      <c r="D1383" t="str">
        <f t="shared" si="21"/>
        <v>Male</v>
      </c>
      <c r="E1383" t="s">
        <v>9</v>
      </c>
      <c r="F1383" s="2">
        <v>22</v>
      </c>
      <c r="G1383" s="2" t="str" cm="1">
        <f t="array" ref="G1383">_xlfn.IFS(F1383&lt;=8,"Child",F1383&lt;=17,"Teen",F1383&lt;=35,"Adult",F1383&lt;=55,"Seniour Adult",F1383&gt;=55,"Old Age")</f>
        <v>Adult</v>
      </c>
      <c r="H1383" t="s">
        <v>68</v>
      </c>
      <c r="I1383" t="s">
        <v>11</v>
      </c>
      <c r="J1383" t="str" cm="1">
        <f t="array" ref="J1383">_xlfn.IFS(I1383="S","Sauthamptonm",I1383="Q","Queentown",I1383="C","Cherburg",I1383="B","Cabin")</f>
        <v>Sauthamptonm</v>
      </c>
      <c r="K1383" t="s">
        <v>15</v>
      </c>
      <c r="L1383" s="2">
        <v>29</v>
      </c>
      <c r="M1383">
        <v>0</v>
      </c>
      <c r="N1383" t="s">
        <v>30</v>
      </c>
      <c r="O1383" t="s">
        <v>13</v>
      </c>
    </row>
    <row r="1384" spans="1:15" x14ac:dyDescent="0.3">
      <c r="A1384" s="1" t="s">
        <v>2523</v>
      </c>
      <c r="B1384" t="s">
        <v>72</v>
      </c>
      <c r="C1384" t="s">
        <v>2524</v>
      </c>
      <c r="D1384" t="str">
        <f t="shared" si="21"/>
        <v>Male</v>
      </c>
      <c r="E1384" t="s">
        <v>9</v>
      </c>
      <c r="F1384" s="2">
        <v>29</v>
      </c>
      <c r="G1384" s="2" t="str" cm="1">
        <f t="array" ref="G1384">_xlfn.IFS(F1384&lt;=8,"Child",F1384&lt;=17,"Teen",F1384&lt;=35,"Adult",F1384&lt;=55,"Seniour Adult",F1384&gt;=55,"Old Age")</f>
        <v>Adult</v>
      </c>
      <c r="H1384" t="s">
        <v>67</v>
      </c>
      <c r="I1384" t="s">
        <v>11</v>
      </c>
      <c r="J1384" t="str" cm="1">
        <f t="array" ref="J1384">_xlfn.IFS(I1384="S","Sauthamptonm",I1384="Q","Queentown",I1384="C","Cherburg",I1384="B","Cabin")</f>
        <v>Sauthamptonm</v>
      </c>
      <c r="K1384" t="s">
        <v>15</v>
      </c>
      <c r="L1384" s="2">
        <v>29</v>
      </c>
      <c r="M1384">
        <v>0</v>
      </c>
      <c r="N1384" t="s">
        <v>30</v>
      </c>
      <c r="O1384" t="s">
        <v>13</v>
      </c>
    </row>
    <row r="1385" spans="1:15" x14ac:dyDescent="0.3">
      <c r="A1385" s="1" t="s">
        <v>2525</v>
      </c>
      <c r="B1385" t="s">
        <v>72</v>
      </c>
      <c r="C1385" t="s">
        <v>692</v>
      </c>
      <c r="D1385" t="str">
        <f t="shared" si="21"/>
        <v>Male</v>
      </c>
      <c r="E1385" t="s">
        <v>9</v>
      </c>
      <c r="F1385" s="2">
        <v>19</v>
      </c>
      <c r="G1385" s="2" t="str" cm="1">
        <f t="array" ref="G1385">_xlfn.IFS(F1385&lt;=8,"Child",F1385&lt;=17,"Teen",F1385&lt;=35,"Adult",F1385&lt;=55,"Seniour Adult",F1385&gt;=55,"Old Age")</f>
        <v>Adult</v>
      </c>
      <c r="H1385" t="s">
        <v>67</v>
      </c>
      <c r="I1385" t="s">
        <v>11</v>
      </c>
      <c r="J1385" t="str" cm="1">
        <f t="array" ref="J1385">_xlfn.IFS(I1385="S","Sauthamptonm",I1385="Q","Queentown",I1385="C","Cherburg",I1385="B","Cabin")</f>
        <v>Sauthamptonm</v>
      </c>
      <c r="K1385" t="s">
        <v>15</v>
      </c>
      <c r="L1385" s="2">
        <v>29</v>
      </c>
      <c r="M1385">
        <v>0</v>
      </c>
      <c r="N1385" t="s">
        <v>30</v>
      </c>
      <c r="O1385" t="s">
        <v>13</v>
      </c>
    </row>
    <row r="1386" spans="1:15" x14ac:dyDescent="0.3">
      <c r="A1386" s="1" t="s">
        <v>2526</v>
      </c>
      <c r="B1386" t="s">
        <v>72</v>
      </c>
      <c r="C1386" t="s">
        <v>684</v>
      </c>
      <c r="D1386" t="str">
        <f t="shared" si="21"/>
        <v>Male</v>
      </c>
      <c r="E1386" t="s">
        <v>9</v>
      </c>
      <c r="F1386" s="2">
        <v>37</v>
      </c>
      <c r="G1386" s="2" t="str" cm="1">
        <f t="array" ref="G1386">_xlfn.IFS(F1386&lt;=8,"Child",F1386&lt;=17,"Teen",F1386&lt;=35,"Adult",F1386&lt;=55,"Seniour Adult",F1386&gt;=55,"Old Age")</f>
        <v>Seniour Adult</v>
      </c>
      <c r="H1386" t="s">
        <v>67</v>
      </c>
      <c r="I1386" t="s">
        <v>28</v>
      </c>
      <c r="J1386" t="str" cm="1">
        <f t="array" ref="J1386">_xlfn.IFS(I1386="S","Sauthamptonm",I1386="Q","Queentown",I1386="C","Cherburg",I1386="B","Cabin")</f>
        <v>Cabin</v>
      </c>
      <c r="K1386" t="s">
        <v>15</v>
      </c>
      <c r="L1386" s="2">
        <v>29</v>
      </c>
      <c r="M1386">
        <v>0</v>
      </c>
      <c r="N1386" t="s">
        <v>30</v>
      </c>
      <c r="O1386" t="s">
        <v>13</v>
      </c>
    </row>
    <row r="1387" spans="1:15" x14ac:dyDescent="0.3">
      <c r="A1387" s="1" t="s">
        <v>2527</v>
      </c>
      <c r="B1387" t="s">
        <v>72</v>
      </c>
      <c r="C1387" t="s">
        <v>1650</v>
      </c>
      <c r="D1387" t="str">
        <f t="shared" si="21"/>
        <v>Male</v>
      </c>
      <c r="E1387" t="s">
        <v>9</v>
      </c>
      <c r="F1387" s="2">
        <v>30</v>
      </c>
      <c r="G1387" s="2" t="str" cm="1">
        <f t="array" ref="G1387">_xlfn.IFS(F1387&lt;=8,"Child",F1387&lt;=17,"Teen",F1387&lt;=35,"Adult",F1387&lt;=55,"Seniour Adult",F1387&gt;=55,"Old Age")</f>
        <v>Adult</v>
      </c>
      <c r="H1387" t="s">
        <v>67</v>
      </c>
      <c r="I1387" t="s">
        <v>11</v>
      </c>
      <c r="J1387" t="str" cm="1">
        <f t="array" ref="J1387">_xlfn.IFS(I1387="S","Sauthamptonm",I1387="Q","Queentown",I1387="C","Cherburg",I1387="B","Cabin")</f>
        <v>Sauthamptonm</v>
      </c>
      <c r="K1387" t="s">
        <v>15</v>
      </c>
      <c r="L1387" s="2">
        <v>29</v>
      </c>
      <c r="M1387">
        <v>0</v>
      </c>
      <c r="N1387" t="s">
        <v>30</v>
      </c>
      <c r="O1387" t="s">
        <v>13</v>
      </c>
    </row>
    <row r="1388" spans="1:15" x14ac:dyDescent="0.3">
      <c r="A1388" s="1" t="s">
        <v>2528</v>
      </c>
      <c r="B1388" t="s">
        <v>1766</v>
      </c>
      <c r="C1388" t="s">
        <v>2529</v>
      </c>
      <c r="D1388" t="str">
        <f t="shared" si="21"/>
        <v>Male</v>
      </c>
      <c r="E1388" t="s">
        <v>9</v>
      </c>
      <c r="F1388" s="2">
        <v>23</v>
      </c>
      <c r="G1388" s="2" t="str" cm="1">
        <f t="array" ref="G1388">_xlfn.IFS(F1388&lt;=8,"Child",F1388&lt;=17,"Teen",F1388&lt;=35,"Adult",F1388&lt;=55,"Seniour Adult",F1388&gt;=55,"Old Age")</f>
        <v>Adult</v>
      </c>
      <c r="H1388" t="s">
        <v>68</v>
      </c>
      <c r="I1388" t="s">
        <v>11</v>
      </c>
      <c r="J1388" t="str" cm="1">
        <f t="array" ref="J1388">_xlfn.IFS(I1388="S","Sauthamptonm",I1388="Q","Queentown",I1388="C","Cherburg",I1388="B","Cabin")</f>
        <v>Sauthamptonm</v>
      </c>
      <c r="K1388" t="s">
        <v>15</v>
      </c>
      <c r="L1388" s="2">
        <v>29</v>
      </c>
      <c r="M1388">
        <v>0</v>
      </c>
      <c r="N1388" t="s">
        <v>30</v>
      </c>
      <c r="O1388" t="s">
        <v>13</v>
      </c>
    </row>
    <row r="1389" spans="1:15" x14ac:dyDescent="0.3">
      <c r="A1389" s="1" t="s">
        <v>2530</v>
      </c>
      <c r="B1389" t="s">
        <v>72</v>
      </c>
      <c r="C1389" t="s">
        <v>1876</v>
      </c>
      <c r="D1389" t="str">
        <f t="shared" si="21"/>
        <v>Male</v>
      </c>
      <c r="E1389" t="s">
        <v>9</v>
      </c>
      <c r="F1389" s="2">
        <v>26</v>
      </c>
      <c r="G1389" s="2" t="str" cm="1">
        <f t="array" ref="G1389">_xlfn.IFS(F1389&lt;=8,"Child",F1389&lt;=17,"Teen",F1389&lt;=35,"Adult",F1389&lt;=55,"Seniour Adult",F1389&gt;=55,"Old Age")</f>
        <v>Adult</v>
      </c>
      <c r="H1389" t="s">
        <v>51</v>
      </c>
      <c r="I1389" t="s">
        <v>28</v>
      </c>
      <c r="J1389" t="str" cm="1">
        <f t="array" ref="J1389">_xlfn.IFS(I1389="S","Sauthamptonm",I1389="Q","Queentown",I1389="C","Cherburg",I1389="B","Cabin")</f>
        <v>Cabin</v>
      </c>
      <c r="K1389" t="s">
        <v>15</v>
      </c>
      <c r="L1389" s="2">
        <v>29</v>
      </c>
      <c r="M1389">
        <v>0</v>
      </c>
      <c r="N1389" t="s">
        <v>30</v>
      </c>
      <c r="O1389" t="s">
        <v>13</v>
      </c>
    </row>
    <row r="1390" spans="1:15" x14ac:dyDescent="0.3">
      <c r="A1390" s="1" t="s">
        <v>2531</v>
      </c>
      <c r="B1390" t="s">
        <v>72</v>
      </c>
      <c r="C1390" t="s">
        <v>1067</v>
      </c>
      <c r="D1390" t="str">
        <f t="shared" si="21"/>
        <v>Male</v>
      </c>
      <c r="E1390" t="s">
        <v>9</v>
      </c>
      <c r="F1390" s="2">
        <v>49</v>
      </c>
      <c r="G1390" s="2" t="str" cm="1">
        <f t="array" ref="G1390">_xlfn.IFS(F1390&lt;=8,"Child",F1390&lt;=17,"Teen",F1390&lt;=35,"Adult",F1390&lt;=55,"Seniour Adult",F1390&gt;=55,"Old Age")</f>
        <v>Seniour Adult</v>
      </c>
      <c r="H1390" t="s">
        <v>68</v>
      </c>
      <c r="I1390" t="s">
        <v>11</v>
      </c>
      <c r="J1390" t="str" cm="1">
        <f t="array" ref="J1390">_xlfn.IFS(I1390="S","Sauthamptonm",I1390="Q","Queentown",I1390="C","Cherburg",I1390="B","Cabin")</f>
        <v>Sauthamptonm</v>
      </c>
      <c r="K1390" t="s">
        <v>15</v>
      </c>
      <c r="L1390" s="2">
        <v>29</v>
      </c>
      <c r="M1390">
        <v>0</v>
      </c>
      <c r="N1390" t="s">
        <v>30</v>
      </c>
      <c r="O1390" t="s">
        <v>13</v>
      </c>
    </row>
    <row r="1391" spans="1:15" x14ac:dyDescent="0.3">
      <c r="A1391" s="1" t="s">
        <v>2532</v>
      </c>
      <c r="B1391" t="s">
        <v>72</v>
      </c>
      <c r="C1391" t="s">
        <v>251</v>
      </c>
      <c r="D1391" t="str">
        <f t="shared" si="21"/>
        <v>Male</v>
      </c>
      <c r="E1391" t="s">
        <v>9</v>
      </c>
      <c r="F1391" s="2">
        <v>24</v>
      </c>
      <c r="G1391" s="2" t="str" cm="1">
        <f t="array" ref="G1391">_xlfn.IFS(F1391&lt;=8,"Child",F1391&lt;=17,"Teen",F1391&lt;=35,"Adult",F1391&lt;=55,"Seniour Adult",F1391&gt;=55,"Old Age")</f>
        <v>Adult</v>
      </c>
      <c r="H1391" t="s">
        <v>51</v>
      </c>
      <c r="I1391" t="s">
        <v>11</v>
      </c>
      <c r="J1391" t="str" cm="1">
        <f t="array" ref="J1391">_xlfn.IFS(I1391="S","Sauthamptonm",I1391="Q","Queentown",I1391="C","Cherburg",I1391="B","Cabin")</f>
        <v>Sauthamptonm</v>
      </c>
      <c r="K1391" t="s">
        <v>15</v>
      </c>
      <c r="L1391" s="2">
        <v>29</v>
      </c>
      <c r="M1391">
        <v>0</v>
      </c>
      <c r="N1391" t="s">
        <v>30</v>
      </c>
      <c r="O1391" t="s">
        <v>13</v>
      </c>
    </row>
    <row r="1392" spans="1:15" x14ac:dyDescent="0.3">
      <c r="A1392" s="1" t="s">
        <v>2533</v>
      </c>
      <c r="B1392" t="s">
        <v>72</v>
      </c>
      <c r="C1392" t="s">
        <v>2534</v>
      </c>
      <c r="D1392" t="str">
        <f t="shared" si="21"/>
        <v>Male</v>
      </c>
      <c r="E1392" t="s">
        <v>9</v>
      </c>
      <c r="F1392" s="2">
        <v>58</v>
      </c>
      <c r="G1392" s="2" t="str" cm="1">
        <f t="array" ref="G1392">_xlfn.IFS(F1392&lt;=8,"Child",F1392&lt;=17,"Teen",F1392&lt;=35,"Adult",F1392&lt;=55,"Seniour Adult",F1392&gt;=55,"Old Age")</f>
        <v>Old Age</v>
      </c>
      <c r="H1392" t="s">
        <v>67</v>
      </c>
      <c r="I1392" t="s">
        <v>28</v>
      </c>
      <c r="J1392" t="str" cm="1">
        <f t="array" ref="J1392">_xlfn.IFS(I1392="S","Sauthamptonm",I1392="Q","Queentown",I1392="C","Cherburg",I1392="B","Cabin")</f>
        <v>Cabin</v>
      </c>
      <c r="K1392" t="s">
        <v>15</v>
      </c>
      <c r="L1392" s="2">
        <v>29</v>
      </c>
      <c r="M1392">
        <v>0</v>
      </c>
      <c r="N1392" t="s">
        <v>30</v>
      </c>
      <c r="O1392" t="s">
        <v>16</v>
      </c>
    </row>
    <row r="1393" spans="1:15" x14ac:dyDescent="0.3">
      <c r="A1393" s="1" t="s">
        <v>2535</v>
      </c>
      <c r="B1393" t="s">
        <v>72</v>
      </c>
      <c r="C1393" t="s">
        <v>2536</v>
      </c>
      <c r="D1393" t="str">
        <f t="shared" si="21"/>
        <v>Male</v>
      </c>
      <c r="E1393" t="s">
        <v>9</v>
      </c>
      <c r="F1393" s="2">
        <v>17</v>
      </c>
      <c r="G1393" s="2" t="str" cm="1">
        <f t="array" ref="G1393">_xlfn.IFS(F1393&lt;=8,"Child",F1393&lt;=17,"Teen",F1393&lt;=35,"Adult",F1393&lt;=55,"Seniour Adult",F1393&gt;=55,"Old Age")</f>
        <v>Teen</v>
      </c>
      <c r="H1393" t="s">
        <v>67</v>
      </c>
      <c r="I1393" t="s">
        <v>11</v>
      </c>
      <c r="J1393" t="str" cm="1">
        <f t="array" ref="J1393">_xlfn.IFS(I1393="S","Sauthamptonm",I1393="Q","Queentown",I1393="C","Cherburg",I1393="B","Cabin")</f>
        <v>Sauthamptonm</v>
      </c>
      <c r="K1393" t="s">
        <v>15</v>
      </c>
      <c r="L1393" s="2">
        <v>29</v>
      </c>
      <c r="M1393">
        <v>0</v>
      </c>
      <c r="N1393" t="s">
        <v>30</v>
      </c>
      <c r="O1393" t="s">
        <v>13</v>
      </c>
    </row>
    <row r="1394" spans="1:15" x14ac:dyDescent="0.3">
      <c r="A1394" s="1" t="s">
        <v>2537</v>
      </c>
      <c r="B1394" t="s">
        <v>72</v>
      </c>
      <c r="C1394" t="s">
        <v>2538</v>
      </c>
      <c r="D1394" t="str">
        <f t="shared" si="21"/>
        <v>Male</v>
      </c>
      <c r="E1394" t="s">
        <v>9</v>
      </c>
      <c r="F1394" s="2">
        <v>27</v>
      </c>
      <c r="G1394" s="2" t="str" cm="1">
        <f t="array" ref="G1394">_xlfn.IFS(F1394&lt;=8,"Child",F1394&lt;=17,"Teen",F1394&lt;=35,"Adult",F1394&lt;=55,"Seniour Adult",F1394&gt;=55,"Old Age")</f>
        <v>Adult</v>
      </c>
      <c r="H1394" t="s">
        <v>51</v>
      </c>
      <c r="I1394" t="s">
        <v>11</v>
      </c>
      <c r="J1394" t="str" cm="1">
        <f t="array" ref="J1394">_xlfn.IFS(I1394="S","Sauthamptonm",I1394="Q","Queentown",I1394="C","Cherburg",I1394="B","Cabin")</f>
        <v>Sauthamptonm</v>
      </c>
      <c r="K1394" t="s">
        <v>15</v>
      </c>
      <c r="L1394" s="2">
        <v>29</v>
      </c>
      <c r="M1394">
        <v>0</v>
      </c>
      <c r="N1394" t="s">
        <v>30</v>
      </c>
      <c r="O1394" t="s">
        <v>13</v>
      </c>
    </row>
    <row r="1395" spans="1:15" x14ac:dyDescent="0.3">
      <c r="A1395" s="1" t="s">
        <v>2539</v>
      </c>
      <c r="B1395" t="s">
        <v>1766</v>
      </c>
      <c r="C1395" t="s">
        <v>2540</v>
      </c>
      <c r="D1395" t="str">
        <f t="shared" si="21"/>
        <v>Male</v>
      </c>
      <c r="E1395" t="s">
        <v>9</v>
      </c>
      <c r="F1395" s="2">
        <v>24</v>
      </c>
      <c r="G1395" s="2" t="str" cm="1">
        <f t="array" ref="G1395">_xlfn.IFS(F1395&lt;=8,"Child",F1395&lt;=17,"Teen",F1395&lt;=35,"Adult",F1395&lt;=55,"Seniour Adult",F1395&gt;=55,"Old Age")</f>
        <v>Adult</v>
      </c>
      <c r="H1395" t="s">
        <v>68</v>
      </c>
      <c r="I1395" t="s">
        <v>11</v>
      </c>
      <c r="J1395" t="str" cm="1">
        <f t="array" ref="J1395">_xlfn.IFS(I1395="S","Sauthamptonm",I1395="Q","Queentown",I1395="C","Cherburg",I1395="B","Cabin")</f>
        <v>Sauthamptonm</v>
      </c>
      <c r="K1395" t="s">
        <v>38</v>
      </c>
      <c r="L1395" s="2">
        <v>29</v>
      </c>
      <c r="M1395">
        <v>0</v>
      </c>
      <c r="N1395" t="s">
        <v>30</v>
      </c>
      <c r="O1395" t="s">
        <v>13</v>
      </c>
    </row>
    <row r="1396" spans="1:15" x14ac:dyDescent="0.3">
      <c r="A1396" s="1" t="s">
        <v>2541</v>
      </c>
      <c r="B1396" t="s">
        <v>1766</v>
      </c>
      <c r="C1396" t="s">
        <v>1997</v>
      </c>
      <c r="D1396" t="str">
        <f t="shared" si="21"/>
        <v>Male</v>
      </c>
      <c r="E1396" t="s">
        <v>9</v>
      </c>
      <c r="F1396" s="2">
        <v>25</v>
      </c>
      <c r="G1396" s="2" t="str" cm="1">
        <f t="array" ref="G1396">_xlfn.IFS(F1396&lt;=8,"Child",F1396&lt;=17,"Teen",F1396&lt;=35,"Adult",F1396&lt;=55,"Seniour Adult",F1396&gt;=55,"Old Age")</f>
        <v>Adult</v>
      </c>
      <c r="H1396" t="s">
        <v>68</v>
      </c>
      <c r="I1396" t="s">
        <v>11</v>
      </c>
      <c r="J1396" t="str" cm="1">
        <f t="array" ref="J1396">_xlfn.IFS(I1396="S","Sauthamptonm",I1396="Q","Queentown",I1396="C","Cherburg",I1396="B","Cabin")</f>
        <v>Sauthamptonm</v>
      </c>
      <c r="K1396" t="s">
        <v>15</v>
      </c>
      <c r="L1396" s="2">
        <v>29</v>
      </c>
      <c r="M1396">
        <v>0</v>
      </c>
      <c r="N1396" t="s">
        <v>30</v>
      </c>
      <c r="O1396" t="s">
        <v>13</v>
      </c>
    </row>
    <row r="1397" spans="1:15" x14ac:dyDescent="0.3">
      <c r="A1397" s="1" t="s">
        <v>2542</v>
      </c>
      <c r="B1397" t="s">
        <v>72</v>
      </c>
      <c r="C1397" t="s">
        <v>2543</v>
      </c>
      <c r="D1397" t="str">
        <f t="shared" si="21"/>
        <v>Male</v>
      </c>
      <c r="E1397" t="s">
        <v>9</v>
      </c>
      <c r="F1397" s="2">
        <v>47</v>
      </c>
      <c r="G1397" s="2" t="str" cm="1">
        <f t="array" ref="G1397">_xlfn.IFS(F1397&lt;=8,"Child",F1397&lt;=17,"Teen",F1397&lt;=35,"Adult",F1397&lt;=55,"Seniour Adult",F1397&gt;=55,"Old Age")</f>
        <v>Seniour Adult</v>
      </c>
      <c r="H1397" t="s">
        <v>67</v>
      </c>
      <c r="I1397" t="s">
        <v>11</v>
      </c>
      <c r="J1397" t="str" cm="1">
        <f t="array" ref="J1397">_xlfn.IFS(I1397="S","Sauthamptonm",I1397="Q","Queentown",I1397="C","Cherburg",I1397="B","Cabin")</f>
        <v>Sauthamptonm</v>
      </c>
      <c r="K1397" t="s">
        <v>40</v>
      </c>
      <c r="L1397" s="2">
        <v>29</v>
      </c>
      <c r="M1397">
        <v>0</v>
      </c>
      <c r="N1397" t="s">
        <v>30</v>
      </c>
      <c r="O1397" t="s">
        <v>13</v>
      </c>
    </row>
    <row r="1398" spans="1:15" x14ac:dyDescent="0.3">
      <c r="A1398" s="1" t="s">
        <v>2544</v>
      </c>
      <c r="B1398" t="s">
        <v>72</v>
      </c>
      <c r="C1398" t="s">
        <v>472</v>
      </c>
      <c r="D1398" t="str">
        <f t="shared" si="21"/>
        <v>Male</v>
      </c>
      <c r="E1398" t="s">
        <v>9</v>
      </c>
      <c r="F1398" s="2">
        <v>30</v>
      </c>
      <c r="G1398" s="2" t="str" cm="1">
        <f t="array" ref="G1398">_xlfn.IFS(F1398&lt;=8,"Child",F1398&lt;=17,"Teen",F1398&lt;=35,"Adult",F1398&lt;=55,"Seniour Adult",F1398&gt;=55,"Old Age")</f>
        <v>Adult</v>
      </c>
      <c r="H1398" t="s">
        <v>51</v>
      </c>
      <c r="I1398" t="s">
        <v>11</v>
      </c>
      <c r="J1398" t="str" cm="1">
        <f t="array" ref="J1398">_xlfn.IFS(I1398="S","Sauthamptonm",I1398="Q","Queentown",I1398="C","Cherburg",I1398="B","Cabin")</f>
        <v>Sauthamptonm</v>
      </c>
      <c r="K1398" t="s">
        <v>15</v>
      </c>
      <c r="L1398" s="2">
        <v>29</v>
      </c>
      <c r="M1398">
        <v>0</v>
      </c>
      <c r="N1398" t="s">
        <v>30</v>
      </c>
      <c r="O1398" t="s">
        <v>13</v>
      </c>
    </row>
    <row r="1399" spans="1:15" x14ac:dyDescent="0.3">
      <c r="A1399" s="1" t="s">
        <v>2545</v>
      </c>
      <c r="B1399" t="s">
        <v>1766</v>
      </c>
      <c r="C1399" t="s">
        <v>1134</v>
      </c>
      <c r="D1399" t="str">
        <f t="shared" si="21"/>
        <v>Male</v>
      </c>
      <c r="E1399" t="s">
        <v>9</v>
      </c>
      <c r="F1399" s="2">
        <v>24</v>
      </c>
      <c r="G1399" s="2" t="str" cm="1">
        <f t="array" ref="G1399">_xlfn.IFS(F1399&lt;=8,"Child",F1399&lt;=17,"Teen",F1399&lt;=35,"Adult",F1399&lt;=55,"Seniour Adult",F1399&gt;=55,"Old Age")</f>
        <v>Adult</v>
      </c>
      <c r="H1399" t="s">
        <v>68</v>
      </c>
      <c r="I1399" t="s">
        <v>11</v>
      </c>
      <c r="J1399" t="str" cm="1">
        <f t="array" ref="J1399">_xlfn.IFS(I1399="S","Sauthamptonm",I1399="Q","Queentown",I1399="C","Cherburg",I1399="B","Cabin")</f>
        <v>Sauthamptonm</v>
      </c>
      <c r="K1399" t="s">
        <v>15</v>
      </c>
      <c r="L1399" s="2">
        <v>29</v>
      </c>
      <c r="M1399">
        <v>0</v>
      </c>
      <c r="N1399" t="s">
        <v>30</v>
      </c>
      <c r="O1399" t="s">
        <v>13</v>
      </c>
    </row>
    <row r="1400" spans="1:15" x14ac:dyDescent="0.3">
      <c r="A1400" s="1" t="s">
        <v>2546</v>
      </c>
      <c r="B1400" t="s">
        <v>72</v>
      </c>
      <c r="C1400" t="s">
        <v>1837</v>
      </c>
      <c r="D1400" t="str">
        <f t="shared" si="21"/>
        <v>Male</v>
      </c>
      <c r="E1400" t="s">
        <v>9</v>
      </c>
      <c r="F1400" s="2">
        <v>26</v>
      </c>
      <c r="G1400" s="2" t="str" cm="1">
        <f t="array" ref="G1400">_xlfn.IFS(F1400&lt;=8,"Child",F1400&lt;=17,"Teen",F1400&lt;=35,"Adult",F1400&lt;=55,"Seniour Adult",F1400&gt;=55,"Old Age")</f>
        <v>Adult</v>
      </c>
      <c r="H1400" t="s">
        <v>67</v>
      </c>
      <c r="I1400" t="s">
        <v>11</v>
      </c>
      <c r="J1400" t="str" cm="1">
        <f t="array" ref="J1400">_xlfn.IFS(I1400="S","Sauthamptonm",I1400="Q","Queentown",I1400="C","Cherburg",I1400="B","Cabin")</f>
        <v>Sauthamptonm</v>
      </c>
      <c r="K1400" t="s">
        <v>15</v>
      </c>
      <c r="L1400" s="2">
        <v>29</v>
      </c>
      <c r="M1400">
        <v>0</v>
      </c>
      <c r="N1400" t="s">
        <v>30</v>
      </c>
      <c r="O1400" t="s">
        <v>13</v>
      </c>
    </row>
    <row r="1401" spans="1:15" x14ac:dyDescent="0.3">
      <c r="A1401" s="1" t="s">
        <v>2547</v>
      </c>
      <c r="B1401" t="s">
        <v>72</v>
      </c>
      <c r="C1401" t="s">
        <v>1491</v>
      </c>
      <c r="D1401" t="str">
        <f t="shared" si="21"/>
        <v>Male</v>
      </c>
      <c r="E1401" t="s">
        <v>9</v>
      </c>
      <c r="F1401" s="2">
        <v>23</v>
      </c>
      <c r="G1401" s="2" t="str" cm="1">
        <f t="array" ref="G1401">_xlfn.IFS(F1401&lt;=8,"Child",F1401&lt;=17,"Teen",F1401&lt;=35,"Adult",F1401&lt;=55,"Seniour Adult",F1401&gt;=55,"Old Age")</f>
        <v>Adult</v>
      </c>
      <c r="H1401" t="s">
        <v>67</v>
      </c>
      <c r="I1401" t="s">
        <v>11</v>
      </c>
      <c r="J1401" t="str" cm="1">
        <f t="array" ref="J1401">_xlfn.IFS(I1401="S","Sauthamptonm",I1401="Q","Queentown",I1401="C","Cherburg",I1401="B","Cabin")</f>
        <v>Sauthamptonm</v>
      </c>
      <c r="K1401" t="s">
        <v>15</v>
      </c>
      <c r="L1401" s="2">
        <v>29</v>
      </c>
      <c r="M1401">
        <v>0</v>
      </c>
      <c r="N1401" t="s">
        <v>30</v>
      </c>
      <c r="O1401" t="s">
        <v>16</v>
      </c>
    </row>
    <row r="1402" spans="1:15" x14ac:dyDescent="0.3">
      <c r="A1402" s="1" t="s">
        <v>2548</v>
      </c>
      <c r="B1402" t="s">
        <v>72</v>
      </c>
      <c r="C1402" t="s">
        <v>2549</v>
      </c>
      <c r="D1402" t="str">
        <f t="shared" si="21"/>
        <v>Male</v>
      </c>
      <c r="E1402" t="s">
        <v>9</v>
      </c>
      <c r="F1402" s="2">
        <v>33</v>
      </c>
      <c r="G1402" s="2" t="str" cm="1">
        <f t="array" ref="G1402">_xlfn.IFS(F1402&lt;=8,"Child",F1402&lt;=17,"Teen",F1402&lt;=35,"Adult",F1402&lt;=55,"Seniour Adult",F1402&gt;=55,"Old Age")</f>
        <v>Adult</v>
      </c>
      <c r="H1402" t="s">
        <v>69</v>
      </c>
      <c r="I1402" t="s">
        <v>11</v>
      </c>
      <c r="J1402" t="str" cm="1">
        <f t="array" ref="J1402">_xlfn.IFS(I1402="S","Sauthamptonm",I1402="Q","Queentown",I1402="C","Cherburg",I1402="B","Cabin")</f>
        <v>Sauthamptonm</v>
      </c>
      <c r="K1402" t="s">
        <v>15</v>
      </c>
      <c r="L1402" s="2">
        <v>29</v>
      </c>
      <c r="M1402">
        <v>0</v>
      </c>
      <c r="N1402" t="s">
        <v>30</v>
      </c>
      <c r="O1402" t="s">
        <v>16</v>
      </c>
    </row>
    <row r="1403" spans="1:15" x14ac:dyDescent="0.3">
      <c r="A1403" s="1" t="s">
        <v>2550</v>
      </c>
      <c r="B1403" t="s">
        <v>1766</v>
      </c>
      <c r="C1403" t="s">
        <v>2551</v>
      </c>
      <c r="D1403" t="str">
        <f t="shared" si="21"/>
        <v>Male</v>
      </c>
      <c r="E1403" t="s">
        <v>9</v>
      </c>
      <c r="F1403" s="2">
        <v>42</v>
      </c>
      <c r="G1403" s="2" t="str" cm="1">
        <f t="array" ref="G1403">_xlfn.IFS(F1403&lt;=8,"Child",F1403&lt;=17,"Teen",F1403&lt;=35,"Adult",F1403&lt;=55,"Seniour Adult",F1403&gt;=55,"Old Age")</f>
        <v>Seniour Adult</v>
      </c>
      <c r="H1403" t="s">
        <v>68</v>
      </c>
      <c r="I1403" t="s">
        <v>11</v>
      </c>
      <c r="J1403" t="str" cm="1">
        <f t="array" ref="J1403">_xlfn.IFS(I1403="S","Sauthamptonm",I1403="Q","Queentown",I1403="C","Cherburg",I1403="B","Cabin")</f>
        <v>Sauthamptonm</v>
      </c>
      <c r="K1403" t="s">
        <v>38</v>
      </c>
      <c r="L1403" s="2">
        <v>29</v>
      </c>
      <c r="M1403">
        <v>0</v>
      </c>
      <c r="N1403" t="s">
        <v>30</v>
      </c>
      <c r="O1403" t="s">
        <v>13</v>
      </c>
    </row>
    <row r="1404" spans="1:15" x14ac:dyDescent="0.3">
      <c r="A1404" s="1" t="s">
        <v>2552</v>
      </c>
      <c r="B1404" t="s">
        <v>72</v>
      </c>
      <c r="C1404" t="s">
        <v>689</v>
      </c>
      <c r="D1404" t="str">
        <f t="shared" si="21"/>
        <v>Male</v>
      </c>
      <c r="E1404" t="s">
        <v>9</v>
      </c>
      <c r="F1404" s="2">
        <v>41</v>
      </c>
      <c r="G1404" s="2" t="str" cm="1">
        <f t="array" ref="G1404">_xlfn.IFS(F1404&lt;=8,"Child",F1404&lt;=17,"Teen",F1404&lt;=35,"Adult",F1404&lt;=55,"Seniour Adult",F1404&gt;=55,"Old Age")</f>
        <v>Seniour Adult</v>
      </c>
      <c r="H1404" t="s">
        <v>51</v>
      </c>
      <c r="I1404" t="s">
        <v>11</v>
      </c>
      <c r="J1404" t="str" cm="1">
        <f t="array" ref="J1404">_xlfn.IFS(I1404="S","Sauthamptonm",I1404="Q","Queentown",I1404="C","Cherburg",I1404="B","Cabin")</f>
        <v>Sauthamptonm</v>
      </c>
      <c r="K1404" t="s">
        <v>29</v>
      </c>
      <c r="L1404" s="2">
        <v>29</v>
      </c>
      <c r="M1404">
        <v>0</v>
      </c>
      <c r="N1404" t="s">
        <v>30</v>
      </c>
      <c r="O1404" t="s">
        <v>13</v>
      </c>
    </row>
    <row r="1405" spans="1:15" x14ac:dyDescent="0.3">
      <c r="A1405" s="1" t="s">
        <v>2553</v>
      </c>
      <c r="B1405" t="s">
        <v>72</v>
      </c>
      <c r="C1405" t="s">
        <v>932</v>
      </c>
      <c r="D1405" t="str">
        <f t="shared" si="21"/>
        <v>Male</v>
      </c>
      <c r="E1405" t="s">
        <v>9</v>
      </c>
      <c r="F1405" s="2">
        <v>55</v>
      </c>
      <c r="G1405" s="2" t="str" cm="1">
        <f t="array" ref="G1405">_xlfn.IFS(F1405&lt;=8,"Child",F1405&lt;=17,"Teen",F1405&lt;=35,"Adult",F1405&lt;=55,"Seniour Adult",F1405&gt;=55,"Old Age")</f>
        <v>Seniour Adult</v>
      </c>
      <c r="H1405" t="s">
        <v>67</v>
      </c>
      <c r="I1405" t="s">
        <v>11</v>
      </c>
      <c r="J1405" t="str" cm="1">
        <f t="array" ref="J1405">_xlfn.IFS(I1405="S","Sauthamptonm",I1405="Q","Queentown",I1405="C","Cherburg",I1405="B","Cabin")</f>
        <v>Sauthamptonm</v>
      </c>
      <c r="K1405" t="s">
        <v>15</v>
      </c>
      <c r="L1405" s="2">
        <v>29</v>
      </c>
      <c r="M1405">
        <v>0</v>
      </c>
      <c r="N1405" t="s">
        <v>30</v>
      </c>
      <c r="O1405" t="s">
        <v>13</v>
      </c>
    </row>
    <row r="1406" spans="1:15" x14ac:dyDescent="0.3">
      <c r="A1406" s="1" t="s">
        <v>2554</v>
      </c>
      <c r="B1406" t="s">
        <v>72</v>
      </c>
      <c r="C1406" t="s">
        <v>2555</v>
      </c>
      <c r="D1406" t="str">
        <f t="shared" si="21"/>
        <v>Male</v>
      </c>
      <c r="E1406" t="s">
        <v>9</v>
      </c>
      <c r="F1406" s="2">
        <v>25</v>
      </c>
      <c r="G1406" s="2" t="str" cm="1">
        <f t="array" ref="G1406">_xlfn.IFS(F1406&lt;=8,"Child",F1406&lt;=17,"Teen",F1406&lt;=35,"Adult",F1406&lt;=55,"Seniour Adult",F1406&gt;=55,"Old Age")</f>
        <v>Adult</v>
      </c>
      <c r="H1406" t="s">
        <v>67</v>
      </c>
      <c r="I1406" t="s">
        <v>11</v>
      </c>
      <c r="J1406" t="str" cm="1">
        <f t="array" ref="J1406">_xlfn.IFS(I1406="S","Sauthamptonm",I1406="Q","Queentown",I1406="C","Cherburg",I1406="B","Cabin")</f>
        <v>Sauthamptonm</v>
      </c>
      <c r="K1406" t="s">
        <v>15</v>
      </c>
      <c r="L1406" s="2">
        <v>29</v>
      </c>
      <c r="M1406">
        <v>0</v>
      </c>
      <c r="N1406" t="s">
        <v>30</v>
      </c>
      <c r="O1406" t="s">
        <v>13</v>
      </c>
    </row>
    <row r="1407" spans="1:15" x14ac:dyDescent="0.3">
      <c r="A1407" s="1" t="s">
        <v>2556</v>
      </c>
      <c r="B1407" t="s">
        <v>72</v>
      </c>
      <c r="C1407" t="s">
        <v>2557</v>
      </c>
      <c r="D1407" t="str">
        <f t="shared" si="21"/>
        <v>Male</v>
      </c>
      <c r="E1407" t="s">
        <v>9</v>
      </c>
      <c r="F1407" s="2">
        <v>24</v>
      </c>
      <c r="G1407" s="2" t="str" cm="1">
        <f t="array" ref="G1407">_xlfn.IFS(F1407&lt;=8,"Child",F1407&lt;=17,"Teen",F1407&lt;=35,"Adult",F1407&lt;=55,"Seniour Adult",F1407&gt;=55,"Old Age")</f>
        <v>Adult</v>
      </c>
      <c r="H1407" t="s">
        <v>51</v>
      </c>
      <c r="I1407" t="s">
        <v>11</v>
      </c>
      <c r="J1407" t="str" cm="1">
        <f t="array" ref="J1407">_xlfn.IFS(I1407="S","Sauthamptonm",I1407="Q","Queentown",I1407="C","Cherburg",I1407="B","Cabin")</f>
        <v>Sauthamptonm</v>
      </c>
      <c r="K1407" t="s">
        <v>15</v>
      </c>
      <c r="L1407" s="2">
        <v>29</v>
      </c>
      <c r="M1407">
        <v>0</v>
      </c>
      <c r="N1407" t="s">
        <v>30</v>
      </c>
      <c r="O1407" t="s">
        <v>16</v>
      </c>
    </row>
    <row r="1408" spans="1:15" x14ac:dyDescent="0.3">
      <c r="A1408" s="1" t="s">
        <v>2559</v>
      </c>
      <c r="B1408" t="s">
        <v>72</v>
      </c>
      <c r="C1408" t="s">
        <v>119</v>
      </c>
      <c r="D1408" t="str">
        <f t="shared" si="21"/>
        <v>Male</v>
      </c>
      <c r="E1408" t="s">
        <v>9</v>
      </c>
      <c r="F1408" s="2">
        <v>31</v>
      </c>
      <c r="G1408" s="2" t="str" cm="1">
        <f t="array" ref="G1408">_xlfn.IFS(F1408&lt;=8,"Child",F1408&lt;=17,"Teen",F1408&lt;=35,"Adult",F1408&lt;=55,"Seniour Adult",F1408&gt;=55,"Old Age")</f>
        <v>Adult</v>
      </c>
      <c r="H1408" t="s">
        <v>51</v>
      </c>
      <c r="I1408" t="s">
        <v>11</v>
      </c>
      <c r="J1408" t="str" cm="1">
        <f t="array" ref="J1408">_xlfn.IFS(I1408="S","Sauthamptonm",I1408="Q","Queentown",I1408="C","Cherburg",I1408="B","Cabin")</f>
        <v>Sauthamptonm</v>
      </c>
      <c r="K1408" t="s">
        <v>15</v>
      </c>
      <c r="L1408" s="2">
        <v>29</v>
      </c>
      <c r="M1408">
        <v>0</v>
      </c>
      <c r="N1408" t="s">
        <v>30</v>
      </c>
      <c r="O1408" t="s">
        <v>16</v>
      </c>
    </row>
    <row r="1409" spans="1:15" x14ac:dyDescent="0.3">
      <c r="A1409" s="1" t="s">
        <v>2560</v>
      </c>
      <c r="B1409" t="s">
        <v>1766</v>
      </c>
      <c r="C1409" t="s">
        <v>2561</v>
      </c>
      <c r="D1409" t="str">
        <f t="shared" si="21"/>
        <v>Male</v>
      </c>
      <c r="E1409" t="s">
        <v>9</v>
      </c>
      <c r="F1409" s="2">
        <v>24</v>
      </c>
      <c r="G1409" s="2" t="str" cm="1">
        <f t="array" ref="G1409">_xlfn.IFS(F1409&lt;=8,"Child",F1409&lt;=17,"Teen",F1409&lt;=35,"Adult",F1409&lt;=55,"Seniour Adult",F1409&gt;=55,"Old Age")</f>
        <v>Adult</v>
      </c>
      <c r="H1409" t="s">
        <v>68</v>
      </c>
      <c r="I1409" t="s">
        <v>11</v>
      </c>
      <c r="J1409" t="str" cm="1">
        <f t="array" ref="J1409">_xlfn.IFS(I1409="S","Sauthamptonm",I1409="Q","Queentown",I1409="C","Cherburg",I1409="B","Cabin")</f>
        <v>Sauthamptonm</v>
      </c>
      <c r="K1409" t="s">
        <v>15</v>
      </c>
      <c r="L1409" s="2">
        <v>29</v>
      </c>
      <c r="M1409">
        <v>0</v>
      </c>
      <c r="N1409" t="s">
        <v>30</v>
      </c>
      <c r="O1409" t="s">
        <v>13</v>
      </c>
    </row>
    <row r="1410" spans="1:15" x14ac:dyDescent="0.3">
      <c r="A1410" s="1" t="s">
        <v>2562</v>
      </c>
      <c r="B1410" t="s">
        <v>72</v>
      </c>
      <c r="C1410" t="s">
        <v>251</v>
      </c>
      <c r="D1410" t="str">
        <f t="shared" ref="D1410:D1473" si="22">PROPER(E1410)</f>
        <v>Male</v>
      </c>
      <c r="E1410" t="s">
        <v>9</v>
      </c>
      <c r="F1410" s="2">
        <v>42</v>
      </c>
      <c r="G1410" s="2" t="str" cm="1">
        <f t="array" ref="G1410">_xlfn.IFS(F1410&lt;=8,"Child",F1410&lt;=17,"Teen",F1410&lt;=35,"Adult",F1410&lt;=55,"Seniour Adult",F1410&gt;=55,"Old Age")</f>
        <v>Seniour Adult</v>
      </c>
      <c r="H1410" t="s">
        <v>67</v>
      </c>
      <c r="I1410" t="s">
        <v>11</v>
      </c>
      <c r="J1410" t="str" cm="1">
        <f t="array" ref="J1410">_xlfn.IFS(I1410="S","Sauthamptonm",I1410="Q","Queentown",I1410="C","Cherburg",I1410="B","Cabin")</f>
        <v>Sauthamptonm</v>
      </c>
      <c r="K1410" t="s">
        <v>15</v>
      </c>
      <c r="L1410" s="2">
        <v>29</v>
      </c>
      <c r="M1410">
        <v>0</v>
      </c>
      <c r="N1410" t="s">
        <v>30</v>
      </c>
      <c r="O1410" t="s">
        <v>13</v>
      </c>
    </row>
    <row r="1411" spans="1:15" x14ac:dyDescent="0.3">
      <c r="A1411" s="1" t="s">
        <v>2563</v>
      </c>
      <c r="B1411" t="s">
        <v>72</v>
      </c>
      <c r="C1411" t="s">
        <v>916</v>
      </c>
      <c r="D1411" t="str">
        <f t="shared" si="22"/>
        <v>Male</v>
      </c>
      <c r="E1411" t="s">
        <v>9</v>
      </c>
      <c r="F1411" s="2">
        <v>40</v>
      </c>
      <c r="G1411" s="2" t="str" cm="1">
        <f t="array" ref="G1411">_xlfn.IFS(F1411&lt;=8,"Child",F1411&lt;=17,"Teen",F1411&lt;=35,"Adult",F1411&lt;=55,"Seniour Adult",F1411&gt;=55,"Old Age")</f>
        <v>Seniour Adult</v>
      </c>
      <c r="H1411" t="s">
        <v>67</v>
      </c>
      <c r="I1411" t="s">
        <v>28</v>
      </c>
      <c r="J1411" t="str" cm="1">
        <f t="array" ref="J1411">_xlfn.IFS(I1411="S","Sauthamptonm",I1411="Q","Queentown",I1411="C","Cherburg",I1411="B","Cabin")</f>
        <v>Cabin</v>
      </c>
      <c r="K1411" t="s">
        <v>15</v>
      </c>
      <c r="L1411" s="2">
        <v>29</v>
      </c>
      <c r="M1411">
        <v>0</v>
      </c>
      <c r="N1411" t="s">
        <v>30</v>
      </c>
      <c r="O1411" t="s">
        <v>13</v>
      </c>
    </row>
    <row r="1412" spans="1:15" x14ac:dyDescent="0.3">
      <c r="A1412" s="1" t="s">
        <v>2564</v>
      </c>
      <c r="B1412" t="s">
        <v>72</v>
      </c>
      <c r="C1412" t="s">
        <v>1442</v>
      </c>
      <c r="D1412" t="str">
        <f t="shared" si="22"/>
        <v>Male</v>
      </c>
      <c r="E1412" t="s">
        <v>9</v>
      </c>
      <c r="F1412" s="2">
        <v>20</v>
      </c>
      <c r="G1412" s="2" t="str" cm="1">
        <f t="array" ref="G1412">_xlfn.IFS(F1412&lt;=8,"Child",F1412&lt;=17,"Teen",F1412&lt;=35,"Adult",F1412&lt;=55,"Seniour Adult",F1412&gt;=55,"Old Age")</f>
        <v>Adult</v>
      </c>
      <c r="H1412" t="s">
        <v>51</v>
      </c>
      <c r="I1412" t="s">
        <v>11</v>
      </c>
      <c r="J1412" t="str" cm="1">
        <f t="array" ref="J1412">_xlfn.IFS(I1412="S","Sauthamptonm",I1412="Q","Queentown",I1412="C","Cherburg",I1412="B","Cabin")</f>
        <v>Sauthamptonm</v>
      </c>
      <c r="K1412" t="s">
        <v>15</v>
      </c>
      <c r="L1412" s="2">
        <v>29</v>
      </c>
      <c r="M1412">
        <v>0</v>
      </c>
      <c r="N1412" t="s">
        <v>30</v>
      </c>
      <c r="O1412" t="s">
        <v>16</v>
      </c>
    </row>
    <row r="1413" spans="1:15" x14ac:dyDescent="0.3">
      <c r="A1413" s="1" t="s">
        <v>2565</v>
      </c>
      <c r="B1413" t="s">
        <v>72</v>
      </c>
      <c r="C1413" t="s">
        <v>2566</v>
      </c>
      <c r="D1413" t="str">
        <f t="shared" si="22"/>
        <v>Male</v>
      </c>
      <c r="E1413" t="s">
        <v>9</v>
      </c>
      <c r="F1413" s="2">
        <v>32</v>
      </c>
      <c r="G1413" s="2" t="str" cm="1">
        <f t="array" ref="G1413">_xlfn.IFS(F1413&lt;=8,"Child",F1413&lt;=17,"Teen",F1413&lt;=35,"Adult",F1413&lt;=55,"Seniour Adult",F1413&gt;=55,"Old Age")</f>
        <v>Adult</v>
      </c>
      <c r="H1413" t="s">
        <v>51</v>
      </c>
      <c r="I1413" t="s">
        <v>11</v>
      </c>
      <c r="J1413" t="str" cm="1">
        <f t="array" ref="J1413">_xlfn.IFS(I1413="S","Sauthamptonm",I1413="Q","Queentown",I1413="C","Cherburg",I1413="B","Cabin")</f>
        <v>Sauthamptonm</v>
      </c>
      <c r="K1413" t="s">
        <v>15</v>
      </c>
      <c r="L1413" s="2">
        <v>29</v>
      </c>
      <c r="M1413">
        <v>0</v>
      </c>
      <c r="N1413" t="s">
        <v>30</v>
      </c>
      <c r="O1413" t="s">
        <v>13</v>
      </c>
    </row>
    <row r="1414" spans="1:15" x14ac:dyDescent="0.3">
      <c r="A1414" s="1" t="s">
        <v>2567</v>
      </c>
      <c r="B1414" t="s">
        <v>72</v>
      </c>
      <c r="C1414" t="s">
        <v>2076</v>
      </c>
      <c r="D1414" t="str">
        <f t="shared" si="22"/>
        <v>Male</v>
      </c>
      <c r="E1414" t="s">
        <v>9</v>
      </c>
      <c r="F1414" s="2">
        <v>25</v>
      </c>
      <c r="G1414" s="2" t="str" cm="1">
        <f t="array" ref="G1414">_xlfn.IFS(F1414&lt;=8,"Child",F1414&lt;=17,"Teen",F1414&lt;=35,"Adult",F1414&lt;=55,"Seniour Adult",F1414&gt;=55,"Old Age")</f>
        <v>Adult</v>
      </c>
      <c r="H1414" t="s">
        <v>51</v>
      </c>
      <c r="I1414" t="s">
        <v>11</v>
      </c>
      <c r="J1414" t="str" cm="1">
        <f t="array" ref="J1414">_xlfn.IFS(I1414="S","Sauthamptonm",I1414="Q","Queentown",I1414="C","Cherburg",I1414="B","Cabin")</f>
        <v>Sauthamptonm</v>
      </c>
      <c r="K1414" t="s">
        <v>15</v>
      </c>
      <c r="L1414" s="2">
        <v>29</v>
      </c>
      <c r="M1414">
        <v>0</v>
      </c>
      <c r="N1414" t="s">
        <v>30</v>
      </c>
      <c r="O1414" t="s">
        <v>16</v>
      </c>
    </row>
    <row r="1415" spans="1:15" x14ac:dyDescent="0.3">
      <c r="A1415" s="1" t="s">
        <v>2568</v>
      </c>
      <c r="B1415" t="s">
        <v>72</v>
      </c>
      <c r="C1415" t="s">
        <v>1783</v>
      </c>
      <c r="D1415" t="str">
        <f t="shared" si="22"/>
        <v>Male</v>
      </c>
      <c r="E1415" t="s">
        <v>9</v>
      </c>
      <c r="F1415" s="2">
        <v>19</v>
      </c>
      <c r="G1415" s="2" t="str" cm="1">
        <f t="array" ref="G1415">_xlfn.IFS(F1415&lt;=8,"Child",F1415&lt;=17,"Teen",F1415&lt;=35,"Adult",F1415&lt;=55,"Seniour Adult",F1415&gt;=55,"Old Age")</f>
        <v>Adult</v>
      </c>
      <c r="H1415" t="s">
        <v>51</v>
      </c>
      <c r="I1415" t="s">
        <v>11</v>
      </c>
      <c r="J1415" t="str" cm="1">
        <f t="array" ref="J1415">_xlfn.IFS(I1415="S","Sauthamptonm",I1415="Q","Queentown",I1415="C","Cherburg",I1415="B","Cabin")</f>
        <v>Sauthamptonm</v>
      </c>
      <c r="K1415" t="s">
        <v>15</v>
      </c>
      <c r="L1415" s="2">
        <v>29</v>
      </c>
      <c r="M1415">
        <v>0</v>
      </c>
      <c r="N1415" t="s">
        <v>30</v>
      </c>
      <c r="O1415" t="s">
        <v>13</v>
      </c>
    </row>
    <row r="1416" spans="1:15" x14ac:dyDescent="0.3">
      <c r="A1416" s="1" t="s">
        <v>2569</v>
      </c>
      <c r="B1416" t="s">
        <v>72</v>
      </c>
      <c r="C1416" t="s">
        <v>2570</v>
      </c>
      <c r="D1416" t="str">
        <f t="shared" si="22"/>
        <v>Male</v>
      </c>
      <c r="E1416" t="s">
        <v>9</v>
      </c>
      <c r="F1416" s="2">
        <v>29</v>
      </c>
      <c r="G1416" s="2" t="str" cm="1">
        <f t="array" ref="G1416">_xlfn.IFS(F1416&lt;=8,"Child",F1416&lt;=17,"Teen",F1416&lt;=35,"Adult",F1416&lt;=55,"Seniour Adult",F1416&gt;=55,"Old Age")</f>
        <v>Adult</v>
      </c>
      <c r="H1416" t="s">
        <v>67</v>
      </c>
      <c r="I1416" t="s">
        <v>28</v>
      </c>
      <c r="J1416" t="str" cm="1">
        <f t="array" ref="J1416">_xlfn.IFS(I1416="S","Sauthamptonm",I1416="Q","Queentown",I1416="C","Cherburg",I1416="B","Cabin")</f>
        <v>Cabin</v>
      </c>
      <c r="K1416" t="s">
        <v>15</v>
      </c>
      <c r="L1416" s="2">
        <v>29</v>
      </c>
      <c r="M1416">
        <v>0</v>
      </c>
      <c r="N1416" t="s">
        <v>30</v>
      </c>
      <c r="O1416" t="s">
        <v>13</v>
      </c>
    </row>
    <row r="1417" spans="1:15" x14ac:dyDescent="0.3">
      <c r="A1417" s="1" t="s">
        <v>2571</v>
      </c>
      <c r="B1417" t="s">
        <v>287</v>
      </c>
      <c r="C1417" t="s">
        <v>1047</v>
      </c>
      <c r="D1417" t="str">
        <f t="shared" si="22"/>
        <v>Male</v>
      </c>
      <c r="E1417" t="s">
        <v>9</v>
      </c>
      <c r="F1417" s="2">
        <v>37</v>
      </c>
      <c r="G1417" s="2" t="str" cm="1">
        <f t="array" ref="G1417">_xlfn.IFS(F1417&lt;=8,"Child",F1417&lt;=17,"Teen",F1417&lt;=35,"Adult",F1417&lt;=55,"Seniour Adult",F1417&gt;=55,"Old Age")</f>
        <v>Seniour Adult</v>
      </c>
      <c r="H1417" t="s">
        <v>69</v>
      </c>
      <c r="I1417" t="s">
        <v>11</v>
      </c>
      <c r="J1417" t="str" cm="1">
        <f t="array" ref="J1417">_xlfn.IFS(I1417="S","Sauthamptonm",I1417="Q","Queentown",I1417="C","Cherburg",I1417="B","Cabin")</f>
        <v>Sauthamptonm</v>
      </c>
      <c r="K1417" t="s">
        <v>29</v>
      </c>
      <c r="L1417" s="2">
        <v>29</v>
      </c>
      <c r="M1417">
        <v>0</v>
      </c>
      <c r="N1417" t="s">
        <v>30</v>
      </c>
      <c r="O1417" t="s">
        <v>13</v>
      </c>
    </row>
    <row r="1418" spans="1:15" x14ac:dyDescent="0.3">
      <c r="A1418" s="1" t="s">
        <v>2572</v>
      </c>
      <c r="B1418" t="s">
        <v>72</v>
      </c>
      <c r="C1418" t="s">
        <v>104</v>
      </c>
      <c r="D1418" t="str">
        <f t="shared" si="22"/>
        <v>Male</v>
      </c>
      <c r="E1418" t="s">
        <v>9</v>
      </c>
      <c r="F1418" s="2">
        <v>23</v>
      </c>
      <c r="G1418" s="2" t="str" cm="1">
        <f t="array" ref="G1418">_xlfn.IFS(F1418&lt;=8,"Child",F1418&lt;=17,"Teen",F1418&lt;=35,"Adult",F1418&lt;=55,"Seniour Adult",F1418&gt;=55,"Old Age")</f>
        <v>Adult</v>
      </c>
      <c r="H1418" t="s">
        <v>67</v>
      </c>
      <c r="I1418" t="s">
        <v>11</v>
      </c>
      <c r="J1418" t="str" cm="1">
        <f t="array" ref="J1418">_xlfn.IFS(I1418="S","Sauthamptonm",I1418="Q","Queentown",I1418="C","Cherburg",I1418="B","Cabin")</f>
        <v>Sauthamptonm</v>
      </c>
      <c r="K1418" t="s">
        <v>15</v>
      </c>
      <c r="L1418" s="2">
        <v>29</v>
      </c>
      <c r="M1418">
        <v>0</v>
      </c>
      <c r="N1418" t="s">
        <v>30</v>
      </c>
      <c r="O1418" t="s">
        <v>13</v>
      </c>
    </row>
    <row r="1419" spans="1:15" x14ac:dyDescent="0.3">
      <c r="A1419" s="1" t="s">
        <v>2573</v>
      </c>
      <c r="B1419" t="s">
        <v>72</v>
      </c>
      <c r="C1419" t="s">
        <v>104</v>
      </c>
      <c r="D1419" t="str">
        <f t="shared" si="22"/>
        <v>Male</v>
      </c>
      <c r="E1419" t="s">
        <v>9</v>
      </c>
      <c r="F1419" s="2">
        <v>23</v>
      </c>
      <c r="G1419" s="2" t="str" cm="1">
        <f t="array" ref="G1419">_xlfn.IFS(F1419&lt;=8,"Child",F1419&lt;=17,"Teen",F1419&lt;=35,"Adult",F1419&lt;=55,"Seniour Adult",F1419&gt;=55,"Old Age")</f>
        <v>Adult</v>
      </c>
      <c r="H1419" t="s">
        <v>51</v>
      </c>
      <c r="I1419" t="s">
        <v>11</v>
      </c>
      <c r="J1419" t="str" cm="1">
        <f t="array" ref="J1419">_xlfn.IFS(I1419="S","Sauthamptonm",I1419="Q","Queentown",I1419="C","Cherburg",I1419="B","Cabin")</f>
        <v>Sauthamptonm</v>
      </c>
      <c r="K1419" t="s">
        <v>15</v>
      </c>
      <c r="L1419" s="2">
        <v>29</v>
      </c>
      <c r="M1419">
        <v>0</v>
      </c>
      <c r="N1419" t="s">
        <v>30</v>
      </c>
      <c r="O1419" t="s">
        <v>13</v>
      </c>
    </row>
    <row r="1420" spans="1:15" x14ac:dyDescent="0.3">
      <c r="A1420" s="1" t="s">
        <v>2574</v>
      </c>
      <c r="B1420" t="s">
        <v>72</v>
      </c>
      <c r="C1420" t="s">
        <v>206</v>
      </c>
      <c r="D1420" t="str">
        <f t="shared" si="22"/>
        <v>Male</v>
      </c>
      <c r="E1420" t="s">
        <v>9</v>
      </c>
      <c r="F1420" s="2">
        <v>41</v>
      </c>
      <c r="G1420" s="2" t="str" cm="1">
        <f t="array" ref="G1420">_xlfn.IFS(F1420&lt;=8,"Child",F1420&lt;=17,"Teen",F1420&lt;=35,"Adult",F1420&lt;=55,"Seniour Adult",F1420&gt;=55,"Old Age")</f>
        <v>Seniour Adult</v>
      </c>
      <c r="H1420" t="s">
        <v>67</v>
      </c>
      <c r="I1420" t="s">
        <v>28</v>
      </c>
      <c r="J1420" t="str" cm="1">
        <f t="array" ref="J1420">_xlfn.IFS(I1420="S","Sauthamptonm",I1420="Q","Queentown",I1420="C","Cherburg",I1420="B","Cabin")</f>
        <v>Cabin</v>
      </c>
      <c r="K1420" t="s">
        <v>15</v>
      </c>
      <c r="L1420" s="2">
        <v>29</v>
      </c>
      <c r="M1420">
        <v>0</v>
      </c>
      <c r="N1420" t="s">
        <v>30</v>
      </c>
      <c r="O1420" t="s">
        <v>13</v>
      </c>
    </row>
    <row r="1421" spans="1:15" x14ac:dyDescent="0.3">
      <c r="A1421" s="1" t="s">
        <v>2575</v>
      </c>
      <c r="B1421" t="s">
        <v>72</v>
      </c>
      <c r="C1421" t="s">
        <v>2201</v>
      </c>
      <c r="D1421" t="str">
        <f t="shared" si="22"/>
        <v>Male</v>
      </c>
      <c r="E1421" t="s">
        <v>9</v>
      </c>
      <c r="F1421" s="2">
        <v>33</v>
      </c>
      <c r="G1421" s="2" t="str" cm="1">
        <f t="array" ref="G1421">_xlfn.IFS(F1421&lt;=8,"Child",F1421&lt;=17,"Teen",F1421&lt;=35,"Adult",F1421&lt;=55,"Seniour Adult",F1421&gt;=55,"Old Age")</f>
        <v>Adult</v>
      </c>
      <c r="H1421" t="s">
        <v>67</v>
      </c>
      <c r="I1421" t="s">
        <v>11</v>
      </c>
      <c r="J1421" t="str" cm="1">
        <f t="array" ref="J1421">_xlfn.IFS(I1421="S","Sauthamptonm",I1421="Q","Queentown",I1421="C","Cherburg",I1421="B","Cabin")</f>
        <v>Sauthamptonm</v>
      </c>
      <c r="K1421" t="s">
        <v>15</v>
      </c>
      <c r="L1421" s="2">
        <v>29</v>
      </c>
      <c r="M1421">
        <v>0</v>
      </c>
      <c r="N1421" t="s">
        <v>30</v>
      </c>
      <c r="O1421" t="s">
        <v>13</v>
      </c>
    </row>
    <row r="1422" spans="1:15" x14ac:dyDescent="0.3">
      <c r="A1422" s="1" t="s">
        <v>2576</v>
      </c>
      <c r="B1422" t="s">
        <v>78</v>
      </c>
      <c r="C1422" t="s">
        <v>262</v>
      </c>
      <c r="D1422" t="str">
        <f t="shared" si="22"/>
        <v>Female</v>
      </c>
      <c r="E1422" t="s">
        <v>14</v>
      </c>
      <c r="F1422" s="2">
        <v>28</v>
      </c>
      <c r="G1422" s="2" t="str" cm="1">
        <f t="array" ref="G1422">_xlfn.IFS(F1422&lt;=8,"Child",F1422&lt;=17,"Teen",F1422&lt;=35,"Adult",F1422&lt;=55,"Seniour Adult",F1422&gt;=55,"Old Age")</f>
        <v>Adult</v>
      </c>
      <c r="H1422" t="s">
        <v>67</v>
      </c>
      <c r="I1422" t="s">
        <v>11</v>
      </c>
      <c r="J1422" t="str" cm="1">
        <f t="array" ref="J1422">_xlfn.IFS(I1422="S","Sauthamptonm",I1422="Q","Queentown",I1422="C","Cherburg",I1422="B","Cabin")</f>
        <v>Sauthamptonm</v>
      </c>
      <c r="K1422" t="s">
        <v>29</v>
      </c>
      <c r="L1422" s="2">
        <v>29</v>
      </c>
      <c r="M1422">
        <v>0</v>
      </c>
      <c r="N1422" t="s">
        <v>30</v>
      </c>
      <c r="O1422" t="s">
        <v>16</v>
      </c>
    </row>
    <row r="1423" spans="1:15" x14ac:dyDescent="0.3">
      <c r="A1423" s="1" t="s">
        <v>2577</v>
      </c>
      <c r="B1423" t="s">
        <v>76</v>
      </c>
      <c r="C1423" t="s">
        <v>2578</v>
      </c>
      <c r="D1423" t="str">
        <f t="shared" si="22"/>
        <v>Female</v>
      </c>
      <c r="E1423" t="s">
        <v>14</v>
      </c>
      <c r="F1423" s="2">
        <v>30</v>
      </c>
      <c r="G1423" s="2" t="str" cm="1">
        <f t="array" ref="G1423">_xlfn.IFS(F1423&lt;=8,"Child",F1423&lt;=17,"Teen",F1423&lt;=35,"Adult",F1423&lt;=55,"Seniour Adult",F1423&gt;=55,"Old Age")</f>
        <v>Adult</v>
      </c>
      <c r="H1423" t="s">
        <v>67</v>
      </c>
      <c r="I1423" t="s">
        <v>11</v>
      </c>
      <c r="J1423" t="str" cm="1">
        <f t="array" ref="J1423">_xlfn.IFS(I1423="S","Sauthamptonm",I1423="Q","Queentown",I1423="C","Cherburg",I1423="B","Cabin")</f>
        <v>Sauthamptonm</v>
      </c>
      <c r="K1423" t="s">
        <v>15</v>
      </c>
      <c r="L1423" s="2">
        <v>29</v>
      </c>
      <c r="M1423">
        <v>0</v>
      </c>
      <c r="N1423" t="s">
        <v>30</v>
      </c>
      <c r="O1423" t="s">
        <v>16</v>
      </c>
    </row>
    <row r="1424" spans="1:15" x14ac:dyDescent="0.3">
      <c r="A1424" s="1" t="s">
        <v>2579</v>
      </c>
      <c r="B1424" t="s">
        <v>72</v>
      </c>
      <c r="C1424" t="s">
        <v>104</v>
      </c>
      <c r="D1424" t="str">
        <f t="shared" si="22"/>
        <v>Male</v>
      </c>
      <c r="E1424" t="s">
        <v>9</v>
      </c>
      <c r="F1424" s="2">
        <v>40</v>
      </c>
      <c r="G1424" s="2" t="str" cm="1">
        <f t="array" ref="G1424">_xlfn.IFS(F1424&lt;=8,"Child",F1424&lt;=17,"Teen",F1424&lt;=35,"Adult",F1424&lt;=55,"Seniour Adult",F1424&gt;=55,"Old Age")</f>
        <v>Seniour Adult</v>
      </c>
      <c r="H1424" t="s">
        <v>51</v>
      </c>
      <c r="I1424" t="s">
        <v>11</v>
      </c>
      <c r="J1424" t="str" cm="1">
        <f t="array" ref="J1424">_xlfn.IFS(I1424="S","Sauthamptonm",I1424="Q","Queentown",I1424="C","Cherburg",I1424="B","Cabin")</f>
        <v>Sauthamptonm</v>
      </c>
      <c r="K1424" t="s">
        <v>15</v>
      </c>
      <c r="L1424" s="2">
        <v>29</v>
      </c>
      <c r="M1424">
        <v>0</v>
      </c>
      <c r="N1424" t="s">
        <v>30</v>
      </c>
      <c r="O1424" t="s">
        <v>13</v>
      </c>
    </row>
    <row r="1425" spans="1:15" x14ac:dyDescent="0.3">
      <c r="A1425" s="1" t="s">
        <v>2580</v>
      </c>
      <c r="B1425" t="s">
        <v>72</v>
      </c>
      <c r="C1425" t="s">
        <v>90</v>
      </c>
      <c r="D1425" t="str">
        <f t="shared" si="22"/>
        <v>Male</v>
      </c>
      <c r="E1425" t="s">
        <v>9</v>
      </c>
      <c r="F1425" s="2">
        <v>29</v>
      </c>
      <c r="G1425" s="2" t="str" cm="1">
        <f t="array" ref="G1425">_xlfn.IFS(F1425&lt;=8,"Child",F1425&lt;=17,"Teen",F1425&lt;=35,"Adult",F1425&lt;=55,"Seniour Adult",F1425&gt;=55,"Old Age")</f>
        <v>Adult</v>
      </c>
      <c r="H1425" t="s">
        <v>67</v>
      </c>
      <c r="I1425" t="s">
        <v>28</v>
      </c>
      <c r="J1425" t="str" cm="1">
        <f t="array" ref="J1425">_xlfn.IFS(I1425="S","Sauthamptonm",I1425="Q","Queentown",I1425="C","Cherburg",I1425="B","Cabin")</f>
        <v>Cabin</v>
      </c>
      <c r="K1425" t="s">
        <v>43</v>
      </c>
      <c r="L1425" s="2">
        <v>29</v>
      </c>
      <c r="M1425">
        <v>0</v>
      </c>
      <c r="N1425" t="s">
        <v>30</v>
      </c>
      <c r="O1425" t="s">
        <v>13</v>
      </c>
    </row>
    <row r="1426" spans="1:15" x14ac:dyDescent="0.3">
      <c r="A1426" s="1" t="s">
        <v>2581</v>
      </c>
      <c r="B1426" t="s">
        <v>72</v>
      </c>
      <c r="C1426" t="s">
        <v>2582</v>
      </c>
      <c r="D1426" t="str">
        <f t="shared" si="22"/>
        <v>Male</v>
      </c>
      <c r="E1426" t="s">
        <v>9</v>
      </c>
      <c r="F1426" s="2">
        <v>22</v>
      </c>
      <c r="G1426" s="2" t="str" cm="1">
        <f t="array" ref="G1426">_xlfn.IFS(F1426&lt;=8,"Child",F1426&lt;=17,"Teen",F1426&lt;=35,"Adult",F1426&lt;=55,"Seniour Adult",F1426&gt;=55,"Old Age")</f>
        <v>Adult</v>
      </c>
      <c r="H1426" t="s">
        <v>51</v>
      </c>
      <c r="I1426" t="s">
        <v>11</v>
      </c>
      <c r="J1426" t="str" cm="1">
        <f t="array" ref="J1426">_xlfn.IFS(I1426="S","Sauthamptonm",I1426="Q","Queentown",I1426="C","Cherburg",I1426="B","Cabin")</f>
        <v>Sauthamptonm</v>
      </c>
      <c r="K1426" t="s">
        <v>15</v>
      </c>
      <c r="L1426" s="2">
        <v>29</v>
      </c>
      <c r="M1426">
        <v>0</v>
      </c>
      <c r="N1426" t="s">
        <v>30</v>
      </c>
      <c r="O1426" t="s">
        <v>13</v>
      </c>
    </row>
    <row r="1427" spans="1:15" x14ac:dyDescent="0.3">
      <c r="A1427" s="1" t="s">
        <v>2583</v>
      </c>
      <c r="B1427" t="s">
        <v>76</v>
      </c>
      <c r="C1427" t="s">
        <v>2584</v>
      </c>
      <c r="D1427" t="str">
        <f t="shared" si="22"/>
        <v>Female</v>
      </c>
      <c r="E1427" t="s">
        <v>14</v>
      </c>
      <c r="F1427" s="2">
        <v>22</v>
      </c>
      <c r="G1427" s="2" t="str" cm="1">
        <f t="array" ref="G1427">_xlfn.IFS(F1427&lt;=8,"Child",F1427&lt;=17,"Teen",F1427&lt;=35,"Adult",F1427&lt;=55,"Seniour Adult",F1427&gt;=55,"Old Age")</f>
        <v>Adult</v>
      </c>
      <c r="H1427" t="s">
        <v>67</v>
      </c>
      <c r="I1427" t="s">
        <v>11</v>
      </c>
      <c r="J1427" t="str" cm="1">
        <f t="array" ref="J1427">_xlfn.IFS(I1427="S","Sauthamptonm",I1427="Q","Queentown",I1427="C","Cherburg",I1427="B","Cabin")</f>
        <v>Sauthamptonm</v>
      </c>
      <c r="K1427" t="s">
        <v>15</v>
      </c>
      <c r="L1427" s="2">
        <v>29</v>
      </c>
      <c r="M1427">
        <v>0</v>
      </c>
      <c r="N1427" t="s">
        <v>30</v>
      </c>
      <c r="O1427" t="s">
        <v>13</v>
      </c>
    </row>
    <row r="1428" spans="1:15" x14ac:dyDescent="0.3">
      <c r="A1428" s="1" t="s">
        <v>2585</v>
      </c>
      <c r="B1428" t="s">
        <v>72</v>
      </c>
      <c r="C1428" t="s">
        <v>698</v>
      </c>
      <c r="D1428" t="str">
        <f t="shared" si="22"/>
        <v>Male</v>
      </c>
      <c r="E1428" t="s">
        <v>9</v>
      </c>
      <c r="F1428" s="2">
        <v>41</v>
      </c>
      <c r="G1428" s="2" t="str" cm="1">
        <f t="array" ref="G1428">_xlfn.IFS(F1428&lt;=8,"Child",F1428&lt;=17,"Teen",F1428&lt;=35,"Adult",F1428&lt;=55,"Seniour Adult",F1428&gt;=55,"Old Age")</f>
        <v>Seniour Adult</v>
      </c>
      <c r="H1428" t="s">
        <v>51</v>
      </c>
      <c r="I1428" t="s">
        <v>11</v>
      </c>
      <c r="J1428" t="str" cm="1">
        <f t="array" ref="J1428">_xlfn.IFS(I1428="S","Sauthamptonm",I1428="Q","Queentown",I1428="C","Cherburg",I1428="B","Cabin")</f>
        <v>Sauthamptonm</v>
      </c>
      <c r="K1428" t="s">
        <v>15</v>
      </c>
      <c r="L1428" s="2">
        <v>29</v>
      </c>
      <c r="M1428">
        <v>0</v>
      </c>
      <c r="N1428" t="s">
        <v>30</v>
      </c>
      <c r="O1428" t="s">
        <v>13</v>
      </c>
    </row>
    <row r="1429" spans="1:15" x14ac:dyDescent="0.3">
      <c r="A1429" s="1" t="s">
        <v>2586</v>
      </c>
      <c r="B1429" t="s">
        <v>72</v>
      </c>
      <c r="C1429" t="s">
        <v>2099</v>
      </c>
      <c r="D1429" t="str">
        <f t="shared" si="22"/>
        <v>Male</v>
      </c>
      <c r="E1429" t="s">
        <v>9</v>
      </c>
      <c r="F1429" s="2">
        <v>26</v>
      </c>
      <c r="G1429" s="2" t="str" cm="1">
        <f t="array" ref="G1429">_xlfn.IFS(F1429&lt;=8,"Child",F1429&lt;=17,"Teen",F1429&lt;=35,"Adult",F1429&lt;=55,"Seniour Adult",F1429&gt;=55,"Old Age")</f>
        <v>Adult</v>
      </c>
      <c r="H1429" t="s">
        <v>51</v>
      </c>
      <c r="I1429" t="s">
        <v>11</v>
      </c>
      <c r="J1429" t="str" cm="1">
        <f t="array" ref="J1429">_xlfn.IFS(I1429="S","Sauthamptonm",I1429="Q","Queentown",I1429="C","Cherburg",I1429="B","Cabin")</f>
        <v>Sauthamptonm</v>
      </c>
      <c r="K1429" t="s">
        <v>15</v>
      </c>
      <c r="L1429" s="2">
        <v>29</v>
      </c>
      <c r="M1429">
        <v>0</v>
      </c>
      <c r="N1429" t="s">
        <v>30</v>
      </c>
      <c r="O1429" t="s">
        <v>13</v>
      </c>
    </row>
    <row r="1430" spans="1:15" x14ac:dyDescent="0.3">
      <c r="A1430" s="1" t="s">
        <v>2587</v>
      </c>
      <c r="B1430" t="s">
        <v>72</v>
      </c>
      <c r="C1430" t="s">
        <v>2588</v>
      </c>
      <c r="D1430" t="str">
        <f t="shared" si="22"/>
        <v>Male</v>
      </c>
      <c r="E1430" t="s">
        <v>9</v>
      </c>
      <c r="F1430" s="2">
        <v>21</v>
      </c>
      <c r="G1430" s="2" t="str" cm="1">
        <f t="array" ref="G1430">_xlfn.IFS(F1430&lt;=8,"Child",F1430&lt;=17,"Teen",F1430&lt;=35,"Adult",F1430&lt;=55,"Seniour Adult",F1430&gt;=55,"Old Age")</f>
        <v>Adult</v>
      </c>
      <c r="H1430" t="s">
        <v>51</v>
      </c>
      <c r="I1430" t="s">
        <v>11</v>
      </c>
      <c r="J1430" t="str" cm="1">
        <f t="array" ref="J1430">_xlfn.IFS(I1430="S","Sauthamptonm",I1430="Q","Queentown",I1430="C","Cherburg",I1430="B","Cabin")</f>
        <v>Sauthamptonm</v>
      </c>
      <c r="K1430" t="s">
        <v>15</v>
      </c>
      <c r="L1430" s="2">
        <v>29</v>
      </c>
      <c r="M1430">
        <v>0</v>
      </c>
      <c r="N1430" t="s">
        <v>30</v>
      </c>
      <c r="O1430" t="s">
        <v>16</v>
      </c>
    </row>
    <row r="1431" spans="1:15" x14ac:dyDescent="0.3">
      <c r="A1431" s="1" t="s">
        <v>2589</v>
      </c>
      <c r="B1431" t="s">
        <v>72</v>
      </c>
      <c r="C1431" t="s">
        <v>629</v>
      </c>
      <c r="D1431" t="str">
        <f t="shared" si="22"/>
        <v>Male</v>
      </c>
      <c r="E1431" t="s">
        <v>9</v>
      </c>
      <c r="F1431" s="2">
        <v>36</v>
      </c>
      <c r="G1431" s="2" t="str" cm="1">
        <f t="array" ref="G1431">_xlfn.IFS(F1431&lt;=8,"Child",F1431&lt;=17,"Teen",F1431&lt;=35,"Adult",F1431&lt;=55,"Seniour Adult",F1431&gt;=55,"Old Age")</f>
        <v>Seniour Adult</v>
      </c>
      <c r="H1431" t="s">
        <v>51</v>
      </c>
      <c r="I1431" t="s">
        <v>11</v>
      </c>
      <c r="J1431" t="str" cm="1">
        <f t="array" ref="J1431">_xlfn.IFS(I1431="S","Sauthamptonm",I1431="Q","Queentown",I1431="C","Cherburg",I1431="B","Cabin")</f>
        <v>Sauthamptonm</v>
      </c>
      <c r="K1431" t="s">
        <v>15</v>
      </c>
      <c r="L1431" s="2">
        <v>29</v>
      </c>
      <c r="M1431">
        <v>0</v>
      </c>
      <c r="N1431" t="s">
        <v>30</v>
      </c>
      <c r="O1431" t="s">
        <v>16</v>
      </c>
    </row>
    <row r="1432" spans="1:15" x14ac:dyDescent="0.3">
      <c r="A1432" s="1" t="s">
        <v>2590</v>
      </c>
      <c r="B1432" t="s">
        <v>72</v>
      </c>
      <c r="C1432" t="s">
        <v>379</v>
      </c>
      <c r="D1432" t="str">
        <f t="shared" si="22"/>
        <v>Male</v>
      </c>
      <c r="E1432" t="s">
        <v>9</v>
      </c>
      <c r="F1432" s="2">
        <v>38</v>
      </c>
      <c r="G1432" s="2" t="str" cm="1">
        <f t="array" ref="G1432">_xlfn.IFS(F1432&lt;=8,"Child",F1432&lt;=17,"Teen",F1432&lt;=35,"Adult",F1432&lt;=55,"Seniour Adult",F1432&gt;=55,"Old Age")</f>
        <v>Seniour Adult</v>
      </c>
      <c r="H1432" t="s">
        <v>67</v>
      </c>
      <c r="I1432" t="s">
        <v>11</v>
      </c>
      <c r="J1432" t="str" cm="1">
        <f t="array" ref="J1432">_xlfn.IFS(I1432="S","Sauthamptonm",I1432="Q","Queentown",I1432="C","Cherburg",I1432="B","Cabin")</f>
        <v>Sauthamptonm</v>
      </c>
      <c r="K1432" t="s">
        <v>15</v>
      </c>
      <c r="L1432" s="2">
        <v>29</v>
      </c>
      <c r="M1432">
        <v>0</v>
      </c>
      <c r="N1432" t="s">
        <v>30</v>
      </c>
      <c r="O1432" t="s">
        <v>13</v>
      </c>
    </row>
    <row r="1433" spans="1:15" x14ac:dyDescent="0.3">
      <c r="A1433" s="1" t="s">
        <v>2591</v>
      </c>
      <c r="B1433" t="s">
        <v>72</v>
      </c>
      <c r="C1433" t="s">
        <v>2592</v>
      </c>
      <c r="D1433" t="str">
        <f t="shared" si="22"/>
        <v>Male</v>
      </c>
      <c r="E1433" t="s">
        <v>9</v>
      </c>
      <c r="F1433" s="2">
        <v>31</v>
      </c>
      <c r="G1433" s="2" t="str" cm="1">
        <f t="array" ref="G1433">_xlfn.IFS(F1433&lt;=8,"Child",F1433&lt;=17,"Teen",F1433&lt;=35,"Adult",F1433&lt;=55,"Seniour Adult",F1433&gt;=55,"Old Age")</f>
        <v>Adult</v>
      </c>
      <c r="H1433" t="s">
        <v>51</v>
      </c>
      <c r="I1433" t="s">
        <v>11</v>
      </c>
      <c r="J1433" t="str" cm="1">
        <f t="array" ref="J1433">_xlfn.IFS(I1433="S","Sauthamptonm",I1433="Q","Queentown",I1433="C","Cherburg",I1433="B","Cabin")</f>
        <v>Sauthamptonm</v>
      </c>
      <c r="K1433" t="s">
        <v>15</v>
      </c>
      <c r="L1433" s="2">
        <v>29</v>
      </c>
      <c r="M1433">
        <v>0</v>
      </c>
      <c r="N1433" t="s">
        <v>30</v>
      </c>
      <c r="O1433" t="s">
        <v>13</v>
      </c>
    </row>
    <row r="1434" spans="1:15" x14ac:dyDescent="0.3">
      <c r="A1434" s="1" t="s">
        <v>2593</v>
      </c>
      <c r="B1434" t="s">
        <v>78</v>
      </c>
      <c r="C1434" t="s">
        <v>2594</v>
      </c>
      <c r="D1434" t="str">
        <f t="shared" si="22"/>
        <v>Female</v>
      </c>
      <c r="E1434" t="s">
        <v>14</v>
      </c>
      <c r="F1434" s="2">
        <v>47</v>
      </c>
      <c r="G1434" s="2" t="str" cm="1">
        <f t="array" ref="G1434">_xlfn.IFS(F1434&lt;=8,"Child",F1434&lt;=17,"Teen",F1434&lt;=35,"Adult",F1434&lt;=55,"Seniour Adult",F1434&gt;=55,"Old Age")</f>
        <v>Seniour Adult</v>
      </c>
      <c r="H1434" t="s">
        <v>67</v>
      </c>
      <c r="I1434" t="s">
        <v>11</v>
      </c>
      <c r="J1434" t="str" cm="1">
        <f t="array" ref="J1434">_xlfn.IFS(I1434="S","Sauthamptonm",I1434="Q","Queentown",I1434="C","Cherburg",I1434="B","Cabin")</f>
        <v>Sauthamptonm</v>
      </c>
      <c r="K1434" t="s">
        <v>15</v>
      </c>
      <c r="L1434" s="2">
        <v>29</v>
      </c>
      <c r="M1434">
        <v>0</v>
      </c>
      <c r="N1434" t="s">
        <v>30</v>
      </c>
      <c r="O1434" t="s">
        <v>16</v>
      </c>
    </row>
    <row r="1435" spans="1:15" x14ac:dyDescent="0.3">
      <c r="A1435" s="1" t="s">
        <v>2595</v>
      </c>
      <c r="B1435" t="s">
        <v>72</v>
      </c>
      <c r="C1435" t="s">
        <v>2596</v>
      </c>
      <c r="D1435" t="str">
        <f t="shared" si="22"/>
        <v>Male</v>
      </c>
      <c r="E1435" t="s">
        <v>9</v>
      </c>
      <c r="F1435" s="2">
        <v>36</v>
      </c>
      <c r="G1435" s="2" t="str" cm="1">
        <f t="array" ref="G1435">_xlfn.IFS(F1435&lt;=8,"Child",F1435&lt;=17,"Teen",F1435&lt;=35,"Adult",F1435&lt;=55,"Seniour Adult",F1435&gt;=55,"Old Age")</f>
        <v>Seniour Adult</v>
      </c>
      <c r="H1435" t="s">
        <v>67</v>
      </c>
      <c r="I1435" t="s">
        <v>28</v>
      </c>
      <c r="J1435" t="str" cm="1">
        <f t="array" ref="J1435">_xlfn.IFS(I1435="S","Sauthamptonm",I1435="Q","Queentown",I1435="C","Cherburg",I1435="B","Cabin")</f>
        <v>Cabin</v>
      </c>
      <c r="K1435" t="s">
        <v>15</v>
      </c>
      <c r="L1435" s="2">
        <v>29</v>
      </c>
      <c r="M1435">
        <v>0</v>
      </c>
      <c r="N1435" t="s">
        <v>30</v>
      </c>
      <c r="O1435" t="s">
        <v>13</v>
      </c>
    </row>
    <row r="1436" spans="1:15" x14ac:dyDescent="0.3">
      <c r="A1436" s="1" t="s">
        <v>2597</v>
      </c>
      <c r="B1436" t="s">
        <v>72</v>
      </c>
      <c r="C1436" t="s">
        <v>2598</v>
      </c>
      <c r="D1436" t="str">
        <f t="shared" si="22"/>
        <v>Male</v>
      </c>
      <c r="E1436" t="s">
        <v>9</v>
      </c>
      <c r="F1436" s="2">
        <v>30</v>
      </c>
      <c r="G1436" s="2" t="str" cm="1">
        <f t="array" ref="G1436">_xlfn.IFS(F1436&lt;=8,"Child",F1436&lt;=17,"Teen",F1436&lt;=35,"Adult",F1436&lt;=55,"Seniour Adult",F1436&gt;=55,"Old Age")</f>
        <v>Adult</v>
      </c>
      <c r="H1436" t="s">
        <v>51</v>
      </c>
      <c r="I1436" t="s">
        <v>11</v>
      </c>
      <c r="J1436" t="str" cm="1">
        <f t="array" ref="J1436">_xlfn.IFS(I1436="S","Sauthamptonm",I1436="Q","Queentown",I1436="C","Cherburg",I1436="B","Cabin")</f>
        <v>Sauthamptonm</v>
      </c>
      <c r="K1436" t="s">
        <v>15</v>
      </c>
      <c r="L1436" s="2">
        <v>29</v>
      </c>
      <c r="M1436">
        <v>0</v>
      </c>
      <c r="N1436" t="s">
        <v>30</v>
      </c>
      <c r="O1436" t="s">
        <v>13</v>
      </c>
    </row>
    <row r="1437" spans="1:15" x14ac:dyDescent="0.3">
      <c r="A1437" s="1" t="s">
        <v>2599</v>
      </c>
      <c r="B1437" t="s">
        <v>72</v>
      </c>
      <c r="C1437" t="s">
        <v>2600</v>
      </c>
      <c r="D1437" t="str">
        <f t="shared" si="22"/>
        <v>Male</v>
      </c>
      <c r="E1437" t="s">
        <v>9</v>
      </c>
      <c r="F1437" s="2">
        <v>20</v>
      </c>
      <c r="G1437" s="2" t="str" cm="1">
        <f t="array" ref="G1437">_xlfn.IFS(F1437&lt;=8,"Child",F1437&lt;=17,"Teen",F1437&lt;=35,"Adult",F1437&lt;=55,"Seniour Adult",F1437&gt;=55,"Old Age")</f>
        <v>Adult</v>
      </c>
      <c r="H1437" t="s">
        <v>51</v>
      </c>
      <c r="I1437" t="s">
        <v>11</v>
      </c>
      <c r="J1437" t="str" cm="1">
        <f t="array" ref="J1437">_xlfn.IFS(I1437="S","Sauthamptonm",I1437="Q","Queentown",I1437="C","Cherburg",I1437="B","Cabin")</f>
        <v>Sauthamptonm</v>
      </c>
      <c r="K1437" t="s">
        <v>15</v>
      </c>
      <c r="L1437" s="2">
        <v>29</v>
      </c>
      <c r="M1437">
        <v>0</v>
      </c>
      <c r="N1437" t="s">
        <v>30</v>
      </c>
      <c r="O1437" t="s">
        <v>13</v>
      </c>
    </row>
    <row r="1438" spans="1:15" x14ac:dyDescent="0.3">
      <c r="A1438" s="1" t="s">
        <v>2601</v>
      </c>
      <c r="B1438" t="s">
        <v>72</v>
      </c>
      <c r="C1438" t="s">
        <v>2602</v>
      </c>
      <c r="D1438" t="str">
        <f t="shared" si="22"/>
        <v>Male</v>
      </c>
      <c r="E1438" t="s">
        <v>9</v>
      </c>
      <c r="F1438" s="2">
        <v>25</v>
      </c>
      <c r="G1438" s="2" t="str" cm="1">
        <f t="array" ref="G1438">_xlfn.IFS(F1438&lt;=8,"Child",F1438&lt;=17,"Teen",F1438&lt;=35,"Adult",F1438&lt;=55,"Seniour Adult",F1438&gt;=55,"Old Age")</f>
        <v>Adult</v>
      </c>
      <c r="H1438" t="s">
        <v>51</v>
      </c>
      <c r="I1438" t="s">
        <v>11</v>
      </c>
      <c r="J1438" t="str" cm="1">
        <f t="array" ref="J1438">_xlfn.IFS(I1438="S","Sauthamptonm",I1438="Q","Queentown",I1438="C","Cherburg",I1438="B","Cabin")</f>
        <v>Sauthamptonm</v>
      </c>
      <c r="K1438" t="s">
        <v>15</v>
      </c>
      <c r="L1438" s="2">
        <v>29</v>
      </c>
      <c r="M1438">
        <v>0</v>
      </c>
      <c r="N1438" t="s">
        <v>30</v>
      </c>
      <c r="O1438" t="s">
        <v>16</v>
      </c>
    </row>
    <row r="1439" spans="1:15" x14ac:dyDescent="0.3">
      <c r="A1439" s="1" t="s">
        <v>2603</v>
      </c>
      <c r="B1439" t="s">
        <v>72</v>
      </c>
      <c r="C1439" t="s">
        <v>2604</v>
      </c>
      <c r="D1439" t="str">
        <f t="shared" si="22"/>
        <v>Male</v>
      </c>
      <c r="E1439" t="s">
        <v>9</v>
      </c>
      <c r="F1439" s="2">
        <v>19</v>
      </c>
      <c r="G1439" s="2" t="str" cm="1">
        <f t="array" ref="G1439">_xlfn.IFS(F1439&lt;=8,"Child",F1439&lt;=17,"Teen",F1439&lt;=35,"Adult",F1439&lt;=55,"Seniour Adult",F1439&gt;=55,"Old Age")</f>
        <v>Adult</v>
      </c>
      <c r="H1439" t="s">
        <v>67</v>
      </c>
      <c r="I1439" t="s">
        <v>11</v>
      </c>
      <c r="J1439" t="str" cm="1">
        <f t="array" ref="J1439">_xlfn.IFS(I1439="S","Sauthamptonm",I1439="Q","Queentown",I1439="C","Cherburg",I1439="B","Cabin")</f>
        <v>Sauthamptonm</v>
      </c>
      <c r="K1439" t="s">
        <v>15</v>
      </c>
      <c r="L1439" s="2">
        <v>29</v>
      </c>
      <c r="M1439">
        <v>0</v>
      </c>
      <c r="N1439" t="s">
        <v>30</v>
      </c>
      <c r="O1439" t="s">
        <v>13</v>
      </c>
    </row>
    <row r="1440" spans="1:15" x14ac:dyDescent="0.3">
      <c r="A1440" s="1" t="s">
        <v>2605</v>
      </c>
      <c r="B1440" t="s">
        <v>72</v>
      </c>
      <c r="C1440" t="s">
        <v>2606</v>
      </c>
      <c r="D1440" t="str">
        <f t="shared" si="22"/>
        <v>Male</v>
      </c>
      <c r="E1440" t="s">
        <v>9</v>
      </c>
      <c r="F1440" s="2">
        <v>34</v>
      </c>
      <c r="G1440" s="2" t="str" cm="1">
        <f t="array" ref="G1440">_xlfn.IFS(F1440&lt;=8,"Child",F1440&lt;=17,"Teen",F1440&lt;=35,"Adult",F1440&lt;=55,"Seniour Adult",F1440&gt;=55,"Old Age")</f>
        <v>Adult</v>
      </c>
      <c r="H1440" t="s">
        <v>67</v>
      </c>
      <c r="I1440" t="s">
        <v>28</v>
      </c>
      <c r="J1440" t="str" cm="1">
        <f t="array" ref="J1440">_xlfn.IFS(I1440="S","Sauthamptonm",I1440="Q","Queentown",I1440="C","Cherburg",I1440="B","Cabin")</f>
        <v>Cabin</v>
      </c>
      <c r="K1440" t="s">
        <v>15</v>
      </c>
      <c r="L1440" s="2">
        <v>29</v>
      </c>
      <c r="M1440">
        <v>0</v>
      </c>
      <c r="N1440" t="s">
        <v>30</v>
      </c>
      <c r="O1440" t="s">
        <v>13</v>
      </c>
    </row>
    <row r="1441" spans="1:15" x14ac:dyDescent="0.3">
      <c r="A1441" s="1" t="s">
        <v>2607</v>
      </c>
      <c r="B1441" t="s">
        <v>72</v>
      </c>
      <c r="C1441" t="s">
        <v>2608</v>
      </c>
      <c r="D1441" t="str">
        <f t="shared" si="22"/>
        <v>Male</v>
      </c>
      <c r="E1441" t="s">
        <v>9</v>
      </c>
      <c r="F1441" s="2">
        <v>31</v>
      </c>
      <c r="G1441" s="2" t="str" cm="1">
        <f t="array" ref="G1441">_xlfn.IFS(F1441&lt;=8,"Child",F1441&lt;=17,"Teen",F1441&lt;=35,"Adult",F1441&lt;=55,"Seniour Adult",F1441&gt;=55,"Old Age")</f>
        <v>Adult</v>
      </c>
      <c r="H1441" t="s">
        <v>67</v>
      </c>
      <c r="I1441" t="s">
        <v>28</v>
      </c>
      <c r="J1441" t="str" cm="1">
        <f t="array" ref="J1441">_xlfn.IFS(I1441="S","Sauthamptonm",I1441="Q","Queentown",I1441="C","Cherburg",I1441="B","Cabin")</f>
        <v>Cabin</v>
      </c>
      <c r="K1441" t="s">
        <v>15</v>
      </c>
      <c r="L1441" s="2">
        <v>29</v>
      </c>
      <c r="M1441">
        <v>0</v>
      </c>
      <c r="N1441" t="s">
        <v>30</v>
      </c>
      <c r="O1441" t="s">
        <v>13</v>
      </c>
    </row>
    <row r="1442" spans="1:15" x14ac:dyDescent="0.3">
      <c r="A1442" s="1" t="s">
        <v>2609</v>
      </c>
      <c r="B1442" t="s">
        <v>72</v>
      </c>
      <c r="C1442" t="s">
        <v>2610</v>
      </c>
      <c r="D1442" t="str">
        <f t="shared" si="22"/>
        <v>Male</v>
      </c>
      <c r="E1442" t="s">
        <v>9</v>
      </c>
      <c r="F1442" s="2">
        <v>28</v>
      </c>
      <c r="G1442" s="2" t="str" cm="1">
        <f t="array" ref="G1442">_xlfn.IFS(F1442&lt;=8,"Child",F1442&lt;=17,"Teen",F1442&lt;=35,"Adult",F1442&lt;=55,"Seniour Adult",F1442&gt;=55,"Old Age")</f>
        <v>Adult</v>
      </c>
      <c r="H1442" t="s">
        <v>51</v>
      </c>
      <c r="I1442" t="s">
        <v>11</v>
      </c>
      <c r="J1442" t="str" cm="1">
        <f t="array" ref="J1442">_xlfn.IFS(I1442="S","Sauthamptonm",I1442="Q","Queentown",I1442="C","Cherburg",I1442="B","Cabin")</f>
        <v>Sauthamptonm</v>
      </c>
      <c r="K1442" t="s">
        <v>15</v>
      </c>
      <c r="L1442" s="2">
        <v>29</v>
      </c>
      <c r="M1442">
        <v>0</v>
      </c>
      <c r="N1442" t="s">
        <v>30</v>
      </c>
      <c r="O1442" t="s">
        <v>13</v>
      </c>
    </row>
    <row r="1443" spans="1:15" x14ac:dyDescent="0.3">
      <c r="A1443" s="1" t="s">
        <v>2611</v>
      </c>
      <c r="B1443" t="s">
        <v>72</v>
      </c>
      <c r="C1443" t="s">
        <v>2109</v>
      </c>
      <c r="D1443" t="str">
        <f t="shared" si="22"/>
        <v>Male</v>
      </c>
      <c r="E1443" t="s">
        <v>9</v>
      </c>
      <c r="F1443" s="2">
        <v>25</v>
      </c>
      <c r="G1443" s="2" t="str" cm="1">
        <f t="array" ref="G1443">_xlfn.IFS(F1443&lt;=8,"Child",F1443&lt;=17,"Teen",F1443&lt;=35,"Adult",F1443&lt;=55,"Seniour Adult",F1443&gt;=55,"Old Age")</f>
        <v>Adult</v>
      </c>
      <c r="H1443" t="s">
        <v>51</v>
      </c>
      <c r="I1443" t="s">
        <v>11</v>
      </c>
      <c r="J1443" t="str" cm="1">
        <f t="array" ref="J1443">_xlfn.IFS(I1443="S","Sauthamptonm",I1443="Q","Queentown",I1443="C","Cherburg",I1443="B","Cabin")</f>
        <v>Sauthamptonm</v>
      </c>
      <c r="K1443" t="s">
        <v>15</v>
      </c>
      <c r="L1443" s="2">
        <v>29</v>
      </c>
      <c r="M1443">
        <v>0</v>
      </c>
      <c r="N1443" t="s">
        <v>30</v>
      </c>
      <c r="O1443" t="s">
        <v>13</v>
      </c>
    </row>
    <row r="1444" spans="1:15" x14ac:dyDescent="0.3">
      <c r="A1444" s="1" t="s">
        <v>2612</v>
      </c>
      <c r="B1444" t="s">
        <v>72</v>
      </c>
      <c r="C1444" t="s">
        <v>104</v>
      </c>
      <c r="D1444" t="str">
        <f t="shared" si="22"/>
        <v>Male</v>
      </c>
      <c r="E1444" t="s">
        <v>9</v>
      </c>
      <c r="F1444" s="2">
        <v>48</v>
      </c>
      <c r="G1444" s="2" t="str" cm="1">
        <f t="array" ref="G1444">_xlfn.IFS(F1444&lt;=8,"Child",F1444&lt;=17,"Teen",F1444&lt;=35,"Adult",F1444&lt;=55,"Seniour Adult",F1444&gt;=55,"Old Age")</f>
        <v>Seniour Adult</v>
      </c>
      <c r="H1444" t="s">
        <v>67</v>
      </c>
      <c r="I1444" t="s">
        <v>28</v>
      </c>
      <c r="J1444" t="str" cm="1">
        <f t="array" ref="J1444">_xlfn.IFS(I1444="S","Sauthamptonm",I1444="Q","Queentown",I1444="C","Cherburg",I1444="B","Cabin")</f>
        <v>Cabin</v>
      </c>
      <c r="K1444" t="s">
        <v>29</v>
      </c>
      <c r="L1444" s="2">
        <v>29</v>
      </c>
      <c r="M1444">
        <v>0</v>
      </c>
      <c r="N1444" t="s">
        <v>30</v>
      </c>
      <c r="O1444" t="s">
        <v>13</v>
      </c>
    </row>
    <row r="1445" spans="1:15" x14ac:dyDescent="0.3">
      <c r="A1445" s="1" t="s">
        <v>2613</v>
      </c>
      <c r="B1445" t="s">
        <v>72</v>
      </c>
      <c r="C1445" t="s">
        <v>2614</v>
      </c>
      <c r="D1445" t="str">
        <f t="shared" si="22"/>
        <v>Male</v>
      </c>
      <c r="E1445" t="s">
        <v>9</v>
      </c>
      <c r="F1445" s="2">
        <v>45</v>
      </c>
      <c r="G1445" s="2" t="str" cm="1">
        <f t="array" ref="G1445">_xlfn.IFS(F1445&lt;=8,"Child",F1445&lt;=17,"Teen",F1445&lt;=35,"Adult",F1445&lt;=55,"Seniour Adult",F1445&gt;=55,"Old Age")</f>
        <v>Seniour Adult</v>
      </c>
      <c r="H1445" t="s">
        <v>67</v>
      </c>
      <c r="I1445" t="s">
        <v>28</v>
      </c>
      <c r="J1445" t="str" cm="1">
        <f t="array" ref="J1445">_xlfn.IFS(I1445="S","Sauthamptonm",I1445="Q","Queentown",I1445="C","Cherburg",I1445="B","Cabin")</f>
        <v>Cabin</v>
      </c>
      <c r="K1445" t="s">
        <v>15</v>
      </c>
      <c r="L1445" s="2">
        <v>29</v>
      </c>
      <c r="M1445">
        <v>0</v>
      </c>
      <c r="N1445" t="s">
        <v>30</v>
      </c>
      <c r="O1445" t="s">
        <v>13</v>
      </c>
    </row>
    <row r="1446" spans="1:15" x14ac:dyDescent="0.3">
      <c r="A1446" s="1" t="s">
        <v>2615</v>
      </c>
      <c r="B1446" t="s">
        <v>72</v>
      </c>
      <c r="C1446" t="s">
        <v>2616</v>
      </c>
      <c r="D1446" t="str">
        <f t="shared" si="22"/>
        <v>Male</v>
      </c>
      <c r="E1446" t="s">
        <v>9</v>
      </c>
      <c r="F1446" s="2">
        <v>24</v>
      </c>
      <c r="G1446" s="2" t="str" cm="1">
        <f t="array" ref="G1446">_xlfn.IFS(F1446&lt;=8,"Child",F1446&lt;=17,"Teen",F1446&lt;=35,"Adult",F1446&lt;=55,"Seniour Adult",F1446&gt;=55,"Old Age")</f>
        <v>Adult</v>
      </c>
      <c r="H1446" t="s">
        <v>69</v>
      </c>
      <c r="I1446" t="s">
        <v>11</v>
      </c>
      <c r="J1446" t="str" cm="1">
        <f t="array" ref="J1446">_xlfn.IFS(I1446="S","Sauthamptonm",I1446="Q","Queentown",I1446="C","Cherburg",I1446="B","Cabin")</f>
        <v>Sauthamptonm</v>
      </c>
      <c r="K1446" t="s">
        <v>15</v>
      </c>
      <c r="L1446" s="2">
        <v>29</v>
      </c>
      <c r="M1446">
        <v>0</v>
      </c>
      <c r="N1446" t="s">
        <v>30</v>
      </c>
      <c r="O1446" t="s">
        <v>16</v>
      </c>
    </row>
    <row r="1447" spans="1:15" x14ac:dyDescent="0.3">
      <c r="A1447" s="1" t="s">
        <v>2617</v>
      </c>
      <c r="B1447" t="s">
        <v>72</v>
      </c>
      <c r="C1447" t="s">
        <v>2618</v>
      </c>
      <c r="D1447" t="str">
        <f t="shared" si="22"/>
        <v>Male</v>
      </c>
      <c r="E1447" t="s">
        <v>9</v>
      </c>
      <c r="F1447" s="2">
        <v>20</v>
      </c>
      <c r="G1447" s="2" t="str" cm="1">
        <f t="array" ref="G1447">_xlfn.IFS(F1447&lt;=8,"Child",F1447&lt;=17,"Teen",F1447&lt;=35,"Adult",F1447&lt;=55,"Seniour Adult",F1447&gt;=55,"Old Age")</f>
        <v>Adult</v>
      </c>
      <c r="H1447" t="s">
        <v>67</v>
      </c>
      <c r="I1447" t="s">
        <v>11</v>
      </c>
      <c r="J1447" t="str" cm="1">
        <f t="array" ref="J1447">_xlfn.IFS(I1447="S","Sauthamptonm",I1447="Q","Queentown",I1447="C","Cherburg",I1447="B","Cabin")</f>
        <v>Sauthamptonm</v>
      </c>
      <c r="K1447" t="s">
        <v>15</v>
      </c>
      <c r="L1447" s="2">
        <v>29</v>
      </c>
      <c r="M1447">
        <v>0</v>
      </c>
      <c r="N1447" t="s">
        <v>30</v>
      </c>
      <c r="O1447" t="s">
        <v>13</v>
      </c>
    </row>
    <row r="1448" spans="1:15" x14ac:dyDescent="0.3">
      <c r="A1448" s="1" t="s">
        <v>2619</v>
      </c>
      <c r="B1448" t="s">
        <v>72</v>
      </c>
      <c r="C1448" t="s">
        <v>1442</v>
      </c>
      <c r="D1448" t="str">
        <f t="shared" si="22"/>
        <v>Male</v>
      </c>
      <c r="E1448" t="s">
        <v>9</v>
      </c>
      <c r="F1448" s="2">
        <v>24</v>
      </c>
      <c r="G1448" s="2" t="str" cm="1">
        <f t="array" ref="G1448">_xlfn.IFS(F1448&lt;=8,"Child",F1448&lt;=17,"Teen",F1448&lt;=35,"Adult",F1448&lt;=55,"Seniour Adult",F1448&gt;=55,"Old Age")</f>
        <v>Adult</v>
      </c>
      <c r="H1448" t="s">
        <v>69</v>
      </c>
      <c r="I1448" t="s">
        <v>11</v>
      </c>
      <c r="J1448" t="str" cm="1">
        <f t="array" ref="J1448">_xlfn.IFS(I1448="S","Sauthamptonm",I1448="Q","Queentown",I1448="C","Cherburg",I1448="B","Cabin")</f>
        <v>Sauthamptonm</v>
      </c>
      <c r="K1448" t="s">
        <v>15</v>
      </c>
      <c r="L1448" s="2">
        <v>29</v>
      </c>
      <c r="M1448">
        <v>0</v>
      </c>
      <c r="N1448" t="s">
        <v>30</v>
      </c>
      <c r="O1448" t="s">
        <v>13</v>
      </c>
    </row>
    <row r="1449" spans="1:15" x14ac:dyDescent="0.3">
      <c r="A1449" s="1" t="s">
        <v>2620</v>
      </c>
      <c r="B1449" t="s">
        <v>72</v>
      </c>
      <c r="C1449" t="s">
        <v>2621</v>
      </c>
      <c r="D1449" t="str">
        <f t="shared" si="22"/>
        <v>Male</v>
      </c>
      <c r="E1449" t="s">
        <v>9</v>
      </c>
      <c r="F1449" s="2">
        <v>19</v>
      </c>
      <c r="G1449" s="2" t="str" cm="1">
        <f t="array" ref="G1449">_xlfn.IFS(F1449&lt;=8,"Child",F1449&lt;=17,"Teen",F1449&lt;=35,"Adult",F1449&lt;=55,"Seniour Adult",F1449&gt;=55,"Old Age")</f>
        <v>Adult</v>
      </c>
      <c r="H1449" t="s">
        <v>69</v>
      </c>
      <c r="I1449" t="s">
        <v>11</v>
      </c>
      <c r="J1449" t="str" cm="1">
        <f t="array" ref="J1449">_xlfn.IFS(I1449="S","Sauthamptonm",I1449="Q","Queentown",I1449="C","Cherburg",I1449="B","Cabin")</f>
        <v>Sauthamptonm</v>
      </c>
      <c r="K1449" t="s">
        <v>15</v>
      </c>
      <c r="L1449" s="2">
        <v>29</v>
      </c>
      <c r="M1449">
        <v>0</v>
      </c>
      <c r="N1449" t="s">
        <v>30</v>
      </c>
      <c r="O1449" t="s">
        <v>13</v>
      </c>
    </row>
    <row r="1450" spans="1:15" x14ac:dyDescent="0.3">
      <c r="A1450" s="1" t="s">
        <v>2622</v>
      </c>
      <c r="B1450" t="s">
        <v>1766</v>
      </c>
      <c r="C1450" t="s">
        <v>2623</v>
      </c>
      <c r="D1450" t="str">
        <f t="shared" si="22"/>
        <v>Male</v>
      </c>
      <c r="E1450" t="s">
        <v>9</v>
      </c>
      <c r="F1450" s="2">
        <v>23</v>
      </c>
      <c r="G1450" s="2" t="str" cm="1">
        <f t="array" ref="G1450">_xlfn.IFS(F1450&lt;=8,"Child",F1450&lt;=17,"Teen",F1450&lt;=35,"Adult",F1450&lt;=55,"Seniour Adult",F1450&gt;=55,"Old Age")</f>
        <v>Adult</v>
      </c>
      <c r="H1450" t="s">
        <v>68</v>
      </c>
      <c r="I1450" t="s">
        <v>11</v>
      </c>
      <c r="J1450" t="str" cm="1">
        <f t="array" ref="J1450">_xlfn.IFS(I1450="S","Sauthamptonm",I1450="Q","Queentown",I1450="C","Cherburg",I1450="B","Cabin")</f>
        <v>Sauthamptonm</v>
      </c>
      <c r="K1450" t="s">
        <v>15</v>
      </c>
      <c r="L1450" s="2">
        <v>29</v>
      </c>
      <c r="M1450">
        <v>0</v>
      </c>
      <c r="N1450" t="s">
        <v>30</v>
      </c>
      <c r="O1450" t="s">
        <v>13</v>
      </c>
    </row>
    <row r="1451" spans="1:15" x14ac:dyDescent="0.3">
      <c r="A1451" s="1" t="s">
        <v>2624</v>
      </c>
      <c r="B1451" t="s">
        <v>72</v>
      </c>
      <c r="C1451" t="s">
        <v>2625</v>
      </c>
      <c r="D1451" t="str">
        <f t="shared" si="22"/>
        <v>Male</v>
      </c>
      <c r="E1451" t="s">
        <v>9</v>
      </c>
      <c r="F1451" s="2">
        <v>35</v>
      </c>
      <c r="G1451" s="2" t="str" cm="1">
        <f t="array" ref="G1451">_xlfn.IFS(F1451&lt;=8,"Child",F1451&lt;=17,"Teen",F1451&lt;=35,"Adult",F1451&lt;=55,"Seniour Adult",F1451&gt;=55,"Old Age")</f>
        <v>Adult</v>
      </c>
      <c r="H1451" t="s">
        <v>67</v>
      </c>
      <c r="I1451" t="s">
        <v>11</v>
      </c>
      <c r="J1451" t="str" cm="1">
        <f t="array" ref="J1451">_xlfn.IFS(I1451="S","Sauthamptonm",I1451="Q","Queentown",I1451="C","Cherburg",I1451="B","Cabin")</f>
        <v>Sauthamptonm</v>
      </c>
      <c r="K1451" t="s">
        <v>15</v>
      </c>
      <c r="L1451" s="2">
        <v>29</v>
      </c>
      <c r="M1451">
        <v>0</v>
      </c>
      <c r="N1451" t="s">
        <v>30</v>
      </c>
      <c r="O1451" t="s">
        <v>13</v>
      </c>
    </row>
    <row r="1452" spans="1:15" x14ac:dyDescent="0.3">
      <c r="A1452" s="1" t="s">
        <v>2626</v>
      </c>
      <c r="B1452" t="s">
        <v>72</v>
      </c>
      <c r="C1452" t="s">
        <v>2627</v>
      </c>
      <c r="D1452" t="str">
        <f t="shared" si="22"/>
        <v>Male</v>
      </c>
      <c r="E1452" t="s">
        <v>9</v>
      </c>
      <c r="F1452" s="2">
        <v>17</v>
      </c>
      <c r="G1452" s="2" t="str" cm="1">
        <f t="array" ref="G1452">_xlfn.IFS(F1452&lt;=8,"Child",F1452&lt;=17,"Teen",F1452&lt;=35,"Adult",F1452&lt;=55,"Seniour Adult",F1452&gt;=55,"Old Age")</f>
        <v>Teen</v>
      </c>
      <c r="H1452" t="s">
        <v>67</v>
      </c>
      <c r="I1452" t="s">
        <v>11</v>
      </c>
      <c r="J1452" t="str" cm="1">
        <f t="array" ref="J1452">_xlfn.IFS(I1452="S","Sauthamptonm",I1452="Q","Queentown",I1452="C","Cherburg",I1452="B","Cabin")</f>
        <v>Sauthamptonm</v>
      </c>
      <c r="K1452" t="s">
        <v>15</v>
      </c>
      <c r="L1452" s="2">
        <v>29</v>
      </c>
      <c r="M1452">
        <v>0</v>
      </c>
      <c r="N1452" t="s">
        <v>30</v>
      </c>
      <c r="O1452" t="s">
        <v>13</v>
      </c>
    </row>
    <row r="1453" spans="1:15" x14ac:dyDescent="0.3">
      <c r="A1453" s="1" t="s">
        <v>2628</v>
      </c>
      <c r="B1453" t="s">
        <v>72</v>
      </c>
      <c r="C1453" t="s">
        <v>1226</v>
      </c>
      <c r="D1453" t="str">
        <f t="shared" si="22"/>
        <v>Male</v>
      </c>
      <c r="E1453" t="s">
        <v>9</v>
      </c>
      <c r="F1453" s="2">
        <v>46</v>
      </c>
      <c r="G1453" s="2" t="str" cm="1">
        <f t="array" ref="G1453">_xlfn.IFS(F1453&lt;=8,"Child",F1453&lt;=17,"Teen",F1453&lt;=35,"Adult",F1453&lt;=55,"Seniour Adult",F1453&gt;=55,"Old Age")</f>
        <v>Seniour Adult</v>
      </c>
      <c r="H1453" t="s">
        <v>67</v>
      </c>
      <c r="I1453" t="s">
        <v>11</v>
      </c>
      <c r="J1453" t="str" cm="1">
        <f t="array" ref="J1453">_xlfn.IFS(I1453="S","Sauthamptonm",I1453="Q","Queentown",I1453="C","Cherburg",I1453="B","Cabin")</f>
        <v>Sauthamptonm</v>
      </c>
      <c r="K1453" t="s">
        <v>15</v>
      </c>
      <c r="L1453" s="2">
        <v>29</v>
      </c>
      <c r="M1453">
        <v>0</v>
      </c>
      <c r="N1453" t="s">
        <v>30</v>
      </c>
      <c r="O1453" t="s">
        <v>16</v>
      </c>
    </row>
    <row r="1454" spans="1:15" x14ac:dyDescent="0.3">
      <c r="A1454" s="1" t="s">
        <v>2629</v>
      </c>
      <c r="B1454" t="s">
        <v>72</v>
      </c>
      <c r="C1454" t="s">
        <v>2630</v>
      </c>
      <c r="D1454" t="str">
        <f t="shared" si="22"/>
        <v>Male</v>
      </c>
      <c r="E1454" t="s">
        <v>9</v>
      </c>
      <c r="F1454" s="2">
        <v>23</v>
      </c>
      <c r="G1454" s="2" t="str" cm="1">
        <f t="array" ref="G1454">_xlfn.IFS(F1454&lt;=8,"Child",F1454&lt;=17,"Teen",F1454&lt;=35,"Adult",F1454&lt;=55,"Seniour Adult",F1454&gt;=55,"Old Age")</f>
        <v>Adult</v>
      </c>
      <c r="H1454" t="s">
        <v>67</v>
      </c>
      <c r="I1454" t="s">
        <v>11</v>
      </c>
      <c r="J1454" t="str" cm="1">
        <f t="array" ref="J1454">_xlfn.IFS(I1454="S","Sauthamptonm",I1454="Q","Queentown",I1454="C","Cherburg",I1454="B","Cabin")</f>
        <v>Sauthamptonm</v>
      </c>
      <c r="K1454" t="s">
        <v>15</v>
      </c>
      <c r="L1454" s="2">
        <v>29</v>
      </c>
      <c r="M1454">
        <v>0</v>
      </c>
      <c r="N1454" t="s">
        <v>30</v>
      </c>
      <c r="O1454" t="s">
        <v>16</v>
      </c>
    </row>
    <row r="1455" spans="1:15" x14ac:dyDescent="0.3">
      <c r="A1455" s="1" t="s">
        <v>2631</v>
      </c>
      <c r="B1455" t="s">
        <v>72</v>
      </c>
      <c r="C1455" t="s">
        <v>104</v>
      </c>
      <c r="D1455" t="str">
        <f t="shared" si="22"/>
        <v>Male</v>
      </c>
      <c r="E1455" t="s">
        <v>9</v>
      </c>
      <c r="F1455" s="2">
        <v>39</v>
      </c>
      <c r="G1455" s="2" t="str" cm="1">
        <f t="array" ref="G1455">_xlfn.IFS(F1455&lt;=8,"Child",F1455&lt;=17,"Teen",F1455&lt;=35,"Adult",F1455&lt;=55,"Seniour Adult",F1455&gt;=55,"Old Age")</f>
        <v>Seniour Adult</v>
      </c>
      <c r="H1455" t="s">
        <v>67</v>
      </c>
      <c r="I1455" t="s">
        <v>11</v>
      </c>
      <c r="J1455" t="str" cm="1">
        <f t="array" ref="J1455">_xlfn.IFS(I1455="S","Sauthamptonm",I1455="Q","Queentown",I1455="C","Cherburg",I1455="B","Cabin")</f>
        <v>Sauthamptonm</v>
      </c>
      <c r="K1455" t="s">
        <v>15</v>
      </c>
      <c r="L1455" s="2">
        <v>29</v>
      </c>
      <c r="M1455">
        <v>0</v>
      </c>
      <c r="N1455" t="s">
        <v>30</v>
      </c>
      <c r="O1455" t="s">
        <v>13</v>
      </c>
    </row>
    <row r="1456" spans="1:15" x14ac:dyDescent="0.3">
      <c r="A1456" s="1" t="s">
        <v>2632</v>
      </c>
      <c r="B1456" t="s">
        <v>72</v>
      </c>
      <c r="C1456" t="s">
        <v>119</v>
      </c>
      <c r="D1456" t="str">
        <f t="shared" si="22"/>
        <v>Male</v>
      </c>
      <c r="E1456" t="s">
        <v>9</v>
      </c>
      <c r="F1456" s="2">
        <v>25</v>
      </c>
      <c r="G1456" s="2" t="str" cm="1">
        <f t="array" ref="G1456">_xlfn.IFS(F1456&lt;=8,"Child",F1456&lt;=17,"Teen",F1456&lt;=35,"Adult",F1456&lt;=55,"Seniour Adult",F1456&gt;=55,"Old Age")</f>
        <v>Adult</v>
      </c>
      <c r="H1456" t="s">
        <v>67</v>
      </c>
      <c r="I1456" t="s">
        <v>11</v>
      </c>
      <c r="J1456" t="str" cm="1">
        <f t="array" ref="J1456">_xlfn.IFS(I1456="S","Sauthamptonm",I1456="Q","Queentown",I1456="C","Cherburg",I1456="B","Cabin")</f>
        <v>Sauthamptonm</v>
      </c>
      <c r="K1456" t="s">
        <v>15</v>
      </c>
      <c r="L1456" s="2">
        <v>29</v>
      </c>
      <c r="M1456">
        <v>0</v>
      </c>
      <c r="N1456" t="s">
        <v>30</v>
      </c>
      <c r="O1456" t="s">
        <v>13</v>
      </c>
    </row>
    <row r="1457" spans="1:15" x14ac:dyDescent="0.3">
      <c r="A1457" s="1" t="s">
        <v>2633</v>
      </c>
      <c r="B1457" t="s">
        <v>72</v>
      </c>
      <c r="C1457" t="s">
        <v>128</v>
      </c>
      <c r="D1457" t="str">
        <f t="shared" si="22"/>
        <v>Male</v>
      </c>
      <c r="E1457" t="s">
        <v>9</v>
      </c>
      <c r="F1457" s="2">
        <v>44</v>
      </c>
      <c r="G1457" s="2" t="str" cm="1">
        <f t="array" ref="G1457">_xlfn.IFS(F1457&lt;=8,"Child",F1457&lt;=17,"Teen",F1457&lt;=35,"Adult",F1457&lt;=55,"Seniour Adult",F1457&gt;=55,"Old Age")</f>
        <v>Seniour Adult</v>
      </c>
      <c r="H1457" t="s">
        <v>51</v>
      </c>
      <c r="I1457" t="s">
        <v>11</v>
      </c>
      <c r="J1457" t="str" cm="1">
        <f t="array" ref="J1457">_xlfn.IFS(I1457="S","Sauthamptonm",I1457="Q","Queentown",I1457="C","Cherburg",I1457="B","Cabin")</f>
        <v>Sauthamptonm</v>
      </c>
      <c r="K1457" t="s">
        <v>15</v>
      </c>
      <c r="L1457" s="2">
        <v>29</v>
      </c>
      <c r="M1457">
        <v>0</v>
      </c>
      <c r="N1457" t="s">
        <v>30</v>
      </c>
      <c r="O1457" t="s">
        <v>16</v>
      </c>
    </row>
    <row r="1458" spans="1:15" x14ac:dyDescent="0.3">
      <c r="A1458" s="1" t="s">
        <v>2634</v>
      </c>
      <c r="B1458" t="s">
        <v>72</v>
      </c>
      <c r="C1458" t="s">
        <v>2635</v>
      </c>
      <c r="D1458" t="str">
        <f t="shared" si="22"/>
        <v>Male</v>
      </c>
      <c r="E1458" t="s">
        <v>9</v>
      </c>
      <c r="F1458" s="2">
        <v>25</v>
      </c>
      <c r="G1458" s="2" t="str" cm="1">
        <f t="array" ref="G1458">_xlfn.IFS(F1458&lt;=8,"Child",F1458&lt;=17,"Teen",F1458&lt;=35,"Adult",F1458&lt;=55,"Seniour Adult",F1458&gt;=55,"Old Age")</f>
        <v>Adult</v>
      </c>
      <c r="H1458" t="s">
        <v>51</v>
      </c>
      <c r="I1458" t="s">
        <v>11</v>
      </c>
      <c r="J1458" t="str" cm="1">
        <f t="array" ref="J1458">_xlfn.IFS(I1458="S","Sauthamptonm",I1458="Q","Queentown",I1458="C","Cherburg",I1458="B","Cabin")</f>
        <v>Sauthamptonm</v>
      </c>
      <c r="K1458" t="s">
        <v>15</v>
      </c>
      <c r="L1458" s="2">
        <v>29</v>
      </c>
      <c r="M1458">
        <v>0</v>
      </c>
      <c r="N1458" t="s">
        <v>30</v>
      </c>
      <c r="O1458" t="s">
        <v>16</v>
      </c>
    </row>
    <row r="1459" spans="1:15" x14ac:dyDescent="0.3">
      <c r="A1459" s="1" t="s">
        <v>2636</v>
      </c>
      <c r="B1459" t="s">
        <v>1766</v>
      </c>
      <c r="C1459" t="s">
        <v>2637</v>
      </c>
      <c r="D1459" t="str">
        <f t="shared" si="22"/>
        <v>Male</v>
      </c>
      <c r="E1459" t="s">
        <v>9</v>
      </c>
      <c r="F1459" s="2">
        <v>27</v>
      </c>
      <c r="G1459" s="2" t="str" cm="1">
        <f t="array" ref="G1459">_xlfn.IFS(F1459&lt;=8,"Child",F1459&lt;=17,"Teen",F1459&lt;=35,"Adult",F1459&lt;=55,"Seniour Adult",F1459&gt;=55,"Old Age")</f>
        <v>Adult</v>
      </c>
      <c r="H1459" t="s">
        <v>68</v>
      </c>
      <c r="I1459" t="s">
        <v>11</v>
      </c>
      <c r="J1459" t="str" cm="1">
        <f t="array" ref="J1459">_xlfn.IFS(I1459="S","Sauthamptonm",I1459="Q","Queentown",I1459="C","Cherburg",I1459="B","Cabin")</f>
        <v>Sauthamptonm</v>
      </c>
      <c r="K1459" t="s">
        <v>15</v>
      </c>
      <c r="L1459" s="2">
        <v>29</v>
      </c>
      <c r="M1459">
        <v>0</v>
      </c>
      <c r="N1459" t="s">
        <v>30</v>
      </c>
      <c r="O1459" t="s">
        <v>13</v>
      </c>
    </row>
    <row r="1460" spans="1:15" x14ac:dyDescent="0.3">
      <c r="A1460" s="1" t="s">
        <v>2638</v>
      </c>
      <c r="B1460" t="s">
        <v>72</v>
      </c>
      <c r="C1460" t="s">
        <v>2639</v>
      </c>
      <c r="D1460" t="str">
        <f t="shared" si="22"/>
        <v>Male</v>
      </c>
      <c r="E1460" t="s">
        <v>9</v>
      </c>
      <c r="F1460" s="2">
        <v>31</v>
      </c>
      <c r="G1460" s="2" t="str" cm="1">
        <f t="array" ref="G1460">_xlfn.IFS(F1460&lt;=8,"Child",F1460&lt;=17,"Teen",F1460&lt;=35,"Adult",F1460&lt;=55,"Seniour Adult",F1460&gt;=55,"Old Age")</f>
        <v>Adult</v>
      </c>
      <c r="H1460" t="s">
        <v>51</v>
      </c>
      <c r="I1460" t="s">
        <v>11</v>
      </c>
      <c r="J1460" t="str" cm="1">
        <f t="array" ref="J1460">_xlfn.IFS(I1460="S","Sauthamptonm",I1460="Q","Queentown",I1460="C","Cherburg",I1460="B","Cabin")</f>
        <v>Sauthamptonm</v>
      </c>
      <c r="K1460" t="s">
        <v>15</v>
      </c>
      <c r="L1460" s="2">
        <v>29</v>
      </c>
      <c r="M1460">
        <v>0</v>
      </c>
      <c r="N1460" t="s">
        <v>30</v>
      </c>
      <c r="O1460" t="s">
        <v>13</v>
      </c>
    </row>
    <row r="1461" spans="1:15" x14ac:dyDescent="0.3">
      <c r="A1461" s="1" t="s">
        <v>2640</v>
      </c>
      <c r="B1461" t="s">
        <v>72</v>
      </c>
      <c r="C1461" t="s">
        <v>2138</v>
      </c>
      <c r="D1461" t="str">
        <f t="shared" si="22"/>
        <v>Male</v>
      </c>
      <c r="E1461" t="s">
        <v>9</v>
      </c>
      <c r="F1461" s="2">
        <v>29</v>
      </c>
      <c r="G1461" s="2" t="str" cm="1">
        <f t="array" ref="G1461">_xlfn.IFS(F1461&lt;=8,"Child",F1461&lt;=17,"Teen",F1461&lt;=35,"Adult",F1461&lt;=55,"Seniour Adult",F1461&gt;=55,"Old Age")</f>
        <v>Adult</v>
      </c>
      <c r="H1461" t="s">
        <v>67</v>
      </c>
      <c r="I1461" t="s">
        <v>28</v>
      </c>
      <c r="J1461" t="str" cm="1">
        <f t="array" ref="J1461">_xlfn.IFS(I1461="S","Sauthamptonm",I1461="Q","Queentown",I1461="C","Cherburg",I1461="B","Cabin")</f>
        <v>Cabin</v>
      </c>
      <c r="K1461" t="s">
        <v>15</v>
      </c>
      <c r="L1461" s="2">
        <v>29</v>
      </c>
      <c r="M1461">
        <v>0</v>
      </c>
      <c r="N1461" t="s">
        <v>30</v>
      </c>
      <c r="O1461" t="s">
        <v>16</v>
      </c>
    </row>
    <row r="1462" spans="1:15" x14ac:dyDescent="0.3">
      <c r="A1462" s="1" t="s">
        <v>2641</v>
      </c>
      <c r="B1462" t="s">
        <v>72</v>
      </c>
      <c r="C1462" t="s">
        <v>128</v>
      </c>
      <c r="D1462" t="str">
        <f t="shared" si="22"/>
        <v>Male</v>
      </c>
      <c r="E1462" t="s">
        <v>9</v>
      </c>
      <c r="F1462" s="2">
        <v>28</v>
      </c>
      <c r="G1462" s="2" t="str" cm="1">
        <f t="array" ref="G1462">_xlfn.IFS(F1462&lt;=8,"Child",F1462&lt;=17,"Teen",F1462&lt;=35,"Adult",F1462&lt;=55,"Seniour Adult",F1462&gt;=55,"Old Age")</f>
        <v>Adult</v>
      </c>
      <c r="H1462" t="s">
        <v>67</v>
      </c>
      <c r="I1462" t="s">
        <v>11</v>
      </c>
      <c r="J1462" t="str" cm="1">
        <f t="array" ref="J1462">_xlfn.IFS(I1462="S","Sauthamptonm",I1462="Q","Queentown",I1462="C","Cherburg",I1462="B","Cabin")</f>
        <v>Sauthamptonm</v>
      </c>
      <c r="K1462" t="s">
        <v>15</v>
      </c>
      <c r="L1462" s="2">
        <v>29</v>
      </c>
      <c r="M1462">
        <v>0</v>
      </c>
      <c r="N1462" t="s">
        <v>30</v>
      </c>
      <c r="O1462" t="s">
        <v>13</v>
      </c>
    </row>
    <row r="1463" spans="1:15" x14ac:dyDescent="0.3">
      <c r="A1463" s="1" t="s">
        <v>2642</v>
      </c>
      <c r="B1463" t="s">
        <v>72</v>
      </c>
      <c r="C1463" t="s">
        <v>2643</v>
      </c>
      <c r="D1463" t="str">
        <f t="shared" si="22"/>
        <v>Male</v>
      </c>
      <c r="E1463" t="s">
        <v>9</v>
      </c>
      <c r="F1463" s="2">
        <v>30</v>
      </c>
      <c r="G1463" s="2" t="str" cm="1">
        <f t="array" ref="G1463">_xlfn.IFS(F1463&lt;=8,"Child",F1463&lt;=17,"Teen",F1463&lt;=35,"Adult",F1463&lt;=55,"Seniour Adult",F1463&gt;=55,"Old Age")</f>
        <v>Adult</v>
      </c>
      <c r="H1463" t="s">
        <v>67</v>
      </c>
      <c r="I1463" t="s">
        <v>11</v>
      </c>
      <c r="J1463" t="str" cm="1">
        <f t="array" ref="J1463">_xlfn.IFS(I1463="S","Sauthamptonm",I1463="Q","Queentown",I1463="C","Cherburg",I1463="B","Cabin")</f>
        <v>Sauthamptonm</v>
      </c>
      <c r="K1463" t="s">
        <v>43</v>
      </c>
      <c r="L1463" s="2">
        <v>29</v>
      </c>
      <c r="M1463">
        <v>0</v>
      </c>
      <c r="N1463" t="s">
        <v>30</v>
      </c>
      <c r="O1463" t="s">
        <v>13</v>
      </c>
    </row>
    <row r="1464" spans="1:15" x14ac:dyDescent="0.3">
      <c r="A1464" s="1" t="s">
        <v>2644</v>
      </c>
      <c r="B1464" t="s">
        <v>72</v>
      </c>
      <c r="C1464" t="s">
        <v>598</v>
      </c>
      <c r="D1464" t="str">
        <f t="shared" si="22"/>
        <v>Male</v>
      </c>
      <c r="E1464" t="s">
        <v>9</v>
      </c>
      <c r="F1464" s="2">
        <v>32</v>
      </c>
      <c r="G1464" s="2" t="str" cm="1">
        <f t="array" ref="G1464">_xlfn.IFS(F1464&lt;=8,"Child",F1464&lt;=17,"Teen",F1464&lt;=35,"Adult",F1464&lt;=55,"Seniour Adult",F1464&gt;=55,"Old Age")</f>
        <v>Adult</v>
      </c>
      <c r="H1464" t="s">
        <v>51</v>
      </c>
      <c r="I1464" t="s">
        <v>11</v>
      </c>
      <c r="J1464" t="str" cm="1">
        <f t="array" ref="J1464">_xlfn.IFS(I1464="S","Sauthamptonm",I1464="Q","Queentown",I1464="C","Cherburg",I1464="B","Cabin")</f>
        <v>Sauthamptonm</v>
      </c>
      <c r="K1464" t="s">
        <v>15</v>
      </c>
      <c r="L1464" s="2">
        <v>29</v>
      </c>
      <c r="M1464">
        <v>0</v>
      </c>
      <c r="N1464" t="s">
        <v>30</v>
      </c>
      <c r="O1464" t="s">
        <v>13</v>
      </c>
    </row>
    <row r="1465" spans="1:15" x14ac:dyDescent="0.3">
      <c r="A1465" s="1" t="s">
        <v>2645</v>
      </c>
      <c r="B1465" t="s">
        <v>72</v>
      </c>
      <c r="C1465" t="s">
        <v>2646</v>
      </c>
      <c r="D1465" t="str">
        <f t="shared" si="22"/>
        <v>Male</v>
      </c>
      <c r="E1465" t="s">
        <v>9</v>
      </c>
      <c r="F1465" s="2">
        <v>39</v>
      </c>
      <c r="G1465" s="2" t="str" cm="1">
        <f t="array" ref="G1465">_xlfn.IFS(F1465&lt;=8,"Child",F1465&lt;=17,"Teen",F1465&lt;=35,"Adult",F1465&lt;=55,"Seniour Adult",F1465&gt;=55,"Old Age")</f>
        <v>Seniour Adult</v>
      </c>
      <c r="H1465" t="s">
        <v>51</v>
      </c>
      <c r="I1465" t="s">
        <v>11</v>
      </c>
      <c r="J1465" t="str" cm="1">
        <f t="array" ref="J1465">_xlfn.IFS(I1465="S","Sauthamptonm",I1465="Q","Queentown",I1465="C","Cherburg",I1465="B","Cabin")</f>
        <v>Sauthamptonm</v>
      </c>
      <c r="K1465" t="s">
        <v>15</v>
      </c>
      <c r="L1465" s="2">
        <v>29</v>
      </c>
      <c r="M1465">
        <v>0</v>
      </c>
      <c r="N1465" t="s">
        <v>30</v>
      </c>
      <c r="O1465" t="s">
        <v>16</v>
      </c>
    </row>
    <row r="1466" spans="1:15" x14ac:dyDescent="0.3">
      <c r="A1466" s="1" t="s">
        <v>2647</v>
      </c>
      <c r="B1466" t="s">
        <v>72</v>
      </c>
      <c r="C1466" t="s">
        <v>637</v>
      </c>
      <c r="D1466" t="str">
        <f t="shared" si="22"/>
        <v>Male</v>
      </c>
      <c r="E1466" t="s">
        <v>9</v>
      </c>
      <c r="F1466" s="2">
        <v>37</v>
      </c>
      <c r="G1466" s="2" t="str" cm="1">
        <f t="array" ref="G1466">_xlfn.IFS(F1466&lt;=8,"Child",F1466&lt;=17,"Teen",F1466&lt;=35,"Adult",F1466&lt;=55,"Seniour Adult",F1466&gt;=55,"Old Age")</f>
        <v>Seniour Adult</v>
      </c>
      <c r="H1466" t="s">
        <v>51</v>
      </c>
      <c r="I1466" t="s">
        <v>28</v>
      </c>
      <c r="J1466" t="str" cm="1">
        <f t="array" ref="J1466">_xlfn.IFS(I1466="S","Sauthamptonm",I1466="Q","Queentown",I1466="C","Cherburg",I1466="B","Cabin")</f>
        <v>Cabin</v>
      </c>
      <c r="K1466" t="s">
        <v>37</v>
      </c>
      <c r="L1466" s="2">
        <v>29</v>
      </c>
      <c r="M1466">
        <v>0</v>
      </c>
      <c r="N1466" t="s">
        <v>30</v>
      </c>
      <c r="O1466" t="s">
        <v>13</v>
      </c>
    </row>
    <row r="1467" spans="1:15" x14ac:dyDescent="0.3">
      <c r="A1467" s="1" t="s">
        <v>2648</v>
      </c>
      <c r="B1467" t="s">
        <v>72</v>
      </c>
      <c r="C1467" t="s">
        <v>1594</v>
      </c>
      <c r="D1467" t="str">
        <f t="shared" si="22"/>
        <v>Male</v>
      </c>
      <c r="E1467" t="s">
        <v>9</v>
      </c>
      <c r="F1467" s="2">
        <v>42</v>
      </c>
      <c r="G1467" s="2" t="str" cm="1">
        <f t="array" ref="G1467">_xlfn.IFS(F1467&lt;=8,"Child",F1467&lt;=17,"Teen",F1467&lt;=35,"Adult",F1467&lt;=55,"Seniour Adult",F1467&gt;=55,"Old Age")</f>
        <v>Seniour Adult</v>
      </c>
      <c r="H1467" t="s">
        <v>67</v>
      </c>
      <c r="I1467" t="s">
        <v>11</v>
      </c>
      <c r="J1467" t="str" cm="1">
        <f t="array" ref="J1467">_xlfn.IFS(I1467="S","Sauthamptonm",I1467="Q","Queentown",I1467="C","Cherburg",I1467="B","Cabin")</f>
        <v>Sauthamptonm</v>
      </c>
      <c r="K1467" t="s">
        <v>15</v>
      </c>
      <c r="L1467" s="2">
        <v>29</v>
      </c>
      <c r="M1467">
        <v>0</v>
      </c>
      <c r="N1467" t="s">
        <v>30</v>
      </c>
      <c r="O1467" t="s">
        <v>13</v>
      </c>
    </row>
    <row r="1468" spans="1:15" x14ac:dyDescent="0.3">
      <c r="A1468" s="1" t="s">
        <v>2649</v>
      </c>
      <c r="B1468" t="s">
        <v>72</v>
      </c>
      <c r="C1468" t="s">
        <v>1925</v>
      </c>
      <c r="D1468" t="str">
        <f t="shared" si="22"/>
        <v>Male</v>
      </c>
      <c r="E1468" t="s">
        <v>9</v>
      </c>
      <c r="F1468" s="2">
        <v>17</v>
      </c>
      <c r="G1468" s="2" t="str" cm="1">
        <f t="array" ref="G1468">_xlfn.IFS(F1468&lt;=8,"Child",F1468&lt;=17,"Teen",F1468&lt;=35,"Adult",F1468&lt;=55,"Seniour Adult",F1468&gt;=55,"Old Age")</f>
        <v>Teen</v>
      </c>
      <c r="H1468" t="s">
        <v>68</v>
      </c>
      <c r="I1468" t="s">
        <v>11</v>
      </c>
      <c r="J1468" t="str" cm="1">
        <f t="array" ref="J1468">_xlfn.IFS(I1468="S","Sauthamptonm",I1468="Q","Queentown",I1468="C","Cherburg",I1468="B","Cabin")</f>
        <v>Sauthamptonm</v>
      </c>
      <c r="K1468" t="s">
        <v>15</v>
      </c>
      <c r="L1468" s="2">
        <v>29</v>
      </c>
      <c r="M1468">
        <v>0</v>
      </c>
      <c r="N1468" t="s">
        <v>30</v>
      </c>
      <c r="O1468" t="s">
        <v>13</v>
      </c>
    </row>
    <row r="1469" spans="1:15" x14ac:dyDescent="0.3">
      <c r="A1469" s="1" t="s">
        <v>2650</v>
      </c>
      <c r="B1469" t="s">
        <v>1766</v>
      </c>
      <c r="C1469" t="s">
        <v>2651</v>
      </c>
      <c r="D1469" t="str">
        <f t="shared" si="22"/>
        <v>Male</v>
      </c>
      <c r="E1469" t="s">
        <v>9</v>
      </c>
      <c r="F1469" s="2">
        <v>20</v>
      </c>
      <c r="G1469" s="2" t="str" cm="1">
        <f t="array" ref="G1469">_xlfn.IFS(F1469&lt;=8,"Child",F1469&lt;=17,"Teen",F1469&lt;=35,"Adult",F1469&lt;=55,"Seniour Adult",F1469&gt;=55,"Old Age")</f>
        <v>Adult</v>
      </c>
      <c r="H1469" t="s">
        <v>68</v>
      </c>
      <c r="I1469" t="s">
        <v>11</v>
      </c>
      <c r="J1469" t="str" cm="1">
        <f t="array" ref="J1469">_xlfn.IFS(I1469="S","Sauthamptonm",I1469="Q","Queentown",I1469="C","Cherburg",I1469="B","Cabin")</f>
        <v>Sauthamptonm</v>
      </c>
      <c r="K1469" t="s">
        <v>38</v>
      </c>
      <c r="L1469" s="2">
        <v>29</v>
      </c>
      <c r="M1469">
        <v>0</v>
      </c>
      <c r="N1469" t="s">
        <v>30</v>
      </c>
      <c r="O1469" t="s">
        <v>13</v>
      </c>
    </row>
    <row r="1470" spans="1:15" x14ac:dyDescent="0.3">
      <c r="A1470" s="1" t="s">
        <v>2652</v>
      </c>
      <c r="B1470" t="s">
        <v>1766</v>
      </c>
      <c r="C1470" t="s">
        <v>2653</v>
      </c>
      <c r="D1470" t="str">
        <f t="shared" si="22"/>
        <v>Male</v>
      </c>
      <c r="E1470" t="s">
        <v>9</v>
      </c>
      <c r="F1470" s="2">
        <v>35</v>
      </c>
      <c r="G1470" s="2" t="str" cm="1">
        <f t="array" ref="G1470">_xlfn.IFS(F1470&lt;=8,"Child",F1470&lt;=17,"Teen",F1470&lt;=35,"Adult",F1470&lt;=55,"Seniour Adult",F1470&gt;=55,"Old Age")</f>
        <v>Adult</v>
      </c>
      <c r="H1470" t="s">
        <v>68</v>
      </c>
      <c r="I1470" t="s">
        <v>11</v>
      </c>
      <c r="J1470" t="str" cm="1">
        <f t="array" ref="J1470">_xlfn.IFS(I1470="S","Sauthamptonm",I1470="Q","Queentown",I1470="C","Cherburg",I1470="B","Cabin")</f>
        <v>Sauthamptonm</v>
      </c>
      <c r="K1470" t="s">
        <v>15</v>
      </c>
      <c r="L1470" s="2">
        <v>29</v>
      </c>
      <c r="M1470">
        <v>0</v>
      </c>
      <c r="N1470" t="s">
        <v>30</v>
      </c>
      <c r="O1470" t="s">
        <v>13</v>
      </c>
    </row>
    <row r="1471" spans="1:15" x14ac:dyDescent="0.3">
      <c r="A1471" s="1" t="s">
        <v>2654</v>
      </c>
      <c r="B1471" t="s">
        <v>72</v>
      </c>
      <c r="C1471" t="s">
        <v>2655</v>
      </c>
      <c r="D1471" t="str">
        <f t="shared" si="22"/>
        <v>Male</v>
      </c>
      <c r="E1471" t="s">
        <v>9</v>
      </c>
      <c r="F1471" s="2">
        <v>38</v>
      </c>
      <c r="G1471" s="2" t="str" cm="1">
        <f t="array" ref="G1471">_xlfn.IFS(F1471&lt;=8,"Child",F1471&lt;=17,"Teen",F1471&lt;=35,"Adult",F1471&lt;=55,"Seniour Adult",F1471&gt;=55,"Old Age")</f>
        <v>Seniour Adult</v>
      </c>
      <c r="H1471" t="s">
        <v>51</v>
      </c>
      <c r="I1471" t="s">
        <v>11</v>
      </c>
      <c r="J1471" t="str" cm="1">
        <f t="array" ref="J1471">_xlfn.IFS(I1471="S","Sauthamptonm",I1471="Q","Queentown",I1471="C","Cherburg",I1471="B","Cabin")</f>
        <v>Sauthamptonm</v>
      </c>
      <c r="K1471" t="s">
        <v>65</v>
      </c>
      <c r="L1471" s="2">
        <v>29</v>
      </c>
      <c r="M1471">
        <v>0</v>
      </c>
      <c r="N1471" t="s">
        <v>30</v>
      </c>
      <c r="O1471" t="s">
        <v>13</v>
      </c>
    </row>
    <row r="1472" spans="1:15" x14ac:dyDescent="0.3">
      <c r="A1472" s="1" t="s">
        <v>2656</v>
      </c>
      <c r="B1472" t="s">
        <v>72</v>
      </c>
      <c r="C1472" t="s">
        <v>251</v>
      </c>
      <c r="D1472" t="str">
        <f t="shared" si="22"/>
        <v>Male</v>
      </c>
      <c r="E1472" t="s">
        <v>9</v>
      </c>
      <c r="F1472" s="2">
        <v>33</v>
      </c>
      <c r="G1472" s="2" t="str" cm="1">
        <f t="array" ref="G1472">_xlfn.IFS(F1472&lt;=8,"Child",F1472&lt;=17,"Teen",F1472&lt;=35,"Adult",F1472&lt;=55,"Seniour Adult",F1472&gt;=55,"Old Age")</f>
        <v>Adult</v>
      </c>
      <c r="H1472" t="s">
        <v>51</v>
      </c>
      <c r="I1472" t="s">
        <v>11</v>
      </c>
      <c r="J1472" t="str" cm="1">
        <f t="array" ref="J1472">_xlfn.IFS(I1472="S","Sauthamptonm",I1472="Q","Queentown",I1472="C","Cherburg",I1472="B","Cabin")</f>
        <v>Sauthamptonm</v>
      </c>
      <c r="K1472" t="s">
        <v>15</v>
      </c>
      <c r="L1472" s="2">
        <v>29</v>
      </c>
      <c r="M1472">
        <v>0</v>
      </c>
      <c r="N1472" t="s">
        <v>30</v>
      </c>
      <c r="O1472" t="s">
        <v>13</v>
      </c>
    </row>
    <row r="1473" spans="1:15" x14ac:dyDescent="0.3">
      <c r="A1473" s="1" t="s">
        <v>2657</v>
      </c>
      <c r="B1473" t="s">
        <v>1766</v>
      </c>
      <c r="C1473" t="s">
        <v>2658</v>
      </c>
      <c r="D1473" t="str">
        <f t="shared" si="22"/>
        <v>Male</v>
      </c>
      <c r="E1473" t="s">
        <v>9</v>
      </c>
      <c r="F1473" s="2">
        <v>21</v>
      </c>
      <c r="G1473" s="2" t="str" cm="1">
        <f t="array" ref="G1473">_xlfn.IFS(F1473&lt;=8,"Child",F1473&lt;=17,"Teen",F1473&lt;=35,"Adult",F1473&lt;=55,"Seniour Adult",F1473&gt;=55,"Old Age")</f>
        <v>Adult</v>
      </c>
      <c r="H1473" t="s">
        <v>68</v>
      </c>
      <c r="I1473" t="s">
        <v>11</v>
      </c>
      <c r="J1473" t="str" cm="1">
        <f t="array" ref="J1473">_xlfn.IFS(I1473="S","Sauthamptonm",I1473="Q","Queentown",I1473="C","Cherburg",I1473="B","Cabin")</f>
        <v>Sauthamptonm</v>
      </c>
      <c r="K1473" t="s">
        <v>15</v>
      </c>
      <c r="L1473" s="2">
        <v>29</v>
      </c>
      <c r="M1473">
        <v>0</v>
      </c>
      <c r="N1473" t="s">
        <v>30</v>
      </c>
      <c r="O1473" t="s">
        <v>13</v>
      </c>
    </row>
    <row r="1474" spans="1:15" x14ac:dyDescent="0.3">
      <c r="A1474" s="1" t="s">
        <v>2659</v>
      </c>
      <c r="B1474" t="s">
        <v>72</v>
      </c>
      <c r="C1474" t="s">
        <v>2660</v>
      </c>
      <c r="D1474" t="str">
        <f t="shared" ref="D1474:D1537" si="23">PROPER(E1474)</f>
        <v>Male</v>
      </c>
      <c r="E1474" t="s">
        <v>9</v>
      </c>
      <c r="F1474" s="2">
        <v>32</v>
      </c>
      <c r="G1474" s="2" t="str" cm="1">
        <f t="array" ref="G1474">_xlfn.IFS(F1474&lt;=8,"Child",F1474&lt;=17,"Teen",F1474&lt;=35,"Adult",F1474&lt;=55,"Seniour Adult",F1474&gt;=55,"Old Age")</f>
        <v>Adult</v>
      </c>
      <c r="H1474" t="s">
        <v>69</v>
      </c>
      <c r="I1474" t="s">
        <v>11</v>
      </c>
      <c r="J1474" t="str" cm="1">
        <f t="array" ref="J1474">_xlfn.IFS(I1474="S","Sauthamptonm",I1474="Q","Queentown",I1474="C","Cherburg",I1474="B","Cabin")</f>
        <v>Sauthamptonm</v>
      </c>
      <c r="K1474" t="s">
        <v>33</v>
      </c>
      <c r="L1474" s="2">
        <v>29</v>
      </c>
      <c r="M1474">
        <v>0</v>
      </c>
      <c r="N1474" t="s">
        <v>30</v>
      </c>
      <c r="O1474" t="s">
        <v>16</v>
      </c>
    </row>
    <row r="1475" spans="1:15" x14ac:dyDescent="0.3">
      <c r="A1475" s="1" t="s">
        <v>2661</v>
      </c>
      <c r="B1475" t="s">
        <v>72</v>
      </c>
      <c r="C1475" t="s">
        <v>2662</v>
      </c>
      <c r="D1475" t="str">
        <f t="shared" si="23"/>
        <v>Male</v>
      </c>
      <c r="E1475" t="s">
        <v>9</v>
      </c>
      <c r="F1475" s="2">
        <v>19</v>
      </c>
      <c r="G1475" s="2" t="str" cm="1">
        <f t="array" ref="G1475">_xlfn.IFS(F1475&lt;=8,"Child",F1475&lt;=17,"Teen",F1475&lt;=35,"Adult",F1475&lt;=55,"Seniour Adult",F1475&gt;=55,"Old Age")</f>
        <v>Adult</v>
      </c>
      <c r="H1475" t="s">
        <v>68</v>
      </c>
      <c r="I1475" t="s">
        <v>11</v>
      </c>
      <c r="J1475" t="str" cm="1">
        <f t="array" ref="J1475">_xlfn.IFS(I1475="S","Sauthamptonm",I1475="Q","Queentown",I1475="C","Cherburg",I1475="B","Cabin")</f>
        <v>Sauthamptonm</v>
      </c>
      <c r="K1475" t="s">
        <v>15</v>
      </c>
      <c r="L1475" s="2">
        <v>29</v>
      </c>
      <c r="M1475">
        <v>0</v>
      </c>
      <c r="N1475" t="s">
        <v>30</v>
      </c>
      <c r="O1475" t="s">
        <v>13</v>
      </c>
    </row>
    <row r="1476" spans="1:15" x14ac:dyDescent="0.3">
      <c r="A1476" s="1" t="s">
        <v>2663</v>
      </c>
      <c r="B1476" t="s">
        <v>72</v>
      </c>
      <c r="C1476" t="s">
        <v>2664</v>
      </c>
      <c r="D1476" t="str">
        <f t="shared" si="23"/>
        <v>Male</v>
      </c>
      <c r="E1476" t="s">
        <v>9</v>
      </c>
      <c r="F1476" s="2">
        <v>18</v>
      </c>
      <c r="G1476" s="2" t="str" cm="1">
        <f t="array" ref="G1476">_xlfn.IFS(F1476&lt;=8,"Child",F1476&lt;=17,"Teen",F1476&lt;=35,"Adult",F1476&lt;=55,"Seniour Adult",F1476&gt;=55,"Old Age")</f>
        <v>Adult</v>
      </c>
      <c r="H1476" t="s">
        <v>68</v>
      </c>
      <c r="I1476" t="s">
        <v>11</v>
      </c>
      <c r="J1476" t="str" cm="1">
        <f t="array" ref="J1476">_xlfn.IFS(I1476="S","Sauthamptonm",I1476="Q","Queentown",I1476="C","Cherburg",I1476="B","Cabin")</f>
        <v>Sauthamptonm</v>
      </c>
      <c r="K1476" t="s">
        <v>15</v>
      </c>
      <c r="L1476" s="2">
        <v>29</v>
      </c>
      <c r="M1476">
        <v>0</v>
      </c>
      <c r="N1476" t="s">
        <v>30</v>
      </c>
      <c r="O1476" t="s">
        <v>13</v>
      </c>
    </row>
    <row r="1477" spans="1:15" x14ac:dyDescent="0.3">
      <c r="A1477" s="1" t="s">
        <v>2665</v>
      </c>
      <c r="B1477" t="s">
        <v>1766</v>
      </c>
      <c r="C1477" t="s">
        <v>2651</v>
      </c>
      <c r="D1477" t="str">
        <f t="shared" si="23"/>
        <v>Male</v>
      </c>
      <c r="E1477" t="s">
        <v>9</v>
      </c>
      <c r="F1477" s="2">
        <v>25</v>
      </c>
      <c r="G1477" s="2" t="str" cm="1">
        <f t="array" ref="G1477">_xlfn.IFS(F1477&lt;=8,"Child",F1477&lt;=17,"Teen",F1477&lt;=35,"Adult",F1477&lt;=55,"Seniour Adult",F1477&gt;=55,"Old Age")</f>
        <v>Adult</v>
      </c>
      <c r="H1477" t="s">
        <v>68</v>
      </c>
      <c r="I1477" t="s">
        <v>11</v>
      </c>
      <c r="J1477" t="str" cm="1">
        <f t="array" ref="J1477">_xlfn.IFS(I1477="S","Sauthamptonm",I1477="Q","Queentown",I1477="C","Cherburg",I1477="B","Cabin")</f>
        <v>Sauthamptonm</v>
      </c>
      <c r="K1477" t="s">
        <v>38</v>
      </c>
      <c r="L1477" s="2">
        <v>29</v>
      </c>
      <c r="M1477">
        <v>0</v>
      </c>
      <c r="N1477" t="s">
        <v>30</v>
      </c>
      <c r="O1477" t="s">
        <v>13</v>
      </c>
    </row>
    <row r="1478" spans="1:15" x14ac:dyDescent="0.3">
      <c r="A1478" s="1" t="s">
        <v>2666</v>
      </c>
      <c r="B1478" t="s">
        <v>1766</v>
      </c>
      <c r="C1478" t="s">
        <v>2667</v>
      </c>
      <c r="D1478" t="str">
        <f t="shared" si="23"/>
        <v>Male</v>
      </c>
      <c r="E1478" t="s">
        <v>9</v>
      </c>
      <c r="F1478" s="2">
        <v>35</v>
      </c>
      <c r="G1478" s="2" t="str" cm="1">
        <f t="array" ref="G1478">_xlfn.IFS(F1478&lt;=8,"Child",F1478&lt;=17,"Teen",F1478&lt;=35,"Adult",F1478&lt;=55,"Seniour Adult",F1478&gt;=55,"Old Age")</f>
        <v>Adult</v>
      </c>
      <c r="H1478" t="s">
        <v>68</v>
      </c>
      <c r="I1478" t="s">
        <v>11</v>
      </c>
      <c r="J1478" t="str" cm="1">
        <f t="array" ref="J1478">_xlfn.IFS(I1478="S","Sauthamptonm",I1478="Q","Queentown",I1478="C","Cherburg",I1478="B","Cabin")</f>
        <v>Sauthamptonm</v>
      </c>
      <c r="K1478" t="s">
        <v>15</v>
      </c>
      <c r="L1478" s="2">
        <v>29</v>
      </c>
      <c r="M1478">
        <v>0</v>
      </c>
      <c r="N1478" t="s">
        <v>30</v>
      </c>
      <c r="O1478" t="s">
        <v>13</v>
      </c>
    </row>
    <row r="1479" spans="1:15" x14ac:dyDescent="0.3">
      <c r="A1479" s="1" t="s">
        <v>2668</v>
      </c>
      <c r="B1479" t="s">
        <v>72</v>
      </c>
      <c r="C1479" t="s">
        <v>173</v>
      </c>
      <c r="D1479" t="str">
        <f t="shared" si="23"/>
        <v>Male</v>
      </c>
      <c r="E1479" t="s">
        <v>9</v>
      </c>
      <c r="F1479" s="2">
        <v>37</v>
      </c>
      <c r="G1479" s="2" t="str" cm="1">
        <f t="array" ref="G1479">_xlfn.IFS(F1479&lt;=8,"Child",F1479&lt;=17,"Teen",F1479&lt;=35,"Adult",F1479&lt;=55,"Seniour Adult",F1479&gt;=55,"Old Age")</f>
        <v>Seniour Adult</v>
      </c>
      <c r="H1479" t="s">
        <v>67</v>
      </c>
      <c r="I1479" t="s">
        <v>11</v>
      </c>
      <c r="J1479" t="str" cm="1">
        <f t="array" ref="J1479">_xlfn.IFS(I1479="S","Sauthamptonm",I1479="Q","Queentown",I1479="C","Cherburg",I1479="B","Cabin")</f>
        <v>Sauthamptonm</v>
      </c>
      <c r="K1479" t="s">
        <v>15</v>
      </c>
      <c r="L1479" s="2">
        <v>29</v>
      </c>
      <c r="M1479">
        <v>0</v>
      </c>
      <c r="N1479" t="s">
        <v>30</v>
      </c>
      <c r="O1479" t="s">
        <v>13</v>
      </c>
    </row>
    <row r="1480" spans="1:15" x14ac:dyDescent="0.3">
      <c r="A1480" s="1" t="s">
        <v>2669</v>
      </c>
      <c r="B1480" t="s">
        <v>76</v>
      </c>
      <c r="C1480" t="s">
        <v>2670</v>
      </c>
      <c r="D1480" t="str">
        <f t="shared" si="23"/>
        <v>Female</v>
      </c>
      <c r="E1480" t="s">
        <v>14</v>
      </c>
      <c r="F1480" s="2">
        <v>36</v>
      </c>
      <c r="G1480" s="2" t="str" cm="1">
        <f t="array" ref="G1480">_xlfn.IFS(F1480&lt;=8,"Child",F1480&lt;=17,"Teen",F1480&lt;=35,"Adult",F1480&lt;=55,"Seniour Adult",F1480&gt;=55,"Old Age")</f>
        <v>Seniour Adult</v>
      </c>
      <c r="H1480" t="s">
        <v>67</v>
      </c>
      <c r="I1480" t="s">
        <v>11</v>
      </c>
      <c r="J1480" t="str" cm="1">
        <f t="array" ref="J1480">_xlfn.IFS(I1480="S","Sauthamptonm",I1480="Q","Queentown",I1480="C","Cherburg",I1480="B","Cabin")</f>
        <v>Sauthamptonm</v>
      </c>
      <c r="K1480" t="s">
        <v>15</v>
      </c>
      <c r="L1480" s="2">
        <v>29</v>
      </c>
      <c r="M1480">
        <v>0</v>
      </c>
      <c r="N1480" t="s">
        <v>30</v>
      </c>
      <c r="O1480" t="s">
        <v>13</v>
      </c>
    </row>
    <row r="1481" spans="1:15" x14ac:dyDescent="0.3">
      <c r="A1481" s="1" t="s">
        <v>2671</v>
      </c>
      <c r="B1481" t="s">
        <v>72</v>
      </c>
      <c r="C1481" t="s">
        <v>598</v>
      </c>
      <c r="D1481" t="str">
        <f t="shared" si="23"/>
        <v>Male</v>
      </c>
      <c r="E1481" t="s">
        <v>9</v>
      </c>
      <c r="F1481" s="2">
        <v>48</v>
      </c>
      <c r="G1481" s="2" t="str" cm="1">
        <f t="array" ref="G1481">_xlfn.IFS(F1481&lt;=8,"Child",F1481&lt;=17,"Teen",F1481&lt;=35,"Adult",F1481&lt;=55,"Seniour Adult",F1481&gt;=55,"Old Age")</f>
        <v>Seniour Adult</v>
      </c>
      <c r="H1481" t="s">
        <v>67</v>
      </c>
      <c r="I1481" t="s">
        <v>28</v>
      </c>
      <c r="J1481" t="str" cm="1">
        <f t="array" ref="J1481">_xlfn.IFS(I1481="S","Sauthamptonm",I1481="Q","Queentown",I1481="C","Cherburg",I1481="B","Cabin")</f>
        <v>Cabin</v>
      </c>
      <c r="K1481" t="s">
        <v>15</v>
      </c>
      <c r="L1481" s="2">
        <v>29</v>
      </c>
      <c r="M1481">
        <v>0</v>
      </c>
      <c r="N1481" t="s">
        <v>30</v>
      </c>
      <c r="O1481" t="s">
        <v>13</v>
      </c>
    </row>
    <row r="1482" spans="1:15" x14ac:dyDescent="0.3">
      <c r="A1482" s="1" t="s">
        <v>2672</v>
      </c>
      <c r="B1482" t="s">
        <v>78</v>
      </c>
      <c r="C1482" t="s">
        <v>263</v>
      </c>
      <c r="D1482" t="str">
        <f t="shared" si="23"/>
        <v>Female</v>
      </c>
      <c r="E1482" t="s">
        <v>14</v>
      </c>
      <c r="F1482" s="2">
        <v>32</v>
      </c>
      <c r="G1482" s="2" t="str" cm="1">
        <f t="array" ref="G1482">_xlfn.IFS(F1482&lt;=8,"Child",F1482&lt;=17,"Teen",F1482&lt;=35,"Adult",F1482&lt;=55,"Seniour Adult",F1482&gt;=55,"Old Age")</f>
        <v>Adult</v>
      </c>
      <c r="H1482" t="s">
        <v>67</v>
      </c>
      <c r="I1482" t="s">
        <v>11</v>
      </c>
      <c r="J1482" t="str" cm="1">
        <f t="array" ref="J1482">_xlfn.IFS(I1482="S","Sauthamptonm",I1482="Q","Queentown",I1482="C","Cherburg",I1482="B","Cabin")</f>
        <v>Sauthamptonm</v>
      </c>
      <c r="K1482" t="s">
        <v>37</v>
      </c>
      <c r="L1482" s="2">
        <v>29</v>
      </c>
      <c r="M1482">
        <v>0</v>
      </c>
      <c r="N1482" t="s">
        <v>30</v>
      </c>
      <c r="O1482" t="s">
        <v>13</v>
      </c>
    </row>
    <row r="1483" spans="1:15" x14ac:dyDescent="0.3">
      <c r="A1483" s="1" t="s">
        <v>2673</v>
      </c>
      <c r="B1483" t="s">
        <v>72</v>
      </c>
      <c r="C1483" t="s">
        <v>2674</v>
      </c>
      <c r="D1483" t="str">
        <f t="shared" si="23"/>
        <v>Male</v>
      </c>
      <c r="E1483" t="s">
        <v>9</v>
      </c>
      <c r="F1483" s="2">
        <v>40</v>
      </c>
      <c r="G1483" s="2" t="str" cm="1">
        <f t="array" ref="G1483">_xlfn.IFS(F1483&lt;=8,"Child",F1483&lt;=17,"Teen",F1483&lt;=35,"Adult",F1483&lt;=55,"Seniour Adult",F1483&gt;=55,"Old Age")</f>
        <v>Seniour Adult</v>
      </c>
      <c r="H1483" t="s">
        <v>51</v>
      </c>
      <c r="I1483" t="s">
        <v>11</v>
      </c>
      <c r="J1483" t="str" cm="1">
        <f t="array" ref="J1483">_xlfn.IFS(I1483="S","Sauthamptonm",I1483="Q","Queentown",I1483="C","Cherburg",I1483="B","Cabin")</f>
        <v>Sauthamptonm</v>
      </c>
      <c r="K1483" t="s">
        <v>15</v>
      </c>
      <c r="L1483" s="2">
        <v>29</v>
      </c>
      <c r="M1483">
        <v>0</v>
      </c>
      <c r="N1483" t="s">
        <v>30</v>
      </c>
      <c r="O1483" t="s">
        <v>13</v>
      </c>
    </row>
    <row r="1484" spans="1:15" x14ac:dyDescent="0.3">
      <c r="A1484" s="1" t="s">
        <v>2675</v>
      </c>
      <c r="B1484" t="s">
        <v>72</v>
      </c>
      <c r="C1484" t="s">
        <v>2676</v>
      </c>
      <c r="D1484" t="str">
        <f t="shared" si="23"/>
        <v>Male</v>
      </c>
      <c r="E1484" t="s">
        <v>9</v>
      </c>
      <c r="F1484" s="2">
        <v>37</v>
      </c>
      <c r="G1484" s="2" t="str" cm="1">
        <f t="array" ref="G1484">_xlfn.IFS(F1484&lt;=8,"Child",F1484&lt;=17,"Teen",F1484&lt;=35,"Adult",F1484&lt;=55,"Seniour Adult",F1484&gt;=55,"Old Age")</f>
        <v>Seniour Adult</v>
      </c>
      <c r="H1484" t="s">
        <v>67</v>
      </c>
      <c r="I1484" t="s">
        <v>28</v>
      </c>
      <c r="J1484" t="str" cm="1">
        <f t="array" ref="J1484">_xlfn.IFS(I1484="S","Sauthamptonm",I1484="Q","Queentown",I1484="C","Cherburg",I1484="B","Cabin")</f>
        <v>Cabin</v>
      </c>
      <c r="K1484" t="s">
        <v>15</v>
      </c>
      <c r="L1484" s="2">
        <v>29</v>
      </c>
      <c r="M1484">
        <v>0</v>
      </c>
      <c r="N1484" t="s">
        <v>30</v>
      </c>
      <c r="O1484" t="s">
        <v>13</v>
      </c>
    </row>
    <row r="1485" spans="1:15" x14ac:dyDescent="0.3">
      <c r="A1485" s="1" t="s">
        <v>2677</v>
      </c>
      <c r="B1485" t="s">
        <v>72</v>
      </c>
      <c r="C1485" t="s">
        <v>2194</v>
      </c>
      <c r="D1485" t="str">
        <f t="shared" si="23"/>
        <v>Male</v>
      </c>
      <c r="E1485" t="s">
        <v>9</v>
      </c>
      <c r="F1485" s="2">
        <v>26</v>
      </c>
      <c r="G1485" s="2" t="str" cm="1">
        <f t="array" ref="G1485">_xlfn.IFS(F1485&lt;=8,"Child",F1485&lt;=17,"Teen",F1485&lt;=35,"Adult",F1485&lt;=55,"Seniour Adult",F1485&gt;=55,"Old Age")</f>
        <v>Adult</v>
      </c>
      <c r="H1485" t="s">
        <v>67</v>
      </c>
      <c r="I1485" t="s">
        <v>11</v>
      </c>
      <c r="J1485" t="str" cm="1">
        <f t="array" ref="J1485">_xlfn.IFS(I1485="S","Sauthamptonm",I1485="Q","Queentown",I1485="C","Cherburg",I1485="B","Cabin")</f>
        <v>Sauthamptonm</v>
      </c>
      <c r="K1485" t="s">
        <v>15</v>
      </c>
      <c r="L1485" s="2">
        <v>29</v>
      </c>
      <c r="M1485">
        <v>0</v>
      </c>
      <c r="N1485" t="s">
        <v>30</v>
      </c>
      <c r="O1485" t="s">
        <v>13</v>
      </c>
    </row>
    <row r="1486" spans="1:15" x14ac:dyDescent="0.3">
      <c r="A1486" s="1" t="s">
        <v>2678</v>
      </c>
      <c r="B1486" t="s">
        <v>72</v>
      </c>
      <c r="C1486" t="s">
        <v>2679</v>
      </c>
      <c r="D1486" t="str">
        <f t="shared" si="23"/>
        <v>Male</v>
      </c>
      <c r="E1486" t="s">
        <v>9</v>
      </c>
      <c r="F1486" s="2">
        <v>26</v>
      </c>
      <c r="G1486" s="2" t="str" cm="1">
        <f t="array" ref="G1486">_xlfn.IFS(F1486&lt;=8,"Child",F1486&lt;=17,"Teen",F1486&lt;=35,"Adult",F1486&lt;=55,"Seniour Adult",F1486&gt;=55,"Old Age")</f>
        <v>Adult</v>
      </c>
      <c r="H1486" t="s">
        <v>51</v>
      </c>
      <c r="I1486" t="s">
        <v>11</v>
      </c>
      <c r="J1486" t="str" cm="1">
        <f t="array" ref="J1486">_xlfn.IFS(I1486="S","Sauthamptonm",I1486="Q","Queentown",I1486="C","Cherburg",I1486="B","Cabin")</f>
        <v>Sauthamptonm</v>
      </c>
      <c r="K1486" t="s">
        <v>15</v>
      </c>
      <c r="L1486" s="2">
        <v>29</v>
      </c>
      <c r="M1486">
        <v>0</v>
      </c>
      <c r="N1486" t="s">
        <v>30</v>
      </c>
      <c r="O1486" t="s">
        <v>13</v>
      </c>
    </row>
    <row r="1487" spans="1:15" x14ac:dyDescent="0.3">
      <c r="A1487" s="1" t="s">
        <v>2680</v>
      </c>
      <c r="B1487" t="s">
        <v>72</v>
      </c>
      <c r="C1487" t="s">
        <v>2681</v>
      </c>
      <c r="D1487" t="str">
        <f t="shared" si="23"/>
        <v>Male</v>
      </c>
      <c r="E1487" t="s">
        <v>9</v>
      </c>
      <c r="F1487" s="2">
        <v>25</v>
      </c>
      <c r="G1487" s="2" t="str" cm="1">
        <f t="array" ref="G1487">_xlfn.IFS(F1487&lt;=8,"Child",F1487&lt;=17,"Teen",F1487&lt;=35,"Adult",F1487&lt;=55,"Seniour Adult",F1487&gt;=55,"Old Age")</f>
        <v>Adult</v>
      </c>
      <c r="H1487" t="s">
        <v>67</v>
      </c>
      <c r="I1487" t="s">
        <v>28</v>
      </c>
      <c r="J1487" t="str" cm="1">
        <f t="array" ref="J1487">_xlfn.IFS(I1487="S","Sauthamptonm",I1487="Q","Queentown",I1487="C","Cherburg",I1487="B","Cabin")</f>
        <v>Cabin</v>
      </c>
      <c r="K1487" t="s">
        <v>15</v>
      </c>
      <c r="L1487" s="2">
        <v>29</v>
      </c>
      <c r="M1487">
        <v>0</v>
      </c>
      <c r="N1487" t="s">
        <v>30</v>
      </c>
      <c r="O1487" t="s">
        <v>13</v>
      </c>
    </row>
    <row r="1488" spans="1:15" x14ac:dyDescent="0.3">
      <c r="A1488" s="1" t="s">
        <v>2682</v>
      </c>
      <c r="B1488" t="s">
        <v>72</v>
      </c>
      <c r="C1488" t="s">
        <v>2683</v>
      </c>
      <c r="D1488" t="str">
        <f t="shared" si="23"/>
        <v>Male</v>
      </c>
      <c r="E1488" t="s">
        <v>9</v>
      </c>
      <c r="F1488" s="2">
        <v>50</v>
      </c>
      <c r="G1488" s="2" t="str" cm="1">
        <f t="array" ref="G1488">_xlfn.IFS(F1488&lt;=8,"Child",F1488&lt;=17,"Teen",F1488&lt;=35,"Adult",F1488&lt;=55,"Seniour Adult",F1488&gt;=55,"Old Age")</f>
        <v>Seniour Adult</v>
      </c>
      <c r="H1488" t="s">
        <v>67</v>
      </c>
      <c r="I1488" t="s">
        <v>28</v>
      </c>
      <c r="J1488" t="str" cm="1">
        <f t="array" ref="J1488">_xlfn.IFS(I1488="S","Sauthamptonm",I1488="Q","Queentown",I1488="C","Cherburg",I1488="B","Cabin")</f>
        <v>Cabin</v>
      </c>
      <c r="K1488" t="s">
        <v>15</v>
      </c>
      <c r="L1488" s="2">
        <v>29</v>
      </c>
      <c r="M1488">
        <v>0</v>
      </c>
      <c r="N1488" t="s">
        <v>30</v>
      </c>
      <c r="O1488" t="s">
        <v>13</v>
      </c>
    </row>
    <row r="1489" spans="1:15" x14ac:dyDescent="0.3">
      <c r="A1489" s="1" t="s">
        <v>2684</v>
      </c>
      <c r="B1489" t="s">
        <v>72</v>
      </c>
      <c r="C1489" t="s">
        <v>97</v>
      </c>
      <c r="D1489" t="str">
        <f t="shared" si="23"/>
        <v>Male</v>
      </c>
      <c r="E1489" t="s">
        <v>9</v>
      </c>
      <c r="F1489" s="2">
        <v>52</v>
      </c>
      <c r="G1489" s="2" t="str" cm="1">
        <f t="array" ref="G1489">_xlfn.IFS(F1489&lt;=8,"Child",F1489&lt;=17,"Teen",F1489&lt;=35,"Adult",F1489&lt;=55,"Seniour Adult",F1489&gt;=55,"Old Age")</f>
        <v>Seniour Adult</v>
      </c>
      <c r="H1489" t="s">
        <v>67</v>
      </c>
      <c r="I1489" t="s">
        <v>11</v>
      </c>
      <c r="J1489" t="str" cm="1">
        <f t="array" ref="J1489">_xlfn.IFS(I1489="S","Sauthamptonm",I1489="Q","Queentown",I1489="C","Cherburg",I1489="B","Cabin")</f>
        <v>Sauthamptonm</v>
      </c>
      <c r="K1489" t="s">
        <v>12</v>
      </c>
      <c r="L1489" s="2">
        <v>29</v>
      </c>
      <c r="M1489">
        <v>0</v>
      </c>
      <c r="N1489" t="s">
        <v>30</v>
      </c>
      <c r="O1489" t="s">
        <v>16</v>
      </c>
    </row>
    <row r="1490" spans="1:15" x14ac:dyDescent="0.3">
      <c r="A1490" s="1" t="s">
        <v>2685</v>
      </c>
      <c r="B1490" t="s">
        <v>72</v>
      </c>
      <c r="C1490" t="s">
        <v>2686</v>
      </c>
      <c r="D1490" t="str">
        <f t="shared" si="23"/>
        <v>Male</v>
      </c>
      <c r="E1490" t="s">
        <v>9</v>
      </c>
      <c r="F1490" s="2">
        <v>21</v>
      </c>
      <c r="G1490" s="2" t="str" cm="1">
        <f t="array" ref="G1490">_xlfn.IFS(F1490&lt;=8,"Child",F1490&lt;=17,"Teen",F1490&lt;=35,"Adult",F1490&lt;=55,"Seniour Adult",F1490&gt;=55,"Old Age")</f>
        <v>Adult</v>
      </c>
      <c r="H1490" t="s">
        <v>67</v>
      </c>
      <c r="I1490" t="s">
        <v>11</v>
      </c>
      <c r="J1490" t="str" cm="1">
        <f t="array" ref="J1490">_xlfn.IFS(I1490="S","Sauthamptonm",I1490="Q","Queentown",I1490="C","Cherburg",I1490="B","Cabin")</f>
        <v>Sauthamptonm</v>
      </c>
      <c r="K1490" t="s">
        <v>15</v>
      </c>
      <c r="L1490" s="2">
        <v>29</v>
      </c>
      <c r="M1490">
        <v>0</v>
      </c>
      <c r="N1490" t="s">
        <v>30</v>
      </c>
      <c r="O1490" t="s">
        <v>13</v>
      </c>
    </row>
    <row r="1491" spans="1:15" x14ac:dyDescent="0.3">
      <c r="A1491" s="1" t="s">
        <v>2687</v>
      </c>
      <c r="B1491" t="s">
        <v>72</v>
      </c>
      <c r="C1491" t="s">
        <v>2688</v>
      </c>
      <c r="D1491" t="str">
        <f t="shared" si="23"/>
        <v>Male</v>
      </c>
      <c r="E1491" t="s">
        <v>9</v>
      </c>
      <c r="F1491" s="2">
        <v>30</v>
      </c>
      <c r="G1491" s="2" t="str" cm="1">
        <f t="array" ref="G1491">_xlfn.IFS(F1491&lt;=8,"Child",F1491&lt;=17,"Teen",F1491&lt;=35,"Adult",F1491&lt;=55,"Seniour Adult",F1491&gt;=55,"Old Age")</f>
        <v>Adult</v>
      </c>
      <c r="H1491" t="s">
        <v>69</v>
      </c>
      <c r="I1491" t="s">
        <v>28</v>
      </c>
      <c r="J1491" t="str" cm="1">
        <f t="array" ref="J1491">_xlfn.IFS(I1491="S","Sauthamptonm",I1491="Q","Queentown",I1491="C","Cherburg",I1491="B","Cabin")</f>
        <v>Cabin</v>
      </c>
      <c r="K1491" t="s">
        <v>15</v>
      </c>
      <c r="L1491" s="2">
        <v>29</v>
      </c>
      <c r="M1491">
        <v>0</v>
      </c>
      <c r="N1491" t="s">
        <v>30</v>
      </c>
      <c r="O1491" t="s">
        <v>16</v>
      </c>
    </row>
    <row r="1492" spans="1:15" x14ac:dyDescent="0.3">
      <c r="A1492" s="1" t="s">
        <v>2689</v>
      </c>
      <c r="B1492" t="s">
        <v>72</v>
      </c>
      <c r="C1492" t="s">
        <v>2690</v>
      </c>
      <c r="D1492" t="str">
        <f t="shared" si="23"/>
        <v>Male</v>
      </c>
      <c r="E1492" t="s">
        <v>9</v>
      </c>
      <c r="F1492" s="2">
        <v>30</v>
      </c>
      <c r="G1492" s="2" t="str" cm="1">
        <f t="array" ref="G1492">_xlfn.IFS(F1492&lt;=8,"Child",F1492&lt;=17,"Teen",F1492&lt;=35,"Adult",F1492&lt;=55,"Seniour Adult",F1492&gt;=55,"Old Age")</f>
        <v>Adult</v>
      </c>
      <c r="H1492" t="s">
        <v>67</v>
      </c>
      <c r="I1492" t="s">
        <v>28</v>
      </c>
      <c r="J1492" t="str" cm="1">
        <f t="array" ref="J1492">_xlfn.IFS(I1492="S","Sauthamptonm",I1492="Q","Queentown",I1492="C","Cherburg",I1492="B","Cabin")</f>
        <v>Cabin</v>
      </c>
      <c r="K1492" t="s">
        <v>15</v>
      </c>
      <c r="L1492" s="2">
        <v>29</v>
      </c>
      <c r="M1492">
        <v>0</v>
      </c>
      <c r="N1492" t="s">
        <v>30</v>
      </c>
      <c r="O1492" t="s">
        <v>16</v>
      </c>
    </row>
    <row r="1493" spans="1:15" x14ac:dyDescent="0.3">
      <c r="A1493" s="1" t="s">
        <v>2691</v>
      </c>
      <c r="B1493" t="s">
        <v>72</v>
      </c>
      <c r="C1493" t="s">
        <v>2692</v>
      </c>
      <c r="D1493" t="str">
        <f t="shared" si="23"/>
        <v>Male</v>
      </c>
      <c r="E1493" t="s">
        <v>9</v>
      </c>
      <c r="F1493" s="2">
        <v>29</v>
      </c>
      <c r="G1493" s="2" t="str" cm="1">
        <f t="array" ref="G1493">_xlfn.IFS(F1493&lt;=8,"Child",F1493&lt;=17,"Teen",F1493&lt;=35,"Adult",F1493&lt;=55,"Seniour Adult",F1493&gt;=55,"Old Age")</f>
        <v>Adult</v>
      </c>
      <c r="H1493" t="s">
        <v>67</v>
      </c>
      <c r="I1493" t="s">
        <v>28</v>
      </c>
      <c r="J1493" t="str" cm="1">
        <f t="array" ref="J1493">_xlfn.IFS(I1493="S","Sauthamptonm",I1493="Q","Queentown",I1493="C","Cherburg",I1493="B","Cabin")</f>
        <v>Cabin</v>
      </c>
      <c r="K1493" t="s">
        <v>15</v>
      </c>
      <c r="L1493" s="2">
        <v>29</v>
      </c>
      <c r="M1493">
        <v>0</v>
      </c>
      <c r="N1493" t="s">
        <v>30</v>
      </c>
      <c r="O1493" t="s">
        <v>16</v>
      </c>
    </row>
    <row r="1494" spans="1:15" x14ac:dyDescent="0.3">
      <c r="A1494" s="1" t="s">
        <v>2693</v>
      </c>
      <c r="B1494" t="s">
        <v>72</v>
      </c>
      <c r="C1494" t="s">
        <v>2694</v>
      </c>
      <c r="D1494" t="str">
        <f t="shared" si="23"/>
        <v>Male</v>
      </c>
      <c r="E1494" t="s">
        <v>9</v>
      </c>
      <c r="F1494" s="2">
        <v>18</v>
      </c>
      <c r="G1494" s="2" t="str" cm="1">
        <f t="array" ref="G1494">_xlfn.IFS(F1494&lt;=8,"Child",F1494&lt;=17,"Teen",F1494&lt;=35,"Adult",F1494&lt;=55,"Seniour Adult",F1494&gt;=55,"Old Age")</f>
        <v>Adult</v>
      </c>
      <c r="H1494" t="s">
        <v>67</v>
      </c>
      <c r="I1494" t="s">
        <v>11</v>
      </c>
      <c r="J1494" t="str" cm="1">
        <f t="array" ref="J1494">_xlfn.IFS(I1494="S","Sauthamptonm",I1494="Q","Queentown",I1494="C","Cherburg",I1494="B","Cabin")</f>
        <v>Sauthamptonm</v>
      </c>
      <c r="K1494" t="s">
        <v>15</v>
      </c>
      <c r="L1494" s="2">
        <v>29</v>
      </c>
      <c r="M1494">
        <v>0</v>
      </c>
      <c r="N1494" t="s">
        <v>30</v>
      </c>
      <c r="O1494" t="s">
        <v>16</v>
      </c>
    </row>
    <row r="1495" spans="1:15" x14ac:dyDescent="0.3">
      <c r="A1495" s="1" t="s">
        <v>2695</v>
      </c>
      <c r="B1495" t="s">
        <v>72</v>
      </c>
      <c r="C1495" t="s">
        <v>2558</v>
      </c>
      <c r="D1495" t="str">
        <f t="shared" si="23"/>
        <v>Male</v>
      </c>
      <c r="E1495" t="s">
        <v>9</v>
      </c>
      <c r="F1495" s="2">
        <v>39</v>
      </c>
      <c r="G1495" s="2" t="str" cm="1">
        <f t="array" ref="G1495">_xlfn.IFS(F1495&lt;=8,"Child",F1495&lt;=17,"Teen",F1495&lt;=35,"Adult",F1495&lt;=55,"Seniour Adult",F1495&gt;=55,"Old Age")</f>
        <v>Seniour Adult</v>
      </c>
      <c r="H1495" t="s">
        <v>67</v>
      </c>
      <c r="I1495" t="s">
        <v>11</v>
      </c>
      <c r="J1495" t="str" cm="1">
        <f t="array" ref="J1495">_xlfn.IFS(I1495="S","Sauthamptonm",I1495="Q","Queentown",I1495="C","Cherburg",I1495="B","Cabin")</f>
        <v>Sauthamptonm</v>
      </c>
      <c r="K1495" t="s">
        <v>15</v>
      </c>
      <c r="L1495" s="2">
        <v>29</v>
      </c>
      <c r="M1495">
        <v>0</v>
      </c>
      <c r="N1495" t="s">
        <v>30</v>
      </c>
      <c r="O1495" t="s">
        <v>13</v>
      </c>
    </row>
    <row r="1496" spans="1:15" x14ac:dyDescent="0.3">
      <c r="A1496" s="1" t="s">
        <v>2696</v>
      </c>
      <c r="B1496" t="s">
        <v>72</v>
      </c>
      <c r="C1496" t="s">
        <v>2697</v>
      </c>
      <c r="D1496" t="str">
        <f t="shared" si="23"/>
        <v>Male</v>
      </c>
      <c r="E1496" t="s">
        <v>9</v>
      </c>
      <c r="F1496" s="2">
        <v>37</v>
      </c>
      <c r="G1496" s="2" t="str" cm="1">
        <f t="array" ref="G1496">_xlfn.IFS(F1496&lt;=8,"Child",F1496&lt;=17,"Teen",F1496&lt;=35,"Adult",F1496&lt;=55,"Seniour Adult",F1496&gt;=55,"Old Age")</f>
        <v>Seniour Adult</v>
      </c>
      <c r="H1496" t="s">
        <v>67</v>
      </c>
      <c r="I1496" t="s">
        <v>11</v>
      </c>
      <c r="J1496" t="str" cm="1">
        <f t="array" ref="J1496">_xlfn.IFS(I1496="S","Sauthamptonm",I1496="Q","Queentown",I1496="C","Cherburg",I1496="B","Cabin")</f>
        <v>Sauthamptonm</v>
      </c>
      <c r="K1496" t="s">
        <v>15</v>
      </c>
      <c r="L1496" s="2">
        <v>29</v>
      </c>
      <c r="M1496">
        <v>0</v>
      </c>
      <c r="N1496" t="s">
        <v>30</v>
      </c>
      <c r="O1496" t="s">
        <v>16</v>
      </c>
    </row>
    <row r="1497" spans="1:15" x14ac:dyDescent="0.3">
      <c r="A1497" s="1" t="s">
        <v>2698</v>
      </c>
      <c r="B1497" t="s">
        <v>72</v>
      </c>
      <c r="C1497" t="s">
        <v>2699</v>
      </c>
      <c r="D1497" t="str">
        <f t="shared" si="23"/>
        <v>Male</v>
      </c>
      <c r="E1497" t="s">
        <v>9</v>
      </c>
      <c r="F1497" s="2">
        <v>39</v>
      </c>
      <c r="G1497" s="2" t="str" cm="1">
        <f t="array" ref="G1497">_xlfn.IFS(F1497&lt;=8,"Child",F1497&lt;=17,"Teen",F1497&lt;=35,"Adult",F1497&lt;=55,"Seniour Adult",F1497&gt;=55,"Old Age")</f>
        <v>Seniour Adult</v>
      </c>
      <c r="H1497" t="s">
        <v>69</v>
      </c>
      <c r="I1497" t="s">
        <v>11</v>
      </c>
      <c r="J1497" t="str" cm="1">
        <f t="array" ref="J1497">_xlfn.IFS(I1497="S","Sauthamptonm",I1497="Q","Queentown",I1497="C","Cherburg",I1497="B","Cabin")</f>
        <v>Sauthamptonm</v>
      </c>
      <c r="K1497" t="s">
        <v>15</v>
      </c>
      <c r="L1497" s="2">
        <v>29</v>
      </c>
      <c r="M1497">
        <v>0</v>
      </c>
      <c r="N1497" t="s">
        <v>30</v>
      </c>
      <c r="O1497" t="s">
        <v>13</v>
      </c>
    </row>
    <row r="1498" spans="1:15" x14ac:dyDescent="0.3">
      <c r="A1498" s="1" t="s">
        <v>2700</v>
      </c>
      <c r="B1498" t="s">
        <v>72</v>
      </c>
      <c r="C1498" t="s">
        <v>2701</v>
      </c>
      <c r="D1498" t="str">
        <f t="shared" si="23"/>
        <v>Male</v>
      </c>
      <c r="E1498" t="s">
        <v>9</v>
      </c>
      <c r="F1498" s="2">
        <v>35</v>
      </c>
      <c r="G1498" s="2" t="str" cm="1">
        <f t="array" ref="G1498">_xlfn.IFS(F1498&lt;=8,"Child",F1498&lt;=17,"Teen",F1498&lt;=35,"Adult",F1498&lt;=55,"Seniour Adult",F1498&gt;=55,"Old Age")</f>
        <v>Adult</v>
      </c>
      <c r="H1498" t="s">
        <v>67</v>
      </c>
      <c r="I1498" t="s">
        <v>11</v>
      </c>
      <c r="J1498" t="str" cm="1">
        <f t="array" ref="J1498">_xlfn.IFS(I1498="S","Sauthamptonm",I1498="Q","Queentown",I1498="C","Cherburg",I1498="B","Cabin")</f>
        <v>Sauthamptonm</v>
      </c>
      <c r="K1498" t="s">
        <v>37</v>
      </c>
      <c r="L1498" s="2">
        <v>29</v>
      </c>
      <c r="M1498">
        <v>0</v>
      </c>
      <c r="N1498" t="s">
        <v>30</v>
      </c>
      <c r="O1498" t="s">
        <v>13</v>
      </c>
    </row>
    <row r="1499" spans="1:15" x14ac:dyDescent="0.3">
      <c r="A1499" s="1" t="s">
        <v>2702</v>
      </c>
      <c r="B1499" t="s">
        <v>72</v>
      </c>
      <c r="C1499" t="s">
        <v>104</v>
      </c>
      <c r="D1499" t="str">
        <f t="shared" si="23"/>
        <v>Male</v>
      </c>
      <c r="E1499" t="s">
        <v>9</v>
      </c>
      <c r="F1499" s="2">
        <v>59</v>
      </c>
      <c r="G1499" s="2" t="str" cm="1">
        <f t="array" ref="G1499">_xlfn.IFS(F1499&lt;=8,"Child",F1499&lt;=17,"Teen",F1499&lt;=35,"Adult",F1499&lt;=55,"Seniour Adult",F1499&gt;=55,"Old Age")</f>
        <v>Old Age</v>
      </c>
      <c r="H1499" t="s">
        <v>67</v>
      </c>
      <c r="I1499" t="s">
        <v>11</v>
      </c>
      <c r="J1499" t="str" cm="1">
        <f t="array" ref="J1499">_xlfn.IFS(I1499="S","Sauthamptonm",I1499="Q","Queentown",I1499="C","Cherburg",I1499="B","Cabin")</f>
        <v>Sauthamptonm</v>
      </c>
      <c r="K1499" t="s">
        <v>15</v>
      </c>
      <c r="L1499" s="2">
        <v>29</v>
      </c>
      <c r="M1499">
        <v>0</v>
      </c>
      <c r="N1499" t="s">
        <v>30</v>
      </c>
      <c r="O1499" t="s">
        <v>13</v>
      </c>
    </row>
    <row r="1500" spans="1:15" x14ac:dyDescent="0.3">
      <c r="A1500" s="1" t="s">
        <v>2703</v>
      </c>
      <c r="B1500" t="s">
        <v>72</v>
      </c>
      <c r="C1500" t="s">
        <v>2704</v>
      </c>
      <c r="D1500" t="str">
        <f t="shared" si="23"/>
        <v>Male</v>
      </c>
      <c r="E1500" t="s">
        <v>9</v>
      </c>
      <c r="F1500" s="2">
        <v>34</v>
      </c>
      <c r="G1500" s="2" t="str" cm="1">
        <f t="array" ref="G1500">_xlfn.IFS(F1500&lt;=8,"Child",F1500&lt;=17,"Teen",F1500&lt;=35,"Adult",F1500&lt;=55,"Seniour Adult",F1500&gt;=55,"Old Age")</f>
        <v>Adult</v>
      </c>
      <c r="H1500" t="s">
        <v>67</v>
      </c>
      <c r="I1500" t="s">
        <v>11</v>
      </c>
      <c r="J1500" t="str" cm="1">
        <f t="array" ref="J1500">_xlfn.IFS(I1500="S","Sauthamptonm",I1500="Q","Queentown",I1500="C","Cherburg",I1500="B","Cabin")</f>
        <v>Sauthamptonm</v>
      </c>
      <c r="K1500" t="s">
        <v>15</v>
      </c>
      <c r="L1500" s="2">
        <v>29</v>
      </c>
      <c r="M1500">
        <v>0</v>
      </c>
      <c r="N1500" t="s">
        <v>30</v>
      </c>
      <c r="O1500" t="s">
        <v>13</v>
      </c>
    </row>
    <row r="1501" spans="1:15" x14ac:dyDescent="0.3">
      <c r="A1501" s="1" t="s">
        <v>2705</v>
      </c>
      <c r="B1501" t="s">
        <v>72</v>
      </c>
      <c r="C1501" t="s">
        <v>779</v>
      </c>
      <c r="D1501" t="str">
        <f t="shared" si="23"/>
        <v>Male</v>
      </c>
      <c r="E1501" t="s">
        <v>9</v>
      </c>
      <c r="F1501" s="2">
        <v>53</v>
      </c>
      <c r="G1501" s="2" t="str" cm="1">
        <f t="array" ref="G1501">_xlfn.IFS(F1501&lt;=8,"Child",F1501&lt;=17,"Teen",F1501&lt;=35,"Adult",F1501&lt;=55,"Seniour Adult",F1501&gt;=55,"Old Age")</f>
        <v>Seniour Adult</v>
      </c>
      <c r="H1501" t="s">
        <v>51</v>
      </c>
      <c r="I1501" t="s">
        <v>11</v>
      </c>
      <c r="J1501" t="str" cm="1">
        <f t="array" ref="J1501">_xlfn.IFS(I1501="S","Sauthamptonm",I1501="Q","Queentown",I1501="C","Cherburg",I1501="B","Cabin")</f>
        <v>Sauthamptonm</v>
      </c>
      <c r="K1501" t="s">
        <v>15</v>
      </c>
      <c r="L1501" s="2">
        <v>29</v>
      </c>
      <c r="M1501">
        <v>0</v>
      </c>
      <c r="N1501" t="s">
        <v>30</v>
      </c>
      <c r="O1501" t="s">
        <v>13</v>
      </c>
    </row>
    <row r="1502" spans="1:15" x14ac:dyDescent="0.3">
      <c r="A1502" s="1" t="s">
        <v>2706</v>
      </c>
      <c r="B1502" t="s">
        <v>72</v>
      </c>
      <c r="C1502" t="s">
        <v>2707</v>
      </c>
      <c r="D1502" t="str">
        <f t="shared" si="23"/>
        <v>Male</v>
      </c>
      <c r="E1502" t="s">
        <v>9</v>
      </c>
      <c r="F1502" s="2">
        <v>38</v>
      </c>
      <c r="G1502" s="2" t="str" cm="1">
        <f t="array" ref="G1502">_xlfn.IFS(F1502&lt;=8,"Child",F1502&lt;=17,"Teen",F1502&lt;=35,"Adult",F1502&lt;=55,"Seniour Adult",F1502&gt;=55,"Old Age")</f>
        <v>Seniour Adult</v>
      </c>
      <c r="H1502" t="s">
        <v>67</v>
      </c>
      <c r="I1502" t="s">
        <v>11</v>
      </c>
      <c r="J1502" t="str" cm="1">
        <f t="array" ref="J1502">_xlfn.IFS(I1502="S","Sauthamptonm",I1502="Q","Queentown",I1502="C","Cherburg",I1502="B","Cabin")</f>
        <v>Sauthamptonm</v>
      </c>
      <c r="K1502" t="s">
        <v>15</v>
      </c>
      <c r="L1502" s="2">
        <v>29</v>
      </c>
      <c r="M1502">
        <v>0</v>
      </c>
      <c r="N1502" t="s">
        <v>30</v>
      </c>
      <c r="O1502" t="s">
        <v>16</v>
      </c>
    </row>
    <row r="1503" spans="1:15" x14ac:dyDescent="0.3">
      <c r="A1503" s="1" t="s">
        <v>2708</v>
      </c>
      <c r="B1503" t="s">
        <v>72</v>
      </c>
      <c r="C1503" t="s">
        <v>2709</v>
      </c>
      <c r="D1503" t="str">
        <f t="shared" si="23"/>
        <v>Male</v>
      </c>
      <c r="E1503" t="s">
        <v>9</v>
      </c>
      <c r="F1503" s="2">
        <v>36</v>
      </c>
      <c r="G1503" s="2" t="str" cm="1">
        <f t="array" ref="G1503">_xlfn.IFS(F1503&lt;=8,"Child",F1503&lt;=17,"Teen",F1503&lt;=35,"Adult",F1503&lt;=55,"Seniour Adult",F1503&gt;=55,"Old Age")</f>
        <v>Seniour Adult</v>
      </c>
      <c r="H1503" t="s">
        <v>67</v>
      </c>
      <c r="I1503" t="s">
        <v>11</v>
      </c>
      <c r="J1503" t="str" cm="1">
        <f t="array" ref="J1503">_xlfn.IFS(I1503="S","Sauthamptonm",I1503="Q","Queentown",I1503="C","Cherburg",I1503="B","Cabin")</f>
        <v>Sauthamptonm</v>
      </c>
      <c r="K1503" t="s">
        <v>15</v>
      </c>
      <c r="L1503" s="2">
        <v>29</v>
      </c>
      <c r="M1503">
        <v>0</v>
      </c>
      <c r="N1503" t="s">
        <v>30</v>
      </c>
      <c r="O1503" t="s">
        <v>13</v>
      </c>
    </row>
    <row r="1504" spans="1:15" x14ac:dyDescent="0.3">
      <c r="A1504" s="1" t="s">
        <v>2710</v>
      </c>
      <c r="B1504" t="s">
        <v>72</v>
      </c>
      <c r="C1504" t="s">
        <v>2083</v>
      </c>
      <c r="D1504" t="str">
        <f t="shared" si="23"/>
        <v>Male</v>
      </c>
      <c r="E1504" t="s">
        <v>9</v>
      </c>
      <c r="F1504" s="2">
        <v>39</v>
      </c>
      <c r="G1504" s="2" t="str" cm="1">
        <f t="array" ref="G1504">_xlfn.IFS(F1504&lt;=8,"Child",F1504&lt;=17,"Teen",F1504&lt;=35,"Adult",F1504&lt;=55,"Seniour Adult",F1504&gt;=55,"Old Age")</f>
        <v>Seniour Adult</v>
      </c>
      <c r="H1504" t="s">
        <v>51</v>
      </c>
      <c r="I1504" t="s">
        <v>11</v>
      </c>
      <c r="J1504" t="str" cm="1">
        <f t="array" ref="J1504">_xlfn.IFS(I1504="S","Sauthamptonm",I1504="Q","Queentown",I1504="C","Cherburg",I1504="B","Cabin")</f>
        <v>Sauthamptonm</v>
      </c>
      <c r="K1504" t="s">
        <v>15</v>
      </c>
      <c r="L1504" s="2">
        <v>29</v>
      </c>
      <c r="M1504">
        <v>0</v>
      </c>
      <c r="N1504" t="s">
        <v>30</v>
      </c>
      <c r="O1504" t="s">
        <v>13</v>
      </c>
    </row>
    <row r="1505" spans="1:15" x14ac:dyDescent="0.3">
      <c r="A1505" s="1" t="s">
        <v>2711</v>
      </c>
      <c r="B1505" t="s">
        <v>72</v>
      </c>
      <c r="C1505" t="s">
        <v>2712</v>
      </c>
      <c r="D1505" t="str">
        <f t="shared" si="23"/>
        <v>Male</v>
      </c>
      <c r="E1505" t="s">
        <v>9</v>
      </c>
      <c r="F1505" s="2">
        <v>31</v>
      </c>
      <c r="G1505" s="2" t="str" cm="1">
        <f t="array" ref="G1505">_xlfn.IFS(F1505&lt;=8,"Child",F1505&lt;=17,"Teen",F1505&lt;=35,"Adult",F1505&lt;=55,"Seniour Adult",F1505&gt;=55,"Old Age")</f>
        <v>Adult</v>
      </c>
      <c r="H1505" t="s">
        <v>67</v>
      </c>
      <c r="I1505" t="s">
        <v>11</v>
      </c>
      <c r="J1505" t="str" cm="1">
        <f t="array" ref="J1505">_xlfn.IFS(I1505="S","Sauthamptonm",I1505="Q","Queentown",I1505="C","Cherburg",I1505="B","Cabin")</f>
        <v>Sauthamptonm</v>
      </c>
      <c r="K1505" t="s">
        <v>15</v>
      </c>
      <c r="L1505" s="2">
        <v>29</v>
      </c>
      <c r="M1505">
        <v>0</v>
      </c>
      <c r="N1505" t="s">
        <v>30</v>
      </c>
      <c r="O1505" t="s">
        <v>16</v>
      </c>
    </row>
    <row r="1506" spans="1:15" x14ac:dyDescent="0.3">
      <c r="A1506" s="1" t="s">
        <v>2713</v>
      </c>
      <c r="B1506" t="s">
        <v>72</v>
      </c>
      <c r="C1506" t="s">
        <v>251</v>
      </c>
      <c r="D1506" t="str">
        <f t="shared" si="23"/>
        <v>Male</v>
      </c>
      <c r="E1506" t="s">
        <v>9</v>
      </c>
      <c r="F1506" s="2">
        <v>39</v>
      </c>
      <c r="G1506" s="2" t="str" cm="1">
        <f t="array" ref="G1506">_xlfn.IFS(F1506&lt;=8,"Child",F1506&lt;=17,"Teen",F1506&lt;=35,"Adult",F1506&lt;=55,"Seniour Adult",F1506&gt;=55,"Old Age")</f>
        <v>Seniour Adult</v>
      </c>
      <c r="H1506" t="s">
        <v>67</v>
      </c>
      <c r="I1506" t="s">
        <v>11</v>
      </c>
      <c r="J1506" t="str" cm="1">
        <f t="array" ref="J1506">_xlfn.IFS(I1506="S","Sauthamptonm",I1506="Q","Queentown",I1506="C","Cherburg",I1506="B","Cabin")</f>
        <v>Sauthamptonm</v>
      </c>
      <c r="K1506" t="s">
        <v>59</v>
      </c>
      <c r="L1506" s="2">
        <v>29</v>
      </c>
      <c r="M1506">
        <v>0</v>
      </c>
      <c r="N1506" t="s">
        <v>30</v>
      </c>
      <c r="O1506" t="s">
        <v>13</v>
      </c>
    </row>
    <row r="1507" spans="1:15" x14ac:dyDescent="0.3">
      <c r="A1507" s="1" t="s">
        <v>2714</v>
      </c>
      <c r="B1507" t="s">
        <v>72</v>
      </c>
      <c r="C1507" t="s">
        <v>2715</v>
      </c>
      <c r="D1507" t="str">
        <f t="shared" si="23"/>
        <v>Male</v>
      </c>
      <c r="E1507" t="s">
        <v>9</v>
      </c>
      <c r="F1507" s="2">
        <v>37</v>
      </c>
      <c r="G1507" s="2" t="str" cm="1">
        <f t="array" ref="G1507">_xlfn.IFS(F1507&lt;=8,"Child",F1507&lt;=17,"Teen",F1507&lt;=35,"Adult",F1507&lt;=55,"Seniour Adult",F1507&gt;=55,"Old Age")</f>
        <v>Seniour Adult</v>
      </c>
      <c r="H1507" t="s">
        <v>51</v>
      </c>
      <c r="I1507" t="s">
        <v>11</v>
      </c>
      <c r="J1507" t="str" cm="1">
        <f t="array" ref="J1507">_xlfn.IFS(I1507="S","Sauthamptonm",I1507="Q","Queentown",I1507="C","Cherburg",I1507="B","Cabin")</f>
        <v>Sauthamptonm</v>
      </c>
      <c r="K1507" t="s">
        <v>15</v>
      </c>
      <c r="L1507" s="2">
        <v>29</v>
      </c>
      <c r="M1507">
        <v>0</v>
      </c>
      <c r="N1507" t="s">
        <v>30</v>
      </c>
      <c r="O1507" t="s">
        <v>13</v>
      </c>
    </row>
    <row r="1508" spans="1:15" x14ac:dyDescent="0.3">
      <c r="A1508" s="1" t="s">
        <v>2716</v>
      </c>
      <c r="B1508" t="s">
        <v>72</v>
      </c>
      <c r="C1508" t="s">
        <v>2717</v>
      </c>
      <c r="D1508" t="str">
        <f t="shared" si="23"/>
        <v>Male</v>
      </c>
      <c r="E1508" t="s">
        <v>9</v>
      </c>
      <c r="F1508" s="2">
        <v>35</v>
      </c>
      <c r="G1508" s="2" t="str" cm="1">
        <f t="array" ref="G1508">_xlfn.IFS(F1508&lt;=8,"Child",F1508&lt;=17,"Teen",F1508&lt;=35,"Adult",F1508&lt;=55,"Seniour Adult",F1508&gt;=55,"Old Age")</f>
        <v>Adult</v>
      </c>
      <c r="H1508" t="s">
        <v>51</v>
      </c>
      <c r="I1508" t="s">
        <v>11</v>
      </c>
      <c r="J1508" t="str" cm="1">
        <f t="array" ref="J1508">_xlfn.IFS(I1508="S","Sauthamptonm",I1508="Q","Queentown",I1508="C","Cherburg",I1508="B","Cabin")</f>
        <v>Sauthamptonm</v>
      </c>
      <c r="K1508" t="s">
        <v>15</v>
      </c>
      <c r="L1508" s="2">
        <v>29</v>
      </c>
      <c r="M1508">
        <v>0</v>
      </c>
      <c r="N1508" t="s">
        <v>30</v>
      </c>
      <c r="O1508" t="s">
        <v>13</v>
      </c>
    </row>
    <row r="1509" spans="1:15" x14ac:dyDescent="0.3">
      <c r="A1509" s="1" t="s">
        <v>2718</v>
      </c>
      <c r="B1509" t="s">
        <v>72</v>
      </c>
      <c r="C1509" t="s">
        <v>2719</v>
      </c>
      <c r="D1509" t="str">
        <f t="shared" si="23"/>
        <v>Male</v>
      </c>
      <c r="E1509" t="s">
        <v>9</v>
      </c>
      <c r="F1509" s="2">
        <v>40</v>
      </c>
      <c r="G1509" s="2" t="str" cm="1">
        <f t="array" ref="G1509">_xlfn.IFS(F1509&lt;=8,"Child",F1509&lt;=17,"Teen",F1509&lt;=35,"Adult",F1509&lt;=55,"Seniour Adult",F1509&gt;=55,"Old Age")</f>
        <v>Seniour Adult</v>
      </c>
      <c r="H1509" t="s">
        <v>51</v>
      </c>
      <c r="I1509" t="s">
        <v>11</v>
      </c>
      <c r="J1509" t="str" cm="1">
        <f t="array" ref="J1509">_xlfn.IFS(I1509="S","Sauthamptonm",I1509="Q","Queentown",I1509="C","Cherburg",I1509="B","Cabin")</f>
        <v>Sauthamptonm</v>
      </c>
      <c r="K1509" t="s">
        <v>15</v>
      </c>
      <c r="L1509" s="2">
        <v>29</v>
      </c>
      <c r="M1509">
        <v>0</v>
      </c>
      <c r="N1509" t="s">
        <v>30</v>
      </c>
      <c r="O1509" t="s">
        <v>13</v>
      </c>
    </row>
    <row r="1510" spans="1:15" x14ac:dyDescent="0.3">
      <c r="A1510" s="1" t="s">
        <v>2720</v>
      </c>
      <c r="B1510" t="s">
        <v>72</v>
      </c>
      <c r="C1510" t="s">
        <v>251</v>
      </c>
      <c r="D1510" t="str">
        <f t="shared" si="23"/>
        <v>Male</v>
      </c>
      <c r="E1510" t="s">
        <v>9</v>
      </c>
      <c r="F1510" s="2">
        <v>31</v>
      </c>
      <c r="G1510" s="2" t="str" cm="1">
        <f t="array" ref="G1510">_xlfn.IFS(F1510&lt;=8,"Child",F1510&lt;=17,"Teen",F1510&lt;=35,"Adult",F1510&lt;=55,"Seniour Adult",F1510&gt;=55,"Old Age")</f>
        <v>Adult</v>
      </c>
      <c r="H1510" t="s">
        <v>51</v>
      </c>
      <c r="I1510" t="s">
        <v>11</v>
      </c>
      <c r="J1510" t="str" cm="1">
        <f t="array" ref="J1510">_xlfn.IFS(I1510="S","Sauthamptonm",I1510="Q","Queentown",I1510="C","Cherburg",I1510="B","Cabin")</f>
        <v>Sauthamptonm</v>
      </c>
      <c r="K1510" t="s">
        <v>15</v>
      </c>
      <c r="L1510" s="2">
        <v>29</v>
      </c>
      <c r="M1510">
        <v>0</v>
      </c>
      <c r="N1510" t="s">
        <v>30</v>
      </c>
      <c r="O1510" t="s">
        <v>13</v>
      </c>
    </row>
    <row r="1511" spans="1:15" x14ac:dyDescent="0.3">
      <c r="A1511" s="1" t="s">
        <v>2721</v>
      </c>
      <c r="B1511" t="s">
        <v>72</v>
      </c>
      <c r="C1511" t="s">
        <v>2722</v>
      </c>
      <c r="D1511" t="str">
        <f t="shared" si="23"/>
        <v>Male</v>
      </c>
      <c r="E1511" t="s">
        <v>9</v>
      </c>
      <c r="F1511" s="2">
        <v>41</v>
      </c>
      <c r="G1511" s="2" t="str" cm="1">
        <f t="array" ref="G1511">_xlfn.IFS(F1511&lt;=8,"Child",F1511&lt;=17,"Teen",F1511&lt;=35,"Adult",F1511&lt;=55,"Seniour Adult",F1511&gt;=55,"Old Age")</f>
        <v>Seniour Adult</v>
      </c>
      <c r="H1511" t="s">
        <v>67</v>
      </c>
      <c r="I1511" t="s">
        <v>11</v>
      </c>
      <c r="J1511" t="str" cm="1">
        <f t="array" ref="J1511">_xlfn.IFS(I1511="S","Sauthamptonm",I1511="Q","Queentown",I1511="C","Cherburg",I1511="B","Cabin")</f>
        <v>Sauthamptonm</v>
      </c>
      <c r="K1511" t="s">
        <v>12</v>
      </c>
      <c r="L1511" s="2">
        <v>29</v>
      </c>
      <c r="M1511">
        <v>0</v>
      </c>
      <c r="N1511" t="s">
        <v>30</v>
      </c>
      <c r="O1511" t="s">
        <v>13</v>
      </c>
    </row>
    <row r="1512" spans="1:15" x14ac:dyDescent="0.3">
      <c r="A1512" s="1" t="s">
        <v>2723</v>
      </c>
      <c r="B1512" t="s">
        <v>72</v>
      </c>
      <c r="C1512" t="s">
        <v>2724</v>
      </c>
      <c r="D1512" t="str">
        <f t="shared" si="23"/>
        <v>Male</v>
      </c>
      <c r="E1512" t="s">
        <v>9</v>
      </c>
      <c r="F1512" s="2">
        <v>45</v>
      </c>
      <c r="G1512" s="2" t="str" cm="1">
        <f t="array" ref="G1512">_xlfn.IFS(F1512&lt;=8,"Child",F1512&lt;=17,"Teen",F1512&lt;=35,"Adult",F1512&lt;=55,"Seniour Adult",F1512&gt;=55,"Old Age")</f>
        <v>Seniour Adult</v>
      </c>
      <c r="H1512" t="s">
        <v>67</v>
      </c>
      <c r="I1512" t="s">
        <v>11</v>
      </c>
      <c r="J1512" t="str" cm="1">
        <f t="array" ref="J1512">_xlfn.IFS(I1512="S","Sauthamptonm",I1512="Q","Queentown",I1512="C","Cherburg",I1512="B","Cabin")</f>
        <v>Sauthamptonm</v>
      </c>
      <c r="K1512" t="s">
        <v>15</v>
      </c>
      <c r="L1512" s="2">
        <v>29</v>
      </c>
      <c r="M1512">
        <v>0</v>
      </c>
      <c r="N1512" t="s">
        <v>30</v>
      </c>
      <c r="O1512" t="s">
        <v>13</v>
      </c>
    </row>
    <row r="1513" spans="1:15" x14ac:dyDescent="0.3">
      <c r="A1513" s="1" t="s">
        <v>2725</v>
      </c>
      <c r="B1513" t="s">
        <v>72</v>
      </c>
      <c r="C1513" t="s">
        <v>107</v>
      </c>
      <c r="D1513" t="str">
        <f t="shared" si="23"/>
        <v>Male</v>
      </c>
      <c r="E1513" t="s">
        <v>9</v>
      </c>
      <c r="F1513" s="2">
        <v>37</v>
      </c>
      <c r="G1513" s="2" t="str" cm="1">
        <f t="array" ref="G1513">_xlfn.IFS(F1513&lt;=8,"Child",F1513&lt;=17,"Teen",F1513&lt;=35,"Adult",F1513&lt;=55,"Seniour Adult",F1513&gt;=55,"Old Age")</f>
        <v>Seniour Adult</v>
      </c>
      <c r="H1513" t="s">
        <v>51</v>
      </c>
      <c r="I1513" t="s">
        <v>11</v>
      </c>
      <c r="J1513" t="str" cm="1">
        <f t="array" ref="J1513">_xlfn.IFS(I1513="S","Sauthamptonm",I1513="Q","Queentown",I1513="C","Cherburg",I1513="B","Cabin")</f>
        <v>Sauthamptonm</v>
      </c>
      <c r="K1513" t="s">
        <v>15</v>
      </c>
      <c r="L1513" s="2">
        <v>29</v>
      </c>
      <c r="M1513">
        <v>0</v>
      </c>
      <c r="N1513" t="s">
        <v>30</v>
      </c>
      <c r="O1513" t="s">
        <v>13</v>
      </c>
    </row>
    <row r="1514" spans="1:15" x14ac:dyDescent="0.3">
      <c r="A1514" s="1" t="s">
        <v>2726</v>
      </c>
      <c r="B1514" t="s">
        <v>72</v>
      </c>
      <c r="C1514" t="s">
        <v>2727</v>
      </c>
      <c r="D1514" t="str">
        <f t="shared" si="23"/>
        <v>Male</v>
      </c>
      <c r="E1514" t="s">
        <v>9</v>
      </c>
      <c r="F1514" s="2">
        <v>19</v>
      </c>
      <c r="G1514" s="2" t="str" cm="1">
        <f t="array" ref="G1514">_xlfn.IFS(F1514&lt;=8,"Child",F1514&lt;=17,"Teen",F1514&lt;=35,"Adult",F1514&lt;=55,"Seniour Adult",F1514&gt;=55,"Old Age")</f>
        <v>Adult</v>
      </c>
      <c r="H1514" t="s">
        <v>67</v>
      </c>
      <c r="I1514" t="s">
        <v>28</v>
      </c>
      <c r="J1514" t="str" cm="1">
        <f t="array" ref="J1514">_xlfn.IFS(I1514="S","Sauthamptonm",I1514="Q","Queentown",I1514="C","Cherburg",I1514="B","Cabin")</f>
        <v>Cabin</v>
      </c>
      <c r="K1514" t="s">
        <v>15</v>
      </c>
      <c r="L1514" s="2">
        <v>29</v>
      </c>
      <c r="M1514">
        <v>0</v>
      </c>
      <c r="N1514" t="s">
        <v>30</v>
      </c>
      <c r="O1514" t="s">
        <v>13</v>
      </c>
    </row>
    <row r="1515" spans="1:15" x14ac:dyDescent="0.3">
      <c r="A1515" s="1" t="s">
        <v>2728</v>
      </c>
      <c r="B1515" t="s">
        <v>72</v>
      </c>
      <c r="C1515" t="s">
        <v>1098</v>
      </c>
      <c r="D1515" t="str">
        <f t="shared" si="23"/>
        <v>Male</v>
      </c>
      <c r="E1515" t="s">
        <v>9</v>
      </c>
      <c r="F1515" s="2">
        <v>26</v>
      </c>
      <c r="G1515" s="2" t="str" cm="1">
        <f t="array" ref="G1515">_xlfn.IFS(F1515&lt;=8,"Child",F1515&lt;=17,"Teen",F1515&lt;=35,"Adult",F1515&lt;=55,"Seniour Adult",F1515&gt;=55,"Old Age")</f>
        <v>Adult</v>
      </c>
      <c r="H1515" t="s">
        <v>51</v>
      </c>
      <c r="I1515" t="s">
        <v>11</v>
      </c>
      <c r="J1515" t="str" cm="1">
        <f t="array" ref="J1515">_xlfn.IFS(I1515="S","Sauthamptonm",I1515="Q","Queentown",I1515="C","Cherburg",I1515="B","Cabin")</f>
        <v>Sauthamptonm</v>
      </c>
      <c r="K1515" t="s">
        <v>15</v>
      </c>
      <c r="L1515" s="2">
        <v>29</v>
      </c>
      <c r="M1515">
        <v>0</v>
      </c>
      <c r="N1515" t="s">
        <v>30</v>
      </c>
      <c r="O1515" t="s">
        <v>13</v>
      </c>
    </row>
    <row r="1516" spans="1:15" x14ac:dyDescent="0.3">
      <c r="A1516" s="1" t="s">
        <v>2729</v>
      </c>
      <c r="B1516" t="s">
        <v>72</v>
      </c>
      <c r="C1516" t="s">
        <v>735</v>
      </c>
      <c r="D1516" t="str">
        <f t="shared" si="23"/>
        <v>Male</v>
      </c>
      <c r="E1516" t="s">
        <v>9</v>
      </c>
      <c r="F1516" s="2">
        <v>41</v>
      </c>
      <c r="G1516" s="2" t="str" cm="1">
        <f t="array" ref="G1516">_xlfn.IFS(F1516&lt;=8,"Child",F1516&lt;=17,"Teen",F1516&lt;=35,"Adult",F1516&lt;=55,"Seniour Adult",F1516&gt;=55,"Old Age")</f>
        <v>Seniour Adult</v>
      </c>
      <c r="H1516" t="s">
        <v>69</v>
      </c>
      <c r="I1516" t="s">
        <v>28</v>
      </c>
      <c r="J1516" t="str" cm="1">
        <f t="array" ref="J1516">_xlfn.IFS(I1516="S","Sauthamptonm",I1516="Q","Queentown",I1516="C","Cherburg",I1516="B","Cabin")</f>
        <v>Cabin</v>
      </c>
      <c r="K1516" t="s">
        <v>15</v>
      </c>
      <c r="L1516" s="2">
        <v>29</v>
      </c>
      <c r="M1516">
        <v>0</v>
      </c>
      <c r="N1516" t="s">
        <v>30</v>
      </c>
      <c r="O1516" t="s">
        <v>16</v>
      </c>
    </row>
    <row r="1517" spans="1:15" x14ac:dyDescent="0.3">
      <c r="A1517" s="1" t="s">
        <v>2730</v>
      </c>
      <c r="B1517" t="s">
        <v>72</v>
      </c>
      <c r="C1517" t="s">
        <v>119</v>
      </c>
      <c r="D1517" t="str">
        <f t="shared" si="23"/>
        <v>Male</v>
      </c>
      <c r="E1517" t="s">
        <v>9</v>
      </c>
      <c r="F1517" s="2">
        <v>40</v>
      </c>
      <c r="G1517" s="2" t="str" cm="1">
        <f t="array" ref="G1517">_xlfn.IFS(F1517&lt;=8,"Child",F1517&lt;=17,"Teen",F1517&lt;=35,"Adult",F1517&lt;=55,"Seniour Adult",F1517&gt;=55,"Old Age")</f>
        <v>Seniour Adult</v>
      </c>
      <c r="H1517" t="s">
        <v>67</v>
      </c>
      <c r="I1517" t="s">
        <v>11</v>
      </c>
      <c r="J1517" t="str" cm="1">
        <f t="array" ref="J1517">_xlfn.IFS(I1517="S","Sauthamptonm",I1517="Q","Queentown",I1517="C","Cherburg",I1517="B","Cabin")</f>
        <v>Sauthamptonm</v>
      </c>
      <c r="K1517" t="s">
        <v>15</v>
      </c>
      <c r="L1517" s="2">
        <v>29</v>
      </c>
      <c r="M1517">
        <v>0</v>
      </c>
      <c r="N1517" t="s">
        <v>30</v>
      </c>
      <c r="O1517" t="s">
        <v>16</v>
      </c>
    </row>
    <row r="1518" spans="1:15" x14ac:dyDescent="0.3">
      <c r="A1518" s="1" t="s">
        <v>2731</v>
      </c>
      <c r="B1518" t="s">
        <v>1766</v>
      </c>
      <c r="C1518" t="s">
        <v>2732</v>
      </c>
      <c r="D1518" t="str">
        <f t="shared" si="23"/>
        <v>Male</v>
      </c>
      <c r="E1518" t="s">
        <v>9</v>
      </c>
      <c r="F1518" s="2">
        <v>20</v>
      </c>
      <c r="G1518" s="2" t="str" cm="1">
        <f t="array" ref="G1518">_xlfn.IFS(F1518&lt;=8,"Child",F1518&lt;=17,"Teen",F1518&lt;=35,"Adult",F1518&lt;=55,"Seniour Adult",F1518&gt;=55,"Old Age")</f>
        <v>Adult</v>
      </c>
      <c r="H1518" t="s">
        <v>68</v>
      </c>
      <c r="I1518" t="s">
        <v>11</v>
      </c>
      <c r="J1518" t="str" cm="1">
        <f t="array" ref="J1518">_xlfn.IFS(I1518="S","Sauthamptonm",I1518="Q","Queentown",I1518="C","Cherburg",I1518="B","Cabin")</f>
        <v>Sauthamptonm</v>
      </c>
      <c r="K1518" t="s">
        <v>15</v>
      </c>
      <c r="L1518" s="2">
        <v>29</v>
      </c>
      <c r="M1518">
        <v>0</v>
      </c>
      <c r="N1518" t="s">
        <v>30</v>
      </c>
      <c r="O1518" t="s">
        <v>13</v>
      </c>
    </row>
    <row r="1519" spans="1:15" x14ac:dyDescent="0.3">
      <c r="A1519" s="1" t="s">
        <v>2733</v>
      </c>
      <c r="B1519" t="s">
        <v>1766</v>
      </c>
      <c r="C1519" t="s">
        <v>2734</v>
      </c>
      <c r="D1519" t="str">
        <f t="shared" si="23"/>
        <v>Male</v>
      </c>
      <c r="E1519" t="s">
        <v>9</v>
      </c>
      <c r="F1519" s="2">
        <v>26</v>
      </c>
      <c r="G1519" s="2" t="str" cm="1">
        <f t="array" ref="G1519">_xlfn.IFS(F1519&lt;=8,"Child",F1519&lt;=17,"Teen",F1519&lt;=35,"Adult",F1519&lt;=55,"Seniour Adult",F1519&gt;=55,"Old Age")</f>
        <v>Adult</v>
      </c>
      <c r="H1519" t="s">
        <v>68</v>
      </c>
      <c r="I1519" t="s">
        <v>11</v>
      </c>
      <c r="J1519" t="str" cm="1">
        <f t="array" ref="J1519">_xlfn.IFS(I1519="S","Sauthamptonm",I1519="Q","Queentown",I1519="C","Cherburg",I1519="B","Cabin")</f>
        <v>Sauthamptonm</v>
      </c>
      <c r="K1519" t="s">
        <v>15</v>
      </c>
      <c r="L1519" s="2">
        <v>29</v>
      </c>
      <c r="M1519">
        <v>0</v>
      </c>
      <c r="N1519" t="s">
        <v>30</v>
      </c>
      <c r="O1519" t="s">
        <v>13</v>
      </c>
    </row>
  </sheetData>
  <autoFilter ref="A1:O1519" xr:uid="{E6F1CC8E-AE05-47A5-B748-6BE9FDE198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 Nirmalkar</cp:lastModifiedBy>
  <dcterms:created xsi:type="dcterms:W3CDTF">2026-07-19T05:37:11Z</dcterms:created>
  <dcterms:modified xsi:type="dcterms:W3CDTF">2026-07-19T15:59:18Z</dcterms:modified>
</cp:coreProperties>
</file>