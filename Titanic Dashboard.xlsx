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eha\Desktop\"/>
    </mc:Choice>
  </mc:AlternateContent>
  <xr:revisionPtr revIDLastSave="0" documentId="13_ncr:1_{76E5D191-AEE1-4B0B-9CDB-565CEF3FA51C}" xr6:coauthVersionLast="47" xr6:coauthVersionMax="47" xr10:uidLastSave="{00000000-0000-0000-0000-000000000000}"/>
  <bookViews>
    <workbookView xWindow="-108" yWindow="-108" windowWidth="23256" windowHeight="12456" xr2:uid="{A9243ECA-836B-4340-9276-7668834B1389}"/>
  </bookViews>
  <sheets>
    <sheet name="titanic (1)" sheetId="1" r:id="rId1"/>
    <sheet name="Clean Data" sheetId="2" r:id="rId2"/>
    <sheet name="KPI-Q" sheetId="3" r:id="rId3"/>
    <sheet name="EDA-Q" sheetId="4" r:id="rId4"/>
    <sheet name="DASHBOARD" sheetId="6" r:id="rId5"/>
  </sheets>
  <definedNames>
    <definedName name="_xlnm._FilterDatabase" localSheetId="0" hidden="1">'titanic (1)'!$A$1:$S$2203</definedName>
    <definedName name="Slicer_Age_Group">#N/A</definedName>
    <definedName name="Slicer_class">#N/A</definedName>
    <definedName name="Slicer_Fare_Category">#N/A</definedName>
    <definedName name="Slicer_gender2">#N/A</definedName>
    <definedName name="Slicer_New_Surviv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203" i="1"/>
  <c r="Q2203" i="1" s="1"/>
  <c r="Q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 i="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s="1"/>
  <c r="M2196" i="1" a="1"/>
  <c r="M2196" i="1" s="1"/>
  <c r="M2197" i="1" a="1"/>
  <c r="M2197" i="1" s="1"/>
  <c r="M2198" i="1" a="1"/>
  <c r="M2198" i="1" s="1"/>
  <c r="M2199" i="1" a="1"/>
  <c r="M2199" i="1" s="1"/>
  <c r="M2200" i="1" a="1"/>
  <c r="M2200" i="1" s="1"/>
  <c r="M2201" i="1" a="1"/>
  <c r="M2201" i="1" s="1"/>
  <c r="M2202" i="1" a="1"/>
  <c r="M2202" i="1" s="1"/>
  <c r="M2203" i="1" a="1"/>
  <c r="M2203" i="1" s="1"/>
  <c r="M2" i="1" a="1"/>
  <c r="M2"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2" i="1" a="1"/>
  <c r="J932" i="1" s="1"/>
  <c r="J933" i="1" a="1"/>
  <c r="J933" i="1" s="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1002" i="1" a="1"/>
  <c r="J1002" i="1" s="1"/>
  <c r="J1003" i="1" a="1"/>
  <c r="J1003" i="1" s="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1029" i="1" a="1"/>
  <c r="J1029" i="1" s="1"/>
  <c r="J1030" i="1" a="1"/>
  <c r="J1030" i="1" s="1"/>
  <c r="J1031" i="1" a="1"/>
  <c r="J1031" i="1" s="1"/>
  <c r="J1032" i="1" a="1"/>
  <c r="J1032" i="1" s="1"/>
  <c r="J1033" i="1" a="1"/>
  <c r="J1033" i="1" s="1"/>
  <c r="J1034" i="1" a="1"/>
  <c r="J1034" i="1" s="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s="1"/>
  <c r="J1052" i="1" a="1"/>
  <c r="J1052" i="1" s="1"/>
  <c r="J1053" i="1" a="1"/>
  <c r="J1053" i="1" s="1"/>
  <c r="J1054" i="1" a="1"/>
  <c r="J1054" i="1" s="1"/>
  <c r="J1055" i="1" a="1"/>
  <c r="J1055" i="1" s="1"/>
  <c r="J1056" i="1" a="1"/>
  <c r="J1056" i="1" s="1"/>
  <c r="J1057" i="1" a="1"/>
  <c r="J1057" i="1" s="1"/>
  <c r="J1058" i="1" a="1"/>
  <c r="J1058" i="1" s="1"/>
  <c r="J1059" i="1" a="1"/>
  <c r="J1059" i="1" s="1"/>
  <c r="J1060" i="1" a="1"/>
  <c r="J1060" i="1" s="1"/>
  <c r="J1061" i="1" a="1"/>
  <c r="J1061" i="1" s="1"/>
  <c r="J1062" i="1" a="1"/>
  <c r="J1062" i="1" s="1"/>
  <c r="J1063" i="1" a="1"/>
  <c r="J1063" i="1" s="1"/>
  <c r="J1064" i="1" a="1"/>
  <c r="J1064" i="1" s="1"/>
  <c r="J1065" i="1" a="1"/>
  <c r="J1065" i="1" s="1"/>
  <c r="J1066" i="1" a="1"/>
  <c r="J1066" i="1" s="1"/>
  <c r="J1067" i="1" a="1"/>
  <c r="J1067" i="1" s="1"/>
  <c r="J1068" i="1" a="1"/>
  <c r="J1068" i="1" s="1"/>
  <c r="J1069" i="1" a="1"/>
  <c r="J1069" i="1" s="1"/>
  <c r="J1070" i="1" a="1"/>
  <c r="J1070" i="1" s="1"/>
  <c r="J1071" i="1" a="1"/>
  <c r="J1071" i="1" s="1"/>
  <c r="J1072" i="1" a="1"/>
  <c r="J1072" i="1" s="1"/>
  <c r="J1073" i="1" a="1"/>
  <c r="J1073" i="1" s="1"/>
  <c r="J1074" i="1" a="1"/>
  <c r="J1074" i="1" s="1"/>
  <c r="J1075" i="1" a="1"/>
  <c r="J1075" i="1" s="1"/>
  <c r="J1076" i="1" a="1"/>
  <c r="J1076" i="1" s="1"/>
  <c r="J1077" i="1" a="1"/>
  <c r="J1077" i="1" s="1"/>
  <c r="J1078" i="1" a="1"/>
  <c r="J1078" i="1" s="1"/>
  <c r="J1079" i="1" a="1"/>
  <c r="J1079" i="1" s="1"/>
  <c r="J1080" i="1" a="1"/>
  <c r="J1080" i="1" s="1"/>
  <c r="J1081" i="1" a="1"/>
  <c r="J1081" i="1" s="1"/>
  <c r="J1082" i="1" a="1"/>
  <c r="J1082" i="1" s="1"/>
  <c r="J1083" i="1" a="1"/>
  <c r="J1083" i="1" s="1"/>
  <c r="J1084" i="1" a="1"/>
  <c r="J1084" i="1" s="1"/>
  <c r="J1085" i="1" a="1"/>
  <c r="J1085" i="1" s="1"/>
  <c r="J1086" i="1" a="1"/>
  <c r="J1086" i="1" s="1"/>
  <c r="J1087" i="1" a="1"/>
  <c r="J1087" i="1" s="1"/>
  <c r="J1088" i="1" a="1"/>
  <c r="J1088" i="1" s="1"/>
  <c r="J1089" i="1" a="1"/>
  <c r="J1089" i="1" s="1"/>
  <c r="J1090" i="1" a="1"/>
  <c r="J1090" i="1" s="1"/>
  <c r="J1091" i="1" a="1"/>
  <c r="J1091" i="1" s="1"/>
  <c r="J1092" i="1" a="1"/>
  <c r="J1092" i="1" s="1"/>
  <c r="J1093" i="1" a="1"/>
  <c r="J1093" i="1" s="1"/>
  <c r="J1094" i="1" a="1"/>
  <c r="J1094" i="1" s="1"/>
  <c r="J1095" i="1" a="1"/>
  <c r="J1095" i="1" s="1"/>
  <c r="J1096" i="1" a="1"/>
  <c r="J1096" i="1" s="1"/>
  <c r="J1097" i="1" a="1"/>
  <c r="J1097" i="1" s="1"/>
  <c r="J1098" i="1" a="1"/>
  <c r="J1098" i="1" s="1"/>
  <c r="J1099" i="1" a="1"/>
  <c r="J1099" i="1" s="1"/>
  <c r="J1100" i="1" a="1"/>
  <c r="J1100" i="1" s="1"/>
  <c r="J1101" i="1" a="1"/>
  <c r="J1101" i="1" s="1"/>
  <c r="J1102" i="1" a="1"/>
  <c r="J1102" i="1" s="1"/>
  <c r="J1103" i="1" a="1"/>
  <c r="J1103" i="1" s="1"/>
  <c r="J1104" i="1" a="1"/>
  <c r="J1104" i="1" s="1"/>
  <c r="J1105" i="1" a="1"/>
  <c r="J1105" i="1" s="1"/>
  <c r="J1106" i="1" a="1"/>
  <c r="J1106" i="1" s="1"/>
  <c r="J1107" i="1" a="1"/>
  <c r="J1107" i="1" s="1"/>
  <c r="J1108" i="1" a="1"/>
  <c r="J1108" i="1" s="1"/>
  <c r="J1109" i="1" a="1"/>
  <c r="J1109" i="1" s="1"/>
  <c r="J1110" i="1" a="1"/>
  <c r="J1110" i="1" s="1"/>
  <c r="J1111" i="1" a="1"/>
  <c r="J1111" i="1" s="1"/>
  <c r="J1112" i="1" a="1"/>
  <c r="J1112" i="1" s="1"/>
  <c r="J1113" i="1" a="1"/>
  <c r="J1113" i="1" s="1"/>
  <c r="J1114" i="1" a="1"/>
  <c r="J1114" i="1" s="1"/>
  <c r="J1115" i="1" a="1"/>
  <c r="J1115" i="1" s="1"/>
  <c r="J1116" i="1" a="1"/>
  <c r="J1116" i="1" s="1"/>
  <c r="J1117" i="1" a="1"/>
  <c r="J1117" i="1" s="1"/>
  <c r="J1118" i="1" a="1"/>
  <c r="J1118" i="1" s="1"/>
  <c r="J1119" i="1" a="1"/>
  <c r="J1119" i="1" s="1"/>
  <c r="J1120" i="1" a="1"/>
  <c r="J1120" i="1" s="1"/>
  <c r="J1121" i="1" a="1"/>
  <c r="J1121" i="1" s="1"/>
  <c r="J1122" i="1" a="1"/>
  <c r="J1122" i="1" s="1"/>
  <c r="J1123" i="1" a="1"/>
  <c r="J1123" i="1" s="1"/>
  <c r="J1124" i="1" a="1"/>
  <c r="J1124" i="1" s="1"/>
  <c r="J1125" i="1" a="1"/>
  <c r="J1125" i="1" s="1"/>
  <c r="J1126" i="1" a="1"/>
  <c r="J1126" i="1" s="1"/>
  <c r="J1127" i="1" a="1"/>
  <c r="J1127" i="1" s="1"/>
  <c r="J1128" i="1" a="1"/>
  <c r="J1128" i="1" s="1"/>
  <c r="J1129" i="1" a="1"/>
  <c r="J1129" i="1" s="1"/>
  <c r="J1130" i="1" a="1"/>
  <c r="J1130" i="1" s="1"/>
  <c r="J1131" i="1" a="1"/>
  <c r="J1131" i="1" s="1"/>
  <c r="J1132" i="1" a="1"/>
  <c r="J1132" i="1" s="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1157" i="1" a="1"/>
  <c r="J1157" i="1" s="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s="1"/>
  <c r="J1170" i="1" a="1"/>
  <c r="J1170" i="1" s="1"/>
  <c r="J1171" i="1" a="1"/>
  <c r="J1171" i="1" s="1"/>
  <c r="J1172" i="1" a="1"/>
  <c r="J1172" i="1" s="1"/>
  <c r="J1173" i="1" a="1"/>
  <c r="J1173" i="1" s="1"/>
  <c r="J1174" i="1" a="1"/>
  <c r="J1174" i="1" s="1"/>
  <c r="J1175" i="1" a="1"/>
  <c r="J1175" i="1" s="1"/>
  <c r="J1176" i="1" a="1"/>
  <c r="J1176" i="1" s="1"/>
  <c r="J1177" i="1" a="1"/>
  <c r="J1177" i="1" s="1"/>
  <c r="J1178" i="1" a="1"/>
  <c r="J1178" i="1" s="1"/>
  <c r="J1179" i="1" a="1"/>
  <c r="J1179" i="1" s="1"/>
  <c r="J1180" i="1" a="1"/>
  <c r="J1180" i="1" s="1"/>
  <c r="J1181" i="1" a="1"/>
  <c r="J1181" i="1" s="1"/>
  <c r="J1182" i="1" a="1"/>
  <c r="J1182" i="1" s="1"/>
  <c r="J1183" i="1" a="1"/>
  <c r="J1183" i="1" s="1"/>
  <c r="J1184" i="1" a="1"/>
  <c r="J1184" i="1" s="1"/>
  <c r="J1185" i="1" a="1"/>
  <c r="J1185" i="1" s="1"/>
  <c r="J1186" i="1" a="1"/>
  <c r="J1186" i="1" s="1"/>
  <c r="J1187" i="1" a="1"/>
  <c r="J1187" i="1" s="1"/>
  <c r="J1188" i="1" a="1"/>
  <c r="J1188" i="1" s="1"/>
  <c r="J1189" i="1" a="1"/>
  <c r="J1189" i="1" s="1"/>
  <c r="J1190" i="1" a="1"/>
  <c r="J1190" i="1" s="1"/>
  <c r="J1191" i="1" a="1"/>
  <c r="J1191" i="1" s="1"/>
  <c r="J1192" i="1" a="1"/>
  <c r="J1192" i="1" s="1"/>
  <c r="J1193" i="1" a="1"/>
  <c r="J1193" i="1" s="1"/>
  <c r="J1194" i="1" a="1"/>
  <c r="J1194" i="1" s="1"/>
  <c r="J1195" i="1" a="1"/>
  <c r="J1195" i="1" s="1"/>
  <c r="J1196" i="1" a="1"/>
  <c r="J1196" i="1" s="1"/>
  <c r="J1197" i="1" a="1"/>
  <c r="J1197" i="1" s="1"/>
  <c r="J1198" i="1" a="1"/>
  <c r="J1198" i="1" s="1"/>
  <c r="J1199" i="1" a="1"/>
  <c r="J1199" i="1" s="1"/>
  <c r="J1200" i="1" a="1"/>
  <c r="J1200" i="1" s="1"/>
  <c r="J1201" i="1" a="1"/>
  <c r="J1201" i="1" s="1"/>
  <c r="J1202" i="1" a="1"/>
  <c r="J1202" i="1" s="1"/>
  <c r="J1203" i="1" a="1"/>
  <c r="J1203" i="1" s="1"/>
  <c r="J1204" i="1" a="1"/>
  <c r="J1204" i="1" s="1"/>
  <c r="J1205" i="1" a="1"/>
  <c r="J1205" i="1" s="1"/>
  <c r="J1206" i="1" a="1"/>
  <c r="J1206" i="1" s="1"/>
  <c r="J1207" i="1" a="1"/>
  <c r="J1207" i="1" s="1"/>
  <c r="J1208" i="1" a="1"/>
  <c r="J1208" i="1" s="1"/>
  <c r="J1209" i="1" a="1"/>
  <c r="J1209" i="1" s="1"/>
  <c r="J1210" i="1" a="1"/>
  <c r="J1210" i="1" s="1"/>
  <c r="J1211" i="1" a="1"/>
  <c r="J1211" i="1" s="1"/>
  <c r="J1212" i="1" a="1"/>
  <c r="J1212" i="1" s="1"/>
  <c r="J1213" i="1" a="1"/>
  <c r="J1213" i="1" s="1"/>
  <c r="J1214" i="1" a="1"/>
  <c r="J1214" i="1" s="1"/>
  <c r="J1215" i="1" a="1"/>
  <c r="J1215" i="1" s="1"/>
  <c r="J1216" i="1" a="1"/>
  <c r="J1216" i="1" s="1"/>
  <c r="J1217" i="1" a="1"/>
  <c r="J1217" i="1" s="1"/>
  <c r="J1218" i="1" a="1"/>
  <c r="J1218" i="1" s="1"/>
  <c r="J1219" i="1" a="1"/>
  <c r="J1219" i="1" s="1"/>
  <c r="J1220" i="1" a="1"/>
  <c r="J1220" i="1" s="1"/>
  <c r="J1221" i="1" a="1"/>
  <c r="J1221" i="1" s="1"/>
  <c r="J1222" i="1" a="1"/>
  <c r="J1222" i="1" s="1"/>
  <c r="J1223" i="1" a="1"/>
  <c r="J1223" i="1" s="1"/>
  <c r="J1224" i="1" a="1"/>
  <c r="J1224" i="1" s="1"/>
  <c r="J1225" i="1" a="1"/>
  <c r="J1225" i="1" s="1"/>
  <c r="J1226" i="1" a="1"/>
  <c r="J1226" i="1" s="1"/>
  <c r="J1227" i="1" a="1"/>
  <c r="J1227" i="1" s="1"/>
  <c r="J1228" i="1" a="1"/>
  <c r="J1228" i="1" s="1"/>
  <c r="J1229" i="1" a="1"/>
  <c r="J1229" i="1" s="1"/>
  <c r="J1230" i="1" a="1"/>
  <c r="J1230" i="1" s="1"/>
  <c r="J1231" i="1" a="1"/>
  <c r="J1231" i="1" s="1"/>
  <c r="J1232" i="1" a="1"/>
  <c r="J1232" i="1" s="1"/>
  <c r="J1233" i="1" a="1"/>
  <c r="J1233" i="1" s="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s="1"/>
  <c r="J1250" i="1" a="1"/>
  <c r="J1250" i="1" s="1"/>
  <c r="J1251" i="1" a="1"/>
  <c r="J1251" i="1" s="1"/>
  <c r="J1252" i="1" a="1"/>
  <c r="J1252" i="1" s="1"/>
  <c r="J1253" i="1" a="1"/>
  <c r="J1253" i="1" s="1"/>
  <c r="J1254" i="1" a="1"/>
  <c r="J1254" i="1" s="1"/>
  <c r="J1255" i="1" a="1"/>
  <c r="J1255" i="1" s="1"/>
  <c r="J1256" i="1" a="1"/>
  <c r="J1256" i="1" s="1"/>
  <c r="J1257" i="1" a="1"/>
  <c r="J1257" i="1" s="1"/>
  <c r="J1258" i="1" a="1"/>
  <c r="J1258" i="1" s="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s="1"/>
  <c r="J1270" i="1" a="1"/>
  <c r="J1270" i="1" s="1"/>
  <c r="J1271" i="1" a="1"/>
  <c r="J1271" i="1" s="1"/>
  <c r="J1272" i="1" a="1"/>
  <c r="J1272" i="1" s="1"/>
  <c r="J1273" i="1" a="1"/>
  <c r="J1273" i="1" s="1"/>
  <c r="J1274" i="1" a="1"/>
  <c r="J1274" i="1" s="1"/>
  <c r="J1275" i="1" a="1"/>
  <c r="J1275" i="1" s="1"/>
  <c r="J1276" i="1" a="1"/>
  <c r="J1276" i="1" s="1"/>
  <c r="J1277" i="1" a="1"/>
  <c r="J1277" i="1" s="1"/>
  <c r="J1278" i="1" a="1"/>
  <c r="J1278" i="1" s="1"/>
  <c r="J1279" i="1" a="1"/>
  <c r="J1279" i="1" s="1"/>
  <c r="J1280" i="1" a="1"/>
  <c r="J1280" i="1" s="1"/>
  <c r="J1281" i="1" a="1"/>
  <c r="J1281" i="1" s="1"/>
  <c r="J1282" i="1" a="1"/>
  <c r="J1282" i="1" s="1"/>
  <c r="J1283" i="1" a="1"/>
  <c r="J1283" i="1" s="1"/>
  <c r="J1284" i="1" a="1"/>
  <c r="J1284" i="1" s="1"/>
  <c r="J1285" i="1" a="1"/>
  <c r="J1285" i="1" s="1"/>
  <c r="J1286" i="1" a="1"/>
  <c r="J1286" i="1" s="1"/>
  <c r="J1287" i="1" a="1"/>
  <c r="J1287" i="1" s="1"/>
  <c r="J1288" i="1" a="1"/>
  <c r="J1288" i="1" s="1"/>
  <c r="J1289" i="1" a="1"/>
  <c r="J1289" i="1" s="1"/>
  <c r="J1290" i="1" a="1"/>
  <c r="J1290" i="1" s="1"/>
  <c r="J1291" i="1" a="1"/>
  <c r="J1291" i="1" s="1"/>
  <c r="J1292" i="1" a="1"/>
  <c r="J1292" i="1" s="1"/>
  <c r="J1293" i="1" a="1"/>
  <c r="J1293" i="1" s="1"/>
  <c r="J1294" i="1" a="1"/>
  <c r="J1294" i="1" s="1"/>
  <c r="J1295" i="1" a="1"/>
  <c r="J1295" i="1" s="1"/>
  <c r="J1296" i="1" a="1"/>
  <c r="J1296" i="1" s="1"/>
  <c r="J1297" i="1" a="1"/>
  <c r="J1297" i="1" s="1"/>
  <c r="J1298" i="1" a="1"/>
  <c r="J1298" i="1" s="1"/>
  <c r="J1299" i="1" a="1"/>
  <c r="J1299" i="1" s="1"/>
  <c r="J1300" i="1" a="1"/>
  <c r="J1300" i="1" s="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s="1"/>
  <c r="J1313" i="1" a="1"/>
  <c r="J1313" i="1" s="1"/>
  <c r="J1314" i="1" a="1"/>
  <c r="J1314" i="1" s="1"/>
  <c r="J1315" i="1" a="1"/>
  <c r="J1315" i="1" s="1"/>
  <c r="J1316" i="1" a="1"/>
  <c r="J1316" i="1" s="1"/>
  <c r="J1317" i="1" a="1"/>
  <c r="J1317" i="1" s="1"/>
  <c r="J1318" i="1" a="1"/>
  <c r="J1318" i="1" s="1"/>
  <c r="J1319" i="1" a="1"/>
  <c r="J1319" i="1" s="1"/>
  <c r="J1320" i="1" a="1"/>
  <c r="J1320" i="1" s="1"/>
  <c r="J1321" i="1" a="1"/>
  <c r="J1321" i="1" s="1"/>
  <c r="J1322" i="1" a="1"/>
  <c r="J1322" i="1" s="1"/>
  <c r="J1323" i="1" a="1"/>
  <c r="J1323" i="1" s="1"/>
  <c r="J1324" i="1" a="1"/>
  <c r="J1324" i="1" s="1"/>
  <c r="J1325" i="1" a="1"/>
  <c r="J1325" i="1" s="1"/>
  <c r="J1326" i="1" a="1"/>
  <c r="J1326" i="1" s="1"/>
  <c r="J1327" i="1" a="1"/>
  <c r="J1327" i="1" s="1"/>
  <c r="J1328" i="1" a="1"/>
  <c r="J1328" i="1" s="1"/>
  <c r="J1329" i="1" a="1"/>
  <c r="J1329" i="1" s="1"/>
  <c r="J1330" i="1" a="1"/>
  <c r="J1330" i="1" s="1"/>
  <c r="J1331" i="1" a="1"/>
  <c r="J1331" i="1" s="1"/>
  <c r="J1332" i="1" a="1"/>
  <c r="J1332" i="1" s="1"/>
  <c r="J1333" i="1" a="1"/>
  <c r="J1333" i="1" s="1"/>
  <c r="J1334" i="1" a="1"/>
  <c r="J1334" i="1" s="1"/>
  <c r="J1335" i="1" a="1"/>
  <c r="J1335" i="1" s="1"/>
  <c r="J1336" i="1" a="1"/>
  <c r="J1336" i="1" s="1"/>
  <c r="J1337" i="1" a="1"/>
  <c r="J1337" i="1" s="1"/>
  <c r="J1338" i="1" a="1"/>
  <c r="J1338" i="1" s="1"/>
  <c r="J1339" i="1" a="1"/>
  <c r="J1339" i="1" s="1"/>
  <c r="J1340" i="1" a="1"/>
  <c r="J1340" i="1" s="1"/>
  <c r="J1341" i="1" a="1"/>
  <c r="J1341" i="1" s="1"/>
  <c r="J1342" i="1" a="1"/>
  <c r="J1342" i="1" s="1"/>
  <c r="J1343" i="1" a="1"/>
  <c r="J1343" i="1" s="1"/>
  <c r="J1344" i="1" a="1"/>
  <c r="J1344" i="1" s="1"/>
  <c r="J1345" i="1" a="1"/>
  <c r="J1345" i="1" s="1"/>
  <c r="J1346" i="1" a="1"/>
  <c r="J1346" i="1" s="1"/>
  <c r="J1347" i="1" a="1"/>
  <c r="J1347" i="1" s="1"/>
  <c r="J1348" i="1" a="1"/>
  <c r="J1348" i="1" s="1"/>
  <c r="J1349" i="1" a="1"/>
  <c r="J1349" i="1" s="1"/>
  <c r="J1350" i="1" a="1"/>
  <c r="J1350" i="1" s="1"/>
  <c r="J1351" i="1" a="1"/>
  <c r="J1351" i="1" s="1"/>
  <c r="J1352" i="1" a="1"/>
  <c r="J1352" i="1" s="1"/>
  <c r="J1353" i="1" a="1"/>
  <c r="J1353" i="1" s="1"/>
  <c r="J1354" i="1" a="1"/>
  <c r="J1354" i="1" s="1"/>
  <c r="J1355" i="1" a="1"/>
  <c r="J1355" i="1" s="1"/>
  <c r="J1356" i="1" a="1"/>
  <c r="J1356" i="1" s="1"/>
  <c r="J1357" i="1" a="1"/>
  <c r="J1357" i="1" s="1"/>
  <c r="J1358" i="1" a="1"/>
  <c r="J1358" i="1" s="1"/>
  <c r="J1359" i="1" a="1"/>
  <c r="J1359" i="1" s="1"/>
  <c r="J1360" i="1" a="1"/>
  <c r="J1360" i="1" s="1"/>
  <c r="J1361" i="1" a="1"/>
  <c r="J1361" i="1" s="1"/>
  <c r="J1362" i="1" a="1"/>
  <c r="J1362" i="1" s="1"/>
  <c r="J1363" i="1" a="1"/>
  <c r="J1363" i="1" s="1"/>
  <c r="J1364" i="1" a="1"/>
  <c r="J1364" i="1" s="1"/>
  <c r="J1365" i="1" a="1"/>
  <c r="J1365" i="1" s="1"/>
  <c r="J1366" i="1" a="1"/>
  <c r="J1366" i="1" s="1"/>
  <c r="J1367" i="1" a="1"/>
  <c r="J1367" i="1" s="1"/>
  <c r="J1368" i="1" a="1"/>
  <c r="J1368" i="1" s="1"/>
  <c r="J1369" i="1" a="1"/>
  <c r="J1369" i="1" s="1"/>
  <c r="J1370" i="1" a="1"/>
  <c r="J1370" i="1" s="1"/>
  <c r="J1371" i="1" a="1"/>
  <c r="J1371" i="1" s="1"/>
  <c r="J1372" i="1" a="1"/>
  <c r="J1372" i="1" s="1"/>
  <c r="J1373" i="1" a="1"/>
  <c r="J1373" i="1" s="1"/>
  <c r="J1374" i="1" a="1"/>
  <c r="J1374" i="1" s="1"/>
  <c r="J1375" i="1" a="1"/>
  <c r="J1375" i="1" s="1"/>
  <c r="J1376" i="1" a="1"/>
  <c r="J1376" i="1" s="1"/>
  <c r="J1377" i="1" a="1"/>
  <c r="J1377" i="1" s="1"/>
  <c r="J1378" i="1" a="1"/>
  <c r="J1378" i="1" s="1"/>
  <c r="J1379" i="1" a="1"/>
  <c r="J1379" i="1" s="1"/>
  <c r="J1380" i="1" a="1"/>
  <c r="J1380" i="1" s="1"/>
  <c r="J1381" i="1" a="1"/>
  <c r="J1381" i="1" s="1"/>
  <c r="J1382" i="1" a="1"/>
  <c r="J1382" i="1" s="1"/>
  <c r="J1383" i="1" a="1"/>
  <c r="J1383" i="1" s="1"/>
  <c r="J1384" i="1" a="1"/>
  <c r="J1384" i="1" s="1"/>
  <c r="J1385" i="1" a="1"/>
  <c r="J1385" i="1" s="1"/>
  <c r="J1386" i="1" a="1"/>
  <c r="J1386" i="1" s="1"/>
  <c r="J1387" i="1" a="1"/>
  <c r="J1387" i="1" s="1"/>
  <c r="J1388" i="1" a="1"/>
  <c r="J1388" i="1" s="1"/>
  <c r="J1389" i="1" a="1"/>
  <c r="J1389" i="1" s="1"/>
  <c r="J1390" i="1" a="1"/>
  <c r="J1390" i="1" s="1"/>
  <c r="J1391" i="1" a="1"/>
  <c r="J1391" i="1" s="1"/>
  <c r="J1392" i="1" a="1"/>
  <c r="J1392" i="1" s="1"/>
  <c r="J1393" i="1" a="1"/>
  <c r="J1393" i="1" s="1"/>
  <c r="J1394" i="1" a="1"/>
  <c r="J1394" i="1" s="1"/>
  <c r="J1395" i="1" a="1"/>
  <c r="J1395" i="1" s="1"/>
  <c r="J1396" i="1" a="1"/>
  <c r="J1396" i="1" s="1"/>
  <c r="J1397" i="1" a="1"/>
  <c r="J1397" i="1" s="1"/>
  <c r="J1398" i="1" a="1"/>
  <c r="J1398" i="1" s="1"/>
  <c r="J1399" i="1" a="1"/>
  <c r="J1399" i="1" s="1"/>
  <c r="J1400" i="1" a="1"/>
  <c r="J1400" i="1" s="1"/>
  <c r="J1401" i="1" a="1"/>
  <c r="J1401" i="1" s="1"/>
  <c r="J1402" i="1" a="1"/>
  <c r="J1402" i="1" s="1"/>
  <c r="J1403" i="1" a="1"/>
  <c r="J1403" i="1" s="1"/>
  <c r="J1404" i="1" a="1"/>
  <c r="J1404" i="1" s="1"/>
  <c r="J1405" i="1" a="1"/>
  <c r="J1405" i="1" s="1"/>
  <c r="J1406" i="1" a="1"/>
  <c r="J1406" i="1" s="1"/>
  <c r="J1407" i="1" a="1"/>
  <c r="J1407" i="1" s="1"/>
  <c r="J1408" i="1" a="1"/>
  <c r="J1408" i="1" s="1"/>
  <c r="J1409" i="1" a="1"/>
  <c r="J1409" i="1" s="1"/>
  <c r="J1410" i="1" a="1"/>
  <c r="J1410" i="1" s="1"/>
  <c r="J1411" i="1" a="1"/>
  <c r="J1411" i="1" s="1"/>
  <c r="J1412" i="1" a="1"/>
  <c r="J1412" i="1" s="1"/>
  <c r="J1413" i="1" a="1"/>
  <c r="J1413" i="1" s="1"/>
  <c r="J1414" i="1" a="1"/>
  <c r="J1414" i="1" s="1"/>
  <c r="J1415" i="1" a="1"/>
  <c r="J1415" i="1" s="1"/>
  <c r="J1416" i="1" a="1"/>
  <c r="J1416" i="1" s="1"/>
  <c r="J1417" i="1" a="1"/>
  <c r="J1417" i="1" s="1"/>
  <c r="J1418" i="1" a="1"/>
  <c r="J1418" i="1" s="1"/>
  <c r="J1419" i="1" a="1"/>
  <c r="J1419" i="1" s="1"/>
  <c r="J1420" i="1" a="1"/>
  <c r="J1420" i="1" s="1"/>
  <c r="J1421" i="1" a="1"/>
  <c r="J1421" i="1" s="1"/>
  <c r="J1422" i="1" a="1"/>
  <c r="J1422" i="1" s="1"/>
  <c r="J1423" i="1" a="1"/>
  <c r="J1423" i="1" s="1"/>
  <c r="J1424" i="1" a="1"/>
  <c r="J1424" i="1" s="1"/>
  <c r="J1425" i="1" a="1"/>
  <c r="J1425" i="1" s="1"/>
  <c r="J1426" i="1" a="1"/>
  <c r="J1426" i="1" s="1"/>
  <c r="J1427" i="1" a="1"/>
  <c r="J1427" i="1" s="1"/>
  <c r="J1428" i="1" a="1"/>
  <c r="J1428" i="1" s="1"/>
  <c r="J1429" i="1" a="1"/>
  <c r="J1429" i="1" s="1"/>
  <c r="J1430" i="1" a="1"/>
  <c r="J1430" i="1" s="1"/>
  <c r="J1431" i="1" a="1"/>
  <c r="J1431" i="1" s="1"/>
  <c r="J1432" i="1" a="1"/>
  <c r="J1432" i="1" s="1"/>
  <c r="J1433" i="1" a="1"/>
  <c r="J1433" i="1" s="1"/>
  <c r="J1434" i="1" a="1"/>
  <c r="J1434" i="1" s="1"/>
  <c r="J1435" i="1" a="1"/>
  <c r="J1435" i="1" s="1"/>
  <c r="J1436" i="1" a="1"/>
  <c r="J1436" i="1" s="1"/>
  <c r="J1437" i="1" a="1"/>
  <c r="J1437" i="1" s="1"/>
  <c r="J1438" i="1" a="1"/>
  <c r="J1438" i="1" s="1"/>
  <c r="J1439" i="1" a="1"/>
  <c r="J1439" i="1" s="1"/>
  <c r="J1440" i="1" a="1"/>
  <c r="J1440" i="1" s="1"/>
  <c r="J1441" i="1" a="1"/>
  <c r="J1441" i="1" s="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1452" i="1" a="1"/>
  <c r="J1452" i="1" s="1"/>
  <c r="J1453" i="1" a="1"/>
  <c r="J1453" i="1" s="1"/>
  <c r="J1454" i="1" a="1"/>
  <c r="J1454" i="1" s="1"/>
  <c r="J1455" i="1" a="1"/>
  <c r="J1455" i="1" s="1"/>
  <c r="J1456" i="1" a="1"/>
  <c r="J1456" i="1" s="1"/>
  <c r="J1457" i="1" a="1"/>
  <c r="J1457" i="1" s="1"/>
  <c r="J1458" i="1" a="1"/>
  <c r="J1458" i="1" s="1"/>
  <c r="J1459" i="1" a="1"/>
  <c r="J1459" i="1" s="1"/>
  <c r="J1460" i="1" a="1"/>
  <c r="J1460" i="1" s="1"/>
  <c r="J1461" i="1" a="1"/>
  <c r="J1461" i="1" s="1"/>
  <c r="J1462" i="1" a="1"/>
  <c r="J1462" i="1" s="1"/>
  <c r="J1463" i="1" a="1"/>
  <c r="J1463" i="1" s="1"/>
  <c r="J1464" i="1" a="1"/>
  <c r="J1464" i="1" s="1"/>
  <c r="J1465" i="1" a="1"/>
  <c r="J1465" i="1" s="1"/>
  <c r="J1466" i="1" a="1"/>
  <c r="J1466" i="1" s="1"/>
  <c r="J1467" i="1" a="1"/>
  <c r="J1467" i="1" s="1"/>
  <c r="J1468" i="1" a="1"/>
  <c r="J1468" i="1" s="1"/>
  <c r="J1469" i="1" a="1"/>
  <c r="J1469" i="1" s="1"/>
  <c r="J1470" i="1" a="1"/>
  <c r="J1470" i="1" s="1"/>
  <c r="J1471" i="1" a="1"/>
  <c r="J1471" i="1" s="1"/>
  <c r="J1472" i="1" a="1"/>
  <c r="J1472" i="1" s="1"/>
  <c r="J1473" i="1" a="1"/>
  <c r="J1473" i="1" s="1"/>
  <c r="J1474" i="1" a="1"/>
  <c r="J1474" i="1" s="1"/>
  <c r="J1475" i="1" a="1"/>
  <c r="J1475" i="1" s="1"/>
  <c r="J1476" i="1" a="1"/>
  <c r="J1476" i="1" s="1"/>
  <c r="J1477" i="1" a="1"/>
  <c r="J1477" i="1" s="1"/>
  <c r="J1478" i="1" a="1"/>
  <c r="J1478" i="1" s="1"/>
  <c r="J1479" i="1" a="1"/>
  <c r="J1479" i="1" s="1"/>
  <c r="J1480" i="1" a="1"/>
  <c r="J1480" i="1" s="1"/>
  <c r="J1481" i="1" a="1"/>
  <c r="J1481" i="1" s="1"/>
  <c r="J1482" i="1" a="1"/>
  <c r="J1482" i="1" s="1"/>
  <c r="J1483" i="1" a="1"/>
  <c r="J1483" i="1" s="1"/>
  <c r="J1484" i="1" a="1"/>
  <c r="J1484" i="1" s="1"/>
  <c r="J1485" i="1" a="1"/>
  <c r="J1485" i="1" s="1"/>
  <c r="J1486" i="1" a="1"/>
  <c r="J1486" i="1" s="1"/>
  <c r="J1487" i="1" a="1"/>
  <c r="J1487" i="1" s="1"/>
  <c r="J1488" i="1" a="1"/>
  <c r="J1488" i="1" s="1"/>
  <c r="J1489" i="1" a="1"/>
  <c r="J1489" i="1" s="1"/>
  <c r="J1490" i="1" a="1"/>
  <c r="J1490" i="1" s="1"/>
  <c r="J1491" i="1" a="1"/>
  <c r="J1491" i="1" s="1"/>
  <c r="J1492" i="1" a="1"/>
  <c r="J1492" i="1" s="1"/>
  <c r="J1493" i="1" a="1"/>
  <c r="J1493" i="1" s="1"/>
  <c r="J1494" i="1" a="1"/>
  <c r="J1494" i="1" s="1"/>
  <c r="J1495" i="1" a="1"/>
  <c r="J1495" i="1" s="1"/>
  <c r="J1496" i="1" a="1"/>
  <c r="J1496" i="1" s="1"/>
  <c r="J1497" i="1" a="1"/>
  <c r="J1497" i="1" s="1"/>
  <c r="J1498" i="1" a="1"/>
  <c r="J1498" i="1" s="1"/>
  <c r="J1499" i="1" a="1"/>
  <c r="J1499" i="1" s="1"/>
  <c r="J1500" i="1" a="1"/>
  <c r="J1500" i="1" s="1"/>
  <c r="J1501" i="1" a="1"/>
  <c r="J1501" i="1" s="1"/>
  <c r="J1502" i="1" a="1"/>
  <c r="J1502" i="1" s="1"/>
  <c r="J1503" i="1" a="1"/>
  <c r="J1503" i="1" s="1"/>
  <c r="J1504" i="1" a="1"/>
  <c r="J1504" i="1" s="1"/>
  <c r="J1505" i="1" a="1"/>
  <c r="J1505" i="1" s="1"/>
  <c r="J1506" i="1" a="1"/>
  <c r="J1506" i="1" s="1"/>
  <c r="J1507" i="1" a="1"/>
  <c r="J1507" i="1" s="1"/>
  <c r="J1508" i="1" a="1"/>
  <c r="J1508" i="1" s="1"/>
  <c r="J1509" i="1" a="1"/>
  <c r="J1509" i="1" s="1"/>
  <c r="J1510" i="1" a="1"/>
  <c r="J1510" i="1" s="1"/>
  <c r="J1511" i="1" a="1"/>
  <c r="J1511" i="1" s="1"/>
  <c r="J1512" i="1" a="1"/>
  <c r="J1512" i="1" s="1"/>
  <c r="J1513" i="1" a="1"/>
  <c r="J1513" i="1" s="1"/>
  <c r="J1514" i="1" a="1"/>
  <c r="J1514" i="1" s="1"/>
  <c r="J1515" i="1" a="1"/>
  <c r="J1515" i="1" s="1"/>
  <c r="J1516" i="1" a="1"/>
  <c r="J1516" i="1" s="1"/>
  <c r="J1517" i="1" a="1"/>
  <c r="J1517" i="1" s="1"/>
  <c r="J1518" i="1" a="1"/>
  <c r="J1518" i="1" s="1"/>
  <c r="J1519" i="1" a="1"/>
  <c r="J1519" i="1" s="1"/>
  <c r="J1520" i="1" a="1"/>
  <c r="J1520" i="1" s="1"/>
  <c r="J1521" i="1" a="1"/>
  <c r="J1521" i="1" s="1"/>
  <c r="J1522" i="1" a="1"/>
  <c r="J1522" i="1" s="1"/>
  <c r="J1523" i="1" a="1"/>
  <c r="J1523" i="1" s="1"/>
  <c r="J1524" i="1" a="1"/>
  <c r="J1524" i="1" s="1"/>
  <c r="J1525" i="1" a="1"/>
  <c r="J1525" i="1" s="1"/>
  <c r="J1526" i="1" a="1"/>
  <c r="J1526" i="1" s="1"/>
  <c r="J1527" i="1" a="1"/>
  <c r="J1527" i="1" s="1"/>
  <c r="J1528" i="1" a="1"/>
  <c r="J1528" i="1" s="1"/>
  <c r="J1529" i="1" a="1"/>
  <c r="J1529" i="1" s="1"/>
  <c r="J1530" i="1" a="1"/>
  <c r="J1530" i="1" s="1"/>
  <c r="J1531" i="1" a="1"/>
  <c r="J1531" i="1" s="1"/>
  <c r="J1532" i="1" a="1"/>
  <c r="J1532" i="1" s="1"/>
  <c r="J1533" i="1" a="1"/>
  <c r="J1533" i="1" s="1"/>
  <c r="J1534" i="1" a="1"/>
  <c r="J1534" i="1" s="1"/>
  <c r="J1535" i="1" a="1"/>
  <c r="J1535" i="1" s="1"/>
  <c r="J1536" i="1" a="1"/>
  <c r="J1536" i="1" s="1"/>
  <c r="J1537" i="1" a="1"/>
  <c r="J1537" i="1" s="1"/>
  <c r="J1538" i="1" a="1"/>
  <c r="J1538" i="1" s="1"/>
  <c r="J1539" i="1" a="1"/>
  <c r="J1539" i="1" s="1"/>
  <c r="J1540" i="1" a="1"/>
  <c r="J1540" i="1" s="1"/>
  <c r="J1541" i="1" a="1"/>
  <c r="J1541" i="1" s="1"/>
  <c r="J1542" i="1" a="1"/>
  <c r="J1542" i="1" s="1"/>
  <c r="J1543" i="1" a="1"/>
  <c r="J1543" i="1" s="1"/>
  <c r="J1544" i="1" a="1"/>
  <c r="J1544" i="1" s="1"/>
  <c r="J1545" i="1" a="1"/>
  <c r="J1545" i="1" s="1"/>
  <c r="J1546" i="1" a="1"/>
  <c r="J1546" i="1" s="1"/>
  <c r="J1547" i="1" a="1"/>
  <c r="J1547" i="1" s="1"/>
  <c r="J1548" i="1" a="1"/>
  <c r="J1548" i="1" s="1"/>
  <c r="J1549" i="1" a="1"/>
  <c r="J1549" i="1" s="1"/>
  <c r="J1550" i="1" a="1"/>
  <c r="J1550" i="1" s="1"/>
  <c r="J1551" i="1" a="1"/>
  <c r="J1551" i="1" s="1"/>
  <c r="J1552" i="1" a="1"/>
  <c r="J1552" i="1" s="1"/>
  <c r="J1553" i="1" a="1"/>
  <c r="J1553" i="1" s="1"/>
  <c r="J1554" i="1" a="1"/>
  <c r="J1554" i="1" s="1"/>
  <c r="J1555" i="1" a="1"/>
  <c r="J1555" i="1" s="1"/>
  <c r="J1556" i="1" a="1"/>
  <c r="J1556" i="1" s="1"/>
  <c r="J1557" i="1" a="1"/>
  <c r="J1557" i="1" s="1"/>
  <c r="J1558" i="1" a="1"/>
  <c r="J1558" i="1" s="1"/>
  <c r="J1559" i="1" a="1"/>
  <c r="J1559" i="1" s="1"/>
  <c r="J1560" i="1" a="1"/>
  <c r="J1560" i="1" s="1"/>
  <c r="J1561" i="1" a="1"/>
  <c r="J1561" i="1" s="1"/>
  <c r="J1562" i="1" a="1"/>
  <c r="J1562" i="1" s="1"/>
  <c r="J1563" i="1" a="1"/>
  <c r="J1563" i="1" s="1"/>
  <c r="J1564" i="1" a="1"/>
  <c r="J1564" i="1" s="1"/>
  <c r="J1565" i="1" a="1"/>
  <c r="J1565" i="1" s="1"/>
  <c r="J1566" i="1" a="1"/>
  <c r="J1566" i="1" s="1"/>
  <c r="J1567" i="1" a="1"/>
  <c r="J1567" i="1" s="1"/>
  <c r="J1568" i="1" a="1"/>
  <c r="J1568" i="1" s="1"/>
  <c r="J1569" i="1" a="1"/>
  <c r="J1569" i="1" s="1"/>
  <c r="J1570" i="1" a="1"/>
  <c r="J1570" i="1" s="1"/>
  <c r="J1571" i="1" a="1"/>
  <c r="J1571" i="1" s="1"/>
  <c r="J1572" i="1" a="1"/>
  <c r="J1572" i="1" s="1"/>
  <c r="J1573" i="1" a="1"/>
  <c r="J1573" i="1" s="1"/>
  <c r="J1574" i="1" a="1"/>
  <c r="J1574" i="1" s="1"/>
  <c r="J1575" i="1" a="1"/>
  <c r="J1575" i="1" s="1"/>
  <c r="J1576" i="1" a="1"/>
  <c r="J1576" i="1" s="1"/>
  <c r="J1577" i="1" a="1"/>
  <c r="J1577" i="1" s="1"/>
  <c r="J1578" i="1" a="1"/>
  <c r="J1578" i="1" s="1"/>
  <c r="J1579" i="1" a="1"/>
  <c r="J1579" i="1" s="1"/>
  <c r="J1580" i="1" a="1"/>
  <c r="J1580" i="1" s="1"/>
  <c r="J1581" i="1" a="1"/>
  <c r="J1581" i="1" s="1"/>
  <c r="J1582" i="1" a="1"/>
  <c r="J1582" i="1" s="1"/>
  <c r="J1583" i="1" a="1"/>
  <c r="J1583" i="1" s="1"/>
  <c r="J1584" i="1" a="1"/>
  <c r="J1584" i="1" s="1"/>
  <c r="J1585" i="1" a="1"/>
  <c r="J1585" i="1" s="1"/>
  <c r="J1586" i="1" a="1"/>
  <c r="J1586" i="1" s="1"/>
  <c r="J1587" i="1" a="1"/>
  <c r="J1587" i="1" s="1"/>
  <c r="J1588" i="1" a="1"/>
  <c r="J1588" i="1" s="1"/>
  <c r="J1589" i="1" a="1"/>
  <c r="J1589" i="1" s="1"/>
  <c r="J1590" i="1" a="1"/>
  <c r="J1590" i="1" s="1"/>
  <c r="J1591" i="1" a="1"/>
  <c r="J1591" i="1" s="1"/>
  <c r="J1592" i="1" a="1"/>
  <c r="J1592" i="1" s="1"/>
  <c r="J1593" i="1" a="1"/>
  <c r="J1593" i="1" s="1"/>
  <c r="J1594" i="1" a="1"/>
  <c r="J1594" i="1" s="1"/>
  <c r="J1595" i="1" a="1"/>
  <c r="J1595" i="1" s="1"/>
  <c r="J1596" i="1" a="1"/>
  <c r="J1596" i="1" s="1"/>
  <c r="J1597" i="1" a="1"/>
  <c r="J1597" i="1" s="1"/>
  <c r="J1598" i="1" a="1"/>
  <c r="J1598" i="1" s="1"/>
  <c r="J1599" i="1" a="1"/>
  <c r="J1599" i="1" s="1"/>
  <c r="J1600" i="1" a="1"/>
  <c r="J1600" i="1" s="1"/>
  <c r="J1601" i="1" a="1"/>
  <c r="J1601" i="1" s="1"/>
  <c r="J1602" i="1" a="1"/>
  <c r="J1602" i="1" s="1"/>
  <c r="J1603" i="1" a="1"/>
  <c r="J1603" i="1" s="1"/>
  <c r="J1604" i="1" a="1"/>
  <c r="J1604" i="1" s="1"/>
  <c r="J1605" i="1" a="1"/>
  <c r="J1605" i="1" s="1"/>
  <c r="J1606" i="1" a="1"/>
  <c r="J1606" i="1" s="1"/>
  <c r="J1607" i="1" a="1"/>
  <c r="J1607" i="1" s="1"/>
  <c r="J1608" i="1" a="1"/>
  <c r="J1608" i="1" s="1"/>
  <c r="J1609" i="1" a="1"/>
  <c r="J1609" i="1" s="1"/>
  <c r="J1610" i="1" a="1"/>
  <c r="J1610" i="1" s="1"/>
  <c r="J1611" i="1" a="1"/>
  <c r="J1611" i="1" s="1"/>
  <c r="J1612" i="1" a="1"/>
  <c r="J1612" i="1" s="1"/>
  <c r="J1613" i="1" a="1"/>
  <c r="J1613" i="1" s="1"/>
  <c r="J1614" i="1" a="1"/>
  <c r="J1614" i="1" s="1"/>
  <c r="J1615" i="1" a="1"/>
  <c r="J1615" i="1" s="1"/>
  <c r="J1616" i="1" a="1"/>
  <c r="J1616" i="1" s="1"/>
  <c r="J1617" i="1" a="1"/>
  <c r="J1617" i="1" s="1"/>
  <c r="J1618" i="1" a="1"/>
  <c r="J1618" i="1" s="1"/>
  <c r="J1619" i="1" a="1"/>
  <c r="J1619" i="1" s="1"/>
  <c r="J1620" i="1" a="1"/>
  <c r="J1620" i="1" s="1"/>
  <c r="J1621" i="1" a="1"/>
  <c r="J1621" i="1" s="1"/>
  <c r="J1622" i="1" a="1"/>
  <c r="J1622" i="1" s="1"/>
  <c r="J1623" i="1" a="1"/>
  <c r="J1623" i="1" s="1"/>
  <c r="J1624" i="1" a="1"/>
  <c r="J1624" i="1" s="1"/>
  <c r="J1625" i="1" a="1"/>
  <c r="J1625" i="1" s="1"/>
  <c r="J1626" i="1" a="1"/>
  <c r="J1626" i="1" s="1"/>
  <c r="J1627" i="1" a="1"/>
  <c r="J1627" i="1" s="1"/>
  <c r="J1628" i="1" a="1"/>
  <c r="J1628" i="1" s="1"/>
  <c r="J1629" i="1" a="1"/>
  <c r="J1629" i="1" s="1"/>
  <c r="J1630" i="1" a="1"/>
  <c r="J1630" i="1" s="1"/>
  <c r="J1631" i="1" a="1"/>
  <c r="J1631" i="1" s="1"/>
  <c r="J1632" i="1" a="1"/>
  <c r="J1632" i="1" s="1"/>
  <c r="J1633" i="1" a="1"/>
  <c r="J1633" i="1" s="1"/>
  <c r="J1634" i="1" a="1"/>
  <c r="J1634" i="1" s="1"/>
  <c r="J1635" i="1" a="1"/>
  <c r="J1635" i="1" s="1"/>
  <c r="J1636" i="1" a="1"/>
  <c r="J1636" i="1" s="1"/>
  <c r="J1637" i="1" a="1"/>
  <c r="J1637" i="1" s="1"/>
  <c r="J1638" i="1" a="1"/>
  <c r="J1638" i="1" s="1"/>
  <c r="J1639" i="1" a="1"/>
  <c r="J1639" i="1" s="1"/>
  <c r="J1640" i="1" a="1"/>
  <c r="J1640" i="1" s="1"/>
  <c r="J1641" i="1" a="1"/>
  <c r="J1641" i="1" s="1"/>
  <c r="J1642" i="1" a="1"/>
  <c r="J1642" i="1" s="1"/>
  <c r="J1643" i="1" a="1"/>
  <c r="J1643" i="1" s="1"/>
  <c r="J1644" i="1" a="1"/>
  <c r="J1644" i="1" s="1"/>
  <c r="J1645" i="1" a="1"/>
  <c r="J1645" i="1" s="1"/>
  <c r="J1646" i="1" a="1"/>
  <c r="J1646" i="1" s="1"/>
  <c r="J1647" i="1" a="1"/>
  <c r="J1647" i="1" s="1"/>
  <c r="J1648" i="1" a="1"/>
  <c r="J1648" i="1" s="1"/>
  <c r="J1649" i="1" a="1"/>
  <c r="J1649" i="1" s="1"/>
  <c r="J1650" i="1" a="1"/>
  <c r="J1650" i="1" s="1"/>
  <c r="J1651" i="1" a="1"/>
  <c r="J1651" i="1" s="1"/>
  <c r="J1652" i="1" a="1"/>
  <c r="J1652" i="1" s="1"/>
  <c r="J1653" i="1" a="1"/>
  <c r="J1653" i="1" s="1"/>
  <c r="J1654" i="1" a="1"/>
  <c r="J1654" i="1" s="1"/>
  <c r="J1655" i="1" a="1"/>
  <c r="J1655" i="1" s="1"/>
  <c r="J1656" i="1" a="1"/>
  <c r="J1656" i="1" s="1"/>
  <c r="J1657" i="1" a="1"/>
  <c r="J1657" i="1" s="1"/>
  <c r="J1658" i="1" a="1"/>
  <c r="J1658" i="1" s="1"/>
  <c r="J1659" i="1" a="1"/>
  <c r="J1659" i="1" s="1"/>
  <c r="J1660" i="1" a="1"/>
  <c r="J1660" i="1" s="1"/>
  <c r="J1661" i="1" a="1"/>
  <c r="J1661" i="1" s="1"/>
  <c r="J1662" i="1" a="1"/>
  <c r="J1662" i="1" s="1"/>
  <c r="J1663" i="1" a="1"/>
  <c r="J1663" i="1" s="1"/>
  <c r="J1664" i="1" a="1"/>
  <c r="J1664" i="1" s="1"/>
  <c r="J1665" i="1" a="1"/>
  <c r="J1665" i="1" s="1"/>
  <c r="J1666" i="1" a="1"/>
  <c r="J1666" i="1" s="1"/>
  <c r="J1667" i="1" a="1"/>
  <c r="J1667" i="1" s="1"/>
  <c r="J1668" i="1" a="1"/>
  <c r="J1668" i="1" s="1"/>
  <c r="J1669" i="1" a="1"/>
  <c r="J1669" i="1" s="1"/>
  <c r="J1670" i="1" a="1"/>
  <c r="J1670" i="1" s="1"/>
  <c r="J1671" i="1" a="1"/>
  <c r="J1671" i="1" s="1"/>
  <c r="J1672" i="1" a="1"/>
  <c r="J1672" i="1" s="1"/>
  <c r="J1673" i="1" a="1"/>
  <c r="J1673" i="1" s="1"/>
  <c r="J1674" i="1" a="1"/>
  <c r="J1674" i="1" s="1"/>
  <c r="J1675" i="1" a="1"/>
  <c r="J1675"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s="1"/>
  <c r="J1689" i="1" a="1"/>
  <c r="J1689" i="1" s="1"/>
  <c r="J1690" i="1" a="1"/>
  <c r="J1690" i="1" s="1"/>
  <c r="J1691" i="1" a="1"/>
  <c r="J1691" i="1" s="1"/>
  <c r="J1692" i="1" a="1"/>
  <c r="J1692" i="1" s="1"/>
  <c r="J1693" i="1" a="1"/>
  <c r="J1693" i="1" s="1"/>
  <c r="J1694" i="1" a="1"/>
  <c r="J1694" i="1" s="1"/>
  <c r="J1695" i="1" a="1"/>
  <c r="J1695" i="1" s="1"/>
  <c r="J1696" i="1" a="1"/>
  <c r="J1696" i="1" s="1"/>
  <c r="J1697" i="1" a="1"/>
  <c r="J1697" i="1" s="1"/>
  <c r="J1698" i="1" a="1"/>
  <c r="J1698" i="1" s="1"/>
  <c r="J1699" i="1" a="1"/>
  <c r="J1699" i="1" s="1"/>
  <c r="J1700" i="1" a="1"/>
  <c r="J1700" i="1" s="1"/>
  <c r="J1701" i="1" a="1"/>
  <c r="J1701" i="1" s="1"/>
  <c r="J1702" i="1" a="1"/>
  <c r="J1702" i="1" s="1"/>
  <c r="J1703" i="1" a="1"/>
  <c r="J1703" i="1" s="1"/>
  <c r="J1704" i="1" a="1"/>
  <c r="J1704" i="1" s="1"/>
  <c r="J1705" i="1" a="1"/>
  <c r="J1705" i="1" s="1"/>
  <c r="J1706" i="1" a="1"/>
  <c r="J1706" i="1" s="1"/>
  <c r="J1707" i="1" a="1"/>
  <c r="J1707" i="1" s="1"/>
  <c r="J1708" i="1" a="1"/>
  <c r="J1708" i="1" s="1"/>
  <c r="J1709" i="1" a="1"/>
  <c r="J1709" i="1" s="1"/>
  <c r="J1710" i="1" a="1"/>
  <c r="J1710" i="1" s="1"/>
  <c r="J1711" i="1" a="1"/>
  <c r="J1711" i="1" s="1"/>
  <c r="J1712" i="1" a="1"/>
  <c r="J1712" i="1" s="1"/>
  <c r="J1713" i="1" a="1"/>
  <c r="J1713" i="1" s="1"/>
  <c r="J1714" i="1" a="1"/>
  <c r="J1714" i="1" s="1"/>
  <c r="J1715" i="1" a="1"/>
  <c r="J1715" i="1" s="1"/>
  <c r="J1716" i="1" a="1"/>
  <c r="J1716" i="1" s="1"/>
  <c r="J1717" i="1" a="1"/>
  <c r="J1717" i="1" s="1"/>
  <c r="J1718" i="1" a="1"/>
  <c r="J1718" i="1" s="1"/>
  <c r="J1719" i="1" a="1"/>
  <c r="J1719" i="1" s="1"/>
  <c r="J1720" i="1" a="1"/>
  <c r="J1720" i="1" s="1"/>
  <c r="J1721" i="1" a="1"/>
  <c r="J1721" i="1" s="1"/>
  <c r="J1722" i="1" a="1"/>
  <c r="J1722" i="1" s="1"/>
  <c r="J1723" i="1" a="1"/>
  <c r="J1723" i="1" s="1"/>
  <c r="J1724" i="1" a="1"/>
  <c r="J1724" i="1" s="1"/>
  <c r="J1725" i="1" a="1"/>
  <c r="J1725" i="1" s="1"/>
  <c r="J1726" i="1" a="1"/>
  <c r="J1726" i="1" s="1"/>
  <c r="J1727" i="1" a="1"/>
  <c r="J1727" i="1" s="1"/>
  <c r="J1728" i="1" a="1"/>
  <c r="J1728" i="1" s="1"/>
  <c r="J1729" i="1" a="1"/>
  <c r="J1729" i="1" s="1"/>
  <c r="J1730" i="1" a="1"/>
  <c r="J1730" i="1" s="1"/>
  <c r="J1731" i="1" a="1"/>
  <c r="J1731" i="1" s="1"/>
  <c r="J1732" i="1" a="1"/>
  <c r="J1732" i="1" s="1"/>
  <c r="J1733" i="1" a="1"/>
  <c r="J1733" i="1" s="1"/>
  <c r="J1734" i="1" a="1"/>
  <c r="J1734" i="1" s="1"/>
  <c r="J1735" i="1" a="1"/>
  <c r="J1735" i="1" s="1"/>
  <c r="J1736" i="1" a="1"/>
  <c r="J1736" i="1" s="1"/>
  <c r="J1737" i="1" a="1"/>
  <c r="J1737" i="1" s="1"/>
  <c r="J1738" i="1" a="1"/>
  <c r="J1738" i="1" s="1"/>
  <c r="J1739" i="1" a="1"/>
  <c r="J1739" i="1" s="1"/>
  <c r="J1740" i="1" a="1"/>
  <c r="J1740" i="1" s="1"/>
  <c r="J1741" i="1" a="1"/>
  <c r="J1741" i="1" s="1"/>
  <c r="J1742" i="1" a="1"/>
  <c r="J1742" i="1" s="1"/>
  <c r="J1743" i="1" a="1"/>
  <c r="J1743" i="1" s="1"/>
  <c r="J1744" i="1" a="1"/>
  <c r="J1744" i="1" s="1"/>
  <c r="J1745" i="1" a="1"/>
  <c r="J1745" i="1" s="1"/>
  <c r="J1746" i="1" a="1"/>
  <c r="J1746" i="1" s="1"/>
  <c r="J1747" i="1" a="1"/>
  <c r="J1747" i="1" s="1"/>
  <c r="J1748" i="1" a="1"/>
  <c r="J1748" i="1" s="1"/>
  <c r="J1749" i="1" a="1"/>
  <c r="J1749" i="1" s="1"/>
  <c r="J1750" i="1" a="1"/>
  <c r="J1750" i="1" s="1"/>
  <c r="J1751" i="1" a="1"/>
  <c r="J1751" i="1" s="1"/>
  <c r="J1752" i="1" a="1"/>
  <c r="J1752" i="1" s="1"/>
  <c r="J1753" i="1" a="1"/>
  <c r="J1753" i="1" s="1"/>
  <c r="J1754" i="1" a="1"/>
  <c r="J1754" i="1" s="1"/>
  <c r="J1755" i="1" a="1"/>
  <c r="J1755" i="1" s="1"/>
  <c r="J1756" i="1" a="1"/>
  <c r="J1756" i="1" s="1"/>
  <c r="J1757" i="1" a="1"/>
  <c r="J1757" i="1" s="1"/>
  <c r="J1758" i="1" a="1"/>
  <c r="J1758" i="1" s="1"/>
  <c r="J1759" i="1" a="1"/>
  <c r="J1759" i="1" s="1"/>
  <c r="J1760" i="1" a="1"/>
  <c r="J1760" i="1" s="1"/>
  <c r="J1761" i="1" a="1"/>
  <c r="J1761" i="1" s="1"/>
  <c r="J1762" i="1" a="1"/>
  <c r="J1762" i="1" s="1"/>
  <c r="J1763" i="1" a="1"/>
  <c r="J1763" i="1" s="1"/>
  <c r="J1764" i="1" a="1"/>
  <c r="J1764" i="1" s="1"/>
  <c r="J1765" i="1" a="1"/>
  <c r="J1765" i="1" s="1"/>
  <c r="J1766" i="1" a="1"/>
  <c r="J1766" i="1" s="1"/>
  <c r="J1767" i="1" a="1"/>
  <c r="J1767" i="1" s="1"/>
  <c r="J1768" i="1" a="1"/>
  <c r="J1768" i="1" s="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s="1"/>
  <c r="J1789" i="1" a="1"/>
  <c r="J1789" i="1" s="1"/>
  <c r="J1790" i="1" a="1"/>
  <c r="J1790" i="1" s="1"/>
  <c r="J1791" i="1" a="1"/>
  <c r="J1791" i="1" s="1"/>
  <c r="J1792" i="1" a="1"/>
  <c r="J1792" i="1" s="1"/>
  <c r="J1793" i="1" a="1"/>
  <c r="J1793" i="1" s="1"/>
  <c r="J1794" i="1" a="1"/>
  <c r="J1794" i="1" s="1"/>
  <c r="J1795" i="1" a="1"/>
  <c r="J1795" i="1" s="1"/>
  <c r="J1796" i="1" a="1"/>
  <c r="J1796" i="1" s="1"/>
  <c r="J1797" i="1" a="1"/>
  <c r="J1797" i="1" s="1"/>
  <c r="J1798" i="1" a="1"/>
  <c r="J1798" i="1" s="1"/>
  <c r="J1799" i="1" a="1"/>
  <c r="J1799" i="1" s="1"/>
  <c r="J1800" i="1" a="1"/>
  <c r="J1800" i="1" s="1"/>
  <c r="J1801" i="1" a="1"/>
  <c r="J1801" i="1" s="1"/>
  <c r="J1802" i="1" a="1"/>
  <c r="J1802" i="1" s="1"/>
  <c r="J1803" i="1" a="1"/>
  <c r="J1803" i="1" s="1"/>
  <c r="J1804" i="1" a="1"/>
  <c r="J1804" i="1" s="1"/>
  <c r="J1805" i="1" a="1"/>
  <c r="J1805" i="1" s="1"/>
  <c r="J1806" i="1" a="1"/>
  <c r="J1806" i="1" s="1"/>
  <c r="J1807" i="1" a="1"/>
  <c r="J1807" i="1" s="1"/>
  <c r="J1808" i="1" a="1"/>
  <c r="J1808" i="1" s="1"/>
  <c r="J1809" i="1" a="1"/>
  <c r="J1809" i="1" s="1"/>
  <c r="J1810" i="1" a="1"/>
  <c r="J1810" i="1" s="1"/>
  <c r="J1811" i="1" a="1"/>
  <c r="J1811" i="1" s="1"/>
  <c r="J1812" i="1" a="1"/>
  <c r="J1812" i="1" s="1"/>
  <c r="J1813" i="1" a="1"/>
  <c r="J1813" i="1" s="1"/>
  <c r="J1814" i="1" a="1"/>
  <c r="J1814" i="1" s="1"/>
  <c r="J1815" i="1" a="1"/>
  <c r="J1815" i="1" s="1"/>
  <c r="J1816" i="1" a="1"/>
  <c r="J1816" i="1" s="1"/>
  <c r="J1817" i="1" a="1"/>
  <c r="J1817" i="1" s="1"/>
  <c r="J1818" i="1" a="1"/>
  <c r="J1818" i="1" s="1"/>
  <c r="J1819" i="1" a="1"/>
  <c r="J1819" i="1" s="1"/>
  <c r="J1820" i="1" a="1"/>
  <c r="J1820" i="1" s="1"/>
  <c r="J1821" i="1" a="1"/>
  <c r="J1821" i="1" s="1"/>
  <c r="J1822" i="1" a="1"/>
  <c r="J1822" i="1" s="1"/>
  <c r="J1823" i="1" a="1"/>
  <c r="J1823" i="1" s="1"/>
  <c r="J1824" i="1" a="1"/>
  <c r="J1824" i="1" s="1"/>
  <c r="J1825" i="1" a="1"/>
  <c r="J1825" i="1" s="1"/>
  <c r="J1826" i="1" a="1"/>
  <c r="J1826" i="1" s="1"/>
  <c r="J1827" i="1" a="1"/>
  <c r="J1827" i="1" s="1"/>
  <c r="J1828" i="1" a="1"/>
  <c r="J1828" i="1" s="1"/>
  <c r="J1829" i="1" a="1"/>
  <c r="J1829" i="1" s="1"/>
  <c r="J1830" i="1" a="1"/>
  <c r="J1830" i="1" s="1"/>
  <c r="J1831" i="1" a="1"/>
  <c r="J1831" i="1" s="1"/>
  <c r="J1832" i="1" a="1"/>
  <c r="J1832" i="1" s="1"/>
  <c r="J1833" i="1" a="1"/>
  <c r="J1833" i="1" s="1"/>
  <c r="J1834" i="1" a="1"/>
  <c r="J1834" i="1" s="1"/>
  <c r="J1835" i="1" a="1"/>
  <c r="J1835" i="1" s="1"/>
  <c r="J1836" i="1" a="1"/>
  <c r="J1836" i="1" s="1"/>
  <c r="J1837" i="1" a="1"/>
  <c r="J1837" i="1" s="1"/>
  <c r="J1838" i="1" a="1"/>
  <c r="J1838" i="1" s="1"/>
  <c r="J1839" i="1" a="1"/>
  <c r="J1839" i="1" s="1"/>
  <c r="J1840" i="1" a="1"/>
  <c r="J1840" i="1" s="1"/>
  <c r="J1841" i="1" a="1"/>
  <c r="J1841" i="1" s="1"/>
  <c r="J1842" i="1" a="1"/>
  <c r="J1842" i="1" s="1"/>
  <c r="J1843" i="1" a="1"/>
  <c r="J1843" i="1" s="1"/>
  <c r="J1844" i="1" a="1"/>
  <c r="J1844" i="1" s="1"/>
  <c r="J1845" i="1" a="1"/>
  <c r="J1845" i="1" s="1"/>
  <c r="J1846" i="1" a="1"/>
  <c r="J1846" i="1" s="1"/>
  <c r="J1847" i="1" a="1"/>
  <c r="J1847" i="1" s="1"/>
  <c r="J1848" i="1" a="1"/>
  <c r="J1848" i="1" s="1"/>
  <c r="J1849" i="1" a="1"/>
  <c r="J1849" i="1" s="1"/>
  <c r="J1850" i="1" a="1"/>
  <c r="J1850" i="1" s="1"/>
  <c r="J1851" i="1" a="1"/>
  <c r="J1851" i="1" s="1"/>
  <c r="J1852" i="1" a="1"/>
  <c r="J1852" i="1" s="1"/>
  <c r="J1853" i="1" a="1"/>
  <c r="J1853" i="1" s="1"/>
  <c r="J1854" i="1" a="1"/>
  <c r="J1854" i="1" s="1"/>
  <c r="J1855" i="1" a="1"/>
  <c r="J1855" i="1" s="1"/>
  <c r="J1856" i="1" a="1"/>
  <c r="J1856" i="1" s="1"/>
  <c r="J1857" i="1" a="1"/>
  <c r="J1857" i="1" s="1"/>
  <c r="J1858" i="1" a="1"/>
  <c r="J1858" i="1" s="1"/>
  <c r="J1859" i="1" a="1"/>
  <c r="J1859" i="1" s="1"/>
  <c r="J1860" i="1" a="1"/>
  <c r="J1860" i="1" s="1"/>
  <c r="J1861" i="1" a="1"/>
  <c r="J1861" i="1" s="1"/>
  <c r="J1862" i="1" a="1"/>
  <c r="J1862" i="1" s="1"/>
  <c r="J1863" i="1" a="1"/>
  <c r="J1863" i="1" s="1"/>
  <c r="J1864" i="1" a="1"/>
  <c r="J1864" i="1" s="1"/>
  <c r="J1865" i="1" a="1"/>
  <c r="J1865" i="1" s="1"/>
  <c r="J1866" i="1" a="1"/>
  <c r="J1866" i="1" s="1"/>
  <c r="J1867" i="1" a="1"/>
  <c r="J1867" i="1" s="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s="1"/>
  <c r="J1884" i="1" a="1"/>
  <c r="J1884" i="1" s="1"/>
  <c r="J1885" i="1" a="1"/>
  <c r="J1885" i="1" s="1"/>
  <c r="J1886" i="1" a="1"/>
  <c r="J1886" i="1" s="1"/>
  <c r="J1887" i="1" a="1"/>
  <c r="J1887" i="1" s="1"/>
  <c r="J1888" i="1" a="1"/>
  <c r="J1888" i="1" s="1"/>
  <c r="J1889" i="1" a="1"/>
  <c r="J1889" i="1" s="1"/>
  <c r="J1890" i="1" a="1"/>
  <c r="J1890" i="1" s="1"/>
  <c r="J1891" i="1" a="1"/>
  <c r="J1891" i="1" s="1"/>
  <c r="J1892" i="1" a="1"/>
  <c r="J1892" i="1" s="1"/>
  <c r="J1893" i="1" a="1"/>
  <c r="J1893" i="1" s="1"/>
  <c r="J1894" i="1" a="1"/>
  <c r="J1894" i="1" s="1"/>
  <c r="J1895" i="1" a="1"/>
  <c r="J1895" i="1" s="1"/>
  <c r="J1896" i="1" a="1"/>
  <c r="J1896" i="1" s="1"/>
  <c r="J1897" i="1" a="1"/>
  <c r="J1897" i="1" s="1"/>
  <c r="J1898" i="1" a="1"/>
  <c r="J1898" i="1" s="1"/>
  <c r="J1899" i="1" a="1"/>
  <c r="J1899" i="1" s="1"/>
  <c r="J1900" i="1" a="1"/>
  <c r="J1900" i="1" s="1"/>
  <c r="J1901" i="1" a="1"/>
  <c r="J1901" i="1" s="1"/>
  <c r="J1902" i="1" a="1"/>
  <c r="J1902" i="1" s="1"/>
  <c r="J1903" i="1" a="1"/>
  <c r="J1903" i="1" s="1"/>
  <c r="J1904" i="1" a="1"/>
  <c r="J1904" i="1" s="1"/>
  <c r="J1905" i="1" a="1"/>
  <c r="J1905" i="1" s="1"/>
  <c r="J1906" i="1" a="1"/>
  <c r="J1906" i="1" s="1"/>
  <c r="J1907" i="1" a="1"/>
  <c r="J1907" i="1" s="1"/>
  <c r="J1908" i="1" a="1"/>
  <c r="J1908" i="1" s="1"/>
  <c r="J1909" i="1" a="1"/>
  <c r="J1909" i="1" s="1"/>
  <c r="J1910" i="1" a="1"/>
  <c r="J1910" i="1" s="1"/>
  <c r="J1911" i="1" a="1"/>
  <c r="J1911" i="1" s="1"/>
  <c r="J1912" i="1" a="1"/>
  <c r="J1912" i="1" s="1"/>
  <c r="J1913" i="1" a="1"/>
  <c r="J1913" i="1" s="1"/>
  <c r="J1914" i="1" a="1"/>
  <c r="J1914" i="1" s="1"/>
  <c r="J1915" i="1" a="1"/>
  <c r="J1915" i="1" s="1"/>
  <c r="J1916" i="1" a="1"/>
  <c r="J1916" i="1" s="1"/>
  <c r="J1917" i="1" a="1"/>
  <c r="J1917" i="1" s="1"/>
  <c r="J1918" i="1" a="1"/>
  <c r="J1918" i="1" s="1"/>
  <c r="J1919" i="1" a="1"/>
  <c r="J1919" i="1" s="1"/>
  <c r="J1920" i="1" a="1"/>
  <c r="J1920" i="1" s="1"/>
  <c r="J1921" i="1" a="1"/>
  <c r="J1921" i="1" s="1"/>
  <c r="J1922" i="1" a="1"/>
  <c r="J1922" i="1" s="1"/>
  <c r="J1923" i="1" a="1"/>
  <c r="J1923" i="1" s="1"/>
  <c r="J1924" i="1" a="1"/>
  <c r="J1924" i="1" s="1"/>
  <c r="J1925" i="1" a="1"/>
  <c r="J1925" i="1" s="1"/>
  <c r="J1926" i="1" a="1"/>
  <c r="J1926" i="1" s="1"/>
  <c r="J1927" i="1" a="1"/>
  <c r="J1927" i="1" s="1"/>
  <c r="J1928" i="1" a="1"/>
  <c r="J1928" i="1" s="1"/>
  <c r="J1929" i="1" a="1"/>
  <c r="J1929" i="1" s="1"/>
  <c r="J1930" i="1" a="1"/>
  <c r="J1930" i="1" s="1"/>
  <c r="J1931" i="1" a="1"/>
  <c r="J1931" i="1" s="1"/>
  <c r="J1932" i="1" a="1"/>
  <c r="J1932" i="1" s="1"/>
  <c r="J1933" i="1" a="1"/>
  <c r="J1933" i="1" s="1"/>
  <c r="J1934" i="1" a="1"/>
  <c r="J1934" i="1" s="1"/>
  <c r="J1935" i="1" a="1"/>
  <c r="J1935" i="1" s="1"/>
  <c r="J1936" i="1" a="1"/>
  <c r="J1936" i="1" s="1"/>
  <c r="J1937" i="1" a="1"/>
  <c r="J1937" i="1" s="1"/>
  <c r="J1938" i="1" a="1"/>
  <c r="J1938" i="1" s="1"/>
  <c r="J1939" i="1" a="1"/>
  <c r="J1939" i="1" s="1"/>
  <c r="J1940" i="1" a="1"/>
  <c r="J1940" i="1" s="1"/>
  <c r="J1941" i="1" a="1"/>
  <c r="J1941" i="1" s="1"/>
  <c r="J1942" i="1" a="1"/>
  <c r="J1942" i="1" s="1"/>
  <c r="J1943" i="1" a="1"/>
  <c r="J1943" i="1" s="1"/>
  <c r="J1944" i="1" a="1"/>
  <c r="J1944" i="1" s="1"/>
  <c r="J1945" i="1" a="1"/>
  <c r="J1945" i="1" s="1"/>
  <c r="J1946" i="1" a="1"/>
  <c r="J1946" i="1" s="1"/>
  <c r="J1947" i="1" a="1"/>
  <c r="J1947" i="1" s="1"/>
  <c r="J1948" i="1" a="1"/>
  <c r="J1948" i="1" s="1"/>
  <c r="J1949" i="1" a="1"/>
  <c r="J1949" i="1" s="1"/>
  <c r="J1950" i="1" a="1"/>
  <c r="J1950" i="1" s="1"/>
  <c r="J1951" i="1" a="1"/>
  <c r="J1951" i="1" s="1"/>
  <c r="J1952" i="1" a="1"/>
  <c r="J1952" i="1" s="1"/>
  <c r="J1953" i="1" a="1"/>
  <c r="J1953" i="1" s="1"/>
  <c r="J1954" i="1" a="1"/>
  <c r="J1954" i="1" s="1"/>
  <c r="J1955" i="1" a="1"/>
  <c r="J1955" i="1" s="1"/>
  <c r="J1956" i="1" a="1"/>
  <c r="J1956" i="1" s="1"/>
  <c r="J1957" i="1" a="1"/>
  <c r="J1957" i="1" s="1"/>
  <c r="J1958" i="1" a="1"/>
  <c r="J1958" i="1" s="1"/>
  <c r="J1959" i="1" a="1"/>
  <c r="J1959" i="1" s="1"/>
  <c r="J1960" i="1" a="1"/>
  <c r="J1960" i="1" s="1"/>
  <c r="J1961" i="1" a="1"/>
  <c r="J1961" i="1" s="1"/>
  <c r="J1962" i="1" a="1"/>
  <c r="J1962" i="1" s="1"/>
  <c r="J1963" i="1" a="1"/>
  <c r="J1963" i="1" s="1"/>
  <c r="J1964" i="1" a="1"/>
  <c r="J1964" i="1" s="1"/>
  <c r="J1965" i="1" a="1"/>
  <c r="J1965" i="1" s="1"/>
  <c r="J1966" i="1" a="1"/>
  <c r="J1966" i="1" s="1"/>
  <c r="J1967" i="1" a="1"/>
  <c r="J1967" i="1" s="1"/>
  <c r="J1968" i="1" a="1"/>
  <c r="J1968" i="1" s="1"/>
  <c r="J1969" i="1" a="1"/>
  <c r="J1969" i="1" s="1"/>
  <c r="J1970" i="1" a="1"/>
  <c r="J1970" i="1" s="1"/>
  <c r="J1971" i="1" a="1"/>
  <c r="J1971" i="1" s="1"/>
  <c r="J1972" i="1" a="1"/>
  <c r="J1972" i="1" s="1"/>
  <c r="J1973" i="1" a="1"/>
  <c r="J1973" i="1" s="1"/>
  <c r="J1974" i="1" a="1"/>
  <c r="J1974" i="1" s="1"/>
  <c r="J1975" i="1" a="1"/>
  <c r="J1975" i="1" s="1"/>
  <c r="J1976" i="1" a="1"/>
  <c r="J1976" i="1" s="1"/>
  <c r="J1977" i="1" a="1"/>
  <c r="J1977" i="1" s="1"/>
  <c r="J1978" i="1" a="1"/>
  <c r="J1978" i="1" s="1"/>
  <c r="J1979" i="1" a="1"/>
  <c r="J1979" i="1" s="1"/>
  <c r="J1980" i="1" a="1"/>
  <c r="J1980" i="1" s="1"/>
  <c r="J1981" i="1" a="1"/>
  <c r="J1981" i="1" s="1"/>
  <c r="J1982" i="1" a="1"/>
  <c r="J1982" i="1" s="1"/>
  <c r="J1983" i="1" a="1"/>
  <c r="J1983" i="1" s="1"/>
  <c r="J1984" i="1" a="1"/>
  <c r="J1984" i="1" s="1"/>
  <c r="J1985" i="1" a="1"/>
  <c r="J1985" i="1" s="1"/>
  <c r="J1986" i="1" a="1"/>
  <c r="J1986" i="1" s="1"/>
  <c r="J1987" i="1" a="1"/>
  <c r="J1987" i="1" s="1"/>
  <c r="J1988" i="1" a="1"/>
  <c r="J1988" i="1" s="1"/>
  <c r="J1989" i="1" a="1"/>
  <c r="J1989" i="1" s="1"/>
  <c r="J1990" i="1" a="1"/>
  <c r="J1990" i="1" s="1"/>
  <c r="J1991" i="1" a="1"/>
  <c r="J1991" i="1" s="1"/>
  <c r="J1992" i="1" a="1"/>
  <c r="J1992" i="1" s="1"/>
  <c r="J1993" i="1" a="1"/>
  <c r="J1993" i="1" s="1"/>
  <c r="J1994" i="1" a="1"/>
  <c r="J1994" i="1" s="1"/>
  <c r="J1995" i="1" a="1"/>
  <c r="J1995" i="1" s="1"/>
  <c r="J1996" i="1" a="1"/>
  <c r="J1996" i="1" s="1"/>
  <c r="J1997" i="1" a="1"/>
  <c r="J1997" i="1" s="1"/>
  <c r="J1998" i="1" a="1"/>
  <c r="J1998" i="1" s="1"/>
  <c r="J1999" i="1" a="1"/>
  <c r="J1999" i="1" s="1"/>
  <c r="J2000" i="1" a="1"/>
  <c r="J2000" i="1" s="1"/>
  <c r="J2001" i="1" a="1"/>
  <c r="J2001" i="1" s="1"/>
  <c r="J2002" i="1" a="1"/>
  <c r="J2002" i="1" s="1"/>
  <c r="J2003" i="1" a="1"/>
  <c r="J2003" i="1" s="1"/>
  <c r="J2004" i="1" a="1"/>
  <c r="J2004" i="1" s="1"/>
  <c r="J2005" i="1" a="1"/>
  <c r="J2005" i="1" s="1"/>
  <c r="J2006" i="1" a="1"/>
  <c r="J2006" i="1" s="1"/>
  <c r="J2007" i="1" a="1"/>
  <c r="J2007" i="1" s="1"/>
  <c r="J2008" i="1" a="1"/>
  <c r="J2008" i="1" s="1"/>
  <c r="J2009" i="1" a="1"/>
  <c r="J2009" i="1" s="1"/>
  <c r="J2010" i="1" a="1"/>
  <c r="J2010" i="1" s="1"/>
  <c r="J2011" i="1" a="1"/>
  <c r="J2011" i="1" s="1"/>
  <c r="J2012" i="1" a="1"/>
  <c r="J2012" i="1" s="1"/>
  <c r="J2013" i="1" a="1"/>
  <c r="J2013" i="1" s="1"/>
  <c r="J2014" i="1" a="1"/>
  <c r="J2014" i="1" s="1"/>
  <c r="J2015" i="1" a="1"/>
  <c r="J2015" i="1" s="1"/>
  <c r="J2016" i="1" a="1"/>
  <c r="J2016" i="1" s="1"/>
  <c r="J2017" i="1" a="1"/>
  <c r="J2017" i="1" s="1"/>
  <c r="J2018" i="1" a="1"/>
  <c r="J2018" i="1" s="1"/>
  <c r="J2019" i="1" a="1"/>
  <c r="J2019" i="1" s="1"/>
  <c r="J2020" i="1" a="1"/>
  <c r="J2020" i="1" s="1"/>
  <c r="J2021" i="1" a="1"/>
  <c r="J2021" i="1" s="1"/>
  <c r="J2022" i="1" a="1"/>
  <c r="J2022" i="1" s="1"/>
  <c r="J2023" i="1" a="1"/>
  <c r="J2023" i="1" s="1"/>
  <c r="J2024" i="1" a="1"/>
  <c r="J2024" i="1" s="1"/>
  <c r="J2025" i="1" a="1"/>
  <c r="J2025" i="1" s="1"/>
  <c r="J2026" i="1" a="1"/>
  <c r="J2026" i="1" s="1"/>
  <c r="J2027" i="1" a="1"/>
  <c r="J2027" i="1" s="1"/>
  <c r="J2028" i="1" a="1"/>
  <c r="J2028" i="1" s="1"/>
  <c r="J2029" i="1" a="1"/>
  <c r="J2029" i="1" s="1"/>
  <c r="J2030" i="1" a="1"/>
  <c r="J2030" i="1" s="1"/>
  <c r="J2031" i="1" a="1"/>
  <c r="J2031" i="1" s="1"/>
  <c r="J2032" i="1" a="1"/>
  <c r="J2032" i="1" s="1"/>
  <c r="J2033" i="1" a="1"/>
  <c r="J2033" i="1" s="1"/>
  <c r="J2034" i="1" a="1"/>
  <c r="J2034" i="1" s="1"/>
  <c r="J2035" i="1" a="1"/>
  <c r="J2035" i="1" s="1"/>
  <c r="J2036" i="1" a="1"/>
  <c r="J2036" i="1" s="1"/>
  <c r="J2037" i="1" a="1"/>
  <c r="J2037" i="1" s="1"/>
  <c r="J2038" i="1" a="1"/>
  <c r="J2038" i="1" s="1"/>
  <c r="J2039" i="1" a="1"/>
  <c r="J2039" i="1" s="1"/>
  <c r="J2040" i="1" a="1"/>
  <c r="J2040" i="1" s="1"/>
  <c r="J2041" i="1" a="1"/>
  <c r="J2041" i="1" s="1"/>
  <c r="J2042" i="1" a="1"/>
  <c r="J2042" i="1" s="1"/>
  <c r="J2043" i="1" a="1"/>
  <c r="J2043" i="1" s="1"/>
  <c r="J2044" i="1" a="1"/>
  <c r="J2044" i="1" s="1"/>
  <c r="J2045" i="1" a="1"/>
  <c r="J2045" i="1" s="1"/>
  <c r="J2046" i="1" a="1"/>
  <c r="J2046" i="1" s="1"/>
  <c r="J2047" i="1" a="1"/>
  <c r="J2047" i="1" s="1"/>
  <c r="J2048" i="1" a="1"/>
  <c r="J2048" i="1" s="1"/>
  <c r="J2049" i="1" a="1"/>
  <c r="J2049" i="1" s="1"/>
  <c r="J2050" i="1" a="1"/>
  <c r="J2050" i="1" s="1"/>
  <c r="J2051" i="1" a="1"/>
  <c r="J2051" i="1" s="1"/>
  <c r="J2052" i="1" a="1"/>
  <c r="J2052" i="1" s="1"/>
  <c r="J2053" i="1" a="1"/>
  <c r="J2053" i="1" s="1"/>
  <c r="J2054" i="1" a="1"/>
  <c r="J2054" i="1" s="1"/>
  <c r="J2055" i="1" a="1"/>
  <c r="J2055" i="1" s="1"/>
  <c r="J2056" i="1" a="1"/>
  <c r="J2056" i="1" s="1"/>
  <c r="J2057" i="1" a="1"/>
  <c r="J2057" i="1" s="1"/>
  <c r="J2058" i="1" a="1"/>
  <c r="J2058" i="1" s="1"/>
  <c r="J2059" i="1" a="1"/>
  <c r="J2059" i="1" s="1"/>
  <c r="J2060" i="1" a="1"/>
  <c r="J2060" i="1" s="1"/>
  <c r="J2061" i="1" a="1"/>
  <c r="J2061" i="1" s="1"/>
  <c r="J2062" i="1" a="1"/>
  <c r="J2062" i="1" s="1"/>
  <c r="J2063" i="1" a="1"/>
  <c r="J2063" i="1" s="1"/>
  <c r="J2064" i="1" a="1"/>
  <c r="J2064" i="1" s="1"/>
  <c r="J2065" i="1" a="1"/>
  <c r="J2065" i="1" s="1"/>
  <c r="J2066" i="1" a="1"/>
  <c r="J2066" i="1" s="1"/>
  <c r="J2067" i="1" a="1"/>
  <c r="J2067" i="1" s="1"/>
  <c r="J2068" i="1" a="1"/>
  <c r="J2068" i="1" s="1"/>
  <c r="J2069" i="1" a="1"/>
  <c r="J2069" i="1" s="1"/>
  <c r="J2070" i="1" a="1"/>
  <c r="J2070" i="1" s="1"/>
  <c r="J2071" i="1" a="1"/>
  <c r="J2071" i="1" s="1"/>
  <c r="J2072" i="1" a="1"/>
  <c r="J2072" i="1" s="1"/>
  <c r="J2073" i="1" a="1"/>
  <c r="J2073" i="1" s="1"/>
  <c r="J2074" i="1" a="1"/>
  <c r="J2074" i="1" s="1"/>
  <c r="J2075" i="1" a="1"/>
  <c r="J2075" i="1" s="1"/>
  <c r="J2076" i="1" a="1"/>
  <c r="J2076" i="1" s="1"/>
  <c r="J2077" i="1" a="1"/>
  <c r="J2077" i="1" s="1"/>
  <c r="J2078" i="1" a="1"/>
  <c r="J2078" i="1" s="1"/>
  <c r="J2079" i="1" a="1"/>
  <c r="J2079" i="1" s="1"/>
  <c r="J2080" i="1" a="1"/>
  <c r="J2080" i="1" s="1"/>
  <c r="J2081" i="1" a="1"/>
  <c r="J2081" i="1" s="1"/>
  <c r="J2082" i="1" a="1"/>
  <c r="J2082" i="1" s="1"/>
  <c r="J2083" i="1" a="1"/>
  <c r="J2083" i="1" s="1"/>
  <c r="J2084" i="1" a="1"/>
  <c r="J2084" i="1" s="1"/>
  <c r="J2085" i="1" a="1"/>
  <c r="J2085" i="1" s="1"/>
  <c r="J2086" i="1" a="1"/>
  <c r="J2086" i="1" s="1"/>
  <c r="J2087" i="1" a="1"/>
  <c r="J2087" i="1" s="1"/>
  <c r="J2088" i="1" a="1"/>
  <c r="J2088" i="1" s="1"/>
  <c r="J2089" i="1" a="1"/>
  <c r="J2089" i="1" s="1"/>
  <c r="J2090" i="1" a="1"/>
  <c r="J2090" i="1" s="1"/>
  <c r="J2091" i="1" a="1"/>
  <c r="J2091" i="1" s="1"/>
  <c r="J2092" i="1" a="1"/>
  <c r="J2092" i="1" s="1"/>
  <c r="J2093" i="1" a="1"/>
  <c r="J2093" i="1" s="1"/>
  <c r="J2094" i="1" a="1"/>
  <c r="J2094" i="1" s="1"/>
  <c r="J2095" i="1" a="1"/>
  <c r="J2095" i="1" s="1"/>
  <c r="J2096" i="1" a="1"/>
  <c r="J2096" i="1" s="1"/>
  <c r="J2097" i="1" a="1"/>
  <c r="J2097" i="1" s="1"/>
  <c r="J2098" i="1" a="1"/>
  <c r="J2098" i="1" s="1"/>
  <c r="J2099" i="1" a="1"/>
  <c r="J2099" i="1" s="1"/>
  <c r="J2100" i="1" a="1"/>
  <c r="J2100" i="1" s="1"/>
  <c r="J2101" i="1" a="1"/>
  <c r="J2101" i="1" s="1"/>
  <c r="J2102" i="1" a="1"/>
  <c r="J2102" i="1" s="1"/>
  <c r="J2103" i="1" a="1"/>
  <c r="J2103" i="1" s="1"/>
  <c r="J2104" i="1" a="1"/>
  <c r="J2104" i="1" s="1"/>
  <c r="J2105" i="1" a="1"/>
  <c r="J2105" i="1" s="1"/>
  <c r="J2106" i="1" a="1"/>
  <c r="J2106" i="1" s="1"/>
  <c r="J2107" i="1" a="1"/>
  <c r="J2107" i="1" s="1"/>
  <c r="J2108" i="1" a="1"/>
  <c r="J2108" i="1" s="1"/>
  <c r="J2109" i="1" a="1"/>
  <c r="J2109" i="1" s="1"/>
  <c r="J2110" i="1" a="1"/>
  <c r="J2110" i="1" s="1"/>
  <c r="J2111" i="1" a="1"/>
  <c r="J2111" i="1" s="1"/>
  <c r="J2112" i="1" a="1"/>
  <c r="J2112" i="1" s="1"/>
  <c r="J2113" i="1" a="1"/>
  <c r="J2113" i="1" s="1"/>
  <c r="J2114" i="1" a="1"/>
  <c r="J2114" i="1" s="1"/>
  <c r="J2115" i="1" a="1"/>
  <c r="J2115" i="1" s="1"/>
  <c r="J2116" i="1" a="1"/>
  <c r="J2116" i="1" s="1"/>
  <c r="J2117" i="1" a="1"/>
  <c r="J2117" i="1" s="1"/>
  <c r="J2118" i="1" a="1"/>
  <c r="J2118" i="1" s="1"/>
  <c r="J2119" i="1" a="1"/>
  <c r="J2119" i="1" s="1"/>
  <c r="J2120" i="1" a="1"/>
  <c r="J2120" i="1" s="1"/>
  <c r="J2121" i="1" a="1"/>
  <c r="J2121" i="1" s="1"/>
  <c r="J2122" i="1" a="1"/>
  <c r="J2122" i="1" s="1"/>
  <c r="J2123" i="1" a="1"/>
  <c r="J2123" i="1" s="1"/>
  <c r="J2124" i="1" a="1"/>
  <c r="J2124" i="1" s="1"/>
  <c r="J2125" i="1" a="1"/>
  <c r="J2125" i="1" s="1"/>
  <c r="J2126" i="1" a="1"/>
  <c r="J2126" i="1" s="1"/>
  <c r="J2127" i="1" a="1"/>
  <c r="J2127" i="1" s="1"/>
  <c r="J2128" i="1" a="1"/>
  <c r="J2128" i="1" s="1"/>
  <c r="J2129" i="1" a="1"/>
  <c r="J2129" i="1" s="1"/>
  <c r="J2130" i="1" a="1"/>
  <c r="J2130" i="1" s="1"/>
  <c r="J2131" i="1" a="1"/>
  <c r="J2131" i="1" s="1"/>
  <c r="J2132" i="1" a="1"/>
  <c r="J2132" i="1" s="1"/>
  <c r="J2133" i="1" a="1"/>
  <c r="J2133" i="1" s="1"/>
  <c r="J2134" i="1" a="1"/>
  <c r="J2134" i="1" s="1"/>
  <c r="J2135" i="1" a="1"/>
  <c r="J2135" i="1" s="1"/>
  <c r="J2136" i="1" a="1"/>
  <c r="J2136" i="1" s="1"/>
  <c r="J2137" i="1" a="1"/>
  <c r="J2137" i="1" s="1"/>
  <c r="J2138" i="1" a="1"/>
  <c r="J2138" i="1" s="1"/>
  <c r="J2139" i="1" a="1"/>
  <c r="J2139" i="1" s="1"/>
  <c r="J2140" i="1" a="1"/>
  <c r="J2140" i="1" s="1"/>
  <c r="J2141" i="1" a="1"/>
  <c r="J2141" i="1" s="1"/>
  <c r="J2142" i="1" a="1"/>
  <c r="J2142" i="1" s="1"/>
  <c r="J2143" i="1" a="1"/>
  <c r="J2143" i="1" s="1"/>
  <c r="J2144" i="1" a="1"/>
  <c r="J2144" i="1" s="1"/>
  <c r="J2145" i="1" a="1"/>
  <c r="J2145" i="1" s="1"/>
  <c r="J2146" i="1" a="1"/>
  <c r="J2146" i="1" s="1"/>
  <c r="J2147" i="1" a="1"/>
  <c r="J2147" i="1" s="1"/>
  <c r="J2148" i="1" a="1"/>
  <c r="J2148" i="1" s="1"/>
  <c r="J2149" i="1" a="1"/>
  <c r="J2149" i="1" s="1"/>
  <c r="J2150" i="1" a="1"/>
  <c r="J2150" i="1" s="1"/>
  <c r="J2151" i="1" a="1"/>
  <c r="J2151" i="1" s="1"/>
  <c r="J2152" i="1" a="1"/>
  <c r="J2152" i="1" s="1"/>
  <c r="J2153" i="1" a="1"/>
  <c r="J2153" i="1" s="1"/>
  <c r="J2154" i="1" a="1"/>
  <c r="J2154" i="1" s="1"/>
  <c r="J2155" i="1" a="1"/>
  <c r="J2155" i="1" s="1"/>
  <c r="J2156" i="1" a="1"/>
  <c r="J2156" i="1" s="1"/>
  <c r="J2157" i="1" a="1"/>
  <c r="J2157" i="1" s="1"/>
  <c r="J2158" i="1" a="1"/>
  <c r="J2158" i="1" s="1"/>
  <c r="J2159" i="1" a="1"/>
  <c r="J2159" i="1" s="1"/>
  <c r="J2160" i="1" a="1"/>
  <c r="J2160" i="1" s="1"/>
  <c r="J2161" i="1" a="1"/>
  <c r="J2161" i="1" s="1"/>
  <c r="J2162" i="1" a="1"/>
  <c r="J2162" i="1" s="1"/>
  <c r="J2163" i="1" a="1"/>
  <c r="J2163" i="1" s="1"/>
  <c r="J2164" i="1" a="1"/>
  <c r="J2164" i="1" s="1"/>
  <c r="J2165" i="1" a="1"/>
  <c r="J2165" i="1" s="1"/>
  <c r="J2166" i="1" a="1"/>
  <c r="J2166" i="1" s="1"/>
  <c r="J2167" i="1" a="1"/>
  <c r="J2167" i="1" s="1"/>
  <c r="J2168" i="1" a="1"/>
  <c r="J2168" i="1" s="1"/>
  <c r="J2169" i="1" a="1"/>
  <c r="J2169" i="1" s="1"/>
  <c r="J2170" i="1" a="1"/>
  <c r="J2170" i="1" s="1"/>
  <c r="J2171" i="1" a="1"/>
  <c r="J2171" i="1" s="1"/>
  <c r="J2172" i="1" a="1"/>
  <c r="J2172" i="1" s="1"/>
  <c r="J2173" i="1" a="1"/>
  <c r="J2173" i="1" s="1"/>
  <c r="J2174" i="1" a="1"/>
  <c r="J2174" i="1" s="1"/>
  <c r="J2175" i="1" a="1"/>
  <c r="J2175" i="1" s="1"/>
  <c r="J2176" i="1" a="1"/>
  <c r="J2176" i="1" s="1"/>
  <c r="J2177" i="1" a="1"/>
  <c r="J2177" i="1" s="1"/>
  <c r="J2178" i="1" a="1"/>
  <c r="J2178" i="1" s="1"/>
  <c r="J2179" i="1" a="1"/>
  <c r="J2179" i="1" s="1"/>
  <c r="J2180" i="1" a="1"/>
  <c r="J2180" i="1" s="1"/>
  <c r="J2181" i="1" a="1"/>
  <c r="J2181" i="1" s="1"/>
  <c r="J2182" i="1" a="1"/>
  <c r="J2182" i="1" s="1"/>
  <c r="J2183" i="1" a="1"/>
  <c r="J2183" i="1" s="1"/>
  <c r="J2184" i="1" a="1"/>
  <c r="J2184" i="1" s="1"/>
  <c r="J2185" i="1" a="1"/>
  <c r="J2185" i="1" s="1"/>
  <c r="J2186" i="1" a="1"/>
  <c r="J2186" i="1" s="1"/>
  <c r="J2187" i="1" a="1"/>
  <c r="J2187" i="1" s="1"/>
  <c r="J2188" i="1" a="1"/>
  <c r="J2188" i="1" s="1"/>
  <c r="J2189" i="1" a="1"/>
  <c r="J2189" i="1" s="1"/>
  <c r="J2190" i="1" a="1"/>
  <c r="J2190" i="1" s="1"/>
  <c r="J2191" i="1" a="1"/>
  <c r="J2191" i="1" s="1"/>
  <c r="J2192" i="1" a="1"/>
  <c r="J2192" i="1" s="1"/>
  <c r="J2193" i="1" a="1"/>
  <c r="J2193" i="1" s="1"/>
  <c r="J2194" i="1" a="1"/>
  <c r="J2194" i="1" s="1"/>
  <c r="J2195" i="1" a="1"/>
  <c r="J2195" i="1" s="1"/>
  <c r="J2196" i="1" a="1"/>
  <c r="J2196" i="1" s="1"/>
  <c r="J2197" i="1" a="1"/>
  <c r="J2197" i="1" s="1"/>
  <c r="J2198" i="1" a="1"/>
  <c r="J2198" i="1" s="1"/>
  <c r="J2199" i="1" a="1"/>
  <c r="J2199" i="1" s="1"/>
  <c r="J2200" i="1" a="1"/>
  <c r="J2200" i="1" s="1"/>
  <c r="J2201" i="1" a="1"/>
  <c r="J2201" i="1" s="1"/>
  <c r="J2202" i="1" a="1"/>
  <c r="J2202" i="1" s="1"/>
  <c r="J2203" i="1" a="1"/>
  <c r="J2203" i="1" s="1"/>
  <c r="J2" i="1" a="1"/>
  <c r="J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s="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s="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s="1"/>
  <c r="G1677" i="1" a="1"/>
  <c r="G1677" i="1" s="1"/>
  <c r="G1678" i="1" a="1"/>
  <c r="G1678" i="1" s="1"/>
  <c r="G1679" i="1" a="1"/>
  <c r="G1679"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s="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s="1"/>
  <c r="G1720" i="1" a="1"/>
  <c r="G1720" i="1" s="1"/>
  <c r="G1721" i="1" a="1"/>
  <c r="G1721" i="1" s="1"/>
  <c r="G1722" i="1" a="1"/>
  <c r="G1722" i="1" s="1"/>
  <c r="G1723" i="1" a="1"/>
  <c r="G1723" i="1" s="1"/>
  <c r="G1724" i="1" a="1"/>
  <c r="G1724" i="1" s="1"/>
  <c r="G1725" i="1" a="1"/>
  <c r="G1725" i="1" s="1"/>
  <c r="G1726" i="1" a="1"/>
  <c r="G1726" i="1" s="1"/>
  <c r="G1727" i="1" a="1"/>
  <c r="G1727" i="1" s="1"/>
  <c r="G1728" i="1" a="1"/>
  <c r="G1728" i="1" s="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s="1"/>
  <c r="G1762" i="1" a="1"/>
  <c r="G1762" i="1" s="1"/>
  <c r="G1763" i="1" a="1"/>
  <c r="G1763" i="1" s="1"/>
  <c r="G1764" i="1" a="1"/>
  <c r="G1764" i="1" s="1"/>
  <c r="G1765" i="1" a="1"/>
  <c r="G1765" i="1" s="1"/>
  <c r="G1766" i="1" a="1"/>
  <c r="G1766" i="1" s="1"/>
  <c r="G1767" i="1" a="1"/>
  <c r="G1767" i="1" s="1"/>
  <c r="G1768" i="1" a="1"/>
  <c r="G1768" i="1" s="1"/>
  <c r="G1769" i="1" a="1"/>
  <c r="G1769" i="1" s="1"/>
  <c r="G1770" i="1" a="1"/>
  <c r="G1770" i="1" s="1"/>
  <c r="G1771" i="1" a="1"/>
  <c r="G1771" i="1" s="1"/>
  <c r="G1772" i="1" a="1"/>
  <c r="G1772" i="1" s="1"/>
  <c r="G1773" i="1" a="1"/>
  <c r="G1773" i="1" s="1"/>
  <c r="G1774" i="1" a="1"/>
  <c r="G1774" i="1" s="1"/>
  <c r="G1775" i="1" a="1"/>
  <c r="G1775" i="1" s="1"/>
  <c r="G1776" i="1" a="1"/>
  <c r="G1776" i="1" s="1"/>
  <c r="G1777" i="1" a="1"/>
  <c r="G1777" i="1" s="1"/>
  <c r="G1778" i="1" a="1"/>
  <c r="G1778" i="1" s="1"/>
  <c r="G1779" i="1" a="1"/>
  <c r="G1779" i="1" s="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s="1"/>
  <c r="G1803" i="1" a="1"/>
  <c r="G1803" i="1" s="1"/>
  <c r="G1804" i="1" a="1"/>
  <c r="G1804" i="1" s="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s="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s="1"/>
  <c r="G1876" i="1" a="1"/>
  <c r="G1876" i="1" s="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s="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s="1"/>
  <c r="G1936" i="1" a="1"/>
  <c r="G1936" i="1" s="1"/>
  <c r="G1937" i="1" a="1"/>
  <c r="G1937" i="1" s="1"/>
  <c r="G1938" i="1" a="1"/>
  <c r="G1938" i="1" s="1"/>
  <c r="G1939" i="1" a="1"/>
  <c r="G1939" i="1" s="1"/>
  <c r="G1940" i="1" a="1"/>
  <c r="G1940" i="1" s="1"/>
  <c r="G1941" i="1" a="1"/>
  <c r="G1941" i="1" s="1"/>
  <c r="G1942" i="1" a="1"/>
  <c r="G1942" i="1" s="1"/>
  <c r="G1943" i="1" a="1"/>
  <c r="G1943" i="1" s="1"/>
  <c r="G1944" i="1" a="1"/>
  <c r="G1944" i="1" s="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s="1"/>
  <c r="G1965" i="1" a="1"/>
  <c r="G1965" i="1" s="1"/>
  <c r="G1966" i="1" a="1"/>
  <c r="G1966" i="1" s="1"/>
  <c r="G1967" i="1" a="1"/>
  <c r="G1967" i="1" s="1"/>
  <c r="G1968" i="1" a="1"/>
  <c r="G1968" i="1" s="1"/>
  <c r="G1969" i="1" a="1"/>
  <c r="G1969" i="1" s="1"/>
  <c r="G1970" i="1" a="1"/>
  <c r="G1970" i="1" s="1"/>
  <c r="G1971" i="1" a="1"/>
  <c r="G1971" i="1" s="1"/>
  <c r="G1972" i="1" a="1"/>
  <c r="G1972" i="1" s="1"/>
  <c r="G1973" i="1" a="1"/>
  <c r="G1973" i="1" s="1"/>
  <c r="G1974" i="1" a="1"/>
  <c r="G1974" i="1" s="1"/>
  <c r="G1975" i="1" a="1"/>
  <c r="G1975" i="1" s="1"/>
  <c r="G1976" i="1" a="1"/>
  <c r="G1976" i="1" s="1"/>
  <c r="G1977" i="1" a="1"/>
  <c r="G1977" i="1" s="1"/>
  <c r="G1978" i="1" a="1"/>
  <c r="G1978" i="1" s="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s="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s="1"/>
  <c r="G2064" i="1" a="1"/>
  <c r="G2064" i="1" s="1"/>
  <c r="G2065" i="1" a="1"/>
  <c r="G2065" i="1" s="1"/>
  <c r="G2066" i="1" a="1"/>
  <c r="G2066" i="1" s="1"/>
  <c r="G2067" i="1" a="1"/>
  <c r="G2067" i="1" s="1"/>
  <c r="G2068" i="1" a="1"/>
  <c r="G2068" i="1" s="1"/>
  <c r="G2069" i="1" a="1"/>
  <c r="G2069" i="1" s="1"/>
  <c r="G2070" i="1" a="1"/>
  <c r="G2070" i="1" s="1"/>
  <c r="G2071" i="1" a="1"/>
  <c r="G2071" i="1" s="1"/>
  <c r="G2072" i="1" a="1"/>
  <c r="G2072" i="1" s="1"/>
  <c r="G2073" i="1" a="1"/>
  <c r="G2073" i="1" s="1"/>
  <c r="G2074" i="1" a="1"/>
  <c r="G2074" i="1" s="1"/>
  <c r="G2075" i="1" a="1"/>
  <c r="G2075" i="1" s="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s="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s="1"/>
  <c r="G2106" i="1" a="1"/>
  <c r="G2106" i="1" s="1"/>
  <c r="G2107" i="1" a="1"/>
  <c r="G2107" i="1" s="1"/>
  <c r="G2108" i="1" a="1"/>
  <c r="G2108" i="1" s="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s="1"/>
  <c r="G2165" i="1" a="1"/>
  <c r="G2165" i="1" s="1"/>
  <c r="G2166" i="1" a="1"/>
  <c r="G2166" i="1" s="1"/>
  <c r="G2167" i="1" a="1"/>
  <c r="G2167" i="1" s="1"/>
  <c r="G2168" i="1" a="1"/>
  <c r="G2168" i="1" s="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 i="1" a="1"/>
  <c r="G2"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 i="1"/>
  <c r="B18" i="4"/>
  <c r="C20" i="3"/>
  <c r="B70" i="4"/>
  <c r="B13" i="3"/>
  <c r="B20" i="3"/>
  <c r="B31" i="4"/>
  <c r="B58" i="4"/>
  <c r="A20" i="3"/>
  <c r="C13" i="3"/>
  <c r="A13" i="3"/>
  <c r="A6" i="3"/>
  <c r="B8" i="4"/>
  <c r="A2" i="6" l="1"/>
  <c r="S2" i="6"/>
  <c r="U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<sst xmlns="http://schemas.openxmlformats.org/spreadsheetml/2006/main" count="49455" uniqueCount="3246">
  <si>
    <t>gender</t>
  </si>
  <si>
    <t>age</t>
  </si>
  <si>
    <t>class</t>
  </si>
  <si>
    <t>embarked</t>
  </si>
  <si>
    <t>country</t>
  </si>
  <si>
    <t>fare</t>
  </si>
  <si>
    <t>sibsp</t>
  </si>
  <si>
    <t>parch</t>
  </si>
  <si>
    <t>survived</t>
  </si>
  <si>
    <t>male</t>
  </si>
  <si>
    <t>3rd</t>
  </si>
  <si>
    <t>S</t>
  </si>
  <si>
    <t>United States</t>
  </si>
  <si>
    <t>no</t>
  </si>
  <si>
    <t>female</t>
  </si>
  <si>
    <t>England</t>
  </si>
  <si>
    <t>yes</t>
  </si>
  <si>
    <t>Norway</t>
  </si>
  <si>
    <t>2nd</t>
  </si>
  <si>
    <t>C</t>
  </si>
  <si>
    <t>France</t>
  </si>
  <si>
    <t>Lebanon</t>
  </si>
  <si>
    <t>Finland</t>
  </si>
  <si>
    <t>Sweden</t>
  </si>
  <si>
    <t>Argentina</t>
  </si>
  <si>
    <t>1st</t>
  </si>
  <si>
    <t>Canada</t>
  </si>
  <si>
    <t>Denmark</t>
  </si>
  <si>
    <t>B</t>
  </si>
  <si>
    <t>Northern Ireland</t>
  </si>
  <si>
    <t>NA</t>
  </si>
  <si>
    <t>Bulgaria</t>
  </si>
  <si>
    <t>Switzerland</t>
  </si>
  <si>
    <t>Channel Islands</t>
  </si>
  <si>
    <t>Bosnia</t>
  </si>
  <si>
    <t>Hungary</t>
  </si>
  <si>
    <t>Q</t>
  </si>
  <si>
    <t>Ireland</t>
  </si>
  <si>
    <t>Italy</t>
  </si>
  <si>
    <t>India</t>
  </si>
  <si>
    <t>Wales</t>
  </si>
  <si>
    <t>South Africa</t>
  </si>
  <si>
    <t>Croatia (Modern)</t>
  </si>
  <si>
    <t>Scotland</t>
  </si>
  <si>
    <t>Siam</t>
  </si>
  <si>
    <t>Uruguay</t>
  </si>
  <si>
    <t>Belgium</t>
  </si>
  <si>
    <t>Poland</t>
  </si>
  <si>
    <t>Australia</t>
  </si>
  <si>
    <t>Peru</t>
  </si>
  <si>
    <t>Spain</t>
  </si>
  <si>
    <t>engineering crew</t>
  </si>
  <si>
    <t>Egypt</t>
  </si>
  <si>
    <t>Japan</t>
  </si>
  <si>
    <t>Syria</t>
  </si>
  <si>
    <t>Russia</t>
  </si>
  <si>
    <t>Slovenia</t>
  </si>
  <si>
    <t>Greece</t>
  </si>
  <si>
    <t>Turkey</t>
  </si>
  <si>
    <t>China/Hong Kong</t>
  </si>
  <si>
    <t>Austria</t>
  </si>
  <si>
    <t>Latvia</t>
  </si>
  <si>
    <t>Yugoslavia</t>
  </si>
  <si>
    <t>Slovakia (Modern day)</t>
  </si>
  <si>
    <t>Germany</t>
  </si>
  <si>
    <t>Croatia</t>
  </si>
  <si>
    <t>Cuba</t>
  </si>
  <si>
    <t>Netherlands</t>
  </si>
  <si>
    <t>Mexico</t>
  </si>
  <si>
    <t>victualling crew</t>
  </si>
  <si>
    <t>restaurant staff</t>
  </si>
  <si>
    <t>deck crew</t>
  </si>
  <si>
    <t>Guyana</t>
  </si>
  <si>
    <t>Abbing</t>
  </si>
  <si>
    <t>Abbott</t>
  </si>
  <si>
    <t>Abelseth</t>
  </si>
  <si>
    <t>Abelson</t>
  </si>
  <si>
    <t>AbÄ«-Al-MunÃ </t>
  </si>
  <si>
    <t>Abrahamsson</t>
  </si>
  <si>
    <t>Ã…dahl</t>
  </si>
  <si>
    <t>Adams</t>
  </si>
  <si>
    <t>Ahlin</t>
  </si>
  <si>
    <t>Aks</t>
  </si>
  <si>
    <t>Aldworth</t>
  </si>
  <si>
    <t>Alexander</t>
  </si>
  <si>
    <t>AlhomÃ¤ki</t>
  </si>
  <si>
    <t>Ali</t>
  </si>
  <si>
    <t>Allen</t>
  </si>
  <si>
    <t>Allison</t>
  </si>
  <si>
    <t>Allum</t>
  </si>
  <si>
    <t>Al-MunÃ </t>
  </si>
  <si>
    <t>Andersen-Jensen</t>
  </si>
  <si>
    <t>Andersen</t>
  </si>
  <si>
    <t>Anderson</t>
  </si>
  <si>
    <t>Andersson</t>
  </si>
  <si>
    <t>Andreasson</t>
  </si>
  <si>
    <t>Andrew</t>
  </si>
  <si>
    <t>Andrews</t>
  </si>
  <si>
    <t>Angheloff</t>
  </si>
  <si>
    <t>Angle</t>
  </si>
  <si>
    <t>Appleton</t>
  </si>
  <si>
    <t>Arnold-Franchi</t>
  </si>
  <si>
    <t>Aronsson</t>
  </si>
  <si>
    <t>Artagaveytia</t>
  </si>
  <si>
    <t>Ashby</t>
  </si>
  <si>
    <t>Asim</t>
  </si>
  <si>
    <t>Asplund</t>
  </si>
  <si>
    <t>Assaf</t>
  </si>
  <si>
    <t>Assam</t>
  </si>
  <si>
    <t>Astor</t>
  </si>
  <si>
    <t>Attalah</t>
  </si>
  <si>
    <t>Attala</t>
  </si>
  <si>
    <t>Aubart</t>
  </si>
  <si>
    <t>Augustsson</t>
  </si>
  <si>
    <t>Ayoub Daher</t>
  </si>
  <si>
    <t>BackstrÃ¶m</t>
  </si>
  <si>
    <t>Baclini</t>
  </si>
  <si>
    <t>Badman</t>
  </si>
  <si>
    <t>Badt</t>
  </si>
  <si>
    <t>Bailey</t>
  </si>
  <si>
    <t>Bainbrigge</t>
  </si>
  <si>
    <t>Balkic</t>
  </si>
  <si>
    <t>Balls</t>
  </si>
  <si>
    <t>Banfield</t>
  </si>
  <si>
    <t>Banski</t>
  </si>
  <si>
    <t>Barbara</t>
  </si>
  <si>
    <t>Barber</t>
  </si>
  <si>
    <t>Barkworth</t>
  </si>
  <si>
    <t>Barry</t>
  </si>
  <si>
    <t>Barton</t>
  </si>
  <si>
    <t>Bassani</t>
  </si>
  <si>
    <t>Bateman</t>
  </si>
  <si>
    <t>Batoshev</t>
  </si>
  <si>
    <t>Baumann</t>
  </si>
  <si>
    <t>Baxter</t>
  </si>
  <si>
    <t>Beane</t>
  </si>
  <si>
    <t>Beattie</t>
  </si>
  <si>
    <t>Beauchamp</t>
  </si>
  <si>
    <t>Beavan</t>
  </si>
  <si>
    <t>Becker</t>
  </si>
  <si>
    <t>Beckwith</t>
  </si>
  <si>
    <t>Beesley</t>
  </si>
  <si>
    <t>Behr</t>
  </si>
  <si>
    <t>Bengtsson</t>
  </si>
  <si>
    <t>Bentham</t>
  </si>
  <si>
    <t>Berglund</t>
  </si>
  <si>
    <t>Berriman</t>
  </si>
  <si>
    <t>Bessette</t>
  </si>
  <si>
    <t>Bidois</t>
  </si>
  <si>
    <t>Bing</t>
  </si>
  <si>
    <t>Bird</t>
  </si>
  <si>
    <t>Birkeland</t>
  </si>
  <si>
    <t>Birnbaum</t>
  </si>
  <si>
    <t>Bishop</t>
  </si>
  <si>
    <t>BjÃ¶rklund</t>
  </si>
  <si>
    <t>BjÃ¶rnstrÃ¶m-Steffansson</t>
  </si>
  <si>
    <t>Blackwell</t>
  </si>
  <si>
    <t>Blank</t>
  </si>
  <si>
    <t>Bonnell</t>
  </si>
  <si>
    <t>Borebank</t>
  </si>
  <si>
    <t>Bostandyeff</t>
  </si>
  <si>
    <t>Botsford</t>
  </si>
  <si>
    <t>Bourke</t>
  </si>
  <si>
    <t>Bowen</t>
  </si>
  <si>
    <t>Bowenur</t>
  </si>
  <si>
    <t>Bowerman</t>
  </si>
  <si>
    <t>Bracken</t>
  </si>
  <si>
    <t>Bradley</t>
  </si>
  <si>
    <t>Brady</t>
  </si>
  <si>
    <t>Braf</t>
  </si>
  <si>
    <t>Brailey</t>
  </si>
  <si>
    <t>Brandeis</t>
  </si>
  <si>
    <t>Braund</t>
  </si>
  <si>
    <t>Brereton</t>
  </si>
  <si>
    <t>Brewe</t>
  </si>
  <si>
    <t>Bricoux</t>
  </si>
  <si>
    <t>Brito</t>
  </si>
  <si>
    <t>BrobÃ¤ck</t>
  </si>
  <si>
    <t>Brocklebank</t>
  </si>
  <si>
    <t>Brown</t>
  </si>
  <si>
    <t>Bryhl</t>
  </si>
  <si>
    <t>Buckley</t>
  </si>
  <si>
    <t>Bucknell</t>
  </si>
  <si>
    <t>BÅ«lus</t>
  </si>
  <si>
    <t>Burke</t>
  </si>
  <si>
    <t>Burns</t>
  </si>
  <si>
    <t>Buss</t>
  </si>
  <si>
    <t>Butler</t>
  </si>
  <si>
    <t>Butrus-Ka'wÄ«</t>
  </si>
  <si>
    <t>Butt</t>
  </si>
  <si>
    <t>Byles</t>
  </si>
  <si>
    <t>BystrÃ¶m</t>
  </si>
  <si>
    <t>Cacic</t>
  </si>
  <si>
    <t>Cairns</t>
  </si>
  <si>
    <t>Calderhead</t>
  </si>
  <si>
    <t>Caldwell</t>
  </si>
  <si>
    <t>Calic</t>
  </si>
  <si>
    <t>Cameron</t>
  </si>
  <si>
    <t>Campbell</t>
  </si>
  <si>
    <t>Canavan</t>
  </si>
  <si>
    <t>Candee</t>
  </si>
  <si>
    <t>Cann</t>
  </si>
  <si>
    <t>Caram</t>
  </si>
  <si>
    <t>Carbines</t>
  </si>
  <si>
    <t>Cardeza</t>
  </si>
  <si>
    <t>Carlsson</t>
  </si>
  <si>
    <t>CarraÃº-Esteves</t>
  </si>
  <si>
    <t>Carrau</t>
  </si>
  <si>
    <t>Carr</t>
  </si>
  <si>
    <t>Carter</t>
  </si>
  <si>
    <t>Carver</t>
  </si>
  <si>
    <t>Case</t>
  </si>
  <si>
    <t>Cassebeer</t>
  </si>
  <si>
    <t>Cavendish</t>
  </si>
  <si>
    <t>Celotti</t>
  </si>
  <si>
    <t>Chaffee</t>
  </si>
  <si>
    <t>Chambers</t>
  </si>
  <si>
    <t>Chapman</t>
  </si>
  <si>
    <t>Charters</t>
  </si>
  <si>
    <t>Chaudanson</t>
  </si>
  <si>
    <t>Cherry</t>
  </si>
  <si>
    <t>ChevrÃ©</t>
  </si>
  <si>
    <t>Chibnall</t>
  </si>
  <si>
    <t>Chip</t>
  </si>
  <si>
    <t>Chisholm</t>
  </si>
  <si>
    <t>Christmann</t>
  </si>
  <si>
    <t>Christy</t>
  </si>
  <si>
    <t>Chronopoulos</t>
  </si>
  <si>
    <t>Clarke</t>
  </si>
  <si>
    <t>Clark</t>
  </si>
  <si>
    <t>Cleaver</t>
  </si>
  <si>
    <t>Clifford</t>
  </si>
  <si>
    <t>Coelho</t>
  </si>
  <si>
    <t>Cohen</t>
  </si>
  <si>
    <t>Colbert</t>
  </si>
  <si>
    <t>Coleff</t>
  </si>
  <si>
    <t>Coleridge</t>
  </si>
  <si>
    <t>Collander</t>
  </si>
  <si>
    <t>Collett</t>
  </si>
  <si>
    <t>Colley</t>
  </si>
  <si>
    <t>Collyer</t>
  </si>
  <si>
    <t>Coltcheff</t>
  </si>
  <si>
    <t>Compton</t>
  </si>
  <si>
    <t>Conlin</t>
  </si>
  <si>
    <t>Connaughton</t>
  </si>
  <si>
    <t>Connolly</t>
  </si>
  <si>
    <t>Connors</t>
  </si>
  <si>
    <t>Cook</t>
  </si>
  <si>
    <t>Corbett</t>
  </si>
  <si>
    <t>Corey</t>
  </si>
  <si>
    <t>Cor</t>
  </si>
  <si>
    <t>Cornblatt</t>
  </si>
  <si>
    <t>Cornell</t>
  </si>
  <si>
    <t>Corr</t>
  </si>
  <si>
    <t>Cotterill</t>
  </si>
  <si>
    <t>Coutts</t>
  </si>
  <si>
    <t>Coxon</t>
  </si>
  <si>
    <t>Crafton</t>
  </si>
  <si>
    <t>Crease</t>
  </si>
  <si>
    <t>Cribb</t>
  </si>
  <si>
    <t>Crosby</t>
  </si>
  <si>
    <t>Culumovic</t>
  </si>
  <si>
    <t>Cumings</t>
  </si>
  <si>
    <t>Cunningham</t>
  </si>
  <si>
    <t>Daher</t>
  </si>
  <si>
    <t>Dahlberg</t>
  </si>
  <si>
    <t>Dahl</t>
  </si>
  <si>
    <t>Dakic</t>
  </si>
  <si>
    <t>Daly</t>
  </si>
  <si>
    <t>Danbom</t>
  </si>
  <si>
    <t>Daniel</t>
  </si>
  <si>
    <t>Daniels</t>
  </si>
  <si>
    <t>Danoff</t>
  </si>
  <si>
    <t>Davidson</t>
  </si>
  <si>
    <t>Davies</t>
  </si>
  <si>
    <t>Davis</t>
  </si>
  <si>
    <t>Davison</t>
  </si>
  <si>
    <t>Deacon</t>
  </si>
  <si>
    <t>Dean</t>
  </si>
  <si>
    <t>Delalic</t>
  </si>
  <si>
    <t>Del Carlo</t>
  </si>
  <si>
    <t>De Messemaeker</t>
  </si>
  <si>
    <t>De Mulder</t>
  </si>
  <si>
    <t>Denbuoy</t>
  </si>
  <si>
    <t>Denkoff</t>
  </si>
  <si>
    <t>Dennis</t>
  </si>
  <si>
    <t>De Pelsmaeker</t>
  </si>
  <si>
    <t>Devaney</t>
  </si>
  <si>
    <t>Dibden</t>
  </si>
  <si>
    <t>Dick</t>
  </si>
  <si>
    <t>Dika</t>
  </si>
  <si>
    <t>Dimic</t>
  </si>
  <si>
    <t>Dintcheff</t>
  </si>
  <si>
    <t>Dodge</t>
  </si>
  <si>
    <t>Doling</t>
  </si>
  <si>
    <t>Donohoe</t>
  </si>
  <si>
    <t>Dooly</t>
  </si>
  <si>
    <t>Dorking</t>
  </si>
  <si>
    <t>Dougherty</t>
  </si>
  <si>
    <t>Douglas</t>
  </si>
  <si>
    <t>Douton</t>
  </si>
  <si>
    <t>Dowdell</t>
  </si>
  <si>
    <t>Doyle</t>
  </si>
  <si>
    <t>Drazenovic</t>
  </si>
  <si>
    <t>Drew</t>
  </si>
  <si>
    <t>Driscoll</t>
  </si>
  <si>
    <t>Dropkin</t>
  </si>
  <si>
    <t>Duff Gordon</t>
  </si>
  <si>
    <t xml:space="preserve"> Lucy Christiana</t>
  </si>
  <si>
    <t xml:space="preserve"> Lady</t>
  </si>
  <si>
    <t>Dulles</t>
  </si>
  <si>
    <t>Duquemin</t>
  </si>
  <si>
    <t>DurÃ¡n i MonÃ©</t>
  </si>
  <si>
    <t>Dwan</t>
  </si>
  <si>
    <t>Dyker</t>
  </si>
  <si>
    <t>Earnshaw</t>
  </si>
  <si>
    <t>Edvardsson</t>
  </si>
  <si>
    <t>Eitemiller</t>
  </si>
  <si>
    <t>Eklund</t>
  </si>
  <si>
    <t>EkstrÃ¶m</t>
  </si>
  <si>
    <t>Elias</t>
  </si>
  <si>
    <t>Elias Nasrallah</t>
  </si>
  <si>
    <t>Elsbury</t>
  </si>
  <si>
    <t>Emanuel</t>
  </si>
  <si>
    <t>Enander</t>
  </si>
  <si>
    <t>Endres</t>
  </si>
  <si>
    <t>Estanislau</t>
  </si>
  <si>
    <t>Eustis</t>
  </si>
  <si>
    <t>Evans</t>
  </si>
  <si>
    <t>Everett</t>
  </si>
  <si>
    <t>FahlstrÃ¸m</t>
  </si>
  <si>
    <t>Fardon</t>
  </si>
  <si>
    <t>Farrell</t>
  </si>
  <si>
    <t>Farthing</t>
  </si>
  <si>
    <t>Faunthorpe</t>
  </si>
  <si>
    <t>Fillbrook</t>
  </si>
  <si>
    <t>Finoli</t>
  </si>
  <si>
    <t>Fischer</t>
  </si>
  <si>
    <t>Flegenheim</t>
  </si>
  <si>
    <t>Fleming</t>
  </si>
  <si>
    <t>Flynn</t>
  </si>
  <si>
    <t>Foley</t>
  </si>
  <si>
    <t>Foo</t>
  </si>
  <si>
    <t>Ford</t>
  </si>
  <si>
    <t>Foreman</t>
  </si>
  <si>
    <t>Fortune</t>
  </si>
  <si>
    <t>Fox</t>
  </si>
  <si>
    <t>Francatelli</t>
  </si>
  <si>
    <t>Franklin</t>
  </si>
  <si>
    <t>Frauenthal</t>
  </si>
  <si>
    <t>FrÃ¶licher</t>
  </si>
  <si>
    <t>FrÃ¶licher-Stehli</t>
  </si>
  <si>
    <t>Frost</t>
  </si>
  <si>
    <t>Fry</t>
  </si>
  <si>
    <t>Funk</t>
  </si>
  <si>
    <t>Futrelle</t>
  </si>
  <si>
    <t>Fynney</t>
  </si>
  <si>
    <t>Gale</t>
  </si>
  <si>
    <t>Gallagher</t>
  </si>
  <si>
    <t>Garfirth</t>
  </si>
  <si>
    <t>Garside</t>
  </si>
  <si>
    <t>Gaskell</t>
  </si>
  <si>
    <t>Gavey</t>
  </si>
  <si>
    <t>Gee</t>
  </si>
  <si>
    <t>George/Joseph</t>
  </si>
  <si>
    <t>Gerios Thamah</t>
  </si>
  <si>
    <t>Gheorgheff</t>
  </si>
  <si>
    <t>Gibson</t>
  </si>
  <si>
    <t>Gieger</t>
  </si>
  <si>
    <t>Giglio</t>
  </si>
  <si>
    <t>Gilbert</t>
  </si>
  <si>
    <t>Giles</t>
  </si>
  <si>
    <t>Gilinski</t>
  </si>
  <si>
    <t>Gillespie</t>
  </si>
  <si>
    <t>Gill</t>
  </si>
  <si>
    <t>Gilnagh</t>
  </si>
  <si>
    <t>Givard</t>
  </si>
  <si>
    <t>Glynn</t>
  </si>
  <si>
    <t>Goldenberg</t>
  </si>
  <si>
    <t>Goldschmidt</t>
  </si>
  <si>
    <t>Goldsmith</t>
  </si>
  <si>
    <t>Goodwin</t>
  </si>
  <si>
    <t>Gracie</t>
  </si>
  <si>
    <t>Graham</t>
  </si>
  <si>
    <t>Greenberg</t>
  </si>
  <si>
    <t>Greenfield</t>
  </si>
  <si>
    <t>Green</t>
  </si>
  <si>
    <t>GrÃ¸nnestad</t>
  </si>
  <si>
    <t>Guest</t>
  </si>
  <si>
    <t>Guggenheim</t>
  </si>
  <si>
    <t>Gustafsson</t>
  </si>
  <si>
    <t>Haas</t>
  </si>
  <si>
    <t>Hagland</t>
  </si>
  <si>
    <t>Hakkarainen</t>
  </si>
  <si>
    <t>Hale</t>
  </si>
  <si>
    <t>HÃ¤mÃ¤lÃ¤inen</t>
  </si>
  <si>
    <t>Hampe</t>
  </si>
  <si>
    <t>Hannah</t>
  </si>
  <si>
    <t>Hanna</t>
  </si>
  <si>
    <t>Hansen</t>
  </si>
  <si>
    <t>Harbeck</t>
  </si>
  <si>
    <t>Harder</t>
  </si>
  <si>
    <t>Hargadon</t>
  </si>
  <si>
    <t>Harknett</t>
  </si>
  <si>
    <t>Harper</t>
  </si>
  <si>
    <t>Harrington</t>
  </si>
  <si>
    <t>Harris</t>
  </si>
  <si>
    <t>Harrison</t>
  </si>
  <si>
    <t>Hartley</t>
  </si>
  <si>
    <t>Hart</t>
  </si>
  <si>
    <t>Hassab</t>
  </si>
  <si>
    <t>Hawksford</t>
  </si>
  <si>
    <t>Hays</t>
  </si>
  <si>
    <t>Head</t>
  </si>
  <si>
    <t>Healy</t>
  </si>
  <si>
    <t>Hedman</t>
  </si>
  <si>
    <t>Hee</t>
  </si>
  <si>
    <t>Hegarty</t>
  </si>
  <si>
    <t>Heikkinen</t>
  </si>
  <si>
    <t>Heininen</t>
  </si>
  <si>
    <t>HellstrÃ¶m</t>
  </si>
  <si>
    <t>Hendekovic</t>
  </si>
  <si>
    <t>Henriksson</t>
  </si>
  <si>
    <t>Henry</t>
  </si>
  <si>
    <t>Herman</t>
  </si>
  <si>
    <t>Hewlett</t>
  </si>
  <si>
    <t>Hickman</t>
  </si>
  <si>
    <t>Hilliard</t>
  </si>
  <si>
    <t>Hiltunen</t>
  </si>
  <si>
    <t>Hipkins</t>
  </si>
  <si>
    <t>Hippach</t>
  </si>
  <si>
    <t>Hirvonen</t>
  </si>
  <si>
    <t>Hocking</t>
  </si>
  <si>
    <t>Hodges</t>
  </si>
  <si>
    <t>Hogeboom</t>
  </si>
  <si>
    <t>Hold</t>
  </si>
  <si>
    <t>Holm</t>
  </si>
  <si>
    <t>Holthen</t>
  </si>
  <si>
    <t>Holverson</t>
  </si>
  <si>
    <t>Homer</t>
  </si>
  <si>
    <t>Honkanen</t>
  </si>
  <si>
    <t>Hood</t>
  </si>
  <si>
    <t>Horgan</t>
  </si>
  <si>
    <t>Hosono</t>
  </si>
  <si>
    <t>Howard</t>
  </si>
  <si>
    <t>Hoyt</t>
  </si>
  <si>
    <t>Humblen</t>
  </si>
  <si>
    <t>Hume</t>
  </si>
  <si>
    <t>Hunt</t>
  </si>
  <si>
    <t>Hyman</t>
  </si>
  <si>
    <t>IbrÄhÄ«m</t>
  </si>
  <si>
    <t>Ibrahim Shawah</t>
  </si>
  <si>
    <t>Icard</t>
  </si>
  <si>
    <t>Ilett</t>
  </si>
  <si>
    <t>Ilieff</t>
  </si>
  <si>
    <t>Ilmakangas</t>
  </si>
  <si>
    <t>Isham</t>
  </si>
  <si>
    <t>Ismay</t>
  </si>
  <si>
    <t>Ivanoff</t>
  </si>
  <si>
    <t>Jabbur (Zabour)</t>
  </si>
  <si>
    <t>Jacobsohn</t>
  </si>
  <si>
    <t>JalÅ¡evac</t>
  </si>
  <si>
    <t>Jansson</t>
  </si>
  <si>
    <t>Jardim</t>
  </si>
  <si>
    <t>Jarvis</t>
  </si>
  <si>
    <t>Jefferys</t>
  </si>
  <si>
    <t>Jenkin</t>
  </si>
  <si>
    <t>Jensen</t>
  </si>
  <si>
    <t>Jermyn</t>
  </si>
  <si>
    <t>Jerwan</t>
  </si>
  <si>
    <t>Johannesen</t>
  </si>
  <si>
    <t>Johanson</t>
  </si>
  <si>
    <t>Johansson</t>
  </si>
  <si>
    <t>Johansson Palmquist</t>
  </si>
  <si>
    <t>Johnson</t>
  </si>
  <si>
    <t>Johnston</t>
  </si>
  <si>
    <t>Jones</t>
  </si>
  <si>
    <t>Jonkoff</t>
  </si>
  <si>
    <t>Jonsson</t>
  </si>
  <si>
    <t>JÃ¶nsson</t>
  </si>
  <si>
    <t>Joseph (Shahin)</t>
  </si>
  <si>
    <t>Julian</t>
  </si>
  <si>
    <t>Jussila</t>
  </si>
  <si>
    <t>Kallio</t>
  </si>
  <si>
    <t>Kalvik</t>
  </si>
  <si>
    <t>Kantor</t>
  </si>
  <si>
    <t>Karajic</t>
  </si>
  <si>
    <t>Karlsson</t>
  </si>
  <si>
    <t>Karnes</t>
  </si>
  <si>
    <t>Karun</t>
  </si>
  <si>
    <t>Katavelos</t>
  </si>
  <si>
    <t>Keane</t>
  </si>
  <si>
    <t>Keefe</t>
  </si>
  <si>
    <t>Keeping</t>
  </si>
  <si>
    <t>Kelly</t>
  </si>
  <si>
    <t>Kennedy</t>
  </si>
  <si>
    <t>Kent</t>
  </si>
  <si>
    <t>Kenyon</t>
  </si>
  <si>
    <t>Khalil</t>
  </si>
  <si>
    <t>Kiernan</t>
  </si>
  <si>
    <t>Kilgannon</t>
  </si>
  <si>
    <t>Kimball</t>
  </si>
  <si>
    <t>Kink-Heilmann</t>
  </si>
  <si>
    <t>Kink</t>
  </si>
  <si>
    <t>Kirkland</t>
  </si>
  <si>
    <t>Klaber</t>
  </si>
  <si>
    <t>KlasÃ©n</t>
  </si>
  <si>
    <t>Knight</t>
  </si>
  <si>
    <t>Kraeff</t>
  </si>
  <si>
    <t>Krekorian</t>
  </si>
  <si>
    <t>Kreuchen</t>
  </si>
  <si>
    <t>Krins</t>
  </si>
  <si>
    <t>Kutscher (Lithman)</t>
  </si>
  <si>
    <t>Kvillner</t>
  </si>
  <si>
    <t>LahhÅ«d Ishaq Mu'awwad</t>
  </si>
  <si>
    <t>Lahtinen</t>
  </si>
  <si>
    <t>Laitinen</t>
  </si>
  <si>
    <t>Lamb</t>
  </si>
  <si>
    <t>Lam</t>
  </si>
  <si>
    <t>Landergren</t>
  </si>
  <si>
    <t>Lane</t>
  </si>
  <si>
    <t>Lang</t>
  </si>
  <si>
    <t>Laroche</t>
  </si>
  <si>
    <t>Larsson</t>
  </si>
  <si>
    <t>Leader</t>
  </si>
  <si>
    <t>Lefebvre</t>
  </si>
  <si>
    <t>Lehmann</t>
  </si>
  <si>
    <t>Leinonen</t>
  </si>
  <si>
    <t>Leitch</t>
  </si>
  <si>
    <t>Lemore</t>
  </si>
  <si>
    <t>Lennon</t>
  </si>
  <si>
    <t>Leroy</t>
  </si>
  <si>
    <t>Lester</t>
  </si>
  <si>
    <t>Lesueur</t>
  </si>
  <si>
    <t>LÃ©vy</t>
  </si>
  <si>
    <t>Lewy</t>
  </si>
  <si>
    <t>Leyson</t>
  </si>
  <si>
    <t>Lievens</t>
  </si>
  <si>
    <t>Lindahl</t>
  </si>
  <si>
    <t>Lindblom</t>
  </si>
  <si>
    <t>Lindeberg-Lind</t>
  </si>
  <si>
    <t>Lindell</t>
  </si>
  <si>
    <t>Lindqvist</t>
  </si>
  <si>
    <t>LindstrÃ¶m</t>
  </si>
  <si>
    <t>Linehan</t>
  </si>
  <si>
    <t>Lines</t>
  </si>
  <si>
    <t>Lingane</t>
  </si>
  <si>
    <t>Ling</t>
  </si>
  <si>
    <t>Linhart</t>
  </si>
  <si>
    <t>Livshin</t>
  </si>
  <si>
    <t>Lobb</t>
  </si>
  <si>
    <t>Lockyer</t>
  </si>
  <si>
    <t>Longley</t>
  </si>
  <si>
    <t>Long</t>
  </si>
  <si>
    <t>Loring</t>
  </si>
  <si>
    <t>Louch</t>
  </si>
  <si>
    <t>Lovell</t>
  </si>
  <si>
    <t>Lulic</t>
  </si>
  <si>
    <t>Lundahl</t>
  </si>
  <si>
    <t>Lundin</t>
  </si>
  <si>
    <t>LundstrÃ¶m</t>
  </si>
  <si>
    <t>Lurette</t>
  </si>
  <si>
    <t>Lymperopoulus</t>
  </si>
  <si>
    <t>Lyntakoff</t>
  </si>
  <si>
    <t>MacKay</t>
  </si>
  <si>
    <t>Mack</t>
  </si>
  <si>
    <t>Madigan</t>
  </si>
  <si>
    <t>Madill</t>
  </si>
  <si>
    <t>Madsen</t>
  </si>
  <si>
    <t>MÃ¤enpÃ¤Ã¤</t>
  </si>
  <si>
    <t>Maguire</t>
  </si>
  <si>
    <t>Mahon</t>
  </si>
  <si>
    <t>Maioni</t>
  </si>
  <si>
    <t>Maisner</t>
  </si>
  <si>
    <t>MÃ¤kinen</t>
  </si>
  <si>
    <t>Malachard</t>
  </si>
  <si>
    <t>Mallet</t>
  </si>
  <si>
    <t>MÄmÄ</t>
  </si>
  <si>
    <t>Mangan</t>
  </si>
  <si>
    <t>Mangiavacchi</t>
  </si>
  <si>
    <t>Mannion</t>
  </si>
  <si>
    <t>Mardirosian</t>
  </si>
  <si>
    <t>MarÃ©chal</t>
  </si>
  <si>
    <t>Marinko</t>
  </si>
  <si>
    <t>Markoff</t>
  </si>
  <si>
    <t>Markun</t>
  </si>
  <si>
    <t>Marvin</t>
  </si>
  <si>
    <t>Matinoff</t>
  </si>
  <si>
    <t>Matthews</t>
  </si>
  <si>
    <t>Maybery</t>
  </si>
  <si>
    <t>MaynÃ©</t>
  </si>
  <si>
    <t>McCaffry</t>
  </si>
  <si>
    <t>McCarthy</t>
  </si>
  <si>
    <t>McCormack</t>
  </si>
  <si>
    <t>McCoy</t>
  </si>
  <si>
    <t>McCrae</t>
  </si>
  <si>
    <t>McCrie</t>
  </si>
  <si>
    <t>McDermott</t>
  </si>
  <si>
    <t>McEvoy</t>
  </si>
  <si>
    <t>McGough</t>
  </si>
  <si>
    <t>McGovern</t>
  </si>
  <si>
    <t>McGowan</t>
  </si>
  <si>
    <t>McKane</t>
  </si>
  <si>
    <t>McMahon</t>
  </si>
  <si>
    <t>McNamee</t>
  </si>
  <si>
    <t>McNeill</t>
  </si>
  <si>
    <t>Meanwell</t>
  </si>
  <si>
    <t>Meehan</t>
  </si>
  <si>
    <t>Meek</t>
  </si>
  <si>
    <t>Mellinger</t>
  </si>
  <si>
    <t>Mellors</t>
  </si>
  <si>
    <t>Meo (Martino)</t>
  </si>
  <si>
    <t>Mernagh</t>
  </si>
  <si>
    <t>Meyer</t>
  </si>
  <si>
    <t>MidtsjÃ¸</t>
  </si>
  <si>
    <t>Mihoff</t>
  </si>
  <si>
    <t>Miles</t>
  </si>
  <si>
    <t>Millet</t>
  </si>
  <si>
    <t>Milling</t>
  </si>
  <si>
    <t>Minahan</t>
  </si>
  <si>
    <t>Mineff</t>
  </si>
  <si>
    <t>Minkoff</t>
  </si>
  <si>
    <t>Mitchell</t>
  </si>
  <si>
    <t>Mitkoff</t>
  </si>
  <si>
    <t>Mockler</t>
  </si>
  <si>
    <t>Mock</t>
  </si>
  <si>
    <t>Moen</t>
  </si>
  <si>
    <t>Molson</t>
  </si>
  <si>
    <t>Montvila</t>
  </si>
  <si>
    <t>Moore</t>
  </si>
  <si>
    <t>Moor</t>
  </si>
  <si>
    <t>Moran</t>
  </si>
  <si>
    <t>Moraweck</t>
  </si>
  <si>
    <t>Morley</t>
  </si>
  <si>
    <t>Morrow</t>
  </si>
  <si>
    <t>Moss</t>
  </si>
  <si>
    <t>Moussa</t>
  </si>
  <si>
    <t>Moutal</t>
  </si>
  <si>
    <t>MubÄrik</t>
  </si>
  <si>
    <t>Mudd</t>
  </si>
  <si>
    <t>Mullin</t>
  </si>
  <si>
    <t>Mulvihill</t>
  </si>
  <si>
    <t>Murdlin</t>
  </si>
  <si>
    <t>Murphy</t>
  </si>
  <si>
    <t>MuslamÄnÄ«</t>
  </si>
  <si>
    <t>Myhrman</t>
  </si>
  <si>
    <t>Myles</t>
  </si>
  <si>
    <t>Naidenoff</t>
  </si>
  <si>
    <t>Najib Kiamie</t>
  </si>
  <si>
    <t>Nakhli</t>
  </si>
  <si>
    <t>Nakid</t>
  </si>
  <si>
    <t>Nancarrow</t>
  </si>
  <si>
    <t>Nankoff</t>
  </si>
  <si>
    <t>Nasr 'AlmÄ</t>
  </si>
  <si>
    <t>Nasser</t>
  </si>
  <si>
    <t>Nassr Rizq</t>
  </si>
  <si>
    <t>Natsch</t>
  </si>
  <si>
    <t>Naughton</t>
  </si>
  <si>
    <t>Navratil</t>
  </si>
  <si>
    <t>Nenkov</t>
  </si>
  <si>
    <t>Nesson</t>
  </si>
  <si>
    <t>Newell</t>
  </si>
  <si>
    <t>Newsom</t>
  </si>
  <si>
    <t>Nicholls</t>
  </si>
  <si>
    <t>Nicholson</t>
  </si>
  <si>
    <t>Nieminen</t>
  </si>
  <si>
    <t>Niklasson</t>
  </si>
  <si>
    <t>Nilsson</t>
  </si>
  <si>
    <t>NÄ«qÅ«la YÄrid</t>
  </si>
  <si>
    <t>Nirva</t>
  </si>
  <si>
    <t>NiskÃ¤nen</t>
  </si>
  <si>
    <t>Nofal</t>
  </si>
  <si>
    <t>Norman</t>
  </si>
  <si>
    <t>Nosworthy</t>
  </si>
  <si>
    <t>Nourney</t>
  </si>
  <si>
    <t>Nye</t>
  </si>
  <si>
    <t>Nysten</t>
  </si>
  <si>
    <t>Nysveen</t>
  </si>
  <si>
    <t>O'Brien</t>
  </si>
  <si>
    <t>O'Connell</t>
  </si>
  <si>
    <t>O'Connor</t>
  </si>
  <si>
    <t>Ã–dahl</t>
  </si>
  <si>
    <t>O'Dwyer</t>
  </si>
  <si>
    <t>Ã–hman</t>
  </si>
  <si>
    <t>O'Keefe</t>
  </si>
  <si>
    <t>O'Leary</t>
  </si>
  <si>
    <t>Oliva y Ocana</t>
  </si>
  <si>
    <t>Olsen</t>
  </si>
  <si>
    <t>Olsson</t>
  </si>
  <si>
    <t>Olsvigen</t>
  </si>
  <si>
    <t>Omont</t>
  </si>
  <si>
    <t>Oreskovic</t>
  </si>
  <si>
    <t>OsÃ©n</t>
  </si>
  <si>
    <t>Ã˜stby</t>
  </si>
  <si>
    <t>Ostby</t>
  </si>
  <si>
    <t>O'Sullivan</t>
  </si>
  <si>
    <t>Otter</t>
  </si>
  <si>
    <t>OviÃ©s y RodrÃ­guez</t>
  </si>
  <si>
    <t>Oxenham</t>
  </si>
  <si>
    <t>Padron Manent</t>
  </si>
  <si>
    <t>Pain</t>
  </si>
  <si>
    <t>PallÃ s i CastellÃ³</t>
  </si>
  <si>
    <t>PÃ¥lsson</t>
  </si>
  <si>
    <t>Panula</t>
  </si>
  <si>
    <t>Parker</t>
  </si>
  <si>
    <t>Parkes</t>
  </si>
  <si>
    <t>Parrish</t>
  </si>
  <si>
    <t>Parr</t>
  </si>
  <si>
    <t>Partner</t>
  </si>
  <si>
    <t>Pasic</t>
  </si>
  <si>
    <t>Patchett</t>
  </si>
  <si>
    <t>Pavlovic</t>
  </si>
  <si>
    <t>Payne</t>
  </si>
  <si>
    <t>Peacock</t>
  </si>
  <si>
    <t>Pearce</t>
  </si>
  <si>
    <t>Pears</t>
  </si>
  <si>
    <t>Pedersen</t>
  </si>
  <si>
    <t>Peduzzi</t>
  </si>
  <si>
    <t>Pekoniemi</t>
  </si>
  <si>
    <t>PeltomÃ¤ki</t>
  </si>
  <si>
    <t>PeÃ±asco y Castellana</t>
  </si>
  <si>
    <t>Pengelly</t>
  </si>
  <si>
    <t>Perkin</t>
  </si>
  <si>
    <t>Pernot</t>
  </si>
  <si>
    <t>Perreault</t>
  </si>
  <si>
    <t>Persson</t>
  </si>
  <si>
    <t>Peruschitz</t>
  </si>
  <si>
    <t>Peteranec</t>
  </si>
  <si>
    <t>Peter / Joseph</t>
  </si>
  <si>
    <t>Petersen</t>
  </si>
  <si>
    <t>Peters</t>
  </si>
  <si>
    <t>Petroff</t>
  </si>
  <si>
    <t>Pettersson</t>
  </si>
  <si>
    <t>Peuchen</t>
  </si>
  <si>
    <t>Phillips</t>
  </si>
  <si>
    <t>Picard</t>
  </si>
  <si>
    <t>Pinsky</t>
  </si>
  <si>
    <t>Plotcharsky</t>
  </si>
  <si>
    <t>Pokrnic</t>
  </si>
  <si>
    <t>Ponesell</t>
  </si>
  <si>
    <t>Portaluppi</t>
  </si>
  <si>
    <t>Porter</t>
  </si>
  <si>
    <t>Potter</t>
  </si>
  <si>
    <t>Pulbaum</t>
  </si>
  <si>
    <t>Pulner</t>
  </si>
  <si>
    <t>Quick</t>
  </si>
  <si>
    <t>Radeff</t>
  </si>
  <si>
    <t>RafÅ«l-BÅ«lus</t>
  </si>
  <si>
    <t>Rasmussen</t>
  </si>
  <si>
    <t>Razi</t>
  </si>
  <si>
    <t>Reed</t>
  </si>
  <si>
    <t>Reeves</t>
  </si>
  <si>
    <t>Rekic</t>
  </si>
  <si>
    <t>Renouf</t>
  </si>
  <si>
    <t>Reuchlin</t>
  </si>
  <si>
    <t>Reynalds</t>
  </si>
  <si>
    <t>Reynolds</t>
  </si>
  <si>
    <t>Rheims</t>
  </si>
  <si>
    <t>Rice</t>
  </si>
  <si>
    <t>Richard</t>
  </si>
  <si>
    <t>Richards</t>
  </si>
  <si>
    <t>Ridsdale</t>
  </si>
  <si>
    <t>Righini</t>
  </si>
  <si>
    <t>Riihivuori</t>
  </si>
  <si>
    <t>RintamÃ¤ki</t>
  </si>
  <si>
    <t>Riordan</t>
  </si>
  <si>
    <t>Risien</t>
  </si>
  <si>
    <t>Robert</t>
  </si>
  <si>
    <t>Robins</t>
  </si>
  <si>
    <t>Roebling</t>
  </si>
  <si>
    <t>Rogers</t>
  </si>
  <si>
    <t>Romaine</t>
  </si>
  <si>
    <t>Rommetvedt</t>
  </si>
  <si>
    <t>Rood</t>
  </si>
  <si>
    <t>Rosblom</t>
  </si>
  <si>
    <t>Rosenbaum</t>
  </si>
  <si>
    <t>Rosenshine</t>
  </si>
  <si>
    <t>Ross</t>
  </si>
  <si>
    <t>Rothes</t>
  </si>
  <si>
    <t xml:space="preserve"> Lucy NoÃ«l Martha</t>
  </si>
  <si>
    <t xml:space="preserve"> Countess of</t>
  </si>
  <si>
    <t>Roth</t>
  </si>
  <si>
    <t>Rothschild</t>
  </si>
  <si>
    <t>Rouse</t>
  </si>
  <si>
    <t>Rowe</t>
  </si>
  <si>
    <t>Rugg</t>
  </si>
  <si>
    <t>Rush</t>
  </si>
  <si>
    <t>Ryan</t>
  </si>
  <si>
    <t>Ryerson</t>
  </si>
  <si>
    <t>Saad</t>
  </si>
  <si>
    <t>Saalfeld</t>
  </si>
  <si>
    <t>Sadlier</t>
  </si>
  <si>
    <t>Sadowitz</t>
  </si>
  <si>
    <t>SÃ¦ther</t>
  </si>
  <si>
    <t>Sage</t>
  </si>
  <si>
    <t>SÃ¤gesser</t>
  </si>
  <si>
    <t>Salander</t>
  </si>
  <si>
    <t>Salkjelsvik</t>
  </si>
  <si>
    <t>Salomon</t>
  </si>
  <si>
    <t>Salonen</t>
  </si>
  <si>
    <t>Samaan</t>
  </si>
  <si>
    <t>SandstrÃ¶m</t>
  </si>
  <si>
    <t>Sap</t>
  </si>
  <si>
    <t>Saundercock</t>
  </si>
  <si>
    <t>Sawyer</t>
  </si>
  <si>
    <t>Scanlan</t>
  </si>
  <si>
    <t>Schabert</t>
  </si>
  <si>
    <t>Scheerlinck</t>
  </si>
  <si>
    <t>Schmidt</t>
  </si>
  <si>
    <t>Sdycoff</t>
  </si>
  <si>
    <t>Sedgwick</t>
  </si>
  <si>
    <t>Seman</t>
  </si>
  <si>
    <t>Serreplan</t>
  </si>
  <si>
    <t>Seward</t>
  </si>
  <si>
    <t>Shannon</t>
  </si>
  <si>
    <t>Sharp</t>
  </si>
  <si>
    <t>Shaughnessy</t>
  </si>
  <si>
    <t>Shedid</t>
  </si>
  <si>
    <t>Shellard</t>
  </si>
  <si>
    <t>Shelley</t>
  </si>
  <si>
    <t>ShihÄb</t>
  </si>
  <si>
    <t>Shine</t>
  </si>
  <si>
    <t>Shorney</t>
  </si>
  <si>
    <t>Shutes</t>
  </si>
  <si>
    <t>SilvÃ©n</t>
  </si>
  <si>
    <t>Silverthorne</t>
  </si>
  <si>
    <t>Silvey</t>
  </si>
  <si>
    <t>Simmons</t>
  </si>
  <si>
    <t>Simonius-Blumer</t>
  </si>
  <si>
    <t>Sincock</t>
  </si>
  <si>
    <t>Sinkkonen</t>
  </si>
  <si>
    <t>Sirayanian</t>
  </si>
  <si>
    <t>Sirota</t>
  </si>
  <si>
    <t>Sivic</t>
  </si>
  <si>
    <t>Sivola</t>
  </si>
  <si>
    <t>SjÃ¶blom</t>
  </si>
  <si>
    <t>SjÃ¶stedt</t>
  </si>
  <si>
    <t>Skoog</t>
  </si>
  <si>
    <t>Slabenoff</t>
  </si>
  <si>
    <t>Slayter</t>
  </si>
  <si>
    <t>Slemen</t>
  </si>
  <si>
    <t>Slocovski</t>
  </si>
  <si>
    <t>Sloper</t>
  </si>
  <si>
    <t>Smart</t>
  </si>
  <si>
    <t>Smiljanic</t>
  </si>
  <si>
    <t>Smith</t>
  </si>
  <si>
    <t>Smyth</t>
  </si>
  <si>
    <t>Snyder</t>
  </si>
  <si>
    <t>Sobey</t>
  </si>
  <si>
    <t>SÃ¸holt</t>
  </si>
  <si>
    <t>Somerton</t>
  </si>
  <si>
    <t>Spector</t>
  </si>
  <si>
    <t>Spedden</t>
  </si>
  <si>
    <t>Spencer</t>
  </si>
  <si>
    <t>Spinner</t>
  </si>
  <si>
    <t>StÃ¤helin-Maeglin</t>
  </si>
  <si>
    <t>Staneff</t>
  </si>
  <si>
    <t>Stankovic</t>
  </si>
  <si>
    <t>Stanley</t>
  </si>
  <si>
    <t>Stanton</t>
  </si>
  <si>
    <t>Stead</t>
  </si>
  <si>
    <t>Stengel</t>
  </si>
  <si>
    <t>Stephenson</t>
  </si>
  <si>
    <t>Stewart</t>
  </si>
  <si>
    <t>Stokes</t>
  </si>
  <si>
    <t>Stone</t>
  </si>
  <si>
    <t>Storey</t>
  </si>
  <si>
    <t>Stoytcheff</t>
  </si>
  <si>
    <t>Strandberg</t>
  </si>
  <si>
    <t>StrandÃ©n</t>
  </si>
  <si>
    <t>Straus</t>
  </si>
  <si>
    <t>Strilic</t>
  </si>
  <si>
    <t>StrÃ¶m</t>
  </si>
  <si>
    <t>Sunderland</t>
  </si>
  <si>
    <t>Sundman</t>
  </si>
  <si>
    <t>Sutehall</t>
  </si>
  <si>
    <t>Sutton</t>
  </si>
  <si>
    <t>Svensson</t>
  </si>
  <si>
    <t>Swane</t>
  </si>
  <si>
    <t>Sweet</t>
  </si>
  <si>
    <t>Swift</t>
  </si>
  <si>
    <t>TannÅ«s</t>
  </si>
  <si>
    <t>Taussig</t>
  </si>
  <si>
    <t>Taylor</t>
  </si>
  <si>
    <t>Tenglin</t>
  </si>
  <si>
    <t>Thayer</t>
  </si>
  <si>
    <t>Theobald</t>
  </si>
  <si>
    <t>Thomas/Tannous</t>
  </si>
  <si>
    <t>Thompson</t>
  </si>
  <si>
    <t>Thorne</t>
  </si>
  <si>
    <t>Thorneycroft</t>
  </si>
  <si>
    <t>Tikkanen</t>
  </si>
  <si>
    <t>Tobin</t>
  </si>
  <si>
    <t>Todoroff</t>
  </si>
  <si>
    <t>Tomlin</t>
  </si>
  <si>
    <t>Toomey</t>
  </si>
  <si>
    <t>TÃ¶rber</t>
  </si>
  <si>
    <t>Torfa</t>
  </si>
  <si>
    <t>TÃ¶rnquist</t>
  </si>
  <si>
    <t>Totevski</t>
  </si>
  <si>
    <t>Troupiansky</t>
  </si>
  <si>
    <t>Trout</t>
  </si>
  <si>
    <t>Troutt</t>
  </si>
  <si>
    <t>Tucker</t>
  </si>
  <si>
    <t>Tu'mah</t>
  </si>
  <si>
    <t>Turcin</t>
  </si>
  <si>
    <t>Turja</t>
  </si>
  <si>
    <t>Turkula</t>
  </si>
  <si>
    <t>Turpin</t>
  </si>
  <si>
    <t>Uruchurtu</t>
  </si>
  <si>
    <t>van Billiard</t>
  </si>
  <si>
    <t>Van den Steen</t>
  </si>
  <si>
    <t>Vandercruyssen</t>
  </si>
  <si>
    <t>Van der hoef</t>
  </si>
  <si>
    <t>Vanderplancke</t>
  </si>
  <si>
    <t>Van de Velde</t>
  </si>
  <si>
    <t>Vandewalle</t>
  </si>
  <si>
    <t>Van Impe</t>
  </si>
  <si>
    <t>van Melckebeke</t>
  </si>
  <si>
    <t>Vartanian</t>
  </si>
  <si>
    <t>Veal</t>
  </si>
  <si>
    <t>Vendel</t>
  </si>
  <si>
    <t>VestrÃ¶m</t>
  </si>
  <si>
    <t>Vovk</t>
  </si>
  <si>
    <t>Waelens</t>
  </si>
  <si>
    <t>Walker</t>
  </si>
  <si>
    <t>Wallcroft</t>
  </si>
  <si>
    <t>Ward</t>
  </si>
  <si>
    <t>Ware</t>
  </si>
  <si>
    <t>Warren</t>
  </si>
  <si>
    <t>Watson</t>
  </si>
  <si>
    <t>Watt</t>
  </si>
  <si>
    <t>Wazli</t>
  </si>
  <si>
    <t>Webber</t>
  </si>
  <si>
    <t>Weir</t>
  </si>
  <si>
    <t>Weisz</t>
  </si>
  <si>
    <t>Wells</t>
  </si>
  <si>
    <t>WennerstrÃ¶m</t>
  </si>
  <si>
    <t>West</t>
  </si>
  <si>
    <t>Wheadon</t>
  </si>
  <si>
    <t>Wheeler</t>
  </si>
  <si>
    <t>Whilems</t>
  </si>
  <si>
    <t>White</t>
  </si>
  <si>
    <t>Wick</t>
  </si>
  <si>
    <t>Widegren</t>
  </si>
  <si>
    <t>Widener</t>
  </si>
  <si>
    <t>Wiklund</t>
  </si>
  <si>
    <t>Wilkes</t>
  </si>
  <si>
    <t>Wilkinson</t>
  </si>
  <si>
    <t>Willard</t>
  </si>
  <si>
    <t>Willer</t>
  </si>
  <si>
    <t>Willey</t>
  </si>
  <si>
    <t>Williams</t>
  </si>
  <si>
    <t>Wilson</t>
  </si>
  <si>
    <t>WindelÃ¸v</t>
  </si>
  <si>
    <t>Wirz</t>
  </si>
  <si>
    <t>Wiseman</t>
  </si>
  <si>
    <t>Wittevrongel</t>
  </si>
  <si>
    <t>Woodward</t>
  </si>
  <si>
    <t>Woolner</t>
  </si>
  <si>
    <t>Wright</t>
  </si>
  <si>
    <t>Yasbeck</t>
  </si>
  <si>
    <t>Yazbeck</t>
  </si>
  <si>
    <t>Young</t>
  </si>
  <si>
    <t>Yousseff (Abi Saab)</t>
  </si>
  <si>
    <t>Youssiff (Sam'aan)</t>
  </si>
  <si>
    <t>YÅ«suf</t>
  </si>
  <si>
    <t>Yvois</t>
  </si>
  <si>
    <t>Zakarian</t>
  </si>
  <si>
    <t>Zenni</t>
  </si>
  <si>
    <t>Zimmermann</t>
  </si>
  <si>
    <t>Abrams</t>
  </si>
  <si>
    <t>Ahier</t>
  </si>
  <si>
    <t>Akerman</t>
  </si>
  <si>
    <t>Allaria</t>
  </si>
  <si>
    <t>Allsop</t>
  </si>
  <si>
    <t>Archer</t>
  </si>
  <si>
    <t>Ashcroft</t>
  </si>
  <si>
    <t>Ashe</t>
  </si>
  <si>
    <t>Aspeslagh</t>
  </si>
  <si>
    <t>Avery</t>
  </si>
  <si>
    <t>Ayling</t>
  </si>
  <si>
    <t>Back</t>
  </si>
  <si>
    <t>Baggott</t>
  </si>
  <si>
    <t>Bagley</t>
  </si>
  <si>
    <t>Baines</t>
  </si>
  <si>
    <t>Ball</t>
  </si>
  <si>
    <t>Banfi</t>
  </si>
  <si>
    <t>Bannon</t>
  </si>
  <si>
    <t>Barker</t>
  </si>
  <si>
    <t>Barlow</t>
  </si>
  <si>
    <t>Barnes</t>
  </si>
  <si>
    <t>Barratt</t>
  </si>
  <si>
    <t>Barrett</t>
  </si>
  <si>
    <t>Barringer</t>
  </si>
  <si>
    <t>Barrow</t>
  </si>
  <si>
    <t>Barrows</t>
  </si>
  <si>
    <t>Basilico</t>
  </si>
  <si>
    <t>Bazzi</t>
  </si>
  <si>
    <t>Bedford</t>
  </si>
  <si>
    <t>Beedem</t>
  </si>
  <si>
    <t>Beere</t>
  </si>
  <si>
    <t>Bell</t>
  </si>
  <si>
    <t>Bendell</t>
  </si>
  <si>
    <t>Benham</t>
  </si>
  <si>
    <t>Bennett</t>
  </si>
  <si>
    <t>Benville</t>
  </si>
  <si>
    <t>Bernardi</t>
  </si>
  <si>
    <t>Bessant</t>
  </si>
  <si>
    <t>Best</t>
  </si>
  <si>
    <t>Beux</t>
  </si>
  <si>
    <t>Bevis</t>
  </si>
  <si>
    <t>Biddlecombe</t>
  </si>
  <si>
    <t>Bietrix</t>
  </si>
  <si>
    <t>Biggs</t>
  </si>
  <si>
    <t>Billows</t>
  </si>
  <si>
    <t>Binstead</t>
  </si>
  <si>
    <t>Blackman</t>
  </si>
  <si>
    <t>Black</t>
  </si>
  <si>
    <t>Blake</t>
  </si>
  <si>
    <t>Blaney</t>
  </si>
  <si>
    <t>Blann</t>
  </si>
  <si>
    <t>Bliss</t>
  </si>
  <si>
    <t>Blumet</t>
  </si>
  <si>
    <t>Bochatay</t>
  </si>
  <si>
    <t>Bochet</t>
  </si>
  <si>
    <t>Bogie</t>
  </si>
  <si>
    <t>Bolhuis</t>
  </si>
  <si>
    <t>Bond</t>
  </si>
  <si>
    <t>Boothby</t>
  </si>
  <si>
    <t>Boston</t>
  </si>
  <si>
    <t>Bott</t>
  </si>
  <si>
    <t>Boughton</t>
  </si>
  <si>
    <t>Bowker</t>
  </si>
  <si>
    <t>Boxhall</t>
  </si>
  <si>
    <t>Boyd</t>
  </si>
  <si>
    <t>Boyes</t>
  </si>
  <si>
    <t>Bradshaw</t>
  </si>
  <si>
    <t>Brewer</t>
  </si>
  <si>
    <t>Brewster</t>
  </si>
  <si>
    <t>Briant</t>
  </si>
  <si>
    <t>Brice</t>
  </si>
  <si>
    <t>Bride</t>
  </si>
  <si>
    <t>Bright</t>
  </si>
  <si>
    <t>Bristow</t>
  </si>
  <si>
    <t>Brookman</t>
  </si>
  <si>
    <t>Brooks</t>
  </si>
  <si>
    <t>Broome</t>
  </si>
  <si>
    <t>Broom</t>
  </si>
  <si>
    <t>Buley</t>
  </si>
  <si>
    <t>Bulley</t>
  </si>
  <si>
    <t>Bull</t>
  </si>
  <si>
    <t>Bunnell</t>
  </si>
  <si>
    <t>Burgess</t>
  </si>
  <si>
    <t>Burrage</t>
  </si>
  <si>
    <t>Burr</t>
  </si>
  <si>
    <t>Burroughs</t>
  </si>
  <si>
    <t>Burton</t>
  </si>
  <si>
    <t>Butterworth</t>
  </si>
  <si>
    <t>Byrne</t>
  </si>
  <si>
    <t>Calderwood</t>
  </si>
  <si>
    <t>Canner</t>
  </si>
  <si>
    <t>Carney</t>
  </si>
  <si>
    <t>Carter (Ball)</t>
  </si>
  <si>
    <t>Cartwright</t>
  </si>
  <si>
    <t>Casali</t>
  </si>
  <si>
    <t>Casey</t>
  </si>
  <si>
    <t>Casswill</t>
  </si>
  <si>
    <t>Castleman</t>
  </si>
  <si>
    <t>Caton</t>
  </si>
  <si>
    <t>Caunt</t>
  </si>
  <si>
    <t>Cavell</t>
  </si>
  <si>
    <t>Cave</t>
  </si>
  <si>
    <t>Cecil</t>
  </si>
  <si>
    <t>Chaboisson</t>
  </si>
  <si>
    <t>Charman</t>
  </si>
  <si>
    <t>Cherrett</t>
  </si>
  <si>
    <t>Cheverton</t>
  </si>
  <si>
    <t>Chisnall</t>
  </si>
  <si>
    <t>Chitty</t>
  </si>
  <si>
    <t>Chorley</t>
  </si>
  <si>
    <t>Christmas</t>
  </si>
  <si>
    <t>Clench</t>
  </si>
  <si>
    <t>Coe</t>
  </si>
  <si>
    <t>Coleman</t>
  </si>
  <si>
    <t>Colgan</t>
  </si>
  <si>
    <t>Collins</t>
  </si>
  <si>
    <t>Combes</t>
  </si>
  <si>
    <t>Conway</t>
  </si>
  <si>
    <t>Coombs</t>
  </si>
  <si>
    <t>Cooper</t>
  </si>
  <si>
    <t>Copperthwaite</t>
  </si>
  <si>
    <t>Corben</t>
  </si>
  <si>
    <t>Corcoran</t>
  </si>
  <si>
    <t>Cornaire</t>
  </si>
  <si>
    <t>Cotton</t>
  </si>
  <si>
    <t>Couch</t>
  </si>
  <si>
    <t>Couper</t>
  </si>
  <si>
    <t>Coutin</t>
  </si>
  <si>
    <t>Cox</t>
  </si>
  <si>
    <t>Coy</t>
  </si>
  <si>
    <t>Crabb</t>
  </si>
  <si>
    <t>Crafter</t>
  </si>
  <si>
    <t>Crawford</t>
  </si>
  <si>
    <t>Creese</t>
  </si>
  <si>
    <t>Crimmins</t>
  </si>
  <si>
    <t>Crispin</t>
  </si>
  <si>
    <t>Crisp</t>
  </si>
  <si>
    <t>Crosbie</t>
  </si>
  <si>
    <t>Cross</t>
  </si>
  <si>
    <t>Crovella</t>
  </si>
  <si>
    <t>Crowe</t>
  </si>
  <si>
    <t>Crumplin</t>
  </si>
  <si>
    <t>Cullen</t>
  </si>
  <si>
    <t>Curtis</t>
  </si>
  <si>
    <t>Dashwood</t>
  </si>
  <si>
    <t>Dawson</t>
  </si>
  <si>
    <t>Debreucq</t>
  </si>
  <si>
    <t>Deeble</t>
  </si>
  <si>
    <t>De Marsico</t>
  </si>
  <si>
    <t>Derrett</t>
  </si>
  <si>
    <t>Deslandes</t>
  </si>
  <si>
    <t>Desvernine</t>
  </si>
  <si>
    <t>Diaper</t>
  </si>
  <si>
    <t>Dickson</t>
  </si>
  <si>
    <t>Dilley</t>
  </si>
  <si>
    <t>Dillon</t>
  </si>
  <si>
    <t>Dinenage</t>
  </si>
  <si>
    <t>Dodd</t>
  </si>
  <si>
    <t>Dodds</t>
  </si>
  <si>
    <t>Doel</t>
  </si>
  <si>
    <t>Dolby</t>
  </si>
  <si>
    <t>Donati</t>
  </si>
  <si>
    <t>Donoghue</t>
  </si>
  <si>
    <t>Dore</t>
  </si>
  <si>
    <t>Dornier</t>
  </si>
  <si>
    <t>Doughty</t>
  </si>
  <si>
    <t>Duffy</t>
  </si>
  <si>
    <t>Dunford</t>
  </si>
  <si>
    <t>Durnil</t>
  </si>
  <si>
    <t>Dyer</t>
  </si>
  <si>
    <t>Dymond</t>
  </si>
  <si>
    <t>Eagle</t>
  </si>
  <si>
    <t>Eastman</t>
  </si>
  <si>
    <t>Edbrooke</t>
  </si>
  <si>
    <t>Ede</t>
  </si>
  <si>
    <t>Edge</t>
  </si>
  <si>
    <t>Edwards</t>
  </si>
  <si>
    <t>Egg</t>
  </si>
  <si>
    <t>Elliott</t>
  </si>
  <si>
    <t>Ellis</t>
  </si>
  <si>
    <t>Ennis</t>
  </si>
  <si>
    <t>Ervine</t>
  </si>
  <si>
    <t>Etches</t>
  </si>
  <si>
    <t>Fairall</t>
  </si>
  <si>
    <t>Farenden</t>
  </si>
  <si>
    <t>Farquharson</t>
  </si>
  <si>
    <t>Faulkner</t>
  </si>
  <si>
    <t>Fay</t>
  </si>
  <si>
    <t>Fellowes</t>
  </si>
  <si>
    <t>Feltham</t>
  </si>
  <si>
    <t>Ferrary</t>
  </si>
  <si>
    <t>Ferris</t>
  </si>
  <si>
    <t>Fey</t>
  </si>
  <si>
    <t>Finch</t>
  </si>
  <si>
    <t>Fioravante</t>
  </si>
  <si>
    <t>Fitzpatrick</t>
  </si>
  <si>
    <t>Flarty</t>
  </si>
  <si>
    <t>Fleet</t>
  </si>
  <si>
    <t>Fletcher</t>
  </si>
  <si>
    <t>Forward</t>
  </si>
  <si>
    <t>Foster</t>
  </si>
  <si>
    <t>Fraser</t>
  </si>
  <si>
    <t>Fredericks</t>
  </si>
  <si>
    <t>Freeman</t>
  </si>
  <si>
    <t>Fryer</t>
  </si>
  <si>
    <t>Gatti</t>
  </si>
  <si>
    <t>Geddes</t>
  </si>
  <si>
    <t>Geer</t>
  </si>
  <si>
    <t>Gibbons</t>
  </si>
  <si>
    <t>Gilardino</t>
  </si>
  <si>
    <t>Godley</t>
  </si>
  <si>
    <t>Godwin</t>
  </si>
  <si>
    <t>Golder</t>
  </si>
  <si>
    <t>Gold</t>
  </si>
  <si>
    <t>Gollop</t>
  </si>
  <si>
    <t>Gordon</t>
  </si>
  <si>
    <t>Goree</t>
  </si>
  <si>
    <t>Goshawk</t>
  </si>
  <si>
    <t>Gosling</t>
  </si>
  <si>
    <t>Gradidge</t>
  </si>
  <si>
    <t>Gregory</t>
  </si>
  <si>
    <t>Gregson</t>
  </si>
  <si>
    <t>Grosclaude</t>
  </si>
  <si>
    <t>Gumery</t>
  </si>
  <si>
    <t>Gunn</t>
  </si>
  <si>
    <t>Guy</t>
  </si>
  <si>
    <t>Gwinn</t>
  </si>
  <si>
    <t>Haggan</t>
  </si>
  <si>
    <t>Haines</t>
  </si>
  <si>
    <t>Halford</t>
  </si>
  <si>
    <t>Hallett</t>
  </si>
  <si>
    <t>Hall</t>
  </si>
  <si>
    <t>Hamblyn</t>
  </si>
  <si>
    <t>Hamilton</t>
  </si>
  <si>
    <t>Hands</t>
  </si>
  <si>
    <t>Hannam</t>
  </si>
  <si>
    <t>Harding</t>
  </si>
  <si>
    <t>Hardwick</t>
  </si>
  <si>
    <t>Hardy</t>
  </si>
  <si>
    <t>Hartnell</t>
  </si>
  <si>
    <t>Harvey</t>
  </si>
  <si>
    <t>Hatch</t>
  </si>
  <si>
    <t>Hawkesworth</t>
  </si>
  <si>
    <t>Hayter</t>
  </si>
  <si>
    <t>Hebb</t>
  </si>
  <si>
    <t>Heinen</t>
  </si>
  <si>
    <t>Hemming</t>
  </si>
  <si>
    <t>Hendrickson</t>
  </si>
  <si>
    <t>Hendy</t>
  </si>
  <si>
    <t>Hensford</t>
  </si>
  <si>
    <t>Hesketh</t>
  </si>
  <si>
    <t>Heslin</t>
  </si>
  <si>
    <t>Hewitt</t>
  </si>
  <si>
    <t>Hichens</t>
  </si>
  <si>
    <t>Hill</t>
  </si>
  <si>
    <t>Hinckley</t>
  </si>
  <si>
    <t>Hine</t>
  </si>
  <si>
    <t>Hinton</t>
  </si>
  <si>
    <t>Hiscock</t>
  </si>
  <si>
    <t>Hoare</t>
  </si>
  <si>
    <t>Hodge</t>
  </si>
  <si>
    <t>Hodgkinson</t>
  </si>
  <si>
    <t>Hogg</t>
  </si>
  <si>
    <t>Hogue</t>
  </si>
  <si>
    <t>Holland</t>
  </si>
  <si>
    <t>Holloway</t>
  </si>
  <si>
    <t>Holman</t>
  </si>
  <si>
    <t>Hopgood</t>
  </si>
  <si>
    <t>Hopkins</t>
  </si>
  <si>
    <t>Horswill</t>
  </si>
  <si>
    <t>Hosgood</t>
  </si>
  <si>
    <t>Hosking</t>
  </si>
  <si>
    <t>House</t>
  </si>
  <si>
    <t>Howell</t>
  </si>
  <si>
    <t>Hughes</t>
  </si>
  <si>
    <t>Humby</t>
  </si>
  <si>
    <t>Humphreys</t>
  </si>
  <si>
    <t>Hurst</t>
  </si>
  <si>
    <t>Hutchinson</t>
  </si>
  <si>
    <t>Hyland</t>
  </si>
  <si>
    <t>Ide</t>
  </si>
  <si>
    <t>Ingram</t>
  </si>
  <si>
    <t>Ingrouille</t>
  </si>
  <si>
    <t>Ings</t>
  </si>
  <si>
    <t>Instance</t>
  </si>
  <si>
    <t>Jackopson</t>
  </si>
  <si>
    <t>Jackson</t>
  </si>
  <si>
    <t>Jago</t>
  </si>
  <si>
    <t>Jaillet</t>
  </si>
  <si>
    <t>James</t>
  </si>
  <si>
    <t>Janaway</t>
  </si>
  <si>
    <t>Janin</t>
  </si>
  <si>
    <t>Jeffery</t>
  </si>
  <si>
    <t>Jenner</t>
  </si>
  <si>
    <t>Jessop</t>
  </si>
  <si>
    <t>Jewell</t>
  </si>
  <si>
    <t>Joas</t>
  </si>
  <si>
    <t>Jouannault</t>
  </si>
  <si>
    <t>Joughin</t>
  </si>
  <si>
    <t>Judd</t>
  </si>
  <si>
    <t>Jukes</t>
  </si>
  <si>
    <t>Jupe</t>
  </si>
  <si>
    <t>Kasper</t>
  </si>
  <si>
    <t>Kearl</t>
  </si>
  <si>
    <t>Keen</t>
  </si>
  <si>
    <t>Kelland</t>
  </si>
  <si>
    <t>Kemish</t>
  </si>
  <si>
    <t>Kemp</t>
  </si>
  <si>
    <t>Kenchenten</t>
  </si>
  <si>
    <t>Kennell</t>
  </si>
  <si>
    <t>Kenzler</t>
  </si>
  <si>
    <t>Kerley</t>
  </si>
  <si>
    <t>Kerr</t>
  </si>
  <si>
    <t>Ketchley</t>
  </si>
  <si>
    <t>Kieran</t>
  </si>
  <si>
    <t>King</t>
  </si>
  <si>
    <t>Kingscote</t>
  </si>
  <si>
    <t>Kinsella</t>
  </si>
  <si>
    <t>Kirkaldy</t>
  </si>
  <si>
    <t>Kirkham</t>
  </si>
  <si>
    <t>Kitching</t>
  </si>
  <si>
    <t>Klein</t>
  </si>
  <si>
    <t>Knowles</t>
  </si>
  <si>
    <t>Lacey</t>
  </si>
  <si>
    <t>Lahy</t>
  </si>
  <si>
    <t>Lake</t>
  </si>
  <si>
    <t>Latimer</t>
  </si>
  <si>
    <t>Lavington</t>
  </si>
  <si>
    <t>Lawrence</t>
  </si>
  <si>
    <t>Leather</t>
  </si>
  <si>
    <t>Lee</t>
  </si>
  <si>
    <t>Leonard</t>
  </si>
  <si>
    <t>Levett</t>
  </si>
  <si>
    <t>Lewis</t>
  </si>
  <si>
    <t>Light</t>
  </si>
  <si>
    <t>Lightoller</t>
  </si>
  <si>
    <t>Lindsay</t>
  </si>
  <si>
    <t>Littlejohn</t>
  </si>
  <si>
    <t>Lloyd</t>
  </si>
  <si>
    <t>Locke</t>
  </si>
  <si>
    <t>Longmuir</t>
  </si>
  <si>
    <t>Lowe</t>
  </si>
  <si>
    <t>Lucas</t>
  </si>
  <si>
    <t>Lydiatt</t>
  </si>
  <si>
    <t>Lyons</t>
  </si>
  <si>
    <t>Mabey</t>
  </si>
  <si>
    <t>MacKie</t>
  </si>
  <si>
    <t>Mackie</t>
  </si>
  <si>
    <t>Major</t>
  </si>
  <si>
    <t>Mantle</t>
  </si>
  <si>
    <t>March</t>
  </si>
  <si>
    <t>Marett</t>
  </si>
  <si>
    <t>Marks</t>
  </si>
  <si>
    <t>Marriott</t>
  </si>
  <si>
    <t>Marsden</t>
  </si>
  <si>
    <t>Marsh</t>
  </si>
  <si>
    <t>Martin</t>
  </si>
  <si>
    <t>Maskell</t>
  </si>
  <si>
    <t>Mason</t>
  </si>
  <si>
    <t>Matherson</t>
  </si>
  <si>
    <t>Mathias</t>
  </si>
  <si>
    <t>Mattmann</t>
  </si>
  <si>
    <t>Mauge</t>
  </si>
  <si>
    <t>Maxwell</t>
  </si>
  <si>
    <t>May</t>
  </si>
  <si>
    <t>Maynard</t>
  </si>
  <si>
    <t>Mayo</t>
  </si>
  <si>
    <t>Maytum</t>
  </si>
  <si>
    <t>Mayzes</t>
  </si>
  <si>
    <t>McAndrew</t>
  </si>
  <si>
    <t>McAndrews</t>
  </si>
  <si>
    <t>McCastlan</t>
  </si>
  <si>
    <t>McCawley</t>
  </si>
  <si>
    <t>McElroy</t>
  </si>
  <si>
    <t>McGann</t>
  </si>
  <si>
    <t>McGarvey</t>
  </si>
  <si>
    <t>McGaw</t>
  </si>
  <si>
    <t>McGrady</t>
  </si>
  <si>
    <t>McInerney</t>
  </si>
  <si>
    <t>McIntyre</t>
  </si>
  <si>
    <t>McKay</t>
  </si>
  <si>
    <t>McLaren</t>
  </si>
  <si>
    <t>McMicken</t>
  </si>
  <si>
    <t>McMullin</t>
  </si>
  <si>
    <t>McMurray</t>
  </si>
  <si>
    <t>McQuillan</t>
  </si>
  <si>
    <t>McRae</t>
  </si>
  <si>
    <t>McReynolds</t>
  </si>
  <si>
    <t>Mellor</t>
  </si>
  <si>
    <t>Middleton</t>
  </si>
  <si>
    <t>Milford</t>
  </si>
  <si>
    <t>Millar</t>
  </si>
  <si>
    <t>Mills</t>
  </si>
  <si>
    <t>Mintram</t>
  </si>
  <si>
    <t>Mishellany</t>
  </si>
  <si>
    <t>MonrÃ³s</t>
  </si>
  <si>
    <t>Monteverdi</t>
  </si>
  <si>
    <t>Moody</t>
  </si>
  <si>
    <t>Moores</t>
  </si>
  <si>
    <t>Morgan (Bird)</t>
  </si>
  <si>
    <t>Morgan</t>
  </si>
  <si>
    <t>Morris</t>
  </si>
  <si>
    <t>Moyes</t>
  </si>
  <si>
    <t>MÃ¼ller</t>
  </si>
  <si>
    <t>Murdoch</t>
  </si>
  <si>
    <t>Nannini</t>
  </si>
  <si>
    <t>Neal</t>
  </si>
  <si>
    <t>Nettleton</t>
  </si>
  <si>
    <t>Newman</t>
  </si>
  <si>
    <t>Nichols</t>
  </si>
  <si>
    <t>Niven</t>
  </si>
  <si>
    <t>Noon</t>
  </si>
  <si>
    <t>Norris</t>
  </si>
  <si>
    <t>Noss</t>
  </si>
  <si>
    <t>Nutbean</t>
  </si>
  <si>
    <t>Olive</t>
  </si>
  <si>
    <t>Oliver</t>
  </si>
  <si>
    <t>Olliver</t>
  </si>
  <si>
    <t>O'Loughlin</t>
  </si>
  <si>
    <t>Orpet</t>
  </si>
  <si>
    <t>Orr</t>
  </si>
  <si>
    <t>Osborne</t>
  </si>
  <si>
    <t>Osman</t>
  </si>
  <si>
    <t>Othen</t>
  </si>
  <si>
    <t>Owen</t>
  </si>
  <si>
    <t>Pacey</t>
  </si>
  <si>
    <t>Pachera</t>
  </si>
  <si>
    <t>Paice</t>
  </si>
  <si>
    <t>Painter</t>
  </si>
  <si>
    <t>Paintin</t>
  </si>
  <si>
    <t>Palles</t>
  </si>
  <si>
    <t>Parsons</t>
  </si>
  <si>
    <t>Pascoe</t>
  </si>
  <si>
    <t>Pearcey</t>
  </si>
  <si>
    <t>Pedrini</t>
  </si>
  <si>
    <t>Pelham</t>
  </si>
  <si>
    <t>Pennal</t>
  </si>
  <si>
    <t>Penny</t>
  </si>
  <si>
    <t>Penrose</t>
  </si>
  <si>
    <t>Peracchio</t>
  </si>
  <si>
    <t>Perkins</t>
  </si>
  <si>
    <t>Perkis</t>
  </si>
  <si>
    <t>Perotti</t>
  </si>
  <si>
    <t>Perren</t>
  </si>
  <si>
    <t>Perriton</t>
  </si>
  <si>
    <t>Perry</t>
  </si>
  <si>
    <t>Petty</t>
  </si>
  <si>
    <t>Pfropper</t>
  </si>
  <si>
    <t>Phillimore</t>
  </si>
  <si>
    <t>Piatti</t>
  </si>
  <si>
    <t>Piazza</t>
  </si>
  <si>
    <t>Pitfield</t>
  </si>
  <si>
    <t>Pitman</t>
  </si>
  <si>
    <t>Platt</t>
  </si>
  <si>
    <t>Podesta</t>
  </si>
  <si>
    <t>Poggi</t>
  </si>
  <si>
    <t>Poingdestre</t>
  </si>
  <si>
    <t>Pond</t>
  </si>
  <si>
    <t>Pook</t>
  </si>
  <si>
    <t>Porteus</t>
  </si>
  <si>
    <t>Port</t>
  </si>
  <si>
    <t>Prangnell</t>
  </si>
  <si>
    <t>Prentice</t>
  </si>
  <si>
    <t>Preston</t>
  </si>
  <si>
    <t>Price</t>
  </si>
  <si>
    <t>Prichard</t>
  </si>
  <si>
    <t>Prideaux</t>
  </si>
  <si>
    <t>Priest</t>
  </si>
  <si>
    <t>Prior</t>
  </si>
  <si>
    <t>Proctor</t>
  </si>
  <si>
    <t>Proudfoot</t>
  </si>
  <si>
    <t>Pryce</t>
  </si>
  <si>
    <t>Pugh</t>
  </si>
  <si>
    <t>Pusey</t>
  </si>
  <si>
    <t>Puzey</t>
  </si>
  <si>
    <t>Randall</t>
  </si>
  <si>
    <t>Ranger</t>
  </si>
  <si>
    <t>Ransom</t>
  </si>
  <si>
    <t>Rattenbury</t>
  </si>
  <si>
    <t>Ratti</t>
  </si>
  <si>
    <t>Ray</t>
  </si>
  <si>
    <t>Read</t>
  </si>
  <si>
    <t>Reid</t>
  </si>
  <si>
    <t>Revell</t>
  </si>
  <si>
    <t>Ricaldone</t>
  </si>
  <si>
    <t>Rickman</t>
  </si>
  <si>
    <t>Ricks</t>
  </si>
  <si>
    <t>Ridout</t>
  </si>
  <si>
    <t>Rigozzi</t>
  </si>
  <si>
    <t>Rimmer</t>
  </si>
  <si>
    <t>Roberton</t>
  </si>
  <si>
    <t>Roberts</t>
  </si>
  <si>
    <t>Robinson</t>
  </si>
  <si>
    <t>Rotta</t>
  </si>
  <si>
    <t>Rous</t>
  </si>
  <si>
    <t>Rousseau</t>
  </si>
  <si>
    <t>Rudd</t>
  </si>
  <si>
    <t>Rule</t>
  </si>
  <si>
    <t>Russell</t>
  </si>
  <si>
    <t>Rutter</t>
  </si>
  <si>
    <t>Saccaggi</t>
  </si>
  <si>
    <t>Salussolia</t>
  </si>
  <si>
    <t>Samuel</t>
  </si>
  <si>
    <t>Sangster</t>
  </si>
  <si>
    <t>Sartori</t>
  </si>
  <si>
    <t>Saunders</t>
  </si>
  <si>
    <t>Savage</t>
  </si>
  <si>
    <t>Scarrott</t>
  </si>
  <si>
    <t>Scavino</t>
  </si>
  <si>
    <t>Scott</t>
  </si>
  <si>
    <t>Scovell</t>
  </si>
  <si>
    <t>Sedunary</t>
  </si>
  <si>
    <t>Self</t>
  </si>
  <si>
    <t>Senior</t>
  </si>
  <si>
    <t>Sesia</t>
  </si>
  <si>
    <t>Shaw</t>
  </si>
  <si>
    <t>Shea</t>
  </si>
  <si>
    <t>Sheath</t>
  </si>
  <si>
    <t>Shepherd</t>
  </si>
  <si>
    <t>Shiers</t>
  </si>
  <si>
    <t>Shillabeer</t>
  </si>
  <si>
    <t>Siebert</t>
  </si>
  <si>
    <t>Simpson</t>
  </si>
  <si>
    <t>Sivier</t>
  </si>
  <si>
    <t>Skeates</t>
  </si>
  <si>
    <t>Skinner</t>
  </si>
  <si>
    <t>Slight</t>
  </si>
  <si>
    <t>Sloan</t>
  </si>
  <si>
    <t>Slocombe</t>
  </si>
  <si>
    <t>Small</t>
  </si>
  <si>
    <t>Smillie</t>
  </si>
  <si>
    <t>Smither</t>
  </si>
  <si>
    <t>Snape</t>
  </si>
  <si>
    <t>Snellgrove</t>
  </si>
  <si>
    <t>Snooks</t>
  </si>
  <si>
    <t>Snow</t>
  </si>
  <si>
    <t>Sparkman</t>
  </si>
  <si>
    <t>Stagg</t>
  </si>
  <si>
    <t>Stanbrook</t>
  </si>
  <si>
    <t>Stap</t>
  </si>
  <si>
    <t>Stebbings</t>
  </si>
  <si>
    <t>Steel</t>
  </si>
  <si>
    <t>Stocker</t>
  </si>
  <si>
    <t>Street</t>
  </si>
  <si>
    <t>Stroud</t>
  </si>
  <si>
    <t>Strugnell</t>
  </si>
  <si>
    <t>Stubbings</t>
  </si>
  <si>
    <t>Stubbs</t>
  </si>
  <si>
    <t>Sullivan</t>
  </si>
  <si>
    <t>Swan</t>
  </si>
  <si>
    <t>Symonds</t>
  </si>
  <si>
    <t>Symons</t>
  </si>
  <si>
    <t>Talbot</t>
  </si>
  <si>
    <t>Tamlyn</t>
  </si>
  <si>
    <t>Terrell</t>
  </si>
  <si>
    <t>Testoni</t>
  </si>
  <si>
    <t>Teuton</t>
  </si>
  <si>
    <t>Thaler</t>
  </si>
  <si>
    <t>Theissinger</t>
  </si>
  <si>
    <t>Thomas</t>
  </si>
  <si>
    <t>Thorley</t>
  </si>
  <si>
    <t>Thorn</t>
  </si>
  <si>
    <t>Threlfall</t>
  </si>
  <si>
    <t>Thresher</t>
  </si>
  <si>
    <t>Tietz</t>
  </si>
  <si>
    <t>Tizard</t>
  </si>
  <si>
    <t>Toms</t>
  </si>
  <si>
    <t>Topp</t>
  </si>
  <si>
    <t>Toshack</t>
  </si>
  <si>
    <t>Tozer</t>
  </si>
  <si>
    <t>Triggs</t>
  </si>
  <si>
    <t>Turley</t>
  </si>
  <si>
    <t>Turner</t>
  </si>
  <si>
    <t>Turvey</t>
  </si>
  <si>
    <t>Urbini</t>
  </si>
  <si>
    <t>Valvassori</t>
  </si>
  <si>
    <t>van der Brugge</t>
  </si>
  <si>
    <t>Vear</t>
  </si>
  <si>
    <t>Vicat</t>
  </si>
  <si>
    <t>Vigott</t>
  </si>
  <si>
    <t>Villvarlange</t>
  </si>
  <si>
    <t>Vine</t>
  </si>
  <si>
    <t>Vioni</t>
  </si>
  <si>
    <t>Voegelin-Dubach</t>
  </si>
  <si>
    <t>Wake</t>
  </si>
  <si>
    <t>Wallis</t>
  </si>
  <si>
    <t>Walpole</t>
  </si>
  <si>
    <t>Walsh</t>
  </si>
  <si>
    <t>Wardner</t>
  </si>
  <si>
    <t>Wareham</t>
  </si>
  <si>
    <t>Warwick</t>
  </si>
  <si>
    <t>Wateridge</t>
  </si>
  <si>
    <t>Weatherston</t>
  </si>
  <si>
    <t>Webb</t>
  </si>
  <si>
    <t>Weikman</t>
  </si>
  <si>
    <t>Welch</t>
  </si>
  <si>
    <t>Weller</t>
  </si>
  <si>
    <t>Wheat</t>
  </si>
  <si>
    <t>Wheelton</t>
  </si>
  <si>
    <t>Whiteley</t>
  </si>
  <si>
    <t>Whitford</t>
  </si>
  <si>
    <t>Widgery</t>
  </si>
  <si>
    <t>Wilde</t>
  </si>
  <si>
    <t>Williamson</t>
  </si>
  <si>
    <t>Willis</t>
  </si>
  <si>
    <t>Willsher</t>
  </si>
  <si>
    <t>Wilton</t>
  </si>
  <si>
    <t>Windebank</t>
  </si>
  <si>
    <t>Winser</t>
  </si>
  <si>
    <t>Witcher</t>
  </si>
  <si>
    <t>Witter</t>
  </si>
  <si>
    <t>Wittman</t>
  </si>
  <si>
    <t>Witt</t>
  </si>
  <si>
    <t>Witts</t>
  </si>
  <si>
    <t>Woodford</t>
  </si>
  <si>
    <t>Wood</t>
  </si>
  <si>
    <t>Woody</t>
  </si>
  <si>
    <t>Wormald</t>
  </si>
  <si>
    <t>Worthman</t>
  </si>
  <si>
    <t>Wrapson</t>
  </si>
  <si>
    <t>Wyeth</t>
  </si>
  <si>
    <t>Wynn</t>
  </si>
  <si>
    <t>Yearsley</t>
  </si>
  <si>
    <t>Zanetti</t>
  </si>
  <si>
    <t>Zarracchi</t>
  </si>
  <si>
    <t xml:space="preserve"> Mr</t>
  </si>
  <si>
    <t xml:space="preserve"> Anthony</t>
  </si>
  <si>
    <t xml:space="preserve"> Eugene Joseph</t>
  </si>
  <si>
    <t xml:space="preserve"> Rossmore Edward</t>
  </si>
  <si>
    <t xml:space="preserve"> Mrs</t>
  </si>
  <si>
    <t xml:space="preserve"> Rhoda Mary 'Rosa'</t>
  </si>
  <si>
    <t xml:space="preserve"> Miss</t>
  </si>
  <si>
    <t xml:space="preserve"> Karen Marie</t>
  </si>
  <si>
    <t xml:space="preserve"> Olaus JÃ¸rgensen</t>
  </si>
  <si>
    <t xml:space="preserve"> Samuel</t>
  </si>
  <si>
    <t xml:space="preserve"> Hannah</t>
  </si>
  <si>
    <t xml:space="preserve"> NÄsÄ«f QÄsim</t>
  </si>
  <si>
    <t xml:space="preserve"> Abraham August Johannes</t>
  </si>
  <si>
    <t xml:space="preserve"> Mauritz</t>
  </si>
  <si>
    <t xml:space="preserve"> John</t>
  </si>
  <si>
    <t xml:space="preserve"> Johanna Persdotter</t>
  </si>
  <si>
    <t xml:space="preserve"> Master</t>
  </si>
  <si>
    <t xml:space="preserve"> Frank Philip</t>
  </si>
  <si>
    <t xml:space="preserve"> Leah</t>
  </si>
  <si>
    <t xml:space="preserve"> Augustus Henry</t>
  </si>
  <si>
    <t xml:space="preserve"> William Albert</t>
  </si>
  <si>
    <t xml:space="preserve"> Ilmari Rudolf</t>
  </si>
  <si>
    <t xml:space="preserve"> Ahmed</t>
  </si>
  <si>
    <t xml:space="preserve"> William</t>
  </si>
  <si>
    <t xml:space="preserve"> Elisabeth Walton</t>
  </si>
  <si>
    <t xml:space="preserve"> William Henry</t>
  </si>
  <si>
    <t xml:space="preserve"> Hudson Trevor</t>
  </si>
  <si>
    <t xml:space="preserve"> Helen Loraine</t>
  </si>
  <si>
    <t xml:space="preserve"> Hudson Joshua Creighton</t>
  </si>
  <si>
    <t xml:space="preserve"> Bessie Waldo</t>
  </si>
  <si>
    <t xml:space="preserve"> Owen George</t>
  </si>
  <si>
    <t xml:space="preserve"> FarÄ«d Husayn QÄsim</t>
  </si>
  <si>
    <t xml:space="preserve"> Carla Christine Nielsine</t>
  </si>
  <si>
    <t xml:space="preserve"> Albert Karvin</t>
  </si>
  <si>
    <t xml:space="preserve"> Harry</t>
  </si>
  <si>
    <t xml:space="preserve"> Sigvard Harald Elias</t>
  </si>
  <si>
    <t xml:space="preserve"> Ebba Iris Alfrida</t>
  </si>
  <si>
    <t xml:space="preserve"> Ellis Anna Maria</t>
  </si>
  <si>
    <t xml:space="preserve"> Erna Alexandra</t>
  </si>
  <si>
    <t xml:space="preserve"> Ida Augusta Margareta</t>
  </si>
  <si>
    <t xml:space="preserve"> Ingeborg Constanzia</t>
  </si>
  <si>
    <t xml:space="preserve"> Sigrid Elisabeth</t>
  </si>
  <si>
    <t xml:space="preserve"> Anders Johan</t>
  </si>
  <si>
    <t xml:space="preserve"> Johan Samuel</t>
  </si>
  <si>
    <t xml:space="preserve"> Alfrida Konstantia Brogren</t>
  </si>
  <si>
    <t xml:space="preserve"> PÃ¥l Edvin</t>
  </si>
  <si>
    <t xml:space="preserve"> Edgar Samuel</t>
  </si>
  <si>
    <t xml:space="preserve"> Frank Thomas</t>
  </si>
  <si>
    <t xml:space="preserve"> Kornelia Theodosia</t>
  </si>
  <si>
    <t xml:space="preserve"> Thomas</t>
  </si>
  <si>
    <t xml:space="preserve"> Minko</t>
  </si>
  <si>
    <t xml:space="preserve"> Florence Agnes</t>
  </si>
  <si>
    <t xml:space="preserve"> Charlotte</t>
  </si>
  <si>
    <t xml:space="preserve"> Josef</t>
  </si>
  <si>
    <t xml:space="preserve"> Josefine</t>
  </si>
  <si>
    <t xml:space="preserve"> Ernst Axel Algot</t>
  </si>
  <si>
    <t xml:space="preserve"> Ramon</t>
  </si>
  <si>
    <t xml:space="preserve"> Adola</t>
  </si>
  <si>
    <t xml:space="preserve"> Carl Edgar</t>
  </si>
  <si>
    <t xml:space="preserve"> Clarence Gustaf Hugo</t>
  </si>
  <si>
    <t xml:space="preserve"> Edvin Rojj Felix</t>
  </si>
  <si>
    <t xml:space="preserve"> Filip Oscar</t>
  </si>
  <si>
    <t xml:space="preserve"> Lillian Gertrud</t>
  </si>
  <si>
    <t xml:space="preserve"> Carl Oscar Vilhelm Gustafsson</t>
  </si>
  <si>
    <t xml:space="preserve"> Johan Charles</t>
  </si>
  <si>
    <t xml:space="preserve"> Selma Augusta Emilia</t>
  </si>
  <si>
    <t xml:space="preserve"> Mariana</t>
  </si>
  <si>
    <t xml:space="preserve"> Ali</t>
  </si>
  <si>
    <t xml:space="preserve"> Colonel</t>
  </si>
  <si>
    <t xml:space="preserve"> John Jacob</t>
  </si>
  <si>
    <t xml:space="preserve"> Madeleine Talmage</t>
  </si>
  <si>
    <t xml:space="preserve"> Malake</t>
  </si>
  <si>
    <t xml:space="preserve"> Sleiman</t>
  </si>
  <si>
    <t xml:space="preserve"> Mme</t>
  </si>
  <si>
    <t xml:space="preserve"> LÃ©ontine Pauline</t>
  </si>
  <si>
    <t xml:space="preserve"> Albert</t>
  </si>
  <si>
    <t xml:space="preserve"> Banoura</t>
  </si>
  <si>
    <t xml:space="preserve"> Karl Alfred</t>
  </si>
  <si>
    <t xml:space="preserve"> Maria Mathilda</t>
  </si>
  <si>
    <t xml:space="preserve"> Eugenie</t>
  </si>
  <si>
    <t xml:space="preserve"> Helene Barbara</t>
  </si>
  <si>
    <t xml:space="preserve"> Marie Catherine</t>
  </si>
  <si>
    <t xml:space="preserve"> Latifa</t>
  </si>
  <si>
    <t xml:space="preserve"> Emily Louisa</t>
  </si>
  <si>
    <t xml:space="preserve"> Mohamed</t>
  </si>
  <si>
    <t xml:space="preserve"> Percy</t>
  </si>
  <si>
    <t xml:space="preserve"> Charles Robert</t>
  </si>
  <si>
    <t xml:space="preserve"> Cerin</t>
  </si>
  <si>
    <t xml:space="preserve"> Ada E</t>
  </si>
  <si>
    <t xml:space="preserve"> Frederick James</t>
  </si>
  <si>
    <t xml:space="preserve"> Mara</t>
  </si>
  <si>
    <t xml:space="preserve"> Saiide</t>
  </si>
  <si>
    <t xml:space="preserve"> Catherine David</t>
  </si>
  <si>
    <t xml:space="preserve"> Ellen Mary</t>
  </si>
  <si>
    <t xml:space="preserve"> Algernon Henry</t>
  </si>
  <si>
    <t xml:space="preserve"> Julia</t>
  </si>
  <si>
    <t xml:space="preserve"> David John</t>
  </si>
  <si>
    <t xml:space="preserve"> Albina</t>
  </si>
  <si>
    <t xml:space="preserve"> Revd</t>
  </si>
  <si>
    <t xml:space="preserve"> Robert James</t>
  </si>
  <si>
    <t xml:space="preserve"> Hristo Lalev</t>
  </si>
  <si>
    <t xml:space="preserve"> John D</t>
  </si>
  <si>
    <t xml:space="preserve"> Quigg Edmond</t>
  </si>
  <si>
    <t xml:space="preserve"> HÃ©lÃ¨ne</t>
  </si>
  <si>
    <t xml:space="preserve"> Edward</t>
  </si>
  <si>
    <t xml:space="preserve"> Ethel</t>
  </si>
  <si>
    <t xml:space="preserve"> Thomson</t>
  </si>
  <si>
    <t xml:space="preserve"> Henry James</t>
  </si>
  <si>
    <t xml:space="preserve"> William Thomas</t>
  </si>
  <si>
    <t xml:space="preserve"> Richard F</t>
  </si>
  <si>
    <t xml:space="preserve"> Marion Louise</t>
  </si>
  <si>
    <t xml:space="preserve"> Ruth Elizabeth</t>
  </si>
  <si>
    <t xml:space="preserve"> Nellie E</t>
  </si>
  <si>
    <t xml:space="preserve"> Richard Leonard</t>
  </si>
  <si>
    <t xml:space="preserve"> Sallie</t>
  </si>
  <si>
    <t xml:space="preserve"> Lawrence</t>
  </si>
  <si>
    <t xml:space="preserve"> Karl Howell</t>
  </si>
  <si>
    <t xml:space="preserve"> Johan Viktor</t>
  </si>
  <si>
    <t xml:space="preserve"> Lillian W</t>
  </si>
  <si>
    <t xml:space="preserve"> Karl Ivar Sven</t>
  </si>
  <si>
    <t xml:space="preserve"> William John</t>
  </si>
  <si>
    <t xml:space="preserve"> Nellie Mayo</t>
  </si>
  <si>
    <t xml:space="preserve"> Rosalie</t>
  </si>
  <si>
    <t xml:space="preserve"> Lee</t>
  </si>
  <si>
    <t xml:space="preserve"> Ellen</t>
  </si>
  <si>
    <t xml:space="preserve"> Hans Martin Monsen</t>
  </si>
  <si>
    <t xml:space="preserve"> Jakob</t>
  </si>
  <si>
    <t xml:space="preserve"> Dickinson H</t>
  </si>
  <si>
    <t xml:space="preserve"> Helen</t>
  </si>
  <si>
    <t xml:space="preserve"> Ernst Herbert</t>
  </si>
  <si>
    <t xml:space="preserve"> Mauritz Hokan</t>
  </si>
  <si>
    <t xml:space="preserve"> Stephen Weart</t>
  </si>
  <si>
    <t xml:space="preserve"> Henry</t>
  </si>
  <si>
    <t xml:space="preserve"> Caroline</t>
  </si>
  <si>
    <t xml:space="preserve"> Elizabeth</t>
  </si>
  <si>
    <t xml:space="preserve"> John James</t>
  </si>
  <si>
    <t xml:space="preserve"> Guentcho</t>
  </si>
  <si>
    <t xml:space="preserve"> William Hull</t>
  </si>
  <si>
    <t xml:space="preserve"> Mary</t>
  </si>
  <si>
    <t xml:space="preserve"> Catherine</t>
  </si>
  <si>
    <t xml:space="preserve"> Grace Scott</t>
  </si>
  <si>
    <t xml:space="preserve"> David John 'Dai'</t>
  </si>
  <si>
    <t xml:space="preserve"> Solomon</t>
  </si>
  <si>
    <t xml:space="preserve"> Elsie Edith</t>
  </si>
  <si>
    <t xml:space="preserve"> James Hollen</t>
  </si>
  <si>
    <t xml:space="preserve"> Bridget Delia</t>
  </si>
  <si>
    <t xml:space="preserve"> John Bertram</t>
  </si>
  <si>
    <t xml:space="preserve"> Elin Ester Maria</t>
  </si>
  <si>
    <t xml:space="preserve"> William Theodore Ronald</t>
  </si>
  <si>
    <t xml:space="preserve"> Emil Franklin</t>
  </si>
  <si>
    <t xml:space="preserve"> Lewis Richard</t>
  </si>
  <si>
    <t xml:space="preserve"> Owen Harris</t>
  </si>
  <si>
    <t xml:space="preserve"> George Andrew</t>
  </si>
  <si>
    <t xml:space="preserve"> Dr</t>
  </si>
  <si>
    <t xml:space="preserve"> Arthur Jackson</t>
  </si>
  <si>
    <t xml:space="preserve"> Roger Marie</t>
  </si>
  <si>
    <t xml:space="preserve"> JosÃ© Joaquim de</t>
  </si>
  <si>
    <t xml:space="preserve"> Karl Rudolf</t>
  </si>
  <si>
    <t xml:space="preserve"> William Alfred</t>
  </si>
  <si>
    <t xml:space="preserve"> Amelia Mary</t>
  </si>
  <si>
    <t xml:space="preserve"> Edith Eileen</t>
  </si>
  <si>
    <t xml:space="preserve"> Caroline Lane</t>
  </si>
  <si>
    <t xml:space="preserve"> Elizabeth Catherine</t>
  </si>
  <si>
    <t xml:space="preserve"> Margaret</t>
  </si>
  <si>
    <t xml:space="preserve"> Thomas William Solomon</t>
  </si>
  <si>
    <t xml:space="preserve"> Dagmar Jenny Ingeborg</t>
  </si>
  <si>
    <t xml:space="preserve"> Kurt Arnold Gottfrid</t>
  </si>
  <si>
    <t xml:space="preserve"> Katherine</t>
  </si>
  <si>
    <t xml:space="preserve"> Daniel</t>
  </si>
  <si>
    <t xml:space="preserve"> Emma Eliza</t>
  </si>
  <si>
    <t xml:space="preserve"> Akar</t>
  </si>
  <si>
    <t xml:space="preserve"> NÅ«r al-'ayn</t>
  </si>
  <si>
    <t xml:space="preserve"> SultÄnah</t>
  </si>
  <si>
    <t xml:space="preserve"> Jeremiah</t>
  </si>
  <si>
    <t xml:space="preserve"> Elizabeth Margaret</t>
  </si>
  <si>
    <t xml:space="preserve"> Mary Delia</t>
  </si>
  <si>
    <t xml:space="preserve"> Kate</t>
  </si>
  <si>
    <t xml:space="preserve"> Reginald Fenton</t>
  </si>
  <si>
    <t xml:space="preserve"> TannÅ«s</t>
  </si>
  <si>
    <t xml:space="preserve"> Major</t>
  </si>
  <si>
    <t xml:space="preserve"> Archibald Willingham</t>
  </si>
  <si>
    <t xml:space="preserve"> Fr</t>
  </si>
  <si>
    <t xml:space="preserve"> Thomas Roussel Davids</t>
  </si>
  <si>
    <t xml:space="preserve"> Karolina</t>
  </si>
  <si>
    <t xml:space="preserve"> Manda</t>
  </si>
  <si>
    <t xml:space="preserve"> Marija</t>
  </si>
  <si>
    <t xml:space="preserve"> Jego Grga</t>
  </si>
  <si>
    <t xml:space="preserve"> Luka</t>
  </si>
  <si>
    <t xml:space="preserve"> Alexander Milne</t>
  </si>
  <si>
    <t xml:space="preserve"> Edward Pennington</t>
  </si>
  <si>
    <t xml:space="preserve"> Alden Gates</t>
  </si>
  <si>
    <t xml:space="preserve"> Albert Francis</t>
  </si>
  <si>
    <t xml:space="preserve"> Sylvia Mae</t>
  </si>
  <si>
    <t xml:space="preserve"> Jovo</t>
  </si>
  <si>
    <t xml:space="preserve"> Petar</t>
  </si>
  <si>
    <t xml:space="preserve"> Clear Annie</t>
  </si>
  <si>
    <t xml:space="preserve"> Patrick</t>
  </si>
  <si>
    <t xml:space="preserve"> Helen Churchill</t>
  </si>
  <si>
    <t xml:space="preserve"> Ernest</t>
  </si>
  <si>
    <t xml:space="preserve"> Joseph</t>
  </si>
  <si>
    <t xml:space="preserve"> Maria Elias</t>
  </si>
  <si>
    <t xml:space="preserve"> Charlotte Wardle</t>
  </si>
  <si>
    <t xml:space="preserve"> Thomas Drake Martinez</t>
  </si>
  <si>
    <t xml:space="preserve"> August Sigfrid</t>
  </si>
  <si>
    <t xml:space="preserve"> Carl Robert</t>
  </si>
  <si>
    <t xml:space="preserve"> Frans Olof</t>
  </si>
  <si>
    <t xml:space="preserve"> JosÃ© Pedro</t>
  </si>
  <si>
    <t xml:space="preserve"> Francisco Mauro Severiano</t>
  </si>
  <si>
    <t xml:space="preserve"> Jane</t>
  </si>
  <si>
    <t xml:space="preserve"> Ernest Courtenay</t>
  </si>
  <si>
    <t xml:space="preserve"> William Thornton II</t>
  </si>
  <si>
    <t xml:space="preserve"> Lucile Polk</t>
  </si>
  <si>
    <t xml:space="preserve"> Lilian</t>
  </si>
  <si>
    <t xml:space="preserve"> Lucile</t>
  </si>
  <si>
    <t xml:space="preserve"> William Ernest</t>
  </si>
  <si>
    <t xml:space="preserve"> Alfred John</t>
  </si>
  <si>
    <t xml:space="preserve"> Howard Brown</t>
  </si>
  <si>
    <t xml:space="preserve"> Eleanor Genevieve</t>
  </si>
  <si>
    <t xml:space="preserve"> Julia Florence</t>
  </si>
  <si>
    <t xml:space="preserve"> Tyrell William</t>
  </si>
  <si>
    <t xml:space="preserve"> Francesco</t>
  </si>
  <si>
    <t xml:space="preserve"> Herbert Fuller</t>
  </si>
  <si>
    <t xml:space="preserve"> Carrie Constance</t>
  </si>
  <si>
    <t xml:space="preserve"> Norman Campbell</t>
  </si>
  <si>
    <t xml:space="preserve"> Bertha</t>
  </si>
  <si>
    <t xml:space="preserve"> Charles Henry</t>
  </si>
  <si>
    <t xml:space="preserve"> John Henry</t>
  </si>
  <si>
    <t xml:space="preserve"> Sara Elizabeth</t>
  </si>
  <si>
    <t xml:space="preserve"> David</t>
  </si>
  <si>
    <t xml:space="preserve"> Victorine</t>
  </si>
  <si>
    <t xml:space="preserve"> Gladys</t>
  </si>
  <si>
    <t xml:space="preserve"> Paul Romaine Marie LÃ©once</t>
  </si>
  <si>
    <t xml:space="preserve"> Edith Martha Bowerman</t>
  </si>
  <si>
    <t xml:space="preserve"> Chang</t>
  </si>
  <si>
    <t xml:space="preserve"> Roderick Robert Crispin</t>
  </si>
  <si>
    <t xml:space="preserve"> Emil</t>
  </si>
  <si>
    <t xml:space="preserve"> Rachel Juli Cohen</t>
  </si>
  <si>
    <t xml:space="preserve"> Alice Frances</t>
  </si>
  <si>
    <t xml:space="preserve"> Apostolos M</t>
  </si>
  <si>
    <t xml:space="preserve"> Dimitrios M</t>
  </si>
  <si>
    <t xml:space="preserve"> Charles Valentine</t>
  </si>
  <si>
    <t xml:space="preserve"> John Frederick Preston</t>
  </si>
  <si>
    <t xml:space="preserve"> Ada Maria</t>
  </si>
  <si>
    <t xml:space="preserve"> Virginia Estelle</t>
  </si>
  <si>
    <t xml:space="preserve"> Walter Miller</t>
  </si>
  <si>
    <t xml:space="preserve"> Alice Catherine</t>
  </si>
  <si>
    <t xml:space="preserve"> George Quincy</t>
  </si>
  <si>
    <t xml:space="preserve"> Domingos Fernandeo</t>
  </si>
  <si>
    <t xml:space="preserve"> Gurshon</t>
  </si>
  <si>
    <t xml:space="preserve"> Satio</t>
  </si>
  <si>
    <t xml:space="preserve"> Reginald Charles</t>
  </si>
  <si>
    <t xml:space="preserve"> Erik Gustaf</t>
  </si>
  <si>
    <t xml:space="preserve"> Sidney Clarence Stuart</t>
  </si>
  <si>
    <t xml:space="preserve"> Edward Pomeroy</t>
  </si>
  <si>
    <t xml:space="preserve"> Marjorie Lottie</t>
  </si>
  <si>
    <t xml:space="preserve"> Harvey</t>
  </si>
  <si>
    <t xml:space="preserve"> Charlotte Caroline</t>
  </si>
  <si>
    <t xml:space="preserve"> Peju</t>
  </si>
  <si>
    <t xml:space="preserve"> Sara Rebecca</t>
  </si>
  <si>
    <t xml:space="preserve"> Alexander Taylor jr</t>
  </si>
  <si>
    <t xml:space="preserve"> Mary Eliza</t>
  </si>
  <si>
    <t xml:space="preserve"> Thomas Henry</t>
  </si>
  <si>
    <t xml:space="preserve"> Michael</t>
  </si>
  <si>
    <t xml:space="preserve"> Jacob</t>
  </si>
  <si>
    <t xml:space="preserve"> Selena</t>
  </si>
  <si>
    <t xml:space="preserve"> Irene</t>
  </si>
  <si>
    <t xml:space="preserve"> Mary Emma</t>
  </si>
  <si>
    <t xml:space="preserve"> Bartol</t>
  </si>
  <si>
    <t xml:space="preserve"> Ivan</t>
  </si>
  <si>
    <t xml:space="preserve"> Liudevit</t>
  </si>
  <si>
    <t xml:space="preserve"> Harris</t>
  </si>
  <si>
    <t xml:space="preserve"> Malvina Helen</t>
  </si>
  <si>
    <t xml:space="preserve"> Neville Leslie</t>
  </si>
  <si>
    <t xml:space="preserve"> William Loch</t>
  </si>
  <si>
    <t xml:space="preserve"> Winnie</t>
  </si>
  <si>
    <t xml:space="preserve"> Ernest James</t>
  </si>
  <si>
    <t xml:space="preserve"> Laura Mae</t>
  </si>
  <si>
    <t xml:space="preserve"> John Hatfield</t>
  </si>
  <si>
    <t xml:space="preserve"> Captain</t>
  </si>
  <si>
    <t xml:space="preserve"> Edward Gifford</t>
  </si>
  <si>
    <t xml:space="preserve"> Harriette Rebecca</t>
  </si>
  <si>
    <t xml:space="preserve"> Catherine Elizabeth</t>
  </si>
  <si>
    <t xml:space="preserve"> Jeso</t>
  </si>
  <si>
    <t xml:space="preserve"> John Bradley</t>
  </si>
  <si>
    <t xml:space="preserve"> Florence Briggs</t>
  </si>
  <si>
    <t xml:space="preserve"> Alfred Fleming</t>
  </si>
  <si>
    <t xml:space="preserve"> Tannous</t>
  </si>
  <si>
    <t xml:space="preserve"> Gerda Ulrika</t>
  </si>
  <si>
    <t xml:space="preserve"> Charles Edward</t>
  </si>
  <si>
    <t xml:space="preserve"> Branko</t>
  </si>
  <si>
    <t xml:space="preserve"> Margaret Marcella</t>
  </si>
  <si>
    <t xml:space="preserve"> Eugene Patrick</t>
  </si>
  <si>
    <t xml:space="preserve"> Peter Dennis</t>
  </si>
  <si>
    <t xml:space="preserve"> Gilbert Sigvard Emanuel</t>
  </si>
  <si>
    <t xml:space="preserve"> Ernst Gilbert</t>
  </si>
  <si>
    <t xml:space="preserve"> Anna Sigrid Maria</t>
  </si>
  <si>
    <t xml:space="preserve"> Robert Williams</t>
  </si>
  <si>
    <t xml:space="preserve"> Sarah Rebecca</t>
  </si>
  <si>
    <t xml:space="preserve"> Yoto</t>
  </si>
  <si>
    <t xml:space="preserve"> Orian</t>
  </si>
  <si>
    <t xml:space="preserve"> Thornton</t>
  </si>
  <si>
    <t xml:space="preserve"> John Morgan jr</t>
  </si>
  <si>
    <t xml:space="preserve"> Alfred James</t>
  </si>
  <si>
    <t xml:space="preserve"> Evan Lewis</t>
  </si>
  <si>
    <t xml:space="preserve"> Agnes</t>
  </si>
  <si>
    <t xml:space="preserve"> Mary Ann Charlotte</t>
  </si>
  <si>
    <t xml:space="preserve"> Mary Elizabeth</t>
  </si>
  <si>
    <t xml:space="preserve"> Percy William</t>
  </si>
  <si>
    <t xml:space="preserve"> Bertram Vere</t>
  </si>
  <si>
    <t xml:space="preserve"> Elizabeth Gladys 'Millvina'</t>
  </si>
  <si>
    <t xml:space="preserve"> Bertram Frank</t>
  </si>
  <si>
    <t xml:space="preserve"> Eva Georgetta</t>
  </si>
  <si>
    <t xml:space="preserve"> Redjo</t>
  </si>
  <si>
    <t xml:space="preserve"> Argene</t>
  </si>
  <si>
    <t xml:space="preserve"> Sebastiano</t>
  </si>
  <si>
    <t xml:space="preserve"> Guillaume Joseph</t>
  </si>
  <si>
    <t xml:space="preserve"> Anna</t>
  </si>
  <si>
    <t xml:space="preserve"> Theodoor</t>
  </si>
  <si>
    <t xml:space="preserve"> Albert Joseph</t>
  </si>
  <si>
    <t xml:space="preserve"> Mitto</t>
  </si>
  <si>
    <t xml:space="preserve"> Alfons</t>
  </si>
  <si>
    <t xml:space="preserve"> Margaret Delia</t>
  </si>
  <si>
    <t xml:space="preserve"> Albert Adrian</t>
  </si>
  <si>
    <t xml:space="preserve"> Vera</t>
  </si>
  <si>
    <t xml:space="preserve"> Mirko</t>
  </si>
  <si>
    <t xml:space="preserve"> Jovan</t>
  </si>
  <si>
    <t xml:space="preserve"> Valtcho</t>
  </si>
  <si>
    <t xml:space="preserve"> Washington</t>
  </si>
  <si>
    <t xml:space="preserve"> Ruth</t>
  </si>
  <si>
    <t xml:space="preserve"> Elsie</t>
  </si>
  <si>
    <t xml:space="preserve"> Ada Julia Elizabeth</t>
  </si>
  <si>
    <t xml:space="preserve"> Bridget</t>
  </si>
  <si>
    <t xml:space="preserve"> Edward Arthur</t>
  </si>
  <si>
    <t xml:space="preserve"> Mahala</t>
  </si>
  <si>
    <t xml:space="preserve"> Mary HÃ©lÃ¨ne</t>
  </si>
  <si>
    <t xml:space="preserve"> Walter Donald</t>
  </si>
  <si>
    <t xml:space="preserve"> William Joseph</t>
  </si>
  <si>
    <t xml:space="preserve"> Jozef</t>
  </si>
  <si>
    <t xml:space="preserve"> Marshall Brines</t>
  </si>
  <si>
    <t xml:space="preserve"> James Vivian</t>
  </si>
  <si>
    <t xml:space="preserve"> Maria Louisa Thorne</t>
  </si>
  <si>
    <t xml:space="preserve"> Jennie</t>
  </si>
  <si>
    <t xml:space="preserve"> Sir</t>
  </si>
  <si>
    <t xml:space="preserve"> Cosmo Edmund</t>
  </si>
  <si>
    <t xml:space="preserve"> William Crothers</t>
  </si>
  <si>
    <t xml:space="preserve"> Joseph Pierre</t>
  </si>
  <si>
    <t xml:space="preserve"> Sra</t>
  </si>
  <si>
    <t xml:space="preserve"> Asuncion</t>
  </si>
  <si>
    <t xml:space="preserve"> Florentina</t>
  </si>
  <si>
    <t xml:space="preserve"> Frank</t>
  </si>
  <si>
    <t xml:space="preserve"> Adolf Fredrik</t>
  </si>
  <si>
    <t xml:space="preserve"> Anna Elisabeth Judith</t>
  </si>
  <si>
    <t xml:space="preserve"> Olive</t>
  </si>
  <si>
    <t xml:space="preserve"> Gustaf Hjalmar</t>
  </si>
  <si>
    <t xml:space="preserve"> George Floyd</t>
  </si>
  <si>
    <t xml:space="preserve"> Hans Linus</t>
  </si>
  <si>
    <t xml:space="preserve"> Amandus</t>
  </si>
  <si>
    <t xml:space="preserve"> Dibo</t>
  </si>
  <si>
    <t xml:space="preserve"> Joseph jr</t>
  </si>
  <si>
    <t xml:space="preserve"> William James</t>
  </si>
  <si>
    <t xml:space="preserve"> Virginia Ethel</t>
  </si>
  <si>
    <t xml:space="preserve"> Ingvar</t>
  </si>
  <si>
    <t xml:space="preserve"> Caroline Louise</t>
  </si>
  <si>
    <t xml:space="preserve"> Manuel GonÃ§alves</t>
  </si>
  <si>
    <t xml:space="preserve"> Elizabeth Mussey</t>
  </si>
  <si>
    <t xml:space="preserve"> Edith Corse</t>
  </si>
  <si>
    <t xml:space="preserve"> Thomas James</t>
  </si>
  <si>
    <t xml:space="preserve"> Arne Joma</t>
  </si>
  <si>
    <t xml:space="preserve"> Charles Richard</t>
  </si>
  <si>
    <t xml:space="preserve"> James</t>
  </si>
  <si>
    <t xml:space="preserve"> Harry Bartram</t>
  </si>
  <si>
    <t xml:space="preserve"> Joseph Charles</t>
  </si>
  <si>
    <t xml:space="preserve"> Luigi</t>
  </si>
  <si>
    <t xml:space="preserve"> Eberhard Thelander</t>
  </si>
  <si>
    <t xml:space="preserve"> Antoinette</t>
  </si>
  <si>
    <t xml:space="preserve"> Honor</t>
  </si>
  <si>
    <t xml:space="preserve"> John Irwin</t>
  </si>
  <si>
    <t xml:space="preserve"> Choong</t>
  </si>
  <si>
    <t xml:space="preserve"> Dollina Margaret</t>
  </si>
  <si>
    <t xml:space="preserve"> Robina Maggie</t>
  </si>
  <si>
    <t xml:space="preserve"> Arthur</t>
  </si>
  <si>
    <t xml:space="preserve"> Edward Watson</t>
  </si>
  <si>
    <t xml:space="preserve"> Margaret Ann Watson</t>
  </si>
  <si>
    <t xml:space="preserve"> William Neal Thomas</t>
  </si>
  <si>
    <t xml:space="preserve"> Benjamin Laventall</t>
  </si>
  <si>
    <t xml:space="preserve"> Alice Elizabeth</t>
  </si>
  <si>
    <t xml:space="preserve"> Ethel Flora</t>
  </si>
  <si>
    <t xml:space="preserve"> Mabel Helen</t>
  </si>
  <si>
    <t xml:space="preserve"> Charles Alexander</t>
  </si>
  <si>
    <t xml:space="preserve"> Mark</t>
  </si>
  <si>
    <t xml:space="preserve"> Stanley Harrington</t>
  </si>
  <si>
    <t xml:space="preserve"> Laura Mabel</t>
  </si>
  <si>
    <t xml:space="preserve"> Thomas Parnham</t>
  </si>
  <si>
    <t xml:space="preserve"> Henry William</t>
  </si>
  <si>
    <t xml:space="preserve"> Isaac Gerald</t>
  </si>
  <si>
    <t xml:space="preserve"> Clara</t>
  </si>
  <si>
    <t xml:space="preserve"> Hedwig Margaritha</t>
  </si>
  <si>
    <t xml:space="preserve"> Maximilian Josef</t>
  </si>
  <si>
    <t xml:space="preserve"> Margaretha Emerentia</t>
  </si>
  <si>
    <t xml:space="preserve"> Anthony Wood</t>
  </si>
  <si>
    <t xml:space="preserve"> Richard</t>
  </si>
  <si>
    <t xml:space="preserve"> Annie Clemmer</t>
  </si>
  <si>
    <t xml:space="preserve"> Jacques Heath</t>
  </si>
  <si>
    <t xml:space="preserve"> Lily May</t>
  </si>
  <si>
    <t xml:space="preserve"> Joseph J</t>
  </si>
  <si>
    <t xml:space="preserve"> Shadrach</t>
  </si>
  <si>
    <t xml:space="preserve"> Martin</t>
  </si>
  <si>
    <t xml:space="preserve"> Laurence</t>
  </si>
  <si>
    <t xml:space="preserve"> Arthur H</t>
  </si>
  <si>
    <t xml:space="preserve"> Shawneene</t>
  </si>
  <si>
    <t xml:space="preserve"> Assaf</t>
  </si>
  <si>
    <t xml:space="preserve"> Stanio</t>
  </si>
  <si>
    <t xml:space="preserve"> Dorothy Winifred</t>
  </si>
  <si>
    <t xml:space="preserve"> Pauline Caroline</t>
  </si>
  <si>
    <t xml:space="preserve"> Amalie</t>
  </si>
  <si>
    <t xml:space="preserve"> Victor Gaitan Andrea</t>
  </si>
  <si>
    <t xml:space="preserve"> Edgar</t>
  </si>
  <si>
    <t xml:space="preserve"> Frederick Edward</t>
  </si>
  <si>
    <t xml:space="preserve"> Ralph</t>
  </si>
  <si>
    <t xml:space="preserve"> Eliezer</t>
  </si>
  <si>
    <t xml:space="preserve"> Hans Kristensen</t>
  </si>
  <si>
    <t xml:space="preserve"> Mary Agatha</t>
  </si>
  <si>
    <t xml:space="preserve"> Samuel L</t>
  </si>
  <si>
    <t xml:space="preserve"> Nella</t>
  </si>
  <si>
    <t xml:space="preserve"> George B</t>
  </si>
  <si>
    <t xml:space="preserve"> Frank John William</t>
  </si>
  <si>
    <t xml:space="preserve"> Frank John</t>
  </si>
  <si>
    <t xml:space="preserve"> Nathan</t>
  </si>
  <si>
    <t xml:space="preserve"> Emily Alice</t>
  </si>
  <si>
    <t xml:space="preserve"> Harold Victor</t>
  </si>
  <si>
    <t xml:space="preserve"> Sidney Leslie</t>
  </si>
  <si>
    <t xml:space="preserve"> William Frederick</t>
  </si>
  <si>
    <t xml:space="preserve"> Jessie Allis</t>
  </si>
  <si>
    <t xml:space="preserve"> Lillian Amy</t>
  </si>
  <si>
    <t xml:space="preserve"> Frederick Joseph</t>
  </si>
  <si>
    <t xml:space="preserve"> Augusta</t>
  </si>
  <si>
    <t xml:space="preserve"> Archibald</t>
  </si>
  <si>
    <t xml:space="preserve"> Margaret Edith</t>
  </si>
  <si>
    <t xml:space="preserve"> George Edward</t>
  </si>
  <si>
    <t xml:space="preserve"> Edith</t>
  </si>
  <si>
    <t xml:space="preserve"> Blanche</t>
  </si>
  <si>
    <t xml:space="preserve"> William Bertram</t>
  </si>
  <si>
    <t xml:space="preserve"> George</t>
  </si>
  <si>
    <t xml:space="preserve"> Daniel Danielsen</t>
  </si>
  <si>
    <t xml:space="preserve"> Benjamin</t>
  </si>
  <si>
    <t xml:space="preserve"> Alfred Ossian</t>
  </si>
  <si>
    <t xml:space="preserve"> Anders Vilhelm</t>
  </si>
  <si>
    <t xml:space="preserve"> Johan Birger</t>
  </si>
  <si>
    <t xml:space="preserve"> Karl Gideon</t>
  </si>
  <si>
    <t xml:space="preserve"> Aloisia</t>
  </si>
  <si>
    <t xml:space="preserve"> Ingvald Olai Olsen</t>
  </si>
  <si>
    <t xml:space="preserve"> Konrad Mathias Reiersen</t>
  </si>
  <si>
    <t xml:space="preserve"> Pekka Pietari</t>
  </si>
  <si>
    <t xml:space="preserve"> Elin Matilda</t>
  </si>
  <si>
    <t xml:space="preserve"> Reginald</t>
  </si>
  <si>
    <t xml:space="preserve"> Viljo Unto Johannes</t>
  </si>
  <si>
    <t xml:space="preserve"> LÃ©on JÃ©rome</t>
  </si>
  <si>
    <t xml:space="preserve"> Borak</t>
  </si>
  <si>
    <t xml:space="preserve"> Boulos</t>
  </si>
  <si>
    <t xml:space="preserve"> Mansour</t>
  </si>
  <si>
    <t xml:space="preserve"> Claus Peter</t>
  </si>
  <si>
    <t xml:space="preserve"> Henrik Juul</t>
  </si>
  <si>
    <t xml:space="preserve"> Henry Damsgaard</t>
  </si>
  <si>
    <t xml:space="preserve"> Jennie Louise</t>
  </si>
  <si>
    <t xml:space="preserve"> William H</t>
  </si>
  <si>
    <t xml:space="preserve"> George Achilles</t>
  </si>
  <si>
    <t xml:space="preserve"> Dorothy</t>
  </si>
  <si>
    <t xml:space="preserve"> Alice Phoebe</t>
  </si>
  <si>
    <t xml:space="preserve"> Annie Jessie</t>
  </si>
  <si>
    <t xml:space="preserve"> Henry Sleeper</t>
  </si>
  <si>
    <t xml:space="preserve"> Myra Raymond</t>
  </si>
  <si>
    <t xml:space="preserve"> Rev</t>
  </si>
  <si>
    <t xml:space="preserve"> Henry Birkhardt</t>
  </si>
  <si>
    <t xml:space="preserve"> Walter</t>
  </si>
  <si>
    <t xml:space="preserve"> Wallace Henry</t>
  </si>
  <si>
    <t xml:space="preserve"> Eva Miriam</t>
  </si>
  <si>
    <t xml:space="preserve"> Esther Ada</t>
  </si>
  <si>
    <t xml:space="preserve"> Hammad</t>
  </si>
  <si>
    <t xml:space="preserve"> Walter James</t>
  </si>
  <si>
    <t xml:space="preserve"> Margaret Bechstein</t>
  </si>
  <si>
    <t xml:space="preserve"> Charles Melville</t>
  </si>
  <si>
    <t xml:space="preserve"> Clara Jennings</t>
  </si>
  <si>
    <t xml:space="preserve"> Christopher</t>
  </si>
  <si>
    <t xml:space="preserve"> Oskar Arvid</t>
  </si>
  <si>
    <t xml:space="preserve"> Ling</t>
  </si>
  <si>
    <t xml:space="preserve"> Hanora</t>
  </si>
  <si>
    <t xml:space="preserve"> Laina</t>
  </si>
  <si>
    <t xml:space="preserve"> Wendla Maria</t>
  </si>
  <si>
    <t xml:space="preserve"> Hilda Maria</t>
  </si>
  <si>
    <t xml:space="preserve"> Ignjac</t>
  </si>
  <si>
    <t xml:space="preserve"> Jenny Lovisa</t>
  </si>
  <si>
    <t xml:space="preserve"> Alice</t>
  </si>
  <si>
    <t xml:space="preserve"> Mary Dunbar</t>
  </si>
  <si>
    <t xml:space="preserve"> Leonard Mark</t>
  </si>
  <si>
    <t xml:space="preserve"> Lewis</t>
  </si>
  <si>
    <t xml:space="preserve"> Stanley George</t>
  </si>
  <si>
    <t xml:space="preserve"> Herbert Henry</t>
  </si>
  <si>
    <t xml:space="preserve"> Marta</t>
  </si>
  <si>
    <t xml:space="preserve"> William Edward</t>
  </si>
  <si>
    <t xml:space="preserve"> Jean Gertrude</t>
  </si>
  <si>
    <t xml:space="preserve"> Ida Sophia</t>
  </si>
  <si>
    <t xml:space="preserve"> Hildur Elisabeth</t>
  </si>
  <si>
    <t xml:space="preserve"> Helga Elisabeth Lindqvist</t>
  </si>
  <si>
    <t xml:space="preserve"> Richard George</t>
  </si>
  <si>
    <t xml:space="preserve"> Samuel James Metcalfe</t>
  </si>
  <si>
    <t xml:space="preserve"> Eliza</t>
  </si>
  <si>
    <t xml:space="preserve"> Henry Price</t>
  </si>
  <si>
    <t xml:space="preserve"> Anna Louisa</t>
  </si>
  <si>
    <t xml:space="preserve"> Annie Margaret</t>
  </si>
  <si>
    <t xml:space="preserve"> Stephen</t>
  </si>
  <si>
    <t xml:space="preserve"> John Fredrik Alexander</t>
  </si>
  <si>
    <t xml:space="preserve"> Johan Martin</t>
  </si>
  <si>
    <t xml:space="preserve"> Alexander Oskar</t>
  </si>
  <si>
    <t xml:space="preserve"> Mary Aline</t>
  </si>
  <si>
    <t xml:space="preserve"> Eliina</t>
  </si>
  <si>
    <t xml:space="preserve"> Ambrose Jr</t>
  </si>
  <si>
    <t xml:space="preserve"> Masabumi</t>
  </si>
  <si>
    <t xml:space="preserve"> May Elizabeth</t>
  </si>
  <si>
    <t xml:space="preserve"> Ellen Truelove</t>
  </si>
  <si>
    <t xml:space="preserve"> Frederick Maxfield</t>
  </si>
  <si>
    <t xml:space="preserve"> Jane Anne</t>
  </si>
  <si>
    <t xml:space="preserve"> William Fisher</t>
  </si>
  <si>
    <t xml:space="preserve"> Adolf Mathias Nicolai Olsen</t>
  </si>
  <si>
    <t xml:space="preserve"> John Law</t>
  </si>
  <si>
    <t xml:space="preserve"> George Henry</t>
  </si>
  <si>
    <t xml:space="preserve"> Abraham Joseph</t>
  </si>
  <si>
    <t xml:space="preserve"> Husayn MahmÅ«d Husayn</t>
  </si>
  <si>
    <t xml:space="preserve"> SÄfiyah</t>
  </si>
  <si>
    <t xml:space="preserve"> Yousseff</t>
  </si>
  <si>
    <t xml:space="preserve"> Rose AmÃ©lie</t>
  </si>
  <si>
    <t xml:space="preserve"> Ylio</t>
  </si>
  <si>
    <t xml:space="preserve"> Ida Livija</t>
  </si>
  <si>
    <t xml:space="preserve"> Pieta Sofia</t>
  </si>
  <si>
    <t xml:space="preserve"> Ann Elizabeth</t>
  </si>
  <si>
    <t xml:space="preserve"> Joseph Bruce</t>
  </si>
  <si>
    <t xml:space="preserve"> Kanio</t>
  </si>
  <si>
    <t xml:space="preserve"> Hileni</t>
  </si>
  <si>
    <t xml:space="preserve"> Thamine</t>
  </si>
  <si>
    <t xml:space="preserve"> Amy Frances Christy</t>
  </si>
  <si>
    <t xml:space="preserve"> Sidney Samuel</t>
  </si>
  <si>
    <t xml:space="preserve"> Carl Olof</t>
  </si>
  <si>
    <t xml:space="preserve"> JosÃ© Neto</t>
  </si>
  <si>
    <t xml:space="preserve"> Denzil John</t>
  </si>
  <si>
    <t xml:space="preserve"> Clifford Thomas</t>
  </si>
  <si>
    <t xml:space="preserve"> Ernest Wilfred</t>
  </si>
  <si>
    <t xml:space="preserve"> Stephen Curnow</t>
  </si>
  <si>
    <t xml:space="preserve"> Hans Peder</t>
  </si>
  <si>
    <t xml:space="preserve"> Niels Rasmus</t>
  </si>
  <si>
    <t xml:space="preserve"> Svend Lauritz</t>
  </si>
  <si>
    <t xml:space="preserve"> Annie Jane</t>
  </si>
  <si>
    <t xml:space="preserve"> Marie Marthe</t>
  </si>
  <si>
    <t xml:space="preserve"> Bernt Johannes</t>
  </si>
  <si>
    <t xml:space="preserve"> Jakob Alfred</t>
  </si>
  <si>
    <t xml:space="preserve"> Erik</t>
  </si>
  <si>
    <t xml:space="preserve"> Gustaf Joel</t>
  </si>
  <si>
    <t xml:space="preserve"> Karl Johan</t>
  </si>
  <si>
    <t xml:space="preserve"> Nils</t>
  </si>
  <si>
    <t xml:space="preserve"> Oskar Leander</t>
  </si>
  <si>
    <t xml:space="preserve"> Harold Theodor</t>
  </si>
  <si>
    <t xml:space="preserve"> Eleanor Ileen</t>
  </si>
  <si>
    <t xml:space="preserve"> August</t>
  </si>
  <si>
    <t xml:space="preserve"> Malkolm Joackim</t>
  </si>
  <si>
    <t xml:space="preserve"> Elisabeth Vilhelmina</t>
  </si>
  <si>
    <t xml:space="preserve"> William Cahoone Jr</t>
  </si>
  <si>
    <t xml:space="preserve"> William Andrew</t>
  </si>
  <si>
    <t xml:space="preserve"> Catherine Nellie</t>
  </si>
  <si>
    <t xml:space="preserve"> Andrew Emslie</t>
  </si>
  <si>
    <t xml:space="preserve"> Charles Cresson</t>
  </si>
  <si>
    <t xml:space="preserve"> Lalio</t>
  </si>
  <si>
    <t xml:space="preserve"> Carl</t>
  </si>
  <si>
    <t xml:space="preserve"> Nils Hilding</t>
  </si>
  <si>
    <t xml:space="preserve"> Elias</t>
  </si>
  <si>
    <t xml:space="preserve"> Henry Forbes</t>
  </si>
  <si>
    <t xml:space="preserve"> Katriina</t>
  </si>
  <si>
    <t xml:space="preserve"> Mari Aina</t>
  </si>
  <si>
    <t xml:space="preserve"> Eiriik</t>
  </si>
  <si>
    <t xml:space="preserve"> Nikolai Erland</t>
  </si>
  <si>
    <t xml:space="preserve"> Johannes Halvorsen</t>
  </si>
  <si>
    <t xml:space="preserve"> Sinai</t>
  </si>
  <si>
    <t xml:space="preserve"> Miriam</t>
  </si>
  <si>
    <t xml:space="preserve"> Milan</t>
  </si>
  <si>
    <t xml:space="preserve"> Einar Gervasius</t>
  </si>
  <si>
    <t xml:space="preserve"> Julius Konrad Eugen</t>
  </si>
  <si>
    <t xml:space="preserve"> Nils August</t>
  </si>
  <si>
    <t xml:space="preserve"> Claire</t>
  </si>
  <si>
    <t xml:space="preserve"> Manca</t>
  </si>
  <si>
    <t xml:space="preserve"> Franz</t>
  </si>
  <si>
    <t xml:space="preserve"> Vasilios G</t>
  </si>
  <si>
    <t xml:space="preserve"> Nora Agnes</t>
  </si>
  <si>
    <t xml:space="preserve"> Andrew</t>
  </si>
  <si>
    <t xml:space="preserve"> Edwin Herbert</t>
  </si>
  <si>
    <t xml:space="preserve"> Anna Katherine</t>
  </si>
  <si>
    <t xml:space="preserve"> Fanny Maria</t>
  </si>
  <si>
    <t xml:space="preserve"> Edward Austin</t>
  </si>
  <si>
    <t xml:space="preserve"> Frederick Roland</t>
  </si>
  <si>
    <t xml:space="preserve"> Marion Estelle</t>
  </si>
  <si>
    <t xml:space="preserve"> Betros</t>
  </si>
  <si>
    <t xml:space="preserve"> Zahie</t>
  </si>
  <si>
    <t xml:space="preserve"> John Joseph</t>
  </si>
  <si>
    <t xml:space="preserve"> Philip</t>
  </si>
  <si>
    <t xml:space="preserve"> Edwin Nelson Jr</t>
  </si>
  <si>
    <t xml:space="preserve"> Susan Gertrude</t>
  </si>
  <si>
    <t xml:space="preserve"> Luise Gretchen</t>
  </si>
  <si>
    <t xml:space="preserve"> Luise</t>
  </si>
  <si>
    <t xml:space="preserve"> Maria</t>
  </si>
  <si>
    <t xml:space="preserve"> Anton</t>
  </si>
  <si>
    <t xml:space="preserve"> Vincenz</t>
  </si>
  <si>
    <t xml:space="preserve"> Charles Leonard</t>
  </si>
  <si>
    <t xml:space="preserve"> Herman</t>
  </si>
  <si>
    <t xml:space="preserve"> Gertrud Emilia</t>
  </si>
  <si>
    <t xml:space="preserve"> Klas Albin</t>
  </si>
  <si>
    <t xml:space="preserve"> Hulda Kristina Eugenia</t>
  </si>
  <si>
    <t xml:space="preserve"> Robert</t>
  </si>
  <si>
    <t xml:space="preserve"> Theodor</t>
  </si>
  <si>
    <t xml:space="preserve"> Neshan</t>
  </si>
  <si>
    <t xml:space="preserve"> Emilie</t>
  </si>
  <si>
    <t xml:space="preserve"> Georges Alexandre</t>
  </si>
  <si>
    <t xml:space="preserve"> Simon</t>
  </si>
  <si>
    <t xml:space="preserve"> Johan Henrik Johannesson</t>
  </si>
  <si>
    <t xml:space="preserve"> SarkÄ«s</t>
  </si>
  <si>
    <t xml:space="preserve"> Anna Amelia</t>
  </si>
  <si>
    <t xml:space="preserve"> Kristina Sofia</t>
  </si>
  <si>
    <t xml:space="preserve"> John J</t>
  </si>
  <si>
    <t xml:space="preserve"> Len</t>
  </si>
  <si>
    <t xml:space="preserve"> Aurora Adelia</t>
  </si>
  <si>
    <t xml:space="preserve"> Fang</t>
  </si>
  <si>
    <t xml:space="preserve"> Louise</t>
  </si>
  <si>
    <t xml:space="preserve"> Simonne Marie Anne AndrÃ©e</t>
  </si>
  <si>
    <t xml:space="preserve"> Joseph Philippe Lemercier</t>
  </si>
  <si>
    <t xml:space="preserve"> Juliette Marie Louise</t>
  </si>
  <si>
    <t xml:space="preserve"> August Viktor</t>
  </si>
  <si>
    <t xml:space="preserve"> Bengt Edvin</t>
  </si>
  <si>
    <t xml:space="preserve"> Edvard</t>
  </si>
  <si>
    <t xml:space="preserve"> Alice May</t>
  </si>
  <si>
    <t xml:space="preserve"> Ida</t>
  </si>
  <si>
    <t xml:space="preserve"> Jeannie</t>
  </si>
  <si>
    <t xml:space="preserve"> Mathilde</t>
  </si>
  <si>
    <t xml:space="preserve"> Frances Marie</t>
  </si>
  <si>
    <t xml:space="preserve"> Antti Gustaf</t>
  </si>
  <si>
    <t xml:space="preserve"> Jessie Wills</t>
  </si>
  <si>
    <t xml:space="preserve"> Amelia</t>
  </si>
  <si>
    <t xml:space="preserve"> Denis</t>
  </si>
  <si>
    <t xml:space="preserve"> Berthe</t>
  </si>
  <si>
    <t xml:space="preserve"> Gustave J</t>
  </si>
  <si>
    <t xml:space="preserve"> RenÃ© Jacques</t>
  </si>
  <si>
    <t xml:space="preserve"> Ervin G</t>
  </si>
  <si>
    <t xml:space="preserve"> Robert William Norman</t>
  </si>
  <si>
    <t xml:space="preserve"> RenÃ© AimÃ©</t>
  </si>
  <si>
    <t xml:space="preserve"> Agda Thorilda Viktoria</t>
  </si>
  <si>
    <t xml:space="preserve"> Augusta Charlotta</t>
  </si>
  <si>
    <t xml:space="preserve"> Edvard Bengtsson</t>
  </si>
  <si>
    <t xml:space="preserve"> Elin Gerda</t>
  </si>
  <si>
    <t xml:space="preserve"> Eino William</t>
  </si>
  <si>
    <t xml:space="preserve"> Sigrid</t>
  </si>
  <si>
    <t xml:space="preserve"> Mary Conover</t>
  </si>
  <si>
    <t xml:space="preserve"> Elizabeth Lindsey</t>
  </si>
  <si>
    <t xml:space="preserve"> Wenzel</t>
  </si>
  <si>
    <t xml:space="preserve"> Cordelia</t>
  </si>
  <si>
    <t xml:space="preserve"> William Arthur</t>
  </si>
  <si>
    <t xml:space="preserve"> Edward Thomas</t>
  </si>
  <si>
    <t xml:space="preserve"> Gretchen Fiske</t>
  </si>
  <si>
    <t xml:space="preserve"> Milton Clyde</t>
  </si>
  <si>
    <t xml:space="preserve"> Joseph Holland</t>
  </si>
  <si>
    <t xml:space="preserve"> Charles</t>
  </si>
  <si>
    <t xml:space="preserve"> Alice Adelaide</t>
  </si>
  <si>
    <t xml:space="preserve"> John Hall</t>
  </si>
  <si>
    <t xml:space="preserve"> Nikola</t>
  </si>
  <si>
    <t xml:space="preserve"> Johan Svensson</t>
  </si>
  <si>
    <t xml:space="preserve"> Olga Elida</t>
  </si>
  <si>
    <t xml:space="preserve"> Thure Edvin</t>
  </si>
  <si>
    <t xml:space="preserve"> EugÃ©nie Elise</t>
  </si>
  <si>
    <t xml:space="preserve"> Panagiotis K</t>
  </si>
  <si>
    <t xml:space="preserve"> Stanko</t>
  </si>
  <si>
    <t xml:space="preserve"> George William</t>
  </si>
  <si>
    <t xml:space="preserve"> Georgette Alexandra</t>
  </si>
  <si>
    <t xml:space="preserve"> Fridtjof Arne</t>
  </si>
  <si>
    <t xml:space="preserve"> Matti Alexanteri</t>
  </si>
  <si>
    <t xml:space="preserve"> John Edward</t>
  </si>
  <si>
    <t xml:space="preserve"> Roberta Elizabeth Mary</t>
  </si>
  <si>
    <t xml:space="preserve"> Kalle Edvard</t>
  </si>
  <si>
    <t xml:space="preserve"> Jean-NoÃ«l</t>
  </si>
  <si>
    <t xml:space="preserve"> AndrÃ© Clement</t>
  </si>
  <si>
    <t xml:space="preserve"> Albert Denis Pierre</t>
  </si>
  <si>
    <t xml:space="preserve"> Antonine Marie</t>
  </si>
  <si>
    <t xml:space="preserve"> HannÄ MikÄ'Ä«l</t>
  </si>
  <si>
    <t xml:space="preserve"> Serafino Emilio</t>
  </si>
  <si>
    <t xml:space="preserve"> Sarkis</t>
  </si>
  <si>
    <t xml:space="preserve"> Pierre</t>
  </si>
  <si>
    <t xml:space="preserve"> Dmitri</t>
  </si>
  <si>
    <t xml:space="preserve"> Marin</t>
  </si>
  <si>
    <t xml:space="preserve"> Johann</t>
  </si>
  <si>
    <t xml:space="preserve"> Daniel Warner</t>
  </si>
  <si>
    <t xml:space="preserve"> Mary Graham Carmichael</t>
  </si>
  <si>
    <t xml:space="preserve"> Nicola</t>
  </si>
  <si>
    <t xml:space="preserve"> Frank Hubert</t>
  </si>
  <si>
    <t xml:space="preserve"> Mlle</t>
  </si>
  <si>
    <t xml:space="preserve"> Berthe Antonine</t>
  </si>
  <si>
    <t xml:space="preserve"> Thomas Francis</t>
  </si>
  <si>
    <t xml:space="preserve"> Timothy J</t>
  </si>
  <si>
    <t xml:space="preserve"> Thomas Joseph</t>
  </si>
  <si>
    <t xml:space="preserve"> Bernard</t>
  </si>
  <si>
    <t xml:space="preserve"> Arthur Gordon</t>
  </si>
  <si>
    <t xml:space="preserve"> James Matthew</t>
  </si>
  <si>
    <t xml:space="preserve"> James Robert</t>
  </si>
  <si>
    <t xml:space="preserve"> Ms</t>
  </si>
  <si>
    <t xml:space="preserve"> Anna Louise</t>
  </si>
  <si>
    <t xml:space="preserve"> Peter Daniel</t>
  </si>
  <si>
    <t xml:space="preserve"> Neal</t>
  </si>
  <si>
    <t xml:space="preserve"> Eileen</t>
  </si>
  <si>
    <t xml:space="preserve"> Marian</t>
  </si>
  <si>
    <t xml:space="preserve"> Annie Louisa</t>
  </si>
  <si>
    <t xml:space="preserve"> Violet Madeline</t>
  </si>
  <si>
    <t xml:space="preserve"> Elizabeth Anne</t>
  </si>
  <si>
    <t xml:space="preserve"> Alfonzo</t>
  </si>
  <si>
    <t xml:space="preserve"> Edgar Joseph</t>
  </si>
  <si>
    <t xml:space="preserve"> Leila</t>
  </si>
  <si>
    <t xml:space="preserve"> Karl Albert</t>
  </si>
  <si>
    <t xml:space="preserve"> Stoytcho</t>
  </si>
  <si>
    <t xml:space="preserve"> Francis Davis</t>
  </si>
  <si>
    <t xml:space="preserve"> Jacob Christian</t>
  </si>
  <si>
    <t xml:space="preserve"> Daisy E</t>
  </si>
  <si>
    <t xml:space="preserve"> Lillian E</t>
  </si>
  <si>
    <t xml:space="preserve"> Lazar</t>
  </si>
  <si>
    <t xml:space="preserve"> Henry Michael</t>
  </si>
  <si>
    <t xml:space="preserve"> Mito</t>
  </si>
  <si>
    <t xml:space="preserve"> Philipp Edmund</t>
  </si>
  <si>
    <t xml:space="preserve"> Sigurd Hansen</t>
  </si>
  <si>
    <t xml:space="preserve"> Harry Markland</t>
  </si>
  <si>
    <t xml:space="preserve"> Juozas</t>
  </si>
  <si>
    <t xml:space="preserve"> Clarence Bloomfield</t>
  </si>
  <si>
    <t xml:space="preserve"> Leonard Charles</t>
  </si>
  <si>
    <t xml:space="preserve"> Meier</t>
  </si>
  <si>
    <t xml:space="preserve"> Beila</t>
  </si>
  <si>
    <t xml:space="preserve"> Daniel J</t>
  </si>
  <si>
    <t xml:space="preserve"> Henry Samuel</t>
  </si>
  <si>
    <t xml:space="preserve"> Thomas Rowan</t>
  </si>
  <si>
    <t xml:space="preserve"> Albert Johan</t>
  </si>
  <si>
    <t xml:space="preserve"> Mantoura Boulos</t>
  </si>
  <si>
    <t xml:space="preserve"> Rahamin Haim</t>
  </si>
  <si>
    <t xml:space="preserve"> HalÄ«m</t>
  </si>
  <si>
    <t xml:space="preserve"> Jirjis</t>
  </si>
  <si>
    <t xml:space="preserve"> AmÄ«nah</t>
  </si>
  <si>
    <t xml:space="preserve"> Thomas Cupper</t>
  </si>
  <si>
    <t xml:space="preserve"> Bridget Elizabeth</t>
  </si>
  <si>
    <t xml:space="preserve"> Margaret Jane</t>
  </si>
  <si>
    <t xml:space="preserve"> Nora</t>
  </si>
  <si>
    <t xml:space="preserve"> FatÄ«mah Muhammad</t>
  </si>
  <si>
    <t xml:space="preserve"> Pehr Fabian Oliver Malkolm</t>
  </si>
  <si>
    <t xml:space="preserve"> Penko</t>
  </si>
  <si>
    <t xml:space="preserve"> Adele</t>
  </si>
  <si>
    <t xml:space="preserve"> Toufik</t>
  </si>
  <si>
    <t xml:space="preserve"> Sahid</t>
  </si>
  <si>
    <t xml:space="preserve"> Waika</t>
  </si>
  <si>
    <t xml:space="preserve"> MustafÃ </t>
  </si>
  <si>
    <t xml:space="preserve"> Nicholas</t>
  </si>
  <si>
    <t xml:space="preserve"> Saade</t>
  </si>
  <si>
    <t xml:space="preserve"> Edmond Roger</t>
  </si>
  <si>
    <t xml:space="preserve"> Michel Marcel</t>
  </si>
  <si>
    <t xml:space="preserve"> Michel</t>
  </si>
  <si>
    <t xml:space="preserve"> Hristo</t>
  </si>
  <si>
    <t xml:space="preserve"> Israel</t>
  </si>
  <si>
    <t xml:space="preserve"> Madeleine</t>
  </si>
  <si>
    <t xml:space="preserve"> Marjorie Anne</t>
  </si>
  <si>
    <t xml:space="preserve"> Arthur Webster</t>
  </si>
  <si>
    <t xml:space="preserve"> Helen Monypeny</t>
  </si>
  <si>
    <t xml:space="preserve"> Arthur Ernest</t>
  </si>
  <si>
    <t xml:space="preserve"> Manta Josefina</t>
  </si>
  <si>
    <t xml:space="preserve"> Berta Olivia</t>
  </si>
  <si>
    <t xml:space="preserve"> Helmina Josefina</t>
  </si>
  <si>
    <t xml:space="preserve"> August Ferdinand</t>
  </si>
  <si>
    <t xml:space="preserve"> IlyÄs</t>
  </si>
  <si>
    <t xml:space="preserve"> Jamilah</t>
  </si>
  <si>
    <t xml:space="preserve"> Iisakki Antino Ã„ijÃ¶</t>
  </si>
  <si>
    <t xml:space="preserve"> Juha</t>
  </si>
  <si>
    <t xml:space="preserve"> Mansouer</t>
  </si>
  <si>
    <t xml:space="preserve"> Robert Douglas</t>
  </si>
  <si>
    <t xml:space="preserve"> Richard Cater</t>
  </si>
  <si>
    <t xml:space="preserve"> Alfred</t>
  </si>
  <si>
    <t xml:space="preserve"> Anna Sofia</t>
  </si>
  <si>
    <t xml:space="preserve"> Johan Hansen</t>
  </si>
  <si>
    <t xml:space="preserve"> Johanna</t>
  </si>
  <si>
    <t xml:space="preserve"> Patrick Denis</t>
  </si>
  <si>
    <t xml:space="preserve"> Maurice</t>
  </si>
  <si>
    <t xml:space="preserve"> Nils Martin</t>
  </si>
  <si>
    <t xml:space="preserve"> Velin</t>
  </si>
  <si>
    <t xml:space="preserve"> DoÃ±a</t>
  </si>
  <si>
    <t xml:space="preserve"> Fermina</t>
  </si>
  <si>
    <t xml:space="preserve"> Artur Karl</t>
  </si>
  <si>
    <t xml:space="preserve"> Henry Margido</t>
  </si>
  <si>
    <t xml:space="preserve"> Karl Siegwart Andreas</t>
  </si>
  <si>
    <t xml:space="preserve"> Ole Martin</t>
  </si>
  <si>
    <t xml:space="preserve"> Elina</t>
  </si>
  <si>
    <t xml:space="preserve"> Nils Johan GÃ¶ransson</t>
  </si>
  <si>
    <t xml:space="preserve"> Oscar Wilhelm</t>
  </si>
  <si>
    <t xml:space="preserve"> Thor Anderson</t>
  </si>
  <si>
    <t xml:space="preserve"> Alfred Fernand</t>
  </si>
  <si>
    <t xml:space="preserve"> Jelka</t>
  </si>
  <si>
    <t xml:space="preserve"> Olaf Elon</t>
  </si>
  <si>
    <t xml:space="preserve"> Helen Ragnhild</t>
  </si>
  <si>
    <t xml:space="preserve"> Engelhart Cornelius</t>
  </si>
  <si>
    <t xml:space="preserve"> Bridget Mary</t>
  </si>
  <si>
    <t xml:space="preserve"> Servando JosÃ© Florentino</t>
  </si>
  <si>
    <t xml:space="preserve"> Percy Thomas</t>
  </si>
  <si>
    <t xml:space="preserve"> Julian</t>
  </si>
  <si>
    <t xml:space="preserve"> Sr</t>
  </si>
  <si>
    <t xml:space="preserve"> Emili</t>
  </si>
  <si>
    <t xml:space="preserve"> GÃ¶sta Leonard</t>
  </si>
  <si>
    <t xml:space="preserve"> Paul Folke</t>
  </si>
  <si>
    <t xml:space="preserve"> Stina Viola</t>
  </si>
  <si>
    <t xml:space="preserve"> Torborg Danira</t>
  </si>
  <si>
    <t xml:space="preserve"> Alma Cornelia</t>
  </si>
  <si>
    <t xml:space="preserve"> Eino Viljam</t>
  </si>
  <si>
    <t xml:space="preserve"> Jaako Arnold</t>
  </si>
  <si>
    <t xml:space="preserve"> Juha Niilo</t>
  </si>
  <si>
    <t xml:space="preserve"> Urho Abraham</t>
  </si>
  <si>
    <t xml:space="preserve"> Ernesti Arvid</t>
  </si>
  <si>
    <t xml:space="preserve"> Maija Emelia Abrahamintytar</t>
  </si>
  <si>
    <t xml:space="preserve"> Clifford Richard</t>
  </si>
  <si>
    <t xml:space="preserve"> Francis</t>
  </si>
  <si>
    <t xml:space="preserve"> Lutie Davis</t>
  </si>
  <si>
    <t xml:space="preserve"> William Henry Marsh</t>
  </si>
  <si>
    <t xml:space="preserve"> Austin</t>
  </si>
  <si>
    <t xml:space="preserve"> Stefo</t>
  </si>
  <si>
    <t xml:space="preserve"> Vivian Ponsonby</t>
  </si>
  <si>
    <t xml:space="preserve"> Albert Edward</t>
  </si>
  <si>
    <t xml:space="preserve"> Treasteall</t>
  </si>
  <si>
    <t xml:space="preserve"> Thomas Clinton</t>
  </si>
  <si>
    <t xml:space="preserve"> Olaf</t>
  </si>
  <si>
    <t xml:space="preserve"> Giuseppe</t>
  </si>
  <si>
    <t xml:space="preserve"> Nikolai Johannes</t>
  </si>
  <si>
    <t xml:space="preserve"> Maria Josefa Perezde Soto y Vallejo</t>
  </si>
  <si>
    <t xml:space="preserve"> Victor</t>
  </si>
  <si>
    <t xml:space="preserve"> Frederick William</t>
  </si>
  <si>
    <t xml:space="preserve"> RenÃ©</t>
  </si>
  <si>
    <t xml:space="preserve"> Mary Anne</t>
  </si>
  <si>
    <t xml:space="preserve"> Ernst Ulrik</t>
  </si>
  <si>
    <t xml:space="preserve"> Mathilda</t>
  </si>
  <si>
    <t xml:space="preserve"> Michael J</t>
  </si>
  <si>
    <t xml:space="preserve"> Marius</t>
  </si>
  <si>
    <t xml:space="preserve"> Nedialco</t>
  </si>
  <si>
    <t xml:space="preserve"> Pastcho</t>
  </si>
  <si>
    <t xml:space="preserve"> Elin Natalia</t>
  </si>
  <si>
    <t xml:space="preserve"> Johan Emil</t>
  </si>
  <si>
    <t xml:space="preserve"> Arthur Godfrey</t>
  </si>
  <si>
    <t xml:space="preserve"> Alice Frances Louisa</t>
  </si>
  <si>
    <t xml:space="preserve"> Kate Florence</t>
  </si>
  <si>
    <t xml:space="preserve"> Escott Robert</t>
  </si>
  <si>
    <t xml:space="preserve"> BenoÃ®t</t>
  </si>
  <si>
    <t xml:space="preserve"> Rosa</t>
  </si>
  <si>
    <t xml:space="preserve"> Vasil</t>
  </si>
  <si>
    <t xml:space="preserve"> Mate</t>
  </si>
  <si>
    <t xml:space="preserve"> Tome</t>
  </si>
  <si>
    <t xml:space="preserve"> Emilio Ilario Giuseppe</t>
  </si>
  <si>
    <t xml:space="preserve"> Walter Chamberlain</t>
  </si>
  <si>
    <t xml:space="preserve"> Lily Alexenia</t>
  </si>
  <si>
    <t xml:space="preserve"> Uscher</t>
  </si>
  <si>
    <t xml:space="preserve"> Phyllis May</t>
  </si>
  <si>
    <t xml:space="preserve"> Winifred Vera</t>
  </si>
  <si>
    <t xml:space="preserve"> Alexander</t>
  </si>
  <si>
    <t xml:space="preserve"> BÄkhÅ«s</t>
  </si>
  <si>
    <t xml:space="preserve"> Lena Jakobsen</t>
  </si>
  <si>
    <t xml:space="preserve"> Raihed</t>
  </si>
  <si>
    <t xml:space="preserve"> James George</t>
  </si>
  <si>
    <t xml:space="preserve"> Tido</t>
  </si>
  <si>
    <t xml:space="preserve"> Peter Henry</t>
  </si>
  <si>
    <t xml:space="preserve"> Lillian</t>
  </si>
  <si>
    <t xml:space="preserve"> Jonkheer Johan George</t>
  </si>
  <si>
    <t xml:space="preserve"> EncarnaciÃ³n</t>
  </si>
  <si>
    <t xml:space="preserve"> Harold</t>
  </si>
  <si>
    <t xml:space="preserve"> George Alexander Lucien</t>
  </si>
  <si>
    <t xml:space="preserve"> Eric</t>
  </si>
  <si>
    <t xml:space="preserve"> Eugene Francis</t>
  </si>
  <si>
    <t xml:space="preserve"> George Hugh</t>
  </si>
  <si>
    <t xml:space="preserve"> Emile Phillippe</t>
  </si>
  <si>
    <t xml:space="preserve"> Sibley George</t>
  </si>
  <si>
    <t xml:space="preserve"> William Rowe</t>
  </si>
  <si>
    <t xml:space="preserve"> Emily</t>
  </si>
  <si>
    <t xml:space="preserve"> Lucy</t>
  </si>
  <si>
    <t xml:space="preserve"> Sante</t>
  </si>
  <si>
    <t xml:space="preserve"> Susanna JuhantytÃ¤r</t>
  </si>
  <si>
    <t xml:space="preserve"> Matti</t>
  </si>
  <si>
    <t xml:space="preserve"> Samuel Beard</t>
  </si>
  <si>
    <t xml:space="preserve"> Emma Jane</t>
  </si>
  <si>
    <t xml:space="preserve"> Alexander A</t>
  </si>
  <si>
    <t xml:space="preserve"> Charity</t>
  </si>
  <si>
    <t xml:space="preserve"> Washington Augustus II</t>
  </si>
  <si>
    <t xml:space="preserve"> Reginald Harry</t>
  </si>
  <si>
    <t xml:space="preserve"> Charles Hallace</t>
  </si>
  <si>
    <t xml:space="preserve"> Knud Paust</t>
  </si>
  <si>
    <t xml:space="preserve"> Hugh Roscoe</t>
  </si>
  <si>
    <t xml:space="preserve"> Salli Helena</t>
  </si>
  <si>
    <t xml:space="preserve"> Helena Wilhelmina</t>
  </si>
  <si>
    <t xml:space="preserve"> Viktor Richard</t>
  </si>
  <si>
    <t xml:space="preserve"> Edith Louise</t>
  </si>
  <si>
    <t xml:space="preserve"> John Hugo</t>
  </si>
  <si>
    <t xml:space="preserve"> Sarah</t>
  </si>
  <si>
    <t xml:space="preserve"> Elizabeth Jane Anne</t>
  </si>
  <si>
    <t xml:space="preserve"> Richard Henry</t>
  </si>
  <si>
    <t xml:space="preserve"> Alfred G</t>
  </si>
  <si>
    <t xml:space="preserve"> Alfred George John</t>
  </si>
  <si>
    <t xml:space="preserve"> John Borie</t>
  </si>
  <si>
    <t xml:space="preserve"> Emily Borie</t>
  </si>
  <si>
    <t xml:space="preserve"> Susan Parker Suzette</t>
  </si>
  <si>
    <t xml:space="preserve"> Arthur Larned</t>
  </si>
  <si>
    <t xml:space="preserve"> Emily Maria</t>
  </si>
  <si>
    <t xml:space="preserve"> Amin</t>
  </si>
  <si>
    <t xml:space="preserve"> Khalil</t>
  </si>
  <si>
    <t xml:space="preserve"> Adolphe</t>
  </si>
  <si>
    <t xml:space="preserve"> Matthew</t>
  </si>
  <si>
    <t xml:space="preserve"> Simon Sivertsen</t>
  </si>
  <si>
    <t xml:space="preserve"> Anthony William</t>
  </si>
  <si>
    <t xml:space="preserve"> Constance Gladys</t>
  </si>
  <si>
    <t xml:space="preserve"> Elizabeth Ada</t>
  </si>
  <si>
    <t xml:space="preserve"> Stella Anne</t>
  </si>
  <si>
    <t xml:space="preserve"> Douglas Bullen</t>
  </si>
  <si>
    <t xml:space="preserve"> Frederick</t>
  </si>
  <si>
    <t xml:space="preserve"> George John</t>
  </si>
  <si>
    <t xml:space="preserve"> John George</t>
  </si>
  <si>
    <t xml:space="preserve"> Annie Elizabeth</t>
  </si>
  <si>
    <t xml:space="preserve"> Emma</t>
  </si>
  <si>
    <t xml:space="preserve"> Anna Kristine</t>
  </si>
  <si>
    <t xml:space="preserve"> Abraham Lincoln</t>
  </si>
  <si>
    <t xml:space="preserve"> Johan Werner</t>
  </si>
  <si>
    <t xml:space="preserve"> Hanna Elias</t>
  </si>
  <si>
    <t xml:space="preserve"> Youssef</t>
  </si>
  <si>
    <t xml:space="preserve"> Beatrice Irene</t>
  </si>
  <si>
    <t xml:space="preserve"> Marguerite Rut</t>
  </si>
  <si>
    <t xml:space="preserve"> Agnes Charlotta</t>
  </si>
  <si>
    <t xml:space="preserve"> Julius</t>
  </si>
  <si>
    <t xml:space="preserve"> Frederick Charles</t>
  </si>
  <si>
    <t xml:space="preserve"> Jean</t>
  </si>
  <si>
    <t xml:space="preserve"> Augustus</t>
  </si>
  <si>
    <t xml:space="preserve"> Todor</t>
  </si>
  <si>
    <t xml:space="preserve"> Charles Frederick Waddington</t>
  </si>
  <si>
    <t xml:space="preserve"> Auguste</t>
  </si>
  <si>
    <t xml:space="preserve"> Frederic Kimber</t>
  </si>
  <si>
    <t xml:space="preserve"> Andrew John</t>
  </si>
  <si>
    <t xml:space="preserve"> Percival</t>
  </si>
  <si>
    <t xml:space="preserve"> Daher</t>
  </si>
  <si>
    <t xml:space="preserve"> Frederick William Blainey</t>
  </si>
  <si>
    <t xml:space="preserve"> Imanita Parrish</t>
  </si>
  <si>
    <t xml:space="preserve"> Al-AmÄ«r FÄris</t>
  </si>
  <si>
    <t xml:space="preserve"> Charles Joseph</t>
  </si>
  <si>
    <t xml:space="preserve"> Elizabeth Weed</t>
  </si>
  <si>
    <t xml:space="preserve"> Lyyli Karoliina</t>
  </si>
  <si>
    <t xml:space="preserve"> Spencer Victor</t>
  </si>
  <si>
    <t xml:space="preserve"> Alice Gray</t>
  </si>
  <si>
    <t xml:space="preserve"> William Baird</t>
  </si>
  <si>
    <t xml:space="preserve"> Colonel (Oberst) Alfons</t>
  </si>
  <si>
    <t xml:space="preserve"> Maude</t>
  </si>
  <si>
    <t xml:space="preserve"> Orsen</t>
  </si>
  <si>
    <t xml:space="preserve"> Morris</t>
  </si>
  <si>
    <t xml:space="preserve"> Husein</t>
  </si>
  <si>
    <t xml:space="preserve"> Antti Wilhelm</t>
  </si>
  <si>
    <t xml:space="preserve"> Ernst Adolf</t>
  </si>
  <si>
    <t xml:space="preserve"> Harald</t>
  </si>
  <si>
    <t xml:space="preserve"> Karl Thorsten</t>
  </si>
  <si>
    <t xml:space="preserve"> Mabel</t>
  </si>
  <si>
    <t xml:space="preserve"> Margit Elizabeth</t>
  </si>
  <si>
    <t xml:space="preserve"> Anna Bernhardina</t>
  </si>
  <si>
    <t xml:space="preserve"> Wilhelm Johansson</t>
  </si>
  <si>
    <t xml:space="preserve"> Petco</t>
  </si>
  <si>
    <t xml:space="preserve"> Hilda Mary</t>
  </si>
  <si>
    <t xml:space="preserve"> Richard James</t>
  </si>
  <si>
    <t xml:space="preserve"> Selman Francis</t>
  </si>
  <si>
    <t xml:space="preserve"> William Thompson</t>
  </si>
  <si>
    <t xml:space="preserve"> John Montgomery</t>
  </si>
  <si>
    <t xml:space="preserve"> Mile</t>
  </si>
  <si>
    <t xml:space="preserve"> Marion Elsie</t>
  </si>
  <si>
    <t xml:space="preserve"> James Clinch</t>
  </si>
  <si>
    <t xml:space="preserve"> Lucian Philip</t>
  </si>
  <si>
    <t xml:space="preserve"> Richard William</t>
  </si>
  <si>
    <t xml:space="preserve"> Mary Eloise</t>
  </si>
  <si>
    <t xml:space="preserve"> John Pillsbury</t>
  </si>
  <si>
    <t xml:space="preserve"> Nelle</t>
  </si>
  <si>
    <t xml:space="preserve"> Samuel James Hayden</t>
  </si>
  <si>
    <t xml:space="preserve"> Peter Andreas Lauritz Andersen</t>
  </si>
  <si>
    <t xml:space="preserve"> Francis William</t>
  </si>
  <si>
    <t xml:space="preserve"> Woolf</t>
  </si>
  <si>
    <t xml:space="preserve"> Frederic Oakley</t>
  </si>
  <si>
    <t xml:space="preserve"> Margaretta Corning</t>
  </si>
  <si>
    <t xml:space="preserve"> Marie Eugenie</t>
  </si>
  <si>
    <t xml:space="preserve"> William Augustus</t>
  </si>
  <si>
    <t xml:space="preserve"> Henry John</t>
  </si>
  <si>
    <t xml:space="preserve"> Max</t>
  </si>
  <si>
    <t xml:space="preserve"> Amy Zillah Elsie</t>
  </si>
  <si>
    <t xml:space="preserve"> Rowland Edwin</t>
  </si>
  <si>
    <t xml:space="preserve"> Samuel Ward</t>
  </si>
  <si>
    <t xml:space="preserve"> Charles Emil Henry</t>
  </si>
  <si>
    <t xml:space="preserve"> Annie May</t>
  </si>
  <si>
    <t xml:space="preserve"> Martha</t>
  </si>
  <si>
    <t xml:space="preserve"> Albert Ankeny</t>
  </si>
  <si>
    <t xml:space="preserve"> Philip Joseph</t>
  </si>
  <si>
    <t xml:space="preserve"> Martha Evelyn</t>
  </si>
  <si>
    <t xml:space="preserve"> Ilia</t>
  </si>
  <si>
    <t xml:space="preserve"> Ida Sofia</t>
  </si>
  <si>
    <t xml:space="preserve"> Juho Niilosson</t>
  </si>
  <si>
    <t xml:space="preserve"> Isidor</t>
  </si>
  <si>
    <t xml:space="preserve"> Rosalie Ida</t>
  </si>
  <si>
    <t xml:space="preserve"> Telma Matilda</t>
  </si>
  <si>
    <t xml:space="preserve"> Elna Matilda</t>
  </si>
  <si>
    <t xml:space="preserve"> Victor Francis</t>
  </si>
  <si>
    <t xml:space="preserve"> Johan Julian</t>
  </si>
  <si>
    <t xml:space="preserve"> Henry Jr</t>
  </si>
  <si>
    <t xml:space="preserve"> Johan</t>
  </si>
  <si>
    <t xml:space="preserve"> Johan Cervin</t>
  </si>
  <si>
    <t xml:space="preserve"> Olof</t>
  </si>
  <si>
    <t xml:space="preserve"> George Frederick</t>
  </si>
  <si>
    <t xml:space="preserve"> Margaret Welles</t>
  </si>
  <si>
    <t xml:space="preserve"> As'ad</t>
  </si>
  <si>
    <t xml:space="preserve"> BashÄ«r</t>
  </si>
  <si>
    <t xml:space="preserve"> ThamÄ«n</t>
  </si>
  <si>
    <t xml:space="preserve"> Tillie</t>
  </si>
  <si>
    <t xml:space="preserve"> Elmer Zebley</t>
  </si>
  <si>
    <t xml:space="preserve"> Percy Cornelius</t>
  </si>
  <si>
    <t xml:space="preserve"> Juliet Cummins</t>
  </si>
  <si>
    <t xml:space="preserve"> Gunnar Isidor</t>
  </si>
  <si>
    <t xml:space="preserve"> John Borland</t>
  </si>
  <si>
    <t xml:space="preserve"> John Borland jr</t>
  </si>
  <si>
    <t xml:space="preserve"> Marian Longstreth</t>
  </si>
  <si>
    <t xml:space="preserve"> Thomas Leonard</t>
  </si>
  <si>
    <t xml:space="preserve"> Alexander Mellis</t>
  </si>
  <si>
    <t xml:space="preserve"> Gertrude Maybelle</t>
  </si>
  <si>
    <t xml:space="preserve"> Florence Kate</t>
  </si>
  <si>
    <t xml:space="preserve"> Juho</t>
  </si>
  <si>
    <t xml:space="preserve"> Roger</t>
  </si>
  <si>
    <t xml:space="preserve"> Ernest Portage</t>
  </si>
  <si>
    <t xml:space="preserve"> Ernst Wilhelm</t>
  </si>
  <si>
    <t xml:space="preserve"> Assad</t>
  </si>
  <si>
    <t xml:space="preserve"> Hristo Danchev</t>
  </si>
  <si>
    <t xml:space="preserve"> Moses Aaron</t>
  </si>
  <si>
    <t xml:space="preserve"> Jessie Laird</t>
  </si>
  <si>
    <t xml:space="preserve"> Edwina Celia</t>
  </si>
  <si>
    <t xml:space="preserve"> Gilbert Milligan jr</t>
  </si>
  <si>
    <t xml:space="preserve"> Jirjis YÅ«suf</t>
  </si>
  <si>
    <t xml:space="preserve"> Mariyam</t>
  </si>
  <si>
    <t xml:space="preserve"> Hinnah</t>
  </si>
  <si>
    <t xml:space="preserve"> Stjepan</t>
  </si>
  <si>
    <t xml:space="preserve"> Hedwig</t>
  </si>
  <si>
    <t xml:space="preserve"> Dorothy Ann</t>
  </si>
  <si>
    <t xml:space="preserve"> Don</t>
  </si>
  <si>
    <t xml:space="preserve"> Manuel Ramirez</t>
  </si>
  <si>
    <t xml:space="preserve"> James William</t>
  </si>
  <si>
    <t xml:space="preserve"> Walter John</t>
  </si>
  <si>
    <t xml:space="preserve"> Austin Blyler</t>
  </si>
  <si>
    <t xml:space="preserve"> Leo Peter</t>
  </si>
  <si>
    <t xml:space="preserve"> Wyckoff</t>
  </si>
  <si>
    <t xml:space="preserve"> Augusta Maria</t>
  </si>
  <si>
    <t xml:space="preserve"> Leo Edmondus</t>
  </si>
  <si>
    <t xml:space="preserve"> Emelie Maria</t>
  </si>
  <si>
    <t xml:space="preserve"> Johannes Josef</t>
  </si>
  <si>
    <t xml:space="preserve"> Nestor Cyriel</t>
  </si>
  <si>
    <t xml:space="preserve"> Catharina</t>
  </si>
  <si>
    <t xml:space="preserve"> Jean Baptiste</t>
  </si>
  <si>
    <t xml:space="preserve"> Rosalie Paula</t>
  </si>
  <si>
    <t xml:space="preserve"> Philemon</t>
  </si>
  <si>
    <t xml:space="preserve"> Olof Edvin</t>
  </si>
  <si>
    <t xml:space="preserve"> Hulda Amanda Adolfina</t>
  </si>
  <si>
    <t xml:space="preserve"> Janko</t>
  </si>
  <si>
    <t xml:space="preserve"> Achille</t>
  </si>
  <si>
    <t xml:space="preserve"> William Anderson</t>
  </si>
  <si>
    <t xml:space="preserve"> Ellen 'Nellie'</t>
  </si>
  <si>
    <t xml:space="preserve"> Annie Moore</t>
  </si>
  <si>
    <t xml:space="preserve"> Florence Louise</t>
  </si>
  <si>
    <t xml:space="preserve"> William Jeffery</t>
  </si>
  <si>
    <t xml:space="preserve"> Charles William</t>
  </si>
  <si>
    <t xml:space="preserve"> Frank Manley</t>
  </si>
  <si>
    <t xml:space="preserve"> Anna Sophia</t>
  </si>
  <si>
    <t xml:space="preserve"> Ennis Hastings</t>
  </si>
  <si>
    <t xml:space="preserve"> Robertha Josephine</t>
  </si>
  <si>
    <t xml:space="preserve"> Yousif Ahmed</t>
  </si>
  <si>
    <t xml:space="preserve"> Susan</t>
  </si>
  <si>
    <t xml:space="preserve"> LÃ©opold</t>
  </si>
  <si>
    <t xml:space="preserve"> Mathilde FranÃ§oise</t>
  </si>
  <si>
    <t xml:space="preserve"> Ralph Lester</t>
  </si>
  <si>
    <t xml:space="preserve"> Joan</t>
  </si>
  <si>
    <t xml:space="preserve"> Addie Dart</t>
  </si>
  <si>
    <t xml:space="preserve"> Barbara Joyce</t>
  </si>
  <si>
    <t xml:space="preserve"> Constance Mirium</t>
  </si>
  <si>
    <t xml:space="preserve"> Edwy Arthur</t>
  </si>
  <si>
    <t xml:space="preserve"> Ada Mary</t>
  </si>
  <si>
    <t xml:space="preserve"> Edward Henry</t>
  </si>
  <si>
    <t xml:space="preserve"> Edwin Charles</t>
  </si>
  <si>
    <t xml:space="preserve"> Percival Wayland</t>
  </si>
  <si>
    <t xml:space="preserve"> Richard Frasar</t>
  </si>
  <si>
    <t xml:space="preserve"> Ella</t>
  </si>
  <si>
    <t xml:space="preserve"> Col</t>
  </si>
  <si>
    <t xml:space="preserve"> George Dennick</t>
  </si>
  <si>
    <t xml:space="preserve"> Mary Natalie</t>
  </si>
  <si>
    <t xml:space="preserve"> Mary Peebles</t>
  </si>
  <si>
    <t xml:space="preserve"> Carl Peter</t>
  </si>
  <si>
    <t xml:space="preserve"> George Dunton</t>
  </si>
  <si>
    <t xml:space="preserve"> Harry Elkins</t>
  </si>
  <si>
    <t xml:space="preserve"> Eleanor</t>
  </si>
  <si>
    <t xml:space="preserve"> Constance</t>
  </si>
  <si>
    <t xml:space="preserve"> Aaron</t>
  </si>
  <si>
    <t xml:space="preserve"> Edward John</t>
  </si>
  <si>
    <t xml:space="preserve"> Charles Duane</t>
  </si>
  <si>
    <t xml:space="preserve"> Charles Eugene</t>
  </si>
  <si>
    <t xml:space="preserve"> Fletcher Fellowes Lambert</t>
  </si>
  <si>
    <t xml:space="preserve"> Howard Hugh</t>
  </si>
  <si>
    <t xml:space="preserve"> Leslie</t>
  </si>
  <si>
    <t xml:space="preserve"> Richard Norris II</t>
  </si>
  <si>
    <t xml:space="preserve"> Helen Alice</t>
  </si>
  <si>
    <t xml:space="preserve"> Einar</t>
  </si>
  <si>
    <t xml:space="preserve"> Philippe</t>
  </si>
  <si>
    <t xml:space="preserve"> Camilius Aloysius</t>
  </si>
  <si>
    <t xml:space="preserve"> John Wesley</t>
  </si>
  <si>
    <t xml:space="preserve"> Hugh</t>
  </si>
  <si>
    <t xml:space="preserve"> Marion</t>
  </si>
  <si>
    <t xml:space="preserve"> Antoni</t>
  </si>
  <si>
    <t xml:space="preserve"> Selini</t>
  </si>
  <si>
    <t xml:space="preserve"> Marie Grice</t>
  </si>
  <si>
    <t xml:space="preserve"> Gerios</t>
  </si>
  <si>
    <t xml:space="preserve"> KÄtrÄ«n</t>
  </si>
  <si>
    <t xml:space="preserve"> Henriette</t>
  </si>
  <si>
    <t xml:space="preserve"> Mapriededer</t>
  </si>
  <si>
    <t xml:space="preserve"> Ortin</t>
  </si>
  <si>
    <t xml:space="preserve"> Leo</t>
  </si>
  <si>
    <t xml:space="preserve"> Ernest Owen</t>
  </si>
  <si>
    <t xml:space="preserve"> Robert John</t>
  </si>
  <si>
    <t xml:space="preserve"> Percy Snowden</t>
  </si>
  <si>
    <t xml:space="preserve"> Joseph Francis</t>
  </si>
  <si>
    <t xml:space="preserve"> Sig</t>
  </si>
  <si>
    <t xml:space="preserve"> Battista Antonio</t>
  </si>
  <si>
    <t xml:space="preserve"> Ernest Frederick</t>
  </si>
  <si>
    <t xml:space="preserve"> Robert Spencer</t>
  </si>
  <si>
    <t xml:space="preserve"> Alfred Samuel</t>
  </si>
  <si>
    <t xml:space="preserve"> Frank Richard</t>
  </si>
  <si>
    <t xml:space="preserve"> Walter Yuill</t>
  </si>
  <si>
    <t xml:space="preserve"> Ernest Edward</t>
  </si>
  <si>
    <t xml:space="preserve"> Austin Aloysius</t>
  </si>
  <si>
    <t xml:space="preserve"> Henry Wellesley</t>
  </si>
  <si>
    <t xml:space="preserve"> Georges</t>
  </si>
  <si>
    <t xml:space="preserve"> James Albert</t>
  </si>
  <si>
    <t xml:space="preserve"> Edwin George</t>
  </si>
  <si>
    <t xml:space="preserve"> Charles Frederick</t>
  </si>
  <si>
    <t xml:space="preserve"> Allen Marden</t>
  </si>
  <si>
    <t xml:space="preserve"> George Francis</t>
  </si>
  <si>
    <t xml:space="preserve"> George Frank</t>
  </si>
  <si>
    <t xml:space="preserve"> Henry Joseph</t>
  </si>
  <si>
    <t xml:space="preserve"> Ugo</t>
  </si>
  <si>
    <t xml:space="preserve"> Albert Vale</t>
  </si>
  <si>
    <t xml:space="preserve"> Ernest Thomas</t>
  </si>
  <si>
    <t xml:space="preserve"> Reginald Lomond</t>
  </si>
  <si>
    <t xml:space="preserve"> Arthur William</t>
  </si>
  <si>
    <t xml:space="preserve"> Charles Henry John Barrow</t>
  </si>
  <si>
    <t xml:space="preserve"> Sidney John</t>
  </si>
  <si>
    <t xml:space="preserve"> Giovanni</t>
  </si>
  <si>
    <t xml:space="preserve"> Harry Ross</t>
  </si>
  <si>
    <t xml:space="preserve"> Thomas Ferguson</t>
  </si>
  <si>
    <t xml:space="preserve"> Narciso</t>
  </si>
  <si>
    <t xml:space="preserve"> William Barnett</t>
  </si>
  <si>
    <t xml:space="preserve"> George Arthur</t>
  </si>
  <si>
    <t xml:space="preserve"> Fred John</t>
  </si>
  <si>
    <t xml:space="preserve"> George Alfred</t>
  </si>
  <si>
    <t xml:space="preserve"> Battista</t>
  </si>
  <si>
    <t xml:space="preserve"> William Edward Lowe</t>
  </si>
  <si>
    <t xml:space="preserve"> Edwin Alfred</t>
  </si>
  <si>
    <t xml:space="preserve"> Joseph Henry</t>
  </si>
  <si>
    <t xml:space="preserve"> George Baptiste</t>
  </si>
  <si>
    <t xml:space="preserve"> Edward Charles</t>
  </si>
  <si>
    <t xml:space="preserve"> Walter William</t>
  </si>
  <si>
    <t xml:space="preserve"> Walter Alexander</t>
  </si>
  <si>
    <t xml:space="preserve"> D</t>
  </si>
  <si>
    <t xml:space="preserve"> Percival Albert</t>
  </si>
  <si>
    <t xml:space="preserve"> Seaton</t>
  </si>
  <si>
    <t xml:space="preserve"> Eustace Horatius</t>
  </si>
  <si>
    <t xml:space="preserve"> Alexis Joseph</t>
  </si>
  <si>
    <t xml:space="preserve"> Pierre Giuseppe</t>
  </si>
  <si>
    <t xml:space="preserve"> Norman Leslie</t>
  </si>
  <si>
    <t xml:space="preserve"> Hendrik</t>
  </si>
  <si>
    <t xml:space="preserve"> Walter Thomas</t>
  </si>
  <si>
    <t xml:space="preserve"> Bernard John</t>
  </si>
  <si>
    <t xml:space="preserve"> Ruth Harwood</t>
  </si>
  <si>
    <t xml:space="preserve"> Joseph Groves</t>
  </si>
  <si>
    <t xml:space="preserve"> Patrick Joseph</t>
  </si>
  <si>
    <t xml:space="preserve"> T</t>
  </si>
  <si>
    <t xml:space="preserve"> John Albert Perkin</t>
  </si>
  <si>
    <t xml:space="preserve"> Harold Sydney</t>
  </si>
  <si>
    <t xml:space="preserve"> Arthur John</t>
  </si>
  <si>
    <t xml:space="preserve"> Robert Charles</t>
  </si>
  <si>
    <t xml:space="preserve"> John Cress</t>
  </si>
  <si>
    <t xml:space="preserve"> J</t>
  </si>
  <si>
    <t xml:space="preserve"> Athol Frederick</t>
  </si>
  <si>
    <t xml:space="preserve"> Herbert George</t>
  </si>
  <si>
    <t xml:space="preserve"> Joseph James</t>
  </si>
  <si>
    <t xml:space="preserve"> H</t>
  </si>
  <si>
    <t xml:space="preserve"> E</t>
  </si>
  <si>
    <t xml:space="preserve"> Henry Ashburnham</t>
  </si>
  <si>
    <t xml:space="preserve"> Walter Edward</t>
  </si>
  <si>
    <t xml:space="preserve"> Wilfred James</t>
  </si>
  <si>
    <t xml:space="preserve"> Richard Edward</t>
  </si>
  <si>
    <t xml:space="preserve"> Arthur Victor Edwards</t>
  </si>
  <si>
    <t xml:space="preserve"> Ewart Sydenham</t>
  </si>
  <si>
    <t xml:space="preserve"> Arthur Peckham</t>
  </si>
  <si>
    <t xml:space="preserve"> Robert Henry</t>
  </si>
  <si>
    <t xml:space="preserve"> James Edward</t>
  </si>
  <si>
    <t xml:space="preserve"> Donald S</t>
  </si>
  <si>
    <t xml:space="preserve"> Richard Stephen</t>
  </si>
  <si>
    <t xml:space="preserve"> James (W</t>
  </si>
  <si>
    <t xml:space="preserve"> Giulio</t>
  </si>
  <si>
    <t xml:space="preserve"> Annie</t>
  </si>
  <si>
    <t xml:space="preserve"> William Ewart</t>
  </si>
  <si>
    <t xml:space="preserve"> Herbert</t>
  </si>
  <si>
    <t xml:space="preserve"> Charles Thomas</t>
  </si>
  <si>
    <t xml:space="preserve"> Adrien Finnin</t>
  </si>
  <si>
    <t xml:space="preserve"> William Victor</t>
  </si>
  <si>
    <t xml:space="preserve"> George Alexander</t>
  </si>
  <si>
    <t xml:space="preserve"> Archibald George</t>
  </si>
  <si>
    <t xml:space="preserve"> Herbert Harry</t>
  </si>
  <si>
    <t xml:space="preserve"> George James</t>
  </si>
  <si>
    <t xml:space="preserve"> Percy Walter</t>
  </si>
  <si>
    <t xml:space="preserve"> Gilbert William</t>
  </si>
  <si>
    <t xml:space="preserve"> Charles Augustus</t>
  </si>
  <si>
    <t xml:space="preserve"> Albert Harry</t>
  </si>
  <si>
    <t xml:space="preserve"> Ernest Theodore</t>
  </si>
  <si>
    <t xml:space="preserve"> Dennis</t>
  </si>
  <si>
    <t xml:space="preserve"> Marcel Raymond AndrÃ©</t>
  </si>
  <si>
    <t xml:space="preserve"> Robert Frederick William</t>
  </si>
  <si>
    <t xml:space="preserve"> Auguste Louis</t>
  </si>
  <si>
    <t xml:space="preserve"> William Denton</t>
  </si>
  <si>
    <t xml:space="preserve"> Francis Ernest George</t>
  </si>
  <si>
    <t xml:space="preserve"> Frederick Horace</t>
  </si>
  <si>
    <t xml:space="preserve"> Alfred George</t>
  </si>
  <si>
    <t xml:space="preserve"> Henry Philip</t>
  </si>
  <si>
    <t xml:space="preserve"> Albert Hector</t>
  </si>
  <si>
    <t xml:space="preserve"> John Borthwick</t>
  </si>
  <si>
    <t xml:space="preserve"> Charles George Chandler</t>
  </si>
  <si>
    <t xml:space="preserve"> Charles James</t>
  </si>
  <si>
    <t xml:space="preserve"> Andrew Orr</t>
  </si>
  <si>
    <t xml:space="preserve"> Sidney Edward</t>
  </si>
  <si>
    <t xml:space="preserve"> William George</t>
  </si>
  <si>
    <t xml:space="preserve"> Gordon Raleigh</t>
  </si>
  <si>
    <t xml:space="preserve"> Robert J</t>
  </si>
  <si>
    <t xml:space="preserve"> Stephen James</t>
  </si>
  <si>
    <t xml:space="preserve"> George H</t>
  </si>
  <si>
    <t xml:space="preserve"> Maurice Emile Victor</t>
  </si>
  <si>
    <t xml:space="preserve"> Alfred Arnold</t>
  </si>
  <si>
    <t xml:space="preserve"> Govanni</t>
  </si>
  <si>
    <t xml:space="preserve"> Arthur Henry</t>
  </si>
  <si>
    <t xml:space="preserve"> Percival Stainer</t>
  </si>
  <si>
    <t xml:space="preserve"> Louis Gabriel</t>
  </si>
  <si>
    <t xml:space="preserve"> Thomas Patrick</t>
  </si>
  <si>
    <t xml:space="preserve"> James Richard</t>
  </si>
  <si>
    <t xml:space="preserve"> George Charles</t>
  </si>
  <si>
    <t xml:space="preserve"> Henry Watson</t>
  </si>
  <si>
    <t xml:space="preserve"> Italo Francesco</t>
  </si>
  <si>
    <t xml:space="preserve"> Frank (?Thomas)</t>
  </si>
  <si>
    <t xml:space="preserve"> Albert James</t>
  </si>
  <si>
    <t xml:space="preserve"> Louis Auguste</t>
  </si>
  <si>
    <t xml:space="preserve"> William Luke</t>
  </si>
  <si>
    <t xml:space="preserve"> Henry Ryland</t>
  </si>
  <si>
    <t xml:space="preserve"> Francis Samuel Jacob</t>
  </si>
  <si>
    <t xml:space="preserve"> George Bulkeley</t>
  </si>
  <si>
    <t xml:space="preserve"> Charles Essex</t>
  </si>
  <si>
    <t xml:space="preserve"> Everett Edward</t>
  </si>
  <si>
    <t xml:space="preserve"> John Bertie</t>
  </si>
  <si>
    <t xml:space="preserve"> Albert George</t>
  </si>
  <si>
    <t xml:space="preserve"> Alfred Frank</t>
  </si>
  <si>
    <t xml:space="preserve"> Frank Oliver</t>
  </si>
  <si>
    <t xml:space="preserve"> George Richard</t>
  </si>
  <si>
    <t xml:space="preserve"> Henry Charles</t>
  </si>
  <si>
    <t xml:space="preserve"> Ernest John</t>
  </si>
  <si>
    <t xml:space="preserve"> William Stephen</t>
  </si>
  <si>
    <t xml:space="preserve"> Antonio</t>
  </si>
  <si>
    <t xml:space="preserve"> Carlo</t>
  </si>
  <si>
    <t xml:space="preserve"> Henry Herman</t>
  </si>
  <si>
    <t xml:space="preserve"> Giuseppe Bertoldo</t>
  </si>
  <si>
    <t xml:space="preserve"> Cecil William</t>
  </si>
  <si>
    <t xml:space="preserve"> Hugh Joseph</t>
  </si>
  <si>
    <t xml:space="preserve"> Wilfred Cyril</t>
  </si>
  <si>
    <t xml:space="preserve"> Alfred Charles</t>
  </si>
  <si>
    <t xml:space="preserve"> Alan Vincent</t>
  </si>
  <si>
    <t xml:space="preserve"> Walter Francis</t>
  </si>
  <si>
    <t xml:space="preserve"> Ernest Edward Samuel</t>
  </si>
  <si>
    <t xml:space="preserve"> Albert Ernest</t>
  </si>
  <si>
    <t xml:space="preserve"> Gaspare Antonio Pietro</t>
  </si>
  <si>
    <t xml:space="preserve"> Richard Charles</t>
  </si>
  <si>
    <t xml:space="preserve"> Alfred Emest</t>
  </si>
  <si>
    <t xml:space="preserve"> Jacob William</t>
  </si>
  <si>
    <t xml:space="preserve"> Vincenzo Pio</t>
  </si>
  <si>
    <t xml:space="preserve"> John Robert</t>
  </si>
  <si>
    <t xml:space="preserve"> Joseph Stanley</t>
  </si>
  <si>
    <t xml:space="preserve"> George Auguste</t>
  </si>
  <si>
    <t xml:space="preserve"> M</t>
  </si>
  <si>
    <t xml:space="preserve"> W</t>
  </si>
  <si>
    <t xml:space="preserve"> Jane Kate Coulson</t>
  </si>
  <si>
    <t xml:space="preserve"> F</t>
  </si>
  <si>
    <t xml:space="preserve"> Bertram James</t>
  </si>
  <si>
    <t xml:space="preserve"> S</t>
  </si>
  <si>
    <t xml:space="preserve"> Thomas Gibson</t>
  </si>
  <si>
    <t xml:space="preserve"> GÃ©rald</t>
  </si>
  <si>
    <t xml:space="preserve"> Joseph Alfred</t>
  </si>
  <si>
    <t xml:space="preserve"> Elgar John</t>
  </si>
  <si>
    <t xml:space="preserve"> William Logan</t>
  </si>
  <si>
    <t xml:space="preserve"> Walter Stamford</t>
  </si>
  <si>
    <t xml:space="preserve"> Frank Alfred James</t>
  </si>
  <si>
    <t xml:space="preserve"> Ernest William</t>
  </si>
  <si>
    <t xml:space="preserve"> Amos</t>
  </si>
  <si>
    <t xml:space="preserve"> Clifford Henry</t>
  </si>
  <si>
    <t xml:space="preserve"> Edward Matthew</t>
  </si>
  <si>
    <t xml:space="preserve"> AragÃµa Drummond</t>
  </si>
  <si>
    <t xml:space="preserve"> Norman E</t>
  </si>
  <si>
    <t xml:space="preserve"> Fred</t>
  </si>
  <si>
    <t xml:space="preserve"> Herbert Gifford</t>
  </si>
  <si>
    <t xml:space="preserve"> William Walter</t>
  </si>
  <si>
    <t xml:space="preserve"> Joseph Dominichus</t>
  </si>
  <si>
    <t xml:space="preserve"> Samuel Ernest</t>
  </si>
  <si>
    <t xml:space="preserve"> Charles Osker</t>
  </si>
  <si>
    <t xml:space="preserve"> Edward Martin</t>
  </si>
  <si>
    <t xml:space="preserve"> Herbert George Ernest</t>
  </si>
  <si>
    <t xml:space="preserve"> James Colston</t>
  </si>
  <si>
    <t xml:space="preserve"> George Herbert</t>
  </si>
  <si>
    <t xml:space="preserve"> Stephen William</t>
  </si>
  <si>
    <t xml:space="preserve"> Sydney George</t>
  </si>
  <si>
    <t xml:space="preserve"> Leonard James</t>
  </si>
  <si>
    <t xml:space="preserve"> Charley</t>
  </si>
  <si>
    <t xml:space="preserve"> Leonard</t>
  </si>
  <si>
    <t xml:space="preserve"> Sidney</t>
  </si>
  <si>
    <t xml:space="preserve"> Roland John C</t>
  </si>
  <si>
    <t xml:space="preserve"> Albert Edward James</t>
  </si>
  <si>
    <t xml:space="preserve"> George Fox</t>
  </si>
  <si>
    <t xml:space="preserve"> Arthur Albert</t>
  </si>
  <si>
    <t xml:space="preserve"> Humphrey</t>
  </si>
  <si>
    <t xml:space="preserve"> Albert Sylvanus</t>
  </si>
  <si>
    <t xml:space="preserve"> Tom</t>
  </si>
  <si>
    <t xml:space="preserve"> Charles John</t>
  </si>
  <si>
    <t xml:space="preserve"> James Leo</t>
  </si>
  <si>
    <t xml:space="preserve"> Harry John</t>
  </si>
  <si>
    <t xml:space="preserve"> Cecil</t>
  </si>
  <si>
    <t xml:space="preserve"> Henri Marie</t>
  </si>
  <si>
    <t xml:space="preserve"> William Frank</t>
  </si>
  <si>
    <t xml:space="preserve"> Claude Marie</t>
  </si>
  <si>
    <t xml:space="preserve"> Thomas Henry (Harry)</t>
  </si>
  <si>
    <t xml:space="preserve"> Charles Valdemar</t>
  </si>
  <si>
    <t xml:space="preserve"> Violet Constance</t>
  </si>
  <si>
    <t xml:space="preserve"> Archie</t>
  </si>
  <si>
    <t xml:space="preserve"> N</t>
  </si>
  <si>
    <t xml:space="preserve"> Albert Hugh Brabner</t>
  </si>
  <si>
    <t xml:space="preserve"> Harry Owen G</t>
  </si>
  <si>
    <t xml:space="preserve"> Thomas William</t>
  </si>
  <si>
    <t xml:space="preserve"> Victor Reginald</t>
  </si>
  <si>
    <t xml:space="preserve"> Georges Jules</t>
  </si>
  <si>
    <t xml:space="preserve"> Boykett Herbert</t>
  </si>
  <si>
    <t xml:space="preserve"> Franz Wilhelm</t>
  </si>
  <si>
    <t xml:space="preserve"> Percy Edward</t>
  </si>
  <si>
    <t xml:space="preserve"> Thomas Hulman</t>
  </si>
  <si>
    <t xml:space="preserve"> Thomas Russell</t>
  </si>
  <si>
    <t xml:space="preserve"> Edgar Michael</t>
  </si>
  <si>
    <t xml:space="preserve"> Alfred John Moffett</t>
  </si>
  <si>
    <t xml:space="preserve"> Ernest Waldron</t>
  </si>
  <si>
    <t xml:space="preserve"> G</t>
  </si>
  <si>
    <t xml:space="preserve"> Thomas Walter</t>
  </si>
  <si>
    <t xml:space="preserve"> William Ford</t>
  </si>
  <si>
    <t xml:space="preserve"> Louis</t>
  </si>
  <si>
    <t xml:space="preserve"> Thomas Benjamin</t>
  </si>
  <si>
    <t xml:space="preserve"> Arthur Alfred</t>
  </si>
  <si>
    <t xml:space="preserve"> Leonard George</t>
  </si>
  <si>
    <t xml:space="preserve"> Bertie William</t>
  </si>
  <si>
    <t xml:space="preserve"> Elizabeth Mary</t>
  </si>
  <si>
    <t xml:space="preserve"> Henry Reginald</t>
  </si>
  <si>
    <t xml:space="preserve"> Reginald Robinson</t>
  </si>
  <si>
    <t xml:space="preserve"> Paul Georges</t>
  </si>
  <si>
    <t xml:space="preserve"> Arthur Ernest Read</t>
  </si>
  <si>
    <t xml:space="preserve"> Christopher William</t>
  </si>
  <si>
    <t xml:space="preserve"> Charles Herbert</t>
  </si>
  <si>
    <t xml:space="preserve"> William Charles</t>
  </si>
  <si>
    <t xml:space="preserve"> Alexander James</t>
  </si>
  <si>
    <t xml:space="preserve"> A</t>
  </si>
  <si>
    <t xml:space="preserve"> John Dickson</t>
  </si>
  <si>
    <t xml:space="preserve"> Harold Godfrey</t>
  </si>
  <si>
    <t xml:space="preserve"> William Watson</t>
  </si>
  <si>
    <t xml:space="preserve"> John Charles</t>
  </si>
  <si>
    <t xml:space="preserve"> William Dickson</t>
  </si>
  <si>
    <t xml:space="preserve"> Thomas Edgar</t>
  </si>
  <si>
    <t xml:space="preserve"> Roland Frederick</t>
  </si>
  <si>
    <t xml:space="preserve"> John Starr</t>
  </si>
  <si>
    <t xml:space="preserve"> John William</t>
  </si>
  <si>
    <t xml:space="preserve"> Evelyn</t>
  </si>
  <si>
    <t xml:space="preserve"> Mabel Elvina</t>
  </si>
  <si>
    <t xml:space="preserve"> Annie Martha</t>
  </si>
  <si>
    <t xml:space="preserve"> Leopold Adolphus</t>
  </si>
  <si>
    <t xml:space="preserve"> Frank Archibald Robert</t>
  </si>
  <si>
    <t xml:space="preserve"> Montague Vincent</t>
  </si>
  <si>
    <t xml:space="preserve"> Adolf</t>
  </si>
  <si>
    <t xml:space="preserve"> Paul Achille Maurice Germain</t>
  </si>
  <si>
    <t xml:space="preserve"> Isaac Hiram</t>
  </si>
  <si>
    <t xml:space="preserve"> William Peter</t>
  </si>
  <si>
    <t xml:space="preserve"> Thomas Jubilee</t>
  </si>
  <si>
    <t xml:space="preserve"> Thomas W</t>
  </si>
  <si>
    <t xml:space="preserve"> Hugh Walter</t>
  </si>
  <si>
    <t xml:space="preserve"> Edward Joseph</t>
  </si>
  <si>
    <t xml:space="preserve"> Erroll Victor</t>
  </si>
  <si>
    <t xml:space="preserve"> George Francis 'Paddy'</t>
  </si>
  <si>
    <t xml:space="preserve"> Charles Donald</t>
  </si>
  <si>
    <t xml:space="preserve"> Hypatia</t>
  </si>
  <si>
    <t xml:space="preserve"> Benjamin Tucker</t>
  </si>
  <si>
    <t xml:space="preserve"> John Richard</t>
  </si>
  <si>
    <t xml:space="preserve"> William Alexander</t>
  </si>
  <si>
    <t xml:space="preserve"> Alfred Pirrie</t>
  </si>
  <si>
    <t xml:space="preserve"> Mark Victor</t>
  </si>
  <si>
    <t xml:space="preserve"> Abraham Mansoor</t>
  </si>
  <si>
    <t xml:space="preserve"> Lorenzo (Lawrence) Horace</t>
  </si>
  <si>
    <t xml:space="preserve"> Joan Javier</t>
  </si>
  <si>
    <t xml:space="preserve"> James Paul</t>
  </si>
  <si>
    <t xml:space="preserve"> Alfred Ernest</t>
  </si>
  <si>
    <t xml:space="preserve"> Arthur Herbert</t>
  </si>
  <si>
    <t xml:space="preserve"> Thomas A</t>
  </si>
  <si>
    <t xml:space="preserve"> Frank Herbert</t>
  </si>
  <si>
    <t xml:space="preserve"> William Young</t>
  </si>
  <si>
    <t xml:space="preserve"> Ludwig</t>
  </si>
  <si>
    <t xml:space="preserve"> William McMaster</t>
  </si>
  <si>
    <t xml:space="preserve"> Francesco Luigi Arcangelo</t>
  </si>
  <si>
    <t xml:space="preserve"> Bentley Harold</t>
  </si>
  <si>
    <t xml:space="preserve"> George Walter</t>
  </si>
  <si>
    <t xml:space="preserve"> Alfred William Stanley</t>
  </si>
  <si>
    <t xml:space="preserve"> Walter Henry</t>
  </si>
  <si>
    <t xml:space="preserve"> John Brown</t>
  </si>
  <si>
    <t xml:space="preserve"> John Thomas</t>
  </si>
  <si>
    <t xml:space="preserve"> Bertram Arthur</t>
  </si>
  <si>
    <t xml:space="preserve"> Thomas Peter</t>
  </si>
  <si>
    <t xml:space="preserve"> Ernest Roskelly</t>
  </si>
  <si>
    <t xml:space="preserve"> William Francis Norman</t>
  </si>
  <si>
    <t xml:space="preserve"> Walter Hayward</t>
  </si>
  <si>
    <t xml:space="preserve"> Charles Alfred</t>
  </si>
  <si>
    <t xml:space="preserve"> Reginald lvan</t>
  </si>
  <si>
    <t xml:space="preserve"> Jean Baptiste Stanislas</t>
  </si>
  <si>
    <t xml:space="preserve"> Richard Charles John</t>
  </si>
  <si>
    <t xml:space="preserve"> James Arthur</t>
  </si>
  <si>
    <t xml:space="preserve"> Thomas Henry Michael</t>
  </si>
  <si>
    <t xml:space="preserve"> Frank Alfred</t>
  </si>
  <si>
    <t xml:space="preserve"> Charles H</t>
  </si>
  <si>
    <t xml:space="preserve"> Albert Victor</t>
  </si>
  <si>
    <t xml:space="preserve"> Alessandro</t>
  </si>
  <si>
    <t xml:space="preserve"> Thomas Frederick Cohen</t>
  </si>
  <si>
    <t xml:space="preserve"> William Farr</t>
  </si>
  <si>
    <t xml:space="preserve"> John Poole</t>
  </si>
  <si>
    <t xml:space="preserve"> Alberto</t>
  </si>
  <si>
    <t xml:space="preserve"> Laurence Alexander</t>
  </si>
  <si>
    <t xml:space="preserve"> Alfonso</t>
  </si>
  <si>
    <t xml:space="preserve"> Hubert Prouse</t>
  </si>
  <si>
    <t xml:space="preserve"> Edgar Lionel</t>
  </si>
  <si>
    <t xml:space="preserve"> Henry Frederick</t>
  </si>
  <si>
    <t xml:space="preserve"> William Chapman</t>
  </si>
  <si>
    <t xml:space="preserve"> Edwin Henry</t>
  </si>
  <si>
    <t xml:space="preserve"> Richard Paul Jozef</t>
  </si>
  <si>
    <t xml:space="preserve"> Harold Charles William</t>
  </si>
  <si>
    <t xml:space="preserve"> Pompeo Gaspro</t>
  </si>
  <si>
    <t xml:space="preserve"> Herbert John</t>
  </si>
  <si>
    <t xml:space="preserve"> Wilfred George</t>
  </si>
  <si>
    <t xml:space="preserve"> Alfred John Alexander</t>
  </si>
  <si>
    <t xml:space="preserve"> Emilio</t>
  </si>
  <si>
    <t xml:space="preserve"> Percy Robert</t>
  </si>
  <si>
    <t xml:space="preserve"> Frank Winnold</t>
  </si>
  <si>
    <t xml:space="preserve"> Thomas Charles Alfred</t>
  </si>
  <si>
    <t xml:space="preserve"> Ernest Cyril</t>
  </si>
  <si>
    <t xml:space="preserve"> Alice Maud</t>
  </si>
  <si>
    <t xml:space="preserve"> John Arthur (Jack)</t>
  </si>
  <si>
    <t xml:space="preserve"> Harold John Arnold</t>
  </si>
  <si>
    <t xml:space="preserve"> Richard Royston</t>
  </si>
  <si>
    <t xml:space="preserve"> Arthur Percy</t>
  </si>
  <si>
    <t xml:space="preserve"> William Robert Holland</t>
  </si>
  <si>
    <t xml:space="preserve"> Frank Henry</t>
  </si>
  <si>
    <t xml:space="preserve"> James Augustus</t>
  </si>
  <si>
    <t xml:space="preserve"> Enrico</t>
  </si>
  <si>
    <t xml:space="preserve"> Frederick Dent</t>
  </si>
  <si>
    <t xml:space="preserve"> Thomas Charles Prowse</t>
  </si>
  <si>
    <t xml:space="preserve"> Frederick Simms</t>
  </si>
  <si>
    <t xml:space="preserve"> Robert Thomas</t>
  </si>
  <si>
    <t xml:space="preserve"> William James Francis</t>
  </si>
  <si>
    <t xml:space="preserve"> Rinaldo Renato</t>
  </si>
  <si>
    <t xml:space="preserve"> John Reginald</t>
  </si>
  <si>
    <t xml:space="preserve"> George Albert</t>
  </si>
  <si>
    <t xml:space="preserve"> Cyril Gordon</t>
  </si>
  <si>
    <t xml:space="preserve"> Walter George</t>
  </si>
  <si>
    <t xml:space="preserve"> Abele</t>
  </si>
  <si>
    <t xml:space="preserve"> Gilbert</t>
  </si>
  <si>
    <t xml:space="preserve"> Hugh H</t>
  </si>
  <si>
    <t xml:space="preserve"> Robert George</t>
  </si>
  <si>
    <t xml:space="preserve"> Mary Kezia</t>
  </si>
  <si>
    <t xml:space="preserve"> Edward James William</t>
  </si>
  <si>
    <t xml:space="preserve"> Horace Leopold</t>
  </si>
  <si>
    <t xml:space="preserve"> Angelo Mario</t>
  </si>
  <si>
    <t xml:space="preserve"> Edgar Maurice</t>
  </si>
  <si>
    <t xml:space="preserve"> George Thomas</t>
  </si>
  <si>
    <t xml:space="preserve"> Samuel James</t>
  </si>
  <si>
    <t xml:space="preserve"> Boysie Richard</t>
  </si>
  <si>
    <t xml:space="preserve"> Sidney Frank</t>
  </si>
  <si>
    <t xml:space="preserve"> William Edwy</t>
  </si>
  <si>
    <t xml:space="preserve"> Giovanni Giuseppe Emilio</t>
  </si>
  <si>
    <t xml:space="preserve"> Owen Wilmore</t>
  </si>
  <si>
    <t xml:space="preserve"> Walter Ernest</t>
  </si>
  <si>
    <t xml:space="preserve"> Joseph George</t>
  </si>
  <si>
    <t xml:space="preserve"> Candido</t>
  </si>
  <si>
    <t xml:space="preserve"> Samuel Francis</t>
  </si>
  <si>
    <t xml:space="preserve"> Albert Charles Edward</t>
  </si>
  <si>
    <t xml:space="preserve"> Alfred Henry</t>
  </si>
  <si>
    <t xml:space="preserve"> Giacomo</t>
  </si>
  <si>
    <t xml:space="preserve"> Wilfred Deable</t>
  </si>
  <si>
    <t xml:space="preserve"> Jonathan</t>
  </si>
  <si>
    <t xml:space="preserve"> Sidney Conrad</t>
  </si>
  <si>
    <t xml:space="preserve"> Andrew George James</t>
  </si>
  <si>
    <t xml:space="preserve"> William Simon C</t>
  </si>
  <si>
    <t xml:space="preserve"> William Henry James</t>
  </si>
  <si>
    <t xml:space="preserve"> Peter</t>
  </si>
  <si>
    <t xml:space="preserve"> Maude Louise</t>
  </si>
  <si>
    <t xml:space="preserve"> Harry James</t>
  </si>
  <si>
    <t xml:space="preserve"> Katherine Elizabeth</t>
  </si>
  <si>
    <t xml:space="preserve"> Charles Edwin</t>
  </si>
  <si>
    <t xml:space="preserve"> Charles Henry James</t>
  </si>
  <si>
    <t xml:space="preserve"> Emest George</t>
  </si>
  <si>
    <t xml:space="preserve"> James Muil</t>
  </si>
  <si>
    <t xml:space="preserve"> John Richard Jago</t>
  </si>
  <si>
    <t xml:space="preserve"> Reginald George</t>
  </si>
  <si>
    <t xml:space="preserve"> Lucy Violet</t>
  </si>
  <si>
    <t xml:space="preserve"> Eustace Philip</t>
  </si>
  <si>
    <t xml:space="preserve"> Augustus George</t>
  </si>
  <si>
    <t xml:space="preserve"> Sarah Agnes</t>
  </si>
  <si>
    <t xml:space="preserve"> Sydney Frederick</t>
  </si>
  <si>
    <t xml:space="preserve"> Robert Edward</t>
  </si>
  <si>
    <t xml:space="preserve"> Henry Dorey</t>
  </si>
  <si>
    <t xml:space="preserve"> Edmund</t>
  </si>
  <si>
    <t xml:space="preserve"> Thomas Albert</t>
  </si>
  <si>
    <t xml:space="preserve"> Edward Alfred Orlando</t>
  </si>
  <si>
    <t xml:space="preserve"> John Herbert</t>
  </si>
  <si>
    <t xml:space="preserve"> Harry Robert</t>
  </si>
  <si>
    <t xml:space="preserve"> James Henry</t>
  </si>
  <si>
    <t xml:space="preserve"> John Crane</t>
  </si>
  <si>
    <t xml:space="preserve"> George Thomas Macdonald</t>
  </si>
  <si>
    <t xml:space="preserve"> George Frederick Charles</t>
  </si>
  <si>
    <t xml:space="preserve"> Bernard Cuthbert</t>
  </si>
  <si>
    <t xml:space="preserve"> Charles William Frederick</t>
  </si>
  <si>
    <t xml:space="preserve"> Bertram</t>
  </si>
  <si>
    <t xml:space="preserve"> Ercole</t>
  </si>
  <si>
    <t xml:space="preserve"> Thomas Moore</t>
  </si>
  <si>
    <t xml:space="preserve"> Montague Donald</t>
  </si>
  <si>
    <t xml:space="preserve"> Albert Charles</t>
  </si>
  <si>
    <t xml:space="preserve"> Benjamin James</t>
  </si>
  <si>
    <t xml:space="preserve"> Joseph Wakefield</t>
  </si>
  <si>
    <t xml:space="preserve"> George Terrill</t>
  </si>
  <si>
    <t xml:space="preserve"> Carlo/Karl</t>
  </si>
  <si>
    <t xml:space="preserve"> Arthur Leopold</t>
  </si>
  <si>
    <t xml:space="preserve"> James Adamson</t>
  </si>
  <si>
    <t xml:space="preserve"> Reuben Robert</t>
  </si>
  <si>
    <t xml:space="preserve"> Leopold Olerenshaw</t>
  </si>
  <si>
    <t xml:space="preserve"> Roberto</t>
  </si>
  <si>
    <t xml:space="preserve"> Ettore Luigi</t>
  </si>
  <si>
    <t xml:space="preserve"> Wessel Adrianus</t>
  </si>
  <si>
    <t xml:space="preserve"> Thomas Henry Edom</t>
  </si>
  <si>
    <t xml:space="preserve"> Alphonse Jean Eugene</t>
  </si>
  <si>
    <t xml:space="preserve"> Philip Francis</t>
  </si>
  <si>
    <t xml:space="preserve"> Pierre LÃ©on Gabriel</t>
  </si>
  <si>
    <t xml:space="preserve"> Herbert Thomas Gordon</t>
  </si>
  <si>
    <t xml:space="preserve"> Johannes</t>
  </si>
  <si>
    <t xml:space="preserve"> Catherine Jane</t>
  </si>
  <si>
    <t xml:space="preserve"> Fred Albert</t>
  </si>
  <si>
    <t xml:space="preserve"> Robert Arthur</t>
  </si>
  <si>
    <t xml:space="preserve"> Edward Lewis</t>
  </si>
  <si>
    <t xml:space="preserve"> Willim</t>
  </si>
  <si>
    <t xml:space="preserve"> Thomas Herbert</t>
  </si>
  <si>
    <t xml:space="preserve"> Francis Albert</t>
  </si>
  <si>
    <t xml:space="preserve"> Brook Holding</t>
  </si>
  <si>
    <t xml:space="preserve"> William Harold</t>
  </si>
  <si>
    <t xml:space="preserve"> William Clifford</t>
  </si>
  <si>
    <t xml:space="preserve"> Joseph Thomas</t>
  </si>
  <si>
    <t xml:space="preserve"> Edneser Edward</t>
  </si>
  <si>
    <t xml:space="preserve"> Thomas Arthur</t>
  </si>
  <si>
    <t xml:space="preserve"> Frank Leonard</t>
  </si>
  <si>
    <t xml:space="preserve"> Leonard Lisle Oliver</t>
  </si>
  <si>
    <t xml:space="preserve"> Isaac George</t>
  </si>
  <si>
    <t xml:space="preserve"> Henry Tingle</t>
  </si>
  <si>
    <t xml:space="preserve"> Samuel Solomon</t>
  </si>
  <si>
    <t xml:space="preserve"> James Bertram</t>
  </si>
  <si>
    <t xml:space="preserve"> William Aubrey</t>
  </si>
  <si>
    <t xml:space="preserve"> Herbert 'Bertie'</t>
  </si>
  <si>
    <t xml:space="preserve"> Alfred Edgar</t>
  </si>
  <si>
    <t xml:space="preserve"> Rowland</t>
  </si>
  <si>
    <t xml:space="preserve"> James William Cheetham</t>
  </si>
  <si>
    <t xml:space="preserve"> Henry Dennis</t>
  </si>
  <si>
    <t xml:space="preserve"> William Francis</t>
  </si>
  <si>
    <t xml:space="preserve"> Frederick Ernest</t>
  </si>
  <si>
    <t xml:space="preserve"> James Thomas</t>
  </si>
  <si>
    <t xml:space="preserve"> Oscar Scott</t>
  </si>
  <si>
    <t xml:space="preserve"> Henry Frederick Charles</t>
  </si>
  <si>
    <t xml:space="preserve"> Frederick Bernard</t>
  </si>
  <si>
    <t xml:space="preserve"> Francis James</t>
  </si>
  <si>
    <t xml:space="preserve"> Minio</t>
  </si>
  <si>
    <t xml:space="preserve"> L</t>
  </si>
  <si>
    <t>First Name</t>
  </si>
  <si>
    <t>Prefix</t>
  </si>
  <si>
    <t>Last Name</t>
  </si>
  <si>
    <t>Gender</t>
  </si>
  <si>
    <t>Male</t>
  </si>
  <si>
    <t>Female</t>
  </si>
  <si>
    <t>Age Group</t>
  </si>
  <si>
    <t>Embark Gtown</t>
  </si>
  <si>
    <t>Fare Category</t>
  </si>
  <si>
    <t>New Survived</t>
  </si>
  <si>
    <t>Family Size</t>
  </si>
  <si>
    <t>Alon</t>
  </si>
  <si>
    <t>Seniour Adult</t>
  </si>
  <si>
    <t>Southamptom</t>
  </si>
  <si>
    <t>Low Fare</t>
  </si>
  <si>
    <t>Alone</t>
  </si>
  <si>
    <t>No</t>
  </si>
  <si>
    <t>Teen</t>
  </si>
  <si>
    <t>Medium Fare</t>
  </si>
  <si>
    <t>With Family</t>
  </si>
  <si>
    <t>Yes</t>
  </si>
  <si>
    <t>Adult</t>
  </si>
  <si>
    <t>Cherbrug</t>
  </si>
  <si>
    <t>Child</t>
  </si>
  <si>
    <t>Very High Fare</t>
  </si>
  <si>
    <t>Old Age</t>
  </si>
  <si>
    <t>High Fare</t>
  </si>
  <si>
    <t>Cabin</t>
  </si>
  <si>
    <t>Quentown</t>
  </si>
  <si>
    <t>Q1 Total Passenger</t>
  </si>
  <si>
    <t>Count of New Survived</t>
  </si>
  <si>
    <t>Q2 Age</t>
  </si>
  <si>
    <t>Count of Gender</t>
  </si>
  <si>
    <t>Row Labels</t>
  </si>
  <si>
    <t>Grand Total</t>
  </si>
  <si>
    <t>Min of age</t>
  </si>
  <si>
    <t>Average of age2</t>
  </si>
  <si>
    <t>Max of age3</t>
  </si>
  <si>
    <t>Q3 Fare</t>
  </si>
  <si>
    <t>Min of fare</t>
  </si>
  <si>
    <t>Average of fare2</t>
  </si>
  <si>
    <t>Max of fare3</t>
  </si>
  <si>
    <t>EDA-Q 1 SURVIVED V/S NOT SURVIVED</t>
  </si>
  <si>
    <t>EDA-Q2  GENDER</t>
  </si>
  <si>
    <t>EDA-HOME WAORK Q1 AGE  CAREGORY</t>
  </si>
  <si>
    <t>Count of Age Group</t>
  </si>
  <si>
    <t>EDA-Q2 FARE CATEGORY</t>
  </si>
  <si>
    <t>Count of Fare Category</t>
  </si>
  <si>
    <t>EDA-Q3 P CLASS</t>
  </si>
  <si>
    <t>Count of class</t>
  </si>
  <si>
    <t>EDA-Q4 EMBARK TOWN</t>
  </si>
  <si>
    <t>Count of Embark Gtown</t>
  </si>
  <si>
    <t>EDA-Q5 COUNTRY</t>
  </si>
  <si>
    <t>Count of country</t>
  </si>
  <si>
    <t>EDA-6 FAMILY SIZDE</t>
  </si>
  <si>
    <t>#VALUE!</t>
  </si>
  <si>
    <t>Count of Family Size</t>
  </si>
  <si>
    <t>TITANIC DASHBOARD</t>
  </si>
  <si>
    <t>TOTAL PASSENGER</t>
  </si>
  <si>
    <t>AVG FARE</t>
  </si>
  <si>
    <t>AVG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</si>
</sst>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ptos Narrow"/>
      <family val="2"/>
      <scheme val="minor"/>
    </font>
    <font>
      <b/>
      <sz val="18"/>
      <color theme="8" tint="-0.249977111117893"/>
      <name val="Aptos Narrow"/>
      <family val="2"/>
      <scheme val="minor"/>
    </font>
    <font>
      <b/>
      <sz val="22"/>
      <color theme="4" tint="-0.249977111117893"/>
      <name val="Aptos Narrow"/>
      <family val="2"/>
      <scheme val="minor"/>
    </font>
    <font>
      <b/>
      <sz val="18"/>
      <color theme="4" tint="-0.249977111117893"/>
      <name val="Aptos Narrow"/>
      <family val="2"/>
      <scheme val="minor"/>
    </font>
    <font>
      <b/>
      <sz val="20"/>
      <color theme="4" tint="-0.249977111117893"/>
      <name val="Aptos Narrow"/>
      <family val="2"/>
      <scheme val="minor"/>
    </font>
    <font>
      <b/>
      <u/>
      <sz val="36"/>
      <color theme="8" tint="-0.249977111117893"/>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5" borderId="10" xfId="0" applyFont="1" applyFill="1" applyBorder="1" applyAlignment="1">
      <alignment horizontal="center"/>
    </xf>
    <xf numFmtId="0" fontId="20" fillId="34" borderId="10" xfId="0" applyFont="1" applyFill="1" applyBorder="1" applyAlignment="1">
      <alignment horizontal="center"/>
    </xf>
    <xf numFmtId="1" fontId="21" fillId="34" borderId="10" xfId="0" applyNumberFormat="1" applyFont="1" applyFill="1" applyBorder="1" applyAlignment="1">
      <alignment horizontal="center"/>
    </xf>
    <xf numFmtId="0" fontId="21" fillId="34" borderId="10" xfId="0" applyFont="1" applyFill="1" applyBorder="1" applyAlignment="1">
      <alignment horizontal="center"/>
    </xf>
    <xf numFmtId="1" fontId="22" fillId="34" borderId="10" xfId="0" applyNumberFormat="1" applyFont="1" applyFill="1" applyBorder="1" applyAlignment="1">
      <alignment horizontal="center"/>
    </xf>
    <xf numFmtId="0" fontId="22" fillId="34" borderId="10" xfId="0" applyFont="1" applyFill="1" applyBorder="1" applyAlignment="1">
      <alignment horizontal="center"/>
    </xf>
    <xf numFmtId="0" fontId="23" fillId="36" borderId="10" xfId="0" applyFont="1" applyFill="1" applyBorder="1" applyAlignment="1">
      <alignment horizontal="center" vertical="center"/>
    </xf>
    <xf numFmtId="0" fontId="18" fillId="36" borderId="10" xfId="0" applyFont="1" applyFill="1" applyBorder="1" applyAlignment="1">
      <alignment horizontal="center" vertical="center"/>
    </xf>
    <xf numFmtId="0" fontId="18" fillId="36" borderId="11" xfId="0" applyFont="1" applyFill="1" applyBorder="1" applyAlignment="1">
      <alignment horizontal="center" vertical="center"/>
    </xf>
    <xf numFmtId="0" fontId="18" fillId="36" borderId="12"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BB9E8"/>
      <color rgb="FFFF3399"/>
      <color rgb="FFFF3300"/>
      <color rgb="FF0000FF"/>
      <color rgb="FFFF0066"/>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SURVIVED</a:t>
            </a:r>
            <a:r>
              <a:rPr lang="en-IN" baseline="0"/>
              <a:t> V/S NOT SURVIVED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'EDA-Q'!$B$3</c:f>
              <c:strCache>
                <c:ptCount val="1"/>
                <c:pt idx="0">
                  <c:v>Total</c:v>
                </c:pt>
              </c:strCache>
            </c:strRef>
          </c:tx>
          <c:spPr>
            <a:solidFill>
              <a:schemeClr val="accent1"/>
            </a:solidFill>
            <a:ln>
              <a:noFill/>
            </a:ln>
            <a:effectLst/>
          </c:spPr>
          <c:invertIfNegative val="0"/>
          <c:cat>
            <c:strRef>
              <c:f>'EDA-Q'!$A$4:$A$6</c:f>
              <c:strCache>
                <c:ptCount val="2"/>
                <c:pt idx="0">
                  <c:v>No</c:v>
                </c:pt>
                <c:pt idx="1">
                  <c:v>Yes</c:v>
                </c:pt>
              </c:strCache>
            </c:strRef>
          </c:cat>
          <c:val>
            <c:numRef>
              <c:f>'EDA-Q'!$B$4:$B$6</c:f>
              <c:numCache>
                <c:formatCode>General</c:formatCode>
                <c:ptCount val="2"/>
                <c:pt idx="0">
                  <c:v>1492</c:v>
                </c:pt>
                <c:pt idx="1">
                  <c:v>710</c:v>
                </c:pt>
              </c:numCache>
            </c:numRef>
          </c:val>
          <c:extLst>
            <c:ext xmlns:c16="http://schemas.microsoft.com/office/drawing/2014/chart" uri="{C3380CC4-5D6E-409C-BE32-E72D297353CC}">
              <c16:uniqueId val="{00000000-C3BC-4A96-BAC0-18BD94FB1A39}"/>
            </c:ext>
          </c:extLst>
        </c:ser>
        <c:dLbls>
          <c:showLegendKey val="0"/>
          <c:showVal val="0"/>
          <c:showCatName val="0"/>
          <c:showSerName val="0"/>
          <c:showPercent val="0"/>
          <c:showBubbleSize val="0"/>
        </c:dLbls>
        <c:gapWidth val="219"/>
        <c:overlap val="-27"/>
        <c:axId val="1980052335"/>
        <c:axId val="1540381839"/>
      </c:barChart>
      <c:catAx>
        <c:axId val="198005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81839"/>
        <c:crosses val="autoZero"/>
        <c:auto val="1"/>
        <c:lblAlgn val="ctr"/>
        <c:lblOffset val="100"/>
        <c:noMultiLvlLbl val="0"/>
      </c:catAx>
      <c:valAx>
        <c:axId val="154038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5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'EDA-Q'!$B$13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A-45D2-8E4F-065D017395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A-45D2-8E4F-065D017395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'EDA-Q'!$A$14:$A$16</c:f>
              <c:strCache>
                <c:ptCount val="2"/>
                <c:pt idx="0">
                  <c:v>Female</c:v>
                </c:pt>
                <c:pt idx="1">
                  <c:v>Male</c:v>
                </c:pt>
              </c:strCache>
            </c:strRef>
          </c:cat>
          <c:val>
            <c:numRef>
              <c:f>'EDA-Q'!$B$14:$B$16</c:f>
              <c:numCache>
                <c:formatCode>General</c:formatCode>
                <c:ptCount val="2"/>
                <c:pt idx="0">
                  <c:v>489</c:v>
                </c:pt>
                <c:pt idx="1">
                  <c:v>1713</c:v>
                </c:pt>
              </c:numCache>
            </c:numRef>
          </c:val>
          <c:extLst>
            <c:ext xmlns:c16="http://schemas.microsoft.com/office/drawing/2014/chart" uri="{C3380CC4-5D6E-409C-BE32-E72D297353CC}">
              <c16:uniqueId val="{00000000-CFDA-469D-9957-91738DE69D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'EDA-Q'!$B$23</c:f>
              <c:strCache>
                <c:ptCount val="1"/>
                <c:pt idx="0">
                  <c:v>Total</c:v>
                </c:pt>
              </c:strCache>
            </c:strRef>
          </c:tx>
          <c:spPr>
            <a:solidFill>
              <a:schemeClr val="accent1"/>
            </a:solidFill>
            <a:ln>
              <a:noFill/>
            </a:ln>
            <a:effectLst/>
          </c:spPr>
          <c:invertIfNegative val="0"/>
          <c:cat>
            <c:strRef>
              <c:f>'EDA-Q'!$A$24:$A$29</c:f>
              <c:strCache>
                <c:ptCount val="5"/>
                <c:pt idx="0">
                  <c:v>Adult</c:v>
                </c:pt>
                <c:pt idx="1">
                  <c:v>Child</c:v>
                </c:pt>
                <c:pt idx="2">
                  <c:v>Old Age</c:v>
                </c:pt>
                <c:pt idx="3">
                  <c:v>Seniour Adult</c:v>
                </c:pt>
                <c:pt idx="4">
                  <c:v>Teen</c:v>
                </c:pt>
              </c:strCache>
            </c:strRef>
          </c:cat>
          <c:val>
            <c:numRef>
              <c:f>'EDA-Q'!$B$24:$B$29</c:f>
              <c:numCache>
                <c:formatCode>General</c:formatCode>
                <c:ptCount val="5"/>
                <c:pt idx="0">
                  <c:v>1325</c:v>
                </c:pt>
                <c:pt idx="1">
                  <c:v>84</c:v>
                </c:pt>
                <c:pt idx="2">
                  <c:v>76</c:v>
                </c:pt>
                <c:pt idx="3">
                  <c:v>603</c:v>
                </c:pt>
                <c:pt idx="4">
                  <c:v>114</c:v>
                </c:pt>
              </c:numCache>
            </c:numRef>
          </c:val>
          <c:extLst>
            <c:ext xmlns:c16="http://schemas.microsoft.com/office/drawing/2014/chart" uri="{C3380CC4-5D6E-409C-BE32-E72D297353CC}">
              <c16:uniqueId val="{00000000-498B-4936-A029-459336BD2FE9}"/>
            </c:ext>
          </c:extLst>
        </c:ser>
        <c:dLbls>
          <c:showLegendKey val="0"/>
          <c:showVal val="0"/>
          <c:showCatName val="0"/>
          <c:showSerName val="0"/>
          <c:showPercent val="0"/>
          <c:showBubbleSize val="0"/>
        </c:dLbls>
        <c:gapWidth val="150"/>
        <c:overlap val="100"/>
        <c:axId val="1980101519"/>
        <c:axId val="1540396239"/>
      </c:barChart>
      <c:catAx>
        <c:axId val="19801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96239"/>
        <c:crosses val="autoZero"/>
        <c:auto val="1"/>
        <c:lblAlgn val="ctr"/>
        <c:lblOffset val="100"/>
        <c:noMultiLvlLbl val="0"/>
      </c:catAx>
      <c:valAx>
        <c:axId val="1540396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
            </a:r>
            <a:r>
              <a:rPr lang="en-IN" baseline="0"/>
              <a:t> CLASS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'EDA-Q'!$B$48</c:f>
              <c:strCache>
                <c:ptCount val="1"/>
                <c:pt idx="0">
                  <c:v>Total</c:v>
                </c:pt>
              </c:strCache>
            </c:strRef>
          </c:tx>
          <c:spPr>
            <a:solidFill>
              <a:schemeClr val="accent1"/>
            </a:solidFill>
            <a:ln>
              <a:noFill/>
            </a:ln>
            <a:effectLst/>
            <a:sp3d/>
          </c:spPr>
          <c:invertIfNegative val="0"/>
          <c:cat>
            <c:strRef>
              <c:f>'EDA-Q'!$A$49:$A$56</c:f>
              <c:strCache>
                <c:ptCount val="7"/>
                <c:pt idx="0">
                  <c:v>1st</c:v>
                </c:pt>
                <c:pt idx="1">
                  <c:v>2nd</c:v>
                </c:pt>
                <c:pt idx="2">
                  <c:v>3rd</c:v>
                </c:pt>
                <c:pt idx="3">
                  <c:v>deck crew</c:v>
                </c:pt>
                <c:pt idx="4">
                  <c:v>engineering crew</c:v>
                </c:pt>
                <c:pt idx="5">
                  <c:v>restaurant staff</c:v>
                </c:pt>
                <c:pt idx="6">
                  <c:v>victualling crew</c:v>
                </c:pt>
              </c:strCache>
            </c:strRef>
          </c:cat>
          <c:val>
            <c:numRef>
              <c:f>'EDA-Q'!$B$49:$B$56</c:f>
              <c:numCache>
                <c:formatCode>General</c:formatCode>
                <c:ptCount val="7"/>
                <c:pt idx="0">
                  <c:v>324</c:v>
                </c:pt>
                <c:pt idx="1">
                  <c:v>284</c:v>
                </c:pt>
                <c:pt idx="2">
                  <c:v>707</c:v>
                </c:pt>
                <c:pt idx="3">
                  <c:v>66</c:v>
                </c:pt>
                <c:pt idx="4">
                  <c:v>321</c:v>
                </c:pt>
                <c:pt idx="5">
                  <c:v>69</c:v>
                </c:pt>
                <c:pt idx="6">
                  <c:v>431</c:v>
                </c:pt>
              </c:numCache>
            </c:numRef>
          </c:val>
          <c:extLst>
            <c:ext xmlns:c16="http://schemas.microsoft.com/office/drawing/2014/chart" uri="{C3380CC4-5D6E-409C-BE32-E72D297353CC}">
              <c16:uniqueId val="{00000000-2A23-4963-A381-35170B8EE914}"/>
            </c:ext>
          </c:extLst>
        </c:ser>
        <c:dLbls>
          <c:showLegendKey val="0"/>
          <c:showVal val="0"/>
          <c:showCatName val="0"/>
          <c:showSerName val="0"/>
          <c:showPercent val="0"/>
          <c:showBubbleSize val="0"/>
        </c:dLbls>
        <c:gapWidth val="150"/>
        <c:shape val="box"/>
        <c:axId val="1980054655"/>
        <c:axId val="1540385199"/>
        <c:axId val="0"/>
      </c:bar3DChart>
      <c:catAx>
        <c:axId val="19800546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85199"/>
        <c:crosses val="autoZero"/>
        <c:auto val="1"/>
        <c:lblAlgn val="ctr"/>
        <c:lblOffset val="100"/>
        <c:noMultiLvlLbl val="0"/>
      </c:catAx>
      <c:valAx>
        <c:axId val="15403851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5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EMBARK</a:t>
            </a:r>
            <a:r>
              <a:rPr lang="en-IN" baseline="0"/>
              <a:t> TOWN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'EDA-Q'!$B$63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CA-4882-A420-4D5BEA6D2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CA-4882-A420-4D5BEA6D25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CA-4882-A420-4D5BEA6D25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CA-4882-A420-4D5BEA6D25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'EDA-Q'!$A$64:$A$68</c:f>
              <c:strCache>
                <c:ptCount val="4"/>
                <c:pt idx="0">
                  <c:v>Cabin</c:v>
                </c:pt>
                <c:pt idx="1">
                  <c:v>Cherbrug</c:v>
                </c:pt>
                <c:pt idx="2">
                  <c:v>Quentown</c:v>
                </c:pt>
                <c:pt idx="3">
                  <c:v>Southamptom</c:v>
                </c:pt>
              </c:strCache>
            </c:strRef>
          </c:cat>
          <c:val>
            <c:numRef>
              <c:f>'EDA-Q'!$B$64:$B$68</c:f>
              <c:numCache>
                <c:formatCode>General</c:formatCode>
                <c:ptCount val="4"/>
                <c:pt idx="0">
                  <c:v>197</c:v>
                </c:pt>
                <c:pt idx="1">
                  <c:v>271</c:v>
                </c:pt>
                <c:pt idx="2">
                  <c:v>122</c:v>
                </c:pt>
                <c:pt idx="3">
                  <c:v>1612</c:v>
                </c:pt>
              </c:numCache>
            </c:numRef>
          </c:val>
          <c:extLst>
            <c:ext xmlns:c16="http://schemas.microsoft.com/office/drawing/2014/chart" uri="{C3380CC4-5D6E-409C-BE32-E72D297353CC}">
              <c16:uniqueId val="{00000000-92E5-4DFD-94D6-0EB57B0762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FIVE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3671624380285795E-2"/>
              <c:y val="0.11841239357275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2959734199891675E-3"/>
              <c:y val="8.0116083050594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'EDA-Q'!$B$75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CA1-4CF2-8789-6209466BA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CA1-4CF2-8789-6209466BA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CA1-4CF2-8789-6209466BA1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7CA1-4CF2-8789-6209466BA1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7CA1-4CF2-8789-6209466BA135}"/>
              </c:ext>
            </c:extLst>
          </c:dPt>
          <c:dLbls>
            <c:dLbl>
              <c:idx val="3"/>
              <c:layout>
                <c:manualLayout>
                  <c:x val="4.3671624380285795E-2"/>
                  <c:y val="0.1184123935727545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A1-4CF2-8789-6209466BA135}"/>
                </c:ext>
              </c:extLst>
            </c:dLbl>
            <c:dLbl>
              <c:idx val="4"/>
              <c:layout>
                <c:manualLayout>
                  <c:x val="9.2959734199891675E-3"/>
                  <c:y val="8.01160830505942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A1-4CF2-8789-6209466BA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'EDA-Q'!$A$76:$A$81</c:f>
              <c:strCache>
                <c:ptCount val="5"/>
                <c:pt idx="0">
                  <c:v>England</c:v>
                </c:pt>
                <c:pt idx="1">
                  <c:v>United States</c:v>
                </c:pt>
                <c:pt idx="2">
                  <c:v>Ireland</c:v>
                </c:pt>
                <c:pt idx="3">
                  <c:v>Sweden</c:v>
                </c:pt>
                <c:pt idx="4">
                  <c:v>Lebanon</c:v>
                </c:pt>
              </c:strCache>
            </c:strRef>
          </c:cat>
          <c:val>
            <c:numRef>
              <c:f>'EDA-Q'!$B$76:$B$81</c:f>
              <c:numCache>
                <c:formatCode>General</c:formatCode>
                <c:ptCount val="5"/>
                <c:pt idx="0">
                  <c:v>1202</c:v>
                </c:pt>
                <c:pt idx="1">
                  <c:v>264</c:v>
                </c:pt>
                <c:pt idx="2">
                  <c:v>136</c:v>
                </c:pt>
                <c:pt idx="3">
                  <c:v>105</c:v>
                </c:pt>
                <c:pt idx="4">
                  <c:v>71</c:v>
                </c:pt>
              </c:numCache>
            </c:numRef>
          </c:val>
          <c:extLst>
            <c:ext xmlns:c16="http://schemas.microsoft.com/office/drawing/2014/chart" uri="{C3380CC4-5D6E-409C-BE32-E72D297353CC}">
              <c16:uniqueId val="{00000000-7CA1-4CF2-8789-6209466BA1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FARE</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77624671916011"/>
          <c:y val="0.22263888888888889"/>
          <c:w val="0.78577930883639546"/>
          <c:h val="0.77736111111111106"/>
        </c:manualLayout>
      </c:layout>
      <c:barChart>
        <c:barDir val="bar"/>
        <c:grouping val="clustered"/>
        <c:varyColors val="0"/>
        <c:ser>
          <c:idx val="0"/>
          <c:order val="0"/>
          <c:tx>
            <c:strRef>
              <c:f>'EDA-Q'!$B$89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'EDA-Q'!$A$90:$A$94</c:f>
              <c:strCache>
                <c:ptCount val="4"/>
                <c:pt idx="0">
                  <c:v>High Fare</c:v>
                </c:pt>
                <c:pt idx="1">
                  <c:v>Low Fare</c:v>
                </c:pt>
                <c:pt idx="2">
                  <c:v>Medium Fare</c:v>
                </c:pt>
                <c:pt idx="3">
                  <c:v>Very High Fare</c:v>
                </c:pt>
              </c:strCache>
            </c:strRef>
          </c:cat>
          <c:val>
            <c:numRef>
              <c:f>'EDA-Q'!$B$90:$B$94</c:f>
              <c:numCache>
                <c:formatCode>General</c:formatCode>
                <c:ptCount val="4"/>
                <c:pt idx="0">
                  <c:v>212</c:v>
                </c:pt>
                <c:pt idx="1">
                  <c:v>660</c:v>
                </c:pt>
                <c:pt idx="2">
                  <c:v>1247</c:v>
                </c:pt>
                <c:pt idx="3">
                  <c:v>83</c:v>
                </c:pt>
              </c:numCache>
            </c:numRef>
          </c:val>
          <c:extLst>
            <c:ext xmlns:c16="http://schemas.microsoft.com/office/drawing/2014/chart" uri="{C3380CC4-5D6E-409C-BE32-E72D297353CC}">
              <c16:uniqueId val="{00000000-B75A-4924-A672-9710EBD9A13F}"/>
            </c:ext>
          </c:extLst>
        </c:ser>
        <c:dLbls>
          <c:dLblPos val="outEnd"/>
          <c:showLegendKey val="0"/>
          <c:showVal val="1"/>
          <c:showCatName val="0"/>
          <c:showSerName val="0"/>
          <c:showPercent val="0"/>
          <c:showBubbleSize val="0"/>
        </c:dLbls>
        <c:gapWidth val="182"/>
        <c:axId val="641623936"/>
        <c:axId val="641621536"/>
      </c:barChart>
      <c:catAx>
        <c:axId val="64162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21536"/>
        <c:crosses val="autoZero"/>
        <c:auto val="1"/>
        <c:lblAlgn val="ctr"/>
        <c:lblOffset val="100"/>
        <c:noMultiLvlLbl val="0"/>
      </c:catAx>
      <c:valAx>
        <c:axId val="641621536"/>
        <c:scaling>
          <c:orientation val="minMax"/>
        </c:scaling>
        <c:delete val="1"/>
        <c:axPos val="b"/>
        <c:numFmt formatCode="General" sourceLinked="1"/>
        <c:majorTickMark val="out"/>
        <c:minorTickMark val="none"/>
        <c:tickLblPos val="nextTo"/>
        <c:crossAx val="6416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[Titanic Dashboard.xlsx]EDA-Q!PivotTable4</c:name>
    <c:fmtId val="4"/>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IN" sz="1800"/>
              <a:t>SURVIVED V/S NOT SURVIVED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'EDA-Q'!$B$3</c:f>
              <c:strCache>
                <c:ptCount val="1"/>
                <c:pt idx="0">
                  <c:v>Total</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'EDA-Q'!$A$4:$A$6</c:f>
              <c:strCache>
                <c:ptCount val="2"/>
                <c:pt idx="0">
                  <c:v>No</c:v>
                </c:pt>
                <c:pt idx="1">
                  <c:v>Yes</c:v>
                </c:pt>
              </c:strCache>
            </c:strRef>
          </c:cat>
          <c:val>
            <c:numRef>
              <c:f>'EDA-Q'!$B$4:$B$6</c:f>
              <c:numCache>
                <c:formatCode>General</c:formatCode>
                <c:ptCount val="2"/>
                <c:pt idx="0">
                  <c:v>1492</c:v>
                </c:pt>
                <c:pt idx="1">
                  <c:v>710</c:v>
                </c:pt>
              </c:numCache>
            </c:numRef>
          </c:val>
          <c:extLst>
            <c:ext xmlns:c16="http://schemas.microsoft.com/office/drawing/2014/chart" uri="{C3380CC4-5D6E-409C-BE32-E72D297353CC}">
              <c16:uniqueId val="{00000000-9828-4E0C-A1DC-4097226C0960}"/>
            </c:ext>
          </c:extLst>
        </c:ser>
        <c:dLbls>
          <c:dLblPos val="outEnd"/>
          <c:showLegendKey val="0"/>
          <c:showVal val="1"/>
          <c:showCatName val="0"/>
          <c:showSerName val="0"/>
          <c:showPercent val="0"/>
          <c:showBubbleSize val="0"/>
        </c:dLbls>
        <c:gapWidth val="100"/>
        <c:overlap val="-24"/>
        <c:axId val="1980052335"/>
        <c:axId val="1540381839"/>
      </c:barChart>
      <c:catAx>
        <c:axId val="19800523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540381839"/>
        <c:crosses val="autoZero"/>
        <c:auto val="1"/>
        <c:lblAlgn val="ctr"/>
        <c:lblOffset val="100"/>
        <c:noMultiLvlLbl val="0"/>
      </c:catAx>
      <c:valAx>
        <c:axId val="1540381839"/>
        <c:scaling>
          <c:orientation val="minMax"/>
        </c:scaling>
        <c:delete val="1"/>
        <c:axPos val="l"/>
        <c:numFmt formatCode="General" sourceLinked="1"/>
        <c:majorTickMark val="out"/>
        <c:minorTickMark val="none"/>
        <c:tickLblPos val="nextTo"/>
        <c:crossAx val="198005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Dashboard.xlsx]EDA-Q!PivotTable5</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20000"/>
              <a:lumOff val="80000"/>
            </a:schemeClr>
          </a:solidFill>
          <a:ln>
            <a:solidFill>
              <a:schemeClr val="bg1">
                <a:lumMod val="95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BB9E8"/>
          </a:solidFill>
          <a:ln w="19050">
            <a:solidFill>
              <a:schemeClr val="bg1">
                <a:lumMod val="95000"/>
              </a:schemeClr>
            </a:solidFill>
          </a:ln>
          <a:effectLst/>
        </c:spPr>
        <c:dLbl>
          <c:idx val="0"/>
          <c:layout>
            <c:manualLayout>
              <c:x val="2.8052887897683308E-2"/>
              <c:y val="4.0121455406309507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lumMod val="20000"/>
              <a:lumOff val="80000"/>
            </a:schemeClr>
          </a:solidFill>
          <a:ln w="19050">
            <a:solidFill>
              <a:schemeClr val="bg1">
                <a:lumMod val="95000"/>
              </a:schemeClr>
            </a:solidFill>
          </a:ln>
          <a:effectLst/>
        </c:spPr>
        <c:dLbl>
          <c:idx val="0"/>
          <c:layout>
            <c:manualLayout>
              <c:x val="-8.9056786976772408E-3"/>
              <c:y val="-2.302557768514229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'EDA-Q'!$B$13</c:f>
              <c:strCache>
                <c:ptCount val="1"/>
                <c:pt idx="0">
                  <c:v>Total</c:v>
                </c:pt>
              </c:strCache>
            </c:strRef>
          </c:tx>
          <c:spPr>
            <a:solidFill>
              <a:schemeClr val="accent3">
                <a:lumMod val="20000"/>
                <a:lumOff val="80000"/>
              </a:schemeClr>
            </a:solidFill>
            <a:ln>
              <a:solidFill>
                <a:schemeClr val="bg1">
                  <a:lumMod val="95000"/>
                </a:schemeClr>
              </a:solidFill>
            </a:ln>
          </c:spPr>
          <c:dPt>
            <c:idx val="0"/>
            <c:bubble3D val="0"/>
            <c:spPr>
              <a:solidFill>
                <a:srgbClr val="FBB9E8"/>
              </a:solidFill>
              <a:ln w="19050">
                <a:solidFill>
                  <a:schemeClr val="bg1">
                    <a:lumMod val="95000"/>
                  </a:schemeClr>
                </a:solidFill>
              </a:ln>
              <a:effectLst/>
            </c:spPr>
            <c:extLst>
              <c:ext xmlns:c16="http://schemas.microsoft.com/office/drawing/2014/chart" uri="{C3380CC4-5D6E-409C-BE32-E72D297353CC}">
                <c16:uniqueId val="{00000001-C8A5-4D5D-84CA-26AE1889E8BB}"/>
              </c:ext>
            </c:extLst>
          </c:dPt>
          <c:dPt>
            <c:idx val="1"/>
            <c:bubble3D val="0"/>
            <c:explosion val="3"/>
            <c:spPr>
              <a:solidFill>
                <a:schemeClr val="accent3">
                  <a:lumMod val="20000"/>
                  <a:lumOff val="80000"/>
                </a:schemeClr>
              </a:solidFill>
              <a:ln w="19050">
                <a:solidFill>
                  <a:schemeClr val="bg1">
                    <a:lumMod val="95000"/>
                  </a:schemeClr>
                </a:solidFill>
              </a:ln>
              <a:effectLst/>
            </c:spPr>
            <c:extLst>
              <c:ext xmlns:c16="http://schemas.microsoft.com/office/drawing/2014/chart" uri="{C3380CC4-5D6E-409C-BE32-E72D297353CC}">
                <c16:uniqueId val="{00000003-C8A5-4D5D-84CA-26AE1889E8BB}"/>
              </c:ext>
            </c:extLst>
          </c:dPt>
          <c:dLbls>
            <c:dLbl>
              <c:idx val="0"/>
              <c:layout>
                <c:manualLayout>
                  <c:x val="2.8052887897683308E-2"/>
                  <c:y val="4.0121455406309507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C8A5-4D5D-84CA-26AE1889E8BB}"/>
                </c:ext>
              </c:extLst>
            </c:dLbl>
            <c:dLbl>
              <c:idx val="1"/>
              <c:layout>
                <c:manualLayout>
                  <c:x val="-8.9056786976772408E-3"/>
                  <c:y val="-2.30255776851422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A5-4D5D-84CA-26AE1889E8B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'EDA-Q'!$A$14:$A$16</c:f>
              <c:strCache>
                <c:ptCount val="2"/>
                <c:pt idx="0">
                  <c:v>Female</c:v>
                </c:pt>
                <c:pt idx="1">
                  <c:v>Male</c:v>
                </c:pt>
              </c:strCache>
            </c:strRef>
          </c:cat>
          <c:val>
            <c:numRef>
              <c:f>'EDA-Q'!$B$14:$B$16</c:f>
              <c:numCache>
                <c:formatCode>General</c:formatCode>
                <c:ptCount val="2"/>
                <c:pt idx="0">
                  <c:v>489</c:v>
                </c:pt>
                <c:pt idx="1">
                  <c:v>1713</c:v>
                </c:pt>
              </c:numCache>
            </c:numRef>
          </c:val>
          <c:extLst>
            <c:ext xmlns:c16="http://schemas.microsoft.com/office/drawing/2014/chart" uri="{C3380CC4-5D6E-409C-BE32-E72D297353CC}">
              <c16:uniqueId val="{00000004-C8A5-4D5D-84CA-26AE1889E8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55298651252407"/>
          <c:y val="0.50008288006146284"/>
          <c:w val="0.26854527938342965"/>
          <c:h val="0.359354790937394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Dashboard.xlsx]EDA-Q!PivotTable6</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AGE</a:t>
            </a:r>
            <a:r>
              <a:rPr lang="en-IN" sz="2000" b="1" baseline="0"/>
              <a:t> CATEGORY</a:t>
            </a:r>
            <a:endParaRPr lang="en-IN"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00"/>
          </a:solidFill>
          <a:ln>
            <a:noFill/>
          </a:ln>
          <a:effectLst/>
        </c:spPr>
        <c:dLbl>
          <c:idx val="0"/>
          <c:layout>
            <c:manualLayout>
              <c:x val="-7.0753041981562756E-17"/>
              <c:y val="-0.2390645105741369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c:spPr>
        <c:dLbl>
          <c:idx val="0"/>
          <c:layout>
            <c:manualLayout>
              <c:x val="1.0635870049116448E-5"/>
              <c:y val="-7.830927668402165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c:spPr>
        <c:dLbl>
          <c:idx val="0"/>
          <c:layout>
            <c:manualLayout>
              <c:x val="0"/>
              <c:y val="-0.3693471364392567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a:noFill/>
          </a:ln>
          <a:effectLst/>
        </c:spPr>
        <c:dLbl>
          <c:idx val="0"/>
          <c:layout>
            <c:manualLayout>
              <c:x val="2.3155960447934266E-2"/>
              <c:y val="-7.576340349890056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238285728698402"/>
                  <c:h val="7.0138995290892153E-2"/>
                </c:manualLayout>
              </c15:layout>
            </c:ext>
          </c:extLst>
        </c:dLbl>
      </c:pivotFmt>
      <c:pivotFmt>
        <c:idx val="7"/>
        <c:spPr>
          <a:solidFill>
            <a:srgbClr val="FFCC00"/>
          </a:solidFill>
          <a:ln>
            <a:noFill/>
          </a:ln>
          <a:effectLst/>
        </c:spPr>
        <c:dLbl>
          <c:idx val="0"/>
          <c:layout>
            <c:manualLayout>
              <c:x val="9.6485574265569671E-3"/>
              <c:y val="-7.487538676905471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6945651615695017E-2"/>
                  <c:h val="6.9297647344364194E-2"/>
                </c:manualLayout>
              </c15:layout>
            </c:ext>
          </c:extLst>
        </c:dLbl>
      </c:pivotFmt>
    </c:pivotFmts>
    <c:plotArea>
      <c:layout>
        <c:manualLayout>
          <c:layoutTarget val="inner"/>
          <c:xMode val="edge"/>
          <c:yMode val="edge"/>
          <c:x val="5.8634032170771955E-2"/>
          <c:y val="0.17103166317547769"/>
          <c:w val="0.87154456712918915"/>
          <c:h val="0.6650869878560508"/>
        </c:manualLayout>
      </c:layout>
      <c:barChart>
        <c:barDir val="col"/>
        <c:grouping val="stacked"/>
        <c:varyColors val="0"/>
        <c:ser>
          <c:idx val="0"/>
          <c:order val="0"/>
          <c:tx>
            <c:strRef>
              <c:f>'EDA-Q'!$B$23</c:f>
              <c:strCache>
                <c:ptCount val="1"/>
                <c:pt idx="0">
                  <c:v>Total</c:v>
                </c:pt>
              </c:strCache>
            </c:strRef>
          </c:tx>
          <c:spPr>
            <a:solidFill>
              <a:srgbClr val="FFCC00"/>
            </a:solidFill>
            <a:ln>
              <a:noFill/>
            </a:ln>
            <a:effectLst/>
          </c:spPr>
          <c:invertIfNegative val="0"/>
          <c:dPt>
            <c:idx val="0"/>
            <c:invertIfNegative val="0"/>
            <c:bubble3D val="0"/>
            <c:extLst>
              <c:ext xmlns:c16="http://schemas.microsoft.com/office/drawing/2014/chart" uri="{C3380CC4-5D6E-409C-BE32-E72D297353CC}">
                <c16:uniqueId val="{00000002-3147-444D-8CD1-443954A3B87E}"/>
              </c:ext>
            </c:extLst>
          </c:dPt>
          <c:dPt>
            <c:idx val="1"/>
            <c:invertIfNegative val="0"/>
            <c:bubble3D val="0"/>
            <c:extLst>
              <c:ext xmlns:c16="http://schemas.microsoft.com/office/drawing/2014/chart" uri="{C3380CC4-5D6E-409C-BE32-E72D297353CC}">
                <c16:uniqueId val="{00000003-3147-444D-8CD1-443954A3B87E}"/>
              </c:ext>
            </c:extLst>
          </c:dPt>
          <c:dPt>
            <c:idx val="2"/>
            <c:invertIfNegative val="0"/>
            <c:bubble3D val="0"/>
            <c:extLst>
              <c:ext xmlns:c16="http://schemas.microsoft.com/office/drawing/2014/chart" uri="{C3380CC4-5D6E-409C-BE32-E72D297353CC}">
                <c16:uniqueId val="{00000004-3147-444D-8CD1-443954A3B87E}"/>
              </c:ext>
            </c:extLst>
          </c:dPt>
          <c:dPt>
            <c:idx val="3"/>
            <c:invertIfNegative val="0"/>
            <c:bubble3D val="0"/>
            <c:extLst>
              <c:ext xmlns:c16="http://schemas.microsoft.com/office/drawing/2014/chart" uri="{C3380CC4-5D6E-409C-BE32-E72D297353CC}">
                <c16:uniqueId val="{00000000-3147-444D-8CD1-443954A3B87E}"/>
              </c:ext>
            </c:extLst>
          </c:dPt>
          <c:dPt>
            <c:idx val="4"/>
            <c:invertIfNegative val="0"/>
            <c:bubble3D val="0"/>
            <c:extLst>
              <c:ext xmlns:c16="http://schemas.microsoft.com/office/drawing/2014/chart" uri="{C3380CC4-5D6E-409C-BE32-E72D297353CC}">
                <c16:uniqueId val="{00000001-3147-444D-8CD1-443954A3B87E}"/>
              </c:ext>
            </c:extLst>
          </c:dPt>
          <c:dLbls>
            <c:dLbl>
              <c:idx val="0"/>
              <c:layout>
                <c:manualLayout>
                  <c:x val="0"/>
                  <c:y val="-0.369347136439256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47-444D-8CD1-443954A3B87E}"/>
                </c:ext>
              </c:extLst>
            </c:dLbl>
            <c:dLbl>
              <c:idx val="1"/>
              <c:layout>
                <c:manualLayout>
                  <c:x val="2.3155960447934266E-2"/>
                  <c:y val="-7.5763403498900567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238285728698402"/>
                      <c:h val="7.0138995290892153E-2"/>
                    </c:manualLayout>
                  </c15:layout>
                </c:ext>
                <c:ext xmlns:c16="http://schemas.microsoft.com/office/drawing/2014/chart" uri="{C3380CC4-5D6E-409C-BE32-E72D297353CC}">
                  <c16:uniqueId val="{00000003-3147-444D-8CD1-443954A3B87E}"/>
                </c:ext>
              </c:extLst>
            </c:dLbl>
            <c:dLbl>
              <c:idx val="2"/>
              <c:layout>
                <c:manualLayout>
                  <c:x val="9.6485574265569671E-3"/>
                  <c:y val="-7.487538676905471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6945651615695017E-2"/>
                      <c:h val="6.9297647344364194E-2"/>
                    </c:manualLayout>
                  </c15:layout>
                </c:ext>
                <c:ext xmlns:c16="http://schemas.microsoft.com/office/drawing/2014/chart" uri="{C3380CC4-5D6E-409C-BE32-E72D297353CC}">
                  <c16:uniqueId val="{00000004-3147-444D-8CD1-443954A3B87E}"/>
                </c:ext>
              </c:extLst>
            </c:dLbl>
            <c:dLbl>
              <c:idx val="3"/>
              <c:layout>
                <c:manualLayout>
                  <c:x val="-7.0753041981562756E-17"/>
                  <c:y val="-0.239064510574136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47-444D-8CD1-443954A3B87E}"/>
                </c:ext>
              </c:extLst>
            </c:dLbl>
            <c:dLbl>
              <c:idx val="4"/>
              <c:layout>
                <c:manualLayout>
                  <c:x val="1.0635870049116448E-5"/>
                  <c:y val="-7.83092766840216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47-444D-8CD1-443954A3B87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'EDA-Q'!$A$24:$A$29</c:f>
              <c:strCache>
                <c:ptCount val="5"/>
                <c:pt idx="0">
                  <c:v>Adult</c:v>
                </c:pt>
                <c:pt idx="1">
                  <c:v>Child</c:v>
                </c:pt>
                <c:pt idx="2">
                  <c:v>Old Age</c:v>
                </c:pt>
                <c:pt idx="3">
                  <c:v>Seniour Adult</c:v>
                </c:pt>
                <c:pt idx="4">
                  <c:v>Teen</c:v>
                </c:pt>
              </c:strCache>
            </c:strRef>
          </c:cat>
          <c:val>
            <c:numRef>
              <c:f>'EDA-Q'!$B$24:$B$29</c:f>
              <c:numCache>
                <c:formatCode>General</c:formatCode>
                <c:ptCount val="5"/>
                <c:pt idx="0">
                  <c:v>1325</c:v>
                </c:pt>
                <c:pt idx="1">
                  <c:v>84</c:v>
                </c:pt>
                <c:pt idx="2">
                  <c:v>76</c:v>
                </c:pt>
                <c:pt idx="3">
                  <c:v>603</c:v>
                </c:pt>
                <c:pt idx="4">
                  <c:v>114</c:v>
                </c:pt>
              </c:numCache>
            </c:numRef>
          </c:val>
          <c:extLst>
            <c:ext xmlns:c16="http://schemas.microsoft.com/office/drawing/2014/chart" uri="{C3380CC4-5D6E-409C-BE32-E72D297353CC}">
              <c16:uniqueId val="{00000000-C236-495F-950C-D942B0597757}"/>
            </c:ext>
          </c:extLst>
        </c:ser>
        <c:dLbls>
          <c:dLblPos val="ctr"/>
          <c:showLegendKey val="0"/>
          <c:showVal val="1"/>
          <c:showCatName val="0"/>
          <c:showSerName val="0"/>
          <c:showPercent val="0"/>
          <c:showBubbleSize val="0"/>
        </c:dLbls>
        <c:gapWidth val="150"/>
        <c:overlap val="100"/>
        <c:axId val="1980101519"/>
        <c:axId val="1540396239"/>
      </c:barChart>
      <c:catAx>
        <c:axId val="19801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endParaRPr lang="en-US"/>
          </a:p>
        </c:txPr>
        <c:crossAx val="1540396239"/>
        <c:crosses val="autoZero"/>
        <c:auto val="1"/>
        <c:lblAlgn val="ctr"/>
        <c:lblOffset val="100"/>
        <c:noMultiLvlLbl val="0"/>
      </c:catAx>
      <c:valAx>
        <c:axId val="1540396239"/>
        <c:scaling>
          <c:orientation val="minMax"/>
        </c:scaling>
        <c:delete val="1"/>
        <c:axPos val="l"/>
        <c:numFmt formatCode="General" sourceLinked="1"/>
        <c:majorTickMark val="none"/>
        <c:minorTickMark val="none"/>
        <c:tickLblPos val="nextTo"/>
        <c:crossAx val="198010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Dashboard.xlsx]EDA-Q!PivotTable8</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a:t>
            </a:r>
            <a:r>
              <a:rPr lang="en-IN" sz="1800" b="1" baseline="0"/>
              <a:t> CLASS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'EDA-Q'!$B$48</c:f>
              <c:strCache>
                <c:ptCount val="1"/>
                <c:pt idx="0">
                  <c:v>Total</c:v>
                </c:pt>
              </c:strCache>
            </c:strRef>
          </c:tx>
          <c:spPr>
            <a:solidFill>
              <a:srgbClr val="FF3399"/>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'EDA-Q'!$A$49:$A$56</c:f>
              <c:strCache>
                <c:ptCount val="7"/>
                <c:pt idx="0">
                  <c:v>1st</c:v>
                </c:pt>
                <c:pt idx="1">
                  <c:v>2nd</c:v>
                </c:pt>
                <c:pt idx="2">
                  <c:v>3rd</c:v>
                </c:pt>
                <c:pt idx="3">
                  <c:v>deck crew</c:v>
                </c:pt>
                <c:pt idx="4">
                  <c:v>engineering crew</c:v>
                </c:pt>
                <c:pt idx="5">
                  <c:v>restaurant staff</c:v>
                </c:pt>
                <c:pt idx="6">
                  <c:v>victualling crew</c:v>
                </c:pt>
              </c:strCache>
            </c:strRef>
          </c:cat>
          <c:val>
            <c:numRef>
              <c:f>'EDA-Q'!$B$49:$B$56</c:f>
              <c:numCache>
                <c:formatCode>General</c:formatCode>
                <c:ptCount val="7"/>
                <c:pt idx="0">
                  <c:v>324</c:v>
                </c:pt>
                <c:pt idx="1">
                  <c:v>284</c:v>
                </c:pt>
                <c:pt idx="2">
                  <c:v>707</c:v>
                </c:pt>
                <c:pt idx="3">
                  <c:v>66</c:v>
                </c:pt>
                <c:pt idx="4">
                  <c:v>321</c:v>
                </c:pt>
                <c:pt idx="5">
                  <c:v>69</c:v>
                </c:pt>
                <c:pt idx="6">
                  <c:v>431</c:v>
                </c:pt>
              </c:numCache>
            </c:numRef>
          </c:val>
          <c:extLst>
            <c:ext xmlns:c16="http://schemas.microsoft.com/office/drawing/2014/chart" uri="{C3380CC4-5D6E-409C-BE32-E72D297353CC}">
              <c16:uniqueId val="{00000000-9E13-4773-A080-A11ECA636FF2}"/>
            </c:ext>
          </c:extLst>
        </c:ser>
        <c:dLbls>
          <c:showLegendKey val="0"/>
          <c:showVal val="1"/>
          <c:showCatName val="0"/>
          <c:showSerName val="0"/>
          <c:showPercent val="0"/>
          <c:showBubbleSize val="0"/>
        </c:dLbls>
        <c:gapWidth val="150"/>
        <c:shape val="box"/>
        <c:axId val="1980054655"/>
        <c:axId val="1540385199"/>
        <c:axId val="0"/>
      </c:bar3DChart>
      <c:catAx>
        <c:axId val="198005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crossAx val="1540385199"/>
        <c:crosses val="autoZero"/>
        <c:auto val="1"/>
        <c:lblAlgn val="ctr"/>
        <c:lblOffset val="100"/>
        <c:noMultiLvlLbl val="0"/>
      </c:catAx>
      <c:valAx>
        <c:axId val="1540385199"/>
        <c:scaling>
          <c:orientation val="minMax"/>
        </c:scaling>
        <c:delete val="1"/>
        <c:axPos val="l"/>
        <c:numFmt formatCode="General" sourceLinked="1"/>
        <c:majorTickMark val="none"/>
        <c:minorTickMark val="none"/>
        <c:tickLblPos val="nextTo"/>
        <c:crossAx val="19800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Dashboard.xlsx]EDA-Q!PivotTable9</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EMBARK</a:t>
            </a:r>
            <a:r>
              <a:rPr lang="en-IN" sz="1800" b="1" baseline="0"/>
              <a:t> TOWN</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00"/>
          </a:solidFill>
          <a:ln w="19050">
            <a:solidFill>
              <a:schemeClr val="lt1"/>
            </a:solidFill>
          </a:ln>
          <a:effectLst/>
        </c:spPr>
        <c:dLbl>
          <c:idx val="0"/>
          <c:layout>
            <c:manualLayout>
              <c:x val="-3.4364261168385508E-3"/>
              <c:y val="-8.77700817255885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w="19050">
            <a:solidFill>
              <a:schemeClr val="lt1"/>
            </a:solidFill>
          </a:ln>
          <a:effectLst/>
        </c:spPr>
        <c:dLbl>
          <c:idx val="0"/>
          <c:layout>
            <c:manualLayout>
              <c:x val="6.1855670103092723E-2"/>
              <c:y val="-3.375772374061102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309278350515463"/>
              <c:y val="-1.2377689050103885E-1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solidFill>
              <a:schemeClr val="lt1"/>
            </a:solidFill>
          </a:ln>
          <a:effectLst/>
        </c:spPr>
        <c:dLbl>
          <c:idx val="0"/>
          <c:layout>
            <c:manualLayout>
              <c:x val="-7.903780068728522E-2"/>
              <c:y val="3.375772374061096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'EDA-Q'!$B$63</c:f>
              <c:strCache>
                <c:ptCount val="1"/>
                <c:pt idx="0">
                  <c:v>Total</c:v>
                </c:pt>
              </c:strCache>
            </c:strRef>
          </c:tx>
          <c:dPt>
            <c:idx val="0"/>
            <c:bubble3D val="0"/>
            <c:spPr>
              <a:solidFill>
                <a:srgbClr val="FF3300"/>
              </a:solidFill>
              <a:ln w="19050">
                <a:solidFill>
                  <a:schemeClr val="lt1"/>
                </a:solidFill>
              </a:ln>
              <a:effectLst/>
            </c:spPr>
            <c:extLst>
              <c:ext xmlns:c16="http://schemas.microsoft.com/office/drawing/2014/chart" uri="{C3380CC4-5D6E-409C-BE32-E72D297353CC}">
                <c16:uniqueId val="{00000001-8C9E-438D-8E5D-EB2C49DF4B7C}"/>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8C9E-438D-8E5D-EB2C49DF4B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9E-438D-8E5D-EB2C49DF4B7C}"/>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8C9E-438D-8E5D-EB2C49DF4B7C}"/>
              </c:ext>
            </c:extLst>
          </c:dPt>
          <c:dLbls>
            <c:dLbl>
              <c:idx val="0"/>
              <c:layout>
                <c:manualLayout>
                  <c:x val="-3.4364261168385508E-3"/>
                  <c:y val="-8.777008172558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9E-438D-8E5D-EB2C49DF4B7C}"/>
                </c:ext>
              </c:extLst>
            </c:dLbl>
            <c:dLbl>
              <c:idx val="1"/>
              <c:layout>
                <c:manualLayout>
                  <c:x val="6.1855670103092723E-2"/>
                  <c:y val="-3.3757723740611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9E-438D-8E5D-EB2C49DF4B7C}"/>
                </c:ext>
              </c:extLst>
            </c:dLbl>
            <c:dLbl>
              <c:idx val="2"/>
              <c:layout>
                <c:manualLayout>
                  <c:x val="0.10309278350515463"/>
                  <c:y val="-1.237768905010388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9E-438D-8E5D-EB2C49DF4B7C}"/>
                </c:ext>
              </c:extLst>
            </c:dLbl>
            <c:dLbl>
              <c:idx val="3"/>
              <c:layout>
                <c:manualLayout>
                  <c:x val="-7.903780068728522E-2"/>
                  <c:y val="3.3757723740610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9E-438D-8E5D-EB2C49DF4B7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'EDA-Q'!$A$64:$A$68</c:f>
              <c:strCache>
                <c:ptCount val="4"/>
                <c:pt idx="0">
                  <c:v>Cabin</c:v>
                </c:pt>
                <c:pt idx="1">
                  <c:v>Cherbrug</c:v>
                </c:pt>
                <c:pt idx="2">
                  <c:v>Quentown</c:v>
                </c:pt>
                <c:pt idx="3">
                  <c:v>Southamptom</c:v>
                </c:pt>
              </c:strCache>
            </c:strRef>
          </c:cat>
          <c:val>
            <c:numRef>
              <c:f>'EDA-Q'!$B$64:$B$68</c:f>
              <c:numCache>
                <c:formatCode>General</c:formatCode>
                <c:ptCount val="4"/>
                <c:pt idx="0">
                  <c:v>197</c:v>
                </c:pt>
                <c:pt idx="1">
                  <c:v>271</c:v>
                </c:pt>
                <c:pt idx="2">
                  <c:v>122</c:v>
                </c:pt>
                <c:pt idx="3">
                  <c:v>1612</c:v>
                </c:pt>
              </c:numCache>
            </c:numRef>
          </c:val>
          <c:extLst>
            <c:ext xmlns:c16="http://schemas.microsoft.com/office/drawing/2014/chart" uri="{C3380CC4-5D6E-409C-BE32-E72D297353CC}">
              <c16:uniqueId val="{00000008-8C9E-438D-8E5D-EB2C49DF4B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Dashboard.xlsx]EDA-Q!PivotTable10</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TOP</a:t>
            </a:r>
            <a:r>
              <a:rPr lang="en-IN" sz="1800" b="1" baseline="0"/>
              <a:t> FIVE COUNTRY</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3671624380285795E-2"/>
              <c:y val="0.11841239357275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9.2959734199891675E-3"/>
              <c:y val="8.0116083050594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3671624380285795E-2"/>
              <c:y val="0.11841239357275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2959734199891675E-3"/>
              <c:y val="8.0116083050594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66"/>
          </a:solidFill>
          <a:ln w="19050">
            <a:solidFill>
              <a:schemeClr val="lt1"/>
            </a:solidFill>
          </a:ln>
          <a:effectLst/>
        </c:spPr>
        <c:dLbl>
          <c:idx val="0"/>
          <c:layout>
            <c:manualLayout>
              <c:x val="2.5761266070554675E-2"/>
              <c:y val="-6.704037483595801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w="19050">
            <a:solidFill>
              <a:schemeClr val="lt1"/>
            </a:solidFill>
          </a:ln>
          <a:effectLst/>
        </c:spPr>
        <c:dLbl>
          <c:idx val="0"/>
          <c:layout>
            <c:manualLayout>
              <c:x val="5.1903999288224565E-3"/>
              <c:y val="-2.6918266076115483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w="19050">
            <a:solidFill>
              <a:schemeClr val="lt1"/>
            </a:solidFill>
          </a:ln>
          <a:effectLst/>
        </c:spPr>
        <c:dLbl>
          <c:idx val="0"/>
          <c:layout>
            <c:manualLayout>
              <c:x val="-5.4493916544330265E-3"/>
              <c:y val="3.875543389107611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dLbl>
          <c:idx val="0"/>
          <c:layout>
            <c:manualLayout>
              <c:x val="4.8297855776502511E-3"/>
              <c:y val="2.726634268372703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dLbl>
          <c:idx val="0"/>
          <c:layout>
            <c:manualLayout>
              <c:x val="9.2958983940566748E-3"/>
              <c:y val="1.9910597112860295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'EDA-Q'!$B$75</c:f>
              <c:strCache>
                <c:ptCount val="1"/>
                <c:pt idx="0">
                  <c:v>Total</c:v>
                </c:pt>
              </c:strCache>
            </c:strRef>
          </c:tx>
          <c:dPt>
            <c:idx val="0"/>
            <c:bubble3D val="0"/>
            <c:spPr>
              <a:solidFill>
                <a:srgbClr val="FF0066"/>
              </a:solidFill>
              <a:ln w="19050">
                <a:solidFill>
                  <a:schemeClr val="lt1"/>
                </a:solidFill>
              </a:ln>
              <a:effectLst/>
            </c:spPr>
            <c:extLst>
              <c:ext xmlns:c16="http://schemas.microsoft.com/office/drawing/2014/chart" uri="{C3380CC4-5D6E-409C-BE32-E72D297353CC}">
                <c16:uniqueId val="{00000001-9C66-4E59-AE9B-A28C4CC33F7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9C66-4E59-AE9B-A28C4CC33F7D}"/>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9C66-4E59-AE9B-A28C4CC33F7D}"/>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9C66-4E59-AE9B-A28C4CC33F7D}"/>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9C66-4E59-AE9B-A28C4CC33F7D}"/>
              </c:ext>
            </c:extLst>
          </c:dPt>
          <c:dLbls>
            <c:dLbl>
              <c:idx val="0"/>
              <c:layout>
                <c:manualLayout>
                  <c:x val="2.5761266070554675E-2"/>
                  <c:y val="-6.70403748359580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66-4E59-AE9B-A28C4CC33F7D}"/>
                </c:ext>
              </c:extLst>
            </c:dLbl>
            <c:dLbl>
              <c:idx val="1"/>
              <c:layout>
                <c:manualLayout>
                  <c:x val="5.1903999288224565E-3"/>
                  <c:y val="-2.691826607611548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6-4E59-AE9B-A28C4CC33F7D}"/>
                </c:ext>
              </c:extLst>
            </c:dLbl>
            <c:dLbl>
              <c:idx val="2"/>
              <c:layout>
                <c:manualLayout>
                  <c:x val="-5.4493916544330265E-3"/>
                  <c:y val="3.87554338910761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6-4E59-AE9B-A28C4CC33F7D}"/>
                </c:ext>
              </c:extLst>
            </c:dLbl>
            <c:dLbl>
              <c:idx val="3"/>
              <c:layout>
                <c:manualLayout>
                  <c:x val="4.8297855776502511E-3"/>
                  <c:y val="2.72663426837270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6-4E59-AE9B-A28C4CC33F7D}"/>
                </c:ext>
              </c:extLst>
            </c:dLbl>
            <c:dLbl>
              <c:idx val="4"/>
              <c:layout>
                <c:manualLayout>
                  <c:x val="9.2958983940566748E-3"/>
                  <c:y val="1.991059711286029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66-4E59-AE9B-A28C4CC33F7D}"/>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'EDA-Q'!$A$76:$A$81</c:f>
              <c:strCache>
                <c:ptCount val="5"/>
                <c:pt idx="0">
                  <c:v>England</c:v>
                </c:pt>
                <c:pt idx="1">
                  <c:v>United States</c:v>
                </c:pt>
                <c:pt idx="2">
                  <c:v>Ireland</c:v>
                </c:pt>
                <c:pt idx="3">
                  <c:v>Sweden</c:v>
                </c:pt>
                <c:pt idx="4">
                  <c:v>Lebanon</c:v>
                </c:pt>
              </c:strCache>
            </c:strRef>
          </c:cat>
          <c:val>
            <c:numRef>
              <c:f>'EDA-Q'!$B$76:$B$81</c:f>
              <c:numCache>
                <c:formatCode>General</c:formatCode>
                <c:ptCount val="5"/>
                <c:pt idx="0">
                  <c:v>1202</c:v>
                </c:pt>
                <c:pt idx="1">
                  <c:v>264</c:v>
                </c:pt>
                <c:pt idx="2">
                  <c:v>136</c:v>
                </c:pt>
                <c:pt idx="3">
                  <c:v>105</c:v>
                </c:pt>
                <c:pt idx="4">
                  <c:v>71</c:v>
                </c:pt>
              </c:numCache>
            </c:numRef>
          </c:val>
          <c:extLst>
            <c:ext xmlns:c16="http://schemas.microsoft.com/office/drawing/2014/chart" uri="{C3380CC4-5D6E-409C-BE32-E72D297353CC}">
              <c16:uniqueId val="{0000000A-9C66-4E59-AE9B-A28C4CC33F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056536100360333"/>
          <c:y val="0.30601416436260709"/>
          <c:w val="0.28824819831843052"/>
          <c:h val="0.5163512938481092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Dashboard.xlsx]EDA-Q!PivotTable12</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FARE</a:t>
            </a:r>
            <a:r>
              <a:rPr lang="en-IN" sz="1800" b="1" baseline="0"/>
              <a:t> CATEGORY</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'EDA-Q'!$B$89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'EDA-Q'!$A$90:$A$94</c:f>
              <c:strCache>
                <c:ptCount val="4"/>
                <c:pt idx="0">
                  <c:v>High Fare</c:v>
                </c:pt>
                <c:pt idx="1">
                  <c:v>Low Fare</c:v>
                </c:pt>
                <c:pt idx="2">
                  <c:v>Medium Fare</c:v>
                </c:pt>
                <c:pt idx="3">
                  <c:v>Very High Fare</c:v>
                </c:pt>
              </c:strCache>
            </c:strRef>
          </c:cat>
          <c:val>
            <c:numRef>
              <c:f>'EDA-Q'!$B$90:$B$94</c:f>
              <c:numCache>
                <c:formatCode>General</c:formatCode>
                <c:ptCount val="4"/>
                <c:pt idx="0">
                  <c:v>212</c:v>
                </c:pt>
                <c:pt idx="1">
                  <c:v>660</c:v>
                </c:pt>
                <c:pt idx="2">
                  <c:v>1247</c:v>
                </c:pt>
                <c:pt idx="3">
                  <c:v>83</c:v>
                </c:pt>
              </c:numCache>
            </c:numRef>
          </c:val>
          <c:extLst>
            <c:ext xmlns:c16="http://schemas.microsoft.com/office/drawing/2014/chart" uri="{C3380CC4-5D6E-409C-BE32-E72D297353CC}">
              <c16:uniqueId val="{00000000-3E0B-49D3-B773-CDD416B7F831}"/>
            </c:ext>
          </c:extLst>
        </c:ser>
        <c:dLbls>
          <c:dLblPos val="outEnd"/>
          <c:showLegendKey val="0"/>
          <c:showVal val="1"/>
          <c:showCatName val="0"/>
          <c:showSerName val="0"/>
          <c:showPercent val="0"/>
          <c:showBubbleSize val="0"/>
        </c:dLbls>
        <c:gapWidth val="182"/>
        <c:axId val="641623936"/>
        <c:axId val="641621536"/>
      </c:barChart>
      <c:catAx>
        <c:axId val="64162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crossAx val="641621536"/>
        <c:crosses val="autoZero"/>
        <c:auto val="1"/>
        <c:lblAlgn val="ctr"/>
        <c:lblOffset val="100"/>
        <c:noMultiLvlLbl val="0"/>
      </c:catAx>
      <c:valAx>
        <c:axId val="641621536"/>
        <c:scaling>
          <c:orientation val="minMax"/>
        </c:scaling>
        <c:delete val="1"/>
        <c:axPos val="b"/>
        <c:numFmt formatCode="General" sourceLinked="1"/>
        <c:majorTickMark val="out"/>
        <c:minorTickMark val="none"/>
        <c:tickLblPos val="nextTo"/>
        <c:crossAx val="6416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53340</xdr:colOff>
      <xdr:row>0</xdr:row>
      <xdr:rowOff>15240</xdr:rowOff>
    </xdr:from>
    <xdr:to>
      <xdr:col>10</xdr:col>
      <xdr:colOff>251460</xdr:colOff>
      <xdr:row>9</xdr:row>
      <xdr:rowOff>53340</xdr:rowOff>
    </xdr:to>
    <xdr:graphicFrame macro="">
      <xdr:nvGraphicFramePr>
        <xdr:cNvPr id="2" name="Chart 1">
          <a:extLst>
            <a:ext uri="{FF2B5EF4-FFF2-40B4-BE49-F238E27FC236}">
              <a16:creationId xmlns:a16="http://schemas.microsoft.com/office/drawing/2014/main" id="{4BC261A0-5D96-DF11-631F-9829F711C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236220</xdr:colOff>
      <xdr:row>10</xdr:row>
      <xdr:rowOff>68580</xdr:rowOff>
    </xdr:from>
    <xdr:to>
      <xdr:col>10</xdr:col>
      <xdr:colOff>220980</xdr:colOff>
      <xdr:row>18</xdr:row>
      <xdr:rowOff>175260</xdr:rowOff>
    </xdr:to>
    <xdr:graphicFrame macro="">
      <xdr:nvGraphicFramePr>
        <xdr:cNvPr id="3" name="Chart 2">
          <a:extLst>
            <a:ext uri="{FF2B5EF4-FFF2-40B4-BE49-F238E27FC236}">
              <a16:creationId xmlns:a16="http://schemas.microsoft.com/office/drawing/2014/main" id="{2EBF73B7-C639-653C-BAFA-6AB736123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365760</xdr:colOff>
      <xdr:row>19</xdr:row>
      <xdr:rowOff>160020</xdr:rowOff>
    </xdr:from>
    <xdr:to>
      <xdr:col>10</xdr:col>
      <xdr:colOff>190500</xdr:colOff>
      <xdr:row>30</xdr:row>
      <xdr:rowOff>152400</xdr:rowOff>
    </xdr:to>
    <xdr:graphicFrame macro="">
      <xdr:nvGraphicFramePr>
        <xdr:cNvPr id="4" name="Chart 3">
          <a:extLst>
            <a:ext uri="{FF2B5EF4-FFF2-40B4-BE49-F238E27FC236}">
              <a16:creationId xmlns:a16="http://schemas.microsoft.com/office/drawing/2014/main" id="{2AA83F22-290D-1B83-96EC-38D781922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601980</xdr:colOff>
      <xdr:row>44</xdr:row>
      <xdr:rowOff>175260</xdr:rowOff>
    </xdr:from>
    <xdr:to>
      <xdr:col>10</xdr:col>
      <xdr:colOff>198120</xdr:colOff>
      <xdr:row>58</xdr:row>
      <xdr:rowOff>49530</xdr:rowOff>
    </xdr:to>
    <xdr:graphicFrame macro="">
      <xdr:nvGraphicFramePr>
        <xdr:cNvPr id="6" name="Chart 5">
          <a:extLst>
            <a:ext uri="{FF2B5EF4-FFF2-40B4-BE49-F238E27FC236}">
              <a16:creationId xmlns:a16="http://schemas.microsoft.com/office/drawing/2014/main" id="{CBD20A0C-C61D-AB13-A999-CD0A2ACE1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xdr:colOff>
      <xdr:row>60</xdr:row>
      <xdr:rowOff>72390</xdr:rowOff>
    </xdr:from>
    <xdr:to>
      <xdr:col>10</xdr:col>
      <xdr:colOff>213360</xdr:colOff>
      <xdr:row>72</xdr:row>
      <xdr:rowOff>129540</xdr:rowOff>
    </xdr:to>
    <xdr:graphicFrame macro="">
      <xdr:nvGraphicFramePr>
        <xdr:cNvPr id="7" name="Chart 6">
          <a:extLst>
            <a:ext uri="{FF2B5EF4-FFF2-40B4-BE49-F238E27FC236}">
              <a16:creationId xmlns:a16="http://schemas.microsoft.com/office/drawing/2014/main" id="{3816EEBD-5BA4-21ED-C4C8-A0D65F8AE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xdr:colOff>
      <xdr:row>73</xdr:row>
      <xdr:rowOff>171450</xdr:rowOff>
    </xdr:from>
    <xdr:to>
      <xdr:col>10</xdr:col>
      <xdr:colOff>228600</xdr:colOff>
      <xdr:row>86</xdr:row>
      <xdr:rowOff>137160</xdr:rowOff>
    </xdr:to>
    <xdr:graphicFrame macro="">
      <xdr:nvGraphicFramePr>
        <xdr:cNvPr id="9" name="Chart 8">
          <a:extLst>
            <a:ext uri="{FF2B5EF4-FFF2-40B4-BE49-F238E27FC236}">
              <a16:creationId xmlns:a16="http://schemas.microsoft.com/office/drawing/2014/main" id="{33985045-B8BE-7BC2-C15E-3DDD9A410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518160</xdr:colOff>
      <xdr:row>88</xdr:row>
      <xdr:rowOff>72390</xdr:rowOff>
    </xdr:from>
    <xdr:to>
      <xdr:col>11</xdr:col>
      <xdr:colOff>213360</xdr:colOff>
      <xdr:row>103</xdr:row>
      <xdr:rowOff>72390</xdr:rowOff>
    </xdr:to>
    <xdr:graphicFrame macro="">
      <xdr:nvGraphicFramePr>
        <xdr:cNvPr id="8" name="Chart 7">
          <a:extLst>
            <a:ext uri="{FF2B5EF4-FFF2-40B4-BE49-F238E27FC236}">
              <a16:creationId xmlns:a16="http://schemas.microsoft.com/office/drawing/2014/main" id="{9E91AF6A-1379-6798-9EA4-65E58A28F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283028</xdr:colOff>
      <xdr:row>2</xdr:row>
      <xdr:rowOff>152400</xdr:rowOff>
    </xdr:from>
    <xdr:to>
      <xdr:col>12</xdr:col>
      <xdr:colOff>403859</xdr:colOff>
      <xdr:row>17</xdr:row>
      <xdr:rowOff>119742</xdr:rowOff>
    </xdr:to>
    <xdr:graphicFrame macro="">
      <xdr:nvGraphicFramePr>
        <xdr:cNvPr id="5" name="Chart 4">
          <a:extLst>
            <a:ext uri="{FF2B5EF4-FFF2-40B4-BE49-F238E27FC236}">
              <a16:creationId xmlns:a16="http://schemas.microsoft.com/office/drawing/2014/main" id="{A03740DC-B6B3-4161-A70F-0AC895996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449580</xdr:colOff>
      <xdr:row>2</xdr:row>
      <xdr:rowOff>162559</xdr:rowOff>
    </xdr:from>
    <xdr:to>
      <xdr:col>17</xdr:col>
      <xdr:colOff>38100</xdr:colOff>
      <xdr:row>17</xdr:row>
      <xdr:rowOff>152400</xdr:rowOff>
    </xdr:to>
    <xdr:graphicFrame macro="">
      <xdr:nvGraphicFramePr>
        <xdr:cNvPr id="6" name="Chart 5">
          <a:extLst>
            <a:ext uri="{FF2B5EF4-FFF2-40B4-BE49-F238E27FC236}">
              <a16:creationId xmlns:a16="http://schemas.microsoft.com/office/drawing/2014/main" id="{E29EBB0E-C36F-4FBE-9B94-6BFCA53B1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40277</xdr:colOff>
      <xdr:row>18</xdr:row>
      <xdr:rowOff>111760</xdr:rowOff>
    </xdr:from>
    <xdr:to>
      <xdr:col>9</xdr:col>
      <xdr:colOff>293914</xdr:colOff>
      <xdr:row>34</xdr:row>
      <xdr:rowOff>87086</xdr:rowOff>
    </xdr:to>
    <xdr:graphicFrame macro="">
      <xdr:nvGraphicFramePr>
        <xdr:cNvPr id="7" name="Chart 6">
          <a:extLst>
            <a:ext uri="{FF2B5EF4-FFF2-40B4-BE49-F238E27FC236}">
              <a16:creationId xmlns:a16="http://schemas.microsoft.com/office/drawing/2014/main" id="{46F9C6F5-2380-418C-B237-5B1AE54D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102326</xdr:colOff>
      <xdr:row>3</xdr:row>
      <xdr:rowOff>89263</xdr:rowOff>
    </xdr:from>
    <xdr:to>
      <xdr:col>21</xdr:col>
      <xdr:colOff>574766</xdr:colOff>
      <xdr:row>17</xdr:row>
      <xdr:rowOff>130629</xdr:rowOff>
    </xdr:to>
    <xdr:graphicFrame macro="">
      <xdr:nvGraphicFramePr>
        <xdr:cNvPr id="9" name="Chart 8">
          <a:extLst>
            <a:ext uri="{FF2B5EF4-FFF2-40B4-BE49-F238E27FC236}">
              <a16:creationId xmlns:a16="http://schemas.microsoft.com/office/drawing/2014/main" id="{6AED25DA-D775-4CE7-BA4A-252304952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416560</xdr:colOff>
      <xdr:row>18</xdr:row>
      <xdr:rowOff>132080</xdr:rowOff>
    </xdr:from>
    <xdr:to>
      <xdr:col>21</xdr:col>
      <xdr:colOff>555172</xdr:colOff>
      <xdr:row>34</xdr:row>
      <xdr:rowOff>87085</xdr:rowOff>
    </xdr:to>
    <xdr:graphicFrame macro="">
      <xdr:nvGraphicFramePr>
        <xdr:cNvPr id="10" name="Chart 9">
          <a:extLst>
            <a:ext uri="{FF2B5EF4-FFF2-40B4-BE49-F238E27FC236}">
              <a16:creationId xmlns:a16="http://schemas.microsoft.com/office/drawing/2014/main" id="{FEBB2E84-3A27-47F0-88F8-A806E4D8E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364672</xdr:colOff>
      <xdr:row>18</xdr:row>
      <xdr:rowOff>115388</xdr:rowOff>
    </xdr:from>
    <xdr:to>
      <xdr:col>15</xdr:col>
      <xdr:colOff>303712</xdr:colOff>
      <xdr:row>34</xdr:row>
      <xdr:rowOff>54428</xdr:rowOff>
    </xdr:to>
    <xdr:graphicFrame macro="">
      <xdr:nvGraphicFramePr>
        <xdr:cNvPr id="11" name="Chart 10">
          <a:extLst>
            <a:ext uri="{FF2B5EF4-FFF2-40B4-BE49-F238E27FC236}">
              <a16:creationId xmlns:a16="http://schemas.microsoft.com/office/drawing/2014/main" id="{E5A8B7E9-3A74-4D65-B37A-2272F9892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205377</xdr:colOff>
      <xdr:row>15</xdr:row>
      <xdr:rowOff>97971</xdr:rowOff>
    </xdr:from>
    <xdr:to>
      <xdr:col>3</xdr:col>
      <xdr:colOff>521063</xdr:colOff>
      <xdr:row>21</xdr:row>
      <xdr:rowOff>158931</xdr:rowOff>
    </xdr:to>
    <mc:AlternateContent xmlns:mc="http://schemas.openxmlformats.org/markup-compatibility/2006" xmlns:a14="http://schemas.microsoft.com/office/drawing/2010/main">
      <mc:Choice Requires="a14">
        <xdr:graphicFrame macro="">
          <xdr:nvGraphicFramePr>
            <xdr:cNvPr id="12" name="gender2">
              <a:extLst>
                <a:ext uri="{FF2B5EF4-FFF2-40B4-BE49-F238E27FC236}">
                  <a16:creationId xmlns:a16="http://schemas.microsoft.com/office/drawing/2014/main" id="{BB19E4D3-C918-76F2-48B7-34A22247543D}"/>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mlns="">
        <xdr:sp macro="" textlink="">
          <xdr:nvSpPr>
            <xdr:cNvPr id="0" name=""/>
            <xdr:cNvSpPr>
              <a:spLocks noTextEdit="1"/>
            </xdr:cNvSpPr>
          </xdr:nvSpPr>
          <xdr:spPr>
            <a:xfrm>
              <a:off x="205377" y="2952931"/>
              <a:ext cx="2144486"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158205</xdr:colOff>
      <xdr:row>28</xdr:row>
      <xdr:rowOff>63502</xdr:rowOff>
    </xdr:from>
    <xdr:to>
      <xdr:col>3</xdr:col>
      <xdr:colOff>554446</xdr:colOff>
      <xdr:row>34</xdr:row>
      <xdr:rowOff>140789</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FE40CDBE-BE41-3077-86B5-A504E57B75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8205" y="5295902"/>
              <a:ext cx="2225041" cy="1174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184331</xdr:colOff>
      <xdr:row>22</xdr:row>
      <xdr:rowOff>40641</xdr:rowOff>
    </xdr:from>
    <xdr:to>
      <xdr:col>3</xdr:col>
      <xdr:colOff>543560</xdr:colOff>
      <xdr:row>27</xdr:row>
      <xdr:rowOff>168367</xdr:rowOff>
    </xdr:to>
    <mc:AlternateContent xmlns:mc="http://schemas.openxmlformats.org/markup-compatibility/2006" xmlns:a14="http://schemas.microsoft.com/office/drawing/2010/main">
      <mc:Choice Requires="a14">
        <xdr:graphicFrame macro="">
          <xdr:nvGraphicFramePr>
            <xdr:cNvPr id="14" name="class">
              <a:extLst>
                <a:ext uri="{FF2B5EF4-FFF2-40B4-BE49-F238E27FC236}">
                  <a16:creationId xmlns:a16="http://schemas.microsoft.com/office/drawing/2014/main" id="{39354F5A-F590-9367-1085-05E2C73B288E}"/>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84331" y="4175761"/>
              <a:ext cx="2188029" cy="1042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193040</xdr:colOff>
      <xdr:row>3</xdr:row>
      <xdr:rowOff>81280</xdr:rowOff>
    </xdr:from>
    <xdr:to>
      <xdr:col>3</xdr:col>
      <xdr:colOff>500744</xdr:colOff>
      <xdr:row>8</xdr:row>
      <xdr:rowOff>101600</xdr:rowOff>
    </xdr:to>
    <mc:AlternateContent xmlns:mc="http://schemas.openxmlformats.org/markup-compatibility/2006" xmlns:a14="http://schemas.microsoft.com/office/drawing/2010/main">
      <mc:Choice Requires="a14">
        <xdr:graphicFrame macro="">
          <xdr:nvGraphicFramePr>
            <xdr:cNvPr id="17" name="Fare Category">
              <a:extLst>
                <a:ext uri="{FF2B5EF4-FFF2-40B4-BE49-F238E27FC236}">
                  <a16:creationId xmlns:a16="http://schemas.microsoft.com/office/drawing/2014/main" id="{FBB0BC17-0F0A-B55B-54F8-10BC16D6BE66}"/>
                </a:ext>
              </a:extLst>
            </xdr:cNvPr>
            <xdr:cNvGraphicFramePr/>
          </xdr:nvGraphicFramePr>
          <xdr:xfrm>
            <a:off x="0" y="0"/>
            <a:ext cx="0" cy="0"/>
          </xdr:xfrm>
          <a:graphic>
            <a:graphicData uri="http://schemas.microsoft.com/office/drawing/2010/slicer">
              <sle:slicer xmlns:sle="http://schemas.microsoft.com/office/drawing/2010/slicer" name="Fare Category"/>
            </a:graphicData>
          </a:graphic>
        </xdr:graphicFrame>
      </mc:Choice>
      <mc:Fallback xmlns="">
        <xdr:sp macro="" textlink="">
          <xdr:nvSpPr>
            <xdr:cNvPr id="0" name=""/>
            <xdr:cNvSpPr>
              <a:spLocks noTextEdit="1"/>
            </xdr:cNvSpPr>
          </xdr:nvSpPr>
          <xdr:spPr>
            <a:xfrm>
              <a:off x="193040" y="741680"/>
              <a:ext cx="2136504" cy="93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184331</xdr:colOff>
      <xdr:row>9</xdr:row>
      <xdr:rowOff>14879</xdr:rowOff>
    </xdr:from>
    <xdr:to>
      <xdr:col>3</xdr:col>
      <xdr:colOff>521787</xdr:colOff>
      <xdr:row>15</xdr:row>
      <xdr:rowOff>39915</xdr:rowOff>
    </xdr:to>
    <mc:AlternateContent xmlns:mc="http://schemas.openxmlformats.org/markup-compatibility/2006" xmlns:a14="http://schemas.microsoft.com/office/drawing/2010/main">
      <mc:Choice Requires="a14">
        <xdr:graphicFrame macro="">
          <xdr:nvGraphicFramePr>
            <xdr:cNvPr id="18" name="New Survived">
              <a:extLst>
                <a:ext uri="{FF2B5EF4-FFF2-40B4-BE49-F238E27FC236}">
                  <a16:creationId xmlns:a16="http://schemas.microsoft.com/office/drawing/2014/main" id="{58429995-50D7-1F84-FE54-D4AC73F76F70}"/>
                </a:ext>
              </a:extLst>
            </xdr:cNvPr>
            <xdr:cNvGraphicFramePr/>
          </xdr:nvGraphicFramePr>
          <xdr:xfrm>
            <a:off x="0" y="0"/>
            <a:ext cx="0" cy="0"/>
          </xdr:xfrm>
          <a:graphic>
            <a:graphicData uri="http://schemas.microsoft.com/office/drawing/2010/slicer">
              <sle:slicer xmlns:sle="http://schemas.microsoft.com/office/drawing/2010/slicer" name="New Survived"/>
            </a:graphicData>
          </a:graphic>
        </xdr:graphicFrame>
      </mc:Choice>
      <mc:Fallback xmlns="">
        <xdr:sp macro="" textlink="">
          <xdr:nvSpPr>
            <xdr:cNvPr id="0" name=""/>
            <xdr:cNvSpPr>
              <a:spLocks noTextEdit="1"/>
            </xdr:cNvSpPr>
          </xdr:nvSpPr>
          <xdr:spPr>
            <a:xfrm>
              <a:off x="184331" y="1772559"/>
              <a:ext cx="2166256" cy="1122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xdr:row>
      <xdr:rowOff>162560</xdr:rowOff>
    </xdr:from>
    <xdr:to>
      <xdr:col>8</xdr:col>
      <xdr:colOff>228600</xdr:colOff>
      <xdr:row>17</xdr:row>
      <xdr:rowOff>142240</xdr:rowOff>
    </xdr:to>
    <xdr:graphicFrame macro="">
      <xdr:nvGraphicFramePr>
        <xdr:cNvPr id="2" name="Chart 1">
          <a:extLst>
            <a:ext uri="{FF2B5EF4-FFF2-40B4-BE49-F238E27FC236}">
              <a16:creationId xmlns:a16="http://schemas.microsoft.com/office/drawing/2014/main" id="{0FFA2D94-E33F-4440-AE0F-FF86E6C15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17.476207523148" createdVersion="8" refreshedVersion="8" minRefreshableVersion="3" recordCount="2202" xr:uid="{D759E691-2EA9-411A-84E8-1C3892085009}">
  <cacheSource type="worksheet">
    <worksheetSource ref="A1:S2203" sheet="Clean Data"/>
  </cacheSource>
  <cacheFields count="19">
    <cacheField name="First Name" numFmtId="0">
      <sharedItems/>
    </cacheField>
    <cacheField name="Prefix" numFmtId="0">
      <sharedItems/>
    </cacheField>
    <cacheField name="Last Name" numFmtId="0">
      <sharedItems/>
    </cacheField>
    <cacheField name="Gender" numFmtId="0">
      <sharedItems count="2">
        <s v="Male"/>
        <s v="Female"/>
      </sharedItems>
    </cacheField>
    <cacheField name="gender2" numFmtId="0">
      <sharedItems count="2">
        <s v="male"/>
        <s v="female"/>
      </sharedItems>
    </cacheField>
    <cacheField name="age" numFmtId="1">
      <sharedItems containsSemiMixedTypes="0" containsString="0" containsNumber="1" minValue="0.58333333330000003" maxValue="74"/>
    </cacheField>
    <cacheField name="Age Group" numFmtId="0">
      <sharedItems count="5">
        <s v="Seniour Adult"/>
        <s v="Teen"/>
        <s v="Adult"/>
        <s v="Child"/>
        <s v="Old Age"/>
      </sharedItems>
    </cacheField>
    <cacheField name="class" numFmtId="0">
      <sharedItems count="7">
        <s v="3rd"/>
        <s v="2nd"/>
        <s v="1st"/>
        <s v="engineering crew"/>
        <s v="victualling crew"/>
        <s v="restaurant staff"/>
        <s v="deck crew"/>
      </sharedItems>
    </cacheField>
    <cacheField name="embarked" numFmtId="0">
      <sharedItems/>
    </cacheField>
    <cacheField name="Embark Gtown" numFmtId="0">
      <sharedItems count="4">
        <s v="Southamptom"/>
        <s v="Cherbrug"/>
        <s v="Cabin"/>
        <s v="Quentown"/>
      </sharedItems>
    </cacheField>
    <cacheField name="country" numFmtId="0">
      <sharedItems count="48">
        <s v="United States"/>
        <s v="England"/>
        <s v="Norway"/>
        <s v="France"/>
        <s v="Lebanon"/>
        <s v="Finland"/>
        <s v="Sweden"/>
        <s v="Argentina"/>
        <s v="Canada"/>
        <s v="Denmark"/>
        <s v="Northern Ireland"/>
        <s v="Bulgaria"/>
        <s v="Switzerland"/>
        <s v="Channel Islands"/>
        <s v="Bosnia"/>
        <s v="Hungary"/>
        <s v="Ireland"/>
        <s v="Italy"/>
        <s v="India"/>
        <s v="Wales"/>
        <s v="South Africa"/>
        <s v="Croatia (Modern)"/>
        <s v="Scotland"/>
        <s v="Siam"/>
        <s v="Uruguay"/>
        <s v="Belgium"/>
        <s v="Poland"/>
        <s v="Australia"/>
        <s v="Peru"/>
        <s v="Spain"/>
        <s v="Egypt"/>
        <s v="Japan"/>
        <s v="Syria"/>
        <s v="Russia"/>
        <s v="Slovenia"/>
        <s v="Greece"/>
        <s v="Turkey"/>
        <s v="China/Hong Kong"/>
        <s v="Austria"/>
        <s v="Latvia"/>
        <s v="Yugoslavia"/>
        <s v="Slovakia (Modern day)"/>
        <s v="Germany"/>
        <s v="Croatia"/>
        <s v="Cuba"/>
        <s v="Netherlands"/>
        <s v="Mexico"/>
        <s v="Guyana"/>
      </sharedItems>
    </cacheField>
    <cacheField name="fare" numFmtId="1">
      <sharedItems containsSemiMixedTypes="0" containsString="0" containsNumber="1" minValue="3.0305" maxValue="512.0607" count="276">
        <n v="7.11"/>
        <n v="20.05"/>
        <n v="7.13"/>
        <n v="24"/>
        <n v="18.1509"/>
        <n v="7.1806000000000001"/>
        <n v="7.05"/>
        <n v="8.01"/>
        <n v="9.0906000000000002"/>
        <n v="9.07"/>
        <n v="13"/>
        <n v="7.1708999999999996"/>
        <n v="7.01"/>
        <n v="211.6009"/>
        <n v="151.16"/>
        <n v="8.06"/>
        <n v="7.0407000000000002"/>
        <n v="7.1700999999999997"/>
        <n v="22.1006"/>
        <n v="26.11"/>
        <n v="31.050599999999999"/>
        <n v="7.1505999999999998"/>
        <n v="11.1"/>
        <n v="10.1"/>
        <n v="77.190200000000004"/>
        <n v="33"/>
        <n v="7.1711"/>
        <n v="26"/>
        <n v="51.090699999999998"/>
        <n v="17.16"/>
        <n v="49.100099999999998"/>
        <n v="31.070900000000002"/>
        <n v="7.1510999999999996"/>
        <n v="7.0406000000000004"/>
        <n v="247.10059999999999"/>
        <n v="14.090199999999999"/>
        <n v="69.06"/>
        <n v="15.17"/>
        <n v="19.0502"/>
        <n v="8.1308000000000007"/>
        <n v="14.0901"/>
        <n v="78.17"/>
        <n v="30"/>
        <n v="7.1707000000000001"/>
        <n v="76.051000000000002"/>
        <n v="12.1006"/>
        <n v="25.180599999999998"/>
        <n v="247.10050000000001"/>
        <n v="75.040999999999997"/>
        <n v="39"/>
        <n v="52.110100000000003"/>
        <n v="63.0702"/>
        <n v="56.091099999999997"/>
        <n v="221.1507"/>
        <n v="91.0107"/>
        <n v="7.15"/>
        <n v="35.1"/>
        <n v="31"/>
        <n v="164.1704"/>
        <n v="15.1"/>
        <n v="262.07060000000001"/>
        <n v="16.02"/>
        <n v="55"/>
        <n v="7.1406000000000001"/>
        <n v="30.1"/>
        <n v="50.091099999999997"/>
        <n v="7"/>
        <n v="39.119999999999997"/>
        <n v="27.140499999999999"/>
        <n v="7.0507999999999997"/>
        <n v="7.1516999999999999"/>
        <n v="15.0411"/>
        <n v="6.15"/>
        <n v="134.1"/>
        <n v="8.1303000000000001"/>
        <n v="26.050899999999999"/>
        <n v="29"/>
        <n v="21"/>
        <n v="27.081099999999999"/>
        <n v="512.0607"/>
        <n v="5"/>
        <n v="47.02"/>
        <n v="120"/>
        <n v="61.0306"/>
        <n v="53.02"/>
        <n v="13.1"/>
        <n v="7.1407999999999996"/>
        <n v="86.1"/>
        <n v="29.14"/>
        <n v="27"/>
        <n v="136.1507"/>
        <n v="52"/>
        <n v="25.110900000000001"/>
        <n v="26.05"/>
        <n v="83.030199999999994"/>
        <n v="7.1207000000000003"/>
        <n v="25.140999999999998"/>
        <n v="15.18"/>
        <n v="8.0302000000000007"/>
        <n v="71"/>
        <n v="71.050799999999995"/>
        <n v="10.1004"/>
        <n v="10.0305"/>
        <n v="6.19"/>
        <n v="14.08"/>
        <n v="36.15"/>
        <n v="24.03"/>
        <n v="73.099999999999994"/>
        <n v="20.110600000000002"/>
        <n v="17.079999999999998"/>
        <n v="9.1"/>
        <n v="31.1"/>
        <n v="57"/>
        <n v="81.170199999999994"/>
        <n v="23"/>
        <n v="8.0901999999999994"/>
        <n v="106.0806"/>
        <n v="12.0906"/>
        <n v="32.1"/>
        <n v="56.180700000000002"/>
        <n v="13.170199999999999"/>
        <n v="13.18"/>
        <n v="6.1905999999999999"/>
        <n v="78.050399999999996"/>
        <n v="31.130700000000001"/>
        <n v="15.02"/>
        <n v="31.130800000000001"/>
        <n v="110.1708"/>
        <n v="34.070599999999999"/>
        <n v="27.15"/>
        <n v="263"/>
        <n v="133.13"/>
        <n v="49.1"/>
        <n v="79.040000000000006"/>
        <n v="7.141"/>
        <n v="14.1"/>
        <n v="38.1"/>
        <n v="59.08"/>
        <n v="211.1"/>
        <n v="89.020099999999999"/>
        <n v="34.130099999999999"/>
        <n v="20.1006"/>
        <n v="7.17"/>
        <n v="46.18"/>
        <n v="28.1"/>
        <n v="153.09030000000001"/>
        <n v="8.0615000000000006"/>
        <n v="9.1610999999999994"/>
        <n v="8.17"/>
        <n v="6.1904000000000003"/>
        <n v="14.020200000000001"/>
        <n v="55.081000000000003"/>
        <n v="76.140699999999995"/>
        <n v="42.08"/>
        <n v="83.090599999999995"/>
        <n v="6.1702000000000004"/>
        <n v="93.1"/>
        <n v="42.1"/>
        <n v="8.1903000000000006"/>
        <n v="65"/>
        <n v="16"/>
        <n v="51.170299999999997"/>
        <n v="50"/>
        <n v="57.1907"/>
        <n v="12.0509"/>
        <n v="6.09"/>
        <n v="100"/>
        <n v="30.1311"/>
        <n v="12.050599999999999"/>
        <n v="80"/>
        <n v="28.1403"/>
        <n v="15"/>
        <n v="7.0101000000000004"/>
        <n v="13.151"/>
        <n v="8.0203000000000007"/>
        <n v="6.0911"/>
        <n v="8.1301000000000005"/>
        <n v="11.020799999999999"/>
        <n v="23.09"/>
        <n v="9.1609999999999996"/>
        <n v="7.0206"/>
        <n v="8.0808"/>
        <n v="7.1005000000000003"/>
        <n v="13.080399999999999"/>
        <n v="12.07"/>
        <n v="7.1409000000000002"/>
        <n v="22"/>
        <n v="12.030799999999999"/>
        <n v="211.0609"/>
        <n v="9.1109000000000009"/>
        <n v="10.1402"/>
        <n v="41.110700000000001"/>
        <n v="9.0907999999999998"/>
        <n v="25.180700000000002"/>
        <n v="25.090399999999999"/>
        <n v="12"/>
        <n v="12.1706"/>
        <n v="15.11"/>
        <n v="39.08"/>
        <n v="45.1"/>
        <n v="7.1106999999999996"/>
        <n v="146.10050000000001"/>
        <n v="6.0808999999999997"/>
        <n v="7.0209999999999999"/>
        <n v="37"/>
        <n v="15.1107"/>
        <n v="23.05"/>
        <n v="7.1508000000000003"/>
        <n v="8"/>
        <n v="19.100000000000001"/>
        <n v="82.030500000000004"/>
        <n v="90"/>
        <n v="57.15"/>
        <n v="14"/>
        <n v="9.1309000000000005"/>
        <n v="15.141"/>
        <n v="30.0105"/>
        <n v="113.0506"/>
        <n v="26.050799999999999"/>
        <n v="11.041"/>
        <n v="7.16"/>
        <n v="13.170299999999999"/>
        <n v="6.0408999999999997"/>
        <n v="7.1607000000000003"/>
        <n v="9.0405999999999995"/>
        <n v="108.18"/>
        <n v="3.0305"/>
        <n v="8.0800999999999998"/>
        <n v="7.0602999999999998"/>
        <n v="9.0404"/>
        <n v="61.1907"/>
        <n v="21.0106"/>
        <n v="39.130899999999997"/>
        <n v="13.150600000000001"/>
        <n v="66.12"/>
        <n v="15.01"/>
        <n v="22.0702"/>
        <n v="8.0208999999999993"/>
        <n v="12.1409"/>
        <n v="8.1402999999999999"/>
        <n v="29.020600000000002"/>
        <n v="18.149999999999999"/>
        <n v="135.1208"/>
        <n v="7.1405000000000003"/>
        <n v="20.040299999999998"/>
        <n v="79"/>
        <n v="40.020600000000002"/>
        <n v="7.1406999999999998"/>
        <n v="7.1109999999999998"/>
        <n v="69.11"/>
        <n v="9.0606000000000009"/>
        <n v="21.130700000000001"/>
        <n v="16.14"/>
        <n v="4"/>
        <n v="55.18"/>
        <n v="27.18"/>
        <n v="60"/>
        <n v="82.050399999999996"/>
        <n v="8.1309000000000005"/>
        <n v="9.1608999999999998"/>
        <n v="10.090299999999999"/>
        <n v="32.060499999999998"/>
        <n v="8.1004000000000005"/>
        <n v="79.13"/>
        <n v="12.13"/>
        <n v="28.100899999999999"/>
        <n v="9"/>
        <n v="33.1"/>
        <n v="18"/>
        <n v="34"/>
        <n v="75.05"/>
        <n v="15.15"/>
        <n v="77.050899999999999"/>
        <n v="61.070700000000002"/>
        <n v="35"/>
        <n v="7.1706000000000003"/>
      </sharedItems>
    </cacheField>
    <cacheField name="Fare Category" numFmtId="0">
      <sharedItems count="4">
        <s v="Low Fare"/>
        <s v="Medium Fare"/>
        <s v="Very High Fare"/>
        <s v="High Fare"/>
      </sharedItems>
    </cacheField>
    <cacheField name="sibsp" numFmtId="0">
      <sharedItems containsSemiMixedTypes="0" containsString="0" containsNumber="1" containsInteger="1" minValue="0" maxValue="8"/>
    </cacheField>
    <cacheField name="parch" numFmtId="0">
      <sharedItems containsMixedTypes="1" containsNumber="1" containsInteger="1" minValue="0" maxValue="9"/>
    </cacheField>
    <cacheField name="Family Size" numFmtId="0">
      <sharedItems containsMixedTypes="1" containsNumber="1" containsInteger="1" minValue="1" maxValue="11" count="10">
        <n v="1"/>
        <n v="3"/>
        <n v="2"/>
        <n v="4"/>
        <n v="7"/>
        <e v="#VALUE!"/>
        <n v="5"/>
        <n v="6"/>
        <n v="8"/>
        <n v="11"/>
      </sharedItems>
    </cacheField>
    <cacheField name="Alon" numFmtId="0">
      <sharedItems/>
    </cacheField>
    <cacheField name="New Survived" numFmtId="0">
      <sharedItems count="2">
        <s v="No"/>
        <s v="Yes"/>
      </sharedItems>
    </cacheField>
    <cacheField name="survived" numFmtId="0">
      <sharedItems/>
    </cacheField>
  </cacheFields>
  <extLst>
    <ext xmlns:x14="http://schemas.microsoft.com/office/spreadsheetml/2009/9/main" uri="{725AE2AE-9491-48be-B2B4-4EB974FC3084}">
      <x14:pivotCacheDefinition pivotCacheId="1877233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2">
  <r>
    <s v="Abbing"/>
    <s v=" Mr"/>
    <s v=" Anthony"/>
    <x v="0"/>
    <x v="0"/>
    <n v="42"/>
    <x v="0"/>
    <x v="0"/>
    <s v="S"/>
    <x v="0"/>
    <x v="0"/>
    <x v="0"/>
    <x v="0"/>
    <n v="0"/>
    <n v="0"/>
    <x v="0"/>
    <s v="Alone"/>
    <x v="0"/>
    <s v="no"/>
  </r>
  <r>
    <s v="Abbott"/>
    <s v=" Mr"/>
    <s v=" Eugene Joseph"/>
    <x v="0"/>
    <x v="0"/>
    <n v="13"/>
    <x v="1"/>
    <x v="0"/>
    <s v="S"/>
    <x v="0"/>
    <x v="0"/>
    <x v="1"/>
    <x v="1"/>
    <n v="0"/>
    <n v="2"/>
    <x v="1"/>
    <s v="With Family"/>
    <x v="0"/>
    <s v="no"/>
  </r>
  <r>
    <s v="Abbott"/>
    <s v=" Mr"/>
    <s v=" Rossmore Edward"/>
    <x v="0"/>
    <x v="0"/>
    <n v="16"/>
    <x v="1"/>
    <x v="0"/>
    <s v="S"/>
    <x v="0"/>
    <x v="0"/>
    <x v="1"/>
    <x v="1"/>
    <n v="1"/>
    <n v="1"/>
    <x v="1"/>
    <s v="With Family"/>
    <x v="0"/>
    <s v="no"/>
  </r>
  <r>
    <s v="Abbott"/>
    <s v=" Mrs"/>
    <s v=" Rhoda Mary 'Rosa'"/>
    <x v="1"/>
    <x v="1"/>
    <n v="39"/>
    <x v="0"/>
    <x v="0"/>
    <s v="S"/>
    <x v="0"/>
    <x v="1"/>
    <x v="1"/>
    <x v="1"/>
    <n v="1"/>
    <n v="1"/>
    <x v="1"/>
    <s v="With Family"/>
    <x v="1"/>
    <s v="yes"/>
  </r>
  <r>
    <s v="Abelseth"/>
    <s v=" Miss"/>
    <s v=" Karen Marie"/>
    <x v="1"/>
    <x v="1"/>
    <n v="16"/>
    <x v="1"/>
    <x v="0"/>
    <s v="S"/>
    <x v="0"/>
    <x v="2"/>
    <x v="2"/>
    <x v="0"/>
    <n v="0"/>
    <n v="0"/>
    <x v="0"/>
    <s v="Alone"/>
    <x v="1"/>
    <s v="yes"/>
  </r>
  <r>
    <s v="Abelseth"/>
    <s v=" Mr"/>
    <s v=" Olaus JÃ¸rgensen"/>
    <x v="0"/>
    <x v="0"/>
    <n v="25"/>
    <x v="2"/>
    <x v="0"/>
    <s v="S"/>
    <x v="0"/>
    <x v="0"/>
    <x v="2"/>
    <x v="0"/>
    <n v="0"/>
    <n v="0"/>
    <x v="0"/>
    <s v="Alone"/>
    <x v="1"/>
    <s v="yes"/>
  </r>
  <r>
    <s v="Abelson"/>
    <s v=" Mr"/>
    <s v=" Samuel"/>
    <x v="0"/>
    <x v="0"/>
    <n v="30"/>
    <x v="2"/>
    <x v="1"/>
    <s v="C"/>
    <x v="1"/>
    <x v="3"/>
    <x v="3"/>
    <x v="1"/>
    <n v="1"/>
    <n v="0"/>
    <x v="2"/>
    <s v="With Family"/>
    <x v="0"/>
    <s v="no"/>
  </r>
  <r>
    <s v="Abelson"/>
    <s v=" Mrs"/>
    <s v=" Hannah"/>
    <x v="1"/>
    <x v="1"/>
    <n v="28"/>
    <x v="2"/>
    <x v="1"/>
    <s v="C"/>
    <x v="1"/>
    <x v="3"/>
    <x v="3"/>
    <x v="1"/>
    <n v="1"/>
    <n v="0"/>
    <x v="2"/>
    <s v="With Family"/>
    <x v="1"/>
    <s v="yes"/>
  </r>
  <r>
    <s v="AbÄ«-Al-MunÃ "/>
    <s v=" Mr"/>
    <s v=" NÄsÄ«f QÄsim"/>
    <x v="0"/>
    <x v="0"/>
    <n v="27"/>
    <x v="2"/>
    <x v="0"/>
    <s v="C"/>
    <x v="1"/>
    <x v="4"/>
    <x v="4"/>
    <x v="1"/>
    <n v="0"/>
    <n v="0"/>
    <x v="0"/>
    <s v="Alone"/>
    <x v="1"/>
    <s v="yes"/>
  </r>
  <r>
    <s v="Abrahamsson"/>
    <s v=" Mr"/>
    <s v=" Abraham August Johannes"/>
    <x v="0"/>
    <x v="0"/>
    <n v="20"/>
    <x v="2"/>
    <x v="0"/>
    <s v="S"/>
    <x v="0"/>
    <x v="5"/>
    <x v="5"/>
    <x v="0"/>
    <n v="0"/>
    <n v="0"/>
    <x v="0"/>
    <s v="Alone"/>
    <x v="1"/>
    <s v="yes"/>
  </r>
  <r>
    <s v="Ã…dahl"/>
    <s v=" Mr"/>
    <s v=" Mauritz"/>
    <x v="0"/>
    <x v="0"/>
    <n v="30"/>
    <x v="2"/>
    <x v="0"/>
    <s v="S"/>
    <x v="0"/>
    <x v="6"/>
    <x v="6"/>
    <x v="0"/>
    <n v="0"/>
    <n v="0"/>
    <x v="0"/>
    <s v="Alone"/>
    <x v="0"/>
    <s v="no"/>
  </r>
  <r>
    <s v="Adams"/>
    <s v=" Mr"/>
    <s v=" John"/>
    <x v="0"/>
    <x v="0"/>
    <n v="27"/>
    <x v="2"/>
    <x v="0"/>
    <s v="S"/>
    <x v="0"/>
    <x v="1"/>
    <x v="7"/>
    <x v="0"/>
    <n v="0"/>
    <n v="0"/>
    <x v="0"/>
    <s v="Alone"/>
    <x v="0"/>
    <s v="no"/>
  </r>
  <r>
    <s v="Ahlin"/>
    <s v=" Mrs"/>
    <s v=" Johanna Persdotter"/>
    <x v="1"/>
    <x v="1"/>
    <n v="40"/>
    <x v="0"/>
    <x v="0"/>
    <s v="S"/>
    <x v="0"/>
    <x v="6"/>
    <x v="8"/>
    <x v="0"/>
    <n v="1"/>
    <n v="0"/>
    <x v="2"/>
    <s v="With Family"/>
    <x v="0"/>
    <s v="no"/>
  </r>
  <r>
    <s v="Aks"/>
    <s v=" Master"/>
    <s v=" Frank Philip"/>
    <x v="0"/>
    <x v="0"/>
    <n v="0.83333333330000003"/>
    <x v="3"/>
    <x v="0"/>
    <s v="S"/>
    <x v="0"/>
    <x v="1"/>
    <x v="9"/>
    <x v="0"/>
    <n v="0"/>
    <n v="1"/>
    <x v="2"/>
    <s v="With Family"/>
    <x v="1"/>
    <s v="yes"/>
  </r>
  <r>
    <s v="Aks"/>
    <s v=" Mrs"/>
    <s v=" Leah"/>
    <x v="1"/>
    <x v="1"/>
    <n v="18"/>
    <x v="2"/>
    <x v="0"/>
    <s v="S"/>
    <x v="0"/>
    <x v="1"/>
    <x v="9"/>
    <x v="0"/>
    <n v="0"/>
    <n v="1"/>
    <x v="2"/>
    <s v="With Family"/>
    <x v="1"/>
    <s v="yes"/>
  </r>
  <r>
    <s v="Aldworth"/>
    <s v=" Mr"/>
    <s v=" Augustus Henry"/>
    <x v="0"/>
    <x v="0"/>
    <n v="35"/>
    <x v="2"/>
    <x v="1"/>
    <s v="S"/>
    <x v="0"/>
    <x v="1"/>
    <x v="10"/>
    <x v="0"/>
    <n v="0"/>
    <n v="0"/>
    <x v="0"/>
    <s v="Alone"/>
    <x v="0"/>
    <s v="no"/>
  </r>
  <r>
    <s v="Alexander"/>
    <s v=" Mr"/>
    <s v=" William Albert"/>
    <x v="0"/>
    <x v="0"/>
    <n v="25"/>
    <x v="2"/>
    <x v="0"/>
    <s v="S"/>
    <x v="0"/>
    <x v="1"/>
    <x v="11"/>
    <x v="0"/>
    <n v="0"/>
    <n v="0"/>
    <x v="0"/>
    <s v="Alone"/>
    <x v="0"/>
    <s v="no"/>
  </r>
  <r>
    <s v="AlhomÃ¤ki"/>
    <s v=" Mr"/>
    <s v=" Ilmari Rudolf"/>
    <x v="0"/>
    <x v="0"/>
    <n v="19"/>
    <x v="2"/>
    <x v="0"/>
    <s v="S"/>
    <x v="0"/>
    <x v="5"/>
    <x v="5"/>
    <x v="0"/>
    <n v="0"/>
    <n v="0"/>
    <x v="0"/>
    <s v="Alone"/>
    <x v="0"/>
    <s v="no"/>
  </r>
  <r>
    <s v="Ali"/>
    <s v=" Mr"/>
    <s v=" Ahmed"/>
    <x v="0"/>
    <x v="0"/>
    <n v="24"/>
    <x v="2"/>
    <x v="0"/>
    <s v="S"/>
    <x v="0"/>
    <x v="7"/>
    <x v="12"/>
    <x v="0"/>
    <n v="0"/>
    <n v="0"/>
    <x v="0"/>
    <s v="Alone"/>
    <x v="0"/>
    <s v="no"/>
  </r>
  <r>
    <s v="Ali"/>
    <s v=" Mr"/>
    <s v=" William"/>
    <x v="0"/>
    <x v="0"/>
    <n v="25"/>
    <x v="2"/>
    <x v="0"/>
    <s v="S"/>
    <x v="0"/>
    <x v="7"/>
    <x v="12"/>
    <x v="0"/>
    <n v="0"/>
    <n v="0"/>
    <x v="0"/>
    <s v="Alone"/>
    <x v="0"/>
    <s v="no"/>
  </r>
  <r>
    <s v="Allen"/>
    <s v=" Miss"/>
    <s v=" Elisabeth Walton"/>
    <x v="1"/>
    <x v="1"/>
    <n v="29"/>
    <x v="2"/>
    <x v="2"/>
    <s v="S"/>
    <x v="0"/>
    <x v="0"/>
    <x v="13"/>
    <x v="2"/>
    <n v="0"/>
    <n v="0"/>
    <x v="0"/>
    <s v="Alone"/>
    <x v="1"/>
    <s v="yes"/>
  </r>
  <r>
    <s v="Allen"/>
    <s v=" Mr"/>
    <s v=" William Henry"/>
    <x v="0"/>
    <x v="0"/>
    <n v="39"/>
    <x v="0"/>
    <x v="0"/>
    <s v="S"/>
    <x v="0"/>
    <x v="1"/>
    <x v="7"/>
    <x v="0"/>
    <n v="0"/>
    <n v="0"/>
    <x v="0"/>
    <s v="Alone"/>
    <x v="0"/>
    <s v="no"/>
  </r>
  <r>
    <s v="Allison"/>
    <s v=" Master"/>
    <s v=" Hudson Trevor"/>
    <x v="0"/>
    <x v="0"/>
    <n v="0.91666666669999997"/>
    <x v="3"/>
    <x v="2"/>
    <s v="S"/>
    <x v="0"/>
    <x v="8"/>
    <x v="14"/>
    <x v="2"/>
    <n v="1"/>
    <n v="2"/>
    <x v="3"/>
    <s v="With Family"/>
    <x v="1"/>
    <s v="yes"/>
  </r>
  <r>
    <s v="Allison"/>
    <s v=" Miss"/>
    <s v=" Helen Loraine"/>
    <x v="1"/>
    <x v="1"/>
    <n v="2"/>
    <x v="3"/>
    <x v="2"/>
    <s v="S"/>
    <x v="0"/>
    <x v="8"/>
    <x v="14"/>
    <x v="2"/>
    <n v="1"/>
    <n v="2"/>
    <x v="3"/>
    <s v="With Family"/>
    <x v="0"/>
    <s v="no"/>
  </r>
  <r>
    <s v="Allison"/>
    <s v=" Mr"/>
    <s v=" Hudson Joshua Creighton"/>
    <x v="0"/>
    <x v="0"/>
    <n v="30"/>
    <x v="2"/>
    <x v="2"/>
    <s v="S"/>
    <x v="0"/>
    <x v="8"/>
    <x v="14"/>
    <x v="2"/>
    <n v="1"/>
    <n v="2"/>
    <x v="3"/>
    <s v="With Family"/>
    <x v="0"/>
    <s v="no"/>
  </r>
  <r>
    <s v="Allison"/>
    <s v=" Mrs"/>
    <s v=" Bessie Waldo"/>
    <x v="1"/>
    <x v="1"/>
    <n v="25"/>
    <x v="2"/>
    <x v="2"/>
    <s v="S"/>
    <x v="0"/>
    <x v="0"/>
    <x v="14"/>
    <x v="2"/>
    <n v="1"/>
    <n v="2"/>
    <x v="3"/>
    <s v="With Family"/>
    <x v="0"/>
    <s v="no"/>
  </r>
  <r>
    <s v="Allum"/>
    <s v=" Mr"/>
    <s v=" Owen George"/>
    <x v="0"/>
    <x v="0"/>
    <n v="18"/>
    <x v="2"/>
    <x v="0"/>
    <s v="S"/>
    <x v="0"/>
    <x v="1"/>
    <x v="15"/>
    <x v="0"/>
    <n v="0"/>
    <n v="0"/>
    <x v="0"/>
    <s v="Alone"/>
    <x v="0"/>
    <s v="no"/>
  </r>
  <r>
    <s v="Al-MunÃ "/>
    <s v=" Mr"/>
    <s v=" FarÄ«d Husayn QÄsim"/>
    <x v="0"/>
    <x v="0"/>
    <n v="19"/>
    <x v="2"/>
    <x v="0"/>
    <s v="C"/>
    <x v="1"/>
    <x v="4"/>
    <x v="16"/>
    <x v="0"/>
    <n v="0"/>
    <n v="0"/>
    <x v="0"/>
    <s v="Alone"/>
    <x v="0"/>
    <s v="no"/>
  </r>
  <r>
    <s v="Andersen-Jensen"/>
    <s v=" Miss"/>
    <s v=" Carla Christine Nielsine"/>
    <x v="1"/>
    <x v="1"/>
    <n v="19"/>
    <x v="2"/>
    <x v="0"/>
    <s v="S"/>
    <x v="0"/>
    <x v="9"/>
    <x v="17"/>
    <x v="0"/>
    <n v="1"/>
    <n v="0"/>
    <x v="2"/>
    <s v="With Family"/>
    <x v="1"/>
    <s v="yes"/>
  </r>
  <r>
    <s v="Andersen"/>
    <s v=" Mr"/>
    <s v=" Albert Karvin"/>
    <x v="0"/>
    <x v="0"/>
    <n v="33"/>
    <x v="2"/>
    <x v="0"/>
    <s v="S"/>
    <x v="0"/>
    <x v="2"/>
    <x v="18"/>
    <x v="1"/>
    <n v="0"/>
    <n v="0"/>
    <x v="0"/>
    <s v="Alone"/>
    <x v="0"/>
    <s v="no"/>
  </r>
  <r>
    <s v="Anderson"/>
    <s v=" Mr"/>
    <s v=" Harry"/>
    <x v="0"/>
    <x v="0"/>
    <n v="47"/>
    <x v="0"/>
    <x v="2"/>
    <s v="S"/>
    <x v="0"/>
    <x v="0"/>
    <x v="19"/>
    <x v="1"/>
    <n v="0"/>
    <n v="0"/>
    <x v="0"/>
    <s v="Alone"/>
    <x v="1"/>
    <s v="yes"/>
  </r>
  <r>
    <s v="Andersson"/>
    <s v=" Master"/>
    <s v=" Sigvard Harald Elias"/>
    <x v="0"/>
    <x v="0"/>
    <n v="4"/>
    <x v="3"/>
    <x v="0"/>
    <s v="S"/>
    <x v="0"/>
    <x v="6"/>
    <x v="20"/>
    <x v="1"/>
    <n v="4"/>
    <n v="2"/>
    <x v="4"/>
    <s v="With Family"/>
    <x v="0"/>
    <s v="no"/>
  </r>
  <r>
    <s v="Andersson"/>
    <s v=" Miss"/>
    <s v=" Ebba Iris Alfrida"/>
    <x v="1"/>
    <x v="1"/>
    <n v="6"/>
    <x v="3"/>
    <x v="0"/>
    <s v="S"/>
    <x v="0"/>
    <x v="6"/>
    <x v="20"/>
    <x v="1"/>
    <n v="4"/>
    <n v="2"/>
    <x v="4"/>
    <s v="With Family"/>
    <x v="0"/>
    <s v="no"/>
  </r>
  <r>
    <s v="Andersson"/>
    <s v=" Miss"/>
    <s v=" Ellis Anna Maria"/>
    <x v="1"/>
    <x v="1"/>
    <n v="2"/>
    <x v="3"/>
    <x v="0"/>
    <s v="S"/>
    <x v="0"/>
    <x v="6"/>
    <x v="20"/>
    <x v="1"/>
    <n v="4"/>
    <n v="2"/>
    <x v="4"/>
    <s v="With Family"/>
    <x v="0"/>
    <s v="no"/>
  </r>
  <r>
    <s v="Andersson"/>
    <s v=" Miss"/>
    <s v=" Erna Alexandra"/>
    <x v="1"/>
    <x v="1"/>
    <n v="16"/>
    <x v="1"/>
    <x v="0"/>
    <s v="S"/>
    <x v="0"/>
    <x v="5"/>
    <x v="5"/>
    <x v="0"/>
    <n v="4"/>
    <n v="2"/>
    <x v="4"/>
    <s v="With Family"/>
    <x v="1"/>
    <s v="yes"/>
  </r>
  <r>
    <s v="Andersson"/>
    <s v=" Miss"/>
    <s v=" Ida Augusta Margareta"/>
    <x v="1"/>
    <x v="1"/>
    <n v="38"/>
    <x v="0"/>
    <x v="0"/>
    <s v="S"/>
    <x v="0"/>
    <x v="6"/>
    <x v="21"/>
    <x v="0"/>
    <n v="4"/>
    <n v="2"/>
    <x v="4"/>
    <s v="With Family"/>
    <x v="0"/>
    <s v="no"/>
  </r>
  <r>
    <s v="Andersson"/>
    <s v=" Miss"/>
    <s v=" Ingeborg Constanzia"/>
    <x v="1"/>
    <x v="1"/>
    <n v="9"/>
    <x v="1"/>
    <x v="0"/>
    <s v="S"/>
    <x v="0"/>
    <x v="6"/>
    <x v="20"/>
    <x v="1"/>
    <n v="4"/>
    <n v="2"/>
    <x v="4"/>
    <s v="With Family"/>
    <x v="0"/>
    <s v="no"/>
  </r>
  <r>
    <s v="Andersson"/>
    <s v=" Miss"/>
    <s v=" Sigrid Elisabeth"/>
    <x v="1"/>
    <x v="1"/>
    <n v="11"/>
    <x v="1"/>
    <x v="0"/>
    <s v="S"/>
    <x v="0"/>
    <x v="6"/>
    <x v="20"/>
    <x v="1"/>
    <n v="4"/>
    <n v="2"/>
    <x v="4"/>
    <s v="With Family"/>
    <x v="0"/>
    <s v="no"/>
  </r>
  <r>
    <s v="Andersson"/>
    <s v=" Mr"/>
    <s v=" Anders Johan"/>
    <x v="0"/>
    <x v="0"/>
    <n v="39"/>
    <x v="0"/>
    <x v="0"/>
    <s v="S"/>
    <x v="0"/>
    <x v="6"/>
    <x v="20"/>
    <x v="1"/>
    <n v="1"/>
    <n v="5"/>
    <x v="4"/>
    <s v="With Family"/>
    <x v="0"/>
    <s v="no"/>
  </r>
  <r>
    <s v="Andersson"/>
    <s v=" Mr"/>
    <s v=" Johan Samuel"/>
    <x v="0"/>
    <x v="0"/>
    <n v="26"/>
    <x v="2"/>
    <x v="0"/>
    <s v="S"/>
    <x v="0"/>
    <x v="6"/>
    <x v="21"/>
    <x v="0"/>
    <n v="0"/>
    <n v="0"/>
    <x v="0"/>
    <s v="Alone"/>
    <x v="0"/>
    <s v="no"/>
  </r>
  <r>
    <s v="Andersson"/>
    <s v=" Mrs"/>
    <s v=" Alfrida Konstantia Brogren"/>
    <x v="1"/>
    <x v="1"/>
    <n v="39"/>
    <x v="0"/>
    <x v="0"/>
    <s v="S"/>
    <x v="0"/>
    <x v="6"/>
    <x v="20"/>
    <x v="1"/>
    <n v="1"/>
    <n v="5"/>
    <x v="4"/>
    <s v="With Family"/>
    <x v="0"/>
    <s v="no"/>
  </r>
  <r>
    <s v="Andreasson"/>
    <s v=" Mr"/>
    <s v=" PÃ¥l Edvin"/>
    <x v="0"/>
    <x v="0"/>
    <n v="20"/>
    <x v="2"/>
    <x v="0"/>
    <s v="S"/>
    <x v="0"/>
    <x v="6"/>
    <x v="17"/>
    <x v="0"/>
    <n v="0"/>
    <n v="0"/>
    <x v="0"/>
    <s v="Alone"/>
    <x v="0"/>
    <s v="no"/>
  </r>
  <r>
    <s v="Andrew"/>
    <s v=" Mr"/>
    <s v=" Edgar Samuel"/>
    <x v="0"/>
    <x v="0"/>
    <n v="17"/>
    <x v="1"/>
    <x v="1"/>
    <s v="S"/>
    <x v="0"/>
    <x v="7"/>
    <x v="22"/>
    <x v="0"/>
    <n v="0"/>
    <n v="0"/>
    <x v="0"/>
    <s v="Alone"/>
    <x v="0"/>
    <s v="no"/>
  </r>
  <r>
    <s v="Andrew"/>
    <s v=" Mr"/>
    <s v=" Frank Thomas"/>
    <x v="0"/>
    <x v="0"/>
    <n v="27"/>
    <x v="2"/>
    <x v="1"/>
    <s v="S"/>
    <x v="0"/>
    <x v="1"/>
    <x v="23"/>
    <x v="0"/>
    <n v="0"/>
    <n v="0"/>
    <x v="0"/>
    <s v="Alone"/>
    <x v="0"/>
    <s v="no"/>
  </r>
  <r>
    <s v="Andrews"/>
    <s v=" Miss"/>
    <s v=" Kornelia Theodosia"/>
    <x v="1"/>
    <x v="1"/>
    <n v="62"/>
    <x v="4"/>
    <x v="2"/>
    <s v="C"/>
    <x v="1"/>
    <x v="0"/>
    <x v="24"/>
    <x v="3"/>
    <n v="1"/>
    <n v="0"/>
    <x v="2"/>
    <s v="With Family"/>
    <x v="1"/>
    <s v="yes"/>
  </r>
  <r>
    <s v="Andrews"/>
    <s v=" Mr"/>
    <s v=" Thomas"/>
    <x v="0"/>
    <x v="0"/>
    <n v="39"/>
    <x v="0"/>
    <x v="2"/>
    <s v="B"/>
    <x v="2"/>
    <x v="10"/>
    <x v="25"/>
    <x v="1"/>
    <n v="0"/>
    <n v="0"/>
    <x v="0"/>
    <s v="Alone"/>
    <x v="0"/>
    <s v="no"/>
  </r>
  <r>
    <s v="Angheloff"/>
    <s v=" Mr"/>
    <s v=" Minko"/>
    <x v="0"/>
    <x v="0"/>
    <n v="26"/>
    <x v="2"/>
    <x v="0"/>
    <s v="S"/>
    <x v="0"/>
    <x v="11"/>
    <x v="26"/>
    <x v="0"/>
    <n v="0"/>
    <n v="0"/>
    <x v="0"/>
    <s v="Alone"/>
    <x v="0"/>
    <s v="no"/>
  </r>
  <r>
    <s v="Angle"/>
    <s v=" Mrs"/>
    <s v=" Florence Agnes"/>
    <x v="1"/>
    <x v="1"/>
    <n v="36"/>
    <x v="0"/>
    <x v="1"/>
    <s v="S"/>
    <x v="0"/>
    <x v="1"/>
    <x v="27"/>
    <x v="1"/>
    <n v="1"/>
    <n v="0"/>
    <x v="2"/>
    <s v="With Family"/>
    <x v="1"/>
    <s v="yes"/>
  </r>
  <r>
    <s v="Angle"/>
    <s v=" Mr"/>
    <s v=" William"/>
    <x v="0"/>
    <x v="0"/>
    <n v="31"/>
    <x v="2"/>
    <x v="1"/>
    <s v="S"/>
    <x v="0"/>
    <x v="1"/>
    <x v="27"/>
    <x v="1"/>
    <n v="1"/>
    <n v="0"/>
    <x v="2"/>
    <s v="With Family"/>
    <x v="0"/>
    <s v="no"/>
  </r>
  <r>
    <s v="Appleton"/>
    <s v=" Mrs"/>
    <s v=" Charlotte"/>
    <x v="1"/>
    <x v="1"/>
    <n v="53"/>
    <x v="0"/>
    <x v="2"/>
    <s v="S"/>
    <x v="0"/>
    <x v="0"/>
    <x v="28"/>
    <x v="3"/>
    <n v="2"/>
    <n v="0"/>
    <x v="1"/>
    <s v="With Family"/>
    <x v="1"/>
    <s v="yes"/>
  </r>
  <r>
    <s v="Arnold-Franchi"/>
    <s v=" Mr"/>
    <s v=" Josef"/>
    <x v="0"/>
    <x v="0"/>
    <n v="25"/>
    <x v="2"/>
    <x v="0"/>
    <s v="S"/>
    <x v="0"/>
    <x v="12"/>
    <x v="29"/>
    <x v="1"/>
    <n v="1"/>
    <n v="0"/>
    <x v="2"/>
    <s v="With Family"/>
    <x v="0"/>
    <s v="no"/>
  </r>
  <r>
    <s v="Arnold-Franchi"/>
    <s v=" Mrs"/>
    <s v=" Josefine"/>
    <x v="1"/>
    <x v="1"/>
    <n v="18"/>
    <x v="2"/>
    <x v="0"/>
    <s v="S"/>
    <x v="0"/>
    <x v="12"/>
    <x v="29"/>
    <x v="1"/>
    <n v="1"/>
    <n v="0"/>
    <x v="2"/>
    <s v="With Family"/>
    <x v="0"/>
    <s v="no"/>
  </r>
  <r>
    <s v="Aronsson"/>
    <s v=" Mr"/>
    <s v=" Ernst Axel Algot"/>
    <x v="0"/>
    <x v="0"/>
    <n v="25"/>
    <x v="2"/>
    <x v="0"/>
    <s v="S"/>
    <x v="0"/>
    <x v="6"/>
    <x v="21"/>
    <x v="0"/>
    <n v="0"/>
    <n v="0"/>
    <x v="0"/>
    <s v="Alone"/>
    <x v="0"/>
    <s v="no"/>
  </r>
  <r>
    <s v="Artagaveytia"/>
    <s v=" Mr"/>
    <s v=" Ramon"/>
    <x v="0"/>
    <x v="0"/>
    <n v="71"/>
    <x v="4"/>
    <x v="2"/>
    <s v="C"/>
    <x v="1"/>
    <x v="7"/>
    <x v="30"/>
    <x v="3"/>
    <n v="0"/>
    <n v="0"/>
    <x v="0"/>
    <s v="Alone"/>
    <x v="0"/>
    <s v="no"/>
  </r>
  <r>
    <s v="Ashby"/>
    <s v=" Mr"/>
    <s v=" John"/>
    <x v="0"/>
    <x v="0"/>
    <n v="57"/>
    <x v="4"/>
    <x v="1"/>
    <s v="S"/>
    <x v="0"/>
    <x v="1"/>
    <x v="10"/>
    <x v="0"/>
    <n v="0"/>
    <n v="0"/>
    <x v="0"/>
    <s v="Alone"/>
    <x v="0"/>
    <s v="no"/>
  </r>
  <r>
    <s v="Asim"/>
    <s v=" Mr"/>
    <s v=" Adola"/>
    <x v="0"/>
    <x v="0"/>
    <n v="35"/>
    <x v="2"/>
    <x v="0"/>
    <s v="S"/>
    <x v="0"/>
    <x v="7"/>
    <x v="12"/>
    <x v="0"/>
    <n v="0"/>
    <n v="0"/>
    <x v="0"/>
    <s v="Alone"/>
    <x v="0"/>
    <s v="no"/>
  </r>
  <r>
    <s v="Asplund"/>
    <s v=" Master"/>
    <s v=" Carl Edgar"/>
    <x v="0"/>
    <x v="0"/>
    <n v="5"/>
    <x v="3"/>
    <x v="0"/>
    <s v="S"/>
    <x v="0"/>
    <x v="6"/>
    <x v="31"/>
    <x v="1"/>
    <n v="4"/>
    <n v="2"/>
    <x v="4"/>
    <s v="With Family"/>
    <x v="0"/>
    <s v="no"/>
  </r>
  <r>
    <s v="Asplund"/>
    <s v=" Master"/>
    <s v=" Clarence Gustaf Hugo"/>
    <x v="0"/>
    <x v="0"/>
    <n v="9"/>
    <x v="1"/>
    <x v="0"/>
    <s v="S"/>
    <x v="0"/>
    <x v="6"/>
    <x v="31"/>
    <x v="1"/>
    <n v="4"/>
    <n v="2"/>
    <x v="4"/>
    <s v="With Family"/>
    <x v="0"/>
    <s v="no"/>
  </r>
  <r>
    <s v="Asplund"/>
    <s v=" Master"/>
    <s v=" Edvin Rojj Felix"/>
    <x v="0"/>
    <x v="0"/>
    <n v="3"/>
    <x v="3"/>
    <x v="0"/>
    <s v="S"/>
    <x v="0"/>
    <x v="6"/>
    <x v="31"/>
    <x v="1"/>
    <n v="4"/>
    <n v="2"/>
    <x v="4"/>
    <s v="With Family"/>
    <x v="1"/>
    <s v="yes"/>
  </r>
  <r>
    <s v="Asplund"/>
    <s v=" Master"/>
    <s v=" Filip Oscar"/>
    <x v="0"/>
    <x v="0"/>
    <n v="13"/>
    <x v="1"/>
    <x v="0"/>
    <s v="S"/>
    <x v="0"/>
    <x v="6"/>
    <x v="31"/>
    <x v="1"/>
    <n v="4"/>
    <n v="2"/>
    <x v="4"/>
    <s v="With Family"/>
    <x v="0"/>
    <s v="no"/>
  </r>
  <r>
    <s v="Asplund"/>
    <s v=" Miss"/>
    <s v=" Lillian Gertrud"/>
    <x v="1"/>
    <x v="1"/>
    <n v="5"/>
    <x v="3"/>
    <x v="0"/>
    <s v="S"/>
    <x v="0"/>
    <x v="6"/>
    <x v="31"/>
    <x v="1"/>
    <n v="4"/>
    <n v="2"/>
    <x v="4"/>
    <s v="With Family"/>
    <x v="1"/>
    <s v="yes"/>
  </r>
  <r>
    <s v="Asplund"/>
    <s v=" Mr"/>
    <s v=" Carl Oscar Vilhelm Gustafsson"/>
    <x v="0"/>
    <x v="0"/>
    <n v="40"/>
    <x v="0"/>
    <x v="0"/>
    <s v="S"/>
    <x v="0"/>
    <x v="6"/>
    <x v="31"/>
    <x v="1"/>
    <n v="1"/>
    <n v="5"/>
    <x v="4"/>
    <s v="With Family"/>
    <x v="0"/>
    <s v="no"/>
  </r>
  <r>
    <s v="Asplund"/>
    <s v=" Mr"/>
    <s v=" Johan Charles"/>
    <x v="0"/>
    <x v="0"/>
    <n v="23"/>
    <x v="2"/>
    <x v="0"/>
    <s v="S"/>
    <x v="0"/>
    <x v="6"/>
    <x v="32"/>
    <x v="0"/>
    <n v="0"/>
    <n v="0"/>
    <x v="0"/>
    <s v="Alone"/>
    <x v="1"/>
    <s v="yes"/>
  </r>
  <r>
    <s v="Asplund"/>
    <s v=" Mrs"/>
    <s v=" Selma Augusta Emilia"/>
    <x v="1"/>
    <x v="1"/>
    <n v="38"/>
    <x v="0"/>
    <x v="0"/>
    <s v="S"/>
    <x v="0"/>
    <x v="6"/>
    <x v="31"/>
    <x v="1"/>
    <n v="1"/>
    <n v="5"/>
    <x v="4"/>
    <s v="With Family"/>
    <x v="1"/>
    <s v="yes"/>
  </r>
  <r>
    <s v="Assaf"/>
    <s v=" Mrs"/>
    <s v=" Mariana"/>
    <x v="1"/>
    <x v="1"/>
    <n v="45"/>
    <x v="0"/>
    <x v="0"/>
    <s v="C"/>
    <x v="1"/>
    <x v="4"/>
    <x v="33"/>
    <x v="0"/>
    <n v="0"/>
    <n v="0"/>
    <x v="0"/>
    <s v="Alone"/>
    <x v="1"/>
    <s v="yes"/>
  </r>
  <r>
    <s v="Assam"/>
    <s v=" Mr"/>
    <s v=" Ali"/>
    <x v="0"/>
    <x v="0"/>
    <n v="23"/>
    <x v="2"/>
    <x v="0"/>
    <s v="S"/>
    <x v="0"/>
    <x v="7"/>
    <x v="12"/>
    <x v="0"/>
    <n v="0"/>
    <n v="0"/>
    <x v="0"/>
    <s v="Alone"/>
    <x v="0"/>
    <s v="no"/>
  </r>
  <r>
    <s v="Astor"/>
    <s v=" Colonel"/>
    <s v=" John Jacob"/>
    <x v="0"/>
    <x v="0"/>
    <n v="47"/>
    <x v="0"/>
    <x v="2"/>
    <s v="C"/>
    <x v="1"/>
    <x v="0"/>
    <x v="34"/>
    <x v="2"/>
    <n v="1"/>
    <n v="0"/>
    <x v="2"/>
    <s v="With Family"/>
    <x v="0"/>
    <s v="no"/>
  </r>
  <r>
    <s v="Astor"/>
    <s v=" Mrs"/>
    <s v=" Madeleine Talmage"/>
    <x v="1"/>
    <x v="1"/>
    <n v="18"/>
    <x v="2"/>
    <x v="2"/>
    <s v="C"/>
    <x v="1"/>
    <x v="0"/>
    <x v="34"/>
    <x v="2"/>
    <n v="1"/>
    <n v="0"/>
    <x v="2"/>
    <s v="With Family"/>
    <x v="1"/>
    <s v="yes"/>
  </r>
  <r>
    <s v="Attalah"/>
    <s v=" Miss"/>
    <s v=" Malake"/>
    <x v="1"/>
    <x v="1"/>
    <n v="17"/>
    <x v="1"/>
    <x v="0"/>
    <s v="C"/>
    <x v="1"/>
    <x v="4"/>
    <x v="35"/>
    <x v="0"/>
    <n v="0"/>
    <n v="0"/>
    <x v="0"/>
    <s v="Alone"/>
    <x v="0"/>
    <s v="no"/>
  </r>
  <r>
    <s v="Attala"/>
    <s v=" Mr"/>
    <s v=" Sleiman"/>
    <x v="0"/>
    <x v="0"/>
    <n v="27"/>
    <x v="2"/>
    <x v="0"/>
    <s v="C"/>
    <x v="1"/>
    <x v="8"/>
    <x v="33"/>
    <x v="0"/>
    <n v="0"/>
    <n v="0"/>
    <x v="0"/>
    <s v="Alone"/>
    <x v="0"/>
    <s v="no"/>
  </r>
  <r>
    <s v="Aubart"/>
    <s v=" Mme"/>
    <s v=" LÃ©ontine Pauline"/>
    <x v="1"/>
    <x v="1"/>
    <n v="24"/>
    <x v="2"/>
    <x v="2"/>
    <s v="C"/>
    <x v="1"/>
    <x v="3"/>
    <x v="36"/>
    <x v="3"/>
    <n v="0"/>
    <n v="0"/>
    <x v="0"/>
    <s v="Alone"/>
    <x v="1"/>
    <s v="yes"/>
  </r>
  <r>
    <s v="Augustsson"/>
    <s v=" Mr"/>
    <s v=" Albert"/>
    <x v="0"/>
    <x v="0"/>
    <n v="23"/>
    <x v="2"/>
    <x v="0"/>
    <s v="S"/>
    <x v="0"/>
    <x v="6"/>
    <x v="17"/>
    <x v="0"/>
    <n v="0"/>
    <n v="0"/>
    <x v="0"/>
    <s v="Alone"/>
    <x v="0"/>
    <s v="no"/>
  </r>
  <r>
    <s v="Ayoub Daher"/>
    <s v=" Miss"/>
    <s v=" Banoura"/>
    <x v="1"/>
    <x v="1"/>
    <n v="15"/>
    <x v="1"/>
    <x v="0"/>
    <s v="C"/>
    <x v="1"/>
    <x v="4"/>
    <x v="16"/>
    <x v="0"/>
    <n v="0"/>
    <n v="0"/>
    <x v="0"/>
    <s v="Alone"/>
    <x v="1"/>
    <s v="yes"/>
  </r>
  <r>
    <s v="BackstrÃ¶m"/>
    <s v=" Mr"/>
    <s v=" Karl Alfred"/>
    <x v="0"/>
    <x v="0"/>
    <n v="32"/>
    <x v="2"/>
    <x v="0"/>
    <s v="S"/>
    <x v="0"/>
    <x v="5"/>
    <x v="37"/>
    <x v="1"/>
    <n v="1"/>
    <n v="0"/>
    <x v="2"/>
    <s v="With Family"/>
    <x v="0"/>
    <s v="no"/>
  </r>
  <r>
    <s v="BackstrÃ¶m"/>
    <s v=" Mrs"/>
    <s v=" Maria Mathilda"/>
    <x v="1"/>
    <x v="1"/>
    <n v="33"/>
    <x v="2"/>
    <x v="0"/>
    <s v="S"/>
    <x v="0"/>
    <x v="5"/>
    <x v="37"/>
    <x v="1"/>
    <n v="3"/>
    <n v="0"/>
    <x v="3"/>
    <s v="With Family"/>
    <x v="1"/>
    <s v="yes"/>
  </r>
  <r>
    <s v="Baclini"/>
    <s v=" Miss"/>
    <s v=" Eugenie"/>
    <x v="1"/>
    <x v="1"/>
    <n v="3"/>
    <x v="3"/>
    <x v="0"/>
    <s v="C"/>
    <x v="1"/>
    <x v="4"/>
    <x v="38"/>
    <x v="1"/>
    <n v="2"/>
    <n v="1"/>
    <x v="3"/>
    <s v="With Family"/>
    <x v="1"/>
    <s v="yes"/>
  </r>
  <r>
    <s v="Baclini"/>
    <s v=" Miss"/>
    <s v=" Helene Barbara"/>
    <x v="1"/>
    <x v="1"/>
    <n v="0.75"/>
    <x v="3"/>
    <x v="0"/>
    <s v="C"/>
    <x v="1"/>
    <x v="4"/>
    <x v="38"/>
    <x v="1"/>
    <n v="2"/>
    <n v="1"/>
    <x v="3"/>
    <s v="With Family"/>
    <x v="1"/>
    <s v="yes"/>
  </r>
  <r>
    <s v="Baclini"/>
    <s v=" Miss"/>
    <s v=" Marie Catherine"/>
    <x v="1"/>
    <x v="1"/>
    <n v="5"/>
    <x v="3"/>
    <x v="0"/>
    <s v="C"/>
    <x v="1"/>
    <x v="4"/>
    <x v="38"/>
    <x v="1"/>
    <n v="2"/>
    <n v="1"/>
    <x v="3"/>
    <s v="With Family"/>
    <x v="1"/>
    <s v="yes"/>
  </r>
  <r>
    <s v="Baclini"/>
    <s v=" Mrs"/>
    <s v=" Latifa"/>
    <x v="1"/>
    <x v="1"/>
    <n v="23"/>
    <x v="2"/>
    <x v="0"/>
    <s v="C"/>
    <x v="1"/>
    <x v="4"/>
    <x v="38"/>
    <x v="1"/>
    <n v="0"/>
    <n v="3"/>
    <x v="3"/>
    <s v="With Family"/>
    <x v="1"/>
    <s v="yes"/>
  </r>
  <r>
    <s v="Badman"/>
    <s v=" Miss"/>
    <s v=" Emily Louisa"/>
    <x v="1"/>
    <x v="1"/>
    <n v="18"/>
    <x v="2"/>
    <x v="0"/>
    <s v="S"/>
    <x v="0"/>
    <x v="1"/>
    <x v="7"/>
    <x v="0"/>
    <n v="0"/>
    <n v="0"/>
    <x v="0"/>
    <s v="Alone"/>
    <x v="1"/>
    <s v="yes"/>
  </r>
  <r>
    <s v="Badt"/>
    <s v=" Mr"/>
    <s v=" Mohamed"/>
    <x v="0"/>
    <x v="0"/>
    <n v="40"/>
    <x v="0"/>
    <x v="0"/>
    <s v="C"/>
    <x v="1"/>
    <x v="4"/>
    <x v="33"/>
    <x v="0"/>
    <n v="0"/>
    <n v="0"/>
    <x v="0"/>
    <s v="Alone"/>
    <x v="0"/>
    <s v="no"/>
  </r>
  <r>
    <s v="Bailey"/>
    <s v=" Mr"/>
    <s v=" Percy"/>
    <x v="0"/>
    <x v="0"/>
    <n v="18"/>
    <x v="2"/>
    <x v="1"/>
    <s v="S"/>
    <x v="0"/>
    <x v="1"/>
    <x v="22"/>
    <x v="0"/>
    <n v="0"/>
    <n v="0"/>
    <x v="0"/>
    <s v="Alone"/>
    <x v="0"/>
    <s v="no"/>
  </r>
  <r>
    <s v="Bainbrigge"/>
    <s v=" Mr"/>
    <s v=" Charles Robert"/>
    <x v="0"/>
    <x v="0"/>
    <n v="22"/>
    <x v="2"/>
    <x v="1"/>
    <s v="S"/>
    <x v="0"/>
    <x v="13"/>
    <x v="23"/>
    <x v="0"/>
    <n v="0"/>
    <n v="0"/>
    <x v="0"/>
    <s v="Alone"/>
    <x v="0"/>
    <s v="no"/>
  </r>
  <r>
    <s v="Balkic"/>
    <s v=" Mr"/>
    <s v=" Cerin"/>
    <x v="0"/>
    <x v="0"/>
    <n v="26"/>
    <x v="2"/>
    <x v="0"/>
    <s v="S"/>
    <x v="0"/>
    <x v="14"/>
    <x v="26"/>
    <x v="0"/>
    <n v="0"/>
    <n v="0"/>
    <x v="0"/>
    <s v="Alone"/>
    <x v="0"/>
    <s v="no"/>
  </r>
  <r>
    <s v="Balls"/>
    <s v=" Mrs"/>
    <s v=" Ada E"/>
    <x v="1"/>
    <x v="1"/>
    <n v="36"/>
    <x v="0"/>
    <x v="1"/>
    <s v="S"/>
    <x v="0"/>
    <x v="1"/>
    <x v="10"/>
    <x v="0"/>
    <n v="0"/>
    <n v="0"/>
    <x v="0"/>
    <s v="Alone"/>
    <x v="1"/>
    <s v="yes"/>
  </r>
  <r>
    <s v="Banfield"/>
    <s v=" Mr"/>
    <s v=" Frederick James"/>
    <x v="0"/>
    <x v="0"/>
    <n v="28"/>
    <x v="2"/>
    <x v="1"/>
    <s v="S"/>
    <x v="0"/>
    <x v="1"/>
    <x v="23"/>
    <x v="0"/>
    <n v="0"/>
    <n v="0"/>
    <x v="0"/>
    <s v="Alone"/>
    <x v="0"/>
    <s v="no"/>
  </r>
  <r>
    <s v="Banski"/>
    <s v=" Mrs"/>
    <s v=" Mara"/>
    <x v="1"/>
    <x v="1"/>
    <n v="31"/>
    <x v="2"/>
    <x v="0"/>
    <s v="S"/>
    <x v="0"/>
    <x v="15"/>
    <x v="39"/>
    <x v="0"/>
    <n v="0"/>
    <n v="0"/>
    <x v="0"/>
    <s v="Alone"/>
    <x v="1"/>
    <s v="yes"/>
  </r>
  <r>
    <s v="Barbara"/>
    <s v=" Miss"/>
    <s v=" Saiide"/>
    <x v="1"/>
    <x v="1"/>
    <n v="18"/>
    <x v="2"/>
    <x v="0"/>
    <s v="C"/>
    <x v="1"/>
    <x v="4"/>
    <x v="40"/>
    <x v="0"/>
    <n v="0"/>
    <n v="1"/>
    <x v="2"/>
    <s v="With Family"/>
    <x v="0"/>
    <s v="no"/>
  </r>
  <r>
    <s v="Barbara"/>
    <s v=" Mrs"/>
    <s v=" Catherine David"/>
    <x v="1"/>
    <x v="1"/>
    <n v="45"/>
    <x v="0"/>
    <x v="0"/>
    <s v="C"/>
    <x v="1"/>
    <x v="4"/>
    <x v="40"/>
    <x v="0"/>
    <n v="0"/>
    <n v="1"/>
    <x v="2"/>
    <s v="With Family"/>
    <x v="0"/>
    <s v="no"/>
  </r>
  <r>
    <s v="Barber"/>
    <s v=" Miss"/>
    <s v=" Ellen Mary"/>
    <x v="1"/>
    <x v="1"/>
    <n v="27"/>
    <x v="2"/>
    <x v="2"/>
    <s v="S"/>
    <x v="0"/>
    <x v="1"/>
    <x v="41"/>
    <x v="3"/>
    <n v="0"/>
    <n v="0"/>
    <x v="0"/>
    <s v="Alone"/>
    <x v="1"/>
    <s v="yes"/>
  </r>
  <r>
    <s v="Barkworth"/>
    <s v=" Mr"/>
    <s v=" Algernon Henry"/>
    <x v="0"/>
    <x v="0"/>
    <n v="47"/>
    <x v="0"/>
    <x v="2"/>
    <s v="S"/>
    <x v="0"/>
    <x v="1"/>
    <x v="42"/>
    <x v="1"/>
    <n v="0"/>
    <n v="0"/>
    <x v="0"/>
    <s v="Alone"/>
    <x v="1"/>
    <s v="yes"/>
  </r>
  <r>
    <s v="Barry"/>
    <s v=" Miss"/>
    <s v=" Julia"/>
    <x v="1"/>
    <x v="1"/>
    <n v="30"/>
    <x v="2"/>
    <x v="0"/>
    <s v="Q"/>
    <x v="3"/>
    <x v="16"/>
    <x v="43"/>
    <x v="0"/>
    <n v="0"/>
    <n v="0"/>
    <x v="0"/>
    <s v="Alone"/>
    <x v="0"/>
    <s v="no"/>
  </r>
  <r>
    <s v="Barton"/>
    <s v=" Mr"/>
    <s v=" David John"/>
    <x v="0"/>
    <x v="0"/>
    <n v="22"/>
    <x v="2"/>
    <x v="0"/>
    <s v="S"/>
    <x v="0"/>
    <x v="1"/>
    <x v="7"/>
    <x v="0"/>
    <n v="0"/>
    <n v="0"/>
    <x v="0"/>
    <s v="Alone"/>
    <x v="0"/>
    <s v="no"/>
  </r>
  <r>
    <s v="Bassani"/>
    <s v=" Mrs"/>
    <s v=" Albina"/>
    <x v="1"/>
    <x v="1"/>
    <n v="32"/>
    <x v="2"/>
    <x v="2"/>
    <s v="C"/>
    <x v="1"/>
    <x v="17"/>
    <x v="44"/>
    <x v="3"/>
    <n v="0"/>
    <n v="0"/>
    <x v="0"/>
    <s v="Alone"/>
    <x v="1"/>
    <s v="yes"/>
  </r>
  <r>
    <s v="Bateman"/>
    <s v=" Revd"/>
    <s v=" Robert James"/>
    <x v="0"/>
    <x v="0"/>
    <n v="52"/>
    <x v="0"/>
    <x v="1"/>
    <s v="S"/>
    <x v="0"/>
    <x v="1"/>
    <x v="45"/>
    <x v="0"/>
    <n v="0"/>
    <n v="0"/>
    <x v="0"/>
    <s v="Alone"/>
    <x v="0"/>
    <s v="no"/>
  </r>
  <r>
    <s v="Batoshev"/>
    <s v=" Mr"/>
    <s v=" Hristo Lalev"/>
    <x v="0"/>
    <x v="0"/>
    <n v="23"/>
    <x v="2"/>
    <x v="0"/>
    <s v="S"/>
    <x v="0"/>
    <x v="11"/>
    <x v="26"/>
    <x v="0"/>
    <n v="0"/>
    <n v="0"/>
    <x v="0"/>
    <s v="Alone"/>
    <x v="0"/>
    <s v="no"/>
  </r>
  <r>
    <s v="Baumann"/>
    <s v=" Mr"/>
    <s v=" John D"/>
    <x v="0"/>
    <x v="0"/>
    <n v="60"/>
    <x v="4"/>
    <x v="2"/>
    <s v="C"/>
    <x v="1"/>
    <x v="0"/>
    <x v="46"/>
    <x v="1"/>
    <n v="0"/>
    <n v="0"/>
    <x v="0"/>
    <s v="Alone"/>
    <x v="0"/>
    <s v="no"/>
  </r>
  <r>
    <s v="Baxter"/>
    <s v=" Mr"/>
    <s v=" Quigg Edmond"/>
    <x v="0"/>
    <x v="0"/>
    <n v="24"/>
    <x v="2"/>
    <x v="2"/>
    <s v="C"/>
    <x v="1"/>
    <x v="8"/>
    <x v="47"/>
    <x v="2"/>
    <n v="0"/>
    <n v="1"/>
    <x v="2"/>
    <s v="With Family"/>
    <x v="0"/>
    <s v="no"/>
  </r>
  <r>
    <s v="Baxter"/>
    <s v=" Mrs"/>
    <s v=" HÃ©lÃ¨ne"/>
    <x v="1"/>
    <x v="1"/>
    <n v="50"/>
    <x v="0"/>
    <x v="2"/>
    <s v="C"/>
    <x v="1"/>
    <x v="8"/>
    <x v="47"/>
    <x v="2"/>
    <n v="0"/>
    <n v="1"/>
    <x v="2"/>
    <s v="With Family"/>
    <x v="1"/>
    <s v="yes"/>
  </r>
  <r>
    <s v="Beane"/>
    <s v=" Mr"/>
    <s v=" Edward"/>
    <x v="0"/>
    <x v="0"/>
    <n v="32"/>
    <x v="2"/>
    <x v="1"/>
    <s v="S"/>
    <x v="0"/>
    <x v="1"/>
    <x v="27"/>
    <x v="1"/>
    <n v="1"/>
    <n v="0"/>
    <x v="2"/>
    <s v="With Family"/>
    <x v="1"/>
    <s v="yes"/>
  </r>
  <r>
    <s v="Beane"/>
    <s v=" Mrs"/>
    <s v=" Ethel"/>
    <x v="1"/>
    <x v="1"/>
    <n v="22"/>
    <x v="2"/>
    <x v="1"/>
    <s v="S"/>
    <x v="0"/>
    <x v="1"/>
    <x v="27"/>
    <x v="1"/>
    <n v="1"/>
    <n v="0"/>
    <x v="2"/>
    <s v="With Family"/>
    <x v="1"/>
    <s v="yes"/>
  </r>
  <r>
    <s v="Beattie"/>
    <s v=" Mr"/>
    <s v=" Thomson"/>
    <x v="0"/>
    <x v="0"/>
    <n v="36"/>
    <x v="0"/>
    <x v="2"/>
    <s v="S"/>
    <x v="0"/>
    <x v="8"/>
    <x v="48"/>
    <x v="3"/>
    <n v="0"/>
    <n v="0"/>
    <x v="0"/>
    <s v="Alone"/>
    <x v="0"/>
    <s v="no"/>
  </r>
  <r>
    <s v="Beauchamp"/>
    <s v=" Mr"/>
    <s v=" Henry James"/>
    <x v="0"/>
    <x v="0"/>
    <n v="44"/>
    <x v="0"/>
    <x v="1"/>
    <s v="S"/>
    <x v="0"/>
    <x v="1"/>
    <x v="27"/>
    <x v="1"/>
    <n v="0"/>
    <n v="0"/>
    <x v="0"/>
    <s v="Alone"/>
    <x v="0"/>
    <s v="no"/>
  </r>
  <r>
    <s v="Beavan"/>
    <s v=" Mr"/>
    <s v=" William Thomas"/>
    <x v="0"/>
    <x v="0"/>
    <n v="20"/>
    <x v="2"/>
    <x v="0"/>
    <s v="S"/>
    <x v="0"/>
    <x v="1"/>
    <x v="7"/>
    <x v="0"/>
    <n v="0"/>
    <n v="0"/>
    <x v="0"/>
    <s v="Alone"/>
    <x v="0"/>
    <s v="no"/>
  </r>
  <r>
    <s v="Becker"/>
    <s v=" Master"/>
    <s v=" Richard F"/>
    <x v="0"/>
    <x v="0"/>
    <n v="1"/>
    <x v="3"/>
    <x v="1"/>
    <s v="S"/>
    <x v="0"/>
    <x v="18"/>
    <x v="49"/>
    <x v="3"/>
    <n v="2"/>
    <n v="1"/>
    <x v="3"/>
    <s v="With Family"/>
    <x v="1"/>
    <s v="yes"/>
  </r>
  <r>
    <s v="Becker"/>
    <s v=" Miss"/>
    <s v=" Marion Louise"/>
    <x v="1"/>
    <x v="1"/>
    <n v="4"/>
    <x v="3"/>
    <x v="1"/>
    <s v="S"/>
    <x v="0"/>
    <x v="18"/>
    <x v="49"/>
    <x v="3"/>
    <n v="2"/>
    <n v="1"/>
    <x v="3"/>
    <s v="With Family"/>
    <x v="1"/>
    <s v="yes"/>
  </r>
  <r>
    <s v="Becker"/>
    <s v=" Miss"/>
    <s v=" Ruth Elizabeth"/>
    <x v="1"/>
    <x v="1"/>
    <n v="12"/>
    <x v="1"/>
    <x v="1"/>
    <s v="S"/>
    <x v="0"/>
    <x v="18"/>
    <x v="49"/>
    <x v="3"/>
    <n v="2"/>
    <n v="1"/>
    <x v="3"/>
    <s v="With Family"/>
    <x v="1"/>
    <s v="yes"/>
  </r>
  <r>
    <s v="Becker"/>
    <s v=" Mrs"/>
    <s v=" Nellie E"/>
    <x v="1"/>
    <x v="1"/>
    <n v="35"/>
    <x v="2"/>
    <x v="1"/>
    <s v="S"/>
    <x v="0"/>
    <x v="0"/>
    <x v="49"/>
    <x v="3"/>
    <n v="0"/>
    <n v="3"/>
    <x v="3"/>
    <s v="With Family"/>
    <x v="1"/>
    <s v="yes"/>
  </r>
  <r>
    <s v="Beckwith"/>
    <s v=" Mr"/>
    <s v=" Richard Leonard"/>
    <x v="0"/>
    <x v="0"/>
    <n v="37"/>
    <x v="0"/>
    <x v="2"/>
    <s v="S"/>
    <x v="0"/>
    <x v="0"/>
    <x v="50"/>
    <x v="3"/>
    <n v="1"/>
    <n v="1"/>
    <x v="1"/>
    <s v="With Family"/>
    <x v="1"/>
    <s v="yes"/>
  </r>
  <r>
    <s v="Beckwith"/>
    <s v=" Mrs"/>
    <s v=" Sallie"/>
    <x v="1"/>
    <x v="1"/>
    <n v="46"/>
    <x v="0"/>
    <x v="2"/>
    <s v="S"/>
    <x v="0"/>
    <x v="0"/>
    <x v="50"/>
    <x v="3"/>
    <n v="1"/>
    <n v="1"/>
    <x v="1"/>
    <s v="With Family"/>
    <x v="1"/>
    <s v="yes"/>
  </r>
  <r>
    <s v="Beesley"/>
    <s v=" Mr"/>
    <s v=" Lawrence"/>
    <x v="0"/>
    <x v="0"/>
    <n v="34"/>
    <x v="2"/>
    <x v="1"/>
    <s v="S"/>
    <x v="0"/>
    <x v="1"/>
    <x v="10"/>
    <x v="0"/>
    <n v="0"/>
    <n v="0"/>
    <x v="0"/>
    <s v="Alone"/>
    <x v="1"/>
    <s v="yes"/>
  </r>
  <r>
    <s v="Behr"/>
    <s v=" Mr"/>
    <s v=" Karl Howell"/>
    <x v="0"/>
    <x v="0"/>
    <n v="26"/>
    <x v="2"/>
    <x v="2"/>
    <s v="C"/>
    <x v="1"/>
    <x v="0"/>
    <x v="42"/>
    <x v="1"/>
    <n v="0"/>
    <n v="0"/>
    <x v="0"/>
    <s v="Alone"/>
    <x v="1"/>
    <s v="yes"/>
  </r>
  <r>
    <s v="Bengtsson"/>
    <s v=" Mr"/>
    <s v=" Johan Viktor"/>
    <x v="0"/>
    <x v="0"/>
    <n v="26"/>
    <x v="2"/>
    <x v="0"/>
    <s v="S"/>
    <x v="0"/>
    <x v="6"/>
    <x v="21"/>
    <x v="0"/>
    <n v="0"/>
    <n v="0"/>
    <x v="0"/>
    <s v="Alone"/>
    <x v="0"/>
    <s v="no"/>
  </r>
  <r>
    <s v="Bentham"/>
    <s v=" Miss"/>
    <s v=" Lillian W"/>
    <x v="1"/>
    <x v="1"/>
    <n v="19"/>
    <x v="2"/>
    <x v="1"/>
    <s v="S"/>
    <x v="0"/>
    <x v="0"/>
    <x v="10"/>
    <x v="0"/>
    <n v="0"/>
    <n v="0"/>
    <x v="0"/>
    <s v="Alone"/>
    <x v="1"/>
    <s v="yes"/>
  </r>
  <r>
    <s v="Berglund"/>
    <s v=" Mr"/>
    <s v=" Karl Ivar Sven"/>
    <x v="0"/>
    <x v="0"/>
    <n v="22"/>
    <x v="2"/>
    <x v="0"/>
    <s v="S"/>
    <x v="0"/>
    <x v="5"/>
    <x v="9"/>
    <x v="0"/>
    <n v="0"/>
    <n v="0"/>
    <x v="0"/>
    <s v="Alone"/>
    <x v="0"/>
    <s v="no"/>
  </r>
  <r>
    <s v="Berriman"/>
    <s v=" Mr"/>
    <s v=" William John"/>
    <x v="0"/>
    <x v="0"/>
    <n v="23"/>
    <x v="2"/>
    <x v="1"/>
    <s v="S"/>
    <x v="0"/>
    <x v="1"/>
    <x v="10"/>
    <x v="0"/>
    <n v="0"/>
    <n v="0"/>
    <x v="0"/>
    <s v="Alone"/>
    <x v="0"/>
    <s v="no"/>
  </r>
  <r>
    <s v="Bessette"/>
    <s v=" Miss"/>
    <s v=" Nellie Mayo"/>
    <x v="1"/>
    <x v="1"/>
    <n v="39"/>
    <x v="0"/>
    <x v="2"/>
    <s v="C"/>
    <x v="1"/>
    <x v="0"/>
    <x v="51"/>
    <x v="3"/>
    <n v="0"/>
    <n v="0"/>
    <x v="0"/>
    <s v="Alone"/>
    <x v="1"/>
    <s v="yes"/>
  </r>
  <r>
    <s v="Bidois"/>
    <s v=" Miss"/>
    <s v=" Rosalie"/>
    <x v="1"/>
    <x v="1"/>
    <n v="46"/>
    <x v="0"/>
    <x v="2"/>
    <s v="C"/>
    <x v="1"/>
    <x v="1"/>
    <x v="34"/>
    <x v="2"/>
    <n v="0"/>
    <n v="0"/>
    <x v="0"/>
    <s v="Alone"/>
    <x v="1"/>
    <s v="yes"/>
  </r>
  <r>
    <s v="Bing"/>
    <s v=" Mr"/>
    <s v=" Lee"/>
    <x v="0"/>
    <x v="0"/>
    <n v="32"/>
    <x v="2"/>
    <x v="0"/>
    <s v="S"/>
    <x v="0"/>
    <x v="1"/>
    <x v="52"/>
    <x v="3"/>
    <n v="0"/>
    <n v="0"/>
    <x v="0"/>
    <s v="Alone"/>
    <x v="1"/>
    <s v="yes"/>
  </r>
  <r>
    <s v="Bird"/>
    <s v=" Miss"/>
    <s v=" Ellen"/>
    <x v="1"/>
    <x v="1"/>
    <n v="31"/>
    <x v="2"/>
    <x v="2"/>
    <s v="S"/>
    <x v="0"/>
    <x v="1"/>
    <x v="53"/>
    <x v="2"/>
    <n v="0"/>
    <n v="0"/>
    <x v="0"/>
    <s v="Alone"/>
    <x v="1"/>
    <s v="yes"/>
  </r>
  <r>
    <s v="Birkeland"/>
    <s v=" Mr"/>
    <s v=" Hans Martin Monsen"/>
    <x v="0"/>
    <x v="0"/>
    <n v="21"/>
    <x v="2"/>
    <x v="0"/>
    <s v="S"/>
    <x v="0"/>
    <x v="2"/>
    <x v="21"/>
    <x v="0"/>
    <n v="0"/>
    <n v="0"/>
    <x v="0"/>
    <s v="Alone"/>
    <x v="0"/>
    <s v="no"/>
  </r>
  <r>
    <s v="Birnbaum"/>
    <s v=" Mr"/>
    <s v=" Jakob"/>
    <x v="0"/>
    <x v="0"/>
    <n v="24"/>
    <x v="2"/>
    <x v="2"/>
    <s v="C"/>
    <x v="1"/>
    <x v="1"/>
    <x v="27"/>
    <x v="1"/>
    <n v="0"/>
    <n v="0"/>
    <x v="0"/>
    <s v="Alone"/>
    <x v="0"/>
    <s v="no"/>
  </r>
  <r>
    <s v="Bishop"/>
    <s v=" Mr"/>
    <s v=" Dickinson H"/>
    <x v="0"/>
    <x v="0"/>
    <n v="25"/>
    <x v="2"/>
    <x v="2"/>
    <s v="C"/>
    <x v="1"/>
    <x v="0"/>
    <x v="54"/>
    <x v="3"/>
    <n v="1"/>
    <n v="0"/>
    <x v="2"/>
    <s v="With Family"/>
    <x v="1"/>
    <s v="yes"/>
  </r>
  <r>
    <s v="Bishop"/>
    <s v=" Mrs"/>
    <s v=" Helen"/>
    <x v="1"/>
    <x v="1"/>
    <n v="19"/>
    <x v="2"/>
    <x v="2"/>
    <s v="C"/>
    <x v="1"/>
    <x v="0"/>
    <x v="54"/>
    <x v="3"/>
    <n v="1"/>
    <n v="0"/>
    <x v="2"/>
    <s v="With Family"/>
    <x v="1"/>
    <s v="yes"/>
  </r>
  <r>
    <s v="BjÃ¶rklund"/>
    <s v=" Mr"/>
    <s v=" Ernst Herbert"/>
    <x v="0"/>
    <x v="0"/>
    <n v="18"/>
    <x v="2"/>
    <x v="0"/>
    <s v="S"/>
    <x v="0"/>
    <x v="6"/>
    <x v="55"/>
    <x v="0"/>
    <n v="0"/>
    <n v="0"/>
    <x v="0"/>
    <s v="Alone"/>
    <x v="0"/>
    <s v="no"/>
  </r>
  <r>
    <s v="BjÃ¶rnstrÃ¶m-Steffansson"/>
    <s v=" Mr"/>
    <s v=" Mauritz Hokan"/>
    <x v="0"/>
    <x v="0"/>
    <n v="28"/>
    <x v="2"/>
    <x v="2"/>
    <s v="S"/>
    <x v="0"/>
    <x v="6"/>
    <x v="19"/>
    <x v="1"/>
    <n v="0"/>
    <n v="0"/>
    <x v="0"/>
    <s v="Alone"/>
    <x v="1"/>
    <s v="yes"/>
  </r>
  <r>
    <s v="Blackwell"/>
    <s v=" Mr"/>
    <s v=" Stephen Weart"/>
    <x v="0"/>
    <x v="0"/>
    <n v="45"/>
    <x v="0"/>
    <x v="2"/>
    <s v="S"/>
    <x v="0"/>
    <x v="0"/>
    <x v="56"/>
    <x v="3"/>
    <n v="0"/>
    <n v="0"/>
    <x v="0"/>
    <s v="Alone"/>
    <x v="0"/>
    <s v="no"/>
  </r>
  <r>
    <s v="Blank"/>
    <s v=" Mr"/>
    <s v=" Henry"/>
    <x v="0"/>
    <x v="0"/>
    <n v="39"/>
    <x v="0"/>
    <x v="2"/>
    <s v="C"/>
    <x v="1"/>
    <x v="0"/>
    <x v="57"/>
    <x v="1"/>
    <n v="0"/>
    <n v="0"/>
    <x v="0"/>
    <s v="Alone"/>
    <x v="1"/>
    <s v="yes"/>
  </r>
  <r>
    <s v="Bonnell"/>
    <s v=" Miss"/>
    <s v=" Caroline"/>
    <x v="1"/>
    <x v="1"/>
    <n v="30"/>
    <x v="2"/>
    <x v="2"/>
    <s v="S"/>
    <x v="0"/>
    <x v="0"/>
    <x v="58"/>
    <x v="2"/>
    <n v="0"/>
    <n v="0"/>
    <x v="0"/>
    <s v="Alone"/>
    <x v="1"/>
    <s v="yes"/>
  </r>
  <r>
    <s v="Bonnell"/>
    <s v=" Miss"/>
    <s v=" Elizabeth"/>
    <x v="1"/>
    <x v="1"/>
    <n v="61"/>
    <x v="4"/>
    <x v="2"/>
    <s v="S"/>
    <x v="0"/>
    <x v="1"/>
    <x v="19"/>
    <x v="1"/>
    <n v="0"/>
    <n v="0"/>
    <x v="0"/>
    <s v="Alone"/>
    <x v="1"/>
    <s v="yes"/>
  </r>
  <r>
    <s v="Borebank"/>
    <s v=" Mr"/>
    <s v=" John James"/>
    <x v="0"/>
    <x v="0"/>
    <n v="41"/>
    <x v="0"/>
    <x v="2"/>
    <s v="S"/>
    <x v="0"/>
    <x v="1"/>
    <x v="19"/>
    <x v="1"/>
    <n v="0"/>
    <n v="0"/>
    <x v="0"/>
    <s v="Alone"/>
    <x v="0"/>
    <s v="no"/>
  </r>
  <r>
    <s v="Bostandyeff"/>
    <s v=" Mr"/>
    <s v=" Guentcho"/>
    <x v="0"/>
    <x v="0"/>
    <n v="26"/>
    <x v="2"/>
    <x v="0"/>
    <s v="S"/>
    <x v="0"/>
    <x v="1"/>
    <x v="26"/>
    <x v="0"/>
    <n v="0"/>
    <n v="0"/>
    <x v="0"/>
    <s v="Alone"/>
    <x v="0"/>
    <s v="no"/>
  </r>
  <r>
    <s v="Botsford"/>
    <s v=" Mr"/>
    <s v=" William Hull"/>
    <x v="0"/>
    <x v="0"/>
    <n v="25"/>
    <x v="2"/>
    <x v="1"/>
    <s v="S"/>
    <x v="0"/>
    <x v="0"/>
    <x v="10"/>
    <x v="0"/>
    <n v="0"/>
    <n v="0"/>
    <x v="0"/>
    <s v="Alone"/>
    <x v="0"/>
    <s v="no"/>
  </r>
  <r>
    <s v="Bourke"/>
    <s v=" Miss"/>
    <s v=" Mary"/>
    <x v="1"/>
    <x v="1"/>
    <n v="40"/>
    <x v="0"/>
    <x v="0"/>
    <s v="Q"/>
    <x v="3"/>
    <x v="16"/>
    <x v="55"/>
    <x v="0"/>
    <n v="0"/>
    <n v="2"/>
    <x v="1"/>
    <s v="With Family"/>
    <x v="0"/>
    <s v="no"/>
  </r>
  <r>
    <s v="Bourke"/>
    <s v=" Mr"/>
    <s v=" John"/>
    <x v="0"/>
    <x v="0"/>
    <n v="42"/>
    <x v="0"/>
    <x v="0"/>
    <s v="Q"/>
    <x v="3"/>
    <x v="16"/>
    <x v="59"/>
    <x v="1"/>
    <n v="1"/>
    <n v="1"/>
    <x v="1"/>
    <s v="With Family"/>
    <x v="0"/>
    <s v="no"/>
  </r>
  <r>
    <s v="Bourke"/>
    <s v=" Mrs"/>
    <s v=" Catherine"/>
    <x v="1"/>
    <x v="1"/>
    <n v="32"/>
    <x v="2"/>
    <x v="0"/>
    <s v="Q"/>
    <x v="3"/>
    <x v="16"/>
    <x v="59"/>
    <x v="1"/>
    <n v="1"/>
    <n v="1"/>
    <x v="1"/>
    <s v="With Family"/>
    <x v="0"/>
    <s v="no"/>
  </r>
  <r>
    <s v="Bowen"/>
    <s v=" Miss"/>
    <s v=" Grace Scott"/>
    <x v="1"/>
    <x v="1"/>
    <n v="45"/>
    <x v="0"/>
    <x v="2"/>
    <s v="C"/>
    <x v="1"/>
    <x v="0"/>
    <x v="60"/>
    <x v="2"/>
    <n v="0"/>
    <n v="0"/>
    <x v="0"/>
    <s v="Alone"/>
    <x v="1"/>
    <s v="yes"/>
  </r>
  <r>
    <s v="Bowen"/>
    <s v=" Mr"/>
    <s v=" David John 'Dai'"/>
    <x v="0"/>
    <x v="0"/>
    <n v="26"/>
    <x v="2"/>
    <x v="0"/>
    <s v="S"/>
    <x v="0"/>
    <x v="19"/>
    <x v="61"/>
    <x v="1"/>
    <n v="0"/>
    <n v="0"/>
    <x v="0"/>
    <s v="Alone"/>
    <x v="0"/>
    <s v="no"/>
  </r>
  <r>
    <s v="Bowenur"/>
    <s v=" Mr"/>
    <s v=" Solomon"/>
    <x v="0"/>
    <x v="0"/>
    <n v="42"/>
    <x v="0"/>
    <x v="1"/>
    <s v="S"/>
    <x v="0"/>
    <x v="1"/>
    <x v="10"/>
    <x v="0"/>
    <n v="0"/>
    <n v="0"/>
    <x v="0"/>
    <s v="Alone"/>
    <x v="0"/>
    <s v="no"/>
  </r>
  <r>
    <s v="Bowerman"/>
    <s v=" Miss"/>
    <s v=" Elsie Edith"/>
    <x v="1"/>
    <x v="1"/>
    <n v="22"/>
    <x v="2"/>
    <x v="2"/>
    <s v="S"/>
    <x v="0"/>
    <x v="1"/>
    <x v="62"/>
    <x v="3"/>
    <n v="0"/>
    <n v="1"/>
    <x v="2"/>
    <s v="With Family"/>
    <x v="1"/>
    <s v="yes"/>
  </r>
  <r>
    <s v="Bracken"/>
    <s v=" Mr"/>
    <s v=" James Hollen"/>
    <x v="0"/>
    <x v="0"/>
    <n v="30"/>
    <x v="2"/>
    <x v="1"/>
    <s v="S"/>
    <x v="0"/>
    <x v="0"/>
    <x v="10"/>
    <x v="0"/>
    <n v="0"/>
    <n v="0"/>
    <x v="0"/>
    <s v="Alone"/>
    <x v="0"/>
    <s v="no"/>
  </r>
  <r>
    <s v="Bradley"/>
    <s v=" Miss"/>
    <s v=" Bridget Delia"/>
    <x v="1"/>
    <x v="1"/>
    <n v="22"/>
    <x v="2"/>
    <x v="0"/>
    <s v="Q"/>
    <x v="3"/>
    <x v="16"/>
    <x v="63"/>
    <x v="0"/>
    <n v="0"/>
    <n v="0"/>
    <x v="0"/>
    <s v="Alone"/>
    <x v="1"/>
    <s v="yes"/>
  </r>
  <r>
    <s v="Brady"/>
    <s v=" Mr"/>
    <s v=" John Bertram"/>
    <x v="0"/>
    <x v="0"/>
    <n v="41"/>
    <x v="0"/>
    <x v="2"/>
    <s v="S"/>
    <x v="0"/>
    <x v="0"/>
    <x v="64"/>
    <x v="1"/>
    <n v="0"/>
    <n v="0"/>
    <x v="0"/>
    <s v="Alone"/>
    <x v="0"/>
    <s v="no"/>
  </r>
  <r>
    <s v="Braf"/>
    <s v=" Miss"/>
    <s v=" Elin Ester Maria"/>
    <x v="1"/>
    <x v="1"/>
    <n v="20"/>
    <x v="2"/>
    <x v="0"/>
    <s v="S"/>
    <x v="0"/>
    <x v="6"/>
    <x v="17"/>
    <x v="0"/>
    <n v="0"/>
    <n v="0"/>
    <x v="0"/>
    <s v="Alone"/>
    <x v="0"/>
    <s v="no"/>
  </r>
  <r>
    <s v="Brailey"/>
    <s v=" Mr"/>
    <s v=" William Theodore Ronald"/>
    <x v="0"/>
    <x v="0"/>
    <n v="24"/>
    <x v="2"/>
    <x v="1"/>
    <s v="S"/>
    <x v="0"/>
    <x v="1"/>
    <x v="25"/>
    <x v="1"/>
    <n v="1"/>
    <s v="NA"/>
    <x v="5"/>
    <e v="#VALUE!"/>
    <x v="0"/>
    <s v="no"/>
  </r>
  <r>
    <s v="Brandeis"/>
    <s v=" Mr"/>
    <s v=" Emil Franklin"/>
    <x v="0"/>
    <x v="0"/>
    <n v="48"/>
    <x v="0"/>
    <x v="2"/>
    <s v="C"/>
    <x v="1"/>
    <x v="0"/>
    <x v="65"/>
    <x v="3"/>
    <n v="0"/>
    <n v="0"/>
    <x v="0"/>
    <s v="Alone"/>
    <x v="0"/>
    <s v="no"/>
  </r>
  <r>
    <s v="Braund"/>
    <s v=" Mr"/>
    <s v=" Lewis Richard"/>
    <x v="0"/>
    <x v="0"/>
    <n v="29"/>
    <x v="2"/>
    <x v="0"/>
    <s v="S"/>
    <x v="0"/>
    <x v="1"/>
    <x v="66"/>
    <x v="0"/>
    <n v="1"/>
    <n v="0"/>
    <x v="2"/>
    <s v="With Family"/>
    <x v="0"/>
    <s v="no"/>
  </r>
  <r>
    <s v="Braund"/>
    <s v=" Mr"/>
    <s v=" Owen Harris"/>
    <x v="0"/>
    <x v="0"/>
    <n v="23"/>
    <x v="2"/>
    <x v="0"/>
    <s v="S"/>
    <x v="0"/>
    <x v="1"/>
    <x v="6"/>
    <x v="0"/>
    <n v="1"/>
    <n v="0"/>
    <x v="2"/>
    <s v="With Family"/>
    <x v="0"/>
    <s v="no"/>
  </r>
  <r>
    <s v="Brereton"/>
    <s v=" Mr"/>
    <s v=" George Andrew"/>
    <x v="0"/>
    <x v="0"/>
    <n v="37"/>
    <x v="0"/>
    <x v="2"/>
    <s v="S"/>
    <x v="0"/>
    <x v="0"/>
    <x v="19"/>
    <x v="1"/>
    <n v="0"/>
    <n v="0"/>
    <x v="0"/>
    <s v="Alone"/>
    <x v="1"/>
    <s v="yes"/>
  </r>
  <r>
    <s v="Brewe"/>
    <s v=" Dr"/>
    <s v=" Arthur Jackson"/>
    <x v="0"/>
    <x v="0"/>
    <n v="46"/>
    <x v="0"/>
    <x v="2"/>
    <s v="C"/>
    <x v="1"/>
    <x v="0"/>
    <x v="67"/>
    <x v="3"/>
    <n v="0"/>
    <n v="0"/>
    <x v="0"/>
    <s v="Alone"/>
    <x v="0"/>
    <s v="no"/>
  </r>
  <r>
    <s v="Bricoux"/>
    <s v=" Mr"/>
    <s v=" Roger Marie"/>
    <x v="0"/>
    <x v="0"/>
    <n v="20"/>
    <x v="2"/>
    <x v="1"/>
    <s v="S"/>
    <x v="0"/>
    <x v="3"/>
    <x v="25"/>
    <x v="1"/>
    <n v="1"/>
    <s v="NA"/>
    <x v="5"/>
    <e v="#VALUE!"/>
    <x v="0"/>
    <s v="no"/>
  </r>
  <r>
    <s v="Brito"/>
    <s v=" Mr"/>
    <s v=" JosÃ© Joaquim de"/>
    <x v="0"/>
    <x v="0"/>
    <n v="32"/>
    <x v="2"/>
    <x v="1"/>
    <s v="S"/>
    <x v="0"/>
    <x v="1"/>
    <x v="10"/>
    <x v="0"/>
    <n v="0"/>
    <n v="0"/>
    <x v="0"/>
    <s v="Alone"/>
    <x v="0"/>
    <s v="no"/>
  </r>
  <r>
    <s v="BrobÃ¤ck"/>
    <s v=" Mr"/>
    <s v=" Karl Rudolf"/>
    <x v="0"/>
    <x v="0"/>
    <n v="22"/>
    <x v="2"/>
    <x v="0"/>
    <s v="S"/>
    <x v="0"/>
    <x v="6"/>
    <x v="32"/>
    <x v="0"/>
    <n v="0"/>
    <n v="0"/>
    <x v="0"/>
    <s v="Alone"/>
    <x v="0"/>
    <s v="no"/>
  </r>
  <r>
    <s v="Brocklebank"/>
    <s v=" Mr"/>
    <s v=" William Alfred"/>
    <x v="0"/>
    <x v="0"/>
    <n v="40"/>
    <x v="0"/>
    <x v="0"/>
    <s v="S"/>
    <x v="0"/>
    <x v="1"/>
    <x v="7"/>
    <x v="0"/>
    <n v="0"/>
    <n v="0"/>
    <x v="0"/>
    <s v="Alone"/>
    <x v="0"/>
    <s v="no"/>
  </r>
  <r>
    <s v="Brown"/>
    <s v=" Miss"/>
    <s v=" Amelia Mary"/>
    <x v="1"/>
    <x v="1"/>
    <n v="18"/>
    <x v="2"/>
    <x v="1"/>
    <s v="S"/>
    <x v="0"/>
    <x v="1"/>
    <x v="10"/>
    <x v="0"/>
    <n v="0"/>
    <n v="0"/>
    <x v="0"/>
    <s v="Alone"/>
    <x v="1"/>
    <s v="yes"/>
  </r>
  <r>
    <s v="Brown"/>
    <s v=" Miss"/>
    <s v=" Edith Eileen"/>
    <x v="1"/>
    <x v="1"/>
    <n v="15"/>
    <x v="1"/>
    <x v="1"/>
    <s v="S"/>
    <x v="0"/>
    <x v="20"/>
    <x v="49"/>
    <x v="3"/>
    <n v="0"/>
    <n v="2"/>
    <x v="1"/>
    <s v="With Family"/>
    <x v="1"/>
    <s v="yes"/>
  </r>
  <r>
    <s v="Brown"/>
    <s v=" Mrs"/>
    <s v=" Caroline Lane"/>
    <x v="1"/>
    <x v="1"/>
    <n v="59"/>
    <x v="4"/>
    <x v="2"/>
    <s v="S"/>
    <x v="0"/>
    <x v="0"/>
    <x v="28"/>
    <x v="3"/>
    <n v="2"/>
    <n v="0"/>
    <x v="1"/>
    <s v="With Family"/>
    <x v="1"/>
    <s v="yes"/>
  </r>
  <r>
    <s v="Brown"/>
    <s v=" Mrs"/>
    <s v=" Elizabeth Catherine"/>
    <x v="1"/>
    <x v="1"/>
    <n v="40"/>
    <x v="0"/>
    <x v="1"/>
    <s v="S"/>
    <x v="0"/>
    <x v="20"/>
    <x v="49"/>
    <x v="3"/>
    <n v="1"/>
    <n v="1"/>
    <x v="1"/>
    <s v="With Family"/>
    <x v="1"/>
    <s v="yes"/>
  </r>
  <r>
    <s v="Brown"/>
    <s v=" Mrs"/>
    <s v=" Margaret"/>
    <x v="1"/>
    <x v="1"/>
    <n v="44"/>
    <x v="0"/>
    <x v="2"/>
    <s v="C"/>
    <x v="1"/>
    <x v="0"/>
    <x v="68"/>
    <x v="1"/>
    <n v="0"/>
    <n v="0"/>
    <x v="0"/>
    <s v="Alone"/>
    <x v="1"/>
    <s v="yes"/>
  </r>
  <r>
    <s v="Brown"/>
    <s v=" Mr"/>
    <s v=" Thomas William Solomon"/>
    <x v="0"/>
    <x v="0"/>
    <n v="60"/>
    <x v="4"/>
    <x v="1"/>
    <s v="S"/>
    <x v="0"/>
    <x v="20"/>
    <x v="49"/>
    <x v="3"/>
    <n v="1"/>
    <n v="1"/>
    <x v="1"/>
    <s v="With Family"/>
    <x v="0"/>
    <s v="no"/>
  </r>
  <r>
    <s v="Bryhl"/>
    <s v=" Miss"/>
    <s v=" Dagmar Jenny Ingeborg"/>
    <x v="1"/>
    <x v="1"/>
    <n v="20"/>
    <x v="2"/>
    <x v="1"/>
    <s v="S"/>
    <x v="0"/>
    <x v="6"/>
    <x v="27"/>
    <x v="1"/>
    <n v="1"/>
    <n v="0"/>
    <x v="2"/>
    <s v="With Family"/>
    <x v="1"/>
    <s v="yes"/>
  </r>
  <r>
    <s v="Bryhl"/>
    <s v=" Mr"/>
    <s v=" Kurt Arnold Gottfrid"/>
    <x v="0"/>
    <x v="0"/>
    <n v="25"/>
    <x v="2"/>
    <x v="1"/>
    <s v="S"/>
    <x v="0"/>
    <x v="6"/>
    <x v="27"/>
    <x v="1"/>
    <n v="1"/>
    <n v="0"/>
    <x v="2"/>
    <s v="With Family"/>
    <x v="0"/>
    <s v="no"/>
  </r>
  <r>
    <s v="Buckley"/>
    <s v=" Miss"/>
    <s v=" Katherine"/>
    <x v="1"/>
    <x v="1"/>
    <n v="22"/>
    <x v="2"/>
    <x v="0"/>
    <s v="Q"/>
    <x v="3"/>
    <x v="16"/>
    <x v="69"/>
    <x v="0"/>
    <n v="0"/>
    <n v="0"/>
    <x v="0"/>
    <s v="Alone"/>
    <x v="0"/>
    <s v="no"/>
  </r>
  <r>
    <s v="Buckley"/>
    <s v=" Mr"/>
    <s v=" Daniel"/>
    <x v="0"/>
    <x v="0"/>
    <n v="21"/>
    <x v="2"/>
    <x v="0"/>
    <s v="Q"/>
    <x v="3"/>
    <x v="16"/>
    <x v="70"/>
    <x v="0"/>
    <n v="0"/>
    <n v="0"/>
    <x v="0"/>
    <s v="Alone"/>
    <x v="1"/>
    <s v="yes"/>
  </r>
  <r>
    <s v="Bucknell"/>
    <s v=" Mrs"/>
    <s v=" Emma Eliza"/>
    <x v="1"/>
    <x v="1"/>
    <n v="58"/>
    <x v="4"/>
    <x v="2"/>
    <s v="C"/>
    <x v="1"/>
    <x v="18"/>
    <x v="44"/>
    <x v="3"/>
    <n v="0"/>
    <n v="0"/>
    <x v="0"/>
    <s v="Alone"/>
    <x v="1"/>
    <s v="yes"/>
  </r>
  <r>
    <s v="BÅ«lus"/>
    <s v=" Master"/>
    <s v=" Akar"/>
    <x v="0"/>
    <x v="0"/>
    <n v="7"/>
    <x v="3"/>
    <x v="0"/>
    <s v="C"/>
    <x v="1"/>
    <x v="4"/>
    <x v="71"/>
    <x v="1"/>
    <n v="1"/>
    <n v="1"/>
    <x v="1"/>
    <s v="With Family"/>
    <x v="0"/>
    <s v="no"/>
  </r>
  <r>
    <s v="BÅ«lus"/>
    <s v=" Miss"/>
    <s v=" NÅ«r al-'ayn"/>
    <x v="1"/>
    <x v="1"/>
    <n v="10"/>
    <x v="1"/>
    <x v="0"/>
    <s v="C"/>
    <x v="1"/>
    <x v="4"/>
    <x v="71"/>
    <x v="1"/>
    <n v="1"/>
    <n v="1"/>
    <x v="1"/>
    <s v="With Family"/>
    <x v="0"/>
    <s v="no"/>
  </r>
  <r>
    <s v="BÅ«lus"/>
    <s v=" Mrs"/>
    <s v=" SultÄnah"/>
    <x v="1"/>
    <x v="1"/>
    <n v="40"/>
    <x v="0"/>
    <x v="0"/>
    <s v="C"/>
    <x v="1"/>
    <x v="4"/>
    <x v="71"/>
    <x v="1"/>
    <n v="0"/>
    <n v="2"/>
    <x v="1"/>
    <s v="With Family"/>
    <x v="0"/>
    <s v="no"/>
  </r>
  <r>
    <s v="Burke"/>
    <s v=" Mr"/>
    <s v=" Jeremiah"/>
    <x v="0"/>
    <x v="0"/>
    <n v="19"/>
    <x v="2"/>
    <x v="0"/>
    <s v="Q"/>
    <x v="3"/>
    <x v="16"/>
    <x v="72"/>
    <x v="0"/>
    <n v="0"/>
    <n v="0"/>
    <x v="0"/>
    <s v="Alone"/>
    <x v="0"/>
    <s v="no"/>
  </r>
  <r>
    <s v="Burns"/>
    <s v=" Miss"/>
    <s v=" Elizabeth Margaret"/>
    <x v="1"/>
    <x v="1"/>
    <n v="41"/>
    <x v="0"/>
    <x v="2"/>
    <s v="C"/>
    <x v="1"/>
    <x v="1"/>
    <x v="73"/>
    <x v="2"/>
    <n v="0"/>
    <n v="0"/>
    <x v="0"/>
    <s v="Alone"/>
    <x v="1"/>
    <s v="yes"/>
  </r>
  <r>
    <s v="Burns"/>
    <s v=" Miss"/>
    <s v=" Mary Delia"/>
    <x v="1"/>
    <x v="1"/>
    <n v="17"/>
    <x v="1"/>
    <x v="0"/>
    <s v="Q"/>
    <x v="3"/>
    <x v="16"/>
    <x v="43"/>
    <x v="0"/>
    <n v="0"/>
    <n v="0"/>
    <x v="0"/>
    <s v="Alone"/>
    <x v="0"/>
    <s v="no"/>
  </r>
  <r>
    <s v="Buss"/>
    <s v=" Miss"/>
    <s v=" Kate"/>
    <x v="1"/>
    <x v="1"/>
    <n v="36"/>
    <x v="0"/>
    <x v="1"/>
    <s v="S"/>
    <x v="0"/>
    <x v="1"/>
    <x v="10"/>
    <x v="0"/>
    <n v="0"/>
    <n v="0"/>
    <x v="0"/>
    <s v="Alone"/>
    <x v="1"/>
    <s v="yes"/>
  </r>
  <r>
    <s v="Butler"/>
    <s v=" Mr"/>
    <s v=" Reginald Fenton"/>
    <x v="0"/>
    <x v="0"/>
    <n v="26"/>
    <x v="2"/>
    <x v="1"/>
    <s v="S"/>
    <x v="0"/>
    <x v="1"/>
    <x v="10"/>
    <x v="0"/>
    <n v="0"/>
    <n v="0"/>
    <x v="0"/>
    <s v="Alone"/>
    <x v="0"/>
    <s v="no"/>
  </r>
  <r>
    <s v="Butrus-Ka'wÄ«"/>
    <s v=" Mr"/>
    <s v=" TannÅ«s"/>
    <x v="0"/>
    <x v="0"/>
    <n v="21"/>
    <x v="2"/>
    <x v="0"/>
    <s v="C"/>
    <x v="1"/>
    <x v="4"/>
    <x v="16"/>
    <x v="0"/>
    <n v="0"/>
    <n v="0"/>
    <x v="0"/>
    <s v="Alone"/>
    <x v="0"/>
    <s v="no"/>
  </r>
  <r>
    <s v="Butt"/>
    <s v=" Major"/>
    <s v=" Archibald Willingham"/>
    <x v="0"/>
    <x v="0"/>
    <n v="46"/>
    <x v="0"/>
    <x v="2"/>
    <s v="S"/>
    <x v="0"/>
    <x v="0"/>
    <x v="19"/>
    <x v="1"/>
    <n v="0"/>
    <n v="0"/>
    <x v="0"/>
    <s v="Alone"/>
    <x v="0"/>
    <s v="no"/>
  </r>
  <r>
    <s v="Byles"/>
    <s v=" Fr"/>
    <s v=" Thomas Roussel Davids"/>
    <x v="0"/>
    <x v="0"/>
    <n v="42"/>
    <x v="0"/>
    <x v="1"/>
    <s v="S"/>
    <x v="0"/>
    <x v="1"/>
    <x v="10"/>
    <x v="0"/>
    <n v="0"/>
    <n v="0"/>
    <x v="0"/>
    <s v="Alone"/>
    <x v="0"/>
    <s v="no"/>
  </r>
  <r>
    <s v="BystrÃ¶m"/>
    <s v=" Mrs"/>
    <s v=" Karolina"/>
    <x v="1"/>
    <x v="1"/>
    <n v="40"/>
    <x v="0"/>
    <x v="1"/>
    <s v="S"/>
    <x v="0"/>
    <x v="0"/>
    <x v="10"/>
    <x v="0"/>
    <n v="0"/>
    <n v="0"/>
    <x v="0"/>
    <s v="Alone"/>
    <x v="1"/>
    <s v="yes"/>
  </r>
  <r>
    <s v="Cacic"/>
    <s v=" Miss"/>
    <s v=" Manda"/>
    <x v="1"/>
    <x v="1"/>
    <n v="21"/>
    <x v="2"/>
    <x v="0"/>
    <s v="S"/>
    <x v="0"/>
    <x v="21"/>
    <x v="74"/>
    <x v="0"/>
    <n v="0"/>
    <n v="0"/>
    <x v="0"/>
    <s v="Alone"/>
    <x v="0"/>
    <s v="no"/>
  </r>
  <r>
    <s v="Cacic"/>
    <s v=" Miss"/>
    <s v=" Marija"/>
    <x v="1"/>
    <x v="1"/>
    <n v="30"/>
    <x v="2"/>
    <x v="0"/>
    <s v="S"/>
    <x v="0"/>
    <x v="21"/>
    <x v="74"/>
    <x v="0"/>
    <n v="0"/>
    <n v="0"/>
    <x v="0"/>
    <s v="Alone"/>
    <x v="0"/>
    <s v="no"/>
  </r>
  <r>
    <s v="Cacic"/>
    <s v=" Mr"/>
    <s v=" Jego Grga"/>
    <x v="0"/>
    <x v="0"/>
    <n v="18"/>
    <x v="2"/>
    <x v="0"/>
    <s v="S"/>
    <x v="0"/>
    <x v="21"/>
    <x v="74"/>
    <x v="0"/>
    <n v="0"/>
    <n v="0"/>
    <x v="0"/>
    <s v="Alone"/>
    <x v="0"/>
    <s v="no"/>
  </r>
  <r>
    <s v="Cacic"/>
    <s v=" Mr"/>
    <s v=" Luka"/>
    <x v="0"/>
    <x v="0"/>
    <n v="38"/>
    <x v="0"/>
    <x v="0"/>
    <s v="S"/>
    <x v="0"/>
    <x v="21"/>
    <x v="74"/>
    <x v="0"/>
    <n v="0"/>
    <n v="0"/>
    <x v="0"/>
    <s v="Alone"/>
    <x v="0"/>
    <s v="no"/>
  </r>
  <r>
    <s v="Cairns"/>
    <s v=" Mr"/>
    <s v=" Alexander Milne"/>
    <x v="0"/>
    <x v="0"/>
    <n v="28"/>
    <x v="2"/>
    <x v="2"/>
    <s v="S"/>
    <x v="0"/>
    <x v="22"/>
    <x v="57"/>
    <x v="1"/>
    <n v="0"/>
    <n v="0"/>
    <x v="0"/>
    <s v="Alone"/>
    <x v="0"/>
    <s v="no"/>
  </r>
  <r>
    <s v="Calderhead"/>
    <s v=" Mr"/>
    <s v=" Edward Pennington"/>
    <x v="0"/>
    <x v="0"/>
    <n v="42"/>
    <x v="0"/>
    <x v="2"/>
    <s v="S"/>
    <x v="0"/>
    <x v="0"/>
    <x v="75"/>
    <x v="1"/>
    <n v="0"/>
    <n v="0"/>
    <x v="0"/>
    <s v="Alone"/>
    <x v="1"/>
    <s v="yes"/>
  </r>
  <r>
    <s v="Caldwell"/>
    <s v=" Master"/>
    <s v=" Alden Gates"/>
    <x v="0"/>
    <x v="0"/>
    <n v="0.83333333330000003"/>
    <x v="3"/>
    <x v="1"/>
    <s v="S"/>
    <x v="0"/>
    <x v="23"/>
    <x v="76"/>
    <x v="1"/>
    <n v="0"/>
    <n v="2"/>
    <x v="1"/>
    <s v="With Family"/>
    <x v="1"/>
    <s v="yes"/>
  </r>
  <r>
    <s v="Caldwell"/>
    <s v=" Mr"/>
    <s v=" Albert Francis"/>
    <x v="0"/>
    <x v="0"/>
    <n v="26"/>
    <x v="2"/>
    <x v="1"/>
    <s v="S"/>
    <x v="0"/>
    <x v="23"/>
    <x v="76"/>
    <x v="1"/>
    <n v="1"/>
    <n v="1"/>
    <x v="1"/>
    <s v="With Family"/>
    <x v="1"/>
    <s v="yes"/>
  </r>
  <r>
    <s v="Caldwell"/>
    <s v=" Mrs"/>
    <s v=" Sylvia Mae"/>
    <x v="1"/>
    <x v="1"/>
    <n v="28"/>
    <x v="2"/>
    <x v="1"/>
    <s v="S"/>
    <x v="0"/>
    <x v="0"/>
    <x v="76"/>
    <x v="1"/>
    <n v="1"/>
    <n v="1"/>
    <x v="1"/>
    <s v="With Family"/>
    <x v="1"/>
    <s v="yes"/>
  </r>
  <r>
    <s v="Calic"/>
    <s v=" Mr"/>
    <s v=" Jovo"/>
    <x v="0"/>
    <x v="0"/>
    <n v="17"/>
    <x v="1"/>
    <x v="0"/>
    <s v="S"/>
    <x v="0"/>
    <x v="21"/>
    <x v="74"/>
    <x v="0"/>
    <n v="0"/>
    <n v="0"/>
    <x v="0"/>
    <s v="Alone"/>
    <x v="0"/>
    <s v="no"/>
  </r>
  <r>
    <s v="Calic"/>
    <s v=" Mr"/>
    <s v=" Petar"/>
    <x v="0"/>
    <x v="0"/>
    <n v="17"/>
    <x v="1"/>
    <x v="0"/>
    <s v="S"/>
    <x v="0"/>
    <x v="21"/>
    <x v="74"/>
    <x v="0"/>
    <n v="0"/>
    <n v="0"/>
    <x v="0"/>
    <s v="Alone"/>
    <x v="0"/>
    <s v="no"/>
  </r>
  <r>
    <s v="Cameron"/>
    <s v=" Miss"/>
    <s v=" Clear Annie"/>
    <x v="1"/>
    <x v="1"/>
    <n v="35"/>
    <x v="2"/>
    <x v="1"/>
    <s v="S"/>
    <x v="0"/>
    <x v="1"/>
    <x v="77"/>
    <x v="1"/>
    <n v="0"/>
    <n v="0"/>
    <x v="0"/>
    <s v="Alone"/>
    <x v="1"/>
    <s v="yes"/>
  </r>
  <r>
    <s v="Campbell"/>
    <s v=" Mr"/>
    <s v=" William Henry"/>
    <x v="0"/>
    <x v="0"/>
    <n v="21"/>
    <x v="2"/>
    <x v="1"/>
    <s v="B"/>
    <x v="2"/>
    <x v="10"/>
    <x v="25"/>
    <x v="1"/>
    <n v="0"/>
    <n v="0"/>
    <x v="0"/>
    <s v="Alone"/>
    <x v="0"/>
    <s v="no"/>
  </r>
  <r>
    <s v="Canavan"/>
    <s v=" Miss"/>
    <s v=" Mary"/>
    <x v="1"/>
    <x v="1"/>
    <n v="22"/>
    <x v="2"/>
    <x v="0"/>
    <s v="Q"/>
    <x v="3"/>
    <x v="16"/>
    <x v="55"/>
    <x v="0"/>
    <n v="0"/>
    <n v="0"/>
    <x v="0"/>
    <s v="Alone"/>
    <x v="0"/>
    <s v="no"/>
  </r>
  <r>
    <s v="Canavan"/>
    <s v=" Mr"/>
    <s v=" Patrick"/>
    <x v="0"/>
    <x v="0"/>
    <n v="21"/>
    <x v="2"/>
    <x v="0"/>
    <s v="Q"/>
    <x v="3"/>
    <x v="16"/>
    <x v="55"/>
    <x v="0"/>
    <n v="0"/>
    <n v="0"/>
    <x v="0"/>
    <s v="Alone"/>
    <x v="0"/>
    <s v="no"/>
  </r>
  <r>
    <s v="Candee"/>
    <s v=" Mrs"/>
    <s v=" Helen Churchill"/>
    <x v="1"/>
    <x v="1"/>
    <n v="52"/>
    <x v="0"/>
    <x v="2"/>
    <s v="C"/>
    <x v="1"/>
    <x v="0"/>
    <x v="78"/>
    <x v="1"/>
    <n v="0"/>
    <n v="0"/>
    <x v="0"/>
    <s v="Alone"/>
    <x v="1"/>
    <s v="yes"/>
  </r>
  <r>
    <s v="Cann"/>
    <s v=" Mr"/>
    <s v=" Ernest"/>
    <x v="0"/>
    <x v="0"/>
    <n v="29"/>
    <x v="2"/>
    <x v="0"/>
    <s v="S"/>
    <x v="0"/>
    <x v="1"/>
    <x v="7"/>
    <x v="0"/>
    <n v="0"/>
    <n v="0"/>
    <x v="0"/>
    <s v="Alone"/>
    <x v="0"/>
    <s v="no"/>
  </r>
  <r>
    <s v="Caram"/>
    <s v=" Mr"/>
    <s v=" Joseph"/>
    <x v="0"/>
    <x v="0"/>
    <n v="28"/>
    <x v="2"/>
    <x v="0"/>
    <s v="C"/>
    <x v="1"/>
    <x v="8"/>
    <x v="35"/>
    <x v="0"/>
    <n v="1"/>
    <n v="0"/>
    <x v="2"/>
    <s v="With Family"/>
    <x v="0"/>
    <s v="no"/>
  </r>
  <r>
    <s v="Caram"/>
    <s v=" Mrs"/>
    <s v=" Maria Elias"/>
    <x v="1"/>
    <x v="1"/>
    <n v="18"/>
    <x v="2"/>
    <x v="0"/>
    <s v="C"/>
    <x v="1"/>
    <x v="4"/>
    <x v="35"/>
    <x v="0"/>
    <n v="1"/>
    <n v="0"/>
    <x v="2"/>
    <s v="With Family"/>
    <x v="0"/>
    <s v="no"/>
  </r>
  <r>
    <s v="Carbines"/>
    <s v=" Mr"/>
    <s v=" William"/>
    <x v="0"/>
    <x v="0"/>
    <n v="19"/>
    <x v="2"/>
    <x v="1"/>
    <s v="S"/>
    <x v="0"/>
    <x v="1"/>
    <x v="10"/>
    <x v="0"/>
    <n v="0"/>
    <n v="0"/>
    <x v="0"/>
    <s v="Alone"/>
    <x v="0"/>
    <s v="no"/>
  </r>
  <r>
    <s v="Cardeza"/>
    <s v=" Mrs"/>
    <s v=" Charlotte Wardle"/>
    <x v="1"/>
    <x v="1"/>
    <n v="58"/>
    <x v="4"/>
    <x v="2"/>
    <s v="C"/>
    <x v="1"/>
    <x v="0"/>
    <x v="79"/>
    <x v="2"/>
    <n v="0"/>
    <n v="1"/>
    <x v="2"/>
    <s v="With Family"/>
    <x v="1"/>
    <s v="yes"/>
  </r>
  <r>
    <s v="Cardeza"/>
    <s v=" Mr"/>
    <s v=" Thomas Drake Martinez"/>
    <x v="0"/>
    <x v="0"/>
    <n v="36"/>
    <x v="0"/>
    <x v="2"/>
    <s v="C"/>
    <x v="1"/>
    <x v="0"/>
    <x v="79"/>
    <x v="2"/>
    <n v="0"/>
    <n v="1"/>
    <x v="2"/>
    <s v="With Family"/>
    <x v="1"/>
    <s v="yes"/>
  </r>
  <r>
    <s v="Carlsson"/>
    <s v=" Mr"/>
    <s v=" August Sigfrid"/>
    <x v="0"/>
    <x v="0"/>
    <n v="28"/>
    <x v="2"/>
    <x v="0"/>
    <s v="S"/>
    <x v="0"/>
    <x v="6"/>
    <x v="32"/>
    <x v="0"/>
    <n v="0"/>
    <n v="0"/>
    <x v="0"/>
    <s v="Alone"/>
    <x v="0"/>
    <s v="no"/>
  </r>
  <r>
    <s v="Carlsson"/>
    <s v=" Mr"/>
    <s v=" Carl Robert"/>
    <x v="0"/>
    <x v="0"/>
    <n v="24"/>
    <x v="2"/>
    <x v="0"/>
    <s v="S"/>
    <x v="0"/>
    <x v="6"/>
    <x v="17"/>
    <x v="0"/>
    <n v="0"/>
    <n v="0"/>
    <x v="0"/>
    <s v="Alone"/>
    <x v="0"/>
    <s v="no"/>
  </r>
  <r>
    <s v="Carlsson"/>
    <s v=" Mr"/>
    <s v=" Frans Olof"/>
    <x v="0"/>
    <x v="0"/>
    <n v="33"/>
    <x v="2"/>
    <x v="2"/>
    <s v="S"/>
    <x v="0"/>
    <x v="0"/>
    <x v="80"/>
    <x v="0"/>
    <n v="0"/>
    <n v="0"/>
    <x v="0"/>
    <s v="Alone"/>
    <x v="0"/>
    <s v="no"/>
  </r>
  <r>
    <s v="CarraÃº-Esteves"/>
    <s v=" Mr"/>
    <s v=" JosÃ© Pedro"/>
    <x v="0"/>
    <x v="0"/>
    <n v="17"/>
    <x v="1"/>
    <x v="2"/>
    <s v="S"/>
    <x v="0"/>
    <x v="24"/>
    <x v="81"/>
    <x v="3"/>
    <n v="0"/>
    <n v="0"/>
    <x v="0"/>
    <s v="Alone"/>
    <x v="0"/>
    <s v="no"/>
  </r>
  <r>
    <s v="Carrau"/>
    <s v=" Mr"/>
    <s v=" Francisco Mauro Severiano"/>
    <x v="0"/>
    <x v="0"/>
    <n v="27"/>
    <x v="2"/>
    <x v="2"/>
    <s v="S"/>
    <x v="0"/>
    <x v="24"/>
    <x v="81"/>
    <x v="3"/>
    <n v="0"/>
    <n v="0"/>
    <x v="0"/>
    <s v="Alone"/>
    <x v="0"/>
    <s v="no"/>
  </r>
  <r>
    <s v="Carr"/>
    <s v=" Miss"/>
    <s v=" Jane"/>
    <x v="1"/>
    <x v="1"/>
    <n v="45"/>
    <x v="0"/>
    <x v="0"/>
    <s v="Q"/>
    <x v="3"/>
    <x v="16"/>
    <x v="55"/>
    <x v="0"/>
    <n v="0"/>
    <n v="0"/>
    <x v="0"/>
    <s v="Alone"/>
    <x v="0"/>
    <s v="no"/>
  </r>
  <r>
    <s v="Carter"/>
    <s v=" Fr"/>
    <s v=" Ernest Courtenay"/>
    <x v="0"/>
    <x v="0"/>
    <n v="54"/>
    <x v="0"/>
    <x v="1"/>
    <s v="S"/>
    <x v="0"/>
    <x v="1"/>
    <x v="27"/>
    <x v="1"/>
    <n v="1"/>
    <n v="0"/>
    <x v="2"/>
    <s v="With Family"/>
    <x v="0"/>
    <s v="no"/>
  </r>
  <r>
    <s v="Carter"/>
    <s v=" Master"/>
    <s v=" William Thornton II"/>
    <x v="0"/>
    <x v="0"/>
    <n v="11"/>
    <x v="1"/>
    <x v="2"/>
    <s v="S"/>
    <x v="0"/>
    <x v="0"/>
    <x v="82"/>
    <x v="2"/>
    <n v="1"/>
    <n v="2"/>
    <x v="3"/>
    <s v="With Family"/>
    <x v="1"/>
    <s v="yes"/>
  </r>
  <r>
    <s v="Carter"/>
    <s v=" Miss"/>
    <s v=" Lucile Polk"/>
    <x v="1"/>
    <x v="1"/>
    <n v="13"/>
    <x v="1"/>
    <x v="2"/>
    <s v="S"/>
    <x v="0"/>
    <x v="0"/>
    <x v="82"/>
    <x v="2"/>
    <n v="1"/>
    <n v="2"/>
    <x v="3"/>
    <s v="With Family"/>
    <x v="1"/>
    <s v="yes"/>
  </r>
  <r>
    <s v="Carter"/>
    <s v=" Mrs"/>
    <s v=" Lilian"/>
    <x v="1"/>
    <x v="1"/>
    <n v="45"/>
    <x v="0"/>
    <x v="1"/>
    <s v="S"/>
    <x v="0"/>
    <x v="1"/>
    <x v="27"/>
    <x v="1"/>
    <n v="1"/>
    <n v="0"/>
    <x v="2"/>
    <s v="With Family"/>
    <x v="0"/>
    <s v="no"/>
  </r>
  <r>
    <s v="Carter"/>
    <s v=" Mrs"/>
    <s v=" Lucile"/>
    <x v="1"/>
    <x v="1"/>
    <n v="36"/>
    <x v="0"/>
    <x v="2"/>
    <s v="S"/>
    <x v="0"/>
    <x v="0"/>
    <x v="82"/>
    <x v="2"/>
    <n v="1"/>
    <n v="2"/>
    <x v="3"/>
    <s v="With Family"/>
    <x v="1"/>
    <s v="yes"/>
  </r>
  <r>
    <s v="Carter"/>
    <s v=" Mr"/>
    <s v=" William Ernest"/>
    <x v="0"/>
    <x v="0"/>
    <n v="36"/>
    <x v="0"/>
    <x v="2"/>
    <s v="S"/>
    <x v="0"/>
    <x v="0"/>
    <x v="82"/>
    <x v="2"/>
    <n v="1"/>
    <n v="2"/>
    <x v="3"/>
    <s v="With Family"/>
    <x v="1"/>
    <s v="yes"/>
  </r>
  <r>
    <s v="Carver"/>
    <s v=" Mr"/>
    <s v=" Alfred John"/>
    <x v="0"/>
    <x v="0"/>
    <n v="28"/>
    <x v="2"/>
    <x v="0"/>
    <s v="S"/>
    <x v="0"/>
    <x v="1"/>
    <x v="6"/>
    <x v="0"/>
    <n v="0"/>
    <n v="0"/>
    <x v="0"/>
    <s v="Alone"/>
    <x v="0"/>
    <s v="no"/>
  </r>
  <r>
    <s v="Case"/>
    <s v=" Mr"/>
    <s v=" Howard Brown"/>
    <x v="0"/>
    <x v="0"/>
    <n v="49"/>
    <x v="0"/>
    <x v="2"/>
    <s v="S"/>
    <x v="0"/>
    <x v="0"/>
    <x v="27"/>
    <x v="1"/>
    <n v="0"/>
    <n v="0"/>
    <x v="0"/>
    <s v="Alone"/>
    <x v="0"/>
    <s v="no"/>
  </r>
  <r>
    <s v="Cassebeer"/>
    <s v=" Mrs"/>
    <s v=" Eleanor Genevieve"/>
    <x v="1"/>
    <x v="1"/>
    <n v="36"/>
    <x v="0"/>
    <x v="2"/>
    <s v="C"/>
    <x v="1"/>
    <x v="0"/>
    <x v="68"/>
    <x v="1"/>
    <n v="0"/>
    <n v="0"/>
    <x v="0"/>
    <s v="Alone"/>
    <x v="1"/>
    <s v="yes"/>
  </r>
  <r>
    <s v="Cavendish"/>
    <s v=" Mrs"/>
    <s v=" Julia Florence"/>
    <x v="1"/>
    <x v="1"/>
    <n v="25"/>
    <x v="2"/>
    <x v="2"/>
    <s v="S"/>
    <x v="0"/>
    <x v="0"/>
    <x v="41"/>
    <x v="3"/>
    <n v="1"/>
    <n v="0"/>
    <x v="2"/>
    <s v="With Family"/>
    <x v="1"/>
    <s v="yes"/>
  </r>
  <r>
    <s v="Cavendish"/>
    <s v=" Mr"/>
    <s v=" Tyrell William"/>
    <x v="0"/>
    <x v="0"/>
    <n v="36"/>
    <x v="0"/>
    <x v="2"/>
    <s v="S"/>
    <x v="0"/>
    <x v="1"/>
    <x v="41"/>
    <x v="3"/>
    <n v="1"/>
    <n v="0"/>
    <x v="2"/>
    <s v="With Family"/>
    <x v="0"/>
    <s v="no"/>
  </r>
  <r>
    <s v="Celotti"/>
    <s v=" Mr"/>
    <s v=" Francesco"/>
    <x v="0"/>
    <x v="0"/>
    <n v="24"/>
    <x v="2"/>
    <x v="0"/>
    <s v="S"/>
    <x v="0"/>
    <x v="1"/>
    <x v="7"/>
    <x v="0"/>
    <n v="0"/>
    <n v="0"/>
    <x v="0"/>
    <s v="Alone"/>
    <x v="0"/>
    <s v="no"/>
  </r>
  <r>
    <s v="Chaffee"/>
    <s v=" Mr"/>
    <s v=" Herbert Fuller"/>
    <x v="0"/>
    <x v="0"/>
    <n v="46"/>
    <x v="0"/>
    <x v="2"/>
    <s v="S"/>
    <x v="0"/>
    <x v="0"/>
    <x v="83"/>
    <x v="3"/>
    <n v="1"/>
    <n v="0"/>
    <x v="2"/>
    <s v="With Family"/>
    <x v="0"/>
    <s v="no"/>
  </r>
  <r>
    <s v="Chaffee"/>
    <s v=" Mrs"/>
    <s v=" Carrie Constance"/>
    <x v="1"/>
    <x v="1"/>
    <n v="47"/>
    <x v="0"/>
    <x v="2"/>
    <s v="S"/>
    <x v="0"/>
    <x v="0"/>
    <x v="83"/>
    <x v="3"/>
    <n v="1"/>
    <n v="0"/>
    <x v="2"/>
    <s v="With Family"/>
    <x v="1"/>
    <s v="yes"/>
  </r>
  <r>
    <s v="Chambers"/>
    <s v=" Mr"/>
    <s v=" Norman Campbell"/>
    <x v="0"/>
    <x v="0"/>
    <n v="27"/>
    <x v="2"/>
    <x v="2"/>
    <s v="S"/>
    <x v="0"/>
    <x v="0"/>
    <x v="84"/>
    <x v="3"/>
    <n v="1"/>
    <n v="0"/>
    <x v="2"/>
    <s v="With Family"/>
    <x v="1"/>
    <s v="yes"/>
  </r>
  <r>
    <s v="Chambers"/>
    <s v=" Mrs"/>
    <s v=" Bertha"/>
    <x v="1"/>
    <x v="1"/>
    <n v="32"/>
    <x v="2"/>
    <x v="2"/>
    <s v="S"/>
    <x v="0"/>
    <x v="0"/>
    <x v="84"/>
    <x v="3"/>
    <n v="1"/>
    <n v="0"/>
    <x v="2"/>
    <s v="With Family"/>
    <x v="1"/>
    <s v="yes"/>
  </r>
  <r>
    <s v="Chapman"/>
    <s v=" Mr"/>
    <s v=" Charles Henry"/>
    <x v="0"/>
    <x v="0"/>
    <n v="52"/>
    <x v="0"/>
    <x v="1"/>
    <s v="S"/>
    <x v="0"/>
    <x v="0"/>
    <x v="85"/>
    <x v="0"/>
    <n v="0"/>
    <n v="0"/>
    <x v="0"/>
    <s v="Alone"/>
    <x v="0"/>
    <s v="no"/>
  </r>
  <r>
    <s v="Chapman"/>
    <s v=" Mr"/>
    <s v=" John Henry"/>
    <x v="0"/>
    <x v="0"/>
    <n v="37"/>
    <x v="0"/>
    <x v="1"/>
    <s v="S"/>
    <x v="0"/>
    <x v="1"/>
    <x v="27"/>
    <x v="1"/>
    <n v="1"/>
    <n v="0"/>
    <x v="2"/>
    <s v="With Family"/>
    <x v="0"/>
    <s v="no"/>
  </r>
  <r>
    <s v="Chapman"/>
    <s v=" Mrs"/>
    <s v=" Sara Elizabeth"/>
    <x v="1"/>
    <x v="1"/>
    <n v="29"/>
    <x v="2"/>
    <x v="1"/>
    <s v="S"/>
    <x v="0"/>
    <x v="1"/>
    <x v="27"/>
    <x v="1"/>
    <n v="1"/>
    <n v="0"/>
    <x v="2"/>
    <s v="With Family"/>
    <x v="0"/>
    <s v="no"/>
  </r>
  <r>
    <s v="Charters"/>
    <s v=" Mr"/>
    <s v=" David"/>
    <x v="0"/>
    <x v="0"/>
    <n v="20"/>
    <x v="2"/>
    <x v="0"/>
    <s v="Q"/>
    <x v="3"/>
    <x v="16"/>
    <x v="86"/>
    <x v="0"/>
    <n v="0"/>
    <n v="0"/>
    <x v="0"/>
    <s v="Alone"/>
    <x v="0"/>
    <s v="no"/>
  </r>
  <r>
    <s v="Chaudanson"/>
    <s v=" Miss"/>
    <s v=" Victorine"/>
    <x v="1"/>
    <x v="1"/>
    <n v="36"/>
    <x v="0"/>
    <x v="2"/>
    <s v="C"/>
    <x v="1"/>
    <x v="1"/>
    <x v="60"/>
    <x v="2"/>
    <n v="0"/>
    <n v="0"/>
    <x v="0"/>
    <s v="Alone"/>
    <x v="1"/>
    <s v="yes"/>
  </r>
  <r>
    <s v="Cherry"/>
    <s v=" Miss"/>
    <s v=" Gladys"/>
    <x v="1"/>
    <x v="1"/>
    <n v="30"/>
    <x v="2"/>
    <x v="2"/>
    <s v="S"/>
    <x v="0"/>
    <x v="1"/>
    <x v="87"/>
    <x v="3"/>
    <n v="0"/>
    <n v="0"/>
    <x v="0"/>
    <s v="Alone"/>
    <x v="1"/>
    <s v="yes"/>
  </r>
  <r>
    <s v="ChevrÃ©"/>
    <s v=" Mr"/>
    <s v=" Paul Romaine Marie LÃ©once"/>
    <x v="0"/>
    <x v="0"/>
    <n v="45"/>
    <x v="0"/>
    <x v="2"/>
    <s v="C"/>
    <x v="1"/>
    <x v="25"/>
    <x v="88"/>
    <x v="1"/>
    <n v="0"/>
    <n v="0"/>
    <x v="0"/>
    <s v="Alone"/>
    <x v="1"/>
    <s v="yes"/>
  </r>
  <r>
    <s v="Chibnall"/>
    <s v=" Mrs"/>
    <s v=" Edith Martha Bowerman"/>
    <x v="1"/>
    <x v="1"/>
    <n v="48"/>
    <x v="0"/>
    <x v="2"/>
    <s v="S"/>
    <x v="0"/>
    <x v="1"/>
    <x v="62"/>
    <x v="3"/>
    <n v="0"/>
    <n v="1"/>
    <x v="2"/>
    <s v="With Family"/>
    <x v="1"/>
    <s v="yes"/>
  </r>
  <r>
    <s v="Chip"/>
    <s v=" Mr"/>
    <s v=" Chang"/>
    <x v="0"/>
    <x v="0"/>
    <n v="32"/>
    <x v="2"/>
    <x v="0"/>
    <s v="S"/>
    <x v="0"/>
    <x v="1"/>
    <x v="52"/>
    <x v="3"/>
    <n v="0"/>
    <n v="0"/>
    <x v="0"/>
    <s v="Alone"/>
    <x v="1"/>
    <s v="yes"/>
  </r>
  <r>
    <s v="Chisholm"/>
    <s v=" Mr"/>
    <s v=" Roderick Robert Crispin"/>
    <x v="0"/>
    <x v="0"/>
    <n v="43"/>
    <x v="0"/>
    <x v="2"/>
    <s v="B"/>
    <x v="2"/>
    <x v="22"/>
    <x v="25"/>
    <x v="1"/>
    <n v="0"/>
    <n v="0"/>
    <x v="0"/>
    <s v="Alone"/>
    <x v="0"/>
    <s v="no"/>
  </r>
  <r>
    <s v="Christmann"/>
    <s v=" Mr"/>
    <s v=" Emil"/>
    <x v="0"/>
    <x v="0"/>
    <n v="29"/>
    <x v="2"/>
    <x v="0"/>
    <s v="S"/>
    <x v="0"/>
    <x v="1"/>
    <x v="7"/>
    <x v="0"/>
    <n v="0"/>
    <n v="0"/>
    <x v="0"/>
    <s v="Alone"/>
    <x v="0"/>
    <s v="no"/>
  </r>
  <r>
    <s v="Christy"/>
    <s v=" Miss"/>
    <s v=" Rachel Juli Cohen"/>
    <x v="1"/>
    <x v="1"/>
    <n v="25"/>
    <x v="2"/>
    <x v="1"/>
    <s v="S"/>
    <x v="0"/>
    <x v="1"/>
    <x v="42"/>
    <x v="1"/>
    <n v="1"/>
    <n v="1"/>
    <x v="1"/>
    <s v="With Family"/>
    <x v="1"/>
    <s v="yes"/>
  </r>
  <r>
    <s v="Christy"/>
    <s v=" Mrs"/>
    <s v=" Alice Frances"/>
    <x v="1"/>
    <x v="1"/>
    <n v="52"/>
    <x v="0"/>
    <x v="1"/>
    <s v="S"/>
    <x v="0"/>
    <x v="1"/>
    <x v="42"/>
    <x v="1"/>
    <n v="0"/>
    <n v="2"/>
    <x v="1"/>
    <s v="With Family"/>
    <x v="1"/>
    <s v="yes"/>
  </r>
  <r>
    <s v="Chronopoulos"/>
    <s v=" Mr"/>
    <s v=" Apostolos M"/>
    <x v="0"/>
    <x v="0"/>
    <n v="26"/>
    <x v="2"/>
    <x v="0"/>
    <s v="C"/>
    <x v="1"/>
    <x v="1"/>
    <x v="40"/>
    <x v="0"/>
    <n v="1"/>
    <n v="0"/>
    <x v="2"/>
    <s v="With Family"/>
    <x v="0"/>
    <s v="no"/>
  </r>
  <r>
    <s v="Chronopoulos"/>
    <s v=" Mr"/>
    <s v=" Dimitrios M"/>
    <x v="0"/>
    <x v="0"/>
    <n v="21"/>
    <x v="2"/>
    <x v="0"/>
    <s v="C"/>
    <x v="1"/>
    <x v="1"/>
    <x v="40"/>
    <x v="0"/>
    <n v="1"/>
    <n v="0"/>
    <x v="2"/>
    <s v="With Family"/>
    <x v="0"/>
    <s v="no"/>
  </r>
  <r>
    <s v="Clarke"/>
    <s v=" Mr"/>
    <s v=" Charles Valentine"/>
    <x v="0"/>
    <x v="0"/>
    <n v="29"/>
    <x v="2"/>
    <x v="1"/>
    <s v="S"/>
    <x v="0"/>
    <x v="1"/>
    <x v="27"/>
    <x v="1"/>
    <n v="1"/>
    <n v="0"/>
    <x v="2"/>
    <s v="With Family"/>
    <x v="0"/>
    <s v="no"/>
  </r>
  <r>
    <s v="Clarke"/>
    <s v=" Mr"/>
    <s v=" John Frederick Preston"/>
    <x v="0"/>
    <x v="0"/>
    <n v="28"/>
    <x v="2"/>
    <x v="1"/>
    <s v="S"/>
    <x v="0"/>
    <x v="1"/>
    <x v="25"/>
    <x v="1"/>
    <n v="1"/>
    <s v="NA"/>
    <x v="5"/>
    <e v="#VALUE!"/>
    <x v="0"/>
    <s v="no"/>
  </r>
  <r>
    <s v="Clarke"/>
    <s v=" Mrs"/>
    <s v=" Ada Maria"/>
    <x v="1"/>
    <x v="1"/>
    <n v="28"/>
    <x v="2"/>
    <x v="1"/>
    <s v="S"/>
    <x v="0"/>
    <x v="1"/>
    <x v="89"/>
    <x v="1"/>
    <n v="1"/>
    <n v="0"/>
    <x v="2"/>
    <s v="With Family"/>
    <x v="1"/>
    <s v="yes"/>
  </r>
  <r>
    <s v="Clark"/>
    <s v=" Mrs"/>
    <s v=" Virginia Estelle"/>
    <x v="1"/>
    <x v="1"/>
    <n v="26"/>
    <x v="2"/>
    <x v="2"/>
    <s v="C"/>
    <x v="1"/>
    <x v="0"/>
    <x v="90"/>
    <x v="2"/>
    <n v="1"/>
    <n v="0"/>
    <x v="2"/>
    <s v="With Family"/>
    <x v="1"/>
    <s v="yes"/>
  </r>
  <r>
    <s v="Clark"/>
    <s v=" Mr"/>
    <s v=" Walter Miller"/>
    <x v="0"/>
    <x v="0"/>
    <n v="27"/>
    <x v="2"/>
    <x v="2"/>
    <s v="C"/>
    <x v="1"/>
    <x v="0"/>
    <x v="90"/>
    <x v="2"/>
    <n v="1"/>
    <n v="0"/>
    <x v="2"/>
    <s v="With Family"/>
    <x v="0"/>
    <s v="no"/>
  </r>
  <r>
    <s v="Cleaver"/>
    <s v=" Miss"/>
    <s v=" Alice Catherine"/>
    <x v="1"/>
    <x v="1"/>
    <n v="22"/>
    <x v="2"/>
    <x v="2"/>
    <s v="S"/>
    <x v="0"/>
    <x v="1"/>
    <x v="14"/>
    <x v="2"/>
    <n v="0"/>
    <n v="0"/>
    <x v="0"/>
    <s v="Alone"/>
    <x v="1"/>
    <s v="yes"/>
  </r>
  <r>
    <s v="Clifford"/>
    <s v=" Mr"/>
    <s v=" George Quincy"/>
    <x v="0"/>
    <x v="0"/>
    <n v="40"/>
    <x v="0"/>
    <x v="2"/>
    <s v="S"/>
    <x v="0"/>
    <x v="0"/>
    <x v="91"/>
    <x v="3"/>
    <n v="0"/>
    <n v="0"/>
    <x v="0"/>
    <s v="Alone"/>
    <x v="0"/>
    <s v="no"/>
  </r>
  <r>
    <s v="Coelho"/>
    <s v=" Mr"/>
    <s v=" Domingos Fernandeo"/>
    <x v="0"/>
    <x v="0"/>
    <n v="20"/>
    <x v="2"/>
    <x v="0"/>
    <s v="S"/>
    <x v="0"/>
    <x v="1"/>
    <x v="12"/>
    <x v="0"/>
    <n v="0"/>
    <n v="0"/>
    <x v="0"/>
    <s v="Alone"/>
    <x v="0"/>
    <s v="no"/>
  </r>
  <r>
    <s v="Cohen"/>
    <s v=" Mr"/>
    <s v=" Gurshon"/>
    <x v="0"/>
    <x v="0"/>
    <n v="18"/>
    <x v="2"/>
    <x v="0"/>
    <s v="S"/>
    <x v="0"/>
    <x v="1"/>
    <x v="7"/>
    <x v="0"/>
    <n v="0"/>
    <n v="0"/>
    <x v="0"/>
    <s v="Alone"/>
    <x v="1"/>
    <s v="yes"/>
  </r>
  <r>
    <s v="Colbert"/>
    <s v=" Mr"/>
    <s v=" Patrick"/>
    <x v="0"/>
    <x v="0"/>
    <n v="24"/>
    <x v="2"/>
    <x v="0"/>
    <s v="Q"/>
    <x v="3"/>
    <x v="16"/>
    <x v="6"/>
    <x v="0"/>
    <n v="0"/>
    <n v="0"/>
    <x v="0"/>
    <s v="Alone"/>
    <x v="0"/>
    <s v="no"/>
  </r>
  <r>
    <s v="Coleff"/>
    <s v=" Mr"/>
    <s v=" Satio"/>
    <x v="0"/>
    <x v="0"/>
    <n v="24"/>
    <x v="2"/>
    <x v="0"/>
    <s v="S"/>
    <x v="0"/>
    <x v="11"/>
    <x v="26"/>
    <x v="0"/>
    <n v="0"/>
    <n v="0"/>
    <x v="0"/>
    <s v="Alone"/>
    <x v="0"/>
    <s v="no"/>
  </r>
  <r>
    <s v="Coleridge"/>
    <s v=" Mr"/>
    <s v=" Reginald Charles"/>
    <x v="0"/>
    <x v="0"/>
    <n v="29"/>
    <x v="2"/>
    <x v="1"/>
    <s v="S"/>
    <x v="0"/>
    <x v="1"/>
    <x v="23"/>
    <x v="0"/>
    <n v="0"/>
    <n v="0"/>
    <x v="0"/>
    <s v="Alone"/>
    <x v="0"/>
    <s v="no"/>
  </r>
  <r>
    <s v="Collander"/>
    <s v=" Mr"/>
    <s v=" Erik Gustaf"/>
    <x v="0"/>
    <x v="0"/>
    <n v="27"/>
    <x v="2"/>
    <x v="1"/>
    <s v="S"/>
    <x v="0"/>
    <x v="5"/>
    <x v="10"/>
    <x v="0"/>
    <n v="0"/>
    <n v="0"/>
    <x v="0"/>
    <s v="Alone"/>
    <x v="0"/>
    <s v="no"/>
  </r>
  <r>
    <s v="Collett"/>
    <s v=" Mr"/>
    <s v=" Sidney Clarence Stuart"/>
    <x v="0"/>
    <x v="0"/>
    <n v="25"/>
    <x v="2"/>
    <x v="1"/>
    <s v="S"/>
    <x v="0"/>
    <x v="1"/>
    <x v="23"/>
    <x v="0"/>
    <n v="0"/>
    <n v="0"/>
    <x v="0"/>
    <s v="Alone"/>
    <x v="1"/>
    <s v="yes"/>
  </r>
  <r>
    <s v="Colley"/>
    <s v=" Mr"/>
    <s v=" Edward Pomeroy"/>
    <x v="0"/>
    <x v="0"/>
    <n v="37"/>
    <x v="0"/>
    <x v="2"/>
    <s v="S"/>
    <x v="0"/>
    <x v="16"/>
    <x v="92"/>
    <x v="1"/>
    <n v="0"/>
    <n v="0"/>
    <x v="0"/>
    <s v="Alone"/>
    <x v="0"/>
    <s v="no"/>
  </r>
  <r>
    <s v="Collyer"/>
    <s v=" Miss"/>
    <s v=" Marjorie Lottie"/>
    <x v="1"/>
    <x v="1"/>
    <n v="8"/>
    <x v="3"/>
    <x v="1"/>
    <s v="S"/>
    <x v="0"/>
    <x v="1"/>
    <x v="93"/>
    <x v="1"/>
    <n v="0"/>
    <n v="2"/>
    <x v="1"/>
    <s v="With Family"/>
    <x v="1"/>
    <s v="yes"/>
  </r>
  <r>
    <s v="Collyer"/>
    <s v=" Mr"/>
    <s v=" Harvey"/>
    <x v="0"/>
    <x v="0"/>
    <n v="31"/>
    <x v="2"/>
    <x v="1"/>
    <s v="S"/>
    <x v="0"/>
    <x v="1"/>
    <x v="93"/>
    <x v="1"/>
    <n v="1"/>
    <n v="1"/>
    <x v="1"/>
    <s v="With Family"/>
    <x v="0"/>
    <s v="no"/>
  </r>
  <r>
    <s v="Collyer"/>
    <s v=" Mrs"/>
    <s v=" Charlotte Caroline"/>
    <x v="1"/>
    <x v="1"/>
    <n v="30"/>
    <x v="2"/>
    <x v="1"/>
    <s v="S"/>
    <x v="0"/>
    <x v="1"/>
    <x v="93"/>
    <x v="1"/>
    <n v="1"/>
    <n v="1"/>
    <x v="1"/>
    <s v="With Family"/>
    <x v="1"/>
    <s v="yes"/>
  </r>
  <r>
    <s v="Coltcheff"/>
    <s v=" Mr"/>
    <s v=" Peju"/>
    <x v="0"/>
    <x v="0"/>
    <n v="36"/>
    <x v="0"/>
    <x v="0"/>
    <s v="S"/>
    <x v="0"/>
    <x v="11"/>
    <x v="26"/>
    <x v="0"/>
    <n v="0"/>
    <n v="0"/>
    <x v="0"/>
    <s v="Alone"/>
    <x v="0"/>
    <s v="no"/>
  </r>
  <r>
    <s v="Compton"/>
    <s v=" Miss"/>
    <s v=" Sara Rebecca"/>
    <x v="1"/>
    <x v="1"/>
    <n v="39"/>
    <x v="0"/>
    <x v="2"/>
    <s v="C"/>
    <x v="1"/>
    <x v="0"/>
    <x v="94"/>
    <x v="3"/>
    <n v="1"/>
    <n v="1"/>
    <x v="1"/>
    <s v="With Family"/>
    <x v="1"/>
    <s v="yes"/>
  </r>
  <r>
    <s v="Compton"/>
    <s v=" Mr"/>
    <s v=" Alexander Taylor jr"/>
    <x v="0"/>
    <x v="0"/>
    <n v="37"/>
    <x v="0"/>
    <x v="2"/>
    <s v="C"/>
    <x v="1"/>
    <x v="0"/>
    <x v="94"/>
    <x v="3"/>
    <n v="1"/>
    <n v="1"/>
    <x v="1"/>
    <s v="With Family"/>
    <x v="0"/>
    <s v="no"/>
  </r>
  <r>
    <s v="Compton"/>
    <s v=" Mrs"/>
    <s v=" Mary Eliza"/>
    <x v="1"/>
    <x v="1"/>
    <n v="64"/>
    <x v="4"/>
    <x v="2"/>
    <s v="C"/>
    <x v="1"/>
    <x v="0"/>
    <x v="94"/>
    <x v="3"/>
    <n v="0"/>
    <n v="2"/>
    <x v="1"/>
    <s v="With Family"/>
    <x v="1"/>
    <s v="yes"/>
  </r>
  <r>
    <s v="Conlin"/>
    <s v=" Mr"/>
    <s v=" Thomas Henry"/>
    <x v="0"/>
    <x v="0"/>
    <n v="31"/>
    <x v="2"/>
    <x v="0"/>
    <s v="Q"/>
    <x v="3"/>
    <x v="0"/>
    <x v="86"/>
    <x v="0"/>
    <n v="0"/>
    <n v="0"/>
    <x v="0"/>
    <s v="Alone"/>
    <x v="0"/>
    <s v="no"/>
  </r>
  <r>
    <s v="Connaughton"/>
    <s v=" Mr"/>
    <s v=" Michael"/>
    <x v="0"/>
    <x v="0"/>
    <n v="40"/>
    <x v="0"/>
    <x v="0"/>
    <s v="Q"/>
    <x v="3"/>
    <x v="16"/>
    <x v="55"/>
    <x v="0"/>
    <n v="0"/>
    <n v="0"/>
    <x v="0"/>
    <s v="Alone"/>
    <x v="0"/>
    <s v="no"/>
  </r>
  <r>
    <s v="Connolly"/>
    <s v=" Miss"/>
    <s v=" Catherine"/>
    <x v="1"/>
    <x v="1"/>
    <n v="23"/>
    <x v="2"/>
    <x v="0"/>
    <s v="Q"/>
    <x v="3"/>
    <x v="16"/>
    <x v="55"/>
    <x v="0"/>
    <n v="0"/>
    <n v="0"/>
    <x v="0"/>
    <s v="Alone"/>
    <x v="1"/>
    <s v="yes"/>
  </r>
  <r>
    <s v="Connolly"/>
    <s v=" Miss"/>
    <s v=" Kate"/>
    <x v="1"/>
    <x v="1"/>
    <n v="41"/>
    <x v="0"/>
    <x v="0"/>
    <s v="Q"/>
    <x v="3"/>
    <x v="16"/>
    <x v="95"/>
    <x v="0"/>
    <n v="0"/>
    <n v="0"/>
    <x v="0"/>
    <s v="Alone"/>
    <x v="0"/>
    <s v="no"/>
  </r>
  <r>
    <s v="Connors"/>
    <s v=" Mr"/>
    <s v=" Patrick"/>
    <x v="0"/>
    <x v="0"/>
    <n v="66"/>
    <x v="4"/>
    <x v="0"/>
    <s v="Q"/>
    <x v="3"/>
    <x v="16"/>
    <x v="55"/>
    <x v="0"/>
    <n v="0"/>
    <n v="0"/>
    <x v="0"/>
    <s v="Alone"/>
    <x v="0"/>
    <s v="no"/>
  </r>
  <r>
    <s v="Cook"/>
    <s v=" Mr"/>
    <s v=" Jacob"/>
    <x v="0"/>
    <x v="0"/>
    <n v="43"/>
    <x v="0"/>
    <x v="0"/>
    <s v="S"/>
    <x v="0"/>
    <x v="1"/>
    <x v="7"/>
    <x v="0"/>
    <n v="0"/>
    <n v="0"/>
    <x v="0"/>
    <s v="Alone"/>
    <x v="0"/>
    <s v="no"/>
  </r>
  <r>
    <s v="Cook"/>
    <s v=" Mrs"/>
    <s v=" Selena"/>
    <x v="1"/>
    <x v="1"/>
    <n v="22"/>
    <x v="2"/>
    <x v="1"/>
    <s v="S"/>
    <x v="0"/>
    <x v="1"/>
    <x v="23"/>
    <x v="0"/>
    <n v="0"/>
    <n v="0"/>
    <x v="0"/>
    <s v="Alone"/>
    <x v="1"/>
    <s v="yes"/>
  </r>
  <r>
    <s v="Corbett"/>
    <s v=" Mrs"/>
    <s v=" Irene"/>
    <x v="1"/>
    <x v="1"/>
    <n v="30"/>
    <x v="2"/>
    <x v="1"/>
    <s v="S"/>
    <x v="0"/>
    <x v="0"/>
    <x v="10"/>
    <x v="0"/>
    <n v="0"/>
    <n v="0"/>
    <x v="0"/>
    <s v="Alone"/>
    <x v="0"/>
    <s v="no"/>
  </r>
  <r>
    <s v="Corey"/>
    <s v=" Mrs"/>
    <s v=" Mary Emma"/>
    <x v="1"/>
    <x v="1"/>
    <n v="32"/>
    <x v="2"/>
    <x v="1"/>
    <s v="S"/>
    <x v="0"/>
    <x v="1"/>
    <x v="77"/>
    <x v="1"/>
    <n v="0"/>
    <n v="0"/>
    <x v="0"/>
    <s v="Alone"/>
    <x v="0"/>
    <s v="no"/>
  </r>
  <r>
    <s v="Cor"/>
    <s v=" Mr"/>
    <s v=" Bartol"/>
    <x v="0"/>
    <x v="0"/>
    <n v="35"/>
    <x v="2"/>
    <x v="0"/>
    <s v="S"/>
    <x v="0"/>
    <x v="21"/>
    <x v="26"/>
    <x v="0"/>
    <n v="0"/>
    <n v="0"/>
    <x v="0"/>
    <s v="Alone"/>
    <x v="0"/>
    <s v="no"/>
  </r>
  <r>
    <s v="Cor"/>
    <s v=" Mr"/>
    <s v=" Ivan"/>
    <x v="0"/>
    <x v="0"/>
    <n v="27"/>
    <x v="2"/>
    <x v="0"/>
    <s v="S"/>
    <x v="0"/>
    <x v="15"/>
    <x v="26"/>
    <x v="0"/>
    <n v="0"/>
    <n v="0"/>
    <x v="0"/>
    <s v="Alone"/>
    <x v="0"/>
    <s v="no"/>
  </r>
  <r>
    <s v="Cor"/>
    <s v=" Mr"/>
    <s v=" Liudevit"/>
    <x v="0"/>
    <x v="0"/>
    <n v="19"/>
    <x v="2"/>
    <x v="0"/>
    <s v="S"/>
    <x v="0"/>
    <x v="15"/>
    <x v="26"/>
    <x v="0"/>
    <n v="0"/>
    <n v="0"/>
    <x v="0"/>
    <s v="Alone"/>
    <x v="0"/>
    <s v="no"/>
  </r>
  <r>
    <s v="Cornblatt"/>
    <s v=" Mr"/>
    <s v=" Harris"/>
    <x v="0"/>
    <x v="0"/>
    <n v="30"/>
    <x v="2"/>
    <x v="0"/>
    <s v="S"/>
    <x v="0"/>
    <x v="26"/>
    <x v="7"/>
    <x v="0"/>
    <n v="0"/>
    <n v="0"/>
    <x v="0"/>
    <s v="Alone"/>
    <x v="0"/>
    <s v="no"/>
  </r>
  <r>
    <s v="Cornell"/>
    <s v=" Mrs"/>
    <s v=" Malvina Helen"/>
    <x v="1"/>
    <x v="1"/>
    <n v="55"/>
    <x v="0"/>
    <x v="2"/>
    <s v="S"/>
    <x v="0"/>
    <x v="0"/>
    <x v="96"/>
    <x v="1"/>
    <n v="2"/>
    <n v="0"/>
    <x v="1"/>
    <s v="With Family"/>
    <x v="1"/>
    <s v="yes"/>
  </r>
  <r>
    <s v="Corr"/>
    <s v=" Miss"/>
    <s v=" Ellen"/>
    <x v="1"/>
    <x v="1"/>
    <n v="16"/>
    <x v="1"/>
    <x v="0"/>
    <s v="Q"/>
    <x v="3"/>
    <x v="16"/>
    <x v="55"/>
    <x v="0"/>
    <n v="0"/>
    <n v="0"/>
    <x v="0"/>
    <s v="Alone"/>
    <x v="1"/>
    <s v="yes"/>
  </r>
  <r>
    <s v="Cotterill"/>
    <s v=" Mr"/>
    <s v=" Henry"/>
    <x v="0"/>
    <x v="0"/>
    <n v="21"/>
    <x v="2"/>
    <x v="1"/>
    <s v="S"/>
    <x v="0"/>
    <x v="1"/>
    <x v="22"/>
    <x v="0"/>
    <n v="0"/>
    <n v="0"/>
    <x v="0"/>
    <s v="Alone"/>
    <x v="0"/>
    <s v="no"/>
  </r>
  <r>
    <s v="Coutts"/>
    <s v=" Master"/>
    <s v=" Neville Leslie"/>
    <x v="0"/>
    <x v="0"/>
    <n v="3"/>
    <x v="3"/>
    <x v="0"/>
    <s v="S"/>
    <x v="0"/>
    <x v="1"/>
    <x v="97"/>
    <x v="1"/>
    <n v="1"/>
    <n v="1"/>
    <x v="1"/>
    <s v="With Family"/>
    <x v="1"/>
    <s v="yes"/>
  </r>
  <r>
    <s v="Coutts"/>
    <s v=" Master"/>
    <s v=" William Loch"/>
    <x v="0"/>
    <x v="0"/>
    <n v="9"/>
    <x v="1"/>
    <x v="0"/>
    <s v="S"/>
    <x v="0"/>
    <x v="1"/>
    <x v="97"/>
    <x v="1"/>
    <n v="1"/>
    <n v="1"/>
    <x v="1"/>
    <s v="With Family"/>
    <x v="1"/>
    <s v="yes"/>
  </r>
  <r>
    <s v="Coutts"/>
    <s v=" Mrs"/>
    <s v=" Winnie"/>
    <x v="1"/>
    <x v="1"/>
    <n v="36"/>
    <x v="0"/>
    <x v="0"/>
    <s v="S"/>
    <x v="0"/>
    <x v="1"/>
    <x v="97"/>
    <x v="1"/>
    <n v="0"/>
    <n v="2"/>
    <x v="1"/>
    <s v="With Family"/>
    <x v="1"/>
    <s v="yes"/>
  </r>
  <r>
    <s v="Coxon"/>
    <s v=" Mr"/>
    <s v=" Daniel"/>
    <x v="0"/>
    <x v="0"/>
    <n v="58"/>
    <x v="4"/>
    <x v="0"/>
    <s v="S"/>
    <x v="0"/>
    <x v="1"/>
    <x v="6"/>
    <x v="0"/>
    <n v="0"/>
    <n v="0"/>
    <x v="0"/>
    <s v="Alone"/>
    <x v="0"/>
    <s v="no"/>
  </r>
  <r>
    <s v="Crafton"/>
    <s v=" Mr"/>
    <s v=" John Bertram"/>
    <x v="0"/>
    <x v="0"/>
    <n v="59"/>
    <x v="4"/>
    <x v="2"/>
    <s v="S"/>
    <x v="0"/>
    <x v="0"/>
    <x v="19"/>
    <x v="1"/>
    <n v="0"/>
    <n v="0"/>
    <x v="0"/>
    <s v="Alone"/>
    <x v="0"/>
    <s v="no"/>
  </r>
  <r>
    <s v="Crease"/>
    <s v=" Mr"/>
    <s v=" Ernest James"/>
    <x v="0"/>
    <x v="0"/>
    <n v="20"/>
    <x v="2"/>
    <x v="0"/>
    <s v="S"/>
    <x v="0"/>
    <x v="0"/>
    <x v="98"/>
    <x v="0"/>
    <n v="0"/>
    <n v="0"/>
    <x v="0"/>
    <s v="Alone"/>
    <x v="0"/>
    <s v="no"/>
  </r>
  <r>
    <s v="Cribb"/>
    <s v=" Miss"/>
    <s v=" Laura Mae"/>
    <x v="1"/>
    <x v="1"/>
    <n v="16"/>
    <x v="1"/>
    <x v="0"/>
    <s v="S"/>
    <x v="0"/>
    <x v="0"/>
    <x v="61"/>
    <x v="1"/>
    <n v="0"/>
    <n v="1"/>
    <x v="2"/>
    <s v="With Family"/>
    <x v="1"/>
    <s v="yes"/>
  </r>
  <r>
    <s v="Cribb"/>
    <s v=" Mr"/>
    <s v=" John Hatfield"/>
    <x v="0"/>
    <x v="0"/>
    <n v="43"/>
    <x v="0"/>
    <x v="0"/>
    <s v="S"/>
    <x v="0"/>
    <x v="27"/>
    <x v="61"/>
    <x v="1"/>
    <n v="0"/>
    <n v="1"/>
    <x v="2"/>
    <s v="With Family"/>
    <x v="0"/>
    <s v="no"/>
  </r>
  <r>
    <s v="Crosby"/>
    <s v=" Captain"/>
    <s v=" Edward Gifford"/>
    <x v="0"/>
    <x v="0"/>
    <n v="70"/>
    <x v="4"/>
    <x v="2"/>
    <s v="S"/>
    <x v="0"/>
    <x v="0"/>
    <x v="99"/>
    <x v="3"/>
    <n v="1"/>
    <n v="1"/>
    <x v="1"/>
    <s v="With Family"/>
    <x v="0"/>
    <s v="no"/>
  </r>
  <r>
    <s v="Crosby"/>
    <s v=" Miss"/>
    <s v=" Harriette Rebecca"/>
    <x v="1"/>
    <x v="1"/>
    <n v="39"/>
    <x v="0"/>
    <x v="2"/>
    <s v="S"/>
    <x v="0"/>
    <x v="0"/>
    <x v="19"/>
    <x v="1"/>
    <n v="0"/>
    <n v="2"/>
    <x v="1"/>
    <s v="With Family"/>
    <x v="1"/>
    <s v="yes"/>
  </r>
  <r>
    <s v="Crosby"/>
    <s v=" Mrs"/>
    <s v=" Catherine Elizabeth"/>
    <x v="1"/>
    <x v="1"/>
    <n v="64"/>
    <x v="4"/>
    <x v="2"/>
    <s v="S"/>
    <x v="0"/>
    <x v="0"/>
    <x v="99"/>
    <x v="3"/>
    <n v="1"/>
    <n v="1"/>
    <x v="1"/>
    <s v="With Family"/>
    <x v="1"/>
    <s v="yes"/>
  </r>
  <r>
    <s v="Culumovic"/>
    <s v=" Mr"/>
    <s v=" Jeso"/>
    <x v="0"/>
    <x v="0"/>
    <n v="17"/>
    <x v="1"/>
    <x v="0"/>
    <s v="S"/>
    <x v="0"/>
    <x v="21"/>
    <x v="74"/>
    <x v="0"/>
    <n v="0"/>
    <n v="0"/>
    <x v="0"/>
    <s v="Alone"/>
    <x v="0"/>
    <s v="no"/>
  </r>
  <r>
    <s v="Cumings"/>
    <s v=" Mr"/>
    <s v=" John Bradley"/>
    <x v="0"/>
    <x v="0"/>
    <n v="39"/>
    <x v="0"/>
    <x v="2"/>
    <s v="C"/>
    <x v="1"/>
    <x v="0"/>
    <x v="100"/>
    <x v="3"/>
    <n v="1"/>
    <n v="0"/>
    <x v="2"/>
    <s v="With Family"/>
    <x v="0"/>
    <s v="no"/>
  </r>
  <r>
    <s v="Cumings"/>
    <s v=" Mrs"/>
    <s v=" Florence Briggs"/>
    <x v="1"/>
    <x v="1"/>
    <n v="35"/>
    <x v="2"/>
    <x v="2"/>
    <s v="C"/>
    <x v="1"/>
    <x v="28"/>
    <x v="100"/>
    <x v="3"/>
    <n v="1"/>
    <n v="0"/>
    <x v="2"/>
    <s v="With Family"/>
    <x v="1"/>
    <s v="yes"/>
  </r>
  <r>
    <s v="Cunningham"/>
    <s v=" Mr"/>
    <s v=" Alfred Fleming"/>
    <x v="0"/>
    <x v="0"/>
    <n v="22"/>
    <x v="2"/>
    <x v="1"/>
    <s v="B"/>
    <x v="2"/>
    <x v="10"/>
    <x v="25"/>
    <x v="1"/>
    <n v="0"/>
    <n v="0"/>
    <x v="0"/>
    <s v="Alone"/>
    <x v="0"/>
    <s v="no"/>
  </r>
  <r>
    <s v="Daher"/>
    <s v=" Mr"/>
    <s v=" Tannous"/>
    <x v="0"/>
    <x v="0"/>
    <n v="28"/>
    <x v="2"/>
    <x v="0"/>
    <s v="C"/>
    <x v="1"/>
    <x v="1"/>
    <x v="16"/>
    <x v="0"/>
    <n v="0"/>
    <n v="0"/>
    <x v="0"/>
    <s v="Alone"/>
    <x v="0"/>
    <s v="no"/>
  </r>
  <r>
    <s v="Dahlberg"/>
    <s v=" Miss"/>
    <s v=" Gerda Ulrika"/>
    <x v="1"/>
    <x v="1"/>
    <n v="22"/>
    <x v="2"/>
    <x v="0"/>
    <s v="S"/>
    <x v="0"/>
    <x v="6"/>
    <x v="101"/>
    <x v="0"/>
    <n v="0"/>
    <n v="0"/>
    <x v="0"/>
    <s v="Alone"/>
    <x v="0"/>
    <s v="no"/>
  </r>
  <r>
    <s v="Dahl"/>
    <s v=" Mr"/>
    <s v=" Charles Edward"/>
    <x v="0"/>
    <x v="0"/>
    <n v="45"/>
    <x v="0"/>
    <x v="0"/>
    <s v="S"/>
    <x v="0"/>
    <x v="1"/>
    <x v="7"/>
    <x v="0"/>
    <n v="0"/>
    <n v="0"/>
    <x v="0"/>
    <s v="Alone"/>
    <x v="1"/>
    <s v="yes"/>
  </r>
  <r>
    <s v="Dakic"/>
    <s v=" Mr"/>
    <s v=" Branko"/>
    <x v="0"/>
    <x v="0"/>
    <n v="19"/>
    <x v="2"/>
    <x v="0"/>
    <s v="S"/>
    <x v="0"/>
    <x v="1"/>
    <x v="102"/>
    <x v="0"/>
    <n v="0"/>
    <n v="0"/>
    <x v="0"/>
    <s v="Alone"/>
    <x v="0"/>
    <s v="no"/>
  </r>
  <r>
    <s v="Daly"/>
    <s v=" Miss"/>
    <s v=" Margaret Marcella"/>
    <x v="1"/>
    <x v="1"/>
    <n v="33"/>
    <x v="2"/>
    <x v="0"/>
    <s v="Q"/>
    <x v="3"/>
    <x v="16"/>
    <x v="103"/>
    <x v="0"/>
    <n v="0"/>
    <n v="0"/>
    <x v="0"/>
    <s v="Alone"/>
    <x v="1"/>
    <s v="yes"/>
  </r>
  <r>
    <s v="Daly"/>
    <s v=" Mr"/>
    <s v=" Eugene Patrick"/>
    <x v="0"/>
    <x v="0"/>
    <n v="29"/>
    <x v="2"/>
    <x v="0"/>
    <s v="Q"/>
    <x v="3"/>
    <x v="16"/>
    <x v="55"/>
    <x v="0"/>
    <n v="0"/>
    <n v="0"/>
    <x v="0"/>
    <s v="Alone"/>
    <x v="1"/>
    <s v="yes"/>
  </r>
  <r>
    <s v="Daly"/>
    <s v=" Mr"/>
    <s v=" Peter Dennis"/>
    <x v="0"/>
    <x v="0"/>
    <n v="51"/>
    <x v="0"/>
    <x v="2"/>
    <s v="S"/>
    <x v="0"/>
    <x v="1"/>
    <x v="19"/>
    <x v="1"/>
    <n v="0"/>
    <n v="0"/>
    <x v="0"/>
    <s v="Alone"/>
    <x v="1"/>
    <s v="yes"/>
  </r>
  <r>
    <s v="Danbom"/>
    <s v=" Master"/>
    <s v=" Gilbert Sigvard Emanuel"/>
    <x v="0"/>
    <x v="0"/>
    <n v="1"/>
    <x v="3"/>
    <x v="0"/>
    <s v="S"/>
    <x v="0"/>
    <x v="6"/>
    <x v="104"/>
    <x v="0"/>
    <n v="0"/>
    <n v="2"/>
    <x v="1"/>
    <s v="With Family"/>
    <x v="0"/>
    <s v="no"/>
  </r>
  <r>
    <s v="Danbom"/>
    <s v=" Mr"/>
    <s v=" Ernst Gilbert"/>
    <x v="0"/>
    <x v="0"/>
    <n v="34"/>
    <x v="2"/>
    <x v="0"/>
    <s v="S"/>
    <x v="0"/>
    <x v="6"/>
    <x v="104"/>
    <x v="0"/>
    <n v="1"/>
    <n v="1"/>
    <x v="1"/>
    <s v="With Family"/>
    <x v="0"/>
    <s v="no"/>
  </r>
  <r>
    <s v="Danbom"/>
    <s v=" Mrs"/>
    <s v=" Anna Sigrid Maria"/>
    <x v="1"/>
    <x v="1"/>
    <n v="28"/>
    <x v="2"/>
    <x v="0"/>
    <s v="S"/>
    <x v="0"/>
    <x v="6"/>
    <x v="104"/>
    <x v="0"/>
    <n v="1"/>
    <n v="1"/>
    <x v="1"/>
    <s v="With Family"/>
    <x v="0"/>
    <s v="no"/>
  </r>
  <r>
    <s v="Daniel"/>
    <s v=" Mr"/>
    <s v=" Robert Williams"/>
    <x v="0"/>
    <x v="0"/>
    <n v="27"/>
    <x v="2"/>
    <x v="2"/>
    <s v="S"/>
    <x v="0"/>
    <x v="0"/>
    <x v="64"/>
    <x v="1"/>
    <n v="0"/>
    <n v="0"/>
    <x v="0"/>
    <s v="Alone"/>
    <x v="1"/>
    <s v="yes"/>
  </r>
  <r>
    <s v="Daniels"/>
    <s v=" Miss"/>
    <s v=" Sarah Rebecca"/>
    <x v="1"/>
    <x v="1"/>
    <n v="36"/>
    <x v="0"/>
    <x v="2"/>
    <s v="S"/>
    <x v="0"/>
    <x v="1"/>
    <x v="14"/>
    <x v="2"/>
    <n v="0"/>
    <n v="0"/>
    <x v="0"/>
    <s v="Alone"/>
    <x v="1"/>
    <s v="yes"/>
  </r>
  <r>
    <s v="Danoff"/>
    <s v=" Mr"/>
    <s v=" Yoto"/>
    <x v="0"/>
    <x v="0"/>
    <n v="27"/>
    <x v="2"/>
    <x v="0"/>
    <s v="S"/>
    <x v="0"/>
    <x v="1"/>
    <x v="26"/>
    <x v="0"/>
    <n v="0"/>
    <n v="0"/>
    <x v="0"/>
    <s v="Alone"/>
    <x v="0"/>
    <s v="no"/>
  </r>
  <r>
    <s v="Davidson"/>
    <s v=" Mrs"/>
    <s v=" Orian"/>
    <x v="1"/>
    <x v="1"/>
    <n v="27"/>
    <x v="2"/>
    <x v="2"/>
    <s v="C"/>
    <x v="1"/>
    <x v="8"/>
    <x v="91"/>
    <x v="3"/>
    <n v="1"/>
    <n v="2"/>
    <x v="3"/>
    <s v="With Family"/>
    <x v="1"/>
    <s v="yes"/>
  </r>
  <r>
    <s v="Davidson"/>
    <s v=" Mr"/>
    <s v=" Thornton"/>
    <x v="0"/>
    <x v="0"/>
    <n v="31"/>
    <x v="2"/>
    <x v="2"/>
    <s v="C"/>
    <x v="1"/>
    <x v="8"/>
    <x v="91"/>
    <x v="3"/>
    <n v="1"/>
    <n v="0"/>
    <x v="2"/>
    <s v="With Family"/>
    <x v="0"/>
    <s v="no"/>
  </r>
  <r>
    <s v="Davies"/>
    <s v=" Master"/>
    <s v=" John Morgan jr"/>
    <x v="0"/>
    <x v="0"/>
    <n v="8"/>
    <x v="3"/>
    <x v="1"/>
    <s v="S"/>
    <x v="0"/>
    <x v="1"/>
    <x v="105"/>
    <x v="3"/>
    <n v="1"/>
    <n v="1"/>
    <x v="1"/>
    <s v="With Family"/>
    <x v="1"/>
    <s v="yes"/>
  </r>
  <r>
    <s v="Davies"/>
    <s v=" Mr"/>
    <s v=" Alfred James"/>
    <x v="0"/>
    <x v="0"/>
    <n v="24"/>
    <x v="2"/>
    <x v="0"/>
    <s v="S"/>
    <x v="0"/>
    <x v="1"/>
    <x v="106"/>
    <x v="1"/>
    <n v="2"/>
    <n v="0"/>
    <x v="1"/>
    <s v="With Family"/>
    <x v="0"/>
    <s v="no"/>
  </r>
  <r>
    <s v="Davies"/>
    <s v=" Mr"/>
    <s v=" Charles Henry"/>
    <x v="0"/>
    <x v="0"/>
    <n v="19"/>
    <x v="2"/>
    <x v="1"/>
    <s v="S"/>
    <x v="0"/>
    <x v="1"/>
    <x v="107"/>
    <x v="3"/>
    <n v="0"/>
    <n v="0"/>
    <x v="0"/>
    <s v="Alone"/>
    <x v="0"/>
    <s v="no"/>
  </r>
  <r>
    <s v="Davies"/>
    <s v=" Mr"/>
    <s v=" Evan Lewis"/>
    <x v="0"/>
    <x v="0"/>
    <n v="22"/>
    <x v="2"/>
    <x v="0"/>
    <s v="S"/>
    <x v="0"/>
    <x v="19"/>
    <x v="7"/>
    <x v="0"/>
    <n v="0"/>
    <n v="0"/>
    <x v="0"/>
    <s v="Alone"/>
    <x v="0"/>
    <s v="no"/>
  </r>
  <r>
    <s v="Davies"/>
    <s v=" Mr"/>
    <s v=" John"/>
    <x v="0"/>
    <x v="0"/>
    <n v="22"/>
    <x v="2"/>
    <x v="0"/>
    <s v="S"/>
    <x v="0"/>
    <x v="1"/>
    <x v="106"/>
    <x v="1"/>
    <n v="2"/>
    <n v="0"/>
    <x v="1"/>
    <s v="With Family"/>
    <x v="0"/>
    <s v="no"/>
  </r>
  <r>
    <s v="Davies"/>
    <s v=" Mr"/>
    <s v=" Joseph"/>
    <x v="0"/>
    <x v="0"/>
    <n v="17"/>
    <x v="1"/>
    <x v="0"/>
    <s v="S"/>
    <x v="0"/>
    <x v="1"/>
    <x v="7"/>
    <x v="0"/>
    <n v="2"/>
    <n v="0"/>
    <x v="1"/>
    <s v="With Family"/>
    <x v="0"/>
    <s v="no"/>
  </r>
  <r>
    <s v="Davies"/>
    <s v=" Mrs"/>
    <s v=" Agnes"/>
    <x v="1"/>
    <x v="1"/>
    <n v="48"/>
    <x v="0"/>
    <x v="1"/>
    <s v="S"/>
    <x v="0"/>
    <x v="1"/>
    <x v="105"/>
    <x v="3"/>
    <n v="0"/>
    <n v="2"/>
    <x v="1"/>
    <s v="With Family"/>
    <x v="1"/>
    <s v="yes"/>
  </r>
  <r>
    <s v="Davis"/>
    <s v=" Miss"/>
    <s v=" Mary Ann Charlotte"/>
    <x v="1"/>
    <x v="1"/>
    <n v="28"/>
    <x v="2"/>
    <x v="1"/>
    <s v="S"/>
    <x v="0"/>
    <x v="1"/>
    <x v="10"/>
    <x v="0"/>
    <n v="0"/>
    <n v="0"/>
    <x v="0"/>
    <s v="Alone"/>
    <x v="1"/>
    <s v="yes"/>
  </r>
  <r>
    <s v="Davison"/>
    <s v=" Mrs"/>
    <s v=" Mary Elizabeth"/>
    <x v="1"/>
    <x v="1"/>
    <n v="34"/>
    <x v="2"/>
    <x v="0"/>
    <s v="S"/>
    <x v="0"/>
    <x v="1"/>
    <x v="61"/>
    <x v="1"/>
    <n v="1"/>
    <n v="0"/>
    <x v="2"/>
    <s v="With Family"/>
    <x v="1"/>
    <s v="yes"/>
  </r>
  <r>
    <s v="Davison"/>
    <s v=" Mr"/>
    <s v=" Thomas Henry"/>
    <x v="0"/>
    <x v="0"/>
    <n v="32"/>
    <x v="2"/>
    <x v="0"/>
    <s v="S"/>
    <x v="0"/>
    <x v="1"/>
    <x v="61"/>
    <x v="1"/>
    <n v="1"/>
    <n v="0"/>
    <x v="2"/>
    <s v="With Family"/>
    <x v="0"/>
    <s v="no"/>
  </r>
  <r>
    <s v="Deacon"/>
    <s v=" Mr"/>
    <s v=" Percy William"/>
    <x v="0"/>
    <x v="0"/>
    <n v="18"/>
    <x v="2"/>
    <x v="1"/>
    <s v="S"/>
    <x v="0"/>
    <x v="1"/>
    <x v="107"/>
    <x v="3"/>
    <n v="0"/>
    <n v="0"/>
    <x v="0"/>
    <s v="Alone"/>
    <x v="0"/>
    <s v="no"/>
  </r>
  <r>
    <s v="Dean"/>
    <s v=" Master"/>
    <s v=" Bertram Vere"/>
    <x v="0"/>
    <x v="0"/>
    <n v="1"/>
    <x v="3"/>
    <x v="0"/>
    <s v="S"/>
    <x v="0"/>
    <x v="1"/>
    <x v="108"/>
    <x v="1"/>
    <n v="1"/>
    <n v="2"/>
    <x v="3"/>
    <s v="With Family"/>
    <x v="1"/>
    <s v="yes"/>
  </r>
  <r>
    <s v="Dean"/>
    <s v=" Miss"/>
    <s v=" Elizabeth Gladys 'Millvina'"/>
    <x v="1"/>
    <x v="1"/>
    <n v="1"/>
    <x v="3"/>
    <x v="0"/>
    <s v="S"/>
    <x v="0"/>
    <x v="1"/>
    <x v="108"/>
    <x v="1"/>
    <n v="1"/>
    <n v="2"/>
    <x v="3"/>
    <s v="With Family"/>
    <x v="1"/>
    <s v="yes"/>
  </r>
  <r>
    <s v="Dean"/>
    <s v=" Mr"/>
    <s v=" Bertram Frank"/>
    <x v="0"/>
    <x v="0"/>
    <n v="25"/>
    <x v="2"/>
    <x v="0"/>
    <s v="S"/>
    <x v="0"/>
    <x v="1"/>
    <x v="108"/>
    <x v="1"/>
    <n v="1"/>
    <n v="2"/>
    <x v="3"/>
    <s v="With Family"/>
    <x v="0"/>
    <s v="no"/>
  </r>
  <r>
    <s v="Dean"/>
    <s v=" Mrs"/>
    <s v=" Eva Georgetta"/>
    <x v="1"/>
    <x v="1"/>
    <n v="32"/>
    <x v="2"/>
    <x v="0"/>
    <s v="S"/>
    <x v="0"/>
    <x v="1"/>
    <x v="108"/>
    <x v="1"/>
    <n v="1"/>
    <n v="2"/>
    <x v="3"/>
    <s v="With Family"/>
    <x v="1"/>
    <s v="yes"/>
  </r>
  <r>
    <s v="Delalic"/>
    <s v=" Mr"/>
    <s v=" Redjo"/>
    <x v="0"/>
    <x v="0"/>
    <n v="25"/>
    <x v="2"/>
    <x v="0"/>
    <s v="S"/>
    <x v="0"/>
    <x v="14"/>
    <x v="26"/>
    <x v="0"/>
    <n v="0"/>
    <n v="0"/>
    <x v="0"/>
    <s v="Alone"/>
    <x v="0"/>
    <s v="no"/>
  </r>
  <r>
    <s v="Del Carlo"/>
    <s v=" Mrs"/>
    <s v=" Argene"/>
    <x v="1"/>
    <x v="1"/>
    <n v="24"/>
    <x v="2"/>
    <x v="1"/>
    <s v="C"/>
    <x v="1"/>
    <x v="17"/>
    <x v="68"/>
    <x v="1"/>
    <n v="1"/>
    <n v="0"/>
    <x v="2"/>
    <s v="With Family"/>
    <x v="1"/>
    <s v="yes"/>
  </r>
  <r>
    <s v="Del Carlo"/>
    <s v=" Mr"/>
    <s v=" Sebastiano"/>
    <x v="0"/>
    <x v="0"/>
    <n v="29"/>
    <x v="2"/>
    <x v="1"/>
    <s v="C"/>
    <x v="1"/>
    <x v="17"/>
    <x v="68"/>
    <x v="1"/>
    <n v="1"/>
    <n v="0"/>
    <x v="2"/>
    <s v="With Family"/>
    <x v="0"/>
    <s v="no"/>
  </r>
  <r>
    <s v="De Messemaeker"/>
    <s v=" Mr"/>
    <s v=" Guillaume Joseph"/>
    <x v="0"/>
    <x v="0"/>
    <n v="36"/>
    <x v="0"/>
    <x v="0"/>
    <s v="S"/>
    <x v="0"/>
    <x v="0"/>
    <x v="109"/>
    <x v="1"/>
    <n v="1"/>
    <n v="0"/>
    <x v="2"/>
    <s v="With Family"/>
    <x v="1"/>
    <s v="yes"/>
  </r>
  <r>
    <s v="De Messemaeker"/>
    <s v=" Mrs"/>
    <s v=" Anna"/>
    <x v="1"/>
    <x v="1"/>
    <n v="36"/>
    <x v="0"/>
    <x v="0"/>
    <s v="S"/>
    <x v="0"/>
    <x v="0"/>
    <x v="109"/>
    <x v="1"/>
    <n v="1"/>
    <n v="0"/>
    <x v="2"/>
    <s v="With Family"/>
    <x v="1"/>
    <s v="yes"/>
  </r>
  <r>
    <s v="De Mulder"/>
    <s v=" Mr"/>
    <s v=" Theodoor"/>
    <x v="0"/>
    <x v="0"/>
    <n v="30"/>
    <x v="2"/>
    <x v="0"/>
    <s v="S"/>
    <x v="0"/>
    <x v="25"/>
    <x v="110"/>
    <x v="0"/>
    <n v="0"/>
    <n v="0"/>
    <x v="0"/>
    <s v="Alone"/>
    <x v="1"/>
    <s v="yes"/>
  </r>
  <r>
    <s v="Denbuoy"/>
    <s v=" Mr"/>
    <s v=" Albert Joseph"/>
    <x v="0"/>
    <x v="0"/>
    <n v="25"/>
    <x v="2"/>
    <x v="1"/>
    <s v="S"/>
    <x v="0"/>
    <x v="13"/>
    <x v="111"/>
    <x v="1"/>
    <n v="0"/>
    <n v="0"/>
    <x v="0"/>
    <s v="Alone"/>
    <x v="0"/>
    <s v="no"/>
  </r>
  <r>
    <s v="Denkoff"/>
    <s v=" Mr"/>
    <s v=" Mitto"/>
    <x v="0"/>
    <x v="0"/>
    <n v="30"/>
    <x v="2"/>
    <x v="0"/>
    <s v="S"/>
    <x v="0"/>
    <x v="1"/>
    <x v="26"/>
    <x v="0"/>
    <n v="0"/>
    <n v="0"/>
    <x v="0"/>
    <s v="Alone"/>
    <x v="0"/>
    <s v="no"/>
  </r>
  <r>
    <s v="Dennis"/>
    <s v=" Mr"/>
    <s v=" Samuel"/>
    <x v="0"/>
    <x v="0"/>
    <n v="22"/>
    <x v="2"/>
    <x v="0"/>
    <s v="S"/>
    <x v="0"/>
    <x v="1"/>
    <x v="6"/>
    <x v="0"/>
    <n v="0"/>
    <n v="0"/>
    <x v="0"/>
    <s v="Alone"/>
    <x v="0"/>
    <s v="no"/>
  </r>
  <r>
    <s v="Dennis"/>
    <s v=" Mr"/>
    <s v=" William"/>
    <x v="0"/>
    <x v="0"/>
    <n v="26"/>
    <x v="2"/>
    <x v="0"/>
    <s v="S"/>
    <x v="0"/>
    <x v="1"/>
    <x v="6"/>
    <x v="0"/>
    <n v="0"/>
    <n v="0"/>
    <x v="0"/>
    <s v="Alone"/>
    <x v="0"/>
    <s v="no"/>
  </r>
  <r>
    <s v="De Pelsmaeker"/>
    <s v=" Mr"/>
    <s v=" Alfons"/>
    <x v="0"/>
    <x v="0"/>
    <n v="16"/>
    <x v="1"/>
    <x v="0"/>
    <s v="S"/>
    <x v="0"/>
    <x v="25"/>
    <x v="110"/>
    <x v="0"/>
    <n v="0"/>
    <n v="0"/>
    <x v="0"/>
    <s v="Alone"/>
    <x v="0"/>
    <s v="no"/>
  </r>
  <r>
    <s v="Devaney"/>
    <s v=" Miss"/>
    <s v=" Margaret Delia"/>
    <x v="1"/>
    <x v="1"/>
    <n v="19"/>
    <x v="2"/>
    <x v="0"/>
    <s v="Q"/>
    <x v="3"/>
    <x v="16"/>
    <x v="43"/>
    <x v="0"/>
    <n v="0"/>
    <n v="0"/>
    <x v="0"/>
    <s v="Alone"/>
    <x v="1"/>
    <s v="yes"/>
  </r>
  <r>
    <s v="Dibden"/>
    <s v=" Mr"/>
    <s v=" William"/>
    <x v="0"/>
    <x v="0"/>
    <n v="18"/>
    <x v="2"/>
    <x v="1"/>
    <s v="S"/>
    <x v="0"/>
    <x v="1"/>
    <x v="107"/>
    <x v="3"/>
    <n v="0"/>
    <n v="0"/>
    <x v="0"/>
    <s v="Alone"/>
    <x v="0"/>
    <s v="no"/>
  </r>
  <r>
    <s v="Dick"/>
    <s v=" Mr"/>
    <s v=" Albert Adrian"/>
    <x v="0"/>
    <x v="0"/>
    <n v="31"/>
    <x v="2"/>
    <x v="2"/>
    <s v="S"/>
    <x v="0"/>
    <x v="8"/>
    <x v="112"/>
    <x v="3"/>
    <n v="1"/>
    <n v="0"/>
    <x v="2"/>
    <s v="With Family"/>
    <x v="1"/>
    <s v="yes"/>
  </r>
  <r>
    <s v="Dick"/>
    <s v=" Mrs"/>
    <s v=" Vera"/>
    <x v="1"/>
    <x v="1"/>
    <n v="17"/>
    <x v="1"/>
    <x v="2"/>
    <s v="S"/>
    <x v="0"/>
    <x v="0"/>
    <x v="112"/>
    <x v="3"/>
    <n v="1"/>
    <n v="0"/>
    <x v="2"/>
    <s v="With Family"/>
    <x v="1"/>
    <s v="yes"/>
  </r>
  <r>
    <s v="Dika"/>
    <s v=" Mr"/>
    <s v=" Mirko"/>
    <x v="0"/>
    <x v="0"/>
    <n v="17"/>
    <x v="1"/>
    <x v="0"/>
    <s v="S"/>
    <x v="0"/>
    <x v="21"/>
    <x v="26"/>
    <x v="0"/>
    <n v="0"/>
    <n v="0"/>
    <x v="0"/>
    <s v="Alone"/>
    <x v="0"/>
    <s v="no"/>
  </r>
  <r>
    <s v="Dimic"/>
    <s v=" Mr"/>
    <s v=" Jovan"/>
    <x v="0"/>
    <x v="0"/>
    <n v="42"/>
    <x v="0"/>
    <x v="0"/>
    <s v="S"/>
    <x v="0"/>
    <x v="15"/>
    <x v="74"/>
    <x v="0"/>
    <n v="0"/>
    <n v="0"/>
    <x v="0"/>
    <s v="Alone"/>
    <x v="0"/>
    <s v="no"/>
  </r>
  <r>
    <s v="Dintcheff"/>
    <s v=" Mr"/>
    <s v=" Valtcho"/>
    <x v="0"/>
    <x v="0"/>
    <n v="43"/>
    <x v="0"/>
    <x v="0"/>
    <s v="S"/>
    <x v="0"/>
    <x v="1"/>
    <x v="26"/>
    <x v="0"/>
    <n v="0"/>
    <n v="0"/>
    <x v="0"/>
    <s v="Alone"/>
    <x v="0"/>
    <s v="no"/>
  </r>
  <r>
    <s v="Dodge"/>
    <s v=" Dr"/>
    <s v=" Washington"/>
    <x v="0"/>
    <x v="0"/>
    <n v="52"/>
    <x v="0"/>
    <x v="2"/>
    <s v="S"/>
    <x v="0"/>
    <x v="0"/>
    <x v="113"/>
    <x v="3"/>
    <n v="1"/>
    <n v="1"/>
    <x v="1"/>
    <s v="With Family"/>
    <x v="1"/>
    <s v="yes"/>
  </r>
  <r>
    <s v="Dodge"/>
    <s v=" Master"/>
    <s v=" Washington"/>
    <x v="0"/>
    <x v="0"/>
    <n v="4"/>
    <x v="3"/>
    <x v="2"/>
    <s v="S"/>
    <x v="0"/>
    <x v="0"/>
    <x v="113"/>
    <x v="3"/>
    <n v="0"/>
    <n v="2"/>
    <x v="1"/>
    <s v="With Family"/>
    <x v="1"/>
    <s v="yes"/>
  </r>
  <r>
    <s v="Dodge"/>
    <s v=" Mrs"/>
    <s v=" Ruth"/>
    <x v="1"/>
    <x v="1"/>
    <n v="34"/>
    <x v="2"/>
    <x v="2"/>
    <s v="S"/>
    <x v="0"/>
    <x v="0"/>
    <x v="113"/>
    <x v="3"/>
    <n v="1"/>
    <n v="1"/>
    <x v="1"/>
    <s v="With Family"/>
    <x v="1"/>
    <s v="yes"/>
  </r>
  <r>
    <s v="Doling"/>
    <s v=" Miss"/>
    <s v=" Elsie"/>
    <x v="1"/>
    <x v="1"/>
    <n v="18"/>
    <x v="2"/>
    <x v="1"/>
    <s v="S"/>
    <x v="0"/>
    <x v="1"/>
    <x v="114"/>
    <x v="1"/>
    <n v="0"/>
    <n v="1"/>
    <x v="2"/>
    <s v="With Family"/>
    <x v="1"/>
    <s v="yes"/>
  </r>
  <r>
    <s v="Doling"/>
    <s v=" Mrs"/>
    <s v=" Ada Julia Elizabeth"/>
    <x v="1"/>
    <x v="1"/>
    <n v="34"/>
    <x v="2"/>
    <x v="1"/>
    <s v="S"/>
    <x v="0"/>
    <x v="1"/>
    <x v="114"/>
    <x v="1"/>
    <n v="0"/>
    <n v="1"/>
    <x v="2"/>
    <s v="With Family"/>
    <x v="1"/>
    <s v="yes"/>
  </r>
  <r>
    <s v="Donohoe"/>
    <s v=" Miss"/>
    <s v=" Bridget"/>
    <x v="1"/>
    <x v="1"/>
    <n v="21"/>
    <x v="2"/>
    <x v="0"/>
    <s v="Q"/>
    <x v="3"/>
    <x v="16"/>
    <x v="55"/>
    <x v="0"/>
    <n v="0"/>
    <n v="0"/>
    <x v="0"/>
    <s v="Alone"/>
    <x v="0"/>
    <s v="no"/>
  </r>
  <r>
    <s v="Dooly"/>
    <s v=" Mr"/>
    <s v=" Patrick"/>
    <x v="0"/>
    <x v="0"/>
    <n v="37"/>
    <x v="0"/>
    <x v="0"/>
    <s v="Q"/>
    <x v="3"/>
    <x v="16"/>
    <x v="55"/>
    <x v="0"/>
    <n v="0"/>
    <n v="0"/>
    <x v="0"/>
    <s v="Alone"/>
    <x v="0"/>
    <s v="no"/>
  </r>
  <r>
    <s v="Dorking"/>
    <s v=" Mr"/>
    <s v=" Edward Arthur"/>
    <x v="0"/>
    <x v="0"/>
    <n v="18"/>
    <x v="2"/>
    <x v="0"/>
    <s v="S"/>
    <x v="0"/>
    <x v="1"/>
    <x v="7"/>
    <x v="0"/>
    <n v="0"/>
    <n v="0"/>
    <x v="0"/>
    <s v="Alone"/>
    <x v="1"/>
    <s v="yes"/>
  </r>
  <r>
    <s v="Dougherty"/>
    <s v=" Mr"/>
    <s v=" William John"/>
    <x v="0"/>
    <x v="0"/>
    <n v="22"/>
    <x v="2"/>
    <x v="0"/>
    <s v="Q"/>
    <x v="3"/>
    <x v="16"/>
    <x v="115"/>
    <x v="0"/>
    <n v="0"/>
    <n v="0"/>
    <x v="0"/>
    <s v="Alone"/>
    <x v="0"/>
    <s v="no"/>
  </r>
  <r>
    <s v="Douglas"/>
    <s v=" Mrs"/>
    <s v=" Mahala"/>
    <x v="1"/>
    <x v="1"/>
    <n v="48"/>
    <x v="0"/>
    <x v="2"/>
    <s v="C"/>
    <x v="1"/>
    <x v="0"/>
    <x v="116"/>
    <x v="2"/>
    <n v="1"/>
    <n v="0"/>
    <x v="2"/>
    <s v="With Family"/>
    <x v="1"/>
    <s v="yes"/>
  </r>
  <r>
    <s v="Douglas"/>
    <s v=" Mrs"/>
    <s v=" Mary HÃ©lÃ¨ne"/>
    <x v="1"/>
    <x v="1"/>
    <n v="27"/>
    <x v="2"/>
    <x v="2"/>
    <s v="C"/>
    <x v="1"/>
    <x v="8"/>
    <x v="47"/>
    <x v="2"/>
    <n v="1"/>
    <n v="1"/>
    <x v="1"/>
    <s v="With Family"/>
    <x v="1"/>
    <s v="yes"/>
  </r>
  <r>
    <s v="Douglas"/>
    <s v=" Mr"/>
    <s v=" Walter Donald"/>
    <x v="0"/>
    <x v="0"/>
    <n v="50"/>
    <x v="0"/>
    <x v="2"/>
    <s v="C"/>
    <x v="1"/>
    <x v="0"/>
    <x v="116"/>
    <x v="2"/>
    <n v="1"/>
    <n v="0"/>
    <x v="2"/>
    <s v="With Family"/>
    <x v="0"/>
    <s v="no"/>
  </r>
  <r>
    <s v="Douton"/>
    <s v=" Mr"/>
    <s v=" William Joseph"/>
    <x v="0"/>
    <x v="0"/>
    <n v="55"/>
    <x v="0"/>
    <x v="1"/>
    <s v="S"/>
    <x v="0"/>
    <x v="1"/>
    <x v="27"/>
    <x v="1"/>
    <n v="0"/>
    <n v="0"/>
    <x v="0"/>
    <s v="Alone"/>
    <x v="0"/>
    <s v="no"/>
  </r>
  <r>
    <s v="Dowdell"/>
    <s v=" Miss"/>
    <s v=" Elizabeth"/>
    <x v="1"/>
    <x v="1"/>
    <n v="31"/>
    <x v="2"/>
    <x v="0"/>
    <s v="S"/>
    <x v="0"/>
    <x v="0"/>
    <x v="117"/>
    <x v="0"/>
    <n v="0"/>
    <n v="0"/>
    <x v="0"/>
    <s v="Alone"/>
    <x v="1"/>
    <s v="yes"/>
  </r>
  <r>
    <s v="Doyle"/>
    <s v=" Miss"/>
    <s v=" Elizabeth"/>
    <x v="1"/>
    <x v="1"/>
    <n v="28"/>
    <x v="2"/>
    <x v="0"/>
    <s v="Q"/>
    <x v="3"/>
    <x v="16"/>
    <x v="55"/>
    <x v="0"/>
    <n v="0"/>
    <n v="0"/>
    <x v="0"/>
    <s v="Alone"/>
    <x v="0"/>
    <s v="no"/>
  </r>
  <r>
    <s v="Drazenovic"/>
    <s v=" Mr"/>
    <s v=" Jozef"/>
    <x v="0"/>
    <x v="0"/>
    <n v="33"/>
    <x v="2"/>
    <x v="0"/>
    <s v="C"/>
    <x v="1"/>
    <x v="21"/>
    <x v="26"/>
    <x v="0"/>
    <n v="0"/>
    <n v="0"/>
    <x v="0"/>
    <s v="Alone"/>
    <x v="0"/>
    <s v="no"/>
  </r>
  <r>
    <s v="Drew"/>
    <s v=" Master"/>
    <s v=" Marshall Brines"/>
    <x v="0"/>
    <x v="0"/>
    <n v="8"/>
    <x v="3"/>
    <x v="1"/>
    <s v="S"/>
    <x v="0"/>
    <x v="0"/>
    <x v="118"/>
    <x v="1"/>
    <n v="0"/>
    <n v="2"/>
    <x v="1"/>
    <s v="With Family"/>
    <x v="1"/>
    <s v="yes"/>
  </r>
  <r>
    <s v="Drew"/>
    <s v=" Mr"/>
    <s v=" James Vivian"/>
    <x v="0"/>
    <x v="0"/>
    <n v="42"/>
    <x v="0"/>
    <x v="1"/>
    <s v="S"/>
    <x v="0"/>
    <x v="1"/>
    <x v="118"/>
    <x v="1"/>
    <n v="1"/>
    <n v="1"/>
    <x v="1"/>
    <s v="With Family"/>
    <x v="0"/>
    <s v="no"/>
  </r>
  <r>
    <s v="Drew"/>
    <s v=" Mrs"/>
    <s v=" Maria Louisa Thorne"/>
    <x v="1"/>
    <x v="1"/>
    <n v="34"/>
    <x v="2"/>
    <x v="1"/>
    <s v="S"/>
    <x v="0"/>
    <x v="0"/>
    <x v="118"/>
    <x v="1"/>
    <n v="1"/>
    <n v="1"/>
    <x v="1"/>
    <s v="With Family"/>
    <x v="1"/>
    <s v="yes"/>
  </r>
  <r>
    <s v="Driscoll"/>
    <s v=" Miss"/>
    <s v=" Bridget"/>
    <x v="1"/>
    <x v="1"/>
    <n v="27"/>
    <x v="2"/>
    <x v="0"/>
    <s v="Q"/>
    <x v="3"/>
    <x v="16"/>
    <x v="55"/>
    <x v="0"/>
    <n v="0"/>
    <n v="0"/>
    <x v="0"/>
    <s v="Alone"/>
    <x v="1"/>
    <s v="yes"/>
  </r>
  <r>
    <s v="Dropkin"/>
    <s v=" Miss"/>
    <s v=" Jennie"/>
    <x v="1"/>
    <x v="1"/>
    <n v="24"/>
    <x v="2"/>
    <x v="0"/>
    <s v="S"/>
    <x v="0"/>
    <x v="1"/>
    <x v="7"/>
    <x v="0"/>
    <n v="0"/>
    <n v="0"/>
    <x v="0"/>
    <s v="Alone"/>
    <x v="1"/>
    <s v="yes"/>
  </r>
  <r>
    <s v="Duff Gordon"/>
    <s v=" Lucy Christiana"/>
    <s v=" Lady"/>
    <x v="1"/>
    <x v="1"/>
    <n v="48"/>
    <x v="0"/>
    <x v="2"/>
    <s v="C"/>
    <x v="1"/>
    <x v="1"/>
    <x v="119"/>
    <x v="3"/>
    <n v="1"/>
    <n v="0"/>
    <x v="2"/>
    <s v="With Family"/>
    <x v="1"/>
    <s v="yes"/>
  </r>
  <r>
    <s v="Duff Gordon"/>
    <s v=" Sir"/>
    <s v=" Cosmo Edmund"/>
    <x v="0"/>
    <x v="0"/>
    <n v="49"/>
    <x v="0"/>
    <x v="2"/>
    <s v="C"/>
    <x v="1"/>
    <x v="1"/>
    <x v="67"/>
    <x v="3"/>
    <n v="1"/>
    <n v="0"/>
    <x v="2"/>
    <s v="With Family"/>
    <x v="1"/>
    <s v="yes"/>
  </r>
  <r>
    <s v="Dulles"/>
    <s v=" Mr"/>
    <s v=" William Crothers"/>
    <x v="0"/>
    <x v="0"/>
    <n v="39"/>
    <x v="0"/>
    <x v="2"/>
    <s v="C"/>
    <x v="1"/>
    <x v="0"/>
    <x v="88"/>
    <x v="1"/>
    <n v="0"/>
    <n v="0"/>
    <x v="0"/>
    <s v="Alone"/>
    <x v="0"/>
    <s v="no"/>
  </r>
  <r>
    <s v="Duquemin"/>
    <s v=" Mr"/>
    <s v=" Joseph Pierre"/>
    <x v="0"/>
    <x v="0"/>
    <n v="24"/>
    <x v="2"/>
    <x v="0"/>
    <s v="S"/>
    <x v="0"/>
    <x v="13"/>
    <x v="0"/>
    <x v="0"/>
    <n v="0"/>
    <n v="0"/>
    <x v="0"/>
    <s v="Alone"/>
    <x v="1"/>
    <s v="yes"/>
  </r>
  <r>
    <s v="DurÃ¡n i MonÃ©"/>
    <s v=" Sra"/>
    <s v=" Asuncion"/>
    <x v="1"/>
    <x v="1"/>
    <n v="27"/>
    <x v="2"/>
    <x v="1"/>
    <s v="C"/>
    <x v="1"/>
    <x v="29"/>
    <x v="120"/>
    <x v="0"/>
    <n v="1"/>
    <n v="0"/>
    <x v="2"/>
    <s v="With Family"/>
    <x v="1"/>
    <s v="yes"/>
  </r>
  <r>
    <s v="DurÃ¡n i MonÃ©"/>
    <s v=" Sra"/>
    <s v=" Florentina"/>
    <x v="1"/>
    <x v="1"/>
    <n v="30"/>
    <x v="2"/>
    <x v="1"/>
    <s v="C"/>
    <x v="1"/>
    <x v="29"/>
    <x v="120"/>
    <x v="0"/>
    <n v="1"/>
    <n v="0"/>
    <x v="2"/>
    <s v="With Family"/>
    <x v="1"/>
    <s v="yes"/>
  </r>
  <r>
    <s v="Dwan"/>
    <s v=" Mr"/>
    <s v=" Frank"/>
    <x v="0"/>
    <x v="0"/>
    <n v="65"/>
    <x v="4"/>
    <x v="0"/>
    <s v="Q"/>
    <x v="3"/>
    <x v="16"/>
    <x v="55"/>
    <x v="0"/>
    <n v="0"/>
    <n v="0"/>
    <x v="0"/>
    <s v="Alone"/>
    <x v="0"/>
    <s v="no"/>
  </r>
  <r>
    <s v="Dyker"/>
    <s v=" Mr"/>
    <s v=" Adolf Fredrik"/>
    <x v="0"/>
    <x v="0"/>
    <n v="23"/>
    <x v="2"/>
    <x v="0"/>
    <s v="S"/>
    <x v="0"/>
    <x v="0"/>
    <x v="121"/>
    <x v="0"/>
    <n v="1"/>
    <n v="0"/>
    <x v="2"/>
    <s v="With Family"/>
    <x v="0"/>
    <s v="no"/>
  </r>
  <r>
    <s v="Dyker"/>
    <s v=" Mrs"/>
    <s v=" Anna Elisabeth Judith"/>
    <x v="1"/>
    <x v="1"/>
    <n v="22"/>
    <x v="2"/>
    <x v="0"/>
    <s v="S"/>
    <x v="0"/>
    <x v="0"/>
    <x v="121"/>
    <x v="0"/>
    <n v="1"/>
    <n v="0"/>
    <x v="2"/>
    <s v="With Family"/>
    <x v="1"/>
    <s v="yes"/>
  </r>
  <r>
    <s v="Earnshaw"/>
    <s v=" Mrs"/>
    <s v=" Olive"/>
    <x v="1"/>
    <x v="1"/>
    <n v="23"/>
    <x v="2"/>
    <x v="2"/>
    <s v="C"/>
    <x v="1"/>
    <x v="0"/>
    <x v="94"/>
    <x v="3"/>
    <n v="0"/>
    <n v="1"/>
    <x v="2"/>
    <s v="With Family"/>
    <x v="1"/>
    <s v="yes"/>
  </r>
  <r>
    <s v="Edvardsson"/>
    <s v=" Mr"/>
    <s v=" Gustaf Hjalmar"/>
    <x v="0"/>
    <x v="0"/>
    <n v="18"/>
    <x v="2"/>
    <x v="0"/>
    <s v="S"/>
    <x v="0"/>
    <x v="6"/>
    <x v="21"/>
    <x v="0"/>
    <n v="0"/>
    <n v="0"/>
    <x v="0"/>
    <s v="Alone"/>
    <x v="0"/>
    <s v="no"/>
  </r>
  <r>
    <s v="Eitemiller"/>
    <s v=" Mr"/>
    <s v=" George Floyd"/>
    <x v="0"/>
    <x v="0"/>
    <n v="25"/>
    <x v="2"/>
    <x v="1"/>
    <s v="S"/>
    <x v="0"/>
    <x v="0"/>
    <x v="10"/>
    <x v="0"/>
    <n v="0"/>
    <n v="0"/>
    <x v="0"/>
    <s v="Alone"/>
    <x v="0"/>
    <s v="no"/>
  </r>
  <r>
    <s v="Eklund"/>
    <s v=" Mr"/>
    <s v=" Hans Linus"/>
    <x v="0"/>
    <x v="0"/>
    <n v="16"/>
    <x v="1"/>
    <x v="0"/>
    <s v="S"/>
    <x v="0"/>
    <x v="6"/>
    <x v="21"/>
    <x v="0"/>
    <n v="0"/>
    <n v="0"/>
    <x v="0"/>
    <s v="Alone"/>
    <x v="0"/>
    <s v="no"/>
  </r>
  <r>
    <s v="EkstrÃ¶m"/>
    <s v=" Mr"/>
    <s v=" Amandus"/>
    <x v="0"/>
    <x v="0"/>
    <n v="45"/>
    <x v="0"/>
    <x v="0"/>
    <s v="S"/>
    <x v="0"/>
    <x v="6"/>
    <x v="122"/>
    <x v="0"/>
    <n v="0"/>
    <n v="0"/>
    <x v="0"/>
    <s v="Alone"/>
    <x v="0"/>
    <s v="no"/>
  </r>
  <r>
    <s v="Elias"/>
    <s v=" Mr"/>
    <s v=" Dibo"/>
    <x v="0"/>
    <x v="0"/>
    <n v="29"/>
    <x v="2"/>
    <x v="0"/>
    <s v="C"/>
    <x v="1"/>
    <x v="1"/>
    <x v="33"/>
    <x v="0"/>
    <n v="0"/>
    <n v="0"/>
    <x v="0"/>
    <s v="Alone"/>
    <x v="0"/>
    <s v="no"/>
  </r>
  <r>
    <s v="Elias"/>
    <s v=" Mr"/>
    <s v=" Joseph jr"/>
    <x v="0"/>
    <x v="0"/>
    <n v="15"/>
    <x v="1"/>
    <x v="0"/>
    <s v="C"/>
    <x v="1"/>
    <x v="4"/>
    <x v="16"/>
    <x v="0"/>
    <n v="1"/>
    <n v="1"/>
    <x v="1"/>
    <s v="With Family"/>
    <x v="0"/>
    <s v="no"/>
  </r>
  <r>
    <s v="Elias Nasrallah"/>
    <s v=" Mr"/>
    <s v=" Tannous"/>
    <x v="0"/>
    <x v="0"/>
    <n v="22"/>
    <x v="2"/>
    <x v="0"/>
    <s v="C"/>
    <x v="1"/>
    <x v="4"/>
    <x v="16"/>
    <x v="0"/>
    <n v="1"/>
    <n v="1"/>
    <x v="1"/>
    <s v="With Family"/>
    <x v="0"/>
    <s v="no"/>
  </r>
  <r>
    <s v="Elsbury"/>
    <s v=" Mr"/>
    <s v=" William James"/>
    <x v="0"/>
    <x v="0"/>
    <n v="48"/>
    <x v="0"/>
    <x v="0"/>
    <s v="S"/>
    <x v="0"/>
    <x v="1"/>
    <x v="6"/>
    <x v="0"/>
    <n v="0"/>
    <n v="0"/>
    <x v="0"/>
    <s v="Alone"/>
    <x v="0"/>
    <s v="no"/>
  </r>
  <r>
    <s v="Emanuel"/>
    <s v=" Miss"/>
    <s v=" Virginia Ethel"/>
    <x v="1"/>
    <x v="1"/>
    <n v="5"/>
    <x v="3"/>
    <x v="0"/>
    <s v="S"/>
    <x v="0"/>
    <x v="0"/>
    <x v="117"/>
    <x v="0"/>
    <n v="0"/>
    <n v="0"/>
    <x v="0"/>
    <s v="Alone"/>
    <x v="1"/>
    <s v="yes"/>
  </r>
  <r>
    <s v="Enander"/>
    <s v=" Mr"/>
    <s v=" Ingvar"/>
    <x v="0"/>
    <x v="0"/>
    <n v="21"/>
    <x v="2"/>
    <x v="1"/>
    <s v="S"/>
    <x v="0"/>
    <x v="6"/>
    <x v="10"/>
    <x v="0"/>
    <n v="0"/>
    <n v="0"/>
    <x v="0"/>
    <s v="Alone"/>
    <x v="0"/>
    <s v="no"/>
  </r>
  <r>
    <s v="Endres"/>
    <s v=" Miss"/>
    <s v=" Caroline Louise"/>
    <x v="1"/>
    <x v="1"/>
    <n v="39"/>
    <x v="0"/>
    <x v="2"/>
    <s v="C"/>
    <x v="1"/>
    <x v="0"/>
    <x v="34"/>
    <x v="2"/>
    <n v="0"/>
    <n v="0"/>
    <x v="0"/>
    <s v="Alone"/>
    <x v="1"/>
    <s v="yes"/>
  </r>
  <r>
    <s v="Estanislau"/>
    <s v=" Mr"/>
    <s v=" Manuel GonÃ§alves"/>
    <x v="0"/>
    <x v="0"/>
    <n v="37"/>
    <x v="0"/>
    <x v="0"/>
    <s v="S"/>
    <x v="0"/>
    <x v="1"/>
    <x v="12"/>
    <x v="0"/>
    <n v="0"/>
    <n v="0"/>
    <x v="0"/>
    <s v="Alone"/>
    <x v="0"/>
    <s v="no"/>
  </r>
  <r>
    <s v="Eustis"/>
    <s v=" Miss"/>
    <s v=" Elizabeth Mussey"/>
    <x v="1"/>
    <x v="1"/>
    <n v="54"/>
    <x v="0"/>
    <x v="2"/>
    <s v="C"/>
    <x v="1"/>
    <x v="0"/>
    <x v="123"/>
    <x v="3"/>
    <n v="1"/>
    <n v="0"/>
    <x v="2"/>
    <s v="With Family"/>
    <x v="1"/>
    <s v="yes"/>
  </r>
  <r>
    <s v="Evans"/>
    <s v=" Miss"/>
    <s v=" Edith Corse"/>
    <x v="1"/>
    <x v="1"/>
    <n v="36"/>
    <x v="0"/>
    <x v="2"/>
    <s v="C"/>
    <x v="1"/>
    <x v="0"/>
    <x v="124"/>
    <x v="1"/>
    <n v="0"/>
    <n v="0"/>
    <x v="0"/>
    <s v="Alone"/>
    <x v="0"/>
    <s v="no"/>
  </r>
  <r>
    <s v="Everett"/>
    <s v=" Mr"/>
    <s v=" Thomas James"/>
    <x v="0"/>
    <x v="0"/>
    <n v="38"/>
    <x v="0"/>
    <x v="0"/>
    <s v="S"/>
    <x v="0"/>
    <x v="1"/>
    <x v="125"/>
    <x v="1"/>
    <n v="0"/>
    <n v="0"/>
    <x v="0"/>
    <s v="Alone"/>
    <x v="0"/>
    <s v="no"/>
  </r>
  <r>
    <s v="FahlstrÃ¸m"/>
    <s v=" Mr"/>
    <s v=" Arne Joma"/>
    <x v="0"/>
    <x v="0"/>
    <n v="18"/>
    <x v="2"/>
    <x v="1"/>
    <s v="S"/>
    <x v="0"/>
    <x v="2"/>
    <x v="10"/>
    <x v="0"/>
    <n v="0"/>
    <n v="0"/>
    <x v="0"/>
    <s v="Alone"/>
    <x v="0"/>
    <s v="no"/>
  </r>
  <r>
    <s v="Fardon"/>
    <s v=" Mr"/>
    <s v=" Charles Richard"/>
    <x v="0"/>
    <x v="0"/>
    <n v="46"/>
    <x v="0"/>
    <x v="0"/>
    <s v="S"/>
    <x v="0"/>
    <x v="1"/>
    <x v="6"/>
    <x v="0"/>
    <n v="0"/>
    <n v="0"/>
    <x v="0"/>
    <s v="Alone"/>
    <x v="0"/>
    <s v="no"/>
  </r>
  <r>
    <s v="Farrell"/>
    <s v=" Mr"/>
    <s v=" James"/>
    <x v="0"/>
    <x v="0"/>
    <n v="26"/>
    <x v="2"/>
    <x v="0"/>
    <s v="Q"/>
    <x v="3"/>
    <x v="16"/>
    <x v="55"/>
    <x v="0"/>
    <n v="0"/>
    <n v="0"/>
    <x v="0"/>
    <s v="Alone"/>
    <x v="0"/>
    <s v="no"/>
  </r>
  <r>
    <s v="Farthing"/>
    <s v=" Mr"/>
    <s v=" John"/>
    <x v="0"/>
    <x v="0"/>
    <n v="49"/>
    <x v="0"/>
    <x v="2"/>
    <s v="S"/>
    <x v="0"/>
    <x v="1"/>
    <x v="53"/>
    <x v="2"/>
    <n v="0"/>
    <n v="0"/>
    <x v="0"/>
    <s v="Alone"/>
    <x v="0"/>
    <s v="no"/>
  </r>
  <r>
    <s v="Faunthorpe"/>
    <s v=" Mr"/>
    <s v=" Harry Bartram"/>
    <x v="0"/>
    <x v="0"/>
    <n v="32"/>
    <x v="2"/>
    <x v="1"/>
    <s v="S"/>
    <x v="0"/>
    <x v="1"/>
    <x v="27"/>
    <x v="1"/>
    <n v="1"/>
    <n v="0"/>
    <x v="2"/>
    <s v="With Family"/>
    <x v="0"/>
    <s v="no"/>
  </r>
  <r>
    <s v="Fillbrook"/>
    <s v=" Mr"/>
    <s v=" Joseph Charles"/>
    <x v="0"/>
    <x v="0"/>
    <n v="18"/>
    <x v="2"/>
    <x v="1"/>
    <s v="S"/>
    <x v="0"/>
    <x v="1"/>
    <x v="23"/>
    <x v="0"/>
    <n v="0"/>
    <n v="0"/>
    <x v="0"/>
    <s v="Alone"/>
    <x v="0"/>
    <s v="no"/>
  </r>
  <r>
    <s v="Finoli"/>
    <s v=" Mr"/>
    <s v=" Luigi"/>
    <x v="0"/>
    <x v="0"/>
    <n v="34"/>
    <x v="2"/>
    <x v="0"/>
    <s v="S"/>
    <x v="0"/>
    <x v="1"/>
    <x v="12"/>
    <x v="0"/>
    <n v="0"/>
    <n v="0"/>
    <x v="0"/>
    <s v="Alone"/>
    <x v="1"/>
    <s v="yes"/>
  </r>
  <r>
    <s v="Fischer"/>
    <s v=" Mr"/>
    <s v=" Eberhard Thelander"/>
    <x v="0"/>
    <x v="0"/>
    <n v="18"/>
    <x v="2"/>
    <x v="0"/>
    <s v="S"/>
    <x v="0"/>
    <x v="6"/>
    <x v="32"/>
    <x v="0"/>
    <n v="0"/>
    <n v="0"/>
    <x v="0"/>
    <s v="Alone"/>
    <x v="0"/>
    <s v="no"/>
  </r>
  <r>
    <s v="Flegenheim"/>
    <s v=" Mrs"/>
    <s v=" Antoinette"/>
    <x v="1"/>
    <x v="1"/>
    <n v="48"/>
    <x v="0"/>
    <x v="2"/>
    <s v="C"/>
    <x v="1"/>
    <x v="0"/>
    <x v="126"/>
    <x v="1"/>
    <n v="0"/>
    <n v="0"/>
    <x v="0"/>
    <s v="Alone"/>
    <x v="1"/>
    <s v="yes"/>
  </r>
  <r>
    <s v="Fleming"/>
    <s v=" Miss"/>
    <s v=" Honor"/>
    <x v="1"/>
    <x v="1"/>
    <n v="22"/>
    <x v="2"/>
    <x v="0"/>
    <s v="Q"/>
    <x v="3"/>
    <x v="16"/>
    <x v="55"/>
    <x v="0"/>
    <n v="0"/>
    <n v="0"/>
    <x v="0"/>
    <s v="Alone"/>
    <x v="0"/>
    <s v="no"/>
  </r>
  <r>
    <s v="Fleming"/>
    <s v=" Miss"/>
    <s v=" Margaret"/>
    <x v="1"/>
    <x v="1"/>
    <n v="42"/>
    <x v="0"/>
    <x v="2"/>
    <s v="C"/>
    <x v="1"/>
    <x v="0"/>
    <x v="127"/>
    <x v="2"/>
    <n v="0"/>
    <n v="0"/>
    <x v="0"/>
    <s v="Alone"/>
    <x v="1"/>
    <s v="yes"/>
  </r>
  <r>
    <s v="Flynn"/>
    <s v=" Mr"/>
    <s v=" James"/>
    <x v="0"/>
    <x v="0"/>
    <n v="28"/>
    <x v="2"/>
    <x v="0"/>
    <s v="Q"/>
    <x v="3"/>
    <x v="16"/>
    <x v="55"/>
    <x v="0"/>
    <n v="0"/>
    <n v="0"/>
    <x v="0"/>
    <s v="Alone"/>
    <x v="0"/>
    <s v="no"/>
  </r>
  <r>
    <s v="Flynn"/>
    <s v=" Mr"/>
    <s v=" John"/>
    <x v="0"/>
    <x v="0"/>
    <n v="48"/>
    <x v="0"/>
    <x v="0"/>
    <s v="Q"/>
    <x v="3"/>
    <x v="16"/>
    <x v="103"/>
    <x v="0"/>
    <n v="0"/>
    <n v="0"/>
    <x v="0"/>
    <s v="Alone"/>
    <x v="0"/>
    <s v="no"/>
  </r>
  <r>
    <s v="Flynn"/>
    <s v=" Mr"/>
    <s v=" John Irwin"/>
    <x v="0"/>
    <x v="0"/>
    <n v="36"/>
    <x v="0"/>
    <x v="2"/>
    <s v="S"/>
    <x v="0"/>
    <x v="8"/>
    <x v="75"/>
    <x v="1"/>
    <n v="0"/>
    <n v="0"/>
    <x v="0"/>
    <s v="Alone"/>
    <x v="1"/>
    <s v="yes"/>
  </r>
  <r>
    <s v="Foley"/>
    <s v=" Mr"/>
    <s v=" Joseph"/>
    <x v="0"/>
    <x v="0"/>
    <n v="19"/>
    <x v="2"/>
    <x v="0"/>
    <s v="Q"/>
    <x v="3"/>
    <x v="16"/>
    <x v="43"/>
    <x v="0"/>
    <n v="0"/>
    <n v="0"/>
    <x v="0"/>
    <s v="Alone"/>
    <x v="0"/>
    <s v="no"/>
  </r>
  <r>
    <s v="Foley"/>
    <s v=" Mr"/>
    <s v=" William"/>
    <x v="0"/>
    <x v="0"/>
    <n v="20"/>
    <x v="2"/>
    <x v="0"/>
    <s v="Q"/>
    <x v="3"/>
    <x v="16"/>
    <x v="55"/>
    <x v="0"/>
    <n v="0"/>
    <n v="0"/>
    <x v="0"/>
    <s v="Alone"/>
    <x v="0"/>
    <s v="no"/>
  </r>
  <r>
    <s v="Foo"/>
    <s v=" Mr"/>
    <s v=" Choong"/>
    <x v="0"/>
    <x v="0"/>
    <n v="32"/>
    <x v="2"/>
    <x v="0"/>
    <s v="S"/>
    <x v="0"/>
    <x v="1"/>
    <x v="52"/>
    <x v="3"/>
    <n v="0"/>
    <n v="0"/>
    <x v="0"/>
    <s v="Alone"/>
    <x v="1"/>
    <s v="yes"/>
  </r>
  <r>
    <s v="Ford"/>
    <s v=" Miss"/>
    <s v=" Dollina Margaret"/>
    <x v="1"/>
    <x v="1"/>
    <n v="20"/>
    <x v="2"/>
    <x v="0"/>
    <s v="S"/>
    <x v="0"/>
    <x v="1"/>
    <x v="128"/>
    <x v="1"/>
    <n v="2"/>
    <n v="2"/>
    <x v="6"/>
    <s v="With Family"/>
    <x v="0"/>
    <s v="no"/>
  </r>
  <r>
    <s v="Ford"/>
    <s v=" Miss"/>
    <s v=" Robina Maggie"/>
    <x v="1"/>
    <x v="1"/>
    <n v="7"/>
    <x v="3"/>
    <x v="0"/>
    <s v="S"/>
    <x v="0"/>
    <x v="1"/>
    <x v="128"/>
    <x v="1"/>
    <n v="2"/>
    <n v="2"/>
    <x v="6"/>
    <s v="With Family"/>
    <x v="0"/>
    <s v="no"/>
  </r>
  <r>
    <s v="Ford"/>
    <s v=" Mr"/>
    <s v=" Arthur"/>
    <x v="0"/>
    <x v="0"/>
    <n v="23"/>
    <x v="2"/>
    <x v="0"/>
    <s v="S"/>
    <x v="0"/>
    <x v="1"/>
    <x v="7"/>
    <x v="0"/>
    <n v="0"/>
    <n v="0"/>
    <x v="0"/>
    <s v="Alone"/>
    <x v="0"/>
    <s v="no"/>
  </r>
  <r>
    <s v="Ford"/>
    <s v=" Mr"/>
    <s v=" Edward Watson"/>
    <x v="0"/>
    <x v="0"/>
    <n v="18"/>
    <x v="2"/>
    <x v="0"/>
    <s v="S"/>
    <x v="0"/>
    <x v="1"/>
    <x v="128"/>
    <x v="1"/>
    <n v="2"/>
    <n v="2"/>
    <x v="6"/>
    <s v="With Family"/>
    <x v="0"/>
    <s v="no"/>
  </r>
  <r>
    <s v="Ford"/>
    <s v=" Mrs"/>
    <s v=" Margaret Ann Watson"/>
    <x v="1"/>
    <x v="1"/>
    <n v="54"/>
    <x v="0"/>
    <x v="0"/>
    <s v="S"/>
    <x v="0"/>
    <x v="22"/>
    <x v="128"/>
    <x v="1"/>
    <n v="1"/>
    <n v="3"/>
    <x v="6"/>
    <s v="With Family"/>
    <x v="0"/>
    <s v="no"/>
  </r>
  <r>
    <s v="Ford"/>
    <s v=" Mr"/>
    <s v=" William Neal Thomas"/>
    <x v="0"/>
    <x v="0"/>
    <n v="14"/>
    <x v="1"/>
    <x v="0"/>
    <s v="S"/>
    <x v="0"/>
    <x v="1"/>
    <x v="128"/>
    <x v="1"/>
    <n v="1"/>
    <n v="3"/>
    <x v="6"/>
    <s v="With Family"/>
    <x v="0"/>
    <s v="no"/>
  </r>
  <r>
    <s v="Foreman"/>
    <s v=" Mr"/>
    <s v=" Benjamin Laventall"/>
    <x v="0"/>
    <x v="0"/>
    <n v="30"/>
    <x v="2"/>
    <x v="2"/>
    <s v="S"/>
    <x v="0"/>
    <x v="0"/>
    <x v="129"/>
    <x v="1"/>
    <n v="0"/>
    <n v="0"/>
    <x v="0"/>
    <s v="Alone"/>
    <x v="0"/>
    <s v="no"/>
  </r>
  <r>
    <s v="Fortune"/>
    <s v=" Miss"/>
    <s v=" Alice Elizabeth"/>
    <x v="1"/>
    <x v="1"/>
    <n v="24"/>
    <x v="2"/>
    <x v="2"/>
    <s v="S"/>
    <x v="0"/>
    <x v="8"/>
    <x v="130"/>
    <x v="2"/>
    <n v="3"/>
    <n v="2"/>
    <x v="7"/>
    <s v="With Family"/>
    <x v="1"/>
    <s v="yes"/>
  </r>
  <r>
    <s v="Fortune"/>
    <s v=" Miss"/>
    <s v=" Ethel Flora"/>
    <x v="1"/>
    <x v="1"/>
    <n v="28"/>
    <x v="2"/>
    <x v="2"/>
    <s v="S"/>
    <x v="0"/>
    <x v="8"/>
    <x v="130"/>
    <x v="2"/>
    <n v="3"/>
    <n v="2"/>
    <x v="7"/>
    <s v="With Family"/>
    <x v="1"/>
    <s v="yes"/>
  </r>
  <r>
    <s v="Fortune"/>
    <s v=" Miss"/>
    <s v=" Mabel Helen"/>
    <x v="1"/>
    <x v="1"/>
    <n v="23"/>
    <x v="2"/>
    <x v="2"/>
    <s v="S"/>
    <x v="0"/>
    <x v="8"/>
    <x v="130"/>
    <x v="2"/>
    <n v="3"/>
    <n v="2"/>
    <x v="7"/>
    <s v="With Family"/>
    <x v="1"/>
    <s v="yes"/>
  </r>
  <r>
    <s v="Fortune"/>
    <s v=" Mr"/>
    <s v=" Charles Alexander"/>
    <x v="0"/>
    <x v="0"/>
    <n v="19"/>
    <x v="2"/>
    <x v="2"/>
    <s v="S"/>
    <x v="0"/>
    <x v="8"/>
    <x v="130"/>
    <x v="2"/>
    <n v="3"/>
    <n v="2"/>
    <x v="7"/>
    <s v="With Family"/>
    <x v="0"/>
    <s v="no"/>
  </r>
  <r>
    <s v="Fortune"/>
    <s v=" Mr"/>
    <s v=" Mark"/>
    <x v="0"/>
    <x v="0"/>
    <n v="64"/>
    <x v="4"/>
    <x v="2"/>
    <s v="S"/>
    <x v="0"/>
    <x v="8"/>
    <x v="130"/>
    <x v="2"/>
    <n v="1"/>
    <n v="4"/>
    <x v="7"/>
    <s v="With Family"/>
    <x v="0"/>
    <s v="no"/>
  </r>
  <r>
    <s v="Fortune"/>
    <s v=" Mrs"/>
    <s v=" Mary"/>
    <x v="1"/>
    <x v="1"/>
    <n v="60"/>
    <x v="4"/>
    <x v="2"/>
    <s v="S"/>
    <x v="0"/>
    <x v="8"/>
    <x v="130"/>
    <x v="2"/>
    <n v="1"/>
    <n v="4"/>
    <x v="7"/>
    <s v="With Family"/>
    <x v="1"/>
    <s v="yes"/>
  </r>
  <r>
    <s v="Fox"/>
    <s v=" Mr"/>
    <s v=" Patrick"/>
    <x v="0"/>
    <x v="0"/>
    <n v="28"/>
    <x v="2"/>
    <x v="0"/>
    <s v="Q"/>
    <x v="3"/>
    <x v="16"/>
    <x v="55"/>
    <x v="0"/>
    <n v="0"/>
    <n v="0"/>
    <x v="0"/>
    <s v="Alone"/>
    <x v="0"/>
    <s v="no"/>
  </r>
  <r>
    <s v="Fox"/>
    <s v=" Mr"/>
    <s v=" Stanley Harrington"/>
    <x v="0"/>
    <x v="0"/>
    <n v="38"/>
    <x v="0"/>
    <x v="1"/>
    <s v="S"/>
    <x v="0"/>
    <x v="0"/>
    <x v="10"/>
    <x v="0"/>
    <n v="0"/>
    <n v="0"/>
    <x v="0"/>
    <s v="Alone"/>
    <x v="0"/>
    <s v="no"/>
  </r>
  <r>
    <s v="Francatelli"/>
    <s v=" Miss"/>
    <s v=" Laura Mabel"/>
    <x v="1"/>
    <x v="1"/>
    <n v="32"/>
    <x v="2"/>
    <x v="2"/>
    <s v="C"/>
    <x v="1"/>
    <x v="1"/>
    <x v="119"/>
    <x v="3"/>
    <n v="0"/>
    <n v="0"/>
    <x v="0"/>
    <s v="Alone"/>
    <x v="1"/>
    <s v="yes"/>
  </r>
  <r>
    <s v="Franklin"/>
    <s v=" Mr"/>
    <s v=" Thomas Parnham"/>
    <x v="0"/>
    <x v="0"/>
    <n v="37"/>
    <x v="0"/>
    <x v="2"/>
    <s v="S"/>
    <x v="0"/>
    <x v="1"/>
    <x v="19"/>
    <x v="1"/>
    <n v="0"/>
    <n v="0"/>
    <x v="0"/>
    <s v="Alone"/>
    <x v="0"/>
    <s v="no"/>
  </r>
  <r>
    <s v="Frauenthal"/>
    <s v=" Dr"/>
    <s v=" Henry William"/>
    <x v="0"/>
    <x v="0"/>
    <n v="49"/>
    <x v="0"/>
    <x v="2"/>
    <s v="S"/>
    <x v="0"/>
    <x v="0"/>
    <x v="131"/>
    <x v="2"/>
    <n v="2"/>
    <n v="0"/>
    <x v="1"/>
    <s v="With Family"/>
    <x v="1"/>
    <s v="yes"/>
  </r>
  <r>
    <s v="Frauenthal"/>
    <s v=" Mr"/>
    <s v=" Isaac Gerald"/>
    <x v="0"/>
    <x v="0"/>
    <n v="43"/>
    <x v="0"/>
    <x v="2"/>
    <s v="C"/>
    <x v="1"/>
    <x v="0"/>
    <x v="68"/>
    <x v="1"/>
    <n v="1"/>
    <n v="0"/>
    <x v="2"/>
    <s v="With Family"/>
    <x v="1"/>
    <s v="yes"/>
  </r>
  <r>
    <s v="Frauenthal"/>
    <s v=" Mrs"/>
    <s v=" Clara"/>
    <x v="1"/>
    <x v="1"/>
    <n v="42"/>
    <x v="0"/>
    <x v="2"/>
    <s v="S"/>
    <x v="0"/>
    <x v="0"/>
    <x v="131"/>
    <x v="2"/>
    <n v="1"/>
    <n v="0"/>
    <x v="2"/>
    <s v="With Family"/>
    <x v="1"/>
    <s v="yes"/>
  </r>
  <r>
    <s v="FrÃ¶licher"/>
    <s v=" Miss"/>
    <s v=" Hedwig Margaritha"/>
    <x v="1"/>
    <x v="1"/>
    <n v="22"/>
    <x v="2"/>
    <x v="2"/>
    <s v="C"/>
    <x v="1"/>
    <x v="12"/>
    <x v="132"/>
    <x v="3"/>
    <n v="0"/>
    <n v="2"/>
    <x v="1"/>
    <s v="With Family"/>
    <x v="1"/>
    <s v="yes"/>
  </r>
  <r>
    <s v="FrÃ¶licher-Stehli"/>
    <s v=" Mr"/>
    <s v=" Maximilian Josef"/>
    <x v="0"/>
    <x v="0"/>
    <n v="60"/>
    <x v="4"/>
    <x v="2"/>
    <s v="C"/>
    <x v="1"/>
    <x v="12"/>
    <x v="133"/>
    <x v="3"/>
    <n v="1"/>
    <n v="1"/>
    <x v="1"/>
    <s v="With Family"/>
    <x v="1"/>
    <s v="yes"/>
  </r>
  <r>
    <s v="FrÃ¶licher-Stehli"/>
    <s v=" Mrs"/>
    <s v=" Margaretha Emerentia"/>
    <x v="1"/>
    <x v="1"/>
    <n v="48"/>
    <x v="0"/>
    <x v="2"/>
    <s v="C"/>
    <x v="1"/>
    <x v="12"/>
    <x v="133"/>
    <x v="3"/>
    <n v="1"/>
    <n v="1"/>
    <x v="1"/>
    <s v="With Family"/>
    <x v="1"/>
    <s v="yes"/>
  </r>
  <r>
    <s v="Frost"/>
    <s v=" Mr"/>
    <s v=" Anthony Wood"/>
    <x v="0"/>
    <x v="0"/>
    <n v="39"/>
    <x v="0"/>
    <x v="1"/>
    <s v="B"/>
    <x v="2"/>
    <x v="1"/>
    <x v="25"/>
    <x v="1"/>
    <n v="0"/>
    <n v="0"/>
    <x v="0"/>
    <s v="Alone"/>
    <x v="0"/>
    <s v="no"/>
  </r>
  <r>
    <s v="Fry"/>
    <s v=" Mr"/>
    <s v=" Richard"/>
    <x v="0"/>
    <x v="0"/>
    <n v="39"/>
    <x v="0"/>
    <x v="2"/>
    <s v="S"/>
    <x v="0"/>
    <x v="1"/>
    <x v="25"/>
    <x v="1"/>
    <n v="0"/>
    <n v="0"/>
    <x v="0"/>
    <s v="Alone"/>
    <x v="0"/>
    <s v="no"/>
  </r>
  <r>
    <s v="Funk"/>
    <s v=" Miss"/>
    <s v=" Annie Clemmer"/>
    <x v="1"/>
    <x v="1"/>
    <n v="38"/>
    <x v="0"/>
    <x v="1"/>
    <s v="S"/>
    <x v="0"/>
    <x v="18"/>
    <x v="10"/>
    <x v="0"/>
    <n v="0"/>
    <n v="0"/>
    <x v="0"/>
    <s v="Alone"/>
    <x v="0"/>
    <s v="no"/>
  </r>
  <r>
    <s v="Futrelle"/>
    <s v=" Mr"/>
    <s v=" Jacques Heath"/>
    <x v="0"/>
    <x v="0"/>
    <n v="37"/>
    <x v="0"/>
    <x v="2"/>
    <s v="S"/>
    <x v="0"/>
    <x v="1"/>
    <x v="84"/>
    <x v="3"/>
    <n v="1"/>
    <n v="0"/>
    <x v="2"/>
    <s v="With Family"/>
    <x v="0"/>
    <s v="no"/>
  </r>
  <r>
    <s v="Futrelle"/>
    <s v=" Mrs"/>
    <s v=" Lily May"/>
    <x v="1"/>
    <x v="1"/>
    <n v="35"/>
    <x v="2"/>
    <x v="2"/>
    <s v="S"/>
    <x v="0"/>
    <x v="1"/>
    <x v="84"/>
    <x v="3"/>
    <n v="1"/>
    <n v="0"/>
    <x v="2"/>
    <s v="With Family"/>
    <x v="1"/>
    <s v="yes"/>
  </r>
  <r>
    <s v="Fynney"/>
    <s v=" Mr"/>
    <s v=" Joseph J"/>
    <x v="0"/>
    <x v="0"/>
    <n v="36"/>
    <x v="0"/>
    <x v="1"/>
    <s v="S"/>
    <x v="0"/>
    <x v="1"/>
    <x v="27"/>
    <x v="1"/>
    <n v="0"/>
    <n v="0"/>
    <x v="0"/>
    <s v="Alone"/>
    <x v="0"/>
    <s v="no"/>
  </r>
  <r>
    <s v="Gale"/>
    <s v=" Mr"/>
    <s v=" Harry"/>
    <x v="0"/>
    <x v="0"/>
    <n v="38"/>
    <x v="0"/>
    <x v="1"/>
    <s v="S"/>
    <x v="0"/>
    <x v="1"/>
    <x v="77"/>
    <x v="1"/>
    <n v="1"/>
    <n v="0"/>
    <x v="2"/>
    <s v="With Family"/>
    <x v="0"/>
    <s v="no"/>
  </r>
  <r>
    <s v="Gale"/>
    <s v=" Mr"/>
    <s v=" Shadrach"/>
    <x v="0"/>
    <x v="0"/>
    <n v="33"/>
    <x v="2"/>
    <x v="1"/>
    <s v="S"/>
    <x v="0"/>
    <x v="1"/>
    <x v="77"/>
    <x v="1"/>
    <n v="1"/>
    <n v="0"/>
    <x v="2"/>
    <s v="With Family"/>
    <x v="0"/>
    <s v="no"/>
  </r>
  <r>
    <s v="Gallagher"/>
    <s v=" Mr"/>
    <s v=" Martin"/>
    <x v="0"/>
    <x v="0"/>
    <n v="29"/>
    <x v="2"/>
    <x v="0"/>
    <s v="Q"/>
    <x v="3"/>
    <x v="16"/>
    <x v="134"/>
    <x v="0"/>
    <n v="0"/>
    <n v="0"/>
    <x v="0"/>
    <s v="Alone"/>
    <x v="0"/>
    <s v="no"/>
  </r>
  <r>
    <s v="Garfirth"/>
    <s v=" Mr"/>
    <s v=" John"/>
    <x v="0"/>
    <x v="0"/>
    <n v="23"/>
    <x v="2"/>
    <x v="0"/>
    <s v="S"/>
    <x v="0"/>
    <x v="1"/>
    <x v="135"/>
    <x v="0"/>
    <n v="0"/>
    <n v="0"/>
    <x v="0"/>
    <s v="Alone"/>
    <x v="0"/>
    <s v="no"/>
  </r>
  <r>
    <s v="Garside"/>
    <s v=" Miss"/>
    <s v=" Ethel"/>
    <x v="1"/>
    <x v="1"/>
    <n v="39"/>
    <x v="0"/>
    <x v="1"/>
    <s v="S"/>
    <x v="0"/>
    <x v="1"/>
    <x v="10"/>
    <x v="0"/>
    <n v="0"/>
    <n v="0"/>
    <x v="0"/>
    <s v="Alone"/>
    <x v="1"/>
    <s v="yes"/>
  </r>
  <r>
    <s v="Gaskell"/>
    <s v=" Mr"/>
    <s v=" William Alfred"/>
    <x v="0"/>
    <x v="0"/>
    <n v="19"/>
    <x v="2"/>
    <x v="1"/>
    <s v="S"/>
    <x v="0"/>
    <x v="1"/>
    <x v="27"/>
    <x v="1"/>
    <n v="0"/>
    <n v="0"/>
    <x v="0"/>
    <s v="Alone"/>
    <x v="0"/>
    <s v="no"/>
  </r>
  <r>
    <s v="Gavey"/>
    <s v=" Mr"/>
    <s v=" Laurence"/>
    <x v="0"/>
    <x v="0"/>
    <n v="26"/>
    <x v="2"/>
    <x v="1"/>
    <s v="S"/>
    <x v="0"/>
    <x v="13"/>
    <x v="23"/>
    <x v="0"/>
    <n v="0"/>
    <n v="0"/>
    <x v="0"/>
    <s v="Alone"/>
    <x v="0"/>
    <s v="no"/>
  </r>
  <r>
    <s v="Gee"/>
    <s v=" Mr"/>
    <s v=" Arthur H"/>
    <x v="0"/>
    <x v="0"/>
    <n v="47"/>
    <x v="0"/>
    <x v="2"/>
    <s v="S"/>
    <x v="0"/>
    <x v="1"/>
    <x v="136"/>
    <x v="3"/>
    <n v="0"/>
    <n v="0"/>
    <x v="0"/>
    <s v="Alone"/>
    <x v="0"/>
    <s v="no"/>
  </r>
  <r>
    <s v="George/Joseph"/>
    <s v=" Mrs"/>
    <s v=" Shawneene"/>
    <x v="1"/>
    <x v="1"/>
    <n v="38"/>
    <x v="0"/>
    <x v="0"/>
    <s v="C"/>
    <x v="1"/>
    <x v="0"/>
    <x v="16"/>
    <x v="0"/>
    <n v="0"/>
    <n v="0"/>
    <x v="0"/>
    <s v="Alone"/>
    <x v="1"/>
    <s v="yes"/>
  </r>
  <r>
    <s v="Gerios Thamah"/>
    <s v=" Mr"/>
    <s v=" Assaf"/>
    <x v="0"/>
    <x v="0"/>
    <n v="21"/>
    <x v="2"/>
    <x v="0"/>
    <s v="C"/>
    <x v="1"/>
    <x v="4"/>
    <x v="33"/>
    <x v="0"/>
    <n v="0"/>
    <n v="0"/>
    <x v="0"/>
    <s v="Alone"/>
    <x v="0"/>
    <s v="no"/>
  </r>
  <r>
    <s v="Gheorgheff"/>
    <s v=" Mr"/>
    <s v=" Stanio"/>
    <x v="0"/>
    <x v="0"/>
    <n v="30"/>
    <x v="2"/>
    <x v="0"/>
    <s v="C"/>
    <x v="1"/>
    <x v="11"/>
    <x v="26"/>
    <x v="0"/>
    <n v="0"/>
    <n v="0"/>
    <x v="0"/>
    <s v="Alone"/>
    <x v="0"/>
    <s v="no"/>
  </r>
  <r>
    <s v="Gibson"/>
    <s v=" Miss"/>
    <s v=" Dorothy Winifred"/>
    <x v="1"/>
    <x v="1"/>
    <n v="22"/>
    <x v="2"/>
    <x v="2"/>
    <s v="C"/>
    <x v="1"/>
    <x v="0"/>
    <x v="137"/>
    <x v="3"/>
    <n v="0"/>
    <n v="1"/>
    <x v="2"/>
    <s v="With Family"/>
    <x v="1"/>
    <s v="yes"/>
  </r>
  <r>
    <s v="Gibson"/>
    <s v=" Mrs"/>
    <s v=" Pauline Caroline"/>
    <x v="1"/>
    <x v="1"/>
    <n v="44"/>
    <x v="0"/>
    <x v="2"/>
    <s v="C"/>
    <x v="1"/>
    <x v="0"/>
    <x v="137"/>
    <x v="3"/>
    <n v="0"/>
    <n v="1"/>
    <x v="2"/>
    <s v="With Family"/>
    <x v="1"/>
    <s v="yes"/>
  </r>
  <r>
    <s v="Gieger"/>
    <s v=" Miss"/>
    <s v=" Amalie"/>
    <x v="1"/>
    <x v="1"/>
    <n v="35"/>
    <x v="2"/>
    <x v="2"/>
    <s v="S"/>
    <x v="0"/>
    <x v="1"/>
    <x v="138"/>
    <x v="2"/>
    <n v="0"/>
    <n v="0"/>
    <x v="0"/>
    <s v="Alone"/>
    <x v="1"/>
    <s v="yes"/>
  </r>
  <r>
    <s v="Giglio"/>
    <s v=" Mr"/>
    <s v=" Victor Gaitan Andrea"/>
    <x v="0"/>
    <x v="0"/>
    <n v="23"/>
    <x v="2"/>
    <x v="2"/>
    <s v="C"/>
    <x v="1"/>
    <x v="1"/>
    <x v="133"/>
    <x v="3"/>
    <n v="0"/>
    <n v="0"/>
    <x v="0"/>
    <s v="Alone"/>
    <x v="0"/>
    <s v="no"/>
  </r>
  <r>
    <s v="Gilbert"/>
    <s v=" Mr"/>
    <s v=" William"/>
    <x v="0"/>
    <x v="0"/>
    <n v="47"/>
    <x v="0"/>
    <x v="1"/>
    <s v="S"/>
    <x v="0"/>
    <x v="1"/>
    <x v="23"/>
    <x v="0"/>
    <n v="0"/>
    <n v="0"/>
    <x v="0"/>
    <s v="Alone"/>
    <x v="0"/>
    <s v="no"/>
  </r>
  <r>
    <s v="Giles"/>
    <s v=" Mr"/>
    <s v=" Edgar"/>
    <x v="0"/>
    <x v="0"/>
    <n v="19"/>
    <x v="2"/>
    <x v="1"/>
    <s v="S"/>
    <x v="0"/>
    <x v="1"/>
    <x v="22"/>
    <x v="0"/>
    <n v="1"/>
    <n v="0"/>
    <x v="2"/>
    <s v="With Family"/>
    <x v="0"/>
    <s v="no"/>
  </r>
  <r>
    <s v="Giles"/>
    <s v=" Mr"/>
    <s v=" Frederick Edward"/>
    <x v="0"/>
    <x v="0"/>
    <n v="21"/>
    <x v="2"/>
    <x v="1"/>
    <s v="S"/>
    <x v="0"/>
    <x v="1"/>
    <x v="22"/>
    <x v="0"/>
    <n v="1"/>
    <n v="0"/>
    <x v="2"/>
    <s v="With Family"/>
    <x v="0"/>
    <s v="no"/>
  </r>
  <r>
    <s v="Giles"/>
    <s v=" Mr"/>
    <s v=" Ralph"/>
    <x v="0"/>
    <x v="0"/>
    <n v="24"/>
    <x v="2"/>
    <x v="1"/>
    <s v="S"/>
    <x v="0"/>
    <x v="1"/>
    <x v="85"/>
    <x v="0"/>
    <n v="0"/>
    <n v="0"/>
    <x v="0"/>
    <s v="Alone"/>
    <x v="0"/>
    <s v="no"/>
  </r>
  <r>
    <s v="Gilinski"/>
    <s v=" Mr"/>
    <s v=" Eliezer"/>
    <x v="0"/>
    <x v="0"/>
    <n v="23"/>
    <x v="2"/>
    <x v="0"/>
    <s v="S"/>
    <x v="0"/>
    <x v="19"/>
    <x v="7"/>
    <x v="0"/>
    <n v="0"/>
    <n v="0"/>
    <x v="0"/>
    <s v="Alone"/>
    <x v="0"/>
    <s v="no"/>
  </r>
  <r>
    <s v="Gillespie"/>
    <s v=" Mr"/>
    <s v=" William Henry"/>
    <x v="0"/>
    <x v="0"/>
    <n v="31"/>
    <x v="2"/>
    <x v="1"/>
    <s v="S"/>
    <x v="0"/>
    <x v="16"/>
    <x v="10"/>
    <x v="0"/>
    <n v="0"/>
    <n v="0"/>
    <x v="0"/>
    <s v="Alone"/>
    <x v="0"/>
    <s v="no"/>
  </r>
  <r>
    <s v="Gill"/>
    <s v=" Mr"/>
    <s v=" John"/>
    <x v="0"/>
    <x v="0"/>
    <n v="24"/>
    <x v="2"/>
    <x v="1"/>
    <s v="S"/>
    <x v="0"/>
    <x v="1"/>
    <x v="10"/>
    <x v="0"/>
    <n v="0"/>
    <n v="0"/>
    <x v="0"/>
    <s v="Alone"/>
    <x v="0"/>
    <s v="no"/>
  </r>
  <r>
    <s v="Gilnagh"/>
    <s v=" Miss"/>
    <s v=" Katherine"/>
    <x v="1"/>
    <x v="1"/>
    <n v="17"/>
    <x v="1"/>
    <x v="0"/>
    <s v="Q"/>
    <x v="3"/>
    <x v="16"/>
    <x v="86"/>
    <x v="0"/>
    <n v="0"/>
    <n v="0"/>
    <x v="0"/>
    <s v="Alone"/>
    <x v="1"/>
    <s v="yes"/>
  </r>
  <r>
    <s v="Givard"/>
    <s v=" Mr"/>
    <s v=" Hans Kristensen"/>
    <x v="0"/>
    <x v="0"/>
    <n v="30"/>
    <x v="2"/>
    <x v="1"/>
    <s v="S"/>
    <x v="0"/>
    <x v="7"/>
    <x v="10"/>
    <x v="0"/>
    <n v="0"/>
    <n v="0"/>
    <x v="0"/>
    <s v="Alone"/>
    <x v="0"/>
    <s v="no"/>
  </r>
  <r>
    <s v="Glynn"/>
    <s v=" Miss"/>
    <s v=" Mary Agatha"/>
    <x v="1"/>
    <x v="1"/>
    <n v="18"/>
    <x v="2"/>
    <x v="0"/>
    <s v="Q"/>
    <x v="3"/>
    <x v="16"/>
    <x v="55"/>
    <x v="0"/>
    <n v="0"/>
    <n v="0"/>
    <x v="0"/>
    <s v="Alone"/>
    <x v="1"/>
    <s v="yes"/>
  </r>
  <r>
    <s v="Goldenberg"/>
    <s v=" Mr"/>
    <s v=" Samuel L"/>
    <x v="0"/>
    <x v="0"/>
    <n v="47"/>
    <x v="0"/>
    <x v="2"/>
    <s v="C"/>
    <x v="1"/>
    <x v="0"/>
    <x v="139"/>
    <x v="3"/>
    <n v="1"/>
    <n v="0"/>
    <x v="2"/>
    <s v="With Family"/>
    <x v="1"/>
    <s v="yes"/>
  </r>
  <r>
    <s v="Goldenberg"/>
    <s v=" Mrs"/>
    <s v=" Nella"/>
    <x v="1"/>
    <x v="1"/>
    <n v="40"/>
    <x v="0"/>
    <x v="2"/>
    <s v="C"/>
    <x v="1"/>
    <x v="0"/>
    <x v="139"/>
    <x v="3"/>
    <n v="1"/>
    <n v="0"/>
    <x v="2"/>
    <s v="With Family"/>
    <x v="1"/>
    <s v="yes"/>
  </r>
  <r>
    <s v="Goldschmidt"/>
    <s v=" Mr"/>
    <s v=" George B"/>
    <x v="0"/>
    <x v="0"/>
    <n v="71"/>
    <x v="4"/>
    <x v="2"/>
    <s v="C"/>
    <x v="1"/>
    <x v="0"/>
    <x v="140"/>
    <x v="1"/>
    <n v="0"/>
    <n v="0"/>
    <x v="0"/>
    <s v="Alone"/>
    <x v="0"/>
    <s v="no"/>
  </r>
  <r>
    <s v="Goldsmith"/>
    <s v=" Master"/>
    <s v=" Frank John William"/>
    <x v="0"/>
    <x v="0"/>
    <n v="9"/>
    <x v="1"/>
    <x v="0"/>
    <s v="S"/>
    <x v="0"/>
    <x v="1"/>
    <x v="141"/>
    <x v="1"/>
    <n v="0"/>
    <n v="2"/>
    <x v="1"/>
    <s v="With Family"/>
    <x v="1"/>
    <s v="yes"/>
  </r>
  <r>
    <s v="Goldsmith"/>
    <s v=" Mr"/>
    <s v=" Frank John"/>
    <x v="0"/>
    <x v="0"/>
    <n v="33"/>
    <x v="2"/>
    <x v="0"/>
    <s v="S"/>
    <x v="0"/>
    <x v="1"/>
    <x v="141"/>
    <x v="1"/>
    <n v="1"/>
    <n v="1"/>
    <x v="1"/>
    <s v="With Family"/>
    <x v="0"/>
    <s v="no"/>
  </r>
  <r>
    <s v="Goldsmith"/>
    <s v=" Mr"/>
    <s v=" Nathan"/>
    <x v="0"/>
    <x v="0"/>
    <n v="41"/>
    <x v="0"/>
    <x v="0"/>
    <s v="S"/>
    <x v="0"/>
    <x v="1"/>
    <x v="142"/>
    <x v="0"/>
    <n v="0"/>
    <n v="0"/>
    <x v="0"/>
    <s v="Alone"/>
    <x v="0"/>
    <s v="no"/>
  </r>
  <r>
    <s v="Goldsmith"/>
    <s v=" Mrs"/>
    <s v=" Emily Alice"/>
    <x v="1"/>
    <x v="1"/>
    <n v="31"/>
    <x v="2"/>
    <x v="0"/>
    <s v="S"/>
    <x v="0"/>
    <x v="1"/>
    <x v="141"/>
    <x v="1"/>
    <n v="1"/>
    <n v="1"/>
    <x v="1"/>
    <s v="With Family"/>
    <x v="1"/>
    <s v="yes"/>
  </r>
  <r>
    <s v="Goodwin"/>
    <s v=" Master"/>
    <s v=" Harold Victor"/>
    <x v="0"/>
    <x v="0"/>
    <n v="9"/>
    <x v="1"/>
    <x v="0"/>
    <s v="S"/>
    <x v="0"/>
    <x v="1"/>
    <x v="143"/>
    <x v="3"/>
    <n v="5"/>
    <n v="2"/>
    <x v="8"/>
    <s v="With Family"/>
    <x v="0"/>
    <s v="no"/>
  </r>
  <r>
    <s v="Goodwin"/>
    <s v=" Master"/>
    <s v=" Sidney Leslie"/>
    <x v="0"/>
    <x v="0"/>
    <n v="1"/>
    <x v="3"/>
    <x v="0"/>
    <s v="S"/>
    <x v="0"/>
    <x v="1"/>
    <x v="143"/>
    <x v="3"/>
    <n v="5"/>
    <n v="2"/>
    <x v="8"/>
    <s v="With Family"/>
    <x v="0"/>
    <s v="no"/>
  </r>
  <r>
    <s v="Goodwin"/>
    <s v=" Master"/>
    <s v=" William Frederick"/>
    <x v="0"/>
    <x v="0"/>
    <n v="11"/>
    <x v="1"/>
    <x v="0"/>
    <s v="S"/>
    <x v="0"/>
    <x v="1"/>
    <x v="143"/>
    <x v="3"/>
    <n v="5"/>
    <n v="2"/>
    <x v="8"/>
    <s v="With Family"/>
    <x v="0"/>
    <s v="no"/>
  </r>
  <r>
    <s v="Goodwin"/>
    <s v=" Miss"/>
    <s v=" Jessie Allis"/>
    <x v="1"/>
    <x v="1"/>
    <n v="10"/>
    <x v="1"/>
    <x v="0"/>
    <s v="S"/>
    <x v="0"/>
    <x v="1"/>
    <x v="143"/>
    <x v="3"/>
    <n v="5"/>
    <n v="2"/>
    <x v="8"/>
    <s v="With Family"/>
    <x v="0"/>
    <s v="no"/>
  </r>
  <r>
    <s v="Goodwin"/>
    <s v=" Miss"/>
    <s v=" Lillian Amy"/>
    <x v="1"/>
    <x v="1"/>
    <n v="16"/>
    <x v="1"/>
    <x v="0"/>
    <s v="S"/>
    <x v="0"/>
    <x v="1"/>
    <x v="143"/>
    <x v="3"/>
    <n v="5"/>
    <n v="2"/>
    <x v="8"/>
    <s v="With Family"/>
    <x v="0"/>
    <s v="no"/>
  </r>
  <r>
    <s v="Goodwin"/>
    <s v=" Mr"/>
    <s v=" Charles Edward"/>
    <x v="0"/>
    <x v="0"/>
    <n v="14"/>
    <x v="1"/>
    <x v="0"/>
    <s v="S"/>
    <x v="0"/>
    <x v="1"/>
    <x v="143"/>
    <x v="3"/>
    <n v="5"/>
    <n v="2"/>
    <x v="8"/>
    <s v="With Family"/>
    <x v="0"/>
    <s v="no"/>
  </r>
  <r>
    <s v="Goodwin"/>
    <s v=" Mr"/>
    <s v=" Frederick Joseph"/>
    <x v="0"/>
    <x v="0"/>
    <n v="42"/>
    <x v="0"/>
    <x v="0"/>
    <s v="S"/>
    <x v="0"/>
    <x v="1"/>
    <x v="143"/>
    <x v="3"/>
    <n v="1"/>
    <n v="6"/>
    <x v="8"/>
    <s v="With Family"/>
    <x v="0"/>
    <s v="no"/>
  </r>
  <r>
    <s v="Goodwin"/>
    <s v=" Mrs"/>
    <s v=" Augusta"/>
    <x v="1"/>
    <x v="1"/>
    <n v="43"/>
    <x v="0"/>
    <x v="0"/>
    <s v="S"/>
    <x v="0"/>
    <x v="1"/>
    <x v="143"/>
    <x v="3"/>
    <n v="1"/>
    <n v="6"/>
    <x v="8"/>
    <s v="With Family"/>
    <x v="0"/>
    <s v="no"/>
  </r>
  <r>
    <s v="Gracie"/>
    <s v=" Colonel"/>
    <s v=" Archibald"/>
    <x v="0"/>
    <x v="0"/>
    <n v="53"/>
    <x v="0"/>
    <x v="2"/>
    <s v="S"/>
    <x v="0"/>
    <x v="0"/>
    <x v="144"/>
    <x v="1"/>
    <n v="0"/>
    <n v="0"/>
    <x v="0"/>
    <s v="Alone"/>
    <x v="1"/>
    <s v="yes"/>
  </r>
  <r>
    <s v="Graham"/>
    <s v=" Miss"/>
    <s v=" Margaret Edith"/>
    <x v="1"/>
    <x v="1"/>
    <n v="19"/>
    <x v="2"/>
    <x v="2"/>
    <s v="S"/>
    <x v="0"/>
    <x v="1"/>
    <x v="145"/>
    <x v="2"/>
    <n v="0"/>
    <n v="0"/>
    <x v="0"/>
    <s v="Alone"/>
    <x v="1"/>
    <s v="yes"/>
  </r>
  <r>
    <s v="Graham"/>
    <s v=" Mr"/>
    <s v=" George Edward"/>
    <x v="0"/>
    <x v="0"/>
    <n v="38"/>
    <x v="0"/>
    <x v="2"/>
    <s v="S"/>
    <x v="0"/>
    <x v="8"/>
    <x v="42"/>
    <x v="1"/>
    <n v="0"/>
    <n v="1"/>
    <x v="2"/>
    <s v="With Family"/>
    <x v="0"/>
    <s v="no"/>
  </r>
  <r>
    <s v="Graham"/>
    <s v=" Mrs"/>
    <s v=" Edith"/>
    <x v="1"/>
    <x v="1"/>
    <n v="59"/>
    <x v="4"/>
    <x v="2"/>
    <s v="S"/>
    <x v="0"/>
    <x v="1"/>
    <x v="145"/>
    <x v="2"/>
    <n v="0"/>
    <n v="1"/>
    <x v="2"/>
    <s v="With Family"/>
    <x v="1"/>
    <s v="yes"/>
  </r>
  <r>
    <s v="Greenberg"/>
    <s v=" Mr"/>
    <s v=" Samuel"/>
    <x v="0"/>
    <x v="0"/>
    <n v="52"/>
    <x v="0"/>
    <x v="1"/>
    <s v="S"/>
    <x v="0"/>
    <x v="20"/>
    <x v="10"/>
    <x v="0"/>
    <n v="0"/>
    <n v="0"/>
    <x v="0"/>
    <s v="Alone"/>
    <x v="0"/>
    <s v="no"/>
  </r>
  <r>
    <s v="Greenfield"/>
    <s v=" Mrs"/>
    <s v=" Blanche"/>
    <x v="1"/>
    <x v="1"/>
    <n v="45"/>
    <x v="0"/>
    <x v="2"/>
    <s v="C"/>
    <x v="1"/>
    <x v="0"/>
    <x v="51"/>
    <x v="3"/>
    <n v="0"/>
    <n v="1"/>
    <x v="2"/>
    <s v="With Family"/>
    <x v="1"/>
    <s v="yes"/>
  </r>
  <r>
    <s v="Greenfield"/>
    <s v=" Mr"/>
    <s v=" William Bertram"/>
    <x v="0"/>
    <x v="0"/>
    <n v="23"/>
    <x v="2"/>
    <x v="2"/>
    <s v="C"/>
    <x v="1"/>
    <x v="0"/>
    <x v="51"/>
    <x v="3"/>
    <n v="0"/>
    <n v="1"/>
    <x v="2"/>
    <s v="With Family"/>
    <x v="1"/>
    <s v="yes"/>
  </r>
  <r>
    <s v="Green"/>
    <s v=" Mr"/>
    <s v=" George"/>
    <x v="0"/>
    <x v="0"/>
    <n v="20"/>
    <x v="2"/>
    <x v="3"/>
    <s v="S"/>
    <x v="0"/>
    <x v="1"/>
    <x v="25"/>
    <x v="1"/>
    <n v="1"/>
    <s v="NA"/>
    <x v="5"/>
    <e v="#VALUE!"/>
    <x v="0"/>
    <s v="no"/>
  </r>
  <r>
    <s v="GrÃ¸nnestad"/>
    <s v=" Mr"/>
    <s v=" Daniel Danielsen"/>
    <x v="0"/>
    <x v="0"/>
    <n v="32"/>
    <x v="2"/>
    <x v="0"/>
    <s v="S"/>
    <x v="0"/>
    <x v="2"/>
    <x v="146"/>
    <x v="0"/>
    <n v="0"/>
    <n v="0"/>
    <x v="0"/>
    <s v="Alone"/>
    <x v="0"/>
    <s v="no"/>
  </r>
  <r>
    <s v="Guest"/>
    <s v=" Mr"/>
    <s v=" Charles Robert"/>
    <x v="0"/>
    <x v="0"/>
    <n v="25"/>
    <x v="2"/>
    <x v="0"/>
    <s v="S"/>
    <x v="0"/>
    <x v="1"/>
    <x v="7"/>
    <x v="0"/>
    <n v="0"/>
    <n v="0"/>
    <x v="0"/>
    <s v="Alone"/>
    <x v="0"/>
    <s v="no"/>
  </r>
  <r>
    <s v="Guggenheim"/>
    <s v=" Mr"/>
    <s v=" Benjamin"/>
    <x v="0"/>
    <x v="0"/>
    <n v="46"/>
    <x v="0"/>
    <x v="2"/>
    <s v="C"/>
    <x v="1"/>
    <x v="3"/>
    <x v="133"/>
    <x v="3"/>
    <n v="0"/>
    <n v="0"/>
    <x v="0"/>
    <s v="Alone"/>
    <x v="0"/>
    <s v="no"/>
  </r>
  <r>
    <s v="Gustafsson"/>
    <s v=" Mr"/>
    <s v=" Alfred Ossian"/>
    <x v="0"/>
    <x v="0"/>
    <n v="19"/>
    <x v="2"/>
    <x v="0"/>
    <s v="S"/>
    <x v="0"/>
    <x v="5"/>
    <x v="147"/>
    <x v="0"/>
    <n v="0"/>
    <n v="0"/>
    <x v="0"/>
    <s v="Alone"/>
    <x v="0"/>
    <s v="no"/>
  </r>
  <r>
    <s v="Gustafsson"/>
    <s v=" Mr"/>
    <s v=" Anders Vilhelm"/>
    <x v="0"/>
    <x v="0"/>
    <n v="37"/>
    <x v="0"/>
    <x v="0"/>
    <s v="S"/>
    <x v="0"/>
    <x v="5"/>
    <x v="5"/>
    <x v="0"/>
    <n v="2"/>
    <n v="0"/>
    <x v="1"/>
    <s v="With Family"/>
    <x v="0"/>
    <s v="no"/>
  </r>
  <r>
    <s v="Gustafsson"/>
    <s v=" Mr"/>
    <s v=" Johan Birger"/>
    <x v="0"/>
    <x v="0"/>
    <n v="28"/>
    <x v="2"/>
    <x v="0"/>
    <s v="S"/>
    <x v="0"/>
    <x v="5"/>
    <x v="5"/>
    <x v="0"/>
    <n v="2"/>
    <n v="0"/>
    <x v="1"/>
    <s v="With Family"/>
    <x v="0"/>
    <s v="no"/>
  </r>
  <r>
    <s v="Gustafsson"/>
    <s v=" Mr"/>
    <s v=" Karl Gideon"/>
    <x v="0"/>
    <x v="0"/>
    <n v="19"/>
    <x v="2"/>
    <x v="0"/>
    <s v="S"/>
    <x v="0"/>
    <x v="6"/>
    <x v="21"/>
    <x v="0"/>
    <n v="0"/>
    <n v="0"/>
    <x v="0"/>
    <s v="Alone"/>
    <x v="0"/>
    <s v="no"/>
  </r>
  <r>
    <s v="Haas"/>
    <s v=" Miss"/>
    <s v=" Aloisia"/>
    <x v="1"/>
    <x v="1"/>
    <n v="24"/>
    <x v="2"/>
    <x v="0"/>
    <s v="S"/>
    <x v="0"/>
    <x v="12"/>
    <x v="148"/>
    <x v="0"/>
    <n v="0"/>
    <n v="0"/>
    <x v="0"/>
    <s v="Alone"/>
    <x v="0"/>
    <s v="no"/>
  </r>
  <r>
    <s v="Hagland"/>
    <s v=" Mr"/>
    <s v=" Ingvald Olai Olsen"/>
    <x v="0"/>
    <x v="0"/>
    <n v="28"/>
    <x v="2"/>
    <x v="0"/>
    <s v="S"/>
    <x v="0"/>
    <x v="2"/>
    <x v="149"/>
    <x v="0"/>
    <n v="1"/>
    <n v="0"/>
    <x v="2"/>
    <s v="With Family"/>
    <x v="0"/>
    <s v="no"/>
  </r>
  <r>
    <s v="Hagland"/>
    <s v=" Mr"/>
    <s v=" Konrad Mathias Reiersen"/>
    <x v="0"/>
    <x v="0"/>
    <n v="19"/>
    <x v="2"/>
    <x v="0"/>
    <s v="S"/>
    <x v="0"/>
    <x v="2"/>
    <x v="149"/>
    <x v="0"/>
    <n v="1"/>
    <n v="0"/>
    <x v="2"/>
    <s v="With Family"/>
    <x v="0"/>
    <s v="no"/>
  </r>
  <r>
    <s v="Hakkarainen"/>
    <s v=" Mr"/>
    <s v=" Pekka Pietari"/>
    <x v="0"/>
    <x v="0"/>
    <n v="28"/>
    <x v="2"/>
    <x v="0"/>
    <s v="S"/>
    <x v="0"/>
    <x v="5"/>
    <x v="37"/>
    <x v="1"/>
    <n v="1"/>
    <n v="0"/>
    <x v="2"/>
    <s v="With Family"/>
    <x v="0"/>
    <s v="no"/>
  </r>
  <r>
    <s v="Hakkarainen"/>
    <s v=" Mrs"/>
    <s v=" Elin Matilda"/>
    <x v="1"/>
    <x v="1"/>
    <n v="24"/>
    <x v="2"/>
    <x v="0"/>
    <s v="S"/>
    <x v="0"/>
    <x v="5"/>
    <x v="37"/>
    <x v="1"/>
    <n v="1"/>
    <n v="0"/>
    <x v="2"/>
    <s v="With Family"/>
    <x v="1"/>
    <s v="yes"/>
  </r>
  <r>
    <s v="Hale"/>
    <s v=" Mr"/>
    <s v=" Reginald"/>
    <x v="0"/>
    <x v="0"/>
    <n v="30"/>
    <x v="2"/>
    <x v="1"/>
    <s v="S"/>
    <x v="0"/>
    <x v="1"/>
    <x v="10"/>
    <x v="0"/>
    <n v="0"/>
    <n v="0"/>
    <x v="0"/>
    <s v="Alone"/>
    <x v="0"/>
    <s v="no"/>
  </r>
  <r>
    <s v="HÃ¤mÃ¤lÃ¤inen"/>
    <s v=" Master"/>
    <s v=" Viljo Unto Johannes"/>
    <x v="0"/>
    <x v="0"/>
    <n v="0.58333333330000003"/>
    <x v="3"/>
    <x v="1"/>
    <s v="S"/>
    <x v="0"/>
    <x v="0"/>
    <x v="135"/>
    <x v="0"/>
    <n v="1"/>
    <n v="1"/>
    <x v="1"/>
    <s v="With Family"/>
    <x v="1"/>
    <s v="yes"/>
  </r>
  <r>
    <s v="HÃ¤mÃ¤lÃ¤inen"/>
    <s v=" Mrs"/>
    <s v=" Anna"/>
    <x v="1"/>
    <x v="1"/>
    <n v="23"/>
    <x v="2"/>
    <x v="1"/>
    <s v="S"/>
    <x v="0"/>
    <x v="0"/>
    <x v="135"/>
    <x v="0"/>
    <n v="0"/>
    <n v="2"/>
    <x v="1"/>
    <s v="With Family"/>
    <x v="1"/>
    <s v="yes"/>
  </r>
  <r>
    <s v="Hampe"/>
    <s v=" Mr"/>
    <s v=" LÃ©on JÃ©rome"/>
    <x v="0"/>
    <x v="0"/>
    <n v="19"/>
    <x v="2"/>
    <x v="0"/>
    <s v="S"/>
    <x v="0"/>
    <x v="25"/>
    <x v="110"/>
    <x v="0"/>
    <n v="0"/>
    <n v="0"/>
    <x v="0"/>
    <s v="Alone"/>
    <x v="0"/>
    <s v="no"/>
  </r>
  <r>
    <s v="Hannah"/>
    <s v=" Mr"/>
    <s v=" Borak"/>
    <x v="0"/>
    <x v="0"/>
    <n v="27"/>
    <x v="2"/>
    <x v="0"/>
    <s v="C"/>
    <x v="1"/>
    <x v="4"/>
    <x v="16"/>
    <x v="0"/>
    <n v="0"/>
    <n v="0"/>
    <x v="0"/>
    <s v="Alone"/>
    <x v="1"/>
    <s v="yes"/>
  </r>
  <r>
    <s v="Hanna"/>
    <s v=" Mr"/>
    <s v=" Boulos"/>
    <x v="0"/>
    <x v="0"/>
    <n v="18"/>
    <x v="2"/>
    <x v="0"/>
    <s v="C"/>
    <x v="1"/>
    <x v="4"/>
    <x v="33"/>
    <x v="0"/>
    <n v="0"/>
    <n v="0"/>
    <x v="0"/>
    <s v="Alone"/>
    <x v="0"/>
    <s v="no"/>
  </r>
  <r>
    <s v="Hanna"/>
    <s v=" Mr"/>
    <s v=" Mansour"/>
    <x v="0"/>
    <x v="0"/>
    <n v="35"/>
    <x v="2"/>
    <x v="0"/>
    <s v="C"/>
    <x v="1"/>
    <x v="4"/>
    <x v="16"/>
    <x v="0"/>
    <n v="0"/>
    <n v="0"/>
    <x v="0"/>
    <s v="Alone"/>
    <x v="0"/>
    <s v="no"/>
  </r>
  <r>
    <s v="Hansen"/>
    <s v=" Mr"/>
    <s v=" Claus Peter"/>
    <x v="0"/>
    <x v="0"/>
    <n v="41"/>
    <x v="0"/>
    <x v="0"/>
    <s v="S"/>
    <x v="0"/>
    <x v="0"/>
    <x v="150"/>
    <x v="0"/>
    <n v="2"/>
    <n v="0"/>
    <x v="1"/>
    <s v="With Family"/>
    <x v="0"/>
    <s v="no"/>
  </r>
  <r>
    <s v="Hansen"/>
    <s v=" Mr"/>
    <s v=" Henrik Juul"/>
    <x v="0"/>
    <x v="0"/>
    <n v="26"/>
    <x v="2"/>
    <x v="0"/>
    <s v="S"/>
    <x v="0"/>
    <x v="9"/>
    <x v="17"/>
    <x v="0"/>
    <n v="1"/>
    <n v="0"/>
    <x v="2"/>
    <s v="With Family"/>
    <x v="0"/>
    <s v="no"/>
  </r>
  <r>
    <s v="Hansen"/>
    <s v=" Mr"/>
    <s v=" Henry Damsgaard"/>
    <x v="0"/>
    <x v="0"/>
    <n v="21"/>
    <x v="2"/>
    <x v="0"/>
    <s v="S"/>
    <x v="0"/>
    <x v="9"/>
    <x v="17"/>
    <x v="0"/>
    <n v="0"/>
    <n v="0"/>
    <x v="0"/>
    <s v="Alone"/>
    <x v="0"/>
    <s v="no"/>
  </r>
  <r>
    <s v="Hansen"/>
    <s v=" Mrs"/>
    <s v=" Jennie Louise"/>
    <x v="1"/>
    <x v="1"/>
    <n v="45"/>
    <x v="0"/>
    <x v="0"/>
    <s v="S"/>
    <x v="0"/>
    <x v="0"/>
    <x v="150"/>
    <x v="0"/>
    <n v="1"/>
    <n v="0"/>
    <x v="2"/>
    <s v="With Family"/>
    <x v="1"/>
    <s v="yes"/>
  </r>
  <r>
    <s v="Harbeck"/>
    <s v=" Mr"/>
    <s v=" William H"/>
    <x v="0"/>
    <x v="0"/>
    <n v="45"/>
    <x v="0"/>
    <x v="1"/>
    <s v="S"/>
    <x v="0"/>
    <x v="0"/>
    <x v="10"/>
    <x v="0"/>
    <n v="0"/>
    <n v="0"/>
    <x v="0"/>
    <s v="Alone"/>
    <x v="0"/>
    <s v="no"/>
  </r>
  <r>
    <s v="Harder"/>
    <s v=" Mr"/>
    <s v=" George Achilles"/>
    <x v="0"/>
    <x v="0"/>
    <n v="25"/>
    <x v="2"/>
    <x v="2"/>
    <s v="C"/>
    <x v="1"/>
    <x v="0"/>
    <x v="151"/>
    <x v="3"/>
    <n v="1"/>
    <n v="0"/>
    <x v="2"/>
    <s v="With Family"/>
    <x v="1"/>
    <s v="yes"/>
  </r>
  <r>
    <s v="Harder"/>
    <s v=" Mrs"/>
    <s v=" Dorothy"/>
    <x v="1"/>
    <x v="1"/>
    <n v="21"/>
    <x v="2"/>
    <x v="2"/>
    <s v="C"/>
    <x v="1"/>
    <x v="0"/>
    <x v="151"/>
    <x v="3"/>
    <n v="1"/>
    <n v="0"/>
    <x v="2"/>
    <s v="With Family"/>
    <x v="1"/>
    <s v="yes"/>
  </r>
  <r>
    <s v="Hargadon"/>
    <s v=" Miss"/>
    <s v=" Catherine"/>
    <x v="1"/>
    <x v="1"/>
    <n v="17"/>
    <x v="1"/>
    <x v="0"/>
    <s v="Q"/>
    <x v="3"/>
    <x v="16"/>
    <x v="86"/>
    <x v="0"/>
    <n v="0"/>
    <n v="0"/>
    <x v="0"/>
    <s v="Alone"/>
    <x v="0"/>
    <s v="no"/>
  </r>
  <r>
    <s v="Harknett"/>
    <s v=" Miss"/>
    <s v=" Alice Phoebe"/>
    <x v="1"/>
    <x v="1"/>
    <n v="21"/>
    <x v="2"/>
    <x v="0"/>
    <s v="S"/>
    <x v="0"/>
    <x v="1"/>
    <x v="0"/>
    <x v="0"/>
    <n v="0"/>
    <n v="0"/>
    <x v="0"/>
    <s v="Alone"/>
    <x v="0"/>
    <s v="no"/>
  </r>
  <r>
    <s v="Harper"/>
    <s v=" Miss"/>
    <s v=" Annie Jessie"/>
    <x v="1"/>
    <x v="1"/>
    <n v="6"/>
    <x v="3"/>
    <x v="1"/>
    <s v="S"/>
    <x v="0"/>
    <x v="22"/>
    <x v="25"/>
    <x v="1"/>
    <n v="0"/>
    <n v="1"/>
    <x v="2"/>
    <s v="With Family"/>
    <x v="1"/>
    <s v="yes"/>
  </r>
  <r>
    <s v="Harper"/>
    <s v=" Mr"/>
    <s v=" Henry Sleeper"/>
    <x v="0"/>
    <x v="0"/>
    <n v="48"/>
    <x v="0"/>
    <x v="2"/>
    <s v="C"/>
    <x v="1"/>
    <x v="0"/>
    <x v="152"/>
    <x v="3"/>
    <n v="1"/>
    <n v="0"/>
    <x v="2"/>
    <s v="With Family"/>
    <x v="1"/>
    <s v="yes"/>
  </r>
  <r>
    <s v="Harper"/>
    <s v=" Mrs"/>
    <s v=" Myra Raymond"/>
    <x v="1"/>
    <x v="1"/>
    <n v="49"/>
    <x v="0"/>
    <x v="2"/>
    <s v="C"/>
    <x v="1"/>
    <x v="0"/>
    <x v="152"/>
    <x v="3"/>
    <n v="1"/>
    <n v="0"/>
    <x v="2"/>
    <s v="With Family"/>
    <x v="1"/>
    <s v="yes"/>
  </r>
  <r>
    <s v="Harper"/>
    <s v=" Rev"/>
    <s v=" John"/>
    <x v="0"/>
    <x v="0"/>
    <n v="39"/>
    <x v="0"/>
    <x v="1"/>
    <s v="S"/>
    <x v="0"/>
    <x v="22"/>
    <x v="25"/>
    <x v="1"/>
    <n v="0"/>
    <n v="1"/>
    <x v="2"/>
    <s v="With Family"/>
    <x v="0"/>
    <s v="no"/>
  </r>
  <r>
    <s v="Harrington"/>
    <s v=" Mr"/>
    <s v=" Charles Henry"/>
    <x v="0"/>
    <x v="0"/>
    <n v="37"/>
    <x v="0"/>
    <x v="2"/>
    <s v="S"/>
    <x v="0"/>
    <x v="1"/>
    <x v="153"/>
    <x v="3"/>
    <n v="0"/>
    <n v="0"/>
    <x v="0"/>
    <s v="Alone"/>
    <x v="0"/>
    <s v="no"/>
  </r>
  <r>
    <s v="Harris"/>
    <s v=" Mr"/>
    <s v=" George"/>
    <x v="0"/>
    <x v="0"/>
    <n v="62"/>
    <x v="4"/>
    <x v="1"/>
    <s v="S"/>
    <x v="0"/>
    <x v="1"/>
    <x v="23"/>
    <x v="0"/>
    <n v="0"/>
    <n v="0"/>
    <x v="0"/>
    <s v="Alone"/>
    <x v="1"/>
    <s v="yes"/>
  </r>
  <r>
    <s v="Harris"/>
    <s v=" Mr"/>
    <s v=" Henry Birkhardt"/>
    <x v="0"/>
    <x v="0"/>
    <n v="45"/>
    <x v="0"/>
    <x v="2"/>
    <s v="S"/>
    <x v="0"/>
    <x v="0"/>
    <x v="154"/>
    <x v="3"/>
    <n v="1"/>
    <n v="0"/>
    <x v="2"/>
    <s v="With Family"/>
    <x v="0"/>
    <s v="no"/>
  </r>
  <r>
    <s v="Harris"/>
    <s v=" Mrs"/>
    <s v=" Irene"/>
    <x v="1"/>
    <x v="1"/>
    <n v="35"/>
    <x v="2"/>
    <x v="2"/>
    <s v="S"/>
    <x v="0"/>
    <x v="0"/>
    <x v="154"/>
    <x v="3"/>
    <n v="1"/>
    <n v="0"/>
    <x v="2"/>
    <s v="With Family"/>
    <x v="1"/>
    <s v="yes"/>
  </r>
  <r>
    <s v="Harris"/>
    <s v=" Mr"/>
    <s v=" Walter"/>
    <x v="0"/>
    <x v="0"/>
    <n v="45"/>
    <x v="0"/>
    <x v="1"/>
    <s v="S"/>
    <x v="0"/>
    <x v="1"/>
    <x v="23"/>
    <x v="0"/>
    <n v="0"/>
    <n v="0"/>
    <x v="0"/>
    <s v="Alone"/>
    <x v="0"/>
    <s v="no"/>
  </r>
  <r>
    <s v="Harrison"/>
    <s v=" Mr"/>
    <s v=" William Henry"/>
    <x v="0"/>
    <x v="0"/>
    <n v="46"/>
    <x v="0"/>
    <x v="2"/>
    <s v="S"/>
    <x v="0"/>
    <x v="1"/>
    <x v="25"/>
    <x v="1"/>
    <n v="0"/>
    <n v="0"/>
    <x v="0"/>
    <s v="Alone"/>
    <x v="0"/>
    <s v="no"/>
  </r>
  <r>
    <s v="Hartley"/>
    <s v=" Mr"/>
    <s v=" Wallace Henry"/>
    <x v="0"/>
    <x v="0"/>
    <n v="33"/>
    <x v="2"/>
    <x v="1"/>
    <s v="S"/>
    <x v="0"/>
    <x v="1"/>
    <x v="25"/>
    <x v="1"/>
    <n v="1"/>
    <s v="NA"/>
    <x v="5"/>
    <e v="#VALUE!"/>
    <x v="0"/>
    <s v="no"/>
  </r>
  <r>
    <s v="Hart"/>
    <s v=" Miss"/>
    <s v=" Eva Miriam"/>
    <x v="1"/>
    <x v="1"/>
    <n v="7"/>
    <x v="3"/>
    <x v="1"/>
    <s v="S"/>
    <x v="0"/>
    <x v="1"/>
    <x v="93"/>
    <x v="1"/>
    <n v="0"/>
    <n v="2"/>
    <x v="1"/>
    <s v="With Family"/>
    <x v="1"/>
    <s v="yes"/>
  </r>
  <r>
    <s v="Hart"/>
    <s v=" Mr"/>
    <s v=" Benjamin"/>
    <x v="0"/>
    <x v="0"/>
    <n v="47"/>
    <x v="0"/>
    <x v="1"/>
    <s v="S"/>
    <x v="0"/>
    <x v="1"/>
    <x v="93"/>
    <x v="1"/>
    <n v="1"/>
    <n v="1"/>
    <x v="1"/>
    <s v="With Family"/>
    <x v="0"/>
    <s v="no"/>
  </r>
  <r>
    <s v="Hart"/>
    <s v=" Mr"/>
    <s v=" Henry"/>
    <x v="0"/>
    <x v="0"/>
    <n v="29"/>
    <x v="2"/>
    <x v="0"/>
    <s v="Q"/>
    <x v="3"/>
    <x v="16"/>
    <x v="155"/>
    <x v="0"/>
    <n v="0"/>
    <n v="0"/>
    <x v="0"/>
    <s v="Alone"/>
    <x v="0"/>
    <s v="no"/>
  </r>
  <r>
    <s v="Hart"/>
    <s v=" Mrs"/>
    <s v=" Esther Ada"/>
    <x v="1"/>
    <x v="1"/>
    <n v="48"/>
    <x v="0"/>
    <x v="1"/>
    <s v="S"/>
    <x v="0"/>
    <x v="1"/>
    <x v="93"/>
    <x v="1"/>
    <n v="1"/>
    <n v="1"/>
    <x v="1"/>
    <s v="With Family"/>
    <x v="1"/>
    <s v="yes"/>
  </r>
  <r>
    <s v="Hassab"/>
    <s v=" Mr"/>
    <s v=" Hammad"/>
    <x v="0"/>
    <x v="0"/>
    <n v="27"/>
    <x v="2"/>
    <x v="2"/>
    <s v="C"/>
    <x v="1"/>
    <x v="30"/>
    <x v="152"/>
    <x v="3"/>
    <n v="0"/>
    <n v="0"/>
    <x v="0"/>
    <s v="Alone"/>
    <x v="1"/>
    <s v="yes"/>
  </r>
  <r>
    <s v="Hawksford"/>
    <s v=" Mr"/>
    <s v=" Walter James"/>
    <x v="0"/>
    <x v="0"/>
    <n v="45"/>
    <x v="0"/>
    <x v="2"/>
    <s v="S"/>
    <x v="0"/>
    <x v="1"/>
    <x v="42"/>
    <x v="1"/>
    <n v="0"/>
    <n v="0"/>
    <x v="0"/>
    <s v="Alone"/>
    <x v="1"/>
    <s v="yes"/>
  </r>
  <r>
    <s v="Hays"/>
    <s v=" Miss"/>
    <s v=" Margaret Bechstein"/>
    <x v="1"/>
    <x v="1"/>
    <n v="24"/>
    <x v="2"/>
    <x v="2"/>
    <s v="C"/>
    <x v="1"/>
    <x v="0"/>
    <x v="94"/>
    <x v="3"/>
    <n v="0"/>
    <n v="0"/>
    <x v="0"/>
    <s v="Alone"/>
    <x v="1"/>
    <s v="yes"/>
  </r>
  <r>
    <s v="Hays"/>
    <s v=" Mr"/>
    <s v=" Charles Melville"/>
    <x v="0"/>
    <x v="0"/>
    <n v="55"/>
    <x v="0"/>
    <x v="2"/>
    <s v="S"/>
    <x v="0"/>
    <x v="8"/>
    <x v="156"/>
    <x v="3"/>
    <n v="1"/>
    <n v="1"/>
    <x v="1"/>
    <s v="With Family"/>
    <x v="0"/>
    <s v="no"/>
  </r>
  <r>
    <s v="Hays"/>
    <s v=" Mrs"/>
    <s v=" Clara Jennings"/>
    <x v="1"/>
    <x v="1"/>
    <n v="52"/>
    <x v="0"/>
    <x v="2"/>
    <s v="S"/>
    <x v="0"/>
    <x v="8"/>
    <x v="156"/>
    <x v="3"/>
    <n v="1"/>
    <n v="1"/>
    <x v="1"/>
    <s v="With Family"/>
    <x v="1"/>
    <s v="yes"/>
  </r>
  <r>
    <s v="Head"/>
    <s v=" Mr"/>
    <s v=" Christopher"/>
    <x v="0"/>
    <x v="0"/>
    <n v="42"/>
    <x v="0"/>
    <x v="2"/>
    <s v="S"/>
    <x v="0"/>
    <x v="1"/>
    <x v="157"/>
    <x v="3"/>
    <n v="0"/>
    <n v="0"/>
    <x v="0"/>
    <s v="Alone"/>
    <x v="0"/>
    <s v="no"/>
  </r>
  <r>
    <s v="Healy"/>
    <s v=" Miss"/>
    <s v=" Honor"/>
    <x v="1"/>
    <x v="1"/>
    <n v="33"/>
    <x v="2"/>
    <x v="0"/>
    <s v="Q"/>
    <x v="3"/>
    <x v="16"/>
    <x v="55"/>
    <x v="0"/>
    <n v="0"/>
    <n v="0"/>
    <x v="0"/>
    <s v="Alone"/>
    <x v="1"/>
    <s v="yes"/>
  </r>
  <r>
    <s v="Hedman"/>
    <s v=" Mr"/>
    <s v=" Oskar Arvid"/>
    <x v="0"/>
    <x v="0"/>
    <n v="27"/>
    <x v="2"/>
    <x v="0"/>
    <s v="S"/>
    <x v="0"/>
    <x v="6"/>
    <x v="122"/>
    <x v="0"/>
    <n v="0"/>
    <n v="0"/>
    <x v="0"/>
    <s v="Alone"/>
    <x v="1"/>
    <s v="yes"/>
  </r>
  <r>
    <s v="Hee"/>
    <s v=" Mr"/>
    <s v=" Ling"/>
    <x v="0"/>
    <x v="0"/>
    <n v="24"/>
    <x v="2"/>
    <x v="0"/>
    <s v="S"/>
    <x v="0"/>
    <x v="1"/>
    <x v="52"/>
    <x v="3"/>
    <n v="0"/>
    <n v="0"/>
    <x v="0"/>
    <s v="Alone"/>
    <x v="1"/>
    <s v="yes"/>
  </r>
  <r>
    <s v="Hegarty"/>
    <s v=" Miss"/>
    <s v=" Hanora"/>
    <x v="1"/>
    <x v="1"/>
    <n v="20"/>
    <x v="2"/>
    <x v="0"/>
    <s v="Q"/>
    <x v="3"/>
    <x v="16"/>
    <x v="72"/>
    <x v="0"/>
    <n v="0"/>
    <n v="0"/>
    <x v="0"/>
    <s v="Alone"/>
    <x v="0"/>
    <s v="no"/>
  </r>
  <r>
    <s v="Heikkinen"/>
    <s v=" Miss"/>
    <s v=" Laina"/>
    <x v="1"/>
    <x v="1"/>
    <n v="16"/>
    <x v="1"/>
    <x v="0"/>
    <s v="S"/>
    <x v="0"/>
    <x v="5"/>
    <x v="5"/>
    <x v="0"/>
    <n v="0"/>
    <n v="0"/>
    <x v="0"/>
    <s v="Alone"/>
    <x v="1"/>
    <s v="yes"/>
  </r>
  <r>
    <s v="Heininen"/>
    <s v=" Miss"/>
    <s v=" Wendla Maria"/>
    <x v="1"/>
    <x v="1"/>
    <n v="23"/>
    <x v="2"/>
    <x v="0"/>
    <s v="S"/>
    <x v="0"/>
    <x v="5"/>
    <x v="5"/>
    <x v="0"/>
    <n v="0"/>
    <n v="0"/>
    <x v="0"/>
    <s v="Alone"/>
    <x v="0"/>
    <s v="no"/>
  </r>
  <r>
    <s v="HellstrÃ¶m"/>
    <s v=" Miss"/>
    <s v=" Hilda Maria"/>
    <x v="1"/>
    <x v="1"/>
    <n v="22"/>
    <x v="2"/>
    <x v="0"/>
    <s v="S"/>
    <x v="0"/>
    <x v="6"/>
    <x v="158"/>
    <x v="0"/>
    <n v="0"/>
    <n v="0"/>
    <x v="0"/>
    <s v="Alone"/>
    <x v="1"/>
    <s v="yes"/>
  </r>
  <r>
    <s v="Hendekovic"/>
    <s v=" Mr"/>
    <s v=" Ignjac"/>
    <x v="0"/>
    <x v="0"/>
    <n v="30"/>
    <x v="2"/>
    <x v="0"/>
    <s v="S"/>
    <x v="0"/>
    <x v="15"/>
    <x v="26"/>
    <x v="0"/>
    <n v="0"/>
    <n v="0"/>
    <x v="0"/>
    <s v="Alone"/>
    <x v="0"/>
    <s v="no"/>
  </r>
  <r>
    <s v="Henriksson"/>
    <s v=" Miss"/>
    <s v=" Jenny Lovisa"/>
    <x v="1"/>
    <x v="1"/>
    <n v="28"/>
    <x v="2"/>
    <x v="0"/>
    <s v="S"/>
    <x v="0"/>
    <x v="6"/>
    <x v="21"/>
    <x v="0"/>
    <n v="0"/>
    <n v="0"/>
    <x v="0"/>
    <s v="Alone"/>
    <x v="0"/>
    <s v="no"/>
  </r>
  <r>
    <s v="Henry"/>
    <s v=" Miss"/>
    <s v=" Bridget Delia"/>
    <x v="1"/>
    <x v="1"/>
    <n v="21"/>
    <x v="2"/>
    <x v="0"/>
    <s v="Q"/>
    <x v="3"/>
    <x v="16"/>
    <x v="55"/>
    <x v="0"/>
    <n v="0"/>
    <n v="0"/>
    <x v="0"/>
    <s v="Alone"/>
    <x v="0"/>
    <s v="no"/>
  </r>
  <r>
    <s v="Herman"/>
    <s v=" Miss"/>
    <s v=" Alice"/>
    <x v="1"/>
    <x v="1"/>
    <n v="24"/>
    <x v="2"/>
    <x v="1"/>
    <s v="S"/>
    <x v="0"/>
    <x v="1"/>
    <x v="159"/>
    <x v="3"/>
    <n v="1"/>
    <n v="2"/>
    <x v="3"/>
    <s v="With Family"/>
    <x v="1"/>
    <s v="yes"/>
  </r>
  <r>
    <s v="Herman"/>
    <s v=" Miss"/>
    <s v=" Kate"/>
    <x v="1"/>
    <x v="1"/>
    <n v="24"/>
    <x v="2"/>
    <x v="1"/>
    <s v="S"/>
    <x v="0"/>
    <x v="1"/>
    <x v="159"/>
    <x v="3"/>
    <n v="1"/>
    <n v="2"/>
    <x v="3"/>
    <s v="With Family"/>
    <x v="1"/>
    <s v="yes"/>
  </r>
  <r>
    <s v="Herman"/>
    <s v=" Mr"/>
    <s v=" Samuel"/>
    <x v="0"/>
    <x v="0"/>
    <n v="50"/>
    <x v="0"/>
    <x v="1"/>
    <s v="S"/>
    <x v="0"/>
    <x v="1"/>
    <x v="159"/>
    <x v="3"/>
    <n v="1"/>
    <n v="2"/>
    <x v="3"/>
    <s v="With Family"/>
    <x v="0"/>
    <s v="no"/>
  </r>
  <r>
    <s v="Herman"/>
    <s v=" Mrs"/>
    <s v=" Jane"/>
    <x v="1"/>
    <x v="1"/>
    <n v="50"/>
    <x v="0"/>
    <x v="1"/>
    <s v="S"/>
    <x v="0"/>
    <x v="18"/>
    <x v="159"/>
    <x v="3"/>
    <n v="1"/>
    <n v="2"/>
    <x v="3"/>
    <s v="With Family"/>
    <x v="1"/>
    <s v="yes"/>
  </r>
  <r>
    <s v="Hewlett"/>
    <s v=" Mrs"/>
    <s v=" Mary Dunbar"/>
    <x v="1"/>
    <x v="1"/>
    <n v="56"/>
    <x v="4"/>
    <x v="1"/>
    <s v="S"/>
    <x v="0"/>
    <x v="18"/>
    <x v="160"/>
    <x v="1"/>
    <n v="0"/>
    <n v="0"/>
    <x v="0"/>
    <s v="Alone"/>
    <x v="1"/>
    <s v="yes"/>
  </r>
  <r>
    <s v="Hickman"/>
    <s v=" Mr"/>
    <s v=" Leonard Mark"/>
    <x v="0"/>
    <x v="0"/>
    <n v="24"/>
    <x v="2"/>
    <x v="1"/>
    <s v="S"/>
    <x v="0"/>
    <x v="1"/>
    <x v="107"/>
    <x v="3"/>
    <n v="2"/>
    <n v="0"/>
    <x v="1"/>
    <s v="With Family"/>
    <x v="0"/>
    <s v="no"/>
  </r>
  <r>
    <s v="Hickman"/>
    <s v=" Mr"/>
    <s v=" Lewis"/>
    <x v="0"/>
    <x v="0"/>
    <n v="30"/>
    <x v="2"/>
    <x v="1"/>
    <s v="S"/>
    <x v="0"/>
    <x v="1"/>
    <x v="107"/>
    <x v="3"/>
    <n v="2"/>
    <n v="0"/>
    <x v="1"/>
    <s v="With Family"/>
    <x v="0"/>
    <s v="no"/>
  </r>
  <r>
    <s v="Hickman"/>
    <s v=" Mr"/>
    <s v=" Stanley George"/>
    <x v="0"/>
    <x v="0"/>
    <n v="21"/>
    <x v="2"/>
    <x v="1"/>
    <s v="S"/>
    <x v="0"/>
    <x v="1"/>
    <x v="107"/>
    <x v="3"/>
    <n v="2"/>
    <n v="0"/>
    <x v="1"/>
    <s v="With Family"/>
    <x v="0"/>
    <s v="no"/>
  </r>
  <r>
    <s v="Hilliard"/>
    <s v=" Mr"/>
    <s v=" Herbert Henry"/>
    <x v="0"/>
    <x v="0"/>
    <n v="44"/>
    <x v="0"/>
    <x v="2"/>
    <s v="S"/>
    <x v="0"/>
    <x v="1"/>
    <x v="161"/>
    <x v="3"/>
    <n v="0"/>
    <n v="0"/>
    <x v="0"/>
    <s v="Alone"/>
    <x v="0"/>
    <s v="no"/>
  </r>
  <r>
    <s v="Hiltunen"/>
    <s v=" Miss"/>
    <s v=" Marta"/>
    <x v="1"/>
    <x v="1"/>
    <n v="18"/>
    <x v="2"/>
    <x v="1"/>
    <s v="S"/>
    <x v="0"/>
    <x v="5"/>
    <x v="10"/>
    <x v="0"/>
    <n v="1"/>
    <n v="1"/>
    <x v="1"/>
    <s v="With Family"/>
    <x v="0"/>
    <s v="no"/>
  </r>
  <r>
    <s v="Hipkins"/>
    <s v=" Mr"/>
    <s v=" William Edward"/>
    <x v="0"/>
    <x v="0"/>
    <n v="55"/>
    <x v="0"/>
    <x v="2"/>
    <s v="S"/>
    <x v="0"/>
    <x v="1"/>
    <x v="162"/>
    <x v="3"/>
    <n v="0"/>
    <n v="0"/>
    <x v="0"/>
    <s v="Alone"/>
    <x v="0"/>
    <s v="no"/>
  </r>
  <r>
    <s v="Hippach"/>
    <s v=" Miss"/>
    <s v=" Jean Gertrude"/>
    <x v="1"/>
    <x v="1"/>
    <n v="17"/>
    <x v="1"/>
    <x v="2"/>
    <s v="C"/>
    <x v="1"/>
    <x v="0"/>
    <x v="163"/>
    <x v="3"/>
    <n v="0"/>
    <n v="1"/>
    <x v="2"/>
    <s v="With Family"/>
    <x v="1"/>
    <s v="yes"/>
  </r>
  <r>
    <s v="Hippach"/>
    <s v=" Mrs"/>
    <s v=" Ida Sophia"/>
    <x v="1"/>
    <x v="1"/>
    <n v="44"/>
    <x v="0"/>
    <x v="2"/>
    <s v="C"/>
    <x v="1"/>
    <x v="0"/>
    <x v="163"/>
    <x v="3"/>
    <n v="0"/>
    <n v="1"/>
    <x v="2"/>
    <s v="With Family"/>
    <x v="1"/>
    <s v="yes"/>
  </r>
  <r>
    <s v="Hirvonen"/>
    <s v=" Miss"/>
    <s v=" Hildur Elisabeth"/>
    <x v="1"/>
    <x v="1"/>
    <n v="2"/>
    <x v="3"/>
    <x v="0"/>
    <s v="S"/>
    <x v="0"/>
    <x v="5"/>
    <x v="164"/>
    <x v="0"/>
    <n v="0"/>
    <n v="1"/>
    <x v="2"/>
    <s v="With Family"/>
    <x v="1"/>
    <s v="yes"/>
  </r>
  <r>
    <s v="Hirvonen"/>
    <s v=" Mrs"/>
    <s v=" Helga Elisabeth Lindqvist"/>
    <x v="1"/>
    <x v="1"/>
    <n v="22"/>
    <x v="2"/>
    <x v="0"/>
    <s v="S"/>
    <x v="0"/>
    <x v="5"/>
    <x v="164"/>
    <x v="0"/>
    <n v="1"/>
    <n v="1"/>
    <x v="1"/>
    <s v="With Family"/>
    <x v="1"/>
    <s v="yes"/>
  </r>
  <r>
    <s v="Hocking"/>
    <s v=" Miss"/>
    <s v=" Ellen"/>
    <x v="1"/>
    <x v="1"/>
    <n v="20"/>
    <x v="2"/>
    <x v="1"/>
    <s v="S"/>
    <x v="0"/>
    <x v="1"/>
    <x v="114"/>
    <x v="1"/>
    <n v="2"/>
    <n v="1"/>
    <x v="3"/>
    <s v="With Family"/>
    <x v="1"/>
    <s v="yes"/>
  </r>
  <r>
    <s v="Hocking"/>
    <s v=" Mr"/>
    <s v=" Richard George"/>
    <x v="0"/>
    <x v="0"/>
    <n v="24"/>
    <x v="2"/>
    <x v="1"/>
    <s v="S"/>
    <x v="0"/>
    <x v="1"/>
    <x v="22"/>
    <x v="0"/>
    <n v="2"/>
    <n v="1"/>
    <x v="3"/>
    <s v="With Family"/>
    <x v="0"/>
    <s v="no"/>
  </r>
  <r>
    <s v="Hocking"/>
    <s v=" Mr"/>
    <s v=" Samuel James Metcalfe"/>
    <x v="0"/>
    <x v="0"/>
    <n v="36"/>
    <x v="0"/>
    <x v="1"/>
    <s v="S"/>
    <x v="0"/>
    <x v="1"/>
    <x v="10"/>
    <x v="0"/>
    <n v="0"/>
    <n v="0"/>
    <x v="0"/>
    <s v="Alone"/>
    <x v="0"/>
    <s v="no"/>
  </r>
  <r>
    <s v="Hocking"/>
    <s v=" Mrs"/>
    <s v=" Eliza"/>
    <x v="1"/>
    <x v="1"/>
    <n v="54"/>
    <x v="0"/>
    <x v="1"/>
    <s v="S"/>
    <x v="0"/>
    <x v="1"/>
    <x v="114"/>
    <x v="1"/>
    <n v="1"/>
    <n v="3"/>
    <x v="6"/>
    <s v="With Family"/>
    <x v="1"/>
    <s v="yes"/>
  </r>
  <r>
    <s v="Hodges"/>
    <s v=" Mr"/>
    <s v=" Henry Price"/>
    <x v="0"/>
    <x v="0"/>
    <n v="50"/>
    <x v="0"/>
    <x v="1"/>
    <s v="S"/>
    <x v="0"/>
    <x v="1"/>
    <x v="10"/>
    <x v="0"/>
    <n v="0"/>
    <n v="0"/>
    <x v="0"/>
    <s v="Alone"/>
    <x v="0"/>
    <s v="no"/>
  </r>
  <r>
    <s v="Hogeboom"/>
    <s v=" Mrs"/>
    <s v=" Anna Louisa"/>
    <x v="1"/>
    <x v="1"/>
    <n v="51"/>
    <x v="0"/>
    <x v="2"/>
    <s v="C"/>
    <x v="1"/>
    <x v="0"/>
    <x v="24"/>
    <x v="3"/>
    <n v="1"/>
    <n v="0"/>
    <x v="2"/>
    <s v="With Family"/>
    <x v="1"/>
    <s v="yes"/>
  </r>
  <r>
    <s v="Hold"/>
    <s v=" Mrs"/>
    <s v=" Annie Margaret"/>
    <x v="1"/>
    <x v="1"/>
    <n v="29"/>
    <x v="2"/>
    <x v="1"/>
    <s v="S"/>
    <x v="0"/>
    <x v="1"/>
    <x v="27"/>
    <x v="1"/>
    <n v="1"/>
    <n v="0"/>
    <x v="2"/>
    <s v="With Family"/>
    <x v="1"/>
    <s v="yes"/>
  </r>
  <r>
    <s v="Hold"/>
    <s v=" Mr"/>
    <s v=" Stephen"/>
    <x v="0"/>
    <x v="0"/>
    <n v="44"/>
    <x v="0"/>
    <x v="1"/>
    <s v="S"/>
    <x v="0"/>
    <x v="1"/>
    <x v="27"/>
    <x v="1"/>
    <n v="1"/>
    <n v="0"/>
    <x v="2"/>
    <s v="With Family"/>
    <x v="0"/>
    <s v="no"/>
  </r>
  <r>
    <s v="Holm"/>
    <s v=" Mr"/>
    <s v=" John Fredrik Alexander"/>
    <x v="0"/>
    <x v="0"/>
    <n v="43"/>
    <x v="0"/>
    <x v="0"/>
    <s v="S"/>
    <x v="0"/>
    <x v="6"/>
    <x v="165"/>
    <x v="0"/>
    <n v="0"/>
    <n v="0"/>
    <x v="0"/>
    <s v="Alone"/>
    <x v="0"/>
    <s v="no"/>
  </r>
  <r>
    <s v="Holthen"/>
    <s v=" Mr"/>
    <s v=" Johan Martin"/>
    <x v="0"/>
    <x v="0"/>
    <n v="18"/>
    <x v="2"/>
    <x v="0"/>
    <s v="S"/>
    <x v="0"/>
    <x v="2"/>
    <x v="18"/>
    <x v="1"/>
    <n v="0"/>
    <n v="0"/>
    <x v="0"/>
    <s v="Alone"/>
    <x v="0"/>
    <s v="no"/>
  </r>
  <r>
    <s v="Holverson"/>
    <s v=" Mr"/>
    <s v=" Alexander Oskar"/>
    <x v="0"/>
    <x v="0"/>
    <n v="42"/>
    <x v="0"/>
    <x v="2"/>
    <s v="S"/>
    <x v="0"/>
    <x v="0"/>
    <x v="91"/>
    <x v="3"/>
    <n v="1"/>
    <n v="0"/>
    <x v="2"/>
    <s v="With Family"/>
    <x v="0"/>
    <s v="no"/>
  </r>
  <r>
    <s v="Holverson"/>
    <s v=" Mrs"/>
    <s v=" Mary Aline"/>
    <x v="1"/>
    <x v="1"/>
    <n v="35"/>
    <x v="2"/>
    <x v="2"/>
    <s v="S"/>
    <x v="0"/>
    <x v="0"/>
    <x v="91"/>
    <x v="3"/>
    <n v="1"/>
    <n v="0"/>
    <x v="2"/>
    <s v="With Family"/>
    <x v="1"/>
    <s v="yes"/>
  </r>
  <r>
    <s v="Homer"/>
    <s v=" Mr"/>
    <s v=" Harry"/>
    <x v="0"/>
    <x v="0"/>
    <n v="40"/>
    <x v="0"/>
    <x v="2"/>
    <s v="S"/>
    <x v="0"/>
    <x v="0"/>
    <x v="19"/>
    <x v="1"/>
    <n v="0"/>
    <n v="0"/>
    <x v="0"/>
    <s v="Alone"/>
    <x v="1"/>
    <s v="yes"/>
  </r>
  <r>
    <s v="Honkanen"/>
    <s v=" Miss"/>
    <s v=" Eliina"/>
    <x v="1"/>
    <x v="1"/>
    <n v="27"/>
    <x v="2"/>
    <x v="0"/>
    <s v="S"/>
    <x v="0"/>
    <x v="5"/>
    <x v="5"/>
    <x v="0"/>
    <n v="0"/>
    <n v="0"/>
    <x v="0"/>
    <s v="Alone"/>
    <x v="1"/>
    <s v="yes"/>
  </r>
  <r>
    <s v="Hood"/>
    <s v=" Mr"/>
    <s v=" Ambrose Jr"/>
    <x v="0"/>
    <x v="0"/>
    <n v="21"/>
    <x v="2"/>
    <x v="1"/>
    <s v="S"/>
    <x v="0"/>
    <x v="1"/>
    <x v="107"/>
    <x v="3"/>
    <n v="0"/>
    <n v="0"/>
    <x v="0"/>
    <s v="Alone"/>
    <x v="0"/>
    <s v="no"/>
  </r>
  <r>
    <s v="Horgan"/>
    <s v=" Mr"/>
    <s v=" John"/>
    <x v="0"/>
    <x v="0"/>
    <n v="22"/>
    <x v="2"/>
    <x v="0"/>
    <s v="Q"/>
    <x v="3"/>
    <x v="1"/>
    <x v="55"/>
    <x v="0"/>
    <n v="0"/>
    <n v="0"/>
    <x v="0"/>
    <s v="Alone"/>
    <x v="0"/>
    <s v="no"/>
  </r>
  <r>
    <s v="Hosono"/>
    <s v=" Mr"/>
    <s v=" Masabumi"/>
    <x v="0"/>
    <x v="0"/>
    <n v="41"/>
    <x v="0"/>
    <x v="1"/>
    <s v="S"/>
    <x v="0"/>
    <x v="31"/>
    <x v="10"/>
    <x v="0"/>
    <n v="0"/>
    <n v="0"/>
    <x v="0"/>
    <s v="Alone"/>
    <x v="1"/>
    <s v="yes"/>
  </r>
  <r>
    <s v="Howard"/>
    <s v=" Miss"/>
    <s v=" May Elizabeth"/>
    <x v="1"/>
    <x v="1"/>
    <n v="26"/>
    <x v="2"/>
    <x v="0"/>
    <s v="S"/>
    <x v="0"/>
    <x v="1"/>
    <x v="7"/>
    <x v="0"/>
    <n v="0"/>
    <n v="0"/>
    <x v="0"/>
    <s v="Alone"/>
    <x v="1"/>
    <s v="yes"/>
  </r>
  <r>
    <s v="Howard"/>
    <s v=" Mr"/>
    <s v=" Benjamin"/>
    <x v="0"/>
    <x v="0"/>
    <n v="63"/>
    <x v="4"/>
    <x v="1"/>
    <s v="S"/>
    <x v="0"/>
    <x v="1"/>
    <x v="27"/>
    <x v="1"/>
    <n v="1"/>
    <n v="0"/>
    <x v="2"/>
    <s v="With Family"/>
    <x v="0"/>
    <s v="no"/>
  </r>
  <r>
    <s v="Howard"/>
    <s v=" Mrs"/>
    <s v=" Ellen Truelove"/>
    <x v="1"/>
    <x v="1"/>
    <n v="61"/>
    <x v="4"/>
    <x v="1"/>
    <s v="S"/>
    <x v="0"/>
    <x v="1"/>
    <x v="27"/>
    <x v="1"/>
    <n v="1"/>
    <n v="0"/>
    <x v="2"/>
    <s v="With Family"/>
    <x v="0"/>
    <s v="no"/>
  </r>
  <r>
    <s v="Hoyt"/>
    <s v=" Mr"/>
    <s v=" Frederick Maxfield"/>
    <x v="0"/>
    <x v="0"/>
    <n v="38"/>
    <x v="0"/>
    <x v="2"/>
    <s v="S"/>
    <x v="0"/>
    <x v="0"/>
    <x v="166"/>
    <x v="3"/>
    <n v="1"/>
    <n v="0"/>
    <x v="2"/>
    <s v="With Family"/>
    <x v="1"/>
    <s v="yes"/>
  </r>
  <r>
    <s v="Hoyt"/>
    <s v=" Mrs"/>
    <s v=" Jane Anne"/>
    <x v="1"/>
    <x v="1"/>
    <n v="31"/>
    <x v="2"/>
    <x v="2"/>
    <s v="S"/>
    <x v="0"/>
    <x v="0"/>
    <x v="166"/>
    <x v="3"/>
    <n v="1"/>
    <n v="0"/>
    <x v="2"/>
    <s v="With Family"/>
    <x v="1"/>
    <s v="yes"/>
  </r>
  <r>
    <s v="Hoyt"/>
    <s v=" Mr"/>
    <s v=" William Fisher"/>
    <x v="0"/>
    <x v="0"/>
    <n v="43"/>
    <x v="0"/>
    <x v="2"/>
    <s v="C"/>
    <x v="1"/>
    <x v="0"/>
    <x v="167"/>
    <x v="1"/>
    <n v="0"/>
    <n v="0"/>
    <x v="0"/>
    <s v="Alone"/>
    <x v="0"/>
    <s v="no"/>
  </r>
  <r>
    <s v="Humblen"/>
    <s v=" Mr"/>
    <s v=" Adolf Mathias Nicolai Olsen"/>
    <x v="0"/>
    <x v="0"/>
    <n v="42"/>
    <x v="0"/>
    <x v="0"/>
    <s v="S"/>
    <x v="0"/>
    <x v="2"/>
    <x v="2"/>
    <x v="0"/>
    <n v="0"/>
    <n v="0"/>
    <x v="0"/>
    <s v="Alone"/>
    <x v="0"/>
    <s v="no"/>
  </r>
  <r>
    <s v="Hume"/>
    <s v=" Mr"/>
    <s v=" John Law"/>
    <x v="0"/>
    <x v="0"/>
    <n v="21"/>
    <x v="2"/>
    <x v="1"/>
    <s v="S"/>
    <x v="0"/>
    <x v="1"/>
    <x v="25"/>
    <x v="1"/>
    <n v="1"/>
    <s v="NA"/>
    <x v="5"/>
    <e v="#VALUE!"/>
    <x v="0"/>
    <s v="no"/>
  </r>
  <r>
    <s v="Hunt"/>
    <s v=" Mr"/>
    <s v=" George Henry"/>
    <x v="0"/>
    <x v="0"/>
    <n v="34"/>
    <x v="2"/>
    <x v="1"/>
    <s v="S"/>
    <x v="0"/>
    <x v="1"/>
    <x v="168"/>
    <x v="0"/>
    <n v="0"/>
    <n v="0"/>
    <x v="0"/>
    <s v="Alone"/>
    <x v="0"/>
    <s v="no"/>
  </r>
  <r>
    <s v="Hyman"/>
    <s v=" Mr"/>
    <s v=" Abraham Joseph"/>
    <x v="0"/>
    <x v="0"/>
    <n v="34"/>
    <x v="2"/>
    <x v="0"/>
    <s v="S"/>
    <x v="0"/>
    <x v="1"/>
    <x v="11"/>
    <x v="0"/>
    <n v="0"/>
    <n v="0"/>
    <x v="0"/>
    <s v="Alone"/>
    <x v="1"/>
    <s v="yes"/>
  </r>
  <r>
    <s v="IbrÄhÄ«m"/>
    <s v=" Mr"/>
    <s v=" Husayn MahmÅ«d Husayn"/>
    <x v="0"/>
    <x v="0"/>
    <n v="11"/>
    <x v="1"/>
    <x v="0"/>
    <s v="C"/>
    <x v="1"/>
    <x v="1"/>
    <x v="4"/>
    <x v="1"/>
    <n v="0"/>
    <n v="0"/>
    <x v="0"/>
    <s v="Alone"/>
    <x v="0"/>
    <s v="no"/>
  </r>
  <r>
    <s v="IbrÄhÄ«m"/>
    <s v=" Mrs"/>
    <s v=" SÄfiyah"/>
    <x v="1"/>
    <x v="1"/>
    <n v="18"/>
    <x v="2"/>
    <x v="0"/>
    <s v="C"/>
    <x v="1"/>
    <x v="32"/>
    <x v="16"/>
    <x v="0"/>
    <n v="0"/>
    <n v="0"/>
    <x v="0"/>
    <s v="Alone"/>
    <x v="1"/>
    <s v="yes"/>
  </r>
  <r>
    <s v="Ibrahim Shawah"/>
    <s v=" Mr"/>
    <s v=" Yousseff"/>
    <x v="0"/>
    <x v="0"/>
    <n v="33"/>
    <x v="2"/>
    <x v="0"/>
    <s v="C"/>
    <x v="1"/>
    <x v="4"/>
    <x v="35"/>
    <x v="0"/>
    <n v="0"/>
    <n v="0"/>
    <x v="0"/>
    <s v="Alone"/>
    <x v="0"/>
    <s v="no"/>
  </r>
  <r>
    <s v="Icard"/>
    <s v=" Miss"/>
    <s v=" Rose AmÃ©lie"/>
    <x v="1"/>
    <x v="1"/>
    <n v="39"/>
    <x v="0"/>
    <x v="2"/>
    <s v="S"/>
    <x v="0"/>
    <x v="1"/>
    <x v="169"/>
    <x v="3"/>
    <n v="0"/>
    <n v="0"/>
    <x v="0"/>
    <s v="Alone"/>
    <x v="1"/>
    <s v="yes"/>
  </r>
  <r>
    <s v="Ilett"/>
    <s v=" Miss"/>
    <s v=" Bertha"/>
    <x v="1"/>
    <x v="1"/>
    <n v="17"/>
    <x v="1"/>
    <x v="1"/>
    <s v="S"/>
    <x v="0"/>
    <x v="13"/>
    <x v="23"/>
    <x v="0"/>
    <n v="0"/>
    <n v="0"/>
    <x v="0"/>
    <s v="Alone"/>
    <x v="1"/>
    <s v="yes"/>
  </r>
  <r>
    <s v="Ilieff"/>
    <s v=" Mr"/>
    <s v=" Ylio"/>
    <x v="0"/>
    <x v="0"/>
    <n v="32"/>
    <x v="2"/>
    <x v="0"/>
    <s v="S"/>
    <x v="0"/>
    <x v="1"/>
    <x v="26"/>
    <x v="0"/>
    <n v="0"/>
    <n v="0"/>
    <x v="0"/>
    <s v="Alone"/>
    <x v="0"/>
    <s v="no"/>
  </r>
  <r>
    <s v="Ilmakangas"/>
    <s v=" Miss"/>
    <s v=" Ida Livija"/>
    <x v="1"/>
    <x v="1"/>
    <n v="17"/>
    <x v="1"/>
    <x v="0"/>
    <s v="S"/>
    <x v="0"/>
    <x v="0"/>
    <x v="5"/>
    <x v="0"/>
    <n v="1"/>
    <n v="0"/>
    <x v="2"/>
    <s v="With Family"/>
    <x v="0"/>
    <s v="no"/>
  </r>
  <r>
    <s v="Ilmakangas"/>
    <s v=" Miss"/>
    <s v=" Pieta Sofia"/>
    <x v="1"/>
    <x v="1"/>
    <n v="25"/>
    <x v="2"/>
    <x v="0"/>
    <s v="S"/>
    <x v="0"/>
    <x v="5"/>
    <x v="5"/>
    <x v="0"/>
    <n v="1"/>
    <n v="0"/>
    <x v="2"/>
    <s v="With Family"/>
    <x v="0"/>
    <s v="no"/>
  </r>
  <r>
    <s v="Isham"/>
    <s v=" Miss"/>
    <s v=" Ann Elizabeth"/>
    <x v="1"/>
    <x v="1"/>
    <n v="50"/>
    <x v="0"/>
    <x v="2"/>
    <s v="C"/>
    <x v="1"/>
    <x v="0"/>
    <x v="170"/>
    <x v="1"/>
    <n v="0"/>
    <n v="0"/>
    <x v="0"/>
    <s v="Alone"/>
    <x v="0"/>
    <s v="no"/>
  </r>
  <r>
    <s v="Ismay"/>
    <s v=" Mr"/>
    <s v=" Joseph Bruce"/>
    <x v="0"/>
    <x v="0"/>
    <n v="49"/>
    <x v="0"/>
    <x v="2"/>
    <s v="S"/>
    <x v="0"/>
    <x v="1"/>
    <x v="25"/>
    <x v="1"/>
    <n v="0"/>
    <n v="0"/>
    <x v="0"/>
    <s v="Alone"/>
    <x v="1"/>
    <s v="yes"/>
  </r>
  <r>
    <s v="Ivanoff"/>
    <s v=" Mr"/>
    <s v=" Kanio"/>
    <x v="0"/>
    <x v="0"/>
    <n v="20"/>
    <x v="2"/>
    <x v="0"/>
    <s v="S"/>
    <x v="0"/>
    <x v="11"/>
    <x v="26"/>
    <x v="0"/>
    <n v="0"/>
    <n v="0"/>
    <x v="0"/>
    <s v="Alone"/>
    <x v="0"/>
    <s v="no"/>
  </r>
  <r>
    <s v="Jabbur (Zabour)"/>
    <s v=" Miss"/>
    <s v=" Hileni"/>
    <x v="1"/>
    <x v="1"/>
    <n v="16"/>
    <x v="1"/>
    <x v="0"/>
    <s v="C"/>
    <x v="1"/>
    <x v="1"/>
    <x v="40"/>
    <x v="0"/>
    <n v="1"/>
    <n v="0"/>
    <x v="2"/>
    <s v="With Family"/>
    <x v="0"/>
    <s v="no"/>
  </r>
  <r>
    <s v="Jabbur (Zabour)"/>
    <s v=" Miss"/>
    <s v=" Thamine"/>
    <x v="1"/>
    <x v="1"/>
    <n v="19"/>
    <x v="2"/>
    <x v="0"/>
    <s v="C"/>
    <x v="1"/>
    <x v="1"/>
    <x v="40"/>
    <x v="0"/>
    <n v="1"/>
    <n v="0"/>
    <x v="2"/>
    <s v="With Family"/>
    <x v="0"/>
    <s v="no"/>
  </r>
  <r>
    <s v="Jacobsohn"/>
    <s v=" Mrs"/>
    <s v=" Amy Frances Christy"/>
    <x v="1"/>
    <x v="1"/>
    <n v="24"/>
    <x v="2"/>
    <x v="1"/>
    <s v="S"/>
    <x v="0"/>
    <x v="1"/>
    <x v="89"/>
    <x v="1"/>
    <n v="2"/>
    <n v="1"/>
    <x v="3"/>
    <s v="With Family"/>
    <x v="1"/>
    <s v="yes"/>
  </r>
  <r>
    <s v="Jacobsohn"/>
    <s v=" Mr"/>
    <s v=" Sidney Samuel"/>
    <x v="0"/>
    <x v="0"/>
    <n v="42"/>
    <x v="0"/>
    <x v="1"/>
    <s v="S"/>
    <x v="0"/>
    <x v="20"/>
    <x v="89"/>
    <x v="1"/>
    <n v="1"/>
    <n v="0"/>
    <x v="2"/>
    <s v="With Family"/>
    <x v="0"/>
    <s v="no"/>
  </r>
  <r>
    <s v="JalÅ¡evac"/>
    <s v=" Mr"/>
    <s v=" Ivan"/>
    <x v="0"/>
    <x v="0"/>
    <n v="30"/>
    <x v="2"/>
    <x v="0"/>
    <s v="C"/>
    <x v="1"/>
    <x v="21"/>
    <x v="26"/>
    <x v="0"/>
    <n v="0"/>
    <n v="0"/>
    <x v="0"/>
    <s v="Alone"/>
    <x v="1"/>
    <s v="yes"/>
  </r>
  <r>
    <s v="Jansson"/>
    <s v=" Mr"/>
    <s v=" Carl Olof"/>
    <x v="0"/>
    <x v="0"/>
    <n v="21"/>
    <x v="2"/>
    <x v="0"/>
    <s v="S"/>
    <x v="0"/>
    <x v="6"/>
    <x v="32"/>
    <x v="0"/>
    <n v="0"/>
    <n v="0"/>
    <x v="0"/>
    <s v="Alone"/>
    <x v="1"/>
    <s v="yes"/>
  </r>
  <r>
    <s v="Jardim"/>
    <s v=" Mr"/>
    <s v=" JosÃ© Neto"/>
    <x v="0"/>
    <x v="0"/>
    <n v="21"/>
    <x v="2"/>
    <x v="0"/>
    <s v="S"/>
    <x v="0"/>
    <x v="1"/>
    <x v="12"/>
    <x v="0"/>
    <n v="0"/>
    <n v="0"/>
    <x v="0"/>
    <s v="Alone"/>
    <x v="0"/>
    <s v="no"/>
  </r>
  <r>
    <s v="Jarvis"/>
    <s v=" Mr"/>
    <s v=" Denzil John"/>
    <x v="0"/>
    <x v="0"/>
    <n v="46"/>
    <x v="0"/>
    <x v="1"/>
    <s v="S"/>
    <x v="0"/>
    <x v="19"/>
    <x v="171"/>
    <x v="0"/>
    <n v="0"/>
    <n v="0"/>
    <x v="0"/>
    <s v="Alone"/>
    <x v="0"/>
    <s v="no"/>
  </r>
  <r>
    <s v="Jefferys"/>
    <s v=" Mr"/>
    <s v=" Clifford Thomas"/>
    <x v="0"/>
    <x v="0"/>
    <n v="24"/>
    <x v="2"/>
    <x v="1"/>
    <s v="S"/>
    <x v="0"/>
    <x v="1"/>
    <x v="111"/>
    <x v="1"/>
    <n v="2"/>
    <n v="0"/>
    <x v="1"/>
    <s v="With Family"/>
    <x v="0"/>
    <s v="no"/>
  </r>
  <r>
    <s v="Jefferys"/>
    <s v=" Mr"/>
    <s v=" Ernest Wilfred"/>
    <x v="0"/>
    <x v="0"/>
    <n v="21"/>
    <x v="2"/>
    <x v="1"/>
    <s v="S"/>
    <x v="0"/>
    <x v="1"/>
    <x v="111"/>
    <x v="1"/>
    <n v="2"/>
    <n v="0"/>
    <x v="1"/>
    <s v="With Family"/>
    <x v="0"/>
    <s v="no"/>
  </r>
  <r>
    <s v="Jenkin"/>
    <s v=" Mr"/>
    <s v=" Stephen Curnow"/>
    <x v="0"/>
    <x v="0"/>
    <n v="32"/>
    <x v="2"/>
    <x v="1"/>
    <s v="S"/>
    <x v="0"/>
    <x v="1"/>
    <x v="23"/>
    <x v="0"/>
    <n v="0"/>
    <n v="0"/>
    <x v="0"/>
    <s v="Alone"/>
    <x v="0"/>
    <s v="no"/>
  </r>
  <r>
    <s v="Jensen"/>
    <s v=" Mr"/>
    <s v=" Hans Peder"/>
    <x v="0"/>
    <x v="0"/>
    <n v="20"/>
    <x v="2"/>
    <x v="0"/>
    <s v="S"/>
    <x v="0"/>
    <x v="9"/>
    <x v="17"/>
    <x v="0"/>
    <n v="0"/>
    <n v="0"/>
    <x v="0"/>
    <s v="Alone"/>
    <x v="0"/>
    <s v="no"/>
  </r>
  <r>
    <s v="Jensen"/>
    <s v=" Mr"/>
    <s v=" Niels Rasmus"/>
    <x v="0"/>
    <x v="0"/>
    <n v="48"/>
    <x v="0"/>
    <x v="0"/>
    <s v="S"/>
    <x v="0"/>
    <x v="9"/>
    <x v="172"/>
    <x v="0"/>
    <n v="0"/>
    <n v="0"/>
    <x v="0"/>
    <s v="Alone"/>
    <x v="0"/>
    <s v="no"/>
  </r>
  <r>
    <s v="Jensen"/>
    <s v=" Mr"/>
    <s v=" Svend Lauritz"/>
    <x v="0"/>
    <x v="0"/>
    <n v="17"/>
    <x v="1"/>
    <x v="0"/>
    <s v="S"/>
    <x v="0"/>
    <x v="9"/>
    <x v="17"/>
    <x v="0"/>
    <n v="1"/>
    <n v="0"/>
    <x v="2"/>
    <s v="With Family"/>
    <x v="0"/>
    <s v="no"/>
  </r>
  <r>
    <s v="Jermyn"/>
    <s v=" Miss"/>
    <s v=" Annie Jane"/>
    <x v="1"/>
    <x v="1"/>
    <n v="26"/>
    <x v="2"/>
    <x v="0"/>
    <s v="Q"/>
    <x v="3"/>
    <x v="16"/>
    <x v="55"/>
    <x v="0"/>
    <n v="0"/>
    <n v="0"/>
    <x v="0"/>
    <s v="Alone"/>
    <x v="1"/>
    <s v="yes"/>
  </r>
  <r>
    <s v="Jerwan"/>
    <s v=" Mrs"/>
    <s v=" Marie Marthe"/>
    <x v="1"/>
    <x v="1"/>
    <n v="23"/>
    <x v="2"/>
    <x v="1"/>
    <s v="C"/>
    <x v="1"/>
    <x v="0"/>
    <x v="173"/>
    <x v="0"/>
    <n v="0"/>
    <n v="0"/>
    <x v="0"/>
    <s v="Alone"/>
    <x v="1"/>
    <s v="yes"/>
  </r>
  <r>
    <s v="Johannesen"/>
    <s v=" Mr"/>
    <s v=" Bernt Johannes"/>
    <x v="0"/>
    <x v="0"/>
    <n v="29"/>
    <x v="2"/>
    <x v="0"/>
    <s v="S"/>
    <x v="0"/>
    <x v="2"/>
    <x v="174"/>
    <x v="0"/>
    <n v="0"/>
    <n v="0"/>
    <x v="0"/>
    <s v="Alone"/>
    <x v="1"/>
    <s v="yes"/>
  </r>
  <r>
    <s v="Johanson"/>
    <s v=" Mr"/>
    <s v=" Jakob Alfred"/>
    <x v="0"/>
    <x v="0"/>
    <n v="34"/>
    <x v="2"/>
    <x v="0"/>
    <s v="S"/>
    <x v="0"/>
    <x v="5"/>
    <x v="175"/>
    <x v="0"/>
    <n v="0"/>
    <n v="0"/>
    <x v="0"/>
    <s v="Alone"/>
    <x v="0"/>
    <s v="no"/>
  </r>
  <r>
    <s v="Johansson"/>
    <s v=" Mr"/>
    <s v=" Erik"/>
    <x v="0"/>
    <x v="0"/>
    <n v="22"/>
    <x v="2"/>
    <x v="0"/>
    <s v="S"/>
    <x v="0"/>
    <x v="6"/>
    <x v="32"/>
    <x v="0"/>
    <n v="0"/>
    <n v="0"/>
    <x v="0"/>
    <s v="Alone"/>
    <x v="0"/>
    <s v="no"/>
  </r>
  <r>
    <s v="Johansson"/>
    <s v=" Mr"/>
    <s v=" Gustaf Joel"/>
    <x v="0"/>
    <x v="0"/>
    <n v="33"/>
    <x v="2"/>
    <x v="0"/>
    <s v="S"/>
    <x v="0"/>
    <x v="6"/>
    <x v="176"/>
    <x v="0"/>
    <n v="0"/>
    <n v="0"/>
    <x v="0"/>
    <s v="Alone"/>
    <x v="0"/>
    <s v="no"/>
  </r>
  <r>
    <s v="Johansson"/>
    <s v=" Mr"/>
    <s v=" Karl Johan"/>
    <x v="0"/>
    <x v="0"/>
    <n v="31"/>
    <x v="2"/>
    <x v="0"/>
    <s v="S"/>
    <x v="0"/>
    <x v="0"/>
    <x v="21"/>
    <x v="0"/>
    <n v="0"/>
    <n v="0"/>
    <x v="0"/>
    <s v="Alone"/>
    <x v="0"/>
    <s v="no"/>
  </r>
  <r>
    <s v="Johansson"/>
    <s v=" Mr"/>
    <s v=" Nils"/>
    <x v="0"/>
    <x v="0"/>
    <n v="29"/>
    <x v="2"/>
    <x v="0"/>
    <s v="S"/>
    <x v="0"/>
    <x v="0"/>
    <x v="17"/>
    <x v="0"/>
    <n v="0"/>
    <n v="0"/>
    <x v="0"/>
    <s v="Alone"/>
    <x v="0"/>
    <s v="no"/>
  </r>
  <r>
    <s v="Johansson Palmquist"/>
    <s v=" Mr"/>
    <s v=" Oskar Leander"/>
    <x v="0"/>
    <x v="0"/>
    <n v="26"/>
    <x v="2"/>
    <x v="0"/>
    <s v="S"/>
    <x v="0"/>
    <x v="6"/>
    <x v="21"/>
    <x v="0"/>
    <n v="0"/>
    <n v="0"/>
    <x v="0"/>
    <s v="Alone"/>
    <x v="1"/>
    <s v="yes"/>
  </r>
  <r>
    <s v="Johnson"/>
    <s v=" Master"/>
    <s v=" Harold Theodor"/>
    <x v="0"/>
    <x v="0"/>
    <n v="4"/>
    <x v="3"/>
    <x v="0"/>
    <s v="S"/>
    <x v="0"/>
    <x v="1"/>
    <x v="177"/>
    <x v="0"/>
    <n v="1"/>
    <n v="1"/>
    <x v="1"/>
    <s v="With Family"/>
    <x v="1"/>
    <s v="yes"/>
  </r>
  <r>
    <s v="Johnson"/>
    <s v=" Miss"/>
    <s v=" Eleanor Ileen"/>
    <x v="1"/>
    <x v="1"/>
    <n v="1"/>
    <x v="3"/>
    <x v="0"/>
    <s v="S"/>
    <x v="0"/>
    <x v="1"/>
    <x v="177"/>
    <x v="0"/>
    <n v="1"/>
    <n v="1"/>
    <x v="1"/>
    <s v="With Family"/>
    <x v="1"/>
    <s v="yes"/>
  </r>
  <r>
    <s v="Johnson"/>
    <s v=" Mr"/>
    <s v=" August"/>
    <x v="0"/>
    <x v="0"/>
    <n v="49"/>
    <x v="0"/>
    <x v="0"/>
    <s v="S"/>
    <x v="0"/>
    <x v="0"/>
    <x v="25"/>
    <x v="1"/>
    <n v="1"/>
    <s v="NA"/>
    <x v="5"/>
    <e v="#VALUE!"/>
    <x v="0"/>
    <s v="no"/>
  </r>
  <r>
    <s v="Johnson"/>
    <s v=" Mr"/>
    <s v=" Malkolm Joackim"/>
    <x v="0"/>
    <x v="0"/>
    <n v="33"/>
    <x v="2"/>
    <x v="0"/>
    <s v="S"/>
    <x v="0"/>
    <x v="0"/>
    <x v="21"/>
    <x v="0"/>
    <n v="0"/>
    <n v="0"/>
    <x v="0"/>
    <s v="Alone"/>
    <x v="0"/>
    <s v="no"/>
  </r>
  <r>
    <s v="Johnson"/>
    <s v=" Mrs"/>
    <s v=" Elisabeth Vilhelmina"/>
    <x v="1"/>
    <x v="1"/>
    <n v="26"/>
    <x v="2"/>
    <x v="0"/>
    <s v="S"/>
    <x v="0"/>
    <x v="1"/>
    <x v="177"/>
    <x v="0"/>
    <n v="0"/>
    <n v="2"/>
    <x v="1"/>
    <s v="With Family"/>
    <x v="1"/>
    <s v="yes"/>
  </r>
  <r>
    <s v="Johnson"/>
    <s v=" Mr"/>
    <s v=" William Cahoone Jr"/>
    <x v="0"/>
    <x v="0"/>
    <n v="19"/>
    <x v="2"/>
    <x v="0"/>
    <s v="S"/>
    <x v="0"/>
    <x v="0"/>
    <x v="25"/>
    <x v="1"/>
    <n v="0"/>
    <n v="0"/>
    <x v="0"/>
    <s v="Alone"/>
    <x v="0"/>
    <s v="no"/>
  </r>
  <r>
    <s v="Johnston"/>
    <s v=" Master"/>
    <s v=" William Andrew"/>
    <x v="0"/>
    <x v="0"/>
    <n v="8"/>
    <x v="3"/>
    <x v="0"/>
    <s v="S"/>
    <x v="0"/>
    <x v="1"/>
    <x v="178"/>
    <x v="1"/>
    <n v="1"/>
    <n v="2"/>
    <x v="3"/>
    <s v="With Family"/>
    <x v="0"/>
    <s v="no"/>
  </r>
  <r>
    <s v="Johnston"/>
    <s v=" Miss"/>
    <s v=" Catherine Nellie"/>
    <x v="1"/>
    <x v="1"/>
    <n v="7"/>
    <x v="3"/>
    <x v="0"/>
    <s v="S"/>
    <x v="0"/>
    <x v="1"/>
    <x v="178"/>
    <x v="1"/>
    <n v="1"/>
    <n v="2"/>
    <x v="3"/>
    <s v="With Family"/>
    <x v="0"/>
    <s v="no"/>
  </r>
  <r>
    <s v="Johnston"/>
    <s v=" Mr"/>
    <s v=" Andrew Emslie"/>
    <x v="0"/>
    <x v="0"/>
    <n v="35"/>
    <x v="2"/>
    <x v="0"/>
    <s v="S"/>
    <x v="0"/>
    <x v="22"/>
    <x v="178"/>
    <x v="1"/>
    <n v="1"/>
    <n v="2"/>
    <x v="3"/>
    <s v="With Family"/>
    <x v="0"/>
    <s v="no"/>
  </r>
  <r>
    <s v="Johnston"/>
    <s v=" Mrs"/>
    <s v=" Eliza"/>
    <x v="1"/>
    <x v="1"/>
    <n v="36"/>
    <x v="0"/>
    <x v="0"/>
    <s v="S"/>
    <x v="0"/>
    <x v="22"/>
    <x v="178"/>
    <x v="1"/>
    <n v="1"/>
    <n v="2"/>
    <x v="3"/>
    <s v="With Family"/>
    <x v="0"/>
    <s v="no"/>
  </r>
  <r>
    <s v="Jones"/>
    <s v=" Mr"/>
    <s v=" Charles Cresson"/>
    <x v="0"/>
    <x v="0"/>
    <n v="46"/>
    <x v="0"/>
    <x v="2"/>
    <s v="S"/>
    <x v="0"/>
    <x v="0"/>
    <x v="27"/>
    <x v="1"/>
    <n v="0"/>
    <n v="0"/>
    <x v="0"/>
    <s v="Alone"/>
    <x v="0"/>
    <s v="no"/>
  </r>
  <r>
    <s v="Jonkoff"/>
    <s v=" Mr"/>
    <s v=" Lalio"/>
    <x v="0"/>
    <x v="0"/>
    <n v="23"/>
    <x v="2"/>
    <x v="0"/>
    <s v="S"/>
    <x v="0"/>
    <x v="11"/>
    <x v="26"/>
    <x v="0"/>
    <n v="0"/>
    <n v="0"/>
    <x v="0"/>
    <s v="Alone"/>
    <x v="0"/>
    <s v="no"/>
  </r>
  <r>
    <s v="Jonsson"/>
    <s v=" Mr"/>
    <s v=" Carl"/>
    <x v="0"/>
    <x v="0"/>
    <n v="25"/>
    <x v="2"/>
    <x v="0"/>
    <s v="S"/>
    <x v="0"/>
    <x v="6"/>
    <x v="17"/>
    <x v="0"/>
    <n v="0"/>
    <n v="0"/>
    <x v="0"/>
    <s v="Alone"/>
    <x v="1"/>
    <s v="yes"/>
  </r>
  <r>
    <s v="JÃ¶nsson"/>
    <s v=" Mr"/>
    <s v=" Nils Hilding"/>
    <x v="0"/>
    <x v="0"/>
    <n v="27"/>
    <x v="2"/>
    <x v="0"/>
    <s v="S"/>
    <x v="0"/>
    <x v="6"/>
    <x v="17"/>
    <x v="0"/>
    <n v="0"/>
    <n v="0"/>
    <x v="0"/>
    <s v="Alone"/>
    <x v="0"/>
    <s v="no"/>
  </r>
  <r>
    <s v="Joseph (Shahin)"/>
    <s v=" Mr"/>
    <s v=" Elias"/>
    <x v="0"/>
    <x v="0"/>
    <n v="39"/>
    <x v="0"/>
    <x v="0"/>
    <s v="C"/>
    <x v="1"/>
    <x v="4"/>
    <x v="16"/>
    <x v="0"/>
    <n v="0"/>
    <n v="2"/>
    <x v="1"/>
    <s v="With Family"/>
    <x v="0"/>
    <s v="no"/>
  </r>
  <r>
    <s v="Julian"/>
    <s v=" Mr"/>
    <s v=" Henry Forbes"/>
    <x v="0"/>
    <x v="0"/>
    <n v="50"/>
    <x v="0"/>
    <x v="2"/>
    <s v="S"/>
    <x v="0"/>
    <x v="1"/>
    <x v="27"/>
    <x v="1"/>
    <n v="0"/>
    <n v="0"/>
    <x v="0"/>
    <s v="Alone"/>
    <x v="0"/>
    <s v="no"/>
  </r>
  <r>
    <s v="Jussila"/>
    <s v=" Miss"/>
    <s v=" Katriina"/>
    <x v="1"/>
    <x v="1"/>
    <n v="20"/>
    <x v="2"/>
    <x v="0"/>
    <s v="S"/>
    <x v="0"/>
    <x v="5"/>
    <x v="179"/>
    <x v="0"/>
    <n v="1"/>
    <n v="0"/>
    <x v="2"/>
    <s v="With Family"/>
    <x v="0"/>
    <s v="no"/>
  </r>
  <r>
    <s v="Jussila"/>
    <s v=" Miss"/>
    <s v=" Mari Aina"/>
    <x v="1"/>
    <x v="1"/>
    <n v="21"/>
    <x v="2"/>
    <x v="0"/>
    <s v="S"/>
    <x v="0"/>
    <x v="5"/>
    <x v="179"/>
    <x v="0"/>
    <n v="1"/>
    <n v="0"/>
    <x v="2"/>
    <s v="With Family"/>
    <x v="0"/>
    <s v="no"/>
  </r>
  <r>
    <s v="Jussila"/>
    <s v=" Mr"/>
    <s v=" Eiriik"/>
    <x v="0"/>
    <x v="0"/>
    <n v="32"/>
    <x v="2"/>
    <x v="0"/>
    <s v="S"/>
    <x v="0"/>
    <x v="5"/>
    <x v="5"/>
    <x v="0"/>
    <n v="0"/>
    <n v="0"/>
    <x v="0"/>
    <s v="Alone"/>
    <x v="1"/>
    <s v="yes"/>
  </r>
  <r>
    <s v="Kallio"/>
    <s v=" Mr"/>
    <s v=" Nikolai Erland"/>
    <x v="0"/>
    <x v="0"/>
    <n v="17"/>
    <x v="1"/>
    <x v="0"/>
    <s v="S"/>
    <x v="0"/>
    <x v="5"/>
    <x v="180"/>
    <x v="0"/>
    <n v="0"/>
    <n v="0"/>
    <x v="0"/>
    <s v="Alone"/>
    <x v="0"/>
    <s v="no"/>
  </r>
  <r>
    <s v="Kalvik"/>
    <s v=" Mr"/>
    <s v=" Johannes Halvorsen"/>
    <x v="0"/>
    <x v="0"/>
    <n v="21"/>
    <x v="2"/>
    <x v="0"/>
    <s v="S"/>
    <x v="0"/>
    <x v="2"/>
    <x v="181"/>
    <x v="0"/>
    <n v="0"/>
    <n v="0"/>
    <x v="0"/>
    <s v="Alone"/>
    <x v="0"/>
    <s v="no"/>
  </r>
  <r>
    <s v="Kantor"/>
    <s v=" Mr"/>
    <s v=" Sinai"/>
    <x v="0"/>
    <x v="0"/>
    <n v="34"/>
    <x v="2"/>
    <x v="1"/>
    <s v="S"/>
    <x v="0"/>
    <x v="33"/>
    <x v="27"/>
    <x v="1"/>
    <n v="1"/>
    <n v="0"/>
    <x v="2"/>
    <s v="With Family"/>
    <x v="0"/>
    <s v="no"/>
  </r>
  <r>
    <s v="Kantor"/>
    <s v=" Mrs"/>
    <s v=" Miriam"/>
    <x v="1"/>
    <x v="1"/>
    <n v="24"/>
    <x v="2"/>
    <x v="1"/>
    <s v="S"/>
    <x v="0"/>
    <x v="33"/>
    <x v="27"/>
    <x v="1"/>
    <n v="1"/>
    <n v="0"/>
    <x v="2"/>
    <s v="With Family"/>
    <x v="1"/>
    <s v="yes"/>
  </r>
  <r>
    <s v="Karajic"/>
    <s v=" Mr"/>
    <s v=" Milan"/>
    <x v="0"/>
    <x v="0"/>
    <n v="30"/>
    <x v="2"/>
    <x v="0"/>
    <s v="S"/>
    <x v="0"/>
    <x v="15"/>
    <x v="26"/>
    <x v="0"/>
    <n v="0"/>
    <n v="0"/>
    <x v="0"/>
    <s v="Alone"/>
    <x v="0"/>
    <s v="no"/>
  </r>
  <r>
    <s v="Karlsson"/>
    <s v=" Mr"/>
    <s v=" Einar Gervasius"/>
    <x v="0"/>
    <x v="0"/>
    <n v="21"/>
    <x v="2"/>
    <x v="0"/>
    <s v="S"/>
    <x v="0"/>
    <x v="6"/>
    <x v="32"/>
    <x v="0"/>
    <n v="0"/>
    <n v="0"/>
    <x v="0"/>
    <s v="Alone"/>
    <x v="1"/>
    <s v="yes"/>
  </r>
  <r>
    <s v="Karlsson"/>
    <s v=" Mr"/>
    <s v=" Julius Konrad Eugen"/>
    <x v="0"/>
    <x v="0"/>
    <n v="33"/>
    <x v="2"/>
    <x v="0"/>
    <s v="S"/>
    <x v="0"/>
    <x v="6"/>
    <x v="17"/>
    <x v="0"/>
    <n v="0"/>
    <n v="0"/>
    <x v="0"/>
    <s v="Alone"/>
    <x v="0"/>
    <s v="no"/>
  </r>
  <r>
    <s v="Karlsson"/>
    <s v=" Mr"/>
    <s v=" Nils August"/>
    <x v="0"/>
    <x v="0"/>
    <n v="22"/>
    <x v="2"/>
    <x v="0"/>
    <s v="S"/>
    <x v="0"/>
    <x v="6"/>
    <x v="182"/>
    <x v="0"/>
    <n v="0"/>
    <n v="0"/>
    <x v="0"/>
    <s v="Alone"/>
    <x v="0"/>
    <s v="no"/>
  </r>
  <r>
    <s v="Karnes"/>
    <s v=" Mrs"/>
    <s v=" Claire"/>
    <x v="1"/>
    <x v="1"/>
    <n v="22"/>
    <x v="2"/>
    <x v="1"/>
    <s v="S"/>
    <x v="0"/>
    <x v="0"/>
    <x v="77"/>
    <x v="1"/>
    <n v="0"/>
    <n v="0"/>
    <x v="0"/>
    <s v="Alone"/>
    <x v="0"/>
    <s v="no"/>
  </r>
  <r>
    <s v="Karun"/>
    <s v=" Miss"/>
    <s v=" Manca"/>
    <x v="1"/>
    <x v="1"/>
    <n v="5"/>
    <x v="3"/>
    <x v="0"/>
    <s v="C"/>
    <x v="1"/>
    <x v="34"/>
    <x v="183"/>
    <x v="0"/>
    <n v="0"/>
    <n v="1"/>
    <x v="2"/>
    <s v="With Family"/>
    <x v="1"/>
    <s v="yes"/>
  </r>
  <r>
    <s v="Karun"/>
    <s v=" Mr"/>
    <s v=" Franz"/>
    <x v="0"/>
    <x v="0"/>
    <n v="39"/>
    <x v="0"/>
    <x v="0"/>
    <s v="C"/>
    <x v="1"/>
    <x v="0"/>
    <x v="183"/>
    <x v="0"/>
    <n v="0"/>
    <n v="1"/>
    <x v="2"/>
    <s v="With Family"/>
    <x v="1"/>
    <s v="yes"/>
  </r>
  <r>
    <s v="Katavelos"/>
    <s v=" Mr"/>
    <s v=" Vasilios G"/>
    <x v="0"/>
    <x v="0"/>
    <n v="19"/>
    <x v="2"/>
    <x v="0"/>
    <s v="C"/>
    <x v="1"/>
    <x v="35"/>
    <x v="16"/>
    <x v="0"/>
    <n v="0"/>
    <n v="0"/>
    <x v="0"/>
    <s v="Alone"/>
    <x v="0"/>
    <s v="no"/>
  </r>
  <r>
    <s v="Keane"/>
    <s v=" Miss"/>
    <s v=" Nora Agnes"/>
    <x v="1"/>
    <x v="1"/>
    <n v="46"/>
    <x v="0"/>
    <x v="1"/>
    <s v="Q"/>
    <x v="3"/>
    <x v="16"/>
    <x v="184"/>
    <x v="0"/>
    <n v="0"/>
    <n v="0"/>
    <x v="0"/>
    <s v="Alone"/>
    <x v="1"/>
    <s v="yes"/>
  </r>
  <r>
    <s v="Keane"/>
    <s v=" Mr"/>
    <s v=" Andrew"/>
    <x v="0"/>
    <x v="0"/>
    <n v="23"/>
    <x v="2"/>
    <x v="0"/>
    <s v="Q"/>
    <x v="3"/>
    <x v="16"/>
    <x v="55"/>
    <x v="0"/>
    <n v="0"/>
    <n v="0"/>
    <x v="0"/>
    <s v="Alone"/>
    <x v="0"/>
    <s v="no"/>
  </r>
  <r>
    <s v="Keane"/>
    <s v=" Mr"/>
    <s v=" Daniel"/>
    <x v="0"/>
    <x v="0"/>
    <n v="35"/>
    <x v="2"/>
    <x v="1"/>
    <s v="Q"/>
    <x v="3"/>
    <x v="16"/>
    <x v="184"/>
    <x v="0"/>
    <n v="0"/>
    <n v="0"/>
    <x v="0"/>
    <s v="Alone"/>
    <x v="0"/>
    <s v="no"/>
  </r>
  <r>
    <s v="Keefe"/>
    <s v=" Mr"/>
    <s v=" Arthur"/>
    <x v="0"/>
    <x v="0"/>
    <n v="39"/>
    <x v="0"/>
    <x v="0"/>
    <s v="S"/>
    <x v="0"/>
    <x v="0"/>
    <x v="6"/>
    <x v="0"/>
    <n v="0"/>
    <n v="0"/>
    <x v="0"/>
    <s v="Alone"/>
    <x v="0"/>
    <s v="no"/>
  </r>
  <r>
    <s v="Keeping"/>
    <s v=" Mr"/>
    <s v=" Edwin Herbert"/>
    <x v="0"/>
    <x v="0"/>
    <n v="33"/>
    <x v="2"/>
    <x v="2"/>
    <s v="S"/>
    <x v="0"/>
    <x v="1"/>
    <x v="138"/>
    <x v="2"/>
    <n v="0"/>
    <n v="0"/>
    <x v="0"/>
    <s v="Alone"/>
    <x v="0"/>
    <s v="no"/>
  </r>
  <r>
    <s v="Kelly"/>
    <s v=" Miss"/>
    <s v=" Anna Katherine"/>
    <x v="1"/>
    <x v="1"/>
    <n v="20"/>
    <x v="2"/>
    <x v="0"/>
    <s v="Q"/>
    <x v="3"/>
    <x v="16"/>
    <x v="55"/>
    <x v="0"/>
    <n v="0"/>
    <n v="0"/>
    <x v="0"/>
    <s v="Alone"/>
    <x v="1"/>
    <s v="yes"/>
  </r>
  <r>
    <s v="Kelly"/>
    <s v=" Miss"/>
    <s v=" Mary"/>
    <x v="1"/>
    <x v="1"/>
    <n v="22"/>
    <x v="2"/>
    <x v="0"/>
    <s v="Q"/>
    <x v="3"/>
    <x v="16"/>
    <x v="55"/>
    <x v="0"/>
    <n v="0"/>
    <n v="0"/>
    <x v="0"/>
    <s v="Alone"/>
    <x v="1"/>
    <s v="yes"/>
  </r>
  <r>
    <s v="Kelly"/>
    <s v=" Mr"/>
    <s v=" James"/>
    <x v="0"/>
    <x v="0"/>
    <n v="19"/>
    <x v="2"/>
    <x v="0"/>
    <s v="S"/>
    <x v="0"/>
    <x v="22"/>
    <x v="7"/>
    <x v="0"/>
    <n v="0"/>
    <n v="0"/>
    <x v="0"/>
    <s v="Alone"/>
    <x v="0"/>
    <s v="no"/>
  </r>
  <r>
    <s v="Kelly"/>
    <s v=" Mrs"/>
    <s v=" Fanny Maria"/>
    <x v="1"/>
    <x v="1"/>
    <n v="49"/>
    <x v="0"/>
    <x v="1"/>
    <s v="S"/>
    <x v="0"/>
    <x v="1"/>
    <x v="85"/>
    <x v="0"/>
    <n v="0"/>
    <n v="0"/>
    <x v="0"/>
    <s v="Alone"/>
    <x v="1"/>
    <s v="yes"/>
  </r>
  <r>
    <s v="Kennedy"/>
    <s v=" Mr"/>
    <s v=" John"/>
    <x v="0"/>
    <x v="0"/>
    <n v="24"/>
    <x v="2"/>
    <x v="0"/>
    <s v="Q"/>
    <x v="3"/>
    <x v="16"/>
    <x v="55"/>
    <x v="0"/>
    <n v="0"/>
    <n v="0"/>
    <x v="0"/>
    <s v="Alone"/>
    <x v="1"/>
    <s v="yes"/>
  </r>
  <r>
    <s v="Kent"/>
    <s v=" Mr"/>
    <s v=" Edward Austin"/>
    <x v="0"/>
    <x v="0"/>
    <n v="58"/>
    <x v="4"/>
    <x v="2"/>
    <s v="C"/>
    <x v="1"/>
    <x v="0"/>
    <x v="88"/>
    <x v="1"/>
    <n v="0"/>
    <n v="0"/>
    <x v="0"/>
    <s v="Alone"/>
    <x v="0"/>
    <s v="no"/>
  </r>
  <r>
    <s v="Kenyon"/>
    <s v=" Mr"/>
    <s v=" Frederick Roland"/>
    <x v="0"/>
    <x v="0"/>
    <n v="41"/>
    <x v="0"/>
    <x v="2"/>
    <s v="S"/>
    <x v="0"/>
    <x v="0"/>
    <x v="161"/>
    <x v="3"/>
    <n v="1"/>
    <n v="0"/>
    <x v="2"/>
    <s v="With Family"/>
    <x v="0"/>
    <s v="no"/>
  </r>
  <r>
    <s v="Kenyon"/>
    <s v=" Mrs"/>
    <s v=" Marion Estelle"/>
    <x v="1"/>
    <x v="1"/>
    <n v="40"/>
    <x v="0"/>
    <x v="2"/>
    <s v="S"/>
    <x v="0"/>
    <x v="0"/>
    <x v="161"/>
    <x v="3"/>
    <n v="1"/>
    <n v="0"/>
    <x v="2"/>
    <s v="With Family"/>
    <x v="1"/>
    <s v="yes"/>
  </r>
  <r>
    <s v="Khalil"/>
    <s v=" Mr"/>
    <s v=" Betros"/>
    <x v="0"/>
    <x v="0"/>
    <n v="25"/>
    <x v="2"/>
    <x v="0"/>
    <s v="C"/>
    <x v="1"/>
    <x v="4"/>
    <x v="40"/>
    <x v="0"/>
    <n v="1"/>
    <n v="0"/>
    <x v="2"/>
    <s v="With Family"/>
    <x v="0"/>
    <s v="no"/>
  </r>
  <r>
    <s v="Khalil"/>
    <s v=" Mrs"/>
    <s v=" Zahie"/>
    <x v="1"/>
    <x v="1"/>
    <n v="20"/>
    <x v="2"/>
    <x v="0"/>
    <s v="C"/>
    <x v="1"/>
    <x v="4"/>
    <x v="40"/>
    <x v="0"/>
    <n v="1"/>
    <n v="0"/>
    <x v="2"/>
    <s v="With Family"/>
    <x v="0"/>
    <s v="no"/>
  </r>
  <r>
    <s v="Kiernan"/>
    <s v=" Mr"/>
    <s v=" John Joseph"/>
    <x v="0"/>
    <x v="0"/>
    <n v="25"/>
    <x v="2"/>
    <x v="0"/>
    <s v="Q"/>
    <x v="3"/>
    <x v="16"/>
    <x v="55"/>
    <x v="0"/>
    <n v="1"/>
    <n v="0"/>
    <x v="2"/>
    <s v="With Family"/>
    <x v="0"/>
    <s v="no"/>
  </r>
  <r>
    <s v="Kiernan"/>
    <s v=" Mr"/>
    <s v=" Philip"/>
    <x v="0"/>
    <x v="0"/>
    <n v="22"/>
    <x v="2"/>
    <x v="0"/>
    <s v="Q"/>
    <x v="3"/>
    <x v="16"/>
    <x v="55"/>
    <x v="0"/>
    <n v="1"/>
    <n v="0"/>
    <x v="2"/>
    <s v="With Family"/>
    <x v="0"/>
    <s v="no"/>
  </r>
  <r>
    <s v="Kilgannon"/>
    <s v=" Mr"/>
    <s v=" Thomas"/>
    <x v="0"/>
    <x v="0"/>
    <n v="22"/>
    <x v="2"/>
    <x v="0"/>
    <s v="Q"/>
    <x v="3"/>
    <x v="16"/>
    <x v="185"/>
    <x v="0"/>
    <n v="0"/>
    <n v="0"/>
    <x v="0"/>
    <s v="Alone"/>
    <x v="0"/>
    <s v="no"/>
  </r>
  <r>
    <s v="Kimball"/>
    <s v=" Mr"/>
    <s v=" Edwin Nelson Jr"/>
    <x v="0"/>
    <x v="0"/>
    <n v="42"/>
    <x v="0"/>
    <x v="2"/>
    <s v="S"/>
    <x v="0"/>
    <x v="0"/>
    <x v="50"/>
    <x v="3"/>
    <n v="1"/>
    <n v="0"/>
    <x v="2"/>
    <s v="With Family"/>
    <x v="1"/>
    <s v="yes"/>
  </r>
  <r>
    <s v="Kimball"/>
    <s v=" Mrs"/>
    <s v=" Susan Gertrude"/>
    <x v="1"/>
    <x v="1"/>
    <n v="45"/>
    <x v="0"/>
    <x v="2"/>
    <s v="S"/>
    <x v="0"/>
    <x v="0"/>
    <x v="50"/>
    <x v="3"/>
    <n v="1"/>
    <n v="0"/>
    <x v="2"/>
    <s v="With Family"/>
    <x v="1"/>
    <s v="yes"/>
  </r>
  <r>
    <s v="Kink-Heilmann"/>
    <s v=" Miss"/>
    <s v=" Luise Gretchen"/>
    <x v="1"/>
    <x v="1"/>
    <n v="4"/>
    <x v="3"/>
    <x v="0"/>
    <s v="S"/>
    <x v="0"/>
    <x v="12"/>
    <x v="186"/>
    <x v="1"/>
    <n v="0"/>
    <n v="2"/>
    <x v="1"/>
    <s v="With Family"/>
    <x v="1"/>
    <s v="yes"/>
  </r>
  <r>
    <s v="Kink-Heilmann"/>
    <s v=" Mrs"/>
    <s v=" Luise"/>
    <x v="1"/>
    <x v="1"/>
    <n v="26"/>
    <x v="2"/>
    <x v="0"/>
    <s v="S"/>
    <x v="0"/>
    <x v="12"/>
    <x v="186"/>
    <x v="1"/>
    <n v="1"/>
    <n v="1"/>
    <x v="1"/>
    <s v="With Family"/>
    <x v="1"/>
    <s v="yes"/>
  </r>
  <r>
    <s v="Kink"/>
    <s v=" Miss"/>
    <s v=" Maria"/>
    <x v="1"/>
    <x v="1"/>
    <n v="23"/>
    <x v="2"/>
    <x v="0"/>
    <s v="S"/>
    <x v="0"/>
    <x v="12"/>
    <x v="74"/>
    <x v="0"/>
    <n v="2"/>
    <n v="0"/>
    <x v="1"/>
    <s v="With Family"/>
    <x v="0"/>
    <s v="no"/>
  </r>
  <r>
    <s v="Kink"/>
    <s v=" Mr"/>
    <s v=" Anton"/>
    <x v="0"/>
    <x v="0"/>
    <n v="29"/>
    <x v="2"/>
    <x v="0"/>
    <s v="S"/>
    <x v="0"/>
    <x v="12"/>
    <x v="186"/>
    <x v="1"/>
    <n v="3"/>
    <n v="1"/>
    <x v="6"/>
    <s v="With Family"/>
    <x v="1"/>
    <s v="yes"/>
  </r>
  <r>
    <s v="Kink"/>
    <s v=" Mr"/>
    <s v=" Vincenz"/>
    <x v="0"/>
    <x v="0"/>
    <n v="26"/>
    <x v="2"/>
    <x v="0"/>
    <s v="S"/>
    <x v="0"/>
    <x v="12"/>
    <x v="74"/>
    <x v="0"/>
    <n v="2"/>
    <n v="0"/>
    <x v="1"/>
    <s v="With Family"/>
    <x v="0"/>
    <s v="no"/>
  </r>
  <r>
    <s v="Kirkland"/>
    <s v=" Fr"/>
    <s v=" Charles Leonard"/>
    <x v="0"/>
    <x v="0"/>
    <n v="52"/>
    <x v="0"/>
    <x v="1"/>
    <s v="Q"/>
    <x v="3"/>
    <x v="0"/>
    <x v="184"/>
    <x v="0"/>
    <n v="0"/>
    <n v="0"/>
    <x v="0"/>
    <s v="Alone"/>
    <x v="0"/>
    <s v="no"/>
  </r>
  <r>
    <s v="Klaber"/>
    <s v=" Mr"/>
    <s v=" Herman"/>
    <x v="0"/>
    <x v="0"/>
    <n v="41"/>
    <x v="0"/>
    <x v="2"/>
    <s v="S"/>
    <x v="0"/>
    <x v="0"/>
    <x v="19"/>
    <x v="1"/>
    <n v="0"/>
    <n v="0"/>
    <x v="0"/>
    <s v="Alone"/>
    <x v="0"/>
    <s v="no"/>
  </r>
  <r>
    <s v="KlasÃ©n"/>
    <s v=" Miss"/>
    <s v=" Gertrud Emilia"/>
    <x v="1"/>
    <x v="1"/>
    <n v="1"/>
    <x v="3"/>
    <x v="0"/>
    <s v="S"/>
    <x v="0"/>
    <x v="6"/>
    <x v="187"/>
    <x v="0"/>
    <n v="1"/>
    <n v="1"/>
    <x v="1"/>
    <s v="With Family"/>
    <x v="0"/>
    <s v="no"/>
  </r>
  <r>
    <s v="KlasÃ©n"/>
    <s v=" Mr"/>
    <s v=" Klas Albin"/>
    <x v="0"/>
    <x v="0"/>
    <n v="18"/>
    <x v="2"/>
    <x v="0"/>
    <s v="S"/>
    <x v="0"/>
    <x v="6"/>
    <x v="17"/>
    <x v="0"/>
    <n v="1"/>
    <n v="1"/>
    <x v="1"/>
    <s v="With Family"/>
    <x v="0"/>
    <s v="no"/>
  </r>
  <r>
    <s v="KlasÃ©n"/>
    <s v=" Mrs"/>
    <s v=" Hulda Kristina Eugenia"/>
    <x v="1"/>
    <x v="1"/>
    <n v="36"/>
    <x v="0"/>
    <x v="0"/>
    <s v="S"/>
    <x v="0"/>
    <x v="6"/>
    <x v="187"/>
    <x v="0"/>
    <n v="0"/>
    <n v="2"/>
    <x v="1"/>
    <s v="With Family"/>
    <x v="0"/>
    <s v="no"/>
  </r>
  <r>
    <s v="Knight"/>
    <s v=" Mr"/>
    <s v=" Robert"/>
    <x v="0"/>
    <x v="0"/>
    <n v="41"/>
    <x v="0"/>
    <x v="1"/>
    <s v="B"/>
    <x v="2"/>
    <x v="10"/>
    <x v="25"/>
    <x v="1"/>
    <n v="0"/>
    <n v="0"/>
    <x v="0"/>
    <s v="Alone"/>
    <x v="0"/>
    <s v="no"/>
  </r>
  <r>
    <s v="Kraeff"/>
    <s v=" Mr"/>
    <s v=" Theodor"/>
    <x v="0"/>
    <x v="0"/>
    <n v="30"/>
    <x v="2"/>
    <x v="0"/>
    <s v="C"/>
    <x v="1"/>
    <x v="11"/>
    <x v="26"/>
    <x v="0"/>
    <n v="0"/>
    <n v="0"/>
    <x v="0"/>
    <s v="Alone"/>
    <x v="0"/>
    <s v="no"/>
  </r>
  <r>
    <s v="Krekorian"/>
    <s v=" Mr"/>
    <s v=" Neshan"/>
    <x v="0"/>
    <x v="0"/>
    <n v="25"/>
    <x v="2"/>
    <x v="0"/>
    <s v="C"/>
    <x v="1"/>
    <x v="36"/>
    <x v="16"/>
    <x v="0"/>
    <n v="0"/>
    <n v="0"/>
    <x v="0"/>
    <s v="Alone"/>
    <x v="1"/>
    <s v="yes"/>
  </r>
  <r>
    <s v="Kreuchen"/>
    <s v=" Miss"/>
    <s v=" Emilie"/>
    <x v="1"/>
    <x v="1"/>
    <n v="29"/>
    <x v="2"/>
    <x v="2"/>
    <s v="S"/>
    <x v="0"/>
    <x v="1"/>
    <x v="188"/>
    <x v="2"/>
    <n v="0"/>
    <n v="0"/>
    <x v="0"/>
    <s v="Alone"/>
    <x v="1"/>
    <s v="yes"/>
  </r>
  <r>
    <s v="Krins"/>
    <s v=" Mr"/>
    <s v=" Georges Alexandre"/>
    <x v="0"/>
    <x v="0"/>
    <n v="23"/>
    <x v="2"/>
    <x v="1"/>
    <s v="S"/>
    <x v="0"/>
    <x v="1"/>
    <x v="25"/>
    <x v="1"/>
    <n v="1"/>
    <s v="NA"/>
    <x v="5"/>
    <e v="#VALUE!"/>
    <x v="0"/>
    <s v="no"/>
  </r>
  <r>
    <s v="Kutscher (Lithman)"/>
    <s v=" Mr"/>
    <s v=" Simon"/>
    <x v="0"/>
    <x v="0"/>
    <n v="26"/>
    <x v="2"/>
    <x v="0"/>
    <s v="S"/>
    <x v="0"/>
    <x v="22"/>
    <x v="0"/>
    <x v="0"/>
    <n v="0"/>
    <n v="0"/>
    <x v="0"/>
    <s v="Alone"/>
    <x v="0"/>
    <s v="no"/>
  </r>
  <r>
    <s v="Kvillner"/>
    <s v=" Mr"/>
    <s v=" Johan Henrik Johannesson"/>
    <x v="0"/>
    <x v="0"/>
    <n v="31"/>
    <x v="2"/>
    <x v="1"/>
    <s v="S"/>
    <x v="0"/>
    <x v="6"/>
    <x v="23"/>
    <x v="0"/>
    <n v="0"/>
    <n v="0"/>
    <x v="0"/>
    <s v="Alone"/>
    <x v="0"/>
    <s v="no"/>
  </r>
  <r>
    <s v="LahhÅ«d Ishaq Mu'awwad"/>
    <s v=" Mr"/>
    <s v=" SarkÄ«s"/>
    <x v="0"/>
    <x v="0"/>
    <n v="35"/>
    <x v="2"/>
    <x v="0"/>
    <s v="C"/>
    <x v="1"/>
    <x v="4"/>
    <x v="33"/>
    <x v="0"/>
    <n v="0"/>
    <n v="0"/>
    <x v="0"/>
    <s v="Alone"/>
    <x v="0"/>
    <s v="no"/>
  </r>
  <r>
    <s v="Lahtinen"/>
    <s v=" Fr"/>
    <s v=" William"/>
    <x v="0"/>
    <x v="0"/>
    <n v="35"/>
    <x v="2"/>
    <x v="1"/>
    <s v="S"/>
    <x v="0"/>
    <x v="0"/>
    <x v="27"/>
    <x v="1"/>
    <n v="1"/>
    <n v="1"/>
    <x v="1"/>
    <s v="With Family"/>
    <x v="0"/>
    <s v="no"/>
  </r>
  <r>
    <s v="Lahtinen"/>
    <s v=" Mrs"/>
    <s v=" Anna Amelia"/>
    <x v="1"/>
    <x v="1"/>
    <n v="34"/>
    <x v="2"/>
    <x v="1"/>
    <s v="S"/>
    <x v="0"/>
    <x v="0"/>
    <x v="27"/>
    <x v="1"/>
    <n v="1"/>
    <n v="1"/>
    <x v="1"/>
    <s v="With Family"/>
    <x v="0"/>
    <s v="no"/>
  </r>
  <r>
    <s v="Laitinen"/>
    <s v=" Miss"/>
    <s v=" Kristina Sofia"/>
    <x v="1"/>
    <x v="1"/>
    <n v="37"/>
    <x v="0"/>
    <x v="0"/>
    <s v="S"/>
    <x v="0"/>
    <x v="5"/>
    <x v="189"/>
    <x v="0"/>
    <n v="0"/>
    <n v="0"/>
    <x v="0"/>
    <s v="Alone"/>
    <x v="0"/>
    <s v="no"/>
  </r>
  <r>
    <s v="Lamb"/>
    <s v=" Mr"/>
    <s v=" John J"/>
    <x v="0"/>
    <x v="0"/>
    <n v="31"/>
    <x v="2"/>
    <x v="1"/>
    <s v="Q"/>
    <x v="3"/>
    <x v="16"/>
    <x v="190"/>
    <x v="0"/>
    <n v="0"/>
    <n v="0"/>
    <x v="0"/>
    <s v="Alone"/>
    <x v="0"/>
    <s v="no"/>
  </r>
  <r>
    <s v="Lam"/>
    <s v=" Mr"/>
    <s v=" Ali"/>
    <x v="0"/>
    <x v="0"/>
    <n v="38"/>
    <x v="0"/>
    <x v="0"/>
    <s v="S"/>
    <x v="0"/>
    <x v="37"/>
    <x v="52"/>
    <x v="3"/>
    <n v="0"/>
    <n v="0"/>
    <x v="0"/>
    <s v="Alone"/>
    <x v="1"/>
    <s v="yes"/>
  </r>
  <r>
    <s v="Lam"/>
    <s v=" Mr"/>
    <s v=" Len"/>
    <x v="0"/>
    <x v="0"/>
    <n v="23"/>
    <x v="2"/>
    <x v="0"/>
    <s v="S"/>
    <x v="0"/>
    <x v="1"/>
    <x v="52"/>
    <x v="3"/>
    <n v="0"/>
    <n v="0"/>
    <x v="0"/>
    <s v="Alone"/>
    <x v="0"/>
    <s v="no"/>
  </r>
  <r>
    <s v="Landergren"/>
    <s v=" Miss"/>
    <s v=" Aurora Adelia"/>
    <x v="1"/>
    <x v="1"/>
    <n v="22"/>
    <x v="2"/>
    <x v="0"/>
    <s v="S"/>
    <x v="0"/>
    <x v="6"/>
    <x v="6"/>
    <x v="0"/>
    <n v="0"/>
    <n v="0"/>
    <x v="0"/>
    <s v="Alone"/>
    <x v="1"/>
    <s v="yes"/>
  </r>
  <r>
    <s v="Lane"/>
    <s v=" Mr"/>
    <s v=" Patrick"/>
    <x v="0"/>
    <x v="0"/>
    <n v="17"/>
    <x v="1"/>
    <x v="0"/>
    <s v="Q"/>
    <x v="3"/>
    <x v="16"/>
    <x v="55"/>
    <x v="0"/>
    <n v="0"/>
    <n v="0"/>
    <x v="0"/>
    <s v="Alone"/>
    <x v="0"/>
    <s v="no"/>
  </r>
  <r>
    <s v="Lang"/>
    <s v=" Mr"/>
    <s v=" Fang"/>
    <x v="0"/>
    <x v="0"/>
    <n v="32"/>
    <x v="2"/>
    <x v="0"/>
    <s v="S"/>
    <x v="0"/>
    <x v="1"/>
    <x v="52"/>
    <x v="3"/>
    <n v="0"/>
    <n v="0"/>
    <x v="0"/>
    <s v="Alone"/>
    <x v="1"/>
    <s v="yes"/>
  </r>
  <r>
    <s v="Laroche"/>
    <s v=" Miss"/>
    <s v=" Louise"/>
    <x v="1"/>
    <x v="1"/>
    <n v="1"/>
    <x v="3"/>
    <x v="1"/>
    <s v="C"/>
    <x v="1"/>
    <x v="3"/>
    <x v="191"/>
    <x v="3"/>
    <n v="1"/>
    <n v="2"/>
    <x v="3"/>
    <s v="With Family"/>
    <x v="1"/>
    <s v="yes"/>
  </r>
  <r>
    <s v="Laroche"/>
    <s v=" Miss"/>
    <s v=" Simonne Marie Anne AndrÃ©e"/>
    <x v="1"/>
    <x v="1"/>
    <n v="3"/>
    <x v="3"/>
    <x v="1"/>
    <s v="C"/>
    <x v="1"/>
    <x v="3"/>
    <x v="191"/>
    <x v="3"/>
    <n v="1"/>
    <n v="2"/>
    <x v="3"/>
    <s v="With Family"/>
    <x v="1"/>
    <s v="yes"/>
  </r>
  <r>
    <s v="Laroche"/>
    <s v=" Mr"/>
    <s v=" Joseph Philippe Lemercier"/>
    <x v="0"/>
    <x v="0"/>
    <n v="25"/>
    <x v="2"/>
    <x v="1"/>
    <s v="C"/>
    <x v="1"/>
    <x v="3"/>
    <x v="191"/>
    <x v="3"/>
    <n v="1"/>
    <n v="2"/>
    <x v="3"/>
    <s v="With Family"/>
    <x v="0"/>
    <s v="no"/>
  </r>
  <r>
    <s v="Laroche"/>
    <s v=" Mrs"/>
    <s v=" Juliette Marie Louise"/>
    <x v="1"/>
    <x v="1"/>
    <n v="22"/>
    <x v="2"/>
    <x v="1"/>
    <s v="C"/>
    <x v="1"/>
    <x v="3"/>
    <x v="191"/>
    <x v="3"/>
    <n v="1"/>
    <n v="2"/>
    <x v="3"/>
    <s v="With Family"/>
    <x v="1"/>
    <s v="yes"/>
  </r>
  <r>
    <s v="Larsson"/>
    <s v=" Mr"/>
    <s v=" August Viktor"/>
    <x v="0"/>
    <x v="0"/>
    <n v="29"/>
    <x v="2"/>
    <x v="0"/>
    <s v="S"/>
    <x v="0"/>
    <x v="0"/>
    <x v="192"/>
    <x v="0"/>
    <n v="0"/>
    <n v="0"/>
    <x v="0"/>
    <s v="Alone"/>
    <x v="0"/>
    <s v="no"/>
  </r>
  <r>
    <s v="Larsson"/>
    <s v=" Mr"/>
    <s v=" Bengt Edvin"/>
    <x v="0"/>
    <x v="0"/>
    <n v="29"/>
    <x v="2"/>
    <x v="0"/>
    <s v="S"/>
    <x v="0"/>
    <x v="6"/>
    <x v="21"/>
    <x v="0"/>
    <n v="0"/>
    <n v="0"/>
    <x v="0"/>
    <s v="Alone"/>
    <x v="0"/>
    <s v="no"/>
  </r>
  <r>
    <s v="Larsson"/>
    <s v=" Mr"/>
    <s v=" Edvard"/>
    <x v="0"/>
    <x v="0"/>
    <n v="22"/>
    <x v="2"/>
    <x v="0"/>
    <s v="S"/>
    <x v="0"/>
    <x v="6"/>
    <x v="21"/>
    <x v="0"/>
    <n v="0"/>
    <n v="0"/>
    <x v="0"/>
    <s v="Alone"/>
    <x v="0"/>
    <s v="no"/>
  </r>
  <r>
    <s v="Leader"/>
    <s v=" Dr"/>
    <s v=" Alice May"/>
    <x v="1"/>
    <x v="1"/>
    <n v="49"/>
    <x v="0"/>
    <x v="2"/>
    <s v="S"/>
    <x v="0"/>
    <x v="0"/>
    <x v="193"/>
    <x v="1"/>
    <n v="0"/>
    <n v="0"/>
    <x v="0"/>
    <s v="Alone"/>
    <x v="1"/>
    <s v="yes"/>
  </r>
  <r>
    <s v="Lefebvre"/>
    <s v=" Master"/>
    <s v=" Henry"/>
    <x v="0"/>
    <x v="0"/>
    <n v="5"/>
    <x v="3"/>
    <x v="0"/>
    <s v="S"/>
    <x v="0"/>
    <x v="1"/>
    <x v="194"/>
    <x v="1"/>
    <n v="3"/>
    <n v="1"/>
    <x v="6"/>
    <s v="With Family"/>
    <x v="0"/>
    <s v="no"/>
  </r>
  <r>
    <s v="Lefebvre"/>
    <s v=" Miss"/>
    <s v=" Ida"/>
    <x v="1"/>
    <x v="1"/>
    <n v="3"/>
    <x v="3"/>
    <x v="0"/>
    <s v="S"/>
    <x v="0"/>
    <x v="1"/>
    <x v="194"/>
    <x v="1"/>
    <n v="3"/>
    <n v="1"/>
    <x v="6"/>
    <s v="With Family"/>
    <x v="0"/>
    <s v="no"/>
  </r>
  <r>
    <s v="Lefebvre"/>
    <s v=" Miss"/>
    <s v=" Jeannie"/>
    <x v="1"/>
    <x v="1"/>
    <n v="8"/>
    <x v="3"/>
    <x v="0"/>
    <s v="S"/>
    <x v="0"/>
    <x v="1"/>
    <x v="194"/>
    <x v="1"/>
    <n v="3"/>
    <n v="1"/>
    <x v="6"/>
    <s v="With Family"/>
    <x v="0"/>
    <s v="no"/>
  </r>
  <r>
    <s v="Lefebvre"/>
    <s v=" Miss"/>
    <s v=" Mathilde"/>
    <x v="1"/>
    <x v="1"/>
    <n v="12"/>
    <x v="1"/>
    <x v="0"/>
    <s v="S"/>
    <x v="0"/>
    <x v="1"/>
    <x v="194"/>
    <x v="1"/>
    <n v="3"/>
    <n v="1"/>
    <x v="6"/>
    <s v="With Family"/>
    <x v="0"/>
    <s v="no"/>
  </r>
  <r>
    <s v="Lefebvre"/>
    <s v=" Mrs"/>
    <s v=" Frances Marie"/>
    <x v="1"/>
    <x v="1"/>
    <n v="40"/>
    <x v="0"/>
    <x v="0"/>
    <s v="S"/>
    <x v="0"/>
    <x v="1"/>
    <x v="194"/>
    <x v="1"/>
    <n v="0"/>
    <n v="4"/>
    <x v="6"/>
    <s v="With Family"/>
    <x v="0"/>
    <s v="no"/>
  </r>
  <r>
    <s v="Lehmann"/>
    <s v=" Miss"/>
    <s v=" Bertha"/>
    <x v="1"/>
    <x v="1"/>
    <n v="17"/>
    <x v="1"/>
    <x v="1"/>
    <s v="C"/>
    <x v="1"/>
    <x v="12"/>
    <x v="195"/>
    <x v="0"/>
    <n v="0"/>
    <n v="0"/>
    <x v="0"/>
    <s v="Alone"/>
    <x v="1"/>
    <s v="yes"/>
  </r>
  <r>
    <s v="Leinonen"/>
    <s v=" Mr"/>
    <s v=" Antti Gustaf"/>
    <x v="0"/>
    <x v="0"/>
    <n v="32"/>
    <x v="2"/>
    <x v="0"/>
    <s v="S"/>
    <x v="0"/>
    <x v="5"/>
    <x v="5"/>
    <x v="0"/>
    <n v="0"/>
    <n v="0"/>
    <x v="0"/>
    <s v="Alone"/>
    <x v="0"/>
    <s v="no"/>
  </r>
  <r>
    <s v="Leitch"/>
    <s v=" Miss"/>
    <s v=" Jessie Wills"/>
    <x v="1"/>
    <x v="1"/>
    <n v="31"/>
    <x v="2"/>
    <x v="1"/>
    <s v="S"/>
    <x v="0"/>
    <x v="22"/>
    <x v="25"/>
    <x v="1"/>
    <n v="0"/>
    <n v="0"/>
    <x v="0"/>
    <s v="Alone"/>
    <x v="1"/>
    <s v="yes"/>
  </r>
  <r>
    <s v="Lemore"/>
    <s v=" Mrs"/>
    <s v=" Amelia"/>
    <x v="1"/>
    <x v="1"/>
    <n v="39"/>
    <x v="0"/>
    <x v="1"/>
    <s v="S"/>
    <x v="0"/>
    <x v="1"/>
    <x v="23"/>
    <x v="0"/>
    <n v="0"/>
    <n v="0"/>
    <x v="0"/>
    <s v="Alone"/>
    <x v="1"/>
    <s v="yes"/>
  </r>
  <r>
    <s v="Lennon"/>
    <s v=" Miss"/>
    <s v=" Mary"/>
    <x v="1"/>
    <x v="1"/>
    <n v="18"/>
    <x v="2"/>
    <x v="0"/>
    <s v="Q"/>
    <x v="3"/>
    <x v="16"/>
    <x v="59"/>
    <x v="1"/>
    <n v="1"/>
    <n v="0"/>
    <x v="2"/>
    <s v="With Family"/>
    <x v="0"/>
    <s v="no"/>
  </r>
  <r>
    <s v="Lennon"/>
    <s v=" Mr"/>
    <s v=" Denis"/>
    <x v="0"/>
    <x v="0"/>
    <n v="20"/>
    <x v="2"/>
    <x v="0"/>
    <s v="Q"/>
    <x v="3"/>
    <x v="16"/>
    <x v="59"/>
    <x v="1"/>
    <n v="1"/>
    <n v="0"/>
    <x v="2"/>
    <s v="With Family"/>
    <x v="0"/>
    <s v="no"/>
  </r>
  <r>
    <s v="Leroy"/>
    <s v=" Miss"/>
    <s v=" Berthe"/>
    <x v="1"/>
    <x v="1"/>
    <n v="27"/>
    <x v="2"/>
    <x v="2"/>
    <s v="C"/>
    <x v="1"/>
    <x v="3"/>
    <x v="116"/>
    <x v="2"/>
    <n v="0"/>
    <n v="0"/>
    <x v="0"/>
    <s v="Alone"/>
    <x v="1"/>
    <s v="yes"/>
  </r>
  <r>
    <s v="Lester"/>
    <s v=" Mr"/>
    <s v=" James"/>
    <x v="0"/>
    <x v="0"/>
    <n v="41"/>
    <x v="0"/>
    <x v="0"/>
    <s v="S"/>
    <x v="0"/>
    <x v="1"/>
    <x v="106"/>
    <x v="1"/>
    <n v="0"/>
    <n v="0"/>
    <x v="0"/>
    <s v="Alone"/>
    <x v="0"/>
    <s v="no"/>
  </r>
  <r>
    <s v="Lesueur"/>
    <s v=" Mr"/>
    <s v=" Gustave J"/>
    <x v="0"/>
    <x v="0"/>
    <n v="35"/>
    <x v="2"/>
    <x v="2"/>
    <s v="C"/>
    <x v="1"/>
    <x v="1"/>
    <x v="79"/>
    <x v="2"/>
    <n v="0"/>
    <n v="0"/>
    <x v="0"/>
    <s v="Alone"/>
    <x v="1"/>
    <s v="yes"/>
  </r>
  <r>
    <s v="LÃ©vy"/>
    <s v=" Mr"/>
    <s v=" RenÃ© Jacques"/>
    <x v="0"/>
    <x v="0"/>
    <n v="37"/>
    <x v="0"/>
    <x v="1"/>
    <s v="S"/>
    <x v="0"/>
    <x v="8"/>
    <x v="196"/>
    <x v="0"/>
    <n v="0"/>
    <n v="0"/>
    <x v="0"/>
    <s v="Alone"/>
    <x v="0"/>
    <s v="no"/>
  </r>
  <r>
    <s v="Lewy"/>
    <s v=" Mr"/>
    <s v=" Ervin G"/>
    <x v="0"/>
    <x v="0"/>
    <n v="30"/>
    <x v="2"/>
    <x v="2"/>
    <s v="C"/>
    <x v="1"/>
    <x v="0"/>
    <x v="68"/>
    <x v="1"/>
    <n v="0"/>
    <n v="0"/>
    <x v="0"/>
    <s v="Alone"/>
    <x v="0"/>
    <s v="no"/>
  </r>
  <r>
    <s v="Leyson"/>
    <s v=" Mr"/>
    <s v=" Robert William Norman"/>
    <x v="0"/>
    <x v="0"/>
    <n v="25"/>
    <x v="2"/>
    <x v="1"/>
    <s v="S"/>
    <x v="0"/>
    <x v="1"/>
    <x v="23"/>
    <x v="0"/>
    <n v="0"/>
    <n v="0"/>
    <x v="0"/>
    <s v="Alone"/>
    <x v="0"/>
    <s v="no"/>
  </r>
  <r>
    <s v="Lievens"/>
    <s v=" Mr"/>
    <s v=" RenÃ© AimÃ©"/>
    <x v="0"/>
    <x v="0"/>
    <n v="24"/>
    <x v="2"/>
    <x v="0"/>
    <s v="S"/>
    <x v="0"/>
    <x v="25"/>
    <x v="110"/>
    <x v="0"/>
    <n v="0"/>
    <n v="0"/>
    <x v="0"/>
    <s v="Alone"/>
    <x v="0"/>
    <s v="no"/>
  </r>
  <r>
    <s v="Lindahl"/>
    <s v=" Miss"/>
    <s v=" Agda Thorilda Viktoria"/>
    <x v="1"/>
    <x v="1"/>
    <n v="25"/>
    <x v="2"/>
    <x v="0"/>
    <s v="S"/>
    <x v="0"/>
    <x v="6"/>
    <x v="21"/>
    <x v="0"/>
    <n v="0"/>
    <n v="0"/>
    <x v="0"/>
    <s v="Alone"/>
    <x v="0"/>
    <s v="no"/>
  </r>
  <r>
    <s v="Lindblom"/>
    <s v=" Miss"/>
    <s v=" Augusta Charlotta"/>
    <x v="1"/>
    <x v="1"/>
    <n v="45"/>
    <x v="0"/>
    <x v="0"/>
    <s v="S"/>
    <x v="0"/>
    <x v="1"/>
    <x v="55"/>
    <x v="0"/>
    <n v="0"/>
    <n v="0"/>
    <x v="0"/>
    <s v="Alone"/>
    <x v="0"/>
    <s v="no"/>
  </r>
  <r>
    <s v="Lindeberg-Lind"/>
    <s v=" Mr"/>
    <s v=" Erik Gustaf"/>
    <x v="0"/>
    <x v="0"/>
    <n v="42"/>
    <x v="0"/>
    <x v="2"/>
    <s v="S"/>
    <x v="0"/>
    <x v="6"/>
    <x v="19"/>
    <x v="1"/>
    <n v="0"/>
    <n v="0"/>
    <x v="0"/>
    <s v="Alone"/>
    <x v="0"/>
    <s v="no"/>
  </r>
  <r>
    <s v="Lindell"/>
    <s v=" Mr"/>
    <s v=" Edvard Bengtsson"/>
    <x v="0"/>
    <x v="0"/>
    <n v="36"/>
    <x v="0"/>
    <x v="0"/>
    <s v="S"/>
    <x v="0"/>
    <x v="6"/>
    <x v="197"/>
    <x v="1"/>
    <n v="1"/>
    <n v="0"/>
    <x v="2"/>
    <s v="With Family"/>
    <x v="0"/>
    <s v="no"/>
  </r>
  <r>
    <s v="Lindell"/>
    <s v=" Mrs"/>
    <s v=" Elin Gerda"/>
    <x v="1"/>
    <x v="1"/>
    <n v="30"/>
    <x v="2"/>
    <x v="0"/>
    <s v="S"/>
    <x v="0"/>
    <x v="6"/>
    <x v="197"/>
    <x v="1"/>
    <n v="1"/>
    <n v="0"/>
    <x v="2"/>
    <s v="With Family"/>
    <x v="0"/>
    <s v="no"/>
  </r>
  <r>
    <s v="Lindqvist"/>
    <s v=" Mr"/>
    <s v=" Eino William"/>
    <x v="0"/>
    <x v="0"/>
    <n v="20"/>
    <x v="2"/>
    <x v="0"/>
    <s v="S"/>
    <x v="0"/>
    <x v="5"/>
    <x v="5"/>
    <x v="0"/>
    <n v="1"/>
    <n v="0"/>
    <x v="2"/>
    <s v="With Family"/>
    <x v="1"/>
    <s v="yes"/>
  </r>
  <r>
    <s v="LindstrÃ¶m"/>
    <s v=" Mrs"/>
    <s v=" Sigrid"/>
    <x v="1"/>
    <x v="1"/>
    <n v="55"/>
    <x v="0"/>
    <x v="2"/>
    <s v="C"/>
    <x v="1"/>
    <x v="6"/>
    <x v="68"/>
    <x v="1"/>
    <n v="0"/>
    <n v="0"/>
    <x v="0"/>
    <s v="Alone"/>
    <x v="1"/>
    <s v="yes"/>
  </r>
  <r>
    <s v="Linehan"/>
    <s v=" Mr"/>
    <s v=" Michael"/>
    <x v="0"/>
    <x v="0"/>
    <n v="21"/>
    <x v="2"/>
    <x v="0"/>
    <s v="Q"/>
    <x v="3"/>
    <x v="16"/>
    <x v="43"/>
    <x v="0"/>
    <n v="0"/>
    <n v="0"/>
    <x v="0"/>
    <s v="Alone"/>
    <x v="0"/>
    <s v="no"/>
  </r>
  <r>
    <s v="Lines"/>
    <s v=" Miss"/>
    <s v=" Mary Conover"/>
    <x v="1"/>
    <x v="1"/>
    <n v="16"/>
    <x v="1"/>
    <x v="2"/>
    <s v="C"/>
    <x v="1"/>
    <x v="3"/>
    <x v="198"/>
    <x v="3"/>
    <n v="0"/>
    <n v="1"/>
    <x v="2"/>
    <s v="With Family"/>
    <x v="1"/>
    <s v="yes"/>
  </r>
  <r>
    <s v="Lines"/>
    <s v=" Mrs"/>
    <s v=" Elizabeth Lindsey"/>
    <x v="1"/>
    <x v="1"/>
    <n v="50"/>
    <x v="0"/>
    <x v="2"/>
    <s v="C"/>
    <x v="1"/>
    <x v="0"/>
    <x v="198"/>
    <x v="3"/>
    <n v="0"/>
    <n v="1"/>
    <x v="2"/>
    <s v="With Family"/>
    <x v="1"/>
    <s v="yes"/>
  </r>
  <r>
    <s v="Lingane"/>
    <s v=" Mr"/>
    <s v=" John"/>
    <x v="0"/>
    <x v="0"/>
    <n v="61"/>
    <x v="4"/>
    <x v="1"/>
    <s v="Q"/>
    <x v="3"/>
    <x v="16"/>
    <x v="184"/>
    <x v="0"/>
    <n v="0"/>
    <n v="0"/>
    <x v="0"/>
    <s v="Alone"/>
    <x v="0"/>
    <s v="no"/>
  </r>
  <r>
    <s v="Ling"/>
    <s v=" Mr"/>
    <s v=" Lee"/>
    <x v="0"/>
    <x v="0"/>
    <n v="28"/>
    <x v="2"/>
    <x v="0"/>
    <s v="S"/>
    <x v="0"/>
    <x v="1"/>
    <x v="52"/>
    <x v="3"/>
    <n v="0"/>
    <n v="0"/>
    <x v="0"/>
    <s v="Alone"/>
    <x v="0"/>
    <s v="no"/>
  </r>
  <r>
    <s v="Linhart"/>
    <s v=" Mr"/>
    <s v=" Wenzel"/>
    <x v="0"/>
    <x v="0"/>
    <n v="27"/>
    <x v="2"/>
    <x v="0"/>
    <s v="S"/>
    <x v="0"/>
    <x v="38"/>
    <x v="110"/>
    <x v="0"/>
    <n v="0"/>
    <n v="0"/>
    <x v="0"/>
    <s v="Alone"/>
    <x v="0"/>
    <s v="no"/>
  </r>
  <r>
    <s v="Livshin"/>
    <s v=" Mr"/>
    <s v=" David"/>
    <x v="0"/>
    <x v="0"/>
    <n v="25"/>
    <x v="2"/>
    <x v="0"/>
    <s v="S"/>
    <x v="0"/>
    <x v="39"/>
    <x v="6"/>
    <x v="0"/>
    <n v="0"/>
    <n v="0"/>
    <x v="0"/>
    <s v="Alone"/>
    <x v="0"/>
    <s v="no"/>
  </r>
  <r>
    <s v="Lobb"/>
    <s v=" Mrs"/>
    <s v=" Cordelia"/>
    <x v="1"/>
    <x v="1"/>
    <n v="34"/>
    <x v="2"/>
    <x v="0"/>
    <s v="S"/>
    <x v="0"/>
    <x v="1"/>
    <x v="61"/>
    <x v="1"/>
    <n v="1"/>
    <n v="0"/>
    <x v="2"/>
    <s v="With Family"/>
    <x v="0"/>
    <s v="no"/>
  </r>
  <r>
    <s v="Lobb"/>
    <s v=" Mr"/>
    <s v=" William Arthur"/>
    <x v="0"/>
    <x v="0"/>
    <n v="31"/>
    <x v="2"/>
    <x v="0"/>
    <s v="S"/>
    <x v="0"/>
    <x v="1"/>
    <x v="61"/>
    <x v="1"/>
    <n v="1"/>
    <n v="0"/>
    <x v="2"/>
    <s v="With Family"/>
    <x v="0"/>
    <s v="no"/>
  </r>
  <r>
    <s v="Lockyer"/>
    <s v=" Mr"/>
    <s v=" Edward Thomas"/>
    <x v="0"/>
    <x v="0"/>
    <n v="19"/>
    <x v="2"/>
    <x v="0"/>
    <s v="S"/>
    <x v="0"/>
    <x v="1"/>
    <x v="43"/>
    <x v="0"/>
    <n v="0"/>
    <n v="0"/>
    <x v="0"/>
    <s v="Alone"/>
    <x v="0"/>
    <s v="no"/>
  </r>
  <r>
    <s v="Longley"/>
    <s v=" Miss"/>
    <s v=" Gretchen Fiske"/>
    <x v="1"/>
    <x v="1"/>
    <n v="21"/>
    <x v="2"/>
    <x v="2"/>
    <s v="C"/>
    <x v="1"/>
    <x v="0"/>
    <x v="24"/>
    <x v="3"/>
    <n v="0"/>
    <n v="0"/>
    <x v="0"/>
    <s v="Alone"/>
    <x v="1"/>
    <s v="yes"/>
  </r>
  <r>
    <s v="Long"/>
    <s v=" Mr"/>
    <s v=" Milton Clyde"/>
    <x v="0"/>
    <x v="0"/>
    <n v="29"/>
    <x v="2"/>
    <x v="2"/>
    <s v="S"/>
    <x v="0"/>
    <x v="0"/>
    <x v="42"/>
    <x v="1"/>
    <n v="0"/>
    <n v="0"/>
    <x v="0"/>
    <s v="Alone"/>
    <x v="0"/>
    <s v="no"/>
  </r>
  <r>
    <s v="Loring"/>
    <s v=" Mr"/>
    <s v=" Joseph Holland"/>
    <x v="0"/>
    <x v="0"/>
    <n v="30"/>
    <x v="2"/>
    <x v="2"/>
    <s v="S"/>
    <x v="0"/>
    <x v="0"/>
    <x v="199"/>
    <x v="3"/>
    <n v="0"/>
    <n v="0"/>
    <x v="0"/>
    <s v="Alone"/>
    <x v="0"/>
    <s v="no"/>
  </r>
  <r>
    <s v="Louch"/>
    <s v=" Mr"/>
    <s v=" Charles"/>
    <x v="0"/>
    <x v="0"/>
    <n v="50"/>
    <x v="0"/>
    <x v="1"/>
    <s v="S"/>
    <x v="0"/>
    <x v="1"/>
    <x v="27"/>
    <x v="1"/>
    <n v="1"/>
    <n v="0"/>
    <x v="2"/>
    <s v="With Family"/>
    <x v="0"/>
    <s v="no"/>
  </r>
  <r>
    <s v="Louch"/>
    <s v=" Mrs"/>
    <s v=" Alice Adelaide"/>
    <x v="1"/>
    <x v="1"/>
    <n v="43"/>
    <x v="0"/>
    <x v="1"/>
    <s v="S"/>
    <x v="0"/>
    <x v="1"/>
    <x v="27"/>
    <x v="1"/>
    <n v="1"/>
    <n v="0"/>
    <x v="2"/>
    <s v="With Family"/>
    <x v="1"/>
    <s v="yes"/>
  </r>
  <r>
    <s v="Lovell"/>
    <s v=" Mr"/>
    <s v=" John Hall"/>
    <x v="0"/>
    <x v="0"/>
    <n v="20"/>
    <x v="2"/>
    <x v="0"/>
    <s v="S"/>
    <x v="0"/>
    <x v="1"/>
    <x v="6"/>
    <x v="0"/>
    <n v="0"/>
    <n v="0"/>
    <x v="0"/>
    <s v="Alone"/>
    <x v="0"/>
    <s v="no"/>
  </r>
  <r>
    <s v="Lulic"/>
    <s v=" Mr"/>
    <s v=" Nikola"/>
    <x v="0"/>
    <x v="0"/>
    <n v="29"/>
    <x v="2"/>
    <x v="0"/>
    <s v="S"/>
    <x v="0"/>
    <x v="21"/>
    <x v="74"/>
    <x v="0"/>
    <n v="0"/>
    <n v="0"/>
    <x v="0"/>
    <s v="Alone"/>
    <x v="1"/>
    <s v="yes"/>
  </r>
  <r>
    <s v="Lundahl"/>
    <s v=" Mr"/>
    <s v=" Johan Svensson"/>
    <x v="0"/>
    <x v="0"/>
    <n v="50"/>
    <x v="0"/>
    <x v="0"/>
    <s v="S"/>
    <x v="0"/>
    <x v="6"/>
    <x v="172"/>
    <x v="0"/>
    <n v="0"/>
    <n v="0"/>
    <x v="0"/>
    <s v="Alone"/>
    <x v="0"/>
    <s v="no"/>
  </r>
  <r>
    <s v="Lundin"/>
    <s v=" Miss"/>
    <s v=" Olga Elida"/>
    <x v="1"/>
    <x v="1"/>
    <n v="23"/>
    <x v="2"/>
    <x v="0"/>
    <s v="S"/>
    <x v="0"/>
    <x v="0"/>
    <x v="17"/>
    <x v="0"/>
    <n v="0"/>
    <n v="0"/>
    <x v="0"/>
    <s v="Alone"/>
    <x v="1"/>
    <s v="yes"/>
  </r>
  <r>
    <s v="LundstrÃ¶m"/>
    <s v=" Mr"/>
    <s v=" Thure Edvin"/>
    <x v="0"/>
    <x v="0"/>
    <n v="32"/>
    <x v="2"/>
    <x v="0"/>
    <s v="S"/>
    <x v="0"/>
    <x v="6"/>
    <x v="200"/>
    <x v="0"/>
    <n v="0"/>
    <n v="0"/>
    <x v="0"/>
    <s v="Alone"/>
    <x v="1"/>
    <s v="yes"/>
  </r>
  <r>
    <s v="Lurette"/>
    <s v=" Miss"/>
    <s v=" EugÃ©nie Elise"/>
    <x v="1"/>
    <x v="1"/>
    <n v="59"/>
    <x v="4"/>
    <x v="2"/>
    <s v="C"/>
    <x v="1"/>
    <x v="3"/>
    <x v="201"/>
    <x v="2"/>
    <n v="0"/>
    <n v="0"/>
    <x v="0"/>
    <s v="Alone"/>
    <x v="1"/>
    <s v="yes"/>
  </r>
  <r>
    <s v="Lymperopoulus"/>
    <s v=" Mr"/>
    <s v=" Panagiotis K"/>
    <x v="0"/>
    <x v="0"/>
    <n v="30"/>
    <x v="2"/>
    <x v="0"/>
    <s v="C"/>
    <x v="1"/>
    <x v="35"/>
    <x v="202"/>
    <x v="0"/>
    <n v="0"/>
    <n v="0"/>
    <x v="0"/>
    <s v="Alone"/>
    <x v="0"/>
    <s v="no"/>
  </r>
  <r>
    <s v="Lyntakoff"/>
    <s v=" Mr"/>
    <s v=" Stanko"/>
    <x v="0"/>
    <x v="0"/>
    <n v="44"/>
    <x v="0"/>
    <x v="0"/>
    <s v="S"/>
    <x v="0"/>
    <x v="1"/>
    <x v="26"/>
    <x v="0"/>
    <n v="0"/>
    <n v="0"/>
    <x v="0"/>
    <s v="Alone"/>
    <x v="0"/>
    <s v="no"/>
  </r>
  <r>
    <s v="MacKay"/>
    <s v=" Mr"/>
    <s v=" George William"/>
    <x v="0"/>
    <x v="0"/>
    <n v="20"/>
    <x v="2"/>
    <x v="0"/>
    <s v="S"/>
    <x v="0"/>
    <x v="22"/>
    <x v="0"/>
    <x v="0"/>
    <n v="0"/>
    <n v="0"/>
    <x v="0"/>
    <s v="Alone"/>
    <x v="0"/>
    <s v="no"/>
  </r>
  <r>
    <s v="Mack"/>
    <s v=" Mrs"/>
    <s v=" Mary"/>
    <x v="1"/>
    <x v="1"/>
    <n v="57"/>
    <x v="4"/>
    <x v="1"/>
    <s v="S"/>
    <x v="0"/>
    <x v="1"/>
    <x v="23"/>
    <x v="0"/>
    <n v="0"/>
    <n v="0"/>
    <x v="0"/>
    <s v="Alone"/>
    <x v="0"/>
    <s v="no"/>
  </r>
  <r>
    <s v="Madigan"/>
    <s v=" Miss"/>
    <s v=" Margaret"/>
    <x v="1"/>
    <x v="1"/>
    <n v="21"/>
    <x v="2"/>
    <x v="0"/>
    <s v="Q"/>
    <x v="3"/>
    <x v="16"/>
    <x v="55"/>
    <x v="0"/>
    <n v="0"/>
    <n v="0"/>
    <x v="0"/>
    <s v="Alone"/>
    <x v="1"/>
    <s v="yes"/>
  </r>
  <r>
    <s v="Madill"/>
    <s v=" Miss"/>
    <s v=" Georgette Alexandra"/>
    <x v="1"/>
    <x v="1"/>
    <n v="16"/>
    <x v="1"/>
    <x v="2"/>
    <s v="S"/>
    <x v="0"/>
    <x v="0"/>
    <x v="188"/>
    <x v="2"/>
    <n v="0"/>
    <n v="1"/>
    <x v="2"/>
    <s v="With Family"/>
    <x v="1"/>
    <s v="yes"/>
  </r>
  <r>
    <s v="Madsen"/>
    <s v=" Mr"/>
    <s v=" Fridtjof Arne"/>
    <x v="0"/>
    <x v="0"/>
    <n v="24"/>
    <x v="2"/>
    <x v="0"/>
    <s v="S"/>
    <x v="0"/>
    <x v="2"/>
    <x v="203"/>
    <x v="0"/>
    <n v="0"/>
    <n v="0"/>
    <x v="0"/>
    <s v="Alone"/>
    <x v="1"/>
    <s v="yes"/>
  </r>
  <r>
    <s v="MÃ¤enpÃ¤Ã¤"/>
    <s v=" Mr"/>
    <s v=" Matti Alexanteri"/>
    <x v="0"/>
    <x v="0"/>
    <n v="22"/>
    <x v="2"/>
    <x v="0"/>
    <s v="S"/>
    <x v="0"/>
    <x v="5"/>
    <x v="180"/>
    <x v="0"/>
    <n v="0"/>
    <n v="0"/>
    <x v="0"/>
    <s v="Alone"/>
    <x v="0"/>
    <s v="no"/>
  </r>
  <r>
    <s v="Maguire"/>
    <s v=" Mr"/>
    <s v=" John Edward"/>
    <x v="0"/>
    <x v="0"/>
    <n v="30"/>
    <x v="2"/>
    <x v="2"/>
    <s v="S"/>
    <x v="0"/>
    <x v="0"/>
    <x v="27"/>
    <x v="1"/>
    <n v="0"/>
    <n v="0"/>
    <x v="0"/>
    <s v="Alone"/>
    <x v="0"/>
    <s v="no"/>
  </r>
  <r>
    <s v="Mahon"/>
    <s v=" Miss"/>
    <s v=" Bridget Delia"/>
    <x v="1"/>
    <x v="1"/>
    <n v="20"/>
    <x v="2"/>
    <x v="0"/>
    <s v="Q"/>
    <x v="3"/>
    <x v="16"/>
    <x v="43"/>
    <x v="0"/>
    <n v="0"/>
    <n v="0"/>
    <x v="0"/>
    <s v="Alone"/>
    <x v="0"/>
    <s v="no"/>
  </r>
  <r>
    <s v="Maioni"/>
    <s v=" Miss"/>
    <s v=" Roberta Elizabeth Mary"/>
    <x v="1"/>
    <x v="1"/>
    <n v="20"/>
    <x v="2"/>
    <x v="2"/>
    <s v="S"/>
    <x v="0"/>
    <x v="1"/>
    <x v="87"/>
    <x v="3"/>
    <n v="0"/>
    <n v="0"/>
    <x v="0"/>
    <s v="Alone"/>
    <x v="1"/>
    <s v="yes"/>
  </r>
  <r>
    <s v="Maisner"/>
    <s v=" Mr"/>
    <s v=" Simon"/>
    <x v="0"/>
    <x v="0"/>
    <n v="34"/>
    <x v="2"/>
    <x v="0"/>
    <s v="S"/>
    <x v="0"/>
    <x v="1"/>
    <x v="7"/>
    <x v="0"/>
    <n v="0"/>
    <n v="0"/>
    <x v="0"/>
    <s v="Alone"/>
    <x v="0"/>
    <s v="no"/>
  </r>
  <r>
    <s v="MÃ¤kinen"/>
    <s v=" Mr"/>
    <s v=" Kalle Edvard"/>
    <x v="0"/>
    <x v="0"/>
    <n v="29"/>
    <x v="2"/>
    <x v="0"/>
    <s v="S"/>
    <x v="0"/>
    <x v="5"/>
    <x v="5"/>
    <x v="0"/>
    <n v="0"/>
    <n v="0"/>
    <x v="0"/>
    <s v="Alone"/>
    <x v="0"/>
    <s v="no"/>
  </r>
  <r>
    <s v="Malachard"/>
    <s v=" Mr"/>
    <s v=" Jean-NoÃ«l"/>
    <x v="0"/>
    <x v="0"/>
    <n v="25"/>
    <x v="2"/>
    <x v="1"/>
    <s v="C"/>
    <x v="1"/>
    <x v="3"/>
    <x v="171"/>
    <x v="0"/>
    <n v="0"/>
    <n v="0"/>
    <x v="0"/>
    <s v="Alone"/>
    <x v="0"/>
    <s v="no"/>
  </r>
  <r>
    <s v="Mallet"/>
    <s v=" Master"/>
    <s v=" AndrÃ© Clement"/>
    <x v="0"/>
    <x v="0"/>
    <n v="1"/>
    <x v="3"/>
    <x v="1"/>
    <s v="C"/>
    <x v="1"/>
    <x v="3"/>
    <x v="204"/>
    <x v="3"/>
    <n v="0"/>
    <n v="2"/>
    <x v="1"/>
    <s v="With Family"/>
    <x v="1"/>
    <s v="yes"/>
  </r>
  <r>
    <s v="Mallet"/>
    <s v=" Mr"/>
    <s v=" Albert Denis Pierre"/>
    <x v="0"/>
    <x v="0"/>
    <n v="45"/>
    <x v="0"/>
    <x v="1"/>
    <s v="C"/>
    <x v="1"/>
    <x v="3"/>
    <x v="204"/>
    <x v="3"/>
    <n v="1"/>
    <n v="1"/>
    <x v="1"/>
    <s v="With Family"/>
    <x v="0"/>
    <s v="no"/>
  </r>
  <r>
    <s v="Mallet"/>
    <s v=" Mrs"/>
    <s v=" Antonine Marie"/>
    <x v="1"/>
    <x v="1"/>
    <n v="24"/>
    <x v="2"/>
    <x v="1"/>
    <s v="C"/>
    <x v="1"/>
    <x v="3"/>
    <x v="204"/>
    <x v="3"/>
    <n v="1"/>
    <n v="1"/>
    <x v="1"/>
    <s v="With Family"/>
    <x v="1"/>
    <s v="yes"/>
  </r>
  <r>
    <s v="MÄmÄ"/>
    <s v=" Mr"/>
    <s v=" HannÄ MikÄ'Ä«l"/>
    <x v="0"/>
    <x v="0"/>
    <n v="18"/>
    <x v="2"/>
    <x v="0"/>
    <s v="C"/>
    <x v="1"/>
    <x v="4"/>
    <x v="16"/>
    <x v="0"/>
    <n v="0"/>
    <n v="0"/>
    <x v="0"/>
    <s v="Alone"/>
    <x v="1"/>
    <s v="yes"/>
  </r>
  <r>
    <s v="Mangan"/>
    <s v=" Miss"/>
    <s v=" Mary"/>
    <x v="1"/>
    <x v="1"/>
    <n v="32"/>
    <x v="2"/>
    <x v="0"/>
    <s v="Q"/>
    <x v="3"/>
    <x v="16"/>
    <x v="55"/>
    <x v="0"/>
    <n v="0"/>
    <n v="0"/>
    <x v="0"/>
    <s v="Alone"/>
    <x v="0"/>
    <s v="no"/>
  </r>
  <r>
    <s v="Mangiavacchi"/>
    <s v=" Mr"/>
    <s v=" Serafino Emilio"/>
    <x v="0"/>
    <x v="0"/>
    <n v="30"/>
    <x v="2"/>
    <x v="1"/>
    <s v="C"/>
    <x v="1"/>
    <x v="0"/>
    <x v="205"/>
    <x v="1"/>
    <n v="0"/>
    <n v="0"/>
    <x v="0"/>
    <s v="Alone"/>
    <x v="0"/>
    <s v="no"/>
  </r>
  <r>
    <s v="Mannion"/>
    <s v=" Miss"/>
    <s v=" Margaret"/>
    <x v="1"/>
    <x v="1"/>
    <n v="28"/>
    <x v="2"/>
    <x v="0"/>
    <s v="Q"/>
    <x v="3"/>
    <x v="16"/>
    <x v="185"/>
    <x v="0"/>
    <n v="0"/>
    <n v="0"/>
    <x v="0"/>
    <s v="Alone"/>
    <x v="1"/>
    <s v="yes"/>
  </r>
  <r>
    <s v="Mardirosian"/>
    <s v=" Mr"/>
    <s v=" Sarkis"/>
    <x v="0"/>
    <x v="0"/>
    <n v="25"/>
    <x v="2"/>
    <x v="0"/>
    <s v="C"/>
    <x v="1"/>
    <x v="36"/>
    <x v="16"/>
    <x v="0"/>
    <n v="0"/>
    <n v="0"/>
    <x v="0"/>
    <s v="Alone"/>
    <x v="0"/>
    <s v="no"/>
  </r>
  <r>
    <s v="MarÃ©chal"/>
    <s v=" Mr"/>
    <s v=" Pierre"/>
    <x v="0"/>
    <x v="0"/>
    <n v="29"/>
    <x v="2"/>
    <x v="2"/>
    <s v="C"/>
    <x v="1"/>
    <x v="3"/>
    <x v="88"/>
    <x v="1"/>
    <n v="0"/>
    <n v="0"/>
    <x v="0"/>
    <s v="Alone"/>
    <x v="1"/>
    <s v="yes"/>
  </r>
  <r>
    <s v="Marinko"/>
    <s v=" Mr"/>
    <s v=" Dmitri"/>
    <x v="0"/>
    <x v="0"/>
    <n v="23"/>
    <x v="2"/>
    <x v="0"/>
    <s v="S"/>
    <x v="0"/>
    <x v="40"/>
    <x v="26"/>
    <x v="0"/>
    <n v="0"/>
    <n v="0"/>
    <x v="0"/>
    <s v="Alone"/>
    <x v="0"/>
    <s v="no"/>
  </r>
  <r>
    <s v="Markoff"/>
    <s v=" Mr"/>
    <s v=" Marin"/>
    <x v="0"/>
    <x v="0"/>
    <n v="35"/>
    <x v="2"/>
    <x v="0"/>
    <s v="S"/>
    <x v="0"/>
    <x v="11"/>
    <x v="26"/>
    <x v="0"/>
    <n v="0"/>
    <n v="0"/>
    <x v="0"/>
    <s v="Alone"/>
    <x v="0"/>
    <s v="no"/>
  </r>
  <r>
    <s v="Markun"/>
    <s v=" Mr"/>
    <s v=" Johann"/>
    <x v="0"/>
    <x v="0"/>
    <n v="33"/>
    <x v="2"/>
    <x v="0"/>
    <s v="C"/>
    <x v="1"/>
    <x v="34"/>
    <x v="26"/>
    <x v="0"/>
    <n v="0"/>
    <n v="0"/>
    <x v="0"/>
    <s v="Alone"/>
    <x v="0"/>
    <s v="no"/>
  </r>
  <r>
    <s v="Marvin"/>
    <s v=" Mr"/>
    <s v=" Daniel Warner"/>
    <x v="0"/>
    <x v="0"/>
    <n v="18"/>
    <x v="2"/>
    <x v="2"/>
    <s v="S"/>
    <x v="0"/>
    <x v="0"/>
    <x v="84"/>
    <x v="3"/>
    <n v="1"/>
    <n v="0"/>
    <x v="2"/>
    <s v="With Family"/>
    <x v="0"/>
    <s v="no"/>
  </r>
  <r>
    <s v="Marvin"/>
    <s v=" Mrs"/>
    <s v=" Mary Graham Carmichael"/>
    <x v="1"/>
    <x v="1"/>
    <n v="18"/>
    <x v="2"/>
    <x v="2"/>
    <s v="S"/>
    <x v="0"/>
    <x v="22"/>
    <x v="84"/>
    <x v="3"/>
    <n v="1"/>
    <n v="0"/>
    <x v="2"/>
    <s v="With Family"/>
    <x v="1"/>
    <s v="yes"/>
  </r>
  <r>
    <s v="Matinoff"/>
    <s v=" Mr"/>
    <s v=" Nicola"/>
    <x v="0"/>
    <x v="0"/>
    <n v="30"/>
    <x v="2"/>
    <x v="0"/>
    <s v="C"/>
    <x v="1"/>
    <x v="11"/>
    <x v="26"/>
    <x v="0"/>
    <n v="0"/>
    <n v="0"/>
    <x v="0"/>
    <s v="Alone"/>
    <x v="0"/>
    <s v="no"/>
  </r>
  <r>
    <s v="Matthews"/>
    <s v=" Mr"/>
    <s v=" William John"/>
    <x v="0"/>
    <x v="0"/>
    <n v="23"/>
    <x v="2"/>
    <x v="1"/>
    <s v="S"/>
    <x v="0"/>
    <x v="1"/>
    <x v="10"/>
    <x v="0"/>
    <n v="0"/>
    <n v="0"/>
    <x v="0"/>
    <s v="Alone"/>
    <x v="0"/>
    <s v="no"/>
  </r>
  <r>
    <s v="Maybery"/>
    <s v=" Mr"/>
    <s v=" Frank Hubert"/>
    <x v="0"/>
    <x v="0"/>
    <n v="36"/>
    <x v="0"/>
    <x v="1"/>
    <s v="S"/>
    <x v="0"/>
    <x v="1"/>
    <x v="160"/>
    <x v="1"/>
    <n v="0"/>
    <n v="0"/>
    <x v="0"/>
    <s v="Alone"/>
    <x v="0"/>
    <s v="no"/>
  </r>
  <r>
    <s v="MaynÃ©"/>
    <s v=" Mlle"/>
    <s v=" Berthe Antonine"/>
    <x v="1"/>
    <x v="1"/>
    <n v="24"/>
    <x v="2"/>
    <x v="2"/>
    <s v="C"/>
    <x v="1"/>
    <x v="25"/>
    <x v="30"/>
    <x v="3"/>
    <n v="0"/>
    <n v="0"/>
    <x v="0"/>
    <s v="Alone"/>
    <x v="1"/>
    <s v="yes"/>
  </r>
  <r>
    <s v="McCaffry"/>
    <s v=" Mr"/>
    <s v=" Thomas Francis"/>
    <x v="0"/>
    <x v="0"/>
    <n v="46"/>
    <x v="0"/>
    <x v="2"/>
    <s v="S"/>
    <x v="0"/>
    <x v="8"/>
    <x v="48"/>
    <x v="3"/>
    <n v="0"/>
    <n v="0"/>
    <x v="0"/>
    <s v="Alone"/>
    <x v="0"/>
    <s v="no"/>
  </r>
  <r>
    <s v="McCarthy"/>
    <s v=" Miss"/>
    <s v=" Catherine"/>
    <x v="1"/>
    <x v="1"/>
    <n v="25"/>
    <x v="2"/>
    <x v="0"/>
    <s v="Q"/>
    <x v="3"/>
    <x v="16"/>
    <x v="55"/>
    <x v="0"/>
    <n v="0"/>
    <n v="0"/>
    <x v="0"/>
    <s v="Alone"/>
    <x v="1"/>
    <s v="yes"/>
  </r>
  <r>
    <s v="McCarthy"/>
    <s v=" Mr"/>
    <s v=" Timothy J"/>
    <x v="0"/>
    <x v="0"/>
    <n v="55"/>
    <x v="0"/>
    <x v="2"/>
    <s v="S"/>
    <x v="0"/>
    <x v="0"/>
    <x v="161"/>
    <x v="3"/>
    <n v="0"/>
    <n v="0"/>
    <x v="0"/>
    <s v="Alone"/>
    <x v="0"/>
    <s v="no"/>
  </r>
  <r>
    <s v="McCormack"/>
    <s v=" Mr"/>
    <s v=" Thomas Joseph"/>
    <x v="0"/>
    <x v="0"/>
    <n v="19"/>
    <x v="2"/>
    <x v="0"/>
    <s v="Q"/>
    <x v="3"/>
    <x v="0"/>
    <x v="55"/>
    <x v="0"/>
    <n v="0"/>
    <n v="0"/>
    <x v="0"/>
    <s v="Alone"/>
    <x v="1"/>
    <s v="yes"/>
  </r>
  <r>
    <s v="McCoy"/>
    <s v=" Miss"/>
    <s v=" Agnes"/>
    <x v="1"/>
    <x v="1"/>
    <n v="29"/>
    <x v="2"/>
    <x v="0"/>
    <s v="Q"/>
    <x v="3"/>
    <x v="16"/>
    <x v="206"/>
    <x v="1"/>
    <n v="2"/>
    <n v="0"/>
    <x v="1"/>
    <s v="With Family"/>
    <x v="1"/>
    <s v="yes"/>
  </r>
  <r>
    <s v="McCoy"/>
    <s v=" Miss"/>
    <s v=" Alice"/>
    <x v="1"/>
    <x v="1"/>
    <n v="26"/>
    <x v="2"/>
    <x v="0"/>
    <s v="Q"/>
    <x v="3"/>
    <x v="16"/>
    <x v="206"/>
    <x v="1"/>
    <n v="2"/>
    <n v="0"/>
    <x v="1"/>
    <s v="With Family"/>
    <x v="1"/>
    <s v="yes"/>
  </r>
  <r>
    <s v="McCoy"/>
    <s v=" Mr"/>
    <s v=" Bernard"/>
    <x v="0"/>
    <x v="0"/>
    <n v="24"/>
    <x v="2"/>
    <x v="0"/>
    <s v="Q"/>
    <x v="3"/>
    <x v="16"/>
    <x v="206"/>
    <x v="1"/>
    <n v="2"/>
    <n v="0"/>
    <x v="1"/>
    <s v="With Family"/>
    <x v="1"/>
    <s v="yes"/>
  </r>
  <r>
    <s v="McCrae"/>
    <s v=" Mr"/>
    <s v=" Arthur Gordon"/>
    <x v="0"/>
    <x v="0"/>
    <n v="32"/>
    <x v="2"/>
    <x v="1"/>
    <s v="S"/>
    <x v="0"/>
    <x v="27"/>
    <x v="85"/>
    <x v="0"/>
    <n v="0"/>
    <n v="0"/>
    <x v="0"/>
    <s v="Alone"/>
    <x v="0"/>
    <s v="no"/>
  </r>
  <r>
    <s v="McCrie"/>
    <s v=" Mr"/>
    <s v=" James Matthew"/>
    <x v="0"/>
    <x v="0"/>
    <n v="32"/>
    <x v="2"/>
    <x v="1"/>
    <s v="S"/>
    <x v="0"/>
    <x v="8"/>
    <x v="10"/>
    <x v="0"/>
    <n v="0"/>
    <n v="0"/>
    <x v="0"/>
    <s v="Alone"/>
    <x v="0"/>
    <s v="no"/>
  </r>
  <r>
    <s v="McDermott"/>
    <s v=" Miss"/>
    <s v=" Bridget Delia"/>
    <x v="1"/>
    <x v="1"/>
    <n v="31"/>
    <x v="2"/>
    <x v="0"/>
    <s v="Q"/>
    <x v="3"/>
    <x v="16"/>
    <x v="207"/>
    <x v="0"/>
    <n v="0"/>
    <n v="0"/>
    <x v="0"/>
    <s v="Alone"/>
    <x v="1"/>
    <s v="yes"/>
  </r>
  <r>
    <s v="McEvoy"/>
    <s v=" Mr"/>
    <s v=" Michael"/>
    <x v="0"/>
    <x v="0"/>
    <n v="20"/>
    <x v="2"/>
    <x v="0"/>
    <s v="Q"/>
    <x v="3"/>
    <x v="16"/>
    <x v="59"/>
    <x v="1"/>
    <n v="0"/>
    <n v="0"/>
    <x v="0"/>
    <s v="Alone"/>
    <x v="0"/>
    <s v="no"/>
  </r>
  <r>
    <s v="McGough"/>
    <s v=" Mr"/>
    <s v=" James Robert"/>
    <x v="0"/>
    <x v="0"/>
    <n v="35"/>
    <x v="2"/>
    <x v="2"/>
    <s v="S"/>
    <x v="0"/>
    <x v="16"/>
    <x v="75"/>
    <x v="1"/>
    <n v="0"/>
    <n v="0"/>
    <x v="0"/>
    <s v="Alone"/>
    <x v="1"/>
    <s v="yes"/>
  </r>
  <r>
    <s v="McGovern"/>
    <s v=" Ms"/>
    <s v=" Mary"/>
    <x v="1"/>
    <x v="1"/>
    <n v="22"/>
    <x v="2"/>
    <x v="0"/>
    <s v="Q"/>
    <x v="3"/>
    <x v="16"/>
    <x v="43"/>
    <x v="0"/>
    <n v="0"/>
    <n v="0"/>
    <x v="0"/>
    <s v="Alone"/>
    <x v="1"/>
    <s v="yes"/>
  </r>
  <r>
    <s v="McGowan"/>
    <s v=" Miss"/>
    <s v=" Anna Louise"/>
    <x v="1"/>
    <x v="1"/>
    <n v="17"/>
    <x v="1"/>
    <x v="0"/>
    <s v="Q"/>
    <x v="3"/>
    <x v="0"/>
    <x v="208"/>
    <x v="0"/>
    <n v="0"/>
    <n v="0"/>
    <x v="0"/>
    <s v="Alone"/>
    <x v="1"/>
    <s v="yes"/>
  </r>
  <r>
    <s v="McGowan"/>
    <s v=" Miss"/>
    <s v=" Catherine"/>
    <x v="1"/>
    <x v="1"/>
    <n v="42"/>
    <x v="0"/>
    <x v="0"/>
    <s v="Q"/>
    <x v="3"/>
    <x v="16"/>
    <x v="55"/>
    <x v="0"/>
    <n v="0"/>
    <n v="0"/>
    <x v="0"/>
    <s v="Alone"/>
    <x v="0"/>
    <s v="no"/>
  </r>
  <r>
    <s v="McKane"/>
    <s v=" Mr"/>
    <s v=" Peter Daniel"/>
    <x v="0"/>
    <x v="0"/>
    <n v="46"/>
    <x v="0"/>
    <x v="1"/>
    <s v="S"/>
    <x v="0"/>
    <x v="13"/>
    <x v="27"/>
    <x v="1"/>
    <n v="0"/>
    <n v="0"/>
    <x v="0"/>
    <s v="Alone"/>
    <x v="0"/>
    <s v="no"/>
  </r>
  <r>
    <s v="McMahon"/>
    <s v=" Mr"/>
    <s v=" Martin"/>
    <x v="0"/>
    <x v="0"/>
    <n v="19"/>
    <x v="2"/>
    <x v="0"/>
    <s v="Q"/>
    <x v="3"/>
    <x v="16"/>
    <x v="55"/>
    <x v="0"/>
    <n v="0"/>
    <n v="0"/>
    <x v="0"/>
    <s v="Alone"/>
    <x v="0"/>
    <s v="no"/>
  </r>
  <r>
    <s v="McNamee"/>
    <s v=" Mr"/>
    <s v=" Neal"/>
    <x v="0"/>
    <x v="0"/>
    <n v="27"/>
    <x v="2"/>
    <x v="0"/>
    <s v="S"/>
    <x v="0"/>
    <x v="1"/>
    <x v="61"/>
    <x v="1"/>
    <n v="1"/>
    <n v="0"/>
    <x v="2"/>
    <s v="With Family"/>
    <x v="0"/>
    <s v="no"/>
  </r>
  <r>
    <s v="McNamee"/>
    <s v=" Mrs"/>
    <s v=" Eileen"/>
    <x v="1"/>
    <x v="1"/>
    <n v="19"/>
    <x v="2"/>
    <x v="0"/>
    <s v="S"/>
    <x v="0"/>
    <x v="1"/>
    <x v="61"/>
    <x v="1"/>
    <n v="1"/>
    <n v="0"/>
    <x v="2"/>
    <s v="With Family"/>
    <x v="0"/>
    <s v="no"/>
  </r>
  <r>
    <s v="McNeill"/>
    <s v=" Miss"/>
    <s v=" Bridget"/>
    <x v="1"/>
    <x v="1"/>
    <n v="32"/>
    <x v="2"/>
    <x v="0"/>
    <s v="Q"/>
    <x v="3"/>
    <x v="16"/>
    <x v="55"/>
    <x v="0"/>
    <n v="0"/>
    <n v="0"/>
    <x v="0"/>
    <s v="Alone"/>
    <x v="0"/>
    <s v="no"/>
  </r>
  <r>
    <s v="Meanwell"/>
    <s v=" Mrs"/>
    <s v=" Marian"/>
    <x v="1"/>
    <x v="1"/>
    <n v="62"/>
    <x v="4"/>
    <x v="0"/>
    <s v="S"/>
    <x v="0"/>
    <x v="1"/>
    <x v="7"/>
    <x v="0"/>
    <n v="0"/>
    <n v="0"/>
    <x v="0"/>
    <s v="Alone"/>
    <x v="0"/>
    <s v="no"/>
  </r>
  <r>
    <s v="Meehan"/>
    <s v=" Mr"/>
    <s v=" John"/>
    <x v="0"/>
    <x v="0"/>
    <n v="22"/>
    <x v="2"/>
    <x v="0"/>
    <s v="Q"/>
    <x v="3"/>
    <x v="16"/>
    <x v="55"/>
    <x v="0"/>
    <n v="0"/>
    <n v="0"/>
    <x v="0"/>
    <s v="Alone"/>
    <x v="0"/>
    <s v="no"/>
  </r>
  <r>
    <s v="Meek"/>
    <s v=" Mrs"/>
    <s v=" Annie Louisa"/>
    <x v="1"/>
    <x v="1"/>
    <n v="32"/>
    <x v="2"/>
    <x v="0"/>
    <s v="S"/>
    <x v="0"/>
    <x v="1"/>
    <x v="7"/>
    <x v="0"/>
    <n v="0"/>
    <n v="0"/>
    <x v="0"/>
    <s v="Alone"/>
    <x v="0"/>
    <s v="no"/>
  </r>
  <r>
    <s v="Mellinger"/>
    <s v=" Miss"/>
    <s v=" Violet Madeline"/>
    <x v="1"/>
    <x v="1"/>
    <n v="13"/>
    <x v="1"/>
    <x v="1"/>
    <s v="S"/>
    <x v="0"/>
    <x v="1"/>
    <x v="209"/>
    <x v="1"/>
    <n v="0"/>
    <n v="1"/>
    <x v="2"/>
    <s v="With Family"/>
    <x v="1"/>
    <s v="yes"/>
  </r>
  <r>
    <s v="Mellinger"/>
    <s v=" Mrs"/>
    <s v=" Elizabeth Anne"/>
    <x v="1"/>
    <x v="1"/>
    <n v="42"/>
    <x v="0"/>
    <x v="1"/>
    <s v="S"/>
    <x v="0"/>
    <x v="1"/>
    <x v="209"/>
    <x v="1"/>
    <n v="0"/>
    <n v="1"/>
    <x v="2"/>
    <s v="With Family"/>
    <x v="1"/>
    <s v="yes"/>
  </r>
  <r>
    <s v="Mellors"/>
    <s v=" Mr"/>
    <s v=" William John"/>
    <x v="0"/>
    <x v="0"/>
    <n v="19"/>
    <x v="2"/>
    <x v="1"/>
    <s v="S"/>
    <x v="0"/>
    <x v="1"/>
    <x v="23"/>
    <x v="0"/>
    <n v="0"/>
    <n v="0"/>
    <x v="0"/>
    <s v="Alone"/>
    <x v="1"/>
    <s v="yes"/>
  </r>
  <r>
    <s v="Meo (Martino)"/>
    <s v=" Mr"/>
    <s v=" Alfonzo"/>
    <x v="0"/>
    <x v="0"/>
    <n v="48"/>
    <x v="0"/>
    <x v="0"/>
    <s v="S"/>
    <x v="0"/>
    <x v="17"/>
    <x v="7"/>
    <x v="0"/>
    <n v="0"/>
    <n v="0"/>
    <x v="0"/>
    <s v="Alone"/>
    <x v="0"/>
    <s v="no"/>
  </r>
  <r>
    <s v="Mernagh"/>
    <s v=" Mr"/>
    <s v=" Robert"/>
    <x v="0"/>
    <x v="0"/>
    <n v="28"/>
    <x v="2"/>
    <x v="0"/>
    <s v="Q"/>
    <x v="3"/>
    <x v="16"/>
    <x v="55"/>
    <x v="0"/>
    <n v="0"/>
    <n v="0"/>
    <x v="0"/>
    <s v="Alone"/>
    <x v="0"/>
    <s v="no"/>
  </r>
  <r>
    <s v="Meyer"/>
    <s v=" Mr"/>
    <s v=" August"/>
    <x v="0"/>
    <x v="0"/>
    <n v="31"/>
    <x v="2"/>
    <x v="1"/>
    <s v="S"/>
    <x v="0"/>
    <x v="1"/>
    <x v="10"/>
    <x v="0"/>
    <n v="0"/>
    <n v="0"/>
    <x v="0"/>
    <s v="Alone"/>
    <x v="0"/>
    <s v="no"/>
  </r>
  <r>
    <s v="Meyer"/>
    <s v=" Mr"/>
    <s v=" Edgar Joseph"/>
    <x v="0"/>
    <x v="0"/>
    <n v="28"/>
    <x v="2"/>
    <x v="2"/>
    <s v="C"/>
    <x v="1"/>
    <x v="0"/>
    <x v="210"/>
    <x v="3"/>
    <n v="1"/>
    <n v="0"/>
    <x v="2"/>
    <s v="With Family"/>
    <x v="0"/>
    <s v="no"/>
  </r>
  <r>
    <s v="Meyer"/>
    <s v=" Mrs"/>
    <s v=" Leila"/>
    <x v="1"/>
    <x v="1"/>
    <n v="25"/>
    <x v="2"/>
    <x v="2"/>
    <s v="C"/>
    <x v="1"/>
    <x v="0"/>
    <x v="210"/>
    <x v="3"/>
    <n v="1"/>
    <n v="0"/>
    <x v="2"/>
    <s v="With Family"/>
    <x v="1"/>
    <s v="yes"/>
  </r>
  <r>
    <s v="MidtsjÃ¸"/>
    <s v=" Mr"/>
    <s v=" Karl Albert"/>
    <x v="0"/>
    <x v="0"/>
    <n v="21"/>
    <x v="2"/>
    <x v="0"/>
    <s v="S"/>
    <x v="0"/>
    <x v="2"/>
    <x v="21"/>
    <x v="0"/>
    <n v="0"/>
    <n v="0"/>
    <x v="0"/>
    <s v="Alone"/>
    <x v="1"/>
    <s v="yes"/>
  </r>
  <r>
    <s v="Mihoff"/>
    <s v=" Mr"/>
    <s v=" Stoytcho"/>
    <x v="0"/>
    <x v="0"/>
    <n v="28"/>
    <x v="2"/>
    <x v="0"/>
    <s v="S"/>
    <x v="0"/>
    <x v="11"/>
    <x v="26"/>
    <x v="0"/>
    <n v="0"/>
    <n v="0"/>
    <x v="0"/>
    <s v="Alone"/>
    <x v="0"/>
    <s v="no"/>
  </r>
  <r>
    <s v="Miles"/>
    <s v=" Mr"/>
    <s v=" Frank"/>
    <x v="0"/>
    <x v="0"/>
    <n v="23"/>
    <x v="2"/>
    <x v="0"/>
    <s v="S"/>
    <x v="0"/>
    <x v="1"/>
    <x v="7"/>
    <x v="0"/>
    <n v="0"/>
    <n v="0"/>
    <x v="0"/>
    <s v="Alone"/>
    <x v="0"/>
    <s v="no"/>
  </r>
  <r>
    <s v="Millet"/>
    <s v=" Mr"/>
    <s v=" Francis Davis"/>
    <x v="0"/>
    <x v="0"/>
    <n v="65"/>
    <x v="4"/>
    <x v="2"/>
    <s v="C"/>
    <x v="1"/>
    <x v="0"/>
    <x v="19"/>
    <x v="1"/>
    <n v="0"/>
    <n v="0"/>
    <x v="0"/>
    <s v="Alone"/>
    <x v="0"/>
    <s v="no"/>
  </r>
  <r>
    <s v="Milling"/>
    <s v=" Mr"/>
    <s v=" Jacob Christian"/>
    <x v="0"/>
    <x v="0"/>
    <n v="48"/>
    <x v="0"/>
    <x v="1"/>
    <s v="S"/>
    <x v="0"/>
    <x v="9"/>
    <x v="10"/>
    <x v="0"/>
    <n v="0"/>
    <n v="0"/>
    <x v="0"/>
    <s v="Alone"/>
    <x v="0"/>
    <s v="no"/>
  </r>
  <r>
    <s v="Minahan"/>
    <s v=" Dr"/>
    <s v=" William Edward"/>
    <x v="0"/>
    <x v="0"/>
    <n v="44"/>
    <x v="0"/>
    <x v="2"/>
    <s v="Q"/>
    <x v="3"/>
    <x v="0"/>
    <x v="211"/>
    <x v="3"/>
    <n v="2"/>
    <n v="0"/>
    <x v="1"/>
    <s v="With Family"/>
    <x v="0"/>
    <s v="no"/>
  </r>
  <r>
    <s v="Minahan"/>
    <s v=" Miss"/>
    <s v=" Daisy E"/>
    <x v="1"/>
    <x v="1"/>
    <n v="33"/>
    <x v="2"/>
    <x v="2"/>
    <s v="Q"/>
    <x v="3"/>
    <x v="0"/>
    <x v="211"/>
    <x v="3"/>
    <n v="1"/>
    <n v="0"/>
    <x v="2"/>
    <s v="With Family"/>
    <x v="1"/>
    <s v="yes"/>
  </r>
  <r>
    <s v="Minahan"/>
    <s v=" Mrs"/>
    <s v=" Lillian E"/>
    <x v="1"/>
    <x v="1"/>
    <n v="37"/>
    <x v="0"/>
    <x v="2"/>
    <s v="Q"/>
    <x v="3"/>
    <x v="0"/>
    <x v="211"/>
    <x v="3"/>
    <n v="1"/>
    <n v="0"/>
    <x v="2"/>
    <s v="With Family"/>
    <x v="1"/>
    <s v="yes"/>
  </r>
  <r>
    <s v="Mineff"/>
    <s v=" Mr"/>
    <s v=" Ivan"/>
    <x v="0"/>
    <x v="0"/>
    <n v="24"/>
    <x v="2"/>
    <x v="0"/>
    <s v="S"/>
    <x v="0"/>
    <x v="1"/>
    <x v="26"/>
    <x v="0"/>
    <n v="0"/>
    <n v="0"/>
    <x v="0"/>
    <s v="Alone"/>
    <x v="0"/>
    <s v="no"/>
  </r>
  <r>
    <s v="Minkoff"/>
    <s v=" Mr"/>
    <s v=" Lazar"/>
    <x v="0"/>
    <x v="0"/>
    <n v="21"/>
    <x v="2"/>
    <x v="0"/>
    <s v="S"/>
    <x v="0"/>
    <x v="11"/>
    <x v="26"/>
    <x v="0"/>
    <n v="0"/>
    <n v="0"/>
    <x v="0"/>
    <s v="Alone"/>
    <x v="0"/>
    <s v="no"/>
  </r>
  <r>
    <s v="Mitchell"/>
    <s v=" Mr"/>
    <s v=" Henry Michael"/>
    <x v="0"/>
    <x v="0"/>
    <n v="72"/>
    <x v="4"/>
    <x v="1"/>
    <s v="S"/>
    <x v="0"/>
    <x v="1"/>
    <x v="23"/>
    <x v="0"/>
    <n v="0"/>
    <n v="0"/>
    <x v="0"/>
    <s v="Alone"/>
    <x v="0"/>
    <s v="no"/>
  </r>
  <r>
    <s v="Mitkoff"/>
    <s v=" Mr"/>
    <s v=" Mito"/>
    <x v="0"/>
    <x v="0"/>
    <n v="23"/>
    <x v="2"/>
    <x v="0"/>
    <s v="S"/>
    <x v="0"/>
    <x v="1"/>
    <x v="26"/>
    <x v="0"/>
    <n v="0"/>
    <n v="0"/>
    <x v="0"/>
    <s v="Alone"/>
    <x v="0"/>
    <s v="no"/>
  </r>
  <r>
    <s v="Mockler"/>
    <s v=" Miss"/>
    <s v=" Ellen Mary"/>
    <x v="1"/>
    <x v="1"/>
    <n v="23"/>
    <x v="2"/>
    <x v="0"/>
    <s v="Q"/>
    <x v="3"/>
    <x v="16"/>
    <x v="43"/>
    <x v="0"/>
    <n v="0"/>
    <n v="0"/>
    <x v="0"/>
    <s v="Alone"/>
    <x v="1"/>
    <s v="yes"/>
  </r>
  <r>
    <s v="Mock"/>
    <s v=" Mr"/>
    <s v=" Philipp Edmund"/>
    <x v="0"/>
    <x v="0"/>
    <n v="30"/>
    <x v="2"/>
    <x v="2"/>
    <s v="C"/>
    <x v="1"/>
    <x v="0"/>
    <x v="212"/>
    <x v="3"/>
    <n v="1"/>
    <n v="0"/>
    <x v="2"/>
    <s v="With Family"/>
    <x v="1"/>
    <s v="yes"/>
  </r>
  <r>
    <s v="Moen"/>
    <s v=" Mr"/>
    <s v=" Sigurd Hansen"/>
    <x v="0"/>
    <x v="0"/>
    <n v="27"/>
    <x v="2"/>
    <x v="0"/>
    <s v="S"/>
    <x v="0"/>
    <x v="2"/>
    <x v="2"/>
    <x v="0"/>
    <n v="0"/>
    <n v="0"/>
    <x v="0"/>
    <s v="Alone"/>
    <x v="0"/>
    <s v="no"/>
  </r>
  <r>
    <s v="Molson"/>
    <s v=" Mr"/>
    <s v=" Harry Markland"/>
    <x v="0"/>
    <x v="0"/>
    <n v="55"/>
    <x v="0"/>
    <x v="2"/>
    <s v="S"/>
    <x v="0"/>
    <x v="8"/>
    <x v="64"/>
    <x v="1"/>
    <n v="0"/>
    <n v="0"/>
    <x v="0"/>
    <s v="Alone"/>
    <x v="0"/>
    <s v="no"/>
  </r>
  <r>
    <s v="Montvila"/>
    <s v=" Fr"/>
    <s v=" Juozas"/>
    <x v="0"/>
    <x v="0"/>
    <n v="27"/>
    <x v="2"/>
    <x v="1"/>
    <s v="S"/>
    <x v="0"/>
    <x v="1"/>
    <x v="10"/>
    <x v="0"/>
    <n v="0"/>
    <n v="0"/>
    <x v="0"/>
    <s v="Alone"/>
    <x v="0"/>
    <s v="no"/>
  </r>
  <r>
    <s v="Moore"/>
    <s v=" Mr"/>
    <s v=" Clarence Bloomfield"/>
    <x v="0"/>
    <x v="0"/>
    <n v="47"/>
    <x v="0"/>
    <x v="2"/>
    <s v="S"/>
    <x v="0"/>
    <x v="0"/>
    <x v="153"/>
    <x v="3"/>
    <n v="0"/>
    <n v="0"/>
    <x v="0"/>
    <s v="Alone"/>
    <x v="0"/>
    <s v="no"/>
  </r>
  <r>
    <s v="Moore"/>
    <s v=" Mr"/>
    <s v=" Leonard Charles"/>
    <x v="0"/>
    <x v="0"/>
    <n v="19"/>
    <x v="2"/>
    <x v="0"/>
    <s v="S"/>
    <x v="0"/>
    <x v="1"/>
    <x v="7"/>
    <x v="0"/>
    <n v="0"/>
    <n v="0"/>
    <x v="0"/>
    <s v="Alone"/>
    <x v="0"/>
    <s v="no"/>
  </r>
  <r>
    <s v="Moor"/>
    <s v=" Master"/>
    <s v=" Meier"/>
    <x v="0"/>
    <x v="0"/>
    <n v="7"/>
    <x v="3"/>
    <x v="0"/>
    <s v="S"/>
    <x v="0"/>
    <x v="1"/>
    <x v="117"/>
    <x v="0"/>
    <n v="0"/>
    <n v="1"/>
    <x v="2"/>
    <s v="With Family"/>
    <x v="1"/>
    <s v="yes"/>
  </r>
  <r>
    <s v="Moor"/>
    <s v=" Mrs"/>
    <s v=" Beila"/>
    <x v="1"/>
    <x v="1"/>
    <n v="29"/>
    <x v="2"/>
    <x v="0"/>
    <s v="S"/>
    <x v="0"/>
    <x v="1"/>
    <x v="117"/>
    <x v="0"/>
    <n v="0"/>
    <n v="1"/>
    <x v="2"/>
    <s v="With Family"/>
    <x v="1"/>
    <s v="yes"/>
  </r>
  <r>
    <s v="Moran"/>
    <s v=" Miss"/>
    <s v=" Bridget"/>
    <x v="1"/>
    <x v="1"/>
    <n v="28"/>
    <x v="2"/>
    <x v="0"/>
    <s v="Q"/>
    <x v="3"/>
    <x v="16"/>
    <x v="106"/>
    <x v="1"/>
    <n v="1"/>
    <n v="0"/>
    <x v="2"/>
    <s v="With Family"/>
    <x v="1"/>
    <s v="yes"/>
  </r>
  <r>
    <s v="Moran"/>
    <s v=" Mr"/>
    <s v=" Daniel J"/>
    <x v="0"/>
    <x v="0"/>
    <n v="28"/>
    <x v="2"/>
    <x v="0"/>
    <s v="Q"/>
    <x v="3"/>
    <x v="16"/>
    <x v="106"/>
    <x v="1"/>
    <n v="1"/>
    <n v="0"/>
    <x v="2"/>
    <s v="With Family"/>
    <x v="0"/>
    <s v="no"/>
  </r>
  <r>
    <s v="Moraweck"/>
    <s v=" Dr"/>
    <s v=" Ernest"/>
    <x v="0"/>
    <x v="0"/>
    <n v="54"/>
    <x v="0"/>
    <x v="1"/>
    <s v="S"/>
    <x v="0"/>
    <x v="0"/>
    <x v="213"/>
    <x v="0"/>
    <n v="0"/>
    <n v="0"/>
    <x v="0"/>
    <s v="Alone"/>
    <x v="0"/>
    <s v="no"/>
  </r>
  <r>
    <s v="Morley"/>
    <s v=" Mr"/>
    <s v=" Henry Samuel"/>
    <x v="0"/>
    <x v="0"/>
    <n v="38"/>
    <x v="0"/>
    <x v="1"/>
    <s v="S"/>
    <x v="0"/>
    <x v="1"/>
    <x v="27"/>
    <x v="1"/>
    <n v="0"/>
    <n v="0"/>
    <x v="0"/>
    <s v="Alone"/>
    <x v="0"/>
    <s v="no"/>
  </r>
  <r>
    <s v="Morley"/>
    <s v=" Mr"/>
    <s v=" William"/>
    <x v="0"/>
    <x v="0"/>
    <n v="34"/>
    <x v="2"/>
    <x v="0"/>
    <s v="S"/>
    <x v="0"/>
    <x v="1"/>
    <x v="7"/>
    <x v="0"/>
    <n v="0"/>
    <n v="0"/>
    <x v="0"/>
    <s v="Alone"/>
    <x v="0"/>
    <s v="no"/>
  </r>
  <r>
    <s v="Morrow"/>
    <s v=" Mr"/>
    <s v=" Thomas Rowan"/>
    <x v="0"/>
    <x v="0"/>
    <n v="30"/>
    <x v="2"/>
    <x v="0"/>
    <s v="Q"/>
    <x v="3"/>
    <x v="16"/>
    <x v="55"/>
    <x v="0"/>
    <n v="0"/>
    <n v="0"/>
    <x v="0"/>
    <s v="Alone"/>
    <x v="0"/>
    <s v="no"/>
  </r>
  <r>
    <s v="Moss"/>
    <s v=" Mr"/>
    <s v=" Albert Johan"/>
    <x v="0"/>
    <x v="0"/>
    <n v="29"/>
    <x v="2"/>
    <x v="0"/>
    <s v="S"/>
    <x v="0"/>
    <x v="2"/>
    <x v="21"/>
    <x v="0"/>
    <n v="0"/>
    <n v="0"/>
    <x v="0"/>
    <s v="Alone"/>
    <x v="1"/>
    <s v="yes"/>
  </r>
  <r>
    <s v="Moussa"/>
    <s v=" Mrs"/>
    <s v=" Mantoura Boulos"/>
    <x v="1"/>
    <x v="1"/>
    <n v="35"/>
    <x v="2"/>
    <x v="0"/>
    <s v="C"/>
    <x v="1"/>
    <x v="4"/>
    <x v="16"/>
    <x v="0"/>
    <n v="0"/>
    <n v="0"/>
    <x v="0"/>
    <s v="Alone"/>
    <x v="1"/>
    <s v="yes"/>
  </r>
  <r>
    <s v="Moutal"/>
    <s v=" Mr"/>
    <s v=" Rahamin Haim"/>
    <x v="0"/>
    <x v="0"/>
    <n v="28"/>
    <x v="2"/>
    <x v="0"/>
    <s v="S"/>
    <x v="0"/>
    <x v="1"/>
    <x v="7"/>
    <x v="0"/>
    <n v="0"/>
    <n v="0"/>
    <x v="0"/>
    <s v="Alone"/>
    <x v="0"/>
    <s v="no"/>
  </r>
  <r>
    <s v="MubÄrik"/>
    <s v=" Master"/>
    <s v=" HalÄ«m"/>
    <x v="0"/>
    <x v="0"/>
    <n v="4"/>
    <x v="3"/>
    <x v="0"/>
    <s v="C"/>
    <x v="1"/>
    <x v="4"/>
    <x v="71"/>
    <x v="1"/>
    <n v="1"/>
    <n v="1"/>
    <x v="1"/>
    <s v="With Family"/>
    <x v="1"/>
    <s v="yes"/>
  </r>
  <r>
    <s v="MubÄrik"/>
    <s v=" Master"/>
    <s v=" Jirjis"/>
    <x v="0"/>
    <x v="0"/>
    <n v="7"/>
    <x v="3"/>
    <x v="0"/>
    <s v="C"/>
    <x v="1"/>
    <x v="4"/>
    <x v="71"/>
    <x v="1"/>
    <n v="1"/>
    <n v="1"/>
    <x v="1"/>
    <s v="With Family"/>
    <x v="1"/>
    <s v="yes"/>
  </r>
  <r>
    <s v="MubÄrik"/>
    <s v=" Mrs"/>
    <s v=" AmÄ«nah"/>
    <x v="1"/>
    <x v="1"/>
    <n v="25"/>
    <x v="2"/>
    <x v="0"/>
    <s v="C"/>
    <x v="1"/>
    <x v="4"/>
    <x v="71"/>
    <x v="1"/>
    <n v="0"/>
    <n v="2"/>
    <x v="1"/>
    <s v="With Family"/>
    <x v="1"/>
    <s v="yes"/>
  </r>
  <r>
    <s v="Mudd"/>
    <s v=" Mr"/>
    <s v=" Thomas Cupper"/>
    <x v="0"/>
    <x v="0"/>
    <n v="17"/>
    <x v="1"/>
    <x v="1"/>
    <s v="S"/>
    <x v="0"/>
    <x v="1"/>
    <x v="23"/>
    <x v="0"/>
    <n v="0"/>
    <n v="0"/>
    <x v="0"/>
    <s v="Alone"/>
    <x v="0"/>
    <s v="no"/>
  </r>
  <r>
    <s v="Mullin"/>
    <s v=" Miss"/>
    <s v=" Catherine"/>
    <x v="1"/>
    <x v="1"/>
    <n v="21"/>
    <x v="2"/>
    <x v="0"/>
    <s v="Q"/>
    <x v="3"/>
    <x v="16"/>
    <x v="86"/>
    <x v="0"/>
    <n v="0"/>
    <n v="0"/>
    <x v="0"/>
    <s v="Alone"/>
    <x v="1"/>
    <s v="yes"/>
  </r>
  <r>
    <s v="Mulvihill"/>
    <s v=" Miss"/>
    <s v=" Bridget Elizabeth"/>
    <x v="1"/>
    <x v="1"/>
    <n v="25"/>
    <x v="2"/>
    <x v="0"/>
    <s v="Q"/>
    <x v="3"/>
    <x v="16"/>
    <x v="55"/>
    <x v="0"/>
    <n v="0"/>
    <n v="0"/>
    <x v="0"/>
    <s v="Alone"/>
    <x v="1"/>
    <s v="yes"/>
  </r>
  <r>
    <s v="Murdlin"/>
    <s v=" Mr"/>
    <s v=" Joseph"/>
    <x v="0"/>
    <x v="0"/>
    <n v="22"/>
    <x v="2"/>
    <x v="0"/>
    <s v="S"/>
    <x v="0"/>
    <x v="1"/>
    <x v="7"/>
    <x v="0"/>
    <n v="0"/>
    <n v="0"/>
    <x v="0"/>
    <s v="Alone"/>
    <x v="0"/>
    <s v="no"/>
  </r>
  <r>
    <s v="Murphy"/>
    <s v=" Miss"/>
    <s v=" Catherine"/>
    <x v="1"/>
    <x v="1"/>
    <n v="18"/>
    <x v="2"/>
    <x v="0"/>
    <s v="Q"/>
    <x v="3"/>
    <x v="16"/>
    <x v="59"/>
    <x v="1"/>
    <n v="1"/>
    <n v="0"/>
    <x v="2"/>
    <s v="With Family"/>
    <x v="1"/>
    <s v="yes"/>
  </r>
  <r>
    <s v="Murphy"/>
    <s v=" Miss"/>
    <s v=" Margaret Jane"/>
    <x v="1"/>
    <x v="1"/>
    <n v="25"/>
    <x v="2"/>
    <x v="0"/>
    <s v="Q"/>
    <x v="3"/>
    <x v="16"/>
    <x v="59"/>
    <x v="1"/>
    <n v="1"/>
    <n v="0"/>
    <x v="2"/>
    <s v="With Family"/>
    <x v="1"/>
    <s v="yes"/>
  </r>
  <r>
    <s v="Murphy"/>
    <s v=" Miss"/>
    <s v=" Nora"/>
    <x v="1"/>
    <x v="1"/>
    <n v="31"/>
    <x v="2"/>
    <x v="0"/>
    <s v="Q"/>
    <x v="3"/>
    <x v="16"/>
    <x v="59"/>
    <x v="1"/>
    <n v="0"/>
    <n v="0"/>
    <x v="0"/>
    <s v="Alone"/>
    <x v="1"/>
    <s v="yes"/>
  </r>
  <r>
    <s v="MuslamÄnÄ«"/>
    <s v=" Mrs"/>
    <s v=" FatÄ«mah Muhammad"/>
    <x v="1"/>
    <x v="1"/>
    <n v="22"/>
    <x v="2"/>
    <x v="0"/>
    <s v="C"/>
    <x v="1"/>
    <x v="4"/>
    <x v="33"/>
    <x v="0"/>
    <n v="0"/>
    <n v="0"/>
    <x v="0"/>
    <s v="Alone"/>
    <x v="1"/>
    <s v="yes"/>
  </r>
  <r>
    <s v="Myhrman"/>
    <s v=" Mr"/>
    <s v=" Pehr Fabian Oliver Malkolm"/>
    <x v="0"/>
    <x v="0"/>
    <n v="18"/>
    <x v="2"/>
    <x v="0"/>
    <s v="S"/>
    <x v="0"/>
    <x v="6"/>
    <x v="55"/>
    <x v="0"/>
    <n v="0"/>
    <n v="0"/>
    <x v="0"/>
    <s v="Alone"/>
    <x v="0"/>
    <s v="no"/>
  </r>
  <r>
    <s v="Myles"/>
    <s v=" Mr"/>
    <s v=" Thomas Francis"/>
    <x v="0"/>
    <x v="0"/>
    <n v="63"/>
    <x v="4"/>
    <x v="1"/>
    <s v="Q"/>
    <x v="3"/>
    <x v="16"/>
    <x v="214"/>
    <x v="0"/>
    <n v="0"/>
    <n v="0"/>
    <x v="0"/>
    <s v="Alone"/>
    <x v="0"/>
    <s v="no"/>
  </r>
  <r>
    <s v="Naidenoff"/>
    <s v=" Mr"/>
    <s v=" Penko"/>
    <x v="0"/>
    <x v="0"/>
    <n v="22"/>
    <x v="2"/>
    <x v="0"/>
    <s v="S"/>
    <x v="0"/>
    <x v="11"/>
    <x v="26"/>
    <x v="0"/>
    <n v="0"/>
    <n v="0"/>
    <x v="0"/>
    <s v="Alone"/>
    <x v="0"/>
    <s v="no"/>
  </r>
  <r>
    <s v="Najib Kiamie"/>
    <s v=" Miss"/>
    <s v=" Adele"/>
    <x v="1"/>
    <x v="1"/>
    <n v="15"/>
    <x v="1"/>
    <x v="0"/>
    <s v="C"/>
    <x v="1"/>
    <x v="4"/>
    <x v="33"/>
    <x v="0"/>
    <n v="0"/>
    <n v="0"/>
    <x v="0"/>
    <s v="Alone"/>
    <x v="1"/>
    <s v="yes"/>
  </r>
  <r>
    <s v="Nakhli"/>
    <s v=" Mr"/>
    <s v=" Toufik"/>
    <x v="0"/>
    <x v="0"/>
    <n v="17"/>
    <x v="1"/>
    <x v="0"/>
    <s v="C"/>
    <x v="1"/>
    <x v="4"/>
    <x v="16"/>
    <x v="0"/>
    <n v="0"/>
    <n v="0"/>
    <x v="0"/>
    <s v="Alone"/>
    <x v="0"/>
    <s v="no"/>
  </r>
  <r>
    <s v="Nakid"/>
    <s v=" Miss"/>
    <s v=" Maria"/>
    <x v="1"/>
    <x v="1"/>
    <n v="1"/>
    <x v="3"/>
    <x v="0"/>
    <s v="C"/>
    <x v="1"/>
    <x v="4"/>
    <x v="215"/>
    <x v="1"/>
    <n v="0"/>
    <n v="2"/>
    <x v="1"/>
    <s v="With Family"/>
    <x v="1"/>
    <s v="yes"/>
  </r>
  <r>
    <s v="Nakid"/>
    <s v=" Mr"/>
    <s v=" Sahid"/>
    <x v="0"/>
    <x v="0"/>
    <n v="21"/>
    <x v="2"/>
    <x v="0"/>
    <s v="C"/>
    <x v="1"/>
    <x v="4"/>
    <x v="215"/>
    <x v="1"/>
    <n v="1"/>
    <n v="1"/>
    <x v="1"/>
    <s v="With Family"/>
    <x v="1"/>
    <s v="yes"/>
  </r>
  <r>
    <s v="Nakid"/>
    <s v=" Mrs"/>
    <s v=" Waika"/>
    <x v="1"/>
    <x v="1"/>
    <n v="19"/>
    <x v="2"/>
    <x v="0"/>
    <s v="C"/>
    <x v="1"/>
    <x v="4"/>
    <x v="215"/>
    <x v="1"/>
    <n v="1"/>
    <n v="1"/>
    <x v="1"/>
    <s v="With Family"/>
    <x v="1"/>
    <s v="yes"/>
  </r>
  <r>
    <s v="Nancarrow"/>
    <s v=" Mr"/>
    <s v=" William Henry"/>
    <x v="0"/>
    <x v="0"/>
    <n v="36"/>
    <x v="0"/>
    <x v="0"/>
    <s v="S"/>
    <x v="0"/>
    <x v="1"/>
    <x v="7"/>
    <x v="0"/>
    <n v="0"/>
    <n v="0"/>
    <x v="0"/>
    <s v="Alone"/>
    <x v="0"/>
    <s v="no"/>
  </r>
  <r>
    <s v="Nankoff"/>
    <s v=" Mr"/>
    <s v=" Minko"/>
    <x v="0"/>
    <x v="0"/>
    <n v="32"/>
    <x v="2"/>
    <x v="0"/>
    <s v="S"/>
    <x v="0"/>
    <x v="1"/>
    <x v="26"/>
    <x v="0"/>
    <n v="0"/>
    <n v="0"/>
    <x v="0"/>
    <s v="Alone"/>
    <x v="0"/>
    <s v="no"/>
  </r>
  <r>
    <s v="Nasr 'AlmÄ"/>
    <s v=" Mr"/>
    <s v=" MustafÃ "/>
    <x v="0"/>
    <x v="0"/>
    <n v="20"/>
    <x v="2"/>
    <x v="0"/>
    <s v="C"/>
    <x v="1"/>
    <x v="4"/>
    <x v="16"/>
    <x v="0"/>
    <n v="0"/>
    <n v="0"/>
    <x v="0"/>
    <s v="Alone"/>
    <x v="0"/>
    <s v="no"/>
  </r>
  <r>
    <s v="Nasser"/>
    <s v=" Mr"/>
    <s v=" Nicholas"/>
    <x v="0"/>
    <x v="0"/>
    <n v="28"/>
    <x v="2"/>
    <x v="1"/>
    <s v="C"/>
    <x v="1"/>
    <x v="0"/>
    <x v="216"/>
    <x v="1"/>
    <n v="1"/>
    <n v="0"/>
    <x v="2"/>
    <s v="With Family"/>
    <x v="0"/>
    <s v="no"/>
  </r>
  <r>
    <s v="Nasser"/>
    <s v=" Mrs"/>
    <s v=" Adele"/>
    <x v="1"/>
    <x v="1"/>
    <n v="14"/>
    <x v="1"/>
    <x v="1"/>
    <s v="C"/>
    <x v="1"/>
    <x v="4"/>
    <x v="216"/>
    <x v="1"/>
    <n v="1"/>
    <n v="0"/>
    <x v="2"/>
    <s v="With Family"/>
    <x v="1"/>
    <s v="yes"/>
  </r>
  <r>
    <s v="Nassr Rizq"/>
    <s v=" Mr"/>
    <s v=" Saade"/>
    <x v="0"/>
    <x v="0"/>
    <n v="20"/>
    <x v="2"/>
    <x v="0"/>
    <s v="C"/>
    <x v="1"/>
    <x v="4"/>
    <x v="33"/>
    <x v="0"/>
    <n v="0"/>
    <n v="0"/>
    <x v="0"/>
    <s v="Alone"/>
    <x v="0"/>
    <s v="no"/>
  </r>
  <r>
    <s v="Natsch"/>
    <s v=" Mr"/>
    <s v=" Charles"/>
    <x v="0"/>
    <x v="0"/>
    <n v="36"/>
    <x v="0"/>
    <x v="2"/>
    <s v="C"/>
    <x v="1"/>
    <x v="0"/>
    <x v="88"/>
    <x v="1"/>
    <n v="0"/>
    <n v="1"/>
    <x v="2"/>
    <s v="With Family"/>
    <x v="0"/>
    <s v="no"/>
  </r>
  <r>
    <s v="Naughton"/>
    <s v=" Miss"/>
    <s v=" Hannah"/>
    <x v="1"/>
    <x v="1"/>
    <n v="21"/>
    <x v="2"/>
    <x v="0"/>
    <s v="Q"/>
    <x v="3"/>
    <x v="16"/>
    <x v="55"/>
    <x v="0"/>
    <n v="0"/>
    <n v="0"/>
    <x v="0"/>
    <s v="Alone"/>
    <x v="0"/>
    <s v="no"/>
  </r>
  <r>
    <s v="Navratil"/>
    <s v=" Master"/>
    <s v=" Edmond Roger"/>
    <x v="0"/>
    <x v="0"/>
    <n v="2"/>
    <x v="3"/>
    <x v="1"/>
    <s v="S"/>
    <x v="0"/>
    <x v="3"/>
    <x v="27"/>
    <x v="1"/>
    <n v="1"/>
    <n v="1"/>
    <x v="1"/>
    <s v="With Family"/>
    <x v="1"/>
    <s v="yes"/>
  </r>
  <r>
    <s v="Navratil"/>
    <s v=" Master"/>
    <s v=" Michel Marcel"/>
    <x v="0"/>
    <x v="0"/>
    <n v="3"/>
    <x v="3"/>
    <x v="1"/>
    <s v="S"/>
    <x v="0"/>
    <x v="3"/>
    <x v="27"/>
    <x v="1"/>
    <n v="1"/>
    <n v="1"/>
    <x v="1"/>
    <s v="With Family"/>
    <x v="1"/>
    <s v="yes"/>
  </r>
  <r>
    <s v="Navratil"/>
    <s v=" Mr"/>
    <s v=" Michel"/>
    <x v="0"/>
    <x v="0"/>
    <n v="32"/>
    <x v="2"/>
    <x v="1"/>
    <s v="S"/>
    <x v="0"/>
    <x v="41"/>
    <x v="27"/>
    <x v="1"/>
    <n v="0"/>
    <n v="2"/>
    <x v="1"/>
    <s v="With Family"/>
    <x v="0"/>
    <s v="no"/>
  </r>
  <r>
    <s v="Nenkov"/>
    <s v=" Mr"/>
    <s v=" Hristo"/>
    <x v="0"/>
    <x v="0"/>
    <n v="22"/>
    <x v="2"/>
    <x v="0"/>
    <s v="S"/>
    <x v="0"/>
    <x v="1"/>
    <x v="26"/>
    <x v="0"/>
    <n v="0"/>
    <n v="0"/>
    <x v="0"/>
    <s v="Alone"/>
    <x v="0"/>
    <s v="no"/>
  </r>
  <r>
    <s v="Nesson"/>
    <s v=" Mr"/>
    <s v=" Israel"/>
    <x v="0"/>
    <x v="0"/>
    <n v="26"/>
    <x v="2"/>
    <x v="1"/>
    <s v="S"/>
    <x v="0"/>
    <x v="1"/>
    <x v="10"/>
    <x v="0"/>
    <n v="0"/>
    <n v="0"/>
    <x v="0"/>
    <s v="Alone"/>
    <x v="0"/>
    <s v="no"/>
  </r>
  <r>
    <s v="Newell"/>
    <s v=" Miss"/>
    <s v=" Madeleine"/>
    <x v="1"/>
    <x v="1"/>
    <n v="31"/>
    <x v="2"/>
    <x v="2"/>
    <s v="C"/>
    <x v="1"/>
    <x v="0"/>
    <x v="217"/>
    <x v="2"/>
    <n v="1"/>
    <n v="0"/>
    <x v="2"/>
    <s v="With Family"/>
    <x v="1"/>
    <s v="yes"/>
  </r>
  <r>
    <s v="Newell"/>
    <s v=" Miss"/>
    <s v=" Marjorie Anne"/>
    <x v="1"/>
    <x v="1"/>
    <n v="23"/>
    <x v="2"/>
    <x v="2"/>
    <s v="C"/>
    <x v="1"/>
    <x v="0"/>
    <x v="217"/>
    <x v="2"/>
    <n v="1"/>
    <n v="0"/>
    <x v="2"/>
    <s v="With Family"/>
    <x v="1"/>
    <s v="yes"/>
  </r>
  <r>
    <s v="Newell"/>
    <s v=" Mr"/>
    <s v=" Arthur Webster"/>
    <x v="0"/>
    <x v="0"/>
    <n v="58"/>
    <x v="4"/>
    <x v="2"/>
    <s v="C"/>
    <x v="1"/>
    <x v="0"/>
    <x v="217"/>
    <x v="2"/>
    <n v="0"/>
    <n v="2"/>
    <x v="1"/>
    <s v="With Family"/>
    <x v="0"/>
    <s v="no"/>
  </r>
  <r>
    <s v="Newsom"/>
    <s v=" Miss"/>
    <s v=" Helen Monypeny"/>
    <x v="1"/>
    <x v="1"/>
    <n v="19"/>
    <x v="2"/>
    <x v="2"/>
    <s v="S"/>
    <x v="0"/>
    <x v="0"/>
    <x v="218"/>
    <x v="1"/>
    <n v="0"/>
    <n v="2"/>
    <x v="1"/>
    <s v="With Family"/>
    <x v="1"/>
    <s v="yes"/>
  </r>
  <r>
    <s v="Nicholls"/>
    <s v=" Mr"/>
    <s v=" Joseph Charles"/>
    <x v="0"/>
    <x v="0"/>
    <n v="19"/>
    <x v="2"/>
    <x v="1"/>
    <s v="S"/>
    <x v="0"/>
    <x v="1"/>
    <x v="105"/>
    <x v="3"/>
    <n v="1"/>
    <n v="1"/>
    <x v="1"/>
    <s v="With Family"/>
    <x v="0"/>
    <s v="no"/>
  </r>
  <r>
    <s v="Nicholson"/>
    <s v=" Mr"/>
    <s v=" Arthur Ernest"/>
    <x v="0"/>
    <x v="0"/>
    <n v="60"/>
    <x v="4"/>
    <x v="2"/>
    <s v="S"/>
    <x v="0"/>
    <x v="1"/>
    <x v="27"/>
    <x v="1"/>
    <n v="0"/>
    <n v="0"/>
    <x v="0"/>
    <s v="Alone"/>
    <x v="0"/>
    <s v="no"/>
  </r>
  <r>
    <s v="Nieminen"/>
    <s v=" Miss"/>
    <s v=" Manta Josefina"/>
    <x v="1"/>
    <x v="1"/>
    <n v="29"/>
    <x v="2"/>
    <x v="0"/>
    <s v="S"/>
    <x v="0"/>
    <x v="5"/>
    <x v="5"/>
    <x v="0"/>
    <n v="0"/>
    <n v="0"/>
    <x v="0"/>
    <s v="Alone"/>
    <x v="0"/>
    <s v="no"/>
  </r>
  <r>
    <s v="Niklasson"/>
    <s v=" Mr"/>
    <s v=" Samuel"/>
    <x v="0"/>
    <x v="0"/>
    <n v="28"/>
    <x v="2"/>
    <x v="0"/>
    <s v="S"/>
    <x v="0"/>
    <x v="6"/>
    <x v="7"/>
    <x v="0"/>
    <n v="0"/>
    <n v="0"/>
    <x v="0"/>
    <s v="Alone"/>
    <x v="0"/>
    <s v="no"/>
  </r>
  <r>
    <s v="Nilsson"/>
    <s v=" Miss"/>
    <s v=" Berta Olivia"/>
    <x v="1"/>
    <x v="1"/>
    <n v="18"/>
    <x v="2"/>
    <x v="0"/>
    <s v="S"/>
    <x v="0"/>
    <x v="6"/>
    <x v="21"/>
    <x v="0"/>
    <n v="0"/>
    <n v="0"/>
    <x v="0"/>
    <s v="Alone"/>
    <x v="1"/>
    <s v="yes"/>
  </r>
  <r>
    <s v="Nilsson"/>
    <s v=" Miss"/>
    <s v=" Helmina Josefina"/>
    <x v="1"/>
    <x v="1"/>
    <n v="26"/>
    <x v="2"/>
    <x v="0"/>
    <s v="S"/>
    <x v="0"/>
    <x v="6"/>
    <x v="17"/>
    <x v="0"/>
    <n v="0"/>
    <n v="0"/>
    <x v="0"/>
    <s v="Alone"/>
    <x v="1"/>
    <s v="yes"/>
  </r>
  <r>
    <s v="Nilsson"/>
    <s v=" Mr"/>
    <s v=" August Ferdinand"/>
    <x v="0"/>
    <x v="0"/>
    <n v="21"/>
    <x v="2"/>
    <x v="0"/>
    <s v="S"/>
    <x v="0"/>
    <x v="6"/>
    <x v="17"/>
    <x v="0"/>
    <n v="0"/>
    <n v="0"/>
    <x v="0"/>
    <s v="Alone"/>
    <x v="0"/>
    <s v="no"/>
  </r>
  <r>
    <s v="NÄ«qÅ«la YÄrid"/>
    <s v=" Master"/>
    <s v=" IlyÄs"/>
    <x v="0"/>
    <x v="0"/>
    <n v="11"/>
    <x v="1"/>
    <x v="0"/>
    <s v="C"/>
    <x v="1"/>
    <x v="4"/>
    <x v="219"/>
    <x v="0"/>
    <n v="1"/>
    <n v="0"/>
    <x v="2"/>
    <s v="With Family"/>
    <x v="1"/>
    <s v="yes"/>
  </r>
  <r>
    <s v="NÄ«qÅ«la YÄrid"/>
    <s v=" Miss"/>
    <s v=" Jamilah"/>
    <x v="1"/>
    <x v="1"/>
    <n v="14"/>
    <x v="1"/>
    <x v="0"/>
    <s v="C"/>
    <x v="1"/>
    <x v="4"/>
    <x v="219"/>
    <x v="0"/>
    <n v="1"/>
    <n v="0"/>
    <x v="2"/>
    <s v="With Family"/>
    <x v="1"/>
    <s v="yes"/>
  </r>
  <r>
    <s v="Nirva"/>
    <s v=" Mr"/>
    <s v=" Iisakki Antino Ã„ijÃ¶"/>
    <x v="0"/>
    <x v="0"/>
    <n v="41"/>
    <x v="0"/>
    <x v="0"/>
    <s v="S"/>
    <x v="0"/>
    <x v="5"/>
    <x v="180"/>
    <x v="0"/>
    <n v="0"/>
    <n v="0"/>
    <x v="0"/>
    <s v="Alone"/>
    <x v="0"/>
    <s v="no"/>
  </r>
  <r>
    <s v="NiskÃ¤nen"/>
    <s v=" Mr"/>
    <s v=" Juha"/>
    <x v="0"/>
    <x v="0"/>
    <n v="39"/>
    <x v="0"/>
    <x v="0"/>
    <s v="S"/>
    <x v="0"/>
    <x v="0"/>
    <x v="5"/>
    <x v="0"/>
    <n v="0"/>
    <n v="0"/>
    <x v="0"/>
    <s v="Alone"/>
    <x v="1"/>
    <s v="yes"/>
  </r>
  <r>
    <s v="Nofal"/>
    <s v=" Mr"/>
    <s v=" Mansouer"/>
    <x v="0"/>
    <x v="0"/>
    <n v="20"/>
    <x v="2"/>
    <x v="0"/>
    <s v="C"/>
    <x v="1"/>
    <x v="4"/>
    <x v="16"/>
    <x v="0"/>
    <n v="0"/>
    <n v="0"/>
    <x v="0"/>
    <s v="Alone"/>
    <x v="0"/>
    <s v="no"/>
  </r>
  <r>
    <s v="Norman"/>
    <s v=" Mr"/>
    <s v=" Robert Douglas"/>
    <x v="0"/>
    <x v="0"/>
    <n v="27"/>
    <x v="2"/>
    <x v="1"/>
    <s v="S"/>
    <x v="0"/>
    <x v="22"/>
    <x v="85"/>
    <x v="0"/>
    <n v="0"/>
    <n v="0"/>
    <x v="0"/>
    <s v="Alone"/>
    <x v="0"/>
    <s v="no"/>
  </r>
  <r>
    <s v="Nosworthy"/>
    <s v=" Mr"/>
    <s v=" Richard Cater"/>
    <x v="0"/>
    <x v="0"/>
    <n v="21"/>
    <x v="2"/>
    <x v="0"/>
    <s v="S"/>
    <x v="0"/>
    <x v="1"/>
    <x v="220"/>
    <x v="0"/>
    <n v="0"/>
    <n v="0"/>
    <x v="0"/>
    <s v="Alone"/>
    <x v="0"/>
    <s v="no"/>
  </r>
  <r>
    <s v="Nourney"/>
    <s v=" Mr"/>
    <s v=" Alfred"/>
    <x v="0"/>
    <x v="0"/>
    <n v="20"/>
    <x v="2"/>
    <x v="2"/>
    <s v="C"/>
    <x v="1"/>
    <x v="42"/>
    <x v="221"/>
    <x v="0"/>
    <n v="0"/>
    <n v="0"/>
    <x v="0"/>
    <s v="Alone"/>
    <x v="1"/>
    <s v="yes"/>
  </r>
  <r>
    <s v="Nye"/>
    <s v=" Mrs"/>
    <s v=" Elizabeth"/>
    <x v="1"/>
    <x v="1"/>
    <n v="29"/>
    <x v="2"/>
    <x v="1"/>
    <s v="S"/>
    <x v="0"/>
    <x v="0"/>
    <x v="23"/>
    <x v="0"/>
    <n v="0"/>
    <n v="0"/>
    <x v="0"/>
    <s v="Alone"/>
    <x v="1"/>
    <s v="yes"/>
  </r>
  <r>
    <s v="Nysten"/>
    <s v=" Miss"/>
    <s v=" Anna Sofia"/>
    <x v="1"/>
    <x v="1"/>
    <n v="22"/>
    <x v="2"/>
    <x v="0"/>
    <s v="S"/>
    <x v="0"/>
    <x v="6"/>
    <x v="55"/>
    <x v="0"/>
    <n v="0"/>
    <n v="0"/>
    <x v="0"/>
    <s v="Alone"/>
    <x v="1"/>
    <s v="yes"/>
  </r>
  <r>
    <s v="Nysveen"/>
    <s v=" Mr"/>
    <s v=" Johan Hansen"/>
    <x v="0"/>
    <x v="0"/>
    <n v="60"/>
    <x v="4"/>
    <x v="0"/>
    <s v="S"/>
    <x v="0"/>
    <x v="2"/>
    <x v="222"/>
    <x v="0"/>
    <n v="0"/>
    <n v="0"/>
    <x v="0"/>
    <s v="Alone"/>
    <x v="0"/>
    <s v="no"/>
  </r>
  <r>
    <s v="O'Brien"/>
    <s v=" Mr"/>
    <s v=" Denis"/>
    <x v="0"/>
    <x v="0"/>
    <n v="21"/>
    <x v="2"/>
    <x v="0"/>
    <s v="Q"/>
    <x v="3"/>
    <x v="16"/>
    <x v="223"/>
    <x v="0"/>
    <n v="0"/>
    <n v="0"/>
    <x v="0"/>
    <s v="Alone"/>
    <x v="0"/>
    <s v="no"/>
  </r>
  <r>
    <s v="O'Brien"/>
    <s v=" Mrs"/>
    <s v=" Johanna"/>
    <x v="1"/>
    <x v="1"/>
    <n v="26"/>
    <x v="2"/>
    <x v="0"/>
    <s v="Q"/>
    <x v="3"/>
    <x v="16"/>
    <x v="59"/>
    <x v="1"/>
    <n v="1"/>
    <n v="0"/>
    <x v="2"/>
    <s v="With Family"/>
    <x v="1"/>
    <s v="yes"/>
  </r>
  <r>
    <s v="O'Brien"/>
    <s v=" Mr"/>
    <s v=" Thomas"/>
    <x v="0"/>
    <x v="0"/>
    <n v="27"/>
    <x v="2"/>
    <x v="0"/>
    <s v="Q"/>
    <x v="3"/>
    <x v="16"/>
    <x v="59"/>
    <x v="1"/>
    <n v="1"/>
    <n v="0"/>
    <x v="2"/>
    <s v="With Family"/>
    <x v="0"/>
    <s v="no"/>
  </r>
  <r>
    <s v="O'Connell"/>
    <s v=" Mr"/>
    <s v=" Patrick Denis"/>
    <x v="0"/>
    <x v="0"/>
    <n v="18"/>
    <x v="2"/>
    <x v="0"/>
    <s v="Q"/>
    <x v="3"/>
    <x v="16"/>
    <x v="86"/>
    <x v="0"/>
    <n v="0"/>
    <n v="0"/>
    <x v="0"/>
    <s v="Alone"/>
    <x v="0"/>
    <s v="no"/>
  </r>
  <r>
    <s v="O'Connor"/>
    <s v=" Mr"/>
    <s v=" Maurice"/>
    <x v="0"/>
    <x v="0"/>
    <n v="17"/>
    <x v="1"/>
    <x v="0"/>
    <s v="Q"/>
    <x v="3"/>
    <x v="16"/>
    <x v="55"/>
    <x v="0"/>
    <n v="0"/>
    <n v="0"/>
    <x v="0"/>
    <s v="Alone"/>
    <x v="0"/>
    <s v="no"/>
  </r>
  <r>
    <s v="O'Connor"/>
    <s v=" Mr"/>
    <s v=" Patrick"/>
    <x v="0"/>
    <x v="0"/>
    <n v="23"/>
    <x v="2"/>
    <x v="0"/>
    <s v="Q"/>
    <x v="3"/>
    <x v="16"/>
    <x v="55"/>
    <x v="0"/>
    <n v="0"/>
    <n v="0"/>
    <x v="0"/>
    <s v="Alone"/>
    <x v="0"/>
    <s v="no"/>
  </r>
  <r>
    <s v="Ã–dahl"/>
    <s v=" Mr"/>
    <s v=" Nils Martin"/>
    <x v="0"/>
    <x v="0"/>
    <n v="23"/>
    <x v="2"/>
    <x v="0"/>
    <s v="S"/>
    <x v="0"/>
    <x v="6"/>
    <x v="224"/>
    <x v="0"/>
    <n v="0"/>
    <n v="0"/>
    <x v="0"/>
    <s v="Alone"/>
    <x v="0"/>
    <s v="no"/>
  </r>
  <r>
    <s v="O'Dwyer"/>
    <s v=" Miss"/>
    <s v=" Ellen"/>
    <x v="1"/>
    <x v="1"/>
    <n v="24"/>
    <x v="2"/>
    <x v="0"/>
    <s v="Q"/>
    <x v="3"/>
    <x v="16"/>
    <x v="43"/>
    <x v="0"/>
    <n v="0"/>
    <n v="0"/>
    <x v="0"/>
    <s v="Alone"/>
    <x v="1"/>
    <s v="yes"/>
  </r>
  <r>
    <s v="Ã–hman"/>
    <s v=" Miss"/>
    <s v=" Velin"/>
    <x v="1"/>
    <x v="1"/>
    <n v="22"/>
    <x v="2"/>
    <x v="0"/>
    <s v="S"/>
    <x v="0"/>
    <x v="6"/>
    <x v="21"/>
    <x v="0"/>
    <n v="0"/>
    <n v="0"/>
    <x v="0"/>
    <s v="Alone"/>
    <x v="1"/>
    <s v="yes"/>
  </r>
  <r>
    <s v="O'Keefe"/>
    <s v=" Mr"/>
    <s v=" Patrick"/>
    <x v="0"/>
    <x v="0"/>
    <n v="21"/>
    <x v="2"/>
    <x v="0"/>
    <s v="Q"/>
    <x v="3"/>
    <x v="16"/>
    <x v="55"/>
    <x v="0"/>
    <n v="0"/>
    <n v="0"/>
    <x v="0"/>
    <s v="Alone"/>
    <x v="1"/>
    <s v="yes"/>
  </r>
  <r>
    <s v="O'Leary"/>
    <s v=" Miss"/>
    <s v=" Hanora"/>
    <x v="1"/>
    <x v="1"/>
    <n v="16"/>
    <x v="1"/>
    <x v="0"/>
    <s v="Q"/>
    <x v="3"/>
    <x v="16"/>
    <x v="223"/>
    <x v="0"/>
    <n v="0"/>
    <n v="0"/>
    <x v="0"/>
    <s v="Alone"/>
    <x v="1"/>
    <s v="yes"/>
  </r>
  <r>
    <s v="Oliva y Ocana"/>
    <s v=" DoÃ±a"/>
    <s v=" Fermina"/>
    <x v="1"/>
    <x v="1"/>
    <n v="39"/>
    <x v="0"/>
    <x v="2"/>
    <s v="C"/>
    <x v="1"/>
    <x v="29"/>
    <x v="225"/>
    <x v="2"/>
    <n v="0"/>
    <n v="0"/>
    <x v="0"/>
    <s v="Alone"/>
    <x v="1"/>
    <s v="yes"/>
  </r>
  <r>
    <s v="Olsen"/>
    <s v=" Master"/>
    <s v=" Artur Karl"/>
    <x v="0"/>
    <x v="0"/>
    <n v="9"/>
    <x v="1"/>
    <x v="0"/>
    <s v="S"/>
    <x v="0"/>
    <x v="2"/>
    <x v="226"/>
    <x v="0"/>
    <n v="0"/>
    <n v="1"/>
    <x v="2"/>
    <s v="With Family"/>
    <x v="1"/>
    <s v="yes"/>
  </r>
  <r>
    <s v="Olsen"/>
    <s v=" Mr"/>
    <s v=" Henry Margido"/>
    <x v="0"/>
    <x v="0"/>
    <n v="28"/>
    <x v="2"/>
    <x v="0"/>
    <s v="S"/>
    <x v="0"/>
    <x v="2"/>
    <x v="18"/>
    <x v="1"/>
    <n v="0"/>
    <n v="0"/>
    <x v="0"/>
    <s v="Alone"/>
    <x v="0"/>
    <s v="no"/>
  </r>
  <r>
    <s v="Olsen"/>
    <s v=" Mr"/>
    <s v=" Karl Siegwart Andreas"/>
    <x v="0"/>
    <x v="0"/>
    <n v="42"/>
    <x v="0"/>
    <x v="0"/>
    <s v="S"/>
    <x v="0"/>
    <x v="0"/>
    <x v="227"/>
    <x v="0"/>
    <n v="0"/>
    <n v="1"/>
    <x v="2"/>
    <s v="With Family"/>
    <x v="0"/>
    <s v="no"/>
  </r>
  <r>
    <s v="Olsen"/>
    <s v=" Mr"/>
    <s v=" Ole Martin"/>
    <x v="0"/>
    <x v="0"/>
    <n v="27"/>
    <x v="2"/>
    <x v="0"/>
    <s v="S"/>
    <x v="0"/>
    <x v="2"/>
    <x v="228"/>
    <x v="0"/>
    <n v="0"/>
    <n v="0"/>
    <x v="0"/>
    <s v="Alone"/>
    <x v="0"/>
    <s v="no"/>
  </r>
  <r>
    <s v="Olsson"/>
    <s v=" Miss"/>
    <s v=" Elina"/>
    <x v="1"/>
    <x v="1"/>
    <n v="31"/>
    <x v="2"/>
    <x v="0"/>
    <s v="S"/>
    <x v="0"/>
    <x v="6"/>
    <x v="17"/>
    <x v="0"/>
    <n v="0"/>
    <n v="0"/>
    <x v="0"/>
    <s v="Alone"/>
    <x v="0"/>
    <s v="no"/>
  </r>
  <r>
    <s v="Olsson"/>
    <s v=" Mr"/>
    <s v=" Nils Johan GÃ¶ransson"/>
    <x v="0"/>
    <x v="0"/>
    <n v="28"/>
    <x v="2"/>
    <x v="0"/>
    <s v="S"/>
    <x v="0"/>
    <x v="6"/>
    <x v="17"/>
    <x v="0"/>
    <n v="0"/>
    <n v="0"/>
    <x v="0"/>
    <s v="Alone"/>
    <x v="0"/>
    <s v="no"/>
  </r>
  <r>
    <s v="Olsson"/>
    <s v=" Mr"/>
    <s v=" Oscar Wilhelm"/>
    <x v="0"/>
    <x v="0"/>
    <n v="32"/>
    <x v="2"/>
    <x v="0"/>
    <s v="S"/>
    <x v="0"/>
    <x v="6"/>
    <x v="21"/>
    <x v="0"/>
    <n v="0"/>
    <n v="0"/>
    <x v="0"/>
    <s v="Alone"/>
    <x v="1"/>
    <s v="yes"/>
  </r>
  <r>
    <s v="Olsvigen"/>
    <s v=" Mr"/>
    <s v=" Thor Anderson"/>
    <x v="0"/>
    <x v="0"/>
    <n v="20"/>
    <x v="2"/>
    <x v="0"/>
    <s v="S"/>
    <x v="0"/>
    <x v="2"/>
    <x v="224"/>
    <x v="0"/>
    <n v="0"/>
    <n v="0"/>
    <x v="0"/>
    <s v="Alone"/>
    <x v="0"/>
    <s v="no"/>
  </r>
  <r>
    <s v="Omont"/>
    <s v=" Mr"/>
    <s v=" Alfred Fernand"/>
    <x v="0"/>
    <x v="0"/>
    <n v="29"/>
    <x v="2"/>
    <x v="2"/>
    <s v="C"/>
    <x v="1"/>
    <x v="3"/>
    <x v="96"/>
    <x v="1"/>
    <n v="0"/>
    <n v="0"/>
    <x v="0"/>
    <s v="Alone"/>
    <x v="1"/>
    <s v="yes"/>
  </r>
  <r>
    <s v="Oreskovic"/>
    <s v=" Miss"/>
    <s v=" Jelka"/>
    <x v="1"/>
    <x v="1"/>
    <n v="23"/>
    <x v="2"/>
    <x v="0"/>
    <s v="S"/>
    <x v="0"/>
    <x v="43"/>
    <x v="74"/>
    <x v="0"/>
    <n v="0"/>
    <n v="0"/>
    <x v="0"/>
    <s v="Alone"/>
    <x v="0"/>
    <s v="no"/>
  </r>
  <r>
    <s v="Oreskovic"/>
    <s v=" Miss"/>
    <s v=" Marija"/>
    <x v="1"/>
    <x v="1"/>
    <n v="20"/>
    <x v="2"/>
    <x v="0"/>
    <s v="S"/>
    <x v="0"/>
    <x v="43"/>
    <x v="74"/>
    <x v="0"/>
    <n v="0"/>
    <n v="0"/>
    <x v="0"/>
    <s v="Alone"/>
    <x v="0"/>
    <s v="no"/>
  </r>
  <r>
    <s v="Oreskovic"/>
    <s v=" Mr"/>
    <s v=" Luka"/>
    <x v="0"/>
    <x v="0"/>
    <n v="20"/>
    <x v="2"/>
    <x v="0"/>
    <s v="S"/>
    <x v="0"/>
    <x v="43"/>
    <x v="74"/>
    <x v="0"/>
    <n v="0"/>
    <n v="0"/>
    <x v="0"/>
    <s v="Alone"/>
    <x v="0"/>
    <s v="no"/>
  </r>
  <r>
    <s v="OsÃ©n"/>
    <s v=" Mr"/>
    <s v=" Olaf Elon"/>
    <x v="0"/>
    <x v="0"/>
    <n v="16"/>
    <x v="1"/>
    <x v="0"/>
    <s v="S"/>
    <x v="0"/>
    <x v="6"/>
    <x v="229"/>
    <x v="0"/>
    <n v="0"/>
    <n v="0"/>
    <x v="0"/>
    <s v="Alone"/>
    <x v="0"/>
    <s v="no"/>
  </r>
  <r>
    <s v="Ã˜stby"/>
    <s v=" Miss"/>
    <s v=" Helen Ragnhild"/>
    <x v="1"/>
    <x v="1"/>
    <n v="22"/>
    <x v="2"/>
    <x v="2"/>
    <s v="S"/>
    <x v="0"/>
    <x v="0"/>
    <x v="230"/>
    <x v="3"/>
    <n v="0"/>
    <n v="1"/>
    <x v="2"/>
    <s v="With Family"/>
    <x v="1"/>
    <s v="yes"/>
  </r>
  <r>
    <s v="Ostby"/>
    <s v=" Mr"/>
    <s v=" Engelhart Cornelius"/>
    <x v="0"/>
    <x v="0"/>
    <n v="64"/>
    <x v="4"/>
    <x v="2"/>
    <s v="S"/>
    <x v="0"/>
    <x v="0"/>
    <x v="230"/>
    <x v="3"/>
    <n v="0"/>
    <n v="1"/>
    <x v="2"/>
    <s v="With Family"/>
    <x v="0"/>
    <s v="no"/>
  </r>
  <r>
    <s v="O'Sullivan"/>
    <s v=" Miss"/>
    <s v=" Bridget Mary"/>
    <x v="1"/>
    <x v="1"/>
    <n v="21"/>
    <x v="2"/>
    <x v="0"/>
    <s v="Q"/>
    <x v="3"/>
    <x v="16"/>
    <x v="95"/>
    <x v="0"/>
    <n v="0"/>
    <n v="0"/>
    <x v="0"/>
    <s v="Alone"/>
    <x v="0"/>
    <s v="no"/>
  </r>
  <r>
    <s v="Otter"/>
    <s v=" Mr"/>
    <s v=" Richard"/>
    <x v="0"/>
    <x v="0"/>
    <n v="38"/>
    <x v="0"/>
    <x v="1"/>
    <s v="S"/>
    <x v="0"/>
    <x v="0"/>
    <x v="10"/>
    <x v="0"/>
    <n v="0"/>
    <n v="0"/>
    <x v="0"/>
    <s v="Alone"/>
    <x v="0"/>
    <s v="no"/>
  </r>
  <r>
    <s v="OviÃ©s y RodrÃ­guez"/>
    <s v=" Mr"/>
    <s v=" Servando JosÃ© Florentino"/>
    <x v="0"/>
    <x v="0"/>
    <n v="36"/>
    <x v="0"/>
    <x v="2"/>
    <s v="C"/>
    <x v="1"/>
    <x v="44"/>
    <x v="68"/>
    <x v="1"/>
    <n v="0"/>
    <n v="0"/>
    <x v="0"/>
    <s v="Alone"/>
    <x v="0"/>
    <s v="no"/>
  </r>
  <r>
    <s v="Oxenham"/>
    <s v=" Mr"/>
    <s v=" Percy Thomas"/>
    <x v="0"/>
    <x v="0"/>
    <n v="22"/>
    <x v="2"/>
    <x v="1"/>
    <s v="S"/>
    <x v="0"/>
    <x v="1"/>
    <x v="23"/>
    <x v="0"/>
    <n v="0"/>
    <n v="0"/>
    <x v="0"/>
    <s v="Alone"/>
    <x v="1"/>
    <s v="yes"/>
  </r>
  <r>
    <s v="Padron Manent"/>
    <s v=" Mr"/>
    <s v=" Julian"/>
    <x v="0"/>
    <x v="0"/>
    <n v="27"/>
    <x v="2"/>
    <x v="1"/>
    <s v="C"/>
    <x v="1"/>
    <x v="29"/>
    <x v="221"/>
    <x v="0"/>
    <n v="0"/>
    <n v="0"/>
    <x v="0"/>
    <s v="Alone"/>
    <x v="1"/>
    <s v="yes"/>
  </r>
  <r>
    <s v="Pain"/>
    <s v=" Dr"/>
    <s v=" Alfred"/>
    <x v="0"/>
    <x v="0"/>
    <n v="23"/>
    <x v="2"/>
    <x v="1"/>
    <s v="S"/>
    <x v="0"/>
    <x v="8"/>
    <x v="23"/>
    <x v="0"/>
    <n v="0"/>
    <n v="0"/>
    <x v="0"/>
    <s v="Alone"/>
    <x v="0"/>
    <s v="no"/>
  </r>
  <r>
    <s v="PallÃ s i CastellÃ³"/>
    <s v=" Sr"/>
    <s v=" Emili"/>
    <x v="0"/>
    <x v="0"/>
    <n v="29"/>
    <x v="2"/>
    <x v="1"/>
    <s v="C"/>
    <x v="1"/>
    <x v="29"/>
    <x v="120"/>
    <x v="0"/>
    <n v="0"/>
    <n v="0"/>
    <x v="0"/>
    <s v="Alone"/>
    <x v="1"/>
    <s v="yes"/>
  </r>
  <r>
    <s v="PÃ¥lsson"/>
    <s v=" Master"/>
    <s v=" GÃ¶sta Leonard"/>
    <x v="0"/>
    <x v="0"/>
    <n v="2"/>
    <x v="3"/>
    <x v="0"/>
    <s v="S"/>
    <x v="0"/>
    <x v="6"/>
    <x v="231"/>
    <x v="1"/>
    <n v="3"/>
    <n v="1"/>
    <x v="6"/>
    <s v="With Family"/>
    <x v="0"/>
    <s v="no"/>
  </r>
  <r>
    <s v="PÃ¥lsson"/>
    <s v=" Master"/>
    <s v=" Paul Folke"/>
    <x v="0"/>
    <x v="0"/>
    <n v="6"/>
    <x v="3"/>
    <x v="0"/>
    <s v="S"/>
    <x v="0"/>
    <x v="6"/>
    <x v="231"/>
    <x v="1"/>
    <n v="3"/>
    <n v="1"/>
    <x v="6"/>
    <s v="With Family"/>
    <x v="0"/>
    <s v="no"/>
  </r>
  <r>
    <s v="PÃ¥lsson"/>
    <s v=" Miss"/>
    <s v=" Stina Viola"/>
    <x v="1"/>
    <x v="1"/>
    <n v="3"/>
    <x v="3"/>
    <x v="0"/>
    <s v="S"/>
    <x v="0"/>
    <x v="6"/>
    <x v="231"/>
    <x v="1"/>
    <n v="3"/>
    <n v="1"/>
    <x v="6"/>
    <s v="With Family"/>
    <x v="0"/>
    <s v="no"/>
  </r>
  <r>
    <s v="PÃ¥lsson"/>
    <s v=" Miss"/>
    <s v=" Torborg Danira"/>
    <x v="1"/>
    <x v="1"/>
    <n v="8"/>
    <x v="3"/>
    <x v="0"/>
    <s v="S"/>
    <x v="0"/>
    <x v="6"/>
    <x v="231"/>
    <x v="1"/>
    <n v="3"/>
    <n v="1"/>
    <x v="6"/>
    <s v="With Family"/>
    <x v="0"/>
    <s v="no"/>
  </r>
  <r>
    <s v="PÃ¥lsson"/>
    <s v=" Mrs"/>
    <s v=" Alma Cornelia"/>
    <x v="1"/>
    <x v="1"/>
    <n v="29"/>
    <x v="2"/>
    <x v="0"/>
    <s v="S"/>
    <x v="0"/>
    <x v="6"/>
    <x v="231"/>
    <x v="1"/>
    <n v="0"/>
    <n v="4"/>
    <x v="6"/>
    <s v="With Family"/>
    <x v="0"/>
    <s v="no"/>
  </r>
  <r>
    <s v="Panula"/>
    <s v=" Master"/>
    <s v=" Eino Viljam"/>
    <x v="0"/>
    <x v="0"/>
    <n v="1"/>
    <x v="3"/>
    <x v="0"/>
    <s v="S"/>
    <x v="0"/>
    <x v="5"/>
    <x v="232"/>
    <x v="3"/>
    <n v="4"/>
    <n v="1"/>
    <x v="7"/>
    <s v="With Family"/>
    <x v="0"/>
    <s v="no"/>
  </r>
  <r>
    <s v="Panula"/>
    <s v=" Master"/>
    <s v=" Jaako Arnold"/>
    <x v="0"/>
    <x v="0"/>
    <n v="15"/>
    <x v="1"/>
    <x v="0"/>
    <s v="S"/>
    <x v="0"/>
    <x v="0"/>
    <x v="232"/>
    <x v="3"/>
    <n v="4"/>
    <n v="1"/>
    <x v="7"/>
    <s v="With Family"/>
    <x v="0"/>
    <s v="no"/>
  </r>
  <r>
    <s v="Panula"/>
    <s v=" Master"/>
    <s v=" Juha Niilo"/>
    <x v="0"/>
    <x v="0"/>
    <n v="7"/>
    <x v="3"/>
    <x v="0"/>
    <s v="S"/>
    <x v="0"/>
    <x v="5"/>
    <x v="232"/>
    <x v="3"/>
    <n v="4"/>
    <n v="1"/>
    <x v="7"/>
    <s v="With Family"/>
    <x v="0"/>
    <s v="no"/>
  </r>
  <r>
    <s v="Panula"/>
    <s v=" Master"/>
    <s v=" Urho Abraham"/>
    <x v="0"/>
    <x v="0"/>
    <n v="2"/>
    <x v="3"/>
    <x v="0"/>
    <s v="S"/>
    <x v="0"/>
    <x v="5"/>
    <x v="232"/>
    <x v="3"/>
    <n v="4"/>
    <n v="1"/>
    <x v="7"/>
    <s v="With Family"/>
    <x v="0"/>
    <s v="no"/>
  </r>
  <r>
    <s v="Panula"/>
    <s v=" Mr"/>
    <s v=" Ernesti Arvid"/>
    <x v="0"/>
    <x v="0"/>
    <n v="16"/>
    <x v="1"/>
    <x v="0"/>
    <s v="S"/>
    <x v="0"/>
    <x v="5"/>
    <x v="232"/>
    <x v="3"/>
    <n v="4"/>
    <n v="1"/>
    <x v="7"/>
    <s v="With Family"/>
    <x v="0"/>
    <s v="no"/>
  </r>
  <r>
    <s v="Panula"/>
    <s v=" Mrs"/>
    <s v=" Maija Emelia Abrahamintytar"/>
    <x v="1"/>
    <x v="1"/>
    <n v="41"/>
    <x v="0"/>
    <x v="0"/>
    <s v="S"/>
    <x v="0"/>
    <x v="5"/>
    <x v="232"/>
    <x v="3"/>
    <n v="0"/>
    <n v="5"/>
    <x v="7"/>
    <s v="With Family"/>
    <x v="0"/>
    <s v="no"/>
  </r>
  <r>
    <s v="Parker"/>
    <s v=" Mr"/>
    <s v=" Clifford Richard"/>
    <x v="0"/>
    <x v="0"/>
    <n v="17"/>
    <x v="1"/>
    <x v="1"/>
    <s v="S"/>
    <x v="0"/>
    <x v="13"/>
    <x v="23"/>
    <x v="0"/>
    <n v="0"/>
    <n v="0"/>
    <x v="0"/>
    <s v="Alone"/>
    <x v="0"/>
    <s v="no"/>
  </r>
  <r>
    <s v="Parkes"/>
    <s v=" Mr"/>
    <s v=" Francis"/>
    <x v="0"/>
    <x v="0"/>
    <n v="21"/>
    <x v="2"/>
    <x v="1"/>
    <s v="B"/>
    <x v="2"/>
    <x v="10"/>
    <x v="25"/>
    <x v="1"/>
    <n v="0"/>
    <n v="0"/>
    <x v="0"/>
    <s v="Alone"/>
    <x v="0"/>
    <s v="no"/>
  </r>
  <r>
    <s v="Parrish"/>
    <s v=" Mrs"/>
    <s v=" Lutie Davis"/>
    <x v="1"/>
    <x v="1"/>
    <n v="59"/>
    <x v="4"/>
    <x v="1"/>
    <s v="S"/>
    <x v="0"/>
    <x v="0"/>
    <x v="27"/>
    <x v="1"/>
    <n v="0"/>
    <n v="1"/>
    <x v="2"/>
    <s v="With Family"/>
    <x v="1"/>
    <s v="yes"/>
  </r>
  <r>
    <s v="Parr"/>
    <s v=" Mr"/>
    <s v=" William Henry Marsh"/>
    <x v="0"/>
    <x v="0"/>
    <n v="30"/>
    <x v="2"/>
    <x v="2"/>
    <s v="B"/>
    <x v="2"/>
    <x v="1"/>
    <x v="25"/>
    <x v="1"/>
    <n v="0"/>
    <n v="0"/>
    <x v="0"/>
    <s v="Alone"/>
    <x v="0"/>
    <s v="no"/>
  </r>
  <r>
    <s v="Partner"/>
    <s v=" Mr"/>
    <s v=" Austin"/>
    <x v="0"/>
    <x v="0"/>
    <n v="40"/>
    <x v="0"/>
    <x v="2"/>
    <s v="S"/>
    <x v="0"/>
    <x v="1"/>
    <x v="144"/>
    <x v="1"/>
    <n v="0"/>
    <n v="0"/>
    <x v="0"/>
    <s v="Alone"/>
    <x v="0"/>
    <s v="no"/>
  </r>
  <r>
    <s v="Pasic"/>
    <s v=" Mr"/>
    <s v=" Jakob"/>
    <x v="0"/>
    <x v="0"/>
    <n v="21"/>
    <x v="2"/>
    <x v="0"/>
    <s v="S"/>
    <x v="0"/>
    <x v="34"/>
    <x v="74"/>
    <x v="0"/>
    <n v="0"/>
    <n v="0"/>
    <x v="0"/>
    <s v="Alone"/>
    <x v="0"/>
    <s v="no"/>
  </r>
  <r>
    <s v="Patchett"/>
    <s v=" Mr"/>
    <s v=" George"/>
    <x v="0"/>
    <x v="0"/>
    <n v="20"/>
    <x v="2"/>
    <x v="0"/>
    <s v="S"/>
    <x v="0"/>
    <x v="1"/>
    <x v="135"/>
    <x v="0"/>
    <n v="0"/>
    <n v="0"/>
    <x v="0"/>
    <s v="Alone"/>
    <x v="0"/>
    <s v="no"/>
  </r>
  <r>
    <s v="Pavlovic"/>
    <s v=" Mr"/>
    <s v=" Stefo"/>
    <x v="0"/>
    <x v="0"/>
    <n v="32"/>
    <x v="2"/>
    <x v="0"/>
    <s v="S"/>
    <x v="0"/>
    <x v="43"/>
    <x v="26"/>
    <x v="0"/>
    <n v="0"/>
    <n v="0"/>
    <x v="0"/>
    <s v="Alone"/>
    <x v="0"/>
    <s v="no"/>
  </r>
  <r>
    <s v="Payne"/>
    <s v=" Mr"/>
    <s v=" Vivian Ponsonby"/>
    <x v="0"/>
    <x v="0"/>
    <n v="23"/>
    <x v="2"/>
    <x v="2"/>
    <s v="S"/>
    <x v="0"/>
    <x v="8"/>
    <x v="156"/>
    <x v="3"/>
    <n v="0"/>
    <n v="0"/>
    <x v="0"/>
    <s v="Alone"/>
    <x v="0"/>
    <s v="no"/>
  </r>
  <r>
    <s v="Peacock"/>
    <s v=" Master"/>
    <s v=" Albert Edward"/>
    <x v="0"/>
    <x v="0"/>
    <n v="0.58333333330000003"/>
    <x v="3"/>
    <x v="0"/>
    <s v="S"/>
    <x v="0"/>
    <x v="1"/>
    <x v="233"/>
    <x v="0"/>
    <n v="1"/>
    <n v="1"/>
    <x v="1"/>
    <s v="With Family"/>
    <x v="0"/>
    <s v="no"/>
  </r>
  <r>
    <s v="Peacock"/>
    <s v=" Miss"/>
    <s v=" Treasteall"/>
    <x v="1"/>
    <x v="1"/>
    <n v="4"/>
    <x v="3"/>
    <x v="0"/>
    <s v="S"/>
    <x v="0"/>
    <x v="1"/>
    <x v="233"/>
    <x v="0"/>
    <n v="1"/>
    <n v="1"/>
    <x v="1"/>
    <s v="With Family"/>
    <x v="0"/>
    <s v="no"/>
  </r>
  <r>
    <s v="Peacock"/>
    <s v=" Mrs"/>
    <s v=" Edith"/>
    <x v="1"/>
    <x v="1"/>
    <n v="26"/>
    <x v="2"/>
    <x v="0"/>
    <s v="S"/>
    <x v="0"/>
    <x v="1"/>
    <x v="233"/>
    <x v="0"/>
    <n v="0"/>
    <n v="2"/>
    <x v="1"/>
    <s v="With Family"/>
    <x v="0"/>
    <s v="no"/>
  </r>
  <r>
    <s v="Pearce"/>
    <s v=" Mr"/>
    <s v=" Ernest"/>
    <x v="0"/>
    <x v="0"/>
    <n v="32"/>
    <x v="2"/>
    <x v="0"/>
    <s v="S"/>
    <x v="0"/>
    <x v="1"/>
    <x v="66"/>
    <x v="0"/>
    <n v="0"/>
    <n v="0"/>
    <x v="0"/>
    <s v="Alone"/>
    <x v="0"/>
    <s v="no"/>
  </r>
  <r>
    <s v="Pears"/>
    <s v=" Mrs"/>
    <s v=" Edith"/>
    <x v="1"/>
    <x v="1"/>
    <n v="22"/>
    <x v="2"/>
    <x v="2"/>
    <s v="S"/>
    <x v="0"/>
    <x v="1"/>
    <x v="234"/>
    <x v="3"/>
    <n v="1"/>
    <n v="0"/>
    <x v="2"/>
    <s v="With Family"/>
    <x v="1"/>
    <s v="yes"/>
  </r>
  <r>
    <s v="Pears"/>
    <s v=" Mr"/>
    <s v=" Thomas Clinton"/>
    <x v="0"/>
    <x v="0"/>
    <n v="29"/>
    <x v="2"/>
    <x v="2"/>
    <s v="S"/>
    <x v="0"/>
    <x v="1"/>
    <x v="234"/>
    <x v="3"/>
    <n v="1"/>
    <n v="0"/>
    <x v="2"/>
    <s v="With Family"/>
    <x v="0"/>
    <s v="no"/>
  </r>
  <r>
    <s v="Pedersen"/>
    <s v=" Mr"/>
    <s v=" Olaf"/>
    <x v="0"/>
    <x v="0"/>
    <n v="28"/>
    <x v="2"/>
    <x v="0"/>
    <s v="S"/>
    <x v="0"/>
    <x v="2"/>
    <x v="21"/>
    <x v="0"/>
    <n v="0"/>
    <n v="0"/>
    <x v="0"/>
    <s v="Alone"/>
    <x v="0"/>
    <s v="no"/>
  </r>
  <r>
    <s v="Peduzzi"/>
    <s v=" Mr"/>
    <s v=" Giuseppe"/>
    <x v="0"/>
    <x v="0"/>
    <n v="24"/>
    <x v="2"/>
    <x v="0"/>
    <s v="S"/>
    <x v="0"/>
    <x v="1"/>
    <x v="7"/>
    <x v="0"/>
    <n v="0"/>
    <n v="0"/>
    <x v="0"/>
    <s v="Alone"/>
    <x v="0"/>
    <s v="no"/>
  </r>
  <r>
    <s v="Pekoniemi"/>
    <s v=" Mr"/>
    <s v=" Edvard"/>
    <x v="0"/>
    <x v="0"/>
    <n v="21"/>
    <x v="2"/>
    <x v="0"/>
    <s v="S"/>
    <x v="0"/>
    <x v="5"/>
    <x v="5"/>
    <x v="0"/>
    <n v="0"/>
    <n v="0"/>
    <x v="0"/>
    <s v="Alone"/>
    <x v="0"/>
    <s v="no"/>
  </r>
  <r>
    <s v="PeltomÃ¤ki"/>
    <s v=" Mr"/>
    <s v=" Nikolai Johannes"/>
    <x v="0"/>
    <x v="0"/>
    <n v="25"/>
    <x v="2"/>
    <x v="0"/>
    <s v="S"/>
    <x v="0"/>
    <x v="5"/>
    <x v="5"/>
    <x v="0"/>
    <n v="0"/>
    <n v="0"/>
    <x v="0"/>
    <s v="Alone"/>
    <x v="0"/>
    <s v="no"/>
  </r>
  <r>
    <s v="PeÃ±asco y Castellana"/>
    <s v=" Mrs"/>
    <s v=" Maria Josefa Perezde Soto y Vallejo"/>
    <x v="1"/>
    <x v="1"/>
    <n v="22"/>
    <x v="2"/>
    <x v="2"/>
    <s v="C"/>
    <x v="1"/>
    <x v="29"/>
    <x v="225"/>
    <x v="2"/>
    <n v="1"/>
    <n v="0"/>
    <x v="2"/>
    <s v="With Family"/>
    <x v="1"/>
    <s v="yes"/>
  </r>
  <r>
    <s v="PeÃ±asco y Castellana"/>
    <s v=" Mr"/>
    <s v=" Victor"/>
    <x v="0"/>
    <x v="0"/>
    <n v="24"/>
    <x v="2"/>
    <x v="2"/>
    <s v="C"/>
    <x v="1"/>
    <x v="29"/>
    <x v="225"/>
    <x v="2"/>
    <n v="1"/>
    <n v="0"/>
    <x v="2"/>
    <s v="With Family"/>
    <x v="0"/>
    <s v="no"/>
  </r>
  <r>
    <s v="Pengelly"/>
    <s v=" Mr"/>
    <s v=" Frederick William"/>
    <x v="0"/>
    <x v="0"/>
    <n v="19"/>
    <x v="2"/>
    <x v="1"/>
    <s v="S"/>
    <x v="0"/>
    <x v="1"/>
    <x v="23"/>
    <x v="0"/>
    <n v="0"/>
    <n v="0"/>
    <x v="0"/>
    <s v="Alone"/>
    <x v="0"/>
    <s v="no"/>
  </r>
  <r>
    <s v="Perkin"/>
    <s v=" Mr"/>
    <s v=" John Henry"/>
    <x v="0"/>
    <x v="0"/>
    <n v="24"/>
    <x v="2"/>
    <x v="0"/>
    <s v="S"/>
    <x v="0"/>
    <x v="1"/>
    <x v="6"/>
    <x v="0"/>
    <n v="0"/>
    <n v="0"/>
    <x v="0"/>
    <s v="Alone"/>
    <x v="0"/>
    <s v="no"/>
  </r>
  <r>
    <s v="Pernot"/>
    <s v=" Mr"/>
    <s v=" RenÃ©"/>
    <x v="0"/>
    <x v="0"/>
    <n v="39"/>
    <x v="0"/>
    <x v="1"/>
    <s v="C"/>
    <x v="1"/>
    <x v="3"/>
    <x v="235"/>
    <x v="1"/>
    <n v="0"/>
    <n v="0"/>
    <x v="0"/>
    <s v="Alone"/>
    <x v="0"/>
    <s v="no"/>
  </r>
  <r>
    <s v="Perreault"/>
    <s v=" Miss"/>
    <s v=" Mary Anne"/>
    <x v="1"/>
    <x v="1"/>
    <n v="33"/>
    <x v="2"/>
    <x v="2"/>
    <s v="S"/>
    <x v="0"/>
    <x v="8"/>
    <x v="156"/>
    <x v="3"/>
    <n v="0"/>
    <n v="0"/>
    <x v="0"/>
    <s v="Alone"/>
    <x v="1"/>
    <s v="yes"/>
  </r>
  <r>
    <s v="Persson"/>
    <s v=" Mr"/>
    <s v=" Ernst Ulrik"/>
    <x v="0"/>
    <x v="0"/>
    <n v="25"/>
    <x v="2"/>
    <x v="0"/>
    <s v="S"/>
    <x v="0"/>
    <x v="6"/>
    <x v="21"/>
    <x v="0"/>
    <n v="1"/>
    <n v="0"/>
    <x v="2"/>
    <s v="With Family"/>
    <x v="1"/>
    <s v="yes"/>
  </r>
  <r>
    <s v="Peruschitz"/>
    <s v=" Fr"/>
    <s v=" Josef"/>
    <x v="0"/>
    <x v="0"/>
    <n v="41"/>
    <x v="0"/>
    <x v="1"/>
    <s v="S"/>
    <x v="0"/>
    <x v="42"/>
    <x v="10"/>
    <x v="0"/>
    <n v="0"/>
    <n v="0"/>
    <x v="0"/>
    <s v="Alone"/>
    <x v="0"/>
    <s v="no"/>
  </r>
  <r>
    <s v="Peteranec"/>
    <s v=" Miss"/>
    <s v=" Mathilda"/>
    <x v="1"/>
    <x v="1"/>
    <n v="28"/>
    <x v="2"/>
    <x v="0"/>
    <s v="S"/>
    <x v="0"/>
    <x v="43"/>
    <x v="26"/>
    <x v="0"/>
    <n v="0"/>
    <n v="0"/>
    <x v="0"/>
    <s v="Alone"/>
    <x v="0"/>
    <s v="no"/>
  </r>
  <r>
    <s v="Peter / Joseph"/>
    <s v=" Master"/>
    <s v=" Michael J"/>
    <x v="0"/>
    <x v="0"/>
    <n v="4"/>
    <x v="3"/>
    <x v="0"/>
    <s v="C"/>
    <x v="1"/>
    <x v="4"/>
    <x v="236"/>
    <x v="1"/>
    <n v="1"/>
    <n v="1"/>
    <x v="1"/>
    <s v="With Family"/>
    <x v="1"/>
    <s v="yes"/>
  </r>
  <r>
    <s v="Peter / Joseph"/>
    <s v=" Miss"/>
    <s v=" Anna"/>
    <x v="1"/>
    <x v="1"/>
    <n v="2"/>
    <x v="3"/>
    <x v="0"/>
    <s v="C"/>
    <x v="1"/>
    <x v="4"/>
    <x v="236"/>
    <x v="1"/>
    <n v="1"/>
    <n v="1"/>
    <x v="1"/>
    <s v="With Family"/>
    <x v="1"/>
    <s v="yes"/>
  </r>
  <r>
    <s v="Petersen"/>
    <s v=" Mr"/>
    <s v=" Marius"/>
    <x v="0"/>
    <x v="0"/>
    <n v="24"/>
    <x v="2"/>
    <x v="0"/>
    <s v="S"/>
    <x v="0"/>
    <x v="1"/>
    <x v="7"/>
    <x v="0"/>
    <n v="0"/>
    <n v="0"/>
    <x v="0"/>
    <s v="Alone"/>
    <x v="0"/>
    <s v="no"/>
  </r>
  <r>
    <s v="Peters"/>
    <s v=" Miss"/>
    <s v=" Catherine"/>
    <x v="1"/>
    <x v="1"/>
    <n v="28"/>
    <x v="2"/>
    <x v="0"/>
    <s v="Q"/>
    <x v="3"/>
    <x v="16"/>
    <x v="237"/>
    <x v="0"/>
    <n v="0"/>
    <n v="0"/>
    <x v="0"/>
    <s v="Alone"/>
    <x v="0"/>
    <s v="no"/>
  </r>
  <r>
    <s v="Petroff"/>
    <s v=" Mr"/>
    <s v=" Nedialco"/>
    <x v="0"/>
    <x v="0"/>
    <n v="19"/>
    <x v="2"/>
    <x v="0"/>
    <s v="S"/>
    <x v="0"/>
    <x v="11"/>
    <x v="26"/>
    <x v="0"/>
    <n v="0"/>
    <n v="0"/>
    <x v="0"/>
    <s v="Alone"/>
    <x v="0"/>
    <s v="no"/>
  </r>
  <r>
    <s v="Petroff"/>
    <s v=" Mr"/>
    <s v=" Pastcho"/>
    <x v="0"/>
    <x v="0"/>
    <n v="29"/>
    <x v="2"/>
    <x v="0"/>
    <s v="S"/>
    <x v="0"/>
    <x v="11"/>
    <x v="26"/>
    <x v="0"/>
    <n v="0"/>
    <n v="0"/>
    <x v="0"/>
    <s v="Alone"/>
    <x v="0"/>
    <s v="no"/>
  </r>
  <r>
    <s v="Pettersson"/>
    <s v=" Miss"/>
    <s v=" Elin Natalia"/>
    <x v="1"/>
    <x v="1"/>
    <n v="18"/>
    <x v="2"/>
    <x v="0"/>
    <s v="S"/>
    <x v="0"/>
    <x v="6"/>
    <x v="21"/>
    <x v="0"/>
    <n v="0"/>
    <n v="0"/>
    <x v="0"/>
    <s v="Alone"/>
    <x v="0"/>
    <s v="no"/>
  </r>
  <r>
    <s v="Pettersson"/>
    <s v=" Mr"/>
    <s v=" Johan Emil"/>
    <x v="0"/>
    <x v="0"/>
    <n v="25"/>
    <x v="2"/>
    <x v="0"/>
    <s v="S"/>
    <x v="0"/>
    <x v="6"/>
    <x v="21"/>
    <x v="0"/>
    <n v="1"/>
    <n v="0"/>
    <x v="2"/>
    <s v="With Family"/>
    <x v="0"/>
    <s v="no"/>
  </r>
  <r>
    <s v="Peuchen"/>
    <s v=" Major"/>
    <s v=" Arthur Godfrey"/>
    <x v="0"/>
    <x v="0"/>
    <n v="52"/>
    <x v="0"/>
    <x v="2"/>
    <s v="S"/>
    <x v="0"/>
    <x v="8"/>
    <x v="64"/>
    <x v="1"/>
    <n v="0"/>
    <n v="0"/>
    <x v="0"/>
    <s v="Alone"/>
    <x v="1"/>
    <s v="yes"/>
  </r>
  <r>
    <s v="Phillips"/>
    <s v=" Miss"/>
    <s v=" Alice Frances Louisa"/>
    <x v="1"/>
    <x v="1"/>
    <n v="21"/>
    <x v="2"/>
    <x v="1"/>
    <s v="S"/>
    <x v="0"/>
    <x v="1"/>
    <x v="77"/>
    <x v="1"/>
    <n v="0"/>
    <n v="1"/>
    <x v="2"/>
    <s v="With Family"/>
    <x v="1"/>
    <s v="yes"/>
  </r>
  <r>
    <s v="Phillips"/>
    <s v=" Miss"/>
    <s v=" Kate Florence"/>
    <x v="1"/>
    <x v="1"/>
    <n v="19"/>
    <x v="2"/>
    <x v="1"/>
    <s v="S"/>
    <x v="0"/>
    <x v="1"/>
    <x v="27"/>
    <x v="1"/>
    <n v="0"/>
    <n v="0"/>
    <x v="0"/>
    <s v="Alone"/>
    <x v="1"/>
    <s v="yes"/>
  </r>
  <r>
    <s v="Phillips"/>
    <s v=" Mr"/>
    <s v=" Escott Robert"/>
    <x v="0"/>
    <x v="0"/>
    <n v="43"/>
    <x v="0"/>
    <x v="1"/>
    <s v="S"/>
    <x v="0"/>
    <x v="1"/>
    <x v="77"/>
    <x v="1"/>
    <n v="0"/>
    <n v="1"/>
    <x v="2"/>
    <s v="With Family"/>
    <x v="0"/>
    <s v="no"/>
  </r>
  <r>
    <s v="Picard"/>
    <s v=" Mr"/>
    <s v=" BenoÃ®t"/>
    <x v="0"/>
    <x v="0"/>
    <n v="33"/>
    <x v="2"/>
    <x v="0"/>
    <s v="S"/>
    <x v="0"/>
    <x v="26"/>
    <x v="7"/>
    <x v="0"/>
    <n v="0"/>
    <n v="0"/>
    <x v="0"/>
    <s v="Alone"/>
    <x v="1"/>
    <s v="yes"/>
  </r>
  <r>
    <s v="Pinsky"/>
    <s v=" Mrs"/>
    <s v=" Rosa"/>
    <x v="1"/>
    <x v="1"/>
    <n v="32"/>
    <x v="2"/>
    <x v="1"/>
    <s v="S"/>
    <x v="0"/>
    <x v="26"/>
    <x v="10"/>
    <x v="0"/>
    <n v="0"/>
    <n v="0"/>
    <x v="0"/>
    <s v="Alone"/>
    <x v="1"/>
    <s v="yes"/>
  </r>
  <r>
    <s v="Plotcharsky"/>
    <s v=" Mr"/>
    <s v=" Vasil"/>
    <x v="0"/>
    <x v="0"/>
    <n v="27"/>
    <x v="2"/>
    <x v="0"/>
    <s v="S"/>
    <x v="0"/>
    <x v="1"/>
    <x v="26"/>
    <x v="0"/>
    <n v="0"/>
    <n v="0"/>
    <x v="0"/>
    <s v="Alone"/>
    <x v="0"/>
    <s v="no"/>
  </r>
  <r>
    <s v="Pokrnic"/>
    <s v=" Mr"/>
    <s v=" Mate"/>
    <x v="0"/>
    <x v="0"/>
    <n v="17"/>
    <x v="1"/>
    <x v="0"/>
    <s v="S"/>
    <x v="0"/>
    <x v="43"/>
    <x v="74"/>
    <x v="0"/>
    <n v="0"/>
    <n v="0"/>
    <x v="0"/>
    <s v="Alone"/>
    <x v="0"/>
    <s v="no"/>
  </r>
  <r>
    <s v="Pokrnic"/>
    <s v=" Mr"/>
    <s v=" Tome"/>
    <x v="0"/>
    <x v="0"/>
    <n v="24"/>
    <x v="2"/>
    <x v="0"/>
    <s v="S"/>
    <x v="0"/>
    <x v="43"/>
    <x v="74"/>
    <x v="0"/>
    <n v="0"/>
    <n v="0"/>
    <x v="0"/>
    <s v="Alone"/>
    <x v="0"/>
    <s v="no"/>
  </r>
  <r>
    <s v="Ponesell"/>
    <s v=" Mr"/>
    <s v=" Martin"/>
    <x v="0"/>
    <x v="0"/>
    <n v="24"/>
    <x v="2"/>
    <x v="1"/>
    <s v="S"/>
    <x v="0"/>
    <x v="1"/>
    <x v="10"/>
    <x v="0"/>
    <n v="0"/>
    <n v="0"/>
    <x v="0"/>
    <s v="Alone"/>
    <x v="0"/>
    <s v="no"/>
  </r>
  <r>
    <s v="Portaluppi"/>
    <s v=" Mr"/>
    <s v=" Emilio Ilario Giuseppe"/>
    <x v="0"/>
    <x v="0"/>
    <n v="30"/>
    <x v="2"/>
    <x v="1"/>
    <s v="C"/>
    <x v="1"/>
    <x v="0"/>
    <x v="238"/>
    <x v="0"/>
    <n v="0"/>
    <n v="0"/>
    <x v="0"/>
    <s v="Alone"/>
    <x v="1"/>
    <s v="yes"/>
  </r>
  <r>
    <s v="Porter"/>
    <s v=" Mr"/>
    <s v=" Walter Chamberlain"/>
    <x v="0"/>
    <x v="0"/>
    <n v="46"/>
    <x v="0"/>
    <x v="2"/>
    <s v="S"/>
    <x v="0"/>
    <x v="0"/>
    <x v="91"/>
    <x v="3"/>
    <n v="0"/>
    <n v="0"/>
    <x v="0"/>
    <s v="Alone"/>
    <x v="0"/>
    <s v="no"/>
  </r>
  <r>
    <s v="Potter"/>
    <s v=" Mrs"/>
    <s v=" Lily Alexenia"/>
    <x v="1"/>
    <x v="1"/>
    <n v="56"/>
    <x v="4"/>
    <x v="2"/>
    <s v="C"/>
    <x v="1"/>
    <x v="0"/>
    <x v="94"/>
    <x v="3"/>
    <n v="0"/>
    <n v="1"/>
    <x v="2"/>
    <s v="With Family"/>
    <x v="1"/>
    <s v="yes"/>
  </r>
  <r>
    <s v="Pulbaum"/>
    <s v=" Mr"/>
    <s v=" Franz"/>
    <x v="0"/>
    <x v="0"/>
    <n v="27"/>
    <x v="2"/>
    <x v="1"/>
    <s v="C"/>
    <x v="1"/>
    <x v="0"/>
    <x v="171"/>
    <x v="0"/>
    <n v="0"/>
    <n v="0"/>
    <x v="0"/>
    <s v="Alone"/>
    <x v="0"/>
    <s v="no"/>
  </r>
  <r>
    <s v="Pulner"/>
    <s v=" Mr"/>
    <s v=" Uscher"/>
    <x v="0"/>
    <x v="0"/>
    <n v="16"/>
    <x v="1"/>
    <x v="0"/>
    <s v="C"/>
    <x v="1"/>
    <x v="1"/>
    <x v="239"/>
    <x v="0"/>
    <n v="0"/>
    <n v="0"/>
    <x v="0"/>
    <s v="Alone"/>
    <x v="0"/>
    <s v="no"/>
  </r>
  <r>
    <s v="Quick"/>
    <s v=" Miss"/>
    <s v=" Phyllis May"/>
    <x v="1"/>
    <x v="1"/>
    <n v="2"/>
    <x v="3"/>
    <x v="1"/>
    <s v="S"/>
    <x v="0"/>
    <x v="1"/>
    <x v="27"/>
    <x v="1"/>
    <n v="1"/>
    <n v="1"/>
    <x v="1"/>
    <s v="With Family"/>
    <x v="1"/>
    <s v="yes"/>
  </r>
  <r>
    <s v="Quick"/>
    <s v=" Miss"/>
    <s v=" Winifred Vera"/>
    <x v="1"/>
    <x v="1"/>
    <n v="8"/>
    <x v="3"/>
    <x v="1"/>
    <s v="S"/>
    <x v="0"/>
    <x v="1"/>
    <x v="27"/>
    <x v="1"/>
    <n v="1"/>
    <n v="1"/>
    <x v="1"/>
    <s v="With Family"/>
    <x v="1"/>
    <s v="yes"/>
  </r>
  <r>
    <s v="Quick"/>
    <s v=" Mrs"/>
    <s v=" Jane"/>
    <x v="1"/>
    <x v="1"/>
    <n v="33"/>
    <x v="2"/>
    <x v="1"/>
    <s v="S"/>
    <x v="0"/>
    <x v="1"/>
    <x v="27"/>
    <x v="1"/>
    <n v="0"/>
    <n v="2"/>
    <x v="1"/>
    <s v="With Family"/>
    <x v="1"/>
    <s v="yes"/>
  </r>
  <r>
    <s v="Radeff"/>
    <s v=" Mr"/>
    <s v=" Alexander"/>
    <x v="0"/>
    <x v="0"/>
    <n v="27"/>
    <x v="2"/>
    <x v="0"/>
    <s v="S"/>
    <x v="0"/>
    <x v="1"/>
    <x v="26"/>
    <x v="0"/>
    <n v="0"/>
    <n v="0"/>
    <x v="0"/>
    <s v="Alone"/>
    <x v="0"/>
    <s v="no"/>
  </r>
  <r>
    <s v="RafÅ«l-BÅ«lus"/>
    <s v=" Mr"/>
    <s v=" BÄkhÅ«s"/>
    <x v="0"/>
    <x v="0"/>
    <n v="21"/>
    <x v="2"/>
    <x v="0"/>
    <s v="C"/>
    <x v="1"/>
    <x v="4"/>
    <x v="33"/>
    <x v="0"/>
    <n v="0"/>
    <n v="0"/>
    <x v="0"/>
    <s v="Alone"/>
    <x v="0"/>
    <s v="no"/>
  </r>
  <r>
    <s v="Rasmussen"/>
    <s v=" Mrs"/>
    <s v=" Lena Jakobsen"/>
    <x v="1"/>
    <x v="1"/>
    <n v="63"/>
    <x v="4"/>
    <x v="0"/>
    <s v="S"/>
    <x v="0"/>
    <x v="2"/>
    <x v="174"/>
    <x v="0"/>
    <n v="0"/>
    <n v="0"/>
    <x v="0"/>
    <s v="Alone"/>
    <x v="0"/>
    <s v="no"/>
  </r>
  <r>
    <s v="Razi"/>
    <s v=" Mr"/>
    <s v=" Raihed"/>
    <x v="0"/>
    <x v="0"/>
    <n v="30"/>
    <x v="2"/>
    <x v="0"/>
    <s v="C"/>
    <x v="1"/>
    <x v="4"/>
    <x v="16"/>
    <x v="0"/>
    <n v="0"/>
    <n v="0"/>
    <x v="0"/>
    <s v="Alone"/>
    <x v="0"/>
    <s v="no"/>
  </r>
  <r>
    <s v="Reed"/>
    <s v=" Mr"/>
    <s v=" James George"/>
    <x v="0"/>
    <x v="0"/>
    <n v="18"/>
    <x v="2"/>
    <x v="0"/>
    <s v="S"/>
    <x v="0"/>
    <x v="19"/>
    <x v="6"/>
    <x v="0"/>
    <n v="0"/>
    <n v="0"/>
    <x v="0"/>
    <s v="Alone"/>
    <x v="0"/>
    <s v="no"/>
  </r>
  <r>
    <s v="Reeves"/>
    <s v=" Mr"/>
    <s v=" David"/>
    <x v="0"/>
    <x v="0"/>
    <n v="36"/>
    <x v="0"/>
    <x v="1"/>
    <s v="S"/>
    <x v="0"/>
    <x v="1"/>
    <x v="23"/>
    <x v="0"/>
    <n v="0"/>
    <n v="0"/>
    <x v="0"/>
    <s v="Alone"/>
    <x v="0"/>
    <s v="no"/>
  </r>
  <r>
    <s v="Rekic"/>
    <s v=" Mr"/>
    <s v=" Tido"/>
    <x v="0"/>
    <x v="0"/>
    <n v="38"/>
    <x v="0"/>
    <x v="0"/>
    <s v="S"/>
    <x v="0"/>
    <x v="14"/>
    <x v="26"/>
    <x v="0"/>
    <n v="0"/>
    <n v="0"/>
    <x v="0"/>
    <s v="Alone"/>
    <x v="0"/>
    <s v="no"/>
  </r>
  <r>
    <s v="Renouf"/>
    <s v=" Mr"/>
    <s v=" Peter Henry"/>
    <x v="0"/>
    <x v="0"/>
    <n v="33"/>
    <x v="2"/>
    <x v="1"/>
    <s v="S"/>
    <x v="0"/>
    <x v="13"/>
    <x v="77"/>
    <x v="1"/>
    <n v="1"/>
    <n v="0"/>
    <x v="2"/>
    <s v="With Family"/>
    <x v="0"/>
    <s v="no"/>
  </r>
  <r>
    <s v="Renouf"/>
    <s v=" Mrs"/>
    <s v=" Lillian"/>
    <x v="1"/>
    <x v="1"/>
    <n v="30"/>
    <x v="2"/>
    <x v="1"/>
    <s v="S"/>
    <x v="0"/>
    <x v="13"/>
    <x v="77"/>
    <x v="1"/>
    <n v="3"/>
    <n v="0"/>
    <x v="3"/>
    <s v="With Family"/>
    <x v="1"/>
    <s v="yes"/>
  </r>
  <r>
    <s v="Reuchlin"/>
    <s v=" Mr"/>
    <s v=" Jonkheer Johan George"/>
    <x v="0"/>
    <x v="0"/>
    <n v="37"/>
    <x v="0"/>
    <x v="2"/>
    <s v="C"/>
    <x v="1"/>
    <x v="45"/>
    <x v="25"/>
    <x v="1"/>
    <n v="0"/>
    <n v="0"/>
    <x v="0"/>
    <s v="Alone"/>
    <x v="0"/>
    <s v="no"/>
  </r>
  <r>
    <s v="Reynalds"/>
    <s v=" Sra"/>
    <s v=" EncarnaciÃ³n"/>
    <x v="1"/>
    <x v="1"/>
    <n v="29"/>
    <x v="2"/>
    <x v="1"/>
    <s v="S"/>
    <x v="0"/>
    <x v="29"/>
    <x v="10"/>
    <x v="0"/>
    <n v="0"/>
    <n v="0"/>
    <x v="0"/>
    <s v="Alone"/>
    <x v="1"/>
    <s v="yes"/>
  </r>
  <r>
    <s v="Reynolds"/>
    <s v=" Mr"/>
    <s v=" Harold"/>
    <x v="0"/>
    <x v="0"/>
    <n v="21"/>
    <x v="2"/>
    <x v="0"/>
    <s v="S"/>
    <x v="0"/>
    <x v="1"/>
    <x v="7"/>
    <x v="0"/>
    <n v="0"/>
    <n v="0"/>
    <x v="0"/>
    <s v="Alone"/>
    <x v="0"/>
    <s v="no"/>
  </r>
  <r>
    <s v="Rheims"/>
    <s v=" Mr"/>
    <s v=" George Alexander Lucien"/>
    <x v="0"/>
    <x v="0"/>
    <n v="33"/>
    <x v="2"/>
    <x v="2"/>
    <s v="C"/>
    <x v="1"/>
    <x v="0"/>
    <x v="67"/>
    <x v="3"/>
    <n v="0"/>
    <n v="0"/>
    <x v="0"/>
    <s v="Alone"/>
    <x v="1"/>
    <s v="yes"/>
  </r>
  <r>
    <s v="Rice"/>
    <s v=" Master"/>
    <s v=" Albert"/>
    <x v="0"/>
    <x v="0"/>
    <n v="10"/>
    <x v="1"/>
    <x v="0"/>
    <s v="Q"/>
    <x v="3"/>
    <x v="16"/>
    <x v="240"/>
    <x v="1"/>
    <n v="4"/>
    <n v="1"/>
    <x v="7"/>
    <s v="With Family"/>
    <x v="0"/>
    <s v="no"/>
  </r>
  <r>
    <s v="Rice"/>
    <s v=" Master"/>
    <s v=" Arthur"/>
    <x v="0"/>
    <x v="0"/>
    <n v="4"/>
    <x v="3"/>
    <x v="0"/>
    <s v="Q"/>
    <x v="3"/>
    <x v="16"/>
    <x v="240"/>
    <x v="1"/>
    <n v="4"/>
    <n v="1"/>
    <x v="7"/>
    <s v="With Family"/>
    <x v="0"/>
    <s v="no"/>
  </r>
  <r>
    <s v="Rice"/>
    <s v=" Master"/>
    <s v=" Eric"/>
    <x v="0"/>
    <x v="0"/>
    <n v="7"/>
    <x v="3"/>
    <x v="0"/>
    <s v="Q"/>
    <x v="3"/>
    <x v="16"/>
    <x v="240"/>
    <x v="1"/>
    <n v="4"/>
    <n v="1"/>
    <x v="7"/>
    <s v="With Family"/>
    <x v="0"/>
    <s v="no"/>
  </r>
  <r>
    <s v="Rice"/>
    <s v=" Master"/>
    <s v=" Eugene Francis"/>
    <x v="0"/>
    <x v="0"/>
    <n v="2"/>
    <x v="3"/>
    <x v="0"/>
    <s v="Q"/>
    <x v="3"/>
    <x v="16"/>
    <x v="240"/>
    <x v="1"/>
    <n v="4"/>
    <n v="1"/>
    <x v="7"/>
    <s v="With Family"/>
    <x v="0"/>
    <s v="no"/>
  </r>
  <r>
    <s v="Rice"/>
    <s v=" Master"/>
    <s v=" George Hugh"/>
    <x v="0"/>
    <x v="0"/>
    <n v="8"/>
    <x v="3"/>
    <x v="0"/>
    <s v="Q"/>
    <x v="3"/>
    <x v="16"/>
    <x v="240"/>
    <x v="1"/>
    <n v="4"/>
    <n v="1"/>
    <x v="7"/>
    <s v="With Family"/>
    <x v="0"/>
    <s v="no"/>
  </r>
  <r>
    <s v="Rice"/>
    <s v=" Mrs"/>
    <s v=" Margaret"/>
    <x v="1"/>
    <x v="1"/>
    <n v="39"/>
    <x v="0"/>
    <x v="0"/>
    <s v="Q"/>
    <x v="3"/>
    <x v="16"/>
    <x v="240"/>
    <x v="1"/>
    <n v="0"/>
    <n v="5"/>
    <x v="7"/>
    <s v="With Family"/>
    <x v="0"/>
    <s v="no"/>
  </r>
  <r>
    <s v="Richard"/>
    <s v=" Mr"/>
    <s v=" Emile Phillippe"/>
    <x v="0"/>
    <x v="0"/>
    <n v="23"/>
    <x v="2"/>
    <x v="1"/>
    <s v="C"/>
    <x v="1"/>
    <x v="1"/>
    <x v="171"/>
    <x v="0"/>
    <n v="0"/>
    <n v="0"/>
    <x v="0"/>
    <s v="Alone"/>
    <x v="0"/>
    <s v="no"/>
  </r>
  <r>
    <s v="Richards"/>
    <s v=" Master"/>
    <s v=" Sibley George"/>
    <x v="0"/>
    <x v="0"/>
    <n v="0.75"/>
    <x v="3"/>
    <x v="1"/>
    <s v="S"/>
    <x v="0"/>
    <x v="1"/>
    <x v="241"/>
    <x v="1"/>
    <n v="1"/>
    <n v="1"/>
    <x v="1"/>
    <s v="With Family"/>
    <x v="1"/>
    <s v="yes"/>
  </r>
  <r>
    <s v="Richards"/>
    <s v=" Master"/>
    <s v=" William Rowe"/>
    <x v="0"/>
    <x v="0"/>
    <n v="3"/>
    <x v="3"/>
    <x v="1"/>
    <s v="S"/>
    <x v="0"/>
    <x v="1"/>
    <x v="241"/>
    <x v="1"/>
    <n v="1"/>
    <n v="1"/>
    <x v="1"/>
    <s v="With Family"/>
    <x v="1"/>
    <s v="yes"/>
  </r>
  <r>
    <s v="Richards"/>
    <s v=" Mrs"/>
    <s v=" Emily"/>
    <x v="1"/>
    <x v="1"/>
    <n v="24"/>
    <x v="2"/>
    <x v="1"/>
    <s v="S"/>
    <x v="0"/>
    <x v="1"/>
    <x v="241"/>
    <x v="1"/>
    <n v="2"/>
    <n v="3"/>
    <x v="7"/>
    <s v="With Family"/>
    <x v="1"/>
    <s v="yes"/>
  </r>
  <r>
    <s v="Ridsdale"/>
    <s v=" Miss"/>
    <s v=" Lucy"/>
    <x v="1"/>
    <x v="1"/>
    <n v="58"/>
    <x v="4"/>
    <x v="1"/>
    <s v="S"/>
    <x v="0"/>
    <x v="1"/>
    <x v="23"/>
    <x v="0"/>
    <n v="0"/>
    <n v="0"/>
    <x v="0"/>
    <s v="Alone"/>
    <x v="1"/>
    <s v="yes"/>
  </r>
  <r>
    <s v="Righini"/>
    <s v=" Mr"/>
    <s v=" Sante"/>
    <x v="0"/>
    <x v="0"/>
    <n v="22"/>
    <x v="2"/>
    <x v="2"/>
    <s v="C"/>
    <x v="1"/>
    <x v="1"/>
    <x v="242"/>
    <x v="2"/>
    <n v="0"/>
    <n v="0"/>
    <x v="0"/>
    <s v="Alone"/>
    <x v="0"/>
    <s v="no"/>
  </r>
  <r>
    <s v="Riihivuori"/>
    <s v=" Miss"/>
    <s v=" Susanna JuhantytÃ¤r"/>
    <x v="1"/>
    <x v="1"/>
    <n v="22"/>
    <x v="2"/>
    <x v="0"/>
    <s v="S"/>
    <x v="0"/>
    <x v="5"/>
    <x v="232"/>
    <x v="3"/>
    <n v="0"/>
    <n v="0"/>
    <x v="0"/>
    <s v="Alone"/>
    <x v="0"/>
    <s v="no"/>
  </r>
  <r>
    <s v="RintamÃ¤ki"/>
    <s v=" Mr"/>
    <s v=" Matti"/>
    <x v="0"/>
    <x v="0"/>
    <n v="35"/>
    <x v="2"/>
    <x v="0"/>
    <s v="S"/>
    <x v="0"/>
    <x v="5"/>
    <x v="180"/>
    <x v="0"/>
    <n v="0"/>
    <n v="0"/>
    <x v="0"/>
    <s v="Alone"/>
    <x v="0"/>
    <s v="no"/>
  </r>
  <r>
    <s v="Riordan"/>
    <s v=" Miss"/>
    <s v=" Hannah"/>
    <x v="1"/>
    <x v="1"/>
    <n v="22"/>
    <x v="2"/>
    <x v="0"/>
    <s v="Q"/>
    <x v="3"/>
    <x v="16"/>
    <x v="243"/>
    <x v="0"/>
    <n v="0"/>
    <n v="0"/>
    <x v="0"/>
    <s v="Alone"/>
    <x v="1"/>
    <s v="yes"/>
  </r>
  <r>
    <s v="Risien"/>
    <s v=" Mr"/>
    <s v=" Samuel Beard"/>
    <x v="0"/>
    <x v="0"/>
    <n v="69"/>
    <x v="4"/>
    <x v="0"/>
    <s v="S"/>
    <x v="0"/>
    <x v="1"/>
    <x v="135"/>
    <x v="0"/>
    <n v="0"/>
    <n v="0"/>
    <x v="0"/>
    <s v="Alone"/>
    <x v="0"/>
    <s v="no"/>
  </r>
  <r>
    <s v="Risien"/>
    <s v=" Mrs"/>
    <s v=" Emma Jane"/>
    <x v="1"/>
    <x v="1"/>
    <n v="64"/>
    <x v="4"/>
    <x v="0"/>
    <s v="S"/>
    <x v="0"/>
    <x v="1"/>
    <x v="135"/>
    <x v="0"/>
    <n v="0"/>
    <n v="0"/>
    <x v="0"/>
    <s v="Alone"/>
    <x v="0"/>
    <s v="no"/>
  </r>
  <r>
    <s v="Robert"/>
    <s v=" Mrs"/>
    <s v=" Elisabeth Walton"/>
    <x v="1"/>
    <x v="1"/>
    <n v="43"/>
    <x v="0"/>
    <x v="2"/>
    <s v="S"/>
    <x v="0"/>
    <x v="0"/>
    <x v="188"/>
    <x v="2"/>
    <n v="0"/>
    <n v="1"/>
    <x v="2"/>
    <s v="With Family"/>
    <x v="1"/>
    <s v="yes"/>
  </r>
  <r>
    <s v="Robins"/>
    <s v=" Mr"/>
    <s v=" Alexander A"/>
    <x v="0"/>
    <x v="0"/>
    <n v="50"/>
    <x v="0"/>
    <x v="0"/>
    <s v="S"/>
    <x v="0"/>
    <x v="1"/>
    <x v="135"/>
    <x v="0"/>
    <n v="1"/>
    <n v="0"/>
    <x v="2"/>
    <s v="With Family"/>
    <x v="0"/>
    <s v="no"/>
  </r>
  <r>
    <s v="Robins"/>
    <s v=" Mrs"/>
    <s v=" Charity"/>
    <x v="1"/>
    <x v="1"/>
    <n v="48"/>
    <x v="0"/>
    <x v="0"/>
    <s v="S"/>
    <x v="0"/>
    <x v="1"/>
    <x v="135"/>
    <x v="0"/>
    <n v="1"/>
    <n v="0"/>
    <x v="2"/>
    <s v="With Family"/>
    <x v="0"/>
    <s v="no"/>
  </r>
  <r>
    <s v="Robins"/>
    <s v=" Mr"/>
    <s v=" Victor"/>
    <x v="0"/>
    <x v="0"/>
    <n v="45"/>
    <x v="0"/>
    <x v="2"/>
    <s v="C"/>
    <x v="1"/>
    <x v="1"/>
    <x v="34"/>
    <x v="2"/>
    <n v="0"/>
    <n v="0"/>
    <x v="0"/>
    <s v="Alone"/>
    <x v="0"/>
    <s v="no"/>
  </r>
  <r>
    <s v="Roebling"/>
    <s v=" Mr"/>
    <s v=" Washington Augustus II"/>
    <x v="0"/>
    <x v="0"/>
    <n v="31"/>
    <x v="2"/>
    <x v="2"/>
    <s v="S"/>
    <x v="0"/>
    <x v="0"/>
    <x v="65"/>
    <x v="3"/>
    <n v="0"/>
    <n v="0"/>
    <x v="0"/>
    <s v="Alone"/>
    <x v="0"/>
    <s v="no"/>
  </r>
  <r>
    <s v="Rogers"/>
    <s v=" Mr"/>
    <s v=" Reginald Harry"/>
    <x v="0"/>
    <x v="0"/>
    <n v="18"/>
    <x v="2"/>
    <x v="1"/>
    <s v="S"/>
    <x v="0"/>
    <x v="1"/>
    <x v="23"/>
    <x v="0"/>
    <n v="0"/>
    <n v="0"/>
    <x v="0"/>
    <s v="Alone"/>
    <x v="0"/>
    <s v="no"/>
  </r>
  <r>
    <s v="Rogers"/>
    <s v=" Mr"/>
    <s v=" William John"/>
    <x v="0"/>
    <x v="0"/>
    <n v="30"/>
    <x v="2"/>
    <x v="0"/>
    <s v="S"/>
    <x v="0"/>
    <x v="19"/>
    <x v="7"/>
    <x v="0"/>
    <n v="0"/>
    <n v="0"/>
    <x v="0"/>
    <s v="Alone"/>
    <x v="0"/>
    <s v="no"/>
  </r>
  <r>
    <s v="Romaine"/>
    <s v=" Mr"/>
    <s v=" Charles Hallace"/>
    <x v="0"/>
    <x v="0"/>
    <n v="45"/>
    <x v="0"/>
    <x v="2"/>
    <s v="S"/>
    <x v="0"/>
    <x v="0"/>
    <x v="19"/>
    <x v="1"/>
    <n v="0"/>
    <n v="0"/>
    <x v="0"/>
    <s v="Alone"/>
    <x v="1"/>
    <s v="yes"/>
  </r>
  <r>
    <s v="Rommetvedt"/>
    <s v=" Mr"/>
    <s v=" Knud Paust"/>
    <x v="0"/>
    <x v="0"/>
    <n v="49"/>
    <x v="0"/>
    <x v="0"/>
    <s v="S"/>
    <x v="0"/>
    <x v="2"/>
    <x v="21"/>
    <x v="0"/>
    <n v="0"/>
    <n v="0"/>
    <x v="0"/>
    <s v="Alone"/>
    <x v="0"/>
    <s v="no"/>
  </r>
  <r>
    <s v="Rood"/>
    <s v=" Mr"/>
    <s v=" Hugh Roscoe"/>
    <x v="0"/>
    <x v="0"/>
    <n v="39"/>
    <x v="0"/>
    <x v="2"/>
    <s v="S"/>
    <x v="0"/>
    <x v="0"/>
    <x v="162"/>
    <x v="3"/>
    <n v="0"/>
    <n v="0"/>
    <x v="0"/>
    <s v="Alone"/>
    <x v="0"/>
    <s v="no"/>
  </r>
  <r>
    <s v="Rosblom"/>
    <s v=" Miss"/>
    <s v=" Salli Helena"/>
    <x v="1"/>
    <x v="1"/>
    <n v="2"/>
    <x v="3"/>
    <x v="0"/>
    <s v="S"/>
    <x v="0"/>
    <x v="5"/>
    <x v="244"/>
    <x v="1"/>
    <n v="1"/>
    <n v="1"/>
    <x v="1"/>
    <s v="With Family"/>
    <x v="0"/>
    <s v="no"/>
  </r>
  <r>
    <s v="Rosblom"/>
    <s v=" Mrs"/>
    <s v=" Helena Wilhelmina"/>
    <x v="1"/>
    <x v="1"/>
    <n v="41"/>
    <x v="0"/>
    <x v="0"/>
    <s v="S"/>
    <x v="0"/>
    <x v="5"/>
    <x v="244"/>
    <x v="1"/>
    <n v="0"/>
    <n v="2"/>
    <x v="1"/>
    <s v="With Family"/>
    <x v="0"/>
    <s v="no"/>
  </r>
  <r>
    <s v="Rosblom"/>
    <s v=" Mr"/>
    <s v=" Viktor Richard"/>
    <x v="0"/>
    <x v="0"/>
    <n v="18"/>
    <x v="2"/>
    <x v="0"/>
    <s v="S"/>
    <x v="0"/>
    <x v="5"/>
    <x v="244"/>
    <x v="1"/>
    <n v="1"/>
    <n v="1"/>
    <x v="1"/>
    <s v="With Family"/>
    <x v="0"/>
    <s v="no"/>
  </r>
  <r>
    <s v="Rosenbaum"/>
    <s v=" Miss"/>
    <s v=" Edith Louise"/>
    <x v="1"/>
    <x v="1"/>
    <n v="33"/>
    <x v="2"/>
    <x v="2"/>
    <s v="C"/>
    <x v="1"/>
    <x v="3"/>
    <x v="68"/>
    <x v="1"/>
    <n v="0"/>
    <n v="0"/>
    <x v="0"/>
    <s v="Alone"/>
    <x v="1"/>
    <s v="yes"/>
  </r>
  <r>
    <s v="Rosenshine"/>
    <s v=" Mr"/>
    <s v=" George"/>
    <x v="0"/>
    <x v="0"/>
    <n v="46"/>
    <x v="0"/>
    <x v="2"/>
    <s v="C"/>
    <x v="1"/>
    <x v="0"/>
    <x v="245"/>
    <x v="3"/>
    <n v="0"/>
    <n v="0"/>
    <x v="0"/>
    <s v="Alone"/>
    <x v="0"/>
    <s v="no"/>
  </r>
  <r>
    <s v="Ross"/>
    <s v=" Mr"/>
    <s v=" John Hugo"/>
    <x v="0"/>
    <x v="0"/>
    <n v="36"/>
    <x v="0"/>
    <x v="2"/>
    <s v="S"/>
    <x v="0"/>
    <x v="8"/>
    <x v="246"/>
    <x v="3"/>
    <n v="0"/>
    <n v="0"/>
    <x v="0"/>
    <s v="Alone"/>
    <x v="0"/>
    <s v="no"/>
  </r>
  <r>
    <s v="Rothes"/>
    <s v=" Lucy NoÃ«l Martha"/>
    <s v=" Countess of"/>
    <x v="1"/>
    <x v="1"/>
    <n v="33"/>
    <x v="2"/>
    <x v="2"/>
    <s v="S"/>
    <x v="0"/>
    <x v="1"/>
    <x v="87"/>
    <x v="3"/>
    <n v="0"/>
    <n v="0"/>
    <x v="0"/>
    <s v="Alone"/>
    <x v="1"/>
    <s v="yes"/>
  </r>
  <r>
    <s v="Roth"/>
    <s v=" Miss"/>
    <s v=" Sarah"/>
    <x v="1"/>
    <x v="1"/>
    <n v="26"/>
    <x v="2"/>
    <x v="0"/>
    <s v="S"/>
    <x v="0"/>
    <x v="38"/>
    <x v="7"/>
    <x v="0"/>
    <n v="0"/>
    <n v="0"/>
    <x v="0"/>
    <s v="Alone"/>
    <x v="1"/>
    <s v="yes"/>
  </r>
  <r>
    <s v="Rothschild"/>
    <s v=" Mr"/>
    <s v=" Martin"/>
    <x v="0"/>
    <x v="0"/>
    <n v="46"/>
    <x v="0"/>
    <x v="2"/>
    <s v="C"/>
    <x v="1"/>
    <x v="0"/>
    <x v="137"/>
    <x v="3"/>
    <n v="1"/>
    <n v="0"/>
    <x v="2"/>
    <s v="With Family"/>
    <x v="0"/>
    <s v="no"/>
  </r>
  <r>
    <s v="Rothschild"/>
    <s v=" Mrs"/>
    <s v=" Elizabeth Jane Anne"/>
    <x v="1"/>
    <x v="1"/>
    <n v="54"/>
    <x v="0"/>
    <x v="2"/>
    <s v="C"/>
    <x v="1"/>
    <x v="0"/>
    <x v="137"/>
    <x v="3"/>
    <n v="1"/>
    <n v="0"/>
    <x v="2"/>
    <s v="With Family"/>
    <x v="1"/>
    <s v="yes"/>
  </r>
  <r>
    <s v="Rouse"/>
    <s v=" Mr"/>
    <s v=" Richard Henry"/>
    <x v="0"/>
    <x v="0"/>
    <n v="55"/>
    <x v="0"/>
    <x v="0"/>
    <s v="S"/>
    <x v="0"/>
    <x v="1"/>
    <x v="7"/>
    <x v="0"/>
    <n v="0"/>
    <n v="0"/>
    <x v="0"/>
    <s v="Alone"/>
    <x v="0"/>
    <s v="no"/>
  </r>
  <r>
    <s v="Rowe"/>
    <s v=" Mr"/>
    <s v=" Alfred G"/>
    <x v="0"/>
    <x v="0"/>
    <n v="59"/>
    <x v="4"/>
    <x v="2"/>
    <s v="S"/>
    <x v="0"/>
    <x v="28"/>
    <x v="19"/>
    <x v="1"/>
    <n v="0"/>
    <n v="0"/>
    <x v="0"/>
    <s v="Alone"/>
    <x v="0"/>
    <s v="no"/>
  </r>
  <r>
    <s v="Rugg"/>
    <s v=" Miss"/>
    <s v=" Emily"/>
    <x v="1"/>
    <x v="1"/>
    <n v="22"/>
    <x v="2"/>
    <x v="1"/>
    <s v="S"/>
    <x v="0"/>
    <x v="13"/>
    <x v="23"/>
    <x v="0"/>
    <n v="0"/>
    <n v="0"/>
    <x v="0"/>
    <s v="Alone"/>
    <x v="1"/>
    <s v="yes"/>
  </r>
  <r>
    <s v="Rush"/>
    <s v=" Mr"/>
    <s v=" Alfred George John"/>
    <x v="0"/>
    <x v="0"/>
    <n v="17"/>
    <x v="1"/>
    <x v="0"/>
    <s v="S"/>
    <x v="0"/>
    <x v="1"/>
    <x v="7"/>
    <x v="0"/>
    <n v="0"/>
    <n v="0"/>
    <x v="0"/>
    <s v="Alone"/>
    <x v="0"/>
    <s v="no"/>
  </r>
  <r>
    <s v="Ryan"/>
    <s v=" Mr"/>
    <s v=" Edward"/>
    <x v="0"/>
    <x v="0"/>
    <n v="24"/>
    <x v="2"/>
    <x v="0"/>
    <s v="Q"/>
    <x v="3"/>
    <x v="16"/>
    <x v="55"/>
    <x v="0"/>
    <n v="0"/>
    <n v="0"/>
    <x v="0"/>
    <s v="Alone"/>
    <x v="1"/>
    <s v="yes"/>
  </r>
  <r>
    <s v="Ryan"/>
    <s v=" Mr"/>
    <s v=" Patrick"/>
    <x v="0"/>
    <x v="0"/>
    <n v="30"/>
    <x v="2"/>
    <x v="0"/>
    <s v="Q"/>
    <x v="3"/>
    <x v="16"/>
    <x v="106"/>
    <x v="1"/>
    <n v="0"/>
    <n v="0"/>
    <x v="0"/>
    <s v="Alone"/>
    <x v="0"/>
    <s v="no"/>
  </r>
  <r>
    <s v="Ryerson"/>
    <s v=" Master"/>
    <s v=" John Borie"/>
    <x v="0"/>
    <x v="0"/>
    <n v="13"/>
    <x v="1"/>
    <x v="2"/>
    <s v="C"/>
    <x v="1"/>
    <x v="0"/>
    <x v="60"/>
    <x v="2"/>
    <n v="2"/>
    <n v="2"/>
    <x v="6"/>
    <s v="With Family"/>
    <x v="1"/>
    <s v="yes"/>
  </r>
  <r>
    <s v="Ryerson"/>
    <s v=" Miss"/>
    <s v=" Emily Borie"/>
    <x v="1"/>
    <x v="1"/>
    <n v="18"/>
    <x v="2"/>
    <x v="2"/>
    <s v="C"/>
    <x v="1"/>
    <x v="0"/>
    <x v="60"/>
    <x v="2"/>
    <n v="2"/>
    <n v="2"/>
    <x v="6"/>
    <s v="With Family"/>
    <x v="1"/>
    <s v="yes"/>
  </r>
  <r>
    <s v="Ryerson"/>
    <s v=" Miss"/>
    <s v=" Susan Parker Suzette"/>
    <x v="1"/>
    <x v="1"/>
    <n v="21"/>
    <x v="2"/>
    <x v="2"/>
    <s v="C"/>
    <x v="1"/>
    <x v="0"/>
    <x v="60"/>
    <x v="2"/>
    <n v="2"/>
    <n v="2"/>
    <x v="6"/>
    <s v="With Family"/>
    <x v="1"/>
    <s v="yes"/>
  </r>
  <r>
    <s v="Ryerson"/>
    <s v=" Mr"/>
    <s v=" Arthur Larned"/>
    <x v="0"/>
    <x v="0"/>
    <n v="61"/>
    <x v="4"/>
    <x v="2"/>
    <s v="C"/>
    <x v="1"/>
    <x v="0"/>
    <x v="60"/>
    <x v="2"/>
    <n v="1"/>
    <n v="3"/>
    <x v="6"/>
    <s v="With Family"/>
    <x v="0"/>
    <s v="no"/>
  </r>
  <r>
    <s v="Ryerson"/>
    <s v=" Mrs"/>
    <s v=" Emily Maria"/>
    <x v="1"/>
    <x v="1"/>
    <n v="48"/>
    <x v="0"/>
    <x v="2"/>
    <s v="C"/>
    <x v="1"/>
    <x v="0"/>
    <x v="60"/>
    <x v="2"/>
    <n v="1"/>
    <n v="3"/>
    <x v="6"/>
    <s v="With Family"/>
    <x v="1"/>
    <s v="yes"/>
  </r>
  <r>
    <s v="Saad"/>
    <s v=" Mr"/>
    <s v=" Amin"/>
    <x v="0"/>
    <x v="0"/>
    <n v="30"/>
    <x v="2"/>
    <x v="0"/>
    <s v="C"/>
    <x v="1"/>
    <x v="4"/>
    <x v="16"/>
    <x v="0"/>
    <n v="0"/>
    <n v="0"/>
    <x v="0"/>
    <s v="Alone"/>
    <x v="0"/>
    <s v="no"/>
  </r>
  <r>
    <s v="Saad"/>
    <s v=" Mr"/>
    <s v=" Khalil"/>
    <x v="0"/>
    <x v="0"/>
    <n v="27"/>
    <x v="2"/>
    <x v="0"/>
    <s v="C"/>
    <x v="1"/>
    <x v="4"/>
    <x v="33"/>
    <x v="0"/>
    <n v="0"/>
    <n v="0"/>
    <x v="0"/>
    <s v="Alone"/>
    <x v="0"/>
    <s v="no"/>
  </r>
  <r>
    <s v="Saalfeld"/>
    <s v=" Mr"/>
    <s v=" Adolphe"/>
    <x v="0"/>
    <x v="0"/>
    <n v="47"/>
    <x v="0"/>
    <x v="2"/>
    <s v="S"/>
    <x v="0"/>
    <x v="1"/>
    <x v="64"/>
    <x v="1"/>
    <n v="0"/>
    <n v="0"/>
    <x v="0"/>
    <s v="Alone"/>
    <x v="1"/>
    <s v="yes"/>
  </r>
  <r>
    <s v="Sadlier"/>
    <s v=" Mr"/>
    <s v=" Matthew"/>
    <x v="0"/>
    <x v="0"/>
    <n v="19"/>
    <x v="2"/>
    <x v="0"/>
    <s v="Q"/>
    <x v="3"/>
    <x v="16"/>
    <x v="247"/>
    <x v="0"/>
    <n v="0"/>
    <n v="0"/>
    <x v="0"/>
    <s v="Alone"/>
    <x v="0"/>
    <s v="no"/>
  </r>
  <r>
    <s v="Sadowitz"/>
    <s v=" Mr"/>
    <s v=" Henry"/>
    <x v="0"/>
    <x v="0"/>
    <n v="17"/>
    <x v="1"/>
    <x v="0"/>
    <s v="S"/>
    <x v="0"/>
    <x v="1"/>
    <x v="248"/>
    <x v="0"/>
    <n v="0"/>
    <n v="0"/>
    <x v="0"/>
    <s v="Alone"/>
    <x v="0"/>
    <s v="no"/>
  </r>
  <r>
    <s v="SÃ¦ther"/>
    <s v=" Mr"/>
    <s v=" Simon Sivertsen"/>
    <x v="0"/>
    <x v="0"/>
    <n v="43"/>
    <x v="0"/>
    <x v="0"/>
    <s v="S"/>
    <x v="0"/>
    <x v="2"/>
    <x v="6"/>
    <x v="0"/>
    <n v="0"/>
    <n v="0"/>
    <x v="0"/>
    <s v="Alone"/>
    <x v="0"/>
    <s v="no"/>
  </r>
  <r>
    <s v="Sage"/>
    <s v=" Master"/>
    <s v=" Anthony William"/>
    <x v="0"/>
    <x v="0"/>
    <n v="13"/>
    <x v="1"/>
    <x v="0"/>
    <s v="S"/>
    <x v="0"/>
    <x v="1"/>
    <x v="249"/>
    <x v="3"/>
    <n v="8"/>
    <n v="2"/>
    <x v="9"/>
    <s v="With Family"/>
    <x v="0"/>
    <s v="no"/>
  </r>
  <r>
    <s v="Sage"/>
    <s v=" Master"/>
    <s v=" Thomas Henry"/>
    <x v="0"/>
    <x v="0"/>
    <n v="5"/>
    <x v="3"/>
    <x v="0"/>
    <s v="S"/>
    <x v="0"/>
    <x v="1"/>
    <x v="249"/>
    <x v="3"/>
    <n v="8"/>
    <n v="2"/>
    <x v="9"/>
    <s v="With Family"/>
    <x v="0"/>
    <s v="no"/>
  </r>
  <r>
    <s v="Sage"/>
    <s v=" Miss"/>
    <s v=" Constance Gladys"/>
    <x v="1"/>
    <x v="1"/>
    <n v="8"/>
    <x v="3"/>
    <x v="0"/>
    <s v="S"/>
    <x v="0"/>
    <x v="1"/>
    <x v="249"/>
    <x v="3"/>
    <n v="8"/>
    <n v="2"/>
    <x v="9"/>
    <s v="With Family"/>
    <x v="0"/>
    <s v="no"/>
  </r>
  <r>
    <s v="Sage"/>
    <s v=" Miss"/>
    <s v=" Dorothy"/>
    <x v="1"/>
    <x v="1"/>
    <n v="14"/>
    <x v="1"/>
    <x v="0"/>
    <s v="S"/>
    <x v="0"/>
    <x v="1"/>
    <x v="249"/>
    <x v="3"/>
    <n v="8"/>
    <n v="2"/>
    <x v="9"/>
    <s v="With Family"/>
    <x v="0"/>
    <s v="no"/>
  </r>
  <r>
    <s v="Sage"/>
    <s v=" Miss"/>
    <s v=" Elizabeth Ada"/>
    <x v="1"/>
    <x v="1"/>
    <n v="10"/>
    <x v="1"/>
    <x v="0"/>
    <s v="S"/>
    <x v="0"/>
    <x v="1"/>
    <x v="249"/>
    <x v="3"/>
    <n v="8"/>
    <n v="2"/>
    <x v="9"/>
    <s v="With Family"/>
    <x v="0"/>
    <s v="no"/>
  </r>
  <r>
    <s v="Sage"/>
    <s v=" Miss"/>
    <s v=" Stella Anne"/>
    <x v="1"/>
    <x v="1"/>
    <n v="21"/>
    <x v="2"/>
    <x v="0"/>
    <s v="S"/>
    <x v="0"/>
    <x v="1"/>
    <x v="249"/>
    <x v="3"/>
    <n v="8"/>
    <n v="2"/>
    <x v="9"/>
    <s v="With Family"/>
    <x v="0"/>
    <s v="no"/>
  </r>
  <r>
    <s v="Sage"/>
    <s v=" Mr"/>
    <s v=" Douglas Bullen"/>
    <x v="0"/>
    <x v="0"/>
    <n v="18"/>
    <x v="2"/>
    <x v="0"/>
    <s v="S"/>
    <x v="0"/>
    <x v="1"/>
    <x v="249"/>
    <x v="3"/>
    <n v="8"/>
    <n v="2"/>
    <x v="9"/>
    <s v="With Family"/>
    <x v="0"/>
    <s v="no"/>
  </r>
  <r>
    <s v="Sage"/>
    <s v=" Mr"/>
    <s v=" Frederick"/>
    <x v="0"/>
    <x v="0"/>
    <n v="17"/>
    <x v="1"/>
    <x v="0"/>
    <s v="S"/>
    <x v="0"/>
    <x v="1"/>
    <x v="249"/>
    <x v="3"/>
    <n v="8"/>
    <n v="2"/>
    <x v="9"/>
    <s v="With Family"/>
    <x v="0"/>
    <s v="no"/>
  </r>
  <r>
    <s v="Sage"/>
    <s v=" Mr"/>
    <s v=" George John"/>
    <x v="0"/>
    <x v="0"/>
    <n v="20"/>
    <x v="2"/>
    <x v="0"/>
    <s v="S"/>
    <x v="0"/>
    <x v="1"/>
    <x v="249"/>
    <x v="3"/>
    <n v="8"/>
    <n v="2"/>
    <x v="9"/>
    <s v="With Family"/>
    <x v="0"/>
    <s v="no"/>
  </r>
  <r>
    <s v="Sage"/>
    <s v=" Mr"/>
    <s v=" John George"/>
    <x v="0"/>
    <x v="0"/>
    <n v="45"/>
    <x v="0"/>
    <x v="0"/>
    <s v="S"/>
    <x v="0"/>
    <x v="1"/>
    <x v="249"/>
    <x v="3"/>
    <n v="1"/>
    <n v="9"/>
    <x v="9"/>
    <s v="With Family"/>
    <x v="0"/>
    <s v="no"/>
  </r>
  <r>
    <s v="Sage"/>
    <s v=" Mrs"/>
    <s v=" Annie Elizabeth"/>
    <x v="1"/>
    <x v="1"/>
    <n v="45"/>
    <x v="0"/>
    <x v="0"/>
    <s v="S"/>
    <x v="0"/>
    <x v="1"/>
    <x v="249"/>
    <x v="3"/>
    <n v="1"/>
    <n v="9"/>
    <x v="9"/>
    <s v="With Family"/>
    <x v="0"/>
    <s v="no"/>
  </r>
  <r>
    <s v="SÃ¤gesser"/>
    <s v=" Mlle"/>
    <s v=" Emma"/>
    <x v="1"/>
    <x v="1"/>
    <n v="24"/>
    <x v="2"/>
    <x v="2"/>
    <s v="C"/>
    <x v="1"/>
    <x v="1"/>
    <x v="36"/>
    <x v="3"/>
    <n v="0"/>
    <n v="0"/>
    <x v="0"/>
    <s v="Alone"/>
    <x v="1"/>
    <s v="yes"/>
  </r>
  <r>
    <s v="Salander"/>
    <s v=" Mr"/>
    <s v=" Karl Johan"/>
    <x v="0"/>
    <x v="0"/>
    <n v="24"/>
    <x v="2"/>
    <x v="0"/>
    <s v="S"/>
    <x v="0"/>
    <x v="6"/>
    <x v="250"/>
    <x v="0"/>
    <n v="0"/>
    <n v="0"/>
    <x v="0"/>
    <s v="Alone"/>
    <x v="0"/>
    <s v="no"/>
  </r>
  <r>
    <s v="Salkjelsvik"/>
    <s v=" Miss"/>
    <s v=" Anna Kristine"/>
    <x v="1"/>
    <x v="1"/>
    <n v="21"/>
    <x v="2"/>
    <x v="0"/>
    <s v="S"/>
    <x v="0"/>
    <x v="2"/>
    <x v="2"/>
    <x v="0"/>
    <n v="0"/>
    <n v="0"/>
    <x v="0"/>
    <s v="Alone"/>
    <x v="1"/>
    <s v="yes"/>
  </r>
  <r>
    <s v="Salomon"/>
    <s v=" Mr"/>
    <s v=" Abraham Lincoln"/>
    <x v="0"/>
    <x v="0"/>
    <n v="43"/>
    <x v="0"/>
    <x v="2"/>
    <s v="S"/>
    <x v="0"/>
    <x v="0"/>
    <x v="27"/>
    <x v="1"/>
    <n v="0"/>
    <n v="0"/>
    <x v="0"/>
    <s v="Alone"/>
    <x v="1"/>
    <s v="yes"/>
  </r>
  <r>
    <s v="Salonen"/>
    <s v=" Mr"/>
    <s v=" Johan Werner"/>
    <x v="0"/>
    <x v="0"/>
    <n v="29"/>
    <x v="2"/>
    <x v="0"/>
    <s v="S"/>
    <x v="0"/>
    <x v="0"/>
    <x v="5"/>
    <x v="0"/>
    <n v="0"/>
    <n v="0"/>
    <x v="0"/>
    <s v="Alone"/>
    <x v="0"/>
    <s v="no"/>
  </r>
  <r>
    <s v="Samaan"/>
    <s v=" Mr"/>
    <s v=" Elias"/>
    <x v="0"/>
    <x v="0"/>
    <n v="17"/>
    <x v="1"/>
    <x v="0"/>
    <s v="C"/>
    <x v="1"/>
    <x v="4"/>
    <x v="251"/>
    <x v="1"/>
    <n v="2"/>
    <n v="0"/>
    <x v="1"/>
    <s v="With Family"/>
    <x v="0"/>
    <s v="no"/>
  </r>
  <r>
    <s v="Samaan"/>
    <s v=" Mr"/>
    <s v=" Hanna Elias"/>
    <x v="0"/>
    <x v="0"/>
    <n v="40"/>
    <x v="0"/>
    <x v="0"/>
    <s v="C"/>
    <x v="1"/>
    <x v="4"/>
    <x v="251"/>
    <x v="1"/>
    <n v="2"/>
    <n v="0"/>
    <x v="1"/>
    <s v="With Family"/>
    <x v="0"/>
    <s v="no"/>
  </r>
  <r>
    <s v="Samaan"/>
    <s v=" Mr"/>
    <s v=" Youssef"/>
    <x v="0"/>
    <x v="0"/>
    <n v="16"/>
    <x v="1"/>
    <x v="0"/>
    <s v="C"/>
    <x v="1"/>
    <x v="4"/>
    <x v="251"/>
    <x v="1"/>
    <n v="2"/>
    <n v="0"/>
    <x v="1"/>
    <s v="With Family"/>
    <x v="0"/>
    <s v="no"/>
  </r>
  <r>
    <s v="SandstrÃ¶m"/>
    <s v=" Miss"/>
    <s v=" Beatrice Irene"/>
    <x v="1"/>
    <x v="1"/>
    <n v="1"/>
    <x v="3"/>
    <x v="0"/>
    <s v="S"/>
    <x v="0"/>
    <x v="6"/>
    <x v="252"/>
    <x v="1"/>
    <n v="1"/>
    <n v="1"/>
    <x v="1"/>
    <s v="With Family"/>
    <x v="1"/>
    <s v="yes"/>
  </r>
  <r>
    <s v="SandstrÃ¶m"/>
    <s v=" Miss"/>
    <s v=" Marguerite Rut"/>
    <x v="1"/>
    <x v="1"/>
    <n v="4"/>
    <x v="3"/>
    <x v="0"/>
    <s v="S"/>
    <x v="0"/>
    <x v="6"/>
    <x v="252"/>
    <x v="1"/>
    <n v="1"/>
    <n v="1"/>
    <x v="1"/>
    <s v="With Family"/>
    <x v="1"/>
    <s v="yes"/>
  </r>
  <r>
    <s v="SandstrÃ¶m"/>
    <s v=" Mrs"/>
    <s v=" Agnes Charlotta"/>
    <x v="1"/>
    <x v="1"/>
    <n v="24"/>
    <x v="2"/>
    <x v="0"/>
    <s v="S"/>
    <x v="0"/>
    <x v="6"/>
    <x v="252"/>
    <x v="1"/>
    <n v="0"/>
    <n v="2"/>
    <x v="1"/>
    <s v="With Family"/>
    <x v="1"/>
    <s v="yes"/>
  </r>
  <r>
    <s v="Sap"/>
    <s v=" Mr"/>
    <s v=" Julius"/>
    <x v="0"/>
    <x v="0"/>
    <n v="21"/>
    <x v="2"/>
    <x v="0"/>
    <s v="S"/>
    <x v="0"/>
    <x v="25"/>
    <x v="110"/>
    <x v="0"/>
    <n v="0"/>
    <n v="0"/>
    <x v="0"/>
    <s v="Alone"/>
    <x v="1"/>
    <s v="yes"/>
  </r>
  <r>
    <s v="Saundercock"/>
    <s v=" Mr"/>
    <s v=" William Henry"/>
    <x v="0"/>
    <x v="0"/>
    <n v="19"/>
    <x v="2"/>
    <x v="0"/>
    <s v="S"/>
    <x v="0"/>
    <x v="1"/>
    <x v="7"/>
    <x v="0"/>
    <n v="0"/>
    <n v="0"/>
    <x v="0"/>
    <s v="Alone"/>
    <x v="0"/>
    <s v="no"/>
  </r>
  <r>
    <s v="Sawyer"/>
    <s v=" Mr"/>
    <s v=" Frederick Charles"/>
    <x v="0"/>
    <x v="0"/>
    <n v="24"/>
    <x v="2"/>
    <x v="0"/>
    <s v="S"/>
    <x v="0"/>
    <x v="1"/>
    <x v="7"/>
    <x v="0"/>
    <n v="0"/>
    <n v="0"/>
    <x v="0"/>
    <s v="Alone"/>
    <x v="0"/>
    <s v="no"/>
  </r>
  <r>
    <s v="Scanlan"/>
    <s v=" Mr"/>
    <s v=" James"/>
    <x v="0"/>
    <x v="0"/>
    <n v="22"/>
    <x v="2"/>
    <x v="0"/>
    <s v="Q"/>
    <x v="3"/>
    <x v="16"/>
    <x v="63"/>
    <x v="0"/>
    <n v="0"/>
    <n v="0"/>
    <x v="0"/>
    <s v="Alone"/>
    <x v="0"/>
    <s v="no"/>
  </r>
  <r>
    <s v="Schabert"/>
    <s v=" Mrs"/>
    <s v=" Emma"/>
    <x v="1"/>
    <x v="1"/>
    <n v="35"/>
    <x v="2"/>
    <x v="2"/>
    <s v="C"/>
    <x v="1"/>
    <x v="42"/>
    <x v="212"/>
    <x v="3"/>
    <n v="1"/>
    <n v="0"/>
    <x v="2"/>
    <s v="With Family"/>
    <x v="1"/>
    <s v="yes"/>
  </r>
  <r>
    <s v="Scheerlinck"/>
    <s v=" Mr"/>
    <s v=" Jean"/>
    <x v="0"/>
    <x v="0"/>
    <n v="29"/>
    <x v="2"/>
    <x v="0"/>
    <s v="S"/>
    <x v="0"/>
    <x v="25"/>
    <x v="110"/>
    <x v="0"/>
    <n v="0"/>
    <n v="0"/>
    <x v="0"/>
    <s v="Alone"/>
    <x v="1"/>
    <s v="yes"/>
  </r>
  <r>
    <s v="Schmidt"/>
    <s v=" Mr"/>
    <s v=" Augustus"/>
    <x v="0"/>
    <x v="0"/>
    <n v="22"/>
    <x v="2"/>
    <x v="1"/>
    <s v="S"/>
    <x v="0"/>
    <x v="1"/>
    <x v="10"/>
    <x v="0"/>
    <n v="0"/>
    <n v="0"/>
    <x v="0"/>
    <s v="Alone"/>
    <x v="0"/>
    <s v="no"/>
  </r>
  <r>
    <s v="Sdycoff"/>
    <s v=" Mr"/>
    <s v=" Todor"/>
    <x v="0"/>
    <x v="0"/>
    <n v="42"/>
    <x v="0"/>
    <x v="0"/>
    <s v="S"/>
    <x v="0"/>
    <x v="1"/>
    <x v="26"/>
    <x v="0"/>
    <n v="0"/>
    <n v="0"/>
    <x v="0"/>
    <s v="Alone"/>
    <x v="0"/>
    <s v="no"/>
  </r>
  <r>
    <s v="Sedgwick"/>
    <s v=" Mr"/>
    <s v=" Charles Frederick Waddington"/>
    <x v="0"/>
    <x v="0"/>
    <n v="28"/>
    <x v="2"/>
    <x v="1"/>
    <s v="S"/>
    <x v="0"/>
    <x v="1"/>
    <x v="10"/>
    <x v="0"/>
    <n v="0"/>
    <n v="0"/>
    <x v="0"/>
    <s v="Alone"/>
    <x v="0"/>
    <s v="no"/>
  </r>
  <r>
    <s v="Seman"/>
    <s v=" Master"/>
    <s v=" Betros"/>
    <x v="0"/>
    <x v="0"/>
    <n v="10"/>
    <x v="1"/>
    <x v="0"/>
    <s v="C"/>
    <x v="1"/>
    <x v="4"/>
    <x v="253"/>
    <x v="0"/>
    <n v="0"/>
    <n v="0"/>
    <x v="0"/>
    <s v="Alone"/>
    <x v="0"/>
    <s v="no"/>
  </r>
  <r>
    <s v="Serreplan"/>
    <s v=" Miss"/>
    <s v=" Auguste"/>
    <x v="1"/>
    <x v="1"/>
    <n v="30"/>
    <x v="2"/>
    <x v="2"/>
    <s v="S"/>
    <x v="0"/>
    <x v="1"/>
    <x v="57"/>
    <x v="1"/>
    <n v="0"/>
    <n v="0"/>
    <x v="0"/>
    <s v="Alone"/>
    <x v="1"/>
    <s v="yes"/>
  </r>
  <r>
    <s v="Seward"/>
    <s v=" Mr"/>
    <s v=" Frederic Kimber"/>
    <x v="0"/>
    <x v="0"/>
    <n v="34"/>
    <x v="2"/>
    <x v="2"/>
    <s v="S"/>
    <x v="0"/>
    <x v="0"/>
    <x v="19"/>
    <x v="1"/>
    <n v="0"/>
    <n v="0"/>
    <x v="0"/>
    <s v="Alone"/>
    <x v="1"/>
    <s v="yes"/>
  </r>
  <r>
    <s v="Shannon"/>
    <s v=" Mr"/>
    <s v=" Andrew John"/>
    <x v="0"/>
    <x v="0"/>
    <n v="35"/>
    <x v="2"/>
    <x v="0"/>
    <s v="S"/>
    <x v="0"/>
    <x v="16"/>
    <x v="25"/>
    <x v="1"/>
    <n v="1"/>
    <s v="NA"/>
    <x v="5"/>
    <e v="#VALUE!"/>
    <x v="0"/>
    <s v="no"/>
  </r>
  <r>
    <s v="Sharp"/>
    <s v=" Mr"/>
    <s v=" Percival"/>
    <x v="0"/>
    <x v="0"/>
    <n v="29"/>
    <x v="2"/>
    <x v="1"/>
    <s v="S"/>
    <x v="0"/>
    <x v="1"/>
    <x v="27"/>
    <x v="1"/>
    <n v="0"/>
    <n v="0"/>
    <x v="0"/>
    <s v="Alone"/>
    <x v="0"/>
    <s v="no"/>
  </r>
  <r>
    <s v="Shaughnessy"/>
    <s v=" Mr"/>
    <s v=" Patrick"/>
    <x v="0"/>
    <x v="0"/>
    <n v="27"/>
    <x v="2"/>
    <x v="0"/>
    <s v="Q"/>
    <x v="3"/>
    <x v="16"/>
    <x v="55"/>
    <x v="0"/>
    <n v="0"/>
    <n v="0"/>
    <x v="0"/>
    <s v="Alone"/>
    <x v="0"/>
    <s v="no"/>
  </r>
  <r>
    <s v="Shedid"/>
    <s v=" Mr"/>
    <s v=" Daher"/>
    <x v="0"/>
    <x v="0"/>
    <n v="19"/>
    <x v="2"/>
    <x v="0"/>
    <s v="C"/>
    <x v="1"/>
    <x v="1"/>
    <x v="33"/>
    <x v="0"/>
    <n v="0"/>
    <n v="0"/>
    <x v="0"/>
    <s v="Alone"/>
    <x v="0"/>
    <s v="no"/>
  </r>
  <r>
    <s v="Shellard"/>
    <s v=" Mr"/>
    <s v=" Frederick William Blainey"/>
    <x v="0"/>
    <x v="0"/>
    <n v="55"/>
    <x v="0"/>
    <x v="0"/>
    <s v="S"/>
    <x v="0"/>
    <x v="1"/>
    <x v="125"/>
    <x v="1"/>
    <n v="0"/>
    <n v="0"/>
    <x v="0"/>
    <s v="Alone"/>
    <x v="0"/>
    <s v="no"/>
  </r>
  <r>
    <s v="Shelley"/>
    <s v=" Mrs"/>
    <s v=" Imanita Parrish"/>
    <x v="1"/>
    <x v="1"/>
    <n v="25"/>
    <x v="2"/>
    <x v="1"/>
    <s v="S"/>
    <x v="0"/>
    <x v="0"/>
    <x v="27"/>
    <x v="1"/>
    <n v="0"/>
    <n v="1"/>
    <x v="2"/>
    <s v="With Family"/>
    <x v="1"/>
    <s v="yes"/>
  </r>
  <r>
    <s v="ShihÄb"/>
    <s v=" Mr"/>
    <s v=" Al-AmÄ«r FÄris"/>
    <x v="0"/>
    <x v="0"/>
    <n v="26"/>
    <x v="2"/>
    <x v="0"/>
    <s v="C"/>
    <x v="1"/>
    <x v="4"/>
    <x v="33"/>
    <x v="0"/>
    <n v="0"/>
    <n v="0"/>
    <x v="0"/>
    <s v="Alone"/>
    <x v="0"/>
    <s v="no"/>
  </r>
  <r>
    <s v="Shine"/>
    <s v=" Miss"/>
    <s v=" Ellen"/>
    <x v="1"/>
    <x v="1"/>
    <n v="20"/>
    <x v="2"/>
    <x v="0"/>
    <s v="Q"/>
    <x v="3"/>
    <x v="16"/>
    <x v="223"/>
    <x v="0"/>
    <n v="0"/>
    <n v="0"/>
    <x v="0"/>
    <s v="Alone"/>
    <x v="1"/>
    <s v="yes"/>
  </r>
  <r>
    <s v="Shorney"/>
    <s v=" Mr"/>
    <s v=" Charles Joseph"/>
    <x v="0"/>
    <x v="0"/>
    <n v="22"/>
    <x v="2"/>
    <x v="0"/>
    <s v="S"/>
    <x v="0"/>
    <x v="1"/>
    <x v="7"/>
    <x v="0"/>
    <n v="0"/>
    <n v="0"/>
    <x v="0"/>
    <s v="Alone"/>
    <x v="0"/>
    <s v="no"/>
  </r>
  <r>
    <s v="Shutes"/>
    <s v=" Miss"/>
    <s v=" Elizabeth Weed"/>
    <x v="1"/>
    <x v="1"/>
    <n v="40"/>
    <x v="0"/>
    <x v="2"/>
    <s v="S"/>
    <x v="0"/>
    <x v="0"/>
    <x v="145"/>
    <x v="2"/>
    <n v="0"/>
    <n v="0"/>
    <x v="0"/>
    <s v="Alone"/>
    <x v="1"/>
    <s v="yes"/>
  </r>
  <r>
    <s v="SilvÃ©n"/>
    <s v=" Miss"/>
    <s v=" Lyyli Karoliina"/>
    <x v="1"/>
    <x v="1"/>
    <n v="17"/>
    <x v="1"/>
    <x v="1"/>
    <s v="S"/>
    <x v="0"/>
    <x v="5"/>
    <x v="10"/>
    <x v="0"/>
    <n v="0"/>
    <n v="2"/>
    <x v="1"/>
    <s v="With Family"/>
    <x v="1"/>
    <s v="yes"/>
  </r>
  <r>
    <s v="Silverthorne"/>
    <s v=" Mr"/>
    <s v=" Spencer Victor"/>
    <x v="0"/>
    <x v="0"/>
    <n v="35"/>
    <x v="2"/>
    <x v="2"/>
    <s v="S"/>
    <x v="0"/>
    <x v="0"/>
    <x v="75"/>
    <x v="1"/>
    <n v="0"/>
    <n v="0"/>
    <x v="0"/>
    <s v="Alone"/>
    <x v="1"/>
    <s v="yes"/>
  </r>
  <r>
    <s v="Silvey"/>
    <s v=" Mrs"/>
    <s v=" Alice Gray"/>
    <x v="1"/>
    <x v="1"/>
    <n v="39"/>
    <x v="0"/>
    <x v="2"/>
    <s v="C"/>
    <x v="1"/>
    <x v="0"/>
    <x v="254"/>
    <x v="3"/>
    <n v="1"/>
    <n v="0"/>
    <x v="2"/>
    <s v="With Family"/>
    <x v="1"/>
    <s v="yes"/>
  </r>
  <r>
    <s v="Silvey"/>
    <s v=" Mr"/>
    <s v=" William Baird"/>
    <x v="0"/>
    <x v="0"/>
    <n v="51"/>
    <x v="0"/>
    <x v="2"/>
    <s v="C"/>
    <x v="1"/>
    <x v="0"/>
    <x v="254"/>
    <x v="3"/>
    <n v="1"/>
    <n v="0"/>
    <x v="2"/>
    <s v="With Family"/>
    <x v="0"/>
    <s v="no"/>
  </r>
  <r>
    <s v="Simmons"/>
    <s v=" Mr"/>
    <s v=" John"/>
    <x v="0"/>
    <x v="0"/>
    <n v="40"/>
    <x v="0"/>
    <x v="0"/>
    <s v="S"/>
    <x v="0"/>
    <x v="1"/>
    <x v="7"/>
    <x v="0"/>
    <n v="0"/>
    <n v="0"/>
    <x v="0"/>
    <s v="Alone"/>
    <x v="0"/>
    <s v="no"/>
  </r>
  <r>
    <s v="Simonius-Blumer"/>
    <s v=" Mr"/>
    <s v=" Colonel (Oberst) Alfons"/>
    <x v="0"/>
    <x v="0"/>
    <n v="56"/>
    <x v="4"/>
    <x v="2"/>
    <s v="S"/>
    <x v="0"/>
    <x v="12"/>
    <x v="56"/>
    <x v="3"/>
    <n v="0"/>
    <n v="0"/>
    <x v="0"/>
    <s v="Alone"/>
    <x v="1"/>
    <s v="yes"/>
  </r>
  <r>
    <s v="Sincock"/>
    <s v=" Miss"/>
    <s v=" Maude"/>
    <x v="1"/>
    <x v="1"/>
    <n v="20"/>
    <x v="2"/>
    <x v="1"/>
    <s v="S"/>
    <x v="0"/>
    <x v="1"/>
    <x v="105"/>
    <x v="3"/>
    <n v="0"/>
    <n v="0"/>
    <x v="0"/>
    <s v="Alone"/>
    <x v="1"/>
    <s v="yes"/>
  </r>
  <r>
    <s v="Sinkkonen"/>
    <s v=" Miss"/>
    <s v=" Anna"/>
    <x v="1"/>
    <x v="1"/>
    <n v="30"/>
    <x v="2"/>
    <x v="1"/>
    <s v="S"/>
    <x v="0"/>
    <x v="5"/>
    <x v="10"/>
    <x v="0"/>
    <n v="0"/>
    <n v="0"/>
    <x v="0"/>
    <s v="Alone"/>
    <x v="1"/>
    <s v="yes"/>
  </r>
  <r>
    <s v="Sirayanian"/>
    <s v=" Mr"/>
    <s v=" Orsen"/>
    <x v="0"/>
    <x v="0"/>
    <n v="22"/>
    <x v="2"/>
    <x v="0"/>
    <s v="C"/>
    <x v="1"/>
    <x v="36"/>
    <x v="16"/>
    <x v="0"/>
    <n v="0"/>
    <n v="0"/>
    <x v="0"/>
    <s v="Alone"/>
    <x v="0"/>
    <s v="no"/>
  </r>
  <r>
    <s v="Sirota"/>
    <s v=" Mr"/>
    <s v=" Morris"/>
    <x v="0"/>
    <x v="0"/>
    <n v="20"/>
    <x v="2"/>
    <x v="0"/>
    <s v="S"/>
    <x v="0"/>
    <x v="1"/>
    <x v="7"/>
    <x v="0"/>
    <n v="0"/>
    <n v="0"/>
    <x v="0"/>
    <s v="Alone"/>
    <x v="0"/>
    <s v="no"/>
  </r>
  <r>
    <s v="Sivic"/>
    <s v=" Mr"/>
    <s v=" Husein"/>
    <x v="0"/>
    <x v="0"/>
    <n v="40"/>
    <x v="0"/>
    <x v="0"/>
    <s v="S"/>
    <x v="0"/>
    <x v="14"/>
    <x v="26"/>
    <x v="0"/>
    <n v="0"/>
    <n v="0"/>
    <x v="0"/>
    <s v="Alone"/>
    <x v="0"/>
    <s v="no"/>
  </r>
  <r>
    <s v="Sivola"/>
    <s v=" Mr"/>
    <s v=" Antti Wilhelm"/>
    <x v="0"/>
    <x v="0"/>
    <n v="21"/>
    <x v="2"/>
    <x v="0"/>
    <s v="S"/>
    <x v="0"/>
    <x v="0"/>
    <x v="5"/>
    <x v="0"/>
    <n v="0"/>
    <n v="0"/>
    <x v="0"/>
    <s v="Alone"/>
    <x v="0"/>
    <s v="no"/>
  </r>
  <r>
    <s v="SjÃ¶blom"/>
    <s v=" Miss"/>
    <s v=" Anna Sofia"/>
    <x v="1"/>
    <x v="1"/>
    <n v="18"/>
    <x v="2"/>
    <x v="0"/>
    <s v="S"/>
    <x v="0"/>
    <x v="5"/>
    <x v="175"/>
    <x v="0"/>
    <n v="0"/>
    <n v="0"/>
    <x v="0"/>
    <s v="Alone"/>
    <x v="1"/>
    <s v="yes"/>
  </r>
  <r>
    <s v="SjÃ¶stedt"/>
    <s v=" Mr"/>
    <s v=" Ernst Adolf"/>
    <x v="0"/>
    <x v="0"/>
    <n v="59"/>
    <x v="4"/>
    <x v="1"/>
    <s v="S"/>
    <x v="0"/>
    <x v="6"/>
    <x v="85"/>
    <x v="0"/>
    <n v="0"/>
    <n v="0"/>
    <x v="0"/>
    <s v="Alone"/>
    <x v="0"/>
    <s v="no"/>
  </r>
  <r>
    <s v="Skoog"/>
    <s v=" Master"/>
    <s v=" Harald"/>
    <x v="0"/>
    <x v="0"/>
    <n v="5"/>
    <x v="3"/>
    <x v="0"/>
    <s v="S"/>
    <x v="0"/>
    <x v="0"/>
    <x v="255"/>
    <x v="1"/>
    <n v="3"/>
    <n v="2"/>
    <x v="7"/>
    <s v="With Family"/>
    <x v="0"/>
    <s v="no"/>
  </r>
  <r>
    <s v="Skoog"/>
    <s v=" Master"/>
    <s v=" Karl Thorsten"/>
    <x v="0"/>
    <x v="0"/>
    <n v="11"/>
    <x v="1"/>
    <x v="0"/>
    <s v="S"/>
    <x v="0"/>
    <x v="0"/>
    <x v="255"/>
    <x v="1"/>
    <n v="3"/>
    <n v="2"/>
    <x v="7"/>
    <s v="With Family"/>
    <x v="0"/>
    <s v="no"/>
  </r>
  <r>
    <s v="Skoog"/>
    <s v=" Miss"/>
    <s v=" Mabel"/>
    <x v="1"/>
    <x v="1"/>
    <n v="9"/>
    <x v="1"/>
    <x v="0"/>
    <s v="S"/>
    <x v="0"/>
    <x v="0"/>
    <x v="255"/>
    <x v="1"/>
    <n v="3"/>
    <n v="2"/>
    <x v="7"/>
    <s v="With Family"/>
    <x v="0"/>
    <s v="no"/>
  </r>
  <r>
    <s v="Skoog"/>
    <s v=" Miss"/>
    <s v=" Margit Elizabeth"/>
    <x v="1"/>
    <x v="1"/>
    <n v="2"/>
    <x v="3"/>
    <x v="0"/>
    <s v="S"/>
    <x v="0"/>
    <x v="0"/>
    <x v="255"/>
    <x v="1"/>
    <n v="3"/>
    <n v="2"/>
    <x v="7"/>
    <s v="With Family"/>
    <x v="0"/>
    <s v="no"/>
  </r>
  <r>
    <s v="Skoog"/>
    <s v=" Mrs"/>
    <s v=" Anna Bernhardina"/>
    <x v="1"/>
    <x v="1"/>
    <n v="43"/>
    <x v="0"/>
    <x v="0"/>
    <s v="S"/>
    <x v="0"/>
    <x v="6"/>
    <x v="255"/>
    <x v="1"/>
    <n v="1"/>
    <n v="4"/>
    <x v="7"/>
    <s v="With Family"/>
    <x v="0"/>
    <s v="no"/>
  </r>
  <r>
    <s v="Skoog"/>
    <s v=" Mr"/>
    <s v=" Wilhelm Johansson"/>
    <x v="0"/>
    <x v="0"/>
    <n v="40"/>
    <x v="0"/>
    <x v="0"/>
    <s v="S"/>
    <x v="0"/>
    <x v="6"/>
    <x v="255"/>
    <x v="1"/>
    <n v="1"/>
    <n v="4"/>
    <x v="7"/>
    <s v="With Family"/>
    <x v="0"/>
    <s v="no"/>
  </r>
  <r>
    <s v="Slabenoff"/>
    <s v=" Mr"/>
    <s v=" Petco"/>
    <x v="0"/>
    <x v="0"/>
    <n v="42"/>
    <x v="0"/>
    <x v="0"/>
    <s v="S"/>
    <x v="0"/>
    <x v="1"/>
    <x v="26"/>
    <x v="0"/>
    <n v="0"/>
    <n v="0"/>
    <x v="0"/>
    <s v="Alone"/>
    <x v="0"/>
    <s v="no"/>
  </r>
  <r>
    <s v="Slayter"/>
    <s v=" Miss"/>
    <s v=" Hilda Mary"/>
    <x v="1"/>
    <x v="1"/>
    <n v="30"/>
    <x v="2"/>
    <x v="1"/>
    <s v="Q"/>
    <x v="3"/>
    <x v="8"/>
    <x v="184"/>
    <x v="0"/>
    <n v="0"/>
    <n v="0"/>
    <x v="0"/>
    <s v="Alone"/>
    <x v="1"/>
    <s v="yes"/>
  </r>
  <r>
    <s v="Slemen"/>
    <s v=" Mr"/>
    <s v=" Richard James"/>
    <x v="0"/>
    <x v="0"/>
    <n v="35"/>
    <x v="2"/>
    <x v="1"/>
    <s v="S"/>
    <x v="0"/>
    <x v="1"/>
    <x v="23"/>
    <x v="0"/>
    <n v="0"/>
    <n v="0"/>
    <x v="0"/>
    <s v="Alone"/>
    <x v="0"/>
    <s v="no"/>
  </r>
  <r>
    <s v="Slocovski"/>
    <s v=" Mr"/>
    <s v=" Selman Francis"/>
    <x v="0"/>
    <x v="0"/>
    <n v="20"/>
    <x v="2"/>
    <x v="0"/>
    <s v="S"/>
    <x v="0"/>
    <x v="1"/>
    <x v="7"/>
    <x v="0"/>
    <n v="0"/>
    <n v="0"/>
    <x v="0"/>
    <s v="Alone"/>
    <x v="0"/>
    <s v="no"/>
  </r>
  <r>
    <s v="Sloper"/>
    <s v=" Mr"/>
    <s v=" William Thompson"/>
    <x v="0"/>
    <x v="0"/>
    <n v="28"/>
    <x v="2"/>
    <x v="2"/>
    <s v="S"/>
    <x v="0"/>
    <x v="0"/>
    <x v="56"/>
    <x v="3"/>
    <n v="0"/>
    <n v="0"/>
    <x v="0"/>
    <s v="Alone"/>
    <x v="1"/>
    <s v="yes"/>
  </r>
  <r>
    <s v="Smart"/>
    <s v=" Mr"/>
    <s v=" John Montgomery"/>
    <x v="0"/>
    <x v="0"/>
    <n v="56"/>
    <x v="4"/>
    <x v="2"/>
    <s v="S"/>
    <x v="0"/>
    <x v="1"/>
    <x v="19"/>
    <x v="1"/>
    <n v="0"/>
    <n v="0"/>
    <x v="0"/>
    <s v="Alone"/>
    <x v="0"/>
    <s v="no"/>
  </r>
  <r>
    <s v="Smiljanic"/>
    <s v=" Mr"/>
    <s v=" Mile"/>
    <x v="0"/>
    <x v="0"/>
    <n v="37"/>
    <x v="0"/>
    <x v="0"/>
    <s v="S"/>
    <x v="0"/>
    <x v="43"/>
    <x v="74"/>
    <x v="0"/>
    <n v="0"/>
    <n v="0"/>
    <x v="0"/>
    <s v="Alone"/>
    <x v="0"/>
    <s v="no"/>
  </r>
  <r>
    <s v="Smith"/>
    <s v=" Miss"/>
    <s v=" Marion Elsie"/>
    <x v="1"/>
    <x v="1"/>
    <n v="49"/>
    <x v="0"/>
    <x v="1"/>
    <s v="S"/>
    <x v="0"/>
    <x v="1"/>
    <x v="10"/>
    <x v="0"/>
    <n v="0"/>
    <n v="0"/>
    <x v="0"/>
    <s v="Alone"/>
    <x v="1"/>
    <s v="yes"/>
  </r>
  <r>
    <s v="Smith"/>
    <s v=" Mr"/>
    <s v=" James Clinch"/>
    <x v="0"/>
    <x v="0"/>
    <n v="56"/>
    <x v="4"/>
    <x v="2"/>
    <s v="C"/>
    <x v="1"/>
    <x v="3"/>
    <x v="167"/>
    <x v="1"/>
    <n v="0"/>
    <n v="0"/>
    <x v="0"/>
    <s v="Alone"/>
    <x v="0"/>
    <s v="no"/>
  </r>
  <r>
    <s v="Smith"/>
    <s v=" Mr"/>
    <s v=" Lucian Philip"/>
    <x v="0"/>
    <x v="0"/>
    <n v="24"/>
    <x v="2"/>
    <x v="2"/>
    <s v="C"/>
    <x v="1"/>
    <x v="0"/>
    <x v="256"/>
    <x v="3"/>
    <n v="1"/>
    <n v="0"/>
    <x v="2"/>
    <s v="With Family"/>
    <x v="0"/>
    <s v="no"/>
  </r>
  <r>
    <s v="Smith"/>
    <s v=" Mr"/>
    <s v=" Richard William"/>
    <x v="0"/>
    <x v="0"/>
    <n v="57"/>
    <x v="4"/>
    <x v="2"/>
    <s v="S"/>
    <x v="0"/>
    <x v="1"/>
    <x v="27"/>
    <x v="1"/>
    <n v="0"/>
    <n v="0"/>
    <x v="0"/>
    <s v="Alone"/>
    <x v="0"/>
    <s v="no"/>
  </r>
  <r>
    <s v="Smith"/>
    <s v=" Mrs"/>
    <s v=" Mary Eloise"/>
    <x v="1"/>
    <x v="1"/>
    <n v="18"/>
    <x v="2"/>
    <x v="2"/>
    <s v="C"/>
    <x v="1"/>
    <x v="0"/>
    <x v="256"/>
    <x v="3"/>
    <n v="1"/>
    <n v="0"/>
    <x v="2"/>
    <s v="With Family"/>
    <x v="1"/>
    <s v="yes"/>
  </r>
  <r>
    <s v="Smyth"/>
    <s v=" Miss"/>
    <s v=" Julia"/>
    <x v="1"/>
    <x v="1"/>
    <n v="18"/>
    <x v="2"/>
    <x v="0"/>
    <s v="Q"/>
    <x v="3"/>
    <x v="16"/>
    <x v="86"/>
    <x v="0"/>
    <n v="0"/>
    <n v="0"/>
    <x v="0"/>
    <s v="Alone"/>
    <x v="1"/>
    <s v="yes"/>
  </r>
  <r>
    <s v="Smyth"/>
    <s v=" Mr"/>
    <s v=" Thomas"/>
    <x v="0"/>
    <x v="0"/>
    <n v="27"/>
    <x v="2"/>
    <x v="0"/>
    <s v="Q"/>
    <x v="3"/>
    <x v="16"/>
    <x v="55"/>
    <x v="0"/>
    <n v="0"/>
    <n v="0"/>
    <x v="0"/>
    <s v="Alone"/>
    <x v="0"/>
    <s v="no"/>
  </r>
  <r>
    <s v="Snyder"/>
    <s v=" Mr"/>
    <s v=" John Pillsbury"/>
    <x v="0"/>
    <x v="0"/>
    <n v="24"/>
    <x v="2"/>
    <x v="2"/>
    <s v="S"/>
    <x v="0"/>
    <x v="0"/>
    <x v="257"/>
    <x v="3"/>
    <n v="1"/>
    <n v="0"/>
    <x v="2"/>
    <s v="With Family"/>
    <x v="1"/>
    <s v="yes"/>
  </r>
  <r>
    <s v="Snyder"/>
    <s v=" Mrs"/>
    <s v=" Nelle"/>
    <x v="1"/>
    <x v="1"/>
    <n v="23"/>
    <x v="2"/>
    <x v="2"/>
    <s v="S"/>
    <x v="0"/>
    <x v="0"/>
    <x v="257"/>
    <x v="3"/>
    <n v="1"/>
    <n v="0"/>
    <x v="2"/>
    <s v="With Family"/>
    <x v="1"/>
    <s v="yes"/>
  </r>
  <r>
    <s v="Sobey"/>
    <s v=" Mr"/>
    <s v=" Samuel James Hayden"/>
    <x v="0"/>
    <x v="0"/>
    <n v="25"/>
    <x v="2"/>
    <x v="1"/>
    <s v="S"/>
    <x v="0"/>
    <x v="1"/>
    <x v="10"/>
    <x v="0"/>
    <n v="0"/>
    <n v="0"/>
    <x v="0"/>
    <s v="Alone"/>
    <x v="0"/>
    <s v="no"/>
  </r>
  <r>
    <s v="SÃ¸holt"/>
    <s v=" Mr"/>
    <s v=" Peter Andreas Lauritz Andersen"/>
    <x v="0"/>
    <x v="0"/>
    <n v="19"/>
    <x v="2"/>
    <x v="0"/>
    <s v="S"/>
    <x v="0"/>
    <x v="2"/>
    <x v="2"/>
    <x v="0"/>
    <n v="0"/>
    <n v="0"/>
    <x v="0"/>
    <s v="Alone"/>
    <x v="0"/>
    <s v="no"/>
  </r>
  <r>
    <s v="Somerton"/>
    <s v=" Mr"/>
    <s v=" Francis William"/>
    <x v="0"/>
    <x v="0"/>
    <n v="31"/>
    <x v="2"/>
    <x v="0"/>
    <s v="S"/>
    <x v="0"/>
    <x v="1"/>
    <x v="7"/>
    <x v="0"/>
    <n v="0"/>
    <n v="0"/>
    <x v="0"/>
    <s v="Alone"/>
    <x v="0"/>
    <s v="no"/>
  </r>
  <r>
    <s v="Spector"/>
    <s v=" Mr"/>
    <s v=" Woolf"/>
    <x v="0"/>
    <x v="0"/>
    <n v="23"/>
    <x v="2"/>
    <x v="0"/>
    <s v="S"/>
    <x v="0"/>
    <x v="1"/>
    <x v="7"/>
    <x v="0"/>
    <n v="0"/>
    <n v="0"/>
    <x v="0"/>
    <s v="Alone"/>
    <x v="0"/>
    <s v="no"/>
  </r>
  <r>
    <s v="Spedden"/>
    <s v=" Master"/>
    <s v=" Robert Douglas"/>
    <x v="0"/>
    <x v="0"/>
    <n v="6"/>
    <x v="3"/>
    <x v="2"/>
    <s v="C"/>
    <x v="1"/>
    <x v="0"/>
    <x v="73"/>
    <x v="2"/>
    <n v="0"/>
    <n v="2"/>
    <x v="1"/>
    <s v="With Family"/>
    <x v="1"/>
    <s v="yes"/>
  </r>
  <r>
    <s v="Spedden"/>
    <s v=" Mr"/>
    <s v=" Frederic Oakley"/>
    <x v="0"/>
    <x v="0"/>
    <n v="45"/>
    <x v="0"/>
    <x v="2"/>
    <s v="C"/>
    <x v="1"/>
    <x v="0"/>
    <x v="73"/>
    <x v="2"/>
    <n v="1"/>
    <n v="1"/>
    <x v="1"/>
    <s v="With Family"/>
    <x v="1"/>
    <s v="yes"/>
  </r>
  <r>
    <s v="Spedden"/>
    <s v=" Mrs"/>
    <s v=" Margaretta Corning"/>
    <x v="1"/>
    <x v="1"/>
    <n v="39"/>
    <x v="0"/>
    <x v="2"/>
    <s v="C"/>
    <x v="1"/>
    <x v="0"/>
    <x v="73"/>
    <x v="2"/>
    <n v="1"/>
    <n v="1"/>
    <x v="1"/>
    <s v="With Family"/>
    <x v="1"/>
    <s v="yes"/>
  </r>
  <r>
    <s v="Spencer"/>
    <s v=" Mrs"/>
    <s v=" Marie Eugenie"/>
    <x v="1"/>
    <x v="1"/>
    <n v="48"/>
    <x v="0"/>
    <x v="2"/>
    <s v="C"/>
    <x v="1"/>
    <x v="0"/>
    <x v="201"/>
    <x v="2"/>
    <n v="1"/>
    <n v="0"/>
    <x v="2"/>
    <s v="With Family"/>
    <x v="1"/>
    <s v="yes"/>
  </r>
  <r>
    <s v="Spencer"/>
    <s v=" Mr"/>
    <s v=" William Augustus"/>
    <x v="0"/>
    <x v="0"/>
    <n v="57"/>
    <x v="4"/>
    <x v="2"/>
    <s v="C"/>
    <x v="1"/>
    <x v="0"/>
    <x v="201"/>
    <x v="2"/>
    <n v="1"/>
    <n v="0"/>
    <x v="2"/>
    <s v="With Family"/>
    <x v="0"/>
    <s v="no"/>
  </r>
  <r>
    <s v="Spinner"/>
    <s v=" Mr"/>
    <s v=" Henry John"/>
    <x v="0"/>
    <x v="0"/>
    <n v="31"/>
    <x v="2"/>
    <x v="0"/>
    <s v="S"/>
    <x v="0"/>
    <x v="1"/>
    <x v="7"/>
    <x v="0"/>
    <n v="0"/>
    <n v="0"/>
    <x v="0"/>
    <s v="Alone"/>
    <x v="0"/>
    <s v="no"/>
  </r>
  <r>
    <s v="StÃ¤helin-Maeglin"/>
    <s v=" Dr"/>
    <s v=" Max"/>
    <x v="0"/>
    <x v="0"/>
    <n v="32"/>
    <x v="2"/>
    <x v="2"/>
    <s v="S"/>
    <x v="0"/>
    <x v="12"/>
    <x v="64"/>
    <x v="1"/>
    <n v="0"/>
    <n v="0"/>
    <x v="0"/>
    <s v="Alone"/>
    <x v="1"/>
    <s v="yes"/>
  </r>
  <r>
    <s v="Staneff"/>
    <s v=" Mr"/>
    <s v=" Ivan"/>
    <x v="0"/>
    <x v="0"/>
    <n v="23"/>
    <x v="2"/>
    <x v="0"/>
    <s v="S"/>
    <x v="0"/>
    <x v="11"/>
    <x v="26"/>
    <x v="0"/>
    <n v="0"/>
    <n v="0"/>
    <x v="0"/>
    <s v="Alone"/>
    <x v="0"/>
    <s v="no"/>
  </r>
  <r>
    <s v="Stankovic"/>
    <s v=" Mr"/>
    <s v=" Ivan"/>
    <x v="0"/>
    <x v="0"/>
    <n v="33"/>
    <x v="2"/>
    <x v="0"/>
    <s v="C"/>
    <x v="1"/>
    <x v="43"/>
    <x v="258"/>
    <x v="0"/>
    <n v="0"/>
    <n v="0"/>
    <x v="0"/>
    <s v="Alone"/>
    <x v="0"/>
    <s v="no"/>
  </r>
  <r>
    <s v="Stanley"/>
    <s v=" Miss"/>
    <s v=" Amy Zillah Elsie"/>
    <x v="1"/>
    <x v="1"/>
    <n v="24"/>
    <x v="2"/>
    <x v="0"/>
    <s v="S"/>
    <x v="0"/>
    <x v="1"/>
    <x v="0"/>
    <x v="0"/>
    <n v="0"/>
    <n v="0"/>
    <x v="0"/>
    <s v="Alone"/>
    <x v="1"/>
    <s v="yes"/>
  </r>
  <r>
    <s v="Stanley"/>
    <s v=" Mr"/>
    <s v=" Rowland Edwin"/>
    <x v="0"/>
    <x v="0"/>
    <n v="22"/>
    <x v="2"/>
    <x v="0"/>
    <s v="S"/>
    <x v="0"/>
    <x v="1"/>
    <x v="7"/>
    <x v="0"/>
    <n v="0"/>
    <n v="0"/>
    <x v="0"/>
    <s v="Alone"/>
    <x v="0"/>
    <s v="no"/>
  </r>
  <r>
    <s v="Stanton"/>
    <s v=" Mr"/>
    <s v=" Samuel Ward"/>
    <x v="0"/>
    <x v="0"/>
    <n v="42"/>
    <x v="0"/>
    <x v="1"/>
    <s v="C"/>
    <x v="1"/>
    <x v="0"/>
    <x v="171"/>
    <x v="0"/>
    <n v="0"/>
    <n v="0"/>
    <x v="0"/>
    <s v="Alone"/>
    <x v="0"/>
    <s v="no"/>
  </r>
  <r>
    <s v="Stead"/>
    <s v=" Mr"/>
    <s v=" William Thomas"/>
    <x v="0"/>
    <x v="0"/>
    <n v="62"/>
    <x v="4"/>
    <x v="2"/>
    <s v="S"/>
    <x v="0"/>
    <x v="1"/>
    <x v="19"/>
    <x v="1"/>
    <n v="0"/>
    <n v="0"/>
    <x v="0"/>
    <s v="Alone"/>
    <x v="0"/>
    <s v="no"/>
  </r>
  <r>
    <s v="Stengel"/>
    <s v=" Mr"/>
    <s v=" Charles Emil Henry"/>
    <x v="0"/>
    <x v="0"/>
    <n v="54"/>
    <x v="0"/>
    <x v="2"/>
    <s v="C"/>
    <x v="1"/>
    <x v="0"/>
    <x v="151"/>
    <x v="3"/>
    <n v="1"/>
    <n v="0"/>
    <x v="2"/>
    <s v="With Family"/>
    <x v="1"/>
    <s v="yes"/>
  </r>
  <r>
    <s v="Stengel"/>
    <s v=" Mrs"/>
    <s v=" Annie May"/>
    <x v="1"/>
    <x v="1"/>
    <n v="43"/>
    <x v="0"/>
    <x v="2"/>
    <s v="C"/>
    <x v="1"/>
    <x v="16"/>
    <x v="151"/>
    <x v="3"/>
    <n v="1"/>
    <n v="0"/>
    <x v="2"/>
    <s v="With Family"/>
    <x v="1"/>
    <s v="yes"/>
  </r>
  <r>
    <s v="Stephenson"/>
    <s v=" Mrs"/>
    <s v=" Martha"/>
    <x v="1"/>
    <x v="1"/>
    <n v="52"/>
    <x v="0"/>
    <x v="2"/>
    <s v="C"/>
    <x v="1"/>
    <x v="0"/>
    <x v="123"/>
    <x v="3"/>
    <n v="1"/>
    <n v="0"/>
    <x v="2"/>
    <s v="With Family"/>
    <x v="1"/>
    <s v="yes"/>
  </r>
  <r>
    <s v="Stewart"/>
    <s v=" Mr"/>
    <s v=" Albert Ankeny"/>
    <x v="0"/>
    <x v="0"/>
    <n v="64"/>
    <x v="4"/>
    <x v="2"/>
    <s v="C"/>
    <x v="1"/>
    <x v="0"/>
    <x v="68"/>
    <x v="1"/>
    <n v="0"/>
    <n v="0"/>
    <x v="0"/>
    <s v="Alone"/>
    <x v="0"/>
    <s v="no"/>
  </r>
  <r>
    <s v="Stokes"/>
    <s v=" Mr"/>
    <s v=" Philip Joseph"/>
    <x v="0"/>
    <x v="0"/>
    <n v="24"/>
    <x v="2"/>
    <x v="1"/>
    <s v="S"/>
    <x v="0"/>
    <x v="1"/>
    <x v="23"/>
    <x v="0"/>
    <n v="0"/>
    <n v="0"/>
    <x v="0"/>
    <s v="Alone"/>
    <x v="0"/>
    <s v="no"/>
  </r>
  <r>
    <s v="Stone"/>
    <s v=" Mrs"/>
    <s v=" Martha Evelyn"/>
    <x v="1"/>
    <x v="1"/>
    <n v="61"/>
    <x v="4"/>
    <x v="2"/>
    <s v="S"/>
    <x v="0"/>
    <x v="0"/>
    <x v="169"/>
    <x v="3"/>
    <n v="0"/>
    <n v="0"/>
    <x v="0"/>
    <s v="Alone"/>
    <x v="1"/>
    <s v="yes"/>
  </r>
  <r>
    <s v="Storey"/>
    <s v=" Mr"/>
    <s v=" Thomas"/>
    <x v="0"/>
    <x v="0"/>
    <n v="59"/>
    <x v="4"/>
    <x v="0"/>
    <s v="S"/>
    <x v="0"/>
    <x v="1"/>
    <x v="25"/>
    <x v="1"/>
    <n v="0"/>
    <n v="0"/>
    <x v="0"/>
    <s v="Alone"/>
    <x v="0"/>
    <s v="no"/>
  </r>
  <r>
    <s v="Stoytcheff"/>
    <s v=" Mr"/>
    <s v=" Ilia"/>
    <x v="0"/>
    <x v="0"/>
    <n v="19"/>
    <x v="2"/>
    <x v="0"/>
    <s v="S"/>
    <x v="0"/>
    <x v="11"/>
    <x v="26"/>
    <x v="0"/>
    <n v="0"/>
    <n v="0"/>
    <x v="0"/>
    <s v="Alone"/>
    <x v="0"/>
    <s v="no"/>
  </r>
  <r>
    <s v="Strandberg"/>
    <s v=" Miss"/>
    <s v=" Ida Sofia"/>
    <x v="1"/>
    <x v="1"/>
    <n v="22"/>
    <x v="2"/>
    <x v="0"/>
    <s v="S"/>
    <x v="0"/>
    <x v="5"/>
    <x v="259"/>
    <x v="0"/>
    <n v="0"/>
    <n v="0"/>
    <x v="0"/>
    <s v="Alone"/>
    <x v="0"/>
    <s v="no"/>
  </r>
  <r>
    <s v="StrandÃ©n"/>
    <s v=" Mr"/>
    <s v=" Juho Niilosson"/>
    <x v="0"/>
    <x v="0"/>
    <n v="30"/>
    <x v="2"/>
    <x v="0"/>
    <s v="S"/>
    <x v="0"/>
    <x v="5"/>
    <x v="5"/>
    <x v="0"/>
    <n v="0"/>
    <n v="0"/>
    <x v="0"/>
    <s v="Alone"/>
    <x v="1"/>
    <s v="yes"/>
  </r>
  <r>
    <s v="Straus"/>
    <s v=" Mr"/>
    <s v=" Isidor"/>
    <x v="0"/>
    <x v="0"/>
    <n v="67"/>
    <x v="4"/>
    <x v="2"/>
    <s v="S"/>
    <x v="0"/>
    <x v="0"/>
    <x v="53"/>
    <x v="2"/>
    <n v="1"/>
    <n v="0"/>
    <x v="2"/>
    <s v="With Family"/>
    <x v="0"/>
    <s v="no"/>
  </r>
  <r>
    <s v="Straus"/>
    <s v=" Mrs"/>
    <s v=" Rosalie Ida"/>
    <x v="1"/>
    <x v="1"/>
    <n v="63"/>
    <x v="4"/>
    <x v="2"/>
    <s v="S"/>
    <x v="0"/>
    <x v="42"/>
    <x v="53"/>
    <x v="2"/>
    <n v="1"/>
    <n v="0"/>
    <x v="2"/>
    <s v="With Family"/>
    <x v="0"/>
    <s v="no"/>
  </r>
  <r>
    <s v="Strilic"/>
    <s v=" Mr"/>
    <s v=" Ivan"/>
    <x v="0"/>
    <x v="0"/>
    <n v="27"/>
    <x v="2"/>
    <x v="0"/>
    <s v="S"/>
    <x v="0"/>
    <x v="43"/>
    <x v="74"/>
    <x v="0"/>
    <n v="0"/>
    <n v="0"/>
    <x v="0"/>
    <s v="Alone"/>
    <x v="0"/>
    <s v="no"/>
  </r>
  <r>
    <s v="StrÃ¶m"/>
    <s v=" Miss"/>
    <s v=" Telma Matilda"/>
    <x v="1"/>
    <x v="1"/>
    <n v="2"/>
    <x v="3"/>
    <x v="0"/>
    <s v="S"/>
    <x v="0"/>
    <x v="0"/>
    <x v="260"/>
    <x v="0"/>
    <n v="0"/>
    <n v="1"/>
    <x v="2"/>
    <s v="With Family"/>
    <x v="0"/>
    <s v="no"/>
  </r>
  <r>
    <s v="StrÃ¶m"/>
    <s v=" Mrs"/>
    <s v=" Elna Matilda"/>
    <x v="1"/>
    <x v="1"/>
    <n v="29"/>
    <x v="2"/>
    <x v="0"/>
    <s v="S"/>
    <x v="0"/>
    <x v="6"/>
    <x v="260"/>
    <x v="0"/>
    <n v="1"/>
    <n v="1"/>
    <x v="1"/>
    <s v="With Family"/>
    <x v="0"/>
    <s v="no"/>
  </r>
  <r>
    <s v="Sunderland"/>
    <s v=" Mr"/>
    <s v=" Victor Francis"/>
    <x v="0"/>
    <x v="0"/>
    <n v="20"/>
    <x v="2"/>
    <x v="0"/>
    <s v="S"/>
    <x v="0"/>
    <x v="1"/>
    <x v="7"/>
    <x v="0"/>
    <n v="0"/>
    <n v="0"/>
    <x v="0"/>
    <s v="Alone"/>
    <x v="1"/>
    <s v="yes"/>
  </r>
  <r>
    <s v="Sundman"/>
    <s v=" Mr"/>
    <s v=" Johan Julian"/>
    <x v="0"/>
    <x v="0"/>
    <n v="44"/>
    <x v="0"/>
    <x v="0"/>
    <s v="S"/>
    <x v="0"/>
    <x v="5"/>
    <x v="5"/>
    <x v="0"/>
    <n v="0"/>
    <n v="0"/>
    <x v="0"/>
    <s v="Alone"/>
    <x v="1"/>
    <s v="yes"/>
  </r>
  <r>
    <s v="Sutehall"/>
    <s v=" Mr"/>
    <s v=" Henry Jr"/>
    <x v="0"/>
    <x v="0"/>
    <n v="25"/>
    <x v="2"/>
    <x v="0"/>
    <s v="S"/>
    <x v="0"/>
    <x v="1"/>
    <x v="12"/>
    <x v="0"/>
    <n v="0"/>
    <n v="0"/>
    <x v="0"/>
    <s v="Alone"/>
    <x v="0"/>
    <s v="no"/>
  </r>
  <r>
    <s v="Sutton"/>
    <s v=" Mr"/>
    <s v=" Frederick"/>
    <x v="0"/>
    <x v="0"/>
    <n v="61"/>
    <x v="4"/>
    <x v="2"/>
    <s v="S"/>
    <x v="0"/>
    <x v="1"/>
    <x v="261"/>
    <x v="1"/>
    <n v="0"/>
    <n v="0"/>
    <x v="0"/>
    <s v="Alone"/>
    <x v="0"/>
    <s v="no"/>
  </r>
  <r>
    <s v="Svensson"/>
    <s v=" Mr"/>
    <s v=" Johan"/>
    <x v="0"/>
    <x v="0"/>
    <n v="74"/>
    <x v="4"/>
    <x v="0"/>
    <s v="S"/>
    <x v="0"/>
    <x v="6"/>
    <x v="21"/>
    <x v="0"/>
    <n v="0"/>
    <n v="0"/>
    <x v="0"/>
    <s v="Alone"/>
    <x v="0"/>
    <s v="no"/>
  </r>
  <r>
    <s v="Svensson"/>
    <s v=" Mr"/>
    <s v=" Johan Cervin"/>
    <x v="0"/>
    <x v="0"/>
    <n v="14"/>
    <x v="1"/>
    <x v="0"/>
    <s v="S"/>
    <x v="0"/>
    <x v="6"/>
    <x v="224"/>
    <x v="0"/>
    <n v="0"/>
    <n v="0"/>
    <x v="0"/>
    <s v="Alone"/>
    <x v="1"/>
    <s v="yes"/>
  </r>
  <r>
    <s v="Svensson"/>
    <s v=" Mr"/>
    <s v=" Olof"/>
    <x v="0"/>
    <x v="0"/>
    <n v="24"/>
    <x v="2"/>
    <x v="0"/>
    <s v="S"/>
    <x v="0"/>
    <x v="6"/>
    <x v="32"/>
    <x v="0"/>
    <n v="0"/>
    <n v="0"/>
    <x v="0"/>
    <s v="Alone"/>
    <x v="0"/>
    <s v="no"/>
  </r>
  <r>
    <s v="Swane"/>
    <s v=" Mr"/>
    <s v=" George"/>
    <x v="0"/>
    <x v="0"/>
    <n v="19"/>
    <x v="2"/>
    <x v="1"/>
    <s v="S"/>
    <x v="0"/>
    <x v="1"/>
    <x v="10"/>
    <x v="0"/>
    <n v="0"/>
    <n v="0"/>
    <x v="0"/>
    <s v="Alone"/>
    <x v="0"/>
    <s v="no"/>
  </r>
  <r>
    <s v="Sweet"/>
    <s v=" Mr"/>
    <s v=" George Frederick"/>
    <x v="0"/>
    <x v="0"/>
    <n v="14"/>
    <x v="1"/>
    <x v="1"/>
    <s v="S"/>
    <x v="0"/>
    <x v="1"/>
    <x v="159"/>
    <x v="3"/>
    <n v="0"/>
    <n v="0"/>
    <x v="0"/>
    <s v="Alone"/>
    <x v="0"/>
    <s v="no"/>
  </r>
  <r>
    <s v="Swift"/>
    <s v=" Mrs"/>
    <s v=" Margaret Welles"/>
    <x v="1"/>
    <x v="1"/>
    <n v="46"/>
    <x v="0"/>
    <x v="2"/>
    <s v="S"/>
    <x v="0"/>
    <x v="0"/>
    <x v="193"/>
    <x v="1"/>
    <n v="0"/>
    <n v="0"/>
    <x v="0"/>
    <s v="Alone"/>
    <x v="1"/>
    <s v="yes"/>
  </r>
  <r>
    <s v="TannÅ«s"/>
    <s v=" Master"/>
    <s v=" As'ad"/>
    <x v="0"/>
    <x v="0"/>
    <n v="1"/>
    <x v="3"/>
    <x v="0"/>
    <s v="C"/>
    <x v="1"/>
    <x v="4"/>
    <x v="262"/>
    <x v="0"/>
    <n v="0"/>
    <n v="1"/>
    <x v="2"/>
    <s v="With Family"/>
    <x v="1"/>
    <s v="yes"/>
  </r>
  <r>
    <s v="TannÅ«s"/>
    <s v=" Mr"/>
    <s v=" BashÄ«r"/>
    <x v="0"/>
    <x v="0"/>
    <n v="30"/>
    <x v="2"/>
    <x v="0"/>
    <s v="C"/>
    <x v="1"/>
    <x v="4"/>
    <x v="202"/>
    <x v="0"/>
    <n v="1"/>
    <n v="0"/>
    <x v="2"/>
    <s v="With Family"/>
    <x v="0"/>
    <s v="no"/>
  </r>
  <r>
    <s v="TannÅ«s"/>
    <s v=" Mrs"/>
    <s v=" ThamÄ«n"/>
    <x v="1"/>
    <x v="1"/>
    <n v="16"/>
    <x v="1"/>
    <x v="0"/>
    <s v="C"/>
    <x v="1"/>
    <x v="4"/>
    <x v="262"/>
    <x v="0"/>
    <n v="1"/>
    <n v="1"/>
    <x v="1"/>
    <s v="With Family"/>
    <x v="1"/>
    <s v="yes"/>
  </r>
  <r>
    <s v="Taussig"/>
    <s v=" Miss"/>
    <s v=" Ruth"/>
    <x v="1"/>
    <x v="1"/>
    <n v="18"/>
    <x v="2"/>
    <x v="2"/>
    <s v="S"/>
    <x v="0"/>
    <x v="0"/>
    <x v="263"/>
    <x v="3"/>
    <n v="0"/>
    <n v="2"/>
    <x v="1"/>
    <s v="With Family"/>
    <x v="1"/>
    <s v="yes"/>
  </r>
  <r>
    <s v="Taussig"/>
    <s v=" Mr"/>
    <s v=" Emil"/>
    <x v="0"/>
    <x v="0"/>
    <n v="52"/>
    <x v="0"/>
    <x v="2"/>
    <s v="S"/>
    <x v="0"/>
    <x v="0"/>
    <x v="263"/>
    <x v="3"/>
    <n v="1"/>
    <n v="1"/>
    <x v="1"/>
    <s v="With Family"/>
    <x v="0"/>
    <s v="no"/>
  </r>
  <r>
    <s v="Taussig"/>
    <s v=" Mrs"/>
    <s v=" Tillie"/>
    <x v="1"/>
    <x v="1"/>
    <n v="39"/>
    <x v="0"/>
    <x v="2"/>
    <s v="S"/>
    <x v="0"/>
    <x v="0"/>
    <x v="263"/>
    <x v="3"/>
    <n v="1"/>
    <n v="1"/>
    <x v="1"/>
    <s v="With Family"/>
    <x v="1"/>
    <s v="yes"/>
  </r>
  <r>
    <s v="Taylor"/>
    <s v=" Mr"/>
    <s v=" Elmer Zebley"/>
    <x v="0"/>
    <x v="0"/>
    <n v="48"/>
    <x v="0"/>
    <x v="2"/>
    <s v="S"/>
    <x v="0"/>
    <x v="0"/>
    <x v="91"/>
    <x v="3"/>
    <n v="1"/>
    <n v="0"/>
    <x v="2"/>
    <s v="With Family"/>
    <x v="1"/>
    <s v="yes"/>
  </r>
  <r>
    <s v="Taylor"/>
    <s v=" Mr"/>
    <s v=" Percy Cornelius"/>
    <x v="0"/>
    <x v="0"/>
    <n v="40"/>
    <x v="0"/>
    <x v="1"/>
    <s v="S"/>
    <x v="0"/>
    <x v="1"/>
    <x v="25"/>
    <x v="1"/>
    <n v="1"/>
    <s v="NA"/>
    <x v="5"/>
    <e v="#VALUE!"/>
    <x v="0"/>
    <s v="no"/>
  </r>
  <r>
    <s v="Taylor"/>
    <s v=" Mrs"/>
    <s v=" Juliet Cummins"/>
    <x v="1"/>
    <x v="1"/>
    <n v="49"/>
    <x v="0"/>
    <x v="2"/>
    <s v="S"/>
    <x v="0"/>
    <x v="0"/>
    <x v="91"/>
    <x v="3"/>
    <n v="1"/>
    <n v="0"/>
    <x v="2"/>
    <s v="With Family"/>
    <x v="1"/>
    <s v="yes"/>
  </r>
  <r>
    <s v="Tenglin"/>
    <s v=" Mr"/>
    <s v=" Gunnar Isidor"/>
    <x v="0"/>
    <x v="0"/>
    <n v="25"/>
    <x v="2"/>
    <x v="0"/>
    <s v="S"/>
    <x v="0"/>
    <x v="6"/>
    <x v="32"/>
    <x v="0"/>
    <n v="0"/>
    <n v="0"/>
    <x v="0"/>
    <s v="Alone"/>
    <x v="1"/>
    <s v="yes"/>
  </r>
  <r>
    <s v="Thayer"/>
    <s v=" Mr"/>
    <s v=" John Borland"/>
    <x v="0"/>
    <x v="0"/>
    <n v="49"/>
    <x v="0"/>
    <x v="2"/>
    <s v="C"/>
    <x v="1"/>
    <x v="0"/>
    <x v="127"/>
    <x v="2"/>
    <n v="1"/>
    <n v="1"/>
    <x v="1"/>
    <s v="With Family"/>
    <x v="0"/>
    <s v="no"/>
  </r>
  <r>
    <s v="Thayer"/>
    <s v=" Mr"/>
    <s v=" John Borland jr"/>
    <x v="0"/>
    <x v="0"/>
    <n v="17"/>
    <x v="1"/>
    <x v="2"/>
    <s v="C"/>
    <x v="1"/>
    <x v="0"/>
    <x v="127"/>
    <x v="2"/>
    <n v="0"/>
    <n v="2"/>
    <x v="1"/>
    <s v="With Family"/>
    <x v="1"/>
    <s v="yes"/>
  </r>
  <r>
    <s v="Thayer"/>
    <s v=" Mrs"/>
    <s v=" Marian Longstreth"/>
    <x v="1"/>
    <x v="1"/>
    <n v="39"/>
    <x v="0"/>
    <x v="2"/>
    <s v="C"/>
    <x v="1"/>
    <x v="0"/>
    <x v="127"/>
    <x v="2"/>
    <n v="1"/>
    <n v="1"/>
    <x v="1"/>
    <s v="With Family"/>
    <x v="1"/>
    <s v="yes"/>
  </r>
  <r>
    <s v="Theobald"/>
    <s v=" Mr"/>
    <s v=" Thomas Leonard"/>
    <x v="0"/>
    <x v="0"/>
    <n v="34"/>
    <x v="2"/>
    <x v="0"/>
    <s v="S"/>
    <x v="0"/>
    <x v="1"/>
    <x v="7"/>
    <x v="0"/>
    <n v="0"/>
    <n v="0"/>
    <x v="0"/>
    <s v="Alone"/>
    <x v="0"/>
    <s v="no"/>
  </r>
  <r>
    <s v="Thomas/Tannous"/>
    <s v=" Mr"/>
    <s v=" John"/>
    <x v="0"/>
    <x v="0"/>
    <n v="34"/>
    <x v="2"/>
    <x v="0"/>
    <s v="C"/>
    <x v="1"/>
    <x v="1"/>
    <x v="202"/>
    <x v="0"/>
    <n v="0"/>
    <n v="0"/>
    <x v="0"/>
    <s v="Alone"/>
    <x v="0"/>
    <s v="no"/>
  </r>
  <r>
    <s v="Thomas/Tannous"/>
    <s v=" Mr"/>
    <s v=" Tannous"/>
    <x v="0"/>
    <x v="0"/>
    <n v="16"/>
    <x v="1"/>
    <x v="0"/>
    <s v="C"/>
    <x v="1"/>
    <x v="1"/>
    <x v="33"/>
    <x v="0"/>
    <n v="0"/>
    <n v="0"/>
    <x v="0"/>
    <s v="Alone"/>
    <x v="0"/>
    <s v="no"/>
  </r>
  <r>
    <s v="Thompson"/>
    <s v=" Mr"/>
    <s v=" Alexander Mellis"/>
    <x v="0"/>
    <x v="0"/>
    <n v="37"/>
    <x v="0"/>
    <x v="0"/>
    <s v="S"/>
    <x v="0"/>
    <x v="22"/>
    <x v="7"/>
    <x v="0"/>
    <n v="0"/>
    <n v="0"/>
    <x v="0"/>
    <s v="Alone"/>
    <x v="0"/>
    <s v="no"/>
  </r>
  <r>
    <s v="Thorne"/>
    <s v=" Miss"/>
    <s v=" Gertrude Maybelle"/>
    <x v="1"/>
    <x v="1"/>
    <n v="38"/>
    <x v="0"/>
    <x v="2"/>
    <s v="C"/>
    <x v="1"/>
    <x v="0"/>
    <x v="169"/>
    <x v="3"/>
    <n v="0"/>
    <n v="0"/>
    <x v="0"/>
    <s v="Alone"/>
    <x v="1"/>
    <s v="yes"/>
  </r>
  <r>
    <s v="Thorneycroft"/>
    <s v=" Mr"/>
    <s v=" Percival"/>
    <x v="0"/>
    <x v="0"/>
    <n v="37"/>
    <x v="0"/>
    <x v="0"/>
    <s v="S"/>
    <x v="0"/>
    <x v="1"/>
    <x v="61"/>
    <x v="1"/>
    <n v="1"/>
    <n v="0"/>
    <x v="2"/>
    <s v="With Family"/>
    <x v="0"/>
    <s v="no"/>
  </r>
  <r>
    <s v="Thorneycroft"/>
    <s v=" Mrs"/>
    <s v=" Florence Kate"/>
    <x v="1"/>
    <x v="1"/>
    <n v="33"/>
    <x v="2"/>
    <x v="0"/>
    <s v="S"/>
    <x v="0"/>
    <x v="1"/>
    <x v="61"/>
    <x v="1"/>
    <n v="1"/>
    <n v="0"/>
    <x v="2"/>
    <s v="With Family"/>
    <x v="1"/>
    <s v="yes"/>
  </r>
  <r>
    <s v="Tikkanen"/>
    <s v=" Mr"/>
    <s v=" Juho"/>
    <x v="0"/>
    <x v="0"/>
    <n v="32"/>
    <x v="2"/>
    <x v="0"/>
    <s v="S"/>
    <x v="0"/>
    <x v="5"/>
    <x v="5"/>
    <x v="0"/>
    <n v="0"/>
    <n v="0"/>
    <x v="0"/>
    <s v="Alone"/>
    <x v="0"/>
    <s v="no"/>
  </r>
  <r>
    <s v="Tobin"/>
    <s v=" Mr"/>
    <s v=" Roger"/>
    <x v="0"/>
    <x v="0"/>
    <n v="20"/>
    <x v="2"/>
    <x v="0"/>
    <s v="Q"/>
    <x v="3"/>
    <x v="16"/>
    <x v="55"/>
    <x v="0"/>
    <n v="0"/>
    <n v="0"/>
    <x v="0"/>
    <s v="Alone"/>
    <x v="0"/>
    <s v="no"/>
  </r>
  <r>
    <s v="Todoroff"/>
    <s v=" Mr"/>
    <s v=" Lalio"/>
    <x v="0"/>
    <x v="0"/>
    <n v="23"/>
    <x v="2"/>
    <x v="0"/>
    <s v="S"/>
    <x v="0"/>
    <x v="11"/>
    <x v="26"/>
    <x v="0"/>
    <n v="0"/>
    <n v="0"/>
    <x v="0"/>
    <s v="Alone"/>
    <x v="0"/>
    <s v="no"/>
  </r>
  <r>
    <s v="Tomlin"/>
    <s v=" Mr"/>
    <s v=" Ernest Portage"/>
    <x v="0"/>
    <x v="0"/>
    <n v="22"/>
    <x v="2"/>
    <x v="0"/>
    <s v="S"/>
    <x v="0"/>
    <x v="1"/>
    <x v="7"/>
    <x v="0"/>
    <n v="0"/>
    <n v="0"/>
    <x v="0"/>
    <s v="Alone"/>
    <x v="0"/>
    <s v="no"/>
  </r>
  <r>
    <s v="Toomey"/>
    <s v=" Miss"/>
    <s v=" Ellen Mary"/>
    <x v="1"/>
    <x v="1"/>
    <n v="48"/>
    <x v="0"/>
    <x v="1"/>
    <s v="S"/>
    <x v="0"/>
    <x v="16"/>
    <x v="23"/>
    <x v="0"/>
    <n v="0"/>
    <n v="0"/>
    <x v="0"/>
    <s v="Alone"/>
    <x v="1"/>
    <s v="yes"/>
  </r>
  <r>
    <s v="TÃ¶rber"/>
    <s v=" Mr"/>
    <s v=" Ernst Wilhelm"/>
    <x v="0"/>
    <x v="0"/>
    <n v="41"/>
    <x v="0"/>
    <x v="0"/>
    <s v="S"/>
    <x v="0"/>
    <x v="1"/>
    <x v="7"/>
    <x v="0"/>
    <n v="0"/>
    <n v="0"/>
    <x v="0"/>
    <s v="Alone"/>
    <x v="0"/>
    <s v="no"/>
  </r>
  <r>
    <s v="Torfa"/>
    <s v=" Mr"/>
    <s v=" Assad"/>
    <x v="0"/>
    <x v="0"/>
    <n v="20"/>
    <x v="2"/>
    <x v="0"/>
    <s v="C"/>
    <x v="1"/>
    <x v="4"/>
    <x v="16"/>
    <x v="0"/>
    <n v="0"/>
    <n v="0"/>
    <x v="0"/>
    <s v="Alone"/>
    <x v="0"/>
    <s v="no"/>
  </r>
  <r>
    <s v="TÃ¶rnquist"/>
    <s v=" Mr"/>
    <s v=" William Henry"/>
    <x v="0"/>
    <x v="0"/>
    <n v="26"/>
    <x v="2"/>
    <x v="0"/>
    <s v="S"/>
    <x v="0"/>
    <x v="6"/>
    <x v="25"/>
    <x v="1"/>
    <n v="0"/>
    <n v="0"/>
    <x v="0"/>
    <s v="Alone"/>
    <x v="1"/>
    <s v="yes"/>
  </r>
  <r>
    <s v="Totevski"/>
    <s v=" Mr"/>
    <s v=" Hristo Danchev"/>
    <x v="0"/>
    <x v="0"/>
    <n v="25"/>
    <x v="2"/>
    <x v="0"/>
    <s v="S"/>
    <x v="0"/>
    <x v="11"/>
    <x v="26"/>
    <x v="0"/>
    <n v="0"/>
    <n v="0"/>
    <x v="0"/>
    <s v="Alone"/>
    <x v="0"/>
    <s v="no"/>
  </r>
  <r>
    <s v="Troupiansky"/>
    <s v=" Mr"/>
    <s v=" Moses Aaron"/>
    <x v="0"/>
    <x v="0"/>
    <n v="23"/>
    <x v="2"/>
    <x v="1"/>
    <s v="S"/>
    <x v="0"/>
    <x v="1"/>
    <x v="10"/>
    <x v="0"/>
    <n v="0"/>
    <n v="0"/>
    <x v="0"/>
    <s v="Alone"/>
    <x v="0"/>
    <s v="no"/>
  </r>
  <r>
    <s v="Trout"/>
    <s v=" Mrs"/>
    <s v=" Jessie Laird"/>
    <x v="1"/>
    <x v="1"/>
    <n v="27"/>
    <x v="2"/>
    <x v="1"/>
    <s v="S"/>
    <x v="0"/>
    <x v="22"/>
    <x v="264"/>
    <x v="0"/>
    <n v="0"/>
    <n v="0"/>
    <x v="0"/>
    <s v="Alone"/>
    <x v="1"/>
    <s v="yes"/>
  </r>
  <r>
    <s v="Troutt"/>
    <s v=" Miss"/>
    <s v=" Edwina Celia"/>
    <x v="1"/>
    <x v="1"/>
    <n v="27"/>
    <x v="2"/>
    <x v="1"/>
    <s v="S"/>
    <x v="0"/>
    <x v="1"/>
    <x v="23"/>
    <x v="0"/>
    <n v="0"/>
    <n v="0"/>
    <x v="0"/>
    <s v="Alone"/>
    <x v="1"/>
    <s v="yes"/>
  </r>
  <r>
    <s v="Tucker"/>
    <s v=" Mr"/>
    <s v=" Gilbert Milligan jr"/>
    <x v="0"/>
    <x v="0"/>
    <n v="31"/>
    <x v="2"/>
    <x v="2"/>
    <s v="C"/>
    <x v="1"/>
    <x v="0"/>
    <x v="265"/>
    <x v="1"/>
    <n v="0"/>
    <n v="0"/>
    <x v="0"/>
    <s v="Alone"/>
    <x v="1"/>
    <s v="yes"/>
  </r>
  <r>
    <s v="Tu'mah"/>
    <s v=" Master"/>
    <s v=" Jirjis YÅ«suf"/>
    <x v="0"/>
    <x v="0"/>
    <n v="8"/>
    <x v="3"/>
    <x v="0"/>
    <s v="C"/>
    <x v="1"/>
    <x v="4"/>
    <x v="71"/>
    <x v="1"/>
    <n v="1"/>
    <n v="1"/>
    <x v="1"/>
    <s v="With Family"/>
    <x v="1"/>
    <s v="yes"/>
  </r>
  <r>
    <s v="Tu'mah"/>
    <s v=" Miss"/>
    <s v=" Mariyam"/>
    <x v="1"/>
    <x v="1"/>
    <n v="9"/>
    <x v="1"/>
    <x v="0"/>
    <s v="C"/>
    <x v="1"/>
    <x v="4"/>
    <x v="71"/>
    <x v="1"/>
    <n v="1"/>
    <n v="1"/>
    <x v="1"/>
    <s v="With Family"/>
    <x v="1"/>
    <s v="yes"/>
  </r>
  <r>
    <s v="Tu'mah"/>
    <s v=" Mrs"/>
    <s v=" Hinnah"/>
    <x v="1"/>
    <x v="1"/>
    <n v="27"/>
    <x v="2"/>
    <x v="0"/>
    <s v="C"/>
    <x v="1"/>
    <x v="4"/>
    <x v="71"/>
    <x v="1"/>
    <n v="0"/>
    <n v="2"/>
    <x v="1"/>
    <s v="With Family"/>
    <x v="1"/>
    <s v="yes"/>
  </r>
  <r>
    <s v="Turcin"/>
    <s v=" Mr"/>
    <s v=" Stjepan"/>
    <x v="0"/>
    <x v="0"/>
    <n v="36"/>
    <x v="0"/>
    <x v="0"/>
    <s v="S"/>
    <x v="0"/>
    <x v="43"/>
    <x v="26"/>
    <x v="0"/>
    <n v="0"/>
    <n v="0"/>
    <x v="0"/>
    <s v="Alone"/>
    <x v="0"/>
    <s v="no"/>
  </r>
  <r>
    <s v="Turja"/>
    <s v=" Miss"/>
    <s v=" Anna Sofia"/>
    <x v="1"/>
    <x v="1"/>
    <n v="18"/>
    <x v="2"/>
    <x v="0"/>
    <s v="S"/>
    <x v="0"/>
    <x v="5"/>
    <x v="179"/>
    <x v="0"/>
    <n v="0"/>
    <n v="0"/>
    <x v="0"/>
    <s v="Alone"/>
    <x v="1"/>
    <s v="yes"/>
  </r>
  <r>
    <s v="Turkula"/>
    <s v=" Mrs"/>
    <s v=" Hedwig"/>
    <x v="1"/>
    <x v="1"/>
    <n v="63"/>
    <x v="4"/>
    <x v="0"/>
    <s v="S"/>
    <x v="0"/>
    <x v="5"/>
    <x v="189"/>
    <x v="0"/>
    <n v="0"/>
    <n v="0"/>
    <x v="0"/>
    <s v="Alone"/>
    <x v="1"/>
    <s v="yes"/>
  </r>
  <r>
    <s v="Turpin"/>
    <s v=" Mrs"/>
    <s v=" Dorothy Ann"/>
    <x v="1"/>
    <x v="1"/>
    <n v="26"/>
    <x v="2"/>
    <x v="1"/>
    <s v="S"/>
    <x v="0"/>
    <x v="1"/>
    <x v="77"/>
    <x v="1"/>
    <n v="1"/>
    <n v="0"/>
    <x v="2"/>
    <s v="With Family"/>
    <x v="0"/>
    <s v="no"/>
  </r>
  <r>
    <s v="Turpin"/>
    <s v=" Mr"/>
    <s v=" William John"/>
    <x v="0"/>
    <x v="0"/>
    <n v="29"/>
    <x v="2"/>
    <x v="1"/>
    <s v="S"/>
    <x v="0"/>
    <x v="1"/>
    <x v="77"/>
    <x v="1"/>
    <n v="1"/>
    <n v="0"/>
    <x v="2"/>
    <s v="With Family"/>
    <x v="0"/>
    <s v="no"/>
  </r>
  <r>
    <s v="Uruchurtu"/>
    <s v=" Don"/>
    <s v=" Manuel Ramirez"/>
    <x v="0"/>
    <x v="0"/>
    <n v="39"/>
    <x v="0"/>
    <x v="2"/>
    <s v="C"/>
    <x v="1"/>
    <x v="46"/>
    <x v="68"/>
    <x v="1"/>
    <n v="0"/>
    <n v="0"/>
    <x v="0"/>
    <s v="Alone"/>
    <x v="0"/>
    <s v="no"/>
  </r>
  <r>
    <s v="van Billiard"/>
    <s v=" Master"/>
    <s v=" James William"/>
    <x v="0"/>
    <x v="0"/>
    <n v="10"/>
    <x v="1"/>
    <x v="0"/>
    <s v="S"/>
    <x v="0"/>
    <x v="1"/>
    <x v="135"/>
    <x v="0"/>
    <n v="1"/>
    <n v="1"/>
    <x v="1"/>
    <s v="With Family"/>
    <x v="0"/>
    <s v="no"/>
  </r>
  <r>
    <s v="van Billiard"/>
    <s v=" Master"/>
    <s v=" Walter John"/>
    <x v="0"/>
    <x v="0"/>
    <n v="9"/>
    <x v="1"/>
    <x v="0"/>
    <s v="S"/>
    <x v="0"/>
    <x v="1"/>
    <x v="135"/>
    <x v="0"/>
    <n v="1"/>
    <n v="1"/>
    <x v="1"/>
    <s v="With Family"/>
    <x v="0"/>
    <s v="no"/>
  </r>
  <r>
    <s v="van Billiard"/>
    <s v=" Mr"/>
    <s v=" Austin Blyler"/>
    <x v="0"/>
    <x v="0"/>
    <n v="35"/>
    <x v="2"/>
    <x v="0"/>
    <s v="S"/>
    <x v="0"/>
    <x v="1"/>
    <x v="135"/>
    <x v="0"/>
    <n v="0"/>
    <n v="2"/>
    <x v="1"/>
    <s v="With Family"/>
    <x v="0"/>
    <s v="no"/>
  </r>
  <r>
    <s v="Van den Steen"/>
    <s v=" Mr"/>
    <s v=" Leo Peter"/>
    <x v="0"/>
    <x v="0"/>
    <n v="28"/>
    <x v="2"/>
    <x v="0"/>
    <s v="S"/>
    <x v="0"/>
    <x v="25"/>
    <x v="110"/>
    <x v="0"/>
    <n v="0"/>
    <n v="0"/>
    <x v="0"/>
    <s v="Alone"/>
    <x v="0"/>
    <s v="no"/>
  </r>
  <r>
    <s v="Vandercruyssen"/>
    <s v=" Mr"/>
    <s v=" Victor"/>
    <x v="0"/>
    <x v="0"/>
    <n v="46"/>
    <x v="0"/>
    <x v="0"/>
    <s v="S"/>
    <x v="0"/>
    <x v="25"/>
    <x v="266"/>
    <x v="0"/>
    <n v="0"/>
    <n v="0"/>
    <x v="0"/>
    <s v="Alone"/>
    <x v="0"/>
    <s v="no"/>
  </r>
  <r>
    <s v="Van der hoef"/>
    <s v=" Mr"/>
    <s v=" Wyckoff"/>
    <x v="0"/>
    <x v="0"/>
    <n v="61"/>
    <x v="4"/>
    <x v="2"/>
    <s v="S"/>
    <x v="0"/>
    <x v="0"/>
    <x v="267"/>
    <x v="1"/>
    <n v="0"/>
    <n v="0"/>
    <x v="0"/>
    <s v="Alone"/>
    <x v="0"/>
    <s v="no"/>
  </r>
  <r>
    <s v="Vanderplancke"/>
    <s v=" Miss"/>
    <s v=" Augusta Maria"/>
    <x v="1"/>
    <x v="1"/>
    <n v="18"/>
    <x v="2"/>
    <x v="0"/>
    <s v="S"/>
    <x v="0"/>
    <x v="25"/>
    <x v="268"/>
    <x v="1"/>
    <n v="2"/>
    <n v="0"/>
    <x v="1"/>
    <s v="With Family"/>
    <x v="0"/>
    <s v="no"/>
  </r>
  <r>
    <s v="Vanderplancke"/>
    <s v=" Mr"/>
    <s v=" Julius"/>
    <x v="0"/>
    <x v="0"/>
    <n v="31"/>
    <x v="2"/>
    <x v="0"/>
    <s v="S"/>
    <x v="0"/>
    <x v="25"/>
    <x v="268"/>
    <x v="1"/>
    <n v="3"/>
    <n v="0"/>
    <x v="3"/>
    <s v="With Family"/>
    <x v="0"/>
    <s v="no"/>
  </r>
  <r>
    <s v="Vanderplancke"/>
    <s v=" Mr"/>
    <s v=" Leo Edmondus"/>
    <x v="0"/>
    <x v="0"/>
    <n v="15"/>
    <x v="1"/>
    <x v="0"/>
    <s v="S"/>
    <x v="0"/>
    <x v="25"/>
    <x v="268"/>
    <x v="1"/>
    <n v="2"/>
    <n v="0"/>
    <x v="1"/>
    <s v="With Family"/>
    <x v="0"/>
    <s v="no"/>
  </r>
  <r>
    <s v="Vanderplancke"/>
    <s v=" Mrs"/>
    <s v=" Emelie Maria"/>
    <x v="1"/>
    <x v="1"/>
    <n v="31"/>
    <x v="2"/>
    <x v="0"/>
    <s v="S"/>
    <x v="0"/>
    <x v="25"/>
    <x v="268"/>
    <x v="1"/>
    <n v="1"/>
    <n v="0"/>
    <x v="2"/>
    <s v="With Family"/>
    <x v="0"/>
    <s v="no"/>
  </r>
  <r>
    <s v="Van de Velde"/>
    <s v=" Mr"/>
    <s v=" Johannes Josef"/>
    <x v="0"/>
    <x v="0"/>
    <n v="35"/>
    <x v="2"/>
    <x v="0"/>
    <s v="S"/>
    <x v="0"/>
    <x v="25"/>
    <x v="110"/>
    <x v="0"/>
    <n v="0"/>
    <n v="0"/>
    <x v="0"/>
    <s v="Alone"/>
    <x v="0"/>
    <s v="no"/>
  </r>
  <r>
    <s v="Vandewalle"/>
    <s v=" Mr"/>
    <s v=" Nestor Cyriel"/>
    <x v="0"/>
    <x v="0"/>
    <n v="28"/>
    <x v="2"/>
    <x v="0"/>
    <s v="S"/>
    <x v="0"/>
    <x v="25"/>
    <x v="110"/>
    <x v="0"/>
    <n v="0"/>
    <n v="0"/>
    <x v="0"/>
    <s v="Alone"/>
    <x v="0"/>
    <s v="no"/>
  </r>
  <r>
    <s v="Van Impe"/>
    <s v=" Miss"/>
    <s v=" Catharina"/>
    <x v="1"/>
    <x v="1"/>
    <n v="10"/>
    <x v="1"/>
    <x v="0"/>
    <s v="S"/>
    <x v="0"/>
    <x v="25"/>
    <x v="106"/>
    <x v="1"/>
    <n v="0"/>
    <n v="2"/>
    <x v="1"/>
    <s v="With Family"/>
    <x v="0"/>
    <s v="no"/>
  </r>
  <r>
    <s v="Van Impe"/>
    <s v=" Mr"/>
    <s v=" Jean Baptiste"/>
    <x v="0"/>
    <x v="0"/>
    <n v="36"/>
    <x v="0"/>
    <x v="0"/>
    <s v="S"/>
    <x v="0"/>
    <x v="25"/>
    <x v="106"/>
    <x v="1"/>
    <n v="1"/>
    <n v="1"/>
    <x v="1"/>
    <s v="With Family"/>
    <x v="0"/>
    <s v="no"/>
  </r>
  <r>
    <s v="Van Impe"/>
    <s v=" Mrs"/>
    <s v=" Rosalie Paula"/>
    <x v="1"/>
    <x v="1"/>
    <n v="30"/>
    <x v="2"/>
    <x v="0"/>
    <s v="S"/>
    <x v="0"/>
    <x v="25"/>
    <x v="106"/>
    <x v="1"/>
    <n v="1"/>
    <n v="1"/>
    <x v="1"/>
    <s v="With Family"/>
    <x v="0"/>
    <s v="no"/>
  </r>
  <r>
    <s v="van Melckebeke"/>
    <s v=" Mr"/>
    <s v=" Philemon"/>
    <x v="0"/>
    <x v="0"/>
    <n v="23"/>
    <x v="2"/>
    <x v="0"/>
    <s v="S"/>
    <x v="0"/>
    <x v="25"/>
    <x v="110"/>
    <x v="0"/>
    <n v="0"/>
    <n v="0"/>
    <x v="0"/>
    <s v="Alone"/>
    <x v="0"/>
    <s v="no"/>
  </r>
  <r>
    <s v="Vartanian"/>
    <s v=" Mr"/>
    <s v=" David"/>
    <x v="0"/>
    <x v="0"/>
    <n v="22"/>
    <x v="2"/>
    <x v="0"/>
    <s v="C"/>
    <x v="1"/>
    <x v="36"/>
    <x v="33"/>
    <x v="0"/>
    <n v="0"/>
    <n v="0"/>
    <x v="0"/>
    <s v="Alone"/>
    <x v="1"/>
    <s v="yes"/>
  </r>
  <r>
    <s v="Veal"/>
    <s v=" Mr"/>
    <s v=" James"/>
    <x v="0"/>
    <x v="0"/>
    <n v="40"/>
    <x v="0"/>
    <x v="1"/>
    <s v="S"/>
    <x v="0"/>
    <x v="0"/>
    <x v="10"/>
    <x v="0"/>
    <n v="0"/>
    <n v="0"/>
    <x v="0"/>
    <s v="Alone"/>
    <x v="0"/>
    <s v="no"/>
  </r>
  <r>
    <s v="Vendel"/>
    <s v=" Mr"/>
    <s v=" Olof Edvin"/>
    <x v="0"/>
    <x v="0"/>
    <n v="20"/>
    <x v="2"/>
    <x v="0"/>
    <s v="S"/>
    <x v="0"/>
    <x v="6"/>
    <x v="17"/>
    <x v="0"/>
    <n v="0"/>
    <n v="0"/>
    <x v="0"/>
    <s v="Alone"/>
    <x v="0"/>
    <s v="no"/>
  </r>
  <r>
    <s v="VestrÃ¶m"/>
    <s v=" Miss"/>
    <s v=" Hulda Amanda Adolfina"/>
    <x v="1"/>
    <x v="1"/>
    <n v="14"/>
    <x v="1"/>
    <x v="0"/>
    <s v="S"/>
    <x v="0"/>
    <x v="6"/>
    <x v="17"/>
    <x v="0"/>
    <n v="0"/>
    <n v="0"/>
    <x v="0"/>
    <s v="Alone"/>
    <x v="0"/>
    <s v="no"/>
  </r>
  <r>
    <s v="Vovk"/>
    <s v=" Mr"/>
    <s v=" Janko"/>
    <x v="0"/>
    <x v="0"/>
    <n v="21"/>
    <x v="2"/>
    <x v="0"/>
    <s v="S"/>
    <x v="0"/>
    <x v="34"/>
    <x v="26"/>
    <x v="0"/>
    <n v="0"/>
    <n v="0"/>
    <x v="0"/>
    <s v="Alone"/>
    <x v="0"/>
    <s v="no"/>
  </r>
  <r>
    <s v="Waelens"/>
    <s v=" Mr"/>
    <s v=" Achille"/>
    <x v="0"/>
    <x v="0"/>
    <n v="22"/>
    <x v="2"/>
    <x v="0"/>
    <s v="S"/>
    <x v="0"/>
    <x v="25"/>
    <x v="266"/>
    <x v="0"/>
    <n v="0"/>
    <n v="0"/>
    <x v="0"/>
    <s v="Alone"/>
    <x v="0"/>
    <s v="no"/>
  </r>
  <r>
    <s v="Walker"/>
    <s v=" Mr"/>
    <s v=" William Anderson"/>
    <x v="0"/>
    <x v="0"/>
    <n v="48"/>
    <x v="0"/>
    <x v="2"/>
    <s v="S"/>
    <x v="0"/>
    <x v="0"/>
    <x v="269"/>
    <x v="1"/>
    <n v="0"/>
    <n v="0"/>
    <x v="0"/>
    <s v="Alone"/>
    <x v="0"/>
    <s v="no"/>
  </r>
  <r>
    <s v="Wallcroft"/>
    <s v=" Miss"/>
    <s v=" Ellen 'Nellie'"/>
    <x v="1"/>
    <x v="1"/>
    <n v="36"/>
    <x v="0"/>
    <x v="1"/>
    <s v="S"/>
    <x v="0"/>
    <x v="1"/>
    <x v="77"/>
    <x v="1"/>
    <n v="0"/>
    <n v="0"/>
    <x v="0"/>
    <s v="Alone"/>
    <x v="1"/>
    <s v="yes"/>
  </r>
  <r>
    <s v="Ward"/>
    <s v=" Miss"/>
    <s v=" Annie Moore"/>
    <x v="1"/>
    <x v="1"/>
    <n v="37"/>
    <x v="0"/>
    <x v="2"/>
    <s v="C"/>
    <x v="1"/>
    <x v="1"/>
    <x v="79"/>
    <x v="2"/>
    <n v="0"/>
    <n v="0"/>
    <x v="0"/>
    <s v="Alone"/>
    <x v="1"/>
    <s v="yes"/>
  </r>
  <r>
    <s v="Ware"/>
    <s v=" Mr"/>
    <s v=" Frederick"/>
    <x v="0"/>
    <x v="0"/>
    <n v="35"/>
    <x v="2"/>
    <x v="0"/>
    <s v="S"/>
    <x v="0"/>
    <x v="1"/>
    <x v="7"/>
    <x v="0"/>
    <n v="0"/>
    <n v="0"/>
    <x v="0"/>
    <s v="Alone"/>
    <x v="0"/>
    <s v="no"/>
  </r>
  <r>
    <s v="Ware"/>
    <s v=" Mr"/>
    <s v=" John James"/>
    <x v="0"/>
    <x v="0"/>
    <n v="47"/>
    <x v="0"/>
    <x v="1"/>
    <s v="S"/>
    <x v="0"/>
    <x v="1"/>
    <x v="77"/>
    <x v="1"/>
    <n v="1"/>
    <n v="0"/>
    <x v="2"/>
    <s v="With Family"/>
    <x v="0"/>
    <s v="no"/>
  </r>
  <r>
    <s v="Ware"/>
    <s v=" Mrs"/>
    <s v=" Florence Louise"/>
    <x v="1"/>
    <x v="1"/>
    <n v="32"/>
    <x v="2"/>
    <x v="1"/>
    <s v="S"/>
    <x v="0"/>
    <x v="1"/>
    <x v="77"/>
    <x v="1"/>
    <n v="0"/>
    <n v="0"/>
    <x v="0"/>
    <s v="Alone"/>
    <x v="1"/>
    <s v="yes"/>
  </r>
  <r>
    <s v="Ware"/>
    <s v=" Mr"/>
    <s v=" William Jeffery"/>
    <x v="0"/>
    <x v="0"/>
    <n v="23"/>
    <x v="2"/>
    <x v="1"/>
    <s v="S"/>
    <x v="0"/>
    <x v="1"/>
    <x v="23"/>
    <x v="0"/>
    <n v="1"/>
    <n v="0"/>
    <x v="2"/>
    <s v="With Family"/>
    <x v="0"/>
    <s v="no"/>
  </r>
  <r>
    <s v="Warren"/>
    <s v=" Mr"/>
    <s v=" Charles William"/>
    <x v="0"/>
    <x v="0"/>
    <n v="31"/>
    <x v="2"/>
    <x v="0"/>
    <s v="S"/>
    <x v="0"/>
    <x v="1"/>
    <x v="0"/>
    <x v="0"/>
    <n v="0"/>
    <n v="0"/>
    <x v="0"/>
    <s v="Alone"/>
    <x v="0"/>
    <s v="no"/>
  </r>
  <r>
    <s v="Warren"/>
    <s v=" Mr"/>
    <s v=" Frank Manley"/>
    <x v="0"/>
    <x v="0"/>
    <n v="63"/>
    <x v="4"/>
    <x v="2"/>
    <s v="C"/>
    <x v="1"/>
    <x v="0"/>
    <x v="270"/>
    <x v="3"/>
    <n v="1"/>
    <n v="0"/>
    <x v="2"/>
    <s v="With Family"/>
    <x v="0"/>
    <s v="no"/>
  </r>
  <r>
    <s v="Warren"/>
    <s v=" Mrs"/>
    <s v=" Anna Sophia"/>
    <x v="1"/>
    <x v="1"/>
    <n v="60"/>
    <x v="4"/>
    <x v="2"/>
    <s v="C"/>
    <x v="1"/>
    <x v="1"/>
    <x v="270"/>
    <x v="3"/>
    <n v="1"/>
    <n v="0"/>
    <x v="2"/>
    <s v="With Family"/>
    <x v="1"/>
    <s v="yes"/>
  </r>
  <r>
    <s v="Watson"/>
    <s v=" Mr"/>
    <s v=" Ennis Hastings"/>
    <x v="0"/>
    <x v="0"/>
    <n v="19"/>
    <x v="2"/>
    <x v="1"/>
    <s v="B"/>
    <x v="2"/>
    <x v="10"/>
    <x v="25"/>
    <x v="1"/>
    <n v="0"/>
    <n v="0"/>
    <x v="0"/>
    <s v="Alone"/>
    <x v="0"/>
    <s v="no"/>
  </r>
  <r>
    <s v="Watt"/>
    <s v=" Miss"/>
    <s v=" Robertha Josephine"/>
    <x v="1"/>
    <x v="1"/>
    <n v="12"/>
    <x v="1"/>
    <x v="1"/>
    <s v="S"/>
    <x v="0"/>
    <x v="22"/>
    <x v="271"/>
    <x v="1"/>
    <n v="0"/>
    <n v="0"/>
    <x v="0"/>
    <s v="Alone"/>
    <x v="1"/>
    <s v="yes"/>
  </r>
  <r>
    <s v="Watt"/>
    <s v=" Mrs"/>
    <s v=" Elizabeth"/>
    <x v="1"/>
    <x v="1"/>
    <n v="40"/>
    <x v="0"/>
    <x v="1"/>
    <s v="S"/>
    <x v="0"/>
    <x v="22"/>
    <x v="271"/>
    <x v="1"/>
    <n v="0"/>
    <n v="0"/>
    <x v="0"/>
    <s v="Alone"/>
    <x v="1"/>
    <s v="yes"/>
  </r>
  <r>
    <s v="Wazli"/>
    <s v=" Mr"/>
    <s v=" Yousif Ahmed"/>
    <x v="0"/>
    <x v="0"/>
    <n v="23"/>
    <x v="2"/>
    <x v="0"/>
    <s v="C"/>
    <x v="1"/>
    <x v="4"/>
    <x v="33"/>
    <x v="0"/>
    <n v="0"/>
    <n v="0"/>
    <x v="0"/>
    <s v="Alone"/>
    <x v="0"/>
    <s v="no"/>
  </r>
  <r>
    <s v="Webber"/>
    <s v=" Miss"/>
    <s v=" Susan"/>
    <x v="1"/>
    <x v="1"/>
    <n v="37"/>
    <x v="0"/>
    <x v="1"/>
    <s v="S"/>
    <x v="0"/>
    <x v="1"/>
    <x v="10"/>
    <x v="0"/>
    <n v="0"/>
    <n v="0"/>
    <x v="0"/>
    <s v="Alone"/>
    <x v="1"/>
    <s v="yes"/>
  </r>
  <r>
    <s v="Webber"/>
    <s v=" Mr"/>
    <s v=" James"/>
    <x v="0"/>
    <x v="0"/>
    <n v="66"/>
    <x v="4"/>
    <x v="0"/>
    <s v="S"/>
    <x v="0"/>
    <x v="1"/>
    <x v="7"/>
    <x v="0"/>
    <n v="0"/>
    <n v="0"/>
    <x v="0"/>
    <s v="Alone"/>
    <x v="0"/>
    <s v="no"/>
  </r>
  <r>
    <s v="Weir"/>
    <s v=" Colonel"/>
    <s v=" John"/>
    <x v="0"/>
    <x v="0"/>
    <n v="59"/>
    <x v="4"/>
    <x v="2"/>
    <s v="S"/>
    <x v="0"/>
    <x v="0"/>
    <x v="19"/>
    <x v="1"/>
    <n v="0"/>
    <n v="0"/>
    <x v="0"/>
    <s v="Alone"/>
    <x v="0"/>
    <s v="no"/>
  </r>
  <r>
    <s v="Weisz"/>
    <s v=" Mr"/>
    <s v=" LÃ©opold"/>
    <x v="0"/>
    <x v="0"/>
    <n v="37"/>
    <x v="0"/>
    <x v="1"/>
    <s v="S"/>
    <x v="0"/>
    <x v="15"/>
    <x v="27"/>
    <x v="1"/>
    <n v="1"/>
    <n v="0"/>
    <x v="2"/>
    <s v="With Family"/>
    <x v="0"/>
    <s v="no"/>
  </r>
  <r>
    <s v="Weisz"/>
    <s v=" Mrs"/>
    <s v=" Mathilde FranÃ§oise"/>
    <x v="1"/>
    <x v="1"/>
    <n v="37"/>
    <x v="0"/>
    <x v="1"/>
    <s v="S"/>
    <x v="0"/>
    <x v="1"/>
    <x v="27"/>
    <x v="1"/>
    <n v="1"/>
    <n v="0"/>
    <x v="2"/>
    <s v="With Family"/>
    <x v="1"/>
    <s v="yes"/>
  </r>
  <r>
    <s v="Wells"/>
    <s v=" Master"/>
    <s v=" Ralph Lester"/>
    <x v="0"/>
    <x v="0"/>
    <n v="2"/>
    <x v="3"/>
    <x v="1"/>
    <s v="S"/>
    <x v="0"/>
    <x v="1"/>
    <x v="114"/>
    <x v="1"/>
    <n v="1"/>
    <n v="1"/>
    <x v="1"/>
    <s v="With Family"/>
    <x v="1"/>
    <s v="yes"/>
  </r>
  <r>
    <s v="Wells"/>
    <s v=" Miss"/>
    <s v=" Joan"/>
    <x v="1"/>
    <x v="1"/>
    <n v="4"/>
    <x v="3"/>
    <x v="1"/>
    <s v="S"/>
    <x v="0"/>
    <x v="1"/>
    <x v="114"/>
    <x v="1"/>
    <n v="1"/>
    <n v="1"/>
    <x v="1"/>
    <s v="With Family"/>
    <x v="1"/>
    <s v="yes"/>
  </r>
  <r>
    <s v="Wells"/>
    <s v=" Mrs"/>
    <s v=" Addie Dart"/>
    <x v="1"/>
    <x v="1"/>
    <n v="29"/>
    <x v="2"/>
    <x v="1"/>
    <s v="S"/>
    <x v="0"/>
    <x v="1"/>
    <x v="114"/>
    <x v="1"/>
    <n v="0"/>
    <n v="2"/>
    <x v="1"/>
    <s v="With Family"/>
    <x v="1"/>
    <s v="yes"/>
  </r>
  <r>
    <s v="WennerstrÃ¶m"/>
    <s v=" Mr"/>
    <s v=" August"/>
    <x v="0"/>
    <x v="0"/>
    <n v="27"/>
    <x v="2"/>
    <x v="0"/>
    <s v="S"/>
    <x v="0"/>
    <x v="6"/>
    <x v="32"/>
    <x v="0"/>
    <n v="0"/>
    <n v="0"/>
    <x v="0"/>
    <s v="Alone"/>
    <x v="1"/>
    <s v="yes"/>
  </r>
  <r>
    <s v="West"/>
    <s v=" Miss"/>
    <s v=" Barbara Joyce"/>
    <x v="1"/>
    <x v="1"/>
    <n v="0.83333333330000003"/>
    <x v="3"/>
    <x v="1"/>
    <s v="S"/>
    <x v="0"/>
    <x v="1"/>
    <x v="129"/>
    <x v="1"/>
    <n v="1"/>
    <n v="2"/>
    <x v="3"/>
    <s v="With Family"/>
    <x v="1"/>
    <s v="yes"/>
  </r>
  <r>
    <s v="West"/>
    <s v=" Miss"/>
    <s v=" Constance Mirium"/>
    <x v="1"/>
    <x v="1"/>
    <n v="4"/>
    <x v="3"/>
    <x v="1"/>
    <s v="S"/>
    <x v="0"/>
    <x v="1"/>
    <x v="129"/>
    <x v="1"/>
    <n v="1"/>
    <n v="2"/>
    <x v="3"/>
    <s v="With Family"/>
    <x v="1"/>
    <s v="yes"/>
  </r>
  <r>
    <s v="West"/>
    <s v=" Mr"/>
    <s v=" Edwy Arthur"/>
    <x v="0"/>
    <x v="0"/>
    <n v="36"/>
    <x v="0"/>
    <x v="1"/>
    <s v="S"/>
    <x v="0"/>
    <x v="1"/>
    <x v="129"/>
    <x v="1"/>
    <n v="1"/>
    <n v="2"/>
    <x v="3"/>
    <s v="With Family"/>
    <x v="0"/>
    <s v="no"/>
  </r>
  <r>
    <s v="West"/>
    <s v=" Mrs"/>
    <s v=" Ada Mary"/>
    <x v="1"/>
    <x v="1"/>
    <n v="33"/>
    <x v="2"/>
    <x v="1"/>
    <s v="S"/>
    <x v="0"/>
    <x v="1"/>
    <x v="129"/>
    <x v="1"/>
    <n v="1"/>
    <n v="2"/>
    <x v="3"/>
    <s v="With Family"/>
    <x v="1"/>
    <s v="yes"/>
  </r>
  <r>
    <s v="Wheadon"/>
    <s v=" Mr"/>
    <s v=" Edward Henry"/>
    <x v="0"/>
    <x v="0"/>
    <n v="65"/>
    <x v="4"/>
    <x v="1"/>
    <s v="S"/>
    <x v="0"/>
    <x v="1"/>
    <x v="23"/>
    <x v="0"/>
    <n v="0"/>
    <n v="0"/>
    <x v="0"/>
    <s v="Alone"/>
    <x v="0"/>
    <s v="no"/>
  </r>
  <r>
    <s v="Wheeler"/>
    <s v=" Mr"/>
    <s v=" Edwin Charles"/>
    <x v="0"/>
    <x v="0"/>
    <n v="26"/>
    <x v="2"/>
    <x v="1"/>
    <s v="S"/>
    <x v="0"/>
    <x v="1"/>
    <x v="196"/>
    <x v="0"/>
    <n v="0"/>
    <n v="0"/>
    <x v="0"/>
    <s v="Alone"/>
    <x v="0"/>
    <s v="no"/>
  </r>
  <r>
    <s v="Whilems"/>
    <s v=" Mr"/>
    <s v=" Charles"/>
    <x v="0"/>
    <x v="0"/>
    <n v="31"/>
    <x v="2"/>
    <x v="1"/>
    <s v="S"/>
    <x v="0"/>
    <x v="1"/>
    <x v="10"/>
    <x v="0"/>
    <n v="0"/>
    <n v="0"/>
    <x v="0"/>
    <s v="Alone"/>
    <x v="1"/>
    <s v="yes"/>
  </r>
  <r>
    <s v="White"/>
    <s v=" Mr"/>
    <s v=" Percival Wayland"/>
    <x v="0"/>
    <x v="0"/>
    <n v="54"/>
    <x v="0"/>
    <x v="2"/>
    <s v="S"/>
    <x v="0"/>
    <x v="0"/>
    <x v="272"/>
    <x v="3"/>
    <n v="0"/>
    <n v="1"/>
    <x v="2"/>
    <s v="With Family"/>
    <x v="0"/>
    <s v="no"/>
  </r>
  <r>
    <s v="White"/>
    <s v=" Mr"/>
    <s v=" Richard Frasar"/>
    <x v="0"/>
    <x v="0"/>
    <n v="21"/>
    <x v="2"/>
    <x v="2"/>
    <s v="S"/>
    <x v="0"/>
    <x v="0"/>
    <x v="272"/>
    <x v="3"/>
    <n v="0"/>
    <n v="1"/>
    <x v="2"/>
    <s v="With Family"/>
    <x v="0"/>
    <s v="no"/>
  </r>
  <r>
    <s v="White"/>
    <s v=" Mrs"/>
    <s v=" Ella"/>
    <x v="1"/>
    <x v="1"/>
    <n v="55"/>
    <x v="0"/>
    <x v="2"/>
    <s v="C"/>
    <x v="1"/>
    <x v="1"/>
    <x v="242"/>
    <x v="2"/>
    <n v="0"/>
    <n v="0"/>
    <x v="0"/>
    <s v="Alone"/>
    <x v="1"/>
    <s v="yes"/>
  </r>
  <r>
    <s v="Wick"/>
    <s v=" Col"/>
    <s v=" George Dennick"/>
    <x v="0"/>
    <x v="0"/>
    <n v="57"/>
    <x v="4"/>
    <x v="2"/>
    <s v="S"/>
    <x v="0"/>
    <x v="0"/>
    <x v="58"/>
    <x v="2"/>
    <n v="1"/>
    <n v="1"/>
    <x v="1"/>
    <s v="With Family"/>
    <x v="0"/>
    <s v="no"/>
  </r>
  <r>
    <s v="Wick"/>
    <s v=" Miss"/>
    <s v=" Mary Natalie"/>
    <x v="1"/>
    <x v="1"/>
    <n v="31"/>
    <x v="2"/>
    <x v="2"/>
    <s v="S"/>
    <x v="0"/>
    <x v="0"/>
    <x v="58"/>
    <x v="2"/>
    <n v="0"/>
    <n v="2"/>
    <x v="1"/>
    <s v="With Family"/>
    <x v="1"/>
    <s v="yes"/>
  </r>
  <r>
    <s v="Wick"/>
    <s v=" Mrs"/>
    <s v=" Mary Peebles"/>
    <x v="1"/>
    <x v="1"/>
    <n v="45"/>
    <x v="0"/>
    <x v="2"/>
    <s v="S"/>
    <x v="0"/>
    <x v="0"/>
    <x v="58"/>
    <x v="2"/>
    <n v="1"/>
    <n v="1"/>
    <x v="1"/>
    <s v="With Family"/>
    <x v="1"/>
    <s v="yes"/>
  </r>
  <r>
    <s v="Widegren"/>
    <s v=" Mr"/>
    <s v=" Carl Peter"/>
    <x v="0"/>
    <x v="0"/>
    <n v="51"/>
    <x v="0"/>
    <x v="0"/>
    <s v="S"/>
    <x v="0"/>
    <x v="6"/>
    <x v="55"/>
    <x v="0"/>
    <n v="0"/>
    <n v="0"/>
    <x v="0"/>
    <s v="Alone"/>
    <x v="0"/>
    <s v="no"/>
  </r>
  <r>
    <s v="Widener"/>
    <s v=" Mr"/>
    <s v=" George Dunton"/>
    <x v="0"/>
    <x v="0"/>
    <n v="50"/>
    <x v="0"/>
    <x v="2"/>
    <s v="S"/>
    <x v="0"/>
    <x v="0"/>
    <x v="138"/>
    <x v="2"/>
    <n v="1"/>
    <n v="1"/>
    <x v="1"/>
    <s v="With Family"/>
    <x v="0"/>
    <s v="no"/>
  </r>
  <r>
    <s v="Widener"/>
    <s v=" Mr"/>
    <s v=" Harry Elkins"/>
    <x v="0"/>
    <x v="0"/>
    <n v="27"/>
    <x v="2"/>
    <x v="2"/>
    <s v="S"/>
    <x v="0"/>
    <x v="0"/>
    <x v="138"/>
    <x v="2"/>
    <n v="0"/>
    <n v="2"/>
    <x v="1"/>
    <s v="With Family"/>
    <x v="0"/>
    <s v="no"/>
  </r>
  <r>
    <s v="Widener"/>
    <s v=" Mrs"/>
    <s v=" Eleanor"/>
    <x v="1"/>
    <x v="1"/>
    <n v="50"/>
    <x v="0"/>
    <x v="2"/>
    <s v="S"/>
    <x v="0"/>
    <x v="0"/>
    <x v="138"/>
    <x v="2"/>
    <n v="1"/>
    <n v="1"/>
    <x v="1"/>
    <s v="With Family"/>
    <x v="1"/>
    <s v="yes"/>
  </r>
  <r>
    <s v="Wiklund"/>
    <s v=" Mr"/>
    <s v=" Jakob Alfred"/>
    <x v="0"/>
    <x v="0"/>
    <n v="18"/>
    <x v="2"/>
    <x v="0"/>
    <s v="S"/>
    <x v="0"/>
    <x v="5"/>
    <x v="175"/>
    <x v="0"/>
    <n v="1"/>
    <n v="0"/>
    <x v="2"/>
    <s v="With Family"/>
    <x v="0"/>
    <s v="no"/>
  </r>
  <r>
    <s v="Wiklund"/>
    <s v=" Mr"/>
    <s v=" Karl Johan"/>
    <x v="0"/>
    <x v="0"/>
    <n v="21"/>
    <x v="2"/>
    <x v="0"/>
    <s v="S"/>
    <x v="0"/>
    <x v="5"/>
    <x v="175"/>
    <x v="0"/>
    <n v="1"/>
    <n v="0"/>
    <x v="2"/>
    <s v="With Family"/>
    <x v="0"/>
    <s v="no"/>
  </r>
  <r>
    <s v="Wilkes"/>
    <s v=" Mrs"/>
    <s v=" Ellen"/>
    <x v="1"/>
    <x v="1"/>
    <n v="47"/>
    <x v="0"/>
    <x v="0"/>
    <s v="S"/>
    <x v="0"/>
    <x v="1"/>
    <x v="66"/>
    <x v="0"/>
    <n v="1"/>
    <n v="0"/>
    <x v="2"/>
    <s v="With Family"/>
    <x v="1"/>
    <s v="yes"/>
  </r>
  <r>
    <s v="Wilkinson"/>
    <s v=" Mrs"/>
    <s v=" Elizabeth Anne"/>
    <x v="1"/>
    <x v="1"/>
    <n v="30"/>
    <x v="2"/>
    <x v="1"/>
    <s v="S"/>
    <x v="0"/>
    <x v="1"/>
    <x v="27"/>
    <x v="1"/>
    <n v="1"/>
    <n v="0"/>
    <x v="2"/>
    <s v="With Family"/>
    <x v="1"/>
    <s v="yes"/>
  </r>
  <r>
    <s v="Willard"/>
    <s v=" Miss"/>
    <s v=" Constance"/>
    <x v="1"/>
    <x v="1"/>
    <n v="21"/>
    <x v="2"/>
    <x v="2"/>
    <s v="S"/>
    <x v="0"/>
    <x v="0"/>
    <x v="19"/>
    <x v="1"/>
    <n v="0"/>
    <n v="0"/>
    <x v="0"/>
    <s v="Alone"/>
    <x v="1"/>
    <s v="yes"/>
  </r>
  <r>
    <s v="Willer"/>
    <s v=" Mr"/>
    <s v=" Aaron"/>
    <x v="0"/>
    <x v="0"/>
    <n v="37"/>
    <x v="0"/>
    <x v="0"/>
    <s v="C"/>
    <x v="1"/>
    <x v="1"/>
    <x v="239"/>
    <x v="0"/>
    <n v="0"/>
    <n v="0"/>
    <x v="0"/>
    <s v="Alone"/>
    <x v="0"/>
    <s v="no"/>
  </r>
  <r>
    <s v="Willey"/>
    <s v=" Mr"/>
    <s v=" Edward John"/>
    <x v="0"/>
    <x v="0"/>
    <n v="21"/>
    <x v="2"/>
    <x v="0"/>
    <s v="S"/>
    <x v="0"/>
    <x v="19"/>
    <x v="0"/>
    <x v="0"/>
    <n v="0"/>
    <n v="0"/>
    <x v="0"/>
    <s v="Alone"/>
    <x v="0"/>
    <s v="no"/>
  </r>
  <r>
    <s v="Williams"/>
    <s v=" Mr"/>
    <s v=" Charles Duane"/>
    <x v="0"/>
    <x v="0"/>
    <n v="51"/>
    <x v="0"/>
    <x v="2"/>
    <s v="C"/>
    <x v="1"/>
    <x v="12"/>
    <x v="273"/>
    <x v="3"/>
    <n v="0"/>
    <n v="1"/>
    <x v="2"/>
    <s v="With Family"/>
    <x v="0"/>
    <s v="no"/>
  </r>
  <r>
    <s v="Williams"/>
    <s v=" Mr"/>
    <s v=" Charles Eugene"/>
    <x v="0"/>
    <x v="0"/>
    <n v="23"/>
    <x v="2"/>
    <x v="1"/>
    <s v="S"/>
    <x v="0"/>
    <x v="1"/>
    <x v="10"/>
    <x v="0"/>
    <n v="0"/>
    <n v="0"/>
    <x v="0"/>
    <s v="Alone"/>
    <x v="1"/>
    <s v="yes"/>
  </r>
  <r>
    <s v="Williams"/>
    <s v=" Mr"/>
    <s v=" Fletcher Fellowes Lambert"/>
    <x v="0"/>
    <x v="0"/>
    <n v="43"/>
    <x v="0"/>
    <x v="2"/>
    <s v="S"/>
    <x v="0"/>
    <x v="0"/>
    <x v="274"/>
    <x v="1"/>
    <n v="0"/>
    <n v="0"/>
    <x v="0"/>
    <s v="Alone"/>
    <x v="0"/>
    <s v="no"/>
  </r>
  <r>
    <s v="Williams"/>
    <s v=" Mr"/>
    <s v=" Howard Hugh"/>
    <x v="0"/>
    <x v="0"/>
    <n v="28"/>
    <x v="2"/>
    <x v="0"/>
    <s v="S"/>
    <x v="0"/>
    <x v="1"/>
    <x v="7"/>
    <x v="0"/>
    <n v="0"/>
    <n v="0"/>
    <x v="0"/>
    <s v="Alone"/>
    <x v="0"/>
    <s v="no"/>
  </r>
  <r>
    <s v="Williams"/>
    <s v=" Mr"/>
    <s v=" Leslie"/>
    <x v="0"/>
    <x v="0"/>
    <n v="28"/>
    <x v="2"/>
    <x v="0"/>
    <s v="S"/>
    <x v="0"/>
    <x v="19"/>
    <x v="61"/>
    <x v="1"/>
    <n v="0"/>
    <n v="0"/>
    <x v="0"/>
    <s v="Alone"/>
    <x v="0"/>
    <s v="no"/>
  </r>
  <r>
    <s v="Williams"/>
    <s v=" Mr"/>
    <s v=" Richard Norris II"/>
    <x v="0"/>
    <x v="0"/>
    <n v="21"/>
    <x v="2"/>
    <x v="2"/>
    <s v="C"/>
    <x v="1"/>
    <x v="12"/>
    <x v="273"/>
    <x v="3"/>
    <n v="0"/>
    <n v="1"/>
    <x v="2"/>
    <s v="With Family"/>
    <x v="1"/>
    <s v="yes"/>
  </r>
  <r>
    <s v="Wilson"/>
    <s v=" Miss"/>
    <s v=" Helen Alice"/>
    <x v="1"/>
    <x v="1"/>
    <n v="31"/>
    <x v="2"/>
    <x v="2"/>
    <s v="C"/>
    <x v="1"/>
    <x v="1"/>
    <x v="73"/>
    <x v="2"/>
    <n v="0"/>
    <n v="0"/>
    <x v="0"/>
    <s v="Alone"/>
    <x v="1"/>
    <s v="yes"/>
  </r>
  <r>
    <s v="WindelÃ¸v"/>
    <s v=" Mr"/>
    <s v=" Einar"/>
    <x v="0"/>
    <x v="0"/>
    <n v="21"/>
    <x v="2"/>
    <x v="0"/>
    <s v="S"/>
    <x v="0"/>
    <x v="20"/>
    <x v="6"/>
    <x v="0"/>
    <n v="0"/>
    <n v="0"/>
    <x v="0"/>
    <s v="Alone"/>
    <x v="0"/>
    <s v="no"/>
  </r>
  <r>
    <s v="Wirz"/>
    <s v=" Mr"/>
    <s v=" Albert"/>
    <x v="0"/>
    <x v="0"/>
    <n v="27"/>
    <x v="2"/>
    <x v="0"/>
    <s v="S"/>
    <x v="0"/>
    <x v="12"/>
    <x v="74"/>
    <x v="0"/>
    <n v="0"/>
    <n v="0"/>
    <x v="0"/>
    <s v="Alone"/>
    <x v="0"/>
    <s v="no"/>
  </r>
  <r>
    <s v="Wiseman"/>
    <s v=" Mr"/>
    <s v=" Philippe"/>
    <x v="0"/>
    <x v="0"/>
    <n v="54"/>
    <x v="0"/>
    <x v="0"/>
    <s v="S"/>
    <x v="0"/>
    <x v="1"/>
    <x v="6"/>
    <x v="0"/>
    <n v="0"/>
    <n v="0"/>
    <x v="0"/>
    <s v="Alone"/>
    <x v="0"/>
    <s v="no"/>
  </r>
  <r>
    <s v="Wittevrongel"/>
    <s v=" Mr"/>
    <s v=" Camilius Aloysius"/>
    <x v="0"/>
    <x v="0"/>
    <n v="36"/>
    <x v="0"/>
    <x v="0"/>
    <s v="S"/>
    <x v="0"/>
    <x v="25"/>
    <x v="110"/>
    <x v="0"/>
    <n v="0"/>
    <n v="0"/>
    <x v="0"/>
    <s v="Alone"/>
    <x v="0"/>
    <s v="no"/>
  </r>
  <r>
    <s v="Woodward"/>
    <s v=" Mr"/>
    <s v=" John Wesley"/>
    <x v="0"/>
    <x v="0"/>
    <n v="32"/>
    <x v="2"/>
    <x v="1"/>
    <s v="S"/>
    <x v="0"/>
    <x v="1"/>
    <x v="25"/>
    <x v="1"/>
    <n v="1"/>
    <s v="NA"/>
    <x v="5"/>
    <e v="#VALUE!"/>
    <x v="0"/>
    <s v="no"/>
  </r>
  <r>
    <s v="Woolner"/>
    <s v=" Mr"/>
    <s v=" Hugh"/>
    <x v="0"/>
    <x v="0"/>
    <n v="46"/>
    <x v="0"/>
    <x v="2"/>
    <s v="S"/>
    <x v="0"/>
    <x v="1"/>
    <x v="56"/>
    <x v="3"/>
    <n v="0"/>
    <n v="0"/>
    <x v="0"/>
    <s v="Alone"/>
    <x v="1"/>
    <s v="yes"/>
  </r>
  <r>
    <s v="Wright"/>
    <s v=" Miss"/>
    <s v=" Marion"/>
    <x v="1"/>
    <x v="1"/>
    <n v="26"/>
    <x v="2"/>
    <x v="1"/>
    <s v="S"/>
    <x v="0"/>
    <x v="1"/>
    <x v="85"/>
    <x v="0"/>
    <n v="0"/>
    <n v="0"/>
    <x v="0"/>
    <s v="Alone"/>
    <x v="1"/>
    <s v="yes"/>
  </r>
  <r>
    <s v="Wright"/>
    <s v=" Mr"/>
    <s v=" George"/>
    <x v="0"/>
    <x v="0"/>
    <n v="62"/>
    <x v="4"/>
    <x v="2"/>
    <s v="S"/>
    <x v="0"/>
    <x v="8"/>
    <x v="19"/>
    <x v="1"/>
    <n v="0"/>
    <n v="0"/>
    <x v="0"/>
    <s v="Alone"/>
    <x v="0"/>
    <s v="no"/>
  </r>
  <r>
    <s v="Yasbeck"/>
    <s v=" Mr"/>
    <s v=" Antoni"/>
    <x v="0"/>
    <x v="0"/>
    <n v="27"/>
    <x v="2"/>
    <x v="0"/>
    <s v="C"/>
    <x v="1"/>
    <x v="4"/>
    <x v="40"/>
    <x v="0"/>
    <n v="1"/>
    <n v="0"/>
    <x v="2"/>
    <s v="With Family"/>
    <x v="0"/>
    <s v="no"/>
  </r>
  <r>
    <s v="Yazbeck"/>
    <s v=" Mrs"/>
    <s v=" Selini"/>
    <x v="1"/>
    <x v="1"/>
    <n v="15"/>
    <x v="1"/>
    <x v="0"/>
    <s v="C"/>
    <x v="1"/>
    <x v="4"/>
    <x v="40"/>
    <x v="0"/>
    <n v="1"/>
    <n v="0"/>
    <x v="2"/>
    <s v="With Family"/>
    <x v="1"/>
    <s v="yes"/>
  </r>
  <r>
    <s v="Young"/>
    <s v=" Miss"/>
    <s v=" Marie Grice"/>
    <x v="1"/>
    <x v="1"/>
    <n v="36"/>
    <x v="0"/>
    <x v="2"/>
    <s v="C"/>
    <x v="1"/>
    <x v="0"/>
    <x v="242"/>
    <x v="2"/>
    <n v="0"/>
    <n v="0"/>
    <x v="0"/>
    <s v="Alone"/>
    <x v="1"/>
    <s v="yes"/>
  </r>
  <r>
    <s v="Yousseff (Abi Saab)"/>
    <s v=" Mr"/>
    <s v=" Gerios"/>
    <x v="0"/>
    <x v="0"/>
    <n v="26"/>
    <x v="2"/>
    <x v="0"/>
    <s v="C"/>
    <x v="1"/>
    <x v="4"/>
    <x v="33"/>
    <x v="0"/>
    <n v="0"/>
    <n v="0"/>
    <x v="0"/>
    <s v="Alone"/>
    <x v="0"/>
    <s v="no"/>
  </r>
  <r>
    <s v="Youssiff (Sam'aan)"/>
    <s v=" Mr"/>
    <s v=" Gerios"/>
    <x v="0"/>
    <x v="0"/>
    <n v="45"/>
    <x v="0"/>
    <x v="0"/>
    <s v="C"/>
    <x v="1"/>
    <x v="4"/>
    <x v="16"/>
    <x v="0"/>
    <n v="0"/>
    <n v="0"/>
    <x v="0"/>
    <s v="Alone"/>
    <x v="0"/>
    <s v="no"/>
  </r>
  <r>
    <s v="YÅ«suf"/>
    <s v=" Mrs"/>
    <s v=" KÄtrÄ«n"/>
    <x v="1"/>
    <x v="1"/>
    <n v="23"/>
    <x v="2"/>
    <x v="0"/>
    <s v="C"/>
    <x v="1"/>
    <x v="4"/>
    <x v="236"/>
    <x v="1"/>
    <n v="0"/>
    <n v="2"/>
    <x v="1"/>
    <s v="With Family"/>
    <x v="1"/>
    <s v="yes"/>
  </r>
  <r>
    <s v="Yvois"/>
    <s v=" Miss"/>
    <s v=" Henriette"/>
    <x v="1"/>
    <x v="1"/>
    <n v="24"/>
    <x v="2"/>
    <x v="1"/>
    <s v="S"/>
    <x v="0"/>
    <x v="3"/>
    <x v="10"/>
    <x v="0"/>
    <n v="0"/>
    <n v="0"/>
    <x v="0"/>
    <s v="Alone"/>
    <x v="0"/>
    <s v="no"/>
  </r>
  <r>
    <s v="Zakarian"/>
    <s v=" Mr"/>
    <s v=" Mapriededer"/>
    <x v="0"/>
    <x v="0"/>
    <n v="22"/>
    <x v="2"/>
    <x v="0"/>
    <s v="C"/>
    <x v="1"/>
    <x v="36"/>
    <x v="33"/>
    <x v="0"/>
    <n v="0"/>
    <n v="0"/>
    <x v="0"/>
    <s v="Alone"/>
    <x v="0"/>
    <s v="no"/>
  </r>
  <r>
    <s v="Zakarian"/>
    <s v=" Mr"/>
    <s v=" Ortin"/>
    <x v="0"/>
    <x v="0"/>
    <n v="27"/>
    <x v="2"/>
    <x v="0"/>
    <s v="C"/>
    <x v="1"/>
    <x v="36"/>
    <x v="33"/>
    <x v="0"/>
    <n v="0"/>
    <n v="0"/>
    <x v="0"/>
    <s v="Alone"/>
    <x v="0"/>
    <s v="no"/>
  </r>
  <r>
    <s v="Zenni"/>
    <s v=" Mr"/>
    <s v=" Philip"/>
    <x v="0"/>
    <x v="0"/>
    <n v="25"/>
    <x v="2"/>
    <x v="0"/>
    <s v="C"/>
    <x v="1"/>
    <x v="4"/>
    <x v="33"/>
    <x v="0"/>
    <n v="0"/>
    <n v="0"/>
    <x v="0"/>
    <s v="Alone"/>
    <x v="1"/>
    <s v="yes"/>
  </r>
  <r>
    <s v="Zimmermann"/>
    <s v=" Mr"/>
    <s v=" Leo"/>
    <x v="0"/>
    <x v="0"/>
    <n v="29"/>
    <x v="2"/>
    <x v="0"/>
    <s v="S"/>
    <x v="0"/>
    <x v="42"/>
    <x v="275"/>
    <x v="0"/>
    <n v="0"/>
    <n v="0"/>
    <x v="0"/>
    <s v="Alone"/>
    <x v="0"/>
    <s v="no"/>
  </r>
  <r>
    <s v="Abbott"/>
    <s v=" Mr"/>
    <s v=" Ernest Owen"/>
    <x v="0"/>
    <x v="0"/>
    <n v="21"/>
    <x v="2"/>
    <x v="4"/>
    <s v="S"/>
    <x v="0"/>
    <x v="1"/>
    <x v="25"/>
    <x v="1"/>
    <n v="1"/>
    <s v="NA"/>
    <x v="5"/>
    <e v="#VALUE!"/>
    <x v="0"/>
    <s v="no"/>
  </r>
  <r>
    <s v="Abrams"/>
    <s v=" Mr"/>
    <s v=" William Thomas"/>
    <x v="0"/>
    <x v="0"/>
    <n v="34"/>
    <x v="2"/>
    <x v="3"/>
    <s v="S"/>
    <x v="0"/>
    <x v="1"/>
    <x v="25"/>
    <x v="1"/>
    <n v="1"/>
    <s v="NA"/>
    <x v="5"/>
    <e v="#VALUE!"/>
    <x v="0"/>
    <s v="no"/>
  </r>
  <r>
    <s v="Adams"/>
    <s v=" Mr"/>
    <s v=" Robert John"/>
    <x v="0"/>
    <x v="0"/>
    <n v="26"/>
    <x v="2"/>
    <x v="3"/>
    <s v="S"/>
    <x v="0"/>
    <x v="1"/>
    <x v="25"/>
    <x v="1"/>
    <n v="1"/>
    <s v="NA"/>
    <x v="5"/>
    <e v="#VALUE!"/>
    <x v="0"/>
    <s v="no"/>
  </r>
  <r>
    <s v="Ahier"/>
    <s v=" Mr"/>
    <s v=" Percy Snowden"/>
    <x v="0"/>
    <x v="0"/>
    <n v="20"/>
    <x v="2"/>
    <x v="4"/>
    <s v="S"/>
    <x v="0"/>
    <x v="13"/>
    <x v="25"/>
    <x v="1"/>
    <n v="1"/>
    <s v="NA"/>
    <x v="5"/>
    <e v="#VALUE!"/>
    <x v="0"/>
    <s v="no"/>
  </r>
  <r>
    <s v="Akerman"/>
    <s v=" Mr"/>
    <s v=" Albert Edward"/>
    <x v="0"/>
    <x v="0"/>
    <n v="31"/>
    <x v="2"/>
    <x v="4"/>
    <s v="S"/>
    <x v="0"/>
    <x v="1"/>
    <x v="25"/>
    <x v="1"/>
    <n v="1"/>
    <s v="NA"/>
    <x v="5"/>
    <e v="#VALUE!"/>
    <x v="0"/>
    <s v="no"/>
  </r>
  <r>
    <s v="Akerman"/>
    <s v=" Mr"/>
    <s v=" Joseph Francis"/>
    <x v="0"/>
    <x v="0"/>
    <n v="37"/>
    <x v="0"/>
    <x v="4"/>
    <s v="S"/>
    <x v="0"/>
    <x v="1"/>
    <x v="25"/>
    <x v="1"/>
    <n v="1"/>
    <s v="NA"/>
    <x v="5"/>
    <e v="#VALUE!"/>
    <x v="0"/>
    <s v="no"/>
  </r>
  <r>
    <s v="Allaria"/>
    <s v=" Sig"/>
    <s v=" Battista Antonio"/>
    <x v="0"/>
    <x v="0"/>
    <n v="22"/>
    <x v="2"/>
    <x v="5"/>
    <s v="S"/>
    <x v="0"/>
    <x v="1"/>
    <x v="25"/>
    <x v="1"/>
    <n v="1"/>
    <s v="NA"/>
    <x v="5"/>
    <e v="#VALUE!"/>
    <x v="0"/>
    <s v="no"/>
  </r>
  <r>
    <s v="Allen"/>
    <s v=" Mr"/>
    <s v=" Ernest Frederick"/>
    <x v="0"/>
    <x v="0"/>
    <n v="24"/>
    <x v="2"/>
    <x v="3"/>
    <s v="S"/>
    <x v="0"/>
    <x v="1"/>
    <x v="25"/>
    <x v="1"/>
    <n v="1"/>
    <s v="NA"/>
    <x v="5"/>
    <e v="#VALUE!"/>
    <x v="1"/>
    <s v="yes"/>
  </r>
  <r>
    <s v="Allen"/>
    <s v=" Mr"/>
    <s v=" Frederick"/>
    <x v="0"/>
    <x v="0"/>
    <n v="17"/>
    <x v="1"/>
    <x v="4"/>
    <s v="S"/>
    <x v="0"/>
    <x v="1"/>
    <x v="25"/>
    <x v="1"/>
    <n v="1"/>
    <s v="NA"/>
    <x v="5"/>
    <e v="#VALUE!"/>
    <x v="0"/>
    <s v="no"/>
  </r>
  <r>
    <s v="Allen"/>
    <s v=" Mr"/>
    <s v=" George"/>
    <x v="0"/>
    <x v="0"/>
    <n v="26"/>
    <x v="2"/>
    <x v="4"/>
    <s v="S"/>
    <x v="0"/>
    <x v="1"/>
    <x v="25"/>
    <x v="1"/>
    <n v="1"/>
    <s v="NA"/>
    <x v="5"/>
    <e v="#VALUE!"/>
    <x v="0"/>
    <s v="no"/>
  </r>
  <r>
    <s v="Allen"/>
    <s v=" Mr"/>
    <s v=" Henry"/>
    <x v="0"/>
    <x v="0"/>
    <n v="30"/>
    <x v="2"/>
    <x v="3"/>
    <s v="S"/>
    <x v="0"/>
    <x v="1"/>
    <x v="25"/>
    <x v="1"/>
    <n v="1"/>
    <s v="NA"/>
    <x v="5"/>
    <e v="#VALUE!"/>
    <x v="0"/>
    <s v="no"/>
  </r>
  <r>
    <s v="Allen"/>
    <s v=" Mr"/>
    <s v=" Robert Spencer"/>
    <x v="0"/>
    <x v="0"/>
    <n v="36"/>
    <x v="0"/>
    <x v="4"/>
    <s v="S"/>
    <x v="0"/>
    <x v="1"/>
    <x v="25"/>
    <x v="1"/>
    <n v="1"/>
    <s v="NA"/>
    <x v="5"/>
    <e v="#VALUE!"/>
    <x v="0"/>
    <s v="no"/>
  </r>
  <r>
    <s v="Allsop"/>
    <s v=" Mr"/>
    <s v=" Alfred Samuel"/>
    <x v="0"/>
    <x v="0"/>
    <n v="36"/>
    <x v="0"/>
    <x v="3"/>
    <s v="B"/>
    <x v="2"/>
    <x v="1"/>
    <x v="25"/>
    <x v="1"/>
    <n v="1"/>
    <s v="NA"/>
    <x v="5"/>
    <e v="#VALUE!"/>
    <x v="0"/>
    <s v="no"/>
  </r>
  <r>
    <s v="Allsop"/>
    <s v=" Mr"/>
    <s v=" Frank Richard"/>
    <x v="0"/>
    <x v="0"/>
    <n v="41"/>
    <x v="0"/>
    <x v="4"/>
    <s v="B"/>
    <x v="2"/>
    <x v="1"/>
    <x v="25"/>
    <x v="1"/>
    <n v="1"/>
    <s v="NA"/>
    <x v="5"/>
    <e v="#VALUE!"/>
    <x v="0"/>
    <s v="no"/>
  </r>
  <r>
    <s v="Anderson"/>
    <s v=" Mr"/>
    <s v=" James"/>
    <x v="0"/>
    <x v="0"/>
    <n v="40"/>
    <x v="0"/>
    <x v="6"/>
    <s v="S"/>
    <x v="0"/>
    <x v="1"/>
    <x v="25"/>
    <x v="1"/>
    <n v="1"/>
    <s v="NA"/>
    <x v="5"/>
    <e v="#VALUE!"/>
    <x v="1"/>
    <s v="yes"/>
  </r>
  <r>
    <s v="Anderson"/>
    <s v=" Mr"/>
    <s v=" Walter Yuill"/>
    <x v="0"/>
    <x v="0"/>
    <n v="48"/>
    <x v="0"/>
    <x v="4"/>
    <s v="S"/>
    <x v="0"/>
    <x v="1"/>
    <x v="25"/>
    <x v="1"/>
    <n v="1"/>
    <s v="NA"/>
    <x v="5"/>
    <e v="#VALUE!"/>
    <x v="0"/>
    <s v="no"/>
  </r>
  <r>
    <s v="Andrews"/>
    <s v=" Mr"/>
    <s v=" Charles Edward"/>
    <x v="0"/>
    <x v="0"/>
    <n v="19"/>
    <x v="2"/>
    <x v="4"/>
    <s v="S"/>
    <x v="0"/>
    <x v="1"/>
    <x v="25"/>
    <x v="1"/>
    <n v="1"/>
    <s v="NA"/>
    <x v="5"/>
    <e v="#VALUE!"/>
    <x v="1"/>
    <s v="yes"/>
  </r>
  <r>
    <s v="Archer"/>
    <s v=" Mr"/>
    <s v=" Ernest Edward"/>
    <x v="0"/>
    <x v="0"/>
    <n v="35"/>
    <x v="2"/>
    <x v="6"/>
    <s v="S"/>
    <x v="0"/>
    <x v="1"/>
    <x v="25"/>
    <x v="1"/>
    <n v="1"/>
    <s v="NA"/>
    <x v="5"/>
    <e v="#VALUE!"/>
    <x v="1"/>
    <s v="yes"/>
  </r>
  <r>
    <s v="Ashcroft"/>
    <s v=" Mr"/>
    <s v=" Austin Aloysius"/>
    <x v="0"/>
    <x v="0"/>
    <n v="26"/>
    <x v="2"/>
    <x v="4"/>
    <s v="S"/>
    <x v="0"/>
    <x v="1"/>
    <x v="25"/>
    <x v="1"/>
    <n v="1"/>
    <s v="NA"/>
    <x v="5"/>
    <e v="#VALUE!"/>
    <x v="0"/>
    <s v="no"/>
  </r>
  <r>
    <s v="Ashe"/>
    <s v=" Mr"/>
    <s v=" Henry Wellesley"/>
    <x v="0"/>
    <x v="0"/>
    <n v="41"/>
    <x v="0"/>
    <x v="4"/>
    <s v="S"/>
    <x v="0"/>
    <x v="16"/>
    <x v="25"/>
    <x v="1"/>
    <n v="1"/>
    <s v="NA"/>
    <x v="5"/>
    <e v="#VALUE!"/>
    <x v="0"/>
    <s v="no"/>
  </r>
  <r>
    <s v="Aspeslagh"/>
    <s v=" Mr"/>
    <s v=" Georges"/>
    <x v="0"/>
    <x v="0"/>
    <n v="26"/>
    <x v="2"/>
    <x v="5"/>
    <s v="S"/>
    <x v="0"/>
    <x v="1"/>
    <x v="25"/>
    <x v="1"/>
    <n v="1"/>
    <s v="NA"/>
    <x v="5"/>
    <e v="#VALUE!"/>
    <x v="0"/>
    <s v="no"/>
  </r>
  <r>
    <s v="Avery"/>
    <s v=" Mr"/>
    <s v=" James Albert"/>
    <x v="0"/>
    <x v="0"/>
    <n v="21"/>
    <x v="2"/>
    <x v="3"/>
    <s v="S"/>
    <x v="0"/>
    <x v="1"/>
    <x v="25"/>
    <x v="1"/>
    <n v="1"/>
    <s v="NA"/>
    <x v="5"/>
    <e v="#VALUE!"/>
    <x v="1"/>
    <s v="yes"/>
  </r>
  <r>
    <s v="Ayling"/>
    <s v=" Mr"/>
    <s v=" Edwin George"/>
    <x v="0"/>
    <x v="0"/>
    <n v="23"/>
    <x v="2"/>
    <x v="4"/>
    <s v="S"/>
    <x v="0"/>
    <x v="1"/>
    <x v="25"/>
    <x v="1"/>
    <n v="1"/>
    <s v="NA"/>
    <x v="5"/>
    <e v="#VALUE!"/>
    <x v="0"/>
    <s v="no"/>
  </r>
  <r>
    <s v="Back"/>
    <s v=" Mr"/>
    <s v=" Charles Frederick"/>
    <x v="0"/>
    <x v="0"/>
    <n v="37"/>
    <x v="0"/>
    <x v="4"/>
    <s v="B"/>
    <x v="2"/>
    <x v="1"/>
    <x v="25"/>
    <x v="1"/>
    <n v="1"/>
    <s v="NA"/>
    <x v="5"/>
    <e v="#VALUE!"/>
    <x v="0"/>
    <s v="no"/>
  </r>
  <r>
    <s v="Baggott"/>
    <s v=" Mr"/>
    <s v=" Allen Marden"/>
    <x v="0"/>
    <x v="0"/>
    <n v="28"/>
    <x v="2"/>
    <x v="4"/>
    <s v="S"/>
    <x v="0"/>
    <x v="1"/>
    <x v="25"/>
    <x v="1"/>
    <n v="1"/>
    <s v="NA"/>
    <x v="5"/>
    <e v="#VALUE!"/>
    <x v="1"/>
    <s v="yes"/>
  </r>
  <r>
    <s v="Bagley"/>
    <s v=" Mr"/>
    <s v=" Edward Henry"/>
    <x v="0"/>
    <x v="0"/>
    <n v="33"/>
    <x v="2"/>
    <x v="4"/>
    <s v="S"/>
    <x v="0"/>
    <x v="1"/>
    <x v="25"/>
    <x v="1"/>
    <n v="1"/>
    <s v="NA"/>
    <x v="5"/>
    <e v="#VALUE!"/>
    <x v="0"/>
    <s v="no"/>
  </r>
  <r>
    <s v="Bailey"/>
    <s v=" Mr"/>
    <s v=" George Francis"/>
    <x v="0"/>
    <x v="0"/>
    <n v="36"/>
    <x v="0"/>
    <x v="4"/>
    <s v="B"/>
    <x v="2"/>
    <x v="1"/>
    <x v="25"/>
    <x v="1"/>
    <n v="1"/>
    <s v="NA"/>
    <x v="5"/>
    <e v="#VALUE!"/>
    <x v="0"/>
    <s v="no"/>
  </r>
  <r>
    <s v="Bailey"/>
    <s v=" Mr"/>
    <s v=" George Frank"/>
    <x v="0"/>
    <x v="0"/>
    <n v="46"/>
    <x v="0"/>
    <x v="3"/>
    <s v="S"/>
    <x v="0"/>
    <x v="19"/>
    <x v="25"/>
    <x v="1"/>
    <n v="1"/>
    <s v="NA"/>
    <x v="5"/>
    <e v="#VALUE!"/>
    <x v="0"/>
    <s v="no"/>
  </r>
  <r>
    <s v="Bailey"/>
    <s v=" Mr"/>
    <s v=" Henry Joseph"/>
    <x v="0"/>
    <x v="0"/>
    <n v="46"/>
    <x v="0"/>
    <x v="6"/>
    <s v="S"/>
    <x v="0"/>
    <x v="1"/>
    <x v="25"/>
    <x v="1"/>
    <n v="1"/>
    <s v="NA"/>
    <x v="5"/>
    <e v="#VALUE!"/>
    <x v="1"/>
    <s v="yes"/>
  </r>
  <r>
    <s v="Baines"/>
    <s v=" Mr"/>
    <s v=" Richard"/>
    <x v="0"/>
    <x v="0"/>
    <n v="24"/>
    <x v="2"/>
    <x v="3"/>
    <s v="S"/>
    <x v="0"/>
    <x v="1"/>
    <x v="25"/>
    <x v="1"/>
    <n v="1"/>
    <s v="NA"/>
    <x v="5"/>
    <e v="#VALUE!"/>
    <x v="0"/>
    <s v="no"/>
  </r>
  <r>
    <s v="Ball"/>
    <s v=" Mr"/>
    <s v=" Percy"/>
    <x v="0"/>
    <x v="0"/>
    <n v="19"/>
    <x v="2"/>
    <x v="4"/>
    <s v="S"/>
    <x v="0"/>
    <x v="1"/>
    <x v="25"/>
    <x v="1"/>
    <n v="1"/>
    <s v="NA"/>
    <x v="5"/>
    <e v="#VALUE!"/>
    <x v="1"/>
    <s v="yes"/>
  </r>
  <r>
    <s v="Banfi"/>
    <s v=" Sig"/>
    <s v=" Ugo"/>
    <x v="0"/>
    <x v="0"/>
    <n v="24"/>
    <x v="2"/>
    <x v="5"/>
    <s v="S"/>
    <x v="0"/>
    <x v="1"/>
    <x v="25"/>
    <x v="1"/>
    <n v="1"/>
    <s v="NA"/>
    <x v="5"/>
    <e v="#VALUE!"/>
    <x v="0"/>
    <s v="no"/>
  </r>
  <r>
    <s v="Bannon"/>
    <s v=" Mr"/>
    <s v=" John Joseph"/>
    <x v="0"/>
    <x v="0"/>
    <n v="34"/>
    <x v="2"/>
    <x v="3"/>
    <s v="S"/>
    <x v="0"/>
    <x v="1"/>
    <x v="25"/>
    <x v="1"/>
    <n v="1"/>
    <s v="NA"/>
    <x v="5"/>
    <e v="#VALUE!"/>
    <x v="0"/>
    <s v="no"/>
  </r>
  <r>
    <s v="Barker"/>
    <s v=" Mr"/>
    <s v=" Albert Vale"/>
    <x v="0"/>
    <x v="0"/>
    <n v="19"/>
    <x v="2"/>
    <x v="4"/>
    <s v="S"/>
    <x v="0"/>
    <x v="1"/>
    <x v="25"/>
    <x v="1"/>
    <n v="1"/>
    <s v="NA"/>
    <x v="5"/>
    <e v="#VALUE!"/>
    <x v="0"/>
    <s v="no"/>
  </r>
  <r>
    <s v="Barker"/>
    <s v=" Mr"/>
    <s v=" Ernest Thomas"/>
    <x v="0"/>
    <x v="0"/>
    <n v="41"/>
    <x v="0"/>
    <x v="4"/>
    <s v="S"/>
    <x v="0"/>
    <x v="1"/>
    <x v="25"/>
    <x v="1"/>
    <n v="1"/>
    <s v="NA"/>
    <x v="5"/>
    <e v="#VALUE!"/>
    <x v="0"/>
    <s v="no"/>
  </r>
  <r>
    <s v="Barker"/>
    <s v=" Mr"/>
    <s v=" Reginald Lomond"/>
    <x v="0"/>
    <x v="0"/>
    <n v="42"/>
    <x v="0"/>
    <x v="4"/>
    <s v="B"/>
    <x v="2"/>
    <x v="1"/>
    <x v="25"/>
    <x v="1"/>
    <n v="1"/>
    <s v="NA"/>
    <x v="5"/>
    <e v="#VALUE!"/>
    <x v="0"/>
    <s v="no"/>
  </r>
  <r>
    <s v="Barlow"/>
    <s v=" Mr"/>
    <s v=" Charles"/>
    <x v="0"/>
    <x v="0"/>
    <n v="30"/>
    <x v="2"/>
    <x v="3"/>
    <s v="S"/>
    <x v="0"/>
    <x v="1"/>
    <x v="25"/>
    <x v="1"/>
    <n v="1"/>
    <s v="NA"/>
    <x v="5"/>
    <e v="#VALUE!"/>
    <x v="0"/>
    <s v="no"/>
  </r>
  <r>
    <s v="Barlow"/>
    <s v=" Mr"/>
    <s v=" George"/>
    <x v="0"/>
    <x v="0"/>
    <n v="36"/>
    <x v="0"/>
    <x v="4"/>
    <s v="S"/>
    <x v="0"/>
    <x v="1"/>
    <x v="25"/>
    <x v="1"/>
    <n v="1"/>
    <s v="NA"/>
    <x v="5"/>
    <e v="#VALUE!"/>
    <x v="0"/>
    <s v="no"/>
  </r>
  <r>
    <s v="Barnes"/>
    <s v=" Mr"/>
    <s v=" Charles"/>
    <x v="0"/>
    <x v="0"/>
    <n v="29"/>
    <x v="2"/>
    <x v="3"/>
    <s v="S"/>
    <x v="0"/>
    <x v="1"/>
    <x v="25"/>
    <x v="1"/>
    <n v="1"/>
    <s v="NA"/>
    <x v="5"/>
    <e v="#VALUE!"/>
    <x v="0"/>
    <s v="no"/>
  </r>
  <r>
    <s v="Barnes"/>
    <s v=" Mr"/>
    <s v=" Frederick Charles"/>
    <x v="0"/>
    <x v="0"/>
    <n v="40"/>
    <x v="0"/>
    <x v="4"/>
    <s v="S"/>
    <x v="0"/>
    <x v="1"/>
    <x v="25"/>
    <x v="1"/>
    <n v="1"/>
    <s v="NA"/>
    <x v="5"/>
    <e v="#VALUE!"/>
    <x v="0"/>
    <s v="no"/>
  </r>
  <r>
    <s v="Barnes"/>
    <s v=" Mr"/>
    <s v=" John"/>
    <x v="0"/>
    <x v="0"/>
    <n v="40"/>
    <x v="0"/>
    <x v="3"/>
    <s v="S"/>
    <x v="0"/>
    <x v="1"/>
    <x v="25"/>
    <x v="1"/>
    <n v="1"/>
    <s v="NA"/>
    <x v="5"/>
    <e v="#VALUE!"/>
    <x v="0"/>
    <s v="no"/>
  </r>
  <r>
    <s v="Barratt"/>
    <s v=" Mr"/>
    <s v=" Arthur"/>
    <x v="0"/>
    <x v="0"/>
    <n v="16"/>
    <x v="1"/>
    <x v="4"/>
    <s v="S"/>
    <x v="0"/>
    <x v="1"/>
    <x v="25"/>
    <x v="1"/>
    <n v="1"/>
    <s v="NA"/>
    <x v="5"/>
    <e v="#VALUE!"/>
    <x v="0"/>
    <s v="no"/>
  </r>
  <r>
    <s v="Barrett"/>
    <s v=" Mr"/>
    <s v=" Frederick"/>
    <x v="0"/>
    <x v="0"/>
    <n v="28"/>
    <x v="2"/>
    <x v="3"/>
    <s v="S"/>
    <x v="0"/>
    <x v="1"/>
    <x v="25"/>
    <x v="1"/>
    <n v="1"/>
    <s v="NA"/>
    <x v="5"/>
    <e v="#VALUE!"/>
    <x v="1"/>
    <s v="yes"/>
  </r>
  <r>
    <s v="Barrett"/>
    <s v=" Mr"/>
    <s v=" Frederick William"/>
    <x v="0"/>
    <x v="0"/>
    <n v="33"/>
    <x v="2"/>
    <x v="3"/>
    <s v="S"/>
    <x v="0"/>
    <x v="1"/>
    <x v="25"/>
    <x v="1"/>
    <n v="1"/>
    <s v="NA"/>
    <x v="5"/>
    <e v="#VALUE!"/>
    <x v="0"/>
    <s v="no"/>
  </r>
  <r>
    <s v="Barringer"/>
    <s v=" Mr"/>
    <s v=" Arthur William"/>
    <x v="0"/>
    <x v="0"/>
    <n v="34"/>
    <x v="2"/>
    <x v="4"/>
    <s v="B"/>
    <x v="2"/>
    <x v="1"/>
    <x v="25"/>
    <x v="1"/>
    <n v="1"/>
    <s v="NA"/>
    <x v="5"/>
    <e v="#VALUE!"/>
    <x v="0"/>
    <s v="no"/>
  </r>
  <r>
    <s v="Barrow"/>
    <s v=" Mr"/>
    <s v=" Charles Henry John Barrow"/>
    <x v="0"/>
    <x v="0"/>
    <n v="36"/>
    <x v="0"/>
    <x v="4"/>
    <s v="S"/>
    <x v="0"/>
    <x v="1"/>
    <x v="25"/>
    <x v="1"/>
    <n v="1"/>
    <s v="NA"/>
    <x v="5"/>
    <e v="#VALUE!"/>
    <x v="0"/>
    <s v="no"/>
  </r>
  <r>
    <s v="Barrows"/>
    <s v=" Mr"/>
    <s v=" William"/>
    <x v="0"/>
    <x v="0"/>
    <n v="32"/>
    <x v="2"/>
    <x v="4"/>
    <s v="S"/>
    <x v="0"/>
    <x v="1"/>
    <x v="25"/>
    <x v="1"/>
    <n v="1"/>
    <s v="NA"/>
    <x v="5"/>
    <e v="#VALUE!"/>
    <x v="0"/>
    <s v="no"/>
  </r>
  <r>
    <s v="Barton"/>
    <s v=" Mr"/>
    <s v=" Sidney John"/>
    <x v="0"/>
    <x v="0"/>
    <n v="26"/>
    <x v="2"/>
    <x v="4"/>
    <s v="S"/>
    <x v="0"/>
    <x v="1"/>
    <x v="25"/>
    <x v="1"/>
    <n v="1"/>
    <s v="NA"/>
    <x v="5"/>
    <e v="#VALUE!"/>
    <x v="0"/>
    <s v="no"/>
  </r>
  <r>
    <s v="Basilico"/>
    <s v=" Sig"/>
    <s v=" Giovanni"/>
    <x v="0"/>
    <x v="0"/>
    <n v="27"/>
    <x v="2"/>
    <x v="5"/>
    <s v="S"/>
    <x v="0"/>
    <x v="1"/>
    <x v="25"/>
    <x v="1"/>
    <n v="1"/>
    <s v="NA"/>
    <x v="5"/>
    <e v="#VALUE!"/>
    <x v="0"/>
    <s v="no"/>
  </r>
  <r>
    <s v="Baxter"/>
    <s v=" Mr"/>
    <s v=" Harry Ross"/>
    <x v="0"/>
    <x v="0"/>
    <n v="53"/>
    <x v="0"/>
    <x v="4"/>
    <s v="S"/>
    <x v="0"/>
    <x v="1"/>
    <x v="25"/>
    <x v="1"/>
    <n v="1"/>
    <s v="NA"/>
    <x v="5"/>
    <e v="#VALUE!"/>
    <x v="0"/>
    <s v="no"/>
  </r>
  <r>
    <s v="Baxter"/>
    <s v=" Mr"/>
    <s v=" Thomas Ferguson"/>
    <x v="0"/>
    <x v="0"/>
    <n v="55"/>
    <x v="0"/>
    <x v="4"/>
    <s v="S"/>
    <x v="0"/>
    <x v="22"/>
    <x v="25"/>
    <x v="1"/>
    <n v="1"/>
    <s v="NA"/>
    <x v="5"/>
    <e v="#VALUE!"/>
    <x v="0"/>
    <s v="no"/>
  </r>
  <r>
    <s v="Bazzi"/>
    <s v=" Sig"/>
    <s v=" Narciso"/>
    <x v="0"/>
    <x v="0"/>
    <n v="33"/>
    <x v="2"/>
    <x v="5"/>
    <s v="S"/>
    <x v="0"/>
    <x v="1"/>
    <x v="25"/>
    <x v="1"/>
    <n v="1"/>
    <s v="NA"/>
    <x v="5"/>
    <e v="#VALUE!"/>
    <x v="0"/>
    <s v="no"/>
  </r>
  <r>
    <s v="Beattie"/>
    <s v=" Mr"/>
    <s v=" Joseph"/>
    <x v="0"/>
    <x v="0"/>
    <n v="35"/>
    <x v="2"/>
    <x v="3"/>
    <s v="B"/>
    <x v="2"/>
    <x v="10"/>
    <x v="25"/>
    <x v="1"/>
    <n v="1"/>
    <s v="NA"/>
    <x v="5"/>
    <e v="#VALUE!"/>
    <x v="0"/>
    <s v="no"/>
  </r>
  <r>
    <s v="Beauchamp"/>
    <s v=" Mr"/>
    <s v=" George William"/>
    <x v="0"/>
    <x v="0"/>
    <n v="24"/>
    <x v="2"/>
    <x v="3"/>
    <s v="S"/>
    <x v="0"/>
    <x v="1"/>
    <x v="25"/>
    <x v="1"/>
    <n v="1"/>
    <s v="NA"/>
    <x v="5"/>
    <e v="#VALUE!"/>
    <x v="1"/>
    <s v="yes"/>
  </r>
  <r>
    <s v="Bedford"/>
    <s v=" Mr"/>
    <s v=" William Barnett"/>
    <x v="0"/>
    <x v="0"/>
    <n v="31"/>
    <x v="2"/>
    <x v="4"/>
    <s v="S"/>
    <x v="0"/>
    <x v="1"/>
    <x v="25"/>
    <x v="1"/>
    <n v="1"/>
    <s v="NA"/>
    <x v="5"/>
    <e v="#VALUE!"/>
    <x v="0"/>
    <s v="no"/>
  </r>
  <r>
    <s v="Beedem"/>
    <s v=" Mr"/>
    <s v=" George Arthur"/>
    <x v="0"/>
    <x v="0"/>
    <n v="35"/>
    <x v="2"/>
    <x v="4"/>
    <s v="S"/>
    <x v="0"/>
    <x v="1"/>
    <x v="25"/>
    <x v="1"/>
    <n v="1"/>
    <s v="NA"/>
    <x v="5"/>
    <e v="#VALUE!"/>
    <x v="0"/>
    <s v="no"/>
  </r>
  <r>
    <s v="Beere"/>
    <s v=" Mr"/>
    <s v=" William"/>
    <x v="0"/>
    <x v="0"/>
    <n v="19"/>
    <x v="2"/>
    <x v="4"/>
    <s v="S"/>
    <x v="0"/>
    <x v="1"/>
    <x v="25"/>
    <x v="1"/>
    <n v="1"/>
    <s v="NA"/>
    <x v="5"/>
    <e v="#VALUE!"/>
    <x v="0"/>
    <s v="no"/>
  </r>
  <r>
    <s v="Bell"/>
    <s v=" Mr"/>
    <s v=" Joseph"/>
    <x v="0"/>
    <x v="0"/>
    <n v="51"/>
    <x v="0"/>
    <x v="3"/>
    <s v="B"/>
    <x v="2"/>
    <x v="1"/>
    <x v="25"/>
    <x v="1"/>
    <n v="1"/>
    <s v="NA"/>
    <x v="5"/>
    <e v="#VALUE!"/>
    <x v="0"/>
    <s v="no"/>
  </r>
  <r>
    <s v="Bendell"/>
    <s v=" Mr"/>
    <s v=" Frank"/>
    <x v="0"/>
    <x v="0"/>
    <n v="24"/>
    <x v="2"/>
    <x v="3"/>
    <s v="S"/>
    <x v="0"/>
    <x v="1"/>
    <x v="25"/>
    <x v="1"/>
    <n v="1"/>
    <s v="NA"/>
    <x v="5"/>
    <e v="#VALUE!"/>
    <x v="0"/>
    <s v="no"/>
  </r>
  <r>
    <s v="Benham"/>
    <s v=" Mr"/>
    <s v=" Fred John"/>
    <x v="0"/>
    <x v="0"/>
    <n v="30"/>
    <x v="2"/>
    <x v="4"/>
    <s v="S"/>
    <x v="0"/>
    <x v="1"/>
    <x v="25"/>
    <x v="1"/>
    <n v="1"/>
    <s v="NA"/>
    <x v="5"/>
    <e v="#VALUE!"/>
    <x v="0"/>
    <s v="no"/>
  </r>
  <r>
    <s v="Bennett"/>
    <s v=" Mr"/>
    <s v=" George Alfred"/>
    <x v="0"/>
    <x v="0"/>
    <n v="30"/>
    <x v="2"/>
    <x v="3"/>
    <s v="S"/>
    <x v="0"/>
    <x v="1"/>
    <x v="25"/>
    <x v="1"/>
    <n v="1"/>
    <s v="NA"/>
    <x v="5"/>
    <e v="#VALUE!"/>
    <x v="0"/>
    <s v="no"/>
  </r>
  <r>
    <s v="Bennett"/>
    <s v=" Mrs"/>
    <s v=" Mabel"/>
    <x v="1"/>
    <x v="1"/>
    <n v="33"/>
    <x v="2"/>
    <x v="4"/>
    <s v="S"/>
    <x v="0"/>
    <x v="1"/>
    <x v="25"/>
    <x v="1"/>
    <n v="1"/>
    <s v="NA"/>
    <x v="5"/>
    <e v="#VALUE!"/>
    <x v="1"/>
    <s v="yes"/>
  </r>
  <r>
    <s v="Benville"/>
    <s v=" Mr"/>
    <s v=" Edward"/>
    <x v="0"/>
    <x v="0"/>
    <n v="47"/>
    <x v="0"/>
    <x v="3"/>
    <s v="S"/>
    <x v="0"/>
    <x v="1"/>
    <x v="25"/>
    <x v="1"/>
    <n v="1"/>
    <s v="NA"/>
    <x v="5"/>
    <e v="#VALUE!"/>
    <x v="0"/>
    <s v="no"/>
  </r>
  <r>
    <s v="Bernardi"/>
    <s v=" Sig"/>
    <s v=" Battista"/>
    <x v="0"/>
    <x v="0"/>
    <n v="22"/>
    <x v="2"/>
    <x v="5"/>
    <s v="S"/>
    <x v="0"/>
    <x v="1"/>
    <x v="25"/>
    <x v="1"/>
    <n v="1"/>
    <s v="NA"/>
    <x v="5"/>
    <e v="#VALUE!"/>
    <x v="0"/>
    <s v="no"/>
  </r>
  <r>
    <s v="Bessant"/>
    <s v=" Mr"/>
    <s v=" Edward"/>
    <x v="0"/>
    <x v="0"/>
    <n v="31"/>
    <x v="2"/>
    <x v="4"/>
    <s v="S"/>
    <x v="0"/>
    <x v="1"/>
    <x v="25"/>
    <x v="1"/>
    <n v="1"/>
    <s v="NA"/>
    <x v="5"/>
    <e v="#VALUE!"/>
    <x v="0"/>
    <s v="no"/>
  </r>
  <r>
    <s v="Bessant"/>
    <s v=" Mr"/>
    <s v=" William Edward Lowe"/>
    <x v="0"/>
    <x v="0"/>
    <n v="39"/>
    <x v="0"/>
    <x v="3"/>
    <s v="S"/>
    <x v="0"/>
    <x v="1"/>
    <x v="25"/>
    <x v="1"/>
    <n v="1"/>
    <s v="NA"/>
    <x v="5"/>
    <e v="#VALUE!"/>
    <x v="0"/>
    <s v="no"/>
  </r>
  <r>
    <s v="Best"/>
    <s v=" Mr"/>
    <s v=" Edwin Alfred"/>
    <x v="0"/>
    <x v="0"/>
    <n v="40"/>
    <x v="0"/>
    <x v="4"/>
    <s v="B"/>
    <x v="2"/>
    <x v="1"/>
    <x v="25"/>
    <x v="1"/>
    <n v="1"/>
    <s v="NA"/>
    <x v="5"/>
    <e v="#VALUE!"/>
    <x v="0"/>
    <s v="no"/>
  </r>
  <r>
    <s v="Beux"/>
    <s v=" Mr"/>
    <s v=" David"/>
    <x v="0"/>
    <x v="0"/>
    <n v="26"/>
    <x v="2"/>
    <x v="5"/>
    <s v="S"/>
    <x v="0"/>
    <x v="1"/>
    <x v="25"/>
    <x v="1"/>
    <n v="1"/>
    <s v="NA"/>
    <x v="5"/>
    <e v="#VALUE!"/>
    <x v="0"/>
    <s v="no"/>
  </r>
  <r>
    <s v="Bevis"/>
    <s v=" Mr"/>
    <s v=" Joseph Henry"/>
    <x v="0"/>
    <x v="0"/>
    <n v="22"/>
    <x v="2"/>
    <x v="3"/>
    <s v="S"/>
    <x v="0"/>
    <x v="1"/>
    <x v="25"/>
    <x v="1"/>
    <n v="1"/>
    <s v="NA"/>
    <x v="5"/>
    <e v="#VALUE!"/>
    <x v="0"/>
    <s v="no"/>
  </r>
  <r>
    <s v="Biddlecombe"/>
    <s v=" Mr"/>
    <s v=" Reginald Charles"/>
    <x v="0"/>
    <x v="0"/>
    <n v="31"/>
    <x v="2"/>
    <x v="3"/>
    <s v="S"/>
    <x v="0"/>
    <x v="1"/>
    <x v="25"/>
    <x v="1"/>
    <n v="1"/>
    <s v="NA"/>
    <x v="5"/>
    <e v="#VALUE!"/>
    <x v="0"/>
    <s v="no"/>
  </r>
  <r>
    <s v="Bietrix"/>
    <s v=" Mr"/>
    <s v=" George Baptiste"/>
    <x v="0"/>
    <x v="0"/>
    <n v="28"/>
    <x v="2"/>
    <x v="5"/>
    <s v="S"/>
    <x v="0"/>
    <x v="1"/>
    <x v="25"/>
    <x v="1"/>
    <n v="1"/>
    <s v="NA"/>
    <x v="5"/>
    <e v="#VALUE!"/>
    <x v="0"/>
    <s v="no"/>
  </r>
  <r>
    <s v="Biggs"/>
    <s v=" Mr"/>
    <s v=" Edward Charles"/>
    <x v="0"/>
    <x v="0"/>
    <n v="20"/>
    <x v="2"/>
    <x v="3"/>
    <s v="S"/>
    <x v="0"/>
    <x v="1"/>
    <x v="25"/>
    <x v="1"/>
    <n v="1"/>
    <s v="NA"/>
    <x v="5"/>
    <e v="#VALUE!"/>
    <x v="0"/>
    <s v="no"/>
  </r>
  <r>
    <s v="Billows"/>
    <s v=" Mr"/>
    <s v=" James"/>
    <x v="0"/>
    <x v="0"/>
    <n v="20"/>
    <x v="2"/>
    <x v="3"/>
    <s v="S"/>
    <x v="0"/>
    <x v="1"/>
    <x v="25"/>
    <x v="1"/>
    <n v="1"/>
    <s v="NA"/>
    <x v="5"/>
    <e v="#VALUE!"/>
    <x v="0"/>
    <s v="no"/>
  </r>
  <r>
    <s v="Binstead"/>
    <s v=" Mr"/>
    <s v=" Walter William"/>
    <x v="0"/>
    <x v="0"/>
    <n v="20"/>
    <x v="2"/>
    <x v="3"/>
    <s v="S"/>
    <x v="0"/>
    <x v="1"/>
    <x v="25"/>
    <x v="1"/>
    <n v="1"/>
    <s v="NA"/>
    <x v="5"/>
    <e v="#VALUE!"/>
    <x v="1"/>
    <s v="yes"/>
  </r>
  <r>
    <s v="Bishop"/>
    <s v=" Mr"/>
    <s v=" Walter Alexander"/>
    <x v="0"/>
    <x v="0"/>
    <n v="34"/>
    <x v="2"/>
    <x v="4"/>
    <s v="B"/>
    <x v="2"/>
    <x v="1"/>
    <x v="25"/>
    <x v="1"/>
    <n v="1"/>
    <s v="NA"/>
    <x v="5"/>
    <e v="#VALUE!"/>
    <x v="0"/>
    <s v="no"/>
  </r>
  <r>
    <s v="Blackman"/>
    <s v=" Mr"/>
    <s v=" Albert Edward"/>
    <x v="0"/>
    <x v="0"/>
    <n v="23"/>
    <x v="2"/>
    <x v="3"/>
    <s v="S"/>
    <x v="0"/>
    <x v="1"/>
    <x v="25"/>
    <x v="1"/>
    <n v="1"/>
    <s v="NA"/>
    <x v="5"/>
    <e v="#VALUE!"/>
    <x v="0"/>
    <s v="no"/>
  </r>
  <r>
    <s v="Black"/>
    <s v=" Mr"/>
    <s v=" Alexander"/>
    <x v="0"/>
    <x v="0"/>
    <n v="28"/>
    <x v="2"/>
    <x v="3"/>
    <s v="S"/>
    <x v="0"/>
    <x v="1"/>
    <x v="25"/>
    <x v="1"/>
    <n v="1"/>
    <s v="NA"/>
    <x v="5"/>
    <e v="#VALUE!"/>
    <x v="0"/>
    <s v="no"/>
  </r>
  <r>
    <s v="Black"/>
    <s v=" Mr"/>
    <s v=" D"/>
    <x v="0"/>
    <x v="0"/>
    <n v="41"/>
    <x v="0"/>
    <x v="3"/>
    <s v="S"/>
    <x v="0"/>
    <x v="1"/>
    <x v="25"/>
    <x v="1"/>
    <n v="1"/>
    <s v="NA"/>
    <x v="5"/>
    <e v="#VALUE!"/>
    <x v="0"/>
    <s v="no"/>
  </r>
  <r>
    <s v="Blake"/>
    <s v=" Mr"/>
    <s v=" Percival Albert"/>
    <x v="0"/>
    <x v="0"/>
    <n v="23"/>
    <x v="2"/>
    <x v="3"/>
    <s v="S"/>
    <x v="0"/>
    <x v="1"/>
    <x v="25"/>
    <x v="1"/>
    <n v="1"/>
    <s v="NA"/>
    <x v="5"/>
    <e v="#VALUE!"/>
    <x v="1"/>
    <s v="yes"/>
  </r>
  <r>
    <s v="Blake"/>
    <s v=" Mr"/>
    <s v=" Seaton"/>
    <x v="0"/>
    <x v="0"/>
    <n v="26"/>
    <x v="2"/>
    <x v="3"/>
    <s v="B"/>
    <x v="2"/>
    <x v="1"/>
    <x v="25"/>
    <x v="1"/>
    <n v="1"/>
    <s v="NA"/>
    <x v="5"/>
    <e v="#VALUE!"/>
    <x v="0"/>
    <s v="no"/>
  </r>
  <r>
    <s v="Blake"/>
    <s v=" Mr"/>
    <s v=" Thomas Henry"/>
    <x v="0"/>
    <x v="0"/>
    <n v="37"/>
    <x v="0"/>
    <x v="3"/>
    <s v="S"/>
    <x v="0"/>
    <x v="1"/>
    <x v="25"/>
    <x v="1"/>
    <n v="1"/>
    <s v="NA"/>
    <x v="5"/>
    <e v="#VALUE!"/>
    <x v="0"/>
    <s v="no"/>
  </r>
  <r>
    <s v="Blaney"/>
    <s v=" Mr"/>
    <s v=" James"/>
    <x v="0"/>
    <x v="0"/>
    <n v="32"/>
    <x v="2"/>
    <x v="3"/>
    <s v="S"/>
    <x v="0"/>
    <x v="10"/>
    <x v="25"/>
    <x v="1"/>
    <n v="1"/>
    <s v="NA"/>
    <x v="5"/>
    <e v="#VALUE!"/>
    <x v="0"/>
    <s v="no"/>
  </r>
  <r>
    <s v="Blann"/>
    <s v=" Mr"/>
    <s v=" Eustace Horatius"/>
    <x v="0"/>
    <x v="0"/>
    <n v="22"/>
    <x v="2"/>
    <x v="3"/>
    <s v="S"/>
    <x v="0"/>
    <x v="1"/>
    <x v="25"/>
    <x v="1"/>
    <n v="1"/>
    <s v="NA"/>
    <x v="5"/>
    <e v="#VALUE!"/>
    <x v="0"/>
    <s v="no"/>
  </r>
  <r>
    <s v="Bliss"/>
    <s v=" Mrs"/>
    <s v=" Emma"/>
    <x v="1"/>
    <x v="1"/>
    <n v="45"/>
    <x v="0"/>
    <x v="4"/>
    <s v="S"/>
    <x v="0"/>
    <x v="12"/>
    <x v="25"/>
    <x v="1"/>
    <n v="1"/>
    <s v="NA"/>
    <x v="5"/>
    <e v="#VALUE!"/>
    <x v="1"/>
    <s v="yes"/>
  </r>
  <r>
    <s v="Blumet"/>
    <s v=" Mr"/>
    <s v=" Jean Baptiste"/>
    <x v="0"/>
    <x v="0"/>
    <n v="26"/>
    <x v="2"/>
    <x v="5"/>
    <s v="S"/>
    <x v="0"/>
    <x v="1"/>
    <x v="25"/>
    <x v="1"/>
    <n v="1"/>
    <s v="NA"/>
    <x v="5"/>
    <e v="#VALUE!"/>
    <x v="0"/>
    <s v="no"/>
  </r>
  <r>
    <s v="Bochatay"/>
    <s v=" Mr"/>
    <s v=" Alexis Joseph"/>
    <x v="0"/>
    <x v="0"/>
    <n v="30"/>
    <x v="2"/>
    <x v="4"/>
    <s v="S"/>
    <x v="0"/>
    <x v="1"/>
    <x v="25"/>
    <x v="1"/>
    <n v="1"/>
    <s v="NA"/>
    <x v="5"/>
    <e v="#VALUE!"/>
    <x v="0"/>
    <s v="no"/>
  </r>
  <r>
    <s v="Bochet"/>
    <s v=" Mr"/>
    <s v=" Pierre Giuseppe"/>
    <x v="0"/>
    <x v="0"/>
    <n v="43"/>
    <x v="0"/>
    <x v="5"/>
    <s v="S"/>
    <x v="0"/>
    <x v="1"/>
    <x v="25"/>
    <x v="1"/>
    <n v="1"/>
    <s v="NA"/>
    <x v="5"/>
    <e v="#VALUE!"/>
    <x v="0"/>
    <s v="no"/>
  </r>
  <r>
    <s v="Bogie"/>
    <s v=" Mr"/>
    <s v=" Norman Leslie"/>
    <x v="0"/>
    <x v="0"/>
    <n v="59"/>
    <x v="4"/>
    <x v="4"/>
    <s v="S"/>
    <x v="0"/>
    <x v="22"/>
    <x v="25"/>
    <x v="1"/>
    <n v="1"/>
    <s v="NA"/>
    <x v="5"/>
    <e v="#VALUE!"/>
    <x v="0"/>
    <s v="no"/>
  </r>
  <r>
    <s v="Bolhuis"/>
    <s v=" Mr"/>
    <s v=" Hendrik"/>
    <x v="0"/>
    <x v="0"/>
    <n v="27"/>
    <x v="2"/>
    <x v="5"/>
    <s v="S"/>
    <x v="0"/>
    <x v="1"/>
    <x v="25"/>
    <x v="1"/>
    <n v="1"/>
    <s v="NA"/>
    <x v="5"/>
    <e v="#VALUE!"/>
    <x v="0"/>
    <s v="no"/>
  </r>
  <r>
    <s v="Bond"/>
    <s v=" Mr"/>
    <s v=" William John"/>
    <x v="0"/>
    <x v="0"/>
    <n v="40"/>
    <x v="0"/>
    <x v="4"/>
    <s v="B"/>
    <x v="2"/>
    <x v="1"/>
    <x v="25"/>
    <x v="1"/>
    <n v="1"/>
    <s v="NA"/>
    <x v="5"/>
    <e v="#VALUE!"/>
    <x v="0"/>
    <s v="no"/>
  </r>
  <r>
    <s v="Boothby"/>
    <s v=" Mr"/>
    <s v=" Walter Thomas"/>
    <x v="0"/>
    <x v="0"/>
    <n v="38"/>
    <x v="0"/>
    <x v="4"/>
    <s v="S"/>
    <x v="0"/>
    <x v="1"/>
    <x v="25"/>
    <x v="1"/>
    <n v="1"/>
    <s v="NA"/>
    <x v="5"/>
    <e v="#VALUE!"/>
    <x v="0"/>
    <s v="no"/>
  </r>
  <r>
    <s v="Boston"/>
    <s v=" Mr"/>
    <s v=" William John"/>
    <x v="0"/>
    <x v="0"/>
    <n v="33"/>
    <x v="2"/>
    <x v="4"/>
    <s v="B"/>
    <x v="2"/>
    <x v="1"/>
    <x v="25"/>
    <x v="1"/>
    <n v="1"/>
    <s v="NA"/>
    <x v="5"/>
    <e v="#VALUE!"/>
    <x v="0"/>
    <s v="no"/>
  </r>
  <r>
    <s v="Bott"/>
    <s v=" Mr"/>
    <s v=" William Thomas"/>
    <x v="0"/>
    <x v="0"/>
    <n v="46"/>
    <x v="0"/>
    <x v="3"/>
    <s v="S"/>
    <x v="0"/>
    <x v="1"/>
    <x v="25"/>
    <x v="1"/>
    <n v="1"/>
    <s v="NA"/>
    <x v="5"/>
    <e v="#VALUE!"/>
    <x v="0"/>
    <s v="no"/>
  </r>
  <r>
    <s v="Boughton"/>
    <s v=" Mr"/>
    <s v=" Bernard John"/>
    <x v="0"/>
    <x v="0"/>
    <n v="24"/>
    <x v="2"/>
    <x v="4"/>
    <s v="S"/>
    <x v="0"/>
    <x v="1"/>
    <x v="25"/>
    <x v="1"/>
    <n v="1"/>
    <s v="NA"/>
    <x v="5"/>
    <e v="#VALUE!"/>
    <x v="0"/>
    <s v="no"/>
  </r>
  <r>
    <s v="Bowker"/>
    <s v=" Miss"/>
    <s v=" Ruth Harwood"/>
    <x v="1"/>
    <x v="1"/>
    <n v="31"/>
    <x v="2"/>
    <x v="5"/>
    <s v="S"/>
    <x v="0"/>
    <x v="1"/>
    <x v="25"/>
    <x v="1"/>
    <n v="1"/>
    <s v="NA"/>
    <x v="5"/>
    <e v="#VALUE!"/>
    <x v="1"/>
    <s v="yes"/>
  </r>
  <r>
    <s v="Boxhall"/>
    <s v=" Mr"/>
    <s v=" Joseph Groves"/>
    <x v="0"/>
    <x v="0"/>
    <n v="28"/>
    <x v="2"/>
    <x v="6"/>
    <s v="B"/>
    <x v="2"/>
    <x v="1"/>
    <x v="25"/>
    <x v="1"/>
    <n v="1"/>
    <s v="NA"/>
    <x v="5"/>
    <e v="#VALUE!"/>
    <x v="1"/>
    <s v="yes"/>
  </r>
  <r>
    <s v="Boyd"/>
    <s v=" Mr"/>
    <s v=" John"/>
    <x v="0"/>
    <x v="0"/>
    <n v="37"/>
    <x v="0"/>
    <x v="4"/>
    <s v="S"/>
    <x v="0"/>
    <x v="1"/>
    <x v="25"/>
    <x v="1"/>
    <n v="1"/>
    <s v="NA"/>
    <x v="5"/>
    <e v="#VALUE!"/>
    <x v="0"/>
    <s v="no"/>
  </r>
  <r>
    <s v="Boyes"/>
    <s v=" Mr"/>
    <s v=" John Henry"/>
    <x v="0"/>
    <x v="0"/>
    <n v="36"/>
    <x v="0"/>
    <x v="4"/>
    <s v="B"/>
    <x v="2"/>
    <x v="1"/>
    <x v="25"/>
    <x v="1"/>
    <n v="1"/>
    <s v="NA"/>
    <x v="5"/>
    <e v="#VALUE!"/>
    <x v="0"/>
    <s v="no"/>
  </r>
  <r>
    <s v="Bradley"/>
    <s v=" Mr"/>
    <s v=" Patrick Joseph"/>
    <x v="0"/>
    <x v="0"/>
    <n v="39"/>
    <x v="0"/>
    <x v="3"/>
    <s v="S"/>
    <x v="0"/>
    <x v="1"/>
    <x v="25"/>
    <x v="1"/>
    <n v="1"/>
    <s v="NA"/>
    <x v="5"/>
    <e v="#VALUE!"/>
    <x v="0"/>
    <s v="no"/>
  </r>
  <r>
    <s v="Bradley"/>
    <s v=" Mr"/>
    <s v=" T"/>
    <x v="0"/>
    <x v="0"/>
    <n v="29"/>
    <x v="2"/>
    <x v="6"/>
    <s v="S"/>
    <x v="0"/>
    <x v="1"/>
    <x v="25"/>
    <x v="1"/>
    <n v="1"/>
    <s v="NA"/>
    <x v="5"/>
    <e v="#VALUE!"/>
    <x v="0"/>
    <s v="no"/>
  </r>
  <r>
    <s v="Bradshaw"/>
    <s v=" Mr"/>
    <s v=" John Albert Perkin"/>
    <x v="0"/>
    <x v="0"/>
    <n v="43"/>
    <x v="0"/>
    <x v="4"/>
    <s v="S"/>
    <x v="0"/>
    <x v="1"/>
    <x v="25"/>
    <x v="1"/>
    <n v="1"/>
    <s v="NA"/>
    <x v="5"/>
    <e v="#VALUE!"/>
    <x v="0"/>
    <s v="no"/>
  </r>
  <r>
    <s v="Brewer"/>
    <s v=" Mr"/>
    <s v=" Harry"/>
    <x v="0"/>
    <x v="0"/>
    <n v="30"/>
    <x v="2"/>
    <x v="3"/>
    <s v="S"/>
    <x v="0"/>
    <x v="1"/>
    <x v="25"/>
    <x v="1"/>
    <n v="1"/>
    <s v="NA"/>
    <x v="5"/>
    <e v="#VALUE!"/>
    <x v="0"/>
    <s v="no"/>
  </r>
  <r>
    <s v="Brewster"/>
    <s v=" Mr"/>
    <s v=" George Henry"/>
    <x v="0"/>
    <x v="0"/>
    <n v="52"/>
    <x v="0"/>
    <x v="4"/>
    <s v="B"/>
    <x v="2"/>
    <x v="1"/>
    <x v="25"/>
    <x v="1"/>
    <n v="1"/>
    <s v="NA"/>
    <x v="5"/>
    <e v="#VALUE!"/>
    <x v="0"/>
    <s v="no"/>
  </r>
  <r>
    <s v="Briant"/>
    <s v=" Mr"/>
    <s v=" Albert"/>
    <x v="0"/>
    <x v="0"/>
    <n v="34"/>
    <x v="2"/>
    <x v="3"/>
    <s v="S"/>
    <x v="0"/>
    <x v="1"/>
    <x v="25"/>
    <x v="1"/>
    <n v="1"/>
    <s v="NA"/>
    <x v="5"/>
    <e v="#VALUE!"/>
    <x v="0"/>
    <s v="no"/>
  </r>
  <r>
    <s v="Brice"/>
    <s v=" Mr"/>
    <s v=" Walter Thomas"/>
    <x v="0"/>
    <x v="0"/>
    <n v="43"/>
    <x v="0"/>
    <x v="6"/>
    <s v="S"/>
    <x v="0"/>
    <x v="1"/>
    <x v="25"/>
    <x v="1"/>
    <n v="1"/>
    <s v="NA"/>
    <x v="5"/>
    <e v="#VALUE!"/>
    <x v="1"/>
    <s v="yes"/>
  </r>
  <r>
    <s v="Bride"/>
    <s v=" Mr"/>
    <s v=" Harold Sydney"/>
    <x v="0"/>
    <x v="0"/>
    <n v="22"/>
    <x v="2"/>
    <x v="4"/>
    <s v="B"/>
    <x v="2"/>
    <x v="1"/>
    <x v="25"/>
    <x v="1"/>
    <n v="1"/>
    <s v="NA"/>
    <x v="5"/>
    <e v="#VALUE!"/>
    <x v="1"/>
    <s v="yes"/>
  </r>
  <r>
    <s v="Bright"/>
    <s v=" Mr"/>
    <s v=" Arthur John"/>
    <x v="0"/>
    <x v="0"/>
    <n v="42"/>
    <x v="0"/>
    <x v="6"/>
    <s v="B"/>
    <x v="2"/>
    <x v="1"/>
    <x v="25"/>
    <x v="1"/>
    <n v="1"/>
    <s v="NA"/>
    <x v="5"/>
    <e v="#VALUE!"/>
    <x v="1"/>
    <s v="yes"/>
  </r>
  <r>
    <s v="Bristow"/>
    <s v=" Mr"/>
    <s v=" Harry"/>
    <x v="0"/>
    <x v="0"/>
    <n v="38"/>
    <x v="0"/>
    <x v="4"/>
    <s v="S"/>
    <x v="0"/>
    <x v="1"/>
    <x v="25"/>
    <x v="1"/>
    <n v="1"/>
    <s v="NA"/>
    <x v="5"/>
    <e v="#VALUE!"/>
    <x v="0"/>
    <s v="no"/>
  </r>
  <r>
    <s v="Bristow"/>
    <s v=" Mr"/>
    <s v=" Robert Charles"/>
    <x v="0"/>
    <x v="0"/>
    <n v="31"/>
    <x v="2"/>
    <x v="4"/>
    <s v="S"/>
    <x v="0"/>
    <x v="1"/>
    <x v="25"/>
    <x v="1"/>
    <n v="1"/>
    <s v="NA"/>
    <x v="5"/>
    <e v="#VALUE!"/>
    <x v="0"/>
    <s v="no"/>
  </r>
  <r>
    <s v="Brookman"/>
    <s v=" Mr"/>
    <s v=" John Cress"/>
    <x v="0"/>
    <x v="0"/>
    <n v="28"/>
    <x v="2"/>
    <x v="4"/>
    <s v="S"/>
    <x v="0"/>
    <x v="1"/>
    <x v="25"/>
    <x v="1"/>
    <n v="1"/>
    <s v="NA"/>
    <x v="5"/>
    <e v="#VALUE!"/>
    <x v="0"/>
    <s v="no"/>
  </r>
  <r>
    <s v="Brooks"/>
    <s v=" Mr"/>
    <s v=" J"/>
    <x v="0"/>
    <x v="0"/>
    <n v="25"/>
    <x v="2"/>
    <x v="3"/>
    <s v="S"/>
    <x v="0"/>
    <x v="1"/>
    <x v="25"/>
    <x v="1"/>
    <n v="1"/>
    <s v="NA"/>
    <x v="5"/>
    <e v="#VALUE!"/>
    <x v="0"/>
    <s v="no"/>
  </r>
  <r>
    <s v="Broome"/>
    <s v=" Mr"/>
    <s v=" Athol Frederick"/>
    <x v="0"/>
    <x v="0"/>
    <n v="31"/>
    <x v="2"/>
    <x v="4"/>
    <s v="S"/>
    <x v="0"/>
    <x v="1"/>
    <x v="25"/>
    <x v="1"/>
    <n v="1"/>
    <s v="NA"/>
    <x v="5"/>
    <e v="#VALUE!"/>
    <x v="0"/>
    <s v="no"/>
  </r>
  <r>
    <s v="Broom"/>
    <s v=" Mr"/>
    <s v=" Herbert George"/>
    <x v="0"/>
    <x v="0"/>
    <n v="33"/>
    <x v="2"/>
    <x v="4"/>
    <s v="B"/>
    <x v="2"/>
    <x v="1"/>
    <x v="25"/>
    <x v="1"/>
    <n v="1"/>
    <s v="NA"/>
    <x v="5"/>
    <e v="#VALUE!"/>
    <x v="0"/>
    <s v="no"/>
  </r>
  <r>
    <s v="Brown"/>
    <s v=" Mr"/>
    <s v=" Edward"/>
    <x v="0"/>
    <x v="0"/>
    <n v="34"/>
    <x v="2"/>
    <x v="4"/>
    <s v="B"/>
    <x v="2"/>
    <x v="19"/>
    <x v="25"/>
    <x v="1"/>
    <n v="1"/>
    <s v="NA"/>
    <x v="5"/>
    <e v="#VALUE!"/>
    <x v="1"/>
    <s v="yes"/>
  </r>
  <r>
    <s v="Brown"/>
    <s v=" Mr"/>
    <s v=" John"/>
    <x v="0"/>
    <x v="0"/>
    <n v="28"/>
    <x v="2"/>
    <x v="3"/>
    <s v="S"/>
    <x v="0"/>
    <x v="19"/>
    <x v="25"/>
    <x v="1"/>
    <n v="1"/>
    <s v="NA"/>
    <x v="5"/>
    <e v="#VALUE!"/>
    <x v="0"/>
    <s v="no"/>
  </r>
  <r>
    <s v="Brown"/>
    <s v=" Mr"/>
    <s v=" Joseph James"/>
    <x v="0"/>
    <x v="0"/>
    <n v="25"/>
    <x v="2"/>
    <x v="3"/>
    <s v="S"/>
    <x v="0"/>
    <x v="1"/>
    <x v="25"/>
    <x v="1"/>
    <n v="1"/>
    <s v="NA"/>
    <x v="5"/>
    <e v="#VALUE!"/>
    <x v="0"/>
    <s v="no"/>
  </r>
  <r>
    <s v="Brown"/>
    <s v=" Mr"/>
    <s v=" Walter James"/>
    <x v="0"/>
    <x v="0"/>
    <n v="41"/>
    <x v="0"/>
    <x v="4"/>
    <s v="B"/>
    <x v="2"/>
    <x v="1"/>
    <x v="25"/>
    <x v="1"/>
    <n v="1"/>
    <s v="NA"/>
    <x v="5"/>
    <e v="#VALUE!"/>
    <x v="0"/>
    <s v="no"/>
  </r>
  <r>
    <s v="Buckley"/>
    <s v=" Mr"/>
    <s v=" H"/>
    <x v="0"/>
    <x v="0"/>
    <n v="34"/>
    <x v="2"/>
    <x v="4"/>
    <s v="S"/>
    <x v="0"/>
    <x v="1"/>
    <x v="25"/>
    <x v="1"/>
    <n v="1"/>
    <s v="NA"/>
    <x v="5"/>
    <e v="#VALUE!"/>
    <x v="0"/>
    <s v="no"/>
  </r>
  <r>
    <s v="Buley"/>
    <s v=" Mr"/>
    <s v=" Edward John"/>
    <x v="0"/>
    <x v="0"/>
    <n v="26"/>
    <x v="2"/>
    <x v="6"/>
    <s v="S"/>
    <x v="0"/>
    <x v="1"/>
    <x v="25"/>
    <x v="1"/>
    <n v="1"/>
    <s v="NA"/>
    <x v="5"/>
    <e v="#VALUE!"/>
    <x v="1"/>
    <s v="yes"/>
  </r>
  <r>
    <s v="Bulley"/>
    <s v=" Mr"/>
    <s v=" Henry Ashburnham"/>
    <x v="0"/>
    <x v="0"/>
    <n v="22"/>
    <x v="2"/>
    <x v="4"/>
    <s v="S"/>
    <x v="0"/>
    <x v="1"/>
    <x v="25"/>
    <x v="1"/>
    <n v="1"/>
    <s v="NA"/>
    <x v="5"/>
    <e v="#VALUE!"/>
    <x v="0"/>
    <s v="no"/>
  </r>
  <r>
    <s v="Bull"/>
    <s v=" Mr"/>
    <s v=" Walter Edward"/>
    <x v="0"/>
    <x v="0"/>
    <n v="37"/>
    <x v="0"/>
    <x v="4"/>
    <s v="S"/>
    <x v="0"/>
    <x v="1"/>
    <x v="25"/>
    <x v="1"/>
    <n v="1"/>
    <s v="NA"/>
    <x v="5"/>
    <e v="#VALUE!"/>
    <x v="0"/>
    <s v="no"/>
  </r>
  <r>
    <s v="Bunnell"/>
    <s v=" Mr"/>
    <s v=" Wilfred James"/>
    <x v="0"/>
    <x v="0"/>
    <n v="21"/>
    <x v="2"/>
    <x v="4"/>
    <s v="B"/>
    <x v="2"/>
    <x v="1"/>
    <x v="25"/>
    <x v="1"/>
    <n v="1"/>
    <s v="NA"/>
    <x v="5"/>
    <e v="#VALUE!"/>
    <x v="0"/>
    <s v="no"/>
  </r>
  <r>
    <s v="Burgess"/>
    <s v=" Mr"/>
    <s v=" Charles"/>
    <x v="0"/>
    <x v="0"/>
    <n v="18"/>
    <x v="2"/>
    <x v="4"/>
    <s v="S"/>
    <x v="0"/>
    <x v="1"/>
    <x v="25"/>
    <x v="1"/>
    <n v="1"/>
    <s v="NA"/>
    <x v="5"/>
    <e v="#VALUE!"/>
    <x v="1"/>
    <s v="yes"/>
  </r>
  <r>
    <s v="Burke"/>
    <s v=" Mr"/>
    <s v=" Richard Edward"/>
    <x v="0"/>
    <x v="0"/>
    <n v="30"/>
    <x v="2"/>
    <x v="4"/>
    <s v="B"/>
    <x v="2"/>
    <x v="1"/>
    <x v="25"/>
    <x v="1"/>
    <n v="1"/>
    <s v="NA"/>
    <x v="5"/>
    <e v="#VALUE!"/>
    <x v="0"/>
    <s v="no"/>
  </r>
  <r>
    <s v="Burke"/>
    <s v=" Mr"/>
    <s v=" William"/>
    <x v="0"/>
    <x v="0"/>
    <n v="31"/>
    <x v="2"/>
    <x v="4"/>
    <s v="B"/>
    <x v="2"/>
    <x v="16"/>
    <x v="25"/>
    <x v="1"/>
    <n v="1"/>
    <s v="NA"/>
    <x v="5"/>
    <e v="#VALUE!"/>
    <x v="1"/>
    <s v="yes"/>
  </r>
  <r>
    <s v="Burrage"/>
    <s v=" Mr"/>
    <s v=" Arthur Victor Edwards"/>
    <x v="0"/>
    <x v="0"/>
    <n v="20"/>
    <x v="2"/>
    <x v="4"/>
    <s v="S"/>
    <x v="0"/>
    <x v="1"/>
    <x v="25"/>
    <x v="1"/>
    <n v="1"/>
    <s v="NA"/>
    <x v="5"/>
    <e v="#VALUE!"/>
    <x v="1"/>
    <s v="yes"/>
  </r>
  <r>
    <s v="Burr"/>
    <s v=" Mr"/>
    <s v=" Ewart Sydenham"/>
    <x v="0"/>
    <x v="0"/>
    <n v="29"/>
    <x v="2"/>
    <x v="4"/>
    <s v="S"/>
    <x v="0"/>
    <x v="1"/>
    <x v="25"/>
    <x v="1"/>
    <n v="1"/>
    <s v="NA"/>
    <x v="5"/>
    <e v="#VALUE!"/>
    <x v="0"/>
    <s v="no"/>
  </r>
  <r>
    <s v="Burroughs"/>
    <s v=" Mr"/>
    <s v=" Arthur Peckham"/>
    <x v="0"/>
    <x v="0"/>
    <n v="35"/>
    <x v="2"/>
    <x v="3"/>
    <s v="S"/>
    <x v="0"/>
    <x v="1"/>
    <x v="25"/>
    <x v="1"/>
    <n v="1"/>
    <s v="NA"/>
    <x v="5"/>
    <e v="#VALUE!"/>
    <x v="0"/>
    <s v="no"/>
  </r>
  <r>
    <s v="Burton"/>
    <s v=" Mr"/>
    <s v=" Edward John"/>
    <x v="0"/>
    <x v="0"/>
    <n v="35"/>
    <x v="2"/>
    <x v="3"/>
    <s v="S"/>
    <x v="0"/>
    <x v="1"/>
    <x v="25"/>
    <x v="1"/>
    <n v="1"/>
    <s v="NA"/>
    <x v="5"/>
    <e v="#VALUE!"/>
    <x v="0"/>
    <s v="no"/>
  </r>
  <r>
    <s v="Butterworth"/>
    <s v=" Mr"/>
    <s v=" John"/>
    <x v="0"/>
    <x v="0"/>
    <n v="23"/>
    <x v="2"/>
    <x v="4"/>
    <s v="S"/>
    <x v="0"/>
    <x v="1"/>
    <x v="25"/>
    <x v="1"/>
    <n v="1"/>
    <s v="NA"/>
    <x v="5"/>
    <e v="#VALUE!"/>
    <x v="0"/>
    <s v="no"/>
  </r>
  <r>
    <s v="Butt"/>
    <s v=" Mr"/>
    <s v=" Robert Henry"/>
    <x v="0"/>
    <x v="0"/>
    <n v="22"/>
    <x v="2"/>
    <x v="4"/>
    <s v="S"/>
    <x v="0"/>
    <x v="1"/>
    <x v="25"/>
    <x v="1"/>
    <n v="1"/>
    <s v="NA"/>
    <x v="5"/>
    <e v="#VALUE!"/>
    <x v="0"/>
    <s v="no"/>
  </r>
  <r>
    <s v="Butt"/>
    <s v=" Mr"/>
    <s v=" William John"/>
    <x v="0"/>
    <x v="0"/>
    <n v="31"/>
    <x v="2"/>
    <x v="3"/>
    <s v="S"/>
    <x v="0"/>
    <x v="1"/>
    <x v="25"/>
    <x v="1"/>
    <n v="1"/>
    <s v="NA"/>
    <x v="5"/>
    <e v="#VALUE!"/>
    <x v="0"/>
    <s v="no"/>
  </r>
  <r>
    <s v="Byrne"/>
    <s v=" Mr"/>
    <s v=" James Edward"/>
    <x v="0"/>
    <x v="0"/>
    <n v="45"/>
    <x v="0"/>
    <x v="4"/>
    <s v="S"/>
    <x v="0"/>
    <x v="1"/>
    <x v="25"/>
    <x v="1"/>
    <n v="1"/>
    <s v="NA"/>
    <x v="5"/>
    <e v="#VALUE!"/>
    <x v="0"/>
    <s v="no"/>
  </r>
  <r>
    <s v="Calderwood"/>
    <s v=" Mr"/>
    <s v=" Hugh"/>
    <x v="0"/>
    <x v="0"/>
    <n v="30"/>
    <x v="2"/>
    <x v="3"/>
    <s v="B"/>
    <x v="2"/>
    <x v="10"/>
    <x v="25"/>
    <x v="1"/>
    <n v="1"/>
    <s v="NA"/>
    <x v="5"/>
    <e v="#VALUE!"/>
    <x v="0"/>
    <s v="no"/>
  </r>
  <r>
    <s v="Campbell"/>
    <s v=" Mr"/>
    <s v=" Donald S"/>
    <x v="0"/>
    <x v="0"/>
    <n v="25"/>
    <x v="2"/>
    <x v="4"/>
    <s v="S"/>
    <x v="0"/>
    <x v="27"/>
    <x v="25"/>
    <x v="1"/>
    <n v="1"/>
    <s v="NA"/>
    <x v="5"/>
    <e v="#VALUE!"/>
    <x v="0"/>
    <s v="no"/>
  </r>
  <r>
    <s v="Canner"/>
    <s v=" Mr"/>
    <s v=" John"/>
    <x v="0"/>
    <x v="0"/>
    <n v="40"/>
    <x v="0"/>
    <x v="3"/>
    <s v="S"/>
    <x v="0"/>
    <x v="1"/>
    <x v="25"/>
    <x v="1"/>
    <n v="1"/>
    <s v="NA"/>
    <x v="5"/>
    <e v="#VALUE!"/>
    <x v="0"/>
    <s v="no"/>
  </r>
  <r>
    <s v="Carney"/>
    <s v=" Mr"/>
    <s v=" William"/>
    <x v="0"/>
    <x v="0"/>
    <n v="31"/>
    <x v="2"/>
    <x v="4"/>
    <s v="S"/>
    <x v="0"/>
    <x v="1"/>
    <x v="25"/>
    <x v="1"/>
    <n v="1"/>
    <s v="NA"/>
    <x v="5"/>
    <e v="#VALUE!"/>
    <x v="0"/>
    <s v="no"/>
  </r>
  <r>
    <s v="Carr"/>
    <s v=" Mr"/>
    <s v=" Richard Stephen"/>
    <x v="0"/>
    <x v="0"/>
    <n v="27"/>
    <x v="2"/>
    <x v="3"/>
    <s v="S"/>
    <x v="0"/>
    <x v="1"/>
    <x v="25"/>
    <x v="1"/>
    <n v="1"/>
    <s v="NA"/>
    <x v="5"/>
    <e v="#VALUE!"/>
    <x v="0"/>
    <s v="no"/>
  </r>
  <r>
    <s v="Carter (Ball)"/>
    <s v=" Mr"/>
    <s v=" James (W"/>
    <x v="0"/>
    <x v="0"/>
    <n v="46"/>
    <x v="0"/>
    <x v="3"/>
    <s v="S"/>
    <x v="0"/>
    <x v="1"/>
    <x v="25"/>
    <x v="1"/>
    <n v="1"/>
    <s v="NA"/>
    <x v="5"/>
    <e v="#VALUE!"/>
    <x v="0"/>
    <s v="no"/>
  </r>
  <r>
    <s v="Cartwright"/>
    <s v=" Mr"/>
    <s v=" James Edward"/>
    <x v="0"/>
    <x v="0"/>
    <n v="33"/>
    <x v="2"/>
    <x v="4"/>
    <s v="B"/>
    <x v="2"/>
    <x v="1"/>
    <x v="25"/>
    <x v="1"/>
    <n v="1"/>
    <s v="NA"/>
    <x v="5"/>
    <e v="#VALUE!"/>
    <x v="0"/>
    <s v="no"/>
  </r>
  <r>
    <s v="Casali"/>
    <s v=" Sig"/>
    <s v=" Giulio"/>
    <x v="0"/>
    <x v="0"/>
    <n v="32"/>
    <x v="2"/>
    <x v="5"/>
    <s v="S"/>
    <x v="0"/>
    <x v="17"/>
    <x v="25"/>
    <x v="1"/>
    <n v="1"/>
    <s v="NA"/>
    <x v="5"/>
    <e v="#VALUE!"/>
    <x v="0"/>
    <s v="no"/>
  </r>
  <r>
    <s v="Casey"/>
    <s v=" Mr"/>
    <s v=" Thomas"/>
    <x v="0"/>
    <x v="0"/>
    <n v="44"/>
    <x v="0"/>
    <x v="3"/>
    <s v="S"/>
    <x v="0"/>
    <x v="1"/>
    <x v="25"/>
    <x v="1"/>
    <n v="1"/>
    <s v="NA"/>
    <x v="5"/>
    <e v="#VALUE!"/>
    <x v="0"/>
    <s v="no"/>
  </r>
  <r>
    <s v="Casswill"/>
    <s v=" Mr"/>
    <s v=" Charles"/>
    <x v="0"/>
    <x v="0"/>
    <n v="34"/>
    <x v="2"/>
    <x v="4"/>
    <s v="S"/>
    <x v="0"/>
    <x v="1"/>
    <x v="25"/>
    <x v="1"/>
    <n v="1"/>
    <s v="NA"/>
    <x v="5"/>
    <e v="#VALUE!"/>
    <x v="0"/>
    <s v="no"/>
  </r>
  <r>
    <s v="Castleman"/>
    <s v=" Mr"/>
    <s v=" Edward"/>
    <x v="0"/>
    <x v="0"/>
    <n v="37"/>
    <x v="0"/>
    <x v="3"/>
    <s v="S"/>
    <x v="0"/>
    <x v="1"/>
    <x v="25"/>
    <x v="1"/>
    <n v="1"/>
    <s v="NA"/>
    <x v="5"/>
    <e v="#VALUE!"/>
    <x v="0"/>
    <s v="no"/>
  </r>
  <r>
    <s v="Caton"/>
    <s v=" Miss"/>
    <s v=" Annie"/>
    <x v="1"/>
    <x v="1"/>
    <n v="33"/>
    <x v="2"/>
    <x v="4"/>
    <s v="S"/>
    <x v="0"/>
    <x v="1"/>
    <x v="25"/>
    <x v="1"/>
    <n v="1"/>
    <s v="NA"/>
    <x v="5"/>
    <e v="#VALUE!"/>
    <x v="1"/>
    <s v="yes"/>
  </r>
  <r>
    <s v="Caunt"/>
    <s v=" Mr"/>
    <s v=" William Ewart"/>
    <x v="0"/>
    <x v="0"/>
    <n v="28"/>
    <x v="2"/>
    <x v="4"/>
    <s v="S"/>
    <x v="0"/>
    <x v="1"/>
    <x v="25"/>
    <x v="1"/>
    <n v="1"/>
    <s v="NA"/>
    <x v="5"/>
    <e v="#VALUE!"/>
    <x v="0"/>
    <s v="no"/>
  </r>
  <r>
    <s v="Cavell"/>
    <s v=" Mr"/>
    <s v=" George Henry"/>
    <x v="0"/>
    <x v="0"/>
    <n v="22"/>
    <x v="2"/>
    <x v="3"/>
    <s v="S"/>
    <x v="0"/>
    <x v="1"/>
    <x v="25"/>
    <x v="1"/>
    <n v="1"/>
    <s v="NA"/>
    <x v="5"/>
    <e v="#VALUE!"/>
    <x v="1"/>
    <s v="yes"/>
  </r>
  <r>
    <s v="Cave"/>
    <s v=" Mr"/>
    <s v=" Herbert"/>
    <x v="0"/>
    <x v="0"/>
    <n v="39"/>
    <x v="0"/>
    <x v="4"/>
    <s v="B"/>
    <x v="2"/>
    <x v="1"/>
    <x v="25"/>
    <x v="1"/>
    <n v="1"/>
    <s v="NA"/>
    <x v="5"/>
    <e v="#VALUE!"/>
    <x v="0"/>
    <s v="no"/>
  </r>
  <r>
    <s v="Cecil"/>
    <s v=" Mr"/>
    <s v=" Charles Thomas"/>
    <x v="0"/>
    <x v="0"/>
    <n v="21"/>
    <x v="2"/>
    <x v="4"/>
    <s v="S"/>
    <x v="0"/>
    <x v="1"/>
    <x v="25"/>
    <x v="1"/>
    <n v="1"/>
    <s v="NA"/>
    <x v="5"/>
    <e v="#VALUE!"/>
    <x v="0"/>
    <s v="no"/>
  </r>
  <r>
    <s v="Chaboisson"/>
    <s v=" Mr"/>
    <s v=" Adrien Finnin"/>
    <x v="0"/>
    <x v="0"/>
    <n v="25"/>
    <x v="2"/>
    <x v="5"/>
    <s v="S"/>
    <x v="0"/>
    <x v="1"/>
    <x v="25"/>
    <x v="1"/>
    <n v="1"/>
    <s v="NA"/>
    <x v="5"/>
    <e v="#VALUE!"/>
    <x v="0"/>
    <s v="no"/>
  </r>
  <r>
    <s v="Chapman"/>
    <s v=" Mr"/>
    <s v=" Joseph Charles"/>
    <x v="0"/>
    <x v="0"/>
    <n v="32"/>
    <x v="2"/>
    <x v="4"/>
    <s v="S"/>
    <x v="0"/>
    <x v="1"/>
    <x v="25"/>
    <x v="1"/>
    <n v="1"/>
    <s v="NA"/>
    <x v="5"/>
    <e v="#VALUE!"/>
    <x v="1"/>
    <s v="yes"/>
  </r>
  <r>
    <s v="Charman"/>
    <s v=" Mr"/>
    <s v=" John James"/>
    <x v="0"/>
    <x v="0"/>
    <n v="25"/>
    <x v="2"/>
    <x v="4"/>
    <s v="S"/>
    <x v="0"/>
    <x v="1"/>
    <x v="25"/>
    <x v="1"/>
    <n v="1"/>
    <s v="NA"/>
    <x v="5"/>
    <e v="#VALUE!"/>
    <x v="0"/>
    <s v="no"/>
  </r>
  <r>
    <s v="Cherrett"/>
    <s v=" Mr"/>
    <s v=" William Victor"/>
    <x v="0"/>
    <x v="0"/>
    <n v="25"/>
    <x v="2"/>
    <x v="3"/>
    <s v="S"/>
    <x v="0"/>
    <x v="1"/>
    <x v="25"/>
    <x v="1"/>
    <n v="1"/>
    <s v="NA"/>
    <x v="5"/>
    <e v="#VALUE!"/>
    <x v="0"/>
    <s v="no"/>
  </r>
  <r>
    <s v="Cheverton"/>
    <s v=" Mr"/>
    <s v=" William Frederick"/>
    <x v="0"/>
    <x v="0"/>
    <n v="28"/>
    <x v="2"/>
    <x v="4"/>
    <s v="B"/>
    <x v="2"/>
    <x v="1"/>
    <x v="25"/>
    <x v="1"/>
    <n v="1"/>
    <s v="NA"/>
    <x v="5"/>
    <e v="#VALUE!"/>
    <x v="0"/>
    <s v="no"/>
  </r>
  <r>
    <s v="Chisnall"/>
    <s v=" Mr"/>
    <s v=" George Alexander"/>
    <x v="0"/>
    <x v="0"/>
    <n v="37"/>
    <x v="0"/>
    <x v="3"/>
    <s v="B"/>
    <x v="2"/>
    <x v="1"/>
    <x v="25"/>
    <x v="1"/>
    <n v="1"/>
    <s v="NA"/>
    <x v="5"/>
    <e v="#VALUE!"/>
    <x v="0"/>
    <s v="no"/>
  </r>
  <r>
    <s v="Chitty"/>
    <s v=" Mr"/>
    <s v=" Archibald George"/>
    <x v="0"/>
    <x v="0"/>
    <n v="29"/>
    <x v="2"/>
    <x v="4"/>
    <s v="S"/>
    <x v="0"/>
    <x v="1"/>
    <x v="25"/>
    <x v="1"/>
    <n v="1"/>
    <s v="NA"/>
    <x v="5"/>
    <e v="#VALUE!"/>
    <x v="0"/>
    <s v="no"/>
  </r>
  <r>
    <s v="Chitty"/>
    <s v=" Mr"/>
    <s v=" George Henry"/>
    <x v="0"/>
    <x v="0"/>
    <n v="50"/>
    <x v="0"/>
    <x v="4"/>
    <s v="S"/>
    <x v="0"/>
    <x v="1"/>
    <x v="25"/>
    <x v="1"/>
    <n v="1"/>
    <s v="NA"/>
    <x v="5"/>
    <e v="#VALUE!"/>
    <x v="0"/>
    <s v="no"/>
  </r>
  <r>
    <s v="Chorley"/>
    <s v=" Mr"/>
    <s v=" John Henry"/>
    <x v="0"/>
    <x v="0"/>
    <n v="25"/>
    <x v="2"/>
    <x v="3"/>
    <s v="S"/>
    <x v="0"/>
    <x v="1"/>
    <x v="25"/>
    <x v="1"/>
    <n v="1"/>
    <s v="NA"/>
    <x v="5"/>
    <e v="#VALUE!"/>
    <x v="0"/>
    <s v="no"/>
  </r>
  <r>
    <s v="Christmas"/>
    <s v=" Mr"/>
    <s v=" Herbert Harry"/>
    <x v="0"/>
    <x v="0"/>
    <n v="34"/>
    <x v="2"/>
    <x v="4"/>
    <s v="S"/>
    <x v="0"/>
    <x v="1"/>
    <x v="25"/>
    <x v="1"/>
    <n v="1"/>
    <s v="NA"/>
    <x v="5"/>
    <e v="#VALUE!"/>
    <x v="0"/>
    <s v="no"/>
  </r>
  <r>
    <s v="Clark"/>
    <s v=" Mr"/>
    <s v=" William"/>
    <x v="0"/>
    <x v="0"/>
    <n v="40"/>
    <x v="0"/>
    <x v="3"/>
    <s v="S"/>
    <x v="0"/>
    <x v="16"/>
    <x v="25"/>
    <x v="1"/>
    <n v="1"/>
    <s v="NA"/>
    <x v="5"/>
    <e v="#VALUE!"/>
    <x v="1"/>
    <s v="yes"/>
  </r>
  <r>
    <s v="Clench"/>
    <s v=" Mr"/>
    <s v=" Frederick Charles"/>
    <x v="0"/>
    <x v="0"/>
    <n v="33"/>
    <x v="2"/>
    <x v="6"/>
    <s v="S"/>
    <x v="0"/>
    <x v="1"/>
    <x v="25"/>
    <x v="1"/>
    <n v="1"/>
    <s v="NA"/>
    <x v="5"/>
    <e v="#VALUE!"/>
    <x v="1"/>
    <s v="yes"/>
  </r>
  <r>
    <s v="Clench"/>
    <s v=" Mr"/>
    <s v=" George James"/>
    <x v="0"/>
    <x v="0"/>
    <n v="31"/>
    <x v="2"/>
    <x v="6"/>
    <s v="S"/>
    <x v="0"/>
    <x v="1"/>
    <x v="25"/>
    <x v="1"/>
    <n v="1"/>
    <s v="NA"/>
    <x v="5"/>
    <e v="#VALUE!"/>
    <x v="0"/>
    <s v="no"/>
  </r>
  <r>
    <s v="Coe"/>
    <s v=" Mr"/>
    <s v=" Harry"/>
    <x v="0"/>
    <x v="0"/>
    <n v="22"/>
    <x v="2"/>
    <x v="3"/>
    <s v="S"/>
    <x v="0"/>
    <x v="1"/>
    <x v="25"/>
    <x v="1"/>
    <n v="1"/>
    <s v="NA"/>
    <x v="5"/>
    <e v="#VALUE!"/>
    <x v="0"/>
    <s v="no"/>
  </r>
  <r>
    <s v="Coleman"/>
    <s v=" Mr"/>
    <s v=" Albert Edward"/>
    <x v="0"/>
    <x v="0"/>
    <n v="29"/>
    <x v="2"/>
    <x v="4"/>
    <s v="S"/>
    <x v="0"/>
    <x v="1"/>
    <x v="25"/>
    <x v="1"/>
    <n v="1"/>
    <s v="NA"/>
    <x v="5"/>
    <e v="#VALUE!"/>
    <x v="0"/>
    <s v="no"/>
  </r>
  <r>
    <s v="Coleman"/>
    <s v=" Mr"/>
    <s v=" John"/>
    <x v="0"/>
    <x v="0"/>
    <n v="58"/>
    <x v="4"/>
    <x v="3"/>
    <s v="B"/>
    <x v="2"/>
    <x v="16"/>
    <x v="25"/>
    <x v="1"/>
    <n v="1"/>
    <s v="NA"/>
    <x v="5"/>
    <e v="#VALUE!"/>
    <x v="0"/>
    <s v="no"/>
  </r>
  <r>
    <s v="Colgan"/>
    <s v=" Mr"/>
    <s v=" E"/>
    <x v="0"/>
    <x v="0"/>
    <n v="33"/>
    <x v="2"/>
    <x v="4"/>
    <s v="S"/>
    <x v="0"/>
    <x v="1"/>
    <x v="25"/>
    <x v="1"/>
    <n v="1"/>
    <s v="NA"/>
    <x v="5"/>
    <e v="#VALUE!"/>
    <x v="1"/>
    <s v="yes"/>
  </r>
  <r>
    <s v="Collins"/>
    <s v=" Mr"/>
    <s v=" John"/>
    <x v="0"/>
    <x v="0"/>
    <n v="17"/>
    <x v="1"/>
    <x v="4"/>
    <s v="S"/>
    <x v="0"/>
    <x v="10"/>
    <x v="25"/>
    <x v="1"/>
    <n v="1"/>
    <s v="NA"/>
    <x v="5"/>
    <e v="#VALUE!"/>
    <x v="1"/>
    <s v="yes"/>
  </r>
  <r>
    <s v="Combes"/>
    <s v=" Mr"/>
    <s v=" George"/>
    <x v="0"/>
    <x v="0"/>
    <n v="34"/>
    <x v="2"/>
    <x v="3"/>
    <s v="S"/>
    <x v="0"/>
    <x v="1"/>
    <x v="25"/>
    <x v="1"/>
    <n v="1"/>
    <s v="NA"/>
    <x v="5"/>
    <e v="#VALUE!"/>
    <x v="1"/>
    <s v="yes"/>
  </r>
  <r>
    <s v="Conway"/>
    <s v=" Mr"/>
    <s v=" Percy Walter"/>
    <x v="0"/>
    <x v="0"/>
    <n v="25"/>
    <x v="2"/>
    <x v="4"/>
    <s v="B"/>
    <x v="2"/>
    <x v="1"/>
    <x v="25"/>
    <x v="1"/>
    <n v="1"/>
    <s v="NA"/>
    <x v="5"/>
    <e v="#VALUE!"/>
    <x v="0"/>
    <s v="no"/>
  </r>
  <r>
    <s v="Cook"/>
    <s v=" Mr"/>
    <s v=" Gilbert William"/>
    <x v="0"/>
    <x v="0"/>
    <n v="32"/>
    <x v="2"/>
    <x v="4"/>
    <s v="S"/>
    <x v="0"/>
    <x v="1"/>
    <x v="25"/>
    <x v="1"/>
    <n v="1"/>
    <s v="NA"/>
    <x v="5"/>
    <e v="#VALUE!"/>
    <x v="0"/>
    <s v="no"/>
  </r>
  <r>
    <s v="Coombs"/>
    <s v=" Mr"/>
    <s v=" Charles Augustus"/>
    <x v="0"/>
    <x v="0"/>
    <n v="45"/>
    <x v="0"/>
    <x v="4"/>
    <s v="S"/>
    <x v="0"/>
    <x v="1"/>
    <x v="25"/>
    <x v="1"/>
    <n v="1"/>
    <s v="NA"/>
    <x v="5"/>
    <e v="#VALUE!"/>
    <x v="0"/>
    <s v="no"/>
  </r>
  <r>
    <s v="Cooper"/>
    <s v=" Mr"/>
    <s v=" Harry"/>
    <x v="0"/>
    <x v="0"/>
    <n v="26"/>
    <x v="2"/>
    <x v="3"/>
    <s v="S"/>
    <x v="0"/>
    <x v="1"/>
    <x v="25"/>
    <x v="1"/>
    <n v="1"/>
    <s v="NA"/>
    <x v="5"/>
    <e v="#VALUE!"/>
    <x v="0"/>
    <s v="no"/>
  </r>
  <r>
    <s v="Cooper"/>
    <s v=" Mr"/>
    <s v=" James Edward"/>
    <x v="0"/>
    <x v="0"/>
    <n v="26"/>
    <x v="2"/>
    <x v="3"/>
    <s v="S"/>
    <x v="0"/>
    <x v="1"/>
    <x v="25"/>
    <x v="1"/>
    <n v="1"/>
    <s v="NA"/>
    <x v="5"/>
    <e v="#VALUE!"/>
    <x v="0"/>
    <s v="no"/>
  </r>
  <r>
    <s v="Copperthwaite"/>
    <s v=" Mr"/>
    <s v=" Albert Harry"/>
    <x v="0"/>
    <x v="0"/>
    <n v="28"/>
    <x v="2"/>
    <x v="3"/>
    <s v="S"/>
    <x v="0"/>
    <x v="1"/>
    <x v="25"/>
    <x v="1"/>
    <n v="1"/>
    <s v="NA"/>
    <x v="5"/>
    <e v="#VALUE!"/>
    <x v="0"/>
    <s v="no"/>
  </r>
  <r>
    <s v="Corben"/>
    <s v=" Mr"/>
    <s v=" Ernest Theodore"/>
    <x v="0"/>
    <x v="0"/>
    <n v="27"/>
    <x v="2"/>
    <x v="4"/>
    <s v="S"/>
    <x v="0"/>
    <x v="1"/>
    <x v="25"/>
    <x v="1"/>
    <n v="1"/>
    <s v="NA"/>
    <x v="5"/>
    <e v="#VALUE!"/>
    <x v="0"/>
    <s v="no"/>
  </r>
  <r>
    <s v="Corcoran"/>
    <s v=" Mr"/>
    <s v=" Dennis"/>
    <x v="0"/>
    <x v="0"/>
    <n v="33"/>
    <x v="2"/>
    <x v="3"/>
    <s v="S"/>
    <x v="0"/>
    <x v="1"/>
    <x v="25"/>
    <x v="1"/>
    <n v="1"/>
    <s v="NA"/>
    <x v="5"/>
    <e v="#VALUE!"/>
    <x v="0"/>
    <s v="no"/>
  </r>
  <r>
    <s v="Cornaire"/>
    <s v=" Mr"/>
    <s v=" Marcel Raymond AndrÃ©"/>
    <x v="0"/>
    <x v="0"/>
    <n v="19"/>
    <x v="2"/>
    <x v="5"/>
    <s v="S"/>
    <x v="0"/>
    <x v="1"/>
    <x v="25"/>
    <x v="1"/>
    <n v="1"/>
    <s v="NA"/>
    <x v="5"/>
    <e v="#VALUE!"/>
    <x v="0"/>
    <s v="no"/>
  </r>
  <r>
    <s v="Cotton"/>
    <s v=" Mr"/>
    <s v=" Alfred"/>
    <x v="0"/>
    <x v="0"/>
    <n v="36"/>
    <x v="0"/>
    <x v="3"/>
    <s v="S"/>
    <x v="0"/>
    <x v="1"/>
    <x v="25"/>
    <x v="1"/>
    <n v="1"/>
    <s v="NA"/>
    <x v="5"/>
    <e v="#VALUE!"/>
    <x v="0"/>
    <s v="no"/>
  </r>
  <r>
    <s v="Couch"/>
    <s v=" Mr"/>
    <s v=" Frank"/>
    <x v="0"/>
    <x v="0"/>
    <n v="28"/>
    <x v="2"/>
    <x v="6"/>
    <s v="S"/>
    <x v="0"/>
    <x v="1"/>
    <x v="25"/>
    <x v="1"/>
    <n v="1"/>
    <s v="NA"/>
    <x v="5"/>
    <e v="#VALUE!"/>
    <x v="0"/>
    <s v="no"/>
  </r>
  <r>
    <s v="Couch"/>
    <s v=" Mr"/>
    <s v=" Joseph Henry"/>
    <x v="0"/>
    <x v="0"/>
    <n v="49"/>
    <x v="0"/>
    <x v="3"/>
    <s v="S"/>
    <x v="0"/>
    <x v="1"/>
    <x v="25"/>
    <x v="1"/>
    <n v="1"/>
    <s v="NA"/>
    <x v="5"/>
    <e v="#VALUE!"/>
    <x v="0"/>
    <s v="no"/>
  </r>
  <r>
    <s v="Couper"/>
    <s v=" Mr"/>
    <s v=" Robert Frederick William"/>
    <x v="0"/>
    <x v="0"/>
    <n v="30"/>
    <x v="2"/>
    <x v="3"/>
    <s v="S"/>
    <x v="0"/>
    <x v="1"/>
    <x v="25"/>
    <x v="1"/>
    <n v="1"/>
    <s v="NA"/>
    <x v="5"/>
    <e v="#VALUE!"/>
    <x v="1"/>
    <s v="yes"/>
  </r>
  <r>
    <s v="Coutin"/>
    <s v=" Mr"/>
    <s v=" Auguste Louis"/>
    <x v="0"/>
    <x v="0"/>
    <n v="28"/>
    <x v="2"/>
    <x v="5"/>
    <s v="S"/>
    <x v="0"/>
    <x v="3"/>
    <x v="25"/>
    <x v="1"/>
    <n v="1"/>
    <s v="NA"/>
    <x v="5"/>
    <e v="#VALUE!"/>
    <x v="0"/>
    <s v="no"/>
  </r>
  <r>
    <s v="Cox"/>
    <s v=" Mr"/>
    <s v=" William Denton"/>
    <x v="0"/>
    <x v="0"/>
    <n v="30"/>
    <x v="2"/>
    <x v="4"/>
    <s v="S"/>
    <x v="0"/>
    <x v="1"/>
    <x v="25"/>
    <x v="1"/>
    <n v="1"/>
    <s v="NA"/>
    <x v="5"/>
    <e v="#VALUE!"/>
    <x v="0"/>
    <s v="no"/>
  </r>
  <r>
    <s v="Coy"/>
    <s v=" Mr"/>
    <s v=" Francis Ernest George"/>
    <x v="0"/>
    <x v="0"/>
    <n v="27"/>
    <x v="2"/>
    <x v="3"/>
    <s v="B"/>
    <x v="2"/>
    <x v="1"/>
    <x v="25"/>
    <x v="1"/>
    <n v="1"/>
    <s v="NA"/>
    <x v="5"/>
    <e v="#VALUE!"/>
    <x v="0"/>
    <s v="no"/>
  </r>
  <r>
    <s v="Crabb"/>
    <s v=" Mr"/>
    <s v=" Henry James"/>
    <x v="0"/>
    <x v="0"/>
    <n v="23"/>
    <x v="2"/>
    <x v="3"/>
    <s v="S"/>
    <x v="0"/>
    <x v="1"/>
    <x v="25"/>
    <x v="1"/>
    <n v="1"/>
    <s v="NA"/>
    <x v="5"/>
    <e v="#VALUE!"/>
    <x v="0"/>
    <s v="no"/>
  </r>
  <r>
    <s v="Crafter"/>
    <s v=" Mr"/>
    <s v=" Frederick Horace"/>
    <x v="0"/>
    <x v="0"/>
    <n v="20"/>
    <x v="2"/>
    <x v="4"/>
    <s v="S"/>
    <x v="0"/>
    <x v="1"/>
    <x v="25"/>
    <x v="1"/>
    <n v="1"/>
    <s v="NA"/>
    <x v="5"/>
    <e v="#VALUE!"/>
    <x v="1"/>
    <s v="yes"/>
  </r>
  <r>
    <s v="Crawford"/>
    <s v=" Mr"/>
    <s v=" Alfred George"/>
    <x v="0"/>
    <x v="0"/>
    <n v="43"/>
    <x v="0"/>
    <x v="4"/>
    <s v="B"/>
    <x v="2"/>
    <x v="1"/>
    <x v="25"/>
    <x v="1"/>
    <n v="1"/>
    <s v="NA"/>
    <x v="5"/>
    <e v="#VALUE!"/>
    <x v="1"/>
    <s v="yes"/>
  </r>
  <r>
    <s v="Creese"/>
    <s v=" Mr"/>
    <s v=" Henry Philip"/>
    <x v="0"/>
    <x v="0"/>
    <n v="45"/>
    <x v="0"/>
    <x v="3"/>
    <s v="B"/>
    <x v="2"/>
    <x v="1"/>
    <x v="25"/>
    <x v="1"/>
    <n v="1"/>
    <s v="NA"/>
    <x v="5"/>
    <e v="#VALUE!"/>
    <x v="0"/>
    <s v="no"/>
  </r>
  <r>
    <s v="Crimmins"/>
    <s v=" Mr"/>
    <s v=" James"/>
    <x v="0"/>
    <x v="0"/>
    <n v="21"/>
    <x v="2"/>
    <x v="3"/>
    <s v="S"/>
    <x v="0"/>
    <x v="1"/>
    <x v="25"/>
    <x v="1"/>
    <n v="1"/>
    <s v="NA"/>
    <x v="5"/>
    <e v="#VALUE!"/>
    <x v="1"/>
    <s v="yes"/>
  </r>
  <r>
    <s v="Crispin"/>
    <s v=" Mr"/>
    <s v=" William"/>
    <x v="0"/>
    <x v="0"/>
    <n v="33"/>
    <x v="2"/>
    <x v="4"/>
    <s v="S"/>
    <x v="0"/>
    <x v="1"/>
    <x v="25"/>
    <x v="1"/>
    <n v="1"/>
    <s v="NA"/>
    <x v="5"/>
    <e v="#VALUE!"/>
    <x v="0"/>
    <s v="no"/>
  </r>
  <r>
    <s v="Crisp"/>
    <s v=" Mr"/>
    <s v=" Albert Hector"/>
    <x v="0"/>
    <x v="0"/>
    <n v="39"/>
    <x v="0"/>
    <x v="4"/>
    <s v="B"/>
    <x v="2"/>
    <x v="1"/>
    <x v="25"/>
    <x v="1"/>
    <n v="1"/>
    <s v="NA"/>
    <x v="5"/>
    <e v="#VALUE!"/>
    <x v="0"/>
    <s v="no"/>
  </r>
  <r>
    <s v="Crosbie"/>
    <s v=" Mr"/>
    <s v=" John Borthwick"/>
    <x v="0"/>
    <x v="0"/>
    <n v="45"/>
    <x v="0"/>
    <x v="4"/>
    <s v="S"/>
    <x v="0"/>
    <x v="1"/>
    <x v="25"/>
    <x v="1"/>
    <n v="1"/>
    <s v="NA"/>
    <x v="5"/>
    <e v="#VALUE!"/>
    <x v="0"/>
    <s v="no"/>
  </r>
  <r>
    <s v="Cross"/>
    <s v=" Mr"/>
    <s v=" William Alfred"/>
    <x v="0"/>
    <x v="0"/>
    <n v="44"/>
    <x v="0"/>
    <x v="3"/>
    <s v="S"/>
    <x v="0"/>
    <x v="1"/>
    <x v="25"/>
    <x v="1"/>
    <n v="1"/>
    <s v="NA"/>
    <x v="5"/>
    <e v="#VALUE!"/>
    <x v="0"/>
    <s v="no"/>
  </r>
  <r>
    <s v="Crovella"/>
    <s v=" Sig"/>
    <s v=" Luigi"/>
    <x v="0"/>
    <x v="0"/>
    <n v="17"/>
    <x v="1"/>
    <x v="5"/>
    <s v="S"/>
    <x v="0"/>
    <x v="1"/>
    <x v="25"/>
    <x v="1"/>
    <n v="1"/>
    <s v="NA"/>
    <x v="5"/>
    <e v="#VALUE!"/>
    <x v="0"/>
    <s v="no"/>
  </r>
  <r>
    <s v="Crowe"/>
    <s v=" Mr"/>
    <s v=" George Frederick"/>
    <x v="0"/>
    <x v="0"/>
    <n v="30"/>
    <x v="2"/>
    <x v="4"/>
    <s v="S"/>
    <x v="0"/>
    <x v="1"/>
    <x v="25"/>
    <x v="1"/>
    <n v="1"/>
    <s v="NA"/>
    <x v="5"/>
    <e v="#VALUE!"/>
    <x v="1"/>
    <s v="yes"/>
  </r>
  <r>
    <s v="Crumplin"/>
    <s v=" Mr"/>
    <s v=" Charles George Chandler"/>
    <x v="0"/>
    <x v="0"/>
    <n v="35"/>
    <x v="2"/>
    <x v="4"/>
    <s v="B"/>
    <x v="2"/>
    <x v="1"/>
    <x v="25"/>
    <x v="1"/>
    <n v="1"/>
    <s v="NA"/>
    <x v="5"/>
    <e v="#VALUE!"/>
    <x v="0"/>
    <s v="no"/>
  </r>
  <r>
    <s v="Cullen"/>
    <s v=" Mr"/>
    <s v=" Charles James"/>
    <x v="0"/>
    <x v="0"/>
    <n v="49"/>
    <x v="0"/>
    <x v="4"/>
    <s v="B"/>
    <x v="2"/>
    <x v="1"/>
    <x v="25"/>
    <x v="1"/>
    <n v="1"/>
    <s v="NA"/>
    <x v="5"/>
    <e v="#VALUE!"/>
    <x v="1"/>
    <s v="yes"/>
  </r>
  <r>
    <s v="Cunningham"/>
    <s v=" Mr"/>
    <s v=" Andrew Orr"/>
    <x v="0"/>
    <x v="0"/>
    <n v="38"/>
    <x v="0"/>
    <x v="4"/>
    <s v="B"/>
    <x v="2"/>
    <x v="22"/>
    <x v="25"/>
    <x v="1"/>
    <n v="1"/>
    <s v="NA"/>
    <x v="5"/>
    <e v="#VALUE!"/>
    <x v="1"/>
    <s v="yes"/>
  </r>
  <r>
    <s v="Cunningham"/>
    <s v=" Mr"/>
    <s v=" Bernard"/>
    <x v="0"/>
    <x v="0"/>
    <n v="35"/>
    <x v="2"/>
    <x v="3"/>
    <s v="S"/>
    <x v="0"/>
    <x v="1"/>
    <x v="25"/>
    <x v="1"/>
    <n v="1"/>
    <s v="NA"/>
    <x v="5"/>
    <e v="#VALUE!"/>
    <x v="0"/>
    <s v="no"/>
  </r>
  <r>
    <s v="Curtis"/>
    <s v=" Mr"/>
    <s v=" Arthur"/>
    <x v="0"/>
    <x v="0"/>
    <n v="26"/>
    <x v="2"/>
    <x v="3"/>
    <s v="S"/>
    <x v="0"/>
    <x v="1"/>
    <x v="25"/>
    <x v="1"/>
    <n v="1"/>
    <s v="NA"/>
    <x v="5"/>
    <e v="#VALUE!"/>
    <x v="0"/>
    <s v="no"/>
  </r>
  <r>
    <s v="Daniels"/>
    <s v=" Mr"/>
    <s v=" Sidney Edward"/>
    <x v="0"/>
    <x v="0"/>
    <n v="18"/>
    <x v="2"/>
    <x v="4"/>
    <s v="S"/>
    <x v="0"/>
    <x v="1"/>
    <x v="25"/>
    <x v="1"/>
    <n v="1"/>
    <s v="NA"/>
    <x v="5"/>
    <e v="#VALUE!"/>
    <x v="1"/>
    <s v="yes"/>
  </r>
  <r>
    <s v="Dashwood"/>
    <s v=" Mr"/>
    <s v=" William George"/>
    <x v="0"/>
    <x v="0"/>
    <n v="18"/>
    <x v="2"/>
    <x v="4"/>
    <s v="S"/>
    <x v="0"/>
    <x v="1"/>
    <x v="25"/>
    <x v="1"/>
    <n v="1"/>
    <s v="NA"/>
    <x v="5"/>
    <e v="#VALUE!"/>
    <x v="0"/>
    <s v="no"/>
  </r>
  <r>
    <s v="Davies"/>
    <s v=" Mr"/>
    <s v=" Gordon Raleigh"/>
    <x v="0"/>
    <x v="0"/>
    <n v="32"/>
    <x v="2"/>
    <x v="4"/>
    <s v="B"/>
    <x v="2"/>
    <x v="1"/>
    <x v="25"/>
    <x v="1"/>
    <n v="1"/>
    <s v="NA"/>
    <x v="5"/>
    <e v="#VALUE!"/>
    <x v="0"/>
    <s v="no"/>
  </r>
  <r>
    <s v="Davies"/>
    <s v=" Mr"/>
    <s v=" Robert J"/>
    <x v="0"/>
    <x v="0"/>
    <n v="26"/>
    <x v="2"/>
    <x v="4"/>
    <s v="B"/>
    <x v="2"/>
    <x v="19"/>
    <x v="25"/>
    <x v="1"/>
    <n v="1"/>
    <s v="NA"/>
    <x v="5"/>
    <e v="#VALUE!"/>
    <x v="0"/>
    <s v="no"/>
  </r>
  <r>
    <s v="Davies"/>
    <s v=" Mr"/>
    <s v=" Thomas"/>
    <x v="0"/>
    <x v="0"/>
    <n v="33"/>
    <x v="2"/>
    <x v="3"/>
    <s v="S"/>
    <x v="0"/>
    <x v="1"/>
    <x v="25"/>
    <x v="1"/>
    <n v="1"/>
    <s v="NA"/>
    <x v="5"/>
    <e v="#VALUE!"/>
    <x v="0"/>
    <s v="no"/>
  </r>
  <r>
    <s v="Davis"/>
    <s v=" Mr"/>
    <s v=" John"/>
    <x v="0"/>
    <x v="0"/>
    <n v="29"/>
    <x v="2"/>
    <x v="4"/>
    <s v="B"/>
    <x v="2"/>
    <x v="1"/>
    <x v="25"/>
    <x v="1"/>
    <n v="1"/>
    <s v="NA"/>
    <x v="5"/>
    <e v="#VALUE!"/>
    <x v="0"/>
    <s v="no"/>
  </r>
  <r>
    <s v="Davis"/>
    <s v=" Mr"/>
    <s v=" Stephen James"/>
    <x v="0"/>
    <x v="0"/>
    <n v="39"/>
    <x v="0"/>
    <x v="6"/>
    <s v="S"/>
    <x v="0"/>
    <x v="1"/>
    <x v="25"/>
    <x v="1"/>
    <n v="1"/>
    <s v="NA"/>
    <x v="5"/>
    <e v="#VALUE!"/>
    <x v="0"/>
    <s v="no"/>
  </r>
  <r>
    <s v="Dawson"/>
    <s v=" Mr"/>
    <s v=" Joseph"/>
    <x v="0"/>
    <x v="0"/>
    <n v="23"/>
    <x v="2"/>
    <x v="3"/>
    <s v="S"/>
    <x v="0"/>
    <x v="1"/>
    <x v="25"/>
    <x v="1"/>
    <n v="1"/>
    <s v="NA"/>
    <x v="5"/>
    <e v="#VALUE!"/>
    <x v="0"/>
    <s v="no"/>
  </r>
  <r>
    <s v="Dean"/>
    <s v=" Mr"/>
    <s v=" George H"/>
    <x v="0"/>
    <x v="0"/>
    <n v="19"/>
    <x v="2"/>
    <x v="4"/>
    <s v="S"/>
    <x v="0"/>
    <x v="1"/>
    <x v="25"/>
    <x v="1"/>
    <n v="1"/>
    <s v="NA"/>
    <x v="5"/>
    <e v="#VALUE!"/>
    <x v="0"/>
    <s v="no"/>
  </r>
  <r>
    <s v="Debreucq"/>
    <s v=" Mr"/>
    <s v=" Maurice Emile Victor"/>
    <x v="0"/>
    <x v="0"/>
    <n v="18"/>
    <x v="2"/>
    <x v="5"/>
    <s v="S"/>
    <x v="0"/>
    <x v="1"/>
    <x v="25"/>
    <x v="1"/>
    <n v="1"/>
    <s v="NA"/>
    <x v="5"/>
    <e v="#VALUE!"/>
    <x v="0"/>
    <s v="no"/>
  </r>
  <r>
    <s v="Deeble"/>
    <s v=" Mr"/>
    <s v=" Alfred Arnold"/>
    <x v="0"/>
    <x v="0"/>
    <n v="35"/>
    <x v="2"/>
    <x v="4"/>
    <s v="B"/>
    <x v="2"/>
    <x v="1"/>
    <x v="25"/>
    <x v="1"/>
    <n v="1"/>
    <s v="NA"/>
    <x v="5"/>
    <e v="#VALUE!"/>
    <x v="0"/>
    <s v="no"/>
  </r>
  <r>
    <s v="De Marsico"/>
    <s v=" Sig"/>
    <s v=" Govanni"/>
    <x v="0"/>
    <x v="0"/>
    <n v="20"/>
    <x v="2"/>
    <x v="5"/>
    <s v="S"/>
    <x v="0"/>
    <x v="1"/>
    <x v="25"/>
    <x v="1"/>
    <n v="1"/>
    <s v="NA"/>
    <x v="5"/>
    <e v="#VALUE!"/>
    <x v="0"/>
    <s v="no"/>
  </r>
  <r>
    <s v="Derrett"/>
    <s v=" Mr"/>
    <s v=" Arthur Henry"/>
    <x v="0"/>
    <x v="0"/>
    <n v="29"/>
    <x v="2"/>
    <x v="4"/>
    <s v="B"/>
    <x v="2"/>
    <x v="1"/>
    <x v="25"/>
    <x v="1"/>
    <n v="1"/>
    <s v="NA"/>
    <x v="5"/>
    <e v="#VALUE!"/>
    <x v="0"/>
    <s v="no"/>
  </r>
  <r>
    <s v="Deslandes"/>
    <s v=" Mr"/>
    <s v=" Percival Stainer"/>
    <x v="0"/>
    <x v="0"/>
    <n v="38"/>
    <x v="0"/>
    <x v="4"/>
    <s v="S"/>
    <x v="0"/>
    <x v="1"/>
    <x v="25"/>
    <x v="1"/>
    <n v="1"/>
    <s v="NA"/>
    <x v="5"/>
    <e v="#VALUE!"/>
    <x v="0"/>
    <s v="no"/>
  </r>
  <r>
    <s v="Desvernine"/>
    <s v=" Mr"/>
    <s v=" Louis Gabriel"/>
    <x v="0"/>
    <x v="0"/>
    <n v="20"/>
    <x v="2"/>
    <x v="5"/>
    <s v="S"/>
    <x v="0"/>
    <x v="1"/>
    <x v="25"/>
    <x v="1"/>
    <n v="1"/>
    <s v="NA"/>
    <x v="5"/>
    <e v="#VALUE!"/>
    <x v="0"/>
    <s v="no"/>
  </r>
  <r>
    <s v="Diaper"/>
    <s v=" Mr"/>
    <s v=" John Joseph"/>
    <x v="0"/>
    <x v="0"/>
    <n v="27"/>
    <x v="2"/>
    <x v="3"/>
    <s v="S"/>
    <x v="0"/>
    <x v="1"/>
    <x v="25"/>
    <x v="1"/>
    <n v="1"/>
    <s v="NA"/>
    <x v="5"/>
    <e v="#VALUE!"/>
    <x v="1"/>
    <s v="yes"/>
  </r>
  <r>
    <s v="Dickson"/>
    <s v=" Mr"/>
    <s v=" William"/>
    <x v="0"/>
    <x v="0"/>
    <n v="37"/>
    <x v="0"/>
    <x v="3"/>
    <s v="S"/>
    <x v="0"/>
    <x v="1"/>
    <x v="25"/>
    <x v="1"/>
    <n v="1"/>
    <s v="NA"/>
    <x v="5"/>
    <e v="#VALUE!"/>
    <x v="0"/>
    <s v="no"/>
  </r>
  <r>
    <s v="Dilley"/>
    <s v=" Mr"/>
    <s v=" John"/>
    <x v="0"/>
    <x v="0"/>
    <n v="30"/>
    <x v="2"/>
    <x v="3"/>
    <s v="S"/>
    <x v="0"/>
    <x v="1"/>
    <x v="25"/>
    <x v="1"/>
    <n v="1"/>
    <s v="NA"/>
    <x v="5"/>
    <e v="#VALUE!"/>
    <x v="1"/>
    <s v="yes"/>
  </r>
  <r>
    <s v="Dillon"/>
    <s v=" Mr"/>
    <s v=" Thomas Patrick"/>
    <x v="0"/>
    <x v="0"/>
    <n v="34"/>
    <x v="2"/>
    <x v="3"/>
    <s v="S"/>
    <x v="0"/>
    <x v="1"/>
    <x v="25"/>
    <x v="1"/>
    <n v="1"/>
    <s v="NA"/>
    <x v="5"/>
    <e v="#VALUE!"/>
    <x v="1"/>
    <s v="yes"/>
  </r>
  <r>
    <s v="Dinenage"/>
    <s v=" Mr"/>
    <s v=" James Richard"/>
    <x v="0"/>
    <x v="0"/>
    <n v="49"/>
    <x v="0"/>
    <x v="4"/>
    <s v="S"/>
    <x v="0"/>
    <x v="1"/>
    <x v="25"/>
    <x v="1"/>
    <n v="1"/>
    <s v="NA"/>
    <x v="5"/>
    <e v="#VALUE!"/>
    <x v="0"/>
    <s v="no"/>
  </r>
  <r>
    <s v="Dodd"/>
    <s v=" Mr"/>
    <s v=" Edward Charles"/>
    <x v="0"/>
    <x v="0"/>
    <n v="39"/>
    <x v="0"/>
    <x v="3"/>
    <s v="B"/>
    <x v="2"/>
    <x v="1"/>
    <x v="25"/>
    <x v="1"/>
    <n v="1"/>
    <s v="NA"/>
    <x v="5"/>
    <e v="#VALUE!"/>
    <x v="0"/>
    <s v="no"/>
  </r>
  <r>
    <s v="Dodd"/>
    <s v=" Mr"/>
    <s v=" George Charles"/>
    <x v="0"/>
    <x v="0"/>
    <n v="44"/>
    <x v="0"/>
    <x v="4"/>
    <s v="B"/>
    <x v="2"/>
    <x v="1"/>
    <x v="25"/>
    <x v="1"/>
    <n v="1"/>
    <s v="NA"/>
    <x v="5"/>
    <e v="#VALUE!"/>
    <x v="0"/>
    <s v="no"/>
  </r>
  <r>
    <s v="Dodds"/>
    <s v=" Mr"/>
    <s v=" Henry Watson"/>
    <x v="0"/>
    <x v="0"/>
    <n v="27"/>
    <x v="2"/>
    <x v="3"/>
    <s v="S"/>
    <x v="0"/>
    <x v="47"/>
    <x v="25"/>
    <x v="1"/>
    <n v="1"/>
    <s v="NA"/>
    <x v="5"/>
    <e v="#VALUE!"/>
    <x v="0"/>
    <s v="no"/>
  </r>
  <r>
    <s v="Doel"/>
    <s v=" Mr"/>
    <s v=" Frederick"/>
    <x v="0"/>
    <x v="0"/>
    <n v="22"/>
    <x v="2"/>
    <x v="3"/>
    <s v="S"/>
    <x v="0"/>
    <x v="1"/>
    <x v="25"/>
    <x v="1"/>
    <n v="1"/>
    <s v="NA"/>
    <x v="5"/>
    <e v="#VALUE!"/>
    <x v="1"/>
    <s v="yes"/>
  </r>
  <r>
    <s v="Dolby"/>
    <s v=" Mr"/>
    <s v=" Joseph"/>
    <x v="0"/>
    <x v="0"/>
    <n v="39"/>
    <x v="0"/>
    <x v="4"/>
    <s v="B"/>
    <x v="2"/>
    <x v="1"/>
    <x v="25"/>
    <x v="1"/>
    <n v="1"/>
    <s v="NA"/>
    <x v="5"/>
    <e v="#VALUE!"/>
    <x v="0"/>
    <s v="no"/>
  </r>
  <r>
    <s v="Donati"/>
    <s v=" Sig"/>
    <s v=" Italo Francesco"/>
    <x v="0"/>
    <x v="0"/>
    <n v="17"/>
    <x v="1"/>
    <x v="5"/>
    <s v="S"/>
    <x v="0"/>
    <x v="17"/>
    <x v="25"/>
    <x v="1"/>
    <n v="1"/>
    <s v="NA"/>
    <x v="5"/>
    <e v="#VALUE!"/>
    <x v="0"/>
    <s v="no"/>
  </r>
  <r>
    <s v="Donoghue"/>
    <s v=" Mr"/>
    <s v=" Frank (?Thomas)"/>
    <x v="0"/>
    <x v="0"/>
    <n v="35"/>
    <x v="2"/>
    <x v="4"/>
    <s v="B"/>
    <x v="2"/>
    <x v="1"/>
    <x v="25"/>
    <x v="1"/>
    <n v="1"/>
    <s v="NA"/>
    <x v="5"/>
    <e v="#VALUE!"/>
    <x v="0"/>
    <s v="no"/>
  </r>
  <r>
    <s v="Dore"/>
    <s v=" Mr"/>
    <s v=" Albert James"/>
    <x v="0"/>
    <x v="0"/>
    <n v="23"/>
    <x v="2"/>
    <x v="3"/>
    <s v="S"/>
    <x v="0"/>
    <x v="1"/>
    <x v="25"/>
    <x v="1"/>
    <n v="1"/>
    <s v="NA"/>
    <x v="5"/>
    <e v="#VALUE!"/>
    <x v="1"/>
    <s v="yes"/>
  </r>
  <r>
    <s v="Dornier"/>
    <s v=" Mr"/>
    <s v=" Louis Auguste"/>
    <x v="0"/>
    <x v="0"/>
    <n v="20"/>
    <x v="2"/>
    <x v="5"/>
    <s v="S"/>
    <x v="0"/>
    <x v="1"/>
    <x v="25"/>
    <x v="1"/>
    <n v="1"/>
    <s v="NA"/>
    <x v="5"/>
    <e v="#VALUE!"/>
    <x v="0"/>
    <s v="no"/>
  </r>
  <r>
    <s v="Doughty"/>
    <s v=" Mr"/>
    <s v=" Walter Thomas"/>
    <x v="0"/>
    <x v="0"/>
    <n v="22"/>
    <x v="2"/>
    <x v="4"/>
    <s v="S"/>
    <x v="0"/>
    <x v="1"/>
    <x v="25"/>
    <x v="1"/>
    <n v="1"/>
    <s v="NA"/>
    <x v="5"/>
    <e v="#VALUE!"/>
    <x v="0"/>
    <s v="no"/>
  </r>
  <r>
    <s v="Doyle"/>
    <s v=" Mr"/>
    <s v=" Laurence"/>
    <x v="0"/>
    <x v="0"/>
    <n v="27"/>
    <x v="2"/>
    <x v="3"/>
    <s v="S"/>
    <x v="0"/>
    <x v="1"/>
    <x v="25"/>
    <x v="1"/>
    <n v="1"/>
    <s v="NA"/>
    <x v="5"/>
    <e v="#VALUE!"/>
    <x v="0"/>
    <s v="no"/>
  </r>
  <r>
    <s v="Duffy"/>
    <s v=" Mr"/>
    <s v=" William Luke"/>
    <x v="0"/>
    <x v="0"/>
    <n v="36"/>
    <x v="0"/>
    <x v="3"/>
    <s v="B"/>
    <x v="2"/>
    <x v="16"/>
    <x v="25"/>
    <x v="1"/>
    <n v="1"/>
    <s v="NA"/>
    <x v="5"/>
    <e v="#VALUE!"/>
    <x v="0"/>
    <s v="no"/>
  </r>
  <r>
    <s v="Dunford"/>
    <s v=" Mr"/>
    <s v=" William"/>
    <x v="0"/>
    <x v="0"/>
    <n v="48"/>
    <x v="0"/>
    <x v="4"/>
    <s v="S"/>
    <x v="0"/>
    <x v="1"/>
    <x v="25"/>
    <x v="1"/>
    <n v="1"/>
    <s v="NA"/>
    <x v="5"/>
    <e v="#VALUE!"/>
    <x v="0"/>
    <s v="no"/>
  </r>
  <r>
    <s v="Durnil"/>
    <s v=" Mr"/>
    <s v=" James"/>
    <x v="0"/>
    <x v="0"/>
    <n v="38"/>
    <x v="0"/>
    <x v="3"/>
    <s v="S"/>
    <x v="0"/>
    <x v="1"/>
    <x v="25"/>
    <x v="1"/>
    <n v="1"/>
    <s v="NA"/>
    <x v="5"/>
    <e v="#VALUE!"/>
    <x v="0"/>
    <s v="no"/>
  </r>
  <r>
    <s v="Dyer"/>
    <s v=" Mr"/>
    <s v=" Henry Ryland"/>
    <x v="0"/>
    <x v="0"/>
    <n v="24"/>
    <x v="2"/>
    <x v="3"/>
    <s v="B"/>
    <x v="2"/>
    <x v="18"/>
    <x v="25"/>
    <x v="1"/>
    <n v="1"/>
    <s v="NA"/>
    <x v="5"/>
    <e v="#VALUE!"/>
    <x v="0"/>
    <s v="no"/>
  </r>
  <r>
    <s v="Dyer"/>
    <s v=" Mr"/>
    <s v=" William Henry"/>
    <x v="0"/>
    <x v="0"/>
    <n v="33"/>
    <x v="2"/>
    <x v="4"/>
    <s v="S"/>
    <x v="0"/>
    <x v="1"/>
    <x v="25"/>
    <x v="1"/>
    <n v="1"/>
    <s v="NA"/>
    <x v="5"/>
    <e v="#VALUE!"/>
    <x v="0"/>
    <s v="no"/>
  </r>
  <r>
    <s v="Dymond"/>
    <s v=" Mr"/>
    <s v=" Frank"/>
    <x v="0"/>
    <x v="0"/>
    <n v="41"/>
    <x v="0"/>
    <x v="3"/>
    <s v="S"/>
    <x v="0"/>
    <x v="1"/>
    <x v="25"/>
    <x v="1"/>
    <n v="1"/>
    <s v="NA"/>
    <x v="5"/>
    <e v="#VALUE!"/>
    <x v="1"/>
    <s v="yes"/>
  </r>
  <r>
    <s v="Eagle"/>
    <s v=" Mr"/>
    <s v=" Alfred James"/>
    <x v="0"/>
    <x v="0"/>
    <n v="22"/>
    <x v="2"/>
    <x v="3"/>
    <s v="S"/>
    <x v="0"/>
    <x v="1"/>
    <x v="25"/>
    <x v="1"/>
    <n v="1"/>
    <s v="NA"/>
    <x v="5"/>
    <e v="#VALUE!"/>
    <x v="0"/>
    <s v="no"/>
  </r>
  <r>
    <s v="Eastman"/>
    <s v=" Mr"/>
    <s v=" Charles"/>
    <x v="0"/>
    <x v="0"/>
    <n v="44"/>
    <x v="0"/>
    <x v="3"/>
    <s v="S"/>
    <x v="0"/>
    <x v="1"/>
    <x v="25"/>
    <x v="1"/>
    <n v="1"/>
    <s v="NA"/>
    <x v="5"/>
    <e v="#VALUE!"/>
    <x v="0"/>
    <s v="no"/>
  </r>
  <r>
    <s v="Edbrooke"/>
    <s v=" Mr"/>
    <s v=" Francis Samuel Jacob"/>
    <x v="0"/>
    <x v="0"/>
    <n v="23"/>
    <x v="2"/>
    <x v="4"/>
    <s v="S"/>
    <x v="0"/>
    <x v="1"/>
    <x v="25"/>
    <x v="1"/>
    <n v="1"/>
    <s v="NA"/>
    <x v="5"/>
    <e v="#VALUE!"/>
    <x v="0"/>
    <s v="no"/>
  </r>
  <r>
    <s v="Ede"/>
    <s v=" Mr"/>
    <s v=" George Bulkeley"/>
    <x v="0"/>
    <x v="0"/>
    <n v="23"/>
    <x v="2"/>
    <x v="4"/>
    <s v="S"/>
    <x v="0"/>
    <x v="1"/>
    <x v="25"/>
    <x v="1"/>
    <n v="1"/>
    <s v="NA"/>
    <x v="5"/>
    <e v="#VALUE!"/>
    <x v="0"/>
    <s v="no"/>
  </r>
  <r>
    <s v="Edge"/>
    <s v=" Mr"/>
    <s v=" Frederick William"/>
    <x v="0"/>
    <x v="0"/>
    <n v="39"/>
    <x v="0"/>
    <x v="4"/>
    <s v="S"/>
    <x v="0"/>
    <x v="1"/>
    <x v="25"/>
    <x v="1"/>
    <n v="1"/>
    <s v="NA"/>
    <x v="5"/>
    <e v="#VALUE!"/>
    <x v="0"/>
    <s v="no"/>
  </r>
  <r>
    <s v="Edwards"/>
    <s v=" Mr"/>
    <s v=" Charles Essex"/>
    <x v="0"/>
    <x v="0"/>
    <n v="39"/>
    <x v="0"/>
    <x v="4"/>
    <s v="S"/>
    <x v="0"/>
    <x v="19"/>
    <x v="25"/>
    <x v="1"/>
    <n v="1"/>
    <s v="NA"/>
    <x v="5"/>
    <e v="#VALUE!"/>
    <x v="0"/>
    <s v="no"/>
  </r>
  <r>
    <s v="Egg"/>
    <s v=" Mr"/>
    <s v=" William Henry"/>
    <x v="0"/>
    <x v="0"/>
    <n v="48"/>
    <x v="0"/>
    <x v="4"/>
    <s v="S"/>
    <x v="0"/>
    <x v="1"/>
    <x v="25"/>
    <x v="1"/>
    <n v="1"/>
    <s v="NA"/>
    <x v="5"/>
    <e v="#VALUE!"/>
    <x v="0"/>
    <s v="no"/>
  </r>
  <r>
    <s v="Elliott"/>
    <s v=" Mr"/>
    <s v=" Everett Edward"/>
    <x v="0"/>
    <x v="0"/>
    <n v="23"/>
    <x v="2"/>
    <x v="3"/>
    <s v="S"/>
    <x v="0"/>
    <x v="1"/>
    <x v="25"/>
    <x v="1"/>
    <n v="1"/>
    <s v="NA"/>
    <x v="5"/>
    <e v="#VALUE!"/>
    <x v="0"/>
    <s v="no"/>
  </r>
  <r>
    <s v="Ellis"/>
    <s v=" Mr"/>
    <s v=" John Bertie"/>
    <x v="0"/>
    <x v="0"/>
    <n v="29"/>
    <x v="2"/>
    <x v="4"/>
    <s v="S"/>
    <x v="0"/>
    <x v="1"/>
    <x v="25"/>
    <x v="1"/>
    <n v="1"/>
    <s v="NA"/>
    <x v="5"/>
    <e v="#VALUE!"/>
    <x v="1"/>
    <s v="yes"/>
  </r>
  <r>
    <s v="Ennis"/>
    <s v=" Mr"/>
    <s v=" Walter"/>
    <x v="0"/>
    <x v="0"/>
    <n v="34"/>
    <x v="2"/>
    <x v="4"/>
    <s v="S"/>
    <x v="0"/>
    <x v="1"/>
    <x v="25"/>
    <x v="1"/>
    <n v="1"/>
    <s v="NA"/>
    <x v="5"/>
    <e v="#VALUE!"/>
    <x v="0"/>
    <s v="no"/>
  </r>
  <r>
    <s v="Ervine"/>
    <s v=" Mr"/>
    <s v=" Albert George"/>
    <x v="0"/>
    <x v="0"/>
    <n v="18"/>
    <x v="2"/>
    <x v="3"/>
    <s v="B"/>
    <x v="2"/>
    <x v="10"/>
    <x v="25"/>
    <x v="1"/>
    <n v="1"/>
    <s v="NA"/>
    <x v="5"/>
    <e v="#VALUE!"/>
    <x v="0"/>
    <s v="no"/>
  </r>
  <r>
    <s v="Etches"/>
    <s v=" Mr"/>
    <s v=" Henry Samuel"/>
    <x v="0"/>
    <x v="0"/>
    <n v="43"/>
    <x v="0"/>
    <x v="4"/>
    <s v="B"/>
    <x v="2"/>
    <x v="1"/>
    <x v="25"/>
    <x v="1"/>
    <n v="1"/>
    <s v="NA"/>
    <x v="5"/>
    <e v="#VALUE!"/>
    <x v="1"/>
    <s v="yes"/>
  </r>
  <r>
    <s v="Evans"/>
    <s v=" Mr"/>
    <s v=" Alfred Frank"/>
    <x v="0"/>
    <x v="0"/>
    <n v="25"/>
    <x v="2"/>
    <x v="6"/>
    <s v="S"/>
    <x v="0"/>
    <x v="1"/>
    <x v="25"/>
    <x v="1"/>
    <n v="1"/>
    <s v="NA"/>
    <x v="5"/>
    <e v="#VALUE!"/>
    <x v="1"/>
    <s v="yes"/>
  </r>
  <r>
    <s v="Evans"/>
    <s v=" Mr"/>
    <s v=" Frank Oliver"/>
    <x v="0"/>
    <x v="0"/>
    <n v="27"/>
    <x v="2"/>
    <x v="6"/>
    <s v="S"/>
    <x v="0"/>
    <x v="1"/>
    <x v="25"/>
    <x v="1"/>
    <n v="1"/>
    <s v="NA"/>
    <x v="5"/>
    <e v="#VALUE!"/>
    <x v="1"/>
    <s v="yes"/>
  </r>
  <r>
    <s v="Evans"/>
    <s v=" Mr"/>
    <s v=" George Richard"/>
    <x v="0"/>
    <x v="0"/>
    <n v="27"/>
    <x v="2"/>
    <x v="4"/>
    <s v="B"/>
    <x v="2"/>
    <x v="1"/>
    <x v="25"/>
    <x v="1"/>
    <n v="1"/>
    <s v="NA"/>
    <x v="5"/>
    <e v="#VALUE!"/>
    <x v="0"/>
    <s v="no"/>
  </r>
  <r>
    <s v="Evans"/>
    <s v=" Mr"/>
    <s v=" William Thomas"/>
    <x v="0"/>
    <x v="0"/>
    <n v="33"/>
    <x v="2"/>
    <x v="3"/>
    <s v="S"/>
    <x v="0"/>
    <x v="1"/>
    <x v="25"/>
    <x v="1"/>
    <n v="1"/>
    <s v="NA"/>
    <x v="5"/>
    <e v="#VALUE!"/>
    <x v="0"/>
    <s v="no"/>
  </r>
  <r>
    <s v="Fairall"/>
    <s v=" Mr"/>
    <s v=" Henry Charles"/>
    <x v="0"/>
    <x v="0"/>
    <n v="38"/>
    <x v="0"/>
    <x v="4"/>
    <s v="B"/>
    <x v="2"/>
    <x v="1"/>
    <x v="25"/>
    <x v="1"/>
    <n v="1"/>
    <s v="NA"/>
    <x v="5"/>
    <e v="#VALUE!"/>
    <x v="0"/>
    <s v="no"/>
  </r>
  <r>
    <s v="Farenden"/>
    <s v=" Mr"/>
    <s v=" Ernest John"/>
    <x v="0"/>
    <x v="0"/>
    <n v="22"/>
    <x v="2"/>
    <x v="4"/>
    <s v="B"/>
    <x v="2"/>
    <x v="1"/>
    <x v="25"/>
    <x v="1"/>
    <n v="1"/>
    <s v="NA"/>
    <x v="5"/>
    <e v="#VALUE!"/>
    <x v="0"/>
    <s v="no"/>
  </r>
  <r>
    <s v="Farquharson"/>
    <s v=" Mr"/>
    <s v=" William Edward"/>
    <x v="0"/>
    <x v="0"/>
    <n v="39"/>
    <x v="0"/>
    <x v="3"/>
    <s v="B"/>
    <x v="2"/>
    <x v="1"/>
    <x v="25"/>
    <x v="1"/>
    <n v="1"/>
    <s v="NA"/>
    <x v="5"/>
    <e v="#VALUE!"/>
    <x v="0"/>
    <s v="no"/>
  </r>
  <r>
    <s v="Faulkner"/>
    <s v=" Mr"/>
    <s v=" William Stephen"/>
    <x v="0"/>
    <x v="0"/>
    <n v="37"/>
    <x v="0"/>
    <x v="4"/>
    <s v="B"/>
    <x v="2"/>
    <x v="1"/>
    <x v="25"/>
    <x v="1"/>
    <n v="1"/>
    <s v="NA"/>
    <x v="5"/>
    <e v="#VALUE!"/>
    <x v="1"/>
    <s v="yes"/>
  </r>
  <r>
    <s v="Fay"/>
    <s v=" Mr"/>
    <s v=" Thomas Joseph"/>
    <x v="0"/>
    <x v="0"/>
    <n v="30"/>
    <x v="2"/>
    <x v="3"/>
    <s v="S"/>
    <x v="0"/>
    <x v="1"/>
    <x v="25"/>
    <x v="1"/>
    <n v="1"/>
    <s v="NA"/>
    <x v="5"/>
    <e v="#VALUE!"/>
    <x v="0"/>
    <s v="no"/>
  </r>
  <r>
    <s v="Fellowes"/>
    <s v=" Mr"/>
    <s v=" Alfred James"/>
    <x v="0"/>
    <x v="0"/>
    <n v="29"/>
    <x v="2"/>
    <x v="4"/>
    <s v="B"/>
    <x v="2"/>
    <x v="1"/>
    <x v="25"/>
    <x v="1"/>
    <n v="1"/>
    <s v="NA"/>
    <x v="5"/>
    <e v="#VALUE!"/>
    <x v="0"/>
    <s v="no"/>
  </r>
  <r>
    <s v="Feltham"/>
    <s v=" Mr"/>
    <s v=" George William"/>
    <x v="0"/>
    <x v="0"/>
    <n v="42"/>
    <x v="0"/>
    <x v="4"/>
    <s v="S"/>
    <x v="0"/>
    <x v="1"/>
    <x v="25"/>
    <x v="1"/>
    <n v="1"/>
    <s v="NA"/>
    <x v="5"/>
    <e v="#VALUE!"/>
    <x v="0"/>
    <s v="no"/>
  </r>
  <r>
    <s v="Ferrary"/>
    <s v=" Mr"/>
    <s v=" Antonio"/>
    <x v="0"/>
    <x v="0"/>
    <n v="33"/>
    <x v="2"/>
    <x v="3"/>
    <s v="S"/>
    <x v="0"/>
    <x v="1"/>
    <x v="25"/>
    <x v="1"/>
    <n v="1"/>
    <s v="NA"/>
    <x v="5"/>
    <e v="#VALUE!"/>
    <x v="0"/>
    <s v="no"/>
  </r>
  <r>
    <s v="Ferris"/>
    <s v=" Mr"/>
    <s v=" William"/>
    <x v="0"/>
    <x v="0"/>
    <n v="39"/>
    <x v="0"/>
    <x v="3"/>
    <s v="S"/>
    <x v="0"/>
    <x v="1"/>
    <x v="25"/>
    <x v="1"/>
    <n v="1"/>
    <s v="NA"/>
    <x v="5"/>
    <e v="#VALUE!"/>
    <x v="0"/>
    <s v="no"/>
  </r>
  <r>
    <s v="Fey"/>
    <s v=" Sig"/>
    <s v=" Carlo"/>
    <x v="0"/>
    <x v="0"/>
    <n v="30"/>
    <x v="2"/>
    <x v="5"/>
    <s v="S"/>
    <x v="0"/>
    <x v="1"/>
    <x v="25"/>
    <x v="1"/>
    <n v="1"/>
    <s v="NA"/>
    <x v="5"/>
    <e v="#VALUE!"/>
    <x v="0"/>
    <s v="no"/>
  </r>
  <r>
    <s v="Finch"/>
    <s v=" Mr"/>
    <s v=" Henry Herman"/>
    <x v="0"/>
    <x v="0"/>
    <n v="19"/>
    <x v="2"/>
    <x v="4"/>
    <s v="S"/>
    <x v="0"/>
    <x v="1"/>
    <x v="25"/>
    <x v="1"/>
    <n v="1"/>
    <s v="NA"/>
    <x v="5"/>
    <e v="#VALUE!"/>
    <x v="0"/>
    <s v="no"/>
  </r>
  <r>
    <s v="Fioravante"/>
    <s v=" Sig"/>
    <s v=" Giuseppe Bertoldo"/>
    <x v="0"/>
    <x v="0"/>
    <n v="23"/>
    <x v="2"/>
    <x v="5"/>
    <s v="S"/>
    <x v="0"/>
    <x v="1"/>
    <x v="25"/>
    <x v="1"/>
    <n v="1"/>
    <s v="NA"/>
    <x v="5"/>
    <e v="#VALUE!"/>
    <x v="0"/>
    <s v="no"/>
  </r>
  <r>
    <s v="Fitzpatrick"/>
    <s v=" Mr"/>
    <s v=" Cecil William"/>
    <x v="0"/>
    <x v="0"/>
    <n v="21"/>
    <x v="2"/>
    <x v="3"/>
    <s v="S"/>
    <x v="0"/>
    <x v="1"/>
    <x v="25"/>
    <x v="1"/>
    <n v="1"/>
    <s v="NA"/>
    <x v="5"/>
    <e v="#VALUE!"/>
    <x v="1"/>
    <s v="yes"/>
  </r>
  <r>
    <s v="Fitzpatrick"/>
    <s v=" Mr"/>
    <s v=" Hugh Joseph"/>
    <x v="0"/>
    <x v="0"/>
    <n v="29"/>
    <x v="2"/>
    <x v="3"/>
    <s v="B"/>
    <x v="2"/>
    <x v="1"/>
    <x v="25"/>
    <x v="1"/>
    <n v="1"/>
    <s v="NA"/>
    <x v="5"/>
    <e v="#VALUE!"/>
    <x v="0"/>
    <s v="no"/>
  </r>
  <r>
    <s v="Flarty"/>
    <s v=" Mr"/>
    <s v=" Edward"/>
    <x v="0"/>
    <x v="0"/>
    <n v="52"/>
    <x v="0"/>
    <x v="3"/>
    <s v="S"/>
    <x v="0"/>
    <x v="1"/>
    <x v="25"/>
    <x v="1"/>
    <n v="1"/>
    <s v="NA"/>
    <x v="5"/>
    <e v="#VALUE!"/>
    <x v="1"/>
    <s v="yes"/>
  </r>
  <r>
    <s v="Fleet"/>
    <s v=" Mr"/>
    <s v=" Frederick"/>
    <x v="0"/>
    <x v="0"/>
    <n v="24"/>
    <x v="2"/>
    <x v="6"/>
    <s v="B"/>
    <x v="2"/>
    <x v="1"/>
    <x v="25"/>
    <x v="1"/>
    <n v="1"/>
    <s v="NA"/>
    <x v="5"/>
    <e v="#VALUE!"/>
    <x v="1"/>
    <s v="yes"/>
  </r>
  <r>
    <s v="Fletcher"/>
    <s v=" Mr"/>
    <s v=" Percy William"/>
    <x v="0"/>
    <x v="0"/>
    <n v="26"/>
    <x v="2"/>
    <x v="4"/>
    <s v="B"/>
    <x v="2"/>
    <x v="1"/>
    <x v="25"/>
    <x v="1"/>
    <n v="1"/>
    <s v="NA"/>
    <x v="5"/>
    <e v="#VALUE!"/>
    <x v="0"/>
    <s v="no"/>
  </r>
  <r>
    <s v="Foley"/>
    <s v=" Mr"/>
    <s v=" John"/>
    <x v="0"/>
    <x v="0"/>
    <n v="46"/>
    <x v="0"/>
    <x v="6"/>
    <s v="B"/>
    <x v="2"/>
    <x v="16"/>
    <x v="25"/>
    <x v="1"/>
    <n v="1"/>
    <s v="NA"/>
    <x v="5"/>
    <e v="#VALUE!"/>
    <x v="1"/>
    <s v="yes"/>
  </r>
  <r>
    <s v="Foley"/>
    <s v=" Mr"/>
    <s v=" Wilfred Cyril"/>
    <x v="0"/>
    <x v="0"/>
    <n v="22"/>
    <x v="2"/>
    <x v="4"/>
    <s v="S"/>
    <x v="0"/>
    <x v="19"/>
    <x v="25"/>
    <x v="1"/>
    <n v="1"/>
    <s v="NA"/>
    <x v="5"/>
    <e v="#VALUE!"/>
    <x v="1"/>
    <s v="yes"/>
  </r>
  <r>
    <s v="Ford"/>
    <s v=" Mr"/>
    <s v=" Ernest"/>
    <x v="0"/>
    <x v="0"/>
    <n v="33"/>
    <x v="2"/>
    <x v="4"/>
    <s v="S"/>
    <x v="0"/>
    <x v="1"/>
    <x v="25"/>
    <x v="1"/>
    <n v="1"/>
    <s v="NA"/>
    <x v="5"/>
    <e v="#VALUE!"/>
    <x v="0"/>
    <s v="no"/>
  </r>
  <r>
    <s v="Ford"/>
    <s v=" Mr"/>
    <s v=" Francis"/>
    <x v="0"/>
    <x v="0"/>
    <n v="44"/>
    <x v="0"/>
    <x v="4"/>
    <s v="S"/>
    <x v="0"/>
    <x v="1"/>
    <x v="25"/>
    <x v="1"/>
    <n v="1"/>
    <s v="NA"/>
    <x v="5"/>
    <e v="#VALUE!"/>
    <x v="0"/>
    <s v="no"/>
  </r>
  <r>
    <s v="Ford"/>
    <s v=" Mr"/>
    <s v=" H"/>
    <x v="0"/>
    <x v="0"/>
    <n v="22"/>
    <x v="2"/>
    <x v="3"/>
    <s v="S"/>
    <x v="0"/>
    <x v="1"/>
    <x v="25"/>
    <x v="1"/>
    <n v="1"/>
    <s v="NA"/>
    <x v="5"/>
    <e v="#VALUE!"/>
    <x v="0"/>
    <s v="no"/>
  </r>
  <r>
    <s v="Ford"/>
    <s v=" Mr"/>
    <s v=" Thomas"/>
    <x v="0"/>
    <x v="0"/>
    <n v="33"/>
    <x v="2"/>
    <x v="3"/>
    <s v="S"/>
    <x v="0"/>
    <x v="1"/>
    <x v="25"/>
    <x v="1"/>
    <n v="1"/>
    <s v="NA"/>
    <x v="5"/>
    <e v="#VALUE!"/>
    <x v="0"/>
    <s v="no"/>
  </r>
  <r>
    <s v="Forward"/>
    <s v=" Mr"/>
    <s v=" James"/>
    <x v="0"/>
    <x v="0"/>
    <n v="27"/>
    <x v="2"/>
    <x v="6"/>
    <s v="S"/>
    <x v="0"/>
    <x v="1"/>
    <x v="25"/>
    <x v="1"/>
    <n v="1"/>
    <s v="NA"/>
    <x v="5"/>
    <e v="#VALUE!"/>
    <x v="1"/>
    <s v="yes"/>
  </r>
  <r>
    <s v="Foster"/>
    <s v=" Mr"/>
    <s v=" Alfred Charles"/>
    <x v="0"/>
    <x v="0"/>
    <n v="37"/>
    <x v="0"/>
    <x v="3"/>
    <s v="B"/>
    <x v="2"/>
    <x v="1"/>
    <x v="25"/>
    <x v="1"/>
    <n v="1"/>
    <s v="NA"/>
    <x v="5"/>
    <e v="#VALUE!"/>
    <x v="0"/>
    <s v="no"/>
  </r>
  <r>
    <s v="Fox"/>
    <s v=" Mr"/>
    <s v=" William Thomas"/>
    <x v="0"/>
    <x v="0"/>
    <n v="27"/>
    <x v="2"/>
    <x v="4"/>
    <s v="S"/>
    <x v="0"/>
    <x v="1"/>
    <x v="25"/>
    <x v="1"/>
    <n v="1"/>
    <s v="NA"/>
    <x v="5"/>
    <e v="#VALUE!"/>
    <x v="0"/>
    <s v="no"/>
  </r>
  <r>
    <s v="Franklin"/>
    <s v=" Mr"/>
    <s v=" Alan Vincent"/>
    <x v="0"/>
    <x v="0"/>
    <n v="28"/>
    <x v="2"/>
    <x v="4"/>
    <s v="S"/>
    <x v="0"/>
    <x v="1"/>
    <x v="25"/>
    <x v="1"/>
    <n v="1"/>
    <s v="NA"/>
    <x v="5"/>
    <e v="#VALUE!"/>
    <x v="0"/>
    <s v="no"/>
  </r>
  <r>
    <s v="Fraser"/>
    <s v=" Mr"/>
    <s v=" J"/>
    <x v="0"/>
    <x v="0"/>
    <n v="30"/>
    <x v="2"/>
    <x v="3"/>
    <s v="S"/>
    <x v="0"/>
    <x v="1"/>
    <x v="25"/>
    <x v="1"/>
    <n v="1"/>
    <s v="NA"/>
    <x v="5"/>
    <e v="#VALUE!"/>
    <x v="0"/>
    <s v="no"/>
  </r>
  <r>
    <s v="Fraser"/>
    <s v=" Mr"/>
    <s v=" James"/>
    <x v="0"/>
    <x v="0"/>
    <n v="30"/>
    <x v="2"/>
    <x v="3"/>
    <s v="B"/>
    <x v="2"/>
    <x v="22"/>
    <x v="25"/>
    <x v="1"/>
    <n v="1"/>
    <s v="NA"/>
    <x v="5"/>
    <e v="#VALUE!"/>
    <x v="0"/>
    <s v="no"/>
  </r>
  <r>
    <s v="Fredericks"/>
    <s v=" Mr"/>
    <s v=" Walter Francis"/>
    <x v="0"/>
    <x v="0"/>
    <n v="21"/>
    <x v="2"/>
    <x v="3"/>
    <s v="S"/>
    <x v="0"/>
    <x v="1"/>
    <x v="25"/>
    <x v="1"/>
    <n v="1"/>
    <s v="NA"/>
    <x v="5"/>
    <e v="#VALUE!"/>
    <x v="1"/>
    <s v="yes"/>
  </r>
  <r>
    <s v="Freeman"/>
    <s v=" Mr"/>
    <s v=" Ernest Edward Samuel"/>
    <x v="0"/>
    <x v="0"/>
    <n v="45"/>
    <x v="0"/>
    <x v="4"/>
    <s v="B"/>
    <x v="2"/>
    <x v="1"/>
    <x v="25"/>
    <x v="1"/>
    <n v="1"/>
    <s v="NA"/>
    <x v="5"/>
    <e v="#VALUE!"/>
    <x v="0"/>
    <s v="no"/>
  </r>
  <r>
    <s v="Fryer"/>
    <s v=" Mr"/>
    <s v=" Albert Ernest"/>
    <x v="0"/>
    <x v="0"/>
    <n v="29"/>
    <x v="2"/>
    <x v="3"/>
    <s v="S"/>
    <x v="0"/>
    <x v="1"/>
    <x v="25"/>
    <x v="1"/>
    <n v="1"/>
    <s v="NA"/>
    <x v="5"/>
    <e v="#VALUE!"/>
    <x v="1"/>
    <s v="yes"/>
  </r>
  <r>
    <s v="Gatti"/>
    <s v=" Sig"/>
    <s v=" Gaspare Antonio Pietro"/>
    <x v="0"/>
    <x v="0"/>
    <n v="37"/>
    <x v="0"/>
    <x v="5"/>
    <s v="S"/>
    <x v="0"/>
    <x v="1"/>
    <x v="25"/>
    <x v="1"/>
    <n v="1"/>
    <s v="NA"/>
    <x v="5"/>
    <e v="#VALUE!"/>
    <x v="0"/>
    <s v="no"/>
  </r>
  <r>
    <s v="Geddes"/>
    <s v=" Mr"/>
    <s v=" Richard Charles"/>
    <x v="0"/>
    <x v="0"/>
    <n v="32"/>
    <x v="2"/>
    <x v="4"/>
    <s v="S"/>
    <x v="0"/>
    <x v="1"/>
    <x v="25"/>
    <x v="1"/>
    <n v="1"/>
    <s v="NA"/>
    <x v="5"/>
    <e v="#VALUE!"/>
    <x v="0"/>
    <s v="no"/>
  </r>
  <r>
    <s v="Geer"/>
    <s v=" Mr"/>
    <s v=" Alfred Emest"/>
    <x v="0"/>
    <x v="0"/>
    <n v="26"/>
    <x v="2"/>
    <x v="3"/>
    <s v="S"/>
    <x v="0"/>
    <x v="1"/>
    <x v="25"/>
    <x v="1"/>
    <n v="1"/>
    <s v="NA"/>
    <x v="5"/>
    <e v="#VALUE!"/>
    <x v="0"/>
    <s v="no"/>
  </r>
  <r>
    <s v="Gibbons"/>
    <s v=" Mr"/>
    <s v=" Jacob William"/>
    <x v="0"/>
    <x v="0"/>
    <n v="36"/>
    <x v="0"/>
    <x v="4"/>
    <s v="S"/>
    <x v="0"/>
    <x v="1"/>
    <x v="25"/>
    <x v="1"/>
    <n v="1"/>
    <s v="NA"/>
    <x v="5"/>
    <e v="#VALUE!"/>
    <x v="1"/>
    <s v="yes"/>
  </r>
  <r>
    <s v="Gilardino"/>
    <s v=" Sig"/>
    <s v=" Vincenzo Pio"/>
    <x v="0"/>
    <x v="0"/>
    <n v="31"/>
    <x v="2"/>
    <x v="5"/>
    <s v="S"/>
    <x v="0"/>
    <x v="1"/>
    <x v="25"/>
    <x v="1"/>
    <n v="1"/>
    <s v="NA"/>
    <x v="5"/>
    <e v="#VALUE!"/>
    <x v="0"/>
    <s v="no"/>
  </r>
  <r>
    <s v="Giles"/>
    <s v=" Mr"/>
    <s v=" John Robert"/>
    <x v="0"/>
    <x v="0"/>
    <n v="32"/>
    <x v="2"/>
    <x v="4"/>
    <s v="S"/>
    <x v="0"/>
    <x v="1"/>
    <x v="25"/>
    <x v="1"/>
    <n v="1"/>
    <s v="NA"/>
    <x v="5"/>
    <e v="#VALUE!"/>
    <x v="0"/>
    <s v="no"/>
  </r>
  <r>
    <s v="Gill"/>
    <s v=" Mr"/>
    <s v=" Joseph Stanley"/>
    <x v="0"/>
    <x v="0"/>
    <n v="38"/>
    <x v="0"/>
    <x v="4"/>
    <s v="B"/>
    <x v="2"/>
    <x v="1"/>
    <x v="25"/>
    <x v="1"/>
    <n v="1"/>
    <s v="NA"/>
    <x v="5"/>
    <e v="#VALUE!"/>
    <x v="0"/>
    <s v="no"/>
  </r>
  <r>
    <s v="Gill"/>
    <s v=" Mr"/>
    <s v=" Patrick"/>
    <x v="0"/>
    <x v="0"/>
    <n v="38"/>
    <x v="0"/>
    <x v="4"/>
    <s v="S"/>
    <x v="0"/>
    <x v="1"/>
    <x v="25"/>
    <x v="1"/>
    <n v="1"/>
    <s v="NA"/>
    <x v="5"/>
    <e v="#VALUE!"/>
    <x v="0"/>
    <s v="no"/>
  </r>
  <r>
    <s v="Godley"/>
    <s v=" Mr"/>
    <s v=" George Auguste"/>
    <x v="0"/>
    <x v="0"/>
    <n v="61"/>
    <x v="4"/>
    <x v="3"/>
    <s v="S"/>
    <x v="0"/>
    <x v="1"/>
    <x v="25"/>
    <x v="1"/>
    <n v="1"/>
    <s v="NA"/>
    <x v="5"/>
    <e v="#VALUE!"/>
    <x v="1"/>
    <s v="yes"/>
  </r>
  <r>
    <s v="Godwin"/>
    <s v=" Mr"/>
    <s v=" Frederick Charles"/>
    <x v="0"/>
    <x v="0"/>
    <n v="36"/>
    <x v="0"/>
    <x v="3"/>
    <s v="S"/>
    <x v="0"/>
    <x v="1"/>
    <x v="25"/>
    <x v="1"/>
    <n v="1"/>
    <s v="NA"/>
    <x v="5"/>
    <e v="#VALUE!"/>
    <x v="0"/>
    <s v="no"/>
  </r>
  <r>
    <s v="Golder"/>
    <s v=" Mr"/>
    <s v=" M"/>
    <x v="0"/>
    <x v="0"/>
    <n v="32"/>
    <x v="2"/>
    <x v="3"/>
    <s v="S"/>
    <x v="0"/>
    <x v="1"/>
    <x v="25"/>
    <x v="1"/>
    <n v="1"/>
    <s v="NA"/>
    <x v="5"/>
    <e v="#VALUE!"/>
    <x v="0"/>
    <s v="no"/>
  </r>
  <r>
    <s v="Gold"/>
    <s v=" Mrs"/>
    <s v=" Jane Kate Coulson"/>
    <x v="1"/>
    <x v="1"/>
    <n v="45"/>
    <x v="0"/>
    <x v="4"/>
    <s v="S"/>
    <x v="0"/>
    <x v="1"/>
    <x v="25"/>
    <x v="1"/>
    <n v="1"/>
    <s v="NA"/>
    <x v="5"/>
    <e v="#VALUE!"/>
    <x v="1"/>
    <s v="yes"/>
  </r>
  <r>
    <s v="Gollop"/>
    <s v=" Mr"/>
    <s v=" F"/>
    <x v="0"/>
    <x v="0"/>
    <n v="28"/>
    <x v="2"/>
    <x v="4"/>
    <s v="S"/>
    <x v="0"/>
    <x v="1"/>
    <x v="25"/>
    <x v="1"/>
    <n v="1"/>
    <s v="NA"/>
    <x v="5"/>
    <e v="#VALUE!"/>
    <x v="0"/>
    <s v="no"/>
  </r>
  <r>
    <s v="Gordon"/>
    <s v=" Mr"/>
    <s v=" J"/>
    <x v="0"/>
    <x v="0"/>
    <n v="29"/>
    <x v="2"/>
    <x v="3"/>
    <s v="S"/>
    <x v="0"/>
    <x v="1"/>
    <x v="25"/>
    <x v="1"/>
    <n v="1"/>
    <s v="NA"/>
    <x v="5"/>
    <e v="#VALUE!"/>
    <x v="0"/>
    <s v="no"/>
  </r>
  <r>
    <s v="Goree"/>
    <s v=" Mr"/>
    <s v=" Frank"/>
    <x v="0"/>
    <x v="0"/>
    <n v="41"/>
    <x v="0"/>
    <x v="3"/>
    <s v="S"/>
    <x v="0"/>
    <x v="1"/>
    <x v="25"/>
    <x v="1"/>
    <n v="1"/>
    <s v="NA"/>
    <x v="5"/>
    <e v="#VALUE!"/>
    <x v="0"/>
    <s v="no"/>
  </r>
  <r>
    <s v="Goshawk"/>
    <s v=" Mr"/>
    <s v=" Alfred James"/>
    <x v="0"/>
    <x v="0"/>
    <n v="40"/>
    <x v="0"/>
    <x v="4"/>
    <s v="B"/>
    <x v="2"/>
    <x v="1"/>
    <x v="25"/>
    <x v="1"/>
    <n v="1"/>
    <s v="NA"/>
    <x v="5"/>
    <e v="#VALUE!"/>
    <x v="0"/>
    <s v="no"/>
  </r>
  <r>
    <s v="Gosling"/>
    <s v=" Mr"/>
    <s v=" Bertram James"/>
    <x v="0"/>
    <x v="0"/>
    <n v="22"/>
    <x v="2"/>
    <x v="3"/>
    <s v="S"/>
    <x v="0"/>
    <x v="1"/>
    <x v="25"/>
    <x v="1"/>
    <n v="1"/>
    <s v="NA"/>
    <x v="5"/>
    <e v="#VALUE!"/>
    <x v="0"/>
    <s v="no"/>
  </r>
  <r>
    <s v="Gosling"/>
    <s v=" Mr"/>
    <s v=" S"/>
    <x v="0"/>
    <x v="0"/>
    <n v="26"/>
    <x v="2"/>
    <x v="3"/>
    <s v="S"/>
    <x v="0"/>
    <x v="1"/>
    <x v="25"/>
    <x v="1"/>
    <n v="1"/>
    <s v="NA"/>
    <x v="5"/>
    <e v="#VALUE!"/>
    <x v="0"/>
    <s v="no"/>
  </r>
  <r>
    <s v="Gradidge"/>
    <s v=" Mr"/>
    <s v=" Ernest Edward"/>
    <x v="0"/>
    <x v="0"/>
    <n v="22"/>
    <x v="2"/>
    <x v="3"/>
    <s v="S"/>
    <x v="0"/>
    <x v="1"/>
    <x v="25"/>
    <x v="1"/>
    <n v="1"/>
    <s v="NA"/>
    <x v="5"/>
    <e v="#VALUE!"/>
    <x v="0"/>
    <s v="no"/>
  </r>
  <r>
    <s v="Graham"/>
    <s v=" Mr"/>
    <s v=" Thomas Gibson"/>
    <x v="0"/>
    <x v="0"/>
    <n v="28"/>
    <x v="2"/>
    <x v="3"/>
    <s v="B"/>
    <x v="2"/>
    <x v="10"/>
    <x v="25"/>
    <x v="1"/>
    <n v="1"/>
    <s v="NA"/>
    <x v="5"/>
    <e v="#VALUE!"/>
    <x v="1"/>
    <s v="yes"/>
  </r>
  <r>
    <s v="Gregory"/>
    <s v=" Mr"/>
    <s v=" David"/>
    <x v="0"/>
    <x v="0"/>
    <n v="43"/>
    <x v="0"/>
    <x v="3"/>
    <s v="S"/>
    <x v="0"/>
    <x v="1"/>
    <x v="25"/>
    <x v="1"/>
    <n v="1"/>
    <s v="NA"/>
    <x v="5"/>
    <e v="#VALUE!"/>
    <x v="0"/>
    <s v="no"/>
  </r>
  <r>
    <s v="Gregson"/>
    <s v=" Miss"/>
    <s v=" Mary"/>
    <x v="1"/>
    <x v="1"/>
    <n v="45"/>
    <x v="0"/>
    <x v="4"/>
    <s v="S"/>
    <x v="0"/>
    <x v="1"/>
    <x v="25"/>
    <x v="1"/>
    <n v="1"/>
    <s v="NA"/>
    <x v="5"/>
    <e v="#VALUE!"/>
    <x v="1"/>
    <s v="yes"/>
  </r>
  <r>
    <s v="Grosclaude"/>
    <s v=" Mr"/>
    <s v=" GÃ©rald"/>
    <x v="0"/>
    <x v="0"/>
    <n v="24"/>
    <x v="2"/>
    <x v="5"/>
    <s v="S"/>
    <x v="0"/>
    <x v="1"/>
    <x v="25"/>
    <x v="1"/>
    <n v="1"/>
    <s v="NA"/>
    <x v="5"/>
    <e v="#VALUE!"/>
    <x v="0"/>
    <s v="no"/>
  </r>
  <r>
    <s v="Gumery"/>
    <s v=" Mr"/>
    <s v=" George"/>
    <x v="0"/>
    <x v="0"/>
    <n v="24"/>
    <x v="2"/>
    <x v="3"/>
    <s v="S"/>
    <x v="0"/>
    <x v="1"/>
    <x v="25"/>
    <x v="1"/>
    <n v="1"/>
    <s v="NA"/>
    <x v="5"/>
    <e v="#VALUE!"/>
    <x v="0"/>
    <s v="no"/>
  </r>
  <r>
    <s v="Gunn"/>
    <s v=" Mr"/>
    <s v=" Joseph Alfred"/>
    <x v="0"/>
    <x v="0"/>
    <n v="30"/>
    <x v="2"/>
    <x v="4"/>
    <s v="S"/>
    <x v="0"/>
    <x v="1"/>
    <x v="25"/>
    <x v="1"/>
    <n v="1"/>
    <s v="NA"/>
    <x v="5"/>
    <e v="#VALUE!"/>
    <x v="0"/>
    <s v="no"/>
  </r>
  <r>
    <s v="Guy"/>
    <s v=" Mr"/>
    <s v=" Elgar John"/>
    <x v="0"/>
    <x v="0"/>
    <n v="29"/>
    <x v="2"/>
    <x v="4"/>
    <s v="S"/>
    <x v="0"/>
    <x v="1"/>
    <x v="25"/>
    <x v="1"/>
    <n v="1"/>
    <s v="NA"/>
    <x v="5"/>
    <e v="#VALUE!"/>
    <x v="1"/>
    <s v="yes"/>
  </r>
  <r>
    <s v="Gwinn"/>
    <s v=" Mr"/>
    <s v=" William Logan"/>
    <x v="0"/>
    <x v="0"/>
    <n v="37"/>
    <x v="0"/>
    <x v="4"/>
    <s v="S"/>
    <x v="0"/>
    <x v="0"/>
    <x v="25"/>
    <x v="1"/>
    <n v="1"/>
    <s v="NA"/>
    <x v="5"/>
    <e v="#VALUE!"/>
    <x v="0"/>
    <s v="no"/>
  </r>
  <r>
    <s v="Haggan"/>
    <s v=" Mr"/>
    <s v=" John"/>
    <x v="0"/>
    <x v="0"/>
    <n v="35"/>
    <x v="2"/>
    <x v="3"/>
    <s v="B"/>
    <x v="2"/>
    <x v="10"/>
    <x v="25"/>
    <x v="1"/>
    <n v="1"/>
    <s v="NA"/>
    <x v="5"/>
    <e v="#VALUE!"/>
    <x v="1"/>
    <s v="yes"/>
  </r>
  <r>
    <s v="Haines"/>
    <s v=" Mr"/>
    <s v=" Albert"/>
    <x v="0"/>
    <x v="0"/>
    <n v="31"/>
    <x v="2"/>
    <x v="6"/>
    <s v="B"/>
    <x v="2"/>
    <x v="1"/>
    <x v="25"/>
    <x v="1"/>
    <n v="1"/>
    <s v="NA"/>
    <x v="5"/>
    <e v="#VALUE!"/>
    <x v="1"/>
    <s v="yes"/>
  </r>
  <r>
    <s v="Halford"/>
    <s v=" Mr"/>
    <s v=" Walter Stamford"/>
    <x v="0"/>
    <x v="0"/>
    <n v="22"/>
    <x v="2"/>
    <x v="4"/>
    <s v="S"/>
    <x v="0"/>
    <x v="1"/>
    <x v="25"/>
    <x v="1"/>
    <n v="1"/>
    <s v="NA"/>
    <x v="5"/>
    <e v="#VALUE!"/>
    <x v="1"/>
    <s v="yes"/>
  </r>
  <r>
    <s v="Hallett"/>
    <s v=" Mr"/>
    <s v=" George Alexander"/>
    <x v="0"/>
    <x v="0"/>
    <n v="23"/>
    <x v="2"/>
    <x v="3"/>
    <s v="S"/>
    <x v="0"/>
    <x v="1"/>
    <x v="25"/>
    <x v="1"/>
    <n v="1"/>
    <s v="NA"/>
    <x v="5"/>
    <e v="#VALUE!"/>
    <x v="0"/>
    <s v="no"/>
  </r>
  <r>
    <s v="Hall"/>
    <s v=" Mr"/>
    <s v=" Frank Alfred James"/>
    <x v="0"/>
    <x v="0"/>
    <n v="41"/>
    <x v="0"/>
    <x v="4"/>
    <s v="S"/>
    <x v="0"/>
    <x v="1"/>
    <x v="25"/>
    <x v="1"/>
    <n v="1"/>
    <s v="NA"/>
    <x v="5"/>
    <e v="#VALUE!"/>
    <x v="0"/>
    <s v="no"/>
  </r>
  <r>
    <s v="Hall"/>
    <s v=" Mr"/>
    <s v=" J"/>
    <x v="0"/>
    <x v="0"/>
    <n v="32"/>
    <x v="2"/>
    <x v="3"/>
    <s v="S"/>
    <x v="0"/>
    <x v="1"/>
    <x v="25"/>
    <x v="1"/>
    <n v="1"/>
    <s v="NA"/>
    <x v="5"/>
    <e v="#VALUE!"/>
    <x v="0"/>
    <s v="no"/>
  </r>
  <r>
    <s v="Hamblyn"/>
    <s v=" Mr"/>
    <s v=" Ernest William"/>
    <x v="0"/>
    <x v="0"/>
    <n v="47"/>
    <x v="0"/>
    <x v="4"/>
    <s v="S"/>
    <x v="0"/>
    <x v="1"/>
    <x v="25"/>
    <x v="1"/>
    <n v="1"/>
    <s v="NA"/>
    <x v="5"/>
    <e v="#VALUE!"/>
    <x v="0"/>
    <s v="no"/>
  </r>
  <r>
    <s v="Hamilton"/>
    <s v=" Mr"/>
    <s v=" Ernest"/>
    <x v="0"/>
    <x v="0"/>
    <n v="25"/>
    <x v="2"/>
    <x v="4"/>
    <s v="B"/>
    <x v="2"/>
    <x v="1"/>
    <x v="25"/>
    <x v="1"/>
    <n v="1"/>
    <s v="NA"/>
    <x v="5"/>
    <e v="#VALUE!"/>
    <x v="0"/>
    <s v="no"/>
  </r>
  <r>
    <s v="Hands"/>
    <s v=" Mr"/>
    <s v=" Bernard"/>
    <x v="0"/>
    <x v="0"/>
    <n v="54"/>
    <x v="0"/>
    <x v="3"/>
    <s v="S"/>
    <x v="0"/>
    <x v="16"/>
    <x v="25"/>
    <x v="1"/>
    <n v="1"/>
    <s v="NA"/>
    <x v="5"/>
    <e v="#VALUE!"/>
    <x v="0"/>
    <s v="no"/>
  </r>
  <r>
    <s v="Hannam"/>
    <s v=" Mr"/>
    <s v=" George"/>
    <x v="0"/>
    <x v="0"/>
    <n v="30"/>
    <x v="2"/>
    <x v="3"/>
    <s v="S"/>
    <x v="0"/>
    <x v="1"/>
    <x v="25"/>
    <x v="1"/>
    <n v="1"/>
    <s v="NA"/>
    <x v="5"/>
    <e v="#VALUE!"/>
    <x v="0"/>
    <s v="no"/>
  </r>
  <r>
    <s v="Harder"/>
    <s v=" Mr"/>
    <s v=" William"/>
    <x v="0"/>
    <x v="0"/>
    <n v="39"/>
    <x v="0"/>
    <x v="6"/>
    <s v="S"/>
    <x v="0"/>
    <x v="1"/>
    <x v="25"/>
    <x v="1"/>
    <n v="1"/>
    <s v="NA"/>
    <x v="5"/>
    <e v="#VALUE!"/>
    <x v="1"/>
    <s v="yes"/>
  </r>
  <r>
    <s v="Harding"/>
    <s v=" Mr"/>
    <s v=" Alfred John"/>
    <x v="0"/>
    <x v="0"/>
    <n v="21"/>
    <x v="2"/>
    <x v="4"/>
    <s v="S"/>
    <x v="0"/>
    <x v="1"/>
    <x v="25"/>
    <x v="1"/>
    <n v="1"/>
    <s v="NA"/>
    <x v="5"/>
    <e v="#VALUE!"/>
    <x v="0"/>
    <s v="no"/>
  </r>
  <r>
    <s v="Hardwick"/>
    <s v=" Mr"/>
    <s v=" Reginald"/>
    <x v="0"/>
    <x v="0"/>
    <n v="21"/>
    <x v="2"/>
    <x v="4"/>
    <s v="S"/>
    <x v="0"/>
    <x v="1"/>
    <x v="25"/>
    <x v="1"/>
    <n v="1"/>
    <s v="NA"/>
    <x v="5"/>
    <e v="#VALUE!"/>
    <x v="1"/>
    <s v="yes"/>
  </r>
  <r>
    <s v="Hardy"/>
    <s v=" Mr"/>
    <s v=" John"/>
    <x v="0"/>
    <x v="0"/>
    <n v="40"/>
    <x v="0"/>
    <x v="4"/>
    <s v="B"/>
    <x v="2"/>
    <x v="1"/>
    <x v="25"/>
    <x v="1"/>
    <n v="1"/>
    <s v="NA"/>
    <x v="5"/>
    <e v="#VALUE!"/>
    <x v="1"/>
    <s v="yes"/>
  </r>
  <r>
    <s v="Harris"/>
    <s v=" Mr"/>
    <s v=" Amos"/>
    <x v="0"/>
    <x v="0"/>
    <n v="24"/>
    <x v="2"/>
    <x v="3"/>
    <s v="S"/>
    <x v="0"/>
    <x v="1"/>
    <x v="25"/>
    <x v="1"/>
    <n v="1"/>
    <s v="NA"/>
    <x v="5"/>
    <e v="#VALUE!"/>
    <x v="0"/>
    <s v="no"/>
  </r>
  <r>
    <s v="Harris"/>
    <s v=" Mr"/>
    <s v=" Charles William"/>
    <x v="0"/>
    <x v="0"/>
    <n v="19"/>
    <x v="2"/>
    <x v="4"/>
    <s v="S"/>
    <x v="0"/>
    <x v="1"/>
    <x v="25"/>
    <x v="1"/>
    <n v="1"/>
    <s v="NA"/>
    <x v="5"/>
    <e v="#VALUE!"/>
    <x v="0"/>
    <s v="no"/>
  </r>
  <r>
    <s v="Harris"/>
    <s v=" Mr"/>
    <s v=" Clifford Henry"/>
    <x v="0"/>
    <x v="0"/>
    <n v="17"/>
    <x v="1"/>
    <x v="4"/>
    <s v="S"/>
    <x v="0"/>
    <x v="1"/>
    <x v="25"/>
    <x v="1"/>
    <n v="1"/>
    <s v="NA"/>
    <x v="5"/>
    <e v="#VALUE!"/>
    <x v="0"/>
    <s v="no"/>
  </r>
  <r>
    <s v="Harris"/>
    <s v=" Mr"/>
    <s v=" Edward John"/>
    <x v="0"/>
    <x v="0"/>
    <n v="29"/>
    <x v="2"/>
    <x v="3"/>
    <s v="S"/>
    <x v="0"/>
    <x v="1"/>
    <x v="25"/>
    <x v="1"/>
    <n v="1"/>
    <s v="NA"/>
    <x v="5"/>
    <e v="#VALUE!"/>
    <x v="0"/>
    <s v="no"/>
  </r>
  <r>
    <s v="Harris"/>
    <s v=" Mr"/>
    <s v=" Edward Matthew"/>
    <x v="0"/>
    <x v="0"/>
    <n v="17"/>
    <x v="1"/>
    <x v="4"/>
    <s v="S"/>
    <x v="0"/>
    <x v="1"/>
    <x v="25"/>
    <x v="1"/>
    <n v="1"/>
    <s v="NA"/>
    <x v="5"/>
    <e v="#VALUE!"/>
    <x v="0"/>
    <s v="no"/>
  </r>
  <r>
    <s v="Harris"/>
    <s v=" Mr"/>
    <s v=" Frederick"/>
    <x v="0"/>
    <x v="0"/>
    <n v="39"/>
    <x v="0"/>
    <x v="3"/>
    <s v="S"/>
    <x v="0"/>
    <x v="1"/>
    <x v="25"/>
    <x v="1"/>
    <n v="1"/>
    <s v="NA"/>
    <x v="5"/>
    <e v="#VALUE!"/>
    <x v="1"/>
    <s v="yes"/>
  </r>
  <r>
    <s v="Harrison"/>
    <s v=" Mr"/>
    <s v=" AragÃµa Drummond"/>
    <x v="0"/>
    <x v="0"/>
    <n v="40"/>
    <x v="0"/>
    <x v="4"/>
    <s v="S"/>
    <x v="0"/>
    <x v="1"/>
    <x v="25"/>
    <x v="1"/>
    <n v="1"/>
    <s v="NA"/>
    <x v="5"/>
    <e v="#VALUE!"/>
    <x v="1"/>
    <s v="yes"/>
  </r>
  <r>
    <s v="Harrison"/>
    <s v=" Mr"/>
    <s v=" Norman E"/>
    <x v="0"/>
    <x v="0"/>
    <n v="38"/>
    <x v="0"/>
    <x v="3"/>
    <s v="B"/>
    <x v="2"/>
    <x v="1"/>
    <x v="25"/>
    <x v="1"/>
    <n v="1"/>
    <s v="NA"/>
    <x v="5"/>
    <e v="#VALUE!"/>
    <x v="0"/>
    <s v="no"/>
  </r>
  <r>
    <s v="Hart"/>
    <s v=" Mr"/>
    <s v=" James"/>
    <x v="0"/>
    <x v="0"/>
    <n v="54"/>
    <x v="0"/>
    <x v="3"/>
    <s v="S"/>
    <x v="0"/>
    <x v="1"/>
    <x v="25"/>
    <x v="1"/>
    <n v="1"/>
    <s v="NA"/>
    <x v="5"/>
    <e v="#VALUE!"/>
    <x v="0"/>
    <s v="no"/>
  </r>
  <r>
    <s v="Hart"/>
    <s v=" Mr"/>
    <s v=" John Edward"/>
    <x v="0"/>
    <x v="0"/>
    <n v="32"/>
    <x v="2"/>
    <x v="4"/>
    <s v="S"/>
    <x v="0"/>
    <x v="1"/>
    <x v="25"/>
    <x v="1"/>
    <n v="1"/>
    <s v="NA"/>
    <x v="5"/>
    <e v="#VALUE!"/>
    <x v="1"/>
    <s v="yes"/>
  </r>
  <r>
    <s v="Hartnell"/>
    <s v=" Mr"/>
    <s v=" Fred"/>
    <x v="0"/>
    <x v="0"/>
    <n v="21"/>
    <x v="2"/>
    <x v="4"/>
    <s v="S"/>
    <x v="0"/>
    <x v="1"/>
    <x v="25"/>
    <x v="1"/>
    <n v="1"/>
    <s v="NA"/>
    <x v="5"/>
    <e v="#VALUE!"/>
    <x v="1"/>
    <s v="yes"/>
  </r>
  <r>
    <s v="Harvey"/>
    <s v=" Mr"/>
    <s v=" Herbert Gifford"/>
    <x v="0"/>
    <x v="0"/>
    <n v="34"/>
    <x v="2"/>
    <x v="3"/>
    <s v="B"/>
    <x v="2"/>
    <x v="10"/>
    <x v="25"/>
    <x v="1"/>
    <n v="1"/>
    <s v="NA"/>
    <x v="5"/>
    <e v="#VALUE!"/>
    <x v="0"/>
    <s v="no"/>
  </r>
  <r>
    <s v="Hatch"/>
    <s v=" Mr"/>
    <s v=" Hugh"/>
    <x v="0"/>
    <x v="0"/>
    <n v="23"/>
    <x v="2"/>
    <x v="4"/>
    <s v="S"/>
    <x v="0"/>
    <x v="1"/>
    <x v="25"/>
    <x v="1"/>
    <n v="1"/>
    <s v="NA"/>
    <x v="5"/>
    <e v="#VALUE!"/>
    <x v="0"/>
    <s v="no"/>
  </r>
  <r>
    <s v="Hawkesworth"/>
    <s v=" Mr"/>
    <s v=" James"/>
    <x v="0"/>
    <x v="0"/>
    <n v="52"/>
    <x v="0"/>
    <x v="4"/>
    <s v="S"/>
    <x v="0"/>
    <x v="1"/>
    <x v="25"/>
    <x v="1"/>
    <n v="1"/>
    <s v="NA"/>
    <x v="5"/>
    <e v="#VALUE!"/>
    <x v="0"/>
    <s v="no"/>
  </r>
  <r>
    <s v="Hawkesworth"/>
    <s v=" Mr"/>
    <s v=" William Walter"/>
    <x v="0"/>
    <x v="0"/>
    <n v="43"/>
    <x v="0"/>
    <x v="4"/>
    <s v="S"/>
    <x v="0"/>
    <x v="1"/>
    <x v="25"/>
    <x v="1"/>
    <n v="1"/>
    <s v="NA"/>
    <x v="5"/>
    <e v="#VALUE!"/>
    <x v="0"/>
    <s v="no"/>
  </r>
  <r>
    <s v="Hayter"/>
    <s v=" Mr"/>
    <s v=" Arthur"/>
    <x v="0"/>
    <x v="0"/>
    <n v="45"/>
    <x v="0"/>
    <x v="4"/>
    <s v="B"/>
    <x v="2"/>
    <x v="1"/>
    <x v="25"/>
    <x v="1"/>
    <n v="1"/>
    <s v="NA"/>
    <x v="5"/>
    <e v="#VALUE!"/>
    <x v="0"/>
    <s v="no"/>
  </r>
  <r>
    <s v="Head"/>
    <s v=" Mr"/>
    <s v=" Alfred"/>
    <x v="0"/>
    <x v="0"/>
    <n v="24"/>
    <x v="2"/>
    <x v="3"/>
    <s v="S"/>
    <x v="0"/>
    <x v="1"/>
    <x v="25"/>
    <x v="1"/>
    <n v="1"/>
    <s v="NA"/>
    <x v="5"/>
    <e v="#VALUE!"/>
    <x v="0"/>
    <s v="no"/>
  </r>
  <r>
    <s v="Hebb"/>
    <s v=" Mr"/>
    <s v=" William Albert"/>
    <x v="0"/>
    <x v="0"/>
    <n v="22"/>
    <x v="2"/>
    <x v="3"/>
    <s v="S"/>
    <x v="0"/>
    <x v="1"/>
    <x v="25"/>
    <x v="1"/>
    <n v="1"/>
    <s v="NA"/>
    <x v="5"/>
    <e v="#VALUE!"/>
    <x v="1"/>
    <s v="yes"/>
  </r>
  <r>
    <s v="Heinen"/>
    <s v=" Mr"/>
    <s v=" Joseph Dominichus"/>
    <x v="0"/>
    <x v="0"/>
    <n v="30"/>
    <x v="2"/>
    <x v="4"/>
    <s v="S"/>
    <x v="0"/>
    <x v="1"/>
    <x v="25"/>
    <x v="1"/>
    <n v="1"/>
    <s v="NA"/>
    <x v="5"/>
    <e v="#VALUE!"/>
    <x v="0"/>
    <s v="no"/>
  </r>
  <r>
    <s v="Hemming"/>
    <s v=" Mr"/>
    <s v=" Samuel Ernest"/>
    <x v="0"/>
    <x v="0"/>
    <n v="43"/>
    <x v="0"/>
    <x v="6"/>
    <s v="B"/>
    <x v="2"/>
    <x v="1"/>
    <x v="25"/>
    <x v="1"/>
    <n v="1"/>
    <s v="NA"/>
    <x v="5"/>
    <e v="#VALUE!"/>
    <x v="1"/>
    <s v="yes"/>
  </r>
  <r>
    <s v="Hendrickson"/>
    <s v=" Mr"/>
    <s v=" Charles Osker"/>
    <x v="0"/>
    <x v="0"/>
    <n v="28"/>
    <x v="2"/>
    <x v="3"/>
    <s v="S"/>
    <x v="0"/>
    <x v="1"/>
    <x v="25"/>
    <x v="1"/>
    <n v="1"/>
    <s v="NA"/>
    <x v="5"/>
    <e v="#VALUE!"/>
    <x v="1"/>
    <s v="yes"/>
  </r>
  <r>
    <s v="Hendy"/>
    <s v=" Mr"/>
    <s v=" Edward Martin"/>
    <x v="0"/>
    <x v="0"/>
    <n v="40"/>
    <x v="0"/>
    <x v="4"/>
    <s v="B"/>
    <x v="2"/>
    <x v="1"/>
    <x v="25"/>
    <x v="1"/>
    <n v="1"/>
    <s v="NA"/>
    <x v="5"/>
    <e v="#VALUE!"/>
    <x v="0"/>
    <s v="no"/>
  </r>
  <r>
    <s v="Hensford"/>
    <s v=" Mr"/>
    <s v=" Herbert George Ernest"/>
    <x v="0"/>
    <x v="0"/>
    <n v="26"/>
    <x v="2"/>
    <x v="4"/>
    <s v="S"/>
    <x v="0"/>
    <x v="1"/>
    <x v="25"/>
    <x v="1"/>
    <n v="1"/>
    <s v="NA"/>
    <x v="5"/>
    <e v="#VALUE!"/>
    <x v="0"/>
    <s v="no"/>
  </r>
  <r>
    <s v="Hesketh"/>
    <s v=" Mr"/>
    <s v=" John Henry"/>
    <x v="0"/>
    <x v="0"/>
    <n v="33"/>
    <x v="2"/>
    <x v="3"/>
    <s v="B"/>
    <x v="2"/>
    <x v="1"/>
    <x v="25"/>
    <x v="1"/>
    <n v="1"/>
    <s v="NA"/>
    <x v="5"/>
    <e v="#VALUE!"/>
    <x v="0"/>
    <s v="no"/>
  </r>
  <r>
    <s v="Heslin"/>
    <s v=" Mr"/>
    <s v=" James"/>
    <x v="0"/>
    <x v="0"/>
    <n v="45"/>
    <x v="0"/>
    <x v="3"/>
    <s v="S"/>
    <x v="0"/>
    <x v="1"/>
    <x v="25"/>
    <x v="1"/>
    <n v="1"/>
    <s v="NA"/>
    <x v="5"/>
    <e v="#VALUE!"/>
    <x v="0"/>
    <s v="no"/>
  </r>
  <r>
    <s v="Hewitt"/>
    <s v=" Mr"/>
    <s v=" Thomas"/>
    <x v="0"/>
    <x v="0"/>
    <n v="37"/>
    <x v="0"/>
    <x v="4"/>
    <s v="B"/>
    <x v="2"/>
    <x v="1"/>
    <x v="25"/>
    <x v="1"/>
    <n v="1"/>
    <s v="NA"/>
    <x v="5"/>
    <e v="#VALUE!"/>
    <x v="0"/>
    <s v="no"/>
  </r>
  <r>
    <s v="Hichens"/>
    <s v=" Mr"/>
    <s v=" Robert"/>
    <x v="0"/>
    <x v="0"/>
    <n v="29"/>
    <x v="2"/>
    <x v="6"/>
    <s v="S"/>
    <x v="0"/>
    <x v="1"/>
    <x v="25"/>
    <x v="1"/>
    <n v="1"/>
    <s v="NA"/>
    <x v="5"/>
    <e v="#VALUE!"/>
    <x v="1"/>
    <s v="yes"/>
  </r>
  <r>
    <s v="Hill"/>
    <s v=" Mr"/>
    <s v=" H"/>
    <x v="0"/>
    <x v="0"/>
    <n v="36"/>
    <x v="0"/>
    <x v="4"/>
    <s v="S"/>
    <x v="0"/>
    <x v="1"/>
    <x v="25"/>
    <x v="1"/>
    <n v="1"/>
    <s v="NA"/>
    <x v="5"/>
    <e v="#VALUE!"/>
    <x v="0"/>
    <s v="no"/>
  </r>
  <r>
    <s v="Hill"/>
    <s v=" Mr"/>
    <s v=" James"/>
    <x v="0"/>
    <x v="0"/>
    <n v="25"/>
    <x v="2"/>
    <x v="3"/>
    <s v="S"/>
    <x v="0"/>
    <x v="1"/>
    <x v="25"/>
    <x v="1"/>
    <n v="1"/>
    <s v="NA"/>
    <x v="5"/>
    <e v="#VALUE!"/>
    <x v="0"/>
    <s v="no"/>
  </r>
  <r>
    <s v="Hill"/>
    <s v=" Mr"/>
    <s v=" James Colston"/>
    <x v="0"/>
    <x v="0"/>
    <n v="43"/>
    <x v="0"/>
    <x v="4"/>
    <s v="B"/>
    <x v="2"/>
    <x v="1"/>
    <x v="25"/>
    <x v="1"/>
    <n v="1"/>
    <s v="NA"/>
    <x v="5"/>
    <e v="#VALUE!"/>
    <x v="0"/>
    <s v="no"/>
  </r>
  <r>
    <s v="Hinckley"/>
    <s v=" Mr"/>
    <s v=" George Herbert"/>
    <x v="0"/>
    <x v="0"/>
    <n v="40"/>
    <x v="0"/>
    <x v="4"/>
    <s v="S"/>
    <x v="0"/>
    <x v="1"/>
    <x v="25"/>
    <x v="1"/>
    <n v="1"/>
    <s v="NA"/>
    <x v="5"/>
    <e v="#VALUE!"/>
    <x v="0"/>
    <s v="no"/>
  </r>
  <r>
    <s v="Hine"/>
    <s v=" Mr"/>
    <s v=" William Edward"/>
    <x v="0"/>
    <x v="0"/>
    <n v="36"/>
    <x v="0"/>
    <x v="4"/>
    <s v="S"/>
    <x v="0"/>
    <x v="1"/>
    <x v="25"/>
    <x v="1"/>
    <n v="1"/>
    <s v="NA"/>
    <x v="5"/>
    <e v="#VALUE!"/>
    <x v="0"/>
    <s v="no"/>
  </r>
  <r>
    <s v="Hinton"/>
    <s v=" Mr"/>
    <s v=" Stephen William"/>
    <x v="0"/>
    <x v="0"/>
    <n v="31"/>
    <x v="2"/>
    <x v="3"/>
    <s v="S"/>
    <x v="0"/>
    <x v="1"/>
    <x v="25"/>
    <x v="1"/>
    <n v="1"/>
    <s v="NA"/>
    <x v="5"/>
    <e v="#VALUE!"/>
    <x v="0"/>
    <s v="no"/>
  </r>
  <r>
    <s v="Hiscock"/>
    <s v=" Mr"/>
    <s v=" Sydney George"/>
    <x v="0"/>
    <x v="0"/>
    <n v="25"/>
    <x v="2"/>
    <x v="4"/>
    <s v="S"/>
    <x v="0"/>
    <x v="1"/>
    <x v="25"/>
    <x v="1"/>
    <n v="1"/>
    <s v="NA"/>
    <x v="5"/>
    <e v="#VALUE!"/>
    <x v="0"/>
    <s v="no"/>
  </r>
  <r>
    <s v="Hoare"/>
    <s v=" Mr"/>
    <s v=" Leonard James"/>
    <x v="0"/>
    <x v="0"/>
    <n v="19"/>
    <x v="2"/>
    <x v="4"/>
    <s v="B"/>
    <x v="2"/>
    <x v="1"/>
    <x v="25"/>
    <x v="1"/>
    <n v="1"/>
    <s v="NA"/>
    <x v="5"/>
    <e v="#VALUE!"/>
    <x v="0"/>
    <s v="no"/>
  </r>
  <r>
    <s v="Hodge"/>
    <s v=" Mr"/>
    <s v=" Charley"/>
    <x v="0"/>
    <x v="0"/>
    <n v="29"/>
    <x v="2"/>
    <x v="3"/>
    <s v="B"/>
    <x v="2"/>
    <x v="1"/>
    <x v="25"/>
    <x v="1"/>
    <n v="1"/>
    <s v="NA"/>
    <x v="5"/>
    <e v="#VALUE!"/>
    <x v="0"/>
    <s v="no"/>
  </r>
  <r>
    <s v="Hodges"/>
    <s v=" Mr"/>
    <s v=" W"/>
    <x v="0"/>
    <x v="0"/>
    <n v="26"/>
    <x v="2"/>
    <x v="3"/>
    <s v="S"/>
    <x v="0"/>
    <x v="1"/>
    <x v="25"/>
    <x v="1"/>
    <n v="1"/>
    <s v="NA"/>
    <x v="5"/>
    <e v="#VALUE!"/>
    <x v="0"/>
    <s v="no"/>
  </r>
  <r>
    <s v="Hodgkinson"/>
    <s v=" Mr"/>
    <s v=" Leonard"/>
    <x v="0"/>
    <x v="0"/>
    <n v="46"/>
    <x v="0"/>
    <x v="3"/>
    <s v="B"/>
    <x v="2"/>
    <x v="1"/>
    <x v="25"/>
    <x v="1"/>
    <n v="1"/>
    <s v="NA"/>
    <x v="5"/>
    <e v="#VALUE!"/>
    <x v="0"/>
    <s v="no"/>
  </r>
  <r>
    <s v="Hogg"/>
    <s v=" Mr"/>
    <s v=" Charles William"/>
    <x v="0"/>
    <x v="0"/>
    <n v="43"/>
    <x v="0"/>
    <x v="4"/>
    <s v="S"/>
    <x v="0"/>
    <x v="1"/>
    <x v="25"/>
    <x v="1"/>
    <n v="1"/>
    <s v="NA"/>
    <x v="5"/>
    <e v="#VALUE!"/>
    <x v="0"/>
    <s v="no"/>
  </r>
  <r>
    <s v="Hogg"/>
    <s v=" Mr"/>
    <s v=" George Alfred"/>
    <x v="0"/>
    <x v="0"/>
    <n v="29"/>
    <x v="2"/>
    <x v="6"/>
    <s v="B"/>
    <x v="2"/>
    <x v="1"/>
    <x v="25"/>
    <x v="1"/>
    <n v="1"/>
    <s v="NA"/>
    <x v="5"/>
    <e v="#VALUE!"/>
    <x v="1"/>
    <s v="yes"/>
  </r>
  <r>
    <s v="Hogue"/>
    <s v=" Mr"/>
    <s v=" E"/>
    <x v="0"/>
    <x v="0"/>
    <n v="22"/>
    <x v="2"/>
    <x v="4"/>
    <s v="S"/>
    <x v="0"/>
    <x v="1"/>
    <x v="25"/>
    <x v="1"/>
    <n v="1"/>
    <s v="NA"/>
    <x v="5"/>
    <e v="#VALUE!"/>
    <x v="0"/>
    <s v="no"/>
  </r>
  <r>
    <s v="Holland"/>
    <s v=" Mr"/>
    <s v=" Thomas"/>
    <x v="0"/>
    <x v="0"/>
    <n v="28"/>
    <x v="2"/>
    <x v="4"/>
    <s v="B"/>
    <x v="2"/>
    <x v="1"/>
    <x v="25"/>
    <x v="1"/>
    <n v="1"/>
    <s v="NA"/>
    <x v="5"/>
    <e v="#VALUE!"/>
    <x v="0"/>
    <s v="no"/>
  </r>
  <r>
    <s v="Holloway"/>
    <s v=" Mr"/>
    <s v=" Sidney"/>
    <x v="0"/>
    <x v="0"/>
    <n v="24"/>
    <x v="2"/>
    <x v="4"/>
    <s v="S"/>
    <x v="0"/>
    <x v="1"/>
    <x v="25"/>
    <x v="1"/>
    <n v="1"/>
    <s v="NA"/>
    <x v="5"/>
    <e v="#VALUE!"/>
    <x v="0"/>
    <s v="no"/>
  </r>
  <r>
    <s v="Holman"/>
    <s v=" Mr"/>
    <s v=" Harry"/>
    <x v="0"/>
    <x v="0"/>
    <n v="29"/>
    <x v="2"/>
    <x v="6"/>
    <s v="B"/>
    <x v="2"/>
    <x v="1"/>
    <x v="25"/>
    <x v="1"/>
    <n v="1"/>
    <s v="NA"/>
    <x v="5"/>
    <e v="#VALUE!"/>
    <x v="0"/>
    <s v="no"/>
  </r>
  <r>
    <s v="Hopgood"/>
    <s v=" Mr"/>
    <s v=" Roland John C"/>
    <x v="0"/>
    <x v="0"/>
    <n v="29"/>
    <x v="2"/>
    <x v="3"/>
    <s v="S"/>
    <x v="0"/>
    <x v="1"/>
    <x v="25"/>
    <x v="1"/>
    <n v="1"/>
    <s v="NA"/>
    <x v="5"/>
    <e v="#VALUE!"/>
    <x v="0"/>
    <s v="no"/>
  </r>
  <r>
    <s v="Hopkins"/>
    <s v=" Mr"/>
    <s v=" Frederick William"/>
    <x v="0"/>
    <x v="0"/>
    <n v="15"/>
    <x v="1"/>
    <x v="4"/>
    <s v="S"/>
    <x v="0"/>
    <x v="1"/>
    <x v="25"/>
    <x v="1"/>
    <n v="1"/>
    <s v="NA"/>
    <x v="5"/>
    <e v="#VALUE!"/>
    <x v="0"/>
    <s v="no"/>
  </r>
  <r>
    <s v="Hopkins"/>
    <s v=" Mr"/>
    <s v=" Robert John"/>
    <x v="0"/>
    <x v="0"/>
    <n v="40"/>
    <x v="0"/>
    <x v="6"/>
    <s v="S"/>
    <x v="0"/>
    <x v="1"/>
    <x v="25"/>
    <x v="1"/>
    <n v="1"/>
    <s v="NA"/>
    <x v="5"/>
    <e v="#VALUE!"/>
    <x v="1"/>
    <s v="yes"/>
  </r>
  <r>
    <s v="Horswill"/>
    <s v=" Mr"/>
    <s v=" Albert Edward James"/>
    <x v="0"/>
    <x v="0"/>
    <n v="33"/>
    <x v="2"/>
    <x v="6"/>
    <s v="S"/>
    <x v="0"/>
    <x v="1"/>
    <x v="25"/>
    <x v="1"/>
    <n v="1"/>
    <s v="NA"/>
    <x v="5"/>
    <e v="#VALUE!"/>
    <x v="1"/>
    <s v="yes"/>
  </r>
  <r>
    <s v="Hosgood"/>
    <s v=" Mr"/>
    <s v=" Richard William"/>
    <x v="0"/>
    <x v="0"/>
    <n v="23"/>
    <x v="2"/>
    <x v="3"/>
    <s v="S"/>
    <x v="0"/>
    <x v="1"/>
    <x v="25"/>
    <x v="1"/>
    <n v="1"/>
    <s v="NA"/>
    <x v="5"/>
    <e v="#VALUE!"/>
    <x v="0"/>
    <s v="no"/>
  </r>
  <r>
    <s v="Hosking"/>
    <s v=" Mr"/>
    <s v=" George Fox"/>
    <x v="0"/>
    <x v="0"/>
    <n v="36"/>
    <x v="0"/>
    <x v="3"/>
    <s v="B"/>
    <x v="2"/>
    <x v="1"/>
    <x v="25"/>
    <x v="1"/>
    <n v="1"/>
    <s v="NA"/>
    <x v="5"/>
    <e v="#VALUE!"/>
    <x v="0"/>
    <s v="no"/>
  </r>
  <r>
    <s v="House"/>
    <s v=" Mr"/>
    <s v=" William John"/>
    <x v="0"/>
    <x v="0"/>
    <n v="38"/>
    <x v="0"/>
    <x v="4"/>
    <s v="B"/>
    <x v="2"/>
    <x v="1"/>
    <x v="25"/>
    <x v="1"/>
    <n v="1"/>
    <s v="NA"/>
    <x v="5"/>
    <e v="#VALUE!"/>
    <x v="0"/>
    <s v="no"/>
  </r>
  <r>
    <s v="Howell"/>
    <s v=" Mr"/>
    <s v=" Arthur Albert"/>
    <x v="0"/>
    <x v="0"/>
    <n v="31"/>
    <x v="2"/>
    <x v="4"/>
    <s v="B"/>
    <x v="2"/>
    <x v="1"/>
    <x v="25"/>
    <x v="1"/>
    <n v="1"/>
    <s v="NA"/>
    <x v="5"/>
    <e v="#VALUE!"/>
    <x v="0"/>
    <s v="no"/>
  </r>
  <r>
    <s v="Hughes"/>
    <s v=" Mr"/>
    <s v=" William Thomas"/>
    <x v="0"/>
    <x v="0"/>
    <n v="34"/>
    <x v="2"/>
    <x v="4"/>
    <s v="S"/>
    <x v="0"/>
    <x v="1"/>
    <x v="25"/>
    <x v="1"/>
    <n v="1"/>
    <s v="NA"/>
    <x v="5"/>
    <e v="#VALUE!"/>
    <x v="0"/>
    <s v="no"/>
  </r>
  <r>
    <s v="Humby"/>
    <s v=" Mr"/>
    <s v=" Frederick Charles"/>
    <x v="0"/>
    <x v="0"/>
    <n v="18"/>
    <x v="2"/>
    <x v="4"/>
    <s v="S"/>
    <x v="0"/>
    <x v="1"/>
    <x v="25"/>
    <x v="1"/>
    <n v="1"/>
    <s v="NA"/>
    <x v="5"/>
    <e v="#VALUE!"/>
    <x v="0"/>
    <s v="no"/>
  </r>
  <r>
    <s v="Humphreys"/>
    <s v=" Mr"/>
    <s v=" Humphrey"/>
    <x v="0"/>
    <x v="0"/>
    <n v="32"/>
    <x v="2"/>
    <x v="4"/>
    <s v="S"/>
    <x v="0"/>
    <x v="1"/>
    <x v="25"/>
    <x v="1"/>
    <n v="1"/>
    <s v="NA"/>
    <x v="5"/>
    <e v="#VALUE!"/>
    <x v="0"/>
    <s v="no"/>
  </r>
  <r>
    <s v="Humphreys"/>
    <s v=" Mr"/>
    <s v=" Sidney"/>
    <x v="0"/>
    <x v="0"/>
    <n v="53"/>
    <x v="0"/>
    <x v="6"/>
    <s v="S"/>
    <x v="0"/>
    <x v="1"/>
    <x v="25"/>
    <x v="1"/>
    <n v="1"/>
    <s v="NA"/>
    <x v="5"/>
    <e v="#VALUE!"/>
    <x v="1"/>
    <s v="yes"/>
  </r>
  <r>
    <s v="Hunt"/>
    <s v=" Mr"/>
    <s v=" Albert Sylvanus"/>
    <x v="0"/>
    <x v="0"/>
    <n v="23"/>
    <x v="2"/>
    <x v="3"/>
    <s v="S"/>
    <x v="0"/>
    <x v="1"/>
    <x v="25"/>
    <x v="1"/>
    <n v="1"/>
    <s v="NA"/>
    <x v="5"/>
    <e v="#VALUE!"/>
    <x v="1"/>
    <s v="yes"/>
  </r>
  <r>
    <s v="Hunt"/>
    <s v=" Mr"/>
    <s v=" Tom"/>
    <x v="0"/>
    <x v="0"/>
    <n v="27"/>
    <x v="2"/>
    <x v="3"/>
    <s v="S"/>
    <x v="0"/>
    <x v="1"/>
    <x v="25"/>
    <x v="1"/>
    <n v="1"/>
    <s v="NA"/>
    <x v="5"/>
    <e v="#VALUE!"/>
    <x v="0"/>
    <s v="no"/>
  </r>
  <r>
    <s v="Hurst"/>
    <s v=" Mr"/>
    <s v=" Charles John"/>
    <x v="0"/>
    <x v="0"/>
    <n v="41"/>
    <x v="0"/>
    <x v="3"/>
    <s v="S"/>
    <x v="0"/>
    <x v="1"/>
    <x v="25"/>
    <x v="1"/>
    <n v="1"/>
    <s v="NA"/>
    <x v="5"/>
    <e v="#VALUE!"/>
    <x v="0"/>
    <s v="no"/>
  </r>
  <r>
    <s v="Hurst"/>
    <s v=" Mr"/>
    <s v=" Walter"/>
    <x v="0"/>
    <x v="0"/>
    <n v="23"/>
    <x v="2"/>
    <x v="3"/>
    <s v="S"/>
    <x v="0"/>
    <x v="1"/>
    <x v="25"/>
    <x v="1"/>
    <n v="1"/>
    <s v="NA"/>
    <x v="5"/>
    <e v="#VALUE!"/>
    <x v="1"/>
    <s v="yes"/>
  </r>
  <r>
    <s v="Hutchinson"/>
    <s v=" Mr"/>
    <s v=" James"/>
    <x v="0"/>
    <x v="0"/>
    <n v="31"/>
    <x v="2"/>
    <x v="4"/>
    <s v="S"/>
    <x v="0"/>
    <x v="1"/>
    <x v="25"/>
    <x v="1"/>
    <n v="1"/>
    <s v="NA"/>
    <x v="5"/>
    <e v="#VALUE!"/>
    <x v="0"/>
    <s v="no"/>
  </r>
  <r>
    <s v="Hutchinson"/>
    <s v=" Mr"/>
    <s v=" John Hall"/>
    <x v="0"/>
    <x v="0"/>
    <n v="28"/>
    <x v="2"/>
    <x v="6"/>
    <s v="B"/>
    <x v="2"/>
    <x v="1"/>
    <x v="25"/>
    <x v="1"/>
    <n v="1"/>
    <s v="NA"/>
    <x v="5"/>
    <e v="#VALUE!"/>
    <x v="0"/>
    <s v="no"/>
  </r>
  <r>
    <s v="Hyland"/>
    <s v=" Mr"/>
    <s v=" James Leo"/>
    <x v="0"/>
    <x v="0"/>
    <n v="19"/>
    <x v="2"/>
    <x v="4"/>
    <s v="S"/>
    <x v="0"/>
    <x v="1"/>
    <x v="25"/>
    <x v="1"/>
    <n v="1"/>
    <s v="NA"/>
    <x v="5"/>
    <e v="#VALUE!"/>
    <x v="1"/>
    <s v="yes"/>
  </r>
  <r>
    <s v="Ide"/>
    <s v=" Mr"/>
    <s v=" Harry John"/>
    <x v="0"/>
    <x v="0"/>
    <n v="31"/>
    <x v="2"/>
    <x v="4"/>
    <s v="S"/>
    <x v="0"/>
    <x v="1"/>
    <x v="25"/>
    <x v="1"/>
    <n v="1"/>
    <s v="NA"/>
    <x v="5"/>
    <e v="#VALUE!"/>
    <x v="0"/>
    <s v="no"/>
  </r>
  <r>
    <s v="Ingram"/>
    <s v=" Mr"/>
    <s v=" George"/>
    <x v="0"/>
    <x v="0"/>
    <n v="19"/>
    <x v="2"/>
    <x v="3"/>
    <s v="S"/>
    <x v="0"/>
    <x v="1"/>
    <x v="25"/>
    <x v="1"/>
    <n v="1"/>
    <s v="NA"/>
    <x v="5"/>
    <e v="#VALUE!"/>
    <x v="0"/>
    <s v="no"/>
  </r>
  <r>
    <s v="Ingrouille"/>
    <s v=" Mr"/>
    <s v=" Henry"/>
    <x v="0"/>
    <x v="0"/>
    <n v="21"/>
    <x v="2"/>
    <x v="4"/>
    <s v="S"/>
    <x v="0"/>
    <x v="1"/>
    <x v="25"/>
    <x v="1"/>
    <n v="1"/>
    <s v="NA"/>
    <x v="5"/>
    <e v="#VALUE!"/>
    <x v="0"/>
    <s v="no"/>
  </r>
  <r>
    <s v="Ings"/>
    <s v=" Mr"/>
    <s v=" William Ernest"/>
    <x v="0"/>
    <x v="0"/>
    <n v="20"/>
    <x v="2"/>
    <x v="4"/>
    <s v="S"/>
    <x v="0"/>
    <x v="1"/>
    <x v="25"/>
    <x v="1"/>
    <n v="1"/>
    <s v="NA"/>
    <x v="5"/>
    <e v="#VALUE!"/>
    <x v="0"/>
    <s v="no"/>
  </r>
  <r>
    <s v="Instance"/>
    <s v=" Mr"/>
    <s v=" T"/>
    <x v="0"/>
    <x v="0"/>
    <n v="33"/>
    <x v="2"/>
    <x v="3"/>
    <s v="S"/>
    <x v="0"/>
    <x v="1"/>
    <x v="25"/>
    <x v="1"/>
    <n v="1"/>
    <s v="NA"/>
    <x v="5"/>
    <e v="#VALUE!"/>
    <x v="0"/>
    <s v="no"/>
  </r>
  <r>
    <s v="Jackopson"/>
    <s v=" Mr"/>
    <s v=" John Henry"/>
    <x v="0"/>
    <x v="0"/>
    <n v="30"/>
    <x v="2"/>
    <x v="3"/>
    <s v="S"/>
    <x v="0"/>
    <x v="1"/>
    <x v="25"/>
    <x v="1"/>
    <n v="1"/>
    <s v="NA"/>
    <x v="5"/>
    <e v="#VALUE!"/>
    <x v="0"/>
    <s v="no"/>
  </r>
  <r>
    <s v="Jackson"/>
    <s v=" Mr"/>
    <s v=" Cecil"/>
    <x v="0"/>
    <x v="0"/>
    <n v="22"/>
    <x v="2"/>
    <x v="4"/>
    <s v="B"/>
    <x v="2"/>
    <x v="1"/>
    <x v="25"/>
    <x v="1"/>
    <n v="1"/>
    <s v="NA"/>
    <x v="5"/>
    <e v="#VALUE!"/>
    <x v="0"/>
    <s v="no"/>
  </r>
  <r>
    <s v="Jago"/>
    <s v=" Mr"/>
    <s v=" Joseph"/>
    <x v="0"/>
    <x v="0"/>
    <n v="59"/>
    <x v="4"/>
    <x v="3"/>
    <s v="S"/>
    <x v="0"/>
    <x v="1"/>
    <x v="25"/>
    <x v="1"/>
    <n v="1"/>
    <s v="NA"/>
    <x v="5"/>
    <e v="#VALUE!"/>
    <x v="0"/>
    <s v="no"/>
  </r>
  <r>
    <s v="Jaillet"/>
    <s v=" Mr"/>
    <s v=" Henri Marie"/>
    <x v="0"/>
    <x v="0"/>
    <n v="38"/>
    <x v="0"/>
    <x v="5"/>
    <s v="S"/>
    <x v="0"/>
    <x v="3"/>
    <x v="25"/>
    <x v="1"/>
    <n v="1"/>
    <s v="NA"/>
    <x v="5"/>
    <e v="#VALUE!"/>
    <x v="0"/>
    <s v="no"/>
  </r>
  <r>
    <s v="James"/>
    <s v=" Mr"/>
    <s v=" Thomas"/>
    <x v="0"/>
    <x v="0"/>
    <n v="27"/>
    <x v="2"/>
    <x v="3"/>
    <s v="S"/>
    <x v="0"/>
    <x v="19"/>
    <x v="25"/>
    <x v="1"/>
    <n v="1"/>
    <s v="NA"/>
    <x v="5"/>
    <e v="#VALUE!"/>
    <x v="0"/>
    <s v="no"/>
  </r>
  <r>
    <s v="Janaway"/>
    <s v=" Mr"/>
    <s v=" William Frank"/>
    <x v="0"/>
    <x v="0"/>
    <n v="35"/>
    <x v="2"/>
    <x v="4"/>
    <s v="B"/>
    <x v="2"/>
    <x v="1"/>
    <x v="25"/>
    <x v="1"/>
    <n v="1"/>
    <s v="NA"/>
    <x v="5"/>
    <e v="#VALUE!"/>
    <x v="0"/>
    <s v="no"/>
  </r>
  <r>
    <s v="Janin"/>
    <s v=" Mr"/>
    <s v=" Claude Marie"/>
    <x v="0"/>
    <x v="0"/>
    <n v="29"/>
    <x v="2"/>
    <x v="5"/>
    <s v="S"/>
    <x v="0"/>
    <x v="1"/>
    <x v="25"/>
    <x v="1"/>
    <n v="1"/>
    <s v="NA"/>
    <x v="5"/>
    <e v="#VALUE!"/>
    <x v="0"/>
    <s v="no"/>
  </r>
  <r>
    <s v="Jeffery"/>
    <s v=" Mr"/>
    <s v=" William Alfred"/>
    <x v="0"/>
    <x v="0"/>
    <n v="28"/>
    <x v="2"/>
    <x v="5"/>
    <s v="S"/>
    <x v="0"/>
    <x v="1"/>
    <x v="25"/>
    <x v="1"/>
    <n v="1"/>
    <s v="NA"/>
    <x v="5"/>
    <e v="#VALUE!"/>
    <x v="0"/>
    <s v="no"/>
  </r>
  <r>
    <s v="Jenner"/>
    <s v=" Mr"/>
    <s v=" Thomas Henry (Harry)"/>
    <x v="0"/>
    <x v="0"/>
    <n v="55"/>
    <x v="0"/>
    <x v="4"/>
    <s v="B"/>
    <x v="2"/>
    <x v="1"/>
    <x v="25"/>
    <x v="1"/>
    <n v="1"/>
    <s v="NA"/>
    <x v="5"/>
    <e v="#VALUE!"/>
    <x v="0"/>
    <s v="no"/>
  </r>
  <r>
    <s v="Jensen"/>
    <s v=" Mr"/>
    <s v=" Charles Valdemar"/>
    <x v="0"/>
    <x v="0"/>
    <n v="25"/>
    <x v="2"/>
    <x v="4"/>
    <s v="S"/>
    <x v="0"/>
    <x v="1"/>
    <x v="25"/>
    <x v="1"/>
    <n v="1"/>
    <s v="NA"/>
    <x v="5"/>
    <e v="#VALUE!"/>
    <x v="0"/>
    <s v="no"/>
  </r>
  <r>
    <s v="Jessop"/>
    <s v=" Miss"/>
    <s v=" Violet Constance"/>
    <x v="1"/>
    <x v="1"/>
    <n v="24"/>
    <x v="2"/>
    <x v="4"/>
    <s v="S"/>
    <x v="0"/>
    <x v="1"/>
    <x v="25"/>
    <x v="1"/>
    <n v="1"/>
    <s v="NA"/>
    <x v="5"/>
    <e v="#VALUE!"/>
    <x v="1"/>
    <s v="yes"/>
  </r>
  <r>
    <s v="Jewell"/>
    <s v=" Mr"/>
    <s v=" Archie"/>
    <x v="0"/>
    <x v="0"/>
    <n v="23"/>
    <x v="2"/>
    <x v="6"/>
    <s v="B"/>
    <x v="2"/>
    <x v="1"/>
    <x v="25"/>
    <x v="1"/>
    <n v="1"/>
    <s v="NA"/>
    <x v="5"/>
    <e v="#VALUE!"/>
    <x v="1"/>
    <s v="yes"/>
  </r>
  <r>
    <s v="Joas"/>
    <s v=" Mr"/>
    <s v=" N"/>
    <x v="0"/>
    <x v="0"/>
    <n v="38"/>
    <x v="0"/>
    <x v="3"/>
    <s v="S"/>
    <x v="0"/>
    <x v="1"/>
    <x v="25"/>
    <x v="1"/>
    <n v="1"/>
    <s v="NA"/>
    <x v="5"/>
    <e v="#VALUE!"/>
    <x v="0"/>
    <s v="no"/>
  </r>
  <r>
    <s v="Johnston"/>
    <s v=" Mr"/>
    <s v=" James"/>
    <x v="0"/>
    <x v="0"/>
    <n v="41"/>
    <x v="0"/>
    <x v="4"/>
    <s v="B"/>
    <x v="2"/>
    <x v="1"/>
    <x v="25"/>
    <x v="1"/>
    <n v="1"/>
    <s v="NA"/>
    <x v="5"/>
    <e v="#VALUE!"/>
    <x v="1"/>
    <s v="yes"/>
  </r>
  <r>
    <s v="Jones"/>
    <s v=" Mr"/>
    <s v=" Albert Hugh Brabner"/>
    <x v="0"/>
    <x v="0"/>
    <n v="17"/>
    <x v="1"/>
    <x v="4"/>
    <s v="S"/>
    <x v="0"/>
    <x v="1"/>
    <x v="25"/>
    <x v="1"/>
    <n v="1"/>
    <s v="NA"/>
    <x v="5"/>
    <e v="#VALUE!"/>
    <x v="0"/>
    <s v="no"/>
  </r>
  <r>
    <s v="Jones"/>
    <s v=" Mr"/>
    <s v=" Arthur Ernest"/>
    <x v="0"/>
    <x v="0"/>
    <n v="37"/>
    <x v="0"/>
    <x v="4"/>
    <s v="S"/>
    <x v="0"/>
    <x v="1"/>
    <x v="25"/>
    <x v="1"/>
    <n v="1"/>
    <s v="NA"/>
    <x v="5"/>
    <e v="#VALUE!"/>
    <x v="0"/>
    <s v="no"/>
  </r>
  <r>
    <s v="Jones"/>
    <s v=" Mr"/>
    <s v=" Harry Owen G"/>
    <x v="0"/>
    <x v="0"/>
    <n v="29"/>
    <x v="2"/>
    <x v="4"/>
    <s v="S"/>
    <x v="0"/>
    <x v="1"/>
    <x v="25"/>
    <x v="1"/>
    <n v="1"/>
    <s v="NA"/>
    <x v="5"/>
    <e v="#VALUE!"/>
    <x v="0"/>
    <s v="no"/>
  </r>
  <r>
    <s v="Jones"/>
    <s v=" Mr"/>
    <s v=" Thomas William"/>
    <x v="0"/>
    <x v="0"/>
    <n v="32"/>
    <x v="2"/>
    <x v="6"/>
    <s v="S"/>
    <x v="0"/>
    <x v="1"/>
    <x v="25"/>
    <x v="1"/>
    <n v="1"/>
    <s v="NA"/>
    <x v="5"/>
    <e v="#VALUE!"/>
    <x v="1"/>
    <s v="yes"/>
  </r>
  <r>
    <s v="Jones"/>
    <s v=" Mr"/>
    <s v=" Victor Reginald"/>
    <x v="0"/>
    <x v="0"/>
    <n v="21"/>
    <x v="2"/>
    <x v="4"/>
    <s v="S"/>
    <x v="0"/>
    <x v="1"/>
    <x v="25"/>
    <x v="1"/>
    <n v="1"/>
    <s v="NA"/>
    <x v="5"/>
    <e v="#VALUE!"/>
    <x v="0"/>
    <s v="no"/>
  </r>
  <r>
    <s v="Jouannault"/>
    <s v=" Mr"/>
    <s v=" Georges Jules"/>
    <x v="0"/>
    <x v="0"/>
    <n v="24"/>
    <x v="2"/>
    <x v="5"/>
    <s v="S"/>
    <x v="0"/>
    <x v="1"/>
    <x v="25"/>
    <x v="1"/>
    <n v="1"/>
    <s v="NA"/>
    <x v="5"/>
    <e v="#VALUE!"/>
    <x v="0"/>
    <s v="no"/>
  </r>
  <r>
    <s v="Joughin"/>
    <s v=" Mr"/>
    <s v=" Charles John"/>
    <x v="0"/>
    <x v="0"/>
    <n v="32"/>
    <x v="2"/>
    <x v="4"/>
    <s v="B"/>
    <x v="2"/>
    <x v="1"/>
    <x v="25"/>
    <x v="1"/>
    <n v="1"/>
    <s v="NA"/>
    <x v="5"/>
    <e v="#VALUE!"/>
    <x v="1"/>
    <s v="yes"/>
  </r>
  <r>
    <s v="Judd"/>
    <s v=" Mr"/>
    <s v=" Charles Edward"/>
    <x v="0"/>
    <x v="0"/>
    <n v="31"/>
    <x v="2"/>
    <x v="3"/>
    <s v="S"/>
    <x v="0"/>
    <x v="1"/>
    <x v="25"/>
    <x v="1"/>
    <n v="1"/>
    <s v="NA"/>
    <x v="5"/>
    <e v="#VALUE!"/>
    <x v="1"/>
    <s v="yes"/>
  </r>
  <r>
    <s v="Jukes"/>
    <s v=" Mr"/>
    <s v=" Henry James"/>
    <x v="0"/>
    <x v="0"/>
    <n v="38"/>
    <x v="0"/>
    <x v="3"/>
    <s v="S"/>
    <x v="0"/>
    <x v="1"/>
    <x v="25"/>
    <x v="1"/>
    <n v="1"/>
    <s v="NA"/>
    <x v="5"/>
    <e v="#VALUE!"/>
    <x v="0"/>
    <s v="no"/>
  </r>
  <r>
    <s v="Jupe"/>
    <s v=" Mr"/>
    <s v=" Boykett Herbert"/>
    <x v="0"/>
    <x v="0"/>
    <n v="30"/>
    <x v="2"/>
    <x v="3"/>
    <s v="S"/>
    <x v="0"/>
    <x v="1"/>
    <x v="25"/>
    <x v="1"/>
    <n v="1"/>
    <s v="NA"/>
    <x v="5"/>
    <e v="#VALUE!"/>
    <x v="0"/>
    <s v="no"/>
  </r>
  <r>
    <s v="Kasper"/>
    <s v=" Mr"/>
    <s v=" Franz Wilhelm"/>
    <x v="0"/>
    <x v="0"/>
    <n v="40"/>
    <x v="0"/>
    <x v="3"/>
    <s v="S"/>
    <x v="0"/>
    <x v="1"/>
    <x v="25"/>
    <x v="1"/>
    <n v="1"/>
    <s v="NA"/>
    <x v="5"/>
    <e v="#VALUE!"/>
    <x v="1"/>
    <s v="yes"/>
  </r>
  <r>
    <s v="Kearl"/>
    <s v=" Mr"/>
    <s v=" Charles Henry"/>
    <x v="0"/>
    <x v="0"/>
    <n v="44"/>
    <x v="0"/>
    <x v="3"/>
    <s v="S"/>
    <x v="0"/>
    <x v="1"/>
    <x v="25"/>
    <x v="1"/>
    <n v="1"/>
    <s v="NA"/>
    <x v="5"/>
    <e v="#VALUE!"/>
    <x v="0"/>
    <s v="no"/>
  </r>
  <r>
    <s v="Kearl"/>
    <s v=" Mr"/>
    <s v=" George Edward"/>
    <x v="0"/>
    <x v="0"/>
    <n v="25"/>
    <x v="2"/>
    <x v="3"/>
    <s v="S"/>
    <x v="0"/>
    <x v="1"/>
    <x v="25"/>
    <x v="1"/>
    <n v="1"/>
    <s v="NA"/>
    <x v="5"/>
    <e v="#VALUE!"/>
    <x v="0"/>
    <s v="no"/>
  </r>
  <r>
    <s v="Keen"/>
    <s v=" Mr"/>
    <s v=" Percy Edward"/>
    <x v="0"/>
    <x v="0"/>
    <n v="30"/>
    <x v="2"/>
    <x v="4"/>
    <s v="S"/>
    <x v="0"/>
    <x v="1"/>
    <x v="25"/>
    <x v="1"/>
    <n v="1"/>
    <s v="NA"/>
    <x v="5"/>
    <e v="#VALUE!"/>
    <x v="1"/>
    <s v="yes"/>
  </r>
  <r>
    <s v="Kelland"/>
    <s v=" Mr"/>
    <s v=" Thomas"/>
    <x v="0"/>
    <x v="0"/>
    <n v="18"/>
    <x v="2"/>
    <x v="4"/>
    <s v="S"/>
    <x v="0"/>
    <x v="1"/>
    <x v="25"/>
    <x v="1"/>
    <n v="1"/>
    <s v="NA"/>
    <x v="5"/>
    <e v="#VALUE!"/>
    <x v="0"/>
    <s v="no"/>
  </r>
  <r>
    <s v="Kelly"/>
    <s v=" Mr"/>
    <s v=" William"/>
    <x v="0"/>
    <x v="0"/>
    <n v="23"/>
    <x v="2"/>
    <x v="3"/>
    <s v="B"/>
    <x v="2"/>
    <x v="22"/>
    <x v="25"/>
    <x v="1"/>
    <n v="1"/>
    <s v="NA"/>
    <x v="5"/>
    <e v="#VALUE!"/>
    <x v="0"/>
    <s v="no"/>
  </r>
  <r>
    <s v="Kemish"/>
    <s v=" Mr"/>
    <s v=" George"/>
    <x v="0"/>
    <x v="0"/>
    <n v="22"/>
    <x v="2"/>
    <x v="3"/>
    <s v="S"/>
    <x v="0"/>
    <x v="1"/>
    <x v="25"/>
    <x v="1"/>
    <n v="1"/>
    <s v="NA"/>
    <x v="5"/>
    <e v="#VALUE!"/>
    <x v="1"/>
    <s v="yes"/>
  </r>
  <r>
    <s v="Kemp"/>
    <s v=" Mr"/>
    <s v=" Thomas Hulman"/>
    <x v="0"/>
    <x v="0"/>
    <n v="43"/>
    <x v="0"/>
    <x v="3"/>
    <s v="B"/>
    <x v="2"/>
    <x v="1"/>
    <x v="25"/>
    <x v="1"/>
    <n v="1"/>
    <s v="NA"/>
    <x v="5"/>
    <e v="#VALUE!"/>
    <x v="0"/>
    <s v="no"/>
  </r>
  <r>
    <s v="Kenchenten"/>
    <s v=" Mr"/>
    <s v=" Frederick Charles"/>
    <x v="0"/>
    <x v="0"/>
    <n v="37"/>
    <x v="0"/>
    <x v="3"/>
    <s v="S"/>
    <x v="0"/>
    <x v="1"/>
    <x v="25"/>
    <x v="1"/>
    <n v="1"/>
    <s v="NA"/>
    <x v="5"/>
    <e v="#VALUE!"/>
    <x v="0"/>
    <s v="no"/>
  </r>
  <r>
    <s v="Kennell"/>
    <s v=" Mr"/>
    <s v=" Charles"/>
    <x v="0"/>
    <x v="0"/>
    <n v="30"/>
    <x v="2"/>
    <x v="4"/>
    <s v="S"/>
    <x v="0"/>
    <x v="1"/>
    <x v="25"/>
    <x v="1"/>
    <n v="1"/>
    <s v="NA"/>
    <x v="5"/>
    <e v="#VALUE!"/>
    <x v="0"/>
    <s v="no"/>
  </r>
  <r>
    <s v="Kenzler"/>
    <s v=" Mr"/>
    <s v=" August"/>
    <x v="0"/>
    <x v="0"/>
    <n v="44"/>
    <x v="0"/>
    <x v="3"/>
    <s v="B"/>
    <x v="2"/>
    <x v="1"/>
    <x v="25"/>
    <x v="1"/>
    <n v="1"/>
    <s v="NA"/>
    <x v="5"/>
    <e v="#VALUE!"/>
    <x v="0"/>
    <s v="no"/>
  </r>
  <r>
    <s v="Kerley"/>
    <s v=" Mr"/>
    <s v=" William Thomas"/>
    <x v="0"/>
    <x v="0"/>
    <n v="28"/>
    <x v="2"/>
    <x v="4"/>
    <s v="S"/>
    <x v="0"/>
    <x v="1"/>
    <x v="25"/>
    <x v="1"/>
    <n v="1"/>
    <s v="NA"/>
    <x v="5"/>
    <e v="#VALUE!"/>
    <x v="0"/>
    <s v="no"/>
  </r>
  <r>
    <s v="Kerr"/>
    <s v=" Mr"/>
    <s v=" Thomas Russell"/>
    <x v="0"/>
    <x v="0"/>
    <n v="26"/>
    <x v="2"/>
    <x v="3"/>
    <s v="S"/>
    <x v="0"/>
    <x v="22"/>
    <x v="25"/>
    <x v="1"/>
    <n v="1"/>
    <s v="NA"/>
    <x v="5"/>
    <e v="#VALUE!"/>
    <x v="0"/>
    <s v="no"/>
  </r>
  <r>
    <s v="Ketchley"/>
    <s v=" Mr"/>
    <s v=" Henry"/>
    <x v="0"/>
    <x v="0"/>
    <n v="36"/>
    <x v="0"/>
    <x v="4"/>
    <s v="B"/>
    <x v="2"/>
    <x v="1"/>
    <x v="25"/>
    <x v="1"/>
    <n v="1"/>
    <s v="NA"/>
    <x v="5"/>
    <e v="#VALUE!"/>
    <x v="0"/>
    <s v="no"/>
  </r>
  <r>
    <s v="Kieran"/>
    <s v=" Mr"/>
    <s v=" Edgar Michael"/>
    <x v="0"/>
    <x v="0"/>
    <n v="34"/>
    <x v="2"/>
    <x v="4"/>
    <s v="S"/>
    <x v="0"/>
    <x v="16"/>
    <x v="25"/>
    <x v="1"/>
    <n v="1"/>
    <s v="NA"/>
    <x v="5"/>
    <e v="#VALUE!"/>
    <x v="0"/>
    <s v="no"/>
  </r>
  <r>
    <s v="Kieran"/>
    <s v=" Mr"/>
    <s v=" James William"/>
    <x v="0"/>
    <x v="0"/>
    <n v="35"/>
    <x v="2"/>
    <x v="4"/>
    <s v="S"/>
    <x v="0"/>
    <x v="1"/>
    <x v="25"/>
    <x v="1"/>
    <n v="1"/>
    <s v="NA"/>
    <x v="5"/>
    <e v="#VALUE!"/>
    <x v="0"/>
    <s v="no"/>
  </r>
  <r>
    <s v="King"/>
    <s v=" Mr"/>
    <s v=" Alfred John Moffett"/>
    <x v="0"/>
    <x v="0"/>
    <n v="18"/>
    <x v="2"/>
    <x v="4"/>
    <s v="S"/>
    <x v="0"/>
    <x v="1"/>
    <x v="25"/>
    <x v="1"/>
    <n v="1"/>
    <s v="NA"/>
    <x v="5"/>
    <e v="#VALUE!"/>
    <x v="0"/>
    <s v="no"/>
  </r>
  <r>
    <s v="King"/>
    <s v=" Mr"/>
    <s v=" Ernest Waldron"/>
    <x v="0"/>
    <x v="0"/>
    <n v="28"/>
    <x v="2"/>
    <x v="4"/>
    <s v="S"/>
    <x v="0"/>
    <x v="16"/>
    <x v="25"/>
    <x v="1"/>
    <n v="1"/>
    <s v="NA"/>
    <x v="5"/>
    <e v="#VALUE!"/>
    <x v="0"/>
    <s v="no"/>
  </r>
  <r>
    <s v="King"/>
    <s v=" Mr"/>
    <s v=" G"/>
    <x v="0"/>
    <x v="0"/>
    <n v="20"/>
    <x v="2"/>
    <x v="4"/>
    <s v="S"/>
    <x v="0"/>
    <x v="1"/>
    <x v="25"/>
    <x v="1"/>
    <n v="1"/>
    <s v="NA"/>
    <x v="5"/>
    <e v="#VALUE!"/>
    <x v="0"/>
    <s v="no"/>
  </r>
  <r>
    <s v="King"/>
    <s v=" Mr"/>
    <s v=" Thomas Walter"/>
    <x v="0"/>
    <x v="0"/>
    <n v="42"/>
    <x v="0"/>
    <x v="6"/>
    <s v="S"/>
    <x v="0"/>
    <x v="1"/>
    <x v="25"/>
    <x v="1"/>
    <n v="1"/>
    <s v="NA"/>
    <x v="5"/>
    <e v="#VALUE!"/>
    <x v="0"/>
    <s v="no"/>
  </r>
  <r>
    <s v="Kingscote"/>
    <s v=" Mr"/>
    <s v=" William Ford"/>
    <x v="0"/>
    <x v="0"/>
    <n v="48"/>
    <x v="0"/>
    <x v="4"/>
    <s v="S"/>
    <x v="0"/>
    <x v="1"/>
    <x v="25"/>
    <x v="1"/>
    <n v="1"/>
    <s v="NA"/>
    <x v="5"/>
    <e v="#VALUE!"/>
    <x v="0"/>
    <s v="no"/>
  </r>
  <r>
    <s v="Kinsella"/>
    <s v=" Mr"/>
    <s v=" Louis"/>
    <x v="0"/>
    <x v="0"/>
    <n v="30"/>
    <x v="2"/>
    <x v="3"/>
    <s v="S"/>
    <x v="0"/>
    <x v="1"/>
    <x v="25"/>
    <x v="1"/>
    <n v="1"/>
    <s v="NA"/>
    <x v="5"/>
    <e v="#VALUE!"/>
    <x v="0"/>
    <s v="no"/>
  </r>
  <r>
    <s v="Kirkaldy"/>
    <s v=" Mr"/>
    <s v=" Thomas Benjamin"/>
    <x v="0"/>
    <x v="0"/>
    <n v="36"/>
    <x v="0"/>
    <x v="4"/>
    <s v="S"/>
    <x v="0"/>
    <x v="1"/>
    <x v="25"/>
    <x v="1"/>
    <n v="1"/>
    <s v="NA"/>
    <x v="5"/>
    <e v="#VALUE!"/>
    <x v="0"/>
    <s v="no"/>
  </r>
  <r>
    <s v="Kirkham"/>
    <s v=" Mr"/>
    <s v=" James"/>
    <x v="0"/>
    <x v="0"/>
    <n v="43"/>
    <x v="0"/>
    <x v="3"/>
    <s v="S"/>
    <x v="0"/>
    <x v="1"/>
    <x v="25"/>
    <x v="1"/>
    <n v="1"/>
    <s v="NA"/>
    <x v="5"/>
    <e v="#VALUE!"/>
    <x v="0"/>
    <s v="no"/>
  </r>
  <r>
    <s v="Kitching"/>
    <s v=" Mr"/>
    <s v=" Arthur Alfred"/>
    <x v="0"/>
    <x v="0"/>
    <n v="31"/>
    <x v="2"/>
    <x v="4"/>
    <s v="S"/>
    <x v="0"/>
    <x v="1"/>
    <x v="25"/>
    <x v="1"/>
    <n v="1"/>
    <s v="NA"/>
    <x v="5"/>
    <e v="#VALUE!"/>
    <x v="0"/>
    <s v="no"/>
  </r>
  <r>
    <s v="Klein"/>
    <s v=" Mr"/>
    <s v=" Herbert"/>
    <x v="0"/>
    <x v="0"/>
    <n v="33"/>
    <x v="2"/>
    <x v="4"/>
    <s v="S"/>
    <x v="0"/>
    <x v="1"/>
    <x v="25"/>
    <x v="1"/>
    <n v="1"/>
    <s v="NA"/>
    <x v="5"/>
    <e v="#VALUE!"/>
    <x v="0"/>
    <s v="no"/>
  </r>
  <r>
    <s v="Knight"/>
    <s v=" Mr"/>
    <s v=" George"/>
    <x v="0"/>
    <x v="0"/>
    <n v="49"/>
    <x v="0"/>
    <x v="4"/>
    <s v="S"/>
    <x v="0"/>
    <x v="1"/>
    <x v="25"/>
    <x v="1"/>
    <n v="1"/>
    <s v="NA"/>
    <x v="5"/>
    <e v="#VALUE!"/>
    <x v="1"/>
    <s v="yes"/>
  </r>
  <r>
    <s v="Knight"/>
    <s v=" Mr"/>
    <s v=" Leonard George"/>
    <x v="0"/>
    <x v="0"/>
    <n v="21"/>
    <x v="2"/>
    <x v="4"/>
    <s v="S"/>
    <x v="0"/>
    <x v="1"/>
    <x v="25"/>
    <x v="1"/>
    <n v="1"/>
    <s v="NA"/>
    <x v="5"/>
    <e v="#VALUE!"/>
    <x v="0"/>
    <s v="no"/>
  </r>
  <r>
    <s v="Knowles"/>
    <s v=" Mr"/>
    <s v=" Thomas"/>
    <x v="0"/>
    <x v="0"/>
    <n v="43"/>
    <x v="0"/>
    <x v="3"/>
    <s v="S"/>
    <x v="0"/>
    <x v="1"/>
    <x v="25"/>
    <x v="1"/>
    <n v="1"/>
    <s v="NA"/>
    <x v="5"/>
    <e v="#VALUE!"/>
    <x v="1"/>
    <s v="yes"/>
  </r>
  <r>
    <s v="Lacey"/>
    <s v=" Mr"/>
    <s v=" Bertie William"/>
    <x v="0"/>
    <x v="0"/>
    <n v="20"/>
    <x v="2"/>
    <x v="4"/>
    <s v="S"/>
    <x v="0"/>
    <x v="1"/>
    <x v="25"/>
    <x v="1"/>
    <n v="1"/>
    <s v="NA"/>
    <x v="5"/>
    <e v="#VALUE!"/>
    <x v="0"/>
    <s v="no"/>
  </r>
  <r>
    <s v="Lahy"/>
    <s v=" Mr"/>
    <s v=" T"/>
    <x v="0"/>
    <x v="0"/>
    <n v="41"/>
    <x v="0"/>
    <x v="3"/>
    <s v="S"/>
    <x v="0"/>
    <x v="1"/>
    <x v="25"/>
    <x v="1"/>
    <n v="1"/>
    <s v="NA"/>
    <x v="5"/>
    <e v="#VALUE!"/>
    <x v="0"/>
    <s v="no"/>
  </r>
  <r>
    <s v="Lake"/>
    <s v=" Mr"/>
    <s v=" William"/>
    <x v="0"/>
    <x v="0"/>
    <n v="46"/>
    <x v="0"/>
    <x v="4"/>
    <s v="B"/>
    <x v="2"/>
    <x v="1"/>
    <x v="25"/>
    <x v="1"/>
    <n v="1"/>
    <s v="NA"/>
    <x v="5"/>
    <e v="#VALUE!"/>
    <x v="0"/>
    <s v="no"/>
  </r>
  <r>
    <s v="Lane"/>
    <s v=" Mr"/>
    <s v=" Albert Edward"/>
    <x v="0"/>
    <x v="0"/>
    <n v="34"/>
    <x v="2"/>
    <x v="4"/>
    <s v="S"/>
    <x v="0"/>
    <x v="1"/>
    <x v="25"/>
    <x v="1"/>
    <n v="1"/>
    <s v="NA"/>
    <x v="5"/>
    <e v="#VALUE!"/>
    <x v="0"/>
    <s v="no"/>
  </r>
  <r>
    <s v="Latimer"/>
    <s v=" Mr"/>
    <s v=" Andrew"/>
    <x v="0"/>
    <x v="0"/>
    <n v="55"/>
    <x v="0"/>
    <x v="4"/>
    <s v="B"/>
    <x v="2"/>
    <x v="1"/>
    <x v="25"/>
    <x v="1"/>
    <n v="1"/>
    <s v="NA"/>
    <x v="5"/>
    <e v="#VALUE!"/>
    <x v="0"/>
    <s v="no"/>
  </r>
  <r>
    <s v="Lavington"/>
    <s v=" Miss"/>
    <s v=" Elizabeth"/>
    <x v="1"/>
    <x v="1"/>
    <n v="40"/>
    <x v="0"/>
    <x v="4"/>
    <s v="S"/>
    <x v="0"/>
    <x v="1"/>
    <x v="25"/>
    <x v="1"/>
    <n v="1"/>
    <s v="NA"/>
    <x v="5"/>
    <e v="#VALUE!"/>
    <x v="1"/>
    <s v="yes"/>
  </r>
  <r>
    <s v="Lawrence"/>
    <s v=" Mr"/>
    <s v=" Arthur"/>
    <x v="0"/>
    <x v="0"/>
    <n v="36"/>
    <x v="0"/>
    <x v="4"/>
    <s v="B"/>
    <x v="2"/>
    <x v="1"/>
    <x v="25"/>
    <x v="1"/>
    <n v="1"/>
    <s v="NA"/>
    <x v="5"/>
    <e v="#VALUE!"/>
    <x v="0"/>
    <s v="no"/>
  </r>
  <r>
    <s v="Leader"/>
    <s v=" Mr"/>
    <s v=" Archibald"/>
    <x v="0"/>
    <x v="0"/>
    <n v="22"/>
    <x v="2"/>
    <x v="4"/>
    <s v="S"/>
    <x v="0"/>
    <x v="1"/>
    <x v="25"/>
    <x v="1"/>
    <n v="1"/>
    <s v="NA"/>
    <x v="5"/>
    <e v="#VALUE!"/>
    <x v="0"/>
    <s v="no"/>
  </r>
  <r>
    <s v="Leather"/>
    <s v=" Mrs"/>
    <s v=" Elizabeth Mary"/>
    <x v="1"/>
    <x v="1"/>
    <n v="50"/>
    <x v="0"/>
    <x v="4"/>
    <s v="S"/>
    <x v="0"/>
    <x v="1"/>
    <x v="25"/>
    <x v="1"/>
    <n v="1"/>
    <s v="NA"/>
    <x v="5"/>
    <e v="#VALUE!"/>
    <x v="1"/>
    <s v="yes"/>
  </r>
  <r>
    <s v="Lee"/>
    <s v=" Mr"/>
    <s v=" H"/>
    <x v="0"/>
    <x v="0"/>
    <n v="18"/>
    <x v="2"/>
    <x v="3"/>
    <s v="S"/>
    <x v="0"/>
    <x v="1"/>
    <x v="25"/>
    <x v="1"/>
    <n v="1"/>
    <s v="NA"/>
    <x v="5"/>
    <e v="#VALUE!"/>
    <x v="0"/>
    <s v="no"/>
  </r>
  <r>
    <s v="Lee"/>
    <s v=" Mr"/>
    <s v=" Henry Reginald"/>
    <x v="0"/>
    <x v="0"/>
    <n v="29"/>
    <x v="2"/>
    <x v="4"/>
    <s v="S"/>
    <x v="0"/>
    <x v="1"/>
    <x v="25"/>
    <x v="1"/>
    <n v="1"/>
    <s v="NA"/>
    <x v="5"/>
    <e v="#VALUE!"/>
    <x v="1"/>
    <s v="yes"/>
  </r>
  <r>
    <s v="Lee"/>
    <s v=" Mr"/>
    <s v=" Reginald Robinson"/>
    <x v="0"/>
    <x v="0"/>
    <n v="41"/>
    <x v="0"/>
    <x v="6"/>
    <s v="S"/>
    <x v="0"/>
    <x v="1"/>
    <x v="25"/>
    <x v="1"/>
    <n v="1"/>
    <s v="NA"/>
    <x v="5"/>
    <e v="#VALUE!"/>
    <x v="1"/>
    <s v="yes"/>
  </r>
  <r>
    <s v="Lefebvre"/>
    <s v=" Mr"/>
    <s v=" Paul Georges"/>
    <x v="0"/>
    <x v="0"/>
    <n v="35"/>
    <x v="2"/>
    <x v="4"/>
    <s v="S"/>
    <x v="0"/>
    <x v="1"/>
    <x v="25"/>
    <x v="1"/>
    <n v="1"/>
    <s v="NA"/>
    <x v="5"/>
    <e v="#VALUE!"/>
    <x v="0"/>
    <s v="no"/>
  </r>
  <r>
    <s v="Leonard"/>
    <s v=" Mr"/>
    <s v=" Matthew"/>
    <x v="0"/>
    <x v="0"/>
    <n v="25"/>
    <x v="2"/>
    <x v="4"/>
    <s v="B"/>
    <x v="2"/>
    <x v="0"/>
    <x v="25"/>
    <x v="1"/>
    <n v="1"/>
    <s v="NA"/>
    <x v="5"/>
    <e v="#VALUE!"/>
    <x v="0"/>
    <s v="no"/>
  </r>
  <r>
    <s v="Levett"/>
    <s v=" Mr"/>
    <s v=" George Alfred"/>
    <x v="0"/>
    <x v="0"/>
    <n v="26"/>
    <x v="2"/>
    <x v="4"/>
    <s v="B"/>
    <x v="2"/>
    <x v="1"/>
    <x v="25"/>
    <x v="1"/>
    <n v="1"/>
    <s v="NA"/>
    <x v="5"/>
    <e v="#VALUE!"/>
    <x v="0"/>
    <s v="no"/>
  </r>
  <r>
    <s v="Lewis"/>
    <s v=" Mr"/>
    <s v=" Arthur Ernest Read"/>
    <x v="0"/>
    <x v="0"/>
    <n v="27"/>
    <x v="2"/>
    <x v="4"/>
    <s v="S"/>
    <x v="0"/>
    <x v="1"/>
    <x v="25"/>
    <x v="1"/>
    <n v="1"/>
    <s v="NA"/>
    <x v="5"/>
    <e v="#VALUE!"/>
    <x v="1"/>
    <s v="yes"/>
  </r>
  <r>
    <s v="Light"/>
    <s v=" Mr"/>
    <s v=" Charles Edward"/>
    <x v="0"/>
    <x v="0"/>
    <n v="24"/>
    <x v="2"/>
    <x v="4"/>
    <s v="S"/>
    <x v="0"/>
    <x v="1"/>
    <x v="25"/>
    <x v="1"/>
    <n v="1"/>
    <s v="NA"/>
    <x v="5"/>
    <e v="#VALUE!"/>
    <x v="0"/>
    <s v="no"/>
  </r>
  <r>
    <s v="Light"/>
    <s v=" Mr"/>
    <s v=" Christopher William"/>
    <x v="0"/>
    <x v="0"/>
    <n v="20"/>
    <x v="2"/>
    <x v="3"/>
    <s v="S"/>
    <x v="0"/>
    <x v="1"/>
    <x v="25"/>
    <x v="1"/>
    <n v="1"/>
    <s v="NA"/>
    <x v="5"/>
    <e v="#VALUE!"/>
    <x v="0"/>
    <s v="no"/>
  </r>
  <r>
    <s v="Light"/>
    <s v=" Mr"/>
    <s v=" W"/>
    <x v="0"/>
    <x v="0"/>
    <n v="47"/>
    <x v="0"/>
    <x v="3"/>
    <s v="S"/>
    <x v="0"/>
    <x v="1"/>
    <x v="25"/>
    <x v="1"/>
    <n v="1"/>
    <s v="NA"/>
    <x v="5"/>
    <e v="#VALUE!"/>
    <x v="0"/>
    <s v="no"/>
  </r>
  <r>
    <s v="Lightoller"/>
    <s v=" Mr"/>
    <s v=" Charles Herbert"/>
    <x v="0"/>
    <x v="0"/>
    <n v="38"/>
    <x v="0"/>
    <x v="6"/>
    <s v="B"/>
    <x v="2"/>
    <x v="1"/>
    <x v="25"/>
    <x v="1"/>
    <n v="1"/>
    <s v="NA"/>
    <x v="5"/>
    <e v="#VALUE!"/>
    <x v="1"/>
    <s v="yes"/>
  </r>
  <r>
    <s v="Lindsay"/>
    <s v=" Mr"/>
    <s v=" William Charles"/>
    <x v="0"/>
    <x v="0"/>
    <n v="30"/>
    <x v="2"/>
    <x v="3"/>
    <s v="S"/>
    <x v="0"/>
    <x v="1"/>
    <x v="25"/>
    <x v="1"/>
    <n v="1"/>
    <s v="NA"/>
    <x v="5"/>
    <e v="#VALUE!"/>
    <x v="1"/>
    <s v="yes"/>
  </r>
  <r>
    <s v="Littlejohn"/>
    <s v=" Mr"/>
    <s v=" Alexander James"/>
    <x v="0"/>
    <x v="0"/>
    <n v="40"/>
    <x v="0"/>
    <x v="4"/>
    <s v="B"/>
    <x v="2"/>
    <x v="1"/>
    <x v="25"/>
    <x v="1"/>
    <n v="1"/>
    <s v="NA"/>
    <x v="5"/>
    <e v="#VALUE!"/>
    <x v="1"/>
    <s v="yes"/>
  </r>
  <r>
    <s v="Lloyd"/>
    <s v=" Mr"/>
    <s v=" Humphrey"/>
    <x v="0"/>
    <x v="0"/>
    <n v="41"/>
    <x v="0"/>
    <x v="4"/>
    <s v="B"/>
    <x v="2"/>
    <x v="1"/>
    <x v="25"/>
    <x v="1"/>
    <n v="1"/>
    <s v="NA"/>
    <x v="5"/>
    <e v="#VALUE!"/>
    <x v="0"/>
    <s v="no"/>
  </r>
  <r>
    <s v="Lloyd"/>
    <s v=" Mr"/>
    <s v=" William"/>
    <x v="0"/>
    <x v="0"/>
    <n v="29"/>
    <x v="2"/>
    <x v="3"/>
    <s v="S"/>
    <x v="0"/>
    <x v="1"/>
    <x v="25"/>
    <x v="1"/>
    <n v="1"/>
    <s v="NA"/>
    <x v="5"/>
    <e v="#VALUE!"/>
    <x v="0"/>
    <s v="no"/>
  </r>
  <r>
    <s v="Locke"/>
    <s v=" Mr"/>
    <s v=" A"/>
    <x v="0"/>
    <x v="0"/>
    <n v="33"/>
    <x v="2"/>
    <x v="4"/>
    <s v="S"/>
    <x v="0"/>
    <x v="1"/>
    <x v="25"/>
    <x v="1"/>
    <n v="1"/>
    <s v="NA"/>
    <x v="5"/>
    <e v="#VALUE!"/>
    <x v="0"/>
    <s v="no"/>
  </r>
  <r>
    <s v="Long"/>
    <s v=" Mr"/>
    <s v=" Frank"/>
    <x v="0"/>
    <x v="0"/>
    <n v="31"/>
    <x v="2"/>
    <x v="3"/>
    <s v="S"/>
    <x v="0"/>
    <x v="1"/>
    <x v="25"/>
    <x v="1"/>
    <n v="1"/>
    <s v="NA"/>
    <x v="5"/>
    <e v="#VALUE!"/>
    <x v="0"/>
    <s v="no"/>
  </r>
  <r>
    <s v="Long"/>
    <s v=" Mr"/>
    <s v=" William"/>
    <x v="0"/>
    <x v="0"/>
    <n v="36"/>
    <x v="0"/>
    <x v="3"/>
    <s v="S"/>
    <x v="0"/>
    <x v="1"/>
    <x v="25"/>
    <x v="1"/>
    <n v="1"/>
    <s v="NA"/>
    <x v="5"/>
    <e v="#VALUE!"/>
    <x v="0"/>
    <s v="no"/>
  </r>
  <r>
    <s v="Longmuir"/>
    <s v=" Mr"/>
    <s v=" John Dickson"/>
    <x v="0"/>
    <x v="0"/>
    <n v="20"/>
    <x v="2"/>
    <x v="4"/>
    <s v="S"/>
    <x v="0"/>
    <x v="1"/>
    <x v="25"/>
    <x v="1"/>
    <n v="1"/>
    <s v="NA"/>
    <x v="5"/>
    <e v="#VALUE!"/>
    <x v="0"/>
    <s v="no"/>
  </r>
  <r>
    <s v="Lovell"/>
    <s v=" Mr"/>
    <s v=" John"/>
    <x v="0"/>
    <x v="0"/>
    <n v="37"/>
    <x v="0"/>
    <x v="4"/>
    <s v="S"/>
    <x v="0"/>
    <x v="1"/>
    <x v="25"/>
    <x v="1"/>
    <n v="1"/>
    <s v="NA"/>
    <x v="5"/>
    <e v="#VALUE!"/>
    <x v="0"/>
    <s v="no"/>
  </r>
  <r>
    <s v="Lowe"/>
    <s v=" Mr"/>
    <s v=" Harold Godfrey"/>
    <x v="0"/>
    <x v="0"/>
    <n v="29"/>
    <x v="2"/>
    <x v="6"/>
    <s v="B"/>
    <x v="2"/>
    <x v="19"/>
    <x v="25"/>
    <x v="1"/>
    <n v="1"/>
    <s v="NA"/>
    <x v="5"/>
    <e v="#VALUE!"/>
    <x v="1"/>
    <s v="yes"/>
  </r>
  <r>
    <s v="Lucas"/>
    <s v=" Mr"/>
    <s v=" William Arthur"/>
    <x v="0"/>
    <x v="0"/>
    <n v="25"/>
    <x v="2"/>
    <x v="6"/>
    <s v="S"/>
    <x v="0"/>
    <x v="1"/>
    <x v="25"/>
    <x v="1"/>
    <n v="1"/>
    <s v="NA"/>
    <x v="5"/>
    <e v="#VALUE!"/>
    <x v="1"/>
    <s v="yes"/>
  </r>
  <r>
    <s v="Lucas"/>
    <s v=" Mr"/>
    <s v=" William Watson"/>
    <x v="0"/>
    <x v="0"/>
    <n v="31"/>
    <x v="2"/>
    <x v="4"/>
    <s v="B"/>
    <x v="2"/>
    <x v="1"/>
    <x v="25"/>
    <x v="1"/>
    <n v="1"/>
    <s v="NA"/>
    <x v="5"/>
    <e v="#VALUE!"/>
    <x v="1"/>
    <s v="yes"/>
  </r>
  <r>
    <s v="Lydiatt"/>
    <s v=" Mr"/>
    <s v=" Charles"/>
    <x v="0"/>
    <x v="0"/>
    <n v="45"/>
    <x v="0"/>
    <x v="4"/>
    <s v="S"/>
    <x v="0"/>
    <x v="1"/>
    <x v="25"/>
    <x v="1"/>
    <n v="1"/>
    <s v="NA"/>
    <x v="5"/>
    <e v="#VALUE!"/>
    <x v="0"/>
    <s v="no"/>
  </r>
  <r>
    <s v="Lyons"/>
    <s v=" Mr"/>
    <s v=" William Henry"/>
    <x v="0"/>
    <x v="0"/>
    <n v="26"/>
    <x v="2"/>
    <x v="6"/>
    <s v="S"/>
    <x v="0"/>
    <x v="16"/>
    <x v="25"/>
    <x v="1"/>
    <n v="1"/>
    <s v="NA"/>
    <x v="5"/>
    <e v="#VALUE!"/>
    <x v="0"/>
    <s v="no"/>
  </r>
  <r>
    <s v="Mabey"/>
    <s v=" Mr"/>
    <s v=" John Charles"/>
    <x v="0"/>
    <x v="0"/>
    <n v="24"/>
    <x v="2"/>
    <x v="4"/>
    <s v="S"/>
    <x v="0"/>
    <x v="1"/>
    <x v="25"/>
    <x v="1"/>
    <n v="1"/>
    <s v="NA"/>
    <x v="5"/>
    <e v="#VALUE!"/>
    <x v="0"/>
    <s v="no"/>
  </r>
  <r>
    <s v="MacKie"/>
    <s v=" Mr"/>
    <s v=" George William"/>
    <x v="0"/>
    <x v="0"/>
    <n v="34"/>
    <x v="2"/>
    <x v="4"/>
    <s v="S"/>
    <x v="0"/>
    <x v="1"/>
    <x v="25"/>
    <x v="1"/>
    <n v="1"/>
    <s v="NA"/>
    <x v="5"/>
    <e v="#VALUE!"/>
    <x v="0"/>
    <s v="no"/>
  </r>
  <r>
    <s v="Mackie"/>
    <s v=" Mr"/>
    <s v=" William Dickson"/>
    <x v="0"/>
    <x v="0"/>
    <n v="32"/>
    <x v="2"/>
    <x v="3"/>
    <s v="B"/>
    <x v="2"/>
    <x v="22"/>
    <x v="25"/>
    <x v="1"/>
    <n v="1"/>
    <s v="NA"/>
    <x v="5"/>
    <e v="#VALUE!"/>
    <x v="0"/>
    <s v="no"/>
  </r>
  <r>
    <s v="Major"/>
    <s v=" Mr"/>
    <s v=" Thomas Edgar"/>
    <x v="0"/>
    <x v="0"/>
    <n v="36"/>
    <x v="0"/>
    <x v="4"/>
    <s v="B"/>
    <x v="2"/>
    <x v="1"/>
    <x v="25"/>
    <x v="1"/>
    <n v="1"/>
    <s v="NA"/>
    <x v="5"/>
    <e v="#VALUE!"/>
    <x v="0"/>
    <s v="no"/>
  </r>
  <r>
    <s v="Major"/>
    <s v=" Mr"/>
    <s v=" William James"/>
    <x v="0"/>
    <x v="0"/>
    <n v="32"/>
    <x v="2"/>
    <x v="3"/>
    <s v="S"/>
    <x v="0"/>
    <x v="1"/>
    <x v="25"/>
    <x v="1"/>
    <n v="1"/>
    <s v="NA"/>
    <x v="5"/>
    <e v="#VALUE!"/>
    <x v="1"/>
    <s v="yes"/>
  </r>
  <r>
    <s v="Mantle"/>
    <s v=" Mr"/>
    <s v=" Roland Frederick"/>
    <x v="0"/>
    <x v="0"/>
    <n v="40"/>
    <x v="0"/>
    <x v="4"/>
    <s v="S"/>
    <x v="0"/>
    <x v="1"/>
    <x v="25"/>
    <x v="1"/>
    <n v="1"/>
    <s v="NA"/>
    <x v="5"/>
    <e v="#VALUE!"/>
    <x v="0"/>
    <s v="no"/>
  </r>
  <r>
    <s v="March"/>
    <s v=" Mr"/>
    <s v=" John Starr"/>
    <x v="0"/>
    <x v="0"/>
    <n v="50"/>
    <x v="0"/>
    <x v="4"/>
    <s v="S"/>
    <x v="0"/>
    <x v="0"/>
    <x v="25"/>
    <x v="1"/>
    <n v="1"/>
    <s v="NA"/>
    <x v="5"/>
    <e v="#VALUE!"/>
    <x v="0"/>
    <s v="no"/>
  </r>
  <r>
    <s v="Marett"/>
    <s v=" Mr"/>
    <s v=" George John"/>
    <x v="0"/>
    <x v="0"/>
    <n v="27"/>
    <x v="2"/>
    <x v="3"/>
    <s v="S"/>
    <x v="0"/>
    <x v="1"/>
    <x v="25"/>
    <x v="1"/>
    <n v="1"/>
    <s v="NA"/>
    <x v="5"/>
    <e v="#VALUE!"/>
    <x v="0"/>
    <s v="no"/>
  </r>
  <r>
    <s v="Marks"/>
    <s v=" Mr"/>
    <s v=" James"/>
    <x v="0"/>
    <x v="0"/>
    <n v="27"/>
    <x v="2"/>
    <x v="4"/>
    <s v="S"/>
    <x v="0"/>
    <x v="22"/>
    <x v="25"/>
    <x v="1"/>
    <n v="1"/>
    <s v="NA"/>
    <x v="5"/>
    <e v="#VALUE!"/>
    <x v="0"/>
    <s v="no"/>
  </r>
  <r>
    <s v="Marriott"/>
    <s v=" Mr"/>
    <s v=" John William"/>
    <x v="0"/>
    <x v="0"/>
    <n v="21"/>
    <x v="2"/>
    <x v="4"/>
    <s v="S"/>
    <x v="0"/>
    <x v="1"/>
    <x v="25"/>
    <x v="1"/>
    <n v="1"/>
    <s v="NA"/>
    <x v="5"/>
    <e v="#VALUE!"/>
    <x v="0"/>
    <s v="no"/>
  </r>
  <r>
    <s v="Marsden"/>
    <s v=" Miss"/>
    <s v=" Evelyn"/>
    <x v="1"/>
    <x v="1"/>
    <n v="28"/>
    <x v="2"/>
    <x v="4"/>
    <s v="S"/>
    <x v="0"/>
    <x v="1"/>
    <x v="25"/>
    <x v="1"/>
    <n v="1"/>
    <s v="NA"/>
    <x v="5"/>
    <e v="#VALUE!"/>
    <x v="1"/>
    <s v="yes"/>
  </r>
  <r>
    <s v="Marsh"/>
    <s v=" Mr"/>
    <s v=" Frederick Charles"/>
    <x v="0"/>
    <x v="0"/>
    <n v="40"/>
    <x v="0"/>
    <x v="3"/>
    <s v="S"/>
    <x v="0"/>
    <x v="1"/>
    <x v="25"/>
    <x v="1"/>
    <n v="1"/>
    <s v="NA"/>
    <x v="5"/>
    <e v="#VALUE!"/>
    <x v="0"/>
    <s v="no"/>
  </r>
  <r>
    <s v="Martin"/>
    <s v=" Miss"/>
    <s v=" Mabel Elvina"/>
    <x v="1"/>
    <x v="1"/>
    <n v="20"/>
    <x v="2"/>
    <x v="5"/>
    <s v="S"/>
    <x v="0"/>
    <x v="1"/>
    <x v="25"/>
    <x v="1"/>
    <n v="1"/>
    <s v="NA"/>
    <x v="5"/>
    <e v="#VALUE!"/>
    <x v="1"/>
    <s v="yes"/>
  </r>
  <r>
    <s v="Martin"/>
    <s v=" Mrs"/>
    <s v=" Annie Martha"/>
    <x v="1"/>
    <x v="1"/>
    <n v="39"/>
    <x v="0"/>
    <x v="4"/>
    <s v="S"/>
    <x v="0"/>
    <x v="13"/>
    <x v="25"/>
    <x v="1"/>
    <n v="1"/>
    <s v="NA"/>
    <x v="5"/>
    <e v="#VALUE!"/>
    <x v="1"/>
    <s v="yes"/>
  </r>
  <r>
    <s v="Maskell"/>
    <s v=" Mr"/>
    <s v=" Leopold Adolphus"/>
    <x v="0"/>
    <x v="0"/>
    <n v="25"/>
    <x v="2"/>
    <x v="3"/>
    <s v="S"/>
    <x v="0"/>
    <x v="1"/>
    <x v="25"/>
    <x v="1"/>
    <n v="1"/>
    <s v="NA"/>
    <x v="5"/>
    <e v="#VALUE!"/>
    <x v="0"/>
    <s v="no"/>
  </r>
  <r>
    <s v="Mason"/>
    <s v=" Mr"/>
    <s v=" Frank Archibald Robert"/>
    <x v="0"/>
    <x v="0"/>
    <n v="32"/>
    <x v="2"/>
    <x v="3"/>
    <s v="S"/>
    <x v="0"/>
    <x v="1"/>
    <x v="25"/>
    <x v="1"/>
    <n v="1"/>
    <s v="NA"/>
    <x v="5"/>
    <e v="#VALUE!"/>
    <x v="1"/>
    <s v="yes"/>
  </r>
  <r>
    <s v="Mason"/>
    <s v=" Mr"/>
    <s v=" J"/>
    <x v="0"/>
    <x v="0"/>
    <n v="39"/>
    <x v="0"/>
    <x v="3"/>
    <s v="S"/>
    <x v="0"/>
    <x v="1"/>
    <x v="25"/>
    <x v="1"/>
    <n v="1"/>
    <s v="NA"/>
    <x v="5"/>
    <e v="#VALUE!"/>
    <x v="0"/>
    <s v="no"/>
  </r>
  <r>
    <s v="Matherson"/>
    <s v=" Mr"/>
    <s v=" David"/>
    <x v="0"/>
    <x v="0"/>
    <n v="30"/>
    <x v="2"/>
    <x v="6"/>
    <s v="S"/>
    <x v="0"/>
    <x v="1"/>
    <x v="25"/>
    <x v="1"/>
    <n v="1"/>
    <s v="NA"/>
    <x v="5"/>
    <e v="#VALUE!"/>
    <x v="0"/>
    <s v="no"/>
  </r>
  <r>
    <s v="Mathias"/>
    <s v=" Mr"/>
    <s v=" Montague Vincent"/>
    <x v="0"/>
    <x v="0"/>
    <n v="29"/>
    <x v="2"/>
    <x v="6"/>
    <s v="S"/>
    <x v="0"/>
    <x v="19"/>
    <x v="25"/>
    <x v="1"/>
    <n v="1"/>
    <s v="NA"/>
    <x v="5"/>
    <e v="#VALUE!"/>
    <x v="0"/>
    <s v="no"/>
  </r>
  <r>
    <s v="Mattmann"/>
    <s v=" Sig"/>
    <s v=" Adolf"/>
    <x v="0"/>
    <x v="0"/>
    <n v="20"/>
    <x v="2"/>
    <x v="5"/>
    <s v="S"/>
    <x v="0"/>
    <x v="1"/>
    <x v="25"/>
    <x v="1"/>
    <n v="1"/>
    <s v="NA"/>
    <x v="5"/>
    <e v="#VALUE!"/>
    <x v="0"/>
    <s v="no"/>
  </r>
  <r>
    <s v="Mauge"/>
    <s v=" Mr"/>
    <s v=" Paul Achille Maurice Germain"/>
    <x v="0"/>
    <x v="0"/>
    <n v="25"/>
    <x v="2"/>
    <x v="5"/>
    <s v="S"/>
    <x v="0"/>
    <x v="1"/>
    <x v="25"/>
    <x v="1"/>
    <n v="1"/>
    <s v="NA"/>
    <x v="5"/>
    <e v="#VALUE!"/>
    <x v="1"/>
    <s v="yes"/>
  </r>
  <r>
    <s v="Maxwell"/>
    <s v=" Mr"/>
    <s v=" John"/>
    <x v="0"/>
    <x v="0"/>
    <n v="30"/>
    <x v="2"/>
    <x v="6"/>
    <s v="B"/>
    <x v="2"/>
    <x v="1"/>
    <x v="25"/>
    <x v="1"/>
    <n v="1"/>
    <s v="NA"/>
    <x v="5"/>
    <e v="#VALUE!"/>
    <x v="0"/>
    <s v="no"/>
  </r>
  <r>
    <s v="May"/>
    <s v=" Mr"/>
    <s v=" Arthur William"/>
    <x v="0"/>
    <x v="0"/>
    <n v="22"/>
    <x v="2"/>
    <x v="3"/>
    <s v="S"/>
    <x v="0"/>
    <x v="1"/>
    <x v="25"/>
    <x v="1"/>
    <n v="1"/>
    <s v="NA"/>
    <x v="5"/>
    <e v="#VALUE!"/>
    <x v="0"/>
    <s v="no"/>
  </r>
  <r>
    <s v="Maynard"/>
    <s v=" Mr"/>
    <s v=" Isaac Hiram"/>
    <x v="0"/>
    <x v="0"/>
    <n v="31"/>
    <x v="2"/>
    <x v="4"/>
    <s v="B"/>
    <x v="2"/>
    <x v="1"/>
    <x v="25"/>
    <x v="1"/>
    <n v="1"/>
    <s v="NA"/>
    <x v="5"/>
    <e v="#VALUE!"/>
    <x v="1"/>
    <s v="yes"/>
  </r>
  <r>
    <s v="Mayo"/>
    <s v=" Mr"/>
    <s v=" William Peter"/>
    <x v="0"/>
    <x v="0"/>
    <n v="28"/>
    <x v="2"/>
    <x v="3"/>
    <s v="S"/>
    <x v="0"/>
    <x v="1"/>
    <x v="25"/>
    <x v="1"/>
    <n v="1"/>
    <s v="NA"/>
    <x v="5"/>
    <e v="#VALUE!"/>
    <x v="0"/>
    <s v="no"/>
  </r>
  <r>
    <s v="Maytum"/>
    <s v=" Mr"/>
    <s v=" Alfred"/>
    <x v="0"/>
    <x v="0"/>
    <n v="53"/>
    <x v="0"/>
    <x v="4"/>
    <s v="B"/>
    <x v="2"/>
    <x v="1"/>
    <x v="25"/>
    <x v="1"/>
    <n v="1"/>
    <s v="NA"/>
    <x v="5"/>
    <e v="#VALUE!"/>
    <x v="0"/>
    <s v="no"/>
  </r>
  <r>
    <s v="Mayzes"/>
    <s v=" Mr"/>
    <s v=" Thomas Jubilee"/>
    <x v="0"/>
    <x v="0"/>
    <n v="25"/>
    <x v="2"/>
    <x v="3"/>
    <s v="S"/>
    <x v="0"/>
    <x v="1"/>
    <x v="25"/>
    <x v="1"/>
    <n v="1"/>
    <s v="NA"/>
    <x v="5"/>
    <e v="#VALUE!"/>
    <x v="1"/>
    <s v="yes"/>
  </r>
  <r>
    <s v="McAndrew"/>
    <s v=" Mr"/>
    <s v=" Thomas Patrick"/>
    <x v="0"/>
    <x v="0"/>
    <n v="38"/>
    <x v="0"/>
    <x v="3"/>
    <s v="S"/>
    <x v="0"/>
    <x v="1"/>
    <x v="25"/>
    <x v="1"/>
    <n v="1"/>
    <s v="NA"/>
    <x v="5"/>
    <e v="#VALUE!"/>
    <x v="0"/>
    <s v="no"/>
  </r>
  <r>
    <s v="McAndrews"/>
    <s v=" Mr"/>
    <s v=" William"/>
    <x v="0"/>
    <x v="0"/>
    <n v="23"/>
    <x v="2"/>
    <x v="3"/>
    <s v="S"/>
    <x v="0"/>
    <x v="1"/>
    <x v="25"/>
    <x v="1"/>
    <n v="1"/>
    <s v="NA"/>
    <x v="5"/>
    <e v="#VALUE!"/>
    <x v="0"/>
    <s v="no"/>
  </r>
  <r>
    <s v="McCarthy"/>
    <s v=" Mr"/>
    <s v=" Frederick James"/>
    <x v="0"/>
    <x v="0"/>
    <n v="38"/>
    <x v="0"/>
    <x v="4"/>
    <s v="S"/>
    <x v="0"/>
    <x v="1"/>
    <x v="25"/>
    <x v="1"/>
    <n v="1"/>
    <s v="NA"/>
    <x v="5"/>
    <e v="#VALUE!"/>
    <x v="0"/>
    <s v="no"/>
  </r>
  <r>
    <s v="McCarthy"/>
    <s v=" Mr"/>
    <s v=" William"/>
    <x v="0"/>
    <x v="0"/>
    <n v="47"/>
    <x v="0"/>
    <x v="6"/>
    <s v="S"/>
    <x v="0"/>
    <x v="16"/>
    <x v="25"/>
    <x v="1"/>
    <n v="1"/>
    <s v="NA"/>
    <x v="5"/>
    <e v="#VALUE!"/>
    <x v="1"/>
    <s v="yes"/>
  </r>
  <r>
    <s v="McCastlan"/>
    <s v=" Mr"/>
    <s v=" W"/>
    <x v="0"/>
    <x v="0"/>
    <n v="38"/>
    <x v="0"/>
    <x v="3"/>
    <s v="S"/>
    <x v="0"/>
    <x v="1"/>
    <x v="25"/>
    <x v="1"/>
    <n v="1"/>
    <s v="NA"/>
    <x v="5"/>
    <e v="#VALUE!"/>
    <x v="0"/>
    <s v="no"/>
  </r>
  <r>
    <s v="McCawley"/>
    <s v=" Mr"/>
    <s v=" Thomas W"/>
    <x v="0"/>
    <x v="0"/>
    <n v="36"/>
    <x v="0"/>
    <x v="4"/>
    <s v="B"/>
    <x v="2"/>
    <x v="22"/>
    <x v="25"/>
    <x v="1"/>
    <n v="1"/>
    <s v="NA"/>
    <x v="5"/>
    <e v="#VALUE!"/>
    <x v="0"/>
    <s v="no"/>
  </r>
  <r>
    <s v="McElroy"/>
    <s v=" Mr"/>
    <s v=" Hugh Walter"/>
    <x v="0"/>
    <x v="0"/>
    <n v="37"/>
    <x v="0"/>
    <x v="4"/>
    <s v="S"/>
    <x v="0"/>
    <x v="1"/>
    <x v="25"/>
    <x v="1"/>
    <n v="1"/>
    <s v="NA"/>
    <x v="5"/>
    <e v="#VALUE!"/>
    <x v="0"/>
    <s v="no"/>
  </r>
  <r>
    <s v="McGann"/>
    <s v=" Mr"/>
    <s v=" James"/>
    <x v="0"/>
    <x v="0"/>
    <n v="29"/>
    <x v="2"/>
    <x v="3"/>
    <s v="S"/>
    <x v="0"/>
    <x v="1"/>
    <x v="25"/>
    <x v="1"/>
    <n v="1"/>
    <s v="NA"/>
    <x v="5"/>
    <e v="#VALUE!"/>
    <x v="1"/>
    <s v="yes"/>
  </r>
  <r>
    <s v="McGarvey"/>
    <s v=" Mr"/>
    <s v=" Edward Joseph"/>
    <x v="0"/>
    <x v="0"/>
    <n v="34"/>
    <x v="2"/>
    <x v="3"/>
    <s v="S"/>
    <x v="0"/>
    <x v="1"/>
    <x v="25"/>
    <x v="1"/>
    <n v="1"/>
    <s v="NA"/>
    <x v="5"/>
    <e v="#VALUE!"/>
    <x v="0"/>
    <s v="no"/>
  </r>
  <r>
    <s v="McGaw"/>
    <s v=" Mr"/>
    <s v=" Erroll Victor"/>
    <x v="0"/>
    <x v="0"/>
    <n v="30"/>
    <x v="2"/>
    <x v="3"/>
    <s v="S"/>
    <x v="0"/>
    <x v="1"/>
    <x v="25"/>
    <x v="1"/>
    <n v="1"/>
    <s v="NA"/>
    <x v="5"/>
    <e v="#VALUE!"/>
    <x v="0"/>
    <s v="no"/>
  </r>
  <r>
    <s v="McGough"/>
    <s v=" Mr"/>
    <s v=" George Francis 'Paddy'"/>
    <x v="0"/>
    <x v="0"/>
    <n v="36"/>
    <x v="0"/>
    <x v="6"/>
    <s v="S"/>
    <x v="0"/>
    <x v="16"/>
    <x v="25"/>
    <x v="1"/>
    <n v="1"/>
    <s v="NA"/>
    <x v="5"/>
    <e v="#VALUE!"/>
    <x v="1"/>
    <s v="yes"/>
  </r>
  <r>
    <s v="McGrady"/>
    <s v=" Mr"/>
    <s v=" James"/>
    <x v="0"/>
    <x v="0"/>
    <n v="17"/>
    <x v="1"/>
    <x v="4"/>
    <s v="S"/>
    <x v="0"/>
    <x v="1"/>
    <x v="25"/>
    <x v="1"/>
    <n v="1"/>
    <s v="NA"/>
    <x v="5"/>
    <e v="#VALUE!"/>
    <x v="0"/>
    <s v="no"/>
  </r>
  <r>
    <s v="McInerney"/>
    <s v=" Mr"/>
    <s v=" Thomas"/>
    <x v="0"/>
    <x v="0"/>
    <n v="38"/>
    <x v="0"/>
    <x v="3"/>
    <s v="S"/>
    <x v="0"/>
    <x v="1"/>
    <x v="25"/>
    <x v="1"/>
    <n v="1"/>
    <s v="NA"/>
    <x v="5"/>
    <e v="#VALUE!"/>
    <x v="0"/>
    <s v="no"/>
  </r>
  <r>
    <s v="McIntyre"/>
    <s v=" Mr"/>
    <s v=" William"/>
    <x v="0"/>
    <x v="0"/>
    <n v="21"/>
    <x v="2"/>
    <x v="3"/>
    <s v="S"/>
    <x v="0"/>
    <x v="1"/>
    <x v="25"/>
    <x v="1"/>
    <n v="1"/>
    <s v="NA"/>
    <x v="5"/>
    <e v="#VALUE!"/>
    <x v="1"/>
    <s v="yes"/>
  </r>
  <r>
    <s v="McKay"/>
    <s v=" Mr"/>
    <s v=" Charles Donald"/>
    <x v="0"/>
    <x v="0"/>
    <n v="30"/>
    <x v="2"/>
    <x v="4"/>
    <s v="B"/>
    <x v="2"/>
    <x v="1"/>
    <x v="25"/>
    <x v="1"/>
    <n v="1"/>
    <s v="NA"/>
    <x v="5"/>
    <e v="#VALUE!"/>
    <x v="1"/>
    <s v="yes"/>
  </r>
  <r>
    <s v="McLaren"/>
    <s v=" Mrs"/>
    <s v=" Hypatia"/>
    <x v="1"/>
    <x v="1"/>
    <n v="40"/>
    <x v="0"/>
    <x v="4"/>
    <s v="S"/>
    <x v="0"/>
    <x v="1"/>
    <x v="25"/>
    <x v="1"/>
    <n v="1"/>
    <s v="NA"/>
    <x v="5"/>
    <e v="#VALUE!"/>
    <x v="1"/>
    <s v="yes"/>
  </r>
  <r>
    <s v="McMicken"/>
    <s v=" Mr"/>
    <s v=" Arthur"/>
    <x v="0"/>
    <x v="0"/>
    <n v="23"/>
    <x v="2"/>
    <x v="4"/>
    <s v="B"/>
    <x v="2"/>
    <x v="1"/>
    <x v="25"/>
    <x v="1"/>
    <n v="1"/>
    <s v="NA"/>
    <x v="5"/>
    <e v="#VALUE!"/>
    <x v="1"/>
    <s v="yes"/>
  </r>
  <r>
    <s v="McMicken"/>
    <s v=" Mr"/>
    <s v=" Benjamin Tucker"/>
    <x v="0"/>
    <x v="0"/>
    <n v="21"/>
    <x v="2"/>
    <x v="4"/>
    <s v="B"/>
    <x v="2"/>
    <x v="1"/>
    <x v="25"/>
    <x v="1"/>
    <n v="1"/>
    <s v="NA"/>
    <x v="5"/>
    <e v="#VALUE!"/>
    <x v="0"/>
    <s v="no"/>
  </r>
  <r>
    <s v="McMullin"/>
    <s v=" Mr"/>
    <s v=" John Richard"/>
    <x v="0"/>
    <x v="0"/>
    <n v="36"/>
    <x v="0"/>
    <x v="4"/>
    <s v="B"/>
    <x v="2"/>
    <x v="1"/>
    <x v="25"/>
    <x v="1"/>
    <n v="1"/>
    <s v="NA"/>
    <x v="5"/>
    <e v="#VALUE!"/>
    <x v="0"/>
    <s v="no"/>
  </r>
  <r>
    <s v="McMurray"/>
    <s v=" Mr"/>
    <s v=" William"/>
    <x v="0"/>
    <x v="0"/>
    <n v="44"/>
    <x v="0"/>
    <x v="4"/>
    <s v="B"/>
    <x v="2"/>
    <x v="1"/>
    <x v="25"/>
    <x v="1"/>
    <n v="1"/>
    <s v="NA"/>
    <x v="5"/>
    <e v="#VALUE!"/>
    <x v="0"/>
    <s v="no"/>
  </r>
  <r>
    <s v="McQuillan"/>
    <s v=" Mr"/>
    <s v=" William"/>
    <x v="0"/>
    <x v="0"/>
    <n v="26"/>
    <x v="2"/>
    <x v="3"/>
    <s v="B"/>
    <x v="2"/>
    <x v="10"/>
    <x v="25"/>
    <x v="1"/>
    <n v="1"/>
    <s v="NA"/>
    <x v="5"/>
    <e v="#VALUE!"/>
    <x v="0"/>
    <s v="no"/>
  </r>
  <r>
    <s v="McRae"/>
    <s v=" Mr"/>
    <s v=" William Alexander"/>
    <x v="0"/>
    <x v="0"/>
    <n v="32"/>
    <x v="2"/>
    <x v="3"/>
    <s v="S"/>
    <x v="0"/>
    <x v="1"/>
    <x v="25"/>
    <x v="1"/>
    <n v="1"/>
    <s v="NA"/>
    <x v="5"/>
    <e v="#VALUE!"/>
    <x v="0"/>
    <s v="no"/>
  </r>
  <r>
    <s v="McReynolds"/>
    <s v=" Mr"/>
    <s v=" William"/>
    <x v="0"/>
    <x v="0"/>
    <n v="22"/>
    <x v="2"/>
    <x v="3"/>
    <s v="B"/>
    <x v="2"/>
    <x v="10"/>
    <x v="25"/>
    <x v="1"/>
    <n v="1"/>
    <s v="NA"/>
    <x v="5"/>
    <e v="#VALUE!"/>
    <x v="0"/>
    <s v="no"/>
  </r>
  <r>
    <s v="Mellor"/>
    <s v=" Mr"/>
    <s v=" Arthur"/>
    <x v="0"/>
    <x v="0"/>
    <n v="34"/>
    <x v="2"/>
    <x v="4"/>
    <s v="S"/>
    <x v="0"/>
    <x v="1"/>
    <x v="25"/>
    <x v="1"/>
    <n v="1"/>
    <s v="NA"/>
    <x v="5"/>
    <e v="#VALUE!"/>
    <x v="0"/>
    <s v="no"/>
  </r>
  <r>
    <s v="Middleton"/>
    <s v=" Mr"/>
    <s v=" Alfred Pirrie"/>
    <x v="0"/>
    <x v="0"/>
    <n v="27"/>
    <x v="2"/>
    <x v="3"/>
    <s v="B"/>
    <x v="2"/>
    <x v="16"/>
    <x v="25"/>
    <x v="1"/>
    <n v="1"/>
    <s v="NA"/>
    <x v="5"/>
    <e v="#VALUE!"/>
    <x v="0"/>
    <s v="no"/>
  </r>
  <r>
    <s v="Middleton"/>
    <s v=" Mr"/>
    <s v=" Mark Victor"/>
    <x v="0"/>
    <x v="0"/>
    <n v="28"/>
    <x v="2"/>
    <x v="4"/>
    <s v="S"/>
    <x v="0"/>
    <x v="1"/>
    <x v="25"/>
    <x v="1"/>
    <n v="1"/>
    <s v="NA"/>
    <x v="5"/>
    <e v="#VALUE!"/>
    <x v="0"/>
    <s v="no"/>
  </r>
  <r>
    <s v="Milford"/>
    <s v=" Mr"/>
    <s v=" George"/>
    <x v="0"/>
    <x v="0"/>
    <n v="28"/>
    <x v="2"/>
    <x v="3"/>
    <s v="S"/>
    <x v="0"/>
    <x v="1"/>
    <x v="25"/>
    <x v="1"/>
    <n v="1"/>
    <s v="NA"/>
    <x v="5"/>
    <e v="#VALUE!"/>
    <x v="0"/>
    <s v="no"/>
  </r>
  <r>
    <s v="Millar"/>
    <s v=" Mr"/>
    <s v=" Robert"/>
    <x v="0"/>
    <x v="0"/>
    <n v="26"/>
    <x v="2"/>
    <x v="3"/>
    <s v="B"/>
    <x v="2"/>
    <x v="22"/>
    <x v="25"/>
    <x v="1"/>
    <n v="1"/>
    <s v="NA"/>
    <x v="5"/>
    <e v="#VALUE!"/>
    <x v="0"/>
    <s v="no"/>
  </r>
  <r>
    <s v="Millar"/>
    <s v=" Mr"/>
    <s v=" Thomas"/>
    <x v="0"/>
    <x v="0"/>
    <n v="32"/>
    <x v="2"/>
    <x v="3"/>
    <s v="B"/>
    <x v="2"/>
    <x v="10"/>
    <x v="25"/>
    <x v="1"/>
    <n v="1"/>
    <s v="NA"/>
    <x v="5"/>
    <e v="#VALUE!"/>
    <x v="0"/>
    <s v="no"/>
  </r>
  <r>
    <s v="Mills"/>
    <s v=" Mr"/>
    <s v=" Christopher"/>
    <x v="0"/>
    <x v="0"/>
    <n v="51"/>
    <x v="0"/>
    <x v="4"/>
    <s v="S"/>
    <x v="0"/>
    <x v="1"/>
    <x v="25"/>
    <x v="1"/>
    <n v="1"/>
    <s v="NA"/>
    <x v="5"/>
    <e v="#VALUE!"/>
    <x v="1"/>
    <s v="yes"/>
  </r>
  <r>
    <s v="Mintram"/>
    <s v=" Mr"/>
    <s v=" William"/>
    <x v="0"/>
    <x v="0"/>
    <n v="46"/>
    <x v="0"/>
    <x v="3"/>
    <s v="S"/>
    <x v="0"/>
    <x v="1"/>
    <x v="25"/>
    <x v="1"/>
    <n v="1"/>
    <s v="NA"/>
    <x v="5"/>
    <e v="#VALUE!"/>
    <x v="0"/>
    <s v="no"/>
  </r>
  <r>
    <s v="Mishellany"/>
    <s v=" Mr"/>
    <s v=" Abraham Mansoor"/>
    <x v="0"/>
    <x v="0"/>
    <n v="53"/>
    <x v="0"/>
    <x v="4"/>
    <s v="B"/>
    <x v="2"/>
    <x v="4"/>
    <x v="25"/>
    <x v="1"/>
    <n v="1"/>
    <s v="NA"/>
    <x v="5"/>
    <e v="#VALUE!"/>
    <x v="0"/>
    <s v="no"/>
  </r>
  <r>
    <s v="Mitchell"/>
    <s v=" Mr"/>
    <s v=" Lorenzo (Lawrence) Horace"/>
    <x v="0"/>
    <x v="0"/>
    <n v="19"/>
    <x v="2"/>
    <x v="3"/>
    <s v="S"/>
    <x v="0"/>
    <x v="1"/>
    <x v="25"/>
    <x v="1"/>
    <n v="1"/>
    <s v="NA"/>
    <x v="5"/>
    <e v="#VALUE!"/>
    <x v="0"/>
    <s v="no"/>
  </r>
  <r>
    <s v="MonrÃ³s"/>
    <s v=" Sr"/>
    <s v=" Joan Javier"/>
    <x v="0"/>
    <x v="0"/>
    <n v="20"/>
    <x v="2"/>
    <x v="5"/>
    <s v="S"/>
    <x v="0"/>
    <x v="29"/>
    <x v="25"/>
    <x v="1"/>
    <n v="1"/>
    <s v="NA"/>
    <x v="5"/>
    <e v="#VALUE!"/>
    <x v="0"/>
    <s v="no"/>
  </r>
  <r>
    <s v="Monteverdi"/>
    <s v=" Sig"/>
    <s v=" Giovanni"/>
    <x v="0"/>
    <x v="0"/>
    <n v="23"/>
    <x v="2"/>
    <x v="5"/>
    <s v="S"/>
    <x v="0"/>
    <x v="1"/>
    <x v="25"/>
    <x v="1"/>
    <n v="1"/>
    <s v="NA"/>
    <x v="5"/>
    <e v="#VALUE!"/>
    <x v="0"/>
    <s v="no"/>
  </r>
  <r>
    <s v="Moody"/>
    <s v=" Mr"/>
    <s v=" James Paul"/>
    <x v="0"/>
    <x v="0"/>
    <n v="24"/>
    <x v="2"/>
    <x v="6"/>
    <s v="B"/>
    <x v="2"/>
    <x v="1"/>
    <x v="25"/>
    <x v="1"/>
    <n v="1"/>
    <s v="NA"/>
    <x v="5"/>
    <e v="#VALUE!"/>
    <x v="0"/>
    <s v="no"/>
  </r>
  <r>
    <s v="Moore"/>
    <s v=" Mr"/>
    <s v=" Alfred Ernest"/>
    <x v="0"/>
    <x v="0"/>
    <n v="39"/>
    <x v="0"/>
    <x v="4"/>
    <s v="S"/>
    <x v="0"/>
    <x v="1"/>
    <x v="25"/>
    <x v="1"/>
    <n v="1"/>
    <s v="NA"/>
    <x v="5"/>
    <e v="#VALUE!"/>
    <x v="0"/>
    <s v="no"/>
  </r>
  <r>
    <s v="Moore"/>
    <s v=" Mr"/>
    <s v=" George Alfred"/>
    <x v="0"/>
    <x v="0"/>
    <n v="32"/>
    <x v="2"/>
    <x v="6"/>
    <s v="S"/>
    <x v="0"/>
    <x v="1"/>
    <x v="25"/>
    <x v="1"/>
    <n v="1"/>
    <s v="NA"/>
    <x v="5"/>
    <e v="#VALUE!"/>
    <x v="1"/>
    <s v="yes"/>
  </r>
  <r>
    <s v="Moore"/>
    <s v=" Mr"/>
    <s v=" John J"/>
    <x v="0"/>
    <x v="0"/>
    <n v="29"/>
    <x v="2"/>
    <x v="3"/>
    <s v="S"/>
    <x v="0"/>
    <x v="1"/>
    <x v="25"/>
    <x v="1"/>
    <n v="1"/>
    <s v="NA"/>
    <x v="5"/>
    <e v="#VALUE!"/>
    <x v="1"/>
    <s v="yes"/>
  </r>
  <r>
    <s v="Moore"/>
    <s v=" Mr"/>
    <s v=" Ralph"/>
    <x v="0"/>
    <x v="0"/>
    <n v="22"/>
    <x v="2"/>
    <x v="3"/>
    <s v="S"/>
    <x v="0"/>
    <x v="1"/>
    <x v="25"/>
    <x v="1"/>
    <n v="1"/>
    <s v="NA"/>
    <x v="5"/>
    <e v="#VALUE!"/>
    <x v="0"/>
    <s v="no"/>
  </r>
  <r>
    <s v="Moores"/>
    <s v=" Mr"/>
    <s v=" Richard Henry"/>
    <x v="0"/>
    <x v="0"/>
    <n v="44"/>
    <x v="0"/>
    <x v="3"/>
    <s v="S"/>
    <x v="0"/>
    <x v="1"/>
    <x v="25"/>
    <x v="1"/>
    <n v="1"/>
    <s v="NA"/>
    <x v="5"/>
    <e v="#VALUE!"/>
    <x v="0"/>
    <s v="no"/>
  </r>
  <r>
    <s v="Morgan (Bird)"/>
    <s v=" Mr"/>
    <s v=" Charles Frederick"/>
    <x v="0"/>
    <x v="0"/>
    <n v="42"/>
    <x v="0"/>
    <x v="4"/>
    <s v="S"/>
    <x v="0"/>
    <x v="1"/>
    <x v="25"/>
    <x v="1"/>
    <n v="1"/>
    <s v="NA"/>
    <x v="5"/>
    <e v="#VALUE!"/>
    <x v="0"/>
    <s v="no"/>
  </r>
  <r>
    <s v="Morgan"/>
    <s v=" Mr"/>
    <s v=" Arthur Herbert"/>
    <x v="0"/>
    <x v="0"/>
    <n v="27"/>
    <x v="2"/>
    <x v="3"/>
    <s v="S"/>
    <x v="0"/>
    <x v="1"/>
    <x v="25"/>
    <x v="1"/>
    <n v="1"/>
    <s v="NA"/>
    <x v="5"/>
    <e v="#VALUE!"/>
    <x v="0"/>
    <s v="no"/>
  </r>
  <r>
    <s v="Morgan"/>
    <s v=" Mr"/>
    <s v=" Thomas A"/>
    <x v="0"/>
    <x v="0"/>
    <n v="26"/>
    <x v="2"/>
    <x v="3"/>
    <s v="S"/>
    <x v="0"/>
    <x v="1"/>
    <x v="25"/>
    <x v="1"/>
    <n v="1"/>
    <s v="NA"/>
    <x v="5"/>
    <e v="#VALUE!"/>
    <x v="0"/>
    <s v="no"/>
  </r>
  <r>
    <s v="Morris"/>
    <s v=" Mr"/>
    <s v=" Arthur"/>
    <x v="0"/>
    <x v="0"/>
    <n v="30"/>
    <x v="2"/>
    <x v="3"/>
    <s v="S"/>
    <x v="0"/>
    <x v="1"/>
    <x v="25"/>
    <x v="1"/>
    <n v="1"/>
    <s v="NA"/>
    <x v="5"/>
    <e v="#VALUE!"/>
    <x v="0"/>
    <s v="no"/>
  </r>
  <r>
    <s v="Morris"/>
    <s v=" Mr"/>
    <s v=" Frank Herbert"/>
    <x v="0"/>
    <x v="0"/>
    <n v="28"/>
    <x v="2"/>
    <x v="4"/>
    <s v="B"/>
    <x v="2"/>
    <x v="1"/>
    <x v="25"/>
    <x v="1"/>
    <n v="1"/>
    <s v="NA"/>
    <x v="5"/>
    <e v="#VALUE!"/>
    <x v="1"/>
    <s v="yes"/>
  </r>
  <r>
    <s v="Morris"/>
    <s v=" Mr"/>
    <s v=" William Edward"/>
    <x v="0"/>
    <x v="0"/>
    <n v="23"/>
    <x v="2"/>
    <x v="3"/>
    <s v="S"/>
    <x v="0"/>
    <x v="1"/>
    <x v="25"/>
    <x v="1"/>
    <n v="1"/>
    <s v="NA"/>
    <x v="5"/>
    <e v="#VALUE!"/>
    <x v="0"/>
    <s v="no"/>
  </r>
  <r>
    <s v="Moss"/>
    <s v=" Mr"/>
    <s v=" William"/>
    <x v="0"/>
    <x v="0"/>
    <n v="36"/>
    <x v="0"/>
    <x v="4"/>
    <s v="B"/>
    <x v="2"/>
    <x v="1"/>
    <x v="25"/>
    <x v="1"/>
    <n v="1"/>
    <s v="NA"/>
    <x v="5"/>
    <e v="#VALUE!"/>
    <x v="0"/>
    <s v="no"/>
  </r>
  <r>
    <s v="Moyes"/>
    <s v=" Mr"/>
    <s v=" William Young"/>
    <x v="0"/>
    <x v="0"/>
    <n v="24"/>
    <x v="2"/>
    <x v="3"/>
    <s v="B"/>
    <x v="2"/>
    <x v="22"/>
    <x v="25"/>
    <x v="1"/>
    <n v="1"/>
    <s v="NA"/>
    <x v="5"/>
    <e v="#VALUE!"/>
    <x v="0"/>
    <s v="no"/>
  </r>
  <r>
    <s v="MÃ¼ller"/>
    <s v=" Mr"/>
    <s v=" Ludwig"/>
    <x v="0"/>
    <x v="0"/>
    <n v="37"/>
    <x v="0"/>
    <x v="4"/>
    <s v="S"/>
    <x v="0"/>
    <x v="1"/>
    <x v="25"/>
    <x v="1"/>
    <n v="1"/>
    <s v="NA"/>
    <x v="5"/>
    <e v="#VALUE!"/>
    <x v="0"/>
    <s v="no"/>
  </r>
  <r>
    <s v="Mullin"/>
    <s v=" Mr"/>
    <s v=" Thomas"/>
    <x v="0"/>
    <x v="0"/>
    <n v="20"/>
    <x v="2"/>
    <x v="4"/>
    <s v="S"/>
    <x v="0"/>
    <x v="22"/>
    <x v="25"/>
    <x v="1"/>
    <n v="1"/>
    <s v="NA"/>
    <x v="5"/>
    <e v="#VALUE!"/>
    <x v="0"/>
    <s v="no"/>
  </r>
  <r>
    <s v="Murdoch"/>
    <s v=" Mr"/>
    <s v=" William McMaster"/>
    <x v="0"/>
    <x v="0"/>
    <n v="39"/>
    <x v="0"/>
    <x v="6"/>
    <s v="B"/>
    <x v="2"/>
    <x v="22"/>
    <x v="25"/>
    <x v="1"/>
    <n v="1"/>
    <s v="NA"/>
    <x v="5"/>
    <e v="#VALUE!"/>
    <x v="0"/>
    <s v="no"/>
  </r>
  <r>
    <s v="Nannini"/>
    <s v=" Sig"/>
    <s v=" Francesco Luigi Arcangelo"/>
    <x v="0"/>
    <x v="0"/>
    <n v="42"/>
    <x v="0"/>
    <x v="5"/>
    <s v="S"/>
    <x v="0"/>
    <x v="17"/>
    <x v="25"/>
    <x v="1"/>
    <n v="1"/>
    <s v="NA"/>
    <x v="5"/>
    <e v="#VALUE!"/>
    <x v="0"/>
    <s v="no"/>
  </r>
  <r>
    <s v="Neal"/>
    <s v=" Mr"/>
    <s v=" Bentley Harold"/>
    <x v="0"/>
    <x v="0"/>
    <n v="26"/>
    <x v="2"/>
    <x v="4"/>
    <s v="S"/>
    <x v="0"/>
    <x v="1"/>
    <x v="25"/>
    <x v="1"/>
    <n v="1"/>
    <s v="NA"/>
    <x v="5"/>
    <e v="#VALUE!"/>
    <x v="1"/>
    <s v="yes"/>
  </r>
  <r>
    <s v="Nettleton"/>
    <s v=" Mr"/>
    <s v=" George Walter"/>
    <x v="0"/>
    <x v="0"/>
    <n v="30"/>
    <x v="2"/>
    <x v="3"/>
    <s v="S"/>
    <x v="0"/>
    <x v="1"/>
    <x v="25"/>
    <x v="1"/>
    <n v="1"/>
    <s v="NA"/>
    <x v="5"/>
    <e v="#VALUE!"/>
    <x v="0"/>
    <s v="no"/>
  </r>
  <r>
    <s v="Newman"/>
    <s v=" Mr"/>
    <s v=" Charles Thomas"/>
    <x v="0"/>
    <x v="0"/>
    <n v="33"/>
    <x v="2"/>
    <x v="3"/>
    <s v="S"/>
    <x v="0"/>
    <x v="1"/>
    <x v="25"/>
    <x v="1"/>
    <n v="1"/>
    <s v="NA"/>
    <x v="5"/>
    <e v="#VALUE!"/>
    <x v="0"/>
    <s v="no"/>
  </r>
  <r>
    <s v="Nicholls"/>
    <s v=" Mr"/>
    <s v=" Sidney"/>
    <x v="0"/>
    <x v="0"/>
    <n v="39"/>
    <x v="0"/>
    <x v="4"/>
    <s v="S"/>
    <x v="0"/>
    <x v="1"/>
    <x v="25"/>
    <x v="1"/>
    <n v="1"/>
    <s v="NA"/>
    <x v="5"/>
    <e v="#VALUE!"/>
    <x v="0"/>
    <s v="no"/>
  </r>
  <r>
    <s v="Nichols"/>
    <s v=" Mr"/>
    <s v=" Alfred William Stanley"/>
    <x v="0"/>
    <x v="0"/>
    <n v="48"/>
    <x v="0"/>
    <x v="6"/>
    <s v="B"/>
    <x v="2"/>
    <x v="27"/>
    <x v="25"/>
    <x v="1"/>
    <n v="1"/>
    <s v="NA"/>
    <x v="5"/>
    <e v="#VALUE!"/>
    <x v="0"/>
    <s v="no"/>
  </r>
  <r>
    <s v="Nichols"/>
    <s v=" Mr"/>
    <s v=" Arthur"/>
    <x v="0"/>
    <x v="0"/>
    <n v="46"/>
    <x v="0"/>
    <x v="4"/>
    <s v="S"/>
    <x v="0"/>
    <x v="1"/>
    <x v="25"/>
    <x v="1"/>
    <n v="1"/>
    <s v="NA"/>
    <x v="5"/>
    <e v="#VALUE!"/>
    <x v="0"/>
    <s v="no"/>
  </r>
  <r>
    <s v="Nichols"/>
    <s v=" Mr"/>
    <s v=" Walter Henry"/>
    <x v="0"/>
    <x v="0"/>
    <n v="35"/>
    <x v="2"/>
    <x v="4"/>
    <s v="S"/>
    <x v="0"/>
    <x v="1"/>
    <x v="25"/>
    <x v="1"/>
    <n v="1"/>
    <s v="NA"/>
    <x v="5"/>
    <e v="#VALUE!"/>
    <x v="1"/>
    <s v="yes"/>
  </r>
  <r>
    <s v="Niven"/>
    <s v=" Mr"/>
    <s v=" John Brown"/>
    <x v="0"/>
    <x v="0"/>
    <n v="30"/>
    <x v="2"/>
    <x v="3"/>
    <s v="S"/>
    <x v="0"/>
    <x v="22"/>
    <x v="25"/>
    <x v="1"/>
    <n v="1"/>
    <s v="NA"/>
    <x v="5"/>
    <e v="#VALUE!"/>
    <x v="0"/>
    <s v="no"/>
  </r>
  <r>
    <s v="Noon"/>
    <s v=" Mr"/>
    <s v=" John Thomas"/>
    <x v="0"/>
    <x v="0"/>
    <n v="42"/>
    <x v="0"/>
    <x v="3"/>
    <s v="S"/>
    <x v="0"/>
    <x v="1"/>
    <x v="25"/>
    <x v="1"/>
    <n v="1"/>
    <s v="NA"/>
    <x v="5"/>
    <e v="#VALUE!"/>
    <x v="0"/>
    <s v="no"/>
  </r>
  <r>
    <s v="Norris"/>
    <s v=" Mr"/>
    <s v=" James"/>
    <x v="0"/>
    <x v="0"/>
    <n v="22"/>
    <x v="2"/>
    <x v="3"/>
    <s v="S"/>
    <x v="0"/>
    <x v="1"/>
    <x v="25"/>
    <x v="1"/>
    <n v="1"/>
    <s v="NA"/>
    <x v="5"/>
    <e v="#VALUE!"/>
    <x v="0"/>
    <s v="no"/>
  </r>
  <r>
    <s v="Noss"/>
    <s v=" Mr"/>
    <s v=" Bertram Arthur"/>
    <x v="0"/>
    <x v="0"/>
    <n v="21"/>
    <x v="2"/>
    <x v="3"/>
    <s v="S"/>
    <x v="0"/>
    <x v="1"/>
    <x v="25"/>
    <x v="1"/>
    <n v="1"/>
    <s v="NA"/>
    <x v="5"/>
    <e v="#VALUE!"/>
    <x v="0"/>
    <s v="no"/>
  </r>
  <r>
    <s v="Noss"/>
    <s v=" Mr"/>
    <s v=" Henry"/>
    <x v="0"/>
    <x v="0"/>
    <n v="30"/>
    <x v="2"/>
    <x v="3"/>
    <s v="S"/>
    <x v="0"/>
    <x v="1"/>
    <x v="25"/>
    <x v="1"/>
    <n v="1"/>
    <s v="NA"/>
    <x v="5"/>
    <e v="#VALUE!"/>
    <x v="1"/>
    <s v="yes"/>
  </r>
  <r>
    <s v="Nutbean"/>
    <s v=" Mr"/>
    <s v=" William"/>
    <x v="0"/>
    <x v="0"/>
    <n v="30"/>
    <x v="2"/>
    <x v="3"/>
    <s v="S"/>
    <x v="0"/>
    <x v="1"/>
    <x v="25"/>
    <x v="1"/>
    <n v="1"/>
    <s v="NA"/>
    <x v="5"/>
    <e v="#VALUE!"/>
    <x v="1"/>
    <s v="yes"/>
  </r>
  <r>
    <s v="O'Connor"/>
    <s v=" Mr"/>
    <s v=" John"/>
    <x v="0"/>
    <x v="0"/>
    <n v="29"/>
    <x v="2"/>
    <x v="3"/>
    <s v="S"/>
    <x v="0"/>
    <x v="1"/>
    <x v="25"/>
    <x v="1"/>
    <n v="1"/>
    <s v="NA"/>
    <x v="5"/>
    <e v="#VALUE!"/>
    <x v="1"/>
    <s v="yes"/>
  </r>
  <r>
    <s v="O'Connor"/>
    <s v=" Mr"/>
    <s v=" Thomas Peter"/>
    <x v="0"/>
    <x v="0"/>
    <n v="44"/>
    <x v="0"/>
    <x v="4"/>
    <s v="B"/>
    <x v="2"/>
    <x v="1"/>
    <x v="25"/>
    <x v="1"/>
    <n v="1"/>
    <s v="NA"/>
    <x v="5"/>
    <e v="#VALUE!"/>
    <x v="0"/>
    <s v="no"/>
  </r>
  <r>
    <s v="Olive"/>
    <s v=" Mr"/>
    <s v=" Charles"/>
    <x v="0"/>
    <x v="0"/>
    <n v="31"/>
    <x v="2"/>
    <x v="3"/>
    <s v="S"/>
    <x v="0"/>
    <x v="1"/>
    <x v="25"/>
    <x v="1"/>
    <n v="1"/>
    <s v="NA"/>
    <x v="5"/>
    <e v="#VALUE!"/>
    <x v="0"/>
    <s v="no"/>
  </r>
  <r>
    <s v="Olive"/>
    <s v=" Mr"/>
    <s v=" Ernest Roskelly"/>
    <x v="0"/>
    <x v="0"/>
    <n v="27"/>
    <x v="2"/>
    <x v="4"/>
    <s v="S"/>
    <x v="0"/>
    <x v="1"/>
    <x v="25"/>
    <x v="1"/>
    <n v="1"/>
    <s v="NA"/>
    <x v="5"/>
    <e v="#VALUE!"/>
    <x v="0"/>
    <s v="no"/>
  </r>
  <r>
    <s v="Oliver"/>
    <s v=" Mr"/>
    <s v=" H"/>
    <x v="0"/>
    <x v="0"/>
    <n v="32"/>
    <x v="2"/>
    <x v="3"/>
    <s v="S"/>
    <x v="0"/>
    <x v="1"/>
    <x v="25"/>
    <x v="1"/>
    <n v="1"/>
    <s v="NA"/>
    <x v="5"/>
    <e v="#VALUE!"/>
    <x v="1"/>
    <s v="yes"/>
  </r>
  <r>
    <s v="Olliver"/>
    <s v=" Mr"/>
    <s v=" Alfred John"/>
    <x v="0"/>
    <x v="0"/>
    <n v="27"/>
    <x v="2"/>
    <x v="6"/>
    <s v="B"/>
    <x v="2"/>
    <x v="13"/>
    <x v="25"/>
    <x v="1"/>
    <n v="1"/>
    <s v="NA"/>
    <x v="5"/>
    <e v="#VALUE!"/>
    <x v="1"/>
    <s v="yes"/>
  </r>
  <r>
    <s v="O'Loughlin"/>
    <s v=" Dr"/>
    <s v=" William Francis Norman"/>
    <x v="0"/>
    <x v="0"/>
    <n v="63"/>
    <x v="4"/>
    <x v="6"/>
    <s v="B"/>
    <x v="2"/>
    <x v="1"/>
    <x v="25"/>
    <x v="1"/>
    <n v="1"/>
    <s v="NA"/>
    <x v="5"/>
    <e v="#VALUE!"/>
    <x v="0"/>
    <s v="no"/>
  </r>
  <r>
    <s v="Orpet"/>
    <s v=" Mr"/>
    <s v=" Walter Hayward"/>
    <x v="0"/>
    <x v="0"/>
    <n v="31"/>
    <x v="2"/>
    <x v="4"/>
    <s v="S"/>
    <x v="0"/>
    <x v="1"/>
    <x v="25"/>
    <x v="1"/>
    <n v="1"/>
    <s v="NA"/>
    <x v="5"/>
    <e v="#VALUE!"/>
    <x v="0"/>
    <s v="no"/>
  </r>
  <r>
    <s v="Orr"/>
    <s v=" Mr"/>
    <s v=" James"/>
    <x v="0"/>
    <x v="0"/>
    <n v="39"/>
    <x v="0"/>
    <x v="4"/>
    <s v="S"/>
    <x v="0"/>
    <x v="22"/>
    <x v="25"/>
    <x v="1"/>
    <n v="1"/>
    <s v="NA"/>
    <x v="5"/>
    <e v="#VALUE!"/>
    <x v="0"/>
    <s v="no"/>
  </r>
  <r>
    <s v="Osborne"/>
    <s v=" Mr"/>
    <s v=" William Edward"/>
    <x v="0"/>
    <x v="0"/>
    <n v="32"/>
    <x v="2"/>
    <x v="4"/>
    <s v="B"/>
    <x v="2"/>
    <x v="1"/>
    <x v="25"/>
    <x v="1"/>
    <n v="1"/>
    <s v="NA"/>
    <x v="5"/>
    <e v="#VALUE!"/>
    <x v="0"/>
    <s v="no"/>
  </r>
  <r>
    <s v="Osman"/>
    <s v=" Mr"/>
    <s v=" Frank"/>
    <x v="0"/>
    <x v="0"/>
    <n v="27"/>
    <x v="2"/>
    <x v="6"/>
    <s v="S"/>
    <x v="0"/>
    <x v="1"/>
    <x v="25"/>
    <x v="1"/>
    <n v="1"/>
    <s v="NA"/>
    <x v="5"/>
    <e v="#VALUE!"/>
    <x v="1"/>
    <s v="yes"/>
  </r>
  <r>
    <s v="Othen"/>
    <s v=" Mr"/>
    <s v=" Charles Alfred"/>
    <x v="0"/>
    <x v="0"/>
    <n v="36"/>
    <x v="0"/>
    <x v="3"/>
    <s v="S"/>
    <x v="0"/>
    <x v="1"/>
    <x v="25"/>
    <x v="1"/>
    <n v="1"/>
    <s v="NA"/>
    <x v="5"/>
    <e v="#VALUE!"/>
    <x v="1"/>
    <s v="yes"/>
  </r>
  <r>
    <s v="Owen"/>
    <s v=" Mr"/>
    <s v=" Lewis"/>
    <x v="0"/>
    <x v="0"/>
    <n v="43"/>
    <x v="0"/>
    <x v="4"/>
    <s v="S"/>
    <x v="0"/>
    <x v="19"/>
    <x v="25"/>
    <x v="1"/>
    <n v="1"/>
    <s v="NA"/>
    <x v="5"/>
    <e v="#VALUE!"/>
    <x v="0"/>
    <s v="no"/>
  </r>
  <r>
    <s v="Pacey"/>
    <s v=" Mr"/>
    <s v=" Reginald lvan"/>
    <x v="0"/>
    <x v="0"/>
    <n v="17"/>
    <x v="1"/>
    <x v="4"/>
    <s v="S"/>
    <x v="0"/>
    <x v="1"/>
    <x v="25"/>
    <x v="1"/>
    <n v="1"/>
    <s v="NA"/>
    <x v="5"/>
    <e v="#VALUE!"/>
    <x v="0"/>
    <s v="no"/>
  </r>
  <r>
    <s v="Pachera"/>
    <s v=" Sig"/>
    <s v=" Jean Baptiste Stanislas"/>
    <x v="0"/>
    <x v="0"/>
    <n v="19"/>
    <x v="2"/>
    <x v="5"/>
    <s v="S"/>
    <x v="0"/>
    <x v="1"/>
    <x v="25"/>
    <x v="1"/>
    <n v="1"/>
    <s v="NA"/>
    <x v="5"/>
    <e v="#VALUE!"/>
    <x v="0"/>
    <s v="no"/>
  </r>
  <r>
    <s v="Paice"/>
    <s v=" Mr"/>
    <s v=" Richard Charles John"/>
    <x v="0"/>
    <x v="0"/>
    <n v="32"/>
    <x v="2"/>
    <x v="3"/>
    <s v="S"/>
    <x v="0"/>
    <x v="1"/>
    <x v="25"/>
    <x v="1"/>
    <n v="1"/>
    <s v="NA"/>
    <x v="5"/>
    <e v="#VALUE!"/>
    <x v="0"/>
    <s v="no"/>
  </r>
  <r>
    <s v="Painter"/>
    <s v=" Mr"/>
    <s v=" Charles"/>
    <x v="0"/>
    <x v="0"/>
    <n v="32"/>
    <x v="2"/>
    <x v="3"/>
    <s v="S"/>
    <x v="0"/>
    <x v="1"/>
    <x v="25"/>
    <x v="1"/>
    <n v="1"/>
    <s v="NA"/>
    <x v="5"/>
    <e v="#VALUE!"/>
    <x v="0"/>
    <s v="no"/>
  </r>
  <r>
    <s v="Painter"/>
    <s v=" Mr"/>
    <s v=" Frank"/>
    <x v="0"/>
    <x v="0"/>
    <n v="29"/>
    <x v="2"/>
    <x v="3"/>
    <s v="S"/>
    <x v="0"/>
    <x v="1"/>
    <x v="25"/>
    <x v="1"/>
    <n v="1"/>
    <s v="NA"/>
    <x v="5"/>
    <e v="#VALUE!"/>
    <x v="0"/>
    <s v="no"/>
  </r>
  <r>
    <s v="Paintin"/>
    <s v=" Mr"/>
    <s v=" James Arthur"/>
    <x v="0"/>
    <x v="0"/>
    <n v="29"/>
    <x v="2"/>
    <x v="4"/>
    <s v="S"/>
    <x v="0"/>
    <x v="1"/>
    <x v="25"/>
    <x v="1"/>
    <n v="1"/>
    <s v="NA"/>
    <x v="5"/>
    <e v="#VALUE!"/>
    <x v="0"/>
    <s v="no"/>
  </r>
  <r>
    <s v="Palles"/>
    <s v=" Mr"/>
    <s v=" Thomas Henry Michael"/>
    <x v="0"/>
    <x v="0"/>
    <n v="45"/>
    <x v="0"/>
    <x v="3"/>
    <s v="B"/>
    <x v="2"/>
    <x v="1"/>
    <x v="25"/>
    <x v="1"/>
    <n v="1"/>
    <s v="NA"/>
    <x v="5"/>
    <e v="#VALUE!"/>
    <x v="0"/>
    <s v="no"/>
  </r>
  <r>
    <s v="Parsons"/>
    <s v=" Mr"/>
    <s v=" Edward"/>
    <x v="0"/>
    <x v="0"/>
    <n v="37"/>
    <x v="0"/>
    <x v="4"/>
    <s v="S"/>
    <x v="0"/>
    <x v="1"/>
    <x v="25"/>
    <x v="1"/>
    <n v="1"/>
    <s v="NA"/>
    <x v="5"/>
    <e v="#VALUE!"/>
    <x v="0"/>
    <s v="no"/>
  </r>
  <r>
    <s v="Parsons"/>
    <s v=" Mr"/>
    <s v=" Frank Alfred"/>
    <x v="0"/>
    <x v="0"/>
    <n v="27"/>
    <x v="2"/>
    <x v="3"/>
    <s v="B"/>
    <x v="2"/>
    <x v="1"/>
    <x v="25"/>
    <x v="1"/>
    <n v="1"/>
    <s v="NA"/>
    <x v="5"/>
    <e v="#VALUE!"/>
    <x v="0"/>
    <s v="no"/>
  </r>
  <r>
    <s v="Parsons"/>
    <s v=" Mr"/>
    <s v=" Richard Henry"/>
    <x v="0"/>
    <x v="0"/>
    <n v="18"/>
    <x v="2"/>
    <x v="4"/>
    <s v="S"/>
    <x v="0"/>
    <x v="1"/>
    <x v="25"/>
    <x v="1"/>
    <n v="1"/>
    <s v="NA"/>
    <x v="5"/>
    <e v="#VALUE!"/>
    <x v="0"/>
    <s v="no"/>
  </r>
  <r>
    <s v="Pascoe"/>
    <s v=" Mr"/>
    <s v=" Charles H"/>
    <x v="0"/>
    <x v="0"/>
    <n v="45"/>
    <x v="0"/>
    <x v="6"/>
    <s v="S"/>
    <x v="0"/>
    <x v="1"/>
    <x v="25"/>
    <x v="1"/>
    <n v="1"/>
    <s v="NA"/>
    <x v="5"/>
    <e v="#VALUE!"/>
    <x v="1"/>
    <s v="yes"/>
  </r>
  <r>
    <s v="Pearce"/>
    <s v=" Mr"/>
    <s v=" Alfred Emest"/>
    <x v="0"/>
    <x v="0"/>
    <n v="24"/>
    <x v="2"/>
    <x v="4"/>
    <s v="S"/>
    <x v="0"/>
    <x v="1"/>
    <x v="25"/>
    <x v="1"/>
    <n v="1"/>
    <s v="NA"/>
    <x v="5"/>
    <e v="#VALUE!"/>
    <x v="0"/>
    <s v="no"/>
  </r>
  <r>
    <s v="Pearce"/>
    <s v=" Mr"/>
    <s v=" John"/>
    <x v="0"/>
    <x v="0"/>
    <n v="28"/>
    <x v="2"/>
    <x v="3"/>
    <s v="S"/>
    <x v="0"/>
    <x v="1"/>
    <x v="25"/>
    <x v="1"/>
    <n v="1"/>
    <s v="NA"/>
    <x v="5"/>
    <e v="#VALUE!"/>
    <x v="1"/>
    <s v="yes"/>
  </r>
  <r>
    <s v="Pearcey"/>
    <s v=" Mr"/>
    <s v=" Albert Victor"/>
    <x v="0"/>
    <x v="0"/>
    <n v="25"/>
    <x v="2"/>
    <x v="4"/>
    <s v="S"/>
    <x v="0"/>
    <x v="1"/>
    <x v="25"/>
    <x v="1"/>
    <n v="1"/>
    <s v="NA"/>
    <x v="5"/>
    <e v="#VALUE!"/>
    <x v="1"/>
    <s v="yes"/>
  </r>
  <r>
    <s v="Pedrini"/>
    <s v=" Sig"/>
    <s v=" Alessandro"/>
    <x v="0"/>
    <x v="0"/>
    <n v="21"/>
    <x v="2"/>
    <x v="5"/>
    <s v="S"/>
    <x v="0"/>
    <x v="1"/>
    <x v="25"/>
    <x v="1"/>
    <n v="1"/>
    <s v="NA"/>
    <x v="5"/>
    <e v="#VALUE!"/>
    <x v="0"/>
    <s v="no"/>
  </r>
  <r>
    <s v="Pelham"/>
    <s v=" Mr"/>
    <s v=" George"/>
    <x v="0"/>
    <x v="0"/>
    <n v="39"/>
    <x v="0"/>
    <x v="3"/>
    <s v="S"/>
    <x v="0"/>
    <x v="1"/>
    <x v="25"/>
    <x v="1"/>
    <n v="1"/>
    <s v="NA"/>
    <x v="5"/>
    <e v="#VALUE!"/>
    <x v="1"/>
    <s v="yes"/>
  </r>
  <r>
    <s v="Pennal"/>
    <s v=" Mr"/>
    <s v=" Thomas Frederick Cohen"/>
    <x v="0"/>
    <x v="0"/>
    <n v="34"/>
    <x v="2"/>
    <x v="4"/>
    <s v="S"/>
    <x v="0"/>
    <x v="1"/>
    <x v="25"/>
    <x v="1"/>
    <n v="1"/>
    <s v="NA"/>
    <x v="5"/>
    <e v="#VALUE!"/>
    <x v="0"/>
    <s v="no"/>
  </r>
  <r>
    <s v="Penny"/>
    <s v=" Mr"/>
    <s v=" William Farr"/>
    <x v="0"/>
    <x v="0"/>
    <n v="31"/>
    <x v="2"/>
    <x v="4"/>
    <s v="S"/>
    <x v="0"/>
    <x v="1"/>
    <x v="25"/>
    <x v="1"/>
    <n v="1"/>
    <s v="NA"/>
    <x v="5"/>
    <e v="#VALUE!"/>
    <x v="0"/>
    <s v="no"/>
  </r>
  <r>
    <s v="Penrose"/>
    <s v=" Mr"/>
    <s v=" John Poole"/>
    <x v="0"/>
    <x v="0"/>
    <n v="49"/>
    <x v="0"/>
    <x v="4"/>
    <s v="B"/>
    <x v="2"/>
    <x v="1"/>
    <x v="25"/>
    <x v="1"/>
    <n v="1"/>
    <s v="NA"/>
    <x v="5"/>
    <e v="#VALUE!"/>
    <x v="0"/>
    <s v="no"/>
  </r>
  <r>
    <s v="Peracchio"/>
    <s v=" Sig"/>
    <s v=" Alberto"/>
    <x v="0"/>
    <x v="0"/>
    <n v="20"/>
    <x v="2"/>
    <x v="5"/>
    <s v="S"/>
    <x v="0"/>
    <x v="1"/>
    <x v="25"/>
    <x v="1"/>
    <n v="1"/>
    <s v="NA"/>
    <x v="5"/>
    <e v="#VALUE!"/>
    <x v="0"/>
    <s v="no"/>
  </r>
  <r>
    <s v="Peracchio"/>
    <s v=" Sig"/>
    <s v=" Sebastiano"/>
    <x v="0"/>
    <x v="0"/>
    <n v="17"/>
    <x v="1"/>
    <x v="5"/>
    <s v="S"/>
    <x v="0"/>
    <x v="1"/>
    <x v="25"/>
    <x v="1"/>
    <n v="1"/>
    <s v="NA"/>
    <x v="5"/>
    <e v="#VALUE!"/>
    <x v="0"/>
    <s v="no"/>
  </r>
  <r>
    <s v="Perkins"/>
    <s v=" Mr"/>
    <s v=" Laurence Alexander"/>
    <x v="0"/>
    <x v="0"/>
    <n v="22"/>
    <x v="2"/>
    <x v="4"/>
    <s v="S"/>
    <x v="0"/>
    <x v="1"/>
    <x v="25"/>
    <x v="1"/>
    <n v="1"/>
    <s v="NA"/>
    <x v="5"/>
    <e v="#VALUE!"/>
    <x v="0"/>
    <s v="no"/>
  </r>
  <r>
    <s v="Perkis"/>
    <s v=" Mr"/>
    <s v=" Walter John"/>
    <x v="0"/>
    <x v="0"/>
    <n v="37"/>
    <x v="0"/>
    <x v="6"/>
    <s v="B"/>
    <x v="2"/>
    <x v="1"/>
    <x v="25"/>
    <x v="1"/>
    <n v="1"/>
    <s v="NA"/>
    <x v="5"/>
    <e v="#VALUE!"/>
    <x v="1"/>
    <s v="yes"/>
  </r>
  <r>
    <s v="Perotti"/>
    <s v=" Sig"/>
    <s v=" Alfonso"/>
    <x v="0"/>
    <x v="0"/>
    <n v="20"/>
    <x v="2"/>
    <x v="5"/>
    <s v="S"/>
    <x v="0"/>
    <x v="1"/>
    <x v="25"/>
    <x v="1"/>
    <n v="1"/>
    <s v="NA"/>
    <x v="5"/>
    <e v="#VALUE!"/>
    <x v="0"/>
    <s v="no"/>
  </r>
  <r>
    <s v="Perren"/>
    <s v=" Mr"/>
    <s v=" William Charles"/>
    <x v="0"/>
    <x v="0"/>
    <n v="48"/>
    <x v="0"/>
    <x v="4"/>
    <s v="S"/>
    <x v="0"/>
    <x v="1"/>
    <x v="25"/>
    <x v="1"/>
    <n v="1"/>
    <s v="NA"/>
    <x v="5"/>
    <e v="#VALUE!"/>
    <x v="0"/>
    <s v="no"/>
  </r>
  <r>
    <s v="Perriton"/>
    <s v=" Mr"/>
    <s v=" Hubert Prouse"/>
    <x v="0"/>
    <x v="0"/>
    <n v="32"/>
    <x v="2"/>
    <x v="4"/>
    <s v="S"/>
    <x v="0"/>
    <x v="1"/>
    <x v="25"/>
    <x v="1"/>
    <n v="1"/>
    <s v="NA"/>
    <x v="5"/>
    <e v="#VALUE!"/>
    <x v="0"/>
    <s v="no"/>
  </r>
  <r>
    <s v="Perry"/>
    <s v=" Mr"/>
    <s v=" Edgar Lionel"/>
    <x v="0"/>
    <x v="0"/>
    <n v="19"/>
    <x v="2"/>
    <x v="3"/>
    <s v="S"/>
    <x v="0"/>
    <x v="1"/>
    <x v="25"/>
    <x v="1"/>
    <n v="1"/>
    <s v="NA"/>
    <x v="5"/>
    <e v="#VALUE!"/>
    <x v="1"/>
    <s v="yes"/>
  </r>
  <r>
    <s v="Perry"/>
    <s v=" Mr"/>
    <s v=" Henry Frederick"/>
    <x v="0"/>
    <x v="0"/>
    <n v="23"/>
    <x v="2"/>
    <x v="3"/>
    <s v="S"/>
    <x v="0"/>
    <x v="1"/>
    <x v="25"/>
    <x v="1"/>
    <n v="1"/>
    <s v="NA"/>
    <x v="5"/>
    <e v="#VALUE!"/>
    <x v="0"/>
    <s v="no"/>
  </r>
  <r>
    <s v="Peters"/>
    <s v=" Mr"/>
    <s v=" William Chapman"/>
    <x v="0"/>
    <x v="0"/>
    <n v="26"/>
    <x v="2"/>
    <x v="6"/>
    <s v="S"/>
    <x v="0"/>
    <x v="1"/>
    <x v="25"/>
    <x v="1"/>
    <n v="1"/>
    <s v="NA"/>
    <x v="5"/>
    <e v="#VALUE!"/>
    <x v="1"/>
    <s v="yes"/>
  </r>
  <r>
    <s v="Petty"/>
    <s v=" Mr"/>
    <s v=" Edwin Henry"/>
    <x v="0"/>
    <x v="0"/>
    <n v="25"/>
    <x v="2"/>
    <x v="4"/>
    <s v="S"/>
    <x v="0"/>
    <x v="1"/>
    <x v="25"/>
    <x v="1"/>
    <n v="1"/>
    <s v="NA"/>
    <x v="5"/>
    <e v="#VALUE!"/>
    <x v="0"/>
    <s v="no"/>
  </r>
  <r>
    <s v="Pfropper"/>
    <s v=" Mr"/>
    <s v=" Richard Paul Jozef"/>
    <x v="0"/>
    <x v="0"/>
    <n v="30"/>
    <x v="2"/>
    <x v="4"/>
    <s v="S"/>
    <x v="0"/>
    <x v="42"/>
    <x v="25"/>
    <x v="1"/>
    <n v="1"/>
    <s v="NA"/>
    <x v="5"/>
    <e v="#VALUE!"/>
    <x v="1"/>
    <s v="yes"/>
  </r>
  <r>
    <s v="Phillimore"/>
    <s v=" Mr"/>
    <s v=" Harold Charles William"/>
    <x v="0"/>
    <x v="0"/>
    <n v="23"/>
    <x v="2"/>
    <x v="4"/>
    <s v="B"/>
    <x v="2"/>
    <x v="1"/>
    <x v="25"/>
    <x v="1"/>
    <n v="1"/>
    <s v="NA"/>
    <x v="5"/>
    <e v="#VALUE!"/>
    <x v="1"/>
    <s v="yes"/>
  </r>
  <r>
    <s v="Phillips"/>
    <s v=" Mr"/>
    <s v=" A"/>
    <x v="0"/>
    <x v="0"/>
    <n v="27"/>
    <x v="2"/>
    <x v="3"/>
    <s v="S"/>
    <x v="0"/>
    <x v="1"/>
    <x v="25"/>
    <x v="1"/>
    <n v="1"/>
    <s v="NA"/>
    <x v="5"/>
    <e v="#VALUE!"/>
    <x v="0"/>
    <s v="no"/>
  </r>
  <r>
    <s v="Phillips"/>
    <s v=" Mr"/>
    <s v=" John George"/>
    <x v="0"/>
    <x v="0"/>
    <n v="25"/>
    <x v="2"/>
    <x v="4"/>
    <s v="B"/>
    <x v="2"/>
    <x v="1"/>
    <x v="25"/>
    <x v="1"/>
    <n v="1"/>
    <s v="NA"/>
    <x v="5"/>
    <e v="#VALUE!"/>
    <x v="0"/>
    <s v="no"/>
  </r>
  <r>
    <s v="Phillips"/>
    <s v=" Mr"/>
    <s v=" Walter John"/>
    <x v="0"/>
    <x v="0"/>
    <n v="35"/>
    <x v="2"/>
    <x v="5"/>
    <s v="S"/>
    <x v="0"/>
    <x v="1"/>
    <x v="25"/>
    <x v="1"/>
    <n v="1"/>
    <s v="NA"/>
    <x v="5"/>
    <e v="#VALUE!"/>
    <x v="0"/>
    <s v="no"/>
  </r>
  <r>
    <s v="Piatti"/>
    <s v=" Sig"/>
    <s v=" Louis"/>
    <x v="0"/>
    <x v="0"/>
    <n v="17"/>
    <x v="1"/>
    <x v="5"/>
    <s v="S"/>
    <x v="0"/>
    <x v="1"/>
    <x v="25"/>
    <x v="1"/>
    <n v="1"/>
    <s v="NA"/>
    <x v="5"/>
    <e v="#VALUE!"/>
    <x v="0"/>
    <s v="no"/>
  </r>
  <r>
    <s v="Piazza"/>
    <s v=" Sig"/>
    <s v=" Pompeo Gaspro"/>
    <x v="0"/>
    <x v="0"/>
    <n v="33"/>
    <x v="2"/>
    <x v="5"/>
    <s v="S"/>
    <x v="0"/>
    <x v="1"/>
    <x v="25"/>
    <x v="1"/>
    <n v="1"/>
    <s v="NA"/>
    <x v="5"/>
    <e v="#VALUE!"/>
    <x v="0"/>
    <s v="no"/>
  </r>
  <r>
    <s v="Pitfield"/>
    <s v=" Mr"/>
    <s v=" William James"/>
    <x v="0"/>
    <x v="0"/>
    <n v="25"/>
    <x v="2"/>
    <x v="3"/>
    <s v="S"/>
    <x v="0"/>
    <x v="1"/>
    <x v="25"/>
    <x v="1"/>
    <n v="1"/>
    <s v="NA"/>
    <x v="5"/>
    <e v="#VALUE!"/>
    <x v="0"/>
    <s v="no"/>
  </r>
  <r>
    <s v="Pitman"/>
    <s v=" Mr"/>
    <s v=" Herbert John"/>
    <x v="0"/>
    <x v="0"/>
    <n v="34"/>
    <x v="2"/>
    <x v="6"/>
    <s v="B"/>
    <x v="2"/>
    <x v="1"/>
    <x v="25"/>
    <x v="1"/>
    <n v="1"/>
    <s v="NA"/>
    <x v="5"/>
    <e v="#VALUE!"/>
    <x v="1"/>
    <s v="yes"/>
  </r>
  <r>
    <s v="Platt"/>
    <s v=" Mr"/>
    <s v=" Wilfred George"/>
    <x v="0"/>
    <x v="0"/>
    <n v="18"/>
    <x v="2"/>
    <x v="4"/>
    <s v="S"/>
    <x v="0"/>
    <x v="1"/>
    <x v="25"/>
    <x v="1"/>
    <n v="1"/>
    <s v="NA"/>
    <x v="5"/>
    <e v="#VALUE!"/>
    <x v="0"/>
    <s v="no"/>
  </r>
  <r>
    <s v="Podesta"/>
    <s v=" Mr"/>
    <s v=" Alfred John Alexander"/>
    <x v="0"/>
    <x v="0"/>
    <n v="24"/>
    <x v="2"/>
    <x v="3"/>
    <s v="S"/>
    <x v="0"/>
    <x v="1"/>
    <x v="25"/>
    <x v="1"/>
    <n v="1"/>
    <s v="NA"/>
    <x v="5"/>
    <e v="#VALUE!"/>
    <x v="1"/>
    <s v="yes"/>
  </r>
  <r>
    <s v="Poggi"/>
    <s v=" Sig"/>
    <s v=" Emilio"/>
    <x v="0"/>
    <x v="0"/>
    <n v="28"/>
    <x v="2"/>
    <x v="5"/>
    <s v="S"/>
    <x v="0"/>
    <x v="1"/>
    <x v="25"/>
    <x v="1"/>
    <n v="1"/>
    <s v="NA"/>
    <x v="5"/>
    <e v="#VALUE!"/>
    <x v="0"/>
    <s v="no"/>
  </r>
  <r>
    <s v="Poingdestre"/>
    <s v=" Mr"/>
    <s v=" John Thomas"/>
    <x v="0"/>
    <x v="0"/>
    <n v="33"/>
    <x v="2"/>
    <x v="6"/>
    <s v="S"/>
    <x v="0"/>
    <x v="13"/>
    <x v="25"/>
    <x v="1"/>
    <n v="1"/>
    <s v="NA"/>
    <x v="5"/>
    <e v="#VALUE!"/>
    <x v="1"/>
    <s v="yes"/>
  </r>
  <r>
    <s v="Pond"/>
    <s v=" Mr"/>
    <s v=" George"/>
    <x v="0"/>
    <x v="0"/>
    <n v="33"/>
    <x v="2"/>
    <x v="3"/>
    <s v="S"/>
    <x v="0"/>
    <x v="1"/>
    <x v="25"/>
    <x v="1"/>
    <n v="1"/>
    <s v="NA"/>
    <x v="5"/>
    <e v="#VALUE!"/>
    <x v="0"/>
    <s v="no"/>
  </r>
  <r>
    <s v="Pook"/>
    <s v=" Mr"/>
    <s v=" Percy Robert"/>
    <x v="0"/>
    <x v="0"/>
    <n v="36"/>
    <x v="0"/>
    <x v="4"/>
    <s v="S"/>
    <x v="0"/>
    <x v="1"/>
    <x v="25"/>
    <x v="1"/>
    <n v="1"/>
    <s v="NA"/>
    <x v="5"/>
    <e v="#VALUE!"/>
    <x v="0"/>
    <s v="no"/>
  </r>
  <r>
    <s v="Porteus"/>
    <s v=" Mr"/>
    <s v=" Thomas Henry"/>
    <x v="0"/>
    <x v="0"/>
    <n v="34"/>
    <x v="2"/>
    <x v="4"/>
    <s v="S"/>
    <x v="0"/>
    <x v="1"/>
    <x v="25"/>
    <x v="1"/>
    <n v="1"/>
    <s v="NA"/>
    <x v="5"/>
    <e v="#VALUE!"/>
    <x v="0"/>
    <s v="no"/>
  </r>
  <r>
    <s v="Port"/>
    <s v=" Mr"/>
    <s v=" Frank"/>
    <x v="0"/>
    <x v="0"/>
    <n v="22"/>
    <x v="2"/>
    <x v="4"/>
    <s v="S"/>
    <x v="0"/>
    <x v="1"/>
    <x v="25"/>
    <x v="1"/>
    <n v="1"/>
    <s v="NA"/>
    <x v="5"/>
    <e v="#VALUE!"/>
    <x v="1"/>
    <s v="yes"/>
  </r>
  <r>
    <s v="Prangnell"/>
    <s v=" Mr"/>
    <s v=" George Alexander"/>
    <x v="0"/>
    <x v="0"/>
    <n v="30"/>
    <x v="2"/>
    <x v="3"/>
    <s v="S"/>
    <x v="0"/>
    <x v="1"/>
    <x v="25"/>
    <x v="1"/>
    <n v="1"/>
    <s v="NA"/>
    <x v="5"/>
    <e v="#VALUE!"/>
    <x v="1"/>
    <s v="yes"/>
  </r>
  <r>
    <s v="Prentice"/>
    <s v=" Mr"/>
    <s v=" Frank Winnold"/>
    <x v="0"/>
    <x v="0"/>
    <n v="23"/>
    <x v="2"/>
    <x v="4"/>
    <s v="S"/>
    <x v="0"/>
    <x v="1"/>
    <x v="25"/>
    <x v="1"/>
    <n v="1"/>
    <s v="NA"/>
    <x v="5"/>
    <e v="#VALUE!"/>
    <x v="1"/>
    <s v="yes"/>
  </r>
  <r>
    <s v="Preston"/>
    <s v=" Mr"/>
    <s v=" Thomas Charles Alfred"/>
    <x v="0"/>
    <x v="0"/>
    <n v="20"/>
    <x v="2"/>
    <x v="3"/>
    <s v="S"/>
    <x v="0"/>
    <x v="1"/>
    <x v="25"/>
    <x v="1"/>
    <n v="1"/>
    <s v="NA"/>
    <x v="5"/>
    <e v="#VALUE!"/>
    <x v="0"/>
    <s v="no"/>
  </r>
  <r>
    <s v="Price"/>
    <s v=" Mr"/>
    <s v=" Ernest Cyril"/>
    <x v="0"/>
    <x v="0"/>
    <n v="17"/>
    <x v="1"/>
    <x v="5"/>
    <s v="S"/>
    <x v="0"/>
    <x v="1"/>
    <x v="25"/>
    <x v="1"/>
    <n v="1"/>
    <s v="NA"/>
    <x v="5"/>
    <e v="#VALUE!"/>
    <x v="0"/>
    <s v="no"/>
  </r>
  <r>
    <s v="Prichard"/>
    <s v=" Mrs"/>
    <s v=" Alice Maud"/>
    <x v="1"/>
    <x v="1"/>
    <n v="36"/>
    <x v="0"/>
    <x v="4"/>
    <s v="S"/>
    <x v="0"/>
    <x v="1"/>
    <x v="25"/>
    <x v="1"/>
    <n v="1"/>
    <s v="NA"/>
    <x v="5"/>
    <e v="#VALUE!"/>
    <x v="1"/>
    <s v="yes"/>
  </r>
  <r>
    <s v="Prideaux"/>
    <s v=" Mr"/>
    <s v=" John Arthur (Jack)"/>
    <x v="0"/>
    <x v="0"/>
    <n v="23"/>
    <x v="2"/>
    <x v="4"/>
    <s v="S"/>
    <x v="0"/>
    <x v="1"/>
    <x v="25"/>
    <x v="1"/>
    <n v="1"/>
    <s v="NA"/>
    <x v="5"/>
    <e v="#VALUE!"/>
    <x v="0"/>
    <s v="no"/>
  </r>
  <r>
    <s v="Priest"/>
    <s v=" Mr"/>
    <s v=" Arthur John"/>
    <x v="0"/>
    <x v="0"/>
    <n v="24"/>
    <x v="2"/>
    <x v="3"/>
    <s v="S"/>
    <x v="0"/>
    <x v="1"/>
    <x v="25"/>
    <x v="1"/>
    <n v="1"/>
    <s v="NA"/>
    <x v="5"/>
    <e v="#VALUE!"/>
    <x v="1"/>
    <s v="yes"/>
  </r>
  <r>
    <s v="Prior"/>
    <s v=" Mr"/>
    <s v=" Harold John Arnold"/>
    <x v="0"/>
    <x v="0"/>
    <n v="21"/>
    <x v="2"/>
    <x v="4"/>
    <s v="S"/>
    <x v="0"/>
    <x v="1"/>
    <x v="25"/>
    <x v="1"/>
    <n v="1"/>
    <s v="NA"/>
    <x v="5"/>
    <e v="#VALUE!"/>
    <x v="1"/>
    <s v="yes"/>
  </r>
  <r>
    <s v="Proctor"/>
    <s v=" Mr"/>
    <s v=" Charles"/>
    <x v="0"/>
    <x v="0"/>
    <n v="46"/>
    <x v="0"/>
    <x v="4"/>
    <s v="B"/>
    <x v="2"/>
    <x v="1"/>
    <x v="25"/>
    <x v="1"/>
    <n v="1"/>
    <s v="NA"/>
    <x v="5"/>
    <e v="#VALUE!"/>
    <x v="0"/>
    <s v="no"/>
  </r>
  <r>
    <s v="Proudfoot"/>
    <s v=" Mr"/>
    <s v=" Richard Royston"/>
    <x v="0"/>
    <x v="0"/>
    <n v="22"/>
    <x v="2"/>
    <x v="3"/>
    <s v="S"/>
    <x v="0"/>
    <x v="1"/>
    <x v="25"/>
    <x v="1"/>
    <n v="1"/>
    <s v="NA"/>
    <x v="5"/>
    <e v="#VALUE!"/>
    <x v="0"/>
    <s v="no"/>
  </r>
  <r>
    <s v="Pryce"/>
    <s v=" Mr"/>
    <s v=" Charles William"/>
    <x v="0"/>
    <x v="0"/>
    <n v="23"/>
    <x v="2"/>
    <x v="4"/>
    <s v="S"/>
    <x v="0"/>
    <x v="1"/>
    <x v="25"/>
    <x v="1"/>
    <n v="1"/>
    <s v="NA"/>
    <x v="5"/>
    <e v="#VALUE!"/>
    <x v="0"/>
    <s v="no"/>
  </r>
  <r>
    <s v="Pugh"/>
    <s v=" Mr"/>
    <s v=" Alfred"/>
    <x v="0"/>
    <x v="0"/>
    <n v="20"/>
    <x v="2"/>
    <x v="4"/>
    <s v="S"/>
    <x v="0"/>
    <x v="1"/>
    <x v="25"/>
    <x v="1"/>
    <n v="1"/>
    <s v="NA"/>
    <x v="5"/>
    <e v="#VALUE!"/>
    <x v="1"/>
    <s v="yes"/>
  </r>
  <r>
    <s v="Pugh"/>
    <s v=" Mr"/>
    <s v=" Arthur Percy"/>
    <x v="0"/>
    <x v="0"/>
    <n v="31"/>
    <x v="2"/>
    <x v="3"/>
    <s v="S"/>
    <x v="0"/>
    <x v="1"/>
    <x v="25"/>
    <x v="1"/>
    <n v="1"/>
    <s v="NA"/>
    <x v="5"/>
    <e v="#VALUE!"/>
    <x v="0"/>
    <s v="no"/>
  </r>
  <r>
    <s v="Pusey"/>
    <s v=" Mr"/>
    <s v=" William Robert Holland"/>
    <x v="0"/>
    <x v="0"/>
    <n v="22"/>
    <x v="2"/>
    <x v="3"/>
    <s v="S"/>
    <x v="0"/>
    <x v="1"/>
    <x v="25"/>
    <x v="1"/>
    <n v="1"/>
    <s v="NA"/>
    <x v="5"/>
    <e v="#VALUE!"/>
    <x v="1"/>
    <s v="yes"/>
  </r>
  <r>
    <s v="Puzey"/>
    <s v=" Mr"/>
    <s v=" John Edward"/>
    <x v="0"/>
    <x v="0"/>
    <n v="44"/>
    <x v="0"/>
    <x v="4"/>
    <s v="B"/>
    <x v="2"/>
    <x v="1"/>
    <x v="25"/>
    <x v="1"/>
    <n v="1"/>
    <s v="NA"/>
    <x v="5"/>
    <e v="#VALUE!"/>
    <x v="0"/>
    <s v="no"/>
  </r>
  <r>
    <s v="Randall"/>
    <s v=" Mr"/>
    <s v=" Frank Henry"/>
    <x v="0"/>
    <x v="0"/>
    <n v="29"/>
    <x v="2"/>
    <x v="4"/>
    <s v="S"/>
    <x v="0"/>
    <x v="1"/>
    <x v="25"/>
    <x v="1"/>
    <n v="1"/>
    <s v="NA"/>
    <x v="5"/>
    <e v="#VALUE!"/>
    <x v="0"/>
    <s v="no"/>
  </r>
  <r>
    <s v="Ranger"/>
    <s v=" Mr"/>
    <s v=" Thomas"/>
    <x v="0"/>
    <x v="0"/>
    <n v="29"/>
    <x v="2"/>
    <x v="3"/>
    <s v="S"/>
    <x v="0"/>
    <x v="1"/>
    <x v="25"/>
    <x v="1"/>
    <n v="1"/>
    <s v="NA"/>
    <x v="5"/>
    <e v="#VALUE!"/>
    <x v="1"/>
    <s v="yes"/>
  </r>
  <r>
    <s v="Ransom"/>
    <s v=" Mr"/>
    <s v=" James Augustus"/>
    <x v="0"/>
    <x v="0"/>
    <n v="50"/>
    <x v="0"/>
    <x v="4"/>
    <s v="B"/>
    <x v="2"/>
    <x v="1"/>
    <x v="25"/>
    <x v="1"/>
    <n v="1"/>
    <s v="NA"/>
    <x v="5"/>
    <e v="#VALUE!"/>
    <x v="0"/>
    <s v="no"/>
  </r>
  <r>
    <s v="Rattenbury"/>
    <s v=" Mr"/>
    <s v=" William Henry"/>
    <x v="0"/>
    <x v="0"/>
    <n v="38"/>
    <x v="0"/>
    <x v="4"/>
    <s v="B"/>
    <x v="2"/>
    <x v="13"/>
    <x v="25"/>
    <x v="1"/>
    <n v="1"/>
    <s v="NA"/>
    <x v="5"/>
    <e v="#VALUE!"/>
    <x v="0"/>
    <s v="no"/>
  </r>
  <r>
    <s v="Ratti"/>
    <s v=" Sig"/>
    <s v=" Enrico"/>
    <x v="0"/>
    <x v="0"/>
    <n v="21"/>
    <x v="2"/>
    <x v="5"/>
    <s v="S"/>
    <x v="0"/>
    <x v="1"/>
    <x v="25"/>
    <x v="1"/>
    <n v="1"/>
    <s v="NA"/>
    <x v="5"/>
    <e v="#VALUE!"/>
    <x v="0"/>
    <s v="no"/>
  </r>
  <r>
    <s v="Ray"/>
    <s v=" Mr"/>
    <s v=" Frederick Dent"/>
    <x v="0"/>
    <x v="0"/>
    <n v="32"/>
    <x v="2"/>
    <x v="4"/>
    <s v="B"/>
    <x v="2"/>
    <x v="1"/>
    <x v="25"/>
    <x v="1"/>
    <n v="1"/>
    <s v="NA"/>
    <x v="5"/>
    <e v="#VALUE!"/>
    <x v="1"/>
    <s v="yes"/>
  </r>
  <r>
    <s v="Read"/>
    <s v=" Mr"/>
    <s v=" Joseph"/>
    <x v="0"/>
    <x v="0"/>
    <n v="20"/>
    <x v="2"/>
    <x v="3"/>
    <s v="S"/>
    <x v="0"/>
    <x v="1"/>
    <x v="25"/>
    <x v="1"/>
    <n v="1"/>
    <s v="NA"/>
    <x v="5"/>
    <e v="#VALUE!"/>
    <x v="0"/>
    <s v="no"/>
  </r>
  <r>
    <s v="Reed"/>
    <s v=" Mr"/>
    <s v=" Thomas Charles Prowse"/>
    <x v="0"/>
    <x v="0"/>
    <n v="55"/>
    <x v="0"/>
    <x v="4"/>
    <s v="S"/>
    <x v="0"/>
    <x v="1"/>
    <x v="25"/>
    <x v="1"/>
    <n v="1"/>
    <s v="NA"/>
    <x v="5"/>
    <e v="#VALUE!"/>
    <x v="0"/>
    <s v="no"/>
  </r>
  <r>
    <s v="Reeves"/>
    <s v=" Mr"/>
    <s v=" Frederick Simms"/>
    <x v="0"/>
    <x v="0"/>
    <n v="34"/>
    <x v="2"/>
    <x v="3"/>
    <s v="S"/>
    <x v="0"/>
    <x v="1"/>
    <x v="25"/>
    <x v="1"/>
    <n v="1"/>
    <s v="NA"/>
    <x v="5"/>
    <e v="#VALUE!"/>
    <x v="0"/>
    <s v="no"/>
  </r>
  <r>
    <s v="Reid"/>
    <s v=" Mr"/>
    <s v=" Robert Thomas"/>
    <x v="0"/>
    <x v="0"/>
    <n v="30"/>
    <x v="2"/>
    <x v="3"/>
    <s v="S"/>
    <x v="0"/>
    <x v="1"/>
    <x v="25"/>
    <x v="1"/>
    <n v="1"/>
    <s v="NA"/>
    <x v="5"/>
    <e v="#VALUE!"/>
    <x v="0"/>
    <s v="no"/>
  </r>
  <r>
    <s v="Revell"/>
    <s v=" Mr"/>
    <s v=" William James Francis"/>
    <x v="0"/>
    <x v="0"/>
    <n v="31"/>
    <x v="2"/>
    <x v="4"/>
    <s v="B"/>
    <x v="2"/>
    <x v="1"/>
    <x v="25"/>
    <x v="1"/>
    <n v="1"/>
    <s v="NA"/>
    <x v="5"/>
    <e v="#VALUE!"/>
    <x v="0"/>
    <s v="no"/>
  </r>
  <r>
    <s v="Ricaldone"/>
    <s v=" Sig"/>
    <s v=" Rinaldo Renato"/>
    <x v="0"/>
    <x v="0"/>
    <n v="22"/>
    <x v="2"/>
    <x v="5"/>
    <s v="S"/>
    <x v="0"/>
    <x v="1"/>
    <x v="25"/>
    <x v="1"/>
    <n v="1"/>
    <s v="NA"/>
    <x v="5"/>
    <e v="#VALUE!"/>
    <x v="0"/>
    <s v="no"/>
  </r>
  <r>
    <s v="Rice"/>
    <s v=" Mr"/>
    <s v=" Charles"/>
    <x v="0"/>
    <x v="0"/>
    <n v="32"/>
    <x v="2"/>
    <x v="3"/>
    <s v="S"/>
    <x v="0"/>
    <x v="1"/>
    <x v="25"/>
    <x v="1"/>
    <n v="1"/>
    <s v="NA"/>
    <x v="5"/>
    <e v="#VALUE!"/>
    <x v="1"/>
    <s v="yes"/>
  </r>
  <r>
    <s v="Rice"/>
    <s v=" Mr"/>
    <s v=" John Reginald"/>
    <x v="0"/>
    <x v="0"/>
    <n v="25"/>
    <x v="2"/>
    <x v="4"/>
    <s v="S"/>
    <x v="0"/>
    <x v="1"/>
    <x v="25"/>
    <x v="1"/>
    <n v="1"/>
    <s v="NA"/>
    <x v="5"/>
    <e v="#VALUE!"/>
    <x v="0"/>
    <s v="no"/>
  </r>
  <r>
    <s v="Rice"/>
    <s v=" Mr"/>
    <s v=" Percy"/>
    <x v="0"/>
    <x v="0"/>
    <n v="19"/>
    <x v="2"/>
    <x v="4"/>
    <s v="S"/>
    <x v="0"/>
    <x v="1"/>
    <x v="25"/>
    <x v="1"/>
    <n v="1"/>
    <s v="NA"/>
    <x v="5"/>
    <e v="#VALUE!"/>
    <x v="0"/>
    <s v="no"/>
  </r>
  <r>
    <s v="Richards"/>
    <s v=" Mr"/>
    <s v=" Joseph James"/>
    <x v="0"/>
    <x v="0"/>
    <n v="30"/>
    <x v="2"/>
    <x v="3"/>
    <s v="S"/>
    <x v="0"/>
    <x v="1"/>
    <x v="25"/>
    <x v="1"/>
    <n v="1"/>
    <s v="NA"/>
    <x v="5"/>
    <e v="#VALUE!"/>
    <x v="0"/>
    <s v="no"/>
  </r>
  <r>
    <s v="Rickman"/>
    <s v=" Mr"/>
    <s v=" George Albert"/>
    <x v="0"/>
    <x v="0"/>
    <n v="36"/>
    <x v="0"/>
    <x v="3"/>
    <s v="S"/>
    <x v="0"/>
    <x v="1"/>
    <x v="25"/>
    <x v="1"/>
    <n v="1"/>
    <s v="NA"/>
    <x v="5"/>
    <e v="#VALUE!"/>
    <x v="0"/>
    <s v="no"/>
  </r>
  <r>
    <s v="Ricks"/>
    <s v=" Mr"/>
    <s v=" Cyril Gordon"/>
    <x v="0"/>
    <x v="0"/>
    <n v="22"/>
    <x v="2"/>
    <x v="4"/>
    <s v="S"/>
    <x v="0"/>
    <x v="1"/>
    <x v="25"/>
    <x v="1"/>
    <n v="1"/>
    <s v="NA"/>
    <x v="5"/>
    <e v="#VALUE!"/>
    <x v="0"/>
    <s v="no"/>
  </r>
  <r>
    <s v="Ridout"/>
    <s v=" Mr"/>
    <s v=" Walter George"/>
    <x v="0"/>
    <x v="0"/>
    <n v="30"/>
    <x v="2"/>
    <x v="4"/>
    <s v="S"/>
    <x v="0"/>
    <x v="1"/>
    <x v="25"/>
    <x v="1"/>
    <n v="1"/>
    <s v="NA"/>
    <x v="5"/>
    <e v="#VALUE!"/>
    <x v="0"/>
    <s v="no"/>
  </r>
  <r>
    <s v="Rigozzi"/>
    <s v=" Sig"/>
    <s v=" Abele"/>
    <x v="0"/>
    <x v="0"/>
    <n v="22"/>
    <x v="2"/>
    <x v="5"/>
    <s v="S"/>
    <x v="0"/>
    <x v="1"/>
    <x v="25"/>
    <x v="1"/>
    <n v="1"/>
    <s v="NA"/>
    <x v="5"/>
    <e v="#VALUE!"/>
    <x v="0"/>
    <s v="no"/>
  </r>
  <r>
    <s v="Rimmer"/>
    <s v=" Mr"/>
    <s v=" Gilbert"/>
    <x v="0"/>
    <x v="0"/>
    <n v="29"/>
    <x v="2"/>
    <x v="4"/>
    <s v="S"/>
    <x v="0"/>
    <x v="1"/>
    <x v="25"/>
    <x v="1"/>
    <n v="1"/>
    <s v="NA"/>
    <x v="5"/>
    <e v="#VALUE!"/>
    <x v="0"/>
    <s v="no"/>
  </r>
  <r>
    <s v="Roberton"/>
    <s v=" Mr"/>
    <s v=" George Edward"/>
    <x v="0"/>
    <x v="0"/>
    <n v="19"/>
    <x v="2"/>
    <x v="4"/>
    <s v="S"/>
    <x v="0"/>
    <x v="1"/>
    <x v="25"/>
    <x v="1"/>
    <n v="1"/>
    <s v="NA"/>
    <x v="5"/>
    <e v="#VALUE!"/>
    <x v="0"/>
    <s v="no"/>
  </r>
  <r>
    <s v="Roberts"/>
    <s v=" Mr"/>
    <s v=" Frank John"/>
    <x v="0"/>
    <x v="0"/>
    <n v="37"/>
    <x v="0"/>
    <x v="4"/>
    <s v="B"/>
    <x v="2"/>
    <x v="1"/>
    <x v="25"/>
    <x v="1"/>
    <n v="1"/>
    <s v="NA"/>
    <x v="5"/>
    <e v="#VALUE!"/>
    <x v="0"/>
    <s v="no"/>
  </r>
  <r>
    <s v="Roberts"/>
    <s v=" Mr"/>
    <s v=" Hugh H"/>
    <x v="0"/>
    <x v="0"/>
    <n v="40"/>
    <x v="0"/>
    <x v="4"/>
    <s v="B"/>
    <x v="2"/>
    <x v="19"/>
    <x v="25"/>
    <x v="1"/>
    <n v="1"/>
    <s v="NA"/>
    <x v="5"/>
    <e v="#VALUE!"/>
    <x v="0"/>
    <s v="no"/>
  </r>
  <r>
    <s v="Roberts"/>
    <s v=" Mr"/>
    <s v=" Robert George"/>
    <x v="0"/>
    <x v="0"/>
    <n v="35"/>
    <x v="2"/>
    <x v="3"/>
    <s v="S"/>
    <x v="0"/>
    <x v="1"/>
    <x v="25"/>
    <x v="1"/>
    <n v="1"/>
    <s v="NA"/>
    <x v="5"/>
    <e v="#VALUE!"/>
    <x v="0"/>
    <s v="no"/>
  </r>
  <r>
    <s v="Roberts"/>
    <s v=" Mrs"/>
    <s v=" Mary Kezia"/>
    <x v="1"/>
    <x v="1"/>
    <n v="41"/>
    <x v="0"/>
    <x v="4"/>
    <s v="S"/>
    <x v="0"/>
    <x v="1"/>
    <x v="25"/>
    <x v="1"/>
    <n v="1"/>
    <s v="NA"/>
    <x v="5"/>
    <e v="#VALUE!"/>
    <x v="1"/>
    <s v="yes"/>
  </r>
  <r>
    <s v="Robinson"/>
    <s v=" Mr"/>
    <s v=" James William"/>
    <x v="0"/>
    <x v="0"/>
    <n v="30"/>
    <x v="2"/>
    <x v="4"/>
    <s v="S"/>
    <x v="0"/>
    <x v="1"/>
    <x v="25"/>
    <x v="1"/>
    <n v="1"/>
    <s v="NA"/>
    <x v="5"/>
    <e v="#VALUE!"/>
    <x v="0"/>
    <s v="no"/>
  </r>
  <r>
    <s v="Robinson"/>
    <s v=" Mrs"/>
    <s v=" Annie"/>
    <x v="1"/>
    <x v="1"/>
    <n v="41"/>
    <x v="0"/>
    <x v="4"/>
    <s v="S"/>
    <x v="0"/>
    <x v="1"/>
    <x v="25"/>
    <x v="1"/>
    <n v="1"/>
    <s v="NA"/>
    <x v="5"/>
    <e v="#VALUE!"/>
    <x v="1"/>
    <s v="yes"/>
  </r>
  <r>
    <s v="Rogers"/>
    <s v=" Mr"/>
    <s v=" Edward James William"/>
    <x v="0"/>
    <x v="0"/>
    <n v="31"/>
    <x v="2"/>
    <x v="4"/>
    <s v="S"/>
    <x v="0"/>
    <x v="1"/>
    <x v="25"/>
    <x v="1"/>
    <n v="1"/>
    <s v="NA"/>
    <x v="5"/>
    <e v="#VALUE!"/>
    <x v="0"/>
    <s v="no"/>
  </r>
  <r>
    <s v="Rogers"/>
    <s v=" Mr"/>
    <s v=" Michael"/>
    <x v="0"/>
    <x v="0"/>
    <n v="27"/>
    <x v="2"/>
    <x v="4"/>
    <s v="S"/>
    <x v="0"/>
    <x v="16"/>
    <x v="25"/>
    <x v="1"/>
    <n v="1"/>
    <s v="NA"/>
    <x v="5"/>
    <e v="#VALUE!"/>
    <x v="0"/>
    <s v="no"/>
  </r>
  <r>
    <s v="Ross"/>
    <s v=" Mr"/>
    <s v=" Horace Leopold"/>
    <x v="0"/>
    <x v="0"/>
    <n v="36"/>
    <x v="0"/>
    <x v="4"/>
    <s v="S"/>
    <x v="0"/>
    <x v="1"/>
    <x v="25"/>
    <x v="1"/>
    <n v="1"/>
    <s v="NA"/>
    <x v="5"/>
    <e v="#VALUE!"/>
    <x v="1"/>
    <s v="yes"/>
  </r>
  <r>
    <s v="Rotta"/>
    <s v=" Sig"/>
    <s v=" Angelo Mario"/>
    <x v="0"/>
    <x v="0"/>
    <n v="23"/>
    <x v="2"/>
    <x v="5"/>
    <s v="S"/>
    <x v="0"/>
    <x v="1"/>
    <x v="25"/>
    <x v="1"/>
    <n v="1"/>
    <s v="NA"/>
    <x v="5"/>
    <e v="#VALUE!"/>
    <x v="0"/>
    <s v="no"/>
  </r>
  <r>
    <s v="Rous"/>
    <s v=" Mr"/>
    <s v=" Arthur John"/>
    <x v="0"/>
    <x v="0"/>
    <n v="26"/>
    <x v="2"/>
    <x v="3"/>
    <s v="B"/>
    <x v="2"/>
    <x v="1"/>
    <x v="25"/>
    <x v="1"/>
    <n v="1"/>
    <s v="NA"/>
    <x v="5"/>
    <e v="#VALUE!"/>
    <x v="0"/>
    <s v="no"/>
  </r>
  <r>
    <s v="Rousseau"/>
    <s v=" Mr"/>
    <s v=" Pierre"/>
    <x v="0"/>
    <x v="0"/>
    <n v="49"/>
    <x v="0"/>
    <x v="5"/>
    <s v="S"/>
    <x v="0"/>
    <x v="1"/>
    <x v="25"/>
    <x v="1"/>
    <n v="1"/>
    <s v="NA"/>
    <x v="5"/>
    <e v="#VALUE!"/>
    <x v="0"/>
    <s v="no"/>
  </r>
  <r>
    <s v="Rowe"/>
    <s v=" Mr"/>
    <s v=" Edgar Maurice"/>
    <x v="0"/>
    <x v="0"/>
    <n v="31"/>
    <x v="2"/>
    <x v="4"/>
    <s v="B"/>
    <x v="2"/>
    <x v="1"/>
    <x v="25"/>
    <x v="1"/>
    <n v="1"/>
    <s v="NA"/>
    <x v="5"/>
    <e v="#VALUE!"/>
    <x v="0"/>
    <s v="no"/>
  </r>
  <r>
    <s v="Rowe"/>
    <s v=" Mr"/>
    <s v=" George Thomas"/>
    <x v="0"/>
    <x v="0"/>
    <n v="32"/>
    <x v="2"/>
    <x v="6"/>
    <s v="B"/>
    <x v="2"/>
    <x v="1"/>
    <x v="25"/>
    <x v="1"/>
    <n v="1"/>
    <s v="NA"/>
    <x v="5"/>
    <e v="#VALUE!"/>
    <x v="1"/>
    <s v="yes"/>
  </r>
  <r>
    <s v="Rudd"/>
    <s v=" Mr"/>
    <s v=" Henry"/>
    <x v="0"/>
    <x v="0"/>
    <n v="24"/>
    <x v="2"/>
    <x v="3"/>
    <s v="S"/>
    <x v="0"/>
    <x v="1"/>
    <x v="25"/>
    <x v="1"/>
    <n v="1"/>
    <s v="NA"/>
    <x v="5"/>
    <e v="#VALUE!"/>
    <x v="0"/>
    <s v="no"/>
  </r>
  <r>
    <s v="Rule"/>
    <s v=" Mr"/>
    <s v=" Samuel James"/>
    <x v="0"/>
    <x v="0"/>
    <n v="58"/>
    <x v="4"/>
    <x v="4"/>
    <s v="B"/>
    <x v="2"/>
    <x v="1"/>
    <x v="25"/>
    <x v="1"/>
    <n v="1"/>
    <s v="NA"/>
    <x v="5"/>
    <e v="#VALUE!"/>
    <x v="1"/>
    <s v="yes"/>
  </r>
  <r>
    <s v="Russell"/>
    <s v=" Mr"/>
    <s v=" Boysie Richard"/>
    <x v="0"/>
    <x v="0"/>
    <n v="17"/>
    <x v="1"/>
    <x v="4"/>
    <s v="S"/>
    <x v="0"/>
    <x v="1"/>
    <x v="25"/>
    <x v="1"/>
    <n v="1"/>
    <s v="NA"/>
    <x v="5"/>
    <e v="#VALUE!"/>
    <x v="0"/>
    <s v="no"/>
  </r>
  <r>
    <s v="Rutter"/>
    <s v=" Mr"/>
    <s v=" Sidney Frank"/>
    <x v="0"/>
    <x v="0"/>
    <n v="27"/>
    <x v="2"/>
    <x v="3"/>
    <s v="S"/>
    <x v="0"/>
    <x v="1"/>
    <x v="25"/>
    <x v="1"/>
    <n v="1"/>
    <s v="NA"/>
    <x v="5"/>
    <e v="#VALUE!"/>
    <x v="0"/>
    <s v="no"/>
  </r>
  <r>
    <s v="Ryan"/>
    <s v=" Mr"/>
    <s v=" Thomas"/>
    <x v="0"/>
    <x v="0"/>
    <n v="28"/>
    <x v="2"/>
    <x v="4"/>
    <s v="S"/>
    <x v="0"/>
    <x v="13"/>
    <x v="25"/>
    <x v="1"/>
    <n v="1"/>
    <s v="NA"/>
    <x v="5"/>
    <e v="#VALUE!"/>
    <x v="0"/>
    <s v="no"/>
  </r>
  <r>
    <s v="Ryerson"/>
    <s v=" Mr"/>
    <s v=" William Edwy"/>
    <x v="0"/>
    <x v="0"/>
    <n v="33"/>
    <x v="2"/>
    <x v="4"/>
    <s v="S"/>
    <x v="0"/>
    <x v="8"/>
    <x v="25"/>
    <x v="1"/>
    <n v="1"/>
    <s v="NA"/>
    <x v="5"/>
    <e v="#VALUE!"/>
    <x v="1"/>
    <s v="yes"/>
  </r>
  <r>
    <s v="Saccaggi"/>
    <s v=" Sig"/>
    <s v=" Giovanni Giuseppe Emilio"/>
    <x v="0"/>
    <x v="0"/>
    <n v="24"/>
    <x v="2"/>
    <x v="5"/>
    <s v="S"/>
    <x v="0"/>
    <x v="17"/>
    <x v="25"/>
    <x v="1"/>
    <n v="1"/>
    <s v="NA"/>
    <x v="5"/>
    <e v="#VALUE!"/>
    <x v="0"/>
    <s v="no"/>
  </r>
  <r>
    <s v="Salussolia"/>
    <s v=" Sig"/>
    <s v=" Govanni"/>
    <x v="0"/>
    <x v="0"/>
    <n v="25"/>
    <x v="2"/>
    <x v="5"/>
    <s v="S"/>
    <x v="0"/>
    <x v="1"/>
    <x v="25"/>
    <x v="1"/>
    <n v="1"/>
    <s v="NA"/>
    <x v="5"/>
    <e v="#VALUE!"/>
    <x v="0"/>
    <s v="no"/>
  </r>
  <r>
    <s v="Samuel"/>
    <s v=" Mr"/>
    <s v=" Owen Wilmore"/>
    <x v="0"/>
    <x v="0"/>
    <n v="47"/>
    <x v="0"/>
    <x v="4"/>
    <s v="S"/>
    <x v="0"/>
    <x v="19"/>
    <x v="25"/>
    <x v="1"/>
    <n v="1"/>
    <s v="NA"/>
    <x v="5"/>
    <e v="#VALUE!"/>
    <x v="0"/>
    <s v="no"/>
  </r>
  <r>
    <s v="Sangster"/>
    <s v=" Mr"/>
    <s v=" Charles Edward"/>
    <x v="0"/>
    <x v="0"/>
    <n v="30"/>
    <x v="2"/>
    <x v="3"/>
    <s v="S"/>
    <x v="0"/>
    <x v="1"/>
    <x v="25"/>
    <x v="1"/>
    <n v="1"/>
    <s v="NA"/>
    <x v="5"/>
    <e v="#VALUE!"/>
    <x v="0"/>
    <s v="no"/>
  </r>
  <r>
    <s v="Sartori"/>
    <s v=" Sig"/>
    <s v=" Lazar"/>
    <x v="0"/>
    <x v="0"/>
    <n v="24"/>
    <x v="2"/>
    <x v="5"/>
    <s v="S"/>
    <x v="0"/>
    <x v="1"/>
    <x v="25"/>
    <x v="1"/>
    <n v="1"/>
    <s v="NA"/>
    <x v="5"/>
    <e v="#VALUE!"/>
    <x v="0"/>
    <s v="no"/>
  </r>
  <r>
    <s v="Saunders"/>
    <s v=" Mr"/>
    <s v=" D"/>
    <x v="0"/>
    <x v="0"/>
    <n v="26"/>
    <x v="2"/>
    <x v="4"/>
    <s v="S"/>
    <x v="0"/>
    <x v="1"/>
    <x v="25"/>
    <x v="1"/>
    <n v="1"/>
    <s v="NA"/>
    <x v="5"/>
    <e v="#VALUE!"/>
    <x v="0"/>
    <s v="no"/>
  </r>
  <r>
    <s v="Saunders"/>
    <s v=" Mr"/>
    <s v=" F"/>
    <x v="0"/>
    <x v="0"/>
    <n v="22"/>
    <x v="2"/>
    <x v="3"/>
    <s v="S"/>
    <x v="0"/>
    <x v="1"/>
    <x v="25"/>
    <x v="1"/>
    <n v="1"/>
    <s v="NA"/>
    <x v="5"/>
    <e v="#VALUE!"/>
    <x v="0"/>
    <s v="no"/>
  </r>
  <r>
    <s v="Saunders"/>
    <s v=" Mr"/>
    <s v=" W"/>
    <x v="0"/>
    <x v="0"/>
    <n v="23"/>
    <x v="2"/>
    <x v="3"/>
    <s v="S"/>
    <x v="0"/>
    <x v="1"/>
    <x v="25"/>
    <x v="1"/>
    <n v="1"/>
    <s v="NA"/>
    <x v="5"/>
    <e v="#VALUE!"/>
    <x v="0"/>
    <s v="no"/>
  </r>
  <r>
    <s v="Saunders"/>
    <s v=" Mr"/>
    <s v=" Walter Ernest"/>
    <x v="0"/>
    <x v="0"/>
    <n v="23"/>
    <x v="2"/>
    <x v="3"/>
    <s v="S"/>
    <x v="0"/>
    <x v="1"/>
    <x v="25"/>
    <x v="1"/>
    <n v="1"/>
    <s v="NA"/>
    <x v="5"/>
    <e v="#VALUE!"/>
    <x v="0"/>
    <s v="no"/>
  </r>
  <r>
    <s v="Savage"/>
    <s v=" Mr"/>
    <s v=" Charles Joseph"/>
    <x v="0"/>
    <x v="0"/>
    <n v="23"/>
    <x v="2"/>
    <x v="4"/>
    <s v="S"/>
    <x v="0"/>
    <x v="1"/>
    <x v="25"/>
    <x v="1"/>
    <n v="1"/>
    <s v="NA"/>
    <x v="5"/>
    <e v="#VALUE!"/>
    <x v="1"/>
    <s v="yes"/>
  </r>
  <r>
    <s v="Sawyer"/>
    <s v=" Mr"/>
    <s v=" Robert James"/>
    <x v="0"/>
    <x v="0"/>
    <n v="31"/>
    <x v="2"/>
    <x v="6"/>
    <s v="S"/>
    <x v="0"/>
    <x v="1"/>
    <x v="25"/>
    <x v="1"/>
    <n v="1"/>
    <s v="NA"/>
    <x v="5"/>
    <e v="#VALUE!"/>
    <x v="0"/>
    <s v="no"/>
  </r>
  <r>
    <s v="Scarrott"/>
    <s v=" Mr"/>
    <s v=" Joseph George"/>
    <x v="0"/>
    <x v="0"/>
    <n v="33"/>
    <x v="2"/>
    <x v="6"/>
    <s v="S"/>
    <x v="0"/>
    <x v="1"/>
    <x v="25"/>
    <x v="1"/>
    <n v="1"/>
    <s v="NA"/>
    <x v="5"/>
    <e v="#VALUE!"/>
    <x v="1"/>
    <s v="yes"/>
  </r>
  <r>
    <s v="Scavino"/>
    <s v=" Sig"/>
    <s v=" Candido"/>
    <x v="0"/>
    <x v="0"/>
    <n v="42"/>
    <x v="0"/>
    <x v="5"/>
    <s v="S"/>
    <x v="0"/>
    <x v="17"/>
    <x v="25"/>
    <x v="1"/>
    <n v="1"/>
    <s v="NA"/>
    <x v="5"/>
    <e v="#VALUE!"/>
    <x v="0"/>
    <s v="no"/>
  </r>
  <r>
    <s v="Scott"/>
    <s v=" Mr"/>
    <s v=" Archibald"/>
    <x v="0"/>
    <x v="0"/>
    <n v="41"/>
    <x v="0"/>
    <x v="3"/>
    <s v="S"/>
    <x v="0"/>
    <x v="10"/>
    <x v="25"/>
    <x v="1"/>
    <n v="1"/>
    <s v="NA"/>
    <x v="5"/>
    <e v="#VALUE!"/>
    <x v="0"/>
    <s v="no"/>
  </r>
  <r>
    <s v="Scott"/>
    <s v=" Mr"/>
    <s v=" Frederick William"/>
    <x v="0"/>
    <x v="0"/>
    <n v="28"/>
    <x v="2"/>
    <x v="3"/>
    <s v="S"/>
    <x v="0"/>
    <x v="1"/>
    <x v="25"/>
    <x v="1"/>
    <n v="1"/>
    <s v="NA"/>
    <x v="5"/>
    <e v="#VALUE!"/>
    <x v="1"/>
    <s v="yes"/>
  </r>
  <r>
    <s v="Scott"/>
    <s v=" Mr"/>
    <s v=" John"/>
    <x v="0"/>
    <x v="0"/>
    <n v="20"/>
    <x v="2"/>
    <x v="4"/>
    <s v="S"/>
    <x v="0"/>
    <x v="1"/>
    <x v="25"/>
    <x v="1"/>
    <n v="1"/>
    <s v="NA"/>
    <x v="5"/>
    <e v="#VALUE!"/>
    <x v="0"/>
    <s v="no"/>
  </r>
  <r>
    <s v="Scovell"/>
    <s v=" Mr"/>
    <s v=" Robert"/>
    <x v="0"/>
    <x v="0"/>
    <n v="55"/>
    <x v="0"/>
    <x v="4"/>
    <s v="S"/>
    <x v="0"/>
    <x v="1"/>
    <x v="25"/>
    <x v="1"/>
    <n v="1"/>
    <s v="NA"/>
    <x v="5"/>
    <e v="#VALUE!"/>
    <x v="0"/>
    <s v="no"/>
  </r>
  <r>
    <s v="Sedunary"/>
    <s v=" Mr"/>
    <s v=" Samuel Francis"/>
    <x v="0"/>
    <x v="0"/>
    <n v="25"/>
    <x v="2"/>
    <x v="4"/>
    <s v="S"/>
    <x v="0"/>
    <x v="1"/>
    <x v="25"/>
    <x v="1"/>
    <n v="1"/>
    <s v="NA"/>
    <x v="5"/>
    <e v="#VALUE!"/>
    <x v="0"/>
    <s v="no"/>
  </r>
  <r>
    <s v="Self"/>
    <s v=" Mr"/>
    <s v=" Albert Charles Edward"/>
    <x v="0"/>
    <x v="0"/>
    <n v="24"/>
    <x v="2"/>
    <x v="3"/>
    <s v="S"/>
    <x v="0"/>
    <x v="1"/>
    <x v="25"/>
    <x v="1"/>
    <n v="1"/>
    <s v="NA"/>
    <x v="5"/>
    <e v="#VALUE!"/>
    <x v="1"/>
    <s v="yes"/>
  </r>
  <r>
    <s v="Self"/>
    <s v=" Mr"/>
    <s v=" Alfred Henry"/>
    <x v="0"/>
    <x v="0"/>
    <n v="40"/>
    <x v="0"/>
    <x v="3"/>
    <s v="S"/>
    <x v="0"/>
    <x v="1"/>
    <x v="25"/>
    <x v="1"/>
    <n v="1"/>
    <s v="NA"/>
    <x v="5"/>
    <e v="#VALUE!"/>
    <x v="0"/>
    <s v="no"/>
  </r>
  <r>
    <s v="Senior"/>
    <s v=" Mr"/>
    <s v=" Harry"/>
    <x v="0"/>
    <x v="0"/>
    <n v="31"/>
    <x v="2"/>
    <x v="3"/>
    <s v="S"/>
    <x v="0"/>
    <x v="1"/>
    <x v="25"/>
    <x v="1"/>
    <n v="1"/>
    <s v="NA"/>
    <x v="5"/>
    <e v="#VALUE!"/>
    <x v="1"/>
    <s v="yes"/>
  </r>
  <r>
    <s v="Sesia"/>
    <s v=" Sig"/>
    <s v=" Giacomo"/>
    <x v="0"/>
    <x v="0"/>
    <n v="24"/>
    <x v="2"/>
    <x v="5"/>
    <s v="S"/>
    <x v="0"/>
    <x v="1"/>
    <x v="25"/>
    <x v="1"/>
    <n v="1"/>
    <s v="NA"/>
    <x v="5"/>
    <e v="#VALUE!"/>
    <x v="0"/>
    <s v="no"/>
  </r>
  <r>
    <s v="Seward"/>
    <s v=" Mr"/>
    <s v=" Wilfred Deable"/>
    <x v="0"/>
    <x v="0"/>
    <n v="25"/>
    <x v="2"/>
    <x v="4"/>
    <s v="S"/>
    <x v="0"/>
    <x v="1"/>
    <x v="25"/>
    <x v="1"/>
    <n v="1"/>
    <s v="NA"/>
    <x v="5"/>
    <e v="#VALUE!"/>
    <x v="1"/>
    <s v="yes"/>
  </r>
  <r>
    <s v="Shaw"/>
    <s v=" Mr"/>
    <s v=" Henry"/>
    <x v="0"/>
    <x v="0"/>
    <n v="42"/>
    <x v="0"/>
    <x v="4"/>
    <s v="S"/>
    <x v="0"/>
    <x v="1"/>
    <x v="25"/>
    <x v="1"/>
    <n v="1"/>
    <s v="NA"/>
    <x v="5"/>
    <e v="#VALUE!"/>
    <x v="0"/>
    <s v="no"/>
  </r>
  <r>
    <s v="Shea"/>
    <s v=" Mr"/>
    <s v=" John Joseph"/>
    <x v="0"/>
    <x v="0"/>
    <n v="40"/>
    <x v="0"/>
    <x v="4"/>
    <s v="B"/>
    <x v="2"/>
    <x v="1"/>
    <x v="25"/>
    <x v="1"/>
    <n v="1"/>
    <s v="NA"/>
    <x v="5"/>
    <e v="#VALUE!"/>
    <x v="0"/>
    <s v="no"/>
  </r>
  <r>
    <s v="Shea"/>
    <s v=" Mr"/>
    <s v=" Thomas"/>
    <x v="0"/>
    <x v="0"/>
    <n v="32"/>
    <x v="2"/>
    <x v="3"/>
    <s v="S"/>
    <x v="0"/>
    <x v="1"/>
    <x v="25"/>
    <x v="1"/>
    <n v="1"/>
    <s v="NA"/>
    <x v="5"/>
    <e v="#VALUE!"/>
    <x v="0"/>
    <s v="no"/>
  </r>
  <r>
    <s v="Sheath"/>
    <s v=" Mr"/>
    <s v=" Frederick"/>
    <x v="0"/>
    <x v="0"/>
    <n v="20"/>
    <x v="2"/>
    <x v="3"/>
    <s v="S"/>
    <x v="0"/>
    <x v="1"/>
    <x v="25"/>
    <x v="1"/>
    <n v="1"/>
    <s v="NA"/>
    <x v="5"/>
    <e v="#VALUE!"/>
    <x v="1"/>
    <s v="yes"/>
  </r>
  <r>
    <s v="Shepherd"/>
    <s v=" Mr"/>
    <s v=" Jonathan"/>
    <x v="0"/>
    <x v="0"/>
    <n v="32"/>
    <x v="2"/>
    <x v="3"/>
    <s v="S"/>
    <x v="0"/>
    <x v="1"/>
    <x v="25"/>
    <x v="1"/>
    <n v="1"/>
    <s v="NA"/>
    <x v="5"/>
    <e v="#VALUE!"/>
    <x v="0"/>
    <s v="no"/>
  </r>
  <r>
    <s v="Shiers"/>
    <s v=" Mr"/>
    <s v=" Alfred Charles"/>
    <x v="0"/>
    <x v="0"/>
    <n v="25"/>
    <x v="2"/>
    <x v="3"/>
    <s v="S"/>
    <x v="0"/>
    <x v="1"/>
    <x v="25"/>
    <x v="1"/>
    <n v="1"/>
    <s v="NA"/>
    <x v="5"/>
    <e v="#VALUE!"/>
    <x v="1"/>
    <s v="yes"/>
  </r>
  <r>
    <s v="Shillabeer"/>
    <s v=" Mr"/>
    <s v=" Charles Frederick"/>
    <x v="0"/>
    <x v="0"/>
    <n v="19"/>
    <x v="2"/>
    <x v="3"/>
    <s v="S"/>
    <x v="0"/>
    <x v="1"/>
    <x v="25"/>
    <x v="1"/>
    <n v="1"/>
    <s v="NA"/>
    <x v="5"/>
    <e v="#VALUE!"/>
    <x v="0"/>
    <s v="no"/>
  </r>
  <r>
    <s v="Siebert"/>
    <s v=" Mr"/>
    <s v=" Sidney Conrad"/>
    <x v="0"/>
    <x v="0"/>
    <n v="29"/>
    <x v="2"/>
    <x v="4"/>
    <s v="B"/>
    <x v="2"/>
    <x v="1"/>
    <x v="25"/>
    <x v="1"/>
    <n v="1"/>
    <s v="NA"/>
    <x v="5"/>
    <e v="#VALUE!"/>
    <x v="0"/>
    <s v="no"/>
  </r>
  <r>
    <s v="Simmons"/>
    <s v=" Mr"/>
    <s v=" Andrew George James"/>
    <x v="0"/>
    <x v="0"/>
    <n v="31"/>
    <x v="2"/>
    <x v="4"/>
    <s v="S"/>
    <x v="0"/>
    <x v="1"/>
    <x v="25"/>
    <x v="1"/>
    <n v="1"/>
    <s v="NA"/>
    <x v="5"/>
    <e v="#VALUE!"/>
    <x v="1"/>
    <s v="yes"/>
  </r>
  <r>
    <s v="Simmons"/>
    <s v=" Mr"/>
    <s v=" Frederick Charles"/>
    <x v="0"/>
    <x v="0"/>
    <n v="24"/>
    <x v="2"/>
    <x v="4"/>
    <s v="S"/>
    <x v="0"/>
    <x v="1"/>
    <x v="25"/>
    <x v="1"/>
    <n v="1"/>
    <s v="NA"/>
    <x v="5"/>
    <e v="#VALUE!"/>
    <x v="0"/>
    <s v="no"/>
  </r>
  <r>
    <s v="Simmons"/>
    <s v=" Mr"/>
    <s v=" William Simon C"/>
    <x v="0"/>
    <x v="0"/>
    <n v="37"/>
    <x v="0"/>
    <x v="4"/>
    <s v="S"/>
    <x v="0"/>
    <x v="1"/>
    <x v="25"/>
    <x v="1"/>
    <n v="1"/>
    <s v="NA"/>
    <x v="5"/>
    <e v="#VALUE!"/>
    <x v="0"/>
    <s v="no"/>
  </r>
  <r>
    <s v="Simpson"/>
    <s v=" Dr"/>
    <s v=" John Edward"/>
    <x v="0"/>
    <x v="0"/>
    <n v="37"/>
    <x v="0"/>
    <x v="6"/>
    <s v="S"/>
    <x v="0"/>
    <x v="10"/>
    <x v="25"/>
    <x v="1"/>
    <n v="1"/>
    <s v="NA"/>
    <x v="5"/>
    <e v="#VALUE!"/>
    <x v="0"/>
    <s v="no"/>
  </r>
  <r>
    <s v="Sivier"/>
    <s v=" Mr"/>
    <s v=" William"/>
    <x v="0"/>
    <x v="0"/>
    <n v="23"/>
    <x v="2"/>
    <x v="4"/>
    <s v="S"/>
    <x v="0"/>
    <x v="1"/>
    <x v="25"/>
    <x v="1"/>
    <n v="1"/>
    <s v="NA"/>
    <x v="5"/>
    <e v="#VALUE!"/>
    <x v="0"/>
    <s v="no"/>
  </r>
  <r>
    <s v="Skeates"/>
    <s v=" Mr"/>
    <s v=" William"/>
    <x v="0"/>
    <x v="0"/>
    <n v="23"/>
    <x v="2"/>
    <x v="3"/>
    <s v="S"/>
    <x v="0"/>
    <x v="1"/>
    <x v="25"/>
    <x v="1"/>
    <n v="1"/>
    <s v="NA"/>
    <x v="5"/>
    <e v="#VALUE!"/>
    <x v="0"/>
    <s v="no"/>
  </r>
  <r>
    <s v="Skinner"/>
    <s v=" Mr"/>
    <s v=" Edward"/>
    <x v="0"/>
    <x v="0"/>
    <n v="41"/>
    <x v="0"/>
    <x v="4"/>
    <s v="B"/>
    <x v="2"/>
    <x v="1"/>
    <x v="25"/>
    <x v="1"/>
    <n v="1"/>
    <s v="NA"/>
    <x v="5"/>
    <e v="#VALUE!"/>
    <x v="0"/>
    <s v="no"/>
  </r>
  <r>
    <s v="Slight"/>
    <s v=" Mr"/>
    <s v=" Harry John"/>
    <x v="0"/>
    <x v="0"/>
    <n v="33"/>
    <x v="2"/>
    <x v="4"/>
    <s v="S"/>
    <x v="0"/>
    <x v="1"/>
    <x v="25"/>
    <x v="1"/>
    <n v="1"/>
    <s v="NA"/>
    <x v="5"/>
    <e v="#VALUE!"/>
    <x v="0"/>
    <s v="no"/>
  </r>
  <r>
    <s v="Slight"/>
    <s v=" Mr"/>
    <s v=" William Henry James"/>
    <x v="0"/>
    <x v="0"/>
    <n v="36"/>
    <x v="0"/>
    <x v="4"/>
    <s v="B"/>
    <x v="2"/>
    <x v="1"/>
    <x v="25"/>
    <x v="1"/>
    <n v="1"/>
    <s v="NA"/>
    <x v="5"/>
    <e v="#VALUE!"/>
    <x v="0"/>
    <s v="no"/>
  </r>
  <r>
    <s v="Sloan"/>
    <s v=" Miss"/>
    <s v=" Mary"/>
    <x v="1"/>
    <x v="1"/>
    <n v="28"/>
    <x v="2"/>
    <x v="4"/>
    <s v="S"/>
    <x v="0"/>
    <x v="10"/>
    <x v="25"/>
    <x v="1"/>
    <n v="1"/>
    <s v="NA"/>
    <x v="5"/>
    <e v="#VALUE!"/>
    <x v="1"/>
    <s v="yes"/>
  </r>
  <r>
    <s v="Sloan"/>
    <s v=" Mr"/>
    <s v=" Peter"/>
    <x v="0"/>
    <x v="0"/>
    <n v="31"/>
    <x v="2"/>
    <x v="3"/>
    <s v="B"/>
    <x v="2"/>
    <x v="1"/>
    <x v="25"/>
    <x v="1"/>
    <n v="1"/>
    <s v="NA"/>
    <x v="5"/>
    <e v="#VALUE!"/>
    <x v="0"/>
    <s v="no"/>
  </r>
  <r>
    <s v="Slocombe"/>
    <s v=" Mrs"/>
    <s v=" Maude Louise"/>
    <x v="1"/>
    <x v="1"/>
    <n v="30"/>
    <x v="2"/>
    <x v="4"/>
    <s v="S"/>
    <x v="0"/>
    <x v="1"/>
    <x v="25"/>
    <x v="1"/>
    <n v="1"/>
    <s v="NA"/>
    <x v="5"/>
    <e v="#VALUE!"/>
    <x v="1"/>
    <s v="yes"/>
  </r>
  <r>
    <s v="Small"/>
    <s v=" Mr"/>
    <s v=" William"/>
    <x v="0"/>
    <x v="0"/>
    <n v="40"/>
    <x v="0"/>
    <x v="3"/>
    <s v="S"/>
    <x v="0"/>
    <x v="1"/>
    <x v="25"/>
    <x v="1"/>
    <n v="1"/>
    <s v="NA"/>
    <x v="5"/>
    <e v="#VALUE!"/>
    <x v="0"/>
    <s v="no"/>
  </r>
  <r>
    <s v="Smillie"/>
    <s v=" Mr"/>
    <s v=" John"/>
    <x v="0"/>
    <x v="0"/>
    <n v="29"/>
    <x v="2"/>
    <x v="4"/>
    <s v="B"/>
    <x v="2"/>
    <x v="22"/>
    <x v="25"/>
    <x v="1"/>
    <n v="1"/>
    <s v="NA"/>
    <x v="5"/>
    <e v="#VALUE!"/>
    <x v="0"/>
    <s v="no"/>
  </r>
  <r>
    <s v="Smith"/>
    <s v=" Captain"/>
    <s v=" Edward John"/>
    <x v="0"/>
    <x v="0"/>
    <n v="62"/>
    <x v="4"/>
    <x v="6"/>
    <s v="S"/>
    <x v="0"/>
    <x v="1"/>
    <x v="25"/>
    <x v="1"/>
    <n v="1"/>
    <s v="NA"/>
    <x v="5"/>
    <e v="#VALUE!"/>
    <x v="0"/>
    <s v="no"/>
  </r>
  <r>
    <s v="Smither"/>
    <s v=" Mr"/>
    <s v=" Harry James"/>
    <x v="0"/>
    <x v="0"/>
    <n v="22"/>
    <x v="2"/>
    <x v="3"/>
    <s v="S"/>
    <x v="0"/>
    <x v="1"/>
    <x v="25"/>
    <x v="1"/>
    <n v="1"/>
    <s v="NA"/>
    <x v="5"/>
    <e v="#VALUE!"/>
    <x v="0"/>
    <s v="no"/>
  </r>
  <r>
    <s v="Smith"/>
    <s v=" Miss"/>
    <s v=" Katherine Elizabeth"/>
    <x v="1"/>
    <x v="1"/>
    <n v="45"/>
    <x v="0"/>
    <x v="4"/>
    <s v="S"/>
    <x v="0"/>
    <x v="1"/>
    <x v="25"/>
    <x v="1"/>
    <n v="1"/>
    <s v="NA"/>
    <x v="5"/>
    <e v="#VALUE!"/>
    <x v="1"/>
    <s v="yes"/>
  </r>
  <r>
    <s v="Smith"/>
    <s v=" Mr"/>
    <s v=" Charles Edwin"/>
    <x v="0"/>
    <x v="0"/>
    <n v="40"/>
    <x v="0"/>
    <x v="4"/>
    <s v="S"/>
    <x v="0"/>
    <x v="1"/>
    <x v="25"/>
    <x v="1"/>
    <n v="1"/>
    <s v="NA"/>
    <x v="5"/>
    <e v="#VALUE!"/>
    <x v="0"/>
    <s v="no"/>
  </r>
  <r>
    <s v="Smith"/>
    <s v=" Mr"/>
    <s v=" Charles Henry James"/>
    <x v="0"/>
    <x v="0"/>
    <n v="38"/>
    <x v="0"/>
    <x v="4"/>
    <s v="S"/>
    <x v="0"/>
    <x v="1"/>
    <x v="25"/>
    <x v="1"/>
    <n v="1"/>
    <s v="NA"/>
    <x v="5"/>
    <e v="#VALUE!"/>
    <x v="0"/>
    <s v="no"/>
  </r>
  <r>
    <s v="Smith"/>
    <s v=" Mr"/>
    <s v=" Emest George"/>
    <x v="0"/>
    <x v="0"/>
    <n v="27"/>
    <x v="2"/>
    <x v="3"/>
    <s v="S"/>
    <x v="0"/>
    <x v="1"/>
    <x v="25"/>
    <x v="1"/>
    <n v="1"/>
    <s v="NA"/>
    <x v="5"/>
    <e v="#VALUE!"/>
    <x v="0"/>
    <s v="no"/>
  </r>
  <r>
    <s v="Smith"/>
    <s v=" Mr"/>
    <s v=" F"/>
    <x v="0"/>
    <x v="0"/>
    <n v="20"/>
    <x v="2"/>
    <x v="4"/>
    <s v="B"/>
    <x v="2"/>
    <x v="1"/>
    <x v="25"/>
    <x v="1"/>
    <n v="1"/>
    <s v="NA"/>
    <x v="5"/>
    <e v="#VALUE!"/>
    <x v="0"/>
    <s v="no"/>
  </r>
  <r>
    <s v="Smith"/>
    <s v=" Mr"/>
    <s v=" James Muil"/>
    <x v="0"/>
    <x v="0"/>
    <n v="39"/>
    <x v="0"/>
    <x v="3"/>
    <s v="B"/>
    <x v="2"/>
    <x v="22"/>
    <x v="25"/>
    <x v="1"/>
    <n v="1"/>
    <s v="NA"/>
    <x v="5"/>
    <e v="#VALUE!"/>
    <x v="0"/>
    <s v="no"/>
  </r>
  <r>
    <s v="Smith"/>
    <s v=" Mr"/>
    <s v=" James William"/>
    <x v="0"/>
    <x v="0"/>
    <n v="24"/>
    <x v="2"/>
    <x v="4"/>
    <s v="S"/>
    <x v="0"/>
    <x v="1"/>
    <x v="25"/>
    <x v="1"/>
    <n v="1"/>
    <s v="NA"/>
    <x v="5"/>
    <e v="#VALUE!"/>
    <x v="0"/>
    <s v="no"/>
  </r>
  <r>
    <s v="Smith"/>
    <s v=" Mr"/>
    <s v=" John Richard Jago"/>
    <x v="0"/>
    <x v="0"/>
    <n v="35"/>
    <x v="2"/>
    <x v="4"/>
    <s v="S"/>
    <x v="0"/>
    <x v="1"/>
    <x v="25"/>
    <x v="1"/>
    <n v="1"/>
    <s v="NA"/>
    <x v="5"/>
    <e v="#VALUE!"/>
    <x v="0"/>
    <s v="no"/>
  </r>
  <r>
    <s v="Smith"/>
    <s v=" Mr"/>
    <s v=" Reginald George"/>
    <x v="0"/>
    <x v="0"/>
    <n v="33"/>
    <x v="2"/>
    <x v="4"/>
    <s v="S"/>
    <x v="0"/>
    <x v="1"/>
    <x v="25"/>
    <x v="1"/>
    <n v="1"/>
    <s v="NA"/>
    <x v="5"/>
    <e v="#VALUE!"/>
    <x v="0"/>
    <s v="no"/>
  </r>
  <r>
    <s v="Smith"/>
    <s v=" Mr"/>
    <s v=" William"/>
    <x v="0"/>
    <x v="0"/>
    <n v="26"/>
    <x v="2"/>
    <x v="6"/>
    <s v="S"/>
    <x v="0"/>
    <x v="1"/>
    <x v="25"/>
    <x v="1"/>
    <n v="1"/>
    <s v="NA"/>
    <x v="5"/>
    <e v="#VALUE!"/>
    <x v="0"/>
    <s v="no"/>
  </r>
  <r>
    <s v="Snape"/>
    <s v=" Mrs"/>
    <s v=" Lucy Violet"/>
    <x v="1"/>
    <x v="1"/>
    <n v="22"/>
    <x v="2"/>
    <x v="4"/>
    <s v="S"/>
    <x v="0"/>
    <x v="1"/>
    <x v="25"/>
    <x v="1"/>
    <n v="1"/>
    <s v="NA"/>
    <x v="5"/>
    <e v="#VALUE!"/>
    <x v="0"/>
    <s v="no"/>
  </r>
  <r>
    <s v="Snellgrove"/>
    <s v=" Mr"/>
    <s v=" George"/>
    <x v="0"/>
    <x v="0"/>
    <n v="41"/>
    <x v="0"/>
    <x v="3"/>
    <s v="S"/>
    <x v="0"/>
    <x v="1"/>
    <x v="25"/>
    <x v="1"/>
    <n v="1"/>
    <s v="NA"/>
    <x v="5"/>
    <e v="#VALUE!"/>
    <x v="0"/>
    <s v="no"/>
  </r>
  <r>
    <s v="Snooks"/>
    <s v=" Mr"/>
    <s v=" W"/>
    <x v="0"/>
    <x v="0"/>
    <n v="26"/>
    <x v="2"/>
    <x v="3"/>
    <s v="S"/>
    <x v="0"/>
    <x v="1"/>
    <x v="25"/>
    <x v="1"/>
    <n v="1"/>
    <s v="NA"/>
    <x v="5"/>
    <e v="#VALUE!"/>
    <x v="0"/>
    <s v="no"/>
  </r>
  <r>
    <s v="Snow"/>
    <s v=" Mr"/>
    <s v=" Eustace Philip"/>
    <x v="0"/>
    <x v="0"/>
    <n v="21"/>
    <x v="2"/>
    <x v="3"/>
    <s v="S"/>
    <x v="0"/>
    <x v="1"/>
    <x v="25"/>
    <x v="1"/>
    <n v="1"/>
    <s v="NA"/>
    <x v="5"/>
    <e v="#VALUE!"/>
    <x v="1"/>
    <s v="yes"/>
  </r>
  <r>
    <s v="Sparkman"/>
    <s v=" Mr"/>
    <s v=" Henry William"/>
    <x v="0"/>
    <x v="0"/>
    <n v="36"/>
    <x v="0"/>
    <x v="3"/>
    <s v="S"/>
    <x v="0"/>
    <x v="1"/>
    <x v="25"/>
    <x v="1"/>
    <n v="1"/>
    <s v="NA"/>
    <x v="5"/>
    <e v="#VALUE!"/>
    <x v="1"/>
    <s v="yes"/>
  </r>
  <r>
    <s v="Stagg"/>
    <s v=" Mr"/>
    <s v=" John Henry"/>
    <x v="0"/>
    <x v="0"/>
    <n v="38"/>
    <x v="0"/>
    <x v="4"/>
    <s v="S"/>
    <x v="0"/>
    <x v="1"/>
    <x v="25"/>
    <x v="1"/>
    <n v="1"/>
    <s v="NA"/>
    <x v="5"/>
    <e v="#VALUE!"/>
    <x v="0"/>
    <s v="no"/>
  </r>
  <r>
    <s v="Stanbrook"/>
    <s v=" Mr"/>
    <s v=" Augustus George"/>
    <x v="0"/>
    <x v="0"/>
    <n v="31"/>
    <x v="2"/>
    <x v="3"/>
    <s v="S"/>
    <x v="0"/>
    <x v="1"/>
    <x v="25"/>
    <x v="1"/>
    <n v="1"/>
    <s v="NA"/>
    <x v="5"/>
    <e v="#VALUE!"/>
    <x v="0"/>
    <s v="no"/>
  </r>
  <r>
    <s v="Stap"/>
    <s v=" Miss"/>
    <s v=" Sarah Agnes"/>
    <x v="1"/>
    <x v="1"/>
    <n v="47"/>
    <x v="0"/>
    <x v="4"/>
    <s v="S"/>
    <x v="0"/>
    <x v="1"/>
    <x v="25"/>
    <x v="1"/>
    <n v="1"/>
    <s v="NA"/>
    <x v="5"/>
    <e v="#VALUE!"/>
    <x v="1"/>
    <s v="yes"/>
  </r>
  <r>
    <s v="Stebbings"/>
    <s v=" Mr"/>
    <s v=" Sydney Frederick"/>
    <x v="0"/>
    <x v="0"/>
    <n v="36"/>
    <x v="0"/>
    <x v="4"/>
    <s v="B"/>
    <x v="2"/>
    <x v="1"/>
    <x v="25"/>
    <x v="1"/>
    <n v="1"/>
    <s v="NA"/>
    <x v="5"/>
    <e v="#VALUE!"/>
    <x v="0"/>
    <s v="no"/>
  </r>
  <r>
    <s v="Steel"/>
    <s v=" Mr"/>
    <s v=" Robert Edward"/>
    <x v="0"/>
    <x v="0"/>
    <n v="30"/>
    <x v="2"/>
    <x v="3"/>
    <s v="S"/>
    <x v="0"/>
    <x v="1"/>
    <x v="25"/>
    <x v="1"/>
    <n v="1"/>
    <s v="NA"/>
    <x v="5"/>
    <e v="#VALUE!"/>
    <x v="0"/>
    <s v="no"/>
  </r>
  <r>
    <s v="Stewart"/>
    <s v=" Mr"/>
    <s v=" John"/>
    <x v="0"/>
    <x v="0"/>
    <n v="28"/>
    <x v="2"/>
    <x v="4"/>
    <s v="B"/>
    <x v="2"/>
    <x v="22"/>
    <x v="25"/>
    <x v="1"/>
    <n v="1"/>
    <s v="NA"/>
    <x v="5"/>
    <e v="#VALUE!"/>
    <x v="1"/>
    <s v="yes"/>
  </r>
  <r>
    <s v="Stocker"/>
    <s v=" Mr"/>
    <s v=" Henry Dorey"/>
    <x v="0"/>
    <x v="0"/>
    <n v="20"/>
    <x v="2"/>
    <x v="3"/>
    <s v="S"/>
    <x v="0"/>
    <x v="1"/>
    <x v="25"/>
    <x v="1"/>
    <n v="1"/>
    <s v="NA"/>
    <x v="5"/>
    <e v="#VALUE!"/>
    <x v="0"/>
    <s v="no"/>
  </r>
  <r>
    <s v="Stone"/>
    <s v=" Mr"/>
    <s v=" Edmund"/>
    <x v="0"/>
    <x v="0"/>
    <n v="33"/>
    <x v="2"/>
    <x v="4"/>
    <s v="S"/>
    <x v="0"/>
    <x v="1"/>
    <x v="25"/>
    <x v="1"/>
    <n v="1"/>
    <s v="NA"/>
    <x v="5"/>
    <e v="#VALUE!"/>
    <x v="0"/>
    <s v="no"/>
  </r>
  <r>
    <s v="Stone"/>
    <s v=" Mr"/>
    <s v=" Edward Thomas"/>
    <x v="0"/>
    <x v="0"/>
    <n v="29"/>
    <x v="2"/>
    <x v="4"/>
    <s v="S"/>
    <x v="0"/>
    <x v="1"/>
    <x v="25"/>
    <x v="1"/>
    <n v="1"/>
    <s v="NA"/>
    <x v="5"/>
    <e v="#VALUE!"/>
    <x v="0"/>
    <s v="no"/>
  </r>
  <r>
    <s v="Street"/>
    <s v=" Mr"/>
    <s v=" Thomas Albert"/>
    <x v="0"/>
    <x v="0"/>
    <n v="25"/>
    <x v="2"/>
    <x v="3"/>
    <s v="S"/>
    <x v="0"/>
    <x v="1"/>
    <x v="25"/>
    <x v="1"/>
    <n v="1"/>
    <s v="NA"/>
    <x v="5"/>
    <e v="#VALUE!"/>
    <x v="1"/>
    <s v="yes"/>
  </r>
  <r>
    <s v="Stroud"/>
    <s v=" Mr"/>
    <s v=" Edward Alfred Orlando"/>
    <x v="0"/>
    <x v="0"/>
    <n v="19"/>
    <x v="2"/>
    <x v="4"/>
    <s v="S"/>
    <x v="0"/>
    <x v="1"/>
    <x v="25"/>
    <x v="1"/>
    <n v="1"/>
    <s v="NA"/>
    <x v="5"/>
    <e v="#VALUE!"/>
    <x v="0"/>
    <s v="no"/>
  </r>
  <r>
    <s v="Stroud"/>
    <s v=" Mr"/>
    <s v=" Harry John"/>
    <x v="0"/>
    <x v="0"/>
    <n v="35"/>
    <x v="2"/>
    <x v="4"/>
    <s v="S"/>
    <x v="0"/>
    <x v="1"/>
    <x v="25"/>
    <x v="1"/>
    <n v="1"/>
    <s v="NA"/>
    <x v="5"/>
    <e v="#VALUE!"/>
    <x v="0"/>
    <s v="no"/>
  </r>
  <r>
    <s v="Strugnell"/>
    <s v=" Mr"/>
    <s v=" John Herbert"/>
    <x v="0"/>
    <x v="0"/>
    <n v="34"/>
    <x v="2"/>
    <x v="4"/>
    <s v="B"/>
    <x v="2"/>
    <x v="1"/>
    <x v="25"/>
    <x v="1"/>
    <n v="1"/>
    <s v="NA"/>
    <x v="5"/>
    <e v="#VALUE!"/>
    <x v="0"/>
    <s v="no"/>
  </r>
  <r>
    <s v="Stubbings"/>
    <s v=" Mr"/>
    <s v=" Harry Robert"/>
    <x v="0"/>
    <x v="0"/>
    <n v="31"/>
    <x v="2"/>
    <x v="4"/>
    <s v="B"/>
    <x v="2"/>
    <x v="1"/>
    <x v="25"/>
    <x v="1"/>
    <n v="1"/>
    <s v="NA"/>
    <x v="5"/>
    <e v="#VALUE!"/>
    <x v="0"/>
    <s v="no"/>
  </r>
  <r>
    <s v="Stubbs"/>
    <s v=" Mr"/>
    <s v=" James Henry"/>
    <x v="0"/>
    <x v="0"/>
    <n v="28"/>
    <x v="2"/>
    <x v="3"/>
    <s v="S"/>
    <x v="0"/>
    <x v="1"/>
    <x v="25"/>
    <x v="1"/>
    <n v="1"/>
    <s v="NA"/>
    <x v="5"/>
    <e v="#VALUE!"/>
    <x v="0"/>
    <s v="no"/>
  </r>
  <r>
    <s v="Sullivan"/>
    <s v=" Mr"/>
    <s v=" S"/>
    <x v="0"/>
    <x v="0"/>
    <n v="25"/>
    <x v="2"/>
    <x v="3"/>
    <s v="S"/>
    <x v="0"/>
    <x v="1"/>
    <x v="25"/>
    <x v="1"/>
    <n v="1"/>
    <s v="NA"/>
    <x v="5"/>
    <e v="#VALUE!"/>
    <x v="0"/>
    <s v="no"/>
  </r>
  <r>
    <s v="Swan"/>
    <s v=" Mr"/>
    <s v=" William"/>
    <x v="0"/>
    <x v="0"/>
    <n v="48"/>
    <x v="0"/>
    <x v="4"/>
    <s v="B"/>
    <x v="2"/>
    <x v="10"/>
    <x v="25"/>
    <x v="1"/>
    <n v="1"/>
    <s v="NA"/>
    <x v="5"/>
    <e v="#VALUE!"/>
    <x v="0"/>
    <s v="no"/>
  </r>
  <r>
    <s v="Symonds"/>
    <s v=" Mr"/>
    <s v=" John Crane"/>
    <x v="0"/>
    <x v="0"/>
    <n v="45"/>
    <x v="0"/>
    <x v="4"/>
    <s v="B"/>
    <x v="2"/>
    <x v="1"/>
    <x v="25"/>
    <x v="1"/>
    <n v="1"/>
    <s v="NA"/>
    <x v="5"/>
    <e v="#VALUE!"/>
    <x v="0"/>
    <s v="no"/>
  </r>
  <r>
    <s v="Symons"/>
    <s v=" Mr"/>
    <s v=" George Thomas Macdonald"/>
    <x v="0"/>
    <x v="0"/>
    <n v="24"/>
    <x v="2"/>
    <x v="6"/>
    <s v="S"/>
    <x v="0"/>
    <x v="1"/>
    <x v="25"/>
    <x v="1"/>
    <n v="1"/>
    <s v="NA"/>
    <x v="5"/>
    <e v="#VALUE!"/>
    <x v="1"/>
    <s v="yes"/>
  </r>
  <r>
    <s v="Talbot"/>
    <s v=" Mr"/>
    <s v=" George Frederick Charles"/>
    <x v="0"/>
    <x v="0"/>
    <n v="20"/>
    <x v="2"/>
    <x v="4"/>
    <s v="S"/>
    <x v="0"/>
    <x v="1"/>
    <x v="25"/>
    <x v="1"/>
    <n v="1"/>
    <s v="NA"/>
    <x v="5"/>
    <e v="#VALUE!"/>
    <x v="0"/>
    <s v="no"/>
  </r>
  <r>
    <s v="Tamlyn"/>
    <s v=" Mr"/>
    <s v=" Frederick"/>
    <x v="0"/>
    <x v="0"/>
    <n v="24"/>
    <x v="2"/>
    <x v="6"/>
    <s v="S"/>
    <x v="0"/>
    <x v="1"/>
    <x v="25"/>
    <x v="1"/>
    <n v="1"/>
    <s v="NA"/>
    <x v="5"/>
    <e v="#VALUE!"/>
    <x v="0"/>
    <s v="no"/>
  </r>
  <r>
    <s v="Taylor"/>
    <s v=" Mr"/>
    <s v=" Bernard Cuthbert"/>
    <x v="0"/>
    <x v="0"/>
    <n v="22"/>
    <x v="2"/>
    <x v="4"/>
    <s v="S"/>
    <x v="0"/>
    <x v="1"/>
    <x v="25"/>
    <x v="1"/>
    <n v="1"/>
    <s v="NA"/>
    <x v="5"/>
    <e v="#VALUE!"/>
    <x v="0"/>
    <s v="no"/>
  </r>
  <r>
    <s v="Taylor"/>
    <s v=" Mr"/>
    <s v=" Charles William Frederick"/>
    <x v="0"/>
    <x v="0"/>
    <n v="40"/>
    <x v="0"/>
    <x v="6"/>
    <s v="S"/>
    <x v="0"/>
    <x v="1"/>
    <x v="25"/>
    <x v="1"/>
    <n v="1"/>
    <s v="NA"/>
    <x v="5"/>
    <e v="#VALUE!"/>
    <x v="0"/>
    <s v="no"/>
  </r>
  <r>
    <s v="Taylor"/>
    <s v=" Mr"/>
    <s v=" George"/>
    <x v="0"/>
    <x v="0"/>
    <n v="24"/>
    <x v="2"/>
    <x v="3"/>
    <s v="S"/>
    <x v="0"/>
    <x v="1"/>
    <x v="25"/>
    <x v="1"/>
    <n v="1"/>
    <s v="NA"/>
    <x v="5"/>
    <e v="#VALUE!"/>
    <x v="1"/>
    <s v="yes"/>
  </r>
  <r>
    <s v="Taylor"/>
    <s v=" Mr"/>
    <s v=" J"/>
    <x v="0"/>
    <x v="0"/>
    <n v="42"/>
    <x v="0"/>
    <x v="3"/>
    <s v="S"/>
    <x v="0"/>
    <x v="1"/>
    <x v="25"/>
    <x v="1"/>
    <n v="1"/>
    <s v="NA"/>
    <x v="5"/>
    <e v="#VALUE!"/>
    <x v="0"/>
    <s v="no"/>
  </r>
  <r>
    <s v="Taylor"/>
    <s v=" Mr"/>
    <s v=" John Henry"/>
    <x v="0"/>
    <x v="0"/>
    <n v="49"/>
    <x v="0"/>
    <x v="3"/>
    <s v="S"/>
    <x v="0"/>
    <x v="1"/>
    <x v="25"/>
    <x v="1"/>
    <n v="1"/>
    <s v="NA"/>
    <x v="5"/>
    <e v="#VALUE!"/>
    <x v="0"/>
    <s v="no"/>
  </r>
  <r>
    <s v="Taylor"/>
    <s v=" Mr"/>
    <s v=" Leonard"/>
    <x v="0"/>
    <x v="0"/>
    <n v="19"/>
    <x v="2"/>
    <x v="4"/>
    <s v="S"/>
    <x v="0"/>
    <x v="1"/>
    <x v="25"/>
    <x v="1"/>
    <n v="1"/>
    <s v="NA"/>
    <x v="5"/>
    <e v="#VALUE!"/>
    <x v="0"/>
    <s v="no"/>
  </r>
  <r>
    <s v="Taylor"/>
    <s v=" Mr"/>
    <s v=" William Henry"/>
    <x v="0"/>
    <x v="0"/>
    <n v="28"/>
    <x v="2"/>
    <x v="3"/>
    <s v="S"/>
    <x v="0"/>
    <x v="1"/>
    <x v="25"/>
    <x v="1"/>
    <n v="1"/>
    <s v="NA"/>
    <x v="5"/>
    <e v="#VALUE!"/>
    <x v="1"/>
    <s v="yes"/>
  </r>
  <r>
    <s v="Taylor"/>
    <s v=" Mr"/>
    <s v=" William John"/>
    <x v="0"/>
    <x v="0"/>
    <n v="32"/>
    <x v="2"/>
    <x v="4"/>
    <s v="S"/>
    <x v="0"/>
    <x v="1"/>
    <x v="25"/>
    <x v="1"/>
    <n v="1"/>
    <s v="NA"/>
    <x v="5"/>
    <e v="#VALUE!"/>
    <x v="0"/>
    <s v="no"/>
  </r>
  <r>
    <s v="Terrell"/>
    <s v=" Mr"/>
    <s v=" Bertram"/>
    <x v="0"/>
    <x v="0"/>
    <n v="19"/>
    <x v="2"/>
    <x v="6"/>
    <s v="S"/>
    <x v="0"/>
    <x v="1"/>
    <x v="25"/>
    <x v="1"/>
    <n v="1"/>
    <s v="NA"/>
    <x v="5"/>
    <e v="#VALUE!"/>
    <x v="0"/>
    <s v="no"/>
  </r>
  <r>
    <s v="Terrell"/>
    <s v=" Mr"/>
    <s v=" Frank"/>
    <x v="0"/>
    <x v="0"/>
    <n v="27"/>
    <x v="2"/>
    <x v="4"/>
    <s v="S"/>
    <x v="0"/>
    <x v="1"/>
    <x v="25"/>
    <x v="1"/>
    <n v="1"/>
    <s v="NA"/>
    <x v="5"/>
    <e v="#VALUE!"/>
    <x v="1"/>
    <s v="yes"/>
  </r>
  <r>
    <s v="Testoni"/>
    <s v=" Sig"/>
    <s v=" Ercole"/>
    <x v="0"/>
    <x v="0"/>
    <n v="23"/>
    <x v="2"/>
    <x v="5"/>
    <s v="S"/>
    <x v="0"/>
    <x v="1"/>
    <x v="25"/>
    <x v="1"/>
    <n v="1"/>
    <s v="NA"/>
    <x v="5"/>
    <e v="#VALUE!"/>
    <x v="0"/>
    <s v="no"/>
  </r>
  <r>
    <s v="Teuton"/>
    <s v=" Mr"/>
    <s v=" Thomas Moore"/>
    <x v="0"/>
    <x v="0"/>
    <n v="35"/>
    <x v="2"/>
    <x v="4"/>
    <s v="S"/>
    <x v="0"/>
    <x v="1"/>
    <x v="25"/>
    <x v="1"/>
    <n v="1"/>
    <s v="NA"/>
    <x v="5"/>
    <e v="#VALUE!"/>
    <x v="0"/>
    <s v="no"/>
  </r>
  <r>
    <s v="Thaler"/>
    <s v=" Mr"/>
    <s v=" Montague Donald"/>
    <x v="0"/>
    <x v="0"/>
    <n v="17"/>
    <x v="1"/>
    <x v="4"/>
    <s v="S"/>
    <x v="0"/>
    <x v="1"/>
    <x v="25"/>
    <x v="1"/>
    <n v="1"/>
    <s v="NA"/>
    <x v="5"/>
    <e v="#VALUE!"/>
    <x v="0"/>
    <s v="no"/>
  </r>
  <r>
    <s v="Theissinger"/>
    <s v=" Mr"/>
    <s v=" Alfred"/>
    <x v="0"/>
    <x v="0"/>
    <n v="46"/>
    <x v="0"/>
    <x v="4"/>
    <s v="S"/>
    <x v="0"/>
    <x v="1"/>
    <x v="25"/>
    <x v="1"/>
    <n v="1"/>
    <s v="NA"/>
    <x v="5"/>
    <e v="#VALUE!"/>
    <x v="1"/>
    <s v="yes"/>
  </r>
  <r>
    <s v="Thomas"/>
    <s v=" Mr"/>
    <s v=" Albert Charles"/>
    <x v="0"/>
    <x v="0"/>
    <n v="23"/>
    <x v="2"/>
    <x v="4"/>
    <s v="S"/>
    <x v="0"/>
    <x v="1"/>
    <x v="25"/>
    <x v="1"/>
    <n v="1"/>
    <s v="NA"/>
    <x v="5"/>
    <e v="#VALUE!"/>
    <x v="1"/>
    <s v="yes"/>
  </r>
  <r>
    <s v="Thomas"/>
    <s v=" Mr"/>
    <s v=" Benjamin James"/>
    <x v="0"/>
    <x v="0"/>
    <n v="30"/>
    <x v="2"/>
    <x v="4"/>
    <s v="B"/>
    <x v="2"/>
    <x v="1"/>
    <x v="25"/>
    <x v="1"/>
    <n v="1"/>
    <s v="NA"/>
    <x v="5"/>
    <e v="#VALUE!"/>
    <x v="1"/>
    <s v="yes"/>
  </r>
  <r>
    <s v="Thomas"/>
    <s v=" Mr"/>
    <s v=" Joseph Wakefield"/>
    <x v="0"/>
    <x v="0"/>
    <n v="24"/>
    <x v="2"/>
    <x v="3"/>
    <s v="S"/>
    <x v="0"/>
    <x v="1"/>
    <x v="25"/>
    <x v="1"/>
    <n v="1"/>
    <s v="NA"/>
    <x v="5"/>
    <e v="#VALUE!"/>
    <x v="0"/>
    <s v="no"/>
  </r>
  <r>
    <s v="Thompson"/>
    <s v=" Mr"/>
    <s v=" Herbert Henry"/>
    <x v="0"/>
    <x v="0"/>
    <n v="25"/>
    <x v="2"/>
    <x v="4"/>
    <s v="B"/>
    <x v="2"/>
    <x v="1"/>
    <x v="25"/>
    <x v="1"/>
    <n v="1"/>
    <s v="NA"/>
    <x v="5"/>
    <e v="#VALUE!"/>
    <x v="0"/>
    <s v="no"/>
  </r>
  <r>
    <s v="Thompson"/>
    <s v=" Mr"/>
    <s v=" John William"/>
    <x v="0"/>
    <x v="0"/>
    <n v="35"/>
    <x v="2"/>
    <x v="3"/>
    <s v="S"/>
    <x v="0"/>
    <x v="1"/>
    <x v="25"/>
    <x v="1"/>
    <n v="1"/>
    <s v="NA"/>
    <x v="5"/>
    <e v="#VALUE!"/>
    <x v="1"/>
    <s v="yes"/>
  </r>
  <r>
    <s v="Thorley"/>
    <s v=" Mr"/>
    <s v=" William"/>
    <x v="0"/>
    <x v="0"/>
    <n v="39"/>
    <x v="0"/>
    <x v="4"/>
    <s v="S"/>
    <x v="0"/>
    <x v="1"/>
    <x v="25"/>
    <x v="1"/>
    <n v="1"/>
    <s v="NA"/>
    <x v="5"/>
    <e v="#VALUE!"/>
    <x v="0"/>
    <s v="no"/>
  </r>
  <r>
    <s v="Thorn"/>
    <s v=" Mr"/>
    <s v=" Harry"/>
    <x v="0"/>
    <x v="0"/>
    <n v="25"/>
    <x v="2"/>
    <x v="4"/>
    <s v="S"/>
    <x v="0"/>
    <x v="1"/>
    <x v="25"/>
    <x v="1"/>
    <n v="1"/>
    <s v="NA"/>
    <x v="5"/>
    <e v="#VALUE!"/>
    <x v="0"/>
    <s v="no"/>
  </r>
  <r>
    <s v="Threlfall"/>
    <s v=" Mr"/>
    <s v=" Thomas"/>
    <x v="0"/>
    <x v="0"/>
    <n v="44"/>
    <x v="0"/>
    <x v="3"/>
    <s v="S"/>
    <x v="0"/>
    <x v="1"/>
    <x v="25"/>
    <x v="1"/>
    <n v="1"/>
    <s v="NA"/>
    <x v="5"/>
    <e v="#VALUE!"/>
    <x v="1"/>
    <s v="yes"/>
  </r>
  <r>
    <s v="Thresher"/>
    <s v=" Mr"/>
    <s v=" George Terrill"/>
    <x v="0"/>
    <x v="0"/>
    <n v="25"/>
    <x v="2"/>
    <x v="3"/>
    <s v="S"/>
    <x v="0"/>
    <x v="1"/>
    <x v="25"/>
    <x v="1"/>
    <n v="1"/>
    <s v="NA"/>
    <x v="5"/>
    <e v="#VALUE!"/>
    <x v="1"/>
    <s v="yes"/>
  </r>
  <r>
    <s v="Tietz"/>
    <s v=" Sig"/>
    <s v=" Carlo/Karl"/>
    <x v="0"/>
    <x v="0"/>
    <n v="27"/>
    <x v="2"/>
    <x v="5"/>
    <s v="S"/>
    <x v="0"/>
    <x v="1"/>
    <x v="25"/>
    <x v="1"/>
    <n v="1"/>
    <s v="NA"/>
    <x v="5"/>
    <e v="#VALUE!"/>
    <x v="0"/>
    <s v="no"/>
  </r>
  <r>
    <s v="Tizard"/>
    <s v=" Mr"/>
    <s v=" Arthur Leopold"/>
    <x v="0"/>
    <x v="0"/>
    <n v="31"/>
    <x v="2"/>
    <x v="3"/>
    <s v="S"/>
    <x v="0"/>
    <x v="1"/>
    <x v="25"/>
    <x v="1"/>
    <n v="1"/>
    <s v="NA"/>
    <x v="5"/>
    <e v="#VALUE!"/>
    <x v="0"/>
    <s v="no"/>
  </r>
  <r>
    <s v="Toms"/>
    <s v=" Mr"/>
    <s v=" Fred"/>
    <x v="0"/>
    <x v="0"/>
    <n v="29"/>
    <x v="2"/>
    <x v="4"/>
    <s v="B"/>
    <x v="2"/>
    <x v="1"/>
    <x v="25"/>
    <x v="1"/>
    <n v="1"/>
    <s v="NA"/>
    <x v="5"/>
    <e v="#VALUE!"/>
    <x v="1"/>
    <s v="yes"/>
  </r>
  <r>
    <s v="Topp"/>
    <s v=" Mr"/>
    <s v=" Thomas"/>
    <x v="0"/>
    <x v="0"/>
    <n v="28"/>
    <x v="2"/>
    <x v="4"/>
    <s v="S"/>
    <x v="0"/>
    <x v="1"/>
    <x v="25"/>
    <x v="1"/>
    <n v="1"/>
    <s v="NA"/>
    <x v="5"/>
    <e v="#VALUE!"/>
    <x v="0"/>
    <s v="no"/>
  </r>
  <r>
    <s v="Toshack"/>
    <s v=" Mr"/>
    <s v=" James Adamson"/>
    <x v="0"/>
    <x v="0"/>
    <n v="30"/>
    <x v="2"/>
    <x v="4"/>
    <s v="S"/>
    <x v="0"/>
    <x v="22"/>
    <x v="25"/>
    <x v="1"/>
    <n v="1"/>
    <s v="NA"/>
    <x v="5"/>
    <e v="#VALUE!"/>
    <x v="0"/>
    <s v="no"/>
  </r>
  <r>
    <s v="Tozer"/>
    <s v=" Mr"/>
    <s v=" James"/>
    <x v="0"/>
    <x v="0"/>
    <n v="32"/>
    <x v="2"/>
    <x v="3"/>
    <s v="S"/>
    <x v="0"/>
    <x v="1"/>
    <x v="25"/>
    <x v="1"/>
    <n v="1"/>
    <s v="NA"/>
    <x v="5"/>
    <e v="#VALUE!"/>
    <x v="0"/>
    <s v="no"/>
  </r>
  <r>
    <s v="Triggs"/>
    <s v=" Mr"/>
    <s v=" Reuben Robert"/>
    <x v="0"/>
    <x v="0"/>
    <n v="39"/>
    <x v="0"/>
    <x v="3"/>
    <s v="S"/>
    <x v="0"/>
    <x v="1"/>
    <x v="25"/>
    <x v="1"/>
    <n v="1"/>
    <s v="NA"/>
    <x v="5"/>
    <e v="#VALUE!"/>
    <x v="1"/>
    <s v="yes"/>
  </r>
  <r>
    <s v="Turley"/>
    <s v=" Mr"/>
    <s v=" Richard"/>
    <x v="0"/>
    <x v="0"/>
    <n v="37"/>
    <x v="0"/>
    <x v="3"/>
    <s v="B"/>
    <x v="2"/>
    <x v="16"/>
    <x v="25"/>
    <x v="1"/>
    <n v="1"/>
    <s v="NA"/>
    <x v="5"/>
    <e v="#VALUE!"/>
    <x v="0"/>
    <s v="no"/>
  </r>
  <r>
    <s v="Turner"/>
    <s v=" Mr"/>
    <s v=" George Frederick"/>
    <x v="0"/>
    <x v="0"/>
    <n v="42"/>
    <x v="0"/>
    <x v="4"/>
    <s v="S"/>
    <x v="0"/>
    <x v="1"/>
    <x v="25"/>
    <x v="1"/>
    <n v="1"/>
    <s v="NA"/>
    <x v="5"/>
    <e v="#VALUE!"/>
    <x v="0"/>
    <s v="no"/>
  </r>
  <r>
    <s v="Turner"/>
    <s v=" Mr"/>
    <s v=" Leopold Olerenshaw"/>
    <x v="0"/>
    <x v="0"/>
    <n v="28"/>
    <x v="2"/>
    <x v="4"/>
    <s v="B"/>
    <x v="2"/>
    <x v="1"/>
    <x v="25"/>
    <x v="1"/>
    <n v="1"/>
    <s v="NA"/>
    <x v="5"/>
    <e v="#VALUE!"/>
    <x v="0"/>
    <s v="no"/>
  </r>
  <r>
    <s v="Turvey"/>
    <s v=" Mr"/>
    <s v=" Charles Thomas"/>
    <x v="0"/>
    <x v="0"/>
    <n v="17"/>
    <x v="1"/>
    <x v="5"/>
    <s v="S"/>
    <x v="0"/>
    <x v="1"/>
    <x v="25"/>
    <x v="1"/>
    <n v="1"/>
    <s v="NA"/>
    <x v="5"/>
    <e v="#VALUE!"/>
    <x v="0"/>
    <s v="no"/>
  </r>
  <r>
    <s v="Urbini"/>
    <s v=" Sig"/>
    <s v=" Roberto"/>
    <x v="0"/>
    <x v="0"/>
    <n v="20"/>
    <x v="2"/>
    <x v="5"/>
    <s v="S"/>
    <x v="0"/>
    <x v="17"/>
    <x v="25"/>
    <x v="1"/>
    <n v="1"/>
    <s v="NA"/>
    <x v="5"/>
    <e v="#VALUE!"/>
    <x v="0"/>
    <s v="no"/>
  </r>
  <r>
    <s v="Valvassori"/>
    <s v=" Sig"/>
    <s v=" Ettore Luigi"/>
    <x v="0"/>
    <x v="0"/>
    <n v="35"/>
    <x v="2"/>
    <x v="5"/>
    <s v="S"/>
    <x v="0"/>
    <x v="1"/>
    <x v="25"/>
    <x v="1"/>
    <n v="1"/>
    <s v="NA"/>
    <x v="5"/>
    <e v="#VALUE!"/>
    <x v="0"/>
    <s v="no"/>
  </r>
  <r>
    <s v="van der Brugge"/>
    <s v=" Mr"/>
    <s v=" Wessel Adrianus"/>
    <x v="0"/>
    <x v="0"/>
    <n v="38"/>
    <x v="0"/>
    <x v="3"/>
    <s v="S"/>
    <x v="0"/>
    <x v="45"/>
    <x v="25"/>
    <x v="1"/>
    <n v="1"/>
    <s v="NA"/>
    <x v="5"/>
    <e v="#VALUE!"/>
    <x v="0"/>
    <s v="no"/>
  </r>
  <r>
    <s v="Veal"/>
    <s v=" Mr"/>
    <s v=" Arthur"/>
    <x v="0"/>
    <x v="0"/>
    <n v="36"/>
    <x v="0"/>
    <x v="3"/>
    <s v="S"/>
    <x v="0"/>
    <x v="1"/>
    <x v="25"/>
    <x v="1"/>
    <n v="1"/>
    <s v="NA"/>
    <x v="5"/>
    <e v="#VALUE!"/>
    <x v="0"/>
    <s v="no"/>
  </r>
  <r>
    <s v="Veal"/>
    <s v=" Mr"/>
    <s v=" Thomas Henry Edom"/>
    <x v="0"/>
    <x v="0"/>
    <n v="38"/>
    <x v="0"/>
    <x v="4"/>
    <s v="S"/>
    <x v="0"/>
    <x v="1"/>
    <x v="25"/>
    <x v="1"/>
    <n v="1"/>
    <s v="NA"/>
    <x v="5"/>
    <e v="#VALUE!"/>
    <x v="0"/>
    <s v="no"/>
  </r>
  <r>
    <s v="Vear"/>
    <s v=" Mr"/>
    <s v=" Henry"/>
    <x v="0"/>
    <x v="0"/>
    <n v="33"/>
    <x v="2"/>
    <x v="3"/>
    <s v="S"/>
    <x v="0"/>
    <x v="1"/>
    <x v="25"/>
    <x v="1"/>
    <n v="1"/>
    <s v="NA"/>
    <x v="5"/>
    <e v="#VALUE!"/>
    <x v="0"/>
    <s v="no"/>
  </r>
  <r>
    <s v="Vear"/>
    <s v=" Mr"/>
    <s v=" William"/>
    <x v="0"/>
    <x v="0"/>
    <n v="34"/>
    <x v="2"/>
    <x v="3"/>
    <s v="S"/>
    <x v="0"/>
    <x v="1"/>
    <x v="25"/>
    <x v="1"/>
    <n v="1"/>
    <s v="NA"/>
    <x v="5"/>
    <e v="#VALUE!"/>
    <x v="0"/>
    <s v="no"/>
  </r>
  <r>
    <s v="Vicat"/>
    <s v=" Sig"/>
    <s v=" Alphonse Jean Eugene"/>
    <x v="0"/>
    <x v="0"/>
    <n v="21"/>
    <x v="2"/>
    <x v="5"/>
    <s v="S"/>
    <x v="0"/>
    <x v="1"/>
    <x v="25"/>
    <x v="1"/>
    <n v="1"/>
    <s v="NA"/>
    <x v="5"/>
    <e v="#VALUE!"/>
    <x v="0"/>
    <s v="no"/>
  </r>
  <r>
    <s v="Vigott"/>
    <s v=" Mr"/>
    <s v=" Philip Francis"/>
    <x v="0"/>
    <x v="0"/>
    <n v="32"/>
    <x v="2"/>
    <x v="6"/>
    <s v="S"/>
    <x v="0"/>
    <x v="13"/>
    <x v="25"/>
    <x v="1"/>
    <n v="1"/>
    <s v="NA"/>
    <x v="5"/>
    <e v="#VALUE!"/>
    <x v="1"/>
    <s v="yes"/>
  </r>
  <r>
    <s v="Villvarlange"/>
    <s v=" Mr"/>
    <s v=" Pierre LÃ©on Gabriel"/>
    <x v="0"/>
    <x v="0"/>
    <n v="19"/>
    <x v="2"/>
    <x v="5"/>
    <s v="S"/>
    <x v="0"/>
    <x v="1"/>
    <x v="25"/>
    <x v="1"/>
    <n v="1"/>
    <s v="NA"/>
    <x v="5"/>
    <e v="#VALUE!"/>
    <x v="0"/>
    <s v="no"/>
  </r>
  <r>
    <s v="Vine"/>
    <s v=" Mr"/>
    <s v=" Herbert Thomas Gordon"/>
    <x v="0"/>
    <x v="0"/>
    <n v="18"/>
    <x v="2"/>
    <x v="5"/>
    <s v="S"/>
    <x v="0"/>
    <x v="1"/>
    <x v="25"/>
    <x v="1"/>
    <n v="1"/>
    <s v="NA"/>
    <x v="5"/>
    <e v="#VALUE!"/>
    <x v="0"/>
    <s v="no"/>
  </r>
  <r>
    <s v="Vioni"/>
    <s v=" Sig"/>
    <s v=" Roberto"/>
    <x v="0"/>
    <x v="0"/>
    <n v="25"/>
    <x v="2"/>
    <x v="5"/>
    <s v="S"/>
    <x v="0"/>
    <x v="17"/>
    <x v="25"/>
    <x v="1"/>
    <n v="1"/>
    <s v="NA"/>
    <x v="5"/>
    <e v="#VALUE!"/>
    <x v="0"/>
    <s v="no"/>
  </r>
  <r>
    <s v="Voegelin-Dubach"/>
    <s v=" Sig"/>
    <s v=" Johannes"/>
    <x v="0"/>
    <x v="0"/>
    <n v="35"/>
    <x v="2"/>
    <x v="5"/>
    <s v="S"/>
    <x v="0"/>
    <x v="1"/>
    <x v="25"/>
    <x v="1"/>
    <n v="1"/>
    <s v="NA"/>
    <x v="5"/>
    <e v="#VALUE!"/>
    <x v="0"/>
    <s v="no"/>
  </r>
  <r>
    <s v="Wake"/>
    <s v=" Mr"/>
    <s v=" Percy"/>
    <x v="0"/>
    <x v="0"/>
    <n v="37"/>
    <x v="0"/>
    <x v="4"/>
    <s v="S"/>
    <x v="0"/>
    <x v="1"/>
    <x v="25"/>
    <x v="1"/>
    <n v="1"/>
    <s v="NA"/>
    <x v="5"/>
    <e v="#VALUE!"/>
    <x v="0"/>
    <s v="no"/>
  </r>
  <r>
    <s v="Wallis"/>
    <s v=" Mrs"/>
    <s v=" Catherine Jane"/>
    <x v="1"/>
    <x v="1"/>
    <n v="36"/>
    <x v="0"/>
    <x v="4"/>
    <s v="S"/>
    <x v="0"/>
    <x v="1"/>
    <x v="25"/>
    <x v="1"/>
    <n v="1"/>
    <s v="NA"/>
    <x v="5"/>
    <e v="#VALUE!"/>
    <x v="0"/>
    <s v="no"/>
  </r>
  <r>
    <s v="Walpole"/>
    <s v=" Mr"/>
    <s v=" James"/>
    <x v="0"/>
    <x v="0"/>
    <n v="48"/>
    <x v="0"/>
    <x v="4"/>
    <s v="B"/>
    <x v="2"/>
    <x v="1"/>
    <x v="25"/>
    <x v="1"/>
    <n v="1"/>
    <s v="NA"/>
    <x v="5"/>
    <e v="#VALUE!"/>
    <x v="0"/>
    <s v="no"/>
  </r>
  <r>
    <s v="Walsh"/>
    <s v=" Miss"/>
    <s v=" Catherine"/>
    <x v="1"/>
    <x v="1"/>
    <n v="32"/>
    <x v="2"/>
    <x v="4"/>
    <s v="S"/>
    <x v="0"/>
    <x v="16"/>
    <x v="25"/>
    <x v="1"/>
    <n v="1"/>
    <s v="NA"/>
    <x v="5"/>
    <e v="#VALUE!"/>
    <x v="0"/>
    <s v="no"/>
  </r>
  <r>
    <s v="Ward"/>
    <s v=" Mr"/>
    <s v=" Arthur"/>
    <x v="0"/>
    <x v="0"/>
    <n v="23"/>
    <x v="2"/>
    <x v="3"/>
    <s v="B"/>
    <x v="2"/>
    <x v="1"/>
    <x v="25"/>
    <x v="1"/>
    <n v="1"/>
    <s v="NA"/>
    <x v="5"/>
    <e v="#VALUE!"/>
    <x v="0"/>
    <s v="no"/>
  </r>
  <r>
    <s v="Ward"/>
    <s v=" Mr"/>
    <s v=" Edward"/>
    <x v="0"/>
    <x v="0"/>
    <n v="34"/>
    <x v="2"/>
    <x v="4"/>
    <s v="B"/>
    <x v="2"/>
    <x v="1"/>
    <x v="25"/>
    <x v="1"/>
    <n v="1"/>
    <s v="NA"/>
    <x v="5"/>
    <e v="#VALUE!"/>
    <x v="0"/>
    <s v="no"/>
  </r>
  <r>
    <s v="Ward"/>
    <s v=" Mr"/>
    <s v=" James William"/>
    <x v="0"/>
    <x v="0"/>
    <n v="31"/>
    <x v="2"/>
    <x v="3"/>
    <s v="S"/>
    <x v="0"/>
    <x v="1"/>
    <x v="25"/>
    <x v="1"/>
    <n v="1"/>
    <s v="NA"/>
    <x v="5"/>
    <e v="#VALUE!"/>
    <x v="0"/>
    <s v="no"/>
  </r>
  <r>
    <s v="Ward"/>
    <s v=" Mr"/>
    <s v=" Percy Thomas"/>
    <x v="0"/>
    <x v="0"/>
    <n v="40"/>
    <x v="0"/>
    <x v="4"/>
    <s v="B"/>
    <x v="2"/>
    <x v="1"/>
    <x v="25"/>
    <x v="1"/>
    <n v="1"/>
    <s v="NA"/>
    <x v="5"/>
    <e v="#VALUE!"/>
    <x v="0"/>
    <s v="no"/>
  </r>
  <r>
    <s v="Ward"/>
    <s v=" Mr"/>
    <s v=" William"/>
    <x v="0"/>
    <x v="0"/>
    <n v="37"/>
    <x v="0"/>
    <x v="4"/>
    <s v="S"/>
    <x v="0"/>
    <x v="1"/>
    <x v="25"/>
    <x v="1"/>
    <n v="1"/>
    <s v="NA"/>
    <x v="5"/>
    <e v="#VALUE!"/>
    <x v="1"/>
    <s v="yes"/>
  </r>
  <r>
    <s v="Wardner"/>
    <s v=" Mr"/>
    <s v=" Fred Albert"/>
    <x v="0"/>
    <x v="0"/>
    <n v="40"/>
    <x v="0"/>
    <x v="3"/>
    <s v="S"/>
    <x v="0"/>
    <x v="1"/>
    <x v="25"/>
    <x v="1"/>
    <n v="1"/>
    <s v="NA"/>
    <x v="5"/>
    <e v="#VALUE!"/>
    <x v="0"/>
    <s v="no"/>
  </r>
  <r>
    <s v="Wareham"/>
    <s v=" Mr"/>
    <s v=" Robert Arthur"/>
    <x v="0"/>
    <x v="0"/>
    <n v="37"/>
    <x v="0"/>
    <x v="4"/>
    <s v="B"/>
    <x v="2"/>
    <x v="1"/>
    <x v="25"/>
    <x v="1"/>
    <n v="1"/>
    <s v="NA"/>
    <x v="5"/>
    <e v="#VALUE!"/>
    <x v="0"/>
    <s v="no"/>
  </r>
  <r>
    <s v="Warwick"/>
    <s v=" Mr"/>
    <s v=" Tom"/>
    <x v="0"/>
    <x v="0"/>
    <n v="26"/>
    <x v="2"/>
    <x v="4"/>
    <s v="S"/>
    <x v="0"/>
    <x v="1"/>
    <x v="25"/>
    <x v="1"/>
    <n v="1"/>
    <s v="NA"/>
    <x v="5"/>
    <e v="#VALUE!"/>
    <x v="0"/>
    <s v="no"/>
  </r>
  <r>
    <s v="Wateridge"/>
    <s v=" Mr"/>
    <s v=" Edward Lewis"/>
    <x v="0"/>
    <x v="0"/>
    <n v="26"/>
    <x v="2"/>
    <x v="3"/>
    <s v="S"/>
    <x v="0"/>
    <x v="1"/>
    <x v="25"/>
    <x v="1"/>
    <n v="1"/>
    <s v="NA"/>
    <x v="5"/>
    <e v="#VALUE!"/>
    <x v="0"/>
    <s v="no"/>
  </r>
  <r>
    <s v="Watson"/>
    <s v=" Mr"/>
    <s v=" William Albert"/>
    <x v="0"/>
    <x v="0"/>
    <n v="15"/>
    <x v="1"/>
    <x v="4"/>
    <s v="S"/>
    <x v="0"/>
    <x v="1"/>
    <x v="25"/>
    <x v="1"/>
    <n v="1"/>
    <s v="NA"/>
    <x v="5"/>
    <e v="#VALUE!"/>
    <x v="0"/>
    <s v="no"/>
  </r>
  <r>
    <s v="Watson"/>
    <s v=" Mr"/>
    <s v=" Willim"/>
    <x v="0"/>
    <x v="0"/>
    <n v="27"/>
    <x v="2"/>
    <x v="3"/>
    <s v="S"/>
    <x v="0"/>
    <x v="1"/>
    <x v="25"/>
    <x v="1"/>
    <n v="1"/>
    <s v="NA"/>
    <x v="5"/>
    <e v="#VALUE!"/>
    <x v="0"/>
    <s v="no"/>
  </r>
  <r>
    <s v="Weatherston"/>
    <s v=" Mr"/>
    <s v=" Thomas Herbert"/>
    <x v="0"/>
    <x v="0"/>
    <n v="25"/>
    <x v="2"/>
    <x v="4"/>
    <s v="B"/>
    <x v="2"/>
    <x v="1"/>
    <x v="25"/>
    <x v="1"/>
    <n v="1"/>
    <s v="NA"/>
    <x v="5"/>
    <e v="#VALUE!"/>
    <x v="0"/>
    <s v="no"/>
  </r>
  <r>
    <s v="Webber"/>
    <s v=" Mr"/>
    <s v=" Francis Albert"/>
    <x v="0"/>
    <x v="0"/>
    <n v="31"/>
    <x v="2"/>
    <x v="3"/>
    <s v="S"/>
    <x v="0"/>
    <x v="1"/>
    <x v="25"/>
    <x v="1"/>
    <n v="1"/>
    <s v="NA"/>
    <x v="5"/>
    <e v="#VALUE!"/>
    <x v="0"/>
    <s v="no"/>
  </r>
  <r>
    <s v="Webb"/>
    <s v=" Mr"/>
    <s v=" Brook Holding"/>
    <x v="0"/>
    <x v="0"/>
    <n v="50"/>
    <x v="0"/>
    <x v="4"/>
    <s v="B"/>
    <x v="2"/>
    <x v="1"/>
    <x v="25"/>
    <x v="1"/>
    <n v="1"/>
    <s v="NA"/>
    <x v="5"/>
    <e v="#VALUE!"/>
    <x v="0"/>
    <s v="no"/>
  </r>
  <r>
    <s v="Webb"/>
    <s v=" Mr"/>
    <s v=" Samuel Francis"/>
    <x v="0"/>
    <x v="0"/>
    <n v="28"/>
    <x v="2"/>
    <x v="3"/>
    <s v="S"/>
    <x v="0"/>
    <x v="1"/>
    <x v="25"/>
    <x v="1"/>
    <n v="1"/>
    <s v="NA"/>
    <x v="5"/>
    <e v="#VALUE!"/>
    <x v="0"/>
    <s v="no"/>
  </r>
  <r>
    <s v="Weikman"/>
    <s v=" Mr"/>
    <s v=" Augustus Henry"/>
    <x v="0"/>
    <x v="0"/>
    <n v="52"/>
    <x v="0"/>
    <x v="4"/>
    <s v="S"/>
    <x v="0"/>
    <x v="0"/>
    <x v="25"/>
    <x v="1"/>
    <n v="1"/>
    <s v="NA"/>
    <x v="5"/>
    <e v="#VALUE!"/>
    <x v="1"/>
    <s v="yes"/>
  </r>
  <r>
    <s v="Welch"/>
    <s v=" Mr"/>
    <s v=" William Harold"/>
    <x v="0"/>
    <x v="0"/>
    <n v="21"/>
    <x v="2"/>
    <x v="4"/>
    <s v="S"/>
    <x v="0"/>
    <x v="1"/>
    <x v="25"/>
    <x v="1"/>
    <n v="1"/>
    <s v="NA"/>
    <x v="5"/>
    <e v="#VALUE!"/>
    <x v="0"/>
    <s v="no"/>
  </r>
  <r>
    <s v="Weller"/>
    <s v=" Mr"/>
    <s v=" William Clifford"/>
    <x v="0"/>
    <x v="0"/>
    <n v="30"/>
    <x v="2"/>
    <x v="6"/>
    <s v="B"/>
    <x v="2"/>
    <x v="1"/>
    <x v="25"/>
    <x v="1"/>
    <n v="1"/>
    <s v="NA"/>
    <x v="5"/>
    <e v="#VALUE!"/>
    <x v="1"/>
    <s v="yes"/>
  </r>
  <r>
    <s v="Wheat"/>
    <s v=" Mr"/>
    <s v=" Joseph Thomas"/>
    <x v="0"/>
    <x v="0"/>
    <n v="30"/>
    <x v="2"/>
    <x v="4"/>
    <s v="B"/>
    <x v="2"/>
    <x v="1"/>
    <x v="25"/>
    <x v="1"/>
    <n v="1"/>
    <s v="NA"/>
    <x v="5"/>
    <e v="#VALUE!"/>
    <x v="1"/>
    <s v="yes"/>
  </r>
  <r>
    <s v="Wheelton"/>
    <s v=" Mr"/>
    <s v=" Edneser Edward"/>
    <x v="0"/>
    <x v="0"/>
    <n v="29"/>
    <x v="2"/>
    <x v="4"/>
    <s v="B"/>
    <x v="2"/>
    <x v="1"/>
    <x v="25"/>
    <x v="1"/>
    <n v="1"/>
    <s v="NA"/>
    <x v="5"/>
    <e v="#VALUE!"/>
    <x v="1"/>
    <s v="yes"/>
  </r>
  <r>
    <s v="Whiteley"/>
    <s v=" Mr"/>
    <s v=" Thomas Arthur"/>
    <x v="0"/>
    <x v="0"/>
    <n v="18"/>
    <x v="2"/>
    <x v="4"/>
    <s v="S"/>
    <x v="0"/>
    <x v="1"/>
    <x v="25"/>
    <x v="1"/>
    <n v="1"/>
    <s v="NA"/>
    <x v="5"/>
    <e v="#VALUE!"/>
    <x v="1"/>
    <s v="yes"/>
  </r>
  <r>
    <s v="White"/>
    <s v=" Mr"/>
    <s v=" Albert"/>
    <x v="0"/>
    <x v="0"/>
    <n v="21"/>
    <x v="2"/>
    <x v="3"/>
    <s v="S"/>
    <x v="0"/>
    <x v="1"/>
    <x v="25"/>
    <x v="1"/>
    <n v="1"/>
    <s v="NA"/>
    <x v="5"/>
    <e v="#VALUE!"/>
    <x v="0"/>
    <s v="no"/>
  </r>
  <r>
    <s v="White"/>
    <s v=" Mr"/>
    <s v=" Alfred"/>
    <x v="0"/>
    <x v="0"/>
    <n v="32"/>
    <x v="2"/>
    <x v="3"/>
    <s v="S"/>
    <x v="0"/>
    <x v="1"/>
    <x v="25"/>
    <x v="1"/>
    <n v="1"/>
    <s v="NA"/>
    <x v="5"/>
    <e v="#VALUE!"/>
    <x v="1"/>
    <s v="yes"/>
  </r>
  <r>
    <s v="White"/>
    <s v=" Mr"/>
    <s v=" Arthur"/>
    <x v="0"/>
    <x v="0"/>
    <n v="37"/>
    <x v="0"/>
    <x v="4"/>
    <s v="S"/>
    <x v="0"/>
    <x v="1"/>
    <x v="25"/>
    <x v="1"/>
    <n v="1"/>
    <s v="NA"/>
    <x v="5"/>
    <e v="#VALUE!"/>
    <x v="0"/>
    <s v="no"/>
  </r>
  <r>
    <s v="White"/>
    <s v=" Mr"/>
    <s v=" Edward Joseph"/>
    <x v="0"/>
    <x v="0"/>
    <n v="27"/>
    <x v="2"/>
    <x v="4"/>
    <s v="S"/>
    <x v="0"/>
    <x v="1"/>
    <x v="25"/>
    <x v="1"/>
    <n v="1"/>
    <s v="NA"/>
    <x v="5"/>
    <e v="#VALUE!"/>
    <x v="0"/>
    <s v="no"/>
  </r>
  <r>
    <s v="White"/>
    <s v=" Mr"/>
    <s v=" Frank Leonard"/>
    <x v="0"/>
    <x v="0"/>
    <n v="28"/>
    <x v="2"/>
    <x v="3"/>
    <s v="S"/>
    <x v="0"/>
    <x v="1"/>
    <x v="25"/>
    <x v="1"/>
    <n v="1"/>
    <s v="NA"/>
    <x v="5"/>
    <e v="#VALUE!"/>
    <x v="0"/>
    <s v="no"/>
  </r>
  <r>
    <s v="White"/>
    <s v=" Mr"/>
    <s v=" Leonard Lisle Oliver"/>
    <x v="0"/>
    <x v="0"/>
    <n v="32"/>
    <x v="2"/>
    <x v="4"/>
    <s v="B"/>
    <x v="2"/>
    <x v="27"/>
    <x v="25"/>
    <x v="1"/>
    <n v="1"/>
    <s v="NA"/>
    <x v="5"/>
    <e v="#VALUE!"/>
    <x v="0"/>
    <s v="no"/>
  </r>
  <r>
    <s v="White"/>
    <s v=" Mr"/>
    <s v=" William George"/>
    <x v="0"/>
    <x v="0"/>
    <n v="23"/>
    <x v="2"/>
    <x v="3"/>
    <s v="S"/>
    <x v="0"/>
    <x v="1"/>
    <x v="25"/>
    <x v="1"/>
    <n v="1"/>
    <s v="NA"/>
    <x v="5"/>
    <e v="#VALUE!"/>
    <x v="1"/>
    <s v="yes"/>
  </r>
  <r>
    <s v="Whitford"/>
    <s v=" Mr"/>
    <s v=" Alfred Henry"/>
    <x v="0"/>
    <x v="0"/>
    <n v="39"/>
    <x v="0"/>
    <x v="4"/>
    <s v="S"/>
    <x v="0"/>
    <x v="1"/>
    <x v="25"/>
    <x v="1"/>
    <n v="1"/>
    <s v="NA"/>
    <x v="5"/>
    <e v="#VALUE!"/>
    <x v="0"/>
    <s v="no"/>
  </r>
  <r>
    <s v="Widgery"/>
    <s v=" Mr"/>
    <s v=" Isaac George"/>
    <x v="0"/>
    <x v="0"/>
    <n v="37"/>
    <x v="0"/>
    <x v="4"/>
    <s v="S"/>
    <x v="0"/>
    <x v="1"/>
    <x v="25"/>
    <x v="1"/>
    <n v="1"/>
    <s v="NA"/>
    <x v="5"/>
    <e v="#VALUE!"/>
    <x v="1"/>
    <s v="yes"/>
  </r>
  <r>
    <s v="Wilde"/>
    <s v=" Mr"/>
    <s v=" Henry Tingle"/>
    <x v="0"/>
    <x v="0"/>
    <n v="39"/>
    <x v="0"/>
    <x v="6"/>
    <s v="S"/>
    <x v="0"/>
    <x v="1"/>
    <x v="25"/>
    <x v="1"/>
    <n v="1"/>
    <s v="NA"/>
    <x v="5"/>
    <e v="#VALUE!"/>
    <x v="0"/>
    <s v="no"/>
  </r>
  <r>
    <s v="Williams"/>
    <s v=" Mr"/>
    <s v=" Arthur John"/>
    <x v="0"/>
    <x v="0"/>
    <n v="42"/>
    <x v="0"/>
    <x v="4"/>
    <s v="S"/>
    <x v="0"/>
    <x v="1"/>
    <x v="25"/>
    <x v="1"/>
    <n v="1"/>
    <s v="NA"/>
    <x v="5"/>
    <e v="#VALUE!"/>
    <x v="0"/>
    <s v="no"/>
  </r>
  <r>
    <s v="Williams"/>
    <s v=" Mr"/>
    <s v=" Samuel Solomon"/>
    <x v="0"/>
    <x v="0"/>
    <n v="26"/>
    <x v="2"/>
    <x v="3"/>
    <s v="S"/>
    <x v="0"/>
    <x v="1"/>
    <x v="25"/>
    <x v="1"/>
    <n v="1"/>
    <s v="NA"/>
    <x v="5"/>
    <e v="#VALUE!"/>
    <x v="0"/>
    <s v="no"/>
  </r>
  <r>
    <s v="Williams"/>
    <s v=" Mr"/>
    <s v=" Walter John"/>
    <x v="0"/>
    <x v="0"/>
    <n v="28"/>
    <x v="2"/>
    <x v="4"/>
    <s v="S"/>
    <x v="0"/>
    <x v="1"/>
    <x v="25"/>
    <x v="1"/>
    <n v="1"/>
    <s v="NA"/>
    <x v="5"/>
    <e v="#VALUE!"/>
    <x v="1"/>
    <s v="yes"/>
  </r>
  <r>
    <s v="Williamson"/>
    <s v=" Mr"/>
    <s v=" James Bertram"/>
    <x v="0"/>
    <x v="0"/>
    <n v="35"/>
    <x v="2"/>
    <x v="4"/>
    <s v="S"/>
    <x v="0"/>
    <x v="16"/>
    <x v="25"/>
    <x v="1"/>
    <n v="1"/>
    <s v="NA"/>
    <x v="5"/>
    <e v="#VALUE!"/>
    <x v="0"/>
    <s v="no"/>
  </r>
  <r>
    <s v="Willis"/>
    <s v=" Mr"/>
    <s v=" William"/>
    <x v="0"/>
    <x v="0"/>
    <n v="59"/>
    <x v="4"/>
    <x v="4"/>
    <s v="S"/>
    <x v="0"/>
    <x v="1"/>
    <x v="25"/>
    <x v="1"/>
    <n v="1"/>
    <s v="NA"/>
    <x v="5"/>
    <e v="#VALUE!"/>
    <x v="0"/>
    <s v="no"/>
  </r>
  <r>
    <s v="Willsher"/>
    <s v=" Mr"/>
    <s v=" William Aubrey"/>
    <x v="0"/>
    <x v="0"/>
    <n v="34"/>
    <x v="2"/>
    <x v="4"/>
    <s v="S"/>
    <x v="0"/>
    <x v="1"/>
    <x v="25"/>
    <x v="1"/>
    <n v="1"/>
    <s v="NA"/>
    <x v="5"/>
    <e v="#VALUE!"/>
    <x v="0"/>
    <s v="no"/>
  </r>
  <r>
    <s v="Wilson"/>
    <s v=" Mr"/>
    <s v=" Herbert 'Bertie'"/>
    <x v="0"/>
    <x v="0"/>
    <n v="28"/>
    <x v="2"/>
    <x v="3"/>
    <s v="B"/>
    <x v="2"/>
    <x v="1"/>
    <x v="25"/>
    <x v="1"/>
    <n v="1"/>
    <s v="NA"/>
    <x v="5"/>
    <e v="#VALUE!"/>
    <x v="0"/>
    <s v="no"/>
  </r>
  <r>
    <s v="Wilton"/>
    <s v=" Mr"/>
    <s v=" William Edward"/>
    <x v="0"/>
    <x v="0"/>
    <n v="53"/>
    <x v="0"/>
    <x v="3"/>
    <s v="S"/>
    <x v="0"/>
    <x v="1"/>
    <x v="25"/>
    <x v="1"/>
    <n v="1"/>
    <s v="NA"/>
    <x v="5"/>
    <e v="#VALUE!"/>
    <x v="0"/>
    <s v="no"/>
  </r>
  <r>
    <s v="Windebank"/>
    <s v=" Mr"/>
    <s v=" Alfred Edgar"/>
    <x v="0"/>
    <x v="0"/>
    <n v="38"/>
    <x v="0"/>
    <x v="4"/>
    <s v="S"/>
    <x v="0"/>
    <x v="1"/>
    <x v="25"/>
    <x v="1"/>
    <n v="1"/>
    <s v="NA"/>
    <x v="5"/>
    <e v="#VALUE!"/>
    <x v="1"/>
    <s v="yes"/>
  </r>
  <r>
    <s v="Winser"/>
    <s v=" Mr"/>
    <s v=" Rowland"/>
    <x v="0"/>
    <x v="0"/>
    <n v="36"/>
    <x v="0"/>
    <x v="4"/>
    <s v="S"/>
    <x v="0"/>
    <x v="1"/>
    <x v="25"/>
    <x v="1"/>
    <n v="1"/>
    <s v="NA"/>
    <x v="5"/>
    <e v="#VALUE!"/>
    <x v="0"/>
    <s v="no"/>
  </r>
  <r>
    <s v="Witcher"/>
    <s v=" Mr"/>
    <s v=" Albert Ernest"/>
    <x v="0"/>
    <x v="0"/>
    <n v="39"/>
    <x v="0"/>
    <x v="3"/>
    <s v="S"/>
    <x v="0"/>
    <x v="1"/>
    <x v="25"/>
    <x v="1"/>
    <n v="1"/>
    <s v="NA"/>
    <x v="5"/>
    <e v="#VALUE!"/>
    <x v="0"/>
    <s v="no"/>
  </r>
  <r>
    <s v="Witter"/>
    <s v=" Mr"/>
    <s v=" James William Cheetham"/>
    <x v="0"/>
    <x v="0"/>
    <n v="31"/>
    <x v="2"/>
    <x v="4"/>
    <s v="S"/>
    <x v="0"/>
    <x v="1"/>
    <x v="25"/>
    <x v="1"/>
    <n v="1"/>
    <s v="NA"/>
    <x v="5"/>
    <e v="#VALUE!"/>
    <x v="1"/>
    <s v="yes"/>
  </r>
  <r>
    <s v="Wittman"/>
    <s v=" Mr"/>
    <s v=" Henry"/>
    <x v="0"/>
    <x v="0"/>
    <n v="39"/>
    <x v="0"/>
    <x v="4"/>
    <s v="S"/>
    <x v="0"/>
    <x v="38"/>
    <x v="25"/>
    <x v="1"/>
    <n v="1"/>
    <s v="NA"/>
    <x v="5"/>
    <e v="#VALUE!"/>
    <x v="0"/>
    <s v="no"/>
  </r>
  <r>
    <s v="Witt"/>
    <s v=" Mr"/>
    <s v=" Henry Dennis"/>
    <x v="0"/>
    <x v="0"/>
    <n v="37"/>
    <x v="0"/>
    <x v="3"/>
    <s v="S"/>
    <x v="0"/>
    <x v="1"/>
    <x v="25"/>
    <x v="1"/>
    <n v="1"/>
    <s v="NA"/>
    <x v="5"/>
    <e v="#VALUE!"/>
    <x v="0"/>
    <s v="no"/>
  </r>
  <r>
    <s v="Witts"/>
    <s v=" Mr"/>
    <s v=" William Francis"/>
    <x v="0"/>
    <x v="0"/>
    <n v="35"/>
    <x v="2"/>
    <x v="3"/>
    <s v="S"/>
    <x v="0"/>
    <x v="1"/>
    <x v="25"/>
    <x v="1"/>
    <n v="1"/>
    <s v="NA"/>
    <x v="5"/>
    <e v="#VALUE!"/>
    <x v="0"/>
    <s v="no"/>
  </r>
  <r>
    <s v="Woodford"/>
    <s v=" Mr"/>
    <s v=" Frederick Ernest"/>
    <x v="0"/>
    <x v="0"/>
    <n v="40"/>
    <x v="0"/>
    <x v="3"/>
    <s v="S"/>
    <x v="0"/>
    <x v="1"/>
    <x v="25"/>
    <x v="1"/>
    <n v="1"/>
    <s v="NA"/>
    <x v="5"/>
    <e v="#VALUE!"/>
    <x v="0"/>
    <s v="no"/>
  </r>
  <r>
    <s v="Wood"/>
    <s v=" Mr"/>
    <s v=" Henry"/>
    <x v="0"/>
    <x v="0"/>
    <n v="31"/>
    <x v="2"/>
    <x v="3"/>
    <s v="S"/>
    <x v="0"/>
    <x v="1"/>
    <x v="25"/>
    <x v="1"/>
    <n v="1"/>
    <s v="NA"/>
    <x v="5"/>
    <e v="#VALUE!"/>
    <x v="0"/>
    <s v="no"/>
  </r>
  <r>
    <s v="Wood"/>
    <s v=" Mr"/>
    <s v=" James Thomas"/>
    <x v="0"/>
    <x v="0"/>
    <n v="49"/>
    <x v="0"/>
    <x v="4"/>
    <s v="S"/>
    <x v="0"/>
    <x v="1"/>
    <x v="25"/>
    <x v="1"/>
    <n v="1"/>
    <s v="NA"/>
    <x v="5"/>
    <e v="#VALUE!"/>
    <x v="0"/>
    <s v="no"/>
  </r>
  <r>
    <s v="Woody"/>
    <s v=" Mr"/>
    <s v=" Oscar Scott"/>
    <x v="0"/>
    <x v="0"/>
    <n v="41"/>
    <x v="0"/>
    <x v="4"/>
    <s v="S"/>
    <x v="0"/>
    <x v="0"/>
    <x v="25"/>
    <x v="1"/>
    <n v="1"/>
    <s v="NA"/>
    <x v="5"/>
    <e v="#VALUE!"/>
    <x v="0"/>
    <s v="no"/>
  </r>
  <r>
    <s v="Wormald"/>
    <s v=" Mr"/>
    <s v=" Henry Frederick Charles"/>
    <x v="0"/>
    <x v="0"/>
    <n v="45"/>
    <x v="0"/>
    <x v="4"/>
    <s v="S"/>
    <x v="0"/>
    <x v="1"/>
    <x v="25"/>
    <x v="1"/>
    <n v="1"/>
    <s v="NA"/>
    <x v="5"/>
    <e v="#VALUE!"/>
    <x v="0"/>
    <s v="no"/>
  </r>
  <r>
    <s v="Worthman"/>
    <s v=" Mr"/>
    <s v=" William Henry"/>
    <x v="0"/>
    <x v="0"/>
    <n v="37"/>
    <x v="0"/>
    <x v="3"/>
    <s v="S"/>
    <x v="0"/>
    <x v="1"/>
    <x v="25"/>
    <x v="1"/>
    <n v="1"/>
    <s v="NA"/>
    <x v="5"/>
    <e v="#VALUE!"/>
    <x v="0"/>
    <s v="no"/>
  </r>
  <r>
    <s v="Wrapson"/>
    <s v=" Mr"/>
    <s v=" Frederick Bernard"/>
    <x v="0"/>
    <x v="0"/>
    <n v="19"/>
    <x v="2"/>
    <x v="4"/>
    <s v="B"/>
    <x v="2"/>
    <x v="1"/>
    <x v="25"/>
    <x v="1"/>
    <n v="1"/>
    <s v="NA"/>
    <x v="5"/>
    <e v="#VALUE!"/>
    <x v="0"/>
    <s v="no"/>
  </r>
  <r>
    <s v="Wright"/>
    <s v=" Mr"/>
    <s v=" Frederick"/>
    <x v="0"/>
    <x v="0"/>
    <n v="24"/>
    <x v="2"/>
    <x v="4"/>
    <s v="S"/>
    <x v="0"/>
    <x v="1"/>
    <x v="25"/>
    <x v="1"/>
    <n v="1"/>
    <s v="NA"/>
    <x v="5"/>
    <e v="#VALUE!"/>
    <x v="0"/>
    <s v="no"/>
  </r>
  <r>
    <s v="Wright"/>
    <s v=" Mr"/>
    <s v=" William"/>
    <x v="0"/>
    <x v="0"/>
    <n v="40"/>
    <x v="0"/>
    <x v="4"/>
    <s v="S"/>
    <x v="0"/>
    <x v="1"/>
    <x v="25"/>
    <x v="1"/>
    <n v="1"/>
    <s v="NA"/>
    <x v="5"/>
    <e v="#VALUE!"/>
    <x v="1"/>
    <s v="yes"/>
  </r>
  <r>
    <s v="Wyeth"/>
    <s v=" Mr"/>
    <s v=" James Robert"/>
    <x v="0"/>
    <x v="0"/>
    <n v="26"/>
    <x v="2"/>
    <x v="3"/>
    <s v="S"/>
    <x v="0"/>
    <x v="1"/>
    <x v="25"/>
    <x v="1"/>
    <n v="1"/>
    <s v="NA"/>
    <x v="5"/>
    <e v="#VALUE!"/>
    <x v="0"/>
    <s v="no"/>
  </r>
  <r>
    <s v="Wynn"/>
    <s v=" Mr"/>
    <s v=" Walter"/>
    <x v="0"/>
    <x v="0"/>
    <n v="41"/>
    <x v="0"/>
    <x v="6"/>
    <s v="B"/>
    <x v="2"/>
    <x v="1"/>
    <x v="25"/>
    <x v="1"/>
    <n v="1"/>
    <s v="NA"/>
    <x v="5"/>
    <e v="#VALUE!"/>
    <x v="1"/>
    <s v="yes"/>
  </r>
  <r>
    <s v="Yearsley"/>
    <s v=" Mr"/>
    <s v=" Harry"/>
    <x v="0"/>
    <x v="0"/>
    <n v="40"/>
    <x v="0"/>
    <x v="4"/>
    <s v="S"/>
    <x v="0"/>
    <x v="1"/>
    <x v="25"/>
    <x v="1"/>
    <n v="1"/>
    <s v="NA"/>
    <x v="5"/>
    <e v="#VALUE!"/>
    <x v="1"/>
    <s v="yes"/>
  </r>
  <r>
    <s v="Young"/>
    <s v=" Mr"/>
    <s v=" Francis James"/>
    <x v="0"/>
    <x v="0"/>
    <n v="32"/>
    <x v="2"/>
    <x v="3"/>
    <s v="S"/>
    <x v="0"/>
    <x v="1"/>
    <x v="25"/>
    <x v="1"/>
    <n v="1"/>
    <s v="NA"/>
    <x v="5"/>
    <e v="#VALUE!"/>
    <x v="0"/>
    <s v="no"/>
  </r>
  <r>
    <s v="Zanetti"/>
    <s v=" Sig"/>
    <s v=" Minio"/>
    <x v="0"/>
    <x v="0"/>
    <n v="20"/>
    <x v="2"/>
    <x v="5"/>
    <s v="S"/>
    <x v="0"/>
    <x v="1"/>
    <x v="25"/>
    <x v="1"/>
    <n v="1"/>
    <s v="NA"/>
    <x v="5"/>
    <e v="#VALUE!"/>
    <x v="0"/>
    <s v="no"/>
  </r>
  <r>
    <s v="Zarracchi"/>
    <s v=" Sig"/>
    <s v=" L"/>
    <x v="0"/>
    <x v="0"/>
    <n v="26"/>
    <x v="2"/>
    <x v="5"/>
    <s v="S"/>
    <x v="0"/>
    <x v="1"/>
    <x v="25"/>
    <x v="1"/>
    <n v="1"/>
    <s v="NA"/>
    <x v="5"/>
    <e v="#VALUE!"/>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D44D7-5566-4132-A4DE-46F470FCD93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C11" firstHeaderRow="0" firstDataRow="1" firstDataCol="0"/>
  <pivotFields count="19">
    <pivotField showAll="0"/>
    <pivotField showAll="0"/>
    <pivotField showAll="0"/>
    <pivotField showAll="0">
      <items count="3">
        <item x="1"/>
        <item x="0"/>
        <item t="default"/>
      </items>
    </pivotField>
    <pivotField showAll="0">
      <items count="3">
        <item x="1"/>
        <item x="0"/>
        <item t="default"/>
      </items>
    </pivotField>
    <pivotField dataField="1" numFmtId="1" showAll="0"/>
    <pivotField showAll="0"/>
    <pivotField showAll="0"/>
    <pivotField showAll="0"/>
    <pivotField showAll="0"/>
    <pivotField showAll="0"/>
    <pivotField numFmtId="1" showAll="0"/>
    <pivotField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Items count="1">
    <i/>
  </rowItems>
  <colFields count="1">
    <field x="-2"/>
  </colFields>
  <colItems count="3">
    <i>
      <x/>
    </i>
    <i i="1">
      <x v="1"/>
    </i>
    <i i="2">
      <x v="2"/>
    </i>
  </colItems>
  <dataFields count="3">
    <dataField name="Min of age" fld="5" subtotal="min" baseField="0" baseItem="1" numFmtId="1"/>
    <dataField name="Average of age2" fld="5" subtotal="average" baseField="0" baseItem="1" numFmtId="1"/>
    <dataField name="Max of age3" fld="5" subtotal="max"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8ED9D-B6C6-4386-B847-9BC5AA7627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numFmtId="1" showAll="0"/>
    <pivotField showAll="0">
      <items count="5">
        <item x="3"/>
        <item x="0"/>
        <item x="1"/>
        <item x="2"/>
        <item t="default"/>
      </items>
    </pivotField>
    <pivotField showAll="0"/>
    <pivotField showAll="0"/>
    <pivotField showAll="0"/>
    <pivotField showAll="0"/>
    <pivotField dataField="1" showAll="0">
      <items count="3">
        <item x="0"/>
        <item x="1"/>
        <item t="default"/>
      </items>
    </pivotField>
    <pivotField showAll="0"/>
  </pivotFields>
  <rowItems count="1">
    <i/>
  </rowItems>
  <colItems count="1">
    <i/>
  </colItems>
  <dataFields count="1">
    <dataField name="Count of New Survive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586A50-CAA2-4F03-ADBC-526CD091F7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18" firstHeaderRow="0" firstDataRow="1" firstDataCol="0"/>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dataField="1" numFmtId="1" showAll="0"/>
    <pivotField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Items count="1">
    <i/>
  </rowItems>
  <colFields count="1">
    <field x="-2"/>
  </colFields>
  <colItems count="3">
    <i>
      <x/>
    </i>
    <i i="1">
      <x v="1"/>
    </i>
    <i i="2">
      <x v="2"/>
    </i>
  </colItems>
  <dataFields count="3">
    <dataField name="Min of fare" fld="11" subtotal="min" baseField="0" baseItem="1" numFmtId="1"/>
    <dataField name="Average of fare2" fld="11" subtotal="average" baseField="0" baseItem="1" numFmtId="1"/>
    <dataField name="Max of fare3" fld="11" subtotal="max"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BA12E7-3361-4900-945D-DE13DB3A159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9:B94"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numFmtId="1" showAll="0">
      <items count="277">
        <item x="226"/>
        <item x="253"/>
        <item x="80"/>
        <item x="222"/>
        <item x="202"/>
        <item x="165"/>
        <item x="175"/>
        <item x="72"/>
        <item x="155"/>
        <item x="103"/>
        <item x="149"/>
        <item x="122"/>
        <item x="66"/>
        <item x="12"/>
        <item x="172"/>
        <item x="180"/>
        <item x="203"/>
        <item x="33"/>
        <item x="16"/>
        <item x="6"/>
        <item x="69"/>
        <item x="228"/>
        <item x="182"/>
        <item x="0"/>
        <item x="200"/>
        <item x="248"/>
        <item x="95"/>
        <item x="2"/>
        <item x="243"/>
        <item x="63"/>
        <item x="247"/>
        <item x="86"/>
        <item x="185"/>
        <item x="134"/>
        <item x="55"/>
        <item x="21"/>
        <item x="207"/>
        <item x="32"/>
        <item x="70"/>
        <item x="220"/>
        <item x="223"/>
        <item x="142"/>
        <item x="17"/>
        <item x="275"/>
        <item x="43"/>
        <item x="11"/>
        <item x="26"/>
        <item x="5"/>
        <item x="208"/>
        <item x="7"/>
        <item x="174"/>
        <item x="237"/>
        <item x="98"/>
        <item x="15"/>
        <item x="146"/>
        <item x="227"/>
        <item x="181"/>
        <item x="115"/>
        <item x="262"/>
        <item x="176"/>
        <item x="74"/>
        <item x="39"/>
        <item x="258"/>
        <item x="239"/>
        <item x="148"/>
        <item x="158"/>
        <item x="266"/>
        <item x="229"/>
        <item x="224"/>
        <item x="250"/>
        <item x="9"/>
        <item x="8"/>
        <item x="192"/>
        <item x="110"/>
        <item x="189"/>
        <item x="214"/>
        <item x="259"/>
        <item x="179"/>
        <item x="147"/>
        <item x="102"/>
        <item x="260"/>
        <item x="23"/>
        <item x="101"/>
        <item x="190"/>
        <item x="177"/>
        <item x="219"/>
        <item x="22"/>
        <item x="195"/>
        <item x="187"/>
        <item x="168"/>
        <item x="164"/>
        <item x="184"/>
        <item x="117"/>
        <item x="45"/>
        <item x="264"/>
        <item x="238"/>
        <item x="196"/>
        <item x="10"/>
        <item x="183"/>
        <item x="85"/>
        <item x="233"/>
        <item x="173"/>
        <item x="120"/>
        <item x="221"/>
        <item x="121"/>
        <item x="213"/>
        <item x="150"/>
        <item x="104"/>
        <item x="40"/>
        <item x="35"/>
        <item x="135"/>
        <item x="171"/>
        <item x="235"/>
        <item x="125"/>
        <item x="71"/>
        <item x="59"/>
        <item x="197"/>
        <item x="205"/>
        <item x="215"/>
        <item x="271"/>
        <item x="37"/>
        <item x="97"/>
        <item x="160"/>
        <item x="61"/>
        <item x="252"/>
        <item x="109"/>
        <item x="29"/>
        <item x="268"/>
        <item x="241"/>
        <item x="4"/>
        <item x="38"/>
        <item x="209"/>
        <item x="244"/>
        <item x="1"/>
        <item x="141"/>
        <item x="108"/>
        <item x="77"/>
        <item x="231"/>
        <item x="251"/>
        <item x="186"/>
        <item x="236"/>
        <item x="18"/>
        <item x="114"/>
        <item x="206"/>
        <item x="178"/>
        <item x="3"/>
        <item x="106"/>
        <item x="194"/>
        <item x="92"/>
        <item x="96"/>
        <item x="46"/>
        <item x="193"/>
        <item x="27"/>
        <item x="93"/>
        <item x="218"/>
        <item x="75"/>
        <item x="19"/>
        <item x="89"/>
        <item x="78"/>
        <item x="68"/>
        <item x="129"/>
        <item x="255"/>
        <item x="144"/>
        <item x="265"/>
        <item x="170"/>
        <item x="76"/>
        <item x="240"/>
        <item x="88"/>
        <item x="42"/>
        <item x="216"/>
        <item x="64"/>
        <item x="167"/>
        <item x="57"/>
        <item x="20"/>
        <item x="31"/>
        <item x="111"/>
        <item x="124"/>
        <item x="126"/>
        <item x="261"/>
        <item x="118"/>
        <item x="25"/>
        <item x="267"/>
        <item x="269"/>
        <item x="128"/>
        <item x="140"/>
        <item x="274"/>
        <item x="56"/>
        <item x="105"/>
        <item x="204"/>
        <item x="136"/>
        <item x="49"/>
        <item x="198"/>
        <item x="67"/>
        <item x="232"/>
        <item x="246"/>
        <item x="191"/>
        <item x="153"/>
        <item x="157"/>
        <item x="199"/>
        <item x="143"/>
        <item x="81"/>
        <item x="132"/>
        <item x="30"/>
        <item x="162"/>
        <item x="65"/>
        <item x="28"/>
        <item x="161"/>
        <item x="91"/>
        <item x="50"/>
        <item x="84"/>
        <item x="62"/>
        <item x="151"/>
        <item x="254"/>
        <item x="52"/>
        <item x="119"/>
        <item x="112"/>
        <item x="212"/>
        <item x="163"/>
        <item x="137"/>
        <item x="256"/>
        <item x="83"/>
        <item x="273"/>
        <item x="230"/>
        <item x="51"/>
        <item x="159"/>
        <item x="234"/>
        <item x="36"/>
        <item x="249"/>
        <item x="99"/>
        <item x="100"/>
        <item x="107"/>
        <item x="48"/>
        <item x="270"/>
        <item x="44"/>
        <item x="152"/>
        <item x="272"/>
        <item x="24"/>
        <item x="123"/>
        <item x="41"/>
        <item x="245"/>
        <item x="133"/>
        <item x="263"/>
        <item x="169"/>
        <item x="113"/>
        <item x="210"/>
        <item x="257"/>
        <item x="94"/>
        <item x="154"/>
        <item x="87"/>
        <item x="139"/>
        <item x="211"/>
        <item x="54"/>
        <item x="156"/>
        <item x="166"/>
        <item x="116"/>
        <item x="225"/>
        <item x="127"/>
        <item x="217"/>
        <item x="82"/>
        <item x="131"/>
        <item x="73"/>
        <item x="242"/>
        <item x="90"/>
        <item x="201"/>
        <item x="14"/>
        <item x="145"/>
        <item x="58"/>
        <item x="188"/>
        <item x="138"/>
        <item x="13"/>
        <item x="53"/>
        <item x="47"/>
        <item x="34"/>
        <item x="60"/>
        <item x="130"/>
        <item x="79"/>
        <item t="default"/>
      </items>
    </pivotField>
    <pivotField axis="axisRow" dataField="1"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Fields count="1">
    <field x="12"/>
  </rowFields>
  <rowItems count="5">
    <i>
      <x/>
    </i>
    <i>
      <x v="1"/>
    </i>
    <i>
      <x v="2"/>
    </i>
    <i>
      <x v="3"/>
    </i>
    <i t="grand">
      <x/>
    </i>
  </rowItems>
  <colItems count="1">
    <i/>
  </colItems>
  <dataFields count="1">
    <dataField name="Count of Fare Category"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E9AF5A-296D-421B-8A18-48C657E28D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6" firstHeaderRow="1" firstDataRow="1" firstDataCol="1"/>
  <pivotFields count="19">
    <pivotField showAll="0"/>
    <pivotField showAll="0"/>
    <pivotField showAll="0"/>
    <pivotField axis="axisRow" dataField="1" showAll="0">
      <items count="3">
        <item x="1"/>
        <item x="0"/>
        <item t="default"/>
      </items>
    </pivotField>
    <pivotField showAll="0">
      <items count="3">
        <item x="1"/>
        <item x="0"/>
        <item t="default"/>
      </items>
    </pivotField>
    <pivotField numFmtId="1" showAll="0"/>
    <pivotField showAll="0"/>
    <pivotField showAll="0"/>
    <pivotField showAll="0"/>
    <pivotField showAll="0"/>
    <pivotField showAll="0"/>
    <pivotField numFmtId="1" showAll="0"/>
    <pivotField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Fields count="1">
    <field x="3"/>
  </rowFields>
  <rowItems count="3">
    <i>
      <x/>
    </i>
    <i>
      <x v="1"/>
    </i>
    <i t="grand">
      <x/>
    </i>
  </rowItems>
  <colItems count="1">
    <i/>
  </colItem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2FFCCE-0023-4B71-832B-0A371AA41F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B56"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axis="axisRow" dataField="1" showAll="0">
      <items count="8">
        <item x="2"/>
        <item x="1"/>
        <item x="0"/>
        <item x="6"/>
        <item x="3"/>
        <item x="5"/>
        <item x="4"/>
        <item t="default"/>
      </items>
    </pivotField>
    <pivotField showAll="0"/>
    <pivotField showAll="0"/>
    <pivotField showAll="0"/>
    <pivotField numFmtId="1" showAll="0"/>
    <pivotField showAll="0">
      <items count="5">
        <item x="3"/>
        <item x="0"/>
        <item x="1"/>
        <item x="2"/>
        <item t="default"/>
      </items>
    </pivotField>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ount of class"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1B751A-80E9-42D2-BD6D-F26FFFF07F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3:B68"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axis="axisRow" dataField="1" showAll="0">
      <items count="5">
        <item x="2"/>
        <item x="1"/>
        <item x="3"/>
        <item x="0"/>
        <item t="default"/>
      </items>
    </pivotField>
    <pivotField showAll="0"/>
    <pivotField numFmtId="1" showAll="0"/>
    <pivotField showAll="0">
      <items count="5">
        <item x="3"/>
        <item x="0"/>
        <item x="1"/>
        <item x="2"/>
        <item t="default"/>
      </items>
    </pivotField>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Embark Gtown" fld="9"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A239D0-95D7-4939-B17D-32C400AA92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9" firstHeaderRow="1" firstDataRow="1" firstDataCol="1"/>
  <pivotFields count="19">
    <pivotField showAll="0"/>
    <pivotField showAll="0"/>
    <pivotField showAll="0"/>
    <pivotField showAll="0"/>
    <pivotField showAll="0">
      <items count="3">
        <item x="1"/>
        <item x="0"/>
        <item t="default"/>
      </items>
    </pivotField>
    <pivotField numFmtId="1" showAll="0"/>
    <pivotField axis="axisRow" dataField="1" showAll="0">
      <items count="6">
        <item x="2"/>
        <item x="3"/>
        <item x="4"/>
        <item x="0"/>
        <item x="1"/>
        <item t="default"/>
      </items>
    </pivotField>
    <pivotField showAll="0"/>
    <pivotField showAll="0"/>
    <pivotField showAll="0"/>
    <pivotField showAll="0"/>
    <pivotField numFmtId="1" showAll="0"/>
    <pivotField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Count of Age Group" fld="6"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3"/>
          </reference>
        </references>
      </pivotArea>
    </chartFormat>
    <chartFormat chart="4" format="4">
      <pivotArea type="data" outline="0" fieldPosition="0">
        <references count="2">
          <reference field="4294967294" count="1" selected="0">
            <x v="0"/>
          </reference>
          <reference field="6" count="1" selected="0">
            <x v="4"/>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27890B-3522-410A-B2C7-4FF7CE0B9CD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B142"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numFmtId="1" showAll="0"/>
    <pivotField showAll="0">
      <items count="5">
        <item x="3"/>
        <item x="0"/>
        <item x="1"/>
        <item x="2"/>
        <item t="default"/>
      </items>
    </pivotField>
    <pivotField showAll="0"/>
    <pivotField showAll="0"/>
    <pivotField axis="axisRow" dataField="1" showAll="0">
      <items count="11">
        <item x="0"/>
        <item x="2"/>
        <item x="1"/>
        <item x="3"/>
        <item x="6"/>
        <item x="7"/>
        <item x="4"/>
        <item x="8"/>
        <item x="9"/>
        <item x="5"/>
        <item t="default"/>
      </items>
    </pivotField>
    <pivotField showAll="0"/>
    <pivotField showAll="0">
      <items count="3">
        <item x="0"/>
        <item x="1"/>
        <item t="default"/>
      </items>
    </pivotField>
    <pivotField showAll="0"/>
  </pivotFields>
  <rowFields count="1">
    <field x="15"/>
  </rowFields>
  <rowItems count="11">
    <i>
      <x/>
    </i>
    <i>
      <x v="1"/>
    </i>
    <i>
      <x v="2"/>
    </i>
    <i>
      <x v="3"/>
    </i>
    <i>
      <x v="4"/>
    </i>
    <i>
      <x v="5"/>
    </i>
    <i>
      <x v="6"/>
    </i>
    <i>
      <x v="7"/>
    </i>
    <i>
      <x v="8"/>
    </i>
    <i>
      <x v="9"/>
    </i>
    <i t="grand">
      <x/>
    </i>
  </rowItems>
  <colItems count="1">
    <i/>
  </colItems>
  <dataFields count="1">
    <dataField name="Count of Family Size"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49CBD9-7391-41F5-A77B-8E8E38EF09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numFmtId="1" showAll="0"/>
    <pivotField showAll="0">
      <items count="5">
        <item x="3"/>
        <item x="0"/>
        <item x="1"/>
        <item x="2"/>
        <item t="default"/>
      </items>
    </pivotField>
    <pivotField showAll="0"/>
    <pivotField showAll="0"/>
    <pivotField showAll="0"/>
    <pivotField showAll="0"/>
    <pivotField axis="axisRow" dataField="1" showAll="0">
      <items count="3">
        <item x="0"/>
        <item x="1"/>
        <item t="default"/>
      </items>
    </pivotField>
    <pivotField showAll="0"/>
  </pivotFields>
  <rowFields count="1">
    <field x="17"/>
  </rowFields>
  <rowItems count="3">
    <i>
      <x/>
    </i>
    <i>
      <x v="1"/>
    </i>
    <i t="grand">
      <x/>
    </i>
  </rowItems>
  <colItems count="1">
    <i/>
  </colItems>
  <dataFields count="1">
    <dataField name="Count of New Survived" fld="1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B4AECA-DBA9-4F51-AED5-EB7A094719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B81" firstHeaderRow="1" firstDataRow="1" firstDataCol="1"/>
  <pivotFields count="19">
    <pivotField showAll="0"/>
    <pivotField showAll="0"/>
    <pivotField showAll="0"/>
    <pivotField showAll="0"/>
    <pivotField showAll="0">
      <items count="3">
        <item x="1"/>
        <item x="0"/>
        <item t="default"/>
      </items>
    </pivotField>
    <pivotField numFmtId="1" showAll="0"/>
    <pivotField showAll="0"/>
    <pivotField showAll="0"/>
    <pivotField showAll="0"/>
    <pivotField showAll="0"/>
    <pivotField axis="axisRow" dataField="1" showAll="0" sortType="descending">
      <items count="49">
        <item h="1" x="7"/>
        <item h="1" x="27"/>
        <item h="1" x="38"/>
        <item h="1" x="25"/>
        <item h="1" x="14"/>
        <item h="1" x="11"/>
        <item h="1" x="8"/>
        <item h="1" x="13"/>
        <item h="1" x="37"/>
        <item h="1" x="43"/>
        <item h="1" x="21"/>
        <item h="1" x="44"/>
        <item h="1" x="9"/>
        <item h="1" x="30"/>
        <item x="1"/>
        <item h="1" x="5"/>
        <item h="1" x="3"/>
        <item h="1" x="42"/>
        <item h="1" x="35"/>
        <item h="1" x="47"/>
        <item h="1" x="15"/>
        <item h="1" x="18"/>
        <item x="16"/>
        <item h="1" x="17"/>
        <item h="1" x="31"/>
        <item h="1" x="39"/>
        <item x="4"/>
        <item h="1" x="46"/>
        <item h="1" x="45"/>
        <item h="1" x="10"/>
        <item h="1" x="2"/>
        <item h="1" x="28"/>
        <item h="1" x="26"/>
        <item h="1" x="33"/>
        <item h="1" x="22"/>
        <item h="1" x="23"/>
        <item h="1" x="41"/>
        <item h="1" x="34"/>
        <item h="1" x="20"/>
        <item h="1" x="29"/>
        <item x="6"/>
        <item h="1" x="12"/>
        <item h="1" x="32"/>
        <item h="1" x="36"/>
        <item x="0"/>
        <item h="1" x="24"/>
        <item h="1" x="19"/>
        <item h="1" x="40"/>
        <item t="default"/>
      </items>
      <autoSortScope>
        <pivotArea dataOnly="0" outline="0" fieldPosition="0">
          <references count="1">
            <reference field="4294967294" count="1" selected="0">
              <x v="0"/>
            </reference>
          </references>
        </pivotArea>
      </autoSortScope>
    </pivotField>
    <pivotField numFmtId="1" showAll="0"/>
    <pivotField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Fields count="1">
    <field x="10"/>
  </rowFields>
  <rowItems count="6">
    <i>
      <x v="14"/>
    </i>
    <i>
      <x v="44"/>
    </i>
    <i>
      <x v="22"/>
    </i>
    <i>
      <x v="40"/>
    </i>
    <i>
      <x v="26"/>
    </i>
    <i t="grand">
      <x/>
    </i>
  </rowItems>
  <colItems count="1">
    <i/>
  </colItems>
  <dataFields count="1">
    <dataField name="Count of country" fld="10" subtotal="count" baseField="0" baseItem="0"/>
  </dataField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40"/>
          </reference>
        </references>
      </pivotArea>
    </chartFormat>
    <chartFormat chart="1" format="2">
      <pivotArea type="data" outline="0" fieldPosition="0">
        <references count="2">
          <reference field="4294967294" count="1" selected="0">
            <x v="0"/>
          </reference>
          <reference field="10" count="1" selected="0">
            <x v="26"/>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0" count="1" selected="0">
            <x v="14"/>
          </reference>
        </references>
      </pivotArea>
    </chartFormat>
    <chartFormat chart="2" format="5">
      <pivotArea type="data" outline="0" fieldPosition="0">
        <references count="2">
          <reference field="4294967294" count="1" selected="0">
            <x v="0"/>
          </reference>
          <reference field="10" count="1" selected="0">
            <x v="44"/>
          </reference>
        </references>
      </pivotArea>
    </chartFormat>
    <chartFormat chart="2" format="6">
      <pivotArea type="data" outline="0" fieldPosition="0">
        <references count="2">
          <reference field="4294967294" count="1" selected="0">
            <x v="0"/>
          </reference>
          <reference field="10" count="1" selected="0">
            <x v="22"/>
          </reference>
        </references>
      </pivotArea>
    </chartFormat>
    <chartFormat chart="2" format="7">
      <pivotArea type="data" outline="0" fieldPosition="0">
        <references count="2">
          <reference field="4294967294" count="1" selected="0">
            <x v="0"/>
          </reference>
          <reference field="10" count="1" selected="0">
            <x v="40"/>
          </reference>
        </references>
      </pivotArea>
    </chartFormat>
    <chartFormat chart="2" format="8">
      <pivotArea type="data" outline="0" fieldPosition="0">
        <references count="2">
          <reference field="4294967294" count="1" selected="0">
            <x v="0"/>
          </reference>
          <reference field="10" count="1" selected="0">
            <x v="2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0" count="1" selected="0">
            <x v="14"/>
          </reference>
        </references>
      </pivotArea>
    </chartFormat>
    <chartFormat chart="3" format="11">
      <pivotArea type="data" outline="0" fieldPosition="0">
        <references count="2">
          <reference field="4294967294" count="1" selected="0">
            <x v="0"/>
          </reference>
          <reference field="10" count="1" selected="0">
            <x v="44"/>
          </reference>
        </references>
      </pivotArea>
    </chartFormat>
    <chartFormat chart="3" format="12">
      <pivotArea type="data" outline="0" fieldPosition="0">
        <references count="2">
          <reference field="4294967294" count="1" selected="0">
            <x v="0"/>
          </reference>
          <reference field="10" count="1" selected="0">
            <x v="22"/>
          </reference>
        </references>
      </pivotArea>
    </chartFormat>
    <chartFormat chart="3" format="13">
      <pivotArea type="data" outline="0" fieldPosition="0">
        <references count="2">
          <reference field="4294967294" count="1" selected="0">
            <x v="0"/>
          </reference>
          <reference field="10" count="1" selected="0">
            <x v="40"/>
          </reference>
        </references>
      </pivotArea>
    </chartFormat>
    <chartFormat chart="3" format="14">
      <pivotArea type="data" outline="0" fieldPosition="0">
        <references count="2">
          <reference field="4294967294" count="1" selected="0">
            <x v="0"/>
          </reference>
          <reference field="10" count="1" selected="0">
            <x v="26"/>
          </reference>
        </references>
      </pivotArea>
    </chartFormat>
    <chartFormat chart="1" format="3">
      <pivotArea type="data" outline="0" fieldPosition="0">
        <references count="2">
          <reference field="4294967294" count="1" selected="0">
            <x v="0"/>
          </reference>
          <reference field="10" count="1" selected="0">
            <x v="14"/>
          </reference>
        </references>
      </pivotArea>
    </chartFormat>
    <chartFormat chart="1" format="4">
      <pivotArea type="data" outline="0" fieldPosition="0">
        <references count="2">
          <reference field="4294967294" count="1" selected="0">
            <x v="0"/>
          </reference>
          <reference field="10" count="1" selected="0">
            <x v="44"/>
          </reference>
        </references>
      </pivotArea>
    </chartFormat>
    <chartFormat chart="1" format="5">
      <pivotArea type="data" outline="0" fieldPosition="0">
        <references count="2">
          <reference field="4294967294" count="1" selected="0">
            <x v="0"/>
          </reference>
          <reference field="1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3CC7D90-B8E9-4ABC-9365-1735D08AD6E3}" sourceName="gender2">
  <pivotTables>
    <pivotTable tabId="4" name="PivotTable5"/>
  </pivotTables>
  <data>
    <tabular pivotCacheId="18772331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E793A982-CE37-43BE-ACBD-3D623B607096}" sourceName="class">
  <pivotTables>
    <pivotTable tabId="4" name="PivotTable8"/>
  </pivotTables>
  <data>
    <tabular pivotCacheId="1877233106">
      <items count="7">
        <i x="2" s="1"/>
        <i x="1" s="1"/>
        <i x="0" s="1"/>
        <i x="6"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2404D6D-6D67-4F1F-A605-C2415665164E}" sourceName="Age Group">
  <pivotTables>
    <pivotTable tabId="4" name="PivotTable6"/>
  </pivotTables>
  <data>
    <tabular pivotCacheId="1877233106">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urvived" xr10:uid="{1BD1BCBB-EAEC-435D-90E1-343677489EB5}" sourceName="New Survived">
  <pivotTables>
    <pivotTable tabId="4" name="PivotTable4"/>
  </pivotTables>
  <data>
    <tabular pivotCacheId="187723310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ategory" xr10:uid="{0697A91E-6748-4257-81A4-C90E5BD6A026}" sourceName="Fare Category">
  <pivotTables>
    <pivotTable tabId="4" name="PivotTable12"/>
  </pivotTables>
  <data>
    <tabular pivotCacheId="1877233106">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2" xr10:uid="{F518F622-3367-4EFA-A2BD-117DE111261A}" cache="Slicer_gender2" caption="gender2" rowHeight="247650"/>
  <slicer name="class" xr10:uid="{C988925B-13DA-4191-AEFE-0D904D90818C}" cache="Slicer_class" caption="class" rowHeight="247650"/>
  <slicer name="Age Group" xr10:uid="{DE53C8F3-0F14-45BB-BEDC-B16C2628EE42}" cache="Slicer_Age_Group" caption="Age Group" rowHeight="247650"/>
  <slicer name="New Survived" xr10:uid="{094F8CF0-7BFF-4A61-918A-2533FF69E79D}" cache="Slicer_New_Survived" caption="New Survived" rowHeight="247650"/>
  <slicer name="Fare Category" xr10:uid="{3123DB83-FC80-48E4-B5CF-1586C8F704BA}" cache="Slicer_Fare_Category" caption="Fare Category" startItem="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E9AB-340C-4D23-98EB-64D933F1D56C}">
  <sheetPr filterMode="1"/>
  <dimension ref="A1:T2203"/>
  <sheetViews>
    <sheetView tabSelected="1" topLeftCell="E1" zoomScaleNormal="100" workbookViewId="0">
      <pane ySplit="1" topLeftCell="A2" activePane="bottomLeft" state="frozen"/>
      <selection pane="bottomLeft" activeCell="S20" sqref="S20"/>
    </sheetView>
  </sheetViews>
  <sheetFormatPr defaultRowHeight="14.4" x14ac:dyDescent="0.3"/>
  <cols>
    <col min="1" max="1" width="12.77734375" customWidth="1"/>
    <col min="2" max="2" width="11.6640625" customWidth="1"/>
    <col min="3" max="4" width="26.109375" customWidth="1"/>
    <col min="5" max="5" width="12" customWidth="1"/>
    <col min="6" max="6" width="12.5546875" style="2" customWidth="1"/>
    <col min="7" max="7" width="18.109375" style="2" customWidth="1"/>
    <col min="8" max="8" width="13.109375" customWidth="1"/>
    <col min="9" max="9" width="12.33203125" customWidth="1"/>
    <col min="10" max="10" width="23.21875" customWidth="1"/>
    <col min="11" max="11" width="15.44140625" customWidth="1"/>
    <col min="12" max="13" width="13.21875" style="2" customWidth="1"/>
    <col min="14" max="14" width="11.21875" style="2" customWidth="1"/>
    <col min="15" max="15" width="8.88671875" style="2"/>
    <col min="17" max="17" width="12.88671875" customWidth="1"/>
    <col min="18" max="18" width="15" customWidth="1"/>
  </cols>
  <sheetData>
    <row r="1" spans="1:20" x14ac:dyDescent="0.3">
      <c r="A1" s="1" t="s">
        <v>3185</v>
      </c>
      <c r="B1" t="s">
        <v>3186</v>
      </c>
      <c r="C1" t="s">
        <v>3187</v>
      </c>
      <c r="D1" t="s">
        <v>3188</v>
      </c>
      <c r="E1" t="s">
        <v>0</v>
      </c>
      <c r="F1" s="2" t="s">
        <v>1</v>
      </c>
      <c r="G1" s="2" t="s">
        <v>3191</v>
      </c>
      <c r="H1" t="s">
        <v>2</v>
      </c>
      <c r="I1" t="s">
        <v>3</v>
      </c>
      <c r="J1" t="s">
        <v>3192</v>
      </c>
      <c r="K1" t="s">
        <v>4</v>
      </c>
      <c r="L1" s="2" t="s">
        <v>5</v>
      </c>
      <c r="M1" s="2" t="s">
        <v>3193</v>
      </c>
      <c r="N1" s="2" t="s">
        <v>6</v>
      </c>
      <c r="O1" s="2" t="s">
        <v>7</v>
      </c>
      <c r="P1" t="s">
        <v>3195</v>
      </c>
      <c r="Q1" t="s">
        <v>3196</v>
      </c>
      <c r="R1" t="s">
        <v>3194</v>
      </c>
      <c r="S1" t="s">
        <v>8</v>
      </c>
    </row>
    <row r="2" spans="1:20" x14ac:dyDescent="0.3">
      <c r="A2" s="1" t="s">
        <v>73</v>
      </c>
      <c r="B2" t="s">
        <v>1596</v>
      </c>
      <c r="C2" t="s">
        <v>1597</v>
      </c>
      <c r="D2" t="str">
        <f>PROPER(E2)</f>
        <v>Male</v>
      </c>
      <c r="E2" t="s">
        <v>9</v>
      </c>
      <c r="F2" s="2">
        <v>42</v>
      </c>
      <c r="G2" s="2" t="str" cm="1">
        <f t="array" ref="G2">_xlfn.IFS(F2&lt;=8,"Child",F2&lt;=17,"Teen",F2&lt;=35,"Adult",F2&lt;=55,"Seniour Adult",F2&gt;=55,"Old Age")</f>
        <v>Seniour Adult</v>
      </c>
      <c r="H2" t="s">
        <v>10</v>
      </c>
      <c r="I2" t="s">
        <v>11</v>
      </c>
      <c r="J2" t="str" cm="1">
        <f t="array" ref="J2">_xlfn.IFS(I2="S","Southamptom",I2="Q","Quentown",I2="C","Cherbrug",I2="B","Cabin")</f>
        <v>Southamptom</v>
      </c>
      <c r="K2" t="s">
        <v>12</v>
      </c>
      <c r="L2" s="2">
        <v>7.11</v>
      </c>
      <c r="M2" s="2" t="str" cm="1">
        <f t="array" ref="M2">_xlfn.IFS(L2&lt;=15,"Low Fare",L2&lt;=35,"Medium Fare",L2&lt;=100,"High Fare",L2&gt;=100,"Very High Fare")</f>
        <v>Low Fare</v>
      </c>
      <c r="N2" s="2">
        <v>0</v>
      </c>
      <c r="O2" s="2">
        <v>0</v>
      </c>
      <c r="P2" s="2">
        <f>N2+O2+1</f>
        <v>1</v>
      </c>
      <c r="Q2" t="str">
        <f>IF(P2=1,"Alone","With Family")</f>
        <v>Alone</v>
      </c>
      <c r="R2" t="str">
        <f>PROPER(S2)</f>
        <v>No</v>
      </c>
      <c r="S2" t="s">
        <v>13</v>
      </c>
    </row>
    <row r="3" spans="1:20" x14ac:dyDescent="0.3">
      <c r="A3" s="1" t="s">
        <v>74</v>
      </c>
      <c r="B3" t="s">
        <v>1596</v>
      </c>
      <c r="C3" t="s">
        <v>1598</v>
      </c>
      <c r="D3" t="str">
        <f t="shared" ref="D3:D66" si="0">PROPER(E3)</f>
        <v>Male</v>
      </c>
      <c r="E3" t="s">
        <v>9</v>
      </c>
      <c r="F3" s="2">
        <v>13</v>
      </c>
      <c r="G3" s="2" t="str" cm="1">
        <f t="array" ref="G3">_xlfn.IFS(F3&lt;=8,"Child",F3&lt;=17,"Teen",F3&lt;=35,"Adult",F3&lt;=55,"Seniour Adult",F3&gt;=55,"Old Age")</f>
        <v>Teen</v>
      </c>
      <c r="H3" t="s">
        <v>10</v>
      </c>
      <c r="I3" t="s">
        <v>11</v>
      </c>
      <c r="J3" t="str" cm="1">
        <f t="array" ref="J3">_xlfn.IFS(I3="S","Southamptom",I3="Q","Quentown",I3="C","Cherbrug",I3="B","Cabin")</f>
        <v>Southamptom</v>
      </c>
      <c r="K3" t="s">
        <v>12</v>
      </c>
      <c r="L3" s="2">
        <v>20.05</v>
      </c>
      <c r="M3" s="2" t="str" cm="1">
        <f t="array" ref="M3">_xlfn.IFS(L3&lt;=15,"Low Fare",L3&lt;=35,"Medium Fare",L3&lt;=100,"High Fare",L3&gt;=100,"Very High Fare")</f>
        <v>Medium Fare</v>
      </c>
      <c r="N3" s="2">
        <v>0</v>
      </c>
      <c r="O3" s="2">
        <v>2</v>
      </c>
      <c r="P3">
        <f t="shared" ref="P3:P66" si="1">N3+O3+1</f>
        <v>3</v>
      </c>
      <c r="Q3" t="str">
        <f t="shared" ref="Q3:Q66" si="2">IF(P3=1,"Alone","With Family")</f>
        <v>With Family</v>
      </c>
      <c r="R3" t="str">
        <f t="shared" ref="R3:R66" si="3">PROPER(S3)</f>
        <v>No</v>
      </c>
      <c r="S3" t="s">
        <v>13</v>
      </c>
    </row>
    <row r="4" spans="1:20" x14ac:dyDescent="0.3">
      <c r="A4" s="1" t="s">
        <v>74</v>
      </c>
      <c r="B4" t="s">
        <v>1596</v>
      </c>
      <c r="C4" t="s">
        <v>1599</v>
      </c>
      <c r="D4" t="str">
        <f t="shared" si="0"/>
        <v>Male</v>
      </c>
      <c r="E4" t="s">
        <v>9</v>
      </c>
      <c r="F4" s="2">
        <v>16</v>
      </c>
      <c r="G4" s="2" t="str" cm="1">
        <f t="array" ref="G4">_xlfn.IFS(F4&lt;=8,"Child",F4&lt;=17,"Teen",F4&lt;=35,"Adult",F4&lt;=55,"Seniour Adult",F4&gt;=55,"Old Age")</f>
        <v>Teen</v>
      </c>
      <c r="H4" t="s">
        <v>10</v>
      </c>
      <c r="I4" t="s">
        <v>11</v>
      </c>
      <c r="J4" t="str" cm="1">
        <f t="array" ref="J4">_xlfn.IFS(I4="S","Southamptom",I4="Q","Quentown",I4="C","Cherbrug",I4="B","Cabin")</f>
        <v>Southamptom</v>
      </c>
      <c r="K4" t="s">
        <v>12</v>
      </c>
      <c r="L4" s="2">
        <v>20.05</v>
      </c>
      <c r="M4" s="2" t="str" cm="1">
        <f t="array" ref="M4">_xlfn.IFS(L4&lt;=15,"Low Fare",L4&lt;=35,"Medium Fare",L4&lt;=100,"High Fare",L4&gt;=100,"Very High Fare")</f>
        <v>Medium Fare</v>
      </c>
      <c r="N4" s="2">
        <v>1</v>
      </c>
      <c r="O4" s="2">
        <v>1</v>
      </c>
      <c r="P4">
        <f t="shared" si="1"/>
        <v>3</v>
      </c>
      <c r="Q4" t="str">
        <f t="shared" si="2"/>
        <v>With Family</v>
      </c>
      <c r="R4" t="str">
        <f t="shared" si="3"/>
        <v>No</v>
      </c>
      <c r="S4" t="s">
        <v>13</v>
      </c>
    </row>
    <row r="5" spans="1:20" x14ac:dyDescent="0.3">
      <c r="A5" s="1" t="s">
        <v>74</v>
      </c>
      <c r="B5" t="s">
        <v>1600</v>
      </c>
      <c r="C5" t="s">
        <v>1601</v>
      </c>
      <c r="D5" t="str">
        <f t="shared" si="0"/>
        <v>Female</v>
      </c>
      <c r="E5" t="s">
        <v>14</v>
      </c>
      <c r="F5" s="2">
        <v>39</v>
      </c>
      <c r="G5" s="2" t="str" cm="1">
        <f t="array" ref="G5">_xlfn.IFS(F5&lt;=8,"Child",F5&lt;=17,"Teen",F5&lt;=35,"Adult",F5&lt;=55,"Seniour Adult",F5&gt;=55,"Old Age")</f>
        <v>Seniour Adult</v>
      </c>
      <c r="H5" t="s">
        <v>10</v>
      </c>
      <c r="I5" t="s">
        <v>11</v>
      </c>
      <c r="J5" t="str" cm="1">
        <f t="array" ref="J5">_xlfn.IFS(I5="S","Southamptom",I5="Q","Quentown",I5="C","Cherbrug",I5="B","Cabin")</f>
        <v>Southamptom</v>
      </c>
      <c r="K5" t="s">
        <v>15</v>
      </c>
      <c r="L5" s="2">
        <v>20.05</v>
      </c>
      <c r="M5" s="2" t="str" cm="1">
        <f t="array" ref="M5">_xlfn.IFS(L5&lt;=15,"Low Fare",L5&lt;=35,"Medium Fare",L5&lt;=100,"High Fare",L5&gt;=100,"Very High Fare")</f>
        <v>Medium Fare</v>
      </c>
      <c r="N5" s="2">
        <v>1</v>
      </c>
      <c r="O5" s="2">
        <v>1</v>
      </c>
      <c r="P5">
        <f t="shared" si="1"/>
        <v>3</v>
      </c>
      <c r="Q5" t="str">
        <f t="shared" si="2"/>
        <v>With Family</v>
      </c>
      <c r="R5" t="str">
        <f t="shared" si="3"/>
        <v>Yes</v>
      </c>
      <c r="S5" t="s">
        <v>16</v>
      </c>
    </row>
    <row r="6" spans="1:20" x14ac:dyDescent="0.3">
      <c r="A6" s="1" t="s">
        <v>75</v>
      </c>
      <c r="B6" t="s">
        <v>1602</v>
      </c>
      <c r="C6" t="s">
        <v>1603</v>
      </c>
      <c r="D6" t="str">
        <f t="shared" si="0"/>
        <v>Female</v>
      </c>
      <c r="E6" t="s">
        <v>14</v>
      </c>
      <c r="F6" s="2">
        <v>16</v>
      </c>
      <c r="G6" s="2" t="str" cm="1">
        <f t="array" ref="G6">_xlfn.IFS(F6&lt;=8,"Child",F6&lt;=17,"Teen",F6&lt;=35,"Adult",F6&lt;=55,"Seniour Adult",F6&gt;=55,"Old Age")</f>
        <v>Teen</v>
      </c>
      <c r="H6" t="s">
        <v>10</v>
      </c>
      <c r="I6" t="s">
        <v>11</v>
      </c>
      <c r="J6" t="str" cm="1">
        <f t="array" ref="J6">_xlfn.IFS(I6="S","Southamptom",I6="Q","Quentown",I6="C","Cherbrug",I6="B","Cabin")</f>
        <v>Southamptom</v>
      </c>
      <c r="K6" t="s">
        <v>17</v>
      </c>
      <c r="L6" s="2">
        <v>7.13</v>
      </c>
      <c r="M6" s="2" t="str" cm="1">
        <f t="array" ref="M6">_xlfn.IFS(L6&lt;=15,"Low Fare",L6&lt;=35,"Medium Fare",L6&lt;=100,"High Fare",L6&gt;=100,"Very High Fare")</f>
        <v>Low Fare</v>
      </c>
      <c r="N6" s="2">
        <v>0</v>
      </c>
      <c r="O6" s="2">
        <v>0</v>
      </c>
      <c r="P6">
        <f t="shared" si="1"/>
        <v>1</v>
      </c>
      <c r="Q6" t="str">
        <f t="shared" si="2"/>
        <v>Alone</v>
      </c>
      <c r="R6" t="str">
        <f t="shared" si="3"/>
        <v>Yes</v>
      </c>
      <c r="S6" t="s">
        <v>16</v>
      </c>
    </row>
    <row r="7" spans="1:20" x14ac:dyDescent="0.3">
      <c r="A7" s="1" t="s">
        <v>75</v>
      </c>
      <c r="B7" t="s">
        <v>1596</v>
      </c>
      <c r="C7" t="s">
        <v>1604</v>
      </c>
      <c r="D7" t="str">
        <f t="shared" si="0"/>
        <v>Male</v>
      </c>
      <c r="E7" t="s">
        <v>9</v>
      </c>
      <c r="F7" s="2">
        <v>25</v>
      </c>
      <c r="G7" s="2" t="str" cm="1">
        <f t="array" ref="G7">_xlfn.IFS(F7&lt;=8,"Child",F7&lt;=17,"Teen",F7&lt;=35,"Adult",F7&lt;=55,"Seniour Adult",F7&gt;=55,"Old Age")</f>
        <v>Adult</v>
      </c>
      <c r="H7" t="s">
        <v>10</v>
      </c>
      <c r="I7" t="s">
        <v>11</v>
      </c>
      <c r="J7" t="str" cm="1">
        <f t="array" ref="J7">_xlfn.IFS(I7="S","Southamptom",I7="Q","Quentown",I7="C","Cherbrug",I7="B","Cabin")</f>
        <v>Southamptom</v>
      </c>
      <c r="K7" t="s">
        <v>12</v>
      </c>
      <c r="L7" s="2">
        <v>7.13</v>
      </c>
      <c r="M7" s="2" t="str" cm="1">
        <f t="array" ref="M7">_xlfn.IFS(L7&lt;=15,"Low Fare",L7&lt;=35,"Medium Fare",L7&lt;=100,"High Fare",L7&gt;=100,"Very High Fare")</f>
        <v>Low Fare</v>
      </c>
      <c r="N7" s="2">
        <v>0</v>
      </c>
      <c r="O7" s="2">
        <v>0</v>
      </c>
      <c r="P7">
        <f t="shared" si="1"/>
        <v>1</v>
      </c>
      <c r="Q7" t="str">
        <f t="shared" si="2"/>
        <v>Alone</v>
      </c>
      <c r="R7" t="str">
        <f t="shared" si="3"/>
        <v>Yes</v>
      </c>
      <c r="S7" t="s">
        <v>16</v>
      </c>
      <c r="T7" s="2"/>
    </row>
    <row r="8" spans="1:20" x14ac:dyDescent="0.3">
      <c r="A8" s="1" t="s">
        <v>76</v>
      </c>
      <c r="B8" t="s">
        <v>1596</v>
      </c>
      <c r="C8" t="s">
        <v>1605</v>
      </c>
      <c r="D8" t="str">
        <f t="shared" si="0"/>
        <v>Male</v>
      </c>
      <c r="E8" t="s">
        <v>9</v>
      </c>
      <c r="F8" s="2">
        <v>30</v>
      </c>
      <c r="G8" s="2" t="str" cm="1">
        <f t="array" ref="G8">_xlfn.IFS(F8&lt;=8,"Child",F8&lt;=17,"Teen",F8&lt;=35,"Adult",F8&lt;=55,"Seniour Adult",F8&gt;=55,"Old Age")</f>
        <v>Adult</v>
      </c>
      <c r="H8" t="s">
        <v>18</v>
      </c>
      <c r="I8" t="s">
        <v>19</v>
      </c>
      <c r="J8" t="str" cm="1">
        <f t="array" ref="J8">_xlfn.IFS(I8="S","Southamptom",I8="Q","Quentown",I8="C","Cherbrug",I8="B","Cabin")</f>
        <v>Cherbrug</v>
      </c>
      <c r="K8" t="s">
        <v>20</v>
      </c>
      <c r="L8" s="2">
        <v>24</v>
      </c>
      <c r="M8" s="2" t="str" cm="1">
        <f t="array" ref="M8">_xlfn.IFS(L8&lt;=15,"Low Fare",L8&lt;=35,"Medium Fare",L8&lt;=100,"High Fare",L8&gt;=100,"Very High Fare")</f>
        <v>Medium Fare</v>
      </c>
      <c r="N8" s="2">
        <v>1</v>
      </c>
      <c r="O8" s="2">
        <v>0</v>
      </c>
      <c r="P8">
        <f t="shared" si="1"/>
        <v>2</v>
      </c>
      <c r="Q8" t="str">
        <f t="shared" si="2"/>
        <v>With Family</v>
      </c>
      <c r="R8" t="str">
        <f t="shared" si="3"/>
        <v>No</v>
      </c>
      <c r="S8" t="s">
        <v>13</v>
      </c>
    </row>
    <row r="9" spans="1:20" x14ac:dyDescent="0.3">
      <c r="A9" s="1" t="s">
        <v>76</v>
      </c>
      <c r="B9" t="s">
        <v>1600</v>
      </c>
      <c r="C9" t="s">
        <v>1606</v>
      </c>
      <c r="D9" t="str">
        <f t="shared" si="0"/>
        <v>Female</v>
      </c>
      <c r="E9" t="s">
        <v>14</v>
      </c>
      <c r="F9" s="2">
        <v>28</v>
      </c>
      <c r="G9" s="2" t="str" cm="1">
        <f t="array" ref="G9">_xlfn.IFS(F9&lt;=8,"Child",F9&lt;=17,"Teen",F9&lt;=35,"Adult",F9&lt;=55,"Seniour Adult",F9&gt;=55,"Old Age")</f>
        <v>Adult</v>
      </c>
      <c r="H9" t="s">
        <v>18</v>
      </c>
      <c r="I9" t="s">
        <v>19</v>
      </c>
      <c r="J9" t="str" cm="1">
        <f t="array" ref="J9">_xlfn.IFS(I9="S","Southamptom",I9="Q","Quentown",I9="C","Cherbrug",I9="B","Cabin")</f>
        <v>Cherbrug</v>
      </c>
      <c r="K9" t="s">
        <v>20</v>
      </c>
      <c r="L9" s="2">
        <v>24</v>
      </c>
      <c r="M9" s="2" t="str" cm="1">
        <f t="array" ref="M9">_xlfn.IFS(L9&lt;=15,"Low Fare",L9&lt;=35,"Medium Fare",L9&lt;=100,"High Fare",L9&gt;=100,"Very High Fare")</f>
        <v>Medium Fare</v>
      </c>
      <c r="N9" s="2">
        <v>1</v>
      </c>
      <c r="O9" s="2">
        <v>0</v>
      </c>
      <c r="P9">
        <f t="shared" si="1"/>
        <v>2</v>
      </c>
      <c r="Q9" t="str">
        <f t="shared" si="2"/>
        <v>With Family</v>
      </c>
      <c r="R9" t="str">
        <f t="shared" si="3"/>
        <v>Yes</v>
      </c>
      <c r="S9" t="s">
        <v>16</v>
      </c>
    </row>
    <row r="10" spans="1:20" x14ac:dyDescent="0.3">
      <c r="A10" s="1" t="s">
        <v>77</v>
      </c>
      <c r="B10" t="s">
        <v>1596</v>
      </c>
      <c r="C10" t="s">
        <v>1607</v>
      </c>
      <c r="D10" t="str">
        <f t="shared" si="0"/>
        <v>Male</v>
      </c>
      <c r="E10" t="s">
        <v>9</v>
      </c>
      <c r="F10" s="2">
        <v>27</v>
      </c>
      <c r="G10" s="2" t="str" cm="1">
        <f t="array" ref="G10">_xlfn.IFS(F10&lt;=8,"Child",F10&lt;=17,"Teen",F10&lt;=35,"Adult",F10&lt;=55,"Seniour Adult",F10&gt;=55,"Old Age")</f>
        <v>Adult</v>
      </c>
      <c r="H10" t="s">
        <v>10</v>
      </c>
      <c r="I10" t="s">
        <v>19</v>
      </c>
      <c r="J10" t="str" cm="1">
        <f t="array" ref="J10">_xlfn.IFS(I10="S","Southamptom",I10="Q","Quentown",I10="C","Cherbrug",I10="B","Cabin")</f>
        <v>Cherbrug</v>
      </c>
      <c r="K10" t="s">
        <v>21</v>
      </c>
      <c r="L10" s="2">
        <v>18.1509</v>
      </c>
      <c r="M10" s="2" t="str" cm="1">
        <f t="array" ref="M10">_xlfn.IFS(L10&lt;=15,"Low Fare",L10&lt;=35,"Medium Fare",L10&lt;=100,"High Fare",L10&gt;=100,"Very High Fare")</f>
        <v>Medium Fare</v>
      </c>
      <c r="N10" s="2">
        <v>0</v>
      </c>
      <c r="O10" s="2">
        <v>0</v>
      </c>
      <c r="P10">
        <f t="shared" si="1"/>
        <v>1</v>
      </c>
      <c r="Q10" t="str">
        <f t="shared" si="2"/>
        <v>Alone</v>
      </c>
      <c r="R10" t="str">
        <f t="shared" si="3"/>
        <v>Yes</v>
      </c>
      <c r="S10" t="s">
        <v>16</v>
      </c>
    </row>
    <row r="11" spans="1:20" x14ac:dyDescent="0.3">
      <c r="A11" s="1" t="s">
        <v>78</v>
      </c>
      <c r="B11" t="s">
        <v>1596</v>
      </c>
      <c r="C11" t="s">
        <v>1608</v>
      </c>
      <c r="D11" t="str">
        <f t="shared" si="0"/>
        <v>Male</v>
      </c>
      <c r="E11" t="s">
        <v>9</v>
      </c>
      <c r="F11" s="2">
        <v>20</v>
      </c>
      <c r="G11" s="2" t="str" cm="1">
        <f t="array" ref="G11">_xlfn.IFS(F11&lt;=8,"Child",F11&lt;=17,"Teen",F11&lt;=35,"Adult",F11&lt;=55,"Seniour Adult",F11&gt;=55,"Old Age")</f>
        <v>Adult</v>
      </c>
      <c r="H11" t="s">
        <v>10</v>
      </c>
      <c r="I11" t="s">
        <v>11</v>
      </c>
      <c r="J11" t="str" cm="1">
        <f t="array" ref="J11">_xlfn.IFS(I11="S","Southamptom",I11="Q","Quentown",I11="C","Cherbrug",I11="B","Cabin")</f>
        <v>Southamptom</v>
      </c>
      <c r="K11" t="s">
        <v>22</v>
      </c>
      <c r="L11" s="2">
        <v>7.1806000000000001</v>
      </c>
      <c r="M11" s="2" t="str" cm="1">
        <f t="array" ref="M11">_xlfn.IFS(L11&lt;=15,"Low Fare",L11&lt;=35,"Medium Fare",L11&lt;=100,"High Fare",L11&gt;=100,"Very High Fare")</f>
        <v>Low Fare</v>
      </c>
      <c r="N11" s="2">
        <v>0</v>
      </c>
      <c r="O11" s="2">
        <v>0</v>
      </c>
      <c r="P11">
        <f t="shared" si="1"/>
        <v>1</v>
      </c>
      <c r="Q11" t="str">
        <f t="shared" si="2"/>
        <v>Alone</v>
      </c>
      <c r="R11" t="str">
        <f t="shared" si="3"/>
        <v>Yes</v>
      </c>
      <c r="S11" t="s">
        <v>16</v>
      </c>
      <c r="T11" s="2"/>
    </row>
    <row r="12" spans="1:20" x14ac:dyDescent="0.3">
      <c r="A12" s="1" t="s">
        <v>79</v>
      </c>
      <c r="B12" t="s">
        <v>1596</v>
      </c>
      <c r="C12" t="s">
        <v>1609</v>
      </c>
      <c r="D12" t="str">
        <f t="shared" si="0"/>
        <v>Male</v>
      </c>
      <c r="E12" t="s">
        <v>9</v>
      </c>
      <c r="F12" s="2">
        <v>30</v>
      </c>
      <c r="G12" s="2" t="str" cm="1">
        <f t="array" ref="G12">_xlfn.IFS(F12&lt;=8,"Child",F12&lt;=17,"Teen",F12&lt;=35,"Adult",F12&lt;=55,"Seniour Adult",F12&gt;=55,"Old Age")</f>
        <v>Adult</v>
      </c>
      <c r="H12" t="s">
        <v>10</v>
      </c>
      <c r="I12" t="s">
        <v>11</v>
      </c>
      <c r="J12" t="str" cm="1">
        <f t="array" ref="J12">_xlfn.IFS(I12="S","Southamptom",I12="Q","Quentown",I12="C","Cherbrug",I12="B","Cabin")</f>
        <v>Southamptom</v>
      </c>
      <c r="K12" t="s">
        <v>23</v>
      </c>
      <c r="L12" s="2">
        <v>7.05</v>
      </c>
      <c r="M12" s="2" t="str" cm="1">
        <f t="array" ref="M12">_xlfn.IFS(L12&lt;=15,"Low Fare",L12&lt;=35,"Medium Fare",L12&lt;=100,"High Fare",L12&gt;=100,"Very High Fare")</f>
        <v>Low Fare</v>
      </c>
      <c r="N12" s="2">
        <v>0</v>
      </c>
      <c r="O12" s="2">
        <v>0</v>
      </c>
      <c r="P12">
        <f t="shared" si="1"/>
        <v>1</v>
      </c>
      <c r="Q12" t="str">
        <f t="shared" si="2"/>
        <v>Alone</v>
      </c>
      <c r="R12" t="str">
        <f t="shared" si="3"/>
        <v>No</v>
      </c>
      <c r="S12" t="s">
        <v>13</v>
      </c>
    </row>
    <row r="13" spans="1:20" x14ac:dyDescent="0.3">
      <c r="A13" s="1" t="s">
        <v>80</v>
      </c>
      <c r="B13" t="s">
        <v>1596</v>
      </c>
      <c r="C13" t="s">
        <v>1610</v>
      </c>
      <c r="D13" t="str">
        <f t="shared" si="0"/>
        <v>Male</v>
      </c>
      <c r="E13" t="s">
        <v>9</v>
      </c>
      <c r="F13" s="2">
        <v>27</v>
      </c>
      <c r="G13" s="2" t="str" cm="1">
        <f t="array" ref="G13">_xlfn.IFS(F13&lt;=8,"Child",F13&lt;=17,"Teen",F13&lt;=35,"Adult",F13&lt;=55,"Seniour Adult",F13&gt;=55,"Old Age")</f>
        <v>Adult</v>
      </c>
      <c r="H13" t="s">
        <v>10</v>
      </c>
      <c r="I13" t="s">
        <v>11</v>
      </c>
      <c r="J13" t="str" cm="1">
        <f t="array" ref="J13">_xlfn.IFS(I13="S","Southamptom",I13="Q","Quentown",I13="C","Cherbrug",I13="B","Cabin")</f>
        <v>Southamptom</v>
      </c>
      <c r="K13" t="s">
        <v>15</v>
      </c>
      <c r="L13" s="2">
        <v>8.01</v>
      </c>
      <c r="M13" s="2" t="str" cm="1">
        <f t="array" ref="M13">_xlfn.IFS(L13&lt;=15,"Low Fare",L13&lt;=35,"Medium Fare",L13&lt;=100,"High Fare",L13&gt;=100,"Very High Fare")</f>
        <v>Low Fare</v>
      </c>
      <c r="N13" s="2">
        <v>0</v>
      </c>
      <c r="O13" s="2">
        <v>0</v>
      </c>
      <c r="P13">
        <f t="shared" si="1"/>
        <v>1</v>
      </c>
      <c r="Q13" t="str">
        <f t="shared" si="2"/>
        <v>Alone</v>
      </c>
      <c r="R13" t="str">
        <f t="shared" si="3"/>
        <v>No</v>
      </c>
      <c r="S13" t="s">
        <v>13</v>
      </c>
    </row>
    <row r="14" spans="1:20" x14ac:dyDescent="0.3">
      <c r="A14" s="1" t="s">
        <v>81</v>
      </c>
      <c r="B14" t="s">
        <v>1600</v>
      </c>
      <c r="C14" t="s">
        <v>1611</v>
      </c>
      <c r="D14" t="str">
        <f t="shared" si="0"/>
        <v>Female</v>
      </c>
      <c r="E14" t="s">
        <v>14</v>
      </c>
      <c r="F14" s="2">
        <v>40</v>
      </c>
      <c r="G14" s="2" t="str" cm="1">
        <f t="array" ref="G14">_xlfn.IFS(F14&lt;=8,"Child",F14&lt;=17,"Teen",F14&lt;=35,"Adult",F14&lt;=55,"Seniour Adult",F14&gt;=55,"Old Age")</f>
        <v>Seniour Adult</v>
      </c>
      <c r="H14" t="s">
        <v>10</v>
      </c>
      <c r="I14" t="s">
        <v>11</v>
      </c>
      <c r="J14" t="str" cm="1">
        <f t="array" ref="J14">_xlfn.IFS(I14="S","Southamptom",I14="Q","Quentown",I14="C","Cherbrug",I14="B","Cabin")</f>
        <v>Southamptom</v>
      </c>
      <c r="K14" t="s">
        <v>23</v>
      </c>
      <c r="L14" s="2">
        <v>9.0906000000000002</v>
      </c>
      <c r="M14" s="2" t="str" cm="1">
        <f t="array" ref="M14">_xlfn.IFS(L14&lt;=15,"Low Fare",L14&lt;=35,"Medium Fare",L14&lt;=100,"High Fare",L14&gt;=100,"Very High Fare")</f>
        <v>Low Fare</v>
      </c>
      <c r="N14" s="2">
        <v>1</v>
      </c>
      <c r="O14" s="2">
        <v>0</v>
      </c>
      <c r="P14">
        <f t="shared" si="1"/>
        <v>2</v>
      </c>
      <c r="Q14" t="str">
        <f t="shared" si="2"/>
        <v>With Family</v>
      </c>
      <c r="R14" t="str">
        <f t="shared" si="3"/>
        <v>No</v>
      </c>
      <c r="S14" t="s">
        <v>13</v>
      </c>
    </row>
    <row r="15" spans="1:20" x14ac:dyDescent="0.3">
      <c r="A15" s="1" t="s">
        <v>82</v>
      </c>
      <c r="B15" t="s">
        <v>1612</v>
      </c>
      <c r="C15" t="s">
        <v>1613</v>
      </c>
      <c r="D15" t="str">
        <f t="shared" si="0"/>
        <v>Male</v>
      </c>
      <c r="E15" t="s">
        <v>9</v>
      </c>
      <c r="F15" s="2">
        <v>0.83333333330000003</v>
      </c>
      <c r="G15" s="2" t="str" cm="1">
        <f t="array" ref="G15">_xlfn.IFS(F15&lt;=8,"Child",F15&lt;=17,"Teen",F15&lt;=35,"Adult",F15&lt;=55,"Seniour Adult",F15&gt;=55,"Old Age")</f>
        <v>Child</v>
      </c>
      <c r="H15" t="s">
        <v>10</v>
      </c>
      <c r="I15" t="s">
        <v>11</v>
      </c>
      <c r="J15" t="str" cm="1">
        <f t="array" ref="J15">_xlfn.IFS(I15="S","Southamptom",I15="Q","Quentown",I15="C","Cherbrug",I15="B","Cabin")</f>
        <v>Southamptom</v>
      </c>
      <c r="K15" t="s">
        <v>15</v>
      </c>
      <c r="L15" s="2">
        <v>9.07</v>
      </c>
      <c r="M15" s="2" t="str" cm="1">
        <f t="array" ref="M15">_xlfn.IFS(L15&lt;=15,"Low Fare",L15&lt;=35,"Medium Fare",L15&lt;=100,"High Fare",L15&gt;=100,"Very High Fare")</f>
        <v>Low Fare</v>
      </c>
      <c r="N15" s="2">
        <v>0</v>
      </c>
      <c r="O15" s="2">
        <v>1</v>
      </c>
      <c r="P15">
        <f t="shared" si="1"/>
        <v>2</v>
      </c>
      <c r="Q15" t="str">
        <f t="shared" si="2"/>
        <v>With Family</v>
      </c>
      <c r="R15" t="str">
        <f t="shared" si="3"/>
        <v>Yes</v>
      </c>
      <c r="S15" t="s">
        <v>16</v>
      </c>
    </row>
    <row r="16" spans="1:20" x14ac:dyDescent="0.3">
      <c r="A16" s="1" t="s">
        <v>82</v>
      </c>
      <c r="B16" t="s">
        <v>1600</v>
      </c>
      <c r="C16" t="s">
        <v>1614</v>
      </c>
      <c r="D16" t="str">
        <f t="shared" si="0"/>
        <v>Female</v>
      </c>
      <c r="E16" t="s">
        <v>14</v>
      </c>
      <c r="F16" s="2">
        <v>18</v>
      </c>
      <c r="G16" s="2" t="str" cm="1">
        <f t="array" ref="G16">_xlfn.IFS(F16&lt;=8,"Child",F16&lt;=17,"Teen",F16&lt;=35,"Adult",F16&lt;=55,"Seniour Adult",F16&gt;=55,"Old Age")</f>
        <v>Adult</v>
      </c>
      <c r="H16" t="s">
        <v>10</v>
      </c>
      <c r="I16" t="s">
        <v>11</v>
      </c>
      <c r="J16" t="str" cm="1">
        <f t="array" ref="J16">_xlfn.IFS(I16="S","Southamptom",I16="Q","Quentown",I16="C","Cherbrug",I16="B","Cabin")</f>
        <v>Southamptom</v>
      </c>
      <c r="K16" t="s">
        <v>15</v>
      </c>
      <c r="L16" s="2">
        <v>9.07</v>
      </c>
      <c r="M16" s="2" t="str" cm="1">
        <f t="array" ref="M16">_xlfn.IFS(L16&lt;=15,"Low Fare",L16&lt;=35,"Medium Fare",L16&lt;=100,"High Fare",L16&gt;=100,"Very High Fare")</f>
        <v>Low Fare</v>
      </c>
      <c r="N16" s="2">
        <v>0</v>
      </c>
      <c r="O16" s="2">
        <v>1</v>
      </c>
      <c r="P16">
        <f t="shared" si="1"/>
        <v>2</v>
      </c>
      <c r="Q16" t="str">
        <f t="shared" si="2"/>
        <v>With Family</v>
      </c>
      <c r="R16" t="str">
        <f t="shared" si="3"/>
        <v>Yes</v>
      </c>
      <c r="S16" t="s">
        <v>16</v>
      </c>
    </row>
    <row r="17" spans="1:19" x14ac:dyDescent="0.3">
      <c r="A17" s="1" t="s">
        <v>83</v>
      </c>
      <c r="B17" t="s">
        <v>1596</v>
      </c>
      <c r="C17" t="s">
        <v>1615</v>
      </c>
      <c r="D17" t="str">
        <f t="shared" si="0"/>
        <v>Male</v>
      </c>
      <c r="E17" t="s">
        <v>9</v>
      </c>
      <c r="F17" s="2">
        <v>35</v>
      </c>
      <c r="G17" s="2" t="str" cm="1">
        <f t="array" ref="G17">_xlfn.IFS(F17&lt;=8,"Child",F17&lt;=17,"Teen",F17&lt;=35,"Adult",F17&lt;=55,"Seniour Adult",F17&gt;=55,"Old Age")</f>
        <v>Adult</v>
      </c>
      <c r="H17" t="s">
        <v>18</v>
      </c>
      <c r="I17" t="s">
        <v>11</v>
      </c>
      <c r="J17" t="str" cm="1">
        <f t="array" ref="J17">_xlfn.IFS(I17="S","Southamptom",I17="Q","Quentown",I17="C","Cherbrug",I17="B","Cabin")</f>
        <v>Southamptom</v>
      </c>
      <c r="K17" t="s">
        <v>15</v>
      </c>
      <c r="L17" s="2">
        <v>13</v>
      </c>
      <c r="M17" s="2" t="str" cm="1">
        <f t="array" ref="M17">_xlfn.IFS(L17&lt;=15,"Low Fare",L17&lt;=35,"Medium Fare",L17&lt;=100,"High Fare",L17&gt;=100,"Very High Fare")</f>
        <v>Low Fare</v>
      </c>
      <c r="N17" s="2">
        <v>0</v>
      </c>
      <c r="O17" s="2">
        <v>0</v>
      </c>
      <c r="P17">
        <f t="shared" si="1"/>
        <v>1</v>
      </c>
      <c r="Q17" t="str">
        <f t="shared" si="2"/>
        <v>Alone</v>
      </c>
      <c r="R17" t="str">
        <f t="shared" si="3"/>
        <v>No</v>
      </c>
      <c r="S17" t="s">
        <v>13</v>
      </c>
    </row>
    <row r="18" spans="1:19" x14ac:dyDescent="0.3">
      <c r="A18" s="1" t="s">
        <v>84</v>
      </c>
      <c r="B18" t="s">
        <v>1596</v>
      </c>
      <c r="C18" t="s">
        <v>1616</v>
      </c>
      <c r="D18" t="str">
        <f t="shared" si="0"/>
        <v>Male</v>
      </c>
      <c r="E18" t="s">
        <v>9</v>
      </c>
      <c r="F18" s="2">
        <v>25</v>
      </c>
      <c r="G18" s="2" t="str" cm="1">
        <f t="array" ref="G18">_xlfn.IFS(F18&lt;=8,"Child",F18&lt;=17,"Teen",F18&lt;=35,"Adult",F18&lt;=55,"Seniour Adult",F18&gt;=55,"Old Age")</f>
        <v>Adult</v>
      </c>
      <c r="H18" t="s">
        <v>10</v>
      </c>
      <c r="I18" t="s">
        <v>11</v>
      </c>
      <c r="J18" t="str" cm="1">
        <f t="array" ref="J18">_xlfn.IFS(I18="S","Southamptom",I18="Q","Quentown",I18="C","Cherbrug",I18="B","Cabin")</f>
        <v>Southamptom</v>
      </c>
      <c r="K18" t="s">
        <v>15</v>
      </c>
      <c r="L18" s="2">
        <v>7.1708999999999996</v>
      </c>
      <c r="M18" s="2" t="str" cm="1">
        <f t="array" ref="M18">_xlfn.IFS(L18&lt;=15,"Low Fare",L18&lt;=35,"Medium Fare",L18&lt;=100,"High Fare",L18&gt;=100,"Very High Fare")</f>
        <v>Low Fare</v>
      </c>
      <c r="N18" s="2">
        <v>0</v>
      </c>
      <c r="O18" s="2">
        <v>0</v>
      </c>
      <c r="P18">
        <f t="shared" si="1"/>
        <v>1</v>
      </c>
      <c r="Q18" t="str">
        <f t="shared" si="2"/>
        <v>Alone</v>
      </c>
      <c r="R18" t="str">
        <f t="shared" si="3"/>
        <v>No</v>
      </c>
      <c r="S18" t="s">
        <v>13</v>
      </c>
    </row>
    <row r="19" spans="1:19" x14ac:dyDescent="0.3">
      <c r="A19" s="1" t="s">
        <v>85</v>
      </c>
      <c r="B19" t="s">
        <v>1596</v>
      </c>
      <c r="C19" t="s">
        <v>1617</v>
      </c>
      <c r="D19" t="str">
        <f t="shared" si="0"/>
        <v>Male</v>
      </c>
      <c r="E19" t="s">
        <v>9</v>
      </c>
      <c r="F19" s="2">
        <v>19</v>
      </c>
      <c r="G19" s="2" t="str" cm="1">
        <f t="array" ref="G19">_xlfn.IFS(F19&lt;=8,"Child",F19&lt;=17,"Teen",F19&lt;=35,"Adult",F19&lt;=55,"Seniour Adult",F19&gt;=55,"Old Age")</f>
        <v>Adult</v>
      </c>
      <c r="H19" t="s">
        <v>10</v>
      </c>
      <c r="I19" t="s">
        <v>11</v>
      </c>
      <c r="J19" t="str" cm="1">
        <f t="array" ref="J19">_xlfn.IFS(I19="S","Southamptom",I19="Q","Quentown",I19="C","Cherbrug",I19="B","Cabin")</f>
        <v>Southamptom</v>
      </c>
      <c r="K19" t="s">
        <v>22</v>
      </c>
      <c r="L19" s="2">
        <v>7.1806000000000001</v>
      </c>
      <c r="M19" s="2" t="str" cm="1">
        <f t="array" ref="M19">_xlfn.IFS(L19&lt;=15,"Low Fare",L19&lt;=35,"Medium Fare",L19&lt;=100,"High Fare",L19&gt;=100,"Very High Fare")</f>
        <v>Low Fare</v>
      </c>
      <c r="N19" s="2">
        <v>0</v>
      </c>
      <c r="O19" s="2">
        <v>0</v>
      </c>
      <c r="P19">
        <f t="shared" si="1"/>
        <v>1</v>
      </c>
      <c r="Q19" t="str">
        <f t="shared" si="2"/>
        <v>Alone</v>
      </c>
      <c r="R19" t="str">
        <f t="shared" si="3"/>
        <v>No</v>
      </c>
      <c r="S19" t="s">
        <v>13</v>
      </c>
    </row>
    <row r="20" spans="1:19" x14ac:dyDescent="0.3">
      <c r="A20" s="1" t="s">
        <v>86</v>
      </c>
      <c r="B20" t="s">
        <v>1596</v>
      </c>
      <c r="C20" t="s">
        <v>1618</v>
      </c>
      <c r="D20" t="str">
        <f t="shared" si="0"/>
        <v>Male</v>
      </c>
      <c r="E20" t="s">
        <v>9</v>
      </c>
      <c r="F20" s="2">
        <v>24</v>
      </c>
      <c r="G20" s="2" t="str" cm="1">
        <f t="array" ref="G20">_xlfn.IFS(F20&lt;=8,"Child",F20&lt;=17,"Teen",F20&lt;=35,"Adult",F20&lt;=55,"Seniour Adult",F20&gt;=55,"Old Age")</f>
        <v>Adult</v>
      </c>
      <c r="H20" t="s">
        <v>10</v>
      </c>
      <c r="I20" t="s">
        <v>11</v>
      </c>
      <c r="J20" t="str" cm="1">
        <f t="array" ref="J20">_xlfn.IFS(I20="S","Southamptom",I20="Q","Quentown",I20="C","Cherbrug",I20="B","Cabin")</f>
        <v>Southamptom</v>
      </c>
      <c r="K20" t="s">
        <v>24</v>
      </c>
      <c r="L20" s="2">
        <v>7.01</v>
      </c>
      <c r="M20" s="2" t="str" cm="1">
        <f t="array" ref="M20">_xlfn.IFS(L20&lt;=15,"Low Fare",L20&lt;=35,"Medium Fare",L20&lt;=100,"High Fare",L20&gt;=100,"Very High Fare")</f>
        <v>Low Fare</v>
      </c>
      <c r="N20" s="2">
        <v>0</v>
      </c>
      <c r="O20" s="2">
        <v>0</v>
      </c>
      <c r="P20">
        <f t="shared" si="1"/>
        <v>1</v>
      </c>
      <c r="Q20" t="str">
        <f t="shared" si="2"/>
        <v>Alone</v>
      </c>
      <c r="R20" t="str">
        <f t="shared" si="3"/>
        <v>No</v>
      </c>
      <c r="S20" t="s">
        <v>13</v>
      </c>
    </row>
    <row r="21" spans="1:19" x14ac:dyDescent="0.3">
      <c r="A21" s="1" t="s">
        <v>86</v>
      </c>
      <c r="B21" t="s">
        <v>1596</v>
      </c>
      <c r="C21" t="s">
        <v>1619</v>
      </c>
      <c r="D21" t="str">
        <f t="shared" si="0"/>
        <v>Male</v>
      </c>
      <c r="E21" t="s">
        <v>9</v>
      </c>
      <c r="F21" s="2">
        <v>25</v>
      </c>
      <c r="G21" s="2" t="str" cm="1">
        <f t="array" ref="G21">_xlfn.IFS(F21&lt;=8,"Child",F21&lt;=17,"Teen",F21&lt;=35,"Adult",F21&lt;=55,"Seniour Adult",F21&gt;=55,"Old Age")</f>
        <v>Adult</v>
      </c>
      <c r="H21" t="s">
        <v>10</v>
      </c>
      <c r="I21" t="s">
        <v>11</v>
      </c>
      <c r="J21" t="str" cm="1">
        <f t="array" ref="J21">_xlfn.IFS(I21="S","Southamptom",I21="Q","Quentown",I21="C","Cherbrug",I21="B","Cabin")</f>
        <v>Southamptom</v>
      </c>
      <c r="K21" t="s">
        <v>24</v>
      </c>
      <c r="L21" s="2">
        <v>7.01</v>
      </c>
      <c r="M21" s="2" t="str" cm="1">
        <f t="array" ref="M21">_xlfn.IFS(L21&lt;=15,"Low Fare",L21&lt;=35,"Medium Fare",L21&lt;=100,"High Fare",L21&gt;=100,"Very High Fare")</f>
        <v>Low Fare</v>
      </c>
      <c r="N21" s="2">
        <v>0</v>
      </c>
      <c r="O21" s="2">
        <v>0</v>
      </c>
      <c r="P21">
        <f t="shared" si="1"/>
        <v>1</v>
      </c>
      <c r="Q21" t="str">
        <f t="shared" si="2"/>
        <v>Alone</v>
      </c>
      <c r="R21" t="str">
        <f t="shared" si="3"/>
        <v>No</v>
      </c>
      <c r="S21" t="s">
        <v>13</v>
      </c>
    </row>
    <row r="22" spans="1:19" x14ac:dyDescent="0.3">
      <c r="A22" s="1" t="s">
        <v>87</v>
      </c>
      <c r="B22" t="s">
        <v>1602</v>
      </c>
      <c r="C22" t="s">
        <v>1620</v>
      </c>
      <c r="D22" t="str">
        <f t="shared" si="0"/>
        <v>Female</v>
      </c>
      <c r="E22" t="s">
        <v>14</v>
      </c>
      <c r="F22" s="2">
        <v>29</v>
      </c>
      <c r="G22" s="2" t="str" cm="1">
        <f t="array" ref="G22">_xlfn.IFS(F22&lt;=8,"Child",F22&lt;=17,"Teen",F22&lt;=35,"Adult",F22&lt;=55,"Seniour Adult",F22&gt;=55,"Old Age")</f>
        <v>Adult</v>
      </c>
      <c r="H22" t="s">
        <v>25</v>
      </c>
      <c r="I22" t="s">
        <v>11</v>
      </c>
      <c r="J22" t="str" cm="1">
        <f t="array" ref="J22">_xlfn.IFS(I22="S","Southamptom",I22="Q","Quentown",I22="C","Cherbrug",I22="B","Cabin")</f>
        <v>Southamptom</v>
      </c>
      <c r="K22" t="s">
        <v>12</v>
      </c>
      <c r="L22" s="2">
        <v>211.6009</v>
      </c>
      <c r="M22" s="2" t="str" cm="1">
        <f t="array" ref="M22">_xlfn.IFS(L22&lt;=15,"Low Fare",L22&lt;=35,"Medium Fare",L22&lt;=100,"High Fare",L22&gt;=100,"Very High Fare")</f>
        <v>Very High Fare</v>
      </c>
      <c r="N22" s="2">
        <v>0</v>
      </c>
      <c r="O22" s="2">
        <v>0</v>
      </c>
      <c r="P22">
        <f t="shared" si="1"/>
        <v>1</v>
      </c>
      <c r="Q22" t="str">
        <f t="shared" si="2"/>
        <v>Alone</v>
      </c>
      <c r="R22" t="str">
        <f t="shared" si="3"/>
        <v>Yes</v>
      </c>
      <c r="S22" t="s">
        <v>16</v>
      </c>
    </row>
    <row r="23" spans="1:19" x14ac:dyDescent="0.3">
      <c r="A23" s="1" t="s">
        <v>87</v>
      </c>
      <c r="B23" t="s">
        <v>1596</v>
      </c>
      <c r="C23" t="s">
        <v>1621</v>
      </c>
      <c r="D23" t="str">
        <f t="shared" si="0"/>
        <v>Male</v>
      </c>
      <c r="E23" t="s">
        <v>9</v>
      </c>
      <c r="F23" s="2">
        <v>39</v>
      </c>
      <c r="G23" s="2" t="str" cm="1">
        <f t="array" ref="G23">_xlfn.IFS(F23&lt;=8,"Child",F23&lt;=17,"Teen",F23&lt;=35,"Adult",F23&lt;=55,"Seniour Adult",F23&gt;=55,"Old Age")</f>
        <v>Seniour Adult</v>
      </c>
      <c r="H23" t="s">
        <v>10</v>
      </c>
      <c r="I23" t="s">
        <v>11</v>
      </c>
      <c r="J23" t="str" cm="1">
        <f t="array" ref="J23">_xlfn.IFS(I23="S","Southamptom",I23="Q","Quentown",I23="C","Cherbrug",I23="B","Cabin")</f>
        <v>Southamptom</v>
      </c>
      <c r="K23" t="s">
        <v>15</v>
      </c>
      <c r="L23" s="2">
        <v>8.01</v>
      </c>
      <c r="M23" s="2" t="str" cm="1">
        <f t="array" ref="M23">_xlfn.IFS(L23&lt;=15,"Low Fare",L23&lt;=35,"Medium Fare",L23&lt;=100,"High Fare",L23&gt;=100,"Very High Fare")</f>
        <v>Low Fare</v>
      </c>
      <c r="N23" s="2">
        <v>0</v>
      </c>
      <c r="O23" s="2">
        <v>0</v>
      </c>
      <c r="P23">
        <f t="shared" si="1"/>
        <v>1</v>
      </c>
      <c r="Q23" t="str">
        <f t="shared" si="2"/>
        <v>Alone</v>
      </c>
      <c r="R23" t="str">
        <f t="shared" si="3"/>
        <v>No</v>
      </c>
      <c r="S23" t="s">
        <v>13</v>
      </c>
    </row>
    <row r="24" spans="1:19" x14ac:dyDescent="0.3">
      <c r="A24" s="1" t="s">
        <v>88</v>
      </c>
      <c r="B24" t="s">
        <v>1612</v>
      </c>
      <c r="C24" t="s">
        <v>1622</v>
      </c>
      <c r="D24" t="str">
        <f t="shared" si="0"/>
        <v>Male</v>
      </c>
      <c r="E24" t="s">
        <v>9</v>
      </c>
      <c r="F24" s="2">
        <v>0.91666666669999997</v>
      </c>
      <c r="G24" s="2" t="str" cm="1">
        <f t="array" ref="G24">_xlfn.IFS(F24&lt;=8,"Child",F24&lt;=17,"Teen",F24&lt;=35,"Adult",F24&lt;=55,"Seniour Adult",F24&gt;=55,"Old Age")</f>
        <v>Child</v>
      </c>
      <c r="H24" t="s">
        <v>25</v>
      </c>
      <c r="I24" t="s">
        <v>11</v>
      </c>
      <c r="J24" t="str" cm="1">
        <f t="array" ref="J24">_xlfn.IFS(I24="S","Southamptom",I24="Q","Quentown",I24="C","Cherbrug",I24="B","Cabin")</f>
        <v>Southamptom</v>
      </c>
      <c r="K24" t="s">
        <v>26</v>
      </c>
      <c r="L24" s="2">
        <v>151.16</v>
      </c>
      <c r="M24" s="2" t="str" cm="1">
        <f t="array" ref="M24">_xlfn.IFS(L24&lt;=15,"Low Fare",L24&lt;=35,"Medium Fare",L24&lt;=100,"High Fare",L24&gt;=100,"Very High Fare")</f>
        <v>Very High Fare</v>
      </c>
      <c r="N24" s="2">
        <v>1</v>
      </c>
      <c r="O24" s="2">
        <v>2</v>
      </c>
      <c r="P24">
        <f t="shared" si="1"/>
        <v>4</v>
      </c>
      <c r="Q24" t="str">
        <f t="shared" si="2"/>
        <v>With Family</v>
      </c>
      <c r="R24" t="str">
        <f t="shared" si="3"/>
        <v>Yes</v>
      </c>
      <c r="S24" t="s">
        <v>16</v>
      </c>
    </row>
    <row r="25" spans="1:19" x14ac:dyDescent="0.3">
      <c r="A25" s="1" t="s">
        <v>88</v>
      </c>
      <c r="B25" t="s">
        <v>1602</v>
      </c>
      <c r="C25" t="s">
        <v>1623</v>
      </c>
      <c r="D25" t="str">
        <f t="shared" si="0"/>
        <v>Female</v>
      </c>
      <c r="E25" t="s">
        <v>14</v>
      </c>
      <c r="F25" s="2">
        <v>2</v>
      </c>
      <c r="G25" s="2" t="str" cm="1">
        <f t="array" ref="G25">_xlfn.IFS(F25&lt;=8,"Child",F25&lt;=17,"Teen",F25&lt;=35,"Adult",F25&lt;=55,"Seniour Adult",F25&gt;=55,"Old Age")</f>
        <v>Child</v>
      </c>
      <c r="H25" t="s">
        <v>25</v>
      </c>
      <c r="I25" t="s">
        <v>11</v>
      </c>
      <c r="J25" t="str" cm="1">
        <f t="array" ref="J25">_xlfn.IFS(I25="S","Southamptom",I25="Q","Quentown",I25="C","Cherbrug",I25="B","Cabin")</f>
        <v>Southamptom</v>
      </c>
      <c r="K25" t="s">
        <v>26</v>
      </c>
      <c r="L25" s="2">
        <v>151.16</v>
      </c>
      <c r="M25" s="2" t="str" cm="1">
        <f t="array" ref="M25">_xlfn.IFS(L25&lt;=15,"Low Fare",L25&lt;=35,"Medium Fare",L25&lt;=100,"High Fare",L25&gt;=100,"Very High Fare")</f>
        <v>Very High Fare</v>
      </c>
      <c r="N25" s="2">
        <v>1</v>
      </c>
      <c r="O25" s="2">
        <v>2</v>
      </c>
      <c r="P25">
        <f t="shared" si="1"/>
        <v>4</v>
      </c>
      <c r="Q25" t="str">
        <f t="shared" si="2"/>
        <v>With Family</v>
      </c>
      <c r="R25" t="str">
        <f t="shared" si="3"/>
        <v>No</v>
      </c>
      <c r="S25" t="s">
        <v>13</v>
      </c>
    </row>
    <row r="26" spans="1:19" x14ac:dyDescent="0.3">
      <c r="A26" s="1" t="s">
        <v>88</v>
      </c>
      <c r="B26" t="s">
        <v>1596</v>
      </c>
      <c r="C26" t="s">
        <v>1624</v>
      </c>
      <c r="D26" t="str">
        <f t="shared" si="0"/>
        <v>Male</v>
      </c>
      <c r="E26" t="s">
        <v>9</v>
      </c>
      <c r="F26" s="2">
        <v>30</v>
      </c>
      <c r="G26" s="2" t="str" cm="1">
        <f t="array" ref="G26">_xlfn.IFS(F26&lt;=8,"Child",F26&lt;=17,"Teen",F26&lt;=35,"Adult",F26&lt;=55,"Seniour Adult",F26&gt;=55,"Old Age")</f>
        <v>Adult</v>
      </c>
      <c r="H26" t="s">
        <v>25</v>
      </c>
      <c r="I26" t="s">
        <v>11</v>
      </c>
      <c r="J26" t="str" cm="1">
        <f t="array" ref="J26">_xlfn.IFS(I26="S","Southamptom",I26="Q","Quentown",I26="C","Cherbrug",I26="B","Cabin")</f>
        <v>Southamptom</v>
      </c>
      <c r="K26" t="s">
        <v>26</v>
      </c>
      <c r="L26" s="2">
        <v>151.16</v>
      </c>
      <c r="M26" s="2" t="str" cm="1">
        <f t="array" ref="M26">_xlfn.IFS(L26&lt;=15,"Low Fare",L26&lt;=35,"Medium Fare",L26&lt;=100,"High Fare",L26&gt;=100,"Very High Fare")</f>
        <v>Very High Fare</v>
      </c>
      <c r="N26" s="2">
        <v>1</v>
      </c>
      <c r="O26" s="2">
        <v>2</v>
      </c>
      <c r="P26">
        <f t="shared" si="1"/>
        <v>4</v>
      </c>
      <c r="Q26" t="str">
        <f t="shared" si="2"/>
        <v>With Family</v>
      </c>
      <c r="R26" t="str">
        <f t="shared" si="3"/>
        <v>No</v>
      </c>
      <c r="S26" t="s">
        <v>13</v>
      </c>
    </row>
    <row r="27" spans="1:19" x14ac:dyDescent="0.3">
      <c r="A27" s="1" t="s">
        <v>88</v>
      </c>
      <c r="B27" t="s">
        <v>1600</v>
      </c>
      <c r="C27" t="s">
        <v>1625</v>
      </c>
      <c r="D27" t="str">
        <f t="shared" si="0"/>
        <v>Female</v>
      </c>
      <c r="E27" t="s">
        <v>14</v>
      </c>
      <c r="F27" s="2">
        <v>25</v>
      </c>
      <c r="G27" s="2" t="str" cm="1">
        <f t="array" ref="G27">_xlfn.IFS(F27&lt;=8,"Child",F27&lt;=17,"Teen",F27&lt;=35,"Adult",F27&lt;=55,"Seniour Adult",F27&gt;=55,"Old Age")</f>
        <v>Adult</v>
      </c>
      <c r="H27" t="s">
        <v>25</v>
      </c>
      <c r="I27" t="s">
        <v>11</v>
      </c>
      <c r="J27" t="str" cm="1">
        <f t="array" ref="J27">_xlfn.IFS(I27="S","Southamptom",I27="Q","Quentown",I27="C","Cherbrug",I27="B","Cabin")</f>
        <v>Southamptom</v>
      </c>
      <c r="K27" t="s">
        <v>12</v>
      </c>
      <c r="L27" s="2">
        <v>151.16</v>
      </c>
      <c r="M27" s="2" t="str" cm="1">
        <f t="array" ref="M27">_xlfn.IFS(L27&lt;=15,"Low Fare",L27&lt;=35,"Medium Fare",L27&lt;=100,"High Fare",L27&gt;=100,"Very High Fare")</f>
        <v>Very High Fare</v>
      </c>
      <c r="N27" s="2">
        <v>1</v>
      </c>
      <c r="O27" s="2">
        <v>2</v>
      </c>
      <c r="P27">
        <f t="shared" si="1"/>
        <v>4</v>
      </c>
      <c r="Q27" t="str">
        <f t="shared" si="2"/>
        <v>With Family</v>
      </c>
      <c r="R27" t="str">
        <f t="shared" si="3"/>
        <v>No</v>
      </c>
      <c r="S27" t="s">
        <v>13</v>
      </c>
    </row>
    <row r="28" spans="1:19" x14ac:dyDescent="0.3">
      <c r="A28" s="1" t="s">
        <v>89</v>
      </c>
      <c r="B28" t="s">
        <v>1596</v>
      </c>
      <c r="C28" t="s">
        <v>1626</v>
      </c>
      <c r="D28" t="str">
        <f t="shared" si="0"/>
        <v>Male</v>
      </c>
      <c r="E28" t="s">
        <v>9</v>
      </c>
      <c r="F28" s="2">
        <v>18</v>
      </c>
      <c r="G28" s="2" t="str" cm="1">
        <f t="array" ref="G28">_xlfn.IFS(F28&lt;=8,"Child",F28&lt;=17,"Teen",F28&lt;=35,"Adult",F28&lt;=55,"Seniour Adult",F28&gt;=55,"Old Age")</f>
        <v>Adult</v>
      </c>
      <c r="H28" t="s">
        <v>10</v>
      </c>
      <c r="I28" t="s">
        <v>11</v>
      </c>
      <c r="J28" t="str" cm="1">
        <f t="array" ref="J28">_xlfn.IFS(I28="S","Southamptom",I28="Q","Quentown",I28="C","Cherbrug",I28="B","Cabin")</f>
        <v>Southamptom</v>
      </c>
      <c r="K28" t="s">
        <v>15</v>
      </c>
      <c r="L28" s="2">
        <v>8.06</v>
      </c>
      <c r="M28" s="2" t="str" cm="1">
        <f t="array" ref="M28">_xlfn.IFS(L28&lt;=15,"Low Fare",L28&lt;=35,"Medium Fare",L28&lt;=100,"High Fare",L28&gt;=100,"Very High Fare")</f>
        <v>Low Fare</v>
      </c>
      <c r="N28" s="2">
        <v>0</v>
      </c>
      <c r="O28" s="2">
        <v>0</v>
      </c>
      <c r="P28">
        <f t="shared" si="1"/>
        <v>1</v>
      </c>
      <c r="Q28" t="str">
        <f t="shared" si="2"/>
        <v>Alone</v>
      </c>
      <c r="R28" t="str">
        <f t="shared" si="3"/>
        <v>No</v>
      </c>
      <c r="S28" t="s">
        <v>13</v>
      </c>
    </row>
    <row r="29" spans="1:19" x14ac:dyDescent="0.3">
      <c r="A29" s="1" t="s">
        <v>90</v>
      </c>
      <c r="B29" t="s">
        <v>1596</v>
      </c>
      <c r="C29" t="s">
        <v>1627</v>
      </c>
      <c r="D29" t="str">
        <f t="shared" si="0"/>
        <v>Male</v>
      </c>
      <c r="E29" t="s">
        <v>9</v>
      </c>
      <c r="F29" s="2">
        <v>19</v>
      </c>
      <c r="G29" s="2" t="str" cm="1">
        <f t="array" ref="G29">_xlfn.IFS(F29&lt;=8,"Child",F29&lt;=17,"Teen",F29&lt;=35,"Adult",F29&lt;=55,"Seniour Adult",F29&gt;=55,"Old Age")</f>
        <v>Adult</v>
      </c>
      <c r="H29" t="s">
        <v>10</v>
      </c>
      <c r="I29" t="s">
        <v>19</v>
      </c>
      <c r="J29" t="str" cm="1">
        <f t="array" ref="J29">_xlfn.IFS(I29="S","Southamptom",I29="Q","Quentown",I29="C","Cherbrug",I29="B","Cabin")</f>
        <v>Cherbrug</v>
      </c>
      <c r="K29" t="s">
        <v>21</v>
      </c>
      <c r="L29" s="2">
        <v>7.0407000000000002</v>
      </c>
      <c r="M29" s="2" t="str" cm="1">
        <f t="array" ref="M29">_xlfn.IFS(L29&lt;=15,"Low Fare",L29&lt;=35,"Medium Fare",L29&lt;=100,"High Fare",L29&gt;=100,"Very High Fare")</f>
        <v>Low Fare</v>
      </c>
      <c r="N29" s="2">
        <v>0</v>
      </c>
      <c r="O29" s="2">
        <v>0</v>
      </c>
      <c r="P29">
        <f t="shared" si="1"/>
        <v>1</v>
      </c>
      <c r="Q29" t="str">
        <f t="shared" si="2"/>
        <v>Alone</v>
      </c>
      <c r="R29" t="str">
        <f t="shared" si="3"/>
        <v>No</v>
      </c>
      <c r="S29" t="s">
        <v>13</v>
      </c>
    </row>
    <row r="30" spans="1:19" x14ac:dyDescent="0.3">
      <c r="A30" s="1" t="s">
        <v>91</v>
      </c>
      <c r="B30" t="s">
        <v>1602</v>
      </c>
      <c r="C30" t="s">
        <v>1628</v>
      </c>
      <c r="D30" t="str">
        <f t="shared" si="0"/>
        <v>Female</v>
      </c>
      <c r="E30" t="s">
        <v>14</v>
      </c>
      <c r="F30" s="2">
        <v>19</v>
      </c>
      <c r="G30" s="2" t="str" cm="1">
        <f t="array" ref="G30">_xlfn.IFS(F30&lt;=8,"Child",F30&lt;=17,"Teen",F30&lt;=35,"Adult",F30&lt;=55,"Seniour Adult",F30&gt;=55,"Old Age")</f>
        <v>Adult</v>
      </c>
      <c r="H30" t="s">
        <v>10</v>
      </c>
      <c r="I30" t="s">
        <v>11</v>
      </c>
      <c r="J30" t="str" cm="1">
        <f t="array" ref="J30">_xlfn.IFS(I30="S","Southamptom",I30="Q","Quentown",I30="C","Cherbrug",I30="B","Cabin")</f>
        <v>Southamptom</v>
      </c>
      <c r="K30" t="s">
        <v>27</v>
      </c>
      <c r="L30" s="2">
        <v>7.1700999999999997</v>
      </c>
      <c r="M30" s="2" t="str" cm="1">
        <f t="array" ref="M30">_xlfn.IFS(L30&lt;=15,"Low Fare",L30&lt;=35,"Medium Fare",L30&lt;=100,"High Fare",L30&gt;=100,"Very High Fare")</f>
        <v>Low Fare</v>
      </c>
      <c r="N30" s="2">
        <v>1</v>
      </c>
      <c r="O30" s="2">
        <v>0</v>
      </c>
      <c r="P30">
        <f t="shared" si="1"/>
        <v>2</v>
      </c>
      <c r="Q30" t="str">
        <f t="shared" si="2"/>
        <v>With Family</v>
      </c>
      <c r="R30" t="str">
        <f t="shared" si="3"/>
        <v>Yes</v>
      </c>
      <c r="S30" t="s">
        <v>16</v>
      </c>
    </row>
    <row r="31" spans="1:19" x14ac:dyDescent="0.3">
      <c r="A31" s="1" t="s">
        <v>92</v>
      </c>
      <c r="B31" t="s">
        <v>1596</v>
      </c>
      <c r="C31" t="s">
        <v>1629</v>
      </c>
      <c r="D31" t="str">
        <f t="shared" si="0"/>
        <v>Male</v>
      </c>
      <c r="E31" t="s">
        <v>9</v>
      </c>
      <c r="F31" s="2">
        <v>33</v>
      </c>
      <c r="G31" s="2" t="str" cm="1">
        <f t="array" ref="G31">_xlfn.IFS(F31&lt;=8,"Child",F31&lt;=17,"Teen",F31&lt;=35,"Adult",F31&lt;=55,"Seniour Adult",F31&gt;=55,"Old Age")</f>
        <v>Adult</v>
      </c>
      <c r="H31" t="s">
        <v>10</v>
      </c>
      <c r="I31" t="s">
        <v>11</v>
      </c>
      <c r="J31" t="str" cm="1">
        <f t="array" ref="J31">_xlfn.IFS(I31="S","Southamptom",I31="Q","Quentown",I31="C","Cherbrug",I31="B","Cabin")</f>
        <v>Southamptom</v>
      </c>
      <c r="K31" t="s">
        <v>17</v>
      </c>
      <c r="L31" s="2">
        <v>22.1006</v>
      </c>
      <c r="M31" s="2" t="str" cm="1">
        <f t="array" ref="M31">_xlfn.IFS(L31&lt;=15,"Low Fare",L31&lt;=35,"Medium Fare",L31&lt;=100,"High Fare",L31&gt;=100,"Very High Fare")</f>
        <v>Medium Fare</v>
      </c>
      <c r="N31" s="2">
        <v>0</v>
      </c>
      <c r="O31" s="2">
        <v>0</v>
      </c>
      <c r="P31">
        <f t="shared" si="1"/>
        <v>1</v>
      </c>
      <c r="Q31" t="str">
        <f t="shared" si="2"/>
        <v>Alone</v>
      </c>
      <c r="R31" t="str">
        <f t="shared" si="3"/>
        <v>No</v>
      </c>
      <c r="S31" t="s">
        <v>13</v>
      </c>
    </row>
    <row r="32" spans="1:19" x14ac:dyDescent="0.3">
      <c r="A32" s="1" t="s">
        <v>93</v>
      </c>
      <c r="B32" t="s">
        <v>1596</v>
      </c>
      <c r="C32" t="s">
        <v>1630</v>
      </c>
      <c r="D32" t="str">
        <f t="shared" si="0"/>
        <v>Male</v>
      </c>
      <c r="E32" t="s">
        <v>9</v>
      </c>
      <c r="F32" s="2">
        <v>47</v>
      </c>
      <c r="G32" s="2" t="str" cm="1">
        <f t="array" ref="G32">_xlfn.IFS(F32&lt;=8,"Child",F32&lt;=17,"Teen",F32&lt;=35,"Adult",F32&lt;=55,"Seniour Adult",F32&gt;=55,"Old Age")</f>
        <v>Seniour Adult</v>
      </c>
      <c r="H32" t="s">
        <v>25</v>
      </c>
      <c r="I32" t="s">
        <v>11</v>
      </c>
      <c r="J32" t="str" cm="1">
        <f t="array" ref="J32">_xlfn.IFS(I32="S","Southamptom",I32="Q","Quentown",I32="C","Cherbrug",I32="B","Cabin")</f>
        <v>Southamptom</v>
      </c>
      <c r="K32" t="s">
        <v>12</v>
      </c>
      <c r="L32" s="2">
        <v>26.11</v>
      </c>
      <c r="M32" s="2" t="str" cm="1">
        <f t="array" ref="M32">_xlfn.IFS(L32&lt;=15,"Low Fare",L32&lt;=35,"Medium Fare",L32&lt;=100,"High Fare",L32&gt;=100,"Very High Fare")</f>
        <v>Medium Fare</v>
      </c>
      <c r="N32" s="2">
        <v>0</v>
      </c>
      <c r="O32" s="2">
        <v>0</v>
      </c>
      <c r="P32">
        <f t="shared" si="1"/>
        <v>1</v>
      </c>
      <c r="Q32" t="str">
        <f t="shared" si="2"/>
        <v>Alone</v>
      </c>
      <c r="R32" t="str">
        <f t="shared" si="3"/>
        <v>Yes</v>
      </c>
      <c r="S32" t="s">
        <v>16</v>
      </c>
    </row>
    <row r="33" spans="1:19" x14ac:dyDescent="0.3">
      <c r="A33" s="1" t="s">
        <v>94</v>
      </c>
      <c r="B33" t="s">
        <v>1612</v>
      </c>
      <c r="C33" t="s">
        <v>1631</v>
      </c>
      <c r="D33" t="str">
        <f t="shared" si="0"/>
        <v>Male</v>
      </c>
      <c r="E33" t="s">
        <v>9</v>
      </c>
      <c r="F33" s="2">
        <v>4</v>
      </c>
      <c r="G33" s="2" t="str" cm="1">
        <f t="array" ref="G33">_xlfn.IFS(F33&lt;=8,"Child",F33&lt;=17,"Teen",F33&lt;=35,"Adult",F33&lt;=55,"Seniour Adult",F33&gt;=55,"Old Age")</f>
        <v>Child</v>
      </c>
      <c r="H33" t="s">
        <v>10</v>
      </c>
      <c r="I33" t="s">
        <v>11</v>
      </c>
      <c r="J33" t="str" cm="1">
        <f t="array" ref="J33">_xlfn.IFS(I33="S","Southamptom",I33="Q","Quentown",I33="C","Cherbrug",I33="B","Cabin")</f>
        <v>Southamptom</v>
      </c>
      <c r="K33" t="s">
        <v>23</v>
      </c>
      <c r="L33" s="2">
        <v>31.050599999999999</v>
      </c>
      <c r="M33" s="2" t="str" cm="1">
        <f t="array" ref="M33">_xlfn.IFS(L33&lt;=15,"Low Fare",L33&lt;=35,"Medium Fare",L33&lt;=100,"High Fare",L33&gt;=100,"Very High Fare")</f>
        <v>Medium Fare</v>
      </c>
      <c r="N33" s="2">
        <v>4</v>
      </c>
      <c r="O33" s="2">
        <v>2</v>
      </c>
      <c r="P33">
        <f t="shared" si="1"/>
        <v>7</v>
      </c>
      <c r="Q33" t="str">
        <f t="shared" si="2"/>
        <v>With Family</v>
      </c>
      <c r="R33" t="str">
        <f t="shared" si="3"/>
        <v>No</v>
      </c>
      <c r="S33" t="s">
        <v>13</v>
      </c>
    </row>
    <row r="34" spans="1:19" x14ac:dyDescent="0.3">
      <c r="A34" s="1" t="s">
        <v>94</v>
      </c>
      <c r="B34" t="s">
        <v>1602</v>
      </c>
      <c r="C34" t="s">
        <v>1632</v>
      </c>
      <c r="D34" t="str">
        <f t="shared" si="0"/>
        <v>Female</v>
      </c>
      <c r="E34" t="s">
        <v>14</v>
      </c>
      <c r="F34" s="2">
        <v>6</v>
      </c>
      <c r="G34" s="2" t="str" cm="1">
        <f t="array" ref="G34">_xlfn.IFS(F34&lt;=8,"Child",F34&lt;=17,"Teen",F34&lt;=35,"Adult",F34&lt;=55,"Seniour Adult",F34&gt;=55,"Old Age")</f>
        <v>Child</v>
      </c>
      <c r="H34" t="s">
        <v>10</v>
      </c>
      <c r="I34" t="s">
        <v>11</v>
      </c>
      <c r="J34" t="str" cm="1">
        <f t="array" ref="J34">_xlfn.IFS(I34="S","Southamptom",I34="Q","Quentown",I34="C","Cherbrug",I34="B","Cabin")</f>
        <v>Southamptom</v>
      </c>
      <c r="K34" t="s">
        <v>23</v>
      </c>
      <c r="L34" s="2">
        <v>31.050599999999999</v>
      </c>
      <c r="M34" s="2" t="str" cm="1">
        <f t="array" ref="M34">_xlfn.IFS(L34&lt;=15,"Low Fare",L34&lt;=35,"Medium Fare",L34&lt;=100,"High Fare",L34&gt;=100,"Very High Fare")</f>
        <v>Medium Fare</v>
      </c>
      <c r="N34" s="2">
        <v>4</v>
      </c>
      <c r="O34" s="2">
        <v>2</v>
      </c>
      <c r="P34">
        <f t="shared" si="1"/>
        <v>7</v>
      </c>
      <c r="Q34" t="str">
        <f t="shared" si="2"/>
        <v>With Family</v>
      </c>
      <c r="R34" t="str">
        <f t="shared" si="3"/>
        <v>No</v>
      </c>
      <c r="S34" t="s">
        <v>13</v>
      </c>
    </row>
    <row r="35" spans="1:19" x14ac:dyDescent="0.3">
      <c r="A35" s="1" t="s">
        <v>94</v>
      </c>
      <c r="B35" t="s">
        <v>1602</v>
      </c>
      <c r="C35" t="s">
        <v>1633</v>
      </c>
      <c r="D35" t="str">
        <f t="shared" si="0"/>
        <v>Female</v>
      </c>
      <c r="E35" t="s">
        <v>14</v>
      </c>
      <c r="F35" s="2">
        <v>2</v>
      </c>
      <c r="G35" s="2" t="str" cm="1">
        <f t="array" ref="G35">_xlfn.IFS(F35&lt;=8,"Child",F35&lt;=17,"Teen",F35&lt;=35,"Adult",F35&lt;=55,"Seniour Adult",F35&gt;=55,"Old Age")</f>
        <v>Child</v>
      </c>
      <c r="H35" t="s">
        <v>10</v>
      </c>
      <c r="I35" t="s">
        <v>11</v>
      </c>
      <c r="J35" t="str" cm="1">
        <f t="array" ref="J35">_xlfn.IFS(I35="S","Southamptom",I35="Q","Quentown",I35="C","Cherbrug",I35="B","Cabin")</f>
        <v>Southamptom</v>
      </c>
      <c r="K35" t="s">
        <v>23</v>
      </c>
      <c r="L35" s="2">
        <v>31.050599999999999</v>
      </c>
      <c r="M35" s="2" t="str" cm="1">
        <f t="array" ref="M35">_xlfn.IFS(L35&lt;=15,"Low Fare",L35&lt;=35,"Medium Fare",L35&lt;=100,"High Fare",L35&gt;=100,"Very High Fare")</f>
        <v>Medium Fare</v>
      </c>
      <c r="N35" s="2">
        <v>4</v>
      </c>
      <c r="O35" s="2">
        <v>2</v>
      </c>
      <c r="P35">
        <f t="shared" si="1"/>
        <v>7</v>
      </c>
      <c r="Q35" t="str">
        <f t="shared" si="2"/>
        <v>With Family</v>
      </c>
      <c r="R35" t="str">
        <f t="shared" si="3"/>
        <v>No</v>
      </c>
      <c r="S35" t="s">
        <v>13</v>
      </c>
    </row>
    <row r="36" spans="1:19" x14ac:dyDescent="0.3">
      <c r="A36" s="1" t="s">
        <v>94</v>
      </c>
      <c r="B36" t="s">
        <v>1602</v>
      </c>
      <c r="C36" t="s">
        <v>1634</v>
      </c>
      <c r="D36" t="str">
        <f t="shared" si="0"/>
        <v>Female</v>
      </c>
      <c r="E36" t="s">
        <v>14</v>
      </c>
      <c r="F36" s="2">
        <v>16</v>
      </c>
      <c r="G36" s="2" t="str" cm="1">
        <f t="array" ref="G36">_xlfn.IFS(F36&lt;=8,"Child",F36&lt;=17,"Teen",F36&lt;=35,"Adult",F36&lt;=55,"Seniour Adult",F36&gt;=55,"Old Age")</f>
        <v>Teen</v>
      </c>
      <c r="H36" t="s">
        <v>10</v>
      </c>
      <c r="I36" t="s">
        <v>11</v>
      </c>
      <c r="J36" t="str" cm="1">
        <f t="array" ref="J36">_xlfn.IFS(I36="S","Southamptom",I36="Q","Quentown",I36="C","Cherbrug",I36="B","Cabin")</f>
        <v>Southamptom</v>
      </c>
      <c r="K36" t="s">
        <v>22</v>
      </c>
      <c r="L36" s="2">
        <v>7.1806000000000001</v>
      </c>
      <c r="M36" s="2" t="str" cm="1">
        <f t="array" ref="M36">_xlfn.IFS(L36&lt;=15,"Low Fare",L36&lt;=35,"Medium Fare",L36&lt;=100,"High Fare",L36&gt;=100,"Very High Fare")</f>
        <v>Low Fare</v>
      </c>
      <c r="N36" s="2">
        <v>4</v>
      </c>
      <c r="O36" s="2">
        <v>2</v>
      </c>
      <c r="P36">
        <f t="shared" si="1"/>
        <v>7</v>
      </c>
      <c r="Q36" t="str">
        <f t="shared" si="2"/>
        <v>With Family</v>
      </c>
      <c r="R36" t="str">
        <f t="shared" si="3"/>
        <v>Yes</v>
      </c>
      <c r="S36" t="s">
        <v>16</v>
      </c>
    </row>
    <row r="37" spans="1:19" x14ac:dyDescent="0.3">
      <c r="A37" s="1" t="s">
        <v>94</v>
      </c>
      <c r="B37" t="s">
        <v>1602</v>
      </c>
      <c r="C37" t="s">
        <v>1635</v>
      </c>
      <c r="D37" t="str">
        <f t="shared" si="0"/>
        <v>Female</v>
      </c>
      <c r="E37" t="s">
        <v>14</v>
      </c>
      <c r="F37" s="2">
        <v>38</v>
      </c>
      <c r="G37" s="2" t="str" cm="1">
        <f t="array" ref="G37">_xlfn.IFS(F37&lt;=8,"Child",F37&lt;=17,"Teen",F37&lt;=35,"Adult",F37&lt;=55,"Seniour Adult",F37&gt;=55,"Old Age")</f>
        <v>Seniour Adult</v>
      </c>
      <c r="H37" t="s">
        <v>10</v>
      </c>
      <c r="I37" t="s">
        <v>11</v>
      </c>
      <c r="J37" t="str" cm="1">
        <f t="array" ref="J37">_xlfn.IFS(I37="S","Southamptom",I37="Q","Quentown",I37="C","Cherbrug",I37="B","Cabin")</f>
        <v>Southamptom</v>
      </c>
      <c r="K37" t="s">
        <v>23</v>
      </c>
      <c r="L37" s="2">
        <v>7.1505999999999998</v>
      </c>
      <c r="M37" s="2" t="str" cm="1">
        <f t="array" ref="M37">_xlfn.IFS(L37&lt;=15,"Low Fare",L37&lt;=35,"Medium Fare",L37&lt;=100,"High Fare",L37&gt;=100,"Very High Fare")</f>
        <v>Low Fare</v>
      </c>
      <c r="N37" s="2">
        <v>4</v>
      </c>
      <c r="O37" s="2">
        <v>2</v>
      </c>
      <c r="P37">
        <f t="shared" si="1"/>
        <v>7</v>
      </c>
      <c r="Q37" t="str">
        <f t="shared" si="2"/>
        <v>With Family</v>
      </c>
      <c r="R37" t="str">
        <f t="shared" si="3"/>
        <v>No</v>
      </c>
      <c r="S37" t="s">
        <v>13</v>
      </c>
    </row>
    <row r="38" spans="1:19" x14ac:dyDescent="0.3">
      <c r="A38" s="1" t="s">
        <v>94</v>
      </c>
      <c r="B38" t="s">
        <v>1602</v>
      </c>
      <c r="C38" t="s">
        <v>1636</v>
      </c>
      <c r="D38" t="str">
        <f t="shared" si="0"/>
        <v>Female</v>
      </c>
      <c r="E38" t="s">
        <v>14</v>
      </c>
      <c r="F38" s="2">
        <v>9</v>
      </c>
      <c r="G38" s="2" t="str" cm="1">
        <f t="array" ref="G38">_xlfn.IFS(F38&lt;=8,"Child",F38&lt;=17,"Teen",F38&lt;=35,"Adult",F38&lt;=55,"Seniour Adult",F38&gt;=55,"Old Age")</f>
        <v>Teen</v>
      </c>
      <c r="H38" t="s">
        <v>10</v>
      </c>
      <c r="I38" t="s">
        <v>11</v>
      </c>
      <c r="J38" t="str" cm="1">
        <f t="array" ref="J38">_xlfn.IFS(I38="S","Southamptom",I38="Q","Quentown",I38="C","Cherbrug",I38="B","Cabin")</f>
        <v>Southamptom</v>
      </c>
      <c r="K38" t="s">
        <v>23</v>
      </c>
      <c r="L38" s="2">
        <v>31.050599999999999</v>
      </c>
      <c r="M38" s="2" t="str" cm="1">
        <f t="array" ref="M38">_xlfn.IFS(L38&lt;=15,"Low Fare",L38&lt;=35,"Medium Fare",L38&lt;=100,"High Fare",L38&gt;=100,"Very High Fare")</f>
        <v>Medium Fare</v>
      </c>
      <c r="N38" s="2">
        <v>4</v>
      </c>
      <c r="O38" s="2">
        <v>2</v>
      </c>
      <c r="P38">
        <f t="shared" si="1"/>
        <v>7</v>
      </c>
      <c r="Q38" t="str">
        <f t="shared" si="2"/>
        <v>With Family</v>
      </c>
      <c r="R38" t="str">
        <f t="shared" si="3"/>
        <v>No</v>
      </c>
      <c r="S38" t="s">
        <v>13</v>
      </c>
    </row>
    <row r="39" spans="1:19" x14ac:dyDescent="0.3">
      <c r="A39" s="1" t="s">
        <v>94</v>
      </c>
      <c r="B39" t="s">
        <v>1602</v>
      </c>
      <c r="C39" t="s">
        <v>1637</v>
      </c>
      <c r="D39" t="str">
        <f t="shared" si="0"/>
        <v>Female</v>
      </c>
      <c r="E39" t="s">
        <v>14</v>
      </c>
      <c r="F39" s="2">
        <v>11</v>
      </c>
      <c r="G39" s="2" t="str" cm="1">
        <f t="array" ref="G39">_xlfn.IFS(F39&lt;=8,"Child",F39&lt;=17,"Teen",F39&lt;=35,"Adult",F39&lt;=55,"Seniour Adult",F39&gt;=55,"Old Age")</f>
        <v>Teen</v>
      </c>
      <c r="H39" t="s">
        <v>10</v>
      </c>
      <c r="I39" t="s">
        <v>11</v>
      </c>
      <c r="J39" t="str" cm="1">
        <f t="array" ref="J39">_xlfn.IFS(I39="S","Southamptom",I39="Q","Quentown",I39="C","Cherbrug",I39="B","Cabin")</f>
        <v>Southamptom</v>
      </c>
      <c r="K39" t="s">
        <v>23</v>
      </c>
      <c r="L39" s="2">
        <v>31.050599999999999</v>
      </c>
      <c r="M39" s="2" t="str" cm="1">
        <f t="array" ref="M39">_xlfn.IFS(L39&lt;=15,"Low Fare",L39&lt;=35,"Medium Fare",L39&lt;=100,"High Fare",L39&gt;=100,"Very High Fare")</f>
        <v>Medium Fare</v>
      </c>
      <c r="N39" s="2">
        <v>4</v>
      </c>
      <c r="O39" s="2">
        <v>2</v>
      </c>
      <c r="P39">
        <f t="shared" si="1"/>
        <v>7</v>
      </c>
      <c r="Q39" t="str">
        <f t="shared" si="2"/>
        <v>With Family</v>
      </c>
      <c r="R39" t="str">
        <f t="shared" si="3"/>
        <v>No</v>
      </c>
      <c r="S39" t="s">
        <v>13</v>
      </c>
    </row>
    <row r="40" spans="1:19" x14ac:dyDescent="0.3">
      <c r="A40" s="1" t="s">
        <v>94</v>
      </c>
      <c r="B40" t="s">
        <v>1596</v>
      </c>
      <c r="C40" t="s">
        <v>1638</v>
      </c>
      <c r="D40" t="str">
        <f t="shared" si="0"/>
        <v>Male</v>
      </c>
      <c r="E40" t="s">
        <v>9</v>
      </c>
      <c r="F40" s="2">
        <v>39</v>
      </c>
      <c r="G40" s="2" t="str" cm="1">
        <f t="array" ref="G40">_xlfn.IFS(F40&lt;=8,"Child",F40&lt;=17,"Teen",F40&lt;=35,"Adult",F40&lt;=55,"Seniour Adult",F40&gt;=55,"Old Age")</f>
        <v>Seniour Adult</v>
      </c>
      <c r="H40" t="s">
        <v>10</v>
      </c>
      <c r="I40" t="s">
        <v>11</v>
      </c>
      <c r="J40" t="str" cm="1">
        <f t="array" ref="J40">_xlfn.IFS(I40="S","Southamptom",I40="Q","Quentown",I40="C","Cherbrug",I40="B","Cabin")</f>
        <v>Southamptom</v>
      </c>
      <c r="K40" t="s">
        <v>23</v>
      </c>
      <c r="L40" s="2">
        <v>31.050599999999999</v>
      </c>
      <c r="M40" s="2" t="str" cm="1">
        <f t="array" ref="M40">_xlfn.IFS(L40&lt;=15,"Low Fare",L40&lt;=35,"Medium Fare",L40&lt;=100,"High Fare",L40&gt;=100,"Very High Fare")</f>
        <v>Medium Fare</v>
      </c>
      <c r="N40" s="2">
        <v>1</v>
      </c>
      <c r="O40" s="2">
        <v>5</v>
      </c>
      <c r="P40">
        <f t="shared" si="1"/>
        <v>7</v>
      </c>
      <c r="Q40" t="str">
        <f t="shared" si="2"/>
        <v>With Family</v>
      </c>
      <c r="R40" t="str">
        <f t="shared" si="3"/>
        <v>No</v>
      </c>
      <c r="S40" t="s">
        <v>13</v>
      </c>
    </row>
    <row r="41" spans="1:19" x14ac:dyDescent="0.3">
      <c r="A41" s="1" t="s">
        <v>94</v>
      </c>
      <c r="B41" t="s">
        <v>1596</v>
      </c>
      <c r="C41" t="s">
        <v>1639</v>
      </c>
      <c r="D41" t="str">
        <f t="shared" si="0"/>
        <v>Male</v>
      </c>
      <c r="E41" t="s">
        <v>9</v>
      </c>
      <c r="F41" s="2">
        <v>26</v>
      </c>
      <c r="G41" s="2" t="str" cm="1">
        <f t="array" ref="G41">_xlfn.IFS(F41&lt;=8,"Child",F41&lt;=17,"Teen",F41&lt;=35,"Adult",F41&lt;=55,"Seniour Adult",F41&gt;=55,"Old Age")</f>
        <v>Adult</v>
      </c>
      <c r="H41" t="s">
        <v>10</v>
      </c>
      <c r="I41" t="s">
        <v>11</v>
      </c>
      <c r="J41" t="str" cm="1">
        <f t="array" ref="J41">_xlfn.IFS(I41="S","Southamptom",I41="Q","Quentown",I41="C","Cherbrug",I41="B","Cabin")</f>
        <v>Southamptom</v>
      </c>
      <c r="K41" t="s">
        <v>23</v>
      </c>
      <c r="L41" s="2">
        <v>7.1505999999999998</v>
      </c>
      <c r="M41" s="2" t="str" cm="1">
        <f t="array" ref="M41">_xlfn.IFS(L41&lt;=15,"Low Fare",L41&lt;=35,"Medium Fare",L41&lt;=100,"High Fare",L41&gt;=100,"Very High Fare")</f>
        <v>Low Fare</v>
      </c>
      <c r="N41" s="2">
        <v>0</v>
      </c>
      <c r="O41" s="2">
        <v>0</v>
      </c>
      <c r="P41">
        <f t="shared" si="1"/>
        <v>1</v>
      </c>
      <c r="Q41" t="str">
        <f t="shared" si="2"/>
        <v>Alone</v>
      </c>
      <c r="R41" t="str">
        <f t="shared" si="3"/>
        <v>No</v>
      </c>
      <c r="S41" t="s">
        <v>13</v>
      </c>
    </row>
    <row r="42" spans="1:19" x14ac:dyDescent="0.3">
      <c r="A42" s="1" t="s">
        <v>94</v>
      </c>
      <c r="B42" t="s">
        <v>1600</v>
      </c>
      <c r="C42" t="s">
        <v>1640</v>
      </c>
      <c r="D42" t="str">
        <f t="shared" si="0"/>
        <v>Female</v>
      </c>
      <c r="E42" t="s">
        <v>14</v>
      </c>
      <c r="F42" s="2">
        <v>39</v>
      </c>
      <c r="G42" s="2" t="str" cm="1">
        <f t="array" ref="G42">_xlfn.IFS(F42&lt;=8,"Child",F42&lt;=17,"Teen",F42&lt;=35,"Adult",F42&lt;=55,"Seniour Adult",F42&gt;=55,"Old Age")</f>
        <v>Seniour Adult</v>
      </c>
      <c r="H42" t="s">
        <v>10</v>
      </c>
      <c r="I42" t="s">
        <v>11</v>
      </c>
      <c r="J42" t="str" cm="1">
        <f t="array" ref="J42">_xlfn.IFS(I42="S","Southamptom",I42="Q","Quentown",I42="C","Cherbrug",I42="B","Cabin")</f>
        <v>Southamptom</v>
      </c>
      <c r="K42" t="s">
        <v>23</v>
      </c>
      <c r="L42" s="2">
        <v>31.050599999999999</v>
      </c>
      <c r="M42" s="2" t="str" cm="1">
        <f t="array" ref="M42">_xlfn.IFS(L42&lt;=15,"Low Fare",L42&lt;=35,"Medium Fare",L42&lt;=100,"High Fare",L42&gt;=100,"Very High Fare")</f>
        <v>Medium Fare</v>
      </c>
      <c r="N42" s="2">
        <v>1</v>
      </c>
      <c r="O42" s="2">
        <v>5</v>
      </c>
      <c r="P42">
        <f t="shared" si="1"/>
        <v>7</v>
      </c>
      <c r="Q42" t="str">
        <f t="shared" si="2"/>
        <v>With Family</v>
      </c>
      <c r="R42" t="str">
        <f t="shared" si="3"/>
        <v>No</v>
      </c>
      <c r="S42" t="s">
        <v>13</v>
      </c>
    </row>
    <row r="43" spans="1:19" x14ac:dyDescent="0.3">
      <c r="A43" s="1" t="s">
        <v>95</v>
      </c>
      <c r="B43" t="s">
        <v>1596</v>
      </c>
      <c r="C43" t="s">
        <v>1641</v>
      </c>
      <c r="D43" t="str">
        <f t="shared" si="0"/>
        <v>Male</v>
      </c>
      <c r="E43" t="s">
        <v>9</v>
      </c>
      <c r="F43" s="2">
        <v>20</v>
      </c>
      <c r="G43" s="2" t="str" cm="1">
        <f t="array" ref="G43">_xlfn.IFS(F43&lt;=8,"Child",F43&lt;=17,"Teen",F43&lt;=35,"Adult",F43&lt;=55,"Seniour Adult",F43&gt;=55,"Old Age")</f>
        <v>Adult</v>
      </c>
      <c r="H43" t="s">
        <v>10</v>
      </c>
      <c r="I43" t="s">
        <v>11</v>
      </c>
      <c r="J43" t="str" cm="1">
        <f t="array" ref="J43">_xlfn.IFS(I43="S","Southamptom",I43="Q","Quentown",I43="C","Cherbrug",I43="B","Cabin")</f>
        <v>Southamptom</v>
      </c>
      <c r="K43" t="s">
        <v>23</v>
      </c>
      <c r="L43" s="2">
        <v>7.1700999999999997</v>
      </c>
      <c r="M43" s="2" t="str" cm="1">
        <f t="array" ref="M43">_xlfn.IFS(L43&lt;=15,"Low Fare",L43&lt;=35,"Medium Fare",L43&lt;=100,"High Fare",L43&gt;=100,"Very High Fare")</f>
        <v>Low Fare</v>
      </c>
      <c r="N43" s="2">
        <v>0</v>
      </c>
      <c r="O43" s="2">
        <v>0</v>
      </c>
      <c r="P43">
        <f t="shared" si="1"/>
        <v>1</v>
      </c>
      <c r="Q43" t="str">
        <f t="shared" si="2"/>
        <v>Alone</v>
      </c>
      <c r="R43" t="str">
        <f t="shared" si="3"/>
        <v>No</v>
      </c>
      <c r="S43" t="s">
        <v>13</v>
      </c>
    </row>
    <row r="44" spans="1:19" x14ac:dyDescent="0.3">
      <c r="A44" s="1" t="s">
        <v>96</v>
      </c>
      <c r="B44" t="s">
        <v>1596</v>
      </c>
      <c r="C44" t="s">
        <v>1642</v>
      </c>
      <c r="D44" t="str">
        <f t="shared" si="0"/>
        <v>Male</v>
      </c>
      <c r="E44" t="s">
        <v>9</v>
      </c>
      <c r="F44" s="2">
        <v>17</v>
      </c>
      <c r="G44" s="2" t="str" cm="1">
        <f t="array" ref="G44">_xlfn.IFS(F44&lt;=8,"Child",F44&lt;=17,"Teen",F44&lt;=35,"Adult",F44&lt;=55,"Seniour Adult",F44&gt;=55,"Old Age")</f>
        <v>Teen</v>
      </c>
      <c r="H44" t="s">
        <v>18</v>
      </c>
      <c r="I44" t="s">
        <v>11</v>
      </c>
      <c r="J44" t="str" cm="1">
        <f t="array" ref="J44">_xlfn.IFS(I44="S","Southamptom",I44="Q","Quentown",I44="C","Cherbrug",I44="B","Cabin")</f>
        <v>Southamptom</v>
      </c>
      <c r="K44" t="s">
        <v>24</v>
      </c>
      <c r="L44" s="2">
        <v>11.1</v>
      </c>
      <c r="M44" s="2" t="str" cm="1">
        <f t="array" ref="M44">_xlfn.IFS(L44&lt;=15,"Low Fare",L44&lt;=35,"Medium Fare",L44&lt;=100,"High Fare",L44&gt;=100,"Very High Fare")</f>
        <v>Low Fare</v>
      </c>
      <c r="N44" s="2">
        <v>0</v>
      </c>
      <c r="O44" s="2">
        <v>0</v>
      </c>
      <c r="P44">
        <f t="shared" si="1"/>
        <v>1</v>
      </c>
      <c r="Q44" t="str">
        <f t="shared" si="2"/>
        <v>Alone</v>
      </c>
      <c r="R44" t="str">
        <f t="shared" si="3"/>
        <v>No</v>
      </c>
      <c r="S44" t="s">
        <v>13</v>
      </c>
    </row>
    <row r="45" spans="1:19" x14ac:dyDescent="0.3">
      <c r="A45" s="1" t="s">
        <v>96</v>
      </c>
      <c r="B45" t="s">
        <v>1596</v>
      </c>
      <c r="C45" t="s">
        <v>1643</v>
      </c>
      <c r="D45" t="str">
        <f t="shared" si="0"/>
        <v>Male</v>
      </c>
      <c r="E45" t="s">
        <v>9</v>
      </c>
      <c r="F45" s="2">
        <v>27</v>
      </c>
      <c r="G45" s="2" t="str" cm="1">
        <f t="array" ref="G45">_xlfn.IFS(F45&lt;=8,"Child",F45&lt;=17,"Teen",F45&lt;=35,"Adult",F45&lt;=55,"Seniour Adult",F45&gt;=55,"Old Age")</f>
        <v>Adult</v>
      </c>
      <c r="H45" t="s">
        <v>18</v>
      </c>
      <c r="I45" t="s">
        <v>11</v>
      </c>
      <c r="J45" t="str" cm="1">
        <f t="array" ref="J45">_xlfn.IFS(I45="S","Southamptom",I45="Q","Quentown",I45="C","Cherbrug",I45="B","Cabin")</f>
        <v>Southamptom</v>
      </c>
      <c r="K45" t="s">
        <v>15</v>
      </c>
      <c r="L45" s="2">
        <v>10.1</v>
      </c>
      <c r="M45" s="2" t="str" cm="1">
        <f t="array" ref="M45">_xlfn.IFS(L45&lt;=15,"Low Fare",L45&lt;=35,"Medium Fare",L45&lt;=100,"High Fare",L45&gt;=100,"Very High Fare")</f>
        <v>Low Fare</v>
      </c>
      <c r="N45" s="2">
        <v>0</v>
      </c>
      <c r="O45" s="2">
        <v>0</v>
      </c>
      <c r="P45">
        <f t="shared" si="1"/>
        <v>1</v>
      </c>
      <c r="Q45" t="str">
        <f t="shared" si="2"/>
        <v>Alone</v>
      </c>
      <c r="R45" t="str">
        <f t="shared" si="3"/>
        <v>No</v>
      </c>
      <c r="S45" t="s">
        <v>13</v>
      </c>
    </row>
    <row r="46" spans="1:19" x14ac:dyDescent="0.3">
      <c r="A46" s="1" t="s">
        <v>97</v>
      </c>
      <c r="B46" t="s">
        <v>1602</v>
      </c>
      <c r="C46" t="s">
        <v>1644</v>
      </c>
      <c r="D46" t="str">
        <f t="shared" si="0"/>
        <v>Female</v>
      </c>
      <c r="E46" t="s">
        <v>14</v>
      </c>
      <c r="F46" s="2">
        <v>62</v>
      </c>
      <c r="G46" s="2" t="str" cm="1">
        <f t="array" ref="G46">_xlfn.IFS(F46&lt;=8,"Child",F46&lt;=17,"Teen",F46&lt;=35,"Adult",F46&lt;=55,"Seniour Adult",F46&gt;=55,"Old Age")</f>
        <v>Old Age</v>
      </c>
      <c r="H46" t="s">
        <v>25</v>
      </c>
      <c r="I46" t="s">
        <v>19</v>
      </c>
      <c r="J46" t="str" cm="1">
        <f t="array" ref="J46">_xlfn.IFS(I46="S","Southamptom",I46="Q","Quentown",I46="C","Cherbrug",I46="B","Cabin")</f>
        <v>Cherbrug</v>
      </c>
      <c r="K46" t="s">
        <v>12</v>
      </c>
      <c r="L46" s="2">
        <v>77.190200000000004</v>
      </c>
      <c r="M46" s="2" t="str" cm="1">
        <f t="array" ref="M46">_xlfn.IFS(L46&lt;=15,"Low Fare",L46&lt;=35,"Medium Fare",L46&lt;=100,"High Fare",L46&gt;=100,"Very High Fare")</f>
        <v>High Fare</v>
      </c>
      <c r="N46" s="2">
        <v>1</v>
      </c>
      <c r="O46" s="2">
        <v>0</v>
      </c>
      <c r="P46">
        <f t="shared" si="1"/>
        <v>2</v>
      </c>
      <c r="Q46" t="str">
        <f t="shared" si="2"/>
        <v>With Family</v>
      </c>
      <c r="R46" t="str">
        <f t="shared" si="3"/>
        <v>Yes</v>
      </c>
      <c r="S46" t="s">
        <v>16</v>
      </c>
    </row>
    <row r="47" spans="1:19" x14ac:dyDescent="0.3">
      <c r="A47" s="1" t="s">
        <v>97</v>
      </c>
      <c r="B47" t="s">
        <v>1596</v>
      </c>
      <c r="C47" t="s">
        <v>1645</v>
      </c>
      <c r="D47" t="str">
        <f t="shared" si="0"/>
        <v>Male</v>
      </c>
      <c r="E47" t="s">
        <v>9</v>
      </c>
      <c r="F47" s="2">
        <v>39</v>
      </c>
      <c r="G47" s="2" t="str" cm="1">
        <f t="array" ref="G47">_xlfn.IFS(F47&lt;=8,"Child",F47&lt;=17,"Teen",F47&lt;=35,"Adult",F47&lt;=55,"Seniour Adult",F47&gt;=55,"Old Age")</f>
        <v>Seniour Adult</v>
      </c>
      <c r="H47" t="s">
        <v>25</v>
      </c>
      <c r="I47" t="s">
        <v>28</v>
      </c>
      <c r="J47" t="str" cm="1">
        <f t="array" ref="J47">_xlfn.IFS(I47="S","Southamptom",I47="Q","Quentown",I47="C","Cherbrug",I47="B","Cabin")</f>
        <v>Cabin</v>
      </c>
      <c r="K47" t="s">
        <v>29</v>
      </c>
      <c r="L47" s="2">
        <v>33</v>
      </c>
      <c r="M47" s="2" t="str" cm="1">
        <f t="array" ref="M47">_xlfn.IFS(L47&lt;=15,"Low Fare",L47&lt;=35,"Medium Fare",L47&lt;=100,"High Fare",L47&gt;=100,"Very High Fare")</f>
        <v>Medium Fare</v>
      </c>
      <c r="N47" s="2">
        <v>0</v>
      </c>
      <c r="O47" s="2">
        <v>0</v>
      </c>
      <c r="P47">
        <f t="shared" si="1"/>
        <v>1</v>
      </c>
      <c r="Q47" t="str">
        <f t="shared" si="2"/>
        <v>Alone</v>
      </c>
      <c r="R47" t="str">
        <f t="shared" si="3"/>
        <v>No</v>
      </c>
      <c r="S47" t="s">
        <v>13</v>
      </c>
    </row>
    <row r="48" spans="1:19" x14ac:dyDescent="0.3">
      <c r="A48" s="1" t="s">
        <v>98</v>
      </c>
      <c r="B48" t="s">
        <v>1596</v>
      </c>
      <c r="C48" t="s">
        <v>1646</v>
      </c>
      <c r="D48" t="str">
        <f t="shared" si="0"/>
        <v>Male</v>
      </c>
      <c r="E48" t="s">
        <v>9</v>
      </c>
      <c r="F48" s="2">
        <v>26</v>
      </c>
      <c r="G48" s="2" t="str" cm="1">
        <f t="array" ref="G48">_xlfn.IFS(F48&lt;=8,"Child",F48&lt;=17,"Teen",F48&lt;=35,"Adult",F48&lt;=55,"Seniour Adult",F48&gt;=55,"Old Age")</f>
        <v>Adult</v>
      </c>
      <c r="H48" t="s">
        <v>10</v>
      </c>
      <c r="I48" t="s">
        <v>11</v>
      </c>
      <c r="J48" t="str" cm="1">
        <f t="array" ref="J48">_xlfn.IFS(I48="S","Southamptom",I48="Q","Quentown",I48="C","Cherbrug",I48="B","Cabin")</f>
        <v>Southamptom</v>
      </c>
      <c r="K48" t="s">
        <v>31</v>
      </c>
      <c r="L48" s="2">
        <v>7.1711</v>
      </c>
      <c r="M48" s="2" t="str" cm="1">
        <f t="array" ref="M48">_xlfn.IFS(L48&lt;=15,"Low Fare",L48&lt;=35,"Medium Fare",L48&lt;=100,"High Fare",L48&gt;=100,"Very High Fare")</f>
        <v>Low Fare</v>
      </c>
      <c r="N48" s="2">
        <v>0</v>
      </c>
      <c r="O48" s="2">
        <v>0</v>
      </c>
      <c r="P48">
        <f t="shared" si="1"/>
        <v>1</v>
      </c>
      <c r="Q48" t="str">
        <f t="shared" si="2"/>
        <v>Alone</v>
      </c>
      <c r="R48" t="str">
        <f t="shared" si="3"/>
        <v>No</v>
      </c>
      <c r="S48" t="s">
        <v>13</v>
      </c>
    </row>
    <row r="49" spans="1:19" x14ac:dyDescent="0.3">
      <c r="A49" s="1" t="s">
        <v>99</v>
      </c>
      <c r="B49" t="s">
        <v>1600</v>
      </c>
      <c r="C49" t="s">
        <v>1647</v>
      </c>
      <c r="D49" t="str">
        <f t="shared" si="0"/>
        <v>Female</v>
      </c>
      <c r="E49" t="s">
        <v>14</v>
      </c>
      <c r="F49" s="2">
        <v>36</v>
      </c>
      <c r="G49" s="2" t="str" cm="1">
        <f t="array" ref="G49">_xlfn.IFS(F49&lt;=8,"Child",F49&lt;=17,"Teen",F49&lt;=35,"Adult",F49&lt;=55,"Seniour Adult",F49&gt;=55,"Old Age")</f>
        <v>Seniour Adult</v>
      </c>
      <c r="H49" t="s">
        <v>18</v>
      </c>
      <c r="I49" t="s">
        <v>11</v>
      </c>
      <c r="J49" t="str" cm="1">
        <f t="array" ref="J49">_xlfn.IFS(I49="S","Southamptom",I49="Q","Quentown",I49="C","Cherbrug",I49="B","Cabin")</f>
        <v>Southamptom</v>
      </c>
      <c r="K49" t="s">
        <v>15</v>
      </c>
      <c r="L49" s="2">
        <v>26</v>
      </c>
      <c r="M49" s="2" t="str" cm="1">
        <f t="array" ref="M49">_xlfn.IFS(L49&lt;=15,"Low Fare",L49&lt;=35,"Medium Fare",L49&lt;=100,"High Fare",L49&gt;=100,"Very High Fare")</f>
        <v>Medium Fare</v>
      </c>
      <c r="N49" s="2">
        <v>1</v>
      </c>
      <c r="O49" s="2">
        <v>0</v>
      </c>
      <c r="P49">
        <f t="shared" si="1"/>
        <v>2</v>
      </c>
      <c r="Q49" t="str">
        <f t="shared" si="2"/>
        <v>With Family</v>
      </c>
      <c r="R49" t="str">
        <f t="shared" si="3"/>
        <v>Yes</v>
      </c>
      <c r="S49" t="s">
        <v>16</v>
      </c>
    </row>
    <row r="50" spans="1:19" x14ac:dyDescent="0.3">
      <c r="A50" s="1" t="s">
        <v>99</v>
      </c>
      <c r="B50" t="s">
        <v>1596</v>
      </c>
      <c r="C50" t="s">
        <v>1619</v>
      </c>
      <c r="D50" t="str">
        <f t="shared" si="0"/>
        <v>Male</v>
      </c>
      <c r="E50" t="s">
        <v>9</v>
      </c>
      <c r="F50" s="2">
        <v>31</v>
      </c>
      <c r="G50" s="2" t="str" cm="1">
        <f t="array" ref="G50">_xlfn.IFS(F50&lt;=8,"Child",F50&lt;=17,"Teen",F50&lt;=35,"Adult",F50&lt;=55,"Seniour Adult",F50&gt;=55,"Old Age")</f>
        <v>Adult</v>
      </c>
      <c r="H50" t="s">
        <v>18</v>
      </c>
      <c r="I50" t="s">
        <v>11</v>
      </c>
      <c r="J50" t="str" cm="1">
        <f t="array" ref="J50">_xlfn.IFS(I50="S","Southamptom",I50="Q","Quentown",I50="C","Cherbrug",I50="B","Cabin")</f>
        <v>Southamptom</v>
      </c>
      <c r="K50" t="s">
        <v>15</v>
      </c>
      <c r="L50" s="2">
        <v>26</v>
      </c>
      <c r="M50" s="2" t="str" cm="1">
        <f t="array" ref="M50">_xlfn.IFS(L50&lt;=15,"Low Fare",L50&lt;=35,"Medium Fare",L50&lt;=100,"High Fare",L50&gt;=100,"Very High Fare")</f>
        <v>Medium Fare</v>
      </c>
      <c r="N50" s="2">
        <v>1</v>
      </c>
      <c r="O50" s="2">
        <v>0</v>
      </c>
      <c r="P50">
        <f t="shared" si="1"/>
        <v>2</v>
      </c>
      <c r="Q50" t="str">
        <f t="shared" si="2"/>
        <v>With Family</v>
      </c>
      <c r="R50" t="str">
        <f t="shared" si="3"/>
        <v>No</v>
      </c>
      <c r="S50" t="s">
        <v>13</v>
      </c>
    </row>
    <row r="51" spans="1:19" x14ac:dyDescent="0.3">
      <c r="A51" s="1" t="s">
        <v>100</v>
      </c>
      <c r="B51" t="s">
        <v>1600</v>
      </c>
      <c r="C51" t="s">
        <v>1648</v>
      </c>
      <c r="D51" t="str">
        <f t="shared" si="0"/>
        <v>Female</v>
      </c>
      <c r="E51" t="s">
        <v>14</v>
      </c>
      <c r="F51" s="2">
        <v>53</v>
      </c>
      <c r="G51" s="2" t="str" cm="1">
        <f t="array" ref="G51">_xlfn.IFS(F51&lt;=8,"Child",F51&lt;=17,"Teen",F51&lt;=35,"Adult",F51&lt;=55,"Seniour Adult",F51&gt;=55,"Old Age")</f>
        <v>Seniour Adult</v>
      </c>
      <c r="H51" t="s">
        <v>25</v>
      </c>
      <c r="I51" t="s">
        <v>11</v>
      </c>
      <c r="J51" t="str" cm="1">
        <f t="array" ref="J51">_xlfn.IFS(I51="S","Southamptom",I51="Q","Quentown",I51="C","Cherbrug",I51="B","Cabin")</f>
        <v>Southamptom</v>
      </c>
      <c r="K51" t="s">
        <v>12</v>
      </c>
      <c r="L51" s="2">
        <v>51.090699999999998</v>
      </c>
      <c r="M51" s="2" t="str" cm="1">
        <f t="array" ref="M51">_xlfn.IFS(L51&lt;=15,"Low Fare",L51&lt;=35,"Medium Fare",L51&lt;=100,"High Fare",L51&gt;=100,"Very High Fare")</f>
        <v>High Fare</v>
      </c>
      <c r="N51" s="2">
        <v>2</v>
      </c>
      <c r="O51" s="2">
        <v>0</v>
      </c>
      <c r="P51">
        <f t="shared" si="1"/>
        <v>3</v>
      </c>
      <c r="Q51" t="str">
        <f t="shared" si="2"/>
        <v>With Family</v>
      </c>
      <c r="R51" t="str">
        <f t="shared" si="3"/>
        <v>Yes</v>
      </c>
      <c r="S51" t="s">
        <v>16</v>
      </c>
    </row>
    <row r="52" spans="1:19" x14ac:dyDescent="0.3">
      <c r="A52" s="1" t="s">
        <v>101</v>
      </c>
      <c r="B52" t="s">
        <v>1596</v>
      </c>
      <c r="C52" t="s">
        <v>1649</v>
      </c>
      <c r="D52" t="str">
        <f t="shared" si="0"/>
        <v>Male</v>
      </c>
      <c r="E52" t="s">
        <v>9</v>
      </c>
      <c r="F52" s="2">
        <v>25</v>
      </c>
      <c r="G52" s="2" t="str" cm="1">
        <f t="array" ref="G52">_xlfn.IFS(F52&lt;=8,"Child",F52&lt;=17,"Teen",F52&lt;=35,"Adult",F52&lt;=55,"Seniour Adult",F52&gt;=55,"Old Age")</f>
        <v>Adult</v>
      </c>
      <c r="H52" t="s">
        <v>10</v>
      </c>
      <c r="I52" t="s">
        <v>11</v>
      </c>
      <c r="J52" t="str" cm="1">
        <f t="array" ref="J52">_xlfn.IFS(I52="S","Southamptom",I52="Q","Quentown",I52="C","Cherbrug",I52="B","Cabin")</f>
        <v>Southamptom</v>
      </c>
      <c r="K52" t="s">
        <v>32</v>
      </c>
      <c r="L52" s="2">
        <v>17.16</v>
      </c>
      <c r="M52" s="2" t="str" cm="1">
        <f t="array" ref="M52">_xlfn.IFS(L52&lt;=15,"Low Fare",L52&lt;=35,"Medium Fare",L52&lt;=100,"High Fare",L52&gt;=100,"Very High Fare")</f>
        <v>Medium Fare</v>
      </c>
      <c r="N52" s="2">
        <v>1</v>
      </c>
      <c r="O52" s="2">
        <v>0</v>
      </c>
      <c r="P52">
        <f t="shared" si="1"/>
        <v>2</v>
      </c>
      <c r="Q52" t="str">
        <f t="shared" si="2"/>
        <v>With Family</v>
      </c>
      <c r="R52" t="str">
        <f t="shared" si="3"/>
        <v>No</v>
      </c>
      <c r="S52" t="s">
        <v>13</v>
      </c>
    </row>
    <row r="53" spans="1:19" x14ac:dyDescent="0.3">
      <c r="A53" s="1" t="s">
        <v>101</v>
      </c>
      <c r="B53" t="s">
        <v>1600</v>
      </c>
      <c r="C53" t="s">
        <v>1650</v>
      </c>
      <c r="D53" t="str">
        <f t="shared" si="0"/>
        <v>Female</v>
      </c>
      <c r="E53" t="s">
        <v>14</v>
      </c>
      <c r="F53" s="2">
        <v>18</v>
      </c>
      <c r="G53" s="2" t="str" cm="1">
        <f t="array" ref="G53">_xlfn.IFS(F53&lt;=8,"Child",F53&lt;=17,"Teen",F53&lt;=35,"Adult",F53&lt;=55,"Seniour Adult",F53&gt;=55,"Old Age")</f>
        <v>Adult</v>
      </c>
      <c r="H53" t="s">
        <v>10</v>
      </c>
      <c r="I53" t="s">
        <v>11</v>
      </c>
      <c r="J53" t="str" cm="1">
        <f t="array" ref="J53">_xlfn.IFS(I53="S","Southamptom",I53="Q","Quentown",I53="C","Cherbrug",I53="B","Cabin")</f>
        <v>Southamptom</v>
      </c>
      <c r="K53" t="s">
        <v>32</v>
      </c>
      <c r="L53" s="2">
        <v>17.16</v>
      </c>
      <c r="M53" s="2" t="str" cm="1">
        <f t="array" ref="M53">_xlfn.IFS(L53&lt;=15,"Low Fare",L53&lt;=35,"Medium Fare",L53&lt;=100,"High Fare",L53&gt;=100,"Very High Fare")</f>
        <v>Medium Fare</v>
      </c>
      <c r="N53" s="2">
        <v>1</v>
      </c>
      <c r="O53" s="2">
        <v>0</v>
      </c>
      <c r="P53">
        <f t="shared" si="1"/>
        <v>2</v>
      </c>
      <c r="Q53" t="str">
        <f t="shared" si="2"/>
        <v>With Family</v>
      </c>
      <c r="R53" t="str">
        <f t="shared" si="3"/>
        <v>No</v>
      </c>
      <c r="S53" t="s">
        <v>13</v>
      </c>
    </row>
    <row r="54" spans="1:19" x14ac:dyDescent="0.3">
      <c r="A54" s="1" t="s">
        <v>102</v>
      </c>
      <c r="B54" t="s">
        <v>1596</v>
      </c>
      <c r="C54" t="s">
        <v>1651</v>
      </c>
      <c r="D54" t="str">
        <f t="shared" si="0"/>
        <v>Male</v>
      </c>
      <c r="E54" t="s">
        <v>9</v>
      </c>
      <c r="F54" s="2">
        <v>25</v>
      </c>
      <c r="G54" s="2" t="str" cm="1">
        <f t="array" ref="G54">_xlfn.IFS(F54&lt;=8,"Child",F54&lt;=17,"Teen",F54&lt;=35,"Adult",F54&lt;=55,"Seniour Adult",F54&gt;=55,"Old Age")</f>
        <v>Adult</v>
      </c>
      <c r="H54" t="s">
        <v>10</v>
      </c>
      <c r="I54" t="s">
        <v>11</v>
      </c>
      <c r="J54" t="str" cm="1">
        <f t="array" ref="J54">_xlfn.IFS(I54="S","Southamptom",I54="Q","Quentown",I54="C","Cherbrug",I54="B","Cabin")</f>
        <v>Southamptom</v>
      </c>
      <c r="K54" t="s">
        <v>23</v>
      </c>
      <c r="L54" s="2">
        <v>7.1505999999999998</v>
      </c>
      <c r="M54" s="2" t="str" cm="1">
        <f t="array" ref="M54">_xlfn.IFS(L54&lt;=15,"Low Fare",L54&lt;=35,"Medium Fare",L54&lt;=100,"High Fare",L54&gt;=100,"Very High Fare")</f>
        <v>Low Fare</v>
      </c>
      <c r="N54" s="2">
        <v>0</v>
      </c>
      <c r="O54" s="2">
        <v>0</v>
      </c>
      <c r="P54">
        <f t="shared" si="1"/>
        <v>1</v>
      </c>
      <c r="Q54" t="str">
        <f t="shared" si="2"/>
        <v>Alone</v>
      </c>
      <c r="R54" t="str">
        <f t="shared" si="3"/>
        <v>No</v>
      </c>
      <c r="S54" t="s">
        <v>13</v>
      </c>
    </row>
    <row r="55" spans="1:19" x14ac:dyDescent="0.3">
      <c r="A55" s="1" t="s">
        <v>103</v>
      </c>
      <c r="B55" t="s">
        <v>1596</v>
      </c>
      <c r="C55" t="s">
        <v>1652</v>
      </c>
      <c r="D55" t="str">
        <f t="shared" si="0"/>
        <v>Male</v>
      </c>
      <c r="E55" t="s">
        <v>9</v>
      </c>
      <c r="F55" s="2">
        <v>71</v>
      </c>
      <c r="G55" s="2" t="str" cm="1">
        <f t="array" ref="G55">_xlfn.IFS(F55&lt;=8,"Child",F55&lt;=17,"Teen",F55&lt;=35,"Adult",F55&lt;=55,"Seniour Adult",F55&gt;=55,"Old Age")</f>
        <v>Old Age</v>
      </c>
      <c r="H55" t="s">
        <v>25</v>
      </c>
      <c r="I55" t="s">
        <v>19</v>
      </c>
      <c r="J55" t="str" cm="1">
        <f t="array" ref="J55">_xlfn.IFS(I55="S","Southamptom",I55="Q","Quentown",I55="C","Cherbrug",I55="B","Cabin")</f>
        <v>Cherbrug</v>
      </c>
      <c r="K55" t="s">
        <v>24</v>
      </c>
      <c r="L55" s="2">
        <v>49.100099999999998</v>
      </c>
      <c r="M55" s="2" t="str" cm="1">
        <f t="array" ref="M55">_xlfn.IFS(L55&lt;=15,"Low Fare",L55&lt;=35,"Medium Fare",L55&lt;=100,"High Fare",L55&gt;=100,"Very High Fare")</f>
        <v>High Fare</v>
      </c>
      <c r="N55" s="2">
        <v>0</v>
      </c>
      <c r="O55" s="2">
        <v>0</v>
      </c>
      <c r="P55">
        <f t="shared" si="1"/>
        <v>1</v>
      </c>
      <c r="Q55" t="str">
        <f t="shared" si="2"/>
        <v>Alone</v>
      </c>
      <c r="R55" t="str">
        <f t="shared" si="3"/>
        <v>No</v>
      </c>
      <c r="S55" t="s">
        <v>13</v>
      </c>
    </row>
    <row r="56" spans="1:19" x14ac:dyDescent="0.3">
      <c r="A56" s="1" t="s">
        <v>104</v>
      </c>
      <c r="B56" t="s">
        <v>1596</v>
      </c>
      <c r="C56" t="s">
        <v>1610</v>
      </c>
      <c r="D56" t="str">
        <f t="shared" si="0"/>
        <v>Male</v>
      </c>
      <c r="E56" t="s">
        <v>9</v>
      </c>
      <c r="F56" s="2">
        <v>57</v>
      </c>
      <c r="G56" s="2" t="str" cm="1">
        <f t="array" ref="G56">_xlfn.IFS(F56&lt;=8,"Child",F56&lt;=17,"Teen",F56&lt;=35,"Adult",F56&lt;=55,"Seniour Adult",F56&gt;=55,"Old Age")</f>
        <v>Old Age</v>
      </c>
      <c r="H56" t="s">
        <v>18</v>
      </c>
      <c r="I56" t="s">
        <v>11</v>
      </c>
      <c r="J56" t="str" cm="1">
        <f t="array" ref="J56">_xlfn.IFS(I56="S","Southamptom",I56="Q","Quentown",I56="C","Cherbrug",I56="B","Cabin")</f>
        <v>Southamptom</v>
      </c>
      <c r="K56" t="s">
        <v>15</v>
      </c>
      <c r="L56" s="2">
        <v>13</v>
      </c>
      <c r="M56" s="2" t="str" cm="1">
        <f t="array" ref="M56">_xlfn.IFS(L56&lt;=15,"Low Fare",L56&lt;=35,"Medium Fare",L56&lt;=100,"High Fare",L56&gt;=100,"Very High Fare")</f>
        <v>Low Fare</v>
      </c>
      <c r="N56" s="2">
        <v>0</v>
      </c>
      <c r="O56" s="2">
        <v>0</v>
      </c>
      <c r="P56">
        <f t="shared" si="1"/>
        <v>1</v>
      </c>
      <c r="Q56" t="str">
        <f t="shared" si="2"/>
        <v>Alone</v>
      </c>
      <c r="R56" t="str">
        <f t="shared" si="3"/>
        <v>No</v>
      </c>
      <c r="S56" t="s">
        <v>13</v>
      </c>
    </row>
    <row r="57" spans="1:19" x14ac:dyDescent="0.3">
      <c r="A57" s="1" t="s">
        <v>105</v>
      </c>
      <c r="B57" t="s">
        <v>1596</v>
      </c>
      <c r="C57" t="s">
        <v>1653</v>
      </c>
      <c r="D57" t="str">
        <f t="shared" si="0"/>
        <v>Male</v>
      </c>
      <c r="E57" t="s">
        <v>9</v>
      </c>
      <c r="F57" s="2">
        <v>35</v>
      </c>
      <c r="G57" s="2" t="str" cm="1">
        <f t="array" ref="G57">_xlfn.IFS(F57&lt;=8,"Child",F57&lt;=17,"Teen",F57&lt;=35,"Adult",F57&lt;=55,"Seniour Adult",F57&gt;=55,"Old Age")</f>
        <v>Adult</v>
      </c>
      <c r="H57" t="s">
        <v>10</v>
      </c>
      <c r="I57" t="s">
        <v>11</v>
      </c>
      <c r="J57" t="str" cm="1">
        <f t="array" ref="J57">_xlfn.IFS(I57="S","Southamptom",I57="Q","Quentown",I57="C","Cherbrug",I57="B","Cabin")</f>
        <v>Southamptom</v>
      </c>
      <c r="K57" t="s">
        <v>24</v>
      </c>
      <c r="L57" s="2">
        <v>7.01</v>
      </c>
      <c r="M57" s="2" t="str" cm="1">
        <f t="array" ref="M57">_xlfn.IFS(L57&lt;=15,"Low Fare",L57&lt;=35,"Medium Fare",L57&lt;=100,"High Fare",L57&gt;=100,"Very High Fare")</f>
        <v>Low Fare</v>
      </c>
      <c r="N57" s="2">
        <v>0</v>
      </c>
      <c r="O57" s="2">
        <v>0</v>
      </c>
      <c r="P57">
        <f t="shared" si="1"/>
        <v>1</v>
      </c>
      <c r="Q57" t="str">
        <f t="shared" si="2"/>
        <v>Alone</v>
      </c>
      <c r="R57" t="str">
        <f t="shared" si="3"/>
        <v>No</v>
      </c>
      <c r="S57" t="s">
        <v>13</v>
      </c>
    </row>
    <row r="58" spans="1:19" x14ac:dyDescent="0.3">
      <c r="A58" s="1" t="s">
        <v>106</v>
      </c>
      <c r="B58" t="s">
        <v>1612</v>
      </c>
      <c r="C58" t="s">
        <v>1654</v>
      </c>
      <c r="D58" t="str">
        <f t="shared" si="0"/>
        <v>Male</v>
      </c>
      <c r="E58" t="s">
        <v>9</v>
      </c>
      <c r="F58" s="2">
        <v>5</v>
      </c>
      <c r="G58" s="2" t="str" cm="1">
        <f t="array" ref="G58">_xlfn.IFS(F58&lt;=8,"Child",F58&lt;=17,"Teen",F58&lt;=35,"Adult",F58&lt;=55,"Seniour Adult",F58&gt;=55,"Old Age")</f>
        <v>Child</v>
      </c>
      <c r="H58" t="s">
        <v>10</v>
      </c>
      <c r="I58" t="s">
        <v>11</v>
      </c>
      <c r="J58" t="str" cm="1">
        <f t="array" ref="J58">_xlfn.IFS(I58="S","Southamptom",I58="Q","Quentown",I58="C","Cherbrug",I58="B","Cabin")</f>
        <v>Southamptom</v>
      </c>
      <c r="K58" t="s">
        <v>23</v>
      </c>
      <c r="L58" s="2">
        <v>31.070900000000002</v>
      </c>
      <c r="M58" s="2" t="str" cm="1">
        <f t="array" ref="M58">_xlfn.IFS(L58&lt;=15,"Low Fare",L58&lt;=35,"Medium Fare",L58&lt;=100,"High Fare",L58&gt;=100,"Very High Fare")</f>
        <v>Medium Fare</v>
      </c>
      <c r="N58" s="2">
        <v>4</v>
      </c>
      <c r="O58" s="2">
        <v>2</v>
      </c>
      <c r="P58">
        <f t="shared" si="1"/>
        <v>7</v>
      </c>
      <c r="Q58" t="str">
        <f t="shared" si="2"/>
        <v>With Family</v>
      </c>
      <c r="R58" t="str">
        <f t="shared" si="3"/>
        <v>No</v>
      </c>
      <c r="S58" t="s">
        <v>13</v>
      </c>
    </row>
    <row r="59" spans="1:19" x14ac:dyDescent="0.3">
      <c r="A59" s="1" t="s">
        <v>106</v>
      </c>
      <c r="B59" t="s">
        <v>1612</v>
      </c>
      <c r="C59" t="s">
        <v>1655</v>
      </c>
      <c r="D59" t="str">
        <f t="shared" si="0"/>
        <v>Male</v>
      </c>
      <c r="E59" t="s">
        <v>9</v>
      </c>
      <c r="F59" s="2">
        <v>9</v>
      </c>
      <c r="G59" s="2" t="str" cm="1">
        <f t="array" ref="G59">_xlfn.IFS(F59&lt;=8,"Child",F59&lt;=17,"Teen",F59&lt;=35,"Adult",F59&lt;=55,"Seniour Adult",F59&gt;=55,"Old Age")</f>
        <v>Teen</v>
      </c>
      <c r="H59" t="s">
        <v>10</v>
      </c>
      <c r="I59" t="s">
        <v>11</v>
      </c>
      <c r="J59" t="str" cm="1">
        <f t="array" ref="J59">_xlfn.IFS(I59="S","Southamptom",I59="Q","Quentown",I59="C","Cherbrug",I59="B","Cabin")</f>
        <v>Southamptom</v>
      </c>
      <c r="K59" t="s">
        <v>23</v>
      </c>
      <c r="L59" s="2">
        <v>31.070900000000002</v>
      </c>
      <c r="M59" s="2" t="str" cm="1">
        <f t="array" ref="M59">_xlfn.IFS(L59&lt;=15,"Low Fare",L59&lt;=35,"Medium Fare",L59&lt;=100,"High Fare",L59&gt;=100,"Very High Fare")</f>
        <v>Medium Fare</v>
      </c>
      <c r="N59" s="2">
        <v>4</v>
      </c>
      <c r="O59" s="2">
        <v>2</v>
      </c>
      <c r="P59">
        <f t="shared" si="1"/>
        <v>7</v>
      </c>
      <c r="Q59" t="str">
        <f t="shared" si="2"/>
        <v>With Family</v>
      </c>
      <c r="R59" t="str">
        <f t="shared" si="3"/>
        <v>No</v>
      </c>
      <c r="S59" t="s">
        <v>13</v>
      </c>
    </row>
    <row r="60" spans="1:19" x14ac:dyDescent="0.3">
      <c r="A60" s="1" t="s">
        <v>106</v>
      </c>
      <c r="B60" t="s">
        <v>1612</v>
      </c>
      <c r="C60" t="s">
        <v>1656</v>
      </c>
      <c r="D60" t="str">
        <f t="shared" si="0"/>
        <v>Male</v>
      </c>
      <c r="E60" t="s">
        <v>9</v>
      </c>
      <c r="F60" s="2">
        <v>3</v>
      </c>
      <c r="G60" s="2" t="str" cm="1">
        <f t="array" ref="G60">_xlfn.IFS(F60&lt;=8,"Child",F60&lt;=17,"Teen",F60&lt;=35,"Adult",F60&lt;=55,"Seniour Adult",F60&gt;=55,"Old Age")</f>
        <v>Child</v>
      </c>
      <c r="H60" t="s">
        <v>10</v>
      </c>
      <c r="I60" t="s">
        <v>11</v>
      </c>
      <c r="J60" t="str" cm="1">
        <f t="array" ref="J60">_xlfn.IFS(I60="S","Southamptom",I60="Q","Quentown",I60="C","Cherbrug",I60="B","Cabin")</f>
        <v>Southamptom</v>
      </c>
      <c r="K60" t="s">
        <v>23</v>
      </c>
      <c r="L60" s="2">
        <v>31.070900000000002</v>
      </c>
      <c r="M60" s="2" t="str" cm="1">
        <f t="array" ref="M60">_xlfn.IFS(L60&lt;=15,"Low Fare",L60&lt;=35,"Medium Fare",L60&lt;=100,"High Fare",L60&gt;=100,"Very High Fare")</f>
        <v>Medium Fare</v>
      </c>
      <c r="N60" s="2">
        <v>4</v>
      </c>
      <c r="O60" s="2">
        <v>2</v>
      </c>
      <c r="P60">
        <f t="shared" si="1"/>
        <v>7</v>
      </c>
      <c r="Q60" t="str">
        <f t="shared" si="2"/>
        <v>With Family</v>
      </c>
      <c r="R60" t="str">
        <f t="shared" si="3"/>
        <v>Yes</v>
      </c>
      <c r="S60" t="s">
        <v>16</v>
      </c>
    </row>
    <row r="61" spans="1:19" x14ac:dyDescent="0.3">
      <c r="A61" s="1" t="s">
        <v>106</v>
      </c>
      <c r="B61" t="s">
        <v>1612</v>
      </c>
      <c r="C61" t="s">
        <v>1657</v>
      </c>
      <c r="D61" t="str">
        <f t="shared" si="0"/>
        <v>Male</v>
      </c>
      <c r="E61" t="s">
        <v>9</v>
      </c>
      <c r="F61" s="2">
        <v>13</v>
      </c>
      <c r="G61" s="2" t="str" cm="1">
        <f t="array" ref="G61">_xlfn.IFS(F61&lt;=8,"Child",F61&lt;=17,"Teen",F61&lt;=35,"Adult",F61&lt;=55,"Seniour Adult",F61&gt;=55,"Old Age")</f>
        <v>Teen</v>
      </c>
      <c r="H61" t="s">
        <v>10</v>
      </c>
      <c r="I61" t="s">
        <v>11</v>
      </c>
      <c r="J61" t="str" cm="1">
        <f t="array" ref="J61">_xlfn.IFS(I61="S","Southamptom",I61="Q","Quentown",I61="C","Cherbrug",I61="B","Cabin")</f>
        <v>Southamptom</v>
      </c>
      <c r="K61" t="s">
        <v>23</v>
      </c>
      <c r="L61" s="2">
        <v>31.070900000000002</v>
      </c>
      <c r="M61" s="2" t="str" cm="1">
        <f t="array" ref="M61">_xlfn.IFS(L61&lt;=15,"Low Fare",L61&lt;=35,"Medium Fare",L61&lt;=100,"High Fare",L61&gt;=100,"Very High Fare")</f>
        <v>Medium Fare</v>
      </c>
      <c r="N61" s="2">
        <v>4</v>
      </c>
      <c r="O61" s="2">
        <v>2</v>
      </c>
      <c r="P61">
        <f t="shared" si="1"/>
        <v>7</v>
      </c>
      <c r="Q61" t="str">
        <f t="shared" si="2"/>
        <v>With Family</v>
      </c>
      <c r="R61" t="str">
        <f t="shared" si="3"/>
        <v>No</v>
      </c>
      <c r="S61" t="s">
        <v>13</v>
      </c>
    </row>
    <row r="62" spans="1:19" x14ac:dyDescent="0.3">
      <c r="A62" s="1" t="s">
        <v>106</v>
      </c>
      <c r="B62" t="s">
        <v>1602</v>
      </c>
      <c r="C62" t="s">
        <v>1658</v>
      </c>
      <c r="D62" t="str">
        <f t="shared" si="0"/>
        <v>Female</v>
      </c>
      <c r="E62" t="s">
        <v>14</v>
      </c>
      <c r="F62" s="2">
        <v>5</v>
      </c>
      <c r="G62" s="2" t="str" cm="1">
        <f t="array" ref="G62">_xlfn.IFS(F62&lt;=8,"Child",F62&lt;=17,"Teen",F62&lt;=35,"Adult",F62&lt;=55,"Seniour Adult",F62&gt;=55,"Old Age")</f>
        <v>Child</v>
      </c>
      <c r="H62" t="s">
        <v>10</v>
      </c>
      <c r="I62" t="s">
        <v>11</v>
      </c>
      <c r="J62" t="str" cm="1">
        <f t="array" ref="J62">_xlfn.IFS(I62="S","Southamptom",I62="Q","Quentown",I62="C","Cherbrug",I62="B","Cabin")</f>
        <v>Southamptom</v>
      </c>
      <c r="K62" t="s">
        <v>23</v>
      </c>
      <c r="L62" s="2">
        <v>31.070900000000002</v>
      </c>
      <c r="M62" s="2" t="str" cm="1">
        <f t="array" ref="M62">_xlfn.IFS(L62&lt;=15,"Low Fare",L62&lt;=35,"Medium Fare",L62&lt;=100,"High Fare",L62&gt;=100,"Very High Fare")</f>
        <v>Medium Fare</v>
      </c>
      <c r="N62" s="2">
        <v>4</v>
      </c>
      <c r="O62" s="2">
        <v>2</v>
      </c>
      <c r="P62">
        <f t="shared" si="1"/>
        <v>7</v>
      </c>
      <c r="Q62" t="str">
        <f t="shared" si="2"/>
        <v>With Family</v>
      </c>
      <c r="R62" t="str">
        <f t="shared" si="3"/>
        <v>Yes</v>
      </c>
      <c r="S62" t="s">
        <v>16</v>
      </c>
    </row>
    <row r="63" spans="1:19" x14ac:dyDescent="0.3">
      <c r="A63" s="1" t="s">
        <v>106</v>
      </c>
      <c r="B63" t="s">
        <v>1596</v>
      </c>
      <c r="C63" t="s">
        <v>1659</v>
      </c>
      <c r="D63" t="str">
        <f t="shared" si="0"/>
        <v>Male</v>
      </c>
      <c r="E63" t="s">
        <v>9</v>
      </c>
      <c r="F63" s="2">
        <v>40</v>
      </c>
      <c r="G63" s="2" t="str" cm="1">
        <f t="array" ref="G63">_xlfn.IFS(F63&lt;=8,"Child",F63&lt;=17,"Teen",F63&lt;=35,"Adult",F63&lt;=55,"Seniour Adult",F63&gt;=55,"Old Age")</f>
        <v>Seniour Adult</v>
      </c>
      <c r="H63" t="s">
        <v>10</v>
      </c>
      <c r="I63" t="s">
        <v>11</v>
      </c>
      <c r="J63" t="str" cm="1">
        <f t="array" ref="J63">_xlfn.IFS(I63="S","Southamptom",I63="Q","Quentown",I63="C","Cherbrug",I63="B","Cabin")</f>
        <v>Southamptom</v>
      </c>
      <c r="K63" t="s">
        <v>23</v>
      </c>
      <c r="L63" s="2">
        <v>31.070900000000002</v>
      </c>
      <c r="M63" s="2" t="str" cm="1">
        <f t="array" ref="M63">_xlfn.IFS(L63&lt;=15,"Low Fare",L63&lt;=35,"Medium Fare",L63&lt;=100,"High Fare",L63&gt;=100,"Very High Fare")</f>
        <v>Medium Fare</v>
      </c>
      <c r="N63" s="2">
        <v>1</v>
      </c>
      <c r="O63" s="2">
        <v>5</v>
      </c>
      <c r="P63">
        <f t="shared" si="1"/>
        <v>7</v>
      </c>
      <c r="Q63" t="str">
        <f t="shared" si="2"/>
        <v>With Family</v>
      </c>
      <c r="R63" t="str">
        <f t="shared" si="3"/>
        <v>No</v>
      </c>
      <c r="S63" t="s">
        <v>13</v>
      </c>
    </row>
    <row r="64" spans="1:19" x14ac:dyDescent="0.3">
      <c r="A64" s="1" t="s">
        <v>106</v>
      </c>
      <c r="B64" t="s">
        <v>1596</v>
      </c>
      <c r="C64" t="s">
        <v>1660</v>
      </c>
      <c r="D64" t="str">
        <f t="shared" si="0"/>
        <v>Male</v>
      </c>
      <c r="E64" t="s">
        <v>9</v>
      </c>
      <c r="F64" s="2">
        <v>23</v>
      </c>
      <c r="G64" s="2" t="str" cm="1">
        <f t="array" ref="G64">_xlfn.IFS(F64&lt;=8,"Child",F64&lt;=17,"Teen",F64&lt;=35,"Adult",F64&lt;=55,"Seniour Adult",F64&gt;=55,"Old Age")</f>
        <v>Adult</v>
      </c>
      <c r="H64" t="s">
        <v>10</v>
      </c>
      <c r="I64" t="s">
        <v>11</v>
      </c>
      <c r="J64" t="str" cm="1">
        <f t="array" ref="J64">_xlfn.IFS(I64="S","Southamptom",I64="Q","Quentown",I64="C","Cherbrug",I64="B","Cabin")</f>
        <v>Southamptom</v>
      </c>
      <c r="K64" t="s">
        <v>23</v>
      </c>
      <c r="L64" s="2">
        <v>7.1510999999999996</v>
      </c>
      <c r="M64" s="2" t="str" cm="1">
        <f t="array" ref="M64">_xlfn.IFS(L64&lt;=15,"Low Fare",L64&lt;=35,"Medium Fare",L64&lt;=100,"High Fare",L64&gt;=100,"Very High Fare")</f>
        <v>Low Fare</v>
      </c>
      <c r="N64" s="2">
        <v>0</v>
      </c>
      <c r="O64" s="2">
        <v>0</v>
      </c>
      <c r="P64">
        <f t="shared" si="1"/>
        <v>1</v>
      </c>
      <c r="Q64" t="str">
        <f t="shared" si="2"/>
        <v>Alone</v>
      </c>
      <c r="R64" t="str">
        <f t="shared" si="3"/>
        <v>Yes</v>
      </c>
      <c r="S64" t="s">
        <v>16</v>
      </c>
    </row>
    <row r="65" spans="1:19" x14ac:dyDescent="0.3">
      <c r="A65" s="1" t="s">
        <v>106</v>
      </c>
      <c r="B65" t="s">
        <v>1600</v>
      </c>
      <c r="C65" t="s">
        <v>1661</v>
      </c>
      <c r="D65" t="str">
        <f t="shared" si="0"/>
        <v>Female</v>
      </c>
      <c r="E65" t="s">
        <v>14</v>
      </c>
      <c r="F65" s="2">
        <v>38</v>
      </c>
      <c r="G65" s="2" t="str" cm="1">
        <f t="array" ref="G65">_xlfn.IFS(F65&lt;=8,"Child",F65&lt;=17,"Teen",F65&lt;=35,"Adult",F65&lt;=55,"Seniour Adult",F65&gt;=55,"Old Age")</f>
        <v>Seniour Adult</v>
      </c>
      <c r="H65" t="s">
        <v>10</v>
      </c>
      <c r="I65" t="s">
        <v>11</v>
      </c>
      <c r="J65" t="str" cm="1">
        <f t="array" ref="J65">_xlfn.IFS(I65="S","Southamptom",I65="Q","Quentown",I65="C","Cherbrug",I65="B","Cabin")</f>
        <v>Southamptom</v>
      </c>
      <c r="K65" t="s">
        <v>23</v>
      </c>
      <c r="L65" s="2">
        <v>31.070900000000002</v>
      </c>
      <c r="M65" s="2" t="str" cm="1">
        <f t="array" ref="M65">_xlfn.IFS(L65&lt;=15,"Low Fare",L65&lt;=35,"Medium Fare",L65&lt;=100,"High Fare",L65&gt;=100,"Very High Fare")</f>
        <v>Medium Fare</v>
      </c>
      <c r="N65" s="2">
        <v>1</v>
      </c>
      <c r="O65" s="2">
        <v>5</v>
      </c>
      <c r="P65">
        <f t="shared" si="1"/>
        <v>7</v>
      </c>
      <c r="Q65" t="str">
        <f t="shared" si="2"/>
        <v>With Family</v>
      </c>
      <c r="R65" t="str">
        <f t="shared" si="3"/>
        <v>Yes</v>
      </c>
      <c r="S65" t="s">
        <v>16</v>
      </c>
    </row>
    <row r="66" spans="1:19" x14ac:dyDescent="0.3">
      <c r="A66" s="1" t="s">
        <v>107</v>
      </c>
      <c r="B66" t="s">
        <v>1600</v>
      </c>
      <c r="C66" t="s">
        <v>1662</v>
      </c>
      <c r="D66" t="str">
        <f t="shared" si="0"/>
        <v>Female</v>
      </c>
      <c r="E66" t="s">
        <v>14</v>
      </c>
      <c r="F66" s="2">
        <v>45</v>
      </c>
      <c r="G66" s="2" t="str" cm="1">
        <f t="array" ref="G66">_xlfn.IFS(F66&lt;=8,"Child",F66&lt;=17,"Teen",F66&lt;=35,"Adult",F66&lt;=55,"Seniour Adult",F66&gt;=55,"Old Age")</f>
        <v>Seniour Adult</v>
      </c>
      <c r="H66" t="s">
        <v>10</v>
      </c>
      <c r="I66" t="s">
        <v>19</v>
      </c>
      <c r="J66" t="str" cm="1">
        <f t="array" ref="J66">_xlfn.IFS(I66="S","Southamptom",I66="Q","Quentown",I66="C","Cherbrug",I66="B","Cabin")</f>
        <v>Cherbrug</v>
      </c>
      <c r="K66" t="s">
        <v>21</v>
      </c>
      <c r="L66" s="2">
        <v>7.0406000000000004</v>
      </c>
      <c r="M66" s="2" t="str" cm="1">
        <f t="array" ref="M66">_xlfn.IFS(L66&lt;=15,"Low Fare",L66&lt;=35,"Medium Fare",L66&lt;=100,"High Fare",L66&gt;=100,"Very High Fare")</f>
        <v>Low Fare</v>
      </c>
      <c r="N66" s="2">
        <v>0</v>
      </c>
      <c r="O66" s="2">
        <v>0</v>
      </c>
      <c r="P66">
        <f t="shared" si="1"/>
        <v>1</v>
      </c>
      <c r="Q66" t="str">
        <f t="shared" si="2"/>
        <v>Alone</v>
      </c>
      <c r="R66" t="str">
        <f t="shared" si="3"/>
        <v>Yes</v>
      </c>
      <c r="S66" t="s">
        <v>16</v>
      </c>
    </row>
    <row r="67" spans="1:19" x14ac:dyDescent="0.3">
      <c r="A67" s="1" t="s">
        <v>108</v>
      </c>
      <c r="B67" t="s">
        <v>1596</v>
      </c>
      <c r="C67" t="s">
        <v>1663</v>
      </c>
      <c r="D67" t="str">
        <f t="shared" ref="D67:D130" si="4">PROPER(E67)</f>
        <v>Male</v>
      </c>
      <c r="E67" t="s">
        <v>9</v>
      </c>
      <c r="F67" s="2">
        <v>23</v>
      </c>
      <c r="G67" s="2" t="str" cm="1">
        <f t="array" ref="G67">_xlfn.IFS(F67&lt;=8,"Child",F67&lt;=17,"Teen",F67&lt;=35,"Adult",F67&lt;=55,"Seniour Adult",F67&gt;=55,"Old Age")</f>
        <v>Adult</v>
      </c>
      <c r="H67" t="s">
        <v>10</v>
      </c>
      <c r="I67" t="s">
        <v>11</v>
      </c>
      <c r="J67" t="str" cm="1">
        <f t="array" ref="J67">_xlfn.IFS(I67="S","Southamptom",I67="Q","Quentown",I67="C","Cherbrug",I67="B","Cabin")</f>
        <v>Southamptom</v>
      </c>
      <c r="K67" t="s">
        <v>24</v>
      </c>
      <c r="L67" s="2">
        <v>7.01</v>
      </c>
      <c r="M67" s="2" t="str" cm="1">
        <f t="array" ref="M67">_xlfn.IFS(L67&lt;=15,"Low Fare",L67&lt;=35,"Medium Fare",L67&lt;=100,"High Fare",L67&gt;=100,"Very High Fare")</f>
        <v>Low Fare</v>
      </c>
      <c r="N67" s="2">
        <v>0</v>
      </c>
      <c r="O67" s="2">
        <v>0</v>
      </c>
      <c r="P67">
        <f t="shared" ref="P67:P130" si="5">N67+O67+1</f>
        <v>1</v>
      </c>
      <c r="Q67" t="str">
        <f t="shared" ref="Q67:Q130" si="6">IF(P67=1,"Alone","With Family")</f>
        <v>Alone</v>
      </c>
      <c r="R67" t="str">
        <f t="shared" ref="R67:R130" si="7">PROPER(S67)</f>
        <v>No</v>
      </c>
      <c r="S67" t="s">
        <v>13</v>
      </c>
    </row>
    <row r="68" spans="1:19" x14ac:dyDescent="0.3">
      <c r="A68" s="1" t="s">
        <v>109</v>
      </c>
      <c r="B68" t="s">
        <v>1664</v>
      </c>
      <c r="C68" t="s">
        <v>1665</v>
      </c>
      <c r="D68" t="str">
        <f t="shared" si="4"/>
        <v>Male</v>
      </c>
      <c r="E68" t="s">
        <v>9</v>
      </c>
      <c r="F68" s="2">
        <v>47</v>
      </c>
      <c r="G68" s="2" t="str" cm="1">
        <f t="array" ref="G68">_xlfn.IFS(F68&lt;=8,"Child",F68&lt;=17,"Teen",F68&lt;=35,"Adult",F68&lt;=55,"Seniour Adult",F68&gt;=55,"Old Age")</f>
        <v>Seniour Adult</v>
      </c>
      <c r="H68" t="s">
        <v>25</v>
      </c>
      <c r="I68" t="s">
        <v>19</v>
      </c>
      <c r="J68" t="str" cm="1">
        <f t="array" ref="J68">_xlfn.IFS(I68="S","Southamptom",I68="Q","Quentown",I68="C","Cherbrug",I68="B","Cabin")</f>
        <v>Cherbrug</v>
      </c>
      <c r="K68" t="s">
        <v>12</v>
      </c>
      <c r="L68" s="2">
        <v>247.10059999999999</v>
      </c>
      <c r="M68" s="2" t="str" cm="1">
        <f t="array" ref="M68">_xlfn.IFS(L68&lt;=15,"Low Fare",L68&lt;=35,"Medium Fare",L68&lt;=100,"High Fare",L68&gt;=100,"Very High Fare")</f>
        <v>Very High Fare</v>
      </c>
      <c r="N68" s="2">
        <v>1</v>
      </c>
      <c r="O68" s="2">
        <v>0</v>
      </c>
      <c r="P68">
        <f t="shared" si="5"/>
        <v>2</v>
      </c>
      <c r="Q68" t="str">
        <f t="shared" si="6"/>
        <v>With Family</v>
      </c>
      <c r="R68" t="str">
        <f t="shared" si="7"/>
        <v>No</v>
      </c>
      <c r="S68" t="s">
        <v>13</v>
      </c>
    </row>
    <row r="69" spans="1:19" x14ac:dyDescent="0.3">
      <c r="A69" s="1" t="s">
        <v>109</v>
      </c>
      <c r="B69" t="s">
        <v>1600</v>
      </c>
      <c r="C69" t="s">
        <v>1666</v>
      </c>
      <c r="D69" t="str">
        <f t="shared" si="4"/>
        <v>Female</v>
      </c>
      <c r="E69" t="s">
        <v>14</v>
      </c>
      <c r="F69" s="2">
        <v>18</v>
      </c>
      <c r="G69" s="2" t="str" cm="1">
        <f t="array" ref="G69">_xlfn.IFS(F69&lt;=8,"Child",F69&lt;=17,"Teen",F69&lt;=35,"Adult",F69&lt;=55,"Seniour Adult",F69&gt;=55,"Old Age")</f>
        <v>Adult</v>
      </c>
      <c r="H69" t="s">
        <v>25</v>
      </c>
      <c r="I69" t="s">
        <v>19</v>
      </c>
      <c r="J69" t="str" cm="1">
        <f t="array" ref="J69">_xlfn.IFS(I69="S","Southamptom",I69="Q","Quentown",I69="C","Cherbrug",I69="B","Cabin")</f>
        <v>Cherbrug</v>
      </c>
      <c r="K69" t="s">
        <v>12</v>
      </c>
      <c r="L69" s="2">
        <v>247.10059999999999</v>
      </c>
      <c r="M69" s="2" t="str" cm="1">
        <f t="array" ref="M69">_xlfn.IFS(L69&lt;=15,"Low Fare",L69&lt;=35,"Medium Fare",L69&lt;=100,"High Fare",L69&gt;=100,"Very High Fare")</f>
        <v>Very High Fare</v>
      </c>
      <c r="N69" s="2">
        <v>1</v>
      </c>
      <c r="O69" s="2">
        <v>0</v>
      </c>
      <c r="P69">
        <f t="shared" si="5"/>
        <v>2</v>
      </c>
      <c r="Q69" t="str">
        <f t="shared" si="6"/>
        <v>With Family</v>
      </c>
      <c r="R69" t="str">
        <f t="shared" si="7"/>
        <v>Yes</v>
      </c>
      <c r="S69" t="s">
        <v>16</v>
      </c>
    </row>
    <row r="70" spans="1:19" x14ac:dyDescent="0.3">
      <c r="A70" s="1" t="s">
        <v>110</v>
      </c>
      <c r="B70" t="s">
        <v>1602</v>
      </c>
      <c r="C70" t="s">
        <v>1667</v>
      </c>
      <c r="D70" t="str">
        <f t="shared" si="4"/>
        <v>Female</v>
      </c>
      <c r="E70" t="s">
        <v>14</v>
      </c>
      <c r="F70" s="2">
        <v>17</v>
      </c>
      <c r="G70" s="2" t="str" cm="1">
        <f t="array" ref="G70">_xlfn.IFS(F70&lt;=8,"Child",F70&lt;=17,"Teen",F70&lt;=35,"Adult",F70&lt;=55,"Seniour Adult",F70&gt;=55,"Old Age")</f>
        <v>Teen</v>
      </c>
      <c r="H70" t="s">
        <v>10</v>
      </c>
      <c r="I70" t="s">
        <v>19</v>
      </c>
      <c r="J70" t="str" cm="1">
        <f t="array" ref="J70">_xlfn.IFS(I70="S","Southamptom",I70="Q","Quentown",I70="C","Cherbrug",I70="B","Cabin")</f>
        <v>Cherbrug</v>
      </c>
      <c r="K70" t="s">
        <v>21</v>
      </c>
      <c r="L70" s="2">
        <v>14.090199999999999</v>
      </c>
      <c r="M70" s="2" t="str" cm="1">
        <f t="array" ref="M70">_xlfn.IFS(L70&lt;=15,"Low Fare",L70&lt;=35,"Medium Fare",L70&lt;=100,"High Fare",L70&gt;=100,"Very High Fare")</f>
        <v>Low Fare</v>
      </c>
      <c r="N70" s="2">
        <v>0</v>
      </c>
      <c r="O70" s="2">
        <v>0</v>
      </c>
      <c r="P70">
        <f t="shared" si="5"/>
        <v>1</v>
      </c>
      <c r="Q70" t="str">
        <f t="shared" si="6"/>
        <v>Alone</v>
      </c>
      <c r="R70" t="str">
        <f t="shared" si="7"/>
        <v>No</v>
      </c>
      <c r="S70" t="s">
        <v>13</v>
      </c>
    </row>
    <row r="71" spans="1:19" x14ac:dyDescent="0.3">
      <c r="A71" s="1" t="s">
        <v>111</v>
      </c>
      <c r="B71" t="s">
        <v>1596</v>
      </c>
      <c r="C71" t="s">
        <v>1668</v>
      </c>
      <c r="D71" t="str">
        <f t="shared" si="4"/>
        <v>Male</v>
      </c>
      <c r="E71" t="s">
        <v>9</v>
      </c>
      <c r="F71" s="2">
        <v>27</v>
      </c>
      <c r="G71" s="2" t="str" cm="1">
        <f t="array" ref="G71">_xlfn.IFS(F71&lt;=8,"Child",F71&lt;=17,"Teen",F71&lt;=35,"Adult",F71&lt;=55,"Seniour Adult",F71&gt;=55,"Old Age")</f>
        <v>Adult</v>
      </c>
      <c r="H71" t="s">
        <v>10</v>
      </c>
      <c r="I71" t="s">
        <v>19</v>
      </c>
      <c r="J71" t="str" cm="1">
        <f t="array" ref="J71">_xlfn.IFS(I71="S","Southamptom",I71="Q","Quentown",I71="C","Cherbrug",I71="B","Cabin")</f>
        <v>Cherbrug</v>
      </c>
      <c r="K71" t="s">
        <v>26</v>
      </c>
      <c r="L71" s="2">
        <v>7.0406000000000004</v>
      </c>
      <c r="M71" s="2" t="str" cm="1">
        <f t="array" ref="M71">_xlfn.IFS(L71&lt;=15,"Low Fare",L71&lt;=35,"Medium Fare",L71&lt;=100,"High Fare",L71&gt;=100,"Very High Fare")</f>
        <v>Low Fare</v>
      </c>
      <c r="N71" s="2">
        <v>0</v>
      </c>
      <c r="O71" s="2">
        <v>0</v>
      </c>
      <c r="P71">
        <f t="shared" si="5"/>
        <v>1</v>
      </c>
      <c r="Q71" t="str">
        <f t="shared" si="6"/>
        <v>Alone</v>
      </c>
      <c r="R71" t="str">
        <f t="shared" si="7"/>
        <v>No</v>
      </c>
      <c r="S71" t="s">
        <v>13</v>
      </c>
    </row>
    <row r="72" spans="1:19" x14ac:dyDescent="0.3">
      <c r="A72" s="1" t="s">
        <v>112</v>
      </c>
      <c r="B72" t="s">
        <v>1669</v>
      </c>
      <c r="C72" t="s">
        <v>1670</v>
      </c>
      <c r="D72" t="str">
        <f t="shared" si="4"/>
        <v>Female</v>
      </c>
      <c r="E72" t="s">
        <v>14</v>
      </c>
      <c r="F72" s="2">
        <v>24</v>
      </c>
      <c r="G72" s="2" t="str" cm="1">
        <f t="array" ref="G72">_xlfn.IFS(F72&lt;=8,"Child",F72&lt;=17,"Teen",F72&lt;=35,"Adult",F72&lt;=55,"Seniour Adult",F72&gt;=55,"Old Age")</f>
        <v>Adult</v>
      </c>
      <c r="H72" t="s">
        <v>25</v>
      </c>
      <c r="I72" t="s">
        <v>19</v>
      </c>
      <c r="J72" t="str" cm="1">
        <f t="array" ref="J72">_xlfn.IFS(I72="S","Southamptom",I72="Q","Quentown",I72="C","Cherbrug",I72="B","Cabin")</f>
        <v>Cherbrug</v>
      </c>
      <c r="K72" t="s">
        <v>20</v>
      </c>
      <c r="L72" s="2">
        <v>69.06</v>
      </c>
      <c r="M72" s="2" t="str" cm="1">
        <f t="array" ref="M72">_xlfn.IFS(L72&lt;=15,"Low Fare",L72&lt;=35,"Medium Fare",L72&lt;=100,"High Fare",L72&gt;=100,"Very High Fare")</f>
        <v>High Fare</v>
      </c>
      <c r="N72" s="2">
        <v>0</v>
      </c>
      <c r="O72" s="2">
        <v>0</v>
      </c>
      <c r="P72">
        <f t="shared" si="5"/>
        <v>1</v>
      </c>
      <c r="Q72" t="str">
        <f t="shared" si="6"/>
        <v>Alone</v>
      </c>
      <c r="R72" t="str">
        <f t="shared" si="7"/>
        <v>Yes</v>
      </c>
      <c r="S72" t="s">
        <v>16</v>
      </c>
    </row>
    <row r="73" spans="1:19" x14ac:dyDescent="0.3">
      <c r="A73" s="1" t="s">
        <v>113</v>
      </c>
      <c r="B73" t="s">
        <v>1596</v>
      </c>
      <c r="C73" t="s">
        <v>1671</v>
      </c>
      <c r="D73" t="str">
        <f t="shared" si="4"/>
        <v>Male</v>
      </c>
      <c r="E73" t="s">
        <v>9</v>
      </c>
      <c r="F73" s="2">
        <v>23</v>
      </c>
      <c r="G73" s="2" t="str" cm="1">
        <f t="array" ref="G73">_xlfn.IFS(F73&lt;=8,"Child",F73&lt;=17,"Teen",F73&lt;=35,"Adult",F73&lt;=55,"Seniour Adult",F73&gt;=55,"Old Age")</f>
        <v>Adult</v>
      </c>
      <c r="H73" t="s">
        <v>10</v>
      </c>
      <c r="I73" t="s">
        <v>11</v>
      </c>
      <c r="J73" t="str" cm="1">
        <f t="array" ref="J73">_xlfn.IFS(I73="S","Southamptom",I73="Q","Quentown",I73="C","Cherbrug",I73="B","Cabin")</f>
        <v>Southamptom</v>
      </c>
      <c r="K73" t="s">
        <v>23</v>
      </c>
      <c r="L73" s="2">
        <v>7.1700999999999997</v>
      </c>
      <c r="M73" s="2" t="str" cm="1">
        <f t="array" ref="M73">_xlfn.IFS(L73&lt;=15,"Low Fare",L73&lt;=35,"Medium Fare",L73&lt;=100,"High Fare",L73&gt;=100,"Very High Fare")</f>
        <v>Low Fare</v>
      </c>
      <c r="N73" s="2">
        <v>0</v>
      </c>
      <c r="O73" s="2">
        <v>0</v>
      </c>
      <c r="P73">
        <f t="shared" si="5"/>
        <v>1</v>
      </c>
      <c r="Q73" t="str">
        <f t="shared" si="6"/>
        <v>Alone</v>
      </c>
      <c r="R73" t="str">
        <f t="shared" si="7"/>
        <v>No</v>
      </c>
      <c r="S73" t="s">
        <v>13</v>
      </c>
    </row>
    <row r="74" spans="1:19" x14ac:dyDescent="0.3">
      <c r="A74" s="1" t="s">
        <v>114</v>
      </c>
      <c r="B74" t="s">
        <v>1602</v>
      </c>
      <c r="C74" t="s">
        <v>1672</v>
      </c>
      <c r="D74" t="str">
        <f t="shared" si="4"/>
        <v>Female</v>
      </c>
      <c r="E74" t="s">
        <v>14</v>
      </c>
      <c r="F74" s="2">
        <v>15</v>
      </c>
      <c r="G74" s="2" t="str" cm="1">
        <f t="array" ref="G74">_xlfn.IFS(F74&lt;=8,"Child",F74&lt;=17,"Teen",F74&lt;=35,"Adult",F74&lt;=55,"Seniour Adult",F74&gt;=55,"Old Age")</f>
        <v>Teen</v>
      </c>
      <c r="H74" t="s">
        <v>10</v>
      </c>
      <c r="I74" t="s">
        <v>19</v>
      </c>
      <c r="J74" t="str" cm="1">
        <f t="array" ref="J74">_xlfn.IFS(I74="S","Southamptom",I74="Q","Quentown",I74="C","Cherbrug",I74="B","Cabin")</f>
        <v>Cherbrug</v>
      </c>
      <c r="K74" t="s">
        <v>21</v>
      </c>
      <c r="L74" s="2">
        <v>7.0407000000000002</v>
      </c>
      <c r="M74" s="2" t="str" cm="1">
        <f t="array" ref="M74">_xlfn.IFS(L74&lt;=15,"Low Fare",L74&lt;=35,"Medium Fare",L74&lt;=100,"High Fare",L74&gt;=100,"Very High Fare")</f>
        <v>Low Fare</v>
      </c>
      <c r="N74" s="2">
        <v>0</v>
      </c>
      <c r="O74" s="2">
        <v>0</v>
      </c>
      <c r="P74">
        <f t="shared" si="5"/>
        <v>1</v>
      </c>
      <c r="Q74" t="str">
        <f t="shared" si="6"/>
        <v>Alone</v>
      </c>
      <c r="R74" t="str">
        <f t="shared" si="7"/>
        <v>Yes</v>
      </c>
      <c r="S74" t="s">
        <v>16</v>
      </c>
    </row>
    <row r="75" spans="1:19" x14ac:dyDescent="0.3">
      <c r="A75" s="1" t="s">
        <v>115</v>
      </c>
      <c r="B75" t="s">
        <v>1596</v>
      </c>
      <c r="C75" t="s">
        <v>1673</v>
      </c>
      <c r="D75" t="str">
        <f t="shared" si="4"/>
        <v>Male</v>
      </c>
      <c r="E75" t="s">
        <v>9</v>
      </c>
      <c r="F75" s="2">
        <v>32</v>
      </c>
      <c r="G75" s="2" t="str" cm="1">
        <f t="array" ref="G75">_xlfn.IFS(F75&lt;=8,"Child",F75&lt;=17,"Teen",F75&lt;=35,"Adult",F75&lt;=55,"Seniour Adult",F75&gt;=55,"Old Age")</f>
        <v>Adult</v>
      </c>
      <c r="H75" t="s">
        <v>10</v>
      </c>
      <c r="I75" t="s">
        <v>11</v>
      </c>
      <c r="J75" t="str" cm="1">
        <f t="array" ref="J75">_xlfn.IFS(I75="S","Southamptom",I75="Q","Quentown",I75="C","Cherbrug",I75="B","Cabin")</f>
        <v>Southamptom</v>
      </c>
      <c r="K75" t="s">
        <v>22</v>
      </c>
      <c r="L75" s="2">
        <v>15.17</v>
      </c>
      <c r="M75" s="2" t="str" cm="1">
        <f t="array" ref="M75">_xlfn.IFS(L75&lt;=15,"Low Fare",L75&lt;=35,"Medium Fare",L75&lt;=100,"High Fare",L75&gt;=100,"Very High Fare")</f>
        <v>Medium Fare</v>
      </c>
      <c r="N75" s="2">
        <v>1</v>
      </c>
      <c r="O75" s="2">
        <v>0</v>
      </c>
      <c r="P75">
        <f t="shared" si="5"/>
        <v>2</v>
      </c>
      <c r="Q75" t="str">
        <f t="shared" si="6"/>
        <v>With Family</v>
      </c>
      <c r="R75" t="str">
        <f t="shared" si="7"/>
        <v>No</v>
      </c>
      <c r="S75" t="s">
        <v>13</v>
      </c>
    </row>
    <row r="76" spans="1:19" x14ac:dyDescent="0.3">
      <c r="A76" s="1" t="s">
        <v>115</v>
      </c>
      <c r="B76" t="s">
        <v>1600</v>
      </c>
      <c r="C76" t="s">
        <v>1674</v>
      </c>
      <c r="D76" t="str">
        <f t="shared" si="4"/>
        <v>Female</v>
      </c>
      <c r="E76" t="s">
        <v>14</v>
      </c>
      <c r="F76" s="2">
        <v>33</v>
      </c>
      <c r="G76" s="2" t="str" cm="1">
        <f t="array" ref="G76">_xlfn.IFS(F76&lt;=8,"Child",F76&lt;=17,"Teen",F76&lt;=35,"Adult",F76&lt;=55,"Seniour Adult",F76&gt;=55,"Old Age")</f>
        <v>Adult</v>
      </c>
      <c r="H76" t="s">
        <v>10</v>
      </c>
      <c r="I76" t="s">
        <v>11</v>
      </c>
      <c r="J76" t="str" cm="1">
        <f t="array" ref="J76">_xlfn.IFS(I76="S","Southamptom",I76="Q","Quentown",I76="C","Cherbrug",I76="B","Cabin")</f>
        <v>Southamptom</v>
      </c>
      <c r="K76" t="s">
        <v>22</v>
      </c>
      <c r="L76" s="2">
        <v>15.17</v>
      </c>
      <c r="M76" s="2" t="str" cm="1">
        <f t="array" ref="M76">_xlfn.IFS(L76&lt;=15,"Low Fare",L76&lt;=35,"Medium Fare",L76&lt;=100,"High Fare",L76&gt;=100,"Very High Fare")</f>
        <v>Medium Fare</v>
      </c>
      <c r="N76" s="2">
        <v>3</v>
      </c>
      <c r="O76" s="2">
        <v>0</v>
      </c>
      <c r="P76">
        <f t="shared" si="5"/>
        <v>4</v>
      </c>
      <c r="Q76" t="str">
        <f t="shared" si="6"/>
        <v>With Family</v>
      </c>
      <c r="R76" t="str">
        <f t="shared" si="7"/>
        <v>Yes</v>
      </c>
      <c r="S76" t="s">
        <v>16</v>
      </c>
    </row>
    <row r="77" spans="1:19" x14ac:dyDescent="0.3">
      <c r="A77" s="1" t="s">
        <v>116</v>
      </c>
      <c r="B77" t="s">
        <v>1602</v>
      </c>
      <c r="C77" t="s">
        <v>1675</v>
      </c>
      <c r="D77" t="str">
        <f t="shared" si="4"/>
        <v>Female</v>
      </c>
      <c r="E77" t="s">
        <v>14</v>
      </c>
      <c r="F77" s="2">
        <v>3</v>
      </c>
      <c r="G77" s="2" t="str" cm="1">
        <f t="array" ref="G77">_xlfn.IFS(F77&lt;=8,"Child",F77&lt;=17,"Teen",F77&lt;=35,"Adult",F77&lt;=55,"Seniour Adult",F77&gt;=55,"Old Age")</f>
        <v>Child</v>
      </c>
      <c r="H77" t="s">
        <v>10</v>
      </c>
      <c r="I77" t="s">
        <v>19</v>
      </c>
      <c r="J77" t="str" cm="1">
        <f t="array" ref="J77">_xlfn.IFS(I77="S","Southamptom",I77="Q","Quentown",I77="C","Cherbrug",I77="B","Cabin")</f>
        <v>Cherbrug</v>
      </c>
      <c r="K77" t="s">
        <v>21</v>
      </c>
      <c r="L77" s="2">
        <v>19.0502</v>
      </c>
      <c r="M77" s="2" t="str" cm="1">
        <f t="array" ref="M77">_xlfn.IFS(L77&lt;=15,"Low Fare",L77&lt;=35,"Medium Fare",L77&lt;=100,"High Fare",L77&gt;=100,"Very High Fare")</f>
        <v>Medium Fare</v>
      </c>
      <c r="N77" s="2">
        <v>2</v>
      </c>
      <c r="O77" s="2">
        <v>1</v>
      </c>
      <c r="P77">
        <f t="shared" si="5"/>
        <v>4</v>
      </c>
      <c r="Q77" t="str">
        <f t="shared" si="6"/>
        <v>With Family</v>
      </c>
      <c r="R77" t="str">
        <f t="shared" si="7"/>
        <v>Yes</v>
      </c>
      <c r="S77" t="s">
        <v>16</v>
      </c>
    </row>
    <row r="78" spans="1:19" x14ac:dyDescent="0.3">
      <c r="A78" s="1" t="s">
        <v>116</v>
      </c>
      <c r="B78" t="s">
        <v>1602</v>
      </c>
      <c r="C78" t="s">
        <v>1676</v>
      </c>
      <c r="D78" t="str">
        <f t="shared" si="4"/>
        <v>Female</v>
      </c>
      <c r="E78" t="s">
        <v>14</v>
      </c>
      <c r="F78" s="2">
        <v>0.75</v>
      </c>
      <c r="G78" s="2" t="str" cm="1">
        <f t="array" ref="G78">_xlfn.IFS(F78&lt;=8,"Child",F78&lt;=17,"Teen",F78&lt;=35,"Adult",F78&lt;=55,"Seniour Adult",F78&gt;=55,"Old Age")</f>
        <v>Child</v>
      </c>
      <c r="H78" t="s">
        <v>10</v>
      </c>
      <c r="I78" t="s">
        <v>19</v>
      </c>
      <c r="J78" t="str" cm="1">
        <f t="array" ref="J78">_xlfn.IFS(I78="S","Southamptom",I78="Q","Quentown",I78="C","Cherbrug",I78="B","Cabin")</f>
        <v>Cherbrug</v>
      </c>
      <c r="K78" t="s">
        <v>21</v>
      </c>
      <c r="L78" s="2">
        <v>19.0502</v>
      </c>
      <c r="M78" s="2" t="str" cm="1">
        <f t="array" ref="M78">_xlfn.IFS(L78&lt;=15,"Low Fare",L78&lt;=35,"Medium Fare",L78&lt;=100,"High Fare",L78&gt;=100,"Very High Fare")</f>
        <v>Medium Fare</v>
      </c>
      <c r="N78" s="2">
        <v>2</v>
      </c>
      <c r="O78" s="2">
        <v>1</v>
      </c>
      <c r="P78">
        <f t="shared" si="5"/>
        <v>4</v>
      </c>
      <c r="Q78" t="str">
        <f t="shared" si="6"/>
        <v>With Family</v>
      </c>
      <c r="R78" t="str">
        <f t="shared" si="7"/>
        <v>Yes</v>
      </c>
      <c r="S78" t="s">
        <v>16</v>
      </c>
    </row>
    <row r="79" spans="1:19" x14ac:dyDescent="0.3">
      <c r="A79" s="1" t="s">
        <v>116</v>
      </c>
      <c r="B79" t="s">
        <v>1602</v>
      </c>
      <c r="C79" t="s">
        <v>1677</v>
      </c>
      <c r="D79" t="str">
        <f t="shared" si="4"/>
        <v>Female</v>
      </c>
      <c r="E79" t="s">
        <v>14</v>
      </c>
      <c r="F79" s="2">
        <v>5</v>
      </c>
      <c r="G79" s="2" t="str" cm="1">
        <f t="array" ref="G79">_xlfn.IFS(F79&lt;=8,"Child",F79&lt;=17,"Teen",F79&lt;=35,"Adult",F79&lt;=55,"Seniour Adult",F79&gt;=55,"Old Age")</f>
        <v>Child</v>
      </c>
      <c r="H79" t="s">
        <v>10</v>
      </c>
      <c r="I79" t="s">
        <v>19</v>
      </c>
      <c r="J79" t="str" cm="1">
        <f t="array" ref="J79">_xlfn.IFS(I79="S","Southamptom",I79="Q","Quentown",I79="C","Cherbrug",I79="B","Cabin")</f>
        <v>Cherbrug</v>
      </c>
      <c r="K79" t="s">
        <v>21</v>
      </c>
      <c r="L79" s="2">
        <v>19.0502</v>
      </c>
      <c r="M79" s="2" t="str" cm="1">
        <f t="array" ref="M79">_xlfn.IFS(L79&lt;=15,"Low Fare",L79&lt;=35,"Medium Fare",L79&lt;=100,"High Fare",L79&gt;=100,"Very High Fare")</f>
        <v>Medium Fare</v>
      </c>
      <c r="N79" s="2">
        <v>2</v>
      </c>
      <c r="O79" s="2">
        <v>1</v>
      </c>
      <c r="P79">
        <f t="shared" si="5"/>
        <v>4</v>
      </c>
      <c r="Q79" t="str">
        <f t="shared" si="6"/>
        <v>With Family</v>
      </c>
      <c r="R79" t="str">
        <f t="shared" si="7"/>
        <v>Yes</v>
      </c>
      <c r="S79" t="s">
        <v>16</v>
      </c>
    </row>
    <row r="80" spans="1:19" x14ac:dyDescent="0.3">
      <c r="A80" s="1" t="s">
        <v>116</v>
      </c>
      <c r="B80" t="s">
        <v>1600</v>
      </c>
      <c r="C80" t="s">
        <v>1678</v>
      </c>
      <c r="D80" t="str">
        <f t="shared" si="4"/>
        <v>Female</v>
      </c>
      <c r="E80" t="s">
        <v>14</v>
      </c>
      <c r="F80" s="2">
        <v>23</v>
      </c>
      <c r="G80" s="2" t="str" cm="1">
        <f t="array" ref="G80">_xlfn.IFS(F80&lt;=8,"Child",F80&lt;=17,"Teen",F80&lt;=35,"Adult",F80&lt;=55,"Seniour Adult",F80&gt;=55,"Old Age")</f>
        <v>Adult</v>
      </c>
      <c r="H80" t="s">
        <v>10</v>
      </c>
      <c r="I80" t="s">
        <v>19</v>
      </c>
      <c r="J80" t="str" cm="1">
        <f t="array" ref="J80">_xlfn.IFS(I80="S","Southamptom",I80="Q","Quentown",I80="C","Cherbrug",I80="B","Cabin")</f>
        <v>Cherbrug</v>
      </c>
      <c r="K80" t="s">
        <v>21</v>
      </c>
      <c r="L80" s="2">
        <v>19.0502</v>
      </c>
      <c r="M80" s="2" t="str" cm="1">
        <f t="array" ref="M80">_xlfn.IFS(L80&lt;=15,"Low Fare",L80&lt;=35,"Medium Fare",L80&lt;=100,"High Fare",L80&gt;=100,"Very High Fare")</f>
        <v>Medium Fare</v>
      </c>
      <c r="N80" s="2">
        <v>0</v>
      </c>
      <c r="O80" s="2">
        <v>3</v>
      </c>
      <c r="P80">
        <f t="shared" si="5"/>
        <v>4</v>
      </c>
      <c r="Q80" t="str">
        <f t="shared" si="6"/>
        <v>With Family</v>
      </c>
      <c r="R80" t="str">
        <f t="shared" si="7"/>
        <v>Yes</v>
      </c>
      <c r="S80" t="s">
        <v>16</v>
      </c>
    </row>
    <row r="81" spans="1:19" x14ac:dyDescent="0.3">
      <c r="A81" s="1" t="s">
        <v>117</v>
      </c>
      <c r="B81" t="s">
        <v>1602</v>
      </c>
      <c r="C81" t="s">
        <v>1679</v>
      </c>
      <c r="D81" t="str">
        <f t="shared" si="4"/>
        <v>Female</v>
      </c>
      <c r="E81" t="s">
        <v>14</v>
      </c>
      <c r="F81" s="2">
        <v>18</v>
      </c>
      <c r="G81" s="2" t="str" cm="1">
        <f t="array" ref="G81">_xlfn.IFS(F81&lt;=8,"Child",F81&lt;=17,"Teen",F81&lt;=35,"Adult",F81&lt;=55,"Seniour Adult",F81&gt;=55,"Old Age")</f>
        <v>Adult</v>
      </c>
      <c r="H81" t="s">
        <v>10</v>
      </c>
      <c r="I81" t="s">
        <v>11</v>
      </c>
      <c r="J81" t="str" cm="1">
        <f t="array" ref="J81">_xlfn.IFS(I81="S","Southamptom",I81="Q","Quentown",I81="C","Cherbrug",I81="B","Cabin")</f>
        <v>Southamptom</v>
      </c>
      <c r="K81" t="s">
        <v>15</v>
      </c>
      <c r="L81" s="2">
        <v>8.01</v>
      </c>
      <c r="M81" s="2" t="str" cm="1">
        <f t="array" ref="M81">_xlfn.IFS(L81&lt;=15,"Low Fare",L81&lt;=35,"Medium Fare",L81&lt;=100,"High Fare",L81&gt;=100,"Very High Fare")</f>
        <v>Low Fare</v>
      </c>
      <c r="N81" s="2">
        <v>0</v>
      </c>
      <c r="O81" s="2">
        <v>0</v>
      </c>
      <c r="P81">
        <f t="shared" si="5"/>
        <v>1</v>
      </c>
      <c r="Q81" t="str">
        <f t="shared" si="6"/>
        <v>Alone</v>
      </c>
      <c r="R81" t="str">
        <f t="shared" si="7"/>
        <v>Yes</v>
      </c>
      <c r="S81" t="s">
        <v>16</v>
      </c>
    </row>
    <row r="82" spans="1:19" x14ac:dyDescent="0.3">
      <c r="A82" s="1" t="s">
        <v>118</v>
      </c>
      <c r="B82" t="s">
        <v>1596</v>
      </c>
      <c r="C82" t="s">
        <v>1680</v>
      </c>
      <c r="D82" t="str">
        <f t="shared" si="4"/>
        <v>Male</v>
      </c>
      <c r="E82" t="s">
        <v>9</v>
      </c>
      <c r="F82" s="2">
        <v>40</v>
      </c>
      <c r="G82" s="2" t="str" cm="1">
        <f t="array" ref="G82">_xlfn.IFS(F82&lt;=8,"Child",F82&lt;=17,"Teen",F82&lt;=35,"Adult",F82&lt;=55,"Seniour Adult",F82&gt;=55,"Old Age")</f>
        <v>Seniour Adult</v>
      </c>
      <c r="H82" t="s">
        <v>10</v>
      </c>
      <c r="I82" t="s">
        <v>19</v>
      </c>
      <c r="J82" t="str" cm="1">
        <f t="array" ref="J82">_xlfn.IFS(I82="S","Southamptom",I82="Q","Quentown",I82="C","Cherbrug",I82="B","Cabin")</f>
        <v>Cherbrug</v>
      </c>
      <c r="K82" t="s">
        <v>21</v>
      </c>
      <c r="L82" s="2">
        <v>7.0406000000000004</v>
      </c>
      <c r="M82" s="2" t="str" cm="1">
        <f t="array" ref="M82">_xlfn.IFS(L82&lt;=15,"Low Fare",L82&lt;=35,"Medium Fare",L82&lt;=100,"High Fare",L82&gt;=100,"Very High Fare")</f>
        <v>Low Fare</v>
      </c>
      <c r="N82" s="2">
        <v>0</v>
      </c>
      <c r="O82" s="2">
        <v>0</v>
      </c>
      <c r="P82">
        <f t="shared" si="5"/>
        <v>1</v>
      </c>
      <c r="Q82" t="str">
        <f t="shared" si="6"/>
        <v>Alone</v>
      </c>
      <c r="R82" t="str">
        <f t="shared" si="7"/>
        <v>No</v>
      </c>
      <c r="S82" t="s">
        <v>13</v>
      </c>
    </row>
    <row r="83" spans="1:19" x14ac:dyDescent="0.3">
      <c r="A83" s="1" t="s">
        <v>119</v>
      </c>
      <c r="B83" t="s">
        <v>1596</v>
      </c>
      <c r="C83" t="s">
        <v>1681</v>
      </c>
      <c r="D83" t="str">
        <f t="shared" si="4"/>
        <v>Male</v>
      </c>
      <c r="E83" t="s">
        <v>9</v>
      </c>
      <c r="F83" s="2">
        <v>18</v>
      </c>
      <c r="G83" s="2" t="str" cm="1">
        <f t="array" ref="G83">_xlfn.IFS(F83&lt;=8,"Child",F83&lt;=17,"Teen",F83&lt;=35,"Adult",F83&lt;=55,"Seniour Adult",F83&gt;=55,"Old Age")</f>
        <v>Adult</v>
      </c>
      <c r="H83" t="s">
        <v>18</v>
      </c>
      <c r="I83" t="s">
        <v>11</v>
      </c>
      <c r="J83" t="str" cm="1">
        <f t="array" ref="J83">_xlfn.IFS(I83="S","Southamptom",I83="Q","Quentown",I83="C","Cherbrug",I83="B","Cabin")</f>
        <v>Southamptom</v>
      </c>
      <c r="K83" t="s">
        <v>15</v>
      </c>
      <c r="L83" s="2">
        <v>11.1</v>
      </c>
      <c r="M83" s="2" t="str" cm="1">
        <f t="array" ref="M83">_xlfn.IFS(L83&lt;=15,"Low Fare",L83&lt;=35,"Medium Fare",L83&lt;=100,"High Fare",L83&gt;=100,"Very High Fare")</f>
        <v>Low Fare</v>
      </c>
      <c r="N83" s="2">
        <v>0</v>
      </c>
      <c r="O83" s="2">
        <v>0</v>
      </c>
      <c r="P83">
        <f t="shared" si="5"/>
        <v>1</v>
      </c>
      <c r="Q83" t="str">
        <f t="shared" si="6"/>
        <v>Alone</v>
      </c>
      <c r="R83" t="str">
        <f t="shared" si="7"/>
        <v>No</v>
      </c>
      <c r="S83" t="s">
        <v>13</v>
      </c>
    </row>
    <row r="84" spans="1:19" x14ac:dyDescent="0.3">
      <c r="A84" s="1" t="s">
        <v>120</v>
      </c>
      <c r="B84" t="s">
        <v>1596</v>
      </c>
      <c r="C84" t="s">
        <v>1682</v>
      </c>
      <c r="D84" t="str">
        <f t="shared" si="4"/>
        <v>Male</v>
      </c>
      <c r="E84" t="s">
        <v>9</v>
      </c>
      <c r="F84" s="2">
        <v>22</v>
      </c>
      <c r="G84" s="2" t="str" cm="1">
        <f t="array" ref="G84">_xlfn.IFS(F84&lt;=8,"Child",F84&lt;=17,"Teen",F84&lt;=35,"Adult",F84&lt;=55,"Seniour Adult",F84&gt;=55,"Old Age")</f>
        <v>Adult</v>
      </c>
      <c r="H84" t="s">
        <v>18</v>
      </c>
      <c r="I84" t="s">
        <v>11</v>
      </c>
      <c r="J84" t="str" cm="1">
        <f t="array" ref="J84">_xlfn.IFS(I84="S","Southamptom",I84="Q","Quentown",I84="C","Cherbrug",I84="B","Cabin")</f>
        <v>Southamptom</v>
      </c>
      <c r="K84" t="s">
        <v>33</v>
      </c>
      <c r="L84" s="2">
        <v>10.1</v>
      </c>
      <c r="M84" s="2" t="str" cm="1">
        <f t="array" ref="M84">_xlfn.IFS(L84&lt;=15,"Low Fare",L84&lt;=35,"Medium Fare",L84&lt;=100,"High Fare",L84&gt;=100,"Very High Fare")</f>
        <v>Low Fare</v>
      </c>
      <c r="N84" s="2">
        <v>0</v>
      </c>
      <c r="O84" s="2">
        <v>0</v>
      </c>
      <c r="P84">
        <f t="shared" si="5"/>
        <v>1</v>
      </c>
      <c r="Q84" t="str">
        <f t="shared" si="6"/>
        <v>Alone</v>
      </c>
      <c r="R84" t="str">
        <f t="shared" si="7"/>
        <v>No</v>
      </c>
      <c r="S84" t="s">
        <v>13</v>
      </c>
    </row>
    <row r="85" spans="1:19" x14ac:dyDescent="0.3">
      <c r="A85" s="1" t="s">
        <v>121</v>
      </c>
      <c r="B85" t="s">
        <v>1596</v>
      </c>
      <c r="C85" t="s">
        <v>1683</v>
      </c>
      <c r="D85" t="str">
        <f t="shared" si="4"/>
        <v>Male</v>
      </c>
      <c r="E85" t="s">
        <v>9</v>
      </c>
      <c r="F85" s="2">
        <v>26</v>
      </c>
      <c r="G85" s="2" t="str" cm="1">
        <f t="array" ref="G85">_xlfn.IFS(F85&lt;=8,"Child",F85&lt;=17,"Teen",F85&lt;=35,"Adult",F85&lt;=55,"Seniour Adult",F85&gt;=55,"Old Age")</f>
        <v>Adult</v>
      </c>
      <c r="H85" t="s">
        <v>10</v>
      </c>
      <c r="I85" t="s">
        <v>11</v>
      </c>
      <c r="J85" t="str" cm="1">
        <f t="array" ref="J85">_xlfn.IFS(I85="S","Southamptom",I85="Q","Quentown",I85="C","Cherbrug",I85="B","Cabin")</f>
        <v>Southamptom</v>
      </c>
      <c r="K85" t="s">
        <v>34</v>
      </c>
      <c r="L85" s="2">
        <v>7.1711</v>
      </c>
      <c r="M85" s="2" t="str" cm="1">
        <f t="array" ref="M85">_xlfn.IFS(L85&lt;=15,"Low Fare",L85&lt;=35,"Medium Fare",L85&lt;=100,"High Fare",L85&gt;=100,"Very High Fare")</f>
        <v>Low Fare</v>
      </c>
      <c r="N85" s="2">
        <v>0</v>
      </c>
      <c r="O85" s="2">
        <v>0</v>
      </c>
      <c r="P85">
        <f t="shared" si="5"/>
        <v>1</v>
      </c>
      <c r="Q85" t="str">
        <f t="shared" si="6"/>
        <v>Alone</v>
      </c>
      <c r="R85" t="str">
        <f t="shared" si="7"/>
        <v>No</v>
      </c>
      <c r="S85" t="s">
        <v>13</v>
      </c>
    </row>
    <row r="86" spans="1:19" x14ac:dyDescent="0.3">
      <c r="A86" s="1" t="s">
        <v>122</v>
      </c>
      <c r="B86" t="s">
        <v>1600</v>
      </c>
      <c r="C86" t="s">
        <v>1684</v>
      </c>
      <c r="D86" t="str">
        <f t="shared" si="4"/>
        <v>Female</v>
      </c>
      <c r="E86" t="s">
        <v>14</v>
      </c>
      <c r="F86" s="2">
        <v>36</v>
      </c>
      <c r="G86" s="2" t="str" cm="1">
        <f t="array" ref="G86">_xlfn.IFS(F86&lt;=8,"Child",F86&lt;=17,"Teen",F86&lt;=35,"Adult",F86&lt;=55,"Seniour Adult",F86&gt;=55,"Old Age")</f>
        <v>Seniour Adult</v>
      </c>
      <c r="H86" t="s">
        <v>18</v>
      </c>
      <c r="I86" t="s">
        <v>11</v>
      </c>
      <c r="J86" t="str" cm="1">
        <f t="array" ref="J86">_xlfn.IFS(I86="S","Southamptom",I86="Q","Quentown",I86="C","Cherbrug",I86="B","Cabin")</f>
        <v>Southamptom</v>
      </c>
      <c r="K86" t="s">
        <v>15</v>
      </c>
      <c r="L86" s="2">
        <v>13</v>
      </c>
      <c r="M86" s="2" t="str" cm="1">
        <f t="array" ref="M86">_xlfn.IFS(L86&lt;=15,"Low Fare",L86&lt;=35,"Medium Fare",L86&lt;=100,"High Fare",L86&gt;=100,"Very High Fare")</f>
        <v>Low Fare</v>
      </c>
      <c r="N86" s="2">
        <v>0</v>
      </c>
      <c r="O86" s="2">
        <v>0</v>
      </c>
      <c r="P86">
        <f t="shared" si="5"/>
        <v>1</v>
      </c>
      <c r="Q86" t="str">
        <f t="shared" si="6"/>
        <v>Alone</v>
      </c>
      <c r="R86" t="str">
        <f t="shared" si="7"/>
        <v>Yes</v>
      </c>
      <c r="S86" t="s">
        <v>16</v>
      </c>
    </row>
    <row r="87" spans="1:19" x14ac:dyDescent="0.3">
      <c r="A87" s="1" t="s">
        <v>123</v>
      </c>
      <c r="B87" t="s">
        <v>1596</v>
      </c>
      <c r="C87" t="s">
        <v>1685</v>
      </c>
      <c r="D87" t="str">
        <f t="shared" si="4"/>
        <v>Male</v>
      </c>
      <c r="E87" t="s">
        <v>9</v>
      </c>
      <c r="F87" s="2">
        <v>28</v>
      </c>
      <c r="G87" s="2" t="str" cm="1">
        <f t="array" ref="G87">_xlfn.IFS(F87&lt;=8,"Child",F87&lt;=17,"Teen",F87&lt;=35,"Adult",F87&lt;=55,"Seniour Adult",F87&gt;=55,"Old Age")</f>
        <v>Adult</v>
      </c>
      <c r="H87" t="s">
        <v>18</v>
      </c>
      <c r="I87" t="s">
        <v>11</v>
      </c>
      <c r="J87" t="str" cm="1">
        <f t="array" ref="J87">_xlfn.IFS(I87="S","Southamptom",I87="Q","Quentown",I87="C","Cherbrug",I87="B","Cabin")</f>
        <v>Southamptom</v>
      </c>
      <c r="K87" t="s">
        <v>15</v>
      </c>
      <c r="L87" s="2">
        <v>10.1</v>
      </c>
      <c r="M87" s="2" t="str" cm="1">
        <f t="array" ref="M87">_xlfn.IFS(L87&lt;=15,"Low Fare",L87&lt;=35,"Medium Fare",L87&lt;=100,"High Fare",L87&gt;=100,"Very High Fare")</f>
        <v>Low Fare</v>
      </c>
      <c r="N87" s="2">
        <v>0</v>
      </c>
      <c r="O87" s="2">
        <v>0</v>
      </c>
      <c r="P87">
        <f t="shared" si="5"/>
        <v>1</v>
      </c>
      <c r="Q87" t="str">
        <f t="shared" si="6"/>
        <v>Alone</v>
      </c>
      <c r="R87" t="str">
        <f t="shared" si="7"/>
        <v>No</v>
      </c>
      <c r="S87" t="s">
        <v>13</v>
      </c>
    </row>
    <row r="88" spans="1:19" x14ac:dyDescent="0.3">
      <c r="A88" s="1" t="s">
        <v>124</v>
      </c>
      <c r="B88" t="s">
        <v>1600</v>
      </c>
      <c r="C88" t="s">
        <v>1686</v>
      </c>
      <c r="D88" t="str">
        <f t="shared" si="4"/>
        <v>Female</v>
      </c>
      <c r="E88" t="s">
        <v>14</v>
      </c>
      <c r="F88" s="2">
        <v>31</v>
      </c>
      <c r="G88" s="2" t="str" cm="1">
        <f t="array" ref="G88">_xlfn.IFS(F88&lt;=8,"Child",F88&lt;=17,"Teen",F88&lt;=35,"Adult",F88&lt;=55,"Seniour Adult",F88&gt;=55,"Old Age")</f>
        <v>Adult</v>
      </c>
      <c r="H88" t="s">
        <v>10</v>
      </c>
      <c r="I88" t="s">
        <v>11</v>
      </c>
      <c r="J88" t="str" cm="1">
        <f t="array" ref="J88">_xlfn.IFS(I88="S","Southamptom",I88="Q","Quentown",I88="C","Cherbrug",I88="B","Cabin")</f>
        <v>Southamptom</v>
      </c>
      <c r="K88" t="s">
        <v>35</v>
      </c>
      <c r="L88" s="2">
        <v>8.1308000000000007</v>
      </c>
      <c r="M88" s="2" t="str" cm="1">
        <f t="array" ref="M88">_xlfn.IFS(L88&lt;=15,"Low Fare",L88&lt;=35,"Medium Fare",L88&lt;=100,"High Fare",L88&gt;=100,"Very High Fare")</f>
        <v>Low Fare</v>
      </c>
      <c r="N88" s="2">
        <v>0</v>
      </c>
      <c r="O88" s="2">
        <v>0</v>
      </c>
      <c r="P88">
        <f t="shared" si="5"/>
        <v>1</v>
      </c>
      <c r="Q88" t="str">
        <f t="shared" si="6"/>
        <v>Alone</v>
      </c>
      <c r="R88" t="str">
        <f t="shared" si="7"/>
        <v>Yes</v>
      </c>
      <c r="S88" t="s">
        <v>16</v>
      </c>
    </row>
    <row r="89" spans="1:19" x14ac:dyDescent="0.3">
      <c r="A89" s="1" t="s">
        <v>125</v>
      </c>
      <c r="B89" t="s">
        <v>1602</v>
      </c>
      <c r="C89" t="s">
        <v>1687</v>
      </c>
      <c r="D89" t="str">
        <f t="shared" si="4"/>
        <v>Female</v>
      </c>
      <c r="E89" t="s">
        <v>14</v>
      </c>
      <c r="F89" s="2">
        <v>18</v>
      </c>
      <c r="G89" s="2" t="str" cm="1">
        <f t="array" ref="G89">_xlfn.IFS(F89&lt;=8,"Child",F89&lt;=17,"Teen",F89&lt;=35,"Adult",F89&lt;=55,"Seniour Adult",F89&gt;=55,"Old Age")</f>
        <v>Adult</v>
      </c>
      <c r="H89" t="s">
        <v>10</v>
      </c>
      <c r="I89" t="s">
        <v>19</v>
      </c>
      <c r="J89" t="str" cm="1">
        <f t="array" ref="J89">_xlfn.IFS(I89="S","Southamptom",I89="Q","Quentown",I89="C","Cherbrug",I89="B","Cabin")</f>
        <v>Cherbrug</v>
      </c>
      <c r="K89" t="s">
        <v>21</v>
      </c>
      <c r="L89" s="2">
        <v>14.0901</v>
      </c>
      <c r="M89" s="2" t="str" cm="1">
        <f t="array" ref="M89">_xlfn.IFS(L89&lt;=15,"Low Fare",L89&lt;=35,"Medium Fare",L89&lt;=100,"High Fare",L89&gt;=100,"Very High Fare")</f>
        <v>Low Fare</v>
      </c>
      <c r="N89" s="2">
        <v>0</v>
      </c>
      <c r="O89" s="2">
        <v>1</v>
      </c>
      <c r="P89">
        <f t="shared" si="5"/>
        <v>2</v>
      </c>
      <c r="Q89" t="str">
        <f t="shared" si="6"/>
        <v>With Family</v>
      </c>
      <c r="R89" t="str">
        <f t="shared" si="7"/>
        <v>No</v>
      </c>
      <c r="S89" t="s">
        <v>13</v>
      </c>
    </row>
    <row r="90" spans="1:19" x14ac:dyDescent="0.3">
      <c r="A90" s="1" t="s">
        <v>125</v>
      </c>
      <c r="B90" t="s">
        <v>1600</v>
      </c>
      <c r="C90" t="s">
        <v>1688</v>
      </c>
      <c r="D90" t="str">
        <f t="shared" si="4"/>
        <v>Female</v>
      </c>
      <c r="E90" t="s">
        <v>14</v>
      </c>
      <c r="F90" s="2">
        <v>45</v>
      </c>
      <c r="G90" s="2" t="str" cm="1">
        <f t="array" ref="G90">_xlfn.IFS(F90&lt;=8,"Child",F90&lt;=17,"Teen",F90&lt;=35,"Adult",F90&lt;=55,"Seniour Adult",F90&gt;=55,"Old Age")</f>
        <v>Seniour Adult</v>
      </c>
      <c r="H90" t="s">
        <v>10</v>
      </c>
      <c r="I90" t="s">
        <v>19</v>
      </c>
      <c r="J90" t="str" cm="1">
        <f t="array" ref="J90">_xlfn.IFS(I90="S","Southamptom",I90="Q","Quentown",I90="C","Cherbrug",I90="B","Cabin")</f>
        <v>Cherbrug</v>
      </c>
      <c r="K90" t="s">
        <v>21</v>
      </c>
      <c r="L90" s="2">
        <v>14.0901</v>
      </c>
      <c r="M90" s="2" t="str" cm="1">
        <f t="array" ref="M90">_xlfn.IFS(L90&lt;=15,"Low Fare",L90&lt;=35,"Medium Fare",L90&lt;=100,"High Fare",L90&gt;=100,"Very High Fare")</f>
        <v>Low Fare</v>
      </c>
      <c r="N90" s="2">
        <v>0</v>
      </c>
      <c r="O90" s="2">
        <v>1</v>
      </c>
      <c r="P90">
        <f t="shared" si="5"/>
        <v>2</v>
      </c>
      <c r="Q90" t="str">
        <f t="shared" si="6"/>
        <v>With Family</v>
      </c>
      <c r="R90" t="str">
        <f t="shared" si="7"/>
        <v>No</v>
      </c>
      <c r="S90" t="s">
        <v>13</v>
      </c>
    </row>
    <row r="91" spans="1:19" x14ac:dyDescent="0.3">
      <c r="A91" s="1" t="s">
        <v>126</v>
      </c>
      <c r="B91" t="s">
        <v>1602</v>
      </c>
      <c r="C91" t="s">
        <v>1689</v>
      </c>
      <c r="D91" t="str">
        <f t="shared" si="4"/>
        <v>Female</v>
      </c>
      <c r="E91" t="s">
        <v>14</v>
      </c>
      <c r="F91" s="2">
        <v>27</v>
      </c>
      <c r="G91" s="2" t="str" cm="1">
        <f t="array" ref="G91">_xlfn.IFS(F91&lt;=8,"Child",F91&lt;=17,"Teen",F91&lt;=35,"Adult",F91&lt;=55,"Seniour Adult",F91&gt;=55,"Old Age")</f>
        <v>Adult</v>
      </c>
      <c r="H91" t="s">
        <v>25</v>
      </c>
      <c r="I91" t="s">
        <v>11</v>
      </c>
      <c r="J91" t="str" cm="1">
        <f t="array" ref="J91">_xlfn.IFS(I91="S","Southamptom",I91="Q","Quentown",I91="C","Cherbrug",I91="B","Cabin")</f>
        <v>Southamptom</v>
      </c>
      <c r="K91" t="s">
        <v>15</v>
      </c>
      <c r="L91" s="2">
        <v>78.17</v>
      </c>
      <c r="M91" s="2" t="str" cm="1">
        <f t="array" ref="M91">_xlfn.IFS(L91&lt;=15,"Low Fare",L91&lt;=35,"Medium Fare",L91&lt;=100,"High Fare",L91&gt;=100,"Very High Fare")</f>
        <v>High Fare</v>
      </c>
      <c r="N91" s="2">
        <v>0</v>
      </c>
      <c r="O91" s="2">
        <v>0</v>
      </c>
      <c r="P91">
        <f t="shared" si="5"/>
        <v>1</v>
      </c>
      <c r="Q91" t="str">
        <f t="shared" si="6"/>
        <v>Alone</v>
      </c>
      <c r="R91" t="str">
        <f t="shared" si="7"/>
        <v>Yes</v>
      </c>
      <c r="S91" t="s">
        <v>16</v>
      </c>
    </row>
    <row r="92" spans="1:19" x14ac:dyDescent="0.3">
      <c r="A92" s="1" t="s">
        <v>127</v>
      </c>
      <c r="B92" t="s">
        <v>1596</v>
      </c>
      <c r="C92" t="s">
        <v>1690</v>
      </c>
      <c r="D92" t="str">
        <f t="shared" si="4"/>
        <v>Male</v>
      </c>
      <c r="E92" t="s">
        <v>9</v>
      </c>
      <c r="F92" s="2">
        <v>47</v>
      </c>
      <c r="G92" s="2" t="str" cm="1">
        <f t="array" ref="G92">_xlfn.IFS(F92&lt;=8,"Child",F92&lt;=17,"Teen",F92&lt;=35,"Adult",F92&lt;=55,"Seniour Adult",F92&gt;=55,"Old Age")</f>
        <v>Seniour Adult</v>
      </c>
      <c r="H92" t="s">
        <v>25</v>
      </c>
      <c r="I92" t="s">
        <v>11</v>
      </c>
      <c r="J92" t="str" cm="1">
        <f t="array" ref="J92">_xlfn.IFS(I92="S","Southamptom",I92="Q","Quentown",I92="C","Cherbrug",I92="B","Cabin")</f>
        <v>Southamptom</v>
      </c>
      <c r="K92" t="s">
        <v>15</v>
      </c>
      <c r="L92" s="2">
        <v>30</v>
      </c>
      <c r="M92" s="2" t="str" cm="1">
        <f t="array" ref="M92">_xlfn.IFS(L92&lt;=15,"Low Fare",L92&lt;=35,"Medium Fare",L92&lt;=100,"High Fare",L92&gt;=100,"Very High Fare")</f>
        <v>Medium Fare</v>
      </c>
      <c r="N92" s="2">
        <v>0</v>
      </c>
      <c r="O92" s="2">
        <v>0</v>
      </c>
      <c r="P92">
        <f t="shared" si="5"/>
        <v>1</v>
      </c>
      <c r="Q92" t="str">
        <f t="shared" si="6"/>
        <v>Alone</v>
      </c>
      <c r="R92" t="str">
        <f t="shared" si="7"/>
        <v>Yes</v>
      </c>
      <c r="S92" t="s">
        <v>16</v>
      </c>
    </row>
    <row r="93" spans="1:19" x14ac:dyDescent="0.3">
      <c r="A93" s="1" t="s">
        <v>128</v>
      </c>
      <c r="B93" t="s">
        <v>1602</v>
      </c>
      <c r="C93" t="s">
        <v>1691</v>
      </c>
      <c r="D93" t="str">
        <f t="shared" si="4"/>
        <v>Female</v>
      </c>
      <c r="E93" t="s">
        <v>14</v>
      </c>
      <c r="F93" s="2">
        <v>30</v>
      </c>
      <c r="G93" s="2" t="str" cm="1">
        <f t="array" ref="G93">_xlfn.IFS(F93&lt;=8,"Child",F93&lt;=17,"Teen",F93&lt;=35,"Adult",F93&lt;=55,"Seniour Adult",F93&gt;=55,"Old Age")</f>
        <v>Adult</v>
      </c>
      <c r="H93" t="s">
        <v>10</v>
      </c>
      <c r="I93" t="s">
        <v>36</v>
      </c>
      <c r="J93" t="str" cm="1">
        <f t="array" ref="J93">_xlfn.IFS(I93="S","Southamptom",I93="Q","Quentown",I93="C","Cherbrug",I93="B","Cabin")</f>
        <v>Quentown</v>
      </c>
      <c r="K93" t="s">
        <v>37</v>
      </c>
      <c r="L93" s="2">
        <v>7.1707000000000001</v>
      </c>
      <c r="M93" s="2" t="str" cm="1">
        <f t="array" ref="M93">_xlfn.IFS(L93&lt;=15,"Low Fare",L93&lt;=35,"Medium Fare",L93&lt;=100,"High Fare",L93&gt;=100,"Very High Fare")</f>
        <v>Low Fare</v>
      </c>
      <c r="N93" s="2">
        <v>0</v>
      </c>
      <c r="O93" s="2">
        <v>0</v>
      </c>
      <c r="P93">
        <f t="shared" si="5"/>
        <v>1</v>
      </c>
      <c r="Q93" t="str">
        <f t="shared" si="6"/>
        <v>Alone</v>
      </c>
      <c r="R93" t="str">
        <f t="shared" si="7"/>
        <v>No</v>
      </c>
      <c r="S93" t="s">
        <v>13</v>
      </c>
    </row>
    <row r="94" spans="1:19" x14ac:dyDescent="0.3">
      <c r="A94" s="1" t="s">
        <v>129</v>
      </c>
      <c r="B94" t="s">
        <v>1596</v>
      </c>
      <c r="C94" t="s">
        <v>1692</v>
      </c>
      <c r="D94" t="str">
        <f t="shared" si="4"/>
        <v>Male</v>
      </c>
      <c r="E94" t="s">
        <v>9</v>
      </c>
      <c r="F94" s="2">
        <v>22</v>
      </c>
      <c r="G94" s="2" t="str" cm="1">
        <f t="array" ref="G94">_xlfn.IFS(F94&lt;=8,"Child",F94&lt;=17,"Teen",F94&lt;=35,"Adult",F94&lt;=55,"Seniour Adult",F94&gt;=55,"Old Age")</f>
        <v>Adult</v>
      </c>
      <c r="H94" t="s">
        <v>10</v>
      </c>
      <c r="I94" t="s">
        <v>11</v>
      </c>
      <c r="J94" t="str" cm="1">
        <f t="array" ref="J94">_xlfn.IFS(I94="S","Southamptom",I94="Q","Quentown",I94="C","Cherbrug",I94="B","Cabin")</f>
        <v>Southamptom</v>
      </c>
      <c r="K94" t="s">
        <v>15</v>
      </c>
      <c r="L94" s="2">
        <v>8.01</v>
      </c>
      <c r="M94" s="2" t="str" cm="1">
        <f t="array" ref="M94">_xlfn.IFS(L94&lt;=15,"Low Fare",L94&lt;=35,"Medium Fare",L94&lt;=100,"High Fare",L94&gt;=100,"Very High Fare")</f>
        <v>Low Fare</v>
      </c>
      <c r="N94" s="2">
        <v>0</v>
      </c>
      <c r="O94" s="2">
        <v>0</v>
      </c>
      <c r="P94">
        <f t="shared" si="5"/>
        <v>1</v>
      </c>
      <c r="Q94" t="str">
        <f t="shared" si="6"/>
        <v>Alone</v>
      </c>
      <c r="R94" t="str">
        <f t="shared" si="7"/>
        <v>No</v>
      </c>
      <c r="S94" t="s">
        <v>13</v>
      </c>
    </row>
    <row r="95" spans="1:19" x14ac:dyDescent="0.3">
      <c r="A95" s="1" t="s">
        <v>130</v>
      </c>
      <c r="B95" t="s">
        <v>1600</v>
      </c>
      <c r="C95" t="s">
        <v>1693</v>
      </c>
      <c r="D95" t="str">
        <f t="shared" si="4"/>
        <v>Female</v>
      </c>
      <c r="E95" t="s">
        <v>14</v>
      </c>
      <c r="F95" s="2">
        <v>32</v>
      </c>
      <c r="G95" s="2" t="str" cm="1">
        <f t="array" ref="G95">_xlfn.IFS(F95&lt;=8,"Child",F95&lt;=17,"Teen",F95&lt;=35,"Adult",F95&lt;=55,"Seniour Adult",F95&gt;=55,"Old Age")</f>
        <v>Adult</v>
      </c>
      <c r="H95" t="s">
        <v>25</v>
      </c>
      <c r="I95" t="s">
        <v>19</v>
      </c>
      <c r="J95" t="str" cm="1">
        <f t="array" ref="J95">_xlfn.IFS(I95="S","Southamptom",I95="Q","Quentown",I95="C","Cherbrug",I95="B","Cabin")</f>
        <v>Cherbrug</v>
      </c>
      <c r="K95" t="s">
        <v>38</v>
      </c>
      <c r="L95" s="2">
        <v>76.051000000000002</v>
      </c>
      <c r="M95" s="2" t="str" cm="1">
        <f t="array" ref="M95">_xlfn.IFS(L95&lt;=15,"Low Fare",L95&lt;=35,"Medium Fare",L95&lt;=100,"High Fare",L95&gt;=100,"Very High Fare")</f>
        <v>High Fare</v>
      </c>
      <c r="N95" s="2">
        <v>0</v>
      </c>
      <c r="O95" s="2">
        <v>0</v>
      </c>
      <c r="P95">
        <f t="shared" si="5"/>
        <v>1</v>
      </c>
      <c r="Q95" t="str">
        <f t="shared" si="6"/>
        <v>Alone</v>
      </c>
      <c r="R95" t="str">
        <f t="shared" si="7"/>
        <v>Yes</v>
      </c>
      <c r="S95" t="s">
        <v>16</v>
      </c>
    </row>
    <row r="96" spans="1:19" x14ac:dyDescent="0.3">
      <c r="A96" s="1" t="s">
        <v>131</v>
      </c>
      <c r="B96" t="s">
        <v>1694</v>
      </c>
      <c r="C96" t="s">
        <v>1695</v>
      </c>
      <c r="D96" t="str">
        <f t="shared" si="4"/>
        <v>Male</v>
      </c>
      <c r="E96" t="s">
        <v>9</v>
      </c>
      <c r="F96" s="2">
        <v>52</v>
      </c>
      <c r="G96" s="2" t="str" cm="1">
        <f t="array" ref="G96">_xlfn.IFS(F96&lt;=8,"Child",F96&lt;=17,"Teen",F96&lt;=35,"Adult",F96&lt;=55,"Seniour Adult",F96&gt;=55,"Old Age")</f>
        <v>Seniour Adult</v>
      </c>
      <c r="H96" t="s">
        <v>18</v>
      </c>
      <c r="I96" t="s">
        <v>11</v>
      </c>
      <c r="J96" t="str" cm="1">
        <f t="array" ref="J96">_xlfn.IFS(I96="S","Southamptom",I96="Q","Quentown",I96="C","Cherbrug",I96="B","Cabin")</f>
        <v>Southamptom</v>
      </c>
      <c r="K96" t="s">
        <v>15</v>
      </c>
      <c r="L96" s="2">
        <v>12.1006</v>
      </c>
      <c r="M96" s="2" t="str" cm="1">
        <f t="array" ref="M96">_xlfn.IFS(L96&lt;=15,"Low Fare",L96&lt;=35,"Medium Fare",L96&lt;=100,"High Fare",L96&gt;=100,"Very High Fare")</f>
        <v>Low Fare</v>
      </c>
      <c r="N96" s="2">
        <v>0</v>
      </c>
      <c r="O96" s="2">
        <v>0</v>
      </c>
      <c r="P96">
        <f t="shared" si="5"/>
        <v>1</v>
      </c>
      <c r="Q96" t="str">
        <f t="shared" si="6"/>
        <v>Alone</v>
      </c>
      <c r="R96" t="str">
        <f t="shared" si="7"/>
        <v>No</v>
      </c>
      <c r="S96" t="s">
        <v>13</v>
      </c>
    </row>
    <row r="97" spans="1:19" x14ac:dyDescent="0.3">
      <c r="A97" s="1" t="s">
        <v>132</v>
      </c>
      <c r="B97" t="s">
        <v>1596</v>
      </c>
      <c r="C97" t="s">
        <v>1696</v>
      </c>
      <c r="D97" t="str">
        <f t="shared" si="4"/>
        <v>Male</v>
      </c>
      <c r="E97" t="s">
        <v>9</v>
      </c>
      <c r="F97" s="2">
        <v>23</v>
      </c>
      <c r="G97" s="2" t="str" cm="1">
        <f t="array" ref="G97">_xlfn.IFS(F97&lt;=8,"Child",F97&lt;=17,"Teen",F97&lt;=35,"Adult",F97&lt;=55,"Seniour Adult",F97&gt;=55,"Old Age")</f>
        <v>Adult</v>
      </c>
      <c r="H97" t="s">
        <v>10</v>
      </c>
      <c r="I97" t="s">
        <v>11</v>
      </c>
      <c r="J97" t="str" cm="1">
        <f t="array" ref="J97">_xlfn.IFS(I97="S","Southamptom",I97="Q","Quentown",I97="C","Cherbrug",I97="B","Cabin")</f>
        <v>Southamptom</v>
      </c>
      <c r="K97" t="s">
        <v>31</v>
      </c>
      <c r="L97" s="2">
        <v>7.1711</v>
      </c>
      <c r="M97" s="2" t="str" cm="1">
        <f t="array" ref="M97">_xlfn.IFS(L97&lt;=15,"Low Fare",L97&lt;=35,"Medium Fare",L97&lt;=100,"High Fare",L97&gt;=100,"Very High Fare")</f>
        <v>Low Fare</v>
      </c>
      <c r="N97" s="2">
        <v>0</v>
      </c>
      <c r="O97" s="2">
        <v>0</v>
      </c>
      <c r="P97">
        <f t="shared" si="5"/>
        <v>1</v>
      </c>
      <c r="Q97" t="str">
        <f t="shared" si="6"/>
        <v>Alone</v>
      </c>
      <c r="R97" t="str">
        <f t="shared" si="7"/>
        <v>No</v>
      </c>
      <c r="S97" t="s">
        <v>13</v>
      </c>
    </row>
    <row r="98" spans="1:19" x14ac:dyDescent="0.3">
      <c r="A98" s="1" t="s">
        <v>133</v>
      </c>
      <c r="B98" t="s">
        <v>1596</v>
      </c>
      <c r="C98" t="s">
        <v>1697</v>
      </c>
      <c r="D98" t="str">
        <f t="shared" si="4"/>
        <v>Male</v>
      </c>
      <c r="E98" t="s">
        <v>9</v>
      </c>
      <c r="F98" s="2">
        <v>60</v>
      </c>
      <c r="G98" s="2" t="str" cm="1">
        <f t="array" ref="G98">_xlfn.IFS(F98&lt;=8,"Child",F98&lt;=17,"Teen",F98&lt;=35,"Adult",F98&lt;=55,"Seniour Adult",F98&gt;=55,"Old Age")</f>
        <v>Old Age</v>
      </c>
      <c r="H98" t="s">
        <v>25</v>
      </c>
      <c r="I98" t="s">
        <v>19</v>
      </c>
      <c r="J98" t="str" cm="1">
        <f t="array" ref="J98">_xlfn.IFS(I98="S","Southamptom",I98="Q","Quentown",I98="C","Cherbrug",I98="B","Cabin")</f>
        <v>Cherbrug</v>
      </c>
      <c r="K98" t="s">
        <v>12</v>
      </c>
      <c r="L98" s="2">
        <v>25.180599999999998</v>
      </c>
      <c r="M98" s="2" t="str" cm="1">
        <f t="array" ref="M98">_xlfn.IFS(L98&lt;=15,"Low Fare",L98&lt;=35,"Medium Fare",L98&lt;=100,"High Fare",L98&gt;=100,"Very High Fare")</f>
        <v>Medium Fare</v>
      </c>
      <c r="N98" s="2">
        <v>0</v>
      </c>
      <c r="O98" s="2">
        <v>0</v>
      </c>
      <c r="P98">
        <f t="shared" si="5"/>
        <v>1</v>
      </c>
      <c r="Q98" t="str">
        <f t="shared" si="6"/>
        <v>Alone</v>
      </c>
      <c r="R98" t="str">
        <f t="shared" si="7"/>
        <v>No</v>
      </c>
      <c r="S98" t="s">
        <v>13</v>
      </c>
    </row>
    <row r="99" spans="1:19" x14ac:dyDescent="0.3">
      <c r="A99" s="1" t="s">
        <v>134</v>
      </c>
      <c r="B99" t="s">
        <v>1596</v>
      </c>
      <c r="C99" t="s">
        <v>1698</v>
      </c>
      <c r="D99" t="str">
        <f t="shared" si="4"/>
        <v>Male</v>
      </c>
      <c r="E99" t="s">
        <v>9</v>
      </c>
      <c r="F99" s="2">
        <v>24</v>
      </c>
      <c r="G99" s="2" t="str" cm="1">
        <f t="array" ref="G99">_xlfn.IFS(F99&lt;=8,"Child",F99&lt;=17,"Teen",F99&lt;=35,"Adult",F99&lt;=55,"Seniour Adult",F99&gt;=55,"Old Age")</f>
        <v>Adult</v>
      </c>
      <c r="H99" t="s">
        <v>25</v>
      </c>
      <c r="I99" t="s">
        <v>19</v>
      </c>
      <c r="J99" t="str" cm="1">
        <f t="array" ref="J99">_xlfn.IFS(I99="S","Southamptom",I99="Q","Quentown",I99="C","Cherbrug",I99="B","Cabin")</f>
        <v>Cherbrug</v>
      </c>
      <c r="K99" t="s">
        <v>26</v>
      </c>
      <c r="L99" s="2">
        <v>247.10050000000001</v>
      </c>
      <c r="M99" s="2" t="str" cm="1">
        <f t="array" ref="M99">_xlfn.IFS(L99&lt;=15,"Low Fare",L99&lt;=35,"Medium Fare",L99&lt;=100,"High Fare",L99&gt;=100,"Very High Fare")</f>
        <v>Very High Fare</v>
      </c>
      <c r="N99" s="2">
        <v>0</v>
      </c>
      <c r="O99" s="2">
        <v>1</v>
      </c>
      <c r="P99">
        <f t="shared" si="5"/>
        <v>2</v>
      </c>
      <c r="Q99" t="str">
        <f t="shared" si="6"/>
        <v>With Family</v>
      </c>
      <c r="R99" t="str">
        <f t="shared" si="7"/>
        <v>No</v>
      </c>
      <c r="S99" t="s">
        <v>13</v>
      </c>
    </row>
    <row r="100" spans="1:19" x14ac:dyDescent="0.3">
      <c r="A100" s="1" t="s">
        <v>134</v>
      </c>
      <c r="B100" t="s">
        <v>1600</v>
      </c>
      <c r="C100" t="s">
        <v>1699</v>
      </c>
      <c r="D100" t="str">
        <f t="shared" si="4"/>
        <v>Female</v>
      </c>
      <c r="E100" t="s">
        <v>14</v>
      </c>
      <c r="F100" s="2">
        <v>50</v>
      </c>
      <c r="G100" s="2" t="str" cm="1">
        <f t="array" ref="G100">_xlfn.IFS(F100&lt;=8,"Child",F100&lt;=17,"Teen",F100&lt;=35,"Adult",F100&lt;=55,"Seniour Adult",F100&gt;=55,"Old Age")</f>
        <v>Seniour Adult</v>
      </c>
      <c r="H100" t="s">
        <v>25</v>
      </c>
      <c r="I100" t="s">
        <v>19</v>
      </c>
      <c r="J100" t="str" cm="1">
        <f t="array" ref="J100">_xlfn.IFS(I100="S","Southamptom",I100="Q","Quentown",I100="C","Cherbrug",I100="B","Cabin")</f>
        <v>Cherbrug</v>
      </c>
      <c r="K100" t="s">
        <v>26</v>
      </c>
      <c r="L100" s="2">
        <v>247.10050000000001</v>
      </c>
      <c r="M100" s="2" t="str" cm="1">
        <f t="array" ref="M100">_xlfn.IFS(L100&lt;=15,"Low Fare",L100&lt;=35,"Medium Fare",L100&lt;=100,"High Fare",L100&gt;=100,"Very High Fare")</f>
        <v>Very High Fare</v>
      </c>
      <c r="N100" s="2">
        <v>0</v>
      </c>
      <c r="O100" s="2">
        <v>1</v>
      </c>
      <c r="P100">
        <f t="shared" si="5"/>
        <v>2</v>
      </c>
      <c r="Q100" t="str">
        <f t="shared" si="6"/>
        <v>With Family</v>
      </c>
      <c r="R100" t="str">
        <f t="shared" si="7"/>
        <v>Yes</v>
      </c>
      <c r="S100" t="s">
        <v>16</v>
      </c>
    </row>
    <row r="101" spans="1:19" x14ac:dyDescent="0.3">
      <c r="A101" s="1" t="s">
        <v>135</v>
      </c>
      <c r="B101" t="s">
        <v>1596</v>
      </c>
      <c r="C101" t="s">
        <v>1700</v>
      </c>
      <c r="D101" t="str">
        <f t="shared" si="4"/>
        <v>Male</v>
      </c>
      <c r="E101" t="s">
        <v>9</v>
      </c>
      <c r="F101" s="2">
        <v>32</v>
      </c>
      <c r="G101" s="2" t="str" cm="1">
        <f t="array" ref="G101">_xlfn.IFS(F101&lt;=8,"Child",F101&lt;=17,"Teen",F101&lt;=35,"Adult",F101&lt;=55,"Seniour Adult",F101&gt;=55,"Old Age")</f>
        <v>Adult</v>
      </c>
      <c r="H101" t="s">
        <v>18</v>
      </c>
      <c r="I101" t="s">
        <v>11</v>
      </c>
      <c r="J101" t="str" cm="1">
        <f t="array" ref="J101">_xlfn.IFS(I101="S","Southamptom",I101="Q","Quentown",I101="C","Cherbrug",I101="B","Cabin")</f>
        <v>Southamptom</v>
      </c>
      <c r="K101" t="s">
        <v>15</v>
      </c>
      <c r="L101" s="2">
        <v>26</v>
      </c>
      <c r="M101" s="2" t="str" cm="1">
        <f t="array" ref="M101">_xlfn.IFS(L101&lt;=15,"Low Fare",L101&lt;=35,"Medium Fare",L101&lt;=100,"High Fare",L101&gt;=100,"Very High Fare")</f>
        <v>Medium Fare</v>
      </c>
      <c r="N101" s="2">
        <v>1</v>
      </c>
      <c r="O101" s="2">
        <v>0</v>
      </c>
      <c r="P101">
        <f t="shared" si="5"/>
        <v>2</v>
      </c>
      <c r="Q101" t="str">
        <f t="shared" si="6"/>
        <v>With Family</v>
      </c>
      <c r="R101" t="str">
        <f t="shared" si="7"/>
        <v>Yes</v>
      </c>
      <c r="S101" t="s">
        <v>16</v>
      </c>
    </row>
    <row r="102" spans="1:19" x14ac:dyDescent="0.3">
      <c r="A102" s="1" t="s">
        <v>135</v>
      </c>
      <c r="B102" t="s">
        <v>1600</v>
      </c>
      <c r="C102" t="s">
        <v>1701</v>
      </c>
      <c r="D102" t="str">
        <f t="shared" si="4"/>
        <v>Female</v>
      </c>
      <c r="E102" t="s">
        <v>14</v>
      </c>
      <c r="F102" s="2">
        <v>22</v>
      </c>
      <c r="G102" s="2" t="str" cm="1">
        <f t="array" ref="G102">_xlfn.IFS(F102&lt;=8,"Child",F102&lt;=17,"Teen",F102&lt;=35,"Adult",F102&lt;=55,"Seniour Adult",F102&gt;=55,"Old Age")</f>
        <v>Adult</v>
      </c>
      <c r="H102" t="s">
        <v>18</v>
      </c>
      <c r="I102" t="s">
        <v>11</v>
      </c>
      <c r="J102" t="str" cm="1">
        <f t="array" ref="J102">_xlfn.IFS(I102="S","Southamptom",I102="Q","Quentown",I102="C","Cherbrug",I102="B","Cabin")</f>
        <v>Southamptom</v>
      </c>
      <c r="K102" t="s">
        <v>15</v>
      </c>
      <c r="L102" s="2">
        <v>26</v>
      </c>
      <c r="M102" s="2" t="str" cm="1">
        <f t="array" ref="M102">_xlfn.IFS(L102&lt;=15,"Low Fare",L102&lt;=35,"Medium Fare",L102&lt;=100,"High Fare",L102&gt;=100,"Very High Fare")</f>
        <v>Medium Fare</v>
      </c>
      <c r="N102" s="2">
        <v>1</v>
      </c>
      <c r="O102" s="2">
        <v>0</v>
      </c>
      <c r="P102">
        <f t="shared" si="5"/>
        <v>2</v>
      </c>
      <c r="Q102" t="str">
        <f t="shared" si="6"/>
        <v>With Family</v>
      </c>
      <c r="R102" t="str">
        <f t="shared" si="7"/>
        <v>Yes</v>
      </c>
      <c r="S102" t="s">
        <v>16</v>
      </c>
    </row>
    <row r="103" spans="1:19" x14ac:dyDescent="0.3">
      <c r="A103" s="1" t="s">
        <v>136</v>
      </c>
      <c r="B103" t="s">
        <v>1596</v>
      </c>
      <c r="C103" t="s">
        <v>1702</v>
      </c>
      <c r="D103" t="str">
        <f t="shared" si="4"/>
        <v>Male</v>
      </c>
      <c r="E103" t="s">
        <v>9</v>
      </c>
      <c r="F103" s="2">
        <v>36</v>
      </c>
      <c r="G103" s="2" t="str" cm="1">
        <f t="array" ref="G103">_xlfn.IFS(F103&lt;=8,"Child",F103&lt;=17,"Teen",F103&lt;=35,"Adult",F103&lt;=55,"Seniour Adult",F103&gt;=55,"Old Age")</f>
        <v>Seniour Adult</v>
      </c>
      <c r="H103" t="s">
        <v>25</v>
      </c>
      <c r="I103" t="s">
        <v>11</v>
      </c>
      <c r="J103" t="str" cm="1">
        <f t="array" ref="J103">_xlfn.IFS(I103="S","Southamptom",I103="Q","Quentown",I103="C","Cherbrug",I103="B","Cabin")</f>
        <v>Southamptom</v>
      </c>
      <c r="K103" t="s">
        <v>26</v>
      </c>
      <c r="L103" s="2">
        <v>75.040999999999997</v>
      </c>
      <c r="M103" s="2" t="str" cm="1">
        <f t="array" ref="M103">_xlfn.IFS(L103&lt;=15,"Low Fare",L103&lt;=35,"Medium Fare",L103&lt;=100,"High Fare",L103&gt;=100,"Very High Fare")</f>
        <v>High Fare</v>
      </c>
      <c r="N103" s="2">
        <v>0</v>
      </c>
      <c r="O103" s="2">
        <v>0</v>
      </c>
      <c r="P103">
        <f t="shared" si="5"/>
        <v>1</v>
      </c>
      <c r="Q103" t="str">
        <f t="shared" si="6"/>
        <v>Alone</v>
      </c>
      <c r="R103" t="str">
        <f t="shared" si="7"/>
        <v>No</v>
      </c>
      <c r="S103" t="s">
        <v>13</v>
      </c>
    </row>
    <row r="104" spans="1:19" x14ac:dyDescent="0.3">
      <c r="A104" s="1" t="s">
        <v>137</v>
      </c>
      <c r="B104" t="s">
        <v>1596</v>
      </c>
      <c r="C104" t="s">
        <v>1703</v>
      </c>
      <c r="D104" t="str">
        <f t="shared" si="4"/>
        <v>Male</v>
      </c>
      <c r="E104" t="s">
        <v>9</v>
      </c>
      <c r="F104" s="2">
        <v>44</v>
      </c>
      <c r="G104" s="2" t="str" cm="1">
        <f t="array" ref="G104">_xlfn.IFS(F104&lt;=8,"Child",F104&lt;=17,"Teen",F104&lt;=35,"Adult",F104&lt;=55,"Seniour Adult",F104&gt;=55,"Old Age")</f>
        <v>Seniour Adult</v>
      </c>
      <c r="H104" t="s">
        <v>18</v>
      </c>
      <c r="I104" t="s">
        <v>11</v>
      </c>
      <c r="J104" t="str" cm="1">
        <f t="array" ref="J104">_xlfn.IFS(I104="S","Southamptom",I104="Q","Quentown",I104="C","Cherbrug",I104="B","Cabin")</f>
        <v>Southamptom</v>
      </c>
      <c r="K104" t="s">
        <v>15</v>
      </c>
      <c r="L104" s="2">
        <v>26</v>
      </c>
      <c r="M104" s="2" t="str" cm="1">
        <f t="array" ref="M104">_xlfn.IFS(L104&lt;=15,"Low Fare",L104&lt;=35,"Medium Fare",L104&lt;=100,"High Fare",L104&gt;=100,"Very High Fare")</f>
        <v>Medium Fare</v>
      </c>
      <c r="N104" s="2">
        <v>0</v>
      </c>
      <c r="O104" s="2">
        <v>0</v>
      </c>
      <c r="P104">
        <f t="shared" si="5"/>
        <v>1</v>
      </c>
      <c r="Q104" t="str">
        <f t="shared" si="6"/>
        <v>Alone</v>
      </c>
      <c r="R104" t="str">
        <f t="shared" si="7"/>
        <v>No</v>
      </c>
      <c r="S104" t="s">
        <v>13</v>
      </c>
    </row>
    <row r="105" spans="1:19" x14ac:dyDescent="0.3">
      <c r="A105" s="1" t="s">
        <v>138</v>
      </c>
      <c r="B105" t="s">
        <v>1596</v>
      </c>
      <c r="C105" t="s">
        <v>1704</v>
      </c>
      <c r="D105" t="str">
        <f t="shared" si="4"/>
        <v>Male</v>
      </c>
      <c r="E105" t="s">
        <v>9</v>
      </c>
      <c r="F105" s="2">
        <v>20</v>
      </c>
      <c r="G105" s="2" t="str" cm="1">
        <f t="array" ref="G105">_xlfn.IFS(F105&lt;=8,"Child",F105&lt;=17,"Teen",F105&lt;=35,"Adult",F105&lt;=55,"Seniour Adult",F105&gt;=55,"Old Age")</f>
        <v>Adult</v>
      </c>
      <c r="H105" t="s">
        <v>10</v>
      </c>
      <c r="I105" t="s">
        <v>11</v>
      </c>
      <c r="J105" t="str" cm="1">
        <f t="array" ref="J105">_xlfn.IFS(I105="S","Southamptom",I105="Q","Quentown",I105="C","Cherbrug",I105="B","Cabin")</f>
        <v>Southamptom</v>
      </c>
      <c r="K105" t="s">
        <v>15</v>
      </c>
      <c r="L105" s="2">
        <v>8.01</v>
      </c>
      <c r="M105" s="2" t="str" cm="1">
        <f t="array" ref="M105">_xlfn.IFS(L105&lt;=15,"Low Fare",L105&lt;=35,"Medium Fare",L105&lt;=100,"High Fare",L105&gt;=100,"Very High Fare")</f>
        <v>Low Fare</v>
      </c>
      <c r="N105" s="2">
        <v>0</v>
      </c>
      <c r="O105" s="2">
        <v>0</v>
      </c>
      <c r="P105">
        <f t="shared" si="5"/>
        <v>1</v>
      </c>
      <c r="Q105" t="str">
        <f t="shared" si="6"/>
        <v>Alone</v>
      </c>
      <c r="R105" t="str">
        <f t="shared" si="7"/>
        <v>No</v>
      </c>
      <c r="S105" t="s">
        <v>13</v>
      </c>
    </row>
    <row r="106" spans="1:19" x14ac:dyDescent="0.3">
      <c r="A106" s="1" t="s">
        <v>139</v>
      </c>
      <c r="B106" t="s">
        <v>1612</v>
      </c>
      <c r="C106" t="s">
        <v>1705</v>
      </c>
      <c r="D106" t="str">
        <f t="shared" si="4"/>
        <v>Male</v>
      </c>
      <c r="E106" t="s">
        <v>9</v>
      </c>
      <c r="F106" s="2">
        <v>1</v>
      </c>
      <c r="G106" s="2" t="str" cm="1">
        <f t="array" ref="G106">_xlfn.IFS(F106&lt;=8,"Child",F106&lt;=17,"Teen",F106&lt;=35,"Adult",F106&lt;=55,"Seniour Adult",F106&gt;=55,"Old Age")</f>
        <v>Child</v>
      </c>
      <c r="H106" t="s">
        <v>18</v>
      </c>
      <c r="I106" t="s">
        <v>11</v>
      </c>
      <c r="J106" t="str" cm="1">
        <f t="array" ref="J106">_xlfn.IFS(I106="S","Southamptom",I106="Q","Quentown",I106="C","Cherbrug",I106="B","Cabin")</f>
        <v>Southamptom</v>
      </c>
      <c r="K106" t="s">
        <v>39</v>
      </c>
      <c r="L106" s="2">
        <v>39</v>
      </c>
      <c r="M106" s="2" t="str" cm="1">
        <f t="array" ref="M106">_xlfn.IFS(L106&lt;=15,"Low Fare",L106&lt;=35,"Medium Fare",L106&lt;=100,"High Fare",L106&gt;=100,"Very High Fare")</f>
        <v>High Fare</v>
      </c>
      <c r="N106" s="2">
        <v>2</v>
      </c>
      <c r="O106" s="2">
        <v>1</v>
      </c>
      <c r="P106">
        <f t="shared" si="5"/>
        <v>4</v>
      </c>
      <c r="Q106" t="str">
        <f t="shared" si="6"/>
        <v>With Family</v>
      </c>
      <c r="R106" t="str">
        <f t="shared" si="7"/>
        <v>Yes</v>
      </c>
      <c r="S106" t="s">
        <v>16</v>
      </c>
    </row>
    <row r="107" spans="1:19" x14ac:dyDescent="0.3">
      <c r="A107" s="1" t="s">
        <v>139</v>
      </c>
      <c r="B107" t="s">
        <v>1602</v>
      </c>
      <c r="C107" t="s">
        <v>1706</v>
      </c>
      <c r="D107" t="str">
        <f t="shared" si="4"/>
        <v>Female</v>
      </c>
      <c r="E107" t="s">
        <v>14</v>
      </c>
      <c r="F107" s="2">
        <v>4</v>
      </c>
      <c r="G107" s="2" t="str" cm="1">
        <f t="array" ref="G107">_xlfn.IFS(F107&lt;=8,"Child",F107&lt;=17,"Teen",F107&lt;=35,"Adult",F107&lt;=55,"Seniour Adult",F107&gt;=55,"Old Age")</f>
        <v>Child</v>
      </c>
      <c r="H107" t="s">
        <v>18</v>
      </c>
      <c r="I107" t="s">
        <v>11</v>
      </c>
      <c r="J107" t="str" cm="1">
        <f t="array" ref="J107">_xlfn.IFS(I107="S","Southamptom",I107="Q","Quentown",I107="C","Cherbrug",I107="B","Cabin")</f>
        <v>Southamptom</v>
      </c>
      <c r="K107" t="s">
        <v>39</v>
      </c>
      <c r="L107" s="2">
        <v>39</v>
      </c>
      <c r="M107" s="2" t="str" cm="1">
        <f t="array" ref="M107">_xlfn.IFS(L107&lt;=15,"Low Fare",L107&lt;=35,"Medium Fare",L107&lt;=100,"High Fare",L107&gt;=100,"Very High Fare")</f>
        <v>High Fare</v>
      </c>
      <c r="N107" s="2">
        <v>2</v>
      </c>
      <c r="O107" s="2">
        <v>1</v>
      </c>
      <c r="P107">
        <f t="shared" si="5"/>
        <v>4</v>
      </c>
      <c r="Q107" t="str">
        <f t="shared" si="6"/>
        <v>With Family</v>
      </c>
      <c r="R107" t="str">
        <f t="shared" si="7"/>
        <v>Yes</v>
      </c>
      <c r="S107" t="s">
        <v>16</v>
      </c>
    </row>
    <row r="108" spans="1:19" x14ac:dyDescent="0.3">
      <c r="A108" s="1" t="s">
        <v>139</v>
      </c>
      <c r="B108" t="s">
        <v>1602</v>
      </c>
      <c r="C108" t="s">
        <v>1707</v>
      </c>
      <c r="D108" t="str">
        <f t="shared" si="4"/>
        <v>Female</v>
      </c>
      <c r="E108" t="s">
        <v>14</v>
      </c>
      <c r="F108" s="2">
        <v>12</v>
      </c>
      <c r="G108" s="2" t="str" cm="1">
        <f t="array" ref="G108">_xlfn.IFS(F108&lt;=8,"Child",F108&lt;=17,"Teen",F108&lt;=35,"Adult",F108&lt;=55,"Seniour Adult",F108&gt;=55,"Old Age")</f>
        <v>Teen</v>
      </c>
      <c r="H108" t="s">
        <v>18</v>
      </c>
      <c r="I108" t="s">
        <v>11</v>
      </c>
      <c r="J108" t="str" cm="1">
        <f t="array" ref="J108">_xlfn.IFS(I108="S","Southamptom",I108="Q","Quentown",I108="C","Cherbrug",I108="B","Cabin")</f>
        <v>Southamptom</v>
      </c>
      <c r="K108" t="s">
        <v>39</v>
      </c>
      <c r="L108" s="2">
        <v>39</v>
      </c>
      <c r="M108" s="2" t="str" cm="1">
        <f t="array" ref="M108">_xlfn.IFS(L108&lt;=15,"Low Fare",L108&lt;=35,"Medium Fare",L108&lt;=100,"High Fare",L108&gt;=100,"Very High Fare")</f>
        <v>High Fare</v>
      </c>
      <c r="N108" s="2">
        <v>2</v>
      </c>
      <c r="O108" s="2">
        <v>1</v>
      </c>
      <c r="P108">
        <f t="shared" si="5"/>
        <v>4</v>
      </c>
      <c r="Q108" t="str">
        <f t="shared" si="6"/>
        <v>With Family</v>
      </c>
      <c r="R108" t="str">
        <f t="shared" si="7"/>
        <v>Yes</v>
      </c>
      <c r="S108" t="s">
        <v>16</v>
      </c>
    </row>
    <row r="109" spans="1:19" x14ac:dyDescent="0.3">
      <c r="A109" s="1" t="s">
        <v>139</v>
      </c>
      <c r="B109" t="s">
        <v>1600</v>
      </c>
      <c r="C109" t="s">
        <v>1708</v>
      </c>
      <c r="D109" t="str">
        <f t="shared" si="4"/>
        <v>Female</v>
      </c>
      <c r="E109" t="s">
        <v>14</v>
      </c>
      <c r="F109" s="2">
        <v>35</v>
      </c>
      <c r="G109" s="2" t="str" cm="1">
        <f t="array" ref="G109">_xlfn.IFS(F109&lt;=8,"Child",F109&lt;=17,"Teen",F109&lt;=35,"Adult",F109&lt;=55,"Seniour Adult",F109&gt;=55,"Old Age")</f>
        <v>Adult</v>
      </c>
      <c r="H109" t="s">
        <v>18</v>
      </c>
      <c r="I109" t="s">
        <v>11</v>
      </c>
      <c r="J109" t="str" cm="1">
        <f t="array" ref="J109">_xlfn.IFS(I109="S","Southamptom",I109="Q","Quentown",I109="C","Cherbrug",I109="B","Cabin")</f>
        <v>Southamptom</v>
      </c>
      <c r="K109" t="s">
        <v>12</v>
      </c>
      <c r="L109" s="2">
        <v>39</v>
      </c>
      <c r="M109" s="2" t="str" cm="1">
        <f t="array" ref="M109">_xlfn.IFS(L109&lt;=15,"Low Fare",L109&lt;=35,"Medium Fare",L109&lt;=100,"High Fare",L109&gt;=100,"Very High Fare")</f>
        <v>High Fare</v>
      </c>
      <c r="N109" s="2">
        <v>0</v>
      </c>
      <c r="O109" s="2">
        <v>3</v>
      </c>
      <c r="P109">
        <f t="shared" si="5"/>
        <v>4</v>
      </c>
      <c r="Q109" t="str">
        <f t="shared" si="6"/>
        <v>With Family</v>
      </c>
      <c r="R109" t="str">
        <f t="shared" si="7"/>
        <v>Yes</v>
      </c>
      <c r="S109" t="s">
        <v>16</v>
      </c>
    </row>
    <row r="110" spans="1:19" x14ac:dyDescent="0.3">
      <c r="A110" s="1" t="s">
        <v>140</v>
      </c>
      <c r="B110" t="s">
        <v>1596</v>
      </c>
      <c r="C110" t="s">
        <v>1709</v>
      </c>
      <c r="D110" t="str">
        <f t="shared" si="4"/>
        <v>Male</v>
      </c>
      <c r="E110" t="s">
        <v>9</v>
      </c>
      <c r="F110" s="2">
        <v>37</v>
      </c>
      <c r="G110" s="2" t="str" cm="1">
        <f t="array" ref="G110">_xlfn.IFS(F110&lt;=8,"Child",F110&lt;=17,"Teen",F110&lt;=35,"Adult",F110&lt;=55,"Seniour Adult",F110&gt;=55,"Old Age")</f>
        <v>Seniour Adult</v>
      </c>
      <c r="H110" t="s">
        <v>25</v>
      </c>
      <c r="I110" t="s">
        <v>11</v>
      </c>
      <c r="J110" t="str" cm="1">
        <f t="array" ref="J110">_xlfn.IFS(I110="S","Southamptom",I110="Q","Quentown",I110="C","Cherbrug",I110="B","Cabin")</f>
        <v>Southamptom</v>
      </c>
      <c r="K110" t="s">
        <v>12</v>
      </c>
      <c r="L110" s="2">
        <v>52.110100000000003</v>
      </c>
      <c r="M110" s="2" t="str" cm="1">
        <f t="array" ref="M110">_xlfn.IFS(L110&lt;=15,"Low Fare",L110&lt;=35,"Medium Fare",L110&lt;=100,"High Fare",L110&gt;=100,"Very High Fare")</f>
        <v>High Fare</v>
      </c>
      <c r="N110" s="2">
        <v>1</v>
      </c>
      <c r="O110" s="2">
        <v>1</v>
      </c>
      <c r="P110">
        <f t="shared" si="5"/>
        <v>3</v>
      </c>
      <c r="Q110" t="str">
        <f t="shared" si="6"/>
        <v>With Family</v>
      </c>
      <c r="R110" t="str">
        <f t="shared" si="7"/>
        <v>Yes</v>
      </c>
      <c r="S110" t="s">
        <v>16</v>
      </c>
    </row>
    <row r="111" spans="1:19" x14ac:dyDescent="0.3">
      <c r="A111" s="1" t="s">
        <v>140</v>
      </c>
      <c r="B111" t="s">
        <v>1600</v>
      </c>
      <c r="C111" t="s">
        <v>1710</v>
      </c>
      <c r="D111" t="str">
        <f t="shared" si="4"/>
        <v>Female</v>
      </c>
      <c r="E111" t="s">
        <v>14</v>
      </c>
      <c r="F111" s="2">
        <v>46</v>
      </c>
      <c r="G111" s="2" t="str" cm="1">
        <f t="array" ref="G111">_xlfn.IFS(F111&lt;=8,"Child",F111&lt;=17,"Teen",F111&lt;=35,"Adult",F111&lt;=55,"Seniour Adult",F111&gt;=55,"Old Age")</f>
        <v>Seniour Adult</v>
      </c>
      <c r="H111" t="s">
        <v>25</v>
      </c>
      <c r="I111" t="s">
        <v>11</v>
      </c>
      <c r="J111" t="str" cm="1">
        <f t="array" ref="J111">_xlfn.IFS(I111="S","Southamptom",I111="Q","Quentown",I111="C","Cherbrug",I111="B","Cabin")</f>
        <v>Southamptom</v>
      </c>
      <c r="K111" t="s">
        <v>12</v>
      </c>
      <c r="L111" s="2">
        <v>52.110100000000003</v>
      </c>
      <c r="M111" s="2" t="str" cm="1">
        <f t="array" ref="M111">_xlfn.IFS(L111&lt;=15,"Low Fare",L111&lt;=35,"Medium Fare",L111&lt;=100,"High Fare",L111&gt;=100,"Very High Fare")</f>
        <v>High Fare</v>
      </c>
      <c r="N111" s="2">
        <v>1</v>
      </c>
      <c r="O111" s="2">
        <v>1</v>
      </c>
      <c r="P111">
        <f t="shared" si="5"/>
        <v>3</v>
      </c>
      <c r="Q111" t="str">
        <f t="shared" si="6"/>
        <v>With Family</v>
      </c>
      <c r="R111" t="str">
        <f t="shared" si="7"/>
        <v>Yes</v>
      </c>
      <c r="S111" t="s">
        <v>16</v>
      </c>
    </row>
    <row r="112" spans="1:19" x14ac:dyDescent="0.3">
      <c r="A112" s="1" t="s">
        <v>141</v>
      </c>
      <c r="B112" t="s">
        <v>1596</v>
      </c>
      <c r="C112" t="s">
        <v>1711</v>
      </c>
      <c r="D112" t="str">
        <f t="shared" si="4"/>
        <v>Male</v>
      </c>
      <c r="E112" t="s">
        <v>9</v>
      </c>
      <c r="F112" s="2">
        <v>34</v>
      </c>
      <c r="G112" s="2" t="str" cm="1">
        <f t="array" ref="G112">_xlfn.IFS(F112&lt;=8,"Child",F112&lt;=17,"Teen",F112&lt;=35,"Adult",F112&lt;=55,"Seniour Adult",F112&gt;=55,"Old Age")</f>
        <v>Adult</v>
      </c>
      <c r="H112" t="s">
        <v>18</v>
      </c>
      <c r="I112" t="s">
        <v>11</v>
      </c>
      <c r="J112" t="str" cm="1">
        <f t="array" ref="J112">_xlfn.IFS(I112="S","Southamptom",I112="Q","Quentown",I112="C","Cherbrug",I112="B","Cabin")</f>
        <v>Southamptom</v>
      </c>
      <c r="K112" t="s">
        <v>15</v>
      </c>
      <c r="L112" s="2">
        <v>13</v>
      </c>
      <c r="M112" s="2" t="str" cm="1">
        <f t="array" ref="M112">_xlfn.IFS(L112&lt;=15,"Low Fare",L112&lt;=35,"Medium Fare",L112&lt;=100,"High Fare",L112&gt;=100,"Very High Fare")</f>
        <v>Low Fare</v>
      </c>
      <c r="N112" s="2">
        <v>0</v>
      </c>
      <c r="O112" s="2">
        <v>0</v>
      </c>
      <c r="P112">
        <f t="shared" si="5"/>
        <v>1</v>
      </c>
      <c r="Q112" t="str">
        <f t="shared" si="6"/>
        <v>Alone</v>
      </c>
      <c r="R112" t="str">
        <f t="shared" si="7"/>
        <v>Yes</v>
      </c>
      <c r="S112" t="s">
        <v>16</v>
      </c>
    </row>
    <row r="113" spans="1:19" x14ac:dyDescent="0.3">
      <c r="A113" s="1" t="s">
        <v>142</v>
      </c>
      <c r="B113" t="s">
        <v>1596</v>
      </c>
      <c r="C113" t="s">
        <v>1712</v>
      </c>
      <c r="D113" t="str">
        <f t="shared" si="4"/>
        <v>Male</v>
      </c>
      <c r="E113" t="s">
        <v>9</v>
      </c>
      <c r="F113" s="2">
        <v>26</v>
      </c>
      <c r="G113" s="2" t="str" cm="1">
        <f t="array" ref="G113">_xlfn.IFS(F113&lt;=8,"Child",F113&lt;=17,"Teen",F113&lt;=35,"Adult",F113&lt;=55,"Seniour Adult",F113&gt;=55,"Old Age")</f>
        <v>Adult</v>
      </c>
      <c r="H113" t="s">
        <v>25</v>
      </c>
      <c r="I113" t="s">
        <v>19</v>
      </c>
      <c r="J113" t="str" cm="1">
        <f t="array" ref="J113">_xlfn.IFS(I113="S","Southamptom",I113="Q","Quentown",I113="C","Cherbrug",I113="B","Cabin")</f>
        <v>Cherbrug</v>
      </c>
      <c r="K113" t="s">
        <v>12</v>
      </c>
      <c r="L113" s="2">
        <v>30</v>
      </c>
      <c r="M113" s="2" t="str" cm="1">
        <f t="array" ref="M113">_xlfn.IFS(L113&lt;=15,"Low Fare",L113&lt;=35,"Medium Fare",L113&lt;=100,"High Fare",L113&gt;=100,"Very High Fare")</f>
        <v>Medium Fare</v>
      </c>
      <c r="N113" s="2">
        <v>0</v>
      </c>
      <c r="O113" s="2">
        <v>0</v>
      </c>
      <c r="P113">
        <f t="shared" si="5"/>
        <v>1</v>
      </c>
      <c r="Q113" t="str">
        <f t="shared" si="6"/>
        <v>Alone</v>
      </c>
      <c r="R113" t="str">
        <f t="shared" si="7"/>
        <v>Yes</v>
      </c>
      <c r="S113" t="s">
        <v>16</v>
      </c>
    </row>
    <row r="114" spans="1:19" x14ac:dyDescent="0.3">
      <c r="A114" s="1" t="s">
        <v>143</v>
      </c>
      <c r="B114" t="s">
        <v>1596</v>
      </c>
      <c r="C114" t="s">
        <v>1713</v>
      </c>
      <c r="D114" t="str">
        <f t="shared" si="4"/>
        <v>Male</v>
      </c>
      <c r="E114" t="s">
        <v>9</v>
      </c>
      <c r="F114" s="2">
        <v>26</v>
      </c>
      <c r="G114" s="2" t="str" cm="1">
        <f t="array" ref="G114">_xlfn.IFS(F114&lt;=8,"Child",F114&lt;=17,"Teen",F114&lt;=35,"Adult",F114&lt;=55,"Seniour Adult",F114&gt;=55,"Old Age")</f>
        <v>Adult</v>
      </c>
      <c r="H114" t="s">
        <v>10</v>
      </c>
      <c r="I114" t="s">
        <v>11</v>
      </c>
      <c r="J114" t="str" cm="1">
        <f t="array" ref="J114">_xlfn.IFS(I114="S","Southamptom",I114="Q","Quentown",I114="C","Cherbrug",I114="B","Cabin")</f>
        <v>Southamptom</v>
      </c>
      <c r="K114" t="s">
        <v>23</v>
      </c>
      <c r="L114" s="2">
        <v>7.1505999999999998</v>
      </c>
      <c r="M114" s="2" t="str" cm="1">
        <f t="array" ref="M114">_xlfn.IFS(L114&lt;=15,"Low Fare",L114&lt;=35,"Medium Fare",L114&lt;=100,"High Fare",L114&gt;=100,"Very High Fare")</f>
        <v>Low Fare</v>
      </c>
      <c r="N114" s="2">
        <v>0</v>
      </c>
      <c r="O114" s="2">
        <v>0</v>
      </c>
      <c r="P114">
        <f t="shared" si="5"/>
        <v>1</v>
      </c>
      <c r="Q114" t="str">
        <f t="shared" si="6"/>
        <v>Alone</v>
      </c>
      <c r="R114" t="str">
        <f t="shared" si="7"/>
        <v>No</v>
      </c>
      <c r="S114" t="s">
        <v>13</v>
      </c>
    </row>
    <row r="115" spans="1:19" x14ac:dyDescent="0.3">
      <c r="A115" s="1" t="s">
        <v>144</v>
      </c>
      <c r="B115" t="s">
        <v>1602</v>
      </c>
      <c r="C115" t="s">
        <v>1714</v>
      </c>
      <c r="D115" t="str">
        <f t="shared" si="4"/>
        <v>Female</v>
      </c>
      <c r="E115" t="s">
        <v>14</v>
      </c>
      <c r="F115" s="2">
        <v>19</v>
      </c>
      <c r="G115" s="2" t="str" cm="1">
        <f t="array" ref="G115">_xlfn.IFS(F115&lt;=8,"Child",F115&lt;=17,"Teen",F115&lt;=35,"Adult",F115&lt;=55,"Seniour Adult",F115&gt;=55,"Old Age")</f>
        <v>Adult</v>
      </c>
      <c r="H115" t="s">
        <v>18</v>
      </c>
      <c r="I115" t="s">
        <v>11</v>
      </c>
      <c r="J115" t="str" cm="1">
        <f t="array" ref="J115">_xlfn.IFS(I115="S","Southamptom",I115="Q","Quentown",I115="C","Cherbrug",I115="B","Cabin")</f>
        <v>Southamptom</v>
      </c>
      <c r="K115" t="s">
        <v>12</v>
      </c>
      <c r="L115" s="2">
        <v>13</v>
      </c>
      <c r="M115" s="2" t="str" cm="1">
        <f t="array" ref="M115">_xlfn.IFS(L115&lt;=15,"Low Fare",L115&lt;=35,"Medium Fare",L115&lt;=100,"High Fare",L115&gt;=100,"Very High Fare")</f>
        <v>Low Fare</v>
      </c>
      <c r="N115" s="2">
        <v>0</v>
      </c>
      <c r="O115" s="2">
        <v>0</v>
      </c>
      <c r="P115">
        <f t="shared" si="5"/>
        <v>1</v>
      </c>
      <c r="Q115" t="str">
        <f t="shared" si="6"/>
        <v>Alone</v>
      </c>
      <c r="R115" t="str">
        <f t="shared" si="7"/>
        <v>Yes</v>
      </c>
      <c r="S115" t="s">
        <v>16</v>
      </c>
    </row>
    <row r="116" spans="1:19" x14ac:dyDescent="0.3">
      <c r="A116" s="1" t="s">
        <v>145</v>
      </c>
      <c r="B116" t="s">
        <v>1596</v>
      </c>
      <c r="C116" t="s">
        <v>1715</v>
      </c>
      <c r="D116" t="str">
        <f t="shared" si="4"/>
        <v>Male</v>
      </c>
      <c r="E116" t="s">
        <v>9</v>
      </c>
      <c r="F116" s="2">
        <v>22</v>
      </c>
      <c r="G116" s="2" t="str" cm="1">
        <f t="array" ref="G116">_xlfn.IFS(F116&lt;=8,"Child",F116&lt;=17,"Teen",F116&lt;=35,"Adult",F116&lt;=55,"Seniour Adult",F116&gt;=55,"Old Age")</f>
        <v>Adult</v>
      </c>
      <c r="H116" t="s">
        <v>10</v>
      </c>
      <c r="I116" t="s">
        <v>11</v>
      </c>
      <c r="J116" t="str" cm="1">
        <f t="array" ref="J116">_xlfn.IFS(I116="S","Southamptom",I116="Q","Quentown",I116="C","Cherbrug",I116="B","Cabin")</f>
        <v>Southamptom</v>
      </c>
      <c r="K116" t="s">
        <v>22</v>
      </c>
      <c r="L116" s="2">
        <v>9.07</v>
      </c>
      <c r="M116" s="2" t="str" cm="1">
        <f t="array" ref="M116">_xlfn.IFS(L116&lt;=15,"Low Fare",L116&lt;=35,"Medium Fare",L116&lt;=100,"High Fare",L116&gt;=100,"Very High Fare")</f>
        <v>Low Fare</v>
      </c>
      <c r="N116" s="2">
        <v>0</v>
      </c>
      <c r="O116" s="2">
        <v>0</v>
      </c>
      <c r="P116">
        <f t="shared" si="5"/>
        <v>1</v>
      </c>
      <c r="Q116" t="str">
        <f t="shared" si="6"/>
        <v>Alone</v>
      </c>
      <c r="R116" t="str">
        <f t="shared" si="7"/>
        <v>No</v>
      </c>
      <c r="S116" t="s">
        <v>13</v>
      </c>
    </row>
    <row r="117" spans="1:19" x14ac:dyDescent="0.3">
      <c r="A117" s="1" t="s">
        <v>146</v>
      </c>
      <c r="B117" t="s">
        <v>1596</v>
      </c>
      <c r="C117" t="s">
        <v>1716</v>
      </c>
      <c r="D117" t="str">
        <f t="shared" si="4"/>
        <v>Male</v>
      </c>
      <c r="E117" t="s">
        <v>9</v>
      </c>
      <c r="F117" s="2">
        <v>23</v>
      </c>
      <c r="G117" s="2" t="str" cm="1">
        <f t="array" ref="G117">_xlfn.IFS(F117&lt;=8,"Child",F117&lt;=17,"Teen",F117&lt;=35,"Adult",F117&lt;=55,"Seniour Adult",F117&gt;=55,"Old Age")</f>
        <v>Adult</v>
      </c>
      <c r="H117" t="s">
        <v>18</v>
      </c>
      <c r="I117" t="s">
        <v>11</v>
      </c>
      <c r="J117" t="str" cm="1">
        <f t="array" ref="J117">_xlfn.IFS(I117="S","Southamptom",I117="Q","Quentown",I117="C","Cherbrug",I117="B","Cabin")</f>
        <v>Southamptom</v>
      </c>
      <c r="K117" t="s">
        <v>15</v>
      </c>
      <c r="L117" s="2">
        <v>13</v>
      </c>
      <c r="M117" s="2" t="str" cm="1">
        <f t="array" ref="M117">_xlfn.IFS(L117&lt;=15,"Low Fare",L117&lt;=35,"Medium Fare",L117&lt;=100,"High Fare",L117&gt;=100,"Very High Fare")</f>
        <v>Low Fare</v>
      </c>
      <c r="N117" s="2">
        <v>0</v>
      </c>
      <c r="O117" s="2">
        <v>0</v>
      </c>
      <c r="P117">
        <f t="shared" si="5"/>
        <v>1</v>
      </c>
      <c r="Q117" t="str">
        <f t="shared" si="6"/>
        <v>Alone</v>
      </c>
      <c r="R117" t="str">
        <f t="shared" si="7"/>
        <v>No</v>
      </c>
      <c r="S117" t="s">
        <v>13</v>
      </c>
    </row>
    <row r="118" spans="1:19" x14ac:dyDescent="0.3">
      <c r="A118" s="1" t="s">
        <v>147</v>
      </c>
      <c r="B118" t="s">
        <v>1602</v>
      </c>
      <c r="C118" t="s">
        <v>1717</v>
      </c>
      <c r="D118" t="str">
        <f t="shared" si="4"/>
        <v>Female</v>
      </c>
      <c r="E118" t="s">
        <v>14</v>
      </c>
      <c r="F118" s="2">
        <v>39</v>
      </c>
      <c r="G118" s="2" t="str" cm="1">
        <f t="array" ref="G118">_xlfn.IFS(F118&lt;=8,"Child",F118&lt;=17,"Teen",F118&lt;=35,"Adult",F118&lt;=55,"Seniour Adult",F118&gt;=55,"Old Age")</f>
        <v>Seniour Adult</v>
      </c>
      <c r="H118" t="s">
        <v>25</v>
      </c>
      <c r="I118" t="s">
        <v>19</v>
      </c>
      <c r="J118" t="str" cm="1">
        <f t="array" ref="J118">_xlfn.IFS(I118="S","Southamptom",I118="Q","Quentown",I118="C","Cherbrug",I118="B","Cabin")</f>
        <v>Cherbrug</v>
      </c>
      <c r="K118" t="s">
        <v>12</v>
      </c>
      <c r="L118" s="2">
        <v>63.0702</v>
      </c>
      <c r="M118" s="2" t="str" cm="1">
        <f t="array" ref="M118">_xlfn.IFS(L118&lt;=15,"Low Fare",L118&lt;=35,"Medium Fare",L118&lt;=100,"High Fare",L118&gt;=100,"Very High Fare")</f>
        <v>High Fare</v>
      </c>
      <c r="N118" s="2">
        <v>0</v>
      </c>
      <c r="O118" s="2">
        <v>0</v>
      </c>
      <c r="P118">
        <f t="shared" si="5"/>
        <v>1</v>
      </c>
      <c r="Q118" t="str">
        <f t="shared" si="6"/>
        <v>Alone</v>
      </c>
      <c r="R118" t="str">
        <f t="shared" si="7"/>
        <v>Yes</v>
      </c>
      <c r="S118" t="s">
        <v>16</v>
      </c>
    </row>
    <row r="119" spans="1:19" x14ac:dyDescent="0.3">
      <c r="A119" s="1" t="s">
        <v>148</v>
      </c>
      <c r="B119" t="s">
        <v>1602</v>
      </c>
      <c r="C119" t="s">
        <v>1718</v>
      </c>
      <c r="D119" t="str">
        <f t="shared" si="4"/>
        <v>Female</v>
      </c>
      <c r="E119" t="s">
        <v>14</v>
      </c>
      <c r="F119" s="2">
        <v>46</v>
      </c>
      <c r="G119" s="2" t="str" cm="1">
        <f t="array" ref="G119">_xlfn.IFS(F119&lt;=8,"Child",F119&lt;=17,"Teen",F119&lt;=35,"Adult",F119&lt;=55,"Seniour Adult",F119&gt;=55,"Old Age")</f>
        <v>Seniour Adult</v>
      </c>
      <c r="H119" t="s">
        <v>25</v>
      </c>
      <c r="I119" t="s">
        <v>19</v>
      </c>
      <c r="J119" t="str" cm="1">
        <f t="array" ref="J119">_xlfn.IFS(I119="S","Southamptom",I119="Q","Quentown",I119="C","Cherbrug",I119="B","Cabin")</f>
        <v>Cherbrug</v>
      </c>
      <c r="K119" t="s">
        <v>15</v>
      </c>
      <c r="L119" s="2">
        <v>247.10059999999999</v>
      </c>
      <c r="M119" s="2" t="str" cm="1">
        <f t="array" ref="M119">_xlfn.IFS(L119&lt;=15,"Low Fare",L119&lt;=35,"Medium Fare",L119&lt;=100,"High Fare",L119&gt;=100,"Very High Fare")</f>
        <v>Very High Fare</v>
      </c>
      <c r="N119" s="2">
        <v>0</v>
      </c>
      <c r="O119" s="2">
        <v>0</v>
      </c>
      <c r="P119">
        <f t="shared" si="5"/>
        <v>1</v>
      </c>
      <c r="Q119" t="str">
        <f t="shared" si="6"/>
        <v>Alone</v>
      </c>
      <c r="R119" t="str">
        <f t="shared" si="7"/>
        <v>Yes</v>
      </c>
      <c r="S119" t="s">
        <v>16</v>
      </c>
    </row>
    <row r="120" spans="1:19" x14ac:dyDescent="0.3">
      <c r="A120" s="1" t="s">
        <v>149</v>
      </c>
      <c r="B120" t="s">
        <v>1596</v>
      </c>
      <c r="C120" t="s">
        <v>1719</v>
      </c>
      <c r="D120" t="str">
        <f t="shared" si="4"/>
        <v>Male</v>
      </c>
      <c r="E120" t="s">
        <v>9</v>
      </c>
      <c r="F120" s="2">
        <v>32</v>
      </c>
      <c r="G120" s="2" t="str" cm="1">
        <f t="array" ref="G120">_xlfn.IFS(F120&lt;=8,"Child",F120&lt;=17,"Teen",F120&lt;=35,"Adult",F120&lt;=55,"Seniour Adult",F120&gt;=55,"Old Age")</f>
        <v>Adult</v>
      </c>
      <c r="H120" t="s">
        <v>10</v>
      </c>
      <c r="I120" t="s">
        <v>11</v>
      </c>
      <c r="J120" t="str" cm="1">
        <f t="array" ref="J120">_xlfn.IFS(I120="S","Southamptom",I120="Q","Quentown",I120="C","Cherbrug",I120="B","Cabin")</f>
        <v>Southamptom</v>
      </c>
      <c r="K120" t="s">
        <v>15</v>
      </c>
      <c r="L120" s="2">
        <v>56.091099999999997</v>
      </c>
      <c r="M120" s="2" t="str" cm="1">
        <f t="array" ref="M120">_xlfn.IFS(L120&lt;=15,"Low Fare",L120&lt;=35,"Medium Fare",L120&lt;=100,"High Fare",L120&gt;=100,"Very High Fare")</f>
        <v>High Fare</v>
      </c>
      <c r="N120" s="2">
        <v>0</v>
      </c>
      <c r="O120" s="2">
        <v>0</v>
      </c>
      <c r="P120">
        <f t="shared" si="5"/>
        <v>1</v>
      </c>
      <c r="Q120" t="str">
        <f t="shared" si="6"/>
        <v>Alone</v>
      </c>
      <c r="R120" t="str">
        <f t="shared" si="7"/>
        <v>Yes</v>
      </c>
      <c r="S120" t="s">
        <v>16</v>
      </c>
    </row>
    <row r="121" spans="1:19" x14ac:dyDescent="0.3">
      <c r="A121" s="1" t="s">
        <v>150</v>
      </c>
      <c r="B121" t="s">
        <v>1602</v>
      </c>
      <c r="C121" t="s">
        <v>1720</v>
      </c>
      <c r="D121" t="str">
        <f t="shared" si="4"/>
        <v>Female</v>
      </c>
      <c r="E121" t="s">
        <v>14</v>
      </c>
      <c r="F121" s="2">
        <v>31</v>
      </c>
      <c r="G121" s="2" t="str" cm="1">
        <f t="array" ref="G121">_xlfn.IFS(F121&lt;=8,"Child",F121&lt;=17,"Teen",F121&lt;=35,"Adult",F121&lt;=55,"Seniour Adult",F121&gt;=55,"Old Age")</f>
        <v>Adult</v>
      </c>
      <c r="H121" t="s">
        <v>25</v>
      </c>
      <c r="I121" t="s">
        <v>11</v>
      </c>
      <c r="J121" t="str" cm="1">
        <f t="array" ref="J121">_xlfn.IFS(I121="S","Southamptom",I121="Q","Quentown",I121="C","Cherbrug",I121="B","Cabin")</f>
        <v>Southamptom</v>
      </c>
      <c r="K121" t="s">
        <v>15</v>
      </c>
      <c r="L121" s="2">
        <v>221.1507</v>
      </c>
      <c r="M121" s="2" t="str" cm="1">
        <f t="array" ref="M121">_xlfn.IFS(L121&lt;=15,"Low Fare",L121&lt;=35,"Medium Fare",L121&lt;=100,"High Fare",L121&gt;=100,"Very High Fare")</f>
        <v>Very High Fare</v>
      </c>
      <c r="N121" s="2">
        <v>0</v>
      </c>
      <c r="O121" s="2">
        <v>0</v>
      </c>
      <c r="P121">
        <f t="shared" si="5"/>
        <v>1</v>
      </c>
      <c r="Q121" t="str">
        <f t="shared" si="6"/>
        <v>Alone</v>
      </c>
      <c r="R121" t="str">
        <f t="shared" si="7"/>
        <v>Yes</v>
      </c>
      <c r="S121" t="s">
        <v>16</v>
      </c>
    </row>
    <row r="122" spans="1:19" x14ac:dyDescent="0.3">
      <c r="A122" s="1" t="s">
        <v>151</v>
      </c>
      <c r="B122" t="s">
        <v>1596</v>
      </c>
      <c r="C122" t="s">
        <v>1721</v>
      </c>
      <c r="D122" t="str">
        <f t="shared" si="4"/>
        <v>Male</v>
      </c>
      <c r="E122" t="s">
        <v>9</v>
      </c>
      <c r="F122" s="2">
        <v>21</v>
      </c>
      <c r="G122" s="2" t="str" cm="1">
        <f t="array" ref="G122">_xlfn.IFS(F122&lt;=8,"Child",F122&lt;=17,"Teen",F122&lt;=35,"Adult",F122&lt;=55,"Seniour Adult",F122&gt;=55,"Old Age")</f>
        <v>Adult</v>
      </c>
      <c r="H122" t="s">
        <v>10</v>
      </c>
      <c r="I122" t="s">
        <v>11</v>
      </c>
      <c r="J122" t="str" cm="1">
        <f t="array" ref="J122">_xlfn.IFS(I122="S","Southamptom",I122="Q","Quentown",I122="C","Cherbrug",I122="B","Cabin")</f>
        <v>Southamptom</v>
      </c>
      <c r="K122" t="s">
        <v>17</v>
      </c>
      <c r="L122" s="2">
        <v>7.1505999999999998</v>
      </c>
      <c r="M122" s="2" t="str" cm="1">
        <f t="array" ref="M122">_xlfn.IFS(L122&lt;=15,"Low Fare",L122&lt;=35,"Medium Fare",L122&lt;=100,"High Fare",L122&gt;=100,"Very High Fare")</f>
        <v>Low Fare</v>
      </c>
      <c r="N122" s="2">
        <v>0</v>
      </c>
      <c r="O122" s="2">
        <v>0</v>
      </c>
      <c r="P122">
        <f t="shared" si="5"/>
        <v>1</v>
      </c>
      <c r="Q122" t="str">
        <f t="shared" si="6"/>
        <v>Alone</v>
      </c>
      <c r="R122" t="str">
        <f t="shared" si="7"/>
        <v>No</v>
      </c>
      <c r="S122" t="s">
        <v>13</v>
      </c>
    </row>
    <row r="123" spans="1:19" x14ac:dyDescent="0.3">
      <c r="A123" s="1" t="s">
        <v>152</v>
      </c>
      <c r="B123" t="s">
        <v>1596</v>
      </c>
      <c r="C123" t="s">
        <v>1722</v>
      </c>
      <c r="D123" t="str">
        <f t="shared" si="4"/>
        <v>Male</v>
      </c>
      <c r="E123" t="s">
        <v>9</v>
      </c>
      <c r="F123" s="2">
        <v>24</v>
      </c>
      <c r="G123" s="2" t="str" cm="1">
        <f t="array" ref="G123">_xlfn.IFS(F123&lt;=8,"Child",F123&lt;=17,"Teen",F123&lt;=35,"Adult",F123&lt;=55,"Seniour Adult",F123&gt;=55,"Old Age")</f>
        <v>Adult</v>
      </c>
      <c r="H123" t="s">
        <v>25</v>
      </c>
      <c r="I123" t="s">
        <v>19</v>
      </c>
      <c r="J123" t="str" cm="1">
        <f t="array" ref="J123">_xlfn.IFS(I123="S","Southamptom",I123="Q","Quentown",I123="C","Cherbrug",I123="B","Cabin")</f>
        <v>Cherbrug</v>
      </c>
      <c r="K123" t="s">
        <v>15</v>
      </c>
      <c r="L123" s="2">
        <v>26</v>
      </c>
      <c r="M123" s="2" t="str" cm="1">
        <f t="array" ref="M123">_xlfn.IFS(L123&lt;=15,"Low Fare",L123&lt;=35,"Medium Fare",L123&lt;=100,"High Fare",L123&gt;=100,"Very High Fare")</f>
        <v>Medium Fare</v>
      </c>
      <c r="N123" s="2">
        <v>0</v>
      </c>
      <c r="O123" s="2">
        <v>0</v>
      </c>
      <c r="P123">
        <f t="shared" si="5"/>
        <v>1</v>
      </c>
      <c r="Q123" t="str">
        <f t="shared" si="6"/>
        <v>Alone</v>
      </c>
      <c r="R123" t="str">
        <f t="shared" si="7"/>
        <v>No</v>
      </c>
      <c r="S123" t="s">
        <v>13</v>
      </c>
    </row>
    <row r="124" spans="1:19" x14ac:dyDescent="0.3">
      <c r="A124" s="1" t="s">
        <v>153</v>
      </c>
      <c r="B124" t="s">
        <v>1596</v>
      </c>
      <c r="C124" t="s">
        <v>1723</v>
      </c>
      <c r="D124" t="str">
        <f t="shared" si="4"/>
        <v>Male</v>
      </c>
      <c r="E124" t="s">
        <v>9</v>
      </c>
      <c r="F124" s="2">
        <v>25</v>
      </c>
      <c r="G124" s="2" t="str" cm="1">
        <f t="array" ref="G124">_xlfn.IFS(F124&lt;=8,"Child",F124&lt;=17,"Teen",F124&lt;=35,"Adult",F124&lt;=55,"Seniour Adult",F124&gt;=55,"Old Age")</f>
        <v>Adult</v>
      </c>
      <c r="H124" t="s">
        <v>25</v>
      </c>
      <c r="I124" t="s">
        <v>19</v>
      </c>
      <c r="J124" t="str" cm="1">
        <f t="array" ref="J124">_xlfn.IFS(I124="S","Southamptom",I124="Q","Quentown",I124="C","Cherbrug",I124="B","Cabin")</f>
        <v>Cherbrug</v>
      </c>
      <c r="K124" t="s">
        <v>12</v>
      </c>
      <c r="L124" s="2">
        <v>91.0107</v>
      </c>
      <c r="M124" s="2" t="str" cm="1">
        <f t="array" ref="M124">_xlfn.IFS(L124&lt;=15,"Low Fare",L124&lt;=35,"Medium Fare",L124&lt;=100,"High Fare",L124&gt;=100,"Very High Fare")</f>
        <v>High Fare</v>
      </c>
      <c r="N124" s="2">
        <v>1</v>
      </c>
      <c r="O124" s="2">
        <v>0</v>
      </c>
      <c r="P124">
        <f t="shared" si="5"/>
        <v>2</v>
      </c>
      <c r="Q124" t="str">
        <f t="shared" si="6"/>
        <v>With Family</v>
      </c>
      <c r="R124" t="str">
        <f t="shared" si="7"/>
        <v>Yes</v>
      </c>
      <c r="S124" t="s">
        <v>16</v>
      </c>
    </row>
    <row r="125" spans="1:19" x14ac:dyDescent="0.3">
      <c r="A125" s="1" t="s">
        <v>153</v>
      </c>
      <c r="B125" t="s">
        <v>1600</v>
      </c>
      <c r="C125" t="s">
        <v>1724</v>
      </c>
      <c r="D125" t="str">
        <f t="shared" si="4"/>
        <v>Female</v>
      </c>
      <c r="E125" t="s">
        <v>14</v>
      </c>
      <c r="F125" s="2">
        <v>19</v>
      </c>
      <c r="G125" s="2" t="str" cm="1">
        <f t="array" ref="G125">_xlfn.IFS(F125&lt;=8,"Child",F125&lt;=17,"Teen",F125&lt;=35,"Adult",F125&lt;=55,"Seniour Adult",F125&gt;=55,"Old Age")</f>
        <v>Adult</v>
      </c>
      <c r="H125" t="s">
        <v>25</v>
      </c>
      <c r="I125" t="s">
        <v>19</v>
      </c>
      <c r="J125" t="str" cm="1">
        <f t="array" ref="J125">_xlfn.IFS(I125="S","Southamptom",I125="Q","Quentown",I125="C","Cherbrug",I125="B","Cabin")</f>
        <v>Cherbrug</v>
      </c>
      <c r="K125" t="s">
        <v>12</v>
      </c>
      <c r="L125" s="2">
        <v>91.0107</v>
      </c>
      <c r="M125" s="2" t="str" cm="1">
        <f t="array" ref="M125">_xlfn.IFS(L125&lt;=15,"Low Fare",L125&lt;=35,"Medium Fare",L125&lt;=100,"High Fare",L125&gt;=100,"Very High Fare")</f>
        <v>High Fare</v>
      </c>
      <c r="N125" s="2">
        <v>1</v>
      </c>
      <c r="O125" s="2">
        <v>0</v>
      </c>
      <c r="P125">
        <f t="shared" si="5"/>
        <v>2</v>
      </c>
      <c r="Q125" t="str">
        <f t="shared" si="6"/>
        <v>With Family</v>
      </c>
      <c r="R125" t="str">
        <f t="shared" si="7"/>
        <v>Yes</v>
      </c>
      <c r="S125" t="s">
        <v>16</v>
      </c>
    </row>
    <row r="126" spans="1:19" x14ac:dyDescent="0.3">
      <c r="A126" s="1" t="s">
        <v>154</v>
      </c>
      <c r="B126" t="s">
        <v>1596</v>
      </c>
      <c r="C126" t="s">
        <v>1725</v>
      </c>
      <c r="D126" t="str">
        <f t="shared" si="4"/>
        <v>Male</v>
      </c>
      <c r="E126" t="s">
        <v>9</v>
      </c>
      <c r="F126" s="2">
        <v>18</v>
      </c>
      <c r="G126" s="2" t="str" cm="1">
        <f t="array" ref="G126">_xlfn.IFS(F126&lt;=8,"Child",F126&lt;=17,"Teen",F126&lt;=35,"Adult",F126&lt;=55,"Seniour Adult",F126&gt;=55,"Old Age")</f>
        <v>Adult</v>
      </c>
      <c r="H126" t="s">
        <v>10</v>
      </c>
      <c r="I126" t="s">
        <v>11</v>
      </c>
      <c r="J126" t="str" cm="1">
        <f t="array" ref="J126">_xlfn.IFS(I126="S","Southamptom",I126="Q","Quentown",I126="C","Cherbrug",I126="B","Cabin")</f>
        <v>Southamptom</v>
      </c>
      <c r="K126" t="s">
        <v>23</v>
      </c>
      <c r="L126" s="2">
        <v>7.15</v>
      </c>
      <c r="M126" s="2" t="str" cm="1">
        <f t="array" ref="M126">_xlfn.IFS(L126&lt;=15,"Low Fare",L126&lt;=35,"Medium Fare",L126&lt;=100,"High Fare",L126&gt;=100,"Very High Fare")</f>
        <v>Low Fare</v>
      </c>
      <c r="N126" s="2">
        <v>0</v>
      </c>
      <c r="O126" s="2">
        <v>0</v>
      </c>
      <c r="P126">
        <f t="shared" si="5"/>
        <v>1</v>
      </c>
      <c r="Q126" t="str">
        <f t="shared" si="6"/>
        <v>Alone</v>
      </c>
      <c r="R126" t="str">
        <f t="shared" si="7"/>
        <v>No</v>
      </c>
      <c r="S126" t="s">
        <v>13</v>
      </c>
    </row>
    <row r="127" spans="1:19" x14ac:dyDescent="0.3">
      <c r="A127" s="1" t="s">
        <v>155</v>
      </c>
      <c r="B127" t="s">
        <v>1596</v>
      </c>
      <c r="C127" t="s">
        <v>1726</v>
      </c>
      <c r="D127" t="str">
        <f t="shared" si="4"/>
        <v>Male</v>
      </c>
      <c r="E127" t="s">
        <v>9</v>
      </c>
      <c r="F127" s="2">
        <v>28</v>
      </c>
      <c r="G127" s="2" t="str" cm="1">
        <f t="array" ref="G127">_xlfn.IFS(F127&lt;=8,"Child",F127&lt;=17,"Teen",F127&lt;=35,"Adult",F127&lt;=55,"Seniour Adult",F127&gt;=55,"Old Age")</f>
        <v>Adult</v>
      </c>
      <c r="H127" t="s">
        <v>25</v>
      </c>
      <c r="I127" t="s">
        <v>11</v>
      </c>
      <c r="J127" t="str" cm="1">
        <f t="array" ref="J127">_xlfn.IFS(I127="S","Southamptom",I127="Q","Quentown",I127="C","Cherbrug",I127="B","Cabin")</f>
        <v>Southamptom</v>
      </c>
      <c r="K127" t="s">
        <v>23</v>
      </c>
      <c r="L127" s="2">
        <v>26.11</v>
      </c>
      <c r="M127" s="2" t="str" cm="1">
        <f t="array" ref="M127">_xlfn.IFS(L127&lt;=15,"Low Fare",L127&lt;=35,"Medium Fare",L127&lt;=100,"High Fare",L127&gt;=100,"Very High Fare")</f>
        <v>Medium Fare</v>
      </c>
      <c r="N127" s="2">
        <v>0</v>
      </c>
      <c r="O127" s="2">
        <v>0</v>
      </c>
      <c r="P127">
        <f t="shared" si="5"/>
        <v>1</v>
      </c>
      <c r="Q127" t="str">
        <f t="shared" si="6"/>
        <v>Alone</v>
      </c>
      <c r="R127" t="str">
        <f t="shared" si="7"/>
        <v>Yes</v>
      </c>
      <c r="S127" t="s">
        <v>16</v>
      </c>
    </row>
    <row r="128" spans="1:19" x14ac:dyDescent="0.3">
      <c r="A128" s="1" t="s">
        <v>156</v>
      </c>
      <c r="B128" t="s">
        <v>1596</v>
      </c>
      <c r="C128" t="s">
        <v>1727</v>
      </c>
      <c r="D128" t="str">
        <f t="shared" si="4"/>
        <v>Male</v>
      </c>
      <c r="E128" t="s">
        <v>9</v>
      </c>
      <c r="F128" s="2">
        <v>45</v>
      </c>
      <c r="G128" s="2" t="str" cm="1">
        <f t="array" ref="G128">_xlfn.IFS(F128&lt;=8,"Child",F128&lt;=17,"Teen",F128&lt;=35,"Adult",F128&lt;=55,"Seniour Adult",F128&gt;=55,"Old Age")</f>
        <v>Seniour Adult</v>
      </c>
      <c r="H128" t="s">
        <v>25</v>
      </c>
      <c r="I128" t="s">
        <v>11</v>
      </c>
      <c r="J128" t="str" cm="1">
        <f t="array" ref="J128">_xlfn.IFS(I128="S","Southamptom",I128="Q","Quentown",I128="C","Cherbrug",I128="B","Cabin")</f>
        <v>Southamptom</v>
      </c>
      <c r="K128" t="s">
        <v>12</v>
      </c>
      <c r="L128" s="2">
        <v>35.1</v>
      </c>
      <c r="M128" s="2" t="str" cm="1">
        <f t="array" ref="M128">_xlfn.IFS(L128&lt;=15,"Low Fare",L128&lt;=35,"Medium Fare",L128&lt;=100,"High Fare",L128&gt;=100,"Very High Fare")</f>
        <v>High Fare</v>
      </c>
      <c r="N128" s="2">
        <v>0</v>
      </c>
      <c r="O128" s="2">
        <v>0</v>
      </c>
      <c r="P128">
        <f t="shared" si="5"/>
        <v>1</v>
      </c>
      <c r="Q128" t="str">
        <f t="shared" si="6"/>
        <v>Alone</v>
      </c>
      <c r="R128" t="str">
        <f t="shared" si="7"/>
        <v>No</v>
      </c>
      <c r="S128" t="s">
        <v>13</v>
      </c>
    </row>
    <row r="129" spans="1:19" x14ac:dyDescent="0.3">
      <c r="A129" s="1" t="s">
        <v>157</v>
      </c>
      <c r="B129" t="s">
        <v>1596</v>
      </c>
      <c r="C129" t="s">
        <v>1728</v>
      </c>
      <c r="D129" t="str">
        <f t="shared" si="4"/>
        <v>Male</v>
      </c>
      <c r="E129" t="s">
        <v>9</v>
      </c>
      <c r="F129" s="2">
        <v>39</v>
      </c>
      <c r="G129" s="2" t="str" cm="1">
        <f t="array" ref="G129">_xlfn.IFS(F129&lt;=8,"Child",F129&lt;=17,"Teen",F129&lt;=35,"Adult",F129&lt;=55,"Seniour Adult",F129&gt;=55,"Old Age")</f>
        <v>Seniour Adult</v>
      </c>
      <c r="H129" t="s">
        <v>25</v>
      </c>
      <c r="I129" t="s">
        <v>19</v>
      </c>
      <c r="J129" t="str" cm="1">
        <f t="array" ref="J129">_xlfn.IFS(I129="S","Southamptom",I129="Q","Quentown",I129="C","Cherbrug",I129="B","Cabin")</f>
        <v>Cherbrug</v>
      </c>
      <c r="K129" t="s">
        <v>12</v>
      </c>
      <c r="L129" s="2">
        <v>31</v>
      </c>
      <c r="M129" s="2" t="str" cm="1">
        <f t="array" ref="M129">_xlfn.IFS(L129&lt;=15,"Low Fare",L129&lt;=35,"Medium Fare",L129&lt;=100,"High Fare",L129&gt;=100,"Very High Fare")</f>
        <v>Medium Fare</v>
      </c>
      <c r="N129" s="2">
        <v>0</v>
      </c>
      <c r="O129" s="2">
        <v>0</v>
      </c>
      <c r="P129">
        <f t="shared" si="5"/>
        <v>1</v>
      </c>
      <c r="Q129" t="str">
        <f t="shared" si="6"/>
        <v>Alone</v>
      </c>
      <c r="R129" t="str">
        <f t="shared" si="7"/>
        <v>Yes</v>
      </c>
      <c r="S129" t="s">
        <v>16</v>
      </c>
    </row>
    <row r="130" spans="1:19" x14ac:dyDescent="0.3">
      <c r="A130" s="1" t="s">
        <v>158</v>
      </c>
      <c r="B130" t="s">
        <v>1602</v>
      </c>
      <c r="C130" t="s">
        <v>1729</v>
      </c>
      <c r="D130" t="str">
        <f t="shared" si="4"/>
        <v>Female</v>
      </c>
      <c r="E130" t="s">
        <v>14</v>
      </c>
      <c r="F130" s="2">
        <v>30</v>
      </c>
      <c r="G130" s="2" t="str" cm="1">
        <f t="array" ref="G130">_xlfn.IFS(F130&lt;=8,"Child",F130&lt;=17,"Teen",F130&lt;=35,"Adult",F130&lt;=55,"Seniour Adult",F130&gt;=55,"Old Age")</f>
        <v>Adult</v>
      </c>
      <c r="H130" t="s">
        <v>25</v>
      </c>
      <c r="I130" t="s">
        <v>11</v>
      </c>
      <c r="J130" t="str" cm="1">
        <f t="array" ref="J130">_xlfn.IFS(I130="S","Southamptom",I130="Q","Quentown",I130="C","Cherbrug",I130="B","Cabin")</f>
        <v>Southamptom</v>
      </c>
      <c r="K130" t="s">
        <v>12</v>
      </c>
      <c r="L130" s="2">
        <v>164.1704</v>
      </c>
      <c r="M130" s="2" t="str" cm="1">
        <f t="array" ref="M130">_xlfn.IFS(L130&lt;=15,"Low Fare",L130&lt;=35,"Medium Fare",L130&lt;=100,"High Fare",L130&gt;=100,"Very High Fare")</f>
        <v>Very High Fare</v>
      </c>
      <c r="N130" s="2">
        <v>0</v>
      </c>
      <c r="O130" s="2">
        <v>0</v>
      </c>
      <c r="P130">
        <f t="shared" si="5"/>
        <v>1</v>
      </c>
      <c r="Q130" t="str">
        <f t="shared" si="6"/>
        <v>Alone</v>
      </c>
      <c r="R130" t="str">
        <f t="shared" si="7"/>
        <v>Yes</v>
      </c>
      <c r="S130" t="s">
        <v>16</v>
      </c>
    </row>
    <row r="131" spans="1:19" x14ac:dyDescent="0.3">
      <c r="A131" s="1" t="s">
        <v>158</v>
      </c>
      <c r="B131" t="s">
        <v>1602</v>
      </c>
      <c r="C131" t="s">
        <v>1730</v>
      </c>
      <c r="D131" t="str">
        <f t="shared" ref="D131:D194" si="8">PROPER(E131)</f>
        <v>Female</v>
      </c>
      <c r="E131" t="s">
        <v>14</v>
      </c>
      <c r="F131" s="2">
        <v>61</v>
      </c>
      <c r="G131" s="2" t="str" cm="1">
        <f t="array" ref="G131">_xlfn.IFS(F131&lt;=8,"Child",F131&lt;=17,"Teen",F131&lt;=35,"Adult",F131&lt;=55,"Seniour Adult",F131&gt;=55,"Old Age")</f>
        <v>Old Age</v>
      </c>
      <c r="H131" t="s">
        <v>25</v>
      </c>
      <c r="I131" t="s">
        <v>11</v>
      </c>
      <c r="J131" t="str" cm="1">
        <f t="array" ref="J131">_xlfn.IFS(I131="S","Southamptom",I131="Q","Quentown",I131="C","Cherbrug",I131="B","Cabin")</f>
        <v>Southamptom</v>
      </c>
      <c r="K131" t="s">
        <v>15</v>
      </c>
      <c r="L131" s="2">
        <v>26.11</v>
      </c>
      <c r="M131" s="2" t="str" cm="1">
        <f t="array" ref="M131">_xlfn.IFS(L131&lt;=15,"Low Fare",L131&lt;=35,"Medium Fare",L131&lt;=100,"High Fare",L131&gt;=100,"Very High Fare")</f>
        <v>Medium Fare</v>
      </c>
      <c r="N131" s="2">
        <v>0</v>
      </c>
      <c r="O131" s="2">
        <v>0</v>
      </c>
      <c r="P131">
        <f t="shared" ref="P131:P194" si="9">N131+O131+1</f>
        <v>1</v>
      </c>
      <c r="Q131" t="str">
        <f t="shared" ref="Q131:Q194" si="10">IF(P131=1,"Alone","With Family")</f>
        <v>Alone</v>
      </c>
      <c r="R131" t="str">
        <f t="shared" ref="R131:R194" si="11">PROPER(S131)</f>
        <v>Yes</v>
      </c>
      <c r="S131" t="s">
        <v>16</v>
      </c>
    </row>
    <row r="132" spans="1:19" x14ac:dyDescent="0.3">
      <c r="A132" s="1" t="s">
        <v>159</v>
      </c>
      <c r="B132" t="s">
        <v>1596</v>
      </c>
      <c r="C132" t="s">
        <v>1731</v>
      </c>
      <c r="D132" t="str">
        <f t="shared" si="8"/>
        <v>Male</v>
      </c>
      <c r="E132" t="s">
        <v>9</v>
      </c>
      <c r="F132" s="2">
        <v>41</v>
      </c>
      <c r="G132" s="2" t="str" cm="1">
        <f t="array" ref="G132">_xlfn.IFS(F132&lt;=8,"Child",F132&lt;=17,"Teen",F132&lt;=35,"Adult",F132&lt;=55,"Seniour Adult",F132&gt;=55,"Old Age")</f>
        <v>Seniour Adult</v>
      </c>
      <c r="H132" t="s">
        <v>25</v>
      </c>
      <c r="I132" t="s">
        <v>11</v>
      </c>
      <c r="J132" t="str" cm="1">
        <f t="array" ref="J132">_xlfn.IFS(I132="S","Southamptom",I132="Q","Quentown",I132="C","Cherbrug",I132="B","Cabin")</f>
        <v>Southamptom</v>
      </c>
      <c r="K132" t="s">
        <v>15</v>
      </c>
      <c r="L132" s="2">
        <v>26.11</v>
      </c>
      <c r="M132" s="2" t="str" cm="1">
        <f t="array" ref="M132">_xlfn.IFS(L132&lt;=15,"Low Fare",L132&lt;=35,"Medium Fare",L132&lt;=100,"High Fare",L132&gt;=100,"Very High Fare")</f>
        <v>Medium Fare</v>
      </c>
      <c r="N132" s="2">
        <v>0</v>
      </c>
      <c r="O132" s="2">
        <v>0</v>
      </c>
      <c r="P132">
        <f t="shared" si="9"/>
        <v>1</v>
      </c>
      <c r="Q132" t="str">
        <f t="shared" si="10"/>
        <v>Alone</v>
      </c>
      <c r="R132" t="str">
        <f t="shared" si="11"/>
        <v>No</v>
      </c>
      <c r="S132" t="s">
        <v>13</v>
      </c>
    </row>
    <row r="133" spans="1:19" x14ac:dyDescent="0.3">
      <c r="A133" s="1" t="s">
        <v>160</v>
      </c>
      <c r="B133" t="s">
        <v>1596</v>
      </c>
      <c r="C133" t="s">
        <v>1732</v>
      </c>
      <c r="D133" t="str">
        <f t="shared" si="8"/>
        <v>Male</v>
      </c>
      <c r="E133" t="s">
        <v>9</v>
      </c>
      <c r="F133" s="2">
        <v>26</v>
      </c>
      <c r="G133" s="2" t="str" cm="1">
        <f t="array" ref="G133">_xlfn.IFS(F133&lt;=8,"Child",F133&lt;=17,"Teen",F133&lt;=35,"Adult",F133&lt;=55,"Seniour Adult",F133&gt;=55,"Old Age")</f>
        <v>Adult</v>
      </c>
      <c r="H133" t="s">
        <v>10</v>
      </c>
      <c r="I133" t="s">
        <v>11</v>
      </c>
      <c r="J133" t="str" cm="1">
        <f t="array" ref="J133">_xlfn.IFS(I133="S","Southamptom",I133="Q","Quentown",I133="C","Cherbrug",I133="B","Cabin")</f>
        <v>Southamptom</v>
      </c>
      <c r="K133" t="s">
        <v>15</v>
      </c>
      <c r="L133" s="2">
        <v>7.1711</v>
      </c>
      <c r="M133" s="2" t="str" cm="1">
        <f t="array" ref="M133">_xlfn.IFS(L133&lt;=15,"Low Fare",L133&lt;=35,"Medium Fare",L133&lt;=100,"High Fare",L133&gt;=100,"Very High Fare")</f>
        <v>Low Fare</v>
      </c>
      <c r="N133" s="2">
        <v>0</v>
      </c>
      <c r="O133" s="2">
        <v>0</v>
      </c>
      <c r="P133">
        <f t="shared" si="9"/>
        <v>1</v>
      </c>
      <c r="Q133" t="str">
        <f t="shared" si="10"/>
        <v>Alone</v>
      </c>
      <c r="R133" t="str">
        <f t="shared" si="11"/>
        <v>No</v>
      </c>
      <c r="S133" t="s">
        <v>13</v>
      </c>
    </row>
    <row r="134" spans="1:19" x14ac:dyDescent="0.3">
      <c r="A134" s="1" t="s">
        <v>161</v>
      </c>
      <c r="B134" t="s">
        <v>1596</v>
      </c>
      <c r="C134" t="s">
        <v>1733</v>
      </c>
      <c r="D134" t="str">
        <f t="shared" si="8"/>
        <v>Male</v>
      </c>
      <c r="E134" t="s">
        <v>9</v>
      </c>
      <c r="F134" s="2">
        <v>25</v>
      </c>
      <c r="G134" s="2" t="str" cm="1">
        <f t="array" ref="G134">_xlfn.IFS(F134&lt;=8,"Child",F134&lt;=17,"Teen",F134&lt;=35,"Adult",F134&lt;=55,"Seniour Adult",F134&gt;=55,"Old Age")</f>
        <v>Adult</v>
      </c>
      <c r="H134" t="s">
        <v>18</v>
      </c>
      <c r="I134" t="s">
        <v>11</v>
      </c>
      <c r="J134" t="str" cm="1">
        <f t="array" ref="J134">_xlfn.IFS(I134="S","Southamptom",I134="Q","Quentown",I134="C","Cherbrug",I134="B","Cabin")</f>
        <v>Southamptom</v>
      </c>
      <c r="K134" t="s">
        <v>12</v>
      </c>
      <c r="L134" s="2">
        <v>13</v>
      </c>
      <c r="M134" s="2" t="str" cm="1">
        <f t="array" ref="M134">_xlfn.IFS(L134&lt;=15,"Low Fare",L134&lt;=35,"Medium Fare",L134&lt;=100,"High Fare",L134&gt;=100,"Very High Fare")</f>
        <v>Low Fare</v>
      </c>
      <c r="N134" s="2">
        <v>0</v>
      </c>
      <c r="O134" s="2">
        <v>0</v>
      </c>
      <c r="P134">
        <f t="shared" si="9"/>
        <v>1</v>
      </c>
      <c r="Q134" t="str">
        <f t="shared" si="10"/>
        <v>Alone</v>
      </c>
      <c r="R134" t="str">
        <f t="shared" si="11"/>
        <v>No</v>
      </c>
      <c r="S134" t="s">
        <v>13</v>
      </c>
    </row>
    <row r="135" spans="1:19" x14ac:dyDescent="0.3">
      <c r="A135" s="1" t="s">
        <v>162</v>
      </c>
      <c r="B135" t="s">
        <v>1602</v>
      </c>
      <c r="C135" t="s">
        <v>1734</v>
      </c>
      <c r="D135" t="str">
        <f t="shared" si="8"/>
        <v>Female</v>
      </c>
      <c r="E135" t="s">
        <v>14</v>
      </c>
      <c r="F135" s="2">
        <v>40</v>
      </c>
      <c r="G135" s="2" t="str" cm="1">
        <f t="array" ref="G135">_xlfn.IFS(F135&lt;=8,"Child",F135&lt;=17,"Teen",F135&lt;=35,"Adult",F135&lt;=55,"Seniour Adult",F135&gt;=55,"Old Age")</f>
        <v>Seniour Adult</v>
      </c>
      <c r="H135" t="s">
        <v>10</v>
      </c>
      <c r="I135" t="s">
        <v>36</v>
      </c>
      <c r="J135" t="str" cm="1">
        <f t="array" ref="J135">_xlfn.IFS(I135="S","Southamptom",I135="Q","Quentown",I135="C","Cherbrug",I135="B","Cabin")</f>
        <v>Quentown</v>
      </c>
      <c r="K135" t="s">
        <v>37</v>
      </c>
      <c r="L135" s="2">
        <v>7.15</v>
      </c>
      <c r="M135" s="2" t="str" cm="1">
        <f t="array" ref="M135">_xlfn.IFS(L135&lt;=15,"Low Fare",L135&lt;=35,"Medium Fare",L135&lt;=100,"High Fare",L135&gt;=100,"Very High Fare")</f>
        <v>Low Fare</v>
      </c>
      <c r="N135" s="2">
        <v>0</v>
      </c>
      <c r="O135" s="2">
        <v>2</v>
      </c>
      <c r="P135">
        <f t="shared" si="9"/>
        <v>3</v>
      </c>
      <c r="Q135" t="str">
        <f t="shared" si="10"/>
        <v>With Family</v>
      </c>
      <c r="R135" t="str">
        <f t="shared" si="11"/>
        <v>No</v>
      </c>
      <c r="S135" t="s">
        <v>13</v>
      </c>
    </row>
    <row r="136" spans="1:19" x14ac:dyDescent="0.3">
      <c r="A136" s="1" t="s">
        <v>162</v>
      </c>
      <c r="B136" t="s">
        <v>1596</v>
      </c>
      <c r="C136" t="s">
        <v>1610</v>
      </c>
      <c r="D136" t="str">
        <f t="shared" si="8"/>
        <v>Male</v>
      </c>
      <c r="E136" t="s">
        <v>9</v>
      </c>
      <c r="F136" s="2">
        <v>42</v>
      </c>
      <c r="G136" s="2" t="str" cm="1">
        <f t="array" ref="G136">_xlfn.IFS(F136&lt;=8,"Child",F136&lt;=17,"Teen",F136&lt;=35,"Adult",F136&lt;=55,"Seniour Adult",F136&gt;=55,"Old Age")</f>
        <v>Seniour Adult</v>
      </c>
      <c r="H136" t="s">
        <v>10</v>
      </c>
      <c r="I136" t="s">
        <v>36</v>
      </c>
      <c r="J136" t="str" cm="1">
        <f t="array" ref="J136">_xlfn.IFS(I136="S","Southamptom",I136="Q","Quentown",I136="C","Cherbrug",I136="B","Cabin")</f>
        <v>Quentown</v>
      </c>
      <c r="K136" t="s">
        <v>37</v>
      </c>
      <c r="L136" s="2">
        <v>15.1</v>
      </c>
      <c r="M136" s="2" t="str" cm="1">
        <f t="array" ref="M136">_xlfn.IFS(L136&lt;=15,"Low Fare",L136&lt;=35,"Medium Fare",L136&lt;=100,"High Fare",L136&gt;=100,"Very High Fare")</f>
        <v>Medium Fare</v>
      </c>
      <c r="N136" s="2">
        <v>1</v>
      </c>
      <c r="O136" s="2">
        <v>1</v>
      </c>
      <c r="P136">
        <f t="shared" si="9"/>
        <v>3</v>
      </c>
      <c r="Q136" t="str">
        <f t="shared" si="10"/>
        <v>With Family</v>
      </c>
      <c r="R136" t="str">
        <f t="shared" si="11"/>
        <v>No</v>
      </c>
      <c r="S136" t="s">
        <v>13</v>
      </c>
    </row>
    <row r="137" spans="1:19" x14ac:dyDescent="0.3">
      <c r="A137" s="1" t="s">
        <v>162</v>
      </c>
      <c r="B137" t="s">
        <v>1600</v>
      </c>
      <c r="C137" t="s">
        <v>1735</v>
      </c>
      <c r="D137" t="str">
        <f t="shared" si="8"/>
        <v>Female</v>
      </c>
      <c r="E137" t="s">
        <v>14</v>
      </c>
      <c r="F137" s="2">
        <v>32</v>
      </c>
      <c r="G137" s="2" t="str" cm="1">
        <f t="array" ref="G137">_xlfn.IFS(F137&lt;=8,"Child",F137&lt;=17,"Teen",F137&lt;=35,"Adult",F137&lt;=55,"Seniour Adult",F137&gt;=55,"Old Age")</f>
        <v>Adult</v>
      </c>
      <c r="H137" t="s">
        <v>10</v>
      </c>
      <c r="I137" t="s">
        <v>36</v>
      </c>
      <c r="J137" t="str" cm="1">
        <f t="array" ref="J137">_xlfn.IFS(I137="S","Southamptom",I137="Q","Quentown",I137="C","Cherbrug",I137="B","Cabin")</f>
        <v>Quentown</v>
      </c>
      <c r="K137" t="s">
        <v>37</v>
      </c>
      <c r="L137" s="2">
        <v>15.1</v>
      </c>
      <c r="M137" s="2" t="str" cm="1">
        <f t="array" ref="M137">_xlfn.IFS(L137&lt;=15,"Low Fare",L137&lt;=35,"Medium Fare",L137&lt;=100,"High Fare",L137&gt;=100,"Very High Fare")</f>
        <v>Medium Fare</v>
      </c>
      <c r="N137" s="2">
        <v>1</v>
      </c>
      <c r="O137" s="2">
        <v>1</v>
      </c>
      <c r="P137">
        <f t="shared" si="9"/>
        <v>3</v>
      </c>
      <c r="Q137" t="str">
        <f t="shared" si="10"/>
        <v>With Family</v>
      </c>
      <c r="R137" t="str">
        <f t="shared" si="11"/>
        <v>No</v>
      </c>
      <c r="S137" t="s">
        <v>13</v>
      </c>
    </row>
    <row r="138" spans="1:19" x14ac:dyDescent="0.3">
      <c r="A138" s="1" t="s">
        <v>163</v>
      </c>
      <c r="B138" t="s">
        <v>1602</v>
      </c>
      <c r="C138" t="s">
        <v>1736</v>
      </c>
      <c r="D138" t="str">
        <f t="shared" si="8"/>
        <v>Female</v>
      </c>
      <c r="E138" t="s">
        <v>14</v>
      </c>
      <c r="F138" s="2">
        <v>45</v>
      </c>
      <c r="G138" s="2" t="str" cm="1">
        <f t="array" ref="G138">_xlfn.IFS(F138&lt;=8,"Child",F138&lt;=17,"Teen",F138&lt;=35,"Adult",F138&lt;=55,"Seniour Adult",F138&gt;=55,"Old Age")</f>
        <v>Seniour Adult</v>
      </c>
      <c r="H138" t="s">
        <v>25</v>
      </c>
      <c r="I138" t="s">
        <v>19</v>
      </c>
      <c r="J138" t="str" cm="1">
        <f t="array" ref="J138">_xlfn.IFS(I138="S","Southamptom",I138="Q","Quentown",I138="C","Cherbrug",I138="B","Cabin")</f>
        <v>Cherbrug</v>
      </c>
      <c r="K138" t="s">
        <v>12</v>
      </c>
      <c r="L138" s="2">
        <v>262.07060000000001</v>
      </c>
      <c r="M138" s="2" t="str" cm="1">
        <f t="array" ref="M138">_xlfn.IFS(L138&lt;=15,"Low Fare",L138&lt;=35,"Medium Fare",L138&lt;=100,"High Fare",L138&gt;=100,"Very High Fare")</f>
        <v>Very High Fare</v>
      </c>
      <c r="N138" s="2">
        <v>0</v>
      </c>
      <c r="O138" s="2">
        <v>0</v>
      </c>
      <c r="P138">
        <f t="shared" si="9"/>
        <v>1</v>
      </c>
      <c r="Q138" t="str">
        <f t="shared" si="10"/>
        <v>Alone</v>
      </c>
      <c r="R138" t="str">
        <f t="shared" si="11"/>
        <v>Yes</v>
      </c>
      <c r="S138" t="s">
        <v>16</v>
      </c>
    </row>
    <row r="139" spans="1:19" x14ac:dyDescent="0.3">
      <c r="A139" s="1" t="s">
        <v>163</v>
      </c>
      <c r="B139" t="s">
        <v>1596</v>
      </c>
      <c r="C139" t="s">
        <v>1737</v>
      </c>
      <c r="D139" t="str">
        <f t="shared" si="8"/>
        <v>Male</v>
      </c>
      <c r="E139" t="s">
        <v>9</v>
      </c>
      <c r="F139" s="2">
        <v>26</v>
      </c>
      <c r="G139" s="2" t="str" cm="1">
        <f t="array" ref="G139">_xlfn.IFS(F139&lt;=8,"Child",F139&lt;=17,"Teen",F139&lt;=35,"Adult",F139&lt;=55,"Seniour Adult",F139&gt;=55,"Old Age")</f>
        <v>Adult</v>
      </c>
      <c r="H139" t="s">
        <v>10</v>
      </c>
      <c r="I139" t="s">
        <v>11</v>
      </c>
      <c r="J139" t="str" cm="1">
        <f t="array" ref="J139">_xlfn.IFS(I139="S","Southamptom",I139="Q","Quentown",I139="C","Cherbrug",I139="B","Cabin")</f>
        <v>Southamptom</v>
      </c>
      <c r="K139" t="s">
        <v>40</v>
      </c>
      <c r="L139" s="2">
        <v>16.02</v>
      </c>
      <c r="M139" s="2" t="str" cm="1">
        <f t="array" ref="M139">_xlfn.IFS(L139&lt;=15,"Low Fare",L139&lt;=35,"Medium Fare",L139&lt;=100,"High Fare",L139&gt;=100,"Very High Fare")</f>
        <v>Medium Fare</v>
      </c>
      <c r="N139" s="2">
        <v>0</v>
      </c>
      <c r="O139" s="2">
        <v>0</v>
      </c>
      <c r="P139">
        <f t="shared" si="9"/>
        <v>1</v>
      </c>
      <c r="Q139" t="str">
        <f t="shared" si="10"/>
        <v>Alone</v>
      </c>
      <c r="R139" t="str">
        <f t="shared" si="11"/>
        <v>No</v>
      </c>
      <c r="S139" t="s">
        <v>13</v>
      </c>
    </row>
    <row r="140" spans="1:19" x14ac:dyDescent="0.3">
      <c r="A140" s="1" t="s">
        <v>164</v>
      </c>
      <c r="B140" t="s">
        <v>1596</v>
      </c>
      <c r="C140" t="s">
        <v>1738</v>
      </c>
      <c r="D140" t="str">
        <f t="shared" si="8"/>
        <v>Male</v>
      </c>
      <c r="E140" t="s">
        <v>9</v>
      </c>
      <c r="F140" s="2">
        <v>42</v>
      </c>
      <c r="G140" s="2" t="str" cm="1">
        <f t="array" ref="G140">_xlfn.IFS(F140&lt;=8,"Child",F140&lt;=17,"Teen",F140&lt;=35,"Adult",F140&lt;=55,"Seniour Adult",F140&gt;=55,"Old Age")</f>
        <v>Seniour Adult</v>
      </c>
      <c r="H140" t="s">
        <v>18</v>
      </c>
      <c r="I140" t="s">
        <v>11</v>
      </c>
      <c r="J140" t="str" cm="1">
        <f t="array" ref="J140">_xlfn.IFS(I140="S","Southamptom",I140="Q","Quentown",I140="C","Cherbrug",I140="B","Cabin")</f>
        <v>Southamptom</v>
      </c>
      <c r="K140" t="s">
        <v>15</v>
      </c>
      <c r="L140" s="2">
        <v>13</v>
      </c>
      <c r="M140" s="2" t="str" cm="1">
        <f t="array" ref="M140">_xlfn.IFS(L140&lt;=15,"Low Fare",L140&lt;=35,"Medium Fare",L140&lt;=100,"High Fare",L140&gt;=100,"Very High Fare")</f>
        <v>Low Fare</v>
      </c>
      <c r="N140" s="2">
        <v>0</v>
      </c>
      <c r="O140" s="2">
        <v>0</v>
      </c>
      <c r="P140">
        <f t="shared" si="9"/>
        <v>1</v>
      </c>
      <c r="Q140" t="str">
        <f t="shared" si="10"/>
        <v>Alone</v>
      </c>
      <c r="R140" t="str">
        <f t="shared" si="11"/>
        <v>No</v>
      </c>
      <c r="S140" t="s">
        <v>13</v>
      </c>
    </row>
    <row r="141" spans="1:19" x14ac:dyDescent="0.3">
      <c r="A141" s="1" t="s">
        <v>165</v>
      </c>
      <c r="B141" t="s">
        <v>1602</v>
      </c>
      <c r="C141" t="s">
        <v>1739</v>
      </c>
      <c r="D141" t="str">
        <f t="shared" si="8"/>
        <v>Female</v>
      </c>
      <c r="E141" t="s">
        <v>14</v>
      </c>
      <c r="F141" s="2">
        <v>22</v>
      </c>
      <c r="G141" s="2" t="str" cm="1">
        <f t="array" ref="G141">_xlfn.IFS(F141&lt;=8,"Child",F141&lt;=17,"Teen",F141&lt;=35,"Adult",F141&lt;=55,"Seniour Adult",F141&gt;=55,"Old Age")</f>
        <v>Adult</v>
      </c>
      <c r="H141" t="s">
        <v>25</v>
      </c>
      <c r="I141" t="s">
        <v>11</v>
      </c>
      <c r="J141" t="str" cm="1">
        <f t="array" ref="J141">_xlfn.IFS(I141="S","Southamptom",I141="Q","Quentown",I141="C","Cherbrug",I141="B","Cabin")</f>
        <v>Southamptom</v>
      </c>
      <c r="K141" t="s">
        <v>15</v>
      </c>
      <c r="L141" s="2">
        <v>55</v>
      </c>
      <c r="M141" s="2" t="str" cm="1">
        <f t="array" ref="M141">_xlfn.IFS(L141&lt;=15,"Low Fare",L141&lt;=35,"Medium Fare",L141&lt;=100,"High Fare",L141&gt;=100,"Very High Fare")</f>
        <v>High Fare</v>
      </c>
      <c r="N141" s="2">
        <v>0</v>
      </c>
      <c r="O141" s="2">
        <v>1</v>
      </c>
      <c r="P141">
        <f t="shared" si="9"/>
        <v>2</v>
      </c>
      <c r="Q141" t="str">
        <f t="shared" si="10"/>
        <v>With Family</v>
      </c>
      <c r="R141" t="str">
        <f t="shared" si="11"/>
        <v>Yes</v>
      </c>
      <c r="S141" t="s">
        <v>16</v>
      </c>
    </row>
    <row r="142" spans="1:19" x14ac:dyDescent="0.3">
      <c r="A142" s="1" t="s">
        <v>166</v>
      </c>
      <c r="B142" t="s">
        <v>1596</v>
      </c>
      <c r="C142" t="s">
        <v>1740</v>
      </c>
      <c r="D142" t="str">
        <f t="shared" si="8"/>
        <v>Male</v>
      </c>
      <c r="E142" t="s">
        <v>9</v>
      </c>
      <c r="F142" s="2">
        <v>30</v>
      </c>
      <c r="G142" s="2" t="str" cm="1">
        <f t="array" ref="G142">_xlfn.IFS(F142&lt;=8,"Child",F142&lt;=17,"Teen",F142&lt;=35,"Adult",F142&lt;=55,"Seniour Adult",F142&gt;=55,"Old Age")</f>
        <v>Adult</v>
      </c>
      <c r="H142" t="s">
        <v>18</v>
      </c>
      <c r="I142" t="s">
        <v>11</v>
      </c>
      <c r="J142" t="str" cm="1">
        <f t="array" ref="J142">_xlfn.IFS(I142="S","Southamptom",I142="Q","Quentown",I142="C","Cherbrug",I142="B","Cabin")</f>
        <v>Southamptom</v>
      </c>
      <c r="K142" t="s">
        <v>12</v>
      </c>
      <c r="L142" s="2">
        <v>13</v>
      </c>
      <c r="M142" s="2" t="str" cm="1">
        <f t="array" ref="M142">_xlfn.IFS(L142&lt;=15,"Low Fare",L142&lt;=35,"Medium Fare",L142&lt;=100,"High Fare",L142&gt;=100,"Very High Fare")</f>
        <v>Low Fare</v>
      </c>
      <c r="N142" s="2">
        <v>0</v>
      </c>
      <c r="O142" s="2">
        <v>0</v>
      </c>
      <c r="P142">
        <f t="shared" si="9"/>
        <v>1</v>
      </c>
      <c r="Q142" t="str">
        <f t="shared" si="10"/>
        <v>Alone</v>
      </c>
      <c r="R142" t="str">
        <f t="shared" si="11"/>
        <v>No</v>
      </c>
      <c r="S142" t="s">
        <v>13</v>
      </c>
    </row>
    <row r="143" spans="1:19" x14ac:dyDescent="0.3">
      <c r="A143" s="1" t="s">
        <v>167</v>
      </c>
      <c r="B143" t="s">
        <v>1602</v>
      </c>
      <c r="C143" t="s">
        <v>1741</v>
      </c>
      <c r="D143" t="str">
        <f t="shared" si="8"/>
        <v>Female</v>
      </c>
      <c r="E143" t="s">
        <v>14</v>
      </c>
      <c r="F143" s="2">
        <v>22</v>
      </c>
      <c r="G143" s="2" t="str" cm="1">
        <f t="array" ref="G143">_xlfn.IFS(F143&lt;=8,"Child",F143&lt;=17,"Teen",F143&lt;=35,"Adult",F143&lt;=55,"Seniour Adult",F143&gt;=55,"Old Age")</f>
        <v>Adult</v>
      </c>
      <c r="H143" t="s">
        <v>10</v>
      </c>
      <c r="I143" t="s">
        <v>36</v>
      </c>
      <c r="J143" t="str" cm="1">
        <f t="array" ref="J143">_xlfn.IFS(I143="S","Southamptom",I143="Q","Quentown",I143="C","Cherbrug",I143="B","Cabin")</f>
        <v>Quentown</v>
      </c>
      <c r="K143" t="s">
        <v>37</v>
      </c>
      <c r="L143" s="2">
        <v>7.1406000000000001</v>
      </c>
      <c r="M143" s="2" t="str" cm="1">
        <f t="array" ref="M143">_xlfn.IFS(L143&lt;=15,"Low Fare",L143&lt;=35,"Medium Fare",L143&lt;=100,"High Fare",L143&gt;=100,"Very High Fare")</f>
        <v>Low Fare</v>
      </c>
      <c r="N143" s="2">
        <v>0</v>
      </c>
      <c r="O143" s="2">
        <v>0</v>
      </c>
      <c r="P143">
        <f t="shared" si="9"/>
        <v>1</v>
      </c>
      <c r="Q143" t="str">
        <f t="shared" si="10"/>
        <v>Alone</v>
      </c>
      <c r="R143" t="str">
        <f t="shared" si="11"/>
        <v>Yes</v>
      </c>
      <c r="S143" t="s">
        <v>16</v>
      </c>
    </row>
    <row r="144" spans="1:19" x14ac:dyDescent="0.3">
      <c r="A144" s="1" t="s">
        <v>168</v>
      </c>
      <c r="B144" t="s">
        <v>1596</v>
      </c>
      <c r="C144" t="s">
        <v>1742</v>
      </c>
      <c r="D144" t="str">
        <f t="shared" si="8"/>
        <v>Male</v>
      </c>
      <c r="E144" t="s">
        <v>9</v>
      </c>
      <c r="F144" s="2">
        <v>41</v>
      </c>
      <c r="G144" s="2" t="str" cm="1">
        <f t="array" ref="G144">_xlfn.IFS(F144&lt;=8,"Child",F144&lt;=17,"Teen",F144&lt;=35,"Adult",F144&lt;=55,"Seniour Adult",F144&gt;=55,"Old Age")</f>
        <v>Seniour Adult</v>
      </c>
      <c r="H144" t="s">
        <v>25</v>
      </c>
      <c r="I144" t="s">
        <v>11</v>
      </c>
      <c r="J144" t="str" cm="1">
        <f t="array" ref="J144">_xlfn.IFS(I144="S","Southamptom",I144="Q","Quentown",I144="C","Cherbrug",I144="B","Cabin")</f>
        <v>Southamptom</v>
      </c>
      <c r="K144" t="s">
        <v>12</v>
      </c>
      <c r="L144" s="2">
        <v>30.1</v>
      </c>
      <c r="M144" s="2" t="str" cm="1">
        <f t="array" ref="M144">_xlfn.IFS(L144&lt;=15,"Low Fare",L144&lt;=35,"Medium Fare",L144&lt;=100,"High Fare",L144&gt;=100,"Very High Fare")</f>
        <v>Medium Fare</v>
      </c>
      <c r="N144" s="2">
        <v>0</v>
      </c>
      <c r="O144" s="2">
        <v>0</v>
      </c>
      <c r="P144">
        <f t="shared" si="9"/>
        <v>1</v>
      </c>
      <c r="Q144" t="str">
        <f t="shared" si="10"/>
        <v>Alone</v>
      </c>
      <c r="R144" t="str">
        <f t="shared" si="11"/>
        <v>No</v>
      </c>
      <c r="S144" t="s">
        <v>13</v>
      </c>
    </row>
    <row r="145" spans="1:19" x14ac:dyDescent="0.3">
      <c r="A145" s="1" t="s">
        <v>169</v>
      </c>
      <c r="B145" t="s">
        <v>1602</v>
      </c>
      <c r="C145" t="s">
        <v>1743</v>
      </c>
      <c r="D145" t="str">
        <f t="shared" si="8"/>
        <v>Female</v>
      </c>
      <c r="E145" t="s">
        <v>14</v>
      </c>
      <c r="F145" s="2">
        <v>20</v>
      </c>
      <c r="G145" s="2" t="str" cm="1">
        <f t="array" ref="G145">_xlfn.IFS(F145&lt;=8,"Child",F145&lt;=17,"Teen",F145&lt;=35,"Adult",F145&lt;=55,"Seniour Adult",F145&gt;=55,"Old Age")</f>
        <v>Adult</v>
      </c>
      <c r="H145" t="s">
        <v>10</v>
      </c>
      <c r="I145" t="s">
        <v>11</v>
      </c>
      <c r="J145" t="str" cm="1">
        <f t="array" ref="J145">_xlfn.IFS(I145="S","Southamptom",I145="Q","Quentown",I145="C","Cherbrug",I145="B","Cabin")</f>
        <v>Southamptom</v>
      </c>
      <c r="K145" t="s">
        <v>23</v>
      </c>
      <c r="L145" s="2">
        <v>7.1700999999999997</v>
      </c>
      <c r="M145" s="2" t="str" cm="1">
        <f t="array" ref="M145">_xlfn.IFS(L145&lt;=15,"Low Fare",L145&lt;=35,"Medium Fare",L145&lt;=100,"High Fare",L145&gt;=100,"Very High Fare")</f>
        <v>Low Fare</v>
      </c>
      <c r="N145" s="2">
        <v>0</v>
      </c>
      <c r="O145" s="2">
        <v>0</v>
      </c>
      <c r="P145">
        <f t="shared" si="9"/>
        <v>1</v>
      </c>
      <c r="Q145" t="str">
        <f t="shared" si="10"/>
        <v>Alone</v>
      </c>
      <c r="R145" t="str">
        <f t="shared" si="11"/>
        <v>No</v>
      </c>
      <c r="S145" t="s">
        <v>13</v>
      </c>
    </row>
    <row r="146" spans="1:19" hidden="1" x14ac:dyDescent="0.3">
      <c r="A146" s="1" t="s">
        <v>170</v>
      </c>
      <c r="B146" t="s">
        <v>1596</v>
      </c>
      <c r="C146" t="s">
        <v>1744</v>
      </c>
      <c r="D146" t="str">
        <f t="shared" si="8"/>
        <v>Male</v>
      </c>
      <c r="E146" t="s">
        <v>9</v>
      </c>
      <c r="F146" s="2">
        <v>24</v>
      </c>
      <c r="G146" s="2" t="str" cm="1">
        <f t="array" ref="G146">_xlfn.IFS(F146&lt;=8,"Child",F146&lt;=17,"Teen",F146&lt;=35,"Adult",F146&lt;=55,"Seniour Adult",F146&gt;=55,"Old Age")</f>
        <v>Adult</v>
      </c>
      <c r="H146" t="s">
        <v>18</v>
      </c>
      <c r="I146" t="s">
        <v>11</v>
      </c>
      <c r="J146" t="str" cm="1">
        <f t="array" ref="J146">_xlfn.IFS(I146="S","Southamptom",I146="Q","Quentown",I146="C","Cherbrug",I146="B","Cabin")</f>
        <v>Southamptom</v>
      </c>
      <c r="K146" t="s">
        <v>15</v>
      </c>
      <c r="L146" s="2">
        <v>33</v>
      </c>
      <c r="M146" s="2" t="str" cm="1">
        <f t="array" ref="M146">_xlfn.IFS(L146&lt;=15,"Low Fare",L146&lt;=35,"Medium Fare",L146&lt;=100,"High Fare",L146&gt;=100,"Very High Fare")</f>
        <v>Medium Fare</v>
      </c>
      <c r="N146" s="2">
        <v>1</v>
      </c>
      <c r="O146" s="2" t="s">
        <v>30</v>
      </c>
      <c r="P146" t="e">
        <f t="shared" si="9"/>
        <v>#VALUE!</v>
      </c>
      <c r="Q146" t="e">
        <f t="shared" si="10"/>
        <v>#VALUE!</v>
      </c>
      <c r="R146" t="str">
        <f t="shared" si="11"/>
        <v>No</v>
      </c>
      <c r="S146" t="s">
        <v>13</v>
      </c>
    </row>
    <row r="147" spans="1:19" x14ac:dyDescent="0.3">
      <c r="A147" s="1" t="s">
        <v>171</v>
      </c>
      <c r="B147" t="s">
        <v>1596</v>
      </c>
      <c r="C147" t="s">
        <v>1745</v>
      </c>
      <c r="D147" t="str">
        <f t="shared" si="8"/>
        <v>Male</v>
      </c>
      <c r="E147" t="s">
        <v>9</v>
      </c>
      <c r="F147" s="2">
        <v>48</v>
      </c>
      <c r="G147" s="2" t="str" cm="1">
        <f t="array" ref="G147">_xlfn.IFS(F147&lt;=8,"Child",F147&lt;=17,"Teen",F147&lt;=35,"Adult",F147&lt;=55,"Seniour Adult",F147&gt;=55,"Old Age")</f>
        <v>Seniour Adult</v>
      </c>
      <c r="H147" t="s">
        <v>25</v>
      </c>
      <c r="I147" t="s">
        <v>19</v>
      </c>
      <c r="J147" t="str" cm="1">
        <f t="array" ref="J147">_xlfn.IFS(I147="S","Southamptom",I147="Q","Quentown",I147="C","Cherbrug",I147="B","Cabin")</f>
        <v>Cherbrug</v>
      </c>
      <c r="K147" t="s">
        <v>12</v>
      </c>
      <c r="L147" s="2">
        <v>50.091099999999997</v>
      </c>
      <c r="M147" s="2" t="str" cm="1">
        <f t="array" ref="M147">_xlfn.IFS(L147&lt;=15,"Low Fare",L147&lt;=35,"Medium Fare",L147&lt;=100,"High Fare",L147&gt;=100,"Very High Fare")</f>
        <v>High Fare</v>
      </c>
      <c r="N147" s="2">
        <v>0</v>
      </c>
      <c r="O147" s="2">
        <v>0</v>
      </c>
      <c r="P147">
        <f t="shared" si="9"/>
        <v>1</v>
      </c>
      <c r="Q147" t="str">
        <f t="shared" si="10"/>
        <v>Alone</v>
      </c>
      <c r="R147" t="str">
        <f t="shared" si="11"/>
        <v>No</v>
      </c>
      <c r="S147" t="s">
        <v>13</v>
      </c>
    </row>
    <row r="148" spans="1:19" x14ac:dyDescent="0.3">
      <c r="A148" s="1" t="s">
        <v>172</v>
      </c>
      <c r="B148" t="s">
        <v>1596</v>
      </c>
      <c r="C148" t="s">
        <v>1746</v>
      </c>
      <c r="D148" t="str">
        <f t="shared" si="8"/>
        <v>Male</v>
      </c>
      <c r="E148" t="s">
        <v>9</v>
      </c>
      <c r="F148" s="2">
        <v>29</v>
      </c>
      <c r="G148" s="2" t="str" cm="1">
        <f t="array" ref="G148">_xlfn.IFS(F148&lt;=8,"Child",F148&lt;=17,"Teen",F148&lt;=35,"Adult",F148&lt;=55,"Seniour Adult",F148&gt;=55,"Old Age")</f>
        <v>Adult</v>
      </c>
      <c r="H148" t="s">
        <v>10</v>
      </c>
      <c r="I148" t="s">
        <v>11</v>
      </c>
      <c r="J148" t="str" cm="1">
        <f t="array" ref="J148">_xlfn.IFS(I148="S","Southamptom",I148="Q","Quentown",I148="C","Cherbrug",I148="B","Cabin")</f>
        <v>Southamptom</v>
      </c>
      <c r="K148" t="s">
        <v>15</v>
      </c>
      <c r="L148" s="2">
        <v>7</v>
      </c>
      <c r="M148" s="2" t="str" cm="1">
        <f t="array" ref="M148">_xlfn.IFS(L148&lt;=15,"Low Fare",L148&lt;=35,"Medium Fare",L148&lt;=100,"High Fare",L148&gt;=100,"Very High Fare")</f>
        <v>Low Fare</v>
      </c>
      <c r="N148" s="2">
        <v>1</v>
      </c>
      <c r="O148" s="2">
        <v>0</v>
      </c>
      <c r="P148">
        <f t="shared" si="9"/>
        <v>2</v>
      </c>
      <c r="Q148" t="str">
        <f t="shared" si="10"/>
        <v>With Family</v>
      </c>
      <c r="R148" t="str">
        <f t="shared" si="11"/>
        <v>No</v>
      </c>
      <c r="S148" t="s">
        <v>13</v>
      </c>
    </row>
    <row r="149" spans="1:19" x14ac:dyDescent="0.3">
      <c r="A149" s="1" t="s">
        <v>172</v>
      </c>
      <c r="B149" t="s">
        <v>1596</v>
      </c>
      <c r="C149" t="s">
        <v>1747</v>
      </c>
      <c r="D149" t="str">
        <f t="shared" si="8"/>
        <v>Male</v>
      </c>
      <c r="E149" t="s">
        <v>9</v>
      </c>
      <c r="F149" s="2">
        <v>23</v>
      </c>
      <c r="G149" s="2" t="str" cm="1">
        <f t="array" ref="G149">_xlfn.IFS(F149&lt;=8,"Child",F149&lt;=17,"Teen",F149&lt;=35,"Adult",F149&lt;=55,"Seniour Adult",F149&gt;=55,"Old Age")</f>
        <v>Adult</v>
      </c>
      <c r="H149" t="s">
        <v>10</v>
      </c>
      <c r="I149" t="s">
        <v>11</v>
      </c>
      <c r="J149" t="str" cm="1">
        <f t="array" ref="J149">_xlfn.IFS(I149="S","Southamptom",I149="Q","Quentown",I149="C","Cherbrug",I149="B","Cabin")</f>
        <v>Southamptom</v>
      </c>
      <c r="K149" t="s">
        <v>15</v>
      </c>
      <c r="L149" s="2">
        <v>7.05</v>
      </c>
      <c r="M149" s="2" t="str" cm="1">
        <f t="array" ref="M149">_xlfn.IFS(L149&lt;=15,"Low Fare",L149&lt;=35,"Medium Fare",L149&lt;=100,"High Fare",L149&gt;=100,"Very High Fare")</f>
        <v>Low Fare</v>
      </c>
      <c r="N149" s="2">
        <v>1</v>
      </c>
      <c r="O149" s="2">
        <v>0</v>
      </c>
      <c r="P149">
        <f t="shared" si="9"/>
        <v>2</v>
      </c>
      <c r="Q149" t="str">
        <f t="shared" si="10"/>
        <v>With Family</v>
      </c>
      <c r="R149" t="str">
        <f t="shared" si="11"/>
        <v>No</v>
      </c>
      <c r="S149" t="s">
        <v>13</v>
      </c>
    </row>
    <row r="150" spans="1:19" x14ac:dyDescent="0.3">
      <c r="A150" s="1" t="s">
        <v>173</v>
      </c>
      <c r="B150" t="s">
        <v>1596</v>
      </c>
      <c r="C150" t="s">
        <v>1748</v>
      </c>
      <c r="D150" t="str">
        <f t="shared" si="8"/>
        <v>Male</v>
      </c>
      <c r="E150" t="s">
        <v>9</v>
      </c>
      <c r="F150" s="2">
        <v>37</v>
      </c>
      <c r="G150" s="2" t="str" cm="1">
        <f t="array" ref="G150">_xlfn.IFS(F150&lt;=8,"Child",F150&lt;=17,"Teen",F150&lt;=35,"Adult",F150&lt;=55,"Seniour Adult",F150&gt;=55,"Old Age")</f>
        <v>Seniour Adult</v>
      </c>
      <c r="H150" t="s">
        <v>25</v>
      </c>
      <c r="I150" t="s">
        <v>11</v>
      </c>
      <c r="J150" t="str" cm="1">
        <f t="array" ref="J150">_xlfn.IFS(I150="S","Southamptom",I150="Q","Quentown",I150="C","Cherbrug",I150="B","Cabin")</f>
        <v>Southamptom</v>
      </c>
      <c r="K150" t="s">
        <v>12</v>
      </c>
      <c r="L150" s="2">
        <v>26.11</v>
      </c>
      <c r="M150" s="2" t="str" cm="1">
        <f t="array" ref="M150">_xlfn.IFS(L150&lt;=15,"Low Fare",L150&lt;=35,"Medium Fare",L150&lt;=100,"High Fare",L150&gt;=100,"Very High Fare")</f>
        <v>Medium Fare</v>
      </c>
      <c r="N150" s="2">
        <v>0</v>
      </c>
      <c r="O150" s="2">
        <v>0</v>
      </c>
      <c r="P150">
        <f t="shared" si="9"/>
        <v>1</v>
      </c>
      <c r="Q150" t="str">
        <f t="shared" si="10"/>
        <v>Alone</v>
      </c>
      <c r="R150" t="str">
        <f t="shared" si="11"/>
        <v>Yes</v>
      </c>
      <c r="S150" t="s">
        <v>16</v>
      </c>
    </row>
    <row r="151" spans="1:19" x14ac:dyDescent="0.3">
      <c r="A151" s="1" t="s">
        <v>174</v>
      </c>
      <c r="B151" t="s">
        <v>1749</v>
      </c>
      <c r="C151" t="s">
        <v>1750</v>
      </c>
      <c r="D151" t="str">
        <f t="shared" si="8"/>
        <v>Male</v>
      </c>
      <c r="E151" t="s">
        <v>9</v>
      </c>
      <c r="F151" s="2">
        <v>46</v>
      </c>
      <c r="G151" s="2" t="str" cm="1">
        <f t="array" ref="G151">_xlfn.IFS(F151&lt;=8,"Child",F151&lt;=17,"Teen",F151&lt;=35,"Adult",F151&lt;=55,"Seniour Adult",F151&gt;=55,"Old Age")</f>
        <v>Seniour Adult</v>
      </c>
      <c r="H151" t="s">
        <v>25</v>
      </c>
      <c r="I151" t="s">
        <v>19</v>
      </c>
      <c r="J151" t="str" cm="1">
        <f t="array" ref="J151">_xlfn.IFS(I151="S","Southamptom",I151="Q","Quentown",I151="C","Cherbrug",I151="B","Cabin")</f>
        <v>Cherbrug</v>
      </c>
      <c r="K151" t="s">
        <v>12</v>
      </c>
      <c r="L151" s="2">
        <v>39.119999999999997</v>
      </c>
      <c r="M151" s="2" t="str" cm="1">
        <f t="array" ref="M151">_xlfn.IFS(L151&lt;=15,"Low Fare",L151&lt;=35,"Medium Fare",L151&lt;=100,"High Fare",L151&gt;=100,"Very High Fare")</f>
        <v>High Fare</v>
      </c>
      <c r="N151" s="2">
        <v>0</v>
      </c>
      <c r="O151" s="2">
        <v>0</v>
      </c>
      <c r="P151">
        <f t="shared" si="9"/>
        <v>1</v>
      </c>
      <c r="Q151" t="str">
        <f t="shared" si="10"/>
        <v>Alone</v>
      </c>
      <c r="R151" t="str">
        <f t="shared" si="11"/>
        <v>No</v>
      </c>
      <c r="S151" t="s">
        <v>13</v>
      </c>
    </row>
    <row r="152" spans="1:19" hidden="1" x14ac:dyDescent="0.3">
      <c r="A152" s="1" t="s">
        <v>175</v>
      </c>
      <c r="B152" t="s">
        <v>1596</v>
      </c>
      <c r="C152" t="s">
        <v>1751</v>
      </c>
      <c r="D152" t="str">
        <f t="shared" si="8"/>
        <v>Male</v>
      </c>
      <c r="E152" t="s">
        <v>9</v>
      </c>
      <c r="F152" s="2">
        <v>20</v>
      </c>
      <c r="G152" s="2" t="str" cm="1">
        <f t="array" ref="G152">_xlfn.IFS(F152&lt;=8,"Child",F152&lt;=17,"Teen",F152&lt;=35,"Adult",F152&lt;=55,"Seniour Adult",F152&gt;=55,"Old Age")</f>
        <v>Adult</v>
      </c>
      <c r="H152" t="s">
        <v>18</v>
      </c>
      <c r="I152" t="s">
        <v>11</v>
      </c>
      <c r="J152" t="str" cm="1">
        <f t="array" ref="J152">_xlfn.IFS(I152="S","Southamptom",I152="Q","Quentown",I152="C","Cherbrug",I152="B","Cabin")</f>
        <v>Southamptom</v>
      </c>
      <c r="K152" t="s">
        <v>20</v>
      </c>
      <c r="L152" s="2">
        <v>33</v>
      </c>
      <c r="M152" s="2" t="str" cm="1">
        <f t="array" ref="M152">_xlfn.IFS(L152&lt;=15,"Low Fare",L152&lt;=35,"Medium Fare",L152&lt;=100,"High Fare",L152&gt;=100,"Very High Fare")</f>
        <v>Medium Fare</v>
      </c>
      <c r="N152" s="2">
        <v>1</v>
      </c>
      <c r="O152" s="2" t="s">
        <v>30</v>
      </c>
      <c r="P152" t="e">
        <f t="shared" si="9"/>
        <v>#VALUE!</v>
      </c>
      <c r="Q152" t="e">
        <f t="shared" si="10"/>
        <v>#VALUE!</v>
      </c>
      <c r="R152" t="str">
        <f t="shared" si="11"/>
        <v>No</v>
      </c>
      <c r="S152" t="s">
        <v>13</v>
      </c>
    </row>
    <row r="153" spans="1:19" x14ac:dyDescent="0.3">
      <c r="A153" s="1" t="s">
        <v>176</v>
      </c>
      <c r="B153" t="s">
        <v>1596</v>
      </c>
      <c r="C153" t="s">
        <v>1752</v>
      </c>
      <c r="D153" t="str">
        <f t="shared" si="8"/>
        <v>Male</v>
      </c>
      <c r="E153" t="s">
        <v>9</v>
      </c>
      <c r="F153" s="2">
        <v>32</v>
      </c>
      <c r="G153" s="2" t="str" cm="1">
        <f t="array" ref="G153">_xlfn.IFS(F153&lt;=8,"Child",F153&lt;=17,"Teen",F153&lt;=35,"Adult",F153&lt;=55,"Seniour Adult",F153&gt;=55,"Old Age")</f>
        <v>Adult</v>
      </c>
      <c r="H153" t="s">
        <v>18</v>
      </c>
      <c r="I153" t="s">
        <v>11</v>
      </c>
      <c r="J153" t="str" cm="1">
        <f t="array" ref="J153">_xlfn.IFS(I153="S","Southamptom",I153="Q","Quentown",I153="C","Cherbrug",I153="B","Cabin")</f>
        <v>Southamptom</v>
      </c>
      <c r="K153" t="s">
        <v>15</v>
      </c>
      <c r="L153" s="2">
        <v>13</v>
      </c>
      <c r="M153" s="2" t="str" cm="1">
        <f t="array" ref="M153">_xlfn.IFS(L153&lt;=15,"Low Fare",L153&lt;=35,"Medium Fare",L153&lt;=100,"High Fare",L153&gt;=100,"Very High Fare")</f>
        <v>Low Fare</v>
      </c>
      <c r="N153" s="2">
        <v>0</v>
      </c>
      <c r="O153" s="2">
        <v>0</v>
      </c>
      <c r="P153">
        <f t="shared" si="9"/>
        <v>1</v>
      </c>
      <c r="Q153" t="str">
        <f t="shared" si="10"/>
        <v>Alone</v>
      </c>
      <c r="R153" t="str">
        <f t="shared" si="11"/>
        <v>No</v>
      </c>
      <c r="S153" t="s">
        <v>13</v>
      </c>
    </row>
    <row r="154" spans="1:19" x14ac:dyDescent="0.3">
      <c r="A154" s="1" t="s">
        <v>177</v>
      </c>
      <c r="B154" t="s">
        <v>1596</v>
      </c>
      <c r="C154" t="s">
        <v>1753</v>
      </c>
      <c r="D154" t="str">
        <f t="shared" si="8"/>
        <v>Male</v>
      </c>
      <c r="E154" t="s">
        <v>9</v>
      </c>
      <c r="F154" s="2">
        <v>22</v>
      </c>
      <c r="G154" s="2" t="str" cm="1">
        <f t="array" ref="G154">_xlfn.IFS(F154&lt;=8,"Child",F154&lt;=17,"Teen",F154&lt;=35,"Adult",F154&lt;=55,"Seniour Adult",F154&gt;=55,"Old Age")</f>
        <v>Adult</v>
      </c>
      <c r="H154" t="s">
        <v>10</v>
      </c>
      <c r="I154" t="s">
        <v>11</v>
      </c>
      <c r="J154" t="str" cm="1">
        <f t="array" ref="J154">_xlfn.IFS(I154="S","Southamptom",I154="Q","Quentown",I154="C","Cherbrug",I154="B","Cabin")</f>
        <v>Southamptom</v>
      </c>
      <c r="K154" t="s">
        <v>23</v>
      </c>
      <c r="L154" s="2">
        <v>7.1510999999999996</v>
      </c>
      <c r="M154" s="2" t="str" cm="1">
        <f t="array" ref="M154">_xlfn.IFS(L154&lt;=15,"Low Fare",L154&lt;=35,"Medium Fare",L154&lt;=100,"High Fare",L154&gt;=100,"Very High Fare")</f>
        <v>Low Fare</v>
      </c>
      <c r="N154" s="2">
        <v>0</v>
      </c>
      <c r="O154" s="2">
        <v>0</v>
      </c>
      <c r="P154">
        <f t="shared" si="9"/>
        <v>1</v>
      </c>
      <c r="Q154" t="str">
        <f t="shared" si="10"/>
        <v>Alone</v>
      </c>
      <c r="R154" t="str">
        <f t="shared" si="11"/>
        <v>No</v>
      </c>
      <c r="S154" t="s">
        <v>13</v>
      </c>
    </row>
    <row r="155" spans="1:19" x14ac:dyDescent="0.3">
      <c r="A155" s="1" t="s">
        <v>178</v>
      </c>
      <c r="B155" t="s">
        <v>1596</v>
      </c>
      <c r="C155" t="s">
        <v>1754</v>
      </c>
      <c r="D155" t="str">
        <f t="shared" si="8"/>
        <v>Male</v>
      </c>
      <c r="E155" t="s">
        <v>9</v>
      </c>
      <c r="F155" s="2">
        <v>40</v>
      </c>
      <c r="G155" s="2" t="str" cm="1">
        <f t="array" ref="G155">_xlfn.IFS(F155&lt;=8,"Child",F155&lt;=17,"Teen",F155&lt;=35,"Adult",F155&lt;=55,"Seniour Adult",F155&gt;=55,"Old Age")</f>
        <v>Seniour Adult</v>
      </c>
      <c r="H155" t="s">
        <v>10</v>
      </c>
      <c r="I155" t="s">
        <v>11</v>
      </c>
      <c r="J155" t="str" cm="1">
        <f t="array" ref="J155">_xlfn.IFS(I155="S","Southamptom",I155="Q","Quentown",I155="C","Cherbrug",I155="B","Cabin")</f>
        <v>Southamptom</v>
      </c>
      <c r="K155" t="s">
        <v>15</v>
      </c>
      <c r="L155" s="2">
        <v>8.01</v>
      </c>
      <c r="M155" s="2" t="str" cm="1">
        <f t="array" ref="M155">_xlfn.IFS(L155&lt;=15,"Low Fare",L155&lt;=35,"Medium Fare",L155&lt;=100,"High Fare",L155&gt;=100,"Very High Fare")</f>
        <v>Low Fare</v>
      </c>
      <c r="N155" s="2">
        <v>0</v>
      </c>
      <c r="O155" s="2">
        <v>0</v>
      </c>
      <c r="P155">
        <f t="shared" si="9"/>
        <v>1</v>
      </c>
      <c r="Q155" t="str">
        <f t="shared" si="10"/>
        <v>Alone</v>
      </c>
      <c r="R155" t="str">
        <f t="shared" si="11"/>
        <v>No</v>
      </c>
      <c r="S155" t="s">
        <v>13</v>
      </c>
    </row>
    <row r="156" spans="1:19" x14ac:dyDescent="0.3">
      <c r="A156" s="1" t="s">
        <v>179</v>
      </c>
      <c r="B156" t="s">
        <v>1602</v>
      </c>
      <c r="C156" t="s">
        <v>1755</v>
      </c>
      <c r="D156" t="str">
        <f t="shared" si="8"/>
        <v>Female</v>
      </c>
      <c r="E156" t="s">
        <v>14</v>
      </c>
      <c r="F156" s="2">
        <v>18</v>
      </c>
      <c r="G156" s="2" t="str" cm="1">
        <f t="array" ref="G156">_xlfn.IFS(F156&lt;=8,"Child",F156&lt;=17,"Teen",F156&lt;=35,"Adult",F156&lt;=55,"Seniour Adult",F156&gt;=55,"Old Age")</f>
        <v>Adult</v>
      </c>
      <c r="H156" t="s">
        <v>18</v>
      </c>
      <c r="I156" t="s">
        <v>11</v>
      </c>
      <c r="J156" t="str" cm="1">
        <f t="array" ref="J156">_xlfn.IFS(I156="S","Southamptom",I156="Q","Quentown",I156="C","Cherbrug",I156="B","Cabin")</f>
        <v>Southamptom</v>
      </c>
      <c r="K156" t="s">
        <v>15</v>
      </c>
      <c r="L156" s="2">
        <v>13</v>
      </c>
      <c r="M156" s="2" t="str" cm="1">
        <f t="array" ref="M156">_xlfn.IFS(L156&lt;=15,"Low Fare",L156&lt;=35,"Medium Fare",L156&lt;=100,"High Fare",L156&gt;=100,"Very High Fare")</f>
        <v>Low Fare</v>
      </c>
      <c r="N156" s="2">
        <v>0</v>
      </c>
      <c r="O156" s="2">
        <v>0</v>
      </c>
      <c r="P156">
        <f t="shared" si="9"/>
        <v>1</v>
      </c>
      <c r="Q156" t="str">
        <f t="shared" si="10"/>
        <v>Alone</v>
      </c>
      <c r="R156" t="str">
        <f t="shared" si="11"/>
        <v>Yes</v>
      </c>
      <c r="S156" t="s">
        <v>16</v>
      </c>
    </row>
    <row r="157" spans="1:19" x14ac:dyDescent="0.3">
      <c r="A157" s="1" t="s">
        <v>179</v>
      </c>
      <c r="B157" t="s">
        <v>1602</v>
      </c>
      <c r="C157" t="s">
        <v>1756</v>
      </c>
      <c r="D157" t="str">
        <f t="shared" si="8"/>
        <v>Female</v>
      </c>
      <c r="E157" t="s">
        <v>14</v>
      </c>
      <c r="F157" s="2">
        <v>15</v>
      </c>
      <c r="G157" s="2" t="str" cm="1">
        <f t="array" ref="G157">_xlfn.IFS(F157&lt;=8,"Child",F157&lt;=17,"Teen",F157&lt;=35,"Adult",F157&lt;=55,"Seniour Adult",F157&gt;=55,"Old Age")</f>
        <v>Teen</v>
      </c>
      <c r="H157" t="s">
        <v>18</v>
      </c>
      <c r="I157" t="s">
        <v>11</v>
      </c>
      <c r="J157" t="str" cm="1">
        <f t="array" ref="J157">_xlfn.IFS(I157="S","Southamptom",I157="Q","Quentown",I157="C","Cherbrug",I157="B","Cabin")</f>
        <v>Southamptom</v>
      </c>
      <c r="K157" t="s">
        <v>41</v>
      </c>
      <c r="L157" s="2">
        <v>39</v>
      </c>
      <c r="M157" s="2" t="str" cm="1">
        <f t="array" ref="M157">_xlfn.IFS(L157&lt;=15,"Low Fare",L157&lt;=35,"Medium Fare",L157&lt;=100,"High Fare",L157&gt;=100,"Very High Fare")</f>
        <v>High Fare</v>
      </c>
      <c r="N157" s="2">
        <v>0</v>
      </c>
      <c r="O157" s="2">
        <v>2</v>
      </c>
      <c r="P157">
        <f t="shared" si="9"/>
        <v>3</v>
      </c>
      <c r="Q157" t="str">
        <f t="shared" si="10"/>
        <v>With Family</v>
      </c>
      <c r="R157" t="str">
        <f t="shared" si="11"/>
        <v>Yes</v>
      </c>
      <c r="S157" t="s">
        <v>16</v>
      </c>
    </row>
    <row r="158" spans="1:19" x14ac:dyDescent="0.3">
      <c r="A158" s="1" t="s">
        <v>179</v>
      </c>
      <c r="B158" t="s">
        <v>1600</v>
      </c>
      <c r="C158" t="s">
        <v>1757</v>
      </c>
      <c r="D158" t="str">
        <f t="shared" si="8"/>
        <v>Female</v>
      </c>
      <c r="E158" t="s">
        <v>14</v>
      </c>
      <c r="F158" s="2">
        <v>59</v>
      </c>
      <c r="G158" s="2" t="str" cm="1">
        <f t="array" ref="G158">_xlfn.IFS(F158&lt;=8,"Child",F158&lt;=17,"Teen",F158&lt;=35,"Adult",F158&lt;=55,"Seniour Adult",F158&gt;=55,"Old Age")</f>
        <v>Old Age</v>
      </c>
      <c r="H158" t="s">
        <v>25</v>
      </c>
      <c r="I158" t="s">
        <v>11</v>
      </c>
      <c r="J158" t="str" cm="1">
        <f t="array" ref="J158">_xlfn.IFS(I158="S","Southamptom",I158="Q","Quentown",I158="C","Cherbrug",I158="B","Cabin")</f>
        <v>Southamptom</v>
      </c>
      <c r="K158" t="s">
        <v>12</v>
      </c>
      <c r="L158" s="2">
        <v>51.090699999999998</v>
      </c>
      <c r="M158" s="2" t="str" cm="1">
        <f t="array" ref="M158">_xlfn.IFS(L158&lt;=15,"Low Fare",L158&lt;=35,"Medium Fare",L158&lt;=100,"High Fare",L158&gt;=100,"Very High Fare")</f>
        <v>High Fare</v>
      </c>
      <c r="N158" s="2">
        <v>2</v>
      </c>
      <c r="O158" s="2">
        <v>0</v>
      </c>
      <c r="P158">
        <f t="shared" si="9"/>
        <v>3</v>
      </c>
      <c r="Q158" t="str">
        <f t="shared" si="10"/>
        <v>With Family</v>
      </c>
      <c r="R158" t="str">
        <f t="shared" si="11"/>
        <v>Yes</v>
      </c>
      <c r="S158" t="s">
        <v>16</v>
      </c>
    </row>
    <row r="159" spans="1:19" x14ac:dyDescent="0.3">
      <c r="A159" s="1" t="s">
        <v>179</v>
      </c>
      <c r="B159" t="s">
        <v>1600</v>
      </c>
      <c r="C159" t="s">
        <v>1758</v>
      </c>
      <c r="D159" t="str">
        <f t="shared" si="8"/>
        <v>Female</v>
      </c>
      <c r="E159" t="s">
        <v>14</v>
      </c>
      <c r="F159" s="2">
        <v>40</v>
      </c>
      <c r="G159" s="2" t="str" cm="1">
        <f t="array" ref="G159">_xlfn.IFS(F159&lt;=8,"Child",F159&lt;=17,"Teen",F159&lt;=35,"Adult",F159&lt;=55,"Seniour Adult",F159&gt;=55,"Old Age")</f>
        <v>Seniour Adult</v>
      </c>
      <c r="H159" t="s">
        <v>18</v>
      </c>
      <c r="I159" t="s">
        <v>11</v>
      </c>
      <c r="J159" t="str" cm="1">
        <f t="array" ref="J159">_xlfn.IFS(I159="S","Southamptom",I159="Q","Quentown",I159="C","Cherbrug",I159="B","Cabin")</f>
        <v>Southamptom</v>
      </c>
      <c r="K159" t="s">
        <v>41</v>
      </c>
      <c r="L159" s="2">
        <v>39</v>
      </c>
      <c r="M159" s="2" t="str" cm="1">
        <f t="array" ref="M159">_xlfn.IFS(L159&lt;=15,"Low Fare",L159&lt;=35,"Medium Fare",L159&lt;=100,"High Fare",L159&gt;=100,"Very High Fare")</f>
        <v>High Fare</v>
      </c>
      <c r="N159" s="2">
        <v>1</v>
      </c>
      <c r="O159" s="2">
        <v>1</v>
      </c>
      <c r="P159">
        <f t="shared" si="9"/>
        <v>3</v>
      </c>
      <c r="Q159" t="str">
        <f t="shared" si="10"/>
        <v>With Family</v>
      </c>
      <c r="R159" t="str">
        <f t="shared" si="11"/>
        <v>Yes</v>
      </c>
      <c r="S159" t="s">
        <v>16</v>
      </c>
    </row>
    <row r="160" spans="1:19" x14ac:dyDescent="0.3">
      <c r="A160" s="1" t="s">
        <v>179</v>
      </c>
      <c r="B160" t="s">
        <v>1600</v>
      </c>
      <c r="C160" t="s">
        <v>1759</v>
      </c>
      <c r="D160" t="str">
        <f t="shared" si="8"/>
        <v>Female</v>
      </c>
      <c r="E160" t="s">
        <v>14</v>
      </c>
      <c r="F160" s="2">
        <v>44</v>
      </c>
      <c r="G160" s="2" t="str" cm="1">
        <f t="array" ref="G160">_xlfn.IFS(F160&lt;=8,"Child",F160&lt;=17,"Teen",F160&lt;=35,"Adult",F160&lt;=55,"Seniour Adult",F160&gt;=55,"Old Age")</f>
        <v>Seniour Adult</v>
      </c>
      <c r="H160" t="s">
        <v>25</v>
      </c>
      <c r="I160" t="s">
        <v>19</v>
      </c>
      <c r="J160" t="str" cm="1">
        <f t="array" ref="J160">_xlfn.IFS(I160="S","Southamptom",I160="Q","Quentown",I160="C","Cherbrug",I160="B","Cabin")</f>
        <v>Cherbrug</v>
      </c>
      <c r="K160" t="s">
        <v>12</v>
      </c>
      <c r="L160" s="2">
        <v>27.140499999999999</v>
      </c>
      <c r="M160" s="2" t="str" cm="1">
        <f t="array" ref="M160">_xlfn.IFS(L160&lt;=15,"Low Fare",L160&lt;=35,"Medium Fare",L160&lt;=100,"High Fare",L160&gt;=100,"Very High Fare")</f>
        <v>Medium Fare</v>
      </c>
      <c r="N160" s="2">
        <v>0</v>
      </c>
      <c r="O160" s="2">
        <v>0</v>
      </c>
      <c r="P160">
        <f t="shared" si="9"/>
        <v>1</v>
      </c>
      <c r="Q160" t="str">
        <f t="shared" si="10"/>
        <v>Alone</v>
      </c>
      <c r="R160" t="str">
        <f t="shared" si="11"/>
        <v>Yes</v>
      </c>
      <c r="S160" t="s">
        <v>16</v>
      </c>
    </row>
    <row r="161" spans="1:19" x14ac:dyDescent="0.3">
      <c r="A161" s="1" t="s">
        <v>179</v>
      </c>
      <c r="B161" t="s">
        <v>1596</v>
      </c>
      <c r="C161" t="s">
        <v>1760</v>
      </c>
      <c r="D161" t="str">
        <f t="shared" si="8"/>
        <v>Male</v>
      </c>
      <c r="E161" t="s">
        <v>9</v>
      </c>
      <c r="F161" s="2">
        <v>60</v>
      </c>
      <c r="G161" s="2" t="str" cm="1">
        <f t="array" ref="G161">_xlfn.IFS(F161&lt;=8,"Child",F161&lt;=17,"Teen",F161&lt;=35,"Adult",F161&lt;=55,"Seniour Adult",F161&gt;=55,"Old Age")</f>
        <v>Old Age</v>
      </c>
      <c r="H161" t="s">
        <v>18</v>
      </c>
      <c r="I161" t="s">
        <v>11</v>
      </c>
      <c r="J161" t="str" cm="1">
        <f t="array" ref="J161">_xlfn.IFS(I161="S","Southamptom",I161="Q","Quentown",I161="C","Cherbrug",I161="B","Cabin")</f>
        <v>Southamptom</v>
      </c>
      <c r="K161" t="s">
        <v>41</v>
      </c>
      <c r="L161" s="2">
        <v>39</v>
      </c>
      <c r="M161" s="2" t="str" cm="1">
        <f t="array" ref="M161">_xlfn.IFS(L161&lt;=15,"Low Fare",L161&lt;=35,"Medium Fare",L161&lt;=100,"High Fare",L161&gt;=100,"Very High Fare")</f>
        <v>High Fare</v>
      </c>
      <c r="N161" s="2">
        <v>1</v>
      </c>
      <c r="O161" s="2">
        <v>1</v>
      </c>
      <c r="P161">
        <f t="shared" si="9"/>
        <v>3</v>
      </c>
      <c r="Q161" t="str">
        <f t="shared" si="10"/>
        <v>With Family</v>
      </c>
      <c r="R161" t="str">
        <f t="shared" si="11"/>
        <v>No</v>
      </c>
      <c r="S161" t="s">
        <v>13</v>
      </c>
    </row>
    <row r="162" spans="1:19" x14ac:dyDescent="0.3">
      <c r="A162" s="1" t="s">
        <v>180</v>
      </c>
      <c r="B162" t="s">
        <v>1602</v>
      </c>
      <c r="C162" t="s">
        <v>1761</v>
      </c>
      <c r="D162" t="str">
        <f t="shared" si="8"/>
        <v>Female</v>
      </c>
      <c r="E162" t="s">
        <v>14</v>
      </c>
      <c r="F162" s="2">
        <v>20</v>
      </c>
      <c r="G162" s="2" t="str" cm="1">
        <f t="array" ref="G162">_xlfn.IFS(F162&lt;=8,"Child",F162&lt;=17,"Teen",F162&lt;=35,"Adult",F162&lt;=55,"Seniour Adult",F162&gt;=55,"Old Age")</f>
        <v>Adult</v>
      </c>
      <c r="H162" t="s">
        <v>18</v>
      </c>
      <c r="I162" t="s">
        <v>11</v>
      </c>
      <c r="J162" t="str" cm="1">
        <f t="array" ref="J162">_xlfn.IFS(I162="S","Southamptom",I162="Q","Quentown",I162="C","Cherbrug",I162="B","Cabin")</f>
        <v>Southamptom</v>
      </c>
      <c r="K162" t="s">
        <v>23</v>
      </c>
      <c r="L162" s="2">
        <v>26</v>
      </c>
      <c r="M162" s="2" t="str" cm="1">
        <f t="array" ref="M162">_xlfn.IFS(L162&lt;=15,"Low Fare",L162&lt;=35,"Medium Fare",L162&lt;=100,"High Fare",L162&gt;=100,"Very High Fare")</f>
        <v>Medium Fare</v>
      </c>
      <c r="N162" s="2">
        <v>1</v>
      </c>
      <c r="O162" s="2">
        <v>0</v>
      </c>
      <c r="P162">
        <f t="shared" si="9"/>
        <v>2</v>
      </c>
      <c r="Q162" t="str">
        <f t="shared" si="10"/>
        <v>With Family</v>
      </c>
      <c r="R162" t="str">
        <f t="shared" si="11"/>
        <v>Yes</v>
      </c>
      <c r="S162" t="s">
        <v>16</v>
      </c>
    </row>
    <row r="163" spans="1:19" x14ac:dyDescent="0.3">
      <c r="A163" s="1" t="s">
        <v>180</v>
      </c>
      <c r="B163" t="s">
        <v>1596</v>
      </c>
      <c r="C163" t="s">
        <v>1762</v>
      </c>
      <c r="D163" t="str">
        <f t="shared" si="8"/>
        <v>Male</v>
      </c>
      <c r="E163" t="s">
        <v>9</v>
      </c>
      <c r="F163" s="2">
        <v>25</v>
      </c>
      <c r="G163" s="2" t="str" cm="1">
        <f t="array" ref="G163">_xlfn.IFS(F163&lt;=8,"Child",F163&lt;=17,"Teen",F163&lt;=35,"Adult",F163&lt;=55,"Seniour Adult",F163&gt;=55,"Old Age")</f>
        <v>Adult</v>
      </c>
      <c r="H163" t="s">
        <v>18</v>
      </c>
      <c r="I163" t="s">
        <v>11</v>
      </c>
      <c r="J163" t="str" cm="1">
        <f t="array" ref="J163">_xlfn.IFS(I163="S","Southamptom",I163="Q","Quentown",I163="C","Cherbrug",I163="B","Cabin")</f>
        <v>Southamptom</v>
      </c>
      <c r="K163" t="s">
        <v>23</v>
      </c>
      <c r="L163" s="2">
        <v>26</v>
      </c>
      <c r="M163" s="2" t="str" cm="1">
        <f t="array" ref="M163">_xlfn.IFS(L163&lt;=15,"Low Fare",L163&lt;=35,"Medium Fare",L163&lt;=100,"High Fare",L163&gt;=100,"Very High Fare")</f>
        <v>Medium Fare</v>
      </c>
      <c r="N163" s="2">
        <v>1</v>
      </c>
      <c r="O163" s="2">
        <v>0</v>
      </c>
      <c r="P163">
        <f t="shared" si="9"/>
        <v>2</v>
      </c>
      <c r="Q163" t="str">
        <f t="shared" si="10"/>
        <v>With Family</v>
      </c>
      <c r="R163" t="str">
        <f t="shared" si="11"/>
        <v>No</v>
      </c>
      <c r="S163" t="s">
        <v>13</v>
      </c>
    </row>
    <row r="164" spans="1:19" x14ac:dyDescent="0.3">
      <c r="A164" s="1" t="s">
        <v>181</v>
      </c>
      <c r="B164" t="s">
        <v>1602</v>
      </c>
      <c r="C164" t="s">
        <v>1763</v>
      </c>
      <c r="D164" t="str">
        <f t="shared" si="8"/>
        <v>Female</v>
      </c>
      <c r="E164" t="s">
        <v>14</v>
      </c>
      <c r="F164" s="2">
        <v>22</v>
      </c>
      <c r="G164" s="2" t="str" cm="1">
        <f t="array" ref="G164">_xlfn.IFS(F164&lt;=8,"Child",F164&lt;=17,"Teen",F164&lt;=35,"Adult",F164&lt;=55,"Seniour Adult",F164&gt;=55,"Old Age")</f>
        <v>Adult</v>
      </c>
      <c r="H164" t="s">
        <v>10</v>
      </c>
      <c r="I164" t="s">
        <v>36</v>
      </c>
      <c r="J164" t="str" cm="1">
        <f t="array" ref="J164">_xlfn.IFS(I164="S","Southamptom",I164="Q","Quentown",I164="C","Cherbrug",I164="B","Cabin")</f>
        <v>Quentown</v>
      </c>
      <c r="K164" t="s">
        <v>37</v>
      </c>
      <c r="L164" s="2">
        <v>7.0507999999999997</v>
      </c>
      <c r="M164" s="2" t="str" cm="1">
        <f t="array" ref="M164">_xlfn.IFS(L164&lt;=15,"Low Fare",L164&lt;=35,"Medium Fare",L164&lt;=100,"High Fare",L164&gt;=100,"Very High Fare")</f>
        <v>Low Fare</v>
      </c>
      <c r="N164" s="2">
        <v>0</v>
      </c>
      <c r="O164" s="2">
        <v>0</v>
      </c>
      <c r="P164">
        <f t="shared" si="9"/>
        <v>1</v>
      </c>
      <c r="Q164" t="str">
        <f t="shared" si="10"/>
        <v>Alone</v>
      </c>
      <c r="R164" t="str">
        <f t="shared" si="11"/>
        <v>No</v>
      </c>
      <c r="S164" t="s">
        <v>13</v>
      </c>
    </row>
    <row r="165" spans="1:19" x14ac:dyDescent="0.3">
      <c r="A165" s="1" t="s">
        <v>181</v>
      </c>
      <c r="B165" t="s">
        <v>1596</v>
      </c>
      <c r="C165" t="s">
        <v>1764</v>
      </c>
      <c r="D165" t="str">
        <f t="shared" si="8"/>
        <v>Male</v>
      </c>
      <c r="E165" t="s">
        <v>9</v>
      </c>
      <c r="F165" s="2">
        <v>21</v>
      </c>
      <c r="G165" s="2" t="str" cm="1">
        <f t="array" ref="G165">_xlfn.IFS(F165&lt;=8,"Child",F165&lt;=17,"Teen",F165&lt;=35,"Adult",F165&lt;=55,"Seniour Adult",F165&gt;=55,"Old Age")</f>
        <v>Adult</v>
      </c>
      <c r="H165" t="s">
        <v>10</v>
      </c>
      <c r="I165" t="s">
        <v>36</v>
      </c>
      <c r="J165" t="str" cm="1">
        <f t="array" ref="J165">_xlfn.IFS(I165="S","Southamptom",I165="Q","Quentown",I165="C","Cherbrug",I165="B","Cabin")</f>
        <v>Quentown</v>
      </c>
      <c r="K165" t="s">
        <v>37</v>
      </c>
      <c r="L165" s="2">
        <v>7.1516999999999999</v>
      </c>
      <c r="M165" s="2" t="str" cm="1">
        <f t="array" ref="M165">_xlfn.IFS(L165&lt;=15,"Low Fare",L165&lt;=35,"Medium Fare",L165&lt;=100,"High Fare",L165&gt;=100,"Very High Fare")</f>
        <v>Low Fare</v>
      </c>
      <c r="N165" s="2">
        <v>0</v>
      </c>
      <c r="O165" s="2">
        <v>0</v>
      </c>
      <c r="P165">
        <f t="shared" si="9"/>
        <v>1</v>
      </c>
      <c r="Q165" t="str">
        <f t="shared" si="10"/>
        <v>Alone</v>
      </c>
      <c r="R165" t="str">
        <f t="shared" si="11"/>
        <v>Yes</v>
      </c>
      <c r="S165" t="s">
        <v>16</v>
      </c>
    </row>
    <row r="166" spans="1:19" x14ac:dyDescent="0.3">
      <c r="A166" s="1" t="s">
        <v>182</v>
      </c>
      <c r="B166" t="s">
        <v>1600</v>
      </c>
      <c r="C166" t="s">
        <v>1765</v>
      </c>
      <c r="D166" t="str">
        <f t="shared" si="8"/>
        <v>Female</v>
      </c>
      <c r="E166" t="s">
        <v>14</v>
      </c>
      <c r="F166" s="2">
        <v>58</v>
      </c>
      <c r="G166" s="2" t="str" cm="1">
        <f t="array" ref="G166">_xlfn.IFS(F166&lt;=8,"Child",F166&lt;=17,"Teen",F166&lt;=35,"Adult",F166&lt;=55,"Seniour Adult",F166&gt;=55,"Old Age")</f>
        <v>Old Age</v>
      </c>
      <c r="H166" t="s">
        <v>25</v>
      </c>
      <c r="I166" t="s">
        <v>19</v>
      </c>
      <c r="J166" t="str" cm="1">
        <f t="array" ref="J166">_xlfn.IFS(I166="S","Southamptom",I166="Q","Quentown",I166="C","Cherbrug",I166="B","Cabin")</f>
        <v>Cherbrug</v>
      </c>
      <c r="K166" t="s">
        <v>39</v>
      </c>
      <c r="L166" s="2">
        <v>76.051000000000002</v>
      </c>
      <c r="M166" s="2" t="str" cm="1">
        <f t="array" ref="M166">_xlfn.IFS(L166&lt;=15,"Low Fare",L166&lt;=35,"Medium Fare",L166&lt;=100,"High Fare",L166&gt;=100,"Very High Fare")</f>
        <v>High Fare</v>
      </c>
      <c r="N166" s="2">
        <v>0</v>
      </c>
      <c r="O166" s="2">
        <v>0</v>
      </c>
      <c r="P166">
        <f t="shared" si="9"/>
        <v>1</v>
      </c>
      <c r="Q166" t="str">
        <f t="shared" si="10"/>
        <v>Alone</v>
      </c>
      <c r="R166" t="str">
        <f t="shared" si="11"/>
        <v>Yes</v>
      </c>
      <c r="S166" t="s">
        <v>16</v>
      </c>
    </row>
    <row r="167" spans="1:19" x14ac:dyDescent="0.3">
      <c r="A167" s="1" t="s">
        <v>183</v>
      </c>
      <c r="B167" t="s">
        <v>1612</v>
      </c>
      <c r="C167" t="s">
        <v>1766</v>
      </c>
      <c r="D167" t="str">
        <f t="shared" si="8"/>
        <v>Male</v>
      </c>
      <c r="E167" t="s">
        <v>9</v>
      </c>
      <c r="F167" s="2">
        <v>7</v>
      </c>
      <c r="G167" s="2" t="str" cm="1">
        <f t="array" ref="G167">_xlfn.IFS(F167&lt;=8,"Child",F167&lt;=17,"Teen",F167&lt;=35,"Adult",F167&lt;=55,"Seniour Adult",F167&gt;=55,"Old Age")</f>
        <v>Child</v>
      </c>
      <c r="H167" t="s">
        <v>10</v>
      </c>
      <c r="I167" t="s">
        <v>19</v>
      </c>
      <c r="J167" t="str" cm="1">
        <f t="array" ref="J167">_xlfn.IFS(I167="S","Southamptom",I167="Q","Quentown",I167="C","Cherbrug",I167="B","Cabin")</f>
        <v>Cherbrug</v>
      </c>
      <c r="K167" t="s">
        <v>21</v>
      </c>
      <c r="L167" s="2">
        <v>15.0411</v>
      </c>
      <c r="M167" s="2" t="str" cm="1">
        <f t="array" ref="M167">_xlfn.IFS(L167&lt;=15,"Low Fare",L167&lt;=35,"Medium Fare",L167&lt;=100,"High Fare",L167&gt;=100,"Very High Fare")</f>
        <v>Medium Fare</v>
      </c>
      <c r="N167" s="2">
        <v>1</v>
      </c>
      <c r="O167" s="2">
        <v>1</v>
      </c>
      <c r="P167">
        <f t="shared" si="9"/>
        <v>3</v>
      </c>
      <c r="Q167" t="str">
        <f t="shared" si="10"/>
        <v>With Family</v>
      </c>
      <c r="R167" t="str">
        <f t="shared" si="11"/>
        <v>No</v>
      </c>
      <c r="S167" t="s">
        <v>13</v>
      </c>
    </row>
    <row r="168" spans="1:19" x14ac:dyDescent="0.3">
      <c r="A168" s="1" t="s">
        <v>183</v>
      </c>
      <c r="B168" t="s">
        <v>1602</v>
      </c>
      <c r="C168" t="s">
        <v>1767</v>
      </c>
      <c r="D168" t="str">
        <f t="shared" si="8"/>
        <v>Female</v>
      </c>
      <c r="E168" t="s">
        <v>14</v>
      </c>
      <c r="F168" s="2">
        <v>10</v>
      </c>
      <c r="G168" s="2" t="str" cm="1">
        <f t="array" ref="G168">_xlfn.IFS(F168&lt;=8,"Child",F168&lt;=17,"Teen",F168&lt;=35,"Adult",F168&lt;=55,"Seniour Adult",F168&gt;=55,"Old Age")</f>
        <v>Teen</v>
      </c>
      <c r="H168" t="s">
        <v>10</v>
      </c>
      <c r="I168" t="s">
        <v>19</v>
      </c>
      <c r="J168" t="str" cm="1">
        <f t="array" ref="J168">_xlfn.IFS(I168="S","Southamptom",I168="Q","Quentown",I168="C","Cherbrug",I168="B","Cabin")</f>
        <v>Cherbrug</v>
      </c>
      <c r="K168" t="s">
        <v>21</v>
      </c>
      <c r="L168" s="2">
        <v>15.0411</v>
      </c>
      <c r="M168" s="2" t="str" cm="1">
        <f t="array" ref="M168">_xlfn.IFS(L168&lt;=15,"Low Fare",L168&lt;=35,"Medium Fare",L168&lt;=100,"High Fare",L168&gt;=100,"Very High Fare")</f>
        <v>Medium Fare</v>
      </c>
      <c r="N168" s="2">
        <v>1</v>
      </c>
      <c r="O168" s="2">
        <v>1</v>
      </c>
      <c r="P168">
        <f t="shared" si="9"/>
        <v>3</v>
      </c>
      <c r="Q168" t="str">
        <f t="shared" si="10"/>
        <v>With Family</v>
      </c>
      <c r="R168" t="str">
        <f t="shared" si="11"/>
        <v>No</v>
      </c>
      <c r="S168" t="s">
        <v>13</v>
      </c>
    </row>
    <row r="169" spans="1:19" x14ac:dyDescent="0.3">
      <c r="A169" s="1" t="s">
        <v>183</v>
      </c>
      <c r="B169" t="s">
        <v>1600</v>
      </c>
      <c r="C169" t="s">
        <v>1768</v>
      </c>
      <c r="D169" t="str">
        <f t="shared" si="8"/>
        <v>Female</v>
      </c>
      <c r="E169" t="s">
        <v>14</v>
      </c>
      <c r="F169" s="2">
        <v>40</v>
      </c>
      <c r="G169" s="2" t="str" cm="1">
        <f t="array" ref="G169">_xlfn.IFS(F169&lt;=8,"Child",F169&lt;=17,"Teen",F169&lt;=35,"Adult",F169&lt;=55,"Seniour Adult",F169&gt;=55,"Old Age")</f>
        <v>Seniour Adult</v>
      </c>
      <c r="H169" t="s">
        <v>10</v>
      </c>
      <c r="I169" t="s">
        <v>19</v>
      </c>
      <c r="J169" t="str" cm="1">
        <f t="array" ref="J169">_xlfn.IFS(I169="S","Southamptom",I169="Q","Quentown",I169="C","Cherbrug",I169="B","Cabin")</f>
        <v>Cherbrug</v>
      </c>
      <c r="K169" t="s">
        <v>21</v>
      </c>
      <c r="L169" s="2">
        <v>15.0411</v>
      </c>
      <c r="M169" s="2" t="str" cm="1">
        <f t="array" ref="M169">_xlfn.IFS(L169&lt;=15,"Low Fare",L169&lt;=35,"Medium Fare",L169&lt;=100,"High Fare",L169&gt;=100,"Very High Fare")</f>
        <v>Medium Fare</v>
      </c>
      <c r="N169" s="2">
        <v>0</v>
      </c>
      <c r="O169" s="2">
        <v>2</v>
      </c>
      <c r="P169">
        <f t="shared" si="9"/>
        <v>3</v>
      </c>
      <c r="Q169" t="str">
        <f t="shared" si="10"/>
        <v>With Family</v>
      </c>
      <c r="R169" t="str">
        <f t="shared" si="11"/>
        <v>No</v>
      </c>
      <c r="S169" t="s">
        <v>13</v>
      </c>
    </row>
    <row r="170" spans="1:19" x14ac:dyDescent="0.3">
      <c r="A170" s="1" t="s">
        <v>184</v>
      </c>
      <c r="B170" t="s">
        <v>1596</v>
      </c>
      <c r="C170" t="s">
        <v>1769</v>
      </c>
      <c r="D170" t="str">
        <f t="shared" si="8"/>
        <v>Male</v>
      </c>
      <c r="E170" t="s">
        <v>9</v>
      </c>
      <c r="F170" s="2">
        <v>19</v>
      </c>
      <c r="G170" s="2" t="str" cm="1">
        <f t="array" ref="G170">_xlfn.IFS(F170&lt;=8,"Child",F170&lt;=17,"Teen",F170&lt;=35,"Adult",F170&lt;=55,"Seniour Adult",F170&gt;=55,"Old Age")</f>
        <v>Adult</v>
      </c>
      <c r="H170" t="s">
        <v>10</v>
      </c>
      <c r="I170" t="s">
        <v>36</v>
      </c>
      <c r="J170" t="str" cm="1">
        <f t="array" ref="J170">_xlfn.IFS(I170="S","Southamptom",I170="Q","Quentown",I170="C","Cherbrug",I170="B","Cabin")</f>
        <v>Quentown</v>
      </c>
      <c r="K170" t="s">
        <v>37</v>
      </c>
      <c r="L170" s="2">
        <v>6.15</v>
      </c>
      <c r="M170" s="2" t="str" cm="1">
        <f t="array" ref="M170">_xlfn.IFS(L170&lt;=15,"Low Fare",L170&lt;=35,"Medium Fare",L170&lt;=100,"High Fare",L170&gt;=100,"Very High Fare")</f>
        <v>Low Fare</v>
      </c>
      <c r="N170" s="2">
        <v>0</v>
      </c>
      <c r="O170" s="2">
        <v>0</v>
      </c>
      <c r="P170">
        <f t="shared" si="9"/>
        <v>1</v>
      </c>
      <c r="Q170" t="str">
        <f t="shared" si="10"/>
        <v>Alone</v>
      </c>
      <c r="R170" t="str">
        <f t="shared" si="11"/>
        <v>No</v>
      </c>
      <c r="S170" t="s">
        <v>13</v>
      </c>
    </row>
    <row r="171" spans="1:19" x14ac:dyDescent="0.3">
      <c r="A171" s="1" t="s">
        <v>185</v>
      </c>
      <c r="B171" t="s">
        <v>1602</v>
      </c>
      <c r="C171" t="s">
        <v>1770</v>
      </c>
      <c r="D171" t="str">
        <f t="shared" si="8"/>
        <v>Female</v>
      </c>
      <c r="E171" t="s">
        <v>14</v>
      </c>
      <c r="F171" s="2">
        <v>41</v>
      </c>
      <c r="G171" s="2" t="str" cm="1">
        <f t="array" ref="G171">_xlfn.IFS(F171&lt;=8,"Child",F171&lt;=17,"Teen",F171&lt;=35,"Adult",F171&lt;=55,"Seniour Adult",F171&gt;=55,"Old Age")</f>
        <v>Seniour Adult</v>
      </c>
      <c r="H171" t="s">
        <v>25</v>
      </c>
      <c r="I171" t="s">
        <v>19</v>
      </c>
      <c r="J171" t="str" cm="1">
        <f t="array" ref="J171">_xlfn.IFS(I171="S","Southamptom",I171="Q","Quentown",I171="C","Cherbrug",I171="B","Cabin")</f>
        <v>Cherbrug</v>
      </c>
      <c r="K171" t="s">
        <v>15</v>
      </c>
      <c r="L171" s="2">
        <v>134.1</v>
      </c>
      <c r="M171" s="2" t="str" cm="1">
        <f t="array" ref="M171">_xlfn.IFS(L171&lt;=15,"Low Fare",L171&lt;=35,"Medium Fare",L171&lt;=100,"High Fare",L171&gt;=100,"Very High Fare")</f>
        <v>Very High Fare</v>
      </c>
      <c r="N171" s="2">
        <v>0</v>
      </c>
      <c r="O171" s="2">
        <v>0</v>
      </c>
      <c r="P171">
        <f t="shared" si="9"/>
        <v>1</v>
      </c>
      <c r="Q171" t="str">
        <f t="shared" si="10"/>
        <v>Alone</v>
      </c>
      <c r="R171" t="str">
        <f t="shared" si="11"/>
        <v>Yes</v>
      </c>
      <c r="S171" t="s">
        <v>16</v>
      </c>
    </row>
    <row r="172" spans="1:19" x14ac:dyDescent="0.3">
      <c r="A172" s="1" t="s">
        <v>185</v>
      </c>
      <c r="B172" t="s">
        <v>1602</v>
      </c>
      <c r="C172" t="s">
        <v>1771</v>
      </c>
      <c r="D172" t="str">
        <f t="shared" si="8"/>
        <v>Female</v>
      </c>
      <c r="E172" t="s">
        <v>14</v>
      </c>
      <c r="F172" s="2">
        <v>17</v>
      </c>
      <c r="G172" s="2" t="str" cm="1">
        <f t="array" ref="G172">_xlfn.IFS(F172&lt;=8,"Child",F172&lt;=17,"Teen",F172&lt;=35,"Adult",F172&lt;=55,"Seniour Adult",F172&gt;=55,"Old Age")</f>
        <v>Teen</v>
      </c>
      <c r="H172" t="s">
        <v>10</v>
      </c>
      <c r="I172" t="s">
        <v>36</v>
      </c>
      <c r="J172" t="str" cm="1">
        <f t="array" ref="J172">_xlfn.IFS(I172="S","Southamptom",I172="Q","Quentown",I172="C","Cherbrug",I172="B","Cabin")</f>
        <v>Quentown</v>
      </c>
      <c r="K172" t="s">
        <v>37</v>
      </c>
      <c r="L172" s="2">
        <v>7.1707000000000001</v>
      </c>
      <c r="M172" s="2" t="str" cm="1">
        <f t="array" ref="M172">_xlfn.IFS(L172&lt;=15,"Low Fare",L172&lt;=35,"Medium Fare",L172&lt;=100,"High Fare",L172&gt;=100,"Very High Fare")</f>
        <v>Low Fare</v>
      </c>
      <c r="N172" s="2">
        <v>0</v>
      </c>
      <c r="O172" s="2">
        <v>0</v>
      </c>
      <c r="P172">
        <f t="shared" si="9"/>
        <v>1</v>
      </c>
      <c r="Q172" t="str">
        <f t="shared" si="10"/>
        <v>Alone</v>
      </c>
      <c r="R172" t="str">
        <f t="shared" si="11"/>
        <v>No</v>
      </c>
      <c r="S172" t="s">
        <v>13</v>
      </c>
    </row>
    <row r="173" spans="1:19" x14ac:dyDescent="0.3">
      <c r="A173" s="1" t="s">
        <v>186</v>
      </c>
      <c r="B173" t="s">
        <v>1602</v>
      </c>
      <c r="C173" t="s">
        <v>1772</v>
      </c>
      <c r="D173" t="str">
        <f t="shared" si="8"/>
        <v>Female</v>
      </c>
      <c r="E173" t="s">
        <v>14</v>
      </c>
      <c r="F173" s="2">
        <v>36</v>
      </c>
      <c r="G173" s="2" t="str" cm="1">
        <f t="array" ref="G173">_xlfn.IFS(F173&lt;=8,"Child",F173&lt;=17,"Teen",F173&lt;=35,"Adult",F173&lt;=55,"Seniour Adult",F173&gt;=55,"Old Age")</f>
        <v>Seniour Adult</v>
      </c>
      <c r="H173" t="s">
        <v>18</v>
      </c>
      <c r="I173" t="s">
        <v>11</v>
      </c>
      <c r="J173" t="str" cm="1">
        <f t="array" ref="J173">_xlfn.IFS(I173="S","Southamptom",I173="Q","Quentown",I173="C","Cherbrug",I173="B","Cabin")</f>
        <v>Southamptom</v>
      </c>
      <c r="K173" t="s">
        <v>15</v>
      </c>
      <c r="L173" s="2">
        <v>13</v>
      </c>
      <c r="M173" s="2" t="str" cm="1">
        <f t="array" ref="M173">_xlfn.IFS(L173&lt;=15,"Low Fare",L173&lt;=35,"Medium Fare",L173&lt;=100,"High Fare",L173&gt;=100,"Very High Fare")</f>
        <v>Low Fare</v>
      </c>
      <c r="N173" s="2">
        <v>0</v>
      </c>
      <c r="O173" s="2">
        <v>0</v>
      </c>
      <c r="P173">
        <f t="shared" si="9"/>
        <v>1</v>
      </c>
      <c r="Q173" t="str">
        <f t="shared" si="10"/>
        <v>Alone</v>
      </c>
      <c r="R173" t="str">
        <f t="shared" si="11"/>
        <v>Yes</v>
      </c>
      <c r="S173" t="s">
        <v>16</v>
      </c>
    </row>
    <row r="174" spans="1:19" x14ac:dyDescent="0.3">
      <c r="A174" s="1" t="s">
        <v>187</v>
      </c>
      <c r="B174" t="s">
        <v>1596</v>
      </c>
      <c r="C174" t="s">
        <v>1773</v>
      </c>
      <c r="D174" t="str">
        <f t="shared" si="8"/>
        <v>Male</v>
      </c>
      <c r="E174" t="s">
        <v>9</v>
      </c>
      <c r="F174" s="2">
        <v>26</v>
      </c>
      <c r="G174" s="2" t="str" cm="1">
        <f t="array" ref="G174">_xlfn.IFS(F174&lt;=8,"Child",F174&lt;=17,"Teen",F174&lt;=35,"Adult",F174&lt;=55,"Seniour Adult",F174&gt;=55,"Old Age")</f>
        <v>Adult</v>
      </c>
      <c r="H174" t="s">
        <v>18</v>
      </c>
      <c r="I174" t="s">
        <v>11</v>
      </c>
      <c r="J174" t="str" cm="1">
        <f t="array" ref="J174">_xlfn.IFS(I174="S","Southamptom",I174="Q","Quentown",I174="C","Cherbrug",I174="B","Cabin")</f>
        <v>Southamptom</v>
      </c>
      <c r="K174" t="s">
        <v>15</v>
      </c>
      <c r="L174" s="2">
        <v>13</v>
      </c>
      <c r="M174" s="2" t="str" cm="1">
        <f t="array" ref="M174">_xlfn.IFS(L174&lt;=15,"Low Fare",L174&lt;=35,"Medium Fare",L174&lt;=100,"High Fare",L174&gt;=100,"Very High Fare")</f>
        <v>Low Fare</v>
      </c>
      <c r="N174" s="2">
        <v>0</v>
      </c>
      <c r="O174" s="2">
        <v>0</v>
      </c>
      <c r="P174">
        <f t="shared" si="9"/>
        <v>1</v>
      </c>
      <c r="Q174" t="str">
        <f t="shared" si="10"/>
        <v>Alone</v>
      </c>
      <c r="R174" t="str">
        <f t="shared" si="11"/>
        <v>No</v>
      </c>
      <c r="S174" t="s">
        <v>13</v>
      </c>
    </row>
    <row r="175" spans="1:19" x14ac:dyDescent="0.3">
      <c r="A175" s="1" t="s">
        <v>188</v>
      </c>
      <c r="B175" t="s">
        <v>1596</v>
      </c>
      <c r="C175" t="s">
        <v>1774</v>
      </c>
      <c r="D175" t="str">
        <f t="shared" si="8"/>
        <v>Male</v>
      </c>
      <c r="E175" t="s">
        <v>9</v>
      </c>
      <c r="F175" s="2">
        <v>21</v>
      </c>
      <c r="G175" s="2" t="str" cm="1">
        <f t="array" ref="G175">_xlfn.IFS(F175&lt;=8,"Child",F175&lt;=17,"Teen",F175&lt;=35,"Adult",F175&lt;=55,"Seniour Adult",F175&gt;=55,"Old Age")</f>
        <v>Adult</v>
      </c>
      <c r="H175" t="s">
        <v>10</v>
      </c>
      <c r="I175" t="s">
        <v>19</v>
      </c>
      <c r="J175" t="str" cm="1">
        <f t="array" ref="J175">_xlfn.IFS(I175="S","Southamptom",I175="Q","Quentown",I175="C","Cherbrug",I175="B","Cabin")</f>
        <v>Cherbrug</v>
      </c>
      <c r="K175" t="s">
        <v>21</v>
      </c>
      <c r="L175" s="2">
        <v>7.0407000000000002</v>
      </c>
      <c r="M175" s="2" t="str" cm="1">
        <f t="array" ref="M175">_xlfn.IFS(L175&lt;=15,"Low Fare",L175&lt;=35,"Medium Fare",L175&lt;=100,"High Fare",L175&gt;=100,"Very High Fare")</f>
        <v>Low Fare</v>
      </c>
      <c r="N175" s="2">
        <v>0</v>
      </c>
      <c r="O175" s="2">
        <v>0</v>
      </c>
      <c r="P175">
        <f t="shared" si="9"/>
        <v>1</v>
      </c>
      <c r="Q175" t="str">
        <f t="shared" si="10"/>
        <v>Alone</v>
      </c>
      <c r="R175" t="str">
        <f t="shared" si="11"/>
        <v>No</v>
      </c>
      <c r="S175" t="s">
        <v>13</v>
      </c>
    </row>
    <row r="176" spans="1:19" x14ac:dyDescent="0.3">
      <c r="A176" s="1" t="s">
        <v>189</v>
      </c>
      <c r="B176" t="s">
        <v>1775</v>
      </c>
      <c r="C176" t="s">
        <v>1776</v>
      </c>
      <c r="D176" t="str">
        <f t="shared" si="8"/>
        <v>Male</v>
      </c>
      <c r="E176" t="s">
        <v>9</v>
      </c>
      <c r="F176" s="2">
        <v>46</v>
      </c>
      <c r="G176" s="2" t="str" cm="1">
        <f t="array" ref="G176">_xlfn.IFS(F176&lt;=8,"Child",F176&lt;=17,"Teen",F176&lt;=35,"Adult",F176&lt;=55,"Seniour Adult",F176&gt;=55,"Old Age")</f>
        <v>Seniour Adult</v>
      </c>
      <c r="H176" t="s">
        <v>25</v>
      </c>
      <c r="I176" t="s">
        <v>11</v>
      </c>
      <c r="J176" t="str" cm="1">
        <f t="array" ref="J176">_xlfn.IFS(I176="S","Southamptom",I176="Q","Quentown",I176="C","Cherbrug",I176="B","Cabin")</f>
        <v>Southamptom</v>
      </c>
      <c r="K176" t="s">
        <v>12</v>
      </c>
      <c r="L176" s="2">
        <v>26.11</v>
      </c>
      <c r="M176" s="2" t="str" cm="1">
        <f t="array" ref="M176">_xlfn.IFS(L176&lt;=15,"Low Fare",L176&lt;=35,"Medium Fare",L176&lt;=100,"High Fare",L176&gt;=100,"Very High Fare")</f>
        <v>Medium Fare</v>
      </c>
      <c r="N176" s="2">
        <v>0</v>
      </c>
      <c r="O176" s="2">
        <v>0</v>
      </c>
      <c r="P176">
        <f t="shared" si="9"/>
        <v>1</v>
      </c>
      <c r="Q176" t="str">
        <f t="shared" si="10"/>
        <v>Alone</v>
      </c>
      <c r="R176" t="str">
        <f t="shared" si="11"/>
        <v>No</v>
      </c>
      <c r="S176" t="s">
        <v>13</v>
      </c>
    </row>
    <row r="177" spans="1:19" x14ac:dyDescent="0.3">
      <c r="A177" s="1" t="s">
        <v>190</v>
      </c>
      <c r="B177" t="s">
        <v>1777</v>
      </c>
      <c r="C177" t="s">
        <v>1778</v>
      </c>
      <c r="D177" t="str">
        <f t="shared" si="8"/>
        <v>Male</v>
      </c>
      <c r="E177" t="s">
        <v>9</v>
      </c>
      <c r="F177" s="2">
        <v>42</v>
      </c>
      <c r="G177" s="2" t="str" cm="1">
        <f t="array" ref="G177">_xlfn.IFS(F177&lt;=8,"Child",F177&lt;=17,"Teen",F177&lt;=35,"Adult",F177&lt;=55,"Seniour Adult",F177&gt;=55,"Old Age")</f>
        <v>Seniour Adult</v>
      </c>
      <c r="H177" t="s">
        <v>18</v>
      </c>
      <c r="I177" t="s">
        <v>11</v>
      </c>
      <c r="J177" t="str" cm="1">
        <f t="array" ref="J177">_xlfn.IFS(I177="S","Southamptom",I177="Q","Quentown",I177="C","Cherbrug",I177="B","Cabin")</f>
        <v>Southamptom</v>
      </c>
      <c r="K177" t="s">
        <v>15</v>
      </c>
      <c r="L177" s="2">
        <v>13</v>
      </c>
      <c r="M177" s="2" t="str" cm="1">
        <f t="array" ref="M177">_xlfn.IFS(L177&lt;=15,"Low Fare",L177&lt;=35,"Medium Fare",L177&lt;=100,"High Fare",L177&gt;=100,"Very High Fare")</f>
        <v>Low Fare</v>
      </c>
      <c r="N177" s="2">
        <v>0</v>
      </c>
      <c r="O177" s="2">
        <v>0</v>
      </c>
      <c r="P177">
        <f t="shared" si="9"/>
        <v>1</v>
      </c>
      <c r="Q177" t="str">
        <f t="shared" si="10"/>
        <v>Alone</v>
      </c>
      <c r="R177" t="str">
        <f t="shared" si="11"/>
        <v>No</v>
      </c>
      <c r="S177" t="s">
        <v>13</v>
      </c>
    </row>
    <row r="178" spans="1:19" x14ac:dyDescent="0.3">
      <c r="A178" s="1" t="s">
        <v>191</v>
      </c>
      <c r="B178" t="s">
        <v>1600</v>
      </c>
      <c r="C178" t="s">
        <v>1779</v>
      </c>
      <c r="D178" t="str">
        <f t="shared" si="8"/>
        <v>Female</v>
      </c>
      <c r="E178" t="s">
        <v>14</v>
      </c>
      <c r="F178" s="2">
        <v>40</v>
      </c>
      <c r="G178" s="2" t="str" cm="1">
        <f t="array" ref="G178">_xlfn.IFS(F178&lt;=8,"Child",F178&lt;=17,"Teen",F178&lt;=35,"Adult",F178&lt;=55,"Seniour Adult",F178&gt;=55,"Old Age")</f>
        <v>Seniour Adult</v>
      </c>
      <c r="H178" t="s">
        <v>18</v>
      </c>
      <c r="I178" t="s">
        <v>11</v>
      </c>
      <c r="J178" t="str" cm="1">
        <f t="array" ref="J178">_xlfn.IFS(I178="S","Southamptom",I178="Q","Quentown",I178="C","Cherbrug",I178="B","Cabin")</f>
        <v>Southamptom</v>
      </c>
      <c r="K178" t="s">
        <v>12</v>
      </c>
      <c r="L178" s="2">
        <v>13</v>
      </c>
      <c r="M178" s="2" t="str" cm="1">
        <f t="array" ref="M178">_xlfn.IFS(L178&lt;=15,"Low Fare",L178&lt;=35,"Medium Fare",L178&lt;=100,"High Fare",L178&gt;=100,"Very High Fare")</f>
        <v>Low Fare</v>
      </c>
      <c r="N178" s="2">
        <v>0</v>
      </c>
      <c r="O178" s="2">
        <v>0</v>
      </c>
      <c r="P178">
        <f t="shared" si="9"/>
        <v>1</v>
      </c>
      <c r="Q178" t="str">
        <f t="shared" si="10"/>
        <v>Alone</v>
      </c>
      <c r="R178" t="str">
        <f t="shared" si="11"/>
        <v>Yes</v>
      </c>
      <c r="S178" t="s">
        <v>16</v>
      </c>
    </row>
    <row r="179" spans="1:19" x14ac:dyDescent="0.3">
      <c r="A179" s="1" t="s">
        <v>192</v>
      </c>
      <c r="B179" t="s">
        <v>1602</v>
      </c>
      <c r="C179" t="s">
        <v>1780</v>
      </c>
      <c r="D179" t="str">
        <f t="shared" si="8"/>
        <v>Female</v>
      </c>
      <c r="E179" t="s">
        <v>14</v>
      </c>
      <c r="F179" s="2">
        <v>21</v>
      </c>
      <c r="G179" s="2" t="str" cm="1">
        <f t="array" ref="G179">_xlfn.IFS(F179&lt;=8,"Child",F179&lt;=17,"Teen",F179&lt;=35,"Adult",F179&lt;=55,"Seniour Adult",F179&gt;=55,"Old Age")</f>
        <v>Adult</v>
      </c>
      <c r="H179" t="s">
        <v>10</v>
      </c>
      <c r="I179" t="s">
        <v>11</v>
      </c>
      <c r="J179" t="str" cm="1">
        <f t="array" ref="J179">_xlfn.IFS(I179="S","Southamptom",I179="Q","Quentown",I179="C","Cherbrug",I179="B","Cabin")</f>
        <v>Southamptom</v>
      </c>
      <c r="K179" t="s">
        <v>42</v>
      </c>
      <c r="L179" s="2">
        <v>8.1303000000000001</v>
      </c>
      <c r="M179" s="2" t="str" cm="1">
        <f t="array" ref="M179">_xlfn.IFS(L179&lt;=15,"Low Fare",L179&lt;=35,"Medium Fare",L179&lt;=100,"High Fare",L179&gt;=100,"Very High Fare")</f>
        <v>Low Fare</v>
      </c>
      <c r="N179" s="2">
        <v>0</v>
      </c>
      <c r="O179" s="2">
        <v>0</v>
      </c>
      <c r="P179">
        <f t="shared" si="9"/>
        <v>1</v>
      </c>
      <c r="Q179" t="str">
        <f t="shared" si="10"/>
        <v>Alone</v>
      </c>
      <c r="R179" t="str">
        <f t="shared" si="11"/>
        <v>No</v>
      </c>
      <c r="S179" t="s">
        <v>13</v>
      </c>
    </row>
    <row r="180" spans="1:19" x14ac:dyDescent="0.3">
      <c r="A180" s="1" t="s">
        <v>192</v>
      </c>
      <c r="B180" t="s">
        <v>1602</v>
      </c>
      <c r="C180" t="s">
        <v>1781</v>
      </c>
      <c r="D180" t="str">
        <f t="shared" si="8"/>
        <v>Female</v>
      </c>
      <c r="E180" t="s">
        <v>14</v>
      </c>
      <c r="F180" s="2">
        <v>30</v>
      </c>
      <c r="G180" s="2" t="str" cm="1">
        <f t="array" ref="G180">_xlfn.IFS(F180&lt;=8,"Child",F180&lt;=17,"Teen",F180&lt;=35,"Adult",F180&lt;=55,"Seniour Adult",F180&gt;=55,"Old Age")</f>
        <v>Adult</v>
      </c>
      <c r="H180" t="s">
        <v>10</v>
      </c>
      <c r="I180" t="s">
        <v>11</v>
      </c>
      <c r="J180" t="str" cm="1">
        <f t="array" ref="J180">_xlfn.IFS(I180="S","Southamptom",I180="Q","Quentown",I180="C","Cherbrug",I180="B","Cabin")</f>
        <v>Southamptom</v>
      </c>
      <c r="K180" t="s">
        <v>42</v>
      </c>
      <c r="L180" s="2">
        <v>8.1303000000000001</v>
      </c>
      <c r="M180" s="2" t="str" cm="1">
        <f t="array" ref="M180">_xlfn.IFS(L180&lt;=15,"Low Fare",L180&lt;=35,"Medium Fare",L180&lt;=100,"High Fare",L180&gt;=100,"Very High Fare")</f>
        <v>Low Fare</v>
      </c>
      <c r="N180" s="2">
        <v>0</v>
      </c>
      <c r="O180" s="2">
        <v>0</v>
      </c>
      <c r="P180">
        <f t="shared" si="9"/>
        <v>1</v>
      </c>
      <c r="Q180" t="str">
        <f t="shared" si="10"/>
        <v>Alone</v>
      </c>
      <c r="R180" t="str">
        <f t="shared" si="11"/>
        <v>No</v>
      </c>
      <c r="S180" t="s">
        <v>13</v>
      </c>
    </row>
    <row r="181" spans="1:19" x14ac:dyDescent="0.3">
      <c r="A181" s="1" t="s">
        <v>192</v>
      </c>
      <c r="B181" t="s">
        <v>1596</v>
      </c>
      <c r="C181" t="s">
        <v>1782</v>
      </c>
      <c r="D181" t="str">
        <f t="shared" si="8"/>
        <v>Male</v>
      </c>
      <c r="E181" t="s">
        <v>9</v>
      </c>
      <c r="F181" s="2">
        <v>18</v>
      </c>
      <c r="G181" s="2" t="str" cm="1">
        <f t="array" ref="G181">_xlfn.IFS(F181&lt;=8,"Child",F181&lt;=17,"Teen",F181&lt;=35,"Adult",F181&lt;=55,"Seniour Adult",F181&gt;=55,"Old Age")</f>
        <v>Adult</v>
      </c>
      <c r="H181" t="s">
        <v>10</v>
      </c>
      <c r="I181" t="s">
        <v>11</v>
      </c>
      <c r="J181" t="str" cm="1">
        <f t="array" ref="J181">_xlfn.IFS(I181="S","Southamptom",I181="Q","Quentown",I181="C","Cherbrug",I181="B","Cabin")</f>
        <v>Southamptom</v>
      </c>
      <c r="K181" t="s">
        <v>42</v>
      </c>
      <c r="L181" s="2">
        <v>8.1303000000000001</v>
      </c>
      <c r="M181" s="2" t="str" cm="1">
        <f t="array" ref="M181">_xlfn.IFS(L181&lt;=15,"Low Fare",L181&lt;=35,"Medium Fare",L181&lt;=100,"High Fare",L181&gt;=100,"Very High Fare")</f>
        <v>Low Fare</v>
      </c>
      <c r="N181" s="2">
        <v>0</v>
      </c>
      <c r="O181" s="2">
        <v>0</v>
      </c>
      <c r="P181">
        <f t="shared" si="9"/>
        <v>1</v>
      </c>
      <c r="Q181" t="str">
        <f t="shared" si="10"/>
        <v>Alone</v>
      </c>
      <c r="R181" t="str">
        <f t="shared" si="11"/>
        <v>No</v>
      </c>
      <c r="S181" t="s">
        <v>13</v>
      </c>
    </row>
    <row r="182" spans="1:19" x14ac:dyDescent="0.3">
      <c r="A182" s="1" t="s">
        <v>192</v>
      </c>
      <c r="B182" t="s">
        <v>1596</v>
      </c>
      <c r="C182" t="s">
        <v>1783</v>
      </c>
      <c r="D182" t="str">
        <f t="shared" si="8"/>
        <v>Male</v>
      </c>
      <c r="E182" t="s">
        <v>9</v>
      </c>
      <c r="F182" s="2">
        <v>38</v>
      </c>
      <c r="G182" s="2" t="str" cm="1">
        <f t="array" ref="G182">_xlfn.IFS(F182&lt;=8,"Child",F182&lt;=17,"Teen",F182&lt;=35,"Adult",F182&lt;=55,"Seniour Adult",F182&gt;=55,"Old Age")</f>
        <v>Seniour Adult</v>
      </c>
      <c r="H182" t="s">
        <v>10</v>
      </c>
      <c r="I182" t="s">
        <v>11</v>
      </c>
      <c r="J182" t="str" cm="1">
        <f t="array" ref="J182">_xlfn.IFS(I182="S","Southamptom",I182="Q","Quentown",I182="C","Cherbrug",I182="B","Cabin")</f>
        <v>Southamptom</v>
      </c>
      <c r="K182" t="s">
        <v>42</v>
      </c>
      <c r="L182" s="2">
        <v>8.1303000000000001</v>
      </c>
      <c r="M182" s="2" t="str" cm="1">
        <f t="array" ref="M182">_xlfn.IFS(L182&lt;=15,"Low Fare",L182&lt;=35,"Medium Fare",L182&lt;=100,"High Fare",L182&gt;=100,"Very High Fare")</f>
        <v>Low Fare</v>
      </c>
      <c r="N182" s="2">
        <v>0</v>
      </c>
      <c r="O182" s="2">
        <v>0</v>
      </c>
      <c r="P182">
        <f t="shared" si="9"/>
        <v>1</v>
      </c>
      <c r="Q182" t="str">
        <f t="shared" si="10"/>
        <v>Alone</v>
      </c>
      <c r="R182" t="str">
        <f t="shared" si="11"/>
        <v>No</v>
      </c>
      <c r="S182" t="s">
        <v>13</v>
      </c>
    </row>
    <row r="183" spans="1:19" x14ac:dyDescent="0.3">
      <c r="A183" s="1" t="s">
        <v>193</v>
      </c>
      <c r="B183" t="s">
        <v>1596</v>
      </c>
      <c r="C183" t="s">
        <v>1784</v>
      </c>
      <c r="D183" t="str">
        <f t="shared" si="8"/>
        <v>Male</v>
      </c>
      <c r="E183" t="s">
        <v>9</v>
      </c>
      <c r="F183" s="2">
        <v>28</v>
      </c>
      <c r="G183" s="2" t="str" cm="1">
        <f t="array" ref="G183">_xlfn.IFS(F183&lt;=8,"Child",F183&lt;=17,"Teen",F183&lt;=35,"Adult",F183&lt;=55,"Seniour Adult",F183&gt;=55,"Old Age")</f>
        <v>Adult</v>
      </c>
      <c r="H183" t="s">
        <v>25</v>
      </c>
      <c r="I183" t="s">
        <v>11</v>
      </c>
      <c r="J183" t="str" cm="1">
        <f t="array" ref="J183">_xlfn.IFS(I183="S","Southamptom",I183="Q","Quentown",I183="C","Cherbrug",I183="B","Cabin")</f>
        <v>Southamptom</v>
      </c>
      <c r="K183" t="s">
        <v>43</v>
      </c>
      <c r="L183" s="2">
        <v>31</v>
      </c>
      <c r="M183" s="2" t="str" cm="1">
        <f t="array" ref="M183">_xlfn.IFS(L183&lt;=15,"Low Fare",L183&lt;=35,"Medium Fare",L183&lt;=100,"High Fare",L183&gt;=100,"Very High Fare")</f>
        <v>Medium Fare</v>
      </c>
      <c r="N183" s="2">
        <v>0</v>
      </c>
      <c r="O183" s="2">
        <v>0</v>
      </c>
      <c r="P183">
        <f t="shared" si="9"/>
        <v>1</v>
      </c>
      <c r="Q183" t="str">
        <f t="shared" si="10"/>
        <v>Alone</v>
      </c>
      <c r="R183" t="str">
        <f t="shared" si="11"/>
        <v>No</v>
      </c>
      <c r="S183" t="s">
        <v>13</v>
      </c>
    </row>
    <row r="184" spans="1:19" x14ac:dyDescent="0.3">
      <c r="A184" s="1" t="s">
        <v>194</v>
      </c>
      <c r="B184" t="s">
        <v>1596</v>
      </c>
      <c r="C184" t="s">
        <v>1785</v>
      </c>
      <c r="D184" t="str">
        <f t="shared" si="8"/>
        <v>Male</v>
      </c>
      <c r="E184" t="s">
        <v>9</v>
      </c>
      <c r="F184" s="2">
        <v>42</v>
      </c>
      <c r="G184" s="2" t="str" cm="1">
        <f t="array" ref="G184">_xlfn.IFS(F184&lt;=8,"Child",F184&lt;=17,"Teen",F184&lt;=35,"Adult",F184&lt;=55,"Seniour Adult",F184&gt;=55,"Old Age")</f>
        <v>Seniour Adult</v>
      </c>
      <c r="H184" t="s">
        <v>25</v>
      </c>
      <c r="I184" t="s">
        <v>11</v>
      </c>
      <c r="J184" t="str" cm="1">
        <f t="array" ref="J184">_xlfn.IFS(I184="S","Southamptom",I184="Q","Quentown",I184="C","Cherbrug",I184="B","Cabin")</f>
        <v>Southamptom</v>
      </c>
      <c r="K184" t="s">
        <v>12</v>
      </c>
      <c r="L184" s="2">
        <v>26.050899999999999</v>
      </c>
      <c r="M184" s="2" t="str" cm="1">
        <f t="array" ref="M184">_xlfn.IFS(L184&lt;=15,"Low Fare",L184&lt;=35,"Medium Fare",L184&lt;=100,"High Fare",L184&gt;=100,"Very High Fare")</f>
        <v>Medium Fare</v>
      </c>
      <c r="N184" s="2">
        <v>0</v>
      </c>
      <c r="O184" s="2">
        <v>0</v>
      </c>
      <c r="P184">
        <f t="shared" si="9"/>
        <v>1</v>
      </c>
      <c r="Q184" t="str">
        <f t="shared" si="10"/>
        <v>Alone</v>
      </c>
      <c r="R184" t="str">
        <f t="shared" si="11"/>
        <v>Yes</v>
      </c>
      <c r="S184" t="s">
        <v>16</v>
      </c>
    </row>
    <row r="185" spans="1:19" x14ac:dyDescent="0.3">
      <c r="A185" s="1" t="s">
        <v>195</v>
      </c>
      <c r="B185" t="s">
        <v>1612</v>
      </c>
      <c r="C185" t="s">
        <v>1786</v>
      </c>
      <c r="D185" t="str">
        <f t="shared" si="8"/>
        <v>Male</v>
      </c>
      <c r="E185" t="s">
        <v>9</v>
      </c>
      <c r="F185" s="2">
        <v>0.83333333330000003</v>
      </c>
      <c r="G185" s="2" t="str" cm="1">
        <f t="array" ref="G185">_xlfn.IFS(F185&lt;=8,"Child",F185&lt;=17,"Teen",F185&lt;=35,"Adult",F185&lt;=55,"Seniour Adult",F185&gt;=55,"Old Age")</f>
        <v>Child</v>
      </c>
      <c r="H185" t="s">
        <v>18</v>
      </c>
      <c r="I185" t="s">
        <v>11</v>
      </c>
      <c r="J185" t="str" cm="1">
        <f t="array" ref="J185">_xlfn.IFS(I185="S","Southamptom",I185="Q","Quentown",I185="C","Cherbrug",I185="B","Cabin")</f>
        <v>Southamptom</v>
      </c>
      <c r="K185" t="s">
        <v>44</v>
      </c>
      <c r="L185" s="2">
        <v>29</v>
      </c>
      <c r="M185" s="2" t="str" cm="1">
        <f t="array" ref="M185">_xlfn.IFS(L185&lt;=15,"Low Fare",L185&lt;=35,"Medium Fare",L185&lt;=100,"High Fare",L185&gt;=100,"Very High Fare")</f>
        <v>Medium Fare</v>
      </c>
      <c r="N185" s="2">
        <v>0</v>
      </c>
      <c r="O185" s="2">
        <v>2</v>
      </c>
      <c r="P185">
        <f t="shared" si="9"/>
        <v>3</v>
      </c>
      <c r="Q185" t="str">
        <f t="shared" si="10"/>
        <v>With Family</v>
      </c>
      <c r="R185" t="str">
        <f t="shared" si="11"/>
        <v>Yes</v>
      </c>
      <c r="S185" t="s">
        <v>16</v>
      </c>
    </row>
    <row r="186" spans="1:19" x14ac:dyDescent="0.3">
      <c r="A186" s="1" t="s">
        <v>195</v>
      </c>
      <c r="B186" t="s">
        <v>1596</v>
      </c>
      <c r="C186" t="s">
        <v>1787</v>
      </c>
      <c r="D186" t="str">
        <f t="shared" si="8"/>
        <v>Male</v>
      </c>
      <c r="E186" t="s">
        <v>9</v>
      </c>
      <c r="F186" s="2">
        <v>26</v>
      </c>
      <c r="G186" s="2" t="str" cm="1">
        <f t="array" ref="G186">_xlfn.IFS(F186&lt;=8,"Child",F186&lt;=17,"Teen",F186&lt;=35,"Adult",F186&lt;=55,"Seniour Adult",F186&gt;=55,"Old Age")</f>
        <v>Adult</v>
      </c>
      <c r="H186" t="s">
        <v>18</v>
      </c>
      <c r="I186" t="s">
        <v>11</v>
      </c>
      <c r="J186" t="str" cm="1">
        <f t="array" ref="J186">_xlfn.IFS(I186="S","Southamptom",I186="Q","Quentown",I186="C","Cherbrug",I186="B","Cabin")</f>
        <v>Southamptom</v>
      </c>
      <c r="K186" t="s">
        <v>44</v>
      </c>
      <c r="L186" s="2">
        <v>29</v>
      </c>
      <c r="M186" s="2" t="str" cm="1">
        <f t="array" ref="M186">_xlfn.IFS(L186&lt;=15,"Low Fare",L186&lt;=35,"Medium Fare",L186&lt;=100,"High Fare",L186&gt;=100,"Very High Fare")</f>
        <v>Medium Fare</v>
      </c>
      <c r="N186" s="2">
        <v>1</v>
      </c>
      <c r="O186" s="2">
        <v>1</v>
      </c>
      <c r="P186">
        <f t="shared" si="9"/>
        <v>3</v>
      </c>
      <c r="Q186" t="str">
        <f t="shared" si="10"/>
        <v>With Family</v>
      </c>
      <c r="R186" t="str">
        <f t="shared" si="11"/>
        <v>Yes</v>
      </c>
      <c r="S186" t="s">
        <v>16</v>
      </c>
    </row>
    <row r="187" spans="1:19" x14ac:dyDescent="0.3">
      <c r="A187" s="1" t="s">
        <v>195</v>
      </c>
      <c r="B187" t="s">
        <v>1600</v>
      </c>
      <c r="C187" t="s">
        <v>1788</v>
      </c>
      <c r="D187" t="str">
        <f t="shared" si="8"/>
        <v>Female</v>
      </c>
      <c r="E187" t="s">
        <v>14</v>
      </c>
      <c r="F187" s="2">
        <v>28</v>
      </c>
      <c r="G187" s="2" t="str" cm="1">
        <f t="array" ref="G187">_xlfn.IFS(F187&lt;=8,"Child",F187&lt;=17,"Teen",F187&lt;=35,"Adult",F187&lt;=55,"Seniour Adult",F187&gt;=55,"Old Age")</f>
        <v>Adult</v>
      </c>
      <c r="H187" t="s">
        <v>18</v>
      </c>
      <c r="I187" t="s">
        <v>11</v>
      </c>
      <c r="J187" t="str" cm="1">
        <f t="array" ref="J187">_xlfn.IFS(I187="S","Southamptom",I187="Q","Quentown",I187="C","Cherbrug",I187="B","Cabin")</f>
        <v>Southamptom</v>
      </c>
      <c r="K187" t="s">
        <v>12</v>
      </c>
      <c r="L187" s="2">
        <v>29</v>
      </c>
      <c r="M187" s="2" t="str" cm="1">
        <f t="array" ref="M187">_xlfn.IFS(L187&lt;=15,"Low Fare",L187&lt;=35,"Medium Fare",L187&lt;=100,"High Fare",L187&gt;=100,"Very High Fare")</f>
        <v>Medium Fare</v>
      </c>
      <c r="N187" s="2">
        <v>1</v>
      </c>
      <c r="O187" s="2">
        <v>1</v>
      </c>
      <c r="P187">
        <f t="shared" si="9"/>
        <v>3</v>
      </c>
      <c r="Q187" t="str">
        <f t="shared" si="10"/>
        <v>With Family</v>
      </c>
      <c r="R187" t="str">
        <f t="shared" si="11"/>
        <v>Yes</v>
      </c>
      <c r="S187" t="s">
        <v>16</v>
      </c>
    </row>
    <row r="188" spans="1:19" x14ac:dyDescent="0.3">
      <c r="A188" s="1" t="s">
        <v>196</v>
      </c>
      <c r="B188" t="s">
        <v>1596</v>
      </c>
      <c r="C188" t="s">
        <v>1789</v>
      </c>
      <c r="D188" t="str">
        <f t="shared" si="8"/>
        <v>Male</v>
      </c>
      <c r="E188" t="s">
        <v>9</v>
      </c>
      <c r="F188" s="2">
        <v>17</v>
      </c>
      <c r="G188" s="2" t="str" cm="1">
        <f t="array" ref="G188">_xlfn.IFS(F188&lt;=8,"Child",F188&lt;=17,"Teen",F188&lt;=35,"Adult",F188&lt;=55,"Seniour Adult",F188&gt;=55,"Old Age")</f>
        <v>Teen</v>
      </c>
      <c r="H188" t="s">
        <v>10</v>
      </c>
      <c r="I188" t="s">
        <v>11</v>
      </c>
      <c r="J188" t="str" cm="1">
        <f t="array" ref="J188">_xlfn.IFS(I188="S","Southamptom",I188="Q","Quentown",I188="C","Cherbrug",I188="B","Cabin")</f>
        <v>Southamptom</v>
      </c>
      <c r="K188" t="s">
        <v>42</v>
      </c>
      <c r="L188" s="2">
        <v>8.1303000000000001</v>
      </c>
      <c r="M188" s="2" t="str" cm="1">
        <f t="array" ref="M188">_xlfn.IFS(L188&lt;=15,"Low Fare",L188&lt;=35,"Medium Fare",L188&lt;=100,"High Fare",L188&gt;=100,"Very High Fare")</f>
        <v>Low Fare</v>
      </c>
      <c r="N188" s="2">
        <v>0</v>
      </c>
      <c r="O188" s="2">
        <v>0</v>
      </c>
      <c r="P188">
        <f t="shared" si="9"/>
        <v>1</v>
      </c>
      <c r="Q188" t="str">
        <f t="shared" si="10"/>
        <v>Alone</v>
      </c>
      <c r="R188" t="str">
        <f t="shared" si="11"/>
        <v>No</v>
      </c>
      <c r="S188" t="s">
        <v>13</v>
      </c>
    </row>
    <row r="189" spans="1:19" x14ac:dyDescent="0.3">
      <c r="A189" s="1" t="s">
        <v>196</v>
      </c>
      <c r="B189" t="s">
        <v>1596</v>
      </c>
      <c r="C189" t="s">
        <v>1790</v>
      </c>
      <c r="D189" t="str">
        <f t="shared" si="8"/>
        <v>Male</v>
      </c>
      <c r="E189" t="s">
        <v>9</v>
      </c>
      <c r="F189" s="2">
        <v>17</v>
      </c>
      <c r="G189" s="2" t="str" cm="1">
        <f t="array" ref="G189">_xlfn.IFS(F189&lt;=8,"Child",F189&lt;=17,"Teen",F189&lt;=35,"Adult",F189&lt;=55,"Seniour Adult",F189&gt;=55,"Old Age")</f>
        <v>Teen</v>
      </c>
      <c r="H189" t="s">
        <v>10</v>
      </c>
      <c r="I189" t="s">
        <v>11</v>
      </c>
      <c r="J189" t="str" cm="1">
        <f t="array" ref="J189">_xlfn.IFS(I189="S","Southamptom",I189="Q","Quentown",I189="C","Cherbrug",I189="B","Cabin")</f>
        <v>Southamptom</v>
      </c>
      <c r="K189" t="s">
        <v>42</v>
      </c>
      <c r="L189" s="2">
        <v>8.1303000000000001</v>
      </c>
      <c r="M189" s="2" t="str" cm="1">
        <f t="array" ref="M189">_xlfn.IFS(L189&lt;=15,"Low Fare",L189&lt;=35,"Medium Fare",L189&lt;=100,"High Fare",L189&gt;=100,"Very High Fare")</f>
        <v>Low Fare</v>
      </c>
      <c r="N189" s="2">
        <v>0</v>
      </c>
      <c r="O189" s="2">
        <v>0</v>
      </c>
      <c r="P189">
        <f t="shared" si="9"/>
        <v>1</v>
      </c>
      <c r="Q189" t="str">
        <f t="shared" si="10"/>
        <v>Alone</v>
      </c>
      <c r="R189" t="str">
        <f t="shared" si="11"/>
        <v>No</v>
      </c>
      <c r="S189" t="s">
        <v>13</v>
      </c>
    </row>
    <row r="190" spans="1:19" x14ac:dyDescent="0.3">
      <c r="A190" s="1" t="s">
        <v>197</v>
      </c>
      <c r="B190" t="s">
        <v>1602</v>
      </c>
      <c r="C190" t="s">
        <v>1791</v>
      </c>
      <c r="D190" t="str">
        <f t="shared" si="8"/>
        <v>Female</v>
      </c>
      <c r="E190" t="s">
        <v>14</v>
      </c>
      <c r="F190" s="2">
        <v>35</v>
      </c>
      <c r="G190" s="2" t="str" cm="1">
        <f t="array" ref="G190">_xlfn.IFS(F190&lt;=8,"Child",F190&lt;=17,"Teen",F190&lt;=35,"Adult",F190&lt;=55,"Seniour Adult",F190&gt;=55,"Old Age")</f>
        <v>Adult</v>
      </c>
      <c r="H190" t="s">
        <v>18</v>
      </c>
      <c r="I190" t="s">
        <v>11</v>
      </c>
      <c r="J190" t="str" cm="1">
        <f t="array" ref="J190">_xlfn.IFS(I190="S","Southamptom",I190="Q","Quentown",I190="C","Cherbrug",I190="B","Cabin")</f>
        <v>Southamptom</v>
      </c>
      <c r="K190" t="s">
        <v>15</v>
      </c>
      <c r="L190" s="2">
        <v>21</v>
      </c>
      <c r="M190" s="2" t="str" cm="1">
        <f t="array" ref="M190">_xlfn.IFS(L190&lt;=15,"Low Fare",L190&lt;=35,"Medium Fare",L190&lt;=100,"High Fare",L190&gt;=100,"Very High Fare")</f>
        <v>Medium Fare</v>
      </c>
      <c r="N190" s="2">
        <v>0</v>
      </c>
      <c r="O190" s="2">
        <v>0</v>
      </c>
      <c r="P190">
        <f t="shared" si="9"/>
        <v>1</v>
      </c>
      <c r="Q190" t="str">
        <f t="shared" si="10"/>
        <v>Alone</v>
      </c>
      <c r="R190" t="str">
        <f t="shared" si="11"/>
        <v>Yes</v>
      </c>
      <c r="S190" t="s">
        <v>16</v>
      </c>
    </row>
    <row r="191" spans="1:19" x14ac:dyDescent="0.3">
      <c r="A191" s="1" t="s">
        <v>198</v>
      </c>
      <c r="B191" t="s">
        <v>1596</v>
      </c>
      <c r="C191" t="s">
        <v>1621</v>
      </c>
      <c r="D191" t="str">
        <f t="shared" si="8"/>
        <v>Male</v>
      </c>
      <c r="E191" t="s">
        <v>9</v>
      </c>
      <c r="F191" s="2">
        <v>21</v>
      </c>
      <c r="G191" s="2" t="str" cm="1">
        <f t="array" ref="G191">_xlfn.IFS(F191&lt;=8,"Child",F191&lt;=17,"Teen",F191&lt;=35,"Adult",F191&lt;=55,"Seniour Adult",F191&gt;=55,"Old Age")</f>
        <v>Adult</v>
      </c>
      <c r="H191" t="s">
        <v>18</v>
      </c>
      <c r="I191" t="s">
        <v>28</v>
      </c>
      <c r="J191" t="str" cm="1">
        <f t="array" ref="J191">_xlfn.IFS(I191="S","Southamptom",I191="Q","Quentown",I191="C","Cherbrug",I191="B","Cabin")</f>
        <v>Cabin</v>
      </c>
      <c r="K191" t="s">
        <v>29</v>
      </c>
      <c r="L191" s="2">
        <v>33</v>
      </c>
      <c r="M191" s="2" t="str" cm="1">
        <f t="array" ref="M191">_xlfn.IFS(L191&lt;=15,"Low Fare",L191&lt;=35,"Medium Fare",L191&lt;=100,"High Fare",L191&gt;=100,"Very High Fare")</f>
        <v>Medium Fare</v>
      </c>
      <c r="N191" s="2">
        <v>0</v>
      </c>
      <c r="O191" s="2">
        <v>0</v>
      </c>
      <c r="P191">
        <f t="shared" si="9"/>
        <v>1</v>
      </c>
      <c r="Q191" t="str">
        <f t="shared" si="10"/>
        <v>Alone</v>
      </c>
      <c r="R191" t="str">
        <f t="shared" si="11"/>
        <v>No</v>
      </c>
      <c r="S191" t="s">
        <v>13</v>
      </c>
    </row>
    <row r="192" spans="1:19" x14ac:dyDescent="0.3">
      <c r="A192" s="1" t="s">
        <v>199</v>
      </c>
      <c r="B192" t="s">
        <v>1602</v>
      </c>
      <c r="C192" t="s">
        <v>1734</v>
      </c>
      <c r="D192" t="str">
        <f t="shared" si="8"/>
        <v>Female</v>
      </c>
      <c r="E192" t="s">
        <v>14</v>
      </c>
      <c r="F192" s="2">
        <v>22</v>
      </c>
      <c r="G192" s="2" t="str" cm="1">
        <f t="array" ref="G192">_xlfn.IFS(F192&lt;=8,"Child",F192&lt;=17,"Teen",F192&lt;=35,"Adult",F192&lt;=55,"Seniour Adult",F192&gt;=55,"Old Age")</f>
        <v>Adult</v>
      </c>
      <c r="H192" t="s">
        <v>10</v>
      </c>
      <c r="I192" t="s">
        <v>36</v>
      </c>
      <c r="J192" t="str" cm="1">
        <f t="array" ref="J192">_xlfn.IFS(I192="S","Southamptom",I192="Q","Quentown",I192="C","Cherbrug",I192="B","Cabin")</f>
        <v>Quentown</v>
      </c>
      <c r="K192" t="s">
        <v>37</v>
      </c>
      <c r="L192" s="2">
        <v>7.15</v>
      </c>
      <c r="M192" s="2" t="str" cm="1">
        <f t="array" ref="M192">_xlfn.IFS(L192&lt;=15,"Low Fare",L192&lt;=35,"Medium Fare",L192&lt;=100,"High Fare",L192&gt;=100,"Very High Fare")</f>
        <v>Low Fare</v>
      </c>
      <c r="N192" s="2">
        <v>0</v>
      </c>
      <c r="O192" s="2">
        <v>0</v>
      </c>
      <c r="P192">
        <f t="shared" si="9"/>
        <v>1</v>
      </c>
      <c r="Q192" t="str">
        <f t="shared" si="10"/>
        <v>Alone</v>
      </c>
      <c r="R192" t="str">
        <f t="shared" si="11"/>
        <v>No</v>
      </c>
      <c r="S192" t="s">
        <v>13</v>
      </c>
    </row>
    <row r="193" spans="1:19" x14ac:dyDescent="0.3">
      <c r="A193" s="1" t="s">
        <v>199</v>
      </c>
      <c r="B193" t="s">
        <v>1596</v>
      </c>
      <c r="C193" t="s">
        <v>1792</v>
      </c>
      <c r="D193" t="str">
        <f t="shared" si="8"/>
        <v>Male</v>
      </c>
      <c r="E193" t="s">
        <v>9</v>
      </c>
      <c r="F193" s="2">
        <v>21</v>
      </c>
      <c r="G193" s="2" t="str" cm="1">
        <f t="array" ref="G193">_xlfn.IFS(F193&lt;=8,"Child",F193&lt;=17,"Teen",F193&lt;=35,"Adult",F193&lt;=55,"Seniour Adult",F193&gt;=55,"Old Age")</f>
        <v>Adult</v>
      </c>
      <c r="H193" t="s">
        <v>10</v>
      </c>
      <c r="I193" t="s">
        <v>36</v>
      </c>
      <c r="J193" t="str" cm="1">
        <f t="array" ref="J193">_xlfn.IFS(I193="S","Southamptom",I193="Q","Quentown",I193="C","Cherbrug",I193="B","Cabin")</f>
        <v>Quentown</v>
      </c>
      <c r="K193" t="s">
        <v>37</v>
      </c>
      <c r="L193" s="2">
        <v>7.15</v>
      </c>
      <c r="M193" s="2" t="str" cm="1">
        <f t="array" ref="M193">_xlfn.IFS(L193&lt;=15,"Low Fare",L193&lt;=35,"Medium Fare",L193&lt;=100,"High Fare",L193&gt;=100,"Very High Fare")</f>
        <v>Low Fare</v>
      </c>
      <c r="N193" s="2">
        <v>0</v>
      </c>
      <c r="O193" s="2">
        <v>0</v>
      </c>
      <c r="P193">
        <f t="shared" si="9"/>
        <v>1</v>
      </c>
      <c r="Q193" t="str">
        <f t="shared" si="10"/>
        <v>Alone</v>
      </c>
      <c r="R193" t="str">
        <f t="shared" si="11"/>
        <v>No</v>
      </c>
      <c r="S193" t="s">
        <v>13</v>
      </c>
    </row>
    <row r="194" spans="1:19" x14ac:dyDescent="0.3">
      <c r="A194" s="1" t="s">
        <v>200</v>
      </c>
      <c r="B194" t="s">
        <v>1600</v>
      </c>
      <c r="C194" t="s">
        <v>1793</v>
      </c>
      <c r="D194" t="str">
        <f t="shared" si="8"/>
        <v>Female</v>
      </c>
      <c r="E194" t="s">
        <v>14</v>
      </c>
      <c r="F194" s="2">
        <v>52</v>
      </c>
      <c r="G194" s="2" t="str" cm="1">
        <f t="array" ref="G194">_xlfn.IFS(F194&lt;=8,"Child",F194&lt;=17,"Teen",F194&lt;=35,"Adult",F194&lt;=55,"Seniour Adult",F194&gt;=55,"Old Age")</f>
        <v>Seniour Adult</v>
      </c>
      <c r="H194" t="s">
        <v>25</v>
      </c>
      <c r="I194" t="s">
        <v>19</v>
      </c>
      <c r="J194" t="str" cm="1">
        <f t="array" ref="J194">_xlfn.IFS(I194="S","Southamptom",I194="Q","Quentown",I194="C","Cherbrug",I194="B","Cabin")</f>
        <v>Cherbrug</v>
      </c>
      <c r="K194" t="s">
        <v>12</v>
      </c>
      <c r="L194" s="2">
        <v>27.081099999999999</v>
      </c>
      <c r="M194" s="2" t="str" cm="1">
        <f t="array" ref="M194">_xlfn.IFS(L194&lt;=15,"Low Fare",L194&lt;=35,"Medium Fare",L194&lt;=100,"High Fare",L194&gt;=100,"Very High Fare")</f>
        <v>Medium Fare</v>
      </c>
      <c r="N194" s="2">
        <v>0</v>
      </c>
      <c r="O194" s="2">
        <v>0</v>
      </c>
      <c r="P194">
        <f t="shared" si="9"/>
        <v>1</v>
      </c>
      <c r="Q194" t="str">
        <f t="shared" si="10"/>
        <v>Alone</v>
      </c>
      <c r="R194" t="str">
        <f t="shared" si="11"/>
        <v>Yes</v>
      </c>
      <c r="S194" t="s">
        <v>16</v>
      </c>
    </row>
    <row r="195" spans="1:19" x14ac:dyDescent="0.3">
      <c r="A195" s="1" t="s">
        <v>201</v>
      </c>
      <c r="B195" t="s">
        <v>1596</v>
      </c>
      <c r="C195" t="s">
        <v>1794</v>
      </c>
      <c r="D195" t="str">
        <f t="shared" ref="D195:D258" si="12">PROPER(E195)</f>
        <v>Male</v>
      </c>
      <c r="E195" t="s">
        <v>9</v>
      </c>
      <c r="F195" s="2">
        <v>29</v>
      </c>
      <c r="G195" s="2" t="str" cm="1">
        <f t="array" ref="G195">_xlfn.IFS(F195&lt;=8,"Child",F195&lt;=17,"Teen",F195&lt;=35,"Adult",F195&lt;=55,"Seniour Adult",F195&gt;=55,"Old Age")</f>
        <v>Adult</v>
      </c>
      <c r="H195" t="s">
        <v>10</v>
      </c>
      <c r="I195" t="s">
        <v>11</v>
      </c>
      <c r="J195" t="str" cm="1">
        <f t="array" ref="J195">_xlfn.IFS(I195="S","Southamptom",I195="Q","Quentown",I195="C","Cherbrug",I195="B","Cabin")</f>
        <v>Southamptom</v>
      </c>
      <c r="K195" t="s">
        <v>15</v>
      </c>
      <c r="L195" s="2">
        <v>8.01</v>
      </c>
      <c r="M195" s="2" t="str" cm="1">
        <f t="array" ref="M195">_xlfn.IFS(L195&lt;=15,"Low Fare",L195&lt;=35,"Medium Fare",L195&lt;=100,"High Fare",L195&gt;=100,"Very High Fare")</f>
        <v>Low Fare</v>
      </c>
      <c r="N195" s="2">
        <v>0</v>
      </c>
      <c r="O195" s="2">
        <v>0</v>
      </c>
      <c r="P195">
        <f t="shared" ref="P195:P258" si="13">N195+O195+1</f>
        <v>1</v>
      </c>
      <c r="Q195" t="str">
        <f t="shared" ref="Q195:Q258" si="14">IF(P195=1,"Alone","With Family")</f>
        <v>Alone</v>
      </c>
      <c r="R195" t="str">
        <f t="shared" ref="R195:R258" si="15">PROPER(S195)</f>
        <v>No</v>
      </c>
      <c r="S195" t="s">
        <v>13</v>
      </c>
    </row>
    <row r="196" spans="1:19" x14ac:dyDescent="0.3">
      <c r="A196" s="1" t="s">
        <v>202</v>
      </c>
      <c r="B196" t="s">
        <v>1596</v>
      </c>
      <c r="C196" t="s">
        <v>1795</v>
      </c>
      <c r="D196" t="str">
        <f t="shared" si="12"/>
        <v>Male</v>
      </c>
      <c r="E196" t="s">
        <v>9</v>
      </c>
      <c r="F196" s="2">
        <v>28</v>
      </c>
      <c r="G196" s="2" t="str" cm="1">
        <f t="array" ref="G196">_xlfn.IFS(F196&lt;=8,"Child",F196&lt;=17,"Teen",F196&lt;=35,"Adult",F196&lt;=55,"Seniour Adult",F196&gt;=55,"Old Age")</f>
        <v>Adult</v>
      </c>
      <c r="H196" t="s">
        <v>10</v>
      </c>
      <c r="I196" t="s">
        <v>19</v>
      </c>
      <c r="J196" t="str" cm="1">
        <f t="array" ref="J196">_xlfn.IFS(I196="S","Southamptom",I196="Q","Quentown",I196="C","Cherbrug",I196="B","Cabin")</f>
        <v>Cherbrug</v>
      </c>
      <c r="K196" t="s">
        <v>26</v>
      </c>
      <c r="L196" s="2">
        <v>14.090199999999999</v>
      </c>
      <c r="M196" s="2" t="str" cm="1">
        <f t="array" ref="M196">_xlfn.IFS(L196&lt;=15,"Low Fare",L196&lt;=35,"Medium Fare",L196&lt;=100,"High Fare",L196&gt;=100,"Very High Fare")</f>
        <v>Low Fare</v>
      </c>
      <c r="N196" s="2">
        <v>1</v>
      </c>
      <c r="O196" s="2">
        <v>0</v>
      </c>
      <c r="P196">
        <f t="shared" si="13"/>
        <v>2</v>
      </c>
      <c r="Q196" t="str">
        <f t="shared" si="14"/>
        <v>With Family</v>
      </c>
      <c r="R196" t="str">
        <f t="shared" si="15"/>
        <v>No</v>
      </c>
      <c r="S196" t="s">
        <v>13</v>
      </c>
    </row>
    <row r="197" spans="1:19" x14ac:dyDescent="0.3">
      <c r="A197" s="1" t="s">
        <v>202</v>
      </c>
      <c r="B197" t="s">
        <v>1600</v>
      </c>
      <c r="C197" t="s">
        <v>1796</v>
      </c>
      <c r="D197" t="str">
        <f t="shared" si="12"/>
        <v>Female</v>
      </c>
      <c r="E197" t="s">
        <v>14</v>
      </c>
      <c r="F197" s="2">
        <v>18</v>
      </c>
      <c r="G197" s="2" t="str" cm="1">
        <f t="array" ref="G197">_xlfn.IFS(F197&lt;=8,"Child",F197&lt;=17,"Teen",F197&lt;=35,"Adult",F197&lt;=55,"Seniour Adult",F197&gt;=55,"Old Age")</f>
        <v>Adult</v>
      </c>
      <c r="H197" t="s">
        <v>10</v>
      </c>
      <c r="I197" t="s">
        <v>19</v>
      </c>
      <c r="J197" t="str" cm="1">
        <f t="array" ref="J197">_xlfn.IFS(I197="S","Southamptom",I197="Q","Quentown",I197="C","Cherbrug",I197="B","Cabin")</f>
        <v>Cherbrug</v>
      </c>
      <c r="K197" t="s">
        <v>21</v>
      </c>
      <c r="L197" s="2">
        <v>14.090199999999999</v>
      </c>
      <c r="M197" s="2" t="str" cm="1">
        <f t="array" ref="M197">_xlfn.IFS(L197&lt;=15,"Low Fare",L197&lt;=35,"Medium Fare",L197&lt;=100,"High Fare",L197&gt;=100,"Very High Fare")</f>
        <v>Low Fare</v>
      </c>
      <c r="N197" s="2">
        <v>1</v>
      </c>
      <c r="O197" s="2">
        <v>0</v>
      </c>
      <c r="P197">
        <f t="shared" si="13"/>
        <v>2</v>
      </c>
      <c r="Q197" t="str">
        <f t="shared" si="14"/>
        <v>With Family</v>
      </c>
      <c r="R197" t="str">
        <f t="shared" si="15"/>
        <v>No</v>
      </c>
      <c r="S197" t="s">
        <v>13</v>
      </c>
    </row>
    <row r="198" spans="1:19" x14ac:dyDescent="0.3">
      <c r="A198" s="1" t="s">
        <v>203</v>
      </c>
      <c r="B198" t="s">
        <v>1596</v>
      </c>
      <c r="C198" t="s">
        <v>1619</v>
      </c>
      <c r="D198" t="str">
        <f t="shared" si="12"/>
        <v>Male</v>
      </c>
      <c r="E198" t="s">
        <v>9</v>
      </c>
      <c r="F198" s="2">
        <v>19</v>
      </c>
      <c r="G198" s="2" t="str" cm="1">
        <f t="array" ref="G198">_xlfn.IFS(F198&lt;=8,"Child",F198&lt;=17,"Teen",F198&lt;=35,"Adult",F198&lt;=55,"Seniour Adult",F198&gt;=55,"Old Age")</f>
        <v>Adult</v>
      </c>
      <c r="H198" t="s">
        <v>18</v>
      </c>
      <c r="I198" t="s">
        <v>11</v>
      </c>
      <c r="J198" t="str" cm="1">
        <f t="array" ref="J198">_xlfn.IFS(I198="S","Southamptom",I198="Q","Quentown",I198="C","Cherbrug",I198="B","Cabin")</f>
        <v>Southamptom</v>
      </c>
      <c r="K198" t="s">
        <v>15</v>
      </c>
      <c r="L198" s="2">
        <v>13</v>
      </c>
      <c r="M198" s="2" t="str" cm="1">
        <f t="array" ref="M198">_xlfn.IFS(L198&lt;=15,"Low Fare",L198&lt;=35,"Medium Fare",L198&lt;=100,"High Fare",L198&gt;=100,"Very High Fare")</f>
        <v>Low Fare</v>
      </c>
      <c r="N198" s="2">
        <v>0</v>
      </c>
      <c r="O198" s="2">
        <v>0</v>
      </c>
      <c r="P198">
        <f t="shared" si="13"/>
        <v>1</v>
      </c>
      <c r="Q198" t="str">
        <f t="shared" si="14"/>
        <v>Alone</v>
      </c>
      <c r="R198" t="str">
        <f t="shared" si="15"/>
        <v>No</v>
      </c>
      <c r="S198" t="s">
        <v>13</v>
      </c>
    </row>
    <row r="199" spans="1:19" x14ac:dyDescent="0.3">
      <c r="A199" s="1" t="s">
        <v>204</v>
      </c>
      <c r="B199" t="s">
        <v>1600</v>
      </c>
      <c r="C199" t="s">
        <v>1797</v>
      </c>
      <c r="D199" t="str">
        <f t="shared" si="12"/>
        <v>Female</v>
      </c>
      <c r="E199" t="s">
        <v>14</v>
      </c>
      <c r="F199" s="2">
        <v>58</v>
      </c>
      <c r="G199" s="2" t="str" cm="1">
        <f t="array" ref="G199">_xlfn.IFS(F199&lt;=8,"Child",F199&lt;=17,"Teen",F199&lt;=35,"Adult",F199&lt;=55,"Seniour Adult",F199&gt;=55,"Old Age")</f>
        <v>Old Age</v>
      </c>
      <c r="H199" t="s">
        <v>25</v>
      </c>
      <c r="I199" t="s">
        <v>19</v>
      </c>
      <c r="J199" t="str" cm="1">
        <f t="array" ref="J199">_xlfn.IFS(I199="S","Southamptom",I199="Q","Quentown",I199="C","Cherbrug",I199="B","Cabin")</f>
        <v>Cherbrug</v>
      </c>
      <c r="K199" t="s">
        <v>12</v>
      </c>
      <c r="L199" s="2">
        <v>512.0607</v>
      </c>
      <c r="M199" s="2" t="str" cm="1">
        <f t="array" ref="M199">_xlfn.IFS(L199&lt;=15,"Low Fare",L199&lt;=35,"Medium Fare",L199&lt;=100,"High Fare",L199&gt;=100,"Very High Fare")</f>
        <v>Very High Fare</v>
      </c>
      <c r="N199" s="2">
        <v>0</v>
      </c>
      <c r="O199" s="2">
        <v>1</v>
      </c>
      <c r="P199">
        <f t="shared" si="13"/>
        <v>2</v>
      </c>
      <c r="Q199" t="str">
        <f t="shared" si="14"/>
        <v>With Family</v>
      </c>
      <c r="R199" t="str">
        <f t="shared" si="15"/>
        <v>Yes</v>
      </c>
      <c r="S199" t="s">
        <v>16</v>
      </c>
    </row>
    <row r="200" spans="1:19" x14ac:dyDescent="0.3">
      <c r="A200" s="1" t="s">
        <v>204</v>
      </c>
      <c r="B200" t="s">
        <v>1596</v>
      </c>
      <c r="C200" t="s">
        <v>1798</v>
      </c>
      <c r="D200" t="str">
        <f t="shared" si="12"/>
        <v>Male</v>
      </c>
      <c r="E200" t="s">
        <v>9</v>
      </c>
      <c r="F200" s="2">
        <v>36</v>
      </c>
      <c r="G200" s="2" t="str" cm="1">
        <f t="array" ref="G200">_xlfn.IFS(F200&lt;=8,"Child",F200&lt;=17,"Teen",F200&lt;=35,"Adult",F200&lt;=55,"Seniour Adult",F200&gt;=55,"Old Age")</f>
        <v>Seniour Adult</v>
      </c>
      <c r="H200" t="s">
        <v>25</v>
      </c>
      <c r="I200" t="s">
        <v>19</v>
      </c>
      <c r="J200" t="str" cm="1">
        <f t="array" ref="J200">_xlfn.IFS(I200="S","Southamptom",I200="Q","Quentown",I200="C","Cherbrug",I200="B","Cabin")</f>
        <v>Cherbrug</v>
      </c>
      <c r="K200" t="s">
        <v>12</v>
      </c>
      <c r="L200" s="2">
        <v>512.0607</v>
      </c>
      <c r="M200" s="2" t="str" cm="1">
        <f t="array" ref="M200">_xlfn.IFS(L200&lt;=15,"Low Fare",L200&lt;=35,"Medium Fare",L200&lt;=100,"High Fare",L200&gt;=100,"Very High Fare")</f>
        <v>Very High Fare</v>
      </c>
      <c r="N200" s="2">
        <v>0</v>
      </c>
      <c r="O200" s="2">
        <v>1</v>
      </c>
      <c r="P200">
        <f t="shared" si="13"/>
        <v>2</v>
      </c>
      <c r="Q200" t="str">
        <f t="shared" si="14"/>
        <v>With Family</v>
      </c>
      <c r="R200" t="str">
        <f t="shared" si="15"/>
        <v>Yes</v>
      </c>
      <c r="S200" t="s">
        <v>16</v>
      </c>
    </row>
    <row r="201" spans="1:19" x14ac:dyDescent="0.3">
      <c r="A201" s="1" t="s">
        <v>205</v>
      </c>
      <c r="B201" t="s">
        <v>1596</v>
      </c>
      <c r="C201" t="s">
        <v>1799</v>
      </c>
      <c r="D201" t="str">
        <f t="shared" si="12"/>
        <v>Male</v>
      </c>
      <c r="E201" t="s">
        <v>9</v>
      </c>
      <c r="F201" s="2">
        <v>28</v>
      </c>
      <c r="G201" s="2" t="str" cm="1">
        <f t="array" ref="G201">_xlfn.IFS(F201&lt;=8,"Child",F201&lt;=17,"Teen",F201&lt;=35,"Adult",F201&lt;=55,"Seniour Adult",F201&gt;=55,"Old Age")</f>
        <v>Adult</v>
      </c>
      <c r="H201" t="s">
        <v>10</v>
      </c>
      <c r="I201" t="s">
        <v>11</v>
      </c>
      <c r="J201" t="str" cm="1">
        <f t="array" ref="J201">_xlfn.IFS(I201="S","Southamptom",I201="Q","Quentown",I201="C","Cherbrug",I201="B","Cabin")</f>
        <v>Southamptom</v>
      </c>
      <c r="K201" t="s">
        <v>23</v>
      </c>
      <c r="L201" s="2">
        <v>7.1510999999999996</v>
      </c>
      <c r="M201" s="2" t="str" cm="1">
        <f t="array" ref="M201">_xlfn.IFS(L201&lt;=15,"Low Fare",L201&lt;=35,"Medium Fare",L201&lt;=100,"High Fare",L201&gt;=100,"Very High Fare")</f>
        <v>Low Fare</v>
      </c>
      <c r="N201" s="2">
        <v>0</v>
      </c>
      <c r="O201" s="2">
        <v>0</v>
      </c>
      <c r="P201">
        <f t="shared" si="13"/>
        <v>1</v>
      </c>
      <c r="Q201" t="str">
        <f t="shared" si="14"/>
        <v>Alone</v>
      </c>
      <c r="R201" t="str">
        <f t="shared" si="15"/>
        <v>No</v>
      </c>
      <c r="S201" t="s">
        <v>13</v>
      </c>
    </row>
    <row r="202" spans="1:19" x14ac:dyDescent="0.3">
      <c r="A202" s="1" t="s">
        <v>205</v>
      </c>
      <c r="B202" t="s">
        <v>1596</v>
      </c>
      <c r="C202" t="s">
        <v>1800</v>
      </c>
      <c r="D202" t="str">
        <f t="shared" si="12"/>
        <v>Male</v>
      </c>
      <c r="E202" t="s">
        <v>9</v>
      </c>
      <c r="F202" s="2">
        <v>24</v>
      </c>
      <c r="G202" s="2" t="str" cm="1">
        <f t="array" ref="G202">_xlfn.IFS(F202&lt;=8,"Child",F202&lt;=17,"Teen",F202&lt;=35,"Adult",F202&lt;=55,"Seniour Adult",F202&gt;=55,"Old Age")</f>
        <v>Adult</v>
      </c>
      <c r="H202" t="s">
        <v>10</v>
      </c>
      <c r="I202" t="s">
        <v>11</v>
      </c>
      <c r="J202" t="str" cm="1">
        <f t="array" ref="J202">_xlfn.IFS(I202="S","Southamptom",I202="Q","Quentown",I202="C","Cherbrug",I202="B","Cabin")</f>
        <v>Southamptom</v>
      </c>
      <c r="K202" t="s">
        <v>23</v>
      </c>
      <c r="L202" s="2">
        <v>7.1700999999999997</v>
      </c>
      <c r="M202" s="2" t="str" cm="1">
        <f t="array" ref="M202">_xlfn.IFS(L202&lt;=15,"Low Fare",L202&lt;=35,"Medium Fare",L202&lt;=100,"High Fare",L202&gt;=100,"Very High Fare")</f>
        <v>Low Fare</v>
      </c>
      <c r="N202" s="2">
        <v>0</v>
      </c>
      <c r="O202" s="2">
        <v>0</v>
      </c>
      <c r="P202">
        <f t="shared" si="13"/>
        <v>1</v>
      </c>
      <c r="Q202" t="str">
        <f t="shared" si="14"/>
        <v>Alone</v>
      </c>
      <c r="R202" t="str">
        <f t="shared" si="15"/>
        <v>No</v>
      </c>
      <c r="S202" t="s">
        <v>13</v>
      </c>
    </row>
    <row r="203" spans="1:19" x14ac:dyDescent="0.3">
      <c r="A203" s="1" t="s">
        <v>205</v>
      </c>
      <c r="B203" t="s">
        <v>1596</v>
      </c>
      <c r="C203" t="s">
        <v>1801</v>
      </c>
      <c r="D203" t="str">
        <f t="shared" si="12"/>
        <v>Male</v>
      </c>
      <c r="E203" t="s">
        <v>9</v>
      </c>
      <c r="F203" s="2">
        <v>33</v>
      </c>
      <c r="G203" s="2" t="str" cm="1">
        <f t="array" ref="G203">_xlfn.IFS(F203&lt;=8,"Child",F203&lt;=17,"Teen",F203&lt;=35,"Adult",F203&lt;=55,"Seniour Adult",F203&gt;=55,"Old Age")</f>
        <v>Adult</v>
      </c>
      <c r="H203" t="s">
        <v>25</v>
      </c>
      <c r="I203" t="s">
        <v>11</v>
      </c>
      <c r="J203" t="str" cm="1">
        <f t="array" ref="J203">_xlfn.IFS(I203="S","Southamptom",I203="Q","Quentown",I203="C","Cherbrug",I203="B","Cabin")</f>
        <v>Southamptom</v>
      </c>
      <c r="K203" t="s">
        <v>12</v>
      </c>
      <c r="L203" s="2">
        <v>5</v>
      </c>
      <c r="M203" s="2" t="str" cm="1">
        <f t="array" ref="M203">_xlfn.IFS(L203&lt;=15,"Low Fare",L203&lt;=35,"Medium Fare",L203&lt;=100,"High Fare",L203&gt;=100,"Very High Fare")</f>
        <v>Low Fare</v>
      </c>
      <c r="N203" s="2">
        <v>0</v>
      </c>
      <c r="O203" s="2">
        <v>0</v>
      </c>
      <c r="P203">
        <f t="shared" si="13"/>
        <v>1</v>
      </c>
      <c r="Q203" t="str">
        <f t="shared" si="14"/>
        <v>Alone</v>
      </c>
      <c r="R203" t="str">
        <f t="shared" si="15"/>
        <v>No</v>
      </c>
      <c r="S203" t="s">
        <v>13</v>
      </c>
    </row>
    <row r="204" spans="1:19" x14ac:dyDescent="0.3">
      <c r="A204" s="1" t="s">
        <v>206</v>
      </c>
      <c r="B204" t="s">
        <v>1596</v>
      </c>
      <c r="C204" t="s">
        <v>1802</v>
      </c>
      <c r="D204" t="str">
        <f t="shared" si="12"/>
        <v>Male</v>
      </c>
      <c r="E204" t="s">
        <v>9</v>
      </c>
      <c r="F204" s="2">
        <v>17</v>
      </c>
      <c r="G204" s="2" t="str" cm="1">
        <f t="array" ref="G204">_xlfn.IFS(F204&lt;=8,"Child",F204&lt;=17,"Teen",F204&lt;=35,"Adult",F204&lt;=55,"Seniour Adult",F204&gt;=55,"Old Age")</f>
        <v>Teen</v>
      </c>
      <c r="H204" t="s">
        <v>25</v>
      </c>
      <c r="I204" t="s">
        <v>11</v>
      </c>
      <c r="J204" t="str" cm="1">
        <f t="array" ref="J204">_xlfn.IFS(I204="S","Southamptom",I204="Q","Quentown",I204="C","Cherbrug",I204="B","Cabin")</f>
        <v>Southamptom</v>
      </c>
      <c r="K204" t="s">
        <v>45</v>
      </c>
      <c r="L204" s="2">
        <v>47.02</v>
      </c>
      <c r="M204" s="2" t="str" cm="1">
        <f t="array" ref="M204">_xlfn.IFS(L204&lt;=15,"Low Fare",L204&lt;=35,"Medium Fare",L204&lt;=100,"High Fare",L204&gt;=100,"Very High Fare")</f>
        <v>High Fare</v>
      </c>
      <c r="N204" s="2">
        <v>0</v>
      </c>
      <c r="O204" s="2">
        <v>0</v>
      </c>
      <c r="P204">
        <f t="shared" si="13"/>
        <v>1</v>
      </c>
      <c r="Q204" t="str">
        <f t="shared" si="14"/>
        <v>Alone</v>
      </c>
      <c r="R204" t="str">
        <f t="shared" si="15"/>
        <v>No</v>
      </c>
      <c r="S204" t="s">
        <v>13</v>
      </c>
    </row>
    <row r="205" spans="1:19" x14ac:dyDescent="0.3">
      <c r="A205" s="1" t="s">
        <v>207</v>
      </c>
      <c r="B205" t="s">
        <v>1596</v>
      </c>
      <c r="C205" t="s">
        <v>1803</v>
      </c>
      <c r="D205" t="str">
        <f t="shared" si="12"/>
        <v>Male</v>
      </c>
      <c r="E205" t="s">
        <v>9</v>
      </c>
      <c r="F205" s="2">
        <v>27</v>
      </c>
      <c r="G205" s="2" t="str" cm="1">
        <f t="array" ref="G205">_xlfn.IFS(F205&lt;=8,"Child",F205&lt;=17,"Teen",F205&lt;=35,"Adult",F205&lt;=55,"Seniour Adult",F205&gt;=55,"Old Age")</f>
        <v>Adult</v>
      </c>
      <c r="H205" t="s">
        <v>25</v>
      </c>
      <c r="I205" t="s">
        <v>11</v>
      </c>
      <c r="J205" t="str" cm="1">
        <f t="array" ref="J205">_xlfn.IFS(I205="S","Southamptom",I205="Q","Quentown",I205="C","Cherbrug",I205="B","Cabin")</f>
        <v>Southamptom</v>
      </c>
      <c r="K205" t="s">
        <v>45</v>
      </c>
      <c r="L205" s="2">
        <v>47.02</v>
      </c>
      <c r="M205" s="2" t="str" cm="1">
        <f t="array" ref="M205">_xlfn.IFS(L205&lt;=15,"Low Fare",L205&lt;=35,"Medium Fare",L205&lt;=100,"High Fare",L205&gt;=100,"Very High Fare")</f>
        <v>High Fare</v>
      </c>
      <c r="N205" s="2">
        <v>0</v>
      </c>
      <c r="O205" s="2">
        <v>0</v>
      </c>
      <c r="P205">
        <f t="shared" si="13"/>
        <v>1</v>
      </c>
      <c r="Q205" t="str">
        <f t="shared" si="14"/>
        <v>Alone</v>
      </c>
      <c r="R205" t="str">
        <f t="shared" si="15"/>
        <v>No</v>
      </c>
      <c r="S205" t="s">
        <v>13</v>
      </c>
    </row>
    <row r="206" spans="1:19" x14ac:dyDescent="0.3">
      <c r="A206" s="1" t="s">
        <v>208</v>
      </c>
      <c r="B206" t="s">
        <v>1602</v>
      </c>
      <c r="C206" t="s">
        <v>1804</v>
      </c>
      <c r="D206" t="str">
        <f t="shared" si="12"/>
        <v>Female</v>
      </c>
      <c r="E206" t="s">
        <v>14</v>
      </c>
      <c r="F206" s="2">
        <v>45</v>
      </c>
      <c r="G206" s="2" t="str" cm="1">
        <f t="array" ref="G206">_xlfn.IFS(F206&lt;=8,"Child",F206&lt;=17,"Teen",F206&lt;=35,"Adult",F206&lt;=55,"Seniour Adult",F206&gt;=55,"Old Age")</f>
        <v>Seniour Adult</v>
      </c>
      <c r="H206" t="s">
        <v>10</v>
      </c>
      <c r="I206" t="s">
        <v>36</v>
      </c>
      <c r="J206" t="str" cm="1">
        <f t="array" ref="J206">_xlfn.IFS(I206="S","Southamptom",I206="Q","Quentown",I206="C","Cherbrug",I206="B","Cabin")</f>
        <v>Quentown</v>
      </c>
      <c r="K206" t="s">
        <v>37</v>
      </c>
      <c r="L206" s="2">
        <v>7.15</v>
      </c>
      <c r="M206" s="2" t="str" cm="1">
        <f t="array" ref="M206">_xlfn.IFS(L206&lt;=15,"Low Fare",L206&lt;=35,"Medium Fare",L206&lt;=100,"High Fare",L206&gt;=100,"Very High Fare")</f>
        <v>Low Fare</v>
      </c>
      <c r="N206" s="2">
        <v>0</v>
      </c>
      <c r="O206" s="2">
        <v>0</v>
      </c>
      <c r="P206">
        <f t="shared" si="13"/>
        <v>1</v>
      </c>
      <c r="Q206" t="str">
        <f t="shared" si="14"/>
        <v>Alone</v>
      </c>
      <c r="R206" t="str">
        <f t="shared" si="15"/>
        <v>No</v>
      </c>
      <c r="S206" t="s">
        <v>13</v>
      </c>
    </row>
    <row r="207" spans="1:19" x14ac:dyDescent="0.3">
      <c r="A207" s="1" t="s">
        <v>209</v>
      </c>
      <c r="B207" t="s">
        <v>1777</v>
      </c>
      <c r="C207" t="s">
        <v>1805</v>
      </c>
      <c r="D207" t="str">
        <f t="shared" si="12"/>
        <v>Male</v>
      </c>
      <c r="E207" t="s">
        <v>9</v>
      </c>
      <c r="F207" s="2">
        <v>54</v>
      </c>
      <c r="G207" s="2" t="str" cm="1">
        <f t="array" ref="G207">_xlfn.IFS(F207&lt;=8,"Child",F207&lt;=17,"Teen",F207&lt;=35,"Adult",F207&lt;=55,"Seniour Adult",F207&gt;=55,"Old Age")</f>
        <v>Seniour Adult</v>
      </c>
      <c r="H207" t="s">
        <v>18</v>
      </c>
      <c r="I207" t="s">
        <v>11</v>
      </c>
      <c r="J207" t="str" cm="1">
        <f t="array" ref="J207">_xlfn.IFS(I207="S","Southamptom",I207="Q","Quentown",I207="C","Cherbrug",I207="B","Cabin")</f>
        <v>Southamptom</v>
      </c>
      <c r="K207" t="s">
        <v>15</v>
      </c>
      <c r="L207" s="2">
        <v>26</v>
      </c>
      <c r="M207" s="2" t="str" cm="1">
        <f t="array" ref="M207">_xlfn.IFS(L207&lt;=15,"Low Fare",L207&lt;=35,"Medium Fare",L207&lt;=100,"High Fare",L207&gt;=100,"Very High Fare")</f>
        <v>Medium Fare</v>
      </c>
      <c r="N207" s="2">
        <v>1</v>
      </c>
      <c r="O207" s="2">
        <v>0</v>
      </c>
      <c r="P207">
        <f t="shared" si="13"/>
        <v>2</v>
      </c>
      <c r="Q207" t="str">
        <f t="shared" si="14"/>
        <v>With Family</v>
      </c>
      <c r="R207" t="str">
        <f t="shared" si="15"/>
        <v>No</v>
      </c>
      <c r="S207" t="s">
        <v>13</v>
      </c>
    </row>
    <row r="208" spans="1:19" x14ac:dyDescent="0.3">
      <c r="A208" s="1" t="s">
        <v>209</v>
      </c>
      <c r="B208" t="s">
        <v>1612</v>
      </c>
      <c r="C208" t="s">
        <v>1806</v>
      </c>
      <c r="D208" t="str">
        <f t="shared" si="12"/>
        <v>Male</v>
      </c>
      <c r="E208" t="s">
        <v>9</v>
      </c>
      <c r="F208" s="2">
        <v>11</v>
      </c>
      <c r="G208" s="2" t="str" cm="1">
        <f t="array" ref="G208">_xlfn.IFS(F208&lt;=8,"Child",F208&lt;=17,"Teen",F208&lt;=35,"Adult",F208&lt;=55,"Seniour Adult",F208&gt;=55,"Old Age")</f>
        <v>Teen</v>
      </c>
      <c r="H208" t="s">
        <v>25</v>
      </c>
      <c r="I208" t="s">
        <v>11</v>
      </c>
      <c r="J208" t="str" cm="1">
        <f t="array" ref="J208">_xlfn.IFS(I208="S","Southamptom",I208="Q","Quentown",I208="C","Cherbrug",I208="B","Cabin")</f>
        <v>Southamptom</v>
      </c>
      <c r="K208" t="s">
        <v>12</v>
      </c>
      <c r="L208" s="2">
        <v>120</v>
      </c>
      <c r="M208" s="2" t="str" cm="1">
        <f t="array" ref="M208">_xlfn.IFS(L208&lt;=15,"Low Fare",L208&lt;=35,"Medium Fare",L208&lt;=100,"High Fare",L208&gt;=100,"Very High Fare")</f>
        <v>Very High Fare</v>
      </c>
      <c r="N208" s="2">
        <v>1</v>
      </c>
      <c r="O208" s="2">
        <v>2</v>
      </c>
      <c r="P208">
        <f t="shared" si="13"/>
        <v>4</v>
      </c>
      <c r="Q208" t="str">
        <f t="shared" si="14"/>
        <v>With Family</v>
      </c>
      <c r="R208" t="str">
        <f t="shared" si="15"/>
        <v>Yes</v>
      </c>
      <c r="S208" t="s">
        <v>16</v>
      </c>
    </row>
    <row r="209" spans="1:19" x14ac:dyDescent="0.3">
      <c r="A209" s="1" t="s">
        <v>209</v>
      </c>
      <c r="B209" t="s">
        <v>1602</v>
      </c>
      <c r="C209" t="s">
        <v>1807</v>
      </c>
      <c r="D209" t="str">
        <f t="shared" si="12"/>
        <v>Female</v>
      </c>
      <c r="E209" t="s">
        <v>14</v>
      </c>
      <c r="F209" s="2">
        <v>13</v>
      </c>
      <c r="G209" s="2" t="str" cm="1">
        <f t="array" ref="G209">_xlfn.IFS(F209&lt;=8,"Child",F209&lt;=17,"Teen",F209&lt;=35,"Adult",F209&lt;=55,"Seniour Adult",F209&gt;=55,"Old Age")</f>
        <v>Teen</v>
      </c>
      <c r="H209" t="s">
        <v>25</v>
      </c>
      <c r="I209" t="s">
        <v>11</v>
      </c>
      <c r="J209" t="str" cm="1">
        <f t="array" ref="J209">_xlfn.IFS(I209="S","Southamptom",I209="Q","Quentown",I209="C","Cherbrug",I209="B","Cabin")</f>
        <v>Southamptom</v>
      </c>
      <c r="K209" t="s">
        <v>12</v>
      </c>
      <c r="L209" s="2">
        <v>120</v>
      </c>
      <c r="M209" s="2" t="str" cm="1">
        <f t="array" ref="M209">_xlfn.IFS(L209&lt;=15,"Low Fare",L209&lt;=35,"Medium Fare",L209&lt;=100,"High Fare",L209&gt;=100,"Very High Fare")</f>
        <v>Very High Fare</v>
      </c>
      <c r="N209" s="2">
        <v>1</v>
      </c>
      <c r="O209" s="2">
        <v>2</v>
      </c>
      <c r="P209">
        <f t="shared" si="13"/>
        <v>4</v>
      </c>
      <c r="Q209" t="str">
        <f t="shared" si="14"/>
        <v>With Family</v>
      </c>
      <c r="R209" t="str">
        <f t="shared" si="15"/>
        <v>Yes</v>
      </c>
      <c r="S209" t="s">
        <v>16</v>
      </c>
    </row>
    <row r="210" spans="1:19" x14ac:dyDescent="0.3">
      <c r="A210" s="1" t="s">
        <v>209</v>
      </c>
      <c r="B210" t="s">
        <v>1600</v>
      </c>
      <c r="C210" t="s">
        <v>1808</v>
      </c>
      <c r="D210" t="str">
        <f t="shared" si="12"/>
        <v>Female</v>
      </c>
      <c r="E210" t="s">
        <v>14</v>
      </c>
      <c r="F210" s="2">
        <v>45</v>
      </c>
      <c r="G210" s="2" t="str" cm="1">
        <f t="array" ref="G210">_xlfn.IFS(F210&lt;=8,"Child",F210&lt;=17,"Teen",F210&lt;=35,"Adult",F210&lt;=55,"Seniour Adult",F210&gt;=55,"Old Age")</f>
        <v>Seniour Adult</v>
      </c>
      <c r="H210" t="s">
        <v>18</v>
      </c>
      <c r="I210" t="s">
        <v>11</v>
      </c>
      <c r="J210" t="str" cm="1">
        <f t="array" ref="J210">_xlfn.IFS(I210="S","Southamptom",I210="Q","Quentown",I210="C","Cherbrug",I210="B","Cabin")</f>
        <v>Southamptom</v>
      </c>
      <c r="K210" t="s">
        <v>15</v>
      </c>
      <c r="L210" s="2">
        <v>26</v>
      </c>
      <c r="M210" s="2" t="str" cm="1">
        <f t="array" ref="M210">_xlfn.IFS(L210&lt;=15,"Low Fare",L210&lt;=35,"Medium Fare",L210&lt;=100,"High Fare",L210&gt;=100,"Very High Fare")</f>
        <v>Medium Fare</v>
      </c>
      <c r="N210" s="2">
        <v>1</v>
      </c>
      <c r="O210" s="2">
        <v>0</v>
      </c>
      <c r="P210">
        <f t="shared" si="13"/>
        <v>2</v>
      </c>
      <c r="Q210" t="str">
        <f t="shared" si="14"/>
        <v>With Family</v>
      </c>
      <c r="R210" t="str">
        <f t="shared" si="15"/>
        <v>No</v>
      </c>
      <c r="S210" t="s">
        <v>13</v>
      </c>
    </row>
    <row r="211" spans="1:19" x14ac:dyDescent="0.3">
      <c r="A211" s="1" t="s">
        <v>209</v>
      </c>
      <c r="B211" t="s">
        <v>1600</v>
      </c>
      <c r="C211" t="s">
        <v>1809</v>
      </c>
      <c r="D211" t="str">
        <f t="shared" si="12"/>
        <v>Female</v>
      </c>
      <c r="E211" t="s">
        <v>14</v>
      </c>
      <c r="F211" s="2">
        <v>36</v>
      </c>
      <c r="G211" s="2" t="str" cm="1">
        <f t="array" ref="G211">_xlfn.IFS(F211&lt;=8,"Child",F211&lt;=17,"Teen",F211&lt;=35,"Adult",F211&lt;=55,"Seniour Adult",F211&gt;=55,"Old Age")</f>
        <v>Seniour Adult</v>
      </c>
      <c r="H211" t="s">
        <v>25</v>
      </c>
      <c r="I211" t="s">
        <v>11</v>
      </c>
      <c r="J211" t="str" cm="1">
        <f t="array" ref="J211">_xlfn.IFS(I211="S","Southamptom",I211="Q","Quentown",I211="C","Cherbrug",I211="B","Cabin")</f>
        <v>Southamptom</v>
      </c>
      <c r="K211" t="s">
        <v>12</v>
      </c>
      <c r="L211" s="2">
        <v>120</v>
      </c>
      <c r="M211" s="2" t="str" cm="1">
        <f t="array" ref="M211">_xlfn.IFS(L211&lt;=15,"Low Fare",L211&lt;=35,"Medium Fare",L211&lt;=100,"High Fare",L211&gt;=100,"Very High Fare")</f>
        <v>Very High Fare</v>
      </c>
      <c r="N211" s="2">
        <v>1</v>
      </c>
      <c r="O211" s="2">
        <v>2</v>
      </c>
      <c r="P211">
        <f t="shared" si="13"/>
        <v>4</v>
      </c>
      <c r="Q211" t="str">
        <f t="shared" si="14"/>
        <v>With Family</v>
      </c>
      <c r="R211" t="str">
        <f t="shared" si="15"/>
        <v>Yes</v>
      </c>
      <c r="S211" t="s">
        <v>16</v>
      </c>
    </row>
    <row r="212" spans="1:19" x14ac:dyDescent="0.3">
      <c r="A212" s="1" t="s">
        <v>209</v>
      </c>
      <c r="B212" t="s">
        <v>1596</v>
      </c>
      <c r="C212" t="s">
        <v>1810</v>
      </c>
      <c r="D212" t="str">
        <f t="shared" si="12"/>
        <v>Male</v>
      </c>
      <c r="E212" t="s">
        <v>9</v>
      </c>
      <c r="F212" s="2">
        <v>36</v>
      </c>
      <c r="G212" s="2" t="str" cm="1">
        <f t="array" ref="G212">_xlfn.IFS(F212&lt;=8,"Child",F212&lt;=17,"Teen",F212&lt;=35,"Adult",F212&lt;=55,"Seniour Adult",F212&gt;=55,"Old Age")</f>
        <v>Seniour Adult</v>
      </c>
      <c r="H212" t="s">
        <v>25</v>
      </c>
      <c r="I212" t="s">
        <v>11</v>
      </c>
      <c r="J212" t="str" cm="1">
        <f t="array" ref="J212">_xlfn.IFS(I212="S","Southamptom",I212="Q","Quentown",I212="C","Cherbrug",I212="B","Cabin")</f>
        <v>Southamptom</v>
      </c>
      <c r="K212" t="s">
        <v>12</v>
      </c>
      <c r="L212" s="2">
        <v>120</v>
      </c>
      <c r="M212" s="2" t="str" cm="1">
        <f t="array" ref="M212">_xlfn.IFS(L212&lt;=15,"Low Fare",L212&lt;=35,"Medium Fare",L212&lt;=100,"High Fare",L212&gt;=100,"Very High Fare")</f>
        <v>Very High Fare</v>
      </c>
      <c r="N212" s="2">
        <v>1</v>
      </c>
      <c r="O212" s="2">
        <v>2</v>
      </c>
      <c r="P212">
        <f t="shared" si="13"/>
        <v>4</v>
      </c>
      <c r="Q212" t="str">
        <f t="shared" si="14"/>
        <v>With Family</v>
      </c>
      <c r="R212" t="str">
        <f t="shared" si="15"/>
        <v>Yes</v>
      </c>
      <c r="S212" t="s">
        <v>16</v>
      </c>
    </row>
    <row r="213" spans="1:19" x14ac:dyDescent="0.3">
      <c r="A213" s="1" t="s">
        <v>210</v>
      </c>
      <c r="B213" t="s">
        <v>1596</v>
      </c>
      <c r="C213" t="s">
        <v>1811</v>
      </c>
      <c r="D213" t="str">
        <f t="shared" si="12"/>
        <v>Male</v>
      </c>
      <c r="E213" t="s">
        <v>9</v>
      </c>
      <c r="F213" s="2">
        <v>28</v>
      </c>
      <c r="G213" s="2" t="str" cm="1">
        <f t="array" ref="G213">_xlfn.IFS(F213&lt;=8,"Child",F213&lt;=17,"Teen",F213&lt;=35,"Adult",F213&lt;=55,"Seniour Adult",F213&gt;=55,"Old Age")</f>
        <v>Adult</v>
      </c>
      <c r="H213" t="s">
        <v>10</v>
      </c>
      <c r="I213" t="s">
        <v>11</v>
      </c>
      <c r="J213" t="str" cm="1">
        <f t="array" ref="J213">_xlfn.IFS(I213="S","Southamptom",I213="Q","Quentown",I213="C","Cherbrug",I213="B","Cabin")</f>
        <v>Southamptom</v>
      </c>
      <c r="K213" t="s">
        <v>15</v>
      </c>
      <c r="L213" s="2">
        <v>7.05</v>
      </c>
      <c r="M213" s="2" t="str" cm="1">
        <f t="array" ref="M213">_xlfn.IFS(L213&lt;=15,"Low Fare",L213&lt;=35,"Medium Fare",L213&lt;=100,"High Fare",L213&gt;=100,"Very High Fare")</f>
        <v>Low Fare</v>
      </c>
      <c r="N213" s="2">
        <v>0</v>
      </c>
      <c r="O213" s="2">
        <v>0</v>
      </c>
      <c r="P213">
        <f t="shared" si="13"/>
        <v>1</v>
      </c>
      <c r="Q213" t="str">
        <f t="shared" si="14"/>
        <v>Alone</v>
      </c>
      <c r="R213" t="str">
        <f t="shared" si="15"/>
        <v>No</v>
      </c>
      <c r="S213" t="s">
        <v>13</v>
      </c>
    </row>
    <row r="214" spans="1:19" x14ac:dyDescent="0.3">
      <c r="A214" s="1" t="s">
        <v>211</v>
      </c>
      <c r="B214" t="s">
        <v>1596</v>
      </c>
      <c r="C214" t="s">
        <v>1812</v>
      </c>
      <c r="D214" t="str">
        <f t="shared" si="12"/>
        <v>Male</v>
      </c>
      <c r="E214" t="s">
        <v>9</v>
      </c>
      <c r="F214" s="2">
        <v>49</v>
      </c>
      <c r="G214" s="2" t="str" cm="1">
        <f t="array" ref="G214">_xlfn.IFS(F214&lt;=8,"Child",F214&lt;=17,"Teen",F214&lt;=35,"Adult",F214&lt;=55,"Seniour Adult",F214&gt;=55,"Old Age")</f>
        <v>Seniour Adult</v>
      </c>
      <c r="H214" t="s">
        <v>25</v>
      </c>
      <c r="I214" t="s">
        <v>11</v>
      </c>
      <c r="J214" t="str" cm="1">
        <f t="array" ref="J214">_xlfn.IFS(I214="S","Southamptom",I214="Q","Quentown",I214="C","Cherbrug",I214="B","Cabin")</f>
        <v>Southamptom</v>
      </c>
      <c r="K214" t="s">
        <v>12</v>
      </c>
      <c r="L214" s="2">
        <v>26</v>
      </c>
      <c r="M214" s="2" t="str" cm="1">
        <f t="array" ref="M214">_xlfn.IFS(L214&lt;=15,"Low Fare",L214&lt;=35,"Medium Fare",L214&lt;=100,"High Fare",L214&gt;=100,"Very High Fare")</f>
        <v>Medium Fare</v>
      </c>
      <c r="N214" s="2">
        <v>0</v>
      </c>
      <c r="O214" s="2">
        <v>0</v>
      </c>
      <c r="P214">
        <f t="shared" si="13"/>
        <v>1</v>
      </c>
      <c r="Q214" t="str">
        <f t="shared" si="14"/>
        <v>Alone</v>
      </c>
      <c r="R214" t="str">
        <f t="shared" si="15"/>
        <v>No</v>
      </c>
      <c r="S214" t="s">
        <v>13</v>
      </c>
    </row>
    <row r="215" spans="1:19" x14ac:dyDescent="0.3">
      <c r="A215" s="1" t="s">
        <v>212</v>
      </c>
      <c r="B215" t="s">
        <v>1600</v>
      </c>
      <c r="C215" t="s">
        <v>1813</v>
      </c>
      <c r="D215" t="str">
        <f t="shared" si="12"/>
        <v>Female</v>
      </c>
      <c r="E215" t="s">
        <v>14</v>
      </c>
      <c r="F215" s="2">
        <v>36</v>
      </c>
      <c r="G215" s="2" t="str" cm="1">
        <f t="array" ref="G215">_xlfn.IFS(F215&lt;=8,"Child",F215&lt;=17,"Teen",F215&lt;=35,"Adult",F215&lt;=55,"Seniour Adult",F215&gt;=55,"Old Age")</f>
        <v>Seniour Adult</v>
      </c>
      <c r="H215" t="s">
        <v>25</v>
      </c>
      <c r="I215" t="s">
        <v>19</v>
      </c>
      <c r="J215" t="str" cm="1">
        <f t="array" ref="J215">_xlfn.IFS(I215="S","Southamptom",I215="Q","Quentown",I215="C","Cherbrug",I215="B","Cabin")</f>
        <v>Cherbrug</v>
      </c>
      <c r="K215" t="s">
        <v>12</v>
      </c>
      <c r="L215" s="2">
        <v>27.140499999999999</v>
      </c>
      <c r="M215" s="2" t="str" cm="1">
        <f t="array" ref="M215">_xlfn.IFS(L215&lt;=15,"Low Fare",L215&lt;=35,"Medium Fare",L215&lt;=100,"High Fare",L215&gt;=100,"Very High Fare")</f>
        <v>Medium Fare</v>
      </c>
      <c r="N215" s="2">
        <v>0</v>
      </c>
      <c r="O215" s="2">
        <v>0</v>
      </c>
      <c r="P215">
        <f t="shared" si="13"/>
        <v>1</v>
      </c>
      <c r="Q215" t="str">
        <f t="shared" si="14"/>
        <v>Alone</v>
      </c>
      <c r="R215" t="str">
        <f t="shared" si="15"/>
        <v>Yes</v>
      </c>
      <c r="S215" t="s">
        <v>16</v>
      </c>
    </row>
    <row r="216" spans="1:19" x14ac:dyDescent="0.3">
      <c r="A216" s="1" t="s">
        <v>213</v>
      </c>
      <c r="B216" t="s">
        <v>1600</v>
      </c>
      <c r="C216" t="s">
        <v>1814</v>
      </c>
      <c r="D216" t="str">
        <f t="shared" si="12"/>
        <v>Female</v>
      </c>
      <c r="E216" t="s">
        <v>14</v>
      </c>
      <c r="F216" s="2">
        <v>25</v>
      </c>
      <c r="G216" s="2" t="str" cm="1">
        <f t="array" ref="G216">_xlfn.IFS(F216&lt;=8,"Child",F216&lt;=17,"Teen",F216&lt;=35,"Adult",F216&lt;=55,"Seniour Adult",F216&gt;=55,"Old Age")</f>
        <v>Adult</v>
      </c>
      <c r="H216" t="s">
        <v>25</v>
      </c>
      <c r="I216" t="s">
        <v>11</v>
      </c>
      <c r="J216" t="str" cm="1">
        <f t="array" ref="J216">_xlfn.IFS(I216="S","Southamptom",I216="Q","Quentown",I216="C","Cherbrug",I216="B","Cabin")</f>
        <v>Southamptom</v>
      </c>
      <c r="K216" t="s">
        <v>12</v>
      </c>
      <c r="L216" s="2">
        <v>78.17</v>
      </c>
      <c r="M216" s="2" t="str" cm="1">
        <f t="array" ref="M216">_xlfn.IFS(L216&lt;=15,"Low Fare",L216&lt;=35,"Medium Fare",L216&lt;=100,"High Fare",L216&gt;=100,"Very High Fare")</f>
        <v>High Fare</v>
      </c>
      <c r="N216" s="2">
        <v>1</v>
      </c>
      <c r="O216" s="2">
        <v>0</v>
      </c>
      <c r="P216">
        <f t="shared" si="13"/>
        <v>2</v>
      </c>
      <c r="Q216" t="str">
        <f t="shared" si="14"/>
        <v>With Family</v>
      </c>
      <c r="R216" t="str">
        <f t="shared" si="15"/>
        <v>Yes</v>
      </c>
      <c r="S216" t="s">
        <v>16</v>
      </c>
    </row>
    <row r="217" spans="1:19" x14ac:dyDescent="0.3">
      <c r="A217" s="1" t="s">
        <v>213</v>
      </c>
      <c r="B217" t="s">
        <v>1596</v>
      </c>
      <c r="C217" t="s">
        <v>1815</v>
      </c>
      <c r="D217" t="str">
        <f t="shared" si="12"/>
        <v>Male</v>
      </c>
      <c r="E217" t="s">
        <v>9</v>
      </c>
      <c r="F217" s="2">
        <v>36</v>
      </c>
      <c r="G217" s="2" t="str" cm="1">
        <f t="array" ref="G217">_xlfn.IFS(F217&lt;=8,"Child",F217&lt;=17,"Teen",F217&lt;=35,"Adult",F217&lt;=55,"Seniour Adult",F217&gt;=55,"Old Age")</f>
        <v>Seniour Adult</v>
      </c>
      <c r="H217" t="s">
        <v>25</v>
      </c>
      <c r="I217" t="s">
        <v>11</v>
      </c>
      <c r="J217" t="str" cm="1">
        <f t="array" ref="J217">_xlfn.IFS(I217="S","Southamptom",I217="Q","Quentown",I217="C","Cherbrug",I217="B","Cabin")</f>
        <v>Southamptom</v>
      </c>
      <c r="K217" t="s">
        <v>15</v>
      </c>
      <c r="L217" s="2">
        <v>78.17</v>
      </c>
      <c r="M217" s="2" t="str" cm="1">
        <f t="array" ref="M217">_xlfn.IFS(L217&lt;=15,"Low Fare",L217&lt;=35,"Medium Fare",L217&lt;=100,"High Fare",L217&gt;=100,"Very High Fare")</f>
        <v>High Fare</v>
      </c>
      <c r="N217" s="2">
        <v>1</v>
      </c>
      <c r="O217" s="2">
        <v>0</v>
      </c>
      <c r="P217">
        <f t="shared" si="13"/>
        <v>2</v>
      </c>
      <c r="Q217" t="str">
        <f t="shared" si="14"/>
        <v>With Family</v>
      </c>
      <c r="R217" t="str">
        <f t="shared" si="15"/>
        <v>No</v>
      </c>
      <c r="S217" t="s">
        <v>13</v>
      </c>
    </row>
    <row r="218" spans="1:19" x14ac:dyDescent="0.3">
      <c r="A218" s="1" t="s">
        <v>214</v>
      </c>
      <c r="B218" t="s">
        <v>1596</v>
      </c>
      <c r="C218" t="s">
        <v>1816</v>
      </c>
      <c r="D218" t="str">
        <f t="shared" si="12"/>
        <v>Male</v>
      </c>
      <c r="E218" t="s">
        <v>9</v>
      </c>
      <c r="F218" s="2">
        <v>24</v>
      </c>
      <c r="G218" s="2" t="str" cm="1">
        <f t="array" ref="G218">_xlfn.IFS(F218&lt;=8,"Child",F218&lt;=17,"Teen",F218&lt;=35,"Adult",F218&lt;=55,"Seniour Adult",F218&gt;=55,"Old Age")</f>
        <v>Adult</v>
      </c>
      <c r="H218" t="s">
        <v>10</v>
      </c>
      <c r="I218" t="s">
        <v>11</v>
      </c>
      <c r="J218" t="str" cm="1">
        <f t="array" ref="J218">_xlfn.IFS(I218="S","Southamptom",I218="Q","Quentown",I218="C","Cherbrug",I218="B","Cabin")</f>
        <v>Southamptom</v>
      </c>
      <c r="K218" t="s">
        <v>15</v>
      </c>
      <c r="L218" s="2">
        <v>8.01</v>
      </c>
      <c r="M218" s="2" t="str" cm="1">
        <f t="array" ref="M218">_xlfn.IFS(L218&lt;=15,"Low Fare",L218&lt;=35,"Medium Fare",L218&lt;=100,"High Fare",L218&gt;=100,"Very High Fare")</f>
        <v>Low Fare</v>
      </c>
      <c r="N218" s="2">
        <v>0</v>
      </c>
      <c r="O218" s="2">
        <v>0</v>
      </c>
      <c r="P218">
        <f t="shared" si="13"/>
        <v>1</v>
      </c>
      <c r="Q218" t="str">
        <f t="shared" si="14"/>
        <v>Alone</v>
      </c>
      <c r="R218" t="str">
        <f t="shared" si="15"/>
        <v>No</v>
      </c>
      <c r="S218" t="s">
        <v>13</v>
      </c>
    </row>
    <row r="219" spans="1:19" x14ac:dyDescent="0.3">
      <c r="A219" s="1" t="s">
        <v>215</v>
      </c>
      <c r="B219" t="s">
        <v>1596</v>
      </c>
      <c r="C219" t="s">
        <v>1817</v>
      </c>
      <c r="D219" t="str">
        <f t="shared" si="12"/>
        <v>Male</v>
      </c>
      <c r="E219" t="s">
        <v>9</v>
      </c>
      <c r="F219" s="2">
        <v>46</v>
      </c>
      <c r="G219" s="2" t="str" cm="1">
        <f t="array" ref="G219">_xlfn.IFS(F219&lt;=8,"Child",F219&lt;=17,"Teen",F219&lt;=35,"Adult",F219&lt;=55,"Seniour Adult",F219&gt;=55,"Old Age")</f>
        <v>Seniour Adult</v>
      </c>
      <c r="H219" t="s">
        <v>25</v>
      </c>
      <c r="I219" t="s">
        <v>11</v>
      </c>
      <c r="J219" t="str" cm="1">
        <f t="array" ref="J219">_xlfn.IFS(I219="S","Southamptom",I219="Q","Quentown",I219="C","Cherbrug",I219="B","Cabin")</f>
        <v>Southamptom</v>
      </c>
      <c r="K219" t="s">
        <v>12</v>
      </c>
      <c r="L219" s="2">
        <v>61.0306</v>
      </c>
      <c r="M219" s="2" t="str" cm="1">
        <f t="array" ref="M219">_xlfn.IFS(L219&lt;=15,"Low Fare",L219&lt;=35,"Medium Fare",L219&lt;=100,"High Fare",L219&gt;=100,"Very High Fare")</f>
        <v>High Fare</v>
      </c>
      <c r="N219" s="2">
        <v>1</v>
      </c>
      <c r="O219" s="2">
        <v>0</v>
      </c>
      <c r="P219">
        <f t="shared" si="13"/>
        <v>2</v>
      </c>
      <c r="Q219" t="str">
        <f t="shared" si="14"/>
        <v>With Family</v>
      </c>
      <c r="R219" t="str">
        <f t="shared" si="15"/>
        <v>No</v>
      </c>
      <c r="S219" t="s">
        <v>13</v>
      </c>
    </row>
    <row r="220" spans="1:19" x14ac:dyDescent="0.3">
      <c r="A220" s="1" t="s">
        <v>215</v>
      </c>
      <c r="B220" t="s">
        <v>1600</v>
      </c>
      <c r="C220" t="s">
        <v>1818</v>
      </c>
      <c r="D220" t="str">
        <f t="shared" si="12"/>
        <v>Female</v>
      </c>
      <c r="E220" t="s">
        <v>14</v>
      </c>
      <c r="F220" s="2">
        <v>47</v>
      </c>
      <c r="G220" s="2" t="str" cm="1">
        <f t="array" ref="G220">_xlfn.IFS(F220&lt;=8,"Child",F220&lt;=17,"Teen",F220&lt;=35,"Adult",F220&lt;=55,"Seniour Adult",F220&gt;=55,"Old Age")</f>
        <v>Seniour Adult</v>
      </c>
      <c r="H220" t="s">
        <v>25</v>
      </c>
      <c r="I220" t="s">
        <v>11</v>
      </c>
      <c r="J220" t="str" cm="1">
        <f t="array" ref="J220">_xlfn.IFS(I220="S","Southamptom",I220="Q","Quentown",I220="C","Cherbrug",I220="B","Cabin")</f>
        <v>Southamptom</v>
      </c>
      <c r="K220" t="s">
        <v>12</v>
      </c>
      <c r="L220" s="2">
        <v>61.0306</v>
      </c>
      <c r="M220" s="2" t="str" cm="1">
        <f t="array" ref="M220">_xlfn.IFS(L220&lt;=15,"Low Fare",L220&lt;=35,"Medium Fare",L220&lt;=100,"High Fare",L220&gt;=100,"Very High Fare")</f>
        <v>High Fare</v>
      </c>
      <c r="N220" s="2">
        <v>1</v>
      </c>
      <c r="O220" s="2">
        <v>0</v>
      </c>
      <c r="P220">
        <f t="shared" si="13"/>
        <v>2</v>
      </c>
      <c r="Q220" t="str">
        <f t="shared" si="14"/>
        <v>With Family</v>
      </c>
      <c r="R220" t="str">
        <f t="shared" si="15"/>
        <v>Yes</v>
      </c>
      <c r="S220" t="s">
        <v>16</v>
      </c>
    </row>
    <row r="221" spans="1:19" x14ac:dyDescent="0.3">
      <c r="A221" s="1" t="s">
        <v>216</v>
      </c>
      <c r="B221" t="s">
        <v>1596</v>
      </c>
      <c r="C221" t="s">
        <v>1819</v>
      </c>
      <c r="D221" t="str">
        <f t="shared" si="12"/>
        <v>Male</v>
      </c>
      <c r="E221" t="s">
        <v>9</v>
      </c>
      <c r="F221" s="2">
        <v>27</v>
      </c>
      <c r="G221" s="2" t="str" cm="1">
        <f t="array" ref="G221">_xlfn.IFS(F221&lt;=8,"Child",F221&lt;=17,"Teen",F221&lt;=35,"Adult",F221&lt;=55,"Seniour Adult",F221&gt;=55,"Old Age")</f>
        <v>Adult</v>
      </c>
      <c r="H221" t="s">
        <v>25</v>
      </c>
      <c r="I221" t="s">
        <v>11</v>
      </c>
      <c r="J221" t="str" cm="1">
        <f t="array" ref="J221">_xlfn.IFS(I221="S","Southamptom",I221="Q","Quentown",I221="C","Cherbrug",I221="B","Cabin")</f>
        <v>Southamptom</v>
      </c>
      <c r="K221" t="s">
        <v>12</v>
      </c>
      <c r="L221" s="2">
        <v>53.02</v>
      </c>
      <c r="M221" s="2" t="str" cm="1">
        <f t="array" ref="M221">_xlfn.IFS(L221&lt;=15,"Low Fare",L221&lt;=35,"Medium Fare",L221&lt;=100,"High Fare",L221&gt;=100,"Very High Fare")</f>
        <v>High Fare</v>
      </c>
      <c r="N221" s="2">
        <v>1</v>
      </c>
      <c r="O221" s="2">
        <v>0</v>
      </c>
      <c r="P221">
        <f t="shared" si="13"/>
        <v>2</v>
      </c>
      <c r="Q221" t="str">
        <f t="shared" si="14"/>
        <v>With Family</v>
      </c>
      <c r="R221" t="str">
        <f t="shared" si="15"/>
        <v>Yes</v>
      </c>
      <c r="S221" t="s">
        <v>16</v>
      </c>
    </row>
    <row r="222" spans="1:19" x14ac:dyDescent="0.3">
      <c r="A222" s="1" t="s">
        <v>216</v>
      </c>
      <c r="B222" t="s">
        <v>1600</v>
      </c>
      <c r="C222" t="s">
        <v>1820</v>
      </c>
      <c r="D222" t="str">
        <f t="shared" si="12"/>
        <v>Female</v>
      </c>
      <c r="E222" t="s">
        <v>14</v>
      </c>
      <c r="F222" s="2">
        <v>32</v>
      </c>
      <c r="G222" s="2" t="str" cm="1">
        <f t="array" ref="G222">_xlfn.IFS(F222&lt;=8,"Child",F222&lt;=17,"Teen",F222&lt;=35,"Adult",F222&lt;=55,"Seniour Adult",F222&gt;=55,"Old Age")</f>
        <v>Adult</v>
      </c>
      <c r="H222" t="s">
        <v>25</v>
      </c>
      <c r="I222" t="s">
        <v>11</v>
      </c>
      <c r="J222" t="str" cm="1">
        <f t="array" ref="J222">_xlfn.IFS(I222="S","Southamptom",I222="Q","Quentown",I222="C","Cherbrug",I222="B","Cabin")</f>
        <v>Southamptom</v>
      </c>
      <c r="K222" t="s">
        <v>12</v>
      </c>
      <c r="L222" s="2">
        <v>53.02</v>
      </c>
      <c r="M222" s="2" t="str" cm="1">
        <f t="array" ref="M222">_xlfn.IFS(L222&lt;=15,"Low Fare",L222&lt;=35,"Medium Fare",L222&lt;=100,"High Fare",L222&gt;=100,"Very High Fare")</f>
        <v>High Fare</v>
      </c>
      <c r="N222" s="2">
        <v>1</v>
      </c>
      <c r="O222" s="2">
        <v>0</v>
      </c>
      <c r="P222">
        <f t="shared" si="13"/>
        <v>2</v>
      </c>
      <c r="Q222" t="str">
        <f t="shared" si="14"/>
        <v>With Family</v>
      </c>
      <c r="R222" t="str">
        <f t="shared" si="15"/>
        <v>Yes</v>
      </c>
      <c r="S222" t="s">
        <v>16</v>
      </c>
    </row>
    <row r="223" spans="1:19" x14ac:dyDescent="0.3">
      <c r="A223" s="1" t="s">
        <v>217</v>
      </c>
      <c r="B223" t="s">
        <v>1596</v>
      </c>
      <c r="C223" t="s">
        <v>1821</v>
      </c>
      <c r="D223" t="str">
        <f t="shared" si="12"/>
        <v>Male</v>
      </c>
      <c r="E223" t="s">
        <v>9</v>
      </c>
      <c r="F223" s="2">
        <v>52</v>
      </c>
      <c r="G223" s="2" t="str" cm="1">
        <f t="array" ref="G223">_xlfn.IFS(F223&lt;=8,"Child",F223&lt;=17,"Teen",F223&lt;=35,"Adult",F223&lt;=55,"Seniour Adult",F223&gt;=55,"Old Age")</f>
        <v>Seniour Adult</v>
      </c>
      <c r="H223" t="s">
        <v>18</v>
      </c>
      <c r="I223" t="s">
        <v>11</v>
      </c>
      <c r="J223" t="str" cm="1">
        <f t="array" ref="J223">_xlfn.IFS(I223="S","Southamptom",I223="Q","Quentown",I223="C","Cherbrug",I223="B","Cabin")</f>
        <v>Southamptom</v>
      </c>
      <c r="K223" t="s">
        <v>12</v>
      </c>
      <c r="L223" s="2">
        <v>13.1</v>
      </c>
      <c r="M223" s="2" t="str" cm="1">
        <f t="array" ref="M223">_xlfn.IFS(L223&lt;=15,"Low Fare",L223&lt;=35,"Medium Fare",L223&lt;=100,"High Fare",L223&gt;=100,"Very High Fare")</f>
        <v>Low Fare</v>
      </c>
      <c r="N223" s="2">
        <v>0</v>
      </c>
      <c r="O223" s="2">
        <v>0</v>
      </c>
      <c r="P223">
        <f t="shared" si="13"/>
        <v>1</v>
      </c>
      <c r="Q223" t="str">
        <f t="shared" si="14"/>
        <v>Alone</v>
      </c>
      <c r="R223" t="str">
        <f t="shared" si="15"/>
        <v>No</v>
      </c>
      <c r="S223" t="s">
        <v>13</v>
      </c>
    </row>
    <row r="224" spans="1:19" x14ac:dyDescent="0.3">
      <c r="A224" s="1" t="s">
        <v>217</v>
      </c>
      <c r="B224" t="s">
        <v>1596</v>
      </c>
      <c r="C224" t="s">
        <v>1822</v>
      </c>
      <c r="D224" t="str">
        <f t="shared" si="12"/>
        <v>Male</v>
      </c>
      <c r="E224" t="s">
        <v>9</v>
      </c>
      <c r="F224" s="2">
        <v>37</v>
      </c>
      <c r="G224" s="2" t="str" cm="1">
        <f t="array" ref="G224">_xlfn.IFS(F224&lt;=8,"Child",F224&lt;=17,"Teen",F224&lt;=35,"Adult",F224&lt;=55,"Seniour Adult",F224&gt;=55,"Old Age")</f>
        <v>Seniour Adult</v>
      </c>
      <c r="H224" t="s">
        <v>18</v>
      </c>
      <c r="I224" t="s">
        <v>11</v>
      </c>
      <c r="J224" t="str" cm="1">
        <f t="array" ref="J224">_xlfn.IFS(I224="S","Southamptom",I224="Q","Quentown",I224="C","Cherbrug",I224="B","Cabin")</f>
        <v>Southamptom</v>
      </c>
      <c r="K224" t="s">
        <v>15</v>
      </c>
      <c r="L224" s="2">
        <v>26</v>
      </c>
      <c r="M224" s="2" t="str" cm="1">
        <f t="array" ref="M224">_xlfn.IFS(L224&lt;=15,"Low Fare",L224&lt;=35,"Medium Fare",L224&lt;=100,"High Fare",L224&gt;=100,"Very High Fare")</f>
        <v>Medium Fare</v>
      </c>
      <c r="N224" s="2">
        <v>1</v>
      </c>
      <c r="O224" s="2">
        <v>0</v>
      </c>
      <c r="P224">
        <f t="shared" si="13"/>
        <v>2</v>
      </c>
      <c r="Q224" t="str">
        <f t="shared" si="14"/>
        <v>With Family</v>
      </c>
      <c r="R224" t="str">
        <f t="shared" si="15"/>
        <v>No</v>
      </c>
      <c r="S224" t="s">
        <v>13</v>
      </c>
    </row>
    <row r="225" spans="1:19" x14ac:dyDescent="0.3">
      <c r="A225" s="1" t="s">
        <v>217</v>
      </c>
      <c r="B225" t="s">
        <v>1600</v>
      </c>
      <c r="C225" t="s">
        <v>1823</v>
      </c>
      <c r="D225" t="str">
        <f t="shared" si="12"/>
        <v>Female</v>
      </c>
      <c r="E225" t="s">
        <v>14</v>
      </c>
      <c r="F225" s="2">
        <v>29</v>
      </c>
      <c r="G225" s="2" t="str" cm="1">
        <f t="array" ref="G225">_xlfn.IFS(F225&lt;=8,"Child",F225&lt;=17,"Teen",F225&lt;=35,"Adult",F225&lt;=55,"Seniour Adult",F225&gt;=55,"Old Age")</f>
        <v>Adult</v>
      </c>
      <c r="H225" t="s">
        <v>18</v>
      </c>
      <c r="I225" t="s">
        <v>11</v>
      </c>
      <c r="J225" t="str" cm="1">
        <f t="array" ref="J225">_xlfn.IFS(I225="S","Southamptom",I225="Q","Quentown",I225="C","Cherbrug",I225="B","Cabin")</f>
        <v>Southamptom</v>
      </c>
      <c r="K225" t="s">
        <v>15</v>
      </c>
      <c r="L225" s="2">
        <v>26</v>
      </c>
      <c r="M225" s="2" t="str" cm="1">
        <f t="array" ref="M225">_xlfn.IFS(L225&lt;=15,"Low Fare",L225&lt;=35,"Medium Fare",L225&lt;=100,"High Fare",L225&gt;=100,"Very High Fare")</f>
        <v>Medium Fare</v>
      </c>
      <c r="N225" s="2">
        <v>1</v>
      </c>
      <c r="O225" s="2">
        <v>0</v>
      </c>
      <c r="P225">
        <f t="shared" si="13"/>
        <v>2</v>
      </c>
      <c r="Q225" t="str">
        <f t="shared" si="14"/>
        <v>With Family</v>
      </c>
      <c r="R225" t="str">
        <f t="shared" si="15"/>
        <v>No</v>
      </c>
      <c r="S225" t="s">
        <v>13</v>
      </c>
    </row>
    <row r="226" spans="1:19" x14ac:dyDescent="0.3">
      <c r="A226" s="1" t="s">
        <v>218</v>
      </c>
      <c r="B226" t="s">
        <v>1596</v>
      </c>
      <c r="C226" t="s">
        <v>1824</v>
      </c>
      <c r="D226" t="str">
        <f t="shared" si="12"/>
        <v>Male</v>
      </c>
      <c r="E226" t="s">
        <v>9</v>
      </c>
      <c r="F226" s="2">
        <v>20</v>
      </c>
      <c r="G226" s="2" t="str" cm="1">
        <f t="array" ref="G226">_xlfn.IFS(F226&lt;=8,"Child",F226&lt;=17,"Teen",F226&lt;=35,"Adult",F226&lt;=55,"Seniour Adult",F226&gt;=55,"Old Age")</f>
        <v>Adult</v>
      </c>
      <c r="H226" t="s">
        <v>10</v>
      </c>
      <c r="I226" t="s">
        <v>36</v>
      </c>
      <c r="J226" t="str" cm="1">
        <f t="array" ref="J226">_xlfn.IFS(I226="S","Southamptom",I226="Q","Quentown",I226="C","Cherbrug",I226="B","Cabin")</f>
        <v>Quentown</v>
      </c>
      <c r="K226" t="s">
        <v>37</v>
      </c>
      <c r="L226" s="2">
        <v>7.1407999999999996</v>
      </c>
      <c r="M226" s="2" t="str" cm="1">
        <f t="array" ref="M226">_xlfn.IFS(L226&lt;=15,"Low Fare",L226&lt;=35,"Medium Fare",L226&lt;=100,"High Fare",L226&gt;=100,"Very High Fare")</f>
        <v>Low Fare</v>
      </c>
      <c r="N226" s="2">
        <v>0</v>
      </c>
      <c r="O226" s="2">
        <v>0</v>
      </c>
      <c r="P226">
        <f t="shared" si="13"/>
        <v>1</v>
      </c>
      <c r="Q226" t="str">
        <f t="shared" si="14"/>
        <v>Alone</v>
      </c>
      <c r="R226" t="str">
        <f t="shared" si="15"/>
        <v>No</v>
      </c>
      <c r="S226" t="s">
        <v>13</v>
      </c>
    </row>
    <row r="227" spans="1:19" x14ac:dyDescent="0.3">
      <c r="A227" s="1" t="s">
        <v>219</v>
      </c>
      <c r="B227" t="s">
        <v>1602</v>
      </c>
      <c r="C227" t="s">
        <v>1825</v>
      </c>
      <c r="D227" t="str">
        <f t="shared" si="12"/>
        <v>Female</v>
      </c>
      <c r="E227" t="s">
        <v>14</v>
      </c>
      <c r="F227" s="2">
        <v>36</v>
      </c>
      <c r="G227" s="2" t="str" cm="1">
        <f t="array" ref="G227">_xlfn.IFS(F227&lt;=8,"Child",F227&lt;=17,"Teen",F227&lt;=35,"Adult",F227&lt;=55,"Seniour Adult",F227&gt;=55,"Old Age")</f>
        <v>Seniour Adult</v>
      </c>
      <c r="H227" t="s">
        <v>25</v>
      </c>
      <c r="I227" t="s">
        <v>19</v>
      </c>
      <c r="J227" t="str" cm="1">
        <f t="array" ref="J227">_xlfn.IFS(I227="S","Southamptom",I227="Q","Quentown",I227="C","Cherbrug",I227="B","Cabin")</f>
        <v>Cherbrug</v>
      </c>
      <c r="K227" t="s">
        <v>15</v>
      </c>
      <c r="L227" s="2">
        <v>262.07060000000001</v>
      </c>
      <c r="M227" s="2" t="str" cm="1">
        <f t="array" ref="M227">_xlfn.IFS(L227&lt;=15,"Low Fare",L227&lt;=35,"Medium Fare",L227&lt;=100,"High Fare",L227&gt;=100,"Very High Fare")</f>
        <v>Very High Fare</v>
      </c>
      <c r="N227" s="2">
        <v>0</v>
      </c>
      <c r="O227" s="2">
        <v>0</v>
      </c>
      <c r="P227">
        <f t="shared" si="13"/>
        <v>1</v>
      </c>
      <c r="Q227" t="str">
        <f t="shared" si="14"/>
        <v>Alone</v>
      </c>
      <c r="R227" t="str">
        <f t="shared" si="15"/>
        <v>Yes</v>
      </c>
      <c r="S227" t="s">
        <v>16</v>
      </c>
    </row>
    <row r="228" spans="1:19" x14ac:dyDescent="0.3">
      <c r="A228" s="1" t="s">
        <v>220</v>
      </c>
      <c r="B228" t="s">
        <v>1602</v>
      </c>
      <c r="C228" t="s">
        <v>1826</v>
      </c>
      <c r="D228" t="str">
        <f t="shared" si="12"/>
        <v>Female</v>
      </c>
      <c r="E228" t="s">
        <v>14</v>
      </c>
      <c r="F228" s="2">
        <v>30</v>
      </c>
      <c r="G228" s="2" t="str" cm="1">
        <f t="array" ref="G228">_xlfn.IFS(F228&lt;=8,"Child",F228&lt;=17,"Teen",F228&lt;=35,"Adult",F228&lt;=55,"Seniour Adult",F228&gt;=55,"Old Age")</f>
        <v>Adult</v>
      </c>
      <c r="H228" t="s">
        <v>25</v>
      </c>
      <c r="I228" t="s">
        <v>11</v>
      </c>
      <c r="J228" t="str" cm="1">
        <f t="array" ref="J228">_xlfn.IFS(I228="S","Southamptom",I228="Q","Quentown",I228="C","Cherbrug",I228="B","Cabin")</f>
        <v>Southamptom</v>
      </c>
      <c r="K228" t="s">
        <v>15</v>
      </c>
      <c r="L228" s="2">
        <v>86.1</v>
      </c>
      <c r="M228" s="2" t="str" cm="1">
        <f t="array" ref="M228">_xlfn.IFS(L228&lt;=15,"Low Fare",L228&lt;=35,"Medium Fare",L228&lt;=100,"High Fare",L228&gt;=100,"Very High Fare")</f>
        <v>High Fare</v>
      </c>
      <c r="N228" s="2">
        <v>0</v>
      </c>
      <c r="O228" s="2">
        <v>0</v>
      </c>
      <c r="P228">
        <f t="shared" si="13"/>
        <v>1</v>
      </c>
      <c r="Q228" t="str">
        <f t="shared" si="14"/>
        <v>Alone</v>
      </c>
      <c r="R228" t="str">
        <f t="shared" si="15"/>
        <v>Yes</v>
      </c>
      <c r="S228" t="s">
        <v>16</v>
      </c>
    </row>
    <row r="229" spans="1:19" x14ac:dyDescent="0.3">
      <c r="A229" s="1" t="s">
        <v>221</v>
      </c>
      <c r="B229" t="s">
        <v>1596</v>
      </c>
      <c r="C229" t="s">
        <v>1827</v>
      </c>
      <c r="D229" t="str">
        <f t="shared" si="12"/>
        <v>Male</v>
      </c>
      <c r="E229" t="s">
        <v>9</v>
      </c>
      <c r="F229" s="2">
        <v>45</v>
      </c>
      <c r="G229" s="2" t="str" cm="1">
        <f t="array" ref="G229">_xlfn.IFS(F229&lt;=8,"Child",F229&lt;=17,"Teen",F229&lt;=35,"Adult",F229&lt;=55,"Seniour Adult",F229&gt;=55,"Old Age")</f>
        <v>Seniour Adult</v>
      </c>
      <c r="H229" t="s">
        <v>25</v>
      </c>
      <c r="I229" t="s">
        <v>19</v>
      </c>
      <c r="J229" t="str" cm="1">
        <f t="array" ref="J229">_xlfn.IFS(I229="S","Southamptom",I229="Q","Quentown",I229="C","Cherbrug",I229="B","Cabin")</f>
        <v>Cherbrug</v>
      </c>
      <c r="K229" t="s">
        <v>46</v>
      </c>
      <c r="L229" s="2">
        <v>29.14</v>
      </c>
      <c r="M229" s="2" t="str" cm="1">
        <f t="array" ref="M229">_xlfn.IFS(L229&lt;=15,"Low Fare",L229&lt;=35,"Medium Fare",L229&lt;=100,"High Fare",L229&gt;=100,"Very High Fare")</f>
        <v>Medium Fare</v>
      </c>
      <c r="N229" s="2">
        <v>0</v>
      </c>
      <c r="O229" s="2">
        <v>0</v>
      </c>
      <c r="P229">
        <f t="shared" si="13"/>
        <v>1</v>
      </c>
      <c r="Q229" t="str">
        <f t="shared" si="14"/>
        <v>Alone</v>
      </c>
      <c r="R229" t="str">
        <f t="shared" si="15"/>
        <v>Yes</v>
      </c>
      <c r="S229" t="s">
        <v>16</v>
      </c>
    </row>
    <row r="230" spans="1:19" x14ac:dyDescent="0.3">
      <c r="A230" s="1" t="s">
        <v>222</v>
      </c>
      <c r="B230" t="s">
        <v>1600</v>
      </c>
      <c r="C230" t="s">
        <v>1828</v>
      </c>
      <c r="D230" t="str">
        <f t="shared" si="12"/>
        <v>Female</v>
      </c>
      <c r="E230" t="s">
        <v>14</v>
      </c>
      <c r="F230" s="2">
        <v>48</v>
      </c>
      <c r="G230" s="2" t="str" cm="1">
        <f t="array" ref="G230">_xlfn.IFS(F230&lt;=8,"Child",F230&lt;=17,"Teen",F230&lt;=35,"Adult",F230&lt;=55,"Seniour Adult",F230&gt;=55,"Old Age")</f>
        <v>Seniour Adult</v>
      </c>
      <c r="H230" t="s">
        <v>25</v>
      </c>
      <c r="I230" t="s">
        <v>11</v>
      </c>
      <c r="J230" t="str" cm="1">
        <f t="array" ref="J230">_xlfn.IFS(I230="S","Southamptom",I230="Q","Quentown",I230="C","Cherbrug",I230="B","Cabin")</f>
        <v>Southamptom</v>
      </c>
      <c r="K230" t="s">
        <v>15</v>
      </c>
      <c r="L230" s="2">
        <v>55</v>
      </c>
      <c r="M230" s="2" t="str" cm="1">
        <f t="array" ref="M230">_xlfn.IFS(L230&lt;=15,"Low Fare",L230&lt;=35,"Medium Fare",L230&lt;=100,"High Fare",L230&gt;=100,"Very High Fare")</f>
        <v>High Fare</v>
      </c>
      <c r="N230" s="2">
        <v>0</v>
      </c>
      <c r="O230" s="2">
        <v>1</v>
      </c>
      <c r="P230">
        <f t="shared" si="13"/>
        <v>2</v>
      </c>
      <c r="Q230" t="str">
        <f t="shared" si="14"/>
        <v>With Family</v>
      </c>
      <c r="R230" t="str">
        <f t="shared" si="15"/>
        <v>Yes</v>
      </c>
      <c r="S230" t="s">
        <v>16</v>
      </c>
    </row>
    <row r="231" spans="1:19" x14ac:dyDescent="0.3">
      <c r="A231" s="1" t="s">
        <v>223</v>
      </c>
      <c r="B231" t="s">
        <v>1596</v>
      </c>
      <c r="C231" t="s">
        <v>1829</v>
      </c>
      <c r="D231" t="str">
        <f t="shared" si="12"/>
        <v>Male</v>
      </c>
      <c r="E231" t="s">
        <v>9</v>
      </c>
      <c r="F231" s="2">
        <v>32</v>
      </c>
      <c r="G231" s="2" t="str" cm="1">
        <f t="array" ref="G231">_xlfn.IFS(F231&lt;=8,"Child",F231&lt;=17,"Teen",F231&lt;=35,"Adult",F231&lt;=55,"Seniour Adult",F231&gt;=55,"Old Age")</f>
        <v>Adult</v>
      </c>
      <c r="H231" t="s">
        <v>10</v>
      </c>
      <c r="I231" t="s">
        <v>11</v>
      </c>
      <c r="J231" t="str" cm="1">
        <f t="array" ref="J231">_xlfn.IFS(I231="S","Southamptom",I231="Q","Quentown",I231="C","Cherbrug",I231="B","Cabin")</f>
        <v>Southamptom</v>
      </c>
      <c r="K231" t="s">
        <v>15</v>
      </c>
      <c r="L231" s="2">
        <v>56.091099999999997</v>
      </c>
      <c r="M231" s="2" t="str" cm="1">
        <f t="array" ref="M231">_xlfn.IFS(L231&lt;=15,"Low Fare",L231&lt;=35,"Medium Fare",L231&lt;=100,"High Fare",L231&gt;=100,"Very High Fare")</f>
        <v>High Fare</v>
      </c>
      <c r="N231" s="2">
        <v>0</v>
      </c>
      <c r="O231" s="2">
        <v>0</v>
      </c>
      <c r="P231">
        <f t="shared" si="13"/>
        <v>1</v>
      </c>
      <c r="Q231" t="str">
        <f t="shared" si="14"/>
        <v>Alone</v>
      </c>
      <c r="R231" t="str">
        <f t="shared" si="15"/>
        <v>Yes</v>
      </c>
      <c r="S231" t="s">
        <v>16</v>
      </c>
    </row>
    <row r="232" spans="1:19" x14ac:dyDescent="0.3">
      <c r="A232" s="1" t="s">
        <v>224</v>
      </c>
      <c r="B232" t="s">
        <v>1596</v>
      </c>
      <c r="C232" t="s">
        <v>1830</v>
      </c>
      <c r="D232" t="str">
        <f t="shared" si="12"/>
        <v>Male</v>
      </c>
      <c r="E232" t="s">
        <v>9</v>
      </c>
      <c r="F232" s="2">
        <v>43</v>
      </c>
      <c r="G232" s="2" t="str" cm="1">
        <f t="array" ref="G232">_xlfn.IFS(F232&lt;=8,"Child",F232&lt;=17,"Teen",F232&lt;=35,"Adult",F232&lt;=55,"Seniour Adult",F232&gt;=55,"Old Age")</f>
        <v>Seniour Adult</v>
      </c>
      <c r="H232" t="s">
        <v>25</v>
      </c>
      <c r="I232" t="s">
        <v>28</v>
      </c>
      <c r="J232" t="str" cm="1">
        <f t="array" ref="J232">_xlfn.IFS(I232="S","Southamptom",I232="Q","Quentown",I232="C","Cherbrug",I232="B","Cabin")</f>
        <v>Cabin</v>
      </c>
      <c r="K232" t="s">
        <v>43</v>
      </c>
      <c r="L232" s="2">
        <v>33</v>
      </c>
      <c r="M232" s="2" t="str" cm="1">
        <f t="array" ref="M232">_xlfn.IFS(L232&lt;=15,"Low Fare",L232&lt;=35,"Medium Fare",L232&lt;=100,"High Fare",L232&gt;=100,"Very High Fare")</f>
        <v>Medium Fare</v>
      </c>
      <c r="N232" s="2">
        <v>0</v>
      </c>
      <c r="O232" s="2">
        <v>0</v>
      </c>
      <c r="P232">
        <f t="shared" si="13"/>
        <v>1</v>
      </c>
      <c r="Q232" t="str">
        <f t="shared" si="14"/>
        <v>Alone</v>
      </c>
      <c r="R232" t="str">
        <f t="shared" si="15"/>
        <v>No</v>
      </c>
      <c r="S232" t="s">
        <v>13</v>
      </c>
    </row>
    <row r="233" spans="1:19" x14ac:dyDescent="0.3">
      <c r="A233" s="1" t="s">
        <v>225</v>
      </c>
      <c r="B233" t="s">
        <v>1596</v>
      </c>
      <c r="C233" t="s">
        <v>1831</v>
      </c>
      <c r="D233" t="str">
        <f t="shared" si="12"/>
        <v>Male</v>
      </c>
      <c r="E233" t="s">
        <v>9</v>
      </c>
      <c r="F233" s="2">
        <v>29</v>
      </c>
      <c r="G233" s="2" t="str" cm="1">
        <f t="array" ref="G233">_xlfn.IFS(F233&lt;=8,"Child",F233&lt;=17,"Teen",F233&lt;=35,"Adult",F233&lt;=55,"Seniour Adult",F233&gt;=55,"Old Age")</f>
        <v>Adult</v>
      </c>
      <c r="H233" t="s">
        <v>10</v>
      </c>
      <c r="I233" t="s">
        <v>11</v>
      </c>
      <c r="J233" t="str" cm="1">
        <f t="array" ref="J233">_xlfn.IFS(I233="S","Southamptom",I233="Q","Quentown",I233="C","Cherbrug",I233="B","Cabin")</f>
        <v>Southamptom</v>
      </c>
      <c r="K233" t="s">
        <v>15</v>
      </c>
      <c r="L233" s="2">
        <v>8.01</v>
      </c>
      <c r="M233" s="2" t="str" cm="1">
        <f t="array" ref="M233">_xlfn.IFS(L233&lt;=15,"Low Fare",L233&lt;=35,"Medium Fare",L233&lt;=100,"High Fare",L233&gt;=100,"Very High Fare")</f>
        <v>Low Fare</v>
      </c>
      <c r="N233" s="2">
        <v>0</v>
      </c>
      <c r="O233" s="2">
        <v>0</v>
      </c>
      <c r="P233">
        <f t="shared" si="13"/>
        <v>1</v>
      </c>
      <c r="Q233" t="str">
        <f t="shared" si="14"/>
        <v>Alone</v>
      </c>
      <c r="R233" t="str">
        <f t="shared" si="15"/>
        <v>No</v>
      </c>
      <c r="S233" t="s">
        <v>13</v>
      </c>
    </row>
    <row r="234" spans="1:19" x14ac:dyDescent="0.3">
      <c r="A234" s="1" t="s">
        <v>226</v>
      </c>
      <c r="B234" t="s">
        <v>1602</v>
      </c>
      <c r="C234" t="s">
        <v>1832</v>
      </c>
      <c r="D234" t="str">
        <f t="shared" si="12"/>
        <v>Female</v>
      </c>
      <c r="E234" t="s">
        <v>14</v>
      </c>
      <c r="F234" s="2">
        <v>25</v>
      </c>
      <c r="G234" s="2" t="str" cm="1">
        <f t="array" ref="G234">_xlfn.IFS(F234&lt;=8,"Child",F234&lt;=17,"Teen",F234&lt;=35,"Adult",F234&lt;=55,"Seniour Adult",F234&gt;=55,"Old Age")</f>
        <v>Adult</v>
      </c>
      <c r="H234" t="s">
        <v>18</v>
      </c>
      <c r="I234" t="s">
        <v>11</v>
      </c>
      <c r="J234" t="str" cm="1">
        <f t="array" ref="J234">_xlfn.IFS(I234="S","Southamptom",I234="Q","Quentown",I234="C","Cherbrug",I234="B","Cabin")</f>
        <v>Southamptom</v>
      </c>
      <c r="K234" t="s">
        <v>15</v>
      </c>
      <c r="L234" s="2">
        <v>30</v>
      </c>
      <c r="M234" s="2" t="str" cm="1">
        <f t="array" ref="M234">_xlfn.IFS(L234&lt;=15,"Low Fare",L234&lt;=35,"Medium Fare",L234&lt;=100,"High Fare",L234&gt;=100,"Very High Fare")</f>
        <v>Medium Fare</v>
      </c>
      <c r="N234" s="2">
        <v>1</v>
      </c>
      <c r="O234" s="2">
        <v>1</v>
      </c>
      <c r="P234">
        <f t="shared" si="13"/>
        <v>3</v>
      </c>
      <c r="Q234" t="str">
        <f t="shared" si="14"/>
        <v>With Family</v>
      </c>
      <c r="R234" t="str">
        <f t="shared" si="15"/>
        <v>Yes</v>
      </c>
      <c r="S234" t="s">
        <v>16</v>
      </c>
    </row>
    <row r="235" spans="1:19" x14ac:dyDescent="0.3">
      <c r="A235" s="1" t="s">
        <v>226</v>
      </c>
      <c r="B235" t="s">
        <v>1600</v>
      </c>
      <c r="C235" t="s">
        <v>1833</v>
      </c>
      <c r="D235" t="str">
        <f t="shared" si="12"/>
        <v>Female</v>
      </c>
      <c r="E235" t="s">
        <v>14</v>
      </c>
      <c r="F235" s="2">
        <v>52</v>
      </c>
      <c r="G235" s="2" t="str" cm="1">
        <f t="array" ref="G235">_xlfn.IFS(F235&lt;=8,"Child",F235&lt;=17,"Teen",F235&lt;=35,"Adult",F235&lt;=55,"Seniour Adult",F235&gt;=55,"Old Age")</f>
        <v>Seniour Adult</v>
      </c>
      <c r="H235" t="s">
        <v>18</v>
      </c>
      <c r="I235" t="s">
        <v>11</v>
      </c>
      <c r="J235" t="str" cm="1">
        <f t="array" ref="J235">_xlfn.IFS(I235="S","Southamptom",I235="Q","Quentown",I235="C","Cherbrug",I235="B","Cabin")</f>
        <v>Southamptom</v>
      </c>
      <c r="K235" t="s">
        <v>15</v>
      </c>
      <c r="L235" s="2">
        <v>30</v>
      </c>
      <c r="M235" s="2" t="str" cm="1">
        <f t="array" ref="M235">_xlfn.IFS(L235&lt;=15,"Low Fare",L235&lt;=35,"Medium Fare",L235&lt;=100,"High Fare",L235&gt;=100,"Very High Fare")</f>
        <v>Medium Fare</v>
      </c>
      <c r="N235" s="2">
        <v>0</v>
      </c>
      <c r="O235" s="2">
        <v>2</v>
      </c>
      <c r="P235">
        <f t="shared" si="13"/>
        <v>3</v>
      </c>
      <c r="Q235" t="str">
        <f t="shared" si="14"/>
        <v>With Family</v>
      </c>
      <c r="R235" t="str">
        <f t="shared" si="15"/>
        <v>Yes</v>
      </c>
      <c r="S235" t="s">
        <v>16</v>
      </c>
    </row>
    <row r="236" spans="1:19" x14ac:dyDescent="0.3">
      <c r="A236" s="1" t="s">
        <v>227</v>
      </c>
      <c r="B236" t="s">
        <v>1596</v>
      </c>
      <c r="C236" t="s">
        <v>1834</v>
      </c>
      <c r="D236" t="str">
        <f t="shared" si="12"/>
        <v>Male</v>
      </c>
      <c r="E236" t="s">
        <v>9</v>
      </c>
      <c r="F236" s="2">
        <v>26</v>
      </c>
      <c r="G236" s="2" t="str" cm="1">
        <f t="array" ref="G236">_xlfn.IFS(F236&lt;=8,"Child",F236&lt;=17,"Teen",F236&lt;=35,"Adult",F236&lt;=55,"Seniour Adult",F236&gt;=55,"Old Age")</f>
        <v>Adult</v>
      </c>
      <c r="H236" t="s">
        <v>10</v>
      </c>
      <c r="I236" t="s">
        <v>19</v>
      </c>
      <c r="J236" t="str" cm="1">
        <f t="array" ref="J236">_xlfn.IFS(I236="S","Southamptom",I236="Q","Quentown",I236="C","Cherbrug",I236="B","Cabin")</f>
        <v>Cherbrug</v>
      </c>
      <c r="K236" t="s">
        <v>15</v>
      </c>
      <c r="L236" s="2">
        <v>14.0901</v>
      </c>
      <c r="M236" s="2" t="str" cm="1">
        <f t="array" ref="M236">_xlfn.IFS(L236&lt;=15,"Low Fare",L236&lt;=35,"Medium Fare",L236&lt;=100,"High Fare",L236&gt;=100,"Very High Fare")</f>
        <v>Low Fare</v>
      </c>
      <c r="N236" s="2">
        <v>1</v>
      </c>
      <c r="O236" s="2">
        <v>0</v>
      </c>
      <c r="P236">
        <f t="shared" si="13"/>
        <v>2</v>
      </c>
      <c r="Q236" t="str">
        <f t="shared" si="14"/>
        <v>With Family</v>
      </c>
      <c r="R236" t="str">
        <f t="shared" si="15"/>
        <v>No</v>
      </c>
      <c r="S236" t="s">
        <v>13</v>
      </c>
    </row>
    <row r="237" spans="1:19" x14ac:dyDescent="0.3">
      <c r="A237" s="1" t="s">
        <v>227</v>
      </c>
      <c r="B237" t="s">
        <v>1596</v>
      </c>
      <c r="C237" t="s">
        <v>1835</v>
      </c>
      <c r="D237" t="str">
        <f t="shared" si="12"/>
        <v>Male</v>
      </c>
      <c r="E237" t="s">
        <v>9</v>
      </c>
      <c r="F237" s="2">
        <v>21</v>
      </c>
      <c r="G237" s="2" t="str" cm="1">
        <f t="array" ref="G237">_xlfn.IFS(F237&lt;=8,"Child",F237&lt;=17,"Teen",F237&lt;=35,"Adult",F237&lt;=55,"Seniour Adult",F237&gt;=55,"Old Age")</f>
        <v>Adult</v>
      </c>
      <c r="H237" t="s">
        <v>10</v>
      </c>
      <c r="I237" t="s">
        <v>19</v>
      </c>
      <c r="J237" t="str" cm="1">
        <f t="array" ref="J237">_xlfn.IFS(I237="S","Southamptom",I237="Q","Quentown",I237="C","Cherbrug",I237="B","Cabin")</f>
        <v>Cherbrug</v>
      </c>
      <c r="K237" t="s">
        <v>15</v>
      </c>
      <c r="L237" s="2">
        <v>14.0901</v>
      </c>
      <c r="M237" s="2" t="str" cm="1">
        <f t="array" ref="M237">_xlfn.IFS(L237&lt;=15,"Low Fare",L237&lt;=35,"Medium Fare",L237&lt;=100,"High Fare",L237&gt;=100,"Very High Fare")</f>
        <v>Low Fare</v>
      </c>
      <c r="N237" s="2">
        <v>1</v>
      </c>
      <c r="O237" s="2">
        <v>0</v>
      </c>
      <c r="P237">
        <f t="shared" si="13"/>
        <v>2</v>
      </c>
      <c r="Q237" t="str">
        <f t="shared" si="14"/>
        <v>With Family</v>
      </c>
      <c r="R237" t="str">
        <f t="shared" si="15"/>
        <v>No</v>
      </c>
      <c r="S237" t="s">
        <v>13</v>
      </c>
    </row>
    <row r="238" spans="1:19" x14ac:dyDescent="0.3">
      <c r="A238" s="1" t="s">
        <v>228</v>
      </c>
      <c r="B238" t="s">
        <v>1596</v>
      </c>
      <c r="C238" t="s">
        <v>1836</v>
      </c>
      <c r="D238" t="str">
        <f t="shared" si="12"/>
        <v>Male</v>
      </c>
      <c r="E238" t="s">
        <v>9</v>
      </c>
      <c r="F238" s="2">
        <v>29</v>
      </c>
      <c r="G238" s="2" t="str" cm="1">
        <f t="array" ref="G238">_xlfn.IFS(F238&lt;=8,"Child",F238&lt;=17,"Teen",F238&lt;=35,"Adult",F238&lt;=55,"Seniour Adult",F238&gt;=55,"Old Age")</f>
        <v>Adult</v>
      </c>
      <c r="H238" t="s">
        <v>18</v>
      </c>
      <c r="I238" t="s">
        <v>11</v>
      </c>
      <c r="J238" t="str" cm="1">
        <f t="array" ref="J238">_xlfn.IFS(I238="S","Southamptom",I238="Q","Quentown",I238="C","Cherbrug",I238="B","Cabin")</f>
        <v>Southamptom</v>
      </c>
      <c r="K238" t="s">
        <v>15</v>
      </c>
      <c r="L238" s="2">
        <v>26</v>
      </c>
      <c r="M238" s="2" t="str" cm="1">
        <f t="array" ref="M238">_xlfn.IFS(L238&lt;=15,"Low Fare",L238&lt;=35,"Medium Fare",L238&lt;=100,"High Fare",L238&gt;=100,"Very High Fare")</f>
        <v>Medium Fare</v>
      </c>
      <c r="N238" s="2">
        <v>1</v>
      </c>
      <c r="O238" s="2">
        <v>0</v>
      </c>
      <c r="P238">
        <f t="shared" si="13"/>
        <v>2</v>
      </c>
      <c r="Q238" t="str">
        <f t="shared" si="14"/>
        <v>With Family</v>
      </c>
      <c r="R238" t="str">
        <f t="shared" si="15"/>
        <v>No</v>
      </c>
      <c r="S238" t="s">
        <v>13</v>
      </c>
    </row>
    <row r="239" spans="1:19" hidden="1" x14ac:dyDescent="0.3">
      <c r="A239" s="1" t="s">
        <v>228</v>
      </c>
      <c r="B239" t="s">
        <v>1596</v>
      </c>
      <c r="C239" t="s">
        <v>1837</v>
      </c>
      <c r="D239" t="str">
        <f t="shared" si="12"/>
        <v>Male</v>
      </c>
      <c r="E239" t="s">
        <v>9</v>
      </c>
      <c r="F239" s="2">
        <v>28</v>
      </c>
      <c r="G239" s="2" t="str" cm="1">
        <f t="array" ref="G239">_xlfn.IFS(F239&lt;=8,"Child",F239&lt;=17,"Teen",F239&lt;=35,"Adult",F239&lt;=55,"Seniour Adult",F239&gt;=55,"Old Age")</f>
        <v>Adult</v>
      </c>
      <c r="H239" t="s">
        <v>18</v>
      </c>
      <c r="I239" t="s">
        <v>11</v>
      </c>
      <c r="J239" t="str" cm="1">
        <f t="array" ref="J239">_xlfn.IFS(I239="S","Southamptom",I239="Q","Quentown",I239="C","Cherbrug",I239="B","Cabin")</f>
        <v>Southamptom</v>
      </c>
      <c r="K239" t="s">
        <v>15</v>
      </c>
      <c r="L239" s="2">
        <v>33</v>
      </c>
      <c r="M239" s="2" t="str" cm="1">
        <f t="array" ref="M239">_xlfn.IFS(L239&lt;=15,"Low Fare",L239&lt;=35,"Medium Fare",L239&lt;=100,"High Fare",L239&gt;=100,"Very High Fare")</f>
        <v>Medium Fare</v>
      </c>
      <c r="N239" s="2">
        <v>1</v>
      </c>
      <c r="O239" s="2" t="s">
        <v>30</v>
      </c>
      <c r="P239" t="e">
        <f t="shared" si="13"/>
        <v>#VALUE!</v>
      </c>
      <c r="Q239" t="e">
        <f t="shared" si="14"/>
        <v>#VALUE!</v>
      </c>
      <c r="R239" t="str">
        <f t="shared" si="15"/>
        <v>No</v>
      </c>
      <c r="S239" t="s">
        <v>13</v>
      </c>
    </row>
    <row r="240" spans="1:19" x14ac:dyDescent="0.3">
      <c r="A240" s="1" t="s">
        <v>228</v>
      </c>
      <c r="B240" t="s">
        <v>1600</v>
      </c>
      <c r="C240" t="s">
        <v>1838</v>
      </c>
      <c r="D240" t="str">
        <f t="shared" si="12"/>
        <v>Female</v>
      </c>
      <c r="E240" t="s">
        <v>14</v>
      </c>
      <c r="F240" s="2">
        <v>28</v>
      </c>
      <c r="G240" s="2" t="str" cm="1">
        <f t="array" ref="G240">_xlfn.IFS(F240&lt;=8,"Child",F240&lt;=17,"Teen",F240&lt;=35,"Adult",F240&lt;=55,"Seniour Adult",F240&gt;=55,"Old Age")</f>
        <v>Adult</v>
      </c>
      <c r="H240" t="s">
        <v>18</v>
      </c>
      <c r="I240" t="s">
        <v>11</v>
      </c>
      <c r="J240" t="str" cm="1">
        <f t="array" ref="J240">_xlfn.IFS(I240="S","Southamptom",I240="Q","Quentown",I240="C","Cherbrug",I240="B","Cabin")</f>
        <v>Southamptom</v>
      </c>
      <c r="K240" t="s">
        <v>15</v>
      </c>
      <c r="L240" s="2">
        <v>27</v>
      </c>
      <c r="M240" s="2" t="str" cm="1">
        <f t="array" ref="M240">_xlfn.IFS(L240&lt;=15,"Low Fare",L240&lt;=35,"Medium Fare",L240&lt;=100,"High Fare",L240&gt;=100,"Very High Fare")</f>
        <v>Medium Fare</v>
      </c>
      <c r="N240" s="2">
        <v>1</v>
      </c>
      <c r="O240" s="2">
        <v>0</v>
      </c>
      <c r="P240">
        <f t="shared" si="13"/>
        <v>2</v>
      </c>
      <c r="Q240" t="str">
        <f t="shared" si="14"/>
        <v>With Family</v>
      </c>
      <c r="R240" t="str">
        <f t="shared" si="15"/>
        <v>Yes</v>
      </c>
      <c r="S240" t="s">
        <v>16</v>
      </c>
    </row>
    <row r="241" spans="1:19" x14ac:dyDescent="0.3">
      <c r="A241" s="1" t="s">
        <v>229</v>
      </c>
      <c r="B241" t="s">
        <v>1600</v>
      </c>
      <c r="C241" t="s">
        <v>1839</v>
      </c>
      <c r="D241" t="str">
        <f t="shared" si="12"/>
        <v>Female</v>
      </c>
      <c r="E241" t="s">
        <v>14</v>
      </c>
      <c r="F241" s="2">
        <v>26</v>
      </c>
      <c r="G241" s="2" t="str" cm="1">
        <f t="array" ref="G241">_xlfn.IFS(F241&lt;=8,"Child",F241&lt;=17,"Teen",F241&lt;=35,"Adult",F241&lt;=55,"Seniour Adult",F241&gt;=55,"Old Age")</f>
        <v>Adult</v>
      </c>
      <c r="H241" t="s">
        <v>25</v>
      </c>
      <c r="I241" t="s">
        <v>19</v>
      </c>
      <c r="J241" t="str" cm="1">
        <f t="array" ref="J241">_xlfn.IFS(I241="S","Southamptom",I241="Q","Quentown",I241="C","Cherbrug",I241="B","Cabin")</f>
        <v>Cherbrug</v>
      </c>
      <c r="K241" t="s">
        <v>12</v>
      </c>
      <c r="L241" s="2">
        <v>136.1507</v>
      </c>
      <c r="M241" s="2" t="str" cm="1">
        <f t="array" ref="M241">_xlfn.IFS(L241&lt;=15,"Low Fare",L241&lt;=35,"Medium Fare",L241&lt;=100,"High Fare",L241&gt;=100,"Very High Fare")</f>
        <v>Very High Fare</v>
      </c>
      <c r="N241" s="2">
        <v>1</v>
      </c>
      <c r="O241" s="2">
        <v>0</v>
      </c>
      <c r="P241">
        <f t="shared" si="13"/>
        <v>2</v>
      </c>
      <c r="Q241" t="str">
        <f t="shared" si="14"/>
        <v>With Family</v>
      </c>
      <c r="R241" t="str">
        <f t="shared" si="15"/>
        <v>Yes</v>
      </c>
      <c r="S241" t="s">
        <v>16</v>
      </c>
    </row>
    <row r="242" spans="1:19" x14ac:dyDescent="0.3">
      <c r="A242" s="1" t="s">
        <v>229</v>
      </c>
      <c r="B242" t="s">
        <v>1596</v>
      </c>
      <c r="C242" t="s">
        <v>1840</v>
      </c>
      <c r="D242" t="str">
        <f t="shared" si="12"/>
        <v>Male</v>
      </c>
      <c r="E242" t="s">
        <v>9</v>
      </c>
      <c r="F242" s="2">
        <v>27</v>
      </c>
      <c r="G242" s="2" t="str" cm="1">
        <f t="array" ref="G242">_xlfn.IFS(F242&lt;=8,"Child",F242&lt;=17,"Teen",F242&lt;=35,"Adult",F242&lt;=55,"Seniour Adult",F242&gt;=55,"Old Age")</f>
        <v>Adult</v>
      </c>
      <c r="H242" t="s">
        <v>25</v>
      </c>
      <c r="I242" t="s">
        <v>19</v>
      </c>
      <c r="J242" t="str" cm="1">
        <f t="array" ref="J242">_xlfn.IFS(I242="S","Southamptom",I242="Q","Quentown",I242="C","Cherbrug",I242="B","Cabin")</f>
        <v>Cherbrug</v>
      </c>
      <c r="K242" t="s">
        <v>12</v>
      </c>
      <c r="L242" s="2">
        <v>136.1507</v>
      </c>
      <c r="M242" s="2" t="str" cm="1">
        <f t="array" ref="M242">_xlfn.IFS(L242&lt;=15,"Low Fare",L242&lt;=35,"Medium Fare",L242&lt;=100,"High Fare",L242&gt;=100,"Very High Fare")</f>
        <v>Very High Fare</v>
      </c>
      <c r="N242" s="2">
        <v>1</v>
      </c>
      <c r="O242" s="2">
        <v>0</v>
      </c>
      <c r="P242">
        <f t="shared" si="13"/>
        <v>2</v>
      </c>
      <c r="Q242" t="str">
        <f t="shared" si="14"/>
        <v>With Family</v>
      </c>
      <c r="R242" t="str">
        <f t="shared" si="15"/>
        <v>No</v>
      </c>
      <c r="S242" t="s">
        <v>13</v>
      </c>
    </row>
    <row r="243" spans="1:19" x14ac:dyDescent="0.3">
      <c r="A243" s="1" t="s">
        <v>230</v>
      </c>
      <c r="B243" t="s">
        <v>1602</v>
      </c>
      <c r="C243" t="s">
        <v>1841</v>
      </c>
      <c r="D243" t="str">
        <f t="shared" si="12"/>
        <v>Female</v>
      </c>
      <c r="E243" t="s">
        <v>14</v>
      </c>
      <c r="F243" s="2">
        <v>22</v>
      </c>
      <c r="G243" s="2" t="str" cm="1">
        <f t="array" ref="G243">_xlfn.IFS(F243&lt;=8,"Child",F243&lt;=17,"Teen",F243&lt;=35,"Adult",F243&lt;=55,"Seniour Adult",F243&gt;=55,"Old Age")</f>
        <v>Adult</v>
      </c>
      <c r="H243" t="s">
        <v>25</v>
      </c>
      <c r="I243" t="s">
        <v>11</v>
      </c>
      <c r="J243" t="str" cm="1">
        <f t="array" ref="J243">_xlfn.IFS(I243="S","Southamptom",I243="Q","Quentown",I243="C","Cherbrug",I243="B","Cabin")</f>
        <v>Southamptom</v>
      </c>
      <c r="K243" t="s">
        <v>15</v>
      </c>
      <c r="L243" s="2">
        <v>151.16</v>
      </c>
      <c r="M243" s="2" t="str" cm="1">
        <f t="array" ref="M243">_xlfn.IFS(L243&lt;=15,"Low Fare",L243&lt;=35,"Medium Fare",L243&lt;=100,"High Fare",L243&gt;=100,"Very High Fare")</f>
        <v>Very High Fare</v>
      </c>
      <c r="N243" s="2">
        <v>0</v>
      </c>
      <c r="O243" s="2">
        <v>0</v>
      </c>
      <c r="P243">
        <f t="shared" si="13"/>
        <v>1</v>
      </c>
      <c r="Q243" t="str">
        <f t="shared" si="14"/>
        <v>Alone</v>
      </c>
      <c r="R243" t="str">
        <f t="shared" si="15"/>
        <v>Yes</v>
      </c>
      <c r="S243" t="s">
        <v>16</v>
      </c>
    </row>
    <row r="244" spans="1:19" x14ac:dyDescent="0.3">
      <c r="A244" s="1" t="s">
        <v>231</v>
      </c>
      <c r="B244" t="s">
        <v>1596</v>
      </c>
      <c r="C244" t="s">
        <v>1842</v>
      </c>
      <c r="D244" t="str">
        <f t="shared" si="12"/>
        <v>Male</v>
      </c>
      <c r="E244" t="s">
        <v>9</v>
      </c>
      <c r="F244" s="2">
        <v>40</v>
      </c>
      <c r="G244" s="2" t="str" cm="1">
        <f t="array" ref="G244">_xlfn.IFS(F244&lt;=8,"Child",F244&lt;=17,"Teen",F244&lt;=35,"Adult",F244&lt;=55,"Seniour Adult",F244&gt;=55,"Old Age")</f>
        <v>Seniour Adult</v>
      </c>
      <c r="H244" t="s">
        <v>25</v>
      </c>
      <c r="I244" t="s">
        <v>11</v>
      </c>
      <c r="J244" t="str" cm="1">
        <f t="array" ref="J244">_xlfn.IFS(I244="S","Southamptom",I244="Q","Quentown",I244="C","Cherbrug",I244="B","Cabin")</f>
        <v>Southamptom</v>
      </c>
      <c r="K244" t="s">
        <v>12</v>
      </c>
      <c r="L244" s="2">
        <v>52</v>
      </c>
      <c r="M244" s="2" t="str" cm="1">
        <f t="array" ref="M244">_xlfn.IFS(L244&lt;=15,"Low Fare",L244&lt;=35,"Medium Fare",L244&lt;=100,"High Fare",L244&gt;=100,"Very High Fare")</f>
        <v>High Fare</v>
      </c>
      <c r="N244" s="2">
        <v>0</v>
      </c>
      <c r="O244" s="2">
        <v>0</v>
      </c>
      <c r="P244">
        <f t="shared" si="13"/>
        <v>1</v>
      </c>
      <c r="Q244" t="str">
        <f t="shared" si="14"/>
        <v>Alone</v>
      </c>
      <c r="R244" t="str">
        <f t="shared" si="15"/>
        <v>No</v>
      </c>
      <c r="S244" t="s">
        <v>13</v>
      </c>
    </row>
    <row r="245" spans="1:19" x14ac:dyDescent="0.3">
      <c r="A245" s="1" t="s">
        <v>232</v>
      </c>
      <c r="B245" t="s">
        <v>1596</v>
      </c>
      <c r="C245" t="s">
        <v>1843</v>
      </c>
      <c r="D245" t="str">
        <f t="shared" si="12"/>
        <v>Male</v>
      </c>
      <c r="E245" t="s">
        <v>9</v>
      </c>
      <c r="F245" s="2">
        <v>20</v>
      </c>
      <c r="G245" s="2" t="str" cm="1">
        <f t="array" ref="G245">_xlfn.IFS(F245&lt;=8,"Child",F245&lt;=17,"Teen",F245&lt;=35,"Adult",F245&lt;=55,"Seniour Adult",F245&gt;=55,"Old Age")</f>
        <v>Adult</v>
      </c>
      <c r="H245" t="s">
        <v>10</v>
      </c>
      <c r="I245" t="s">
        <v>11</v>
      </c>
      <c r="J245" t="str" cm="1">
        <f t="array" ref="J245">_xlfn.IFS(I245="S","Southamptom",I245="Q","Quentown",I245="C","Cherbrug",I245="B","Cabin")</f>
        <v>Southamptom</v>
      </c>
      <c r="K245" t="s">
        <v>15</v>
      </c>
      <c r="L245" s="2">
        <v>7.01</v>
      </c>
      <c r="M245" s="2" t="str" cm="1">
        <f t="array" ref="M245">_xlfn.IFS(L245&lt;=15,"Low Fare",L245&lt;=35,"Medium Fare",L245&lt;=100,"High Fare",L245&gt;=100,"Very High Fare")</f>
        <v>Low Fare</v>
      </c>
      <c r="N245" s="2">
        <v>0</v>
      </c>
      <c r="O245" s="2">
        <v>0</v>
      </c>
      <c r="P245">
        <f t="shared" si="13"/>
        <v>1</v>
      </c>
      <c r="Q245" t="str">
        <f t="shared" si="14"/>
        <v>Alone</v>
      </c>
      <c r="R245" t="str">
        <f t="shared" si="15"/>
        <v>No</v>
      </c>
      <c r="S245" t="s">
        <v>13</v>
      </c>
    </row>
    <row r="246" spans="1:19" x14ac:dyDescent="0.3">
      <c r="A246" s="1" t="s">
        <v>233</v>
      </c>
      <c r="B246" t="s">
        <v>1596</v>
      </c>
      <c r="C246" t="s">
        <v>1844</v>
      </c>
      <c r="D246" t="str">
        <f t="shared" si="12"/>
        <v>Male</v>
      </c>
      <c r="E246" t="s">
        <v>9</v>
      </c>
      <c r="F246" s="2">
        <v>18</v>
      </c>
      <c r="G246" s="2" t="str" cm="1">
        <f t="array" ref="G246">_xlfn.IFS(F246&lt;=8,"Child",F246&lt;=17,"Teen",F246&lt;=35,"Adult",F246&lt;=55,"Seniour Adult",F246&gt;=55,"Old Age")</f>
        <v>Adult</v>
      </c>
      <c r="H246" t="s">
        <v>10</v>
      </c>
      <c r="I246" t="s">
        <v>11</v>
      </c>
      <c r="J246" t="str" cm="1">
        <f t="array" ref="J246">_xlfn.IFS(I246="S","Southamptom",I246="Q","Quentown",I246="C","Cherbrug",I246="B","Cabin")</f>
        <v>Southamptom</v>
      </c>
      <c r="K246" t="s">
        <v>15</v>
      </c>
      <c r="L246" s="2">
        <v>8.01</v>
      </c>
      <c r="M246" s="2" t="str" cm="1">
        <f t="array" ref="M246">_xlfn.IFS(L246&lt;=15,"Low Fare",L246&lt;=35,"Medium Fare",L246&lt;=100,"High Fare",L246&gt;=100,"Very High Fare")</f>
        <v>Low Fare</v>
      </c>
      <c r="N246" s="2">
        <v>0</v>
      </c>
      <c r="O246" s="2">
        <v>0</v>
      </c>
      <c r="P246">
        <f t="shared" si="13"/>
        <v>1</v>
      </c>
      <c r="Q246" t="str">
        <f t="shared" si="14"/>
        <v>Alone</v>
      </c>
      <c r="R246" t="str">
        <f t="shared" si="15"/>
        <v>Yes</v>
      </c>
      <c r="S246" t="s">
        <v>16</v>
      </c>
    </row>
    <row r="247" spans="1:19" x14ac:dyDescent="0.3">
      <c r="A247" s="1" t="s">
        <v>234</v>
      </c>
      <c r="B247" t="s">
        <v>1596</v>
      </c>
      <c r="C247" t="s">
        <v>1792</v>
      </c>
      <c r="D247" t="str">
        <f t="shared" si="12"/>
        <v>Male</v>
      </c>
      <c r="E247" t="s">
        <v>9</v>
      </c>
      <c r="F247" s="2">
        <v>24</v>
      </c>
      <c r="G247" s="2" t="str" cm="1">
        <f t="array" ref="G247">_xlfn.IFS(F247&lt;=8,"Child",F247&lt;=17,"Teen",F247&lt;=35,"Adult",F247&lt;=55,"Seniour Adult",F247&gt;=55,"Old Age")</f>
        <v>Adult</v>
      </c>
      <c r="H247" t="s">
        <v>10</v>
      </c>
      <c r="I247" t="s">
        <v>36</v>
      </c>
      <c r="J247" t="str" cm="1">
        <f t="array" ref="J247">_xlfn.IFS(I247="S","Southamptom",I247="Q","Quentown",I247="C","Cherbrug",I247="B","Cabin")</f>
        <v>Quentown</v>
      </c>
      <c r="K247" t="s">
        <v>37</v>
      </c>
      <c r="L247" s="2">
        <v>7.05</v>
      </c>
      <c r="M247" s="2" t="str" cm="1">
        <f t="array" ref="M247">_xlfn.IFS(L247&lt;=15,"Low Fare",L247&lt;=35,"Medium Fare",L247&lt;=100,"High Fare",L247&gt;=100,"Very High Fare")</f>
        <v>Low Fare</v>
      </c>
      <c r="N247" s="2">
        <v>0</v>
      </c>
      <c r="O247" s="2">
        <v>0</v>
      </c>
      <c r="P247">
        <f t="shared" si="13"/>
        <v>1</v>
      </c>
      <c r="Q247" t="str">
        <f t="shared" si="14"/>
        <v>Alone</v>
      </c>
      <c r="R247" t="str">
        <f t="shared" si="15"/>
        <v>No</v>
      </c>
      <c r="S247" t="s">
        <v>13</v>
      </c>
    </row>
    <row r="248" spans="1:19" x14ac:dyDescent="0.3">
      <c r="A248" s="1" t="s">
        <v>235</v>
      </c>
      <c r="B248" t="s">
        <v>1596</v>
      </c>
      <c r="C248" t="s">
        <v>1845</v>
      </c>
      <c r="D248" t="str">
        <f t="shared" si="12"/>
        <v>Male</v>
      </c>
      <c r="E248" t="s">
        <v>9</v>
      </c>
      <c r="F248" s="2">
        <v>24</v>
      </c>
      <c r="G248" s="2" t="str" cm="1">
        <f t="array" ref="G248">_xlfn.IFS(F248&lt;=8,"Child",F248&lt;=17,"Teen",F248&lt;=35,"Adult",F248&lt;=55,"Seniour Adult",F248&gt;=55,"Old Age")</f>
        <v>Adult</v>
      </c>
      <c r="H248" t="s">
        <v>10</v>
      </c>
      <c r="I248" t="s">
        <v>11</v>
      </c>
      <c r="J248" t="str" cm="1">
        <f t="array" ref="J248">_xlfn.IFS(I248="S","Southamptom",I248="Q","Quentown",I248="C","Cherbrug",I248="B","Cabin")</f>
        <v>Southamptom</v>
      </c>
      <c r="K248" t="s">
        <v>31</v>
      </c>
      <c r="L248" s="2">
        <v>7.1711</v>
      </c>
      <c r="M248" s="2" t="str" cm="1">
        <f t="array" ref="M248">_xlfn.IFS(L248&lt;=15,"Low Fare",L248&lt;=35,"Medium Fare",L248&lt;=100,"High Fare",L248&gt;=100,"Very High Fare")</f>
        <v>Low Fare</v>
      </c>
      <c r="N248" s="2">
        <v>0</v>
      </c>
      <c r="O248" s="2">
        <v>0</v>
      </c>
      <c r="P248">
        <f t="shared" si="13"/>
        <v>1</v>
      </c>
      <c r="Q248" t="str">
        <f t="shared" si="14"/>
        <v>Alone</v>
      </c>
      <c r="R248" t="str">
        <f t="shared" si="15"/>
        <v>No</v>
      </c>
      <c r="S248" t="s">
        <v>13</v>
      </c>
    </row>
    <row r="249" spans="1:19" x14ac:dyDescent="0.3">
      <c r="A249" s="1" t="s">
        <v>236</v>
      </c>
      <c r="B249" t="s">
        <v>1596</v>
      </c>
      <c r="C249" t="s">
        <v>1846</v>
      </c>
      <c r="D249" t="str">
        <f t="shared" si="12"/>
        <v>Male</v>
      </c>
      <c r="E249" t="s">
        <v>9</v>
      </c>
      <c r="F249" s="2">
        <v>29</v>
      </c>
      <c r="G249" s="2" t="str" cm="1">
        <f t="array" ref="G249">_xlfn.IFS(F249&lt;=8,"Child",F249&lt;=17,"Teen",F249&lt;=35,"Adult",F249&lt;=55,"Seniour Adult",F249&gt;=55,"Old Age")</f>
        <v>Adult</v>
      </c>
      <c r="H249" t="s">
        <v>18</v>
      </c>
      <c r="I249" t="s">
        <v>11</v>
      </c>
      <c r="J249" t="str" cm="1">
        <f t="array" ref="J249">_xlfn.IFS(I249="S","Southamptom",I249="Q","Quentown",I249="C","Cherbrug",I249="B","Cabin")</f>
        <v>Southamptom</v>
      </c>
      <c r="K249" t="s">
        <v>15</v>
      </c>
      <c r="L249" s="2">
        <v>10.1</v>
      </c>
      <c r="M249" s="2" t="str" cm="1">
        <f t="array" ref="M249">_xlfn.IFS(L249&lt;=15,"Low Fare",L249&lt;=35,"Medium Fare",L249&lt;=100,"High Fare",L249&gt;=100,"Very High Fare")</f>
        <v>Low Fare</v>
      </c>
      <c r="N249" s="2">
        <v>0</v>
      </c>
      <c r="O249" s="2">
        <v>0</v>
      </c>
      <c r="P249">
        <f t="shared" si="13"/>
        <v>1</v>
      </c>
      <c r="Q249" t="str">
        <f t="shared" si="14"/>
        <v>Alone</v>
      </c>
      <c r="R249" t="str">
        <f t="shared" si="15"/>
        <v>No</v>
      </c>
      <c r="S249" t="s">
        <v>13</v>
      </c>
    </row>
    <row r="250" spans="1:19" x14ac:dyDescent="0.3">
      <c r="A250" s="1" t="s">
        <v>237</v>
      </c>
      <c r="B250" t="s">
        <v>1596</v>
      </c>
      <c r="C250" t="s">
        <v>1847</v>
      </c>
      <c r="D250" t="str">
        <f t="shared" si="12"/>
        <v>Male</v>
      </c>
      <c r="E250" t="s">
        <v>9</v>
      </c>
      <c r="F250" s="2">
        <v>27</v>
      </c>
      <c r="G250" s="2" t="str" cm="1">
        <f t="array" ref="G250">_xlfn.IFS(F250&lt;=8,"Child",F250&lt;=17,"Teen",F250&lt;=35,"Adult",F250&lt;=55,"Seniour Adult",F250&gt;=55,"Old Age")</f>
        <v>Adult</v>
      </c>
      <c r="H250" t="s">
        <v>18</v>
      </c>
      <c r="I250" t="s">
        <v>11</v>
      </c>
      <c r="J250" t="str" cm="1">
        <f t="array" ref="J250">_xlfn.IFS(I250="S","Southamptom",I250="Q","Quentown",I250="C","Cherbrug",I250="B","Cabin")</f>
        <v>Southamptom</v>
      </c>
      <c r="K250" t="s">
        <v>22</v>
      </c>
      <c r="L250" s="2">
        <v>13</v>
      </c>
      <c r="M250" s="2" t="str" cm="1">
        <f t="array" ref="M250">_xlfn.IFS(L250&lt;=15,"Low Fare",L250&lt;=35,"Medium Fare",L250&lt;=100,"High Fare",L250&gt;=100,"Very High Fare")</f>
        <v>Low Fare</v>
      </c>
      <c r="N250" s="2">
        <v>0</v>
      </c>
      <c r="O250" s="2">
        <v>0</v>
      </c>
      <c r="P250">
        <f t="shared" si="13"/>
        <v>1</v>
      </c>
      <c r="Q250" t="str">
        <f t="shared" si="14"/>
        <v>Alone</v>
      </c>
      <c r="R250" t="str">
        <f t="shared" si="15"/>
        <v>No</v>
      </c>
      <c r="S250" t="s">
        <v>13</v>
      </c>
    </row>
    <row r="251" spans="1:19" x14ac:dyDescent="0.3">
      <c r="A251" s="1" t="s">
        <v>238</v>
      </c>
      <c r="B251" t="s">
        <v>1596</v>
      </c>
      <c r="C251" t="s">
        <v>1848</v>
      </c>
      <c r="D251" t="str">
        <f t="shared" si="12"/>
        <v>Male</v>
      </c>
      <c r="E251" t="s">
        <v>9</v>
      </c>
      <c r="F251" s="2">
        <v>25</v>
      </c>
      <c r="G251" s="2" t="str" cm="1">
        <f t="array" ref="G251">_xlfn.IFS(F251&lt;=8,"Child",F251&lt;=17,"Teen",F251&lt;=35,"Adult",F251&lt;=55,"Seniour Adult",F251&gt;=55,"Old Age")</f>
        <v>Adult</v>
      </c>
      <c r="H251" t="s">
        <v>18</v>
      </c>
      <c r="I251" t="s">
        <v>11</v>
      </c>
      <c r="J251" t="str" cm="1">
        <f t="array" ref="J251">_xlfn.IFS(I251="S","Southamptom",I251="Q","Quentown",I251="C","Cherbrug",I251="B","Cabin")</f>
        <v>Southamptom</v>
      </c>
      <c r="K251" t="s">
        <v>15</v>
      </c>
      <c r="L251" s="2">
        <v>10.1</v>
      </c>
      <c r="M251" s="2" t="str" cm="1">
        <f t="array" ref="M251">_xlfn.IFS(L251&lt;=15,"Low Fare",L251&lt;=35,"Medium Fare",L251&lt;=100,"High Fare",L251&gt;=100,"Very High Fare")</f>
        <v>Low Fare</v>
      </c>
      <c r="N251" s="2">
        <v>0</v>
      </c>
      <c r="O251" s="2">
        <v>0</v>
      </c>
      <c r="P251">
        <f t="shared" si="13"/>
        <v>1</v>
      </c>
      <c r="Q251" t="str">
        <f t="shared" si="14"/>
        <v>Alone</v>
      </c>
      <c r="R251" t="str">
        <f t="shared" si="15"/>
        <v>Yes</v>
      </c>
      <c r="S251" t="s">
        <v>16</v>
      </c>
    </row>
    <row r="252" spans="1:19" x14ac:dyDescent="0.3">
      <c r="A252" s="1" t="s">
        <v>239</v>
      </c>
      <c r="B252" t="s">
        <v>1596</v>
      </c>
      <c r="C252" t="s">
        <v>1849</v>
      </c>
      <c r="D252" t="str">
        <f t="shared" si="12"/>
        <v>Male</v>
      </c>
      <c r="E252" t="s">
        <v>9</v>
      </c>
      <c r="F252" s="2">
        <v>37</v>
      </c>
      <c r="G252" s="2" t="str" cm="1">
        <f t="array" ref="G252">_xlfn.IFS(F252&lt;=8,"Child",F252&lt;=17,"Teen",F252&lt;=35,"Adult",F252&lt;=55,"Seniour Adult",F252&gt;=55,"Old Age")</f>
        <v>Seniour Adult</v>
      </c>
      <c r="H252" t="s">
        <v>25</v>
      </c>
      <c r="I252" t="s">
        <v>11</v>
      </c>
      <c r="J252" t="str" cm="1">
        <f t="array" ref="J252">_xlfn.IFS(I252="S","Southamptom",I252="Q","Quentown",I252="C","Cherbrug",I252="B","Cabin")</f>
        <v>Southamptom</v>
      </c>
      <c r="K252" t="s">
        <v>37</v>
      </c>
      <c r="L252" s="2">
        <v>25.110900000000001</v>
      </c>
      <c r="M252" s="2" t="str" cm="1">
        <f t="array" ref="M252">_xlfn.IFS(L252&lt;=15,"Low Fare",L252&lt;=35,"Medium Fare",L252&lt;=100,"High Fare",L252&gt;=100,"Very High Fare")</f>
        <v>Medium Fare</v>
      </c>
      <c r="N252" s="2">
        <v>0</v>
      </c>
      <c r="O252" s="2">
        <v>0</v>
      </c>
      <c r="P252">
        <f t="shared" si="13"/>
        <v>1</v>
      </c>
      <c r="Q252" t="str">
        <f t="shared" si="14"/>
        <v>Alone</v>
      </c>
      <c r="R252" t="str">
        <f t="shared" si="15"/>
        <v>No</v>
      </c>
      <c r="S252" t="s">
        <v>13</v>
      </c>
    </row>
    <row r="253" spans="1:19" x14ac:dyDescent="0.3">
      <c r="A253" s="1" t="s">
        <v>240</v>
      </c>
      <c r="B253" t="s">
        <v>1602</v>
      </c>
      <c r="C253" t="s">
        <v>1850</v>
      </c>
      <c r="D253" t="str">
        <f t="shared" si="12"/>
        <v>Female</v>
      </c>
      <c r="E253" t="s">
        <v>14</v>
      </c>
      <c r="F253" s="2">
        <v>8</v>
      </c>
      <c r="G253" s="2" t="str" cm="1">
        <f t="array" ref="G253">_xlfn.IFS(F253&lt;=8,"Child",F253&lt;=17,"Teen",F253&lt;=35,"Adult",F253&lt;=55,"Seniour Adult",F253&gt;=55,"Old Age")</f>
        <v>Child</v>
      </c>
      <c r="H253" t="s">
        <v>18</v>
      </c>
      <c r="I253" t="s">
        <v>11</v>
      </c>
      <c r="J253" t="str" cm="1">
        <f t="array" ref="J253">_xlfn.IFS(I253="S","Southamptom",I253="Q","Quentown",I253="C","Cherbrug",I253="B","Cabin")</f>
        <v>Southamptom</v>
      </c>
      <c r="K253" t="s">
        <v>15</v>
      </c>
      <c r="L253" s="2">
        <v>26.05</v>
      </c>
      <c r="M253" s="2" t="str" cm="1">
        <f t="array" ref="M253">_xlfn.IFS(L253&lt;=15,"Low Fare",L253&lt;=35,"Medium Fare",L253&lt;=100,"High Fare",L253&gt;=100,"Very High Fare")</f>
        <v>Medium Fare</v>
      </c>
      <c r="N253" s="2">
        <v>0</v>
      </c>
      <c r="O253" s="2">
        <v>2</v>
      </c>
      <c r="P253">
        <f t="shared" si="13"/>
        <v>3</v>
      </c>
      <c r="Q253" t="str">
        <f t="shared" si="14"/>
        <v>With Family</v>
      </c>
      <c r="R253" t="str">
        <f t="shared" si="15"/>
        <v>Yes</v>
      </c>
      <c r="S253" t="s">
        <v>16</v>
      </c>
    </row>
    <row r="254" spans="1:19" x14ac:dyDescent="0.3">
      <c r="A254" s="1" t="s">
        <v>240</v>
      </c>
      <c r="B254" t="s">
        <v>1596</v>
      </c>
      <c r="C254" t="s">
        <v>1851</v>
      </c>
      <c r="D254" t="str">
        <f t="shared" si="12"/>
        <v>Male</v>
      </c>
      <c r="E254" t="s">
        <v>9</v>
      </c>
      <c r="F254" s="2">
        <v>31</v>
      </c>
      <c r="G254" s="2" t="str" cm="1">
        <f t="array" ref="G254">_xlfn.IFS(F254&lt;=8,"Child",F254&lt;=17,"Teen",F254&lt;=35,"Adult",F254&lt;=55,"Seniour Adult",F254&gt;=55,"Old Age")</f>
        <v>Adult</v>
      </c>
      <c r="H254" t="s">
        <v>18</v>
      </c>
      <c r="I254" t="s">
        <v>11</v>
      </c>
      <c r="J254" t="str" cm="1">
        <f t="array" ref="J254">_xlfn.IFS(I254="S","Southamptom",I254="Q","Quentown",I254="C","Cherbrug",I254="B","Cabin")</f>
        <v>Southamptom</v>
      </c>
      <c r="K254" t="s">
        <v>15</v>
      </c>
      <c r="L254" s="2">
        <v>26.05</v>
      </c>
      <c r="M254" s="2" t="str" cm="1">
        <f t="array" ref="M254">_xlfn.IFS(L254&lt;=15,"Low Fare",L254&lt;=35,"Medium Fare",L254&lt;=100,"High Fare",L254&gt;=100,"Very High Fare")</f>
        <v>Medium Fare</v>
      </c>
      <c r="N254" s="2">
        <v>1</v>
      </c>
      <c r="O254" s="2">
        <v>1</v>
      </c>
      <c r="P254">
        <f t="shared" si="13"/>
        <v>3</v>
      </c>
      <c r="Q254" t="str">
        <f t="shared" si="14"/>
        <v>With Family</v>
      </c>
      <c r="R254" t="str">
        <f t="shared" si="15"/>
        <v>No</v>
      </c>
      <c r="S254" t="s">
        <v>13</v>
      </c>
    </row>
    <row r="255" spans="1:19" x14ac:dyDescent="0.3">
      <c r="A255" s="1" t="s">
        <v>240</v>
      </c>
      <c r="B255" t="s">
        <v>1600</v>
      </c>
      <c r="C255" t="s">
        <v>1852</v>
      </c>
      <c r="D255" t="str">
        <f t="shared" si="12"/>
        <v>Female</v>
      </c>
      <c r="E255" t="s">
        <v>14</v>
      </c>
      <c r="F255" s="2">
        <v>30</v>
      </c>
      <c r="G255" s="2" t="str" cm="1">
        <f t="array" ref="G255">_xlfn.IFS(F255&lt;=8,"Child",F255&lt;=17,"Teen",F255&lt;=35,"Adult",F255&lt;=55,"Seniour Adult",F255&gt;=55,"Old Age")</f>
        <v>Adult</v>
      </c>
      <c r="H255" t="s">
        <v>18</v>
      </c>
      <c r="I255" t="s">
        <v>11</v>
      </c>
      <c r="J255" t="str" cm="1">
        <f t="array" ref="J255">_xlfn.IFS(I255="S","Southamptom",I255="Q","Quentown",I255="C","Cherbrug",I255="B","Cabin")</f>
        <v>Southamptom</v>
      </c>
      <c r="K255" t="s">
        <v>15</v>
      </c>
      <c r="L255" s="2">
        <v>26.05</v>
      </c>
      <c r="M255" s="2" t="str" cm="1">
        <f t="array" ref="M255">_xlfn.IFS(L255&lt;=15,"Low Fare",L255&lt;=35,"Medium Fare",L255&lt;=100,"High Fare",L255&gt;=100,"Very High Fare")</f>
        <v>Medium Fare</v>
      </c>
      <c r="N255" s="2">
        <v>1</v>
      </c>
      <c r="O255" s="2">
        <v>1</v>
      </c>
      <c r="P255">
        <f t="shared" si="13"/>
        <v>3</v>
      </c>
      <c r="Q255" t="str">
        <f t="shared" si="14"/>
        <v>With Family</v>
      </c>
      <c r="R255" t="str">
        <f t="shared" si="15"/>
        <v>Yes</v>
      </c>
      <c r="S255" t="s">
        <v>16</v>
      </c>
    </row>
    <row r="256" spans="1:19" x14ac:dyDescent="0.3">
      <c r="A256" s="1" t="s">
        <v>241</v>
      </c>
      <c r="B256" t="s">
        <v>1596</v>
      </c>
      <c r="C256" t="s">
        <v>1853</v>
      </c>
      <c r="D256" t="str">
        <f t="shared" si="12"/>
        <v>Male</v>
      </c>
      <c r="E256" t="s">
        <v>9</v>
      </c>
      <c r="F256" s="2">
        <v>36</v>
      </c>
      <c r="G256" s="2" t="str" cm="1">
        <f t="array" ref="G256">_xlfn.IFS(F256&lt;=8,"Child",F256&lt;=17,"Teen",F256&lt;=35,"Adult",F256&lt;=55,"Seniour Adult",F256&gt;=55,"Old Age")</f>
        <v>Seniour Adult</v>
      </c>
      <c r="H256" t="s">
        <v>10</v>
      </c>
      <c r="I256" t="s">
        <v>11</v>
      </c>
      <c r="J256" t="str" cm="1">
        <f t="array" ref="J256">_xlfn.IFS(I256="S","Southamptom",I256="Q","Quentown",I256="C","Cherbrug",I256="B","Cabin")</f>
        <v>Southamptom</v>
      </c>
      <c r="K256" t="s">
        <v>31</v>
      </c>
      <c r="L256" s="2">
        <v>7.1711</v>
      </c>
      <c r="M256" s="2" t="str" cm="1">
        <f t="array" ref="M256">_xlfn.IFS(L256&lt;=15,"Low Fare",L256&lt;=35,"Medium Fare",L256&lt;=100,"High Fare",L256&gt;=100,"Very High Fare")</f>
        <v>Low Fare</v>
      </c>
      <c r="N256" s="2">
        <v>0</v>
      </c>
      <c r="O256" s="2">
        <v>0</v>
      </c>
      <c r="P256">
        <f t="shared" si="13"/>
        <v>1</v>
      </c>
      <c r="Q256" t="str">
        <f t="shared" si="14"/>
        <v>Alone</v>
      </c>
      <c r="R256" t="str">
        <f t="shared" si="15"/>
        <v>No</v>
      </c>
      <c r="S256" t="s">
        <v>13</v>
      </c>
    </row>
    <row r="257" spans="1:19" x14ac:dyDescent="0.3">
      <c r="A257" s="1" t="s">
        <v>242</v>
      </c>
      <c r="B257" t="s">
        <v>1602</v>
      </c>
      <c r="C257" t="s">
        <v>1854</v>
      </c>
      <c r="D257" t="str">
        <f t="shared" si="12"/>
        <v>Female</v>
      </c>
      <c r="E257" t="s">
        <v>14</v>
      </c>
      <c r="F257" s="2">
        <v>39</v>
      </c>
      <c r="G257" s="2" t="str" cm="1">
        <f t="array" ref="G257">_xlfn.IFS(F257&lt;=8,"Child",F257&lt;=17,"Teen",F257&lt;=35,"Adult",F257&lt;=55,"Seniour Adult",F257&gt;=55,"Old Age")</f>
        <v>Seniour Adult</v>
      </c>
      <c r="H257" t="s">
        <v>25</v>
      </c>
      <c r="I257" t="s">
        <v>19</v>
      </c>
      <c r="J257" t="str" cm="1">
        <f t="array" ref="J257">_xlfn.IFS(I257="S","Southamptom",I257="Q","Quentown",I257="C","Cherbrug",I257="B","Cabin")</f>
        <v>Cherbrug</v>
      </c>
      <c r="K257" t="s">
        <v>12</v>
      </c>
      <c r="L257" s="2">
        <v>83.030199999999994</v>
      </c>
      <c r="M257" s="2" t="str" cm="1">
        <f t="array" ref="M257">_xlfn.IFS(L257&lt;=15,"Low Fare",L257&lt;=35,"Medium Fare",L257&lt;=100,"High Fare",L257&gt;=100,"Very High Fare")</f>
        <v>High Fare</v>
      </c>
      <c r="N257" s="2">
        <v>1</v>
      </c>
      <c r="O257" s="2">
        <v>1</v>
      </c>
      <c r="P257">
        <f t="shared" si="13"/>
        <v>3</v>
      </c>
      <c r="Q257" t="str">
        <f t="shared" si="14"/>
        <v>With Family</v>
      </c>
      <c r="R257" t="str">
        <f t="shared" si="15"/>
        <v>Yes</v>
      </c>
      <c r="S257" t="s">
        <v>16</v>
      </c>
    </row>
    <row r="258" spans="1:19" x14ac:dyDescent="0.3">
      <c r="A258" s="1" t="s">
        <v>242</v>
      </c>
      <c r="B258" t="s">
        <v>1596</v>
      </c>
      <c r="C258" t="s">
        <v>1855</v>
      </c>
      <c r="D258" t="str">
        <f t="shared" si="12"/>
        <v>Male</v>
      </c>
      <c r="E258" t="s">
        <v>9</v>
      </c>
      <c r="F258" s="2">
        <v>37</v>
      </c>
      <c r="G258" s="2" t="str" cm="1">
        <f t="array" ref="G258">_xlfn.IFS(F258&lt;=8,"Child",F258&lt;=17,"Teen",F258&lt;=35,"Adult",F258&lt;=55,"Seniour Adult",F258&gt;=55,"Old Age")</f>
        <v>Seniour Adult</v>
      </c>
      <c r="H258" t="s">
        <v>25</v>
      </c>
      <c r="I258" t="s">
        <v>19</v>
      </c>
      <c r="J258" t="str" cm="1">
        <f t="array" ref="J258">_xlfn.IFS(I258="S","Southamptom",I258="Q","Quentown",I258="C","Cherbrug",I258="B","Cabin")</f>
        <v>Cherbrug</v>
      </c>
      <c r="K258" t="s">
        <v>12</v>
      </c>
      <c r="L258" s="2">
        <v>83.030199999999994</v>
      </c>
      <c r="M258" s="2" t="str" cm="1">
        <f t="array" ref="M258">_xlfn.IFS(L258&lt;=15,"Low Fare",L258&lt;=35,"Medium Fare",L258&lt;=100,"High Fare",L258&gt;=100,"Very High Fare")</f>
        <v>High Fare</v>
      </c>
      <c r="N258" s="2">
        <v>1</v>
      </c>
      <c r="O258" s="2">
        <v>1</v>
      </c>
      <c r="P258">
        <f t="shared" si="13"/>
        <v>3</v>
      </c>
      <c r="Q258" t="str">
        <f t="shared" si="14"/>
        <v>With Family</v>
      </c>
      <c r="R258" t="str">
        <f t="shared" si="15"/>
        <v>No</v>
      </c>
      <c r="S258" t="s">
        <v>13</v>
      </c>
    </row>
    <row r="259" spans="1:19" x14ac:dyDescent="0.3">
      <c r="A259" s="1" t="s">
        <v>242</v>
      </c>
      <c r="B259" t="s">
        <v>1600</v>
      </c>
      <c r="C259" t="s">
        <v>1856</v>
      </c>
      <c r="D259" t="str">
        <f t="shared" ref="D259:D322" si="16">PROPER(E259)</f>
        <v>Female</v>
      </c>
      <c r="E259" t="s">
        <v>14</v>
      </c>
      <c r="F259" s="2">
        <v>64</v>
      </c>
      <c r="G259" s="2" t="str" cm="1">
        <f t="array" ref="G259">_xlfn.IFS(F259&lt;=8,"Child",F259&lt;=17,"Teen",F259&lt;=35,"Adult",F259&lt;=55,"Seniour Adult",F259&gt;=55,"Old Age")</f>
        <v>Old Age</v>
      </c>
      <c r="H259" t="s">
        <v>25</v>
      </c>
      <c r="I259" t="s">
        <v>19</v>
      </c>
      <c r="J259" t="str" cm="1">
        <f t="array" ref="J259">_xlfn.IFS(I259="S","Southamptom",I259="Q","Quentown",I259="C","Cherbrug",I259="B","Cabin")</f>
        <v>Cherbrug</v>
      </c>
      <c r="K259" t="s">
        <v>12</v>
      </c>
      <c r="L259" s="2">
        <v>83.030199999999994</v>
      </c>
      <c r="M259" s="2" t="str" cm="1">
        <f t="array" ref="M259">_xlfn.IFS(L259&lt;=15,"Low Fare",L259&lt;=35,"Medium Fare",L259&lt;=100,"High Fare",L259&gt;=100,"Very High Fare")</f>
        <v>High Fare</v>
      </c>
      <c r="N259" s="2">
        <v>0</v>
      </c>
      <c r="O259" s="2">
        <v>2</v>
      </c>
      <c r="P259">
        <f t="shared" ref="P259:P322" si="17">N259+O259+1</f>
        <v>3</v>
      </c>
      <c r="Q259" t="str">
        <f t="shared" ref="Q259:Q322" si="18">IF(P259=1,"Alone","With Family")</f>
        <v>With Family</v>
      </c>
      <c r="R259" t="str">
        <f t="shared" ref="R259:R322" si="19">PROPER(S259)</f>
        <v>Yes</v>
      </c>
      <c r="S259" t="s">
        <v>16</v>
      </c>
    </row>
    <row r="260" spans="1:19" x14ac:dyDescent="0.3">
      <c r="A260" s="1" t="s">
        <v>243</v>
      </c>
      <c r="B260" t="s">
        <v>1596</v>
      </c>
      <c r="C260" t="s">
        <v>1857</v>
      </c>
      <c r="D260" t="str">
        <f t="shared" si="16"/>
        <v>Male</v>
      </c>
      <c r="E260" t="s">
        <v>9</v>
      </c>
      <c r="F260" s="2">
        <v>31</v>
      </c>
      <c r="G260" s="2" t="str" cm="1">
        <f t="array" ref="G260">_xlfn.IFS(F260&lt;=8,"Child",F260&lt;=17,"Teen",F260&lt;=35,"Adult",F260&lt;=55,"Seniour Adult",F260&gt;=55,"Old Age")</f>
        <v>Adult</v>
      </c>
      <c r="H260" t="s">
        <v>10</v>
      </c>
      <c r="I260" t="s">
        <v>36</v>
      </c>
      <c r="J260" t="str" cm="1">
        <f t="array" ref="J260">_xlfn.IFS(I260="S","Southamptom",I260="Q","Quentown",I260="C","Cherbrug",I260="B","Cabin")</f>
        <v>Quentown</v>
      </c>
      <c r="K260" t="s">
        <v>12</v>
      </c>
      <c r="L260" s="2">
        <v>7.1407999999999996</v>
      </c>
      <c r="M260" s="2" t="str" cm="1">
        <f t="array" ref="M260">_xlfn.IFS(L260&lt;=15,"Low Fare",L260&lt;=35,"Medium Fare",L260&lt;=100,"High Fare",L260&gt;=100,"Very High Fare")</f>
        <v>Low Fare</v>
      </c>
      <c r="N260" s="2">
        <v>0</v>
      </c>
      <c r="O260" s="2">
        <v>0</v>
      </c>
      <c r="P260">
        <f t="shared" si="17"/>
        <v>1</v>
      </c>
      <c r="Q260" t="str">
        <f t="shared" si="18"/>
        <v>Alone</v>
      </c>
      <c r="R260" t="str">
        <f t="shared" si="19"/>
        <v>No</v>
      </c>
      <c r="S260" t="s">
        <v>13</v>
      </c>
    </row>
    <row r="261" spans="1:19" x14ac:dyDescent="0.3">
      <c r="A261" s="1" t="s">
        <v>244</v>
      </c>
      <c r="B261" t="s">
        <v>1596</v>
      </c>
      <c r="C261" t="s">
        <v>1858</v>
      </c>
      <c r="D261" t="str">
        <f t="shared" si="16"/>
        <v>Male</v>
      </c>
      <c r="E261" t="s">
        <v>9</v>
      </c>
      <c r="F261" s="2">
        <v>40</v>
      </c>
      <c r="G261" s="2" t="str" cm="1">
        <f t="array" ref="G261">_xlfn.IFS(F261&lt;=8,"Child",F261&lt;=17,"Teen",F261&lt;=35,"Adult",F261&lt;=55,"Seniour Adult",F261&gt;=55,"Old Age")</f>
        <v>Seniour Adult</v>
      </c>
      <c r="H261" t="s">
        <v>10</v>
      </c>
      <c r="I261" t="s">
        <v>36</v>
      </c>
      <c r="J261" t="str" cm="1">
        <f t="array" ref="J261">_xlfn.IFS(I261="S","Southamptom",I261="Q","Quentown",I261="C","Cherbrug",I261="B","Cabin")</f>
        <v>Quentown</v>
      </c>
      <c r="K261" t="s">
        <v>37</v>
      </c>
      <c r="L261" s="2">
        <v>7.15</v>
      </c>
      <c r="M261" s="2" t="str" cm="1">
        <f t="array" ref="M261">_xlfn.IFS(L261&lt;=15,"Low Fare",L261&lt;=35,"Medium Fare",L261&lt;=100,"High Fare",L261&gt;=100,"Very High Fare")</f>
        <v>Low Fare</v>
      </c>
      <c r="N261" s="2">
        <v>0</v>
      </c>
      <c r="O261" s="2">
        <v>0</v>
      </c>
      <c r="P261">
        <f t="shared" si="17"/>
        <v>1</v>
      </c>
      <c r="Q261" t="str">
        <f t="shared" si="18"/>
        <v>Alone</v>
      </c>
      <c r="R261" t="str">
        <f t="shared" si="19"/>
        <v>No</v>
      </c>
      <c r="S261" t="s">
        <v>13</v>
      </c>
    </row>
    <row r="262" spans="1:19" x14ac:dyDescent="0.3">
      <c r="A262" s="1" t="s">
        <v>245</v>
      </c>
      <c r="B262" t="s">
        <v>1602</v>
      </c>
      <c r="C262" t="s">
        <v>1735</v>
      </c>
      <c r="D262" t="str">
        <f t="shared" si="16"/>
        <v>Female</v>
      </c>
      <c r="E262" t="s">
        <v>14</v>
      </c>
      <c r="F262" s="2">
        <v>23</v>
      </c>
      <c r="G262" s="2" t="str" cm="1">
        <f t="array" ref="G262">_xlfn.IFS(F262&lt;=8,"Child",F262&lt;=17,"Teen",F262&lt;=35,"Adult",F262&lt;=55,"Seniour Adult",F262&gt;=55,"Old Age")</f>
        <v>Adult</v>
      </c>
      <c r="H262" t="s">
        <v>10</v>
      </c>
      <c r="I262" t="s">
        <v>36</v>
      </c>
      <c r="J262" t="str" cm="1">
        <f t="array" ref="J262">_xlfn.IFS(I262="S","Southamptom",I262="Q","Quentown",I262="C","Cherbrug",I262="B","Cabin")</f>
        <v>Quentown</v>
      </c>
      <c r="K262" t="s">
        <v>37</v>
      </c>
      <c r="L262" s="2">
        <v>7.15</v>
      </c>
      <c r="M262" s="2" t="str" cm="1">
        <f t="array" ref="M262">_xlfn.IFS(L262&lt;=15,"Low Fare",L262&lt;=35,"Medium Fare",L262&lt;=100,"High Fare",L262&gt;=100,"Very High Fare")</f>
        <v>Low Fare</v>
      </c>
      <c r="N262" s="2">
        <v>0</v>
      </c>
      <c r="O262" s="2">
        <v>0</v>
      </c>
      <c r="P262">
        <f t="shared" si="17"/>
        <v>1</v>
      </c>
      <c r="Q262" t="str">
        <f t="shared" si="18"/>
        <v>Alone</v>
      </c>
      <c r="R262" t="str">
        <f t="shared" si="19"/>
        <v>Yes</v>
      </c>
      <c r="S262" t="s">
        <v>16</v>
      </c>
    </row>
    <row r="263" spans="1:19" x14ac:dyDescent="0.3">
      <c r="A263" s="1" t="s">
        <v>245</v>
      </c>
      <c r="B263" t="s">
        <v>1602</v>
      </c>
      <c r="C263" t="s">
        <v>1772</v>
      </c>
      <c r="D263" t="str">
        <f t="shared" si="16"/>
        <v>Female</v>
      </c>
      <c r="E263" t="s">
        <v>14</v>
      </c>
      <c r="F263" s="2">
        <v>41</v>
      </c>
      <c r="G263" s="2" t="str" cm="1">
        <f t="array" ref="G263">_xlfn.IFS(F263&lt;=8,"Child",F263&lt;=17,"Teen",F263&lt;=35,"Adult",F263&lt;=55,"Seniour Adult",F263&gt;=55,"Old Age")</f>
        <v>Seniour Adult</v>
      </c>
      <c r="H263" t="s">
        <v>10</v>
      </c>
      <c r="I263" t="s">
        <v>36</v>
      </c>
      <c r="J263" t="str" cm="1">
        <f t="array" ref="J263">_xlfn.IFS(I263="S","Southamptom",I263="Q","Quentown",I263="C","Cherbrug",I263="B","Cabin")</f>
        <v>Quentown</v>
      </c>
      <c r="K263" t="s">
        <v>37</v>
      </c>
      <c r="L263" s="2">
        <v>7.1207000000000003</v>
      </c>
      <c r="M263" s="2" t="str" cm="1">
        <f t="array" ref="M263">_xlfn.IFS(L263&lt;=15,"Low Fare",L263&lt;=35,"Medium Fare",L263&lt;=100,"High Fare",L263&gt;=100,"Very High Fare")</f>
        <v>Low Fare</v>
      </c>
      <c r="N263" s="2">
        <v>0</v>
      </c>
      <c r="O263" s="2">
        <v>0</v>
      </c>
      <c r="P263">
        <f t="shared" si="17"/>
        <v>1</v>
      </c>
      <c r="Q263" t="str">
        <f t="shared" si="18"/>
        <v>Alone</v>
      </c>
      <c r="R263" t="str">
        <f t="shared" si="19"/>
        <v>No</v>
      </c>
      <c r="S263" t="s">
        <v>13</v>
      </c>
    </row>
    <row r="264" spans="1:19" x14ac:dyDescent="0.3">
      <c r="A264" s="1" t="s">
        <v>246</v>
      </c>
      <c r="B264" t="s">
        <v>1596</v>
      </c>
      <c r="C264" t="s">
        <v>1792</v>
      </c>
      <c r="D264" t="str">
        <f t="shared" si="16"/>
        <v>Male</v>
      </c>
      <c r="E264" t="s">
        <v>9</v>
      </c>
      <c r="F264" s="2">
        <v>66</v>
      </c>
      <c r="G264" s="2" t="str" cm="1">
        <f t="array" ref="G264">_xlfn.IFS(F264&lt;=8,"Child",F264&lt;=17,"Teen",F264&lt;=35,"Adult",F264&lt;=55,"Seniour Adult",F264&gt;=55,"Old Age")</f>
        <v>Old Age</v>
      </c>
      <c r="H264" t="s">
        <v>10</v>
      </c>
      <c r="I264" t="s">
        <v>36</v>
      </c>
      <c r="J264" t="str" cm="1">
        <f t="array" ref="J264">_xlfn.IFS(I264="S","Southamptom",I264="Q","Quentown",I264="C","Cherbrug",I264="B","Cabin")</f>
        <v>Quentown</v>
      </c>
      <c r="K264" t="s">
        <v>37</v>
      </c>
      <c r="L264" s="2">
        <v>7.15</v>
      </c>
      <c r="M264" s="2" t="str" cm="1">
        <f t="array" ref="M264">_xlfn.IFS(L264&lt;=15,"Low Fare",L264&lt;=35,"Medium Fare",L264&lt;=100,"High Fare",L264&gt;=100,"Very High Fare")</f>
        <v>Low Fare</v>
      </c>
      <c r="N264" s="2">
        <v>0</v>
      </c>
      <c r="O264" s="2">
        <v>0</v>
      </c>
      <c r="P264">
        <f t="shared" si="17"/>
        <v>1</v>
      </c>
      <c r="Q264" t="str">
        <f t="shared" si="18"/>
        <v>Alone</v>
      </c>
      <c r="R264" t="str">
        <f t="shared" si="19"/>
        <v>No</v>
      </c>
      <c r="S264" t="s">
        <v>13</v>
      </c>
    </row>
    <row r="265" spans="1:19" x14ac:dyDescent="0.3">
      <c r="A265" s="1" t="s">
        <v>247</v>
      </c>
      <c r="B265" t="s">
        <v>1596</v>
      </c>
      <c r="C265" t="s">
        <v>1859</v>
      </c>
      <c r="D265" t="str">
        <f t="shared" si="16"/>
        <v>Male</v>
      </c>
      <c r="E265" t="s">
        <v>9</v>
      </c>
      <c r="F265" s="2">
        <v>43</v>
      </c>
      <c r="G265" s="2" t="str" cm="1">
        <f t="array" ref="G265">_xlfn.IFS(F265&lt;=8,"Child",F265&lt;=17,"Teen",F265&lt;=35,"Adult",F265&lt;=55,"Seniour Adult",F265&gt;=55,"Old Age")</f>
        <v>Seniour Adult</v>
      </c>
      <c r="H265" t="s">
        <v>10</v>
      </c>
      <c r="I265" t="s">
        <v>11</v>
      </c>
      <c r="J265" t="str" cm="1">
        <f t="array" ref="J265">_xlfn.IFS(I265="S","Southamptom",I265="Q","Quentown",I265="C","Cherbrug",I265="B","Cabin")</f>
        <v>Southamptom</v>
      </c>
      <c r="K265" t="s">
        <v>15</v>
      </c>
      <c r="L265" s="2">
        <v>8.01</v>
      </c>
      <c r="M265" s="2" t="str" cm="1">
        <f t="array" ref="M265">_xlfn.IFS(L265&lt;=15,"Low Fare",L265&lt;=35,"Medium Fare",L265&lt;=100,"High Fare",L265&gt;=100,"Very High Fare")</f>
        <v>Low Fare</v>
      </c>
      <c r="N265" s="2">
        <v>0</v>
      </c>
      <c r="O265" s="2">
        <v>0</v>
      </c>
      <c r="P265">
        <f t="shared" si="17"/>
        <v>1</v>
      </c>
      <c r="Q265" t="str">
        <f t="shared" si="18"/>
        <v>Alone</v>
      </c>
      <c r="R265" t="str">
        <f t="shared" si="19"/>
        <v>No</v>
      </c>
      <c r="S265" t="s">
        <v>13</v>
      </c>
    </row>
    <row r="266" spans="1:19" x14ac:dyDescent="0.3">
      <c r="A266" s="1" t="s">
        <v>247</v>
      </c>
      <c r="B266" t="s">
        <v>1600</v>
      </c>
      <c r="C266" t="s">
        <v>1860</v>
      </c>
      <c r="D266" t="str">
        <f t="shared" si="16"/>
        <v>Female</v>
      </c>
      <c r="E266" t="s">
        <v>14</v>
      </c>
      <c r="F266" s="2">
        <v>22</v>
      </c>
      <c r="G266" s="2" t="str" cm="1">
        <f t="array" ref="G266">_xlfn.IFS(F266&lt;=8,"Child",F266&lt;=17,"Teen",F266&lt;=35,"Adult",F266&lt;=55,"Seniour Adult",F266&gt;=55,"Old Age")</f>
        <v>Adult</v>
      </c>
      <c r="H266" t="s">
        <v>18</v>
      </c>
      <c r="I266" t="s">
        <v>11</v>
      </c>
      <c r="J266" t="str" cm="1">
        <f t="array" ref="J266">_xlfn.IFS(I266="S","Southamptom",I266="Q","Quentown",I266="C","Cherbrug",I266="B","Cabin")</f>
        <v>Southamptom</v>
      </c>
      <c r="K266" t="s">
        <v>15</v>
      </c>
      <c r="L266" s="2">
        <v>10.1</v>
      </c>
      <c r="M266" s="2" t="str" cm="1">
        <f t="array" ref="M266">_xlfn.IFS(L266&lt;=15,"Low Fare",L266&lt;=35,"Medium Fare",L266&lt;=100,"High Fare",L266&gt;=100,"Very High Fare")</f>
        <v>Low Fare</v>
      </c>
      <c r="N266" s="2">
        <v>0</v>
      </c>
      <c r="O266" s="2">
        <v>0</v>
      </c>
      <c r="P266">
        <f t="shared" si="17"/>
        <v>1</v>
      </c>
      <c r="Q266" t="str">
        <f t="shared" si="18"/>
        <v>Alone</v>
      </c>
      <c r="R266" t="str">
        <f t="shared" si="19"/>
        <v>Yes</v>
      </c>
      <c r="S266" t="s">
        <v>16</v>
      </c>
    </row>
    <row r="267" spans="1:19" x14ac:dyDescent="0.3">
      <c r="A267" s="1" t="s">
        <v>248</v>
      </c>
      <c r="B267" t="s">
        <v>1600</v>
      </c>
      <c r="C267" t="s">
        <v>1861</v>
      </c>
      <c r="D267" t="str">
        <f t="shared" si="16"/>
        <v>Female</v>
      </c>
      <c r="E267" t="s">
        <v>14</v>
      </c>
      <c r="F267" s="2">
        <v>30</v>
      </c>
      <c r="G267" s="2" t="str" cm="1">
        <f t="array" ref="G267">_xlfn.IFS(F267&lt;=8,"Child",F267&lt;=17,"Teen",F267&lt;=35,"Adult",F267&lt;=55,"Seniour Adult",F267&gt;=55,"Old Age")</f>
        <v>Adult</v>
      </c>
      <c r="H267" t="s">
        <v>18</v>
      </c>
      <c r="I267" t="s">
        <v>11</v>
      </c>
      <c r="J267" t="str" cm="1">
        <f t="array" ref="J267">_xlfn.IFS(I267="S","Southamptom",I267="Q","Quentown",I267="C","Cherbrug",I267="B","Cabin")</f>
        <v>Southamptom</v>
      </c>
      <c r="K267" t="s">
        <v>12</v>
      </c>
      <c r="L267" s="2">
        <v>13</v>
      </c>
      <c r="M267" s="2" t="str" cm="1">
        <f t="array" ref="M267">_xlfn.IFS(L267&lt;=15,"Low Fare",L267&lt;=35,"Medium Fare",L267&lt;=100,"High Fare",L267&gt;=100,"Very High Fare")</f>
        <v>Low Fare</v>
      </c>
      <c r="N267" s="2">
        <v>0</v>
      </c>
      <c r="O267" s="2">
        <v>0</v>
      </c>
      <c r="P267">
        <f t="shared" si="17"/>
        <v>1</v>
      </c>
      <c r="Q267" t="str">
        <f t="shared" si="18"/>
        <v>Alone</v>
      </c>
      <c r="R267" t="str">
        <f t="shared" si="19"/>
        <v>No</v>
      </c>
      <c r="S267" t="s">
        <v>13</v>
      </c>
    </row>
    <row r="268" spans="1:19" x14ac:dyDescent="0.3">
      <c r="A268" s="1" t="s">
        <v>249</v>
      </c>
      <c r="B268" t="s">
        <v>1600</v>
      </c>
      <c r="C268" t="s">
        <v>1862</v>
      </c>
      <c r="D268" t="str">
        <f t="shared" si="16"/>
        <v>Female</v>
      </c>
      <c r="E268" t="s">
        <v>14</v>
      </c>
      <c r="F268" s="2">
        <v>32</v>
      </c>
      <c r="G268" s="2" t="str" cm="1">
        <f t="array" ref="G268">_xlfn.IFS(F268&lt;=8,"Child",F268&lt;=17,"Teen",F268&lt;=35,"Adult",F268&lt;=55,"Seniour Adult",F268&gt;=55,"Old Age")</f>
        <v>Adult</v>
      </c>
      <c r="H268" t="s">
        <v>18</v>
      </c>
      <c r="I268" t="s">
        <v>11</v>
      </c>
      <c r="J268" t="str" cm="1">
        <f t="array" ref="J268">_xlfn.IFS(I268="S","Southamptom",I268="Q","Quentown",I268="C","Cherbrug",I268="B","Cabin")</f>
        <v>Southamptom</v>
      </c>
      <c r="K268" t="s">
        <v>15</v>
      </c>
      <c r="L268" s="2">
        <v>21</v>
      </c>
      <c r="M268" s="2" t="str" cm="1">
        <f t="array" ref="M268">_xlfn.IFS(L268&lt;=15,"Low Fare",L268&lt;=35,"Medium Fare",L268&lt;=100,"High Fare",L268&gt;=100,"Very High Fare")</f>
        <v>Medium Fare</v>
      </c>
      <c r="N268" s="2">
        <v>0</v>
      </c>
      <c r="O268" s="2">
        <v>0</v>
      </c>
      <c r="P268">
        <f t="shared" si="17"/>
        <v>1</v>
      </c>
      <c r="Q268" t="str">
        <f t="shared" si="18"/>
        <v>Alone</v>
      </c>
      <c r="R268" t="str">
        <f t="shared" si="19"/>
        <v>No</v>
      </c>
      <c r="S268" t="s">
        <v>13</v>
      </c>
    </row>
    <row r="269" spans="1:19" x14ac:dyDescent="0.3">
      <c r="A269" s="1" t="s">
        <v>250</v>
      </c>
      <c r="B269" t="s">
        <v>1596</v>
      </c>
      <c r="C269" t="s">
        <v>1863</v>
      </c>
      <c r="D269" t="str">
        <f t="shared" si="16"/>
        <v>Male</v>
      </c>
      <c r="E269" t="s">
        <v>9</v>
      </c>
      <c r="F269" s="2">
        <v>35</v>
      </c>
      <c r="G269" s="2" t="str" cm="1">
        <f t="array" ref="G269">_xlfn.IFS(F269&lt;=8,"Child",F269&lt;=17,"Teen",F269&lt;=35,"Adult",F269&lt;=55,"Seniour Adult",F269&gt;=55,"Old Age")</f>
        <v>Adult</v>
      </c>
      <c r="H269" t="s">
        <v>10</v>
      </c>
      <c r="I269" t="s">
        <v>11</v>
      </c>
      <c r="J269" t="str" cm="1">
        <f t="array" ref="J269">_xlfn.IFS(I269="S","Southamptom",I269="Q","Quentown",I269="C","Cherbrug",I269="B","Cabin")</f>
        <v>Southamptom</v>
      </c>
      <c r="K269" t="s">
        <v>42</v>
      </c>
      <c r="L269" s="2">
        <v>7.1711</v>
      </c>
      <c r="M269" s="2" t="str" cm="1">
        <f t="array" ref="M269">_xlfn.IFS(L269&lt;=15,"Low Fare",L269&lt;=35,"Medium Fare",L269&lt;=100,"High Fare",L269&gt;=100,"Very High Fare")</f>
        <v>Low Fare</v>
      </c>
      <c r="N269" s="2">
        <v>0</v>
      </c>
      <c r="O269" s="2">
        <v>0</v>
      </c>
      <c r="P269">
        <f t="shared" si="17"/>
        <v>1</v>
      </c>
      <c r="Q269" t="str">
        <f t="shared" si="18"/>
        <v>Alone</v>
      </c>
      <c r="R269" t="str">
        <f t="shared" si="19"/>
        <v>No</v>
      </c>
      <c r="S269" t="s">
        <v>13</v>
      </c>
    </row>
    <row r="270" spans="1:19" x14ac:dyDescent="0.3">
      <c r="A270" s="1" t="s">
        <v>250</v>
      </c>
      <c r="B270" t="s">
        <v>1596</v>
      </c>
      <c r="C270" t="s">
        <v>1864</v>
      </c>
      <c r="D270" t="str">
        <f t="shared" si="16"/>
        <v>Male</v>
      </c>
      <c r="E270" t="s">
        <v>9</v>
      </c>
      <c r="F270" s="2">
        <v>27</v>
      </c>
      <c r="G270" s="2" t="str" cm="1">
        <f t="array" ref="G270">_xlfn.IFS(F270&lt;=8,"Child",F270&lt;=17,"Teen",F270&lt;=35,"Adult",F270&lt;=55,"Seniour Adult",F270&gt;=55,"Old Age")</f>
        <v>Adult</v>
      </c>
      <c r="H270" t="s">
        <v>10</v>
      </c>
      <c r="I270" t="s">
        <v>11</v>
      </c>
      <c r="J270" t="str" cm="1">
        <f t="array" ref="J270">_xlfn.IFS(I270="S","Southamptom",I270="Q","Quentown",I270="C","Cherbrug",I270="B","Cabin")</f>
        <v>Southamptom</v>
      </c>
      <c r="K270" t="s">
        <v>35</v>
      </c>
      <c r="L270" s="2">
        <v>7.1711</v>
      </c>
      <c r="M270" s="2" t="str" cm="1">
        <f t="array" ref="M270">_xlfn.IFS(L270&lt;=15,"Low Fare",L270&lt;=35,"Medium Fare",L270&lt;=100,"High Fare",L270&gt;=100,"Very High Fare")</f>
        <v>Low Fare</v>
      </c>
      <c r="N270" s="2">
        <v>0</v>
      </c>
      <c r="O270" s="2">
        <v>0</v>
      </c>
      <c r="P270">
        <f t="shared" si="17"/>
        <v>1</v>
      </c>
      <c r="Q270" t="str">
        <f t="shared" si="18"/>
        <v>Alone</v>
      </c>
      <c r="R270" t="str">
        <f t="shared" si="19"/>
        <v>No</v>
      </c>
      <c r="S270" t="s">
        <v>13</v>
      </c>
    </row>
    <row r="271" spans="1:19" x14ac:dyDescent="0.3">
      <c r="A271" s="1" t="s">
        <v>250</v>
      </c>
      <c r="B271" t="s">
        <v>1596</v>
      </c>
      <c r="C271" t="s">
        <v>1865</v>
      </c>
      <c r="D271" t="str">
        <f t="shared" si="16"/>
        <v>Male</v>
      </c>
      <c r="E271" t="s">
        <v>9</v>
      </c>
      <c r="F271" s="2">
        <v>19</v>
      </c>
      <c r="G271" s="2" t="str" cm="1">
        <f t="array" ref="G271">_xlfn.IFS(F271&lt;=8,"Child",F271&lt;=17,"Teen",F271&lt;=35,"Adult",F271&lt;=55,"Seniour Adult",F271&gt;=55,"Old Age")</f>
        <v>Adult</v>
      </c>
      <c r="H271" t="s">
        <v>10</v>
      </c>
      <c r="I271" t="s">
        <v>11</v>
      </c>
      <c r="J271" t="str" cm="1">
        <f t="array" ref="J271">_xlfn.IFS(I271="S","Southamptom",I271="Q","Quentown",I271="C","Cherbrug",I271="B","Cabin")</f>
        <v>Southamptom</v>
      </c>
      <c r="K271" t="s">
        <v>35</v>
      </c>
      <c r="L271" s="2">
        <v>7.1711</v>
      </c>
      <c r="M271" s="2" t="str" cm="1">
        <f t="array" ref="M271">_xlfn.IFS(L271&lt;=15,"Low Fare",L271&lt;=35,"Medium Fare",L271&lt;=100,"High Fare",L271&gt;=100,"Very High Fare")</f>
        <v>Low Fare</v>
      </c>
      <c r="N271" s="2">
        <v>0</v>
      </c>
      <c r="O271" s="2">
        <v>0</v>
      </c>
      <c r="P271">
        <f t="shared" si="17"/>
        <v>1</v>
      </c>
      <c r="Q271" t="str">
        <f t="shared" si="18"/>
        <v>Alone</v>
      </c>
      <c r="R271" t="str">
        <f t="shared" si="19"/>
        <v>No</v>
      </c>
      <c r="S271" t="s">
        <v>13</v>
      </c>
    </row>
    <row r="272" spans="1:19" x14ac:dyDescent="0.3">
      <c r="A272" s="1" t="s">
        <v>251</v>
      </c>
      <c r="B272" t="s">
        <v>1596</v>
      </c>
      <c r="C272" t="s">
        <v>1866</v>
      </c>
      <c r="D272" t="str">
        <f t="shared" si="16"/>
        <v>Male</v>
      </c>
      <c r="E272" t="s">
        <v>9</v>
      </c>
      <c r="F272" s="2">
        <v>30</v>
      </c>
      <c r="G272" s="2" t="str" cm="1">
        <f t="array" ref="G272">_xlfn.IFS(F272&lt;=8,"Child",F272&lt;=17,"Teen",F272&lt;=35,"Adult",F272&lt;=55,"Seniour Adult",F272&gt;=55,"Old Age")</f>
        <v>Adult</v>
      </c>
      <c r="H272" t="s">
        <v>10</v>
      </c>
      <c r="I272" t="s">
        <v>11</v>
      </c>
      <c r="J272" t="str" cm="1">
        <f t="array" ref="J272">_xlfn.IFS(I272="S","Southamptom",I272="Q","Quentown",I272="C","Cherbrug",I272="B","Cabin")</f>
        <v>Southamptom</v>
      </c>
      <c r="K272" t="s">
        <v>47</v>
      </c>
      <c r="L272" s="2">
        <v>8.01</v>
      </c>
      <c r="M272" s="2" t="str" cm="1">
        <f t="array" ref="M272">_xlfn.IFS(L272&lt;=15,"Low Fare",L272&lt;=35,"Medium Fare",L272&lt;=100,"High Fare",L272&gt;=100,"Very High Fare")</f>
        <v>Low Fare</v>
      </c>
      <c r="N272" s="2">
        <v>0</v>
      </c>
      <c r="O272" s="2">
        <v>0</v>
      </c>
      <c r="P272">
        <f t="shared" si="17"/>
        <v>1</v>
      </c>
      <c r="Q272" t="str">
        <f t="shared" si="18"/>
        <v>Alone</v>
      </c>
      <c r="R272" t="str">
        <f t="shared" si="19"/>
        <v>No</v>
      </c>
      <c r="S272" t="s">
        <v>13</v>
      </c>
    </row>
    <row r="273" spans="1:19" x14ac:dyDescent="0.3">
      <c r="A273" s="1" t="s">
        <v>252</v>
      </c>
      <c r="B273" t="s">
        <v>1600</v>
      </c>
      <c r="C273" t="s">
        <v>1867</v>
      </c>
      <c r="D273" t="str">
        <f t="shared" si="16"/>
        <v>Female</v>
      </c>
      <c r="E273" t="s">
        <v>14</v>
      </c>
      <c r="F273" s="2">
        <v>55</v>
      </c>
      <c r="G273" s="2" t="str" cm="1">
        <f t="array" ref="G273">_xlfn.IFS(F273&lt;=8,"Child",F273&lt;=17,"Teen",F273&lt;=35,"Adult",F273&lt;=55,"Seniour Adult",F273&gt;=55,"Old Age")</f>
        <v>Seniour Adult</v>
      </c>
      <c r="H273" t="s">
        <v>25</v>
      </c>
      <c r="I273" t="s">
        <v>11</v>
      </c>
      <c r="J273" t="str" cm="1">
        <f t="array" ref="J273">_xlfn.IFS(I273="S","Southamptom",I273="Q","Quentown",I273="C","Cherbrug",I273="B","Cabin")</f>
        <v>Southamptom</v>
      </c>
      <c r="K273" t="s">
        <v>12</v>
      </c>
      <c r="L273" s="2">
        <v>25.140999999999998</v>
      </c>
      <c r="M273" s="2" t="str" cm="1">
        <f t="array" ref="M273">_xlfn.IFS(L273&lt;=15,"Low Fare",L273&lt;=35,"Medium Fare",L273&lt;=100,"High Fare",L273&gt;=100,"Very High Fare")</f>
        <v>Medium Fare</v>
      </c>
      <c r="N273" s="2">
        <v>2</v>
      </c>
      <c r="O273" s="2">
        <v>0</v>
      </c>
      <c r="P273">
        <f t="shared" si="17"/>
        <v>3</v>
      </c>
      <c r="Q273" t="str">
        <f t="shared" si="18"/>
        <v>With Family</v>
      </c>
      <c r="R273" t="str">
        <f t="shared" si="19"/>
        <v>Yes</v>
      </c>
      <c r="S273" t="s">
        <v>16</v>
      </c>
    </row>
    <row r="274" spans="1:19" x14ac:dyDescent="0.3">
      <c r="A274" s="1" t="s">
        <v>253</v>
      </c>
      <c r="B274" t="s">
        <v>1602</v>
      </c>
      <c r="C274" t="s">
        <v>1720</v>
      </c>
      <c r="D274" t="str">
        <f t="shared" si="16"/>
        <v>Female</v>
      </c>
      <c r="E274" t="s">
        <v>14</v>
      </c>
      <c r="F274" s="2">
        <v>16</v>
      </c>
      <c r="G274" s="2" t="str" cm="1">
        <f t="array" ref="G274">_xlfn.IFS(F274&lt;=8,"Child",F274&lt;=17,"Teen",F274&lt;=35,"Adult",F274&lt;=55,"Seniour Adult",F274&gt;=55,"Old Age")</f>
        <v>Teen</v>
      </c>
      <c r="H274" t="s">
        <v>10</v>
      </c>
      <c r="I274" t="s">
        <v>36</v>
      </c>
      <c r="J274" t="str" cm="1">
        <f t="array" ref="J274">_xlfn.IFS(I274="S","Southamptom",I274="Q","Quentown",I274="C","Cherbrug",I274="B","Cabin")</f>
        <v>Quentown</v>
      </c>
      <c r="K274" t="s">
        <v>37</v>
      </c>
      <c r="L274" s="2">
        <v>7.15</v>
      </c>
      <c r="M274" s="2" t="str" cm="1">
        <f t="array" ref="M274">_xlfn.IFS(L274&lt;=15,"Low Fare",L274&lt;=35,"Medium Fare",L274&lt;=100,"High Fare",L274&gt;=100,"Very High Fare")</f>
        <v>Low Fare</v>
      </c>
      <c r="N274" s="2">
        <v>0</v>
      </c>
      <c r="O274" s="2">
        <v>0</v>
      </c>
      <c r="P274">
        <f t="shared" si="17"/>
        <v>1</v>
      </c>
      <c r="Q274" t="str">
        <f t="shared" si="18"/>
        <v>Alone</v>
      </c>
      <c r="R274" t="str">
        <f t="shared" si="19"/>
        <v>Yes</v>
      </c>
      <c r="S274" t="s">
        <v>16</v>
      </c>
    </row>
    <row r="275" spans="1:19" x14ac:dyDescent="0.3">
      <c r="A275" s="1" t="s">
        <v>254</v>
      </c>
      <c r="B275" t="s">
        <v>1596</v>
      </c>
      <c r="C275" t="s">
        <v>1728</v>
      </c>
      <c r="D275" t="str">
        <f t="shared" si="16"/>
        <v>Male</v>
      </c>
      <c r="E275" t="s">
        <v>9</v>
      </c>
      <c r="F275" s="2">
        <v>21</v>
      </c>
      <c r="G275" s="2" t="str" cm="1">
        <f t="array" ref="G275">_xlfn.IFS(F275&lt;=8,"Child",F275&lt;=17,"Teen",F275&lt;=35,"Adult",F275&lt;=55,"Seniour Adult",F275&gt;=55,"Old Age")</f>
        <v>Adult</v>
      </c>
      <c r="H275" t="s">
        <v>18</v>
      </c>
      <c r="I275" t="s">
        <v>11</v>
      </c>
      <c r="J275" t="str" cm="1">
        <f t="array" ref="J275">_xlfn.IFS(I275="S","Southamptom",I275="Q","Quentown",I275="C","Cherbrug",I275="B","Cabin")</f>
        <v>Southamptom</v>
      </c>
      <c r="K275" t="s">
        <v>15</v>
      </c>
      <c r="L275" s="2">
        <v>11.1</v>
      </c>
      <c r="M275" s="2" t="str" cm="1">
        <f t="array" ref="M275">_xlfn.IFS(L275&lt;=15,"Low Fare",L275&lt;=35,"Medium Fare",L275&lt;=100,"High Fare",L275&gt;=100,"Very High Fare")</f>
        <v>Low Fare</v>
      </c>
      <c r="N275" s="2">
        <v>0</v>
      </c>
      <c r="O275" s="2">
        <v>0</v>
      </c>
      <c r="P275">
        <f t="shared" si="17"/>
        <v>1</v>
      </c>
      <c r="Q275" t="str">
        <f t="shared" si="18"/>
        <v>Alone</v>
      </c>
      <c r="R275" t="str">
        <f t="shared" si="19"/>
        <v>No</v>
      </c>
      <c r="S275" t="s">
        <v>13</v>
      </c>
    </row>
    <row r="276" spans="1:19" x14ac:dyDescent="0.3">
      <c r="A276" s="1" t="s">
        <v>255</v>
      </c>
      <c r="B276" t="s">
        <v>1612</v>
      </c>
      <c r="C276" t="s">
        <v>1868</v>
      </c>
      <c r="D276" t="str">
        <f t="shared" si="16"/>
        <v>Male</v>
      </c>
      <c r="E276" t="s">
        <v>9</v>
      </c>
      <c r="F276" s="2">
        <v>3</v>
      </c>
      <c r="G276" s="2" t="str" cm="1">
        <f t="array" ref="G276">_xlfn.IFS(F276&lt;=8,"Child",F276&lt;=17,"Teen",F276&lt;=35,"Adult",F276&lt;=55,"Seniour Adult",F276&gt;=55,"Old Age")</f>
        <v>Child</v>
      </c>
      <c r="H276" t="s">
        <v>10</v>
      </c>
      <c r="I276" t="s">
        <v>11</v>
      </c>
      <c r="J276" t="str" cm="1">
        <f t="array" ref="J276">_xlfn.IFS(I276="S","Southamptom",I276="Q","Quentown",I276="C","Cherbrug",I276="B","Cabin")</f>
        <v>Southamptom</v>
      </c>
      <c r="K276" t="s">
        <v>15</v>
      </c>
      <c r="L276" s="2">
        <v>15.18</v>
      </c>
      <c r="M276" s="2" t="str" cm="1">
        <f t="array" ref="M276">_xlfn.IFS(L276&lt;=15,"Low Fare",L276&lt;=35,"Medium Fare",L276&lt;=100,"High Fare",L276&gt;=100,"Very High Fare")</f>
        <v>Medium Fare</v>
      </c>
      <c r="N276" s="2">
        <v>1</v>
      </c>
      <c r="O276" s="2">
        <v>1</v>
      </c>
      <c r="P276">
        <f t="shared" si="17"/>
        <v>3</v>
      </c>
      <c r="Q276" t="str">
        <f t="shared" si="18"/>
        <v>With Family</v>
      </c>
      <c r="R276" t="str">
        <f t="shared" si="19"/>
        <v>Yes</v>
      </c>
      <c r="S276" t="s">
        <v>16</v>
      </c>
    </row>
    <row r="277" spans="1:19" x14ac:dyDescent="0.3">
      <c r="A277" s="1" t="s">
        <v>255</v>
      </c>
      <c r="B277" t="s">
        <v>1612</v>
      </c>
      <c r="C277" t="s">
        <v>1869</v>
      </c>
      <c r="D277" t="str">
        <f t="shared" si="16"/>
        <v>Male</v>
      </c>
      <c r="E277" t="s">
        <v>9</v>
      </c>
      <c r="F277" s="2">
        <v>9</v>
      </c>
      <c r="G277" s="2" t="str" cm="1">
        <f t="array" ref="G277">_xlfn.IFS(F277&lt;=8,"Child",F277&lt;=17,"Teen",F277&lt;=35,"Adult",F277&lt;=55,"Seniour Adult",F277&gt;=55,"Old Age")</f>
        <v>Teen</v>
      </c>
      <c r="H277" t="s">
        <v>10</v>
      </c>
      <c r="I277" t="s">
        <v>11</v>
      </c>
      <c r="J277" t="str" cm="1">
        <f t="array" ref="J277">_xlfn.IFS(I277="S","Southamptom",I277="Q","Quentown",I277="C","Cherbrug",I277="B","Cabin")</f>
        <v>Southamptom</v>
      </c>
      <c r="K277" t="s">
        <v>15</v>
      </c>
      <c r="L277" s="2">
        <v>15.18</v>
      </c>
      <c r="M277" s="2" t="str" cm="1">
        <f t="array" ref="M277">_xlfn.IFS(L277&lt;=15,"Low Fare",L277&lt;=35,"Medium Fare",L277&lt;=100,"High Fare",L277&gt;=100,"Very High Fare")</f>
        <v>Medium Fare</v>
      </c>
      <c r="N277" s="2">
        <v>1</v>
      </c>
      <c r="O277" s="2">
        <v>1</v>
      </c>
      <c r="P277">
        <f t="shared" si="17"/>
        <v>3</v>
      </c>
      <c r="Q277" t="str">
        <f t="shared" si="18"/>
        <v>With Family</v>
      </c>
      <c r="R277" t="str">
        <f t="shared" si="19"/>
        <v>Yes</v>
      </c>
      <c r="S277" t="s">
        <v>16</v>
      </c>
    </row>
    <row r="278" spans="1:19" x14ac:dyDescent="0.3">
      <c r="A278" s="1" t="s">
        <v>255</v>
      </c>
      <c r="B278" t="s">
        <v>1600</v>
      </c>
      <c r="C278" t="s">
        <v>1870</v>
      </c>
      <c r="D278" t="str">
        <f t="shared" si="16"/>
        <v>Female</v>
      </c>
      <c r="E278" t="s">
        <v>14</v>
      </c>
      <c r="F278" s="2">
        <v>36</v>
      </c>
      <c r="G278" s="2" t="str" cm="1">
        <f t="array" ref="G278">_xlfn.IFS(F278&lt;=8,"Child",F278&lt;=17,"Teen",F278&lt;=35,"Adult",F278&lt;=55,"Seniour Adult",F278&gt;=55,"Old Age")</f>
        <v>Seniour Adult</v>
      </c>
      <c r="H278" t="s">
        <v>10</v>
      </c>
      <c r="I278" t="s">
        <v>11</v>
      </c>
      <c r="J278" t="str" cm="1">
        <f t="array" ref="J278">_xlfn.IFS(I278="S","Southamptom",I278="Q","Quentown",I278="C","Cherbrug",I278="B","Cabin")</f>
        <v>Southamptom</v>
      </c>
      <c r="K278" t="s">
        <v>15</v>
      </c>
      <c r="L278" s="2">
        <v>15.18</v>
      </c>
      <c r="M278" s="2" t="str" cm="1">
        <f t="array" ref="M278">_xlfn.IFS(L278&lt;=15,"Low Fare",L278&lt;=35,"Medium Fare",L278&lt;=100,"High Fare",L278&gt;=100,"Very High Fare")</f>
        <v>Medium Fare</v>
      </c>
      <c r="N278" s="2">
        <v>0</v>
      </c>
      <c r="O278" s="2">
        <v>2</v>
      </c>
      <c r="P278">
        <f t="shared" si="17"/>
        <v>3</v>
      </c>
      <c r="Q278" t="str">
        <f t="shared" si="18"/>
        <v>With Family</v>
      </c>
      <c r="R278" t="str">
        <f t="shared" si="19"/>
        <v>Yes</v>
      </c>
      <c r="S278" t="s">
        <v>16</v>
      </c>
    </row>
    <row r="279" spans="1:19" x14ac:dyDescent="0.3">
      <c r="A279" s="1" t="s">
        <v>256</v>
      </c>
      <c r="B279" t="s">
        <v>1596</v>
      </c>
      <c r="C279" t="s">
        <v>1764</v>
      </c>
      <c r="D279" t="str">
        <f t="shared" si="16"/>
        <v>Male</v>
      </c>
      <c r="E279" t="s">
        <v>9</v>
      </c>
      <c r="F279" s="2">
        <v>58</v>
      </c>
      <c r="G279" s="2" t="str" cm="1">
        <f t="array" ref="G279">_xlfn.IFS(F279&lt;=8,"Child",F279&lt;=17,"Teen",F279&lt;=35,"Adult",F279&lt;=55,"Seniour Adult",F279&gt;=55,"Old Age")</f>
        <v>Old Age</v>
      </c>
      <c r="H279" t="s">
        <v>10</v>
      </c>
      <c r="I279" t="s">
        <v>11</v>
      </c>
      <c r="J279" t="str" cm="1">
        <f t="array" ref="J279">_xlfn.IFS(I279="S","Southamptom",I279="Q","Quentown",I279="C","Cherbrug",I279="B","Cabin")</f>
        <v>Southamptom</v>
      </c>
      <c r="K279" t="s">
        <v>15</v>
      </c>
      <c r="L279" s="2">
        <v>7.05</v>
      </c>
      <c r="M279" s="2" t="str" cm="1">
        <f t="array" ref="M279">_xlfn.IFS(L279&lt;=15,"Low Fare",L279&lt;=35,"Medium Fare",L279&lt;=100,"High Fare",L279&gt;=100,"Very High Fare")</f>
        <v>Low Fare</v>
      </c>
      <c r="N279" s="2">
        <v>0</v>
      </c>
      <c r="O279" s="2">
        <v>0</v>
      </c>
      <c r="P279">
        <f t="shared" si="17"/>
        <v>1</v>
      </c>
      <c r="Q279" t="str">
        <f t="shared" si="18"/>
        <v>Alone</v>
      </c>
      <c r="R279" t="str">
        <f t="shared" si="19"/>
        <v>No</v>
      </c>
      <c r="S279" t="s">
        <v>13</v>
      </c>
    </row>
    <row r="280" spans="1:19" x14ac:dyDescent="0.3">
      <c r="A280" s="1" t="s">
        <v>257</v>
      </c>
      <c r="B280" t="s">
        <v>1596</v>
      </c>
      <c r="C280" t="s">
        <v>1742</v>
      </c>
      <c r="D280" t="str">
        <f t="shared" si="16"/>
        <v>Male</v>
      </c>
      <c r="E280" t="s">
        <v>9</v>
      </c>
      <c r="F280" s="2">
        <v>59</v>
      </c>
      <c r="G280" s="2" t="str" cm="1">
        <f t="array" ref="G280">_xlfn.IFS(F280&lt;=8,"Child",F280&lt;=17,"Teen",F280&lt;=35,"Adult",F280&lt;=55,"Seniour Adult",F280&gt;=55,"Old Age")</f>
        <v>Old Age</v>
      </c>
      <c r="H280" t="s">
        <v>25</v>
      </c>
      <c r="I280" t="s">
        <v>11</v>
      </c>
      <c r="J280" t="str" cm="1">
        <f t="array" ref="J280">_xlfn.IFS(I280="S","Southamptom",I280="Q","Quentown",I280="C","Cherbrug",I280="B","Cabin")</f>
        <v>Southamptom</v>
      </c>
      <c r="K280" t="s">
        <v>12</v>
      </c>
      <c r="L280" s="2">
        <v>26.11</v>
      </c>
      <c r="M280" s="2" t="str" cm="1">
        <f t="array" ref="M280">_xlfn.IFS(L280&lt;=15,"Low Fare",L280&lt;=35,"Medium Fare",L280&lt;=100,"High Fare",L280&gt;=100,"Very High Fare")</f>
        <v>Medium Fare</v>
      </c>
      <c r="N280" s="2">
        <v>0</v>
      </c>
      <c r="O280" s="2">
        <v>0</v>
      </c>
      <c r="P280">
        <f t="shared" si="17"/>
        <v>1</v>
      </c>
      <c r="Q280" t="str">
        <f t="shared" si="18"/>
        <v>Alone</v>
      </c>
      <c r="R280" t="str">
        <f t="shared" si="19"/>
        <v>No</v>
      </c>
      <c r="S280" t="s">
        <v>13</v>
      </c>
    </row>
    <row r="281" spans="1:19" x14ac:dyDescent="0.3">
      <c r="A281" s="1" t="s">
        <v>258</v>
      </c>
      <c r="B281" t="s">
        <v>1596</v>
      </c>
      <c r="C281" t="s">
        <v>1871</v>
      </c>
      <c r="D281" t="str">
        <f t="shared" si="16"/>
        <v>Male</v>
      </c>
      <c r="E281" t="s">
        <v>9</v>
      </c>
      <c r="F281" s="2">
        <v>20</v>
      </c>
      <c r="G281" s="2" t="str" cm="1">
        <f t="array" ref="G281">_xlfn.IFS(F281&lt;=8,"Child",F281&lt;=17,"Teen",F281&lt;=35,"Adult",F281&lt;=55,"Seniour Adult",F281&gt;=55,"Old Age")</f>
        <v>Adult</v>
      </c>
      <c r="H281" t="s">
        <v>10</v>
      </c>
      <c r="I281" t="s">
        <v>11</v>
      </c>
      <c r="J281" t="str" cm="1">
        <f t="array" ref="J281">_xlfn.IFS(I281="S","Southamptom",I281="Q","Quentown",I281="C","Cherbrug",I281="B","Cabin")</f>
        <v>Southamptom</v>
      </c>
      <c r="K281" t="s">
        <v>12</v>
      </c>
      <c r="L281" s="2">
        <v>8.0302000000000007</v>
      </c>
      <c r="M281" s="2" t="str" cm="1">
        <f t="array" ref="M281">_xlfn.IFS(L281&lt;=15,"Low Fare",L281&lt;=35,"Medium Fare",L281&lt;=100,"High Fare",L281&gt;=100,"Very High Fare")</f>
        <v>Low Fare</v>
      </c>
      <c r="N281" s="2">
        <v>0</v>
      </c>
      <c r="O281" s="2">
        <v>0</v>
      </c>
      <c r="P281">
        <f t="shared" si="17"/>
        <v>1</v>
      </c>
      <c r="Q281" t="str">
        <f t="shared" si="18"/>
        <v>Alone</v>
      </c>
      <c r="R281" t="str">
        <f t="shared" si="19"/>
        <v>No</v>
      </c>
      <c r="S281" t="s">
        <v>13</v>
      </c>
    </row>
    <row r="282" spans="1:19" x14ac:dyDescent="0.3">
      <c r="A282" s="1" t="s">
        <v>259</v>
      </c>
      <c r="B282" t="s">
        <v>1602</v>
      </c>
      <c r="C282" t="s">
        <v>1872</v>
      </c>
      <c r="D282" t="str">
        <f t="shared" si="16"/>
        <v>Female</v>
      </c>
      <c r="E282" t="s">
        <v>14</v>
      </c>
      <c r="F282" s="2">
        <v>16</v>
      </c>
      <c r="G282" s="2" t="str" cm="1">
        <f t="array" ref="G282">_xlfn.IFS(F282&lt;=8,"Child",F282&lt;=17,"Teen",F282&lt;=35,"Adult",F282&lt;=55,"Seniour Adult",F282&gt;=55,"Old Age")</f>
        <v>Teen</v>
      </c>
      <c r="H282" t="s">
        <v>10</v>
      </c>
      <c r="I282" t="s">
        <v>11</v>
      </c>
      <c r="J282" t="str" cm="1">
        <f t="array" ref="J282">_xlfn.IFS(I282="S","Southamptom",I282="Q","Quentown",I282="C","Cherbrug",I282="B","Cabin")</f>
        <v>Southamptom</v>
      </c>
      <c r="K282" t="s">
        <v>12</v>
      </c>
      <c r="L282" s="2">
        <v>16.02</v>
      </c>
      <c r="M282" s="2" t="str" cm="1">
        <f t="array" ref="M282">_xlfn.IFS(L282&lt;=15,"Low Fare",L282&lt;=35,"Medium Fare",L282&lt;=100,"High Fare",L282&gt;=100,"Very High Fare")</f>
        <v>Medium Fare</v>
      </c>
      <c r="N282" s="2">
        <v>0</v>
      </c>
      <c r="O282" s="2">
        <v>1</v>
      </c>
      <c r="P282">
        <f t="shared" si="17"/>
        <v>2</v>
      </c>
      <c r="Q282" t="str">
        <f t="shared" si="18"/>
        <v>With Family</v>
      </c>
      <c r="R282" t="str">
        <f t="shared" si="19"/>
        <v>Yes</v>
      </c>
      <c r="S282" t="s">
        <v>16</v>
      </c>
    </row>
    <row r="283" spans="1:19" x14ac:dyDescent="0.3">
      <c r="A283" s="1" t="s">
        <v>259</v>
      </c>
      <c r="B283" t="s">
        <v>1596</v>
      </c>
      <c r="C283" t="s">
        <v>1873</v>
      </c>
      <c r="D283" t="str">
        <f t="shared" si="16"/>
        <v>Male</v>
      </c>
      <c r="E283" t="s">
        <v>9</v>
      </c>
      <c r="F283" s="2">
        <v>43</v>
      </c>
      <c r="G283" s="2" t="str" cm="1">
        <f t="array" ref="G283">_xlfn.IFS(F283&lt;=8,"Child",F283&lt;=17,"Teen",F283&lt;=35,"Adult",F283&lt;=55,"Seniour Adult",F283&gt;=55,"Old Age")</f>
        <v>Seniour Adult</v>
      </c>
      <c r="H283" t="s">
        <v>10</v>
      </c>
      <c r="I283" t="s">
        <v>11</v>
      </c>
      <c r="J283" t="str" cm="1">
        <f t="array" ref="J283">_xlfn.IFS(I283="S","Southamptom",I283="Q","Quentown",I283="C","Cherbrug",I283="B","Cabin")</f>
        <v>Southamptom</v>
      </c>
      <c r="K283" t="s">
        <v>48</v>
      </c>
      <c r="L283" s="2">
        <v>16.02</v>
      </c>
      <c r="M283" s="2" t="str" cm="1">
        <f t="array" ref="M283">_xlfn.IFS(L283&lt;=15,"Low Fare",L283&lt;=35,"Medium Fare",L283&lt;=100,"High Fare",L283&gt;=100,"Very High Fare")</f>
        <v>Medium Fare</v>
      </c>
      <c r="N283" s="2">
        <v>0</v>
      </c>
      <c r="O283" s="2">
        <v>1</v>
      </c>
      <c r="P283">
        <f t="shared" si="17"/>
        <v>2</v>
      </c>
      <c r="Q283" t="str">
        <f t="shared" si="18"/>
        <v>With Family</v>
      </c>
      <c r="R283" t="str">
        <f t="shared" si="19"/>
        <v>No</v>
      </c>
      <c r="S283" t="s">
        <v>13</v>
      </c>
    </row>
    <row r="284" spans="1:19" x14ac:dyDescent="0.3">
      <c r="A284" s="1" t="s">
        <v>260</v>
      </c>
      <c r="B284" t="s">
        <v>1874</v>
      </c>
      <c r="C284" t="s">
        <v>1875</v>
      </c>
      <c r="D284" t="str">
        <f t="shared" si="16"/>
        <v>Male</v>
      </c>
      <c r="E284" t="s">
        <v>9</v>
      </c>
      <c r="F284" s="2">
        <v>70</v>
      </c>
      <c r="G284" s="2" t="str" cm="1">
        <f t="array" ref="G284">_xlfn.IFS(F284&lt;=8,"Child",F284&lt;=17,"Teen",F284&lt;=35,"Adult",F284&lt;=55,"Seniour Adult",F284&gt;=55,"Old Age")</f>
        <v>Old Age</v>
      </c>
      <c r="H284" t="s">
        <v>25</v>
      </c>
      <c r="I284" t="s">
        <v>11</v>
      </c>
      <c r="J284" t="str" cm="1">
        <f t="array" ref="J284">_xlfn.IFS(I284="S","Southamptom",I284="Q","Quentown",I284="C","Cherbrug",I284="B","Cabin")</f>
        <v>Southamptom</v>
      </c>
      <c r="K284" t="s">
        <v>12</v>
      </c>
      <c r="L284" s="2">
        <v>71</v>
      </c>
      <c r="M284" s="2" t="str" cm="1">
        <f t="array" ref="M284">_xlfn.IFS(L284&lt;=15,"Low Fare",L284&lt;=35,"Medium Fare",L284&lt;=100,"High Fare",L284&gt;=100,"Very High Fare")</f>
        <v>High Fare</v>
      </c>
      <c r="N284" s="2">
        <v>1</v>
      </c>
      <c r="O284" s="2">
        <v>1</v>
      </c>
      <c r="P284">
        <f t="shared" si="17"/>
        <v>3</v>
      </c>
      <c r="Q284" t="str">
        <f t="shared" si="18"/>
        <v>With Family</v>
      </c>
      <c r="R284" t="str">
        <f t="shared" si="19"/>
        <v>No</v>
      </c>
      <c r="S284" t="s">
        <v>13</v>
      </c>
    </row>
    <row r="285" spans="1:19" x14ac:dyDescent="0.3">
      <c r="A285" s="1" t="s">
        <v>260</v>
      </c>
      <c r="B285" t="s">
        <v>1602</v>
      </c>
      <c r="C285" t="s">
        <v>1876</v>
      </c>
      <c r="D285" t="str">
        <f t="shared" si="16"/>
        <v>Female</v>
      </c>
      <c r="E285" t="s">
        <v>14</v>
      </c>
      <c r="F285" s="2">
        <v>39</v>
      </c>
      <c r="G285" s="2" t="str" cm="1">
        <f t="array" ref="G285">_xlfn.IFS(F285&lt;=8,"Child",F285&lt;=17,"Teen",F285&lt;=35,"Adult",F285&lt;=55,"Seniour Adult",F285&gt;=55,"Old Age")</f>
        <v>Seniour Adult</v>
      </c>
      <c r="H285" t="s">
        <v>25</v>
      </c>
      <c r="I285" t="s">
        <v>11</v>
      </c>
      <c r="J285" t="str" cm="1">
        <f t="array" ref="J285">_xlfn.IFS(I285="S","Southamptom",I285="Q","Quentown",I285="C","Cherbrug",I285="B","Cabin")</f>
        <v>Southamptom</v>
      </c>
      <c r="K285" t="s">
        <v>12</v>
      </c>
      <c r="L285" s="2">
        <v>26.11</v>
      </c>
      <c r="M285" s="2" t="str" cm="1">
        <f t="array" ref="M285">_xlfn.IFS(L285&lt;=15,"Low Fare",L285&lt;=35,"Medium Fare",L285&lt;=100,"High Fare",L285&gt;=100,"Very High Fare")</f>
        <v>Medium Fare</v>
      </c>
      <c r="N285" s="2">
        <v>0</v>
      </c>
      <c r="O285" s="2">
        <v>2</v>
      </c>
      <c r="P285">
        <f t="shared" si="17"/>
        <v>3</v>
      </c>
      <c r="Q285" t="str">
        <f t="shared" si="18"/>
        <v>With Family</v>
      </c>
      <c r="R285" t="str">
        <f t="shared" si="19"/>
        <v>Yes</v>
      </c>
      <c r="S285" t="s">
        <v>16</v>
      </c>
    </row>
    <row r="286" spans="1:19" x14ac:dyDescent="0.3">
      <c r="A286" s="1" t="s">
        <v>260</v>
      </c>
      <c r="B286" t="s">
        <v>1600</v>
      </c>
      <c r="C286" t="s">
        <v>1877</v>
      </c>
      <c r="D286" t="str">
        <f t="shared" si="16"/>
        <v>Female</v>
      </c>
      <c r="E286" t="s">
        <v>14</v>
      </c>
      <c r="F286" s="2">
        <v>64</v>
      </c>
      <c r="G286" s="2" t="str" cm="1">
        <f t="array" ref="G286">_xlfn.IFS(F286&lt;=8,"Child",F286&lt;=17,"Teen",F286&lt;=35,"Adult",F286&lt;=55,"Seniour Adult",F286&gt;=55,"Old Age")</f>
        <v>Old Age</v>
      </c>
      <c r="H286" t="s">
        <v>25</v>
      </c>
      <c r="I286" t="s">
        <v>11</v>
      </c>
      <c r="J286" t="str" cm="1">
        <f t="array" ref="J286">_xlfn.IFS(I286="S","Southamptom",I286="Q","Quentown",I286="C","Cherbrug",I286="B","Cabin")</f>
        <v>Southamptom</v>
      </c>
      <c r="K286" t="s">
        <v>12</v>
      </c>
      <c r="L286" s="2">
        <v>71</v>
      </c>
      <c r="M286" s="2" t="str" cm="1">
        <f t="array" ref="M286">_xlfn.IFS(L286&lt;=15,"Low Fare",L286&lt;=35,"Medium Fare",L286&lt;=100,"High Fare",L286&gt;=100,"Very High Fare")</f>
        <v>High Fare</v>
      </c>
      <c r="N286" s="2">
        <v>1</v>
      </c>
      <c r="O286" s="2">
        <v>1</v>
      </c>
      <c r="P286">
        <f t="shared" si="17"/>
        <v>3</v>
      </c>
      <c r="Q286" t="str">
        <f t="shared" si="18"/>
        <v>With Family</v>
      </c>
      <c r="R286" t="str">
        <f t="shared" si="19"/>
        <v>Yes</v>
      </c>
      <c r="S286" t="s">
        <v>16</v>
      </c>
    </row>
    <row r="287" spans="1:19" x14ac:dyDescent="0.3">
      <c r="A287" s="1" t="s">
        <v>261</v>
      </c>
      <c r="B287" t="s">
        <v>1596</v>
      </c>
      <c r="C287" t="s">
        <v>1878</v>
      </c>
      <c r="D287" t="str">
        <f t="shared" si="16"/>
        <v>Male</v>
      </c>
      <c r="E287" t="s">
        <v>9</v>
      </c>
      <c r="F287" s="2">
        <v>17</v>
      </c>
      <c r="G287" s="2" t="str" cm="1">
        <f t="array" ref="G287">_xlfn.IFS(F287&lt;=8,"Child",F287&lt;=17,"Teen",F287&lt;=35,"Adult",F287&lt;=55,"Seniour Adult",F287&gt;=55,"Old Age")</f>
        <v>Teen</v>
      </c>
      <c r="H287" t="s">
        <v>10</v>
      </c>
      <c r="I287" t="s">
        <v>11</v>
      </c>
      <c r="J287" t="str" cm="1">
        <f t="array" ref="J287">_xlfn.IFS(I287="S","Southamptom",I287="Q","Quentown",I287="C","Cherbrug",I287="B","Cabin")</f>
        <v>Southamptom</v>
      </c>
      <c r="K287" t="s">
        <v>42</v>
      </c>
      <c r="L287" s="2">
        <v>8.1303000000000001</v>
      </c>
      <c r="M287" s="2" t="str" cm="1">
        <f t="array" ref="M287">_xlfn.IFS(L287&lt;=15,"Low Fare",L287&lt;=35,"Medium Fare",L287&lt;=100,"High Fare",L287&gt;=100,"Very High Fare")</f>
        <v>Low Fare</v>
      </c>
      <c r="N287" s="2">
        <v>0</v>
      </c>
      <c r="O287" s="2">
        <v>0</v>
      </c>
      <c r="P287">
        <f t="shared" si="17"/>
        <v>1</v>
      </c>
      <c r="Q287" t="str">
        <f t="shared" si="18"/>
        <v>Alone</v>
      </c>
      <c r="R287" t="str">
        <f t="shared" si="19"/>
        <v>No</v>
      </c>
      <c r="S287" t="s">
        <v>13</v>
      </c>
    </row>
    <row r="288" spans="1:19" x14ac:dyDescent="0.3">
      <c r="A288" s="1" t="s">
        <v>262</v>
      </c>
      <c r="B288" t="s">
        <v>1596</v>
      </c>
      <c r="C288" t="s">
        <v>1879</v>
      </c>
      <c r="D288" t="str">
        <f t="shared" si="16"/>
        <v>Male</v>
      </c>
      <c r="E288" t="s">
        <v>9</v>
      </c>
      <c r="F288" s="2">
        <v>39</v>
      </c>
      <c r="G288" s="2" t="str" cm="1">
        <f t="array" ref="G288">_xlfn.IFS(F288&lt;=8,"Child",F288&lt;=17,"Teen",F288&lt;=35,"Adult",F288&lt;=55,"Seniour Adult",F288&gt;=55,"Old Age")</f>
        <v>Seniour Adult</v>
      </c>
      <c r="H288" t="s">
        <v>25</v>
      </c>
      <c r="I288" t="s">
        <v>19</v>
      </c>
      <c r="J288" t="str" cm="1">
        <f t="array" ref="J288">_xlfn.IFS(I288="S","Southamptom",I288="Q","Quentown",I288="C","Cherbrug",I288="B","Cabin")</f>
        <v>Cherbrug</v>
      </c>
      <c r="K288" t="s">
        <v>12</v>
      </c>
      <c r="L288" s="2">
        <v>71.050799999999995</v>
      </c>
      <c r="M288" s="2" t="str" cm="1">
        <f t="array" ref="M288">_xlfn.IFS(L288&lt;=15,"Low Fare",L288&lt;=35,"Medium Fare",L288&lt;=100,"High Fare",L288&gt;=100,"Very High Fare")</f>
        <v>High Fare</v>
      </c>
      <c r="N288" s="2">
        <v>1</v>
      </c>
      <c r="O288" s="2">
        <v>0</v>
      </c>
      <c r="P288">
        <f t="shared" si="17"/>
        <v>2</v>
      </c>
      <c r="Q288" t="str">
        <f t="shared" si="18"/>
        <v>With Family</v>
      </c>
      <c r="R288" t="str">
        <f t="shared" si="19"/>
        <v>No</v>
      </c>
      <c r="S288" t="s">
        <v>13</v>
      </c>
    </row>
    <row r="289" spans="1:19" x14ac:dyDescent="0.3">
      <c r="A289" s="1" t="s">
        <v>262</v>
      </c>
      <c r="B289" t="s">
        <v>1600</v>
      </c>
      <c r="C289" t="s">
        <v>1880</v>
      </c>
      <c r="D289" t="str">
        <f t="shared" si="16"/>
        <v>Female</v>
      </c>
      <c r="E289" t="s">
        <v>14</v>
      </c>
      <c r="F289" s="2">
        <v>35</v>
      </c>
      <c r="G289" s="2" t="str" cm="1">
        <f t="array" ref="G289">_xlfn.IFS(F289&lt;=8,"Child",F289&lt;=17,"Teen",F289&lt;=35,"Adult",F289&lt;=55,"Seniour Adult",F289&gt;=55,"Old Age")</f>
        <v>Adult</v>
      </c>
      <c r="H289" t="s">
        <v>25</v>
      </c>
      <c r="I289" t="s">
        <v>19</v>
      </c>
      <c r="J289" t="str" cm="1">
        <f t="array" ref="J289">_xlfn.IFS(I289="S","Southamptom",I289="Q","Quentown",I289="C","Cherbrug",I289="B","Cabin")</f>
        <v>Cherbrug</v>
      </c>
      <c r="K289" t="s">
        <v>49</v>
      </c>
      <c r="L289" s="2">
        <v>71.050799999999995</v>
      </c>
      <c r="M289" s="2" t="str" cm="1">
        <f t="array" ref="M289">_xlfn.IFS(L289&lt;=15,"Low Fare",L289&lt;=35,"Medium Fare",L289&lt;=100,"High Fare",L289&gt;=100,"Very High Fare")</f>
        <v>High Fare</v>
      </c>
      <c r="N289" s="2">
        <v>1</v>
      </c>
      <c r="O289" s="2">
        <v>0</v>
      </c>
      <c r="P289">
        <f t="shared" si="17"/>
        <v>2</v>
      </c>
      <c r="Q289" t="str">
        <f t="shared" si="18"/>
        <v>With Family</v>
      </c>
      <c r="R289" t="str">
        <f t="shared" si="19"/>
        <v>Yes</v>
      </c>
      <c r="S289" t="s">
        <v>16</v>
      </c>
    </row>
    <row r="290" spans="1:19" x14ac:dyDescent="0.3">
      <c r="A290" s="1" t="s">
        <v>263</v>
      </c>
      <c r="B290" t="s">
        <v>1596</v>
      </c>
      <c r="C290" t="s">
        <v>1881</v>
      </c>
      <c r="D290" t="str">
        <f t="shared" si="16"/>
        <v>Male</v>
      </c>
      <c r="E290" t="s">
        <v>9</v>
      </c>
      <c r="F290" s="2">
        <v>22</v>
      </c>
      <c r="G290" s="2" t="str" cm="1">
        <f t="array" ref="G290">_xlfn.IFS(F290&lt;=8,"Child",F290&lt;=17,"Teen",F290&lt;=35,"Adult",F290&lt;=55,"Seniour Adult",F290&gt;=55,"Old Age")</f>
        <v>Adult</v>
      </c>
      <c r="H290" t="s">
        <v>18</v>
      </c>
      <c r="I290" t="s">
        <v>28</v>
      </c>
      <c r="J290" t="str" cm="1">
        <f t="array" ref="J290">_xlfn.IFS(I290="S","Southamptom",I290="Q","Quentown",I290="C","Cherbrug",I290="B","Cabin")</f>
        <v>Cabin</v>
      </c>
      <c r="K290" t="s">
        <v>29</v>
      </c>
      <c r="L290" s="2">
        <v>33</v>
      </c>
      <c r="M290" s="2" t="str" cm="1">
        <f t="array" ref="M290">_xlfn.IFS(L290&lt;=15,"Low Fare",L290&lt;=35,"Medium Fare",L290&lt;=100,"High Fare",L290&gt;=100,"Very High Fare")</f>
        <v>Medium Fare</v>
      </c>
      <c r="N290" s="2">
        <v>0</v>
      </c>
      <c r="O290" s="2">
        <v>0</v>
      </c>
      <c r="P290">
        <f t="shared" si="17"/>
        <v>1</v>
      </c>
      <c r="Q290" t="str">
        <f t="shared" si="18"/>
        <v>Alone</v>
      </c>
      <c r="R290" t="str">
        <f t="shared" si="19"/>
        <v>No</v>
      </c>
      <c r="S290" t="s">
        <v>13</v>
      </c>
    </row>
    <row r="291" spans="1:19" x14ac:dyDescent="0.3">
      <c r="A291" s="1" t="s">
        <v>264</v>
      </c>
      <c r="B291" t="s">
        <v>1596</v>
      </c>
      <c r="C291" t="s">
        <v>1882</v>
      </c>
      <c r="D291" t="str">
        <f t="shared" si="16"/>
        <v>Male</v>
      </c>
      <c r="E291" t="s">
        <v>9</v>
      </c>
      <c r="F291" s="2">
        <v>28</v>
      </c>
      <c r="G291" s="2" t="str" cm="1">
        <f t="array" ref="G291">_xlfn.IFS(F291&lt;=8,"Child",F291&lt;=17,"Teen",F291&lt;=35,"Adult",F291&lt;=55,"Seniour Adult",F291&gt;=55,"Old Age")</f>
        <v>Adult</v>
      </c>
      <c r="H291" t="s">
        <v>10</v>
      </c>
      <c r="I291" t="s">
        <v>19</v>
      </c>
      <c r="J291" t="str" cm="1">
        <f t="array" ref="J291">_xlfn.IFS(I291="S","Southamptom",I291="Q","Quentown",I291="C","Cherbrug",I291="B","Cabin")</f>
        <v>Cherbrug</v>
      </c>
      <c r="K291" t="s">
        <v>15</v>
      </c>
      <c r="L291" s="2">
        <v>7.0407000000000002</v>
      </c>
      <c r="M291" s="2" t="str" cm="1">
        <f t="array" ref="M291">_xlfn.IFS(L291&lt;=15,"Low Fare",L291&lt;=35,"Medium Fare",L291&lt;=100,"High Fare",L291&gt;=100,"Very High Fare")</f>
        <v>Low Fare</v>
      </c>
      <c r="N291" s="2">
        <v>0</v>
      </c>
      <c r="O291" s="2">
        <v>0</v>
      </c>
      <c r="P291">
        <f t="shared" si="17"/>
        <v>1</v>
      </c>
      <c r="Q291" t="str">
        <f t="shared" si="18"/>
        <v>Alone</v>
      </c>
      <c r="R291" t="str">
        <f t="shared" si="19"/>
        <v>No</v>
      </c>
      <c r="S291" t="s">
        <v>13</v>
      </c>
    </row>
    <row r="292" spans="1:19" x14ac:dyDescent="0.3">
      <c r="A292" s="1" t="s">
        <v>265</v>
      </c>
      <c r="B292" t="s">
        <v>1602</v>
      </c>
      <c r="C292" t="s">
        <v>1883</v>
      </c>
      <c r="D292" t="str">
        <f t="shared" si="16"/>
        <v>Female</v>
      </c>
      <c r="E292" t="s">
        <v>14</v>
      </c>
      <c r="F292" s="2">
        <v>22</v>
      </c>
      <c r="G292" s="2" t="str" cm="1">
        <f t="array" ref="G292">_xlfn.IFS(F292&lt;=8,"Child",F292&lt;=17,"Teen",F292&lt;=35,"Adult",F292&lt;=55,"Seniour Adult",F292&gt;=55,"Old Age")</f>
        <v>Adult</v>
      </c>
      <c r="H292" t="s">
        <v>10</v>
      </c>
      <c r="I292" t="s">
        <v>11</v>
      </c>
      <c r="J292" t="str" cm="1">
        <f t="array" ref="J292">_xlfn.IFS(I292="S","Southamptom",I292="Q","Quentown",I292="C","Cherbrug",I292="B","Cabin")</f>
        <v>Southamptom</v>
      </c>
      <c r="K292" t="s">
        <v>23</v>
      </c>
      <c r="L292" s="2">
        <v>10.1004</v>
      </c>
      <c r="M292" s="2" t="str" cm="1">
        <f t="array" ref="M292">_xlfn.IFS(L292&lt;=15,"Low Fare",L292&lt;=35,"Medium Fare",L292&lt;=100,"High Fare",L292&gt;=100,"Very High Fare")</f>
        <v>Low Fare</v>
      </c>
      <c r="N292" s="2">
        <v>0</v>
      </c>
      <c r="O292" s="2">
        <v>0</v>
      </c>
      <c r="P292">
        <f t="shared" si="17"/>
        <v>1</v>
      </c>
      <c r="Q292" t="str">
        <f t="shared" si="18"/>
        <v>Alone</v>
      </c>
      <c r="R292" t="str">
        <f t="shared" si="19"/>
        <v>No</v>
      </c>
      <c r="S292" t="s">
        <v>13</v>
      </c>
    </row>
    <row r="293" spans="1:19" x14ac:dyDescent="0.3">
      <c r="A293" s="1" t="s">
        <v>266</v>
      </c>
      <c r="B293" t="s">
        <v>1596</v>
      </c>
      <c r="C293" t="s">
        <v>1884</v>
      </c>
      <c r="D293" t="str">
        <f t="shared" si="16"/>
        <v>Male</v>
      </c>
      <c r="E293" t="s">
        <v>9</v>
      </c>
      <c r="F293" s="2">
        <v>45</v>
      </c>
      <c r="G293" s="2" t="str" cm="1">
        <f t="array" ref="G293">_xlfn.IFS(F293&lt;=8,"Child",F293&lt;=17,"Teen",F293&lt;=35,"Adult",F293&lt;=55,"Seniour Adult",F293&gt;=55,"Old Age")</f>
        <v>Seniour Adult</v>
      </c>
      <c r="H293" t="s">
        <v>10</v>
      </c>
      <c r="I293" t="s">
        <v>11</v>
      </c>
      <c r="J293" t="str" cm="1">
        <f t="array" ref="J293">_xlfn.IFS(I293="S","Southamptom",I293="Q","Quentown",I293="C","Cherbrug",I293="B","Cabin")</f>
        <v>Southamptom</v>
      </c>
      <c r="K293" t="s">
        <v>15</v>
      </c>
      <c r="L293" s="2">
        <v>8.01</v>
      </c>
      <c r="M293" s="2" t="str" cm="1">
        <f t="array" ref="M293">_xlfn.IFS(L293&lt;=15,"Low Fare",L293&lt;=35,"Medium Fare",L293&lt;=100,"High Fare",L293&gt;=100,"Very High Fare")</f>
        <v>Low Fare</v>
      </c>
      <c r="N293" s="2">
        <v>0</v>
      </c>
      <c r="O293" s="2">
        <v>0</v>
      </c>
      <c r="P293">
        <f t="shared" si="17"/>
        <v>1</v>
      </c>
      <c r="Q293" t="str">
        <f t="shared" si="18"/>
        <v>Alone</v>
      </c>
      <c r="R293" t="str">
        <f t="shared" si="19"/>
        <v>Yes</v>
      </c>
      <c r="S293" t="s">
        <v>16</v>
      </c>
    </row>
    <row r="294" spans="1:19" x14ac:dyDescent="0.3">
      <c r="A294" s="1" t="s">
        <v>267</v>
      </c>
      <c r="B294" t="s">
        <v>1596</v>
      </c>
      <c r="C294" t="s">
        <v>1885</v>
      </c>
      <c r="D294" t="str">
        <f t="shared" si="16"/>
        <v>Male</v>
      </c>
      <c r="E294" t="s">
        <v>9</v>
      </c>
      <c r="F294" s="2">
        <v>19</v>
      </c>
      <c r="G294" s="2" t="str" cm="1">
        <f t="array" ref="G294">_xlfn.IFS(F294&lt;=8,"Child",F294&lt;=17,"Teen",F294&lt;=35,"Adult",F294&lt;=55,"Seniour Adult",F294&gt;=55,"Old Age")</f>
        <v>Adult</v>
      </c>
      <c r="H294" t="s">
        <v>10</v>
      </c>
      <c r="I294" t="s">
        <v>11</v>
      </c>
      <c r="J294" t="str" cm="1">
        <f t="array" ref="J294">_xlfn.IFS(I294="S","Southamptom",I294="Q","Quentown",I294="C","Cherbrug",I294="B","Cabin")</f>
        <v>Southamptom</v>
      </c>
      <c r="K294" t="s">
        <v>15</v>
      </c>
      <c r="L294" s="2">
        <v>10.0305</v>
      </c>
      <c r="M294" s="2" t="str" cm="1">
        <f t="array" ref="M294">_xlfn.IFS(L294&lt;=15,"Low Fare",L294&lt;=35,"Medium Fare",L294&lt;=100,"High Fare",L294&gt;=100,"Very High Fare")</f>
        <v>Low Fare</v>
      </c>
      <c r="N294" s="2">
        <v>0</v>
      </c>
      <c r="O294" s="2">
        <v>0</v>
      </c>
      <c r="P294">
        <f t="shared" si="17"/>
        <v>1</v>
      </c>
      <c r="Q294" t="str">
        <f t="shared" si="18"/>
        <v>Alone</v>
      </c>
      <c r="R294" t="str">
        <f t="shared" si="19"/>
        <v>No</v>
      </c>
      <c r="S294" t="s">
        <v>13</v>
      </c>
    </row>
    <row r="295" spans="1:19" x14ac:dyDescent="0.3">
      <c r="A295" s="1" t="s">
        <v>268</v>
      </c>
      <c r="B295" t="s">
        <v>1602</v>
      </c>
      <c r="C295" t="s">
        <v>1886</v>
      </c>
      <c r="D295" t="str">
        <f t="shared" si="16"/>
        <v>Female</v>
      </c>
      <c r="E295" t="s">
        <v>14</v>
      </c>
      <c r="F295" s="2">
        <v>33</v>
      </c>
      <c r="G295" s="2" t="str" cm="1">
        <f t="array" ref="G295">_xlfn.IFS(F295&lt;=8,"Child",F295&lt;=17,"Teen",F295&lt;=35,"Adult",F295&lt;=55,"Seniour Adult",F295&gt;=55,"Old Age")</f>
        <v>Adult</v>
      </c>
      <c r="H295" t="s">
        <v>10</v>
      </c>
      <c r="I295" t="s">
        <v>36</v>
      </c>
      <c r="J295" t="str" cm="1">
        <f t="array" ref="J295">_xlfn.IFS(I295="S","Southamptom",I295="Q","Quentown",I295="C","Cherbrug",I295="B","Cabin")</f>
        <v>Quentown</v>
      </c>
      <c r="K295" t="s">
        <v>37</v>
      </c>
      <c r="L295" s="2">
        <v>6.19</v>
      </c>
      <c r="M295" s="2" t="str" cm="1">
        <f t="array" ref="M295">_xlfn.IFS(L295&lt;=15,"Low Fare",L295&lt;=35,"Medium Fare",L295&lt;=100,"High Fare",L295&gt;=100,"Very High Fare")</f>
        <v>Low Fare</v>
      </c>
      <c r="N295" s="2">
        <v>0</v>
      </c>
      <c r="O295" s="2">
        <v>0</v>
      </c>
      <c r="P295">
        <f t="shared" si="17"/>
        <v>1</v>
      </c>
      <c r="Q295" t="str">
        <f t="shared" si="18"/>
        <v>Alone</v>
      </c>
      <c r="R295" t="str">
        <f t="shared" si="19"/>
        <v>Yes</v>
      </c>
      <c r="S295" t="s">
        <v>16</v>
      </c>
    </row>
    <row r="296" spans="1:19" x14ac:dyDescent="0.3">
      <c r="A296" s="1" t="s">
        <v>268</v>
      </c>
      <c r="B296" t="s">
        <v>1596</v>
      </c>
      <c r="C296" t="s">
        <v>1887</v>
      </c>
      <c r="D296" t="str">
        <f t="shared" si="16"/>
        <v>Male</v>
      </c>
      <c r="E296" t="s">
        <v>9</v>
      </c>
      <c r="F296" s="2">
        <v>29</v>
      </c>
      <c r="G296" s="2" t="str" cm="1">
        <f t="array" ref="G296">_xlfn.IFS(F296&lt;=8,"Child",F296&lt;=17,"Teen",F296&lt;=35,"Adult",F296&lt;=55,"Seniour Adult",F296&gt;=55,"Old Age")</f>
        <v>Adult</v>
      </c>
      <c r="H296" t="s">
        <v>10</v>
      </c>
      <c r="I296" t="s">
        <v>36</v>
      </c>
      <c r="J296" t="str" cm="1">
        <f t="array" ref="J296">_xlfn.IFS(I296="S","Southamptom",I296="Q","Quentown",I296="C","Cherbrug",I296="B","Cabin")</f>
        <v>Quentown</v>
      </c>
      <c r="K296" t="s">
        <v>37</v>
      </c>
      <c r="L296" s="2">
        <v>7.15</v>
      </c>
      <c r="M296" s="2" t="str" cm="1">
        <f t="array" ref="M296">_xlfn.IFS(L296&lt;=15,"Low Fare",L296&lt;=35,"Medium Fare",L296&lt;=100,"High Fare",L296&gt;=100,"Very High Fare")</f>
        <v>Low Fare</v>
      </c>
      <c r="N296" s="2">
        <v>0</v>
      </c>
      <c r="O296" s="2">
        <v>0</v>
      </c>
      <c r="P296">
        <f t="shared" si="17"/>
        <v>1</v>
      </c>
      <c r="Q296" t="str">
        <f t="shared" si="18"/>
        <v>Alone</v>
      </c>
      <c r="R296" t="str">
        <f t="shared" si="19"/>
        <v>Yes</v>
      </c>
      <c r="S296" t="s">
        <v>16</v>
      </c>
    </row>
    <row r="297" spans="1:19" x14ac:dyDescent="0.3">
      <c r="A297" s="1" t="s">
        <v>268</v>
      </c>
      <c r="B297" t="s">
        <v>1596</v>
      </c>
      <c r="C297" t="s">
        <v>1888</v>
      </c>
      <c r="D297" t="str">
        <f t="shared" si="16"/>
        <v>Male</v>
      </c>
      <c r="E297" t="s">
        <v>9</v>
      </c>
      <c r="F297" s="2">
        <v>51</v>
      </c>
      <c r="G297" s="2" t="str" cm="1">
        <f t="array" ref="G297">_xlfn.IFS(F297&lt;=8,"Child",F297&lt;=17,"Teen",F297&lt;=35,"Adult",F297&lt;=55,"Seniour Adult",F297&gt;=55,"Old Age")</f>
        <v>Seniour Adult</v>
      </c>
      <c r="H297" t="s">
        <v>25</v>
      </c>
      <c r="I297" t="s">
        <v>11</v>
      </c>
      <c r="J297" t="str" cm="1">
        <f t="array" ref="J297">_xlfn.IFS(I297="S","Southamptom",I297="Q","Quentown",I297="C","Cherbrug",I297="B","Cabin")</f>
        <v>Southamptom</v>
      </c>
      <c r="K297" t="s">
        <v>15</v>
      </c>
      <c r="L297" s="2">
        <v>26.11</v>
      </c>
      <c r="M297" s="2" t="str" cm="1">
        <f t="array" ref="M297">_xlfn.IFS(L297&lt;=15,"Low Fare",L297&lt;=35,"Medium Fare",L297&lt;=100,"High Fare",L297&gt;=100,"Very High Fare")</f>
        <v>Medium Fare</v>
      </c>
      <c r="N297" s="2">
        <v>0</v>
      </c>
      <c r="O297" s="2">
        <v>0</v>
      </c>
      <c r="P297">
        <f t="shared" si="17"/>
        <v>1</v>
      </c>
      <c r="Q297" t="str">
        <f t="shared" si="18"/>
        <v>Alone</v>
      </c>
      <c r="R297" t="str">
        <f t="shared" si="19"/>
        <v>Yes</v>
      </c>
      <c r="S297" t="s">
        <v>16</v>
      </c>
    </row>
    <row r="298" spans="1:19" x14ac:dyDescent="0.3">
      <c r="A298" s="1" t="s">
        <v>269</v>
      </c>
      <c r="B298" t="s">
        <v>1612</v>
      </c>
      <c r="C298" t="s">
        <v>1889</v>
      </c>
      <c r="D298" t="str">
        <f t="shared" si="16"/>
        <v>Male</v>
      </c>
      <c r="E298" t="s">
        <v>9</v>
      </c>
      <c r="F298" s="2">
        <v>1</v>
      </c>
      <c r="G298" s="2" t="str" cm="1">
        <f t="array" ref="G298">_xlfn.IFS(F298&lt;=8,"Child",F298&lt;=17,"Teen",F298&lt;=35,"Adult",F298&lt;=55,"Seniour Adult",F298&gt;=55,"Old Age")</f>
        <v>Child</v>
      </c>
      <c r="H298" t="s">
        <v>10</v>
      </c>
      <c r="I298" t="s">
        <v>11</v>
      </c>
      <c r="J298" t="str" cm="1">
        <f t="array" ref="J298">_xlfn.IFS(I298="S","Southamptom",I298="Q","Quentown",I298="C","Cherbrug",I298="B","Cabin")</f>
        <v>Southamptom</v>
      </c>
      <c r="K298" t="s">
        <v>23</v>
      </c>
      <c r="L298" s="2">
        <v>14.08</v>
      </c>
      <c r="M298" s="2" t="str" cm="1">
        <f t="array" ref="M298">_xlfn.IFS(L298&lt;=15,"Low Fare",L298&lt;=35,"Medium Fare",L298&lt;=100,"High Fare",L298&gt;=100,"Very High Fare")</f>
        <v>Low Fare</v>
      </c>
      <c r="N298" s="2">
        <v>0</v>
      </c>
      <c r="O298" s="2">
        <v>2</v>
      </c>
      <c r="P298">
        <f t="shared" si="17"/>
        <v>3</v>
      </c>
      <c r="Q298" t="str">
        <f t="shared" si="18"/>
        <v>With Family</v>
      </c>
      <c r="R298" t="str">
        <f t="shared" si="19"/>
        <v>No</v>
      </c>
      <c r="S298" t="s">
        <v>13</v>
      </c>
    </row>
    <row r="299" spans="1:19" x14ac:dyDescent="0.3">
      <c r="A299" s="1" t="s">
        <v>269</v>
      </c>
      <c r="B299" t="s">
        <v>1596</v>
      </c>
      <c r="C299" t="s">
        <v>1890</v>
      </c>
      <c r="D299" t="str">
        <f t="shared" si="16"/>
        <v>Male</v>
      </c>
      <c r="E299" t="s">
        <v>9</v>
      </c>
      <c r="F299" s="2">
        <v>34</v>
      </c>
      <c r="G299" s="2" t="str" cm="1">
        <f t="array" ref="G299">_xlfn.IFS(F299&lt;=8,"Child",F299&lt;=17,"Teen",F299&lt;=35,"Adult",F299&lt;=55,"Seniour Adult",F299&gt;=55,"Old Age")</f>
        <v>Adult</v>
      </c>
      <c r="H299" t="s">
        <v>10</v>
      </c>
      <c r="I299" t="s">
        <v>11</v>
      </c>
      <c r="J299" t="str" cm="1">
        <f t="array" ref="J299">_xlfn.IFS(I299="S","Southamptom",I299="Q","Quentown",I299="C","Cherbrug",I299="B","Cabin")</f>
        <v>Southamptom</v>
      </c>
      <c r="K299" t="s">
        <v>23</v>
      </c>
      <c r="L299" s="2">
        <v>14.08</v>
      </c>
      <c r="M299" s="2" t="str" cm="1">
        <f t="array" ref="M299">_xlfn.IFS(L299&lt;=15,"Low Fare",L299&lt;=35,"Medium Fare",L299&lt;=100,"High Fare",L299&gt;=100,"Very High Fare")</f>
        <v>Low Fare</v>
      </c>
      <c r="N299" s="2">
        <v>1</v>
      </c>
      <c r="O299" s="2">
        <v>1</v>
      </c>
      <c r="P299">
        <f t="shared" si="17"/>
        <v>3</v>
      </c>
      <c r="Q299" t="str">
        <f t="shared" si="18"/>
        <v>With Family</v>
      </c>
      <c r="R299" t="str">
        <f t="shared" si="19"/>
        <v>No</v>
      </c>
      <c r="S299" t="s">
        <v>13</v>
      </c>
    </row>
    <row r="300" spans="1:19" x14ac:dyDescent="0.3">
      <c r="A300" s="1" t="s">
        <v>269</v>
      </c>
      <c r="B300" t="s">
        <v>1600</v>
      </c>
      <c r="C300" t="s">
        <v>1891</v>
      </c>
      <c r="D300" t="str">
        <f t="shared" si="16"/>
        <v>Female</v>
      </c>
      <c r="E300" t="s">
        <v>14</v>
      </c>
      <c r="F300" s="2">
        <v>28</v>
      </c>
      <c r="G300" s="2" t="str" cm="1">
        <f t="array" ref="G300">_xlfn.IFS(F300&lt;=8,"Child",F300&lt;=17,"Teen",F300&lt;=35,"Adult",F300&lt;=55,"Seniour Adult",F300&gt;=55,"Old Age")</f>
        <v>Adult</v>
      </c>
      <c r="H300" t="s">
        <v>10</v>
      </c>
      <c r="I300" t="s">
        <v>11</v>
      </c>
      <c r="J300" t="str" cm="1">
        <f t="array" ref="J300">_xlfn.IFS(I300="S","Southamptom",I300="Q","Quentown",I300="C","Cherbrug",I300="B","Cabin")</f>
        <v>Southamptom</v>
      </c>
      <c r="K300" t="s">
        <v>23</v>
      </c>
      <c r="L300" s="2">
        <v>14.08</v>
      </c>
      <c r="M300" s="2" t="str" cm="1">
        <f t="array" ref="M300">_xlfn.IFS(L300&lt;=15,"Low Fare",L300&lt;=35,"Medium Fare",L300&lt;=100,"High Fare",L300&gt;=100,"Very High Fare")</f>
        <v>Low Fare</v>
      </c>
      <c r="N300" s="2">
        <v>1</v>
      </c>
      <c r="O300" s="2">
        <v>1</v>
      </c>
      <c r="P300">
        <f t="shared" si="17"/>
        <v>3</v>
      </c>
      <c r="Q300" t="str">
        <f t="shared" si="18"/>
        <v>With Family</v>
      </c>
      <c r="R300" t="str">
        <f t="shared" si="19"/>
        <v>No</v>
      </c>
      <c r="S300" t="s">
        <v>13</v>
      </c>
    </row>
    <row r="301" spans="1:19" x14ac:dyDescent="0.3">
      <c r="A301" s="1" t="s">
        <v>270</v>
      </c>
      <c r="B301" t="s">
        <v>1596</v>
      </c>
      <c r="C301" t="s">
        <v>1892</v>
      </c>
      <c r="D301" t="str">
        <f t="shared" si="16"/>
        <v>Male</v>
      </c>
      <c r="E301" t="s">
        <v>9</v>
      </c>
      <c r="F301" s="2">
        <v>27</v>
      </c>
      <c r="G301" s="2" t="str" cm="1">
        <f t="array" ref="G301">_xlfn.IFS(F301&lt;=8,"Child",F301&lt;=17,"Teen",F301&lt;=35,"Adult",F301&lt;=55,"Seniour Adult",F301&gt;=55,"Old Age")</f>
        <v>Adult</v>
      </c>
      <c r="H301" t="s">
        <v>25</v>
      </c>
      <c r="I301" t="s">
        <v>11</v>
      </c>
      <c r="J301" t="str" cm="1">
        <f t="array" ref="J301">_xlfn.IFS(I301="S","Southamptom",I301="Q","Quentown",I301="C","Cherbrug",I301="B","Cabin")</f>
        <v>Southamptom</v>
      </c>
      <c r="K301" t="s">
        <v>12</v>
      </c>
      <c r="L301" s="2">
        <v>30.1</v>
      </c>
      <c r="M301" s="2" t="str" cm="1">
        <f t="array" ref="M301">_xlfn.IFS(L301&lt;=15,"Low Fare",L301&lt;=35,"Medium Fare",L301&lt;=100,"High Fare",L301&gt;=100,"Very High Fare")</f>
        <v>Medium Fare</v>
      </c>
      <c r="N301" s="2">
        <v>0</v>
      </c>
      <c r="O301" s="2">
        <v>0</v>
      </c>
      <c r="P301">
        <f t="shared" si="17"/>
        <v>1</v>
      </c>
      <c r="Q301" t="str">
        <f t="shared" si="18"/>
        <v>Alone</v>
      </c>
      <c r="R301" t="str">
        <f t="shared" si="19"/>
        <v>Yes</v>
      </c>
      <c r="S301" t="s">
        <v>16</v>
      </c>
    </row>
    <row r="302" spans="1:19" x14ac:dyDescent="0.3">
      <c r="A302" s="1" t="s">
        <v>271</v>
      </c>
      <c r="B302" t="s">
        <v>1602</v>
      </c>
      <c r="C302" t="s">
        <v>1893</v>
      </c>
      <c r="D302" t="str">
        <f t="shared" si="16"/>
        <v>Female</v>
      </c>
      <c r="E302" t="s">
        <v>14</v>
      </c>
      <c r="F302" s="2">
        <v>36</v>
      </c>
      <c r="G302" s="2" t="str" cm="1">
        <f t="array" ref="G302">_xlfn.IFS(F302&lt;=8,"Child",F302&lt;=17,"Teen",F302&lt;=35,"Adult",F302&lt;=55,"Seniour Adult",F302&gt;=55,"Old Age")</f>
        <v>Seniour Adult</v>
      </c>
      <c r="H302" t="s">
        <v>25</v>
      </c>
      <c r="I302" t="s">
        <v>11</v>
      </c>
      <c r="J302" t="str" cm="1">
        <f t="array" ref="J302">_xlfn.IFS(I302="S","Southamptom",I302="Q","Quentown",I302="C","Cherbrug",I302="B","Cabin")</f>
        <v>Southamptom</v>
      </c>
      <c r="K302" t="s">
        <v>15</v>
      </c>
      <c r="L302" s="2">
        <v>151.16</v>
      </c>
      <c r="M302" s="2" t="str" cm="1">
        <f t="array" ref="M302">_xlfn.IFS(L302&lt;=15,"Low Fare",L302&lt;=35,"Medium Fare",L302&lt;=100,"High Fare",L302&gt;=100,"Very High Fare")</f>
        <v>Very High Fare</v>
      </c>
      <c r="N302" s="2">
        <v>0</v>
      </c>
      <c r="O302" s="2">
        <v>0</v>
      </c>
      <c r="P302">
        <f t="shared" si="17"/>
        <v>1</v>
      </c>
      <c r="Q302" t="str">
        <f t="shared" si="18"/>
        <v>Alone</v>
      </c>
      <c r="R302" t="str">
        <f t="shared" si="19"/>
        <v>Yes</v>
      </c>
      <c r="S302" t="s">
        <v>16</v>
      </c>
    </row>
    <row r="303" spans="1:19" x14ac:dyDescent="0.3">
      <c r="A303" s="1" t="s">
        <v>272</v>
      </c>
      <c r="B303" t="s">
        <v>1596</v>
      </c>
      <c r="C303" t="s">
        <v>1894</v>
      </c>
      <c r="D303" t="str">
        <f t="shared" si="16"/>
        <v>Male</v>
      </c>
      <c r="E303" t="s">
        <v>9</v>
      </c>
      <c r="F303" s="2">
        <v>27</v>
      </c>
      <c r="G303" s="2" t="str" cm="1">
        <f t="array" ref="G303">_xlfn.IFS(F303&lt;=8,"Child",F303&lt;=17,"Teen",F303&lt;=35,"Adult",F303&lt;=55,"Seniour Adult",F303&gt;=55,"Old Age")</f>
        <v>Adult</v>
      </c>
      <c r="H303" t="s">
        <v>10</v>
      </c>
      <c r="I303" t="s">
        <v>11</v>
      </c>
      <c r="J303" t="str" cm="1">
        <f t="array" ref="J303">_xlfn.IFS(I303="S","Southamptom",I303="Q","Quentown",I303="C","Cherbrug",I303="B","Cabin")</f>
        <v>Southamptom</v>
      </c>
      <c r="K303" t="s">
        <v>15</v>
      </c>
      <c r="L303" s="2">
        <v>7.1711</v>
      </c>
      <c r="M303" s="2" t="str" cm="1">
        <f t="array" ref="M303">_xlfn.IFS(L303&lt;=15,"Low Fare",L303&lt;=35,"Medium Fare",L303&lt;=100,"High Fare",L303&gt;=100,"Very High Fare")</f>
        <v>Low Fare</v>
      </c>
      <c r="N303" s="2">
        <v>0</v>
      </c>
      <c r="O303" s="2">
        <v>0</v>
      </c>
      <c r="P303">
        <f t="shared" si="17"/>
        <v>1</v>
      </c>
      <c r="Q303" t="str">
        <f t="shared" si="18"/>
        <v>Alone</v>
      </c>
      <c r="R303" t="str">
        <f t="shared" si="19"/>
        <v>No</v>
      </c>
      <c r="S303" t="s">
        <v>13</v>
      </c>
    </row>
    <row r="304" spans="1:19" x14ac:dyDescent="0.3">
      <c r="A304" s="1" t="s">
        <v>273</v>
      </c>
      <c r="B304" t="s">
        <v>1600</v>
      </c>
      <c r="C304" t="s">
        <v>1895</v>
      </c>
      <c r="D304" t="str">
        <f t="shared" si="16"/>
        <v>Female</v>
      </c>
      <c r="E304" t="s">
        <v>14</v>
      </c>
      <c r="F304" s="2">
        <v>27</v>
      </c>
      <c r="G304" s="2" t="str" cm="1">
        <f t="array" ref="G304">_xlfn.IFS(F304&lt;=8,"Child",F304&lt;=17,"Teen",F304&lt;=35,"Adult",F304&lt;=55,"Seniour Adult",F304&gt;=55,"Old Age")</f>
        <v>Adult</v>
      </c>
      <c r="H304" t="s">
        <v>25</v>
      </c>
      <c r="I304" t="s">
        <v>19</v>
      </c>
      <c r="J304" t="str" cm="1">
        <f t="array" ref="J304">_xlfn.IFS(I304="S","Southamptom",I304="Q","Quentown",I304="C","Cherbrug",I304="B","Cabin")</f>
        <v>Cherbrug</v>
      </c>
      <c r="K304" t="s">
        <v>26</v>
      </c>
      <c r="L304" s="2">
        <v>52</v>
      </c>
      <c r="M304" s="2" t="str" cm="1">
        <f t="array" ref="M304">_xlfn.IFS(L304&lt;=15,"Low Fare",L304&lt;=35,"Medium Fare",L304&lt;=100,"High Fare",L304&gt;=100,"Very High Fare")</f>
        <v>High Fare</v>
      </c>
      <c r="N304" s="2">
        <v>1</v>
      </c>
      <c r="O304" s="2">
        <v>2</v>
      </c>
      <c r="P304">
        <f t="shared" si="17"/>
        <v>4</v>
      </c>
      <c r="Q304" t="str">
        <f t="shared" si="18"/>
        <v>With Family</v>
      </c>
      <c r="R304" t="str">
        <f t="shared" si="19"/>
        <v>Yes</v>
      </c>
      <c r="S304" t="s">
        <v>16</v>
      </c>
    </row>
    <row r="305" spans="1:19" x14ac:dyDescent="0.3">
      <c r="A305" s="1" t="s">
        <v>273</v>
      </c>
      <c r="B305" t="s">
        <v>1596</v>
      </c>
      <c r="C305" t="s">
        <v>1896</v>
      </c>
      <c r="D305" t="str">
        <f t="shared" si="16"/>
        <v>Male</v>
      </c>
      <c r="E305" t="s">
        <v>9</v>
      </c>
      <c r="F305" s="2">
        <v>31</v>
      </c>
      <c r="G305" s="2" t="str" cm="1">
        <f t="array" ref="G305">_xlfn.IFS(F305&lt;=8,"Child",F305&lt;=17,"Teen",F305&lt;=35,"Adult",F305&lt;=55,"Seniour Adult",F305&gt;=55,"Old Age")</f>
        <v>Adult</v>
      </c>
      <c r="H305" t="s">
        <v>25</v>
      </c>
      <c r="I305" t="s">
        <v>19</v>
      </c>
      <c r="J305" t="str" cm="1">
        <f t="array" ref="J305">_xlfn.IFS(I305="S","Southamptom",I305="Q","Quentown",I305="C","Cherbrug",I305="B","Cabin")</f>
        <v>Cherbrug</v>
      </c>
      <c r="K305" t="s">
        <v>26</v>
      </c>
      <c r="L305" s="2">
        <v>52</v>
      </c>
      <c r="M305" s="2" t="str" cm="1">
        <f t="array" ref="M305">_xlfn.IFS(L305&lt;=15,"Low Fare",L305&lt;=35,"Medium Fare",L305&lt;=100,"High Fare",L305&gt;=100,"Very High Fare")</f>
        <v>High Fare</v>
      </c>
      <c r="N305" s="2">
        <v>1</v>
      </c>
      <c r="O305" s="2">
        <v>0</v>
      </c>
      <c r="P305">
        <f t="shared" si="17"/>
        <v>2</v>
      </c>
      <c r="Q305" t="str">
        <f t="shared" si="18"/>
        <v>With Family</v>
      </c>
      <c r="R305" t="str">
        <f t="shared" si="19"/>
        <v>No</v>
      </c>
      <c r="S305" t="s">
        <v>13</v>
      </c>
    </row>
    <row r="306" spans="1:19" x14ac:dyDescent="0.3">
      <c r="A306" s="1" t="s">
        <v>274</v>
      </c>
      <c r="B306" t="s">
        <v>1612</v>
      </c>
      <c r="C306" t="s">
        <v>1897</v>
      </c>
      <c r="D306" t="str">
        <f t="shared" si="16"/>
        <v>Male</v>
      </c>
      <c r="E306" t="s">
        <v>9</v>
      </c>
      <c r="F306" s="2">
        <v>8</v>
      </c>
      <c r="G306" s="2" t="str" cm="1">
        <f t="array" ref="G306">_xlfn.IFS(F306&lt;=8,"Child",F306&lt;=17,"Teen",F306&lt;=35,"Adult",F306&lt;=55,"Seniour Adult",F306&gt;=55,"Old Age")</f>
        <v>Child</v>
      </c>
      <c r="H306" t="s">
        <v>18</v>
      </c>
      <c r="I306" t="s">
        <v>11</v>
      </c>
      <c r="J306" t="str" cm="1">
        <f t="array" ref="J306">_xlfn.IFS(I306="S","Southamptom",I306="Q","Quentown",I306="C","Cherbrug",I306="B","Cabin")</f>
        <v>Southamptom</v>
      </c>
      <c r="K306" t="s">
        <v>15</v>
      </c>
      <c r="L306" s="2">
        <v>36.15</v>
      </c>
      <c r="M306" s="2" t="str" cm="1">
        <f t="array" ref="M306">_xlfn.IFS(L306&lt;=15,"Low Fare",L306&lt;=35,"Medium Fare",L306&lt;=100,"High Fare",L306&gt;=100,"Very High Fare")</f>
        <v>High Fare</v>
      </c>
      <c r="N306" s="2">
        <v>1</v>
      </c>
      <c r="O306" s="2">
        <v>1</v>
      </c>
      <c r="P306">
        <f t="shared" si="17"/>
        <v>3</v>
      </c>
      <c r="Q306" t="str">
        <f t="shared" si="18"/>
        <v>With Family</v>
      </c>
      <c r="R306" t="str">
        <f t="shared" si="19"/>
        <v>Yes</v>
      </c>
      <c r="S306" t="s">
        <v>16</v>
      </c>
    </row>
    <row r="307" spans="1:19" x14ac:dyDescent="0.3">
      <c r="A307" s="1" t="s">
        <v>274</v>
      </c>
      <c r="B307" t="s">
        <v>1596</v>
      </c>
      <c r="C307" t="s">
        <v>1898</v>
      </c>
      <c r="D307" t="str">
        <f t="shared" si="16"/>
        <v>Male</v>
      </c>
      <c r="E307" t="s">
        <v>9</v>
      </c>
      <c r="F307" s="2">
        <v>24</v>
      </c>
      <c r="G307" s="2" t="str" cm="1">
        <f t="array" ref="G307">_xlfn.IFS(F307&lt;=8,"Child",F307&lt;=17,"Teen",F307&lt;=35,"Adult",F307&lt;=55,"Seniour Adult",F307&gt;=55,"Old Age")</f>
        <v>Adult</v>
      </c>
      <c r="H307" t="s">
        <v>10</v>
      </c>
      <c r="I307" t="s">
        <v>11</v>
      </c>
      <c r="J307" t="str" cm="1">
        <f t="array" ref="J307">_xlfn.IFS(I307="S","Southamptom",I307="Q","Quentown",I307="C","Cherbrug",I307="B","Cabin")</f>
        <v>Southamptom</v>
      </c>
      <c r="K307" t="s">
        <v>15</v>
      </c>
      <c r="L307" s="2">
        <v>24.03</v>
      </c>
      <c r="M307" s="2" t="str" cm="1">
        <f t="array" ref="M307">_xlfn.IFS(L307&lt;=15,"Low Fare",L307&lt;=35,"Medium Fare",L307&lt;=100,"High Fare",L307&gt;=100,"Very High Fare")</f>
        <v>Medium Fare</v>
      </c>
      <c r="N307" s="2">
        <v>2</v>
      </c>
      <c r="O307" s="2">
        <v>0</v>
      </c>
      <c r="P307">
        <f t="shared" si="17"/>
        <v>3</v>
      </c>
      <c r="Q307" t="str">
        <f t="shared" si="18"/>
        <v>With Family</v>
      </c>
      <c r="R307" t="str">
        <f t="shared" si="19"/>
        <v>No</v>
      </c>
      <c r="S307" t="s">
        <v>13</v>
      </c>
    </row>
    <row r="308" spans="1:19" x14ac:dyDescent="0.3">
      <c r="A308" s="1" t="s">
        <v>274</v>
      </c>
      <c r="B308" t="s">
        <v>1596</v>
      </c>
      <c r="C308" t="s">
        <v>1821</v>
      </c>
      <c r="D308" t="str">
        <f t="shared" si="16"/>
        <v>Male</v>
      </c>
      <c r="E308" t="s">
        <v>9</v>
      </c>
      <c r="F308" s="2">
        <v>19</v>
      </c>
      <c r="G308" s="2" t="str" cm="1">
        <f t="array" ref="G308">_xlfn.IFS(F308&lt;=8,"Child",F308&lt;=17,"Teen",F308&lt;=35,"Adult",F308&lt;=55,"Seniour Adult",F308&gt;=55,"Old Age")</f>
        <v>Adult</v>
      </c>
      <c r="H308" t="s">
        <v>18</v>
      </c>
      <c r="I308" t="s">
        <v>11</v>
      </c>
      <c r="J308" t="str" cm="1">
        <f t="array" ref="J308">_xlfn.IFS(I308="S","Southamptom",I308="Q","Quentown",I308="C","Cherbrug",I308="B","Cabin")</f>
        <v>Southamptom</v>
      </c>
      <c r="K308" t="s">
        <v>15</v>
      </c>
      <c r="L308" s="2">
        <v>73.099999999999994</v>
      </c>
      <c r="M308" s="2" t="str" cm="1">
        <f t="array" ref="M308">_xlfn.IFS(L308&lt;=15,"Low Fare",L308&lt;=35,"Medium Fare",L308&lt;=100,"High Fare",L308&gt;=100,"Very High Fare")</f>
        <v>High Fare</v>
      </c>
      <c r="N308" s="2">
        <v>0</v>
      </c>
      <c r="O308" s="2">
        <v>0</v>
      </c>
      <c r="P308">
        <f t="shared" si="17"/>
        <v>1</v>
      </c>
      <c r="Q308" t="str">
        <f t="shared" si="18"/>
        <v>Alone</v>
      </c>
      <c r="R308" t="str">
        <f t="shared" si="19"/>
        <v>No</v>
      </c>
      <c r="S308" t="s">
        <v>13</v>
      </c>
    </row>
    <row r="309" spans="1:19" x14ac:dyDescent="0.3">
      <c r="A309" s="1" t="s">
        <v>274</v>
      </c>
      <c r="B309" t="s">
        <v>1596</v>
      </c>
      <c r="C309" t="s">
        <v>1899</v>
      </c>
      <c r="D309" t="str">
        <f t="shared" si="16"/>
        <v>Male</v>
      </c>
      <c r="E309" t="s">
        <v>9</v>
      </c>
      <c r="F309" s="2">
        <v>22</v>
      </c>
      <c r="G309" s="2" t="str" cm="1">
        <f t="array" ref="G309">_xlfn.IFS(F309&lt;=8,"Child",F309&lt;=17,"Teen",F309&lt;=35,"Adult",F309&lt;=55,"Seniour Adult",F309&gt;=55,"Old Age")</f>
        <v>Adult</v>
      </c>
      <c r="H309" t="s">
        <v>10</v>
      </c>
      <c r="I309" t="s">
        <v>11</v>
      </c>
      <c r="J309" t="str" cm="1">
        <f t="array" ref="J309">_xlfn.IFS(I309="S","Southamptom",I309="Q","Quentown",I309="C","Cherbrug",I309="B","Cabin")</f>
        <v>Southamptom</v>
      </c>
      <c r="K309" t="s">
        <v>40</v>
      </c>
      <c r="L309" s="2">
        <v>8.01</v>
      </c>
      <c r="M309" s="2" t="str" cm="1">
        <f t="array" ref="M309">_xlfn.IFS(L309&lt;=15,"Low Fare",L309&lt;=35,"Medium Fare",L309&lt;=100,"High Fare",L309&gt;=100,"Very High Fare")</f>
        <v>Low Fare</v>
      </c>
      <c r="N309" s="2">
        <v>0</v>
      </c>
      <c r="O309" s="2">
        <v>0</v>
      </c>
      <c r="P309">
        <f t="shared" si="17"/>
        <v>1</v>
      </c>
      <c r="Q309" t="str">
        <f t="shared" si="18"/>
        <v>Alone</v>
      </c>
      <c r="R309" t="str">
        <f t="shared" si="19"/>
        <v>No</v>
      </c>
      <c r="S309" t="s">
        <v>13</v>
      </c>
    </row>
    <row r="310" spans="1:19" x14ac:dyDescent="0.3">
      <c r="A310" s="1" t="s">
        <v>274</v>
      </c>
      <c r="B310" t="s">
        <v>1596</v>
      </c>
      <c r="C310" t="s">
        <v>1610</v>
      </c>
      <c r="D310" t="str">
        <f t="shared" si="16"/>
        <v>Male</v>
      </c>
      <c r="E310" t="s">
        <v>9</v>
      </c>
      <c r="F310" s="2">
        <v>22</v>
      </c>
      <c r="G310" s="2" t="str" cm="1">
        <f t="array" ref="G310">_xlfn.IFS(F310&lt;=8,"Child",F310&lt;=17,"Teen",F310&lt;=35,"Adult",F310&lt;=55,"Seniour Adult",F310&gt;=55,"Old Age")</f>
        <v>Adult</v>
      </c>
      <c r="H310" t="s">
        <v>10</v>
      </c>
      <c r="I310" t="s">
        <v>11</v>
      </c>
      <c r="J310" t="str" cm="1">
        <f t="array" ref="J310">_xlfn.IFS(I310="S","Southamptom",I310="Q","Quentown",I310="C","Cherbrug",I310="B","Cabin")</f>
        <v>Southamptom</v>
      </c>
      <c r="K310" t="s">
        <v>15</v>
      </c>
      <c r="L310" s="2">
        <v>24.03</v>
      </c>
      <c r="M310" s="2" t="str" cm="1">
        <f t="array" ref="M310">_xlfn.IFS(L310&lt;=15,"Low Fare",L310&lt;=35,"Medium Fare",L310&lt;=100,"High Fare",L310&gt;=100,"Very High Fare")</f>
        <v>Medium Fare</v>
      </c>
      <c r="N310" s="2">
        <v>2</v>
      </c>
      <c r="O310" s="2">
        <v>0</v>
      </c>
      <c r="P310">
        <f t="shared" si="17"/>
        <v>3</v>
      </c>
      <c r="Q310" t="str">
        <f t="shared" si="18"/>
        <v>With Family</v>
      </c>
      <c r="R310" t="str">
        <f t="shared" si="19"/>
        <v>No</v>
      </c>
      <c r="S310" t="s">
        <v>13</v>
      </c>
    </row>
    <row r="311" spans="1:19" x14ac:dyDescent="0.3">
      <c r="A311" s="1" t="s">
        <v>274</v>
      </c>
      <c r="B311" t="s">
        <v>1596</v>
      </c>
      <c r="C311" t="s">
        <v>1795</v>
      </c>
      <c r="D311" t="str">
        <f t="shared" si="16"/>
        <v>Male</v>
      </c>
      <c r="E311" t="s">
        <v>9</v>
      </c>
      <c r="F311" s="2">
        <v>17</v>
      </c>
      <c r="G311" s="2" t="str" cm="1">
        <f t="array" ref="G311">_xlfn.IFS(F311&lt;=8,"Child",F311&lt;=17,"Teen",F311&lt;=35,"Adult",F311&lt;=55,"Seniour Adult",F311&gt;=55,"Old Age")</f>
        <v>Teen</v>
      </c>
      <c r="H311" t="s">
        <v>10</v>
      </c>
      <c r="I311" t="s">
        <v>11</v>
      </c>
      <c r="J311" t="str" cm="1">
        <f t="array" ref="J311">_xlfn.IFS(I311="S","Southamptom",I311="Q","Quentown",I311="C","Cherbrug",I311="B","Cabin")</f>
        <v>Southamptom</v>
      </c>
      <c r="K311" t="s">
        <v>15</v>
      </c>
      <c r="L311" s="2">
        <v>8.01</v>
      </c>
      <c r="M311" s="2" t="str" cm="1">
        <f t="array" ref="M311">_xlfn.IFS(L311&lt;=15,"Low Fare",L311&lt;=35,"Medium Fare",L311&lt;=100,"High Fare",L311&gt;=100,"Very High Fare")</f>
        <v>Low Fare</v>
      </c>
      <c r="N311" s="2">
        <v>2</v>
      </c>
      <c r="O311" s="2">
        <v>0</v>
      </c>
      <c r="P311">
        <f t="shared" si="17"/>
        <v>3</v>
      </c>
      <c r="Q311" t="str">
        <f t="shared" si="18"/>
        <v>With Family</v>
      </c>
      <c r="R311" t="str">
        <f t="shared" si="19"/>
        <v>No</v>
      </c>
      <c r="S311" t="s">
        <v>13</v>
      </c>
    </row>
    <row r="312" spans="1:19" x14ac:dyDescent="0.3">
      <c r="A312" s="1" t="s">
        <v>274</v>
      </c>
      <c r="B312" t="s">
        <v>1600</v>
      </c>
      <c r="C312" t="s">
        <v>1900</v>
      </c>
      <c r="D312" t="str">
        <f t="shared" si="16"/>
        <v>Female</v>
      </c>
      <c r="E312" t="s">
        <v>14</v>
      </c>
      <c r="F312" s="2">
        <v>48</v>
      </c>
      <c r="G312" s="2" t="str" cm="1">
        <f t="array" ref="G312">_xlfn.IFS(F312&lt;=8,"Child",F312&lt;=17,"Teen",F312&lt;=35,"Adult",F312&lt;=55,"Seniour Adult",F312&gt;=55,"Old Age")</f>
        <v>Seniour Adult</v>
      </c>
      <c r="H312" t="s">
        <v>18</v>
      </c>
      <c r="I312" t="s">
        <v>11</v>
      </c>
      <c r="J312" t="str" cm="1">
        <f t="array" ref="J312">_xlfn.IFS(I312="S","Southamptom",I312="Q","Quentown",I312="C","Cherbrug",I312="B","Cabin")</f>
        <v>Southamptom</v>
      </c>
      <c r="K312" t="s">
        <v>15</v>
      </c>
      <c r="L312" s="2">
        <v>36.15</v>
      </c>
      <c r="M312" s="2" t="str" cm="1">
        <f t="array" ref="M312">_xlfn.IFS(L312&lt;=15,"Low Fare",L312&lt;=35,"Medium Fare",L312&lt;=100,"High Fare",L312&gt;=100,"Very High Fare")</f>
        <v>High Fare</v>
      </c>
      <c r="N312" s="2">
        <v>0</v>
      </c>
      <c r="O312" s="2">
        <v>2</v>
      </c>
      <c r="P312">
        <f t="shared" si="17"/>
        <v>3</v>
      </c>
      <c r="Q312" t="str">
        <f t="shared" si="18"/>
        <v>With Family</v>
      </c>
      <c r="R312" t="str">
        <f t="shared" si="19"/>
        <v>Yes</v>
      </c>
      <c r="S312" t="s">
        <v>16</v>
      </c>
    </row>
    <row r="313" spans="1:19" x14ac:dyDescent="0.3">
      <c r="A313" s="1" t="s">
        <v>275</v>
      </c>
      <c r="B313" t="s">
        <v>1602</v>
      </c>
      <c r="C313" t="s">
        <v>1901</v>
      </c>
      <c r="D313" t="str">
        <f t="shared" si="16"/>
        <v>Female</v>
      </c>
      <c r="E313" t="s">
        <v>14</v>
      </c>
      <c r="F313" s="2">
        <v>28</v>
      </c>
      <c r="G313" s="2" t="str" cm="1">
        <f t="array" ref="G313">_xlfn.IFS(F313&lt;=8,"Child",F313&lt;=17,"Teen",F313&lt;=35,"Adult",F313&lt;=55,"Seniour Adult",F313&gt;=55,"Old Age")</f>
        <v>Adult</v>
      </c>
      <c r="H313" t="s">
        <v>18</v>
      </c>
      <c r="I313" t="s">
        <v>11</v>
      </c>
      <c r="J313" t="str" cm="1">
        <f t="array" ref="J313">_xlfn.IFS(I313="S","Southamptom",I313="Q","Quentown",I313="C","Cherbrug",I313="B","Cabin")</f>
        <v>Southamptom</v>
      </c>
      <c r="K313" t="s">
        <v>15</v>
      </c>
      <c r="L313" s="2">
        <v>13</v>
      </c>
      <c r="M313" s="2" t="str" cm="1">
        <f t="array" ref="M313">_xlfn.IFS(L313&lt;=15,"Low Fare",L313&lt;=35,"Medium Fare",L313&lt;=100,"High Fare",L313&gt;=100,"Very High Fare")</f>
        <v>Low Fare</v>
      </c>
      <c r="N313" s="2">
        <v>0</v>
      </c>
      <c r="O313" s="2">
        <v>0</v>
      </c>
      <c r="P313">
        <f t="shared" si="17"/>
        <v>1</v>
      </c>
      <c r="Q313" t="str">
        <f t="shared" si="18"/>
        <v>Alone</v>
      </c>
      <c r="R313" t="str">
        <f t="shared" si="19"/>
        <v>Yes</v>
      </c>
      <c r="S313" t="s">
        <v>16</v>
      </c>
    </row>
    <row r="314" spans="1:19" x14ac:dyDescent="0.3">
      <c r="A314" s="1" t="s">
        <v>276</v>
      </c>
      <c r="B314" t="s">
        <v>1600</v>
      </c>
      <c r="C314" t="s">
        <v>1902</v>
      </c>
      <c r="D314" t="str">
        <f t="shared" si="16"/>
        <v>Female</v>
      </c>
      <c r="E314" t="s">
        <v>14</v>
      </c>
      <c r="F314" s="2">
        <v>34</v>
      </c>
      <c r="G314" s="2" t="str" cm="1">
        <f t="array" ref="G314">_xlfn.IFS(F314&lt;=8,"Child",F314&lt;=17,"Teen",F314&lt;=35,"Adult",F314&lt;=55,"Seniour Adult",F314&gt;=55,"Old Age")</f>
        <v>Adult</v>
      </c>
      <c r="H314" t="s">
        <v>10</v>
      </c>
      <c r="I314" t="s">
        <v>11</v>
      </c>
      <c r="J314" t="str" cm="1">
        <f t="array" ref="J314">_xlfn.IFS(I314="S","Southamptom",I314="Q","Quentown",I314="C","Cherbrug",I314="B","Cabin")</f>
        <v>Southamptom</v>
      </c>
      <c r="K314" t="s">
        <v>15</v>
      </c>
      <c r="L314" s="2">
        <v>16.02</v>
      </c>
      <c r="M314" s="2" t="str" cm="1">
        <f t="array" ref="M314">_xlfn.IFS(L314&lt;=15,"Low Fare",L314&lt;=35,"Medium Fare",L314&lt;=100,"High Fare",L314&gt;=100,"Very High Fare")</f>
        <v>Medium Fare</v>
      </c>
      <c r="N314" s="2">
        <v>1</v>
      </c>
      <c r="O314" s="2">
        <v>0</v>
      </c>
      <c r="P314">
        <f t="shared" si="17"/>
        <v>2</v>
      </c>
      <c r="Q314" t="str">
        <f t="shared" si="18"/>
        <v>With Family</v>
      </c>
      <c r="R314" t="str">
        <f t="shared" si="19"/>
        <v>Yes</v>
      </c>
      <c r="S314" t="s">
        <v>16</v>
      </c>
    </row>
    <row r="315" spans="1:19" x14ac:dyDescent="0.3">
      <c r="A315" s="1" t="s">
        <v>276</v>
      </c>
      <c r="B315" t="s">
        <v>1596</v>
      </c>
      <c r="C315" t="s">
        <v>1857</v>
      </c>
      <c r="D315" t="str">
        <f t="shared" si="16"/>
        <v>Male</v>
      </c>
      <c r="E315" t="s">
        <v>9</v>
      </c>
      <c r="F315" s="2">
        <v>32</v>
      </c>
      <c r="G315" s="2" t="str" cm="1">
        <f t="array" ref="G315">_xlfn.IFS(F315&lt;=8,"Child",F315&lt;=17,"Teen",F315&lt;=35,"Adult",F315&lt;=55,"Seniour Adult",F315&gt;=55,"Old Age")</f>
        <v>Adult</v>
      </c>
      <c r="H315" t="s">
        <v>10</v>
      </c>
      <c r="I315" t="s">
        <v>11</v>
      </c>
      <c r="J315" t="str" cm="1">
        <f t="array" ref="J315">_xlfn.IFS(I315="S","Southamptom",I315="Q","Quentown",I315="C","Cherbrug",I315="B","Cabin")</f>
        <v>Southamptom</v>
      </c>
      <c r="K315" t="s">
        <v>15</v>
      </c>
      <c r="L315" s="2">
        <v>16.02</v>
      </c>
      <c r="M315" s="2" t="str" cm="1">
        <f t="array" ref="M315">_xlfn.IFS(L315&lt;=15,"Low Fare",L315&lt;=35,"Medium Fare",L315&lt;=100,"High Fare",L315&gt;=100,"Very High Fare")</f>
        <v>Medium Fare</v>
      </c>
      <c r="N315" s="2">
        <v>1</v>
      </c>
      <c r="O315" s="2">
        <v>0</v>
      </c>
      <c r="P315">
        <f t="shared" si="17"/>
        <v>2</v>
      </c>
      <c r="Q315" t="str">
        <f t="shared" si="18"/>
        <v>With Family</v>
      </c>
      <c r="R315" t="str">
        <f t="shared" si="19"/>
        <v>No</v>
      </c>
      <c r="S315" t="s">
        <v>13</v>
      </c>
    </row>
    <row r="316" spans="1:19" x14ac:dyDescent="0.3">
      <c r="A316" s="1" t="s">
        <v>277</v>
      </c>
      <c r="B316" t="s">
        <v>1596</v>
      </c>
      <c r="C316" t="s">
        <v>1903</v>
      </c>
      <c r="D316" t="str">
        <f t="shared" si="16"/>
        <v>Male</v>
      </c>
      <c r="E316" t="s">
        <v>9</v>
      </c>
      <c r="F316" s="2">
        <v>18</v>
      </c>
      <c r="G316" s="2" t="str" cm="1">
        <f t="array" ref="G316">_xlfn.IFS(F316&lt;=8,"Child",F316&lt;=17,"Teen",F316&lt;=35,"Adult",F316&lt;=55,"Seniour Adult",F316&gt;=55,"Old Age")</f>
        <v>Adult</v>
      </c>
      <c r="H316" t="s">
        <v>18</v>
      </c>
      <c r="I316" t="s">
        <v>11</v>
      </c>
      <c r="J316" t="str" cm="1">
        <f t="array" ref="J316">_xlfn.IFS(I316="S","Southamptom",I316="Q","Quentown",I316="C","Cherbrug",I316="B","Cabin")</f>
        <v>Southamptom</v>
      </c>
      <c r="K316" t="s">
        <v>15</v>
      </c>
      <c r="L316" s="2">
        <v>73.099999999999994</v>
      </c>
      <c r="M316" s="2" t="str" cm="1">
        <f t="array" ref="M316">_xlfn.IFS(L316&lt;=15,"Low Fare",L316&lt;=35,"Medium Fare",L316&lt;=100,"High Fare",L316&gt;=100,"Very High Fare")</f>
        <v>High Fare</v>
      </c>
      <c r="N316" s="2">
        <v>0</v>
      </c>
      <c r="O316" s="2">
        <v>0</v>
      </c>
      <c r="P316">
        <f t="shared" si="17"/>
        <v>1</v>
      </c>
      <c r="Q316" t="str">
        <f t="shared" si="18"/>
        <v>Alone</v>
      </c>
      <c r="R316" t="str">
        <f t="shared" si="19"/>
        <v>No</v>
      </c>
      <c r="S316" t="s">
        <v>13</v>
      </c>
    </row>
    <row r="317" spans="1:19" x14ac:dyDescent="0.3">
      <c r="A317" s="1" t="s">
        <v>278</v>
      </c>
      <c r="B317" t="s">
        <v>1612</v>
      </c>
      <c r="C317" t="s">
        <v>1904</v>
      </c>
      <c r="D317" t="str">
        <f t="shared" si="16"/>
        <v>Male</v>
      </c>
      <c r="E317" t="s">
        <v>9</v>
      </c>
      <c r="F317" s="2">
        <v>1</v>
      </c>
      <c r="G317" s="2" t="str" cm="1">
        <f t="array" ref="G317">_xlfn.IFS(F317&lt;=8,"Child",F317&lt;=17,"Teen",F317&lt;=35,"Adult",F317&lt;=55,"Seniour Adult",F317&gt;=55,"Old Age")</f>
        <v>Child</v>
      </c>
      <c r="H317" t="s">
        <v>10</v>
      </c>
      <c r="I317" t="s">
        <v>11</v>
      </c>
      <c r="J317" t="str" cm="1">
        <f t="array" ref="J317">_xlfn.IFS(I317="S","Southamptom",I317="Q","Quentown",I317="C","Cherbrug",I317="B","Cabin")</f>
        <v>Southamptom</v>
      </c>
      <c r="K317" t="s">
        <v>15</v>
      </c>
      <c r="L317" s="2">
        <v>20.110600000000002</v>
      </c>
      <c r="M317" s="2" t="str" cm="1">
        <f t="array" ref="M317">_xlfn.IFS(L317&lt;=15,"Low Fare",L317&lt;=35,"Medium Fare",L317&lt;=100,"High Fare",L317&gt;=100,"Very High Fare")</f>
        <v>Medium Fare</v>
      </c>
      <c r="N317" s="2">
        <v>1</v>
      </c>
      <c r="O317" s="2">
        <v>2</v>
      </c>
      <c r="P317">
        <f t="shared" si="17"/>
        <v>4</v>
      </c>
      <c r="Q317" t="str">
        <f t="shared" si="18"/>
        <v>With Family</v>
      </c>
      <c r="R317" t="str">
        <f t="shared" si="19"/>
        <v>Yes</v>
      </c>
      <c r="S317" t="s">
        <v>16</v>
      </c>
    </row>
    <row r="318" spans="1:19" x14ac:dyDescent="0.3">
      <c r="A318" s="1" t="s">
        <v>278</v>
      </c>
      <c r="B318" t="s">
        <v>1602</v>
      </c>
      <c r="C318" t="s">
        <v>1905</v>
      </c>
      <c r="D318" t="str">
        <f t="shared" si="16"/>
        <v>Female</v>
      </c>
      <c r="E318" t="s">
        <v>14</v>
      </c>
      <c r="F318" s="2">
        <v>1</v>
      </c>
      <c r="G318" s="2" t="str" cm="1">
        <f t="array" ref="G318">_xlfn.IFS(F318&lt;=8,"Child",F318&lt;=17,"Teen",F318&lt;=35,"Adult",F318&lt;=55,"Seniour Adult",F318&gt;=55,"Old Age")</f>
        <v>Child</v>
      </c>
      <c r="H318" t="s">
        <v>10</v>
      </c>
      <c r="I318" t="s">
        <v>11</v>
      </c>
      <c r="J318" t="str" cm="1">
        <f t="array" ref="J318">_xlfn.IFS(I318="S","Southamptom",I318="Q","Quentown",I318="C","Cherbrug",I318="B","Cabin")</f>
        <v>Southamptom</v>
      </c>
      <c r="K318" t="s">
        <v>15</v>
      </c>
      <c r="L318" s="2">
        <v>20.110600000000002</v>
      </c>
      <c r="M318" s="2" t="str" cm="1">
        <f t="array" ref="M318">_xlfn.IFS(L318&lt;=15,"Low Fare",L318&lt;=35,"Medium Fare",L318&lt;=100,"High Fare",L318&gt;=100,"Very High Fare")</f>
        <v>Medium Fare</v>
      </c>
      <c r="N318" s="2">
        <v>1</v>
      </c>
      <c r="O318" s="2">
        <v>2</v>
      </c>
      <c r="P318">
        <f t="shared" si="17"/>
        <v>4</v>
      </c>
      <c r="Q318" t="str">
        <f t="shared" si="18"/>
        <v>With Family</v>
      </c>
      <c r="R318" t="str">
        <f t="shared" si="19"/>
        <v>Yes</v>
      </c>
      <c r="S318" t="s">
        <v>16</v>
      </c>
    </row>
    <row r="319" spans="1:19" x14ac:dyDescent="0.3">
      <c r="A319" s="1" t="s">
        <v>278</v>
      </c>
      <c r="B319" t="s">
        <v>1596</v>
      </c>
      <c r="C319" t="s">
        <v>1906</v>
      </c>
      <c r="D319" t="str">
        <f t="shared" si="16"/>
        <v>Male</v>
      </c>
      <c r="E319" t="s">
        <v>9</v>
      </c>
      <c r="F319" s="2">
        <v>25</v>
      </c>
      <c r="G319" s="2" t="str" cm="1">
        <f t="array" ref="G319">_xlfn.IFS(F319&lt;=8,"Child",F319&lt;=17,"Teen",F319&lt;=35,"Adult",F319&lt;=55,"Seniour Adult",F319&gt;=55,"Old Age")</f>
        <v>Adult</v>
      </c>
      <c r="H319" t="s">
        <v>10</v>
      </c>
      <c r="I319" t="s">
        <v>11</v>
      </c>
      <c r="J319" t="str" cm="1">
        <f t="array" ref="J319">_xlfn.IFS(I319="S","Southamptom",I319="Q","Quentown",I319="C","Cherbrug",I319="B","Cabin")</f>
        <v>Southamptom</v>
      </c>
      <c r="K319" t="s">
        <v>15</v>
      </c>
      <c r="L319" s="2">
        <v>20.110600000000002</v>
      </c>
      <c r="M319" s="2" t="str" cm="1">
        <f t="array" ref="M319">_xlfn.IFS(L319&lt;=15,"Low Fare",L319&lt;=35,"Medium Fare",L319&lt;=100,"High Fare",L319&gt;=100,"Very High Fare")</f>
        <v>Medium Fare</v>
      </c>
      <c r="N319" s="2">
        <v>1</v>
      </c>
      <c r="O319" s="2">
        <v>2</v>
      </c>
      <c r="P319">
        <f t="shared" si="17"/>
        <v>4</v>
      </c>
      <c r="Q319" t="str">
        <f t="shared" si="18"/>
        <v>With Family</v>
      </c>
      <c r="R319" t="str">
        <f t="shared" si="19"/>
        <v>No</v>
      </c>
      <c r="S319" t="s">
        <v>13</v>
      </c>
    </row>
    <row r="320" spans="1:19" x14ac:dyDescent="0.3">
      <c r="A320" s="1" t="s">
        <v>278</v>
      </c>
      <c r="B320" t="s">
        <v>1600</v>
      </c>
      <c r="C320" t="s">
        <v>1907</v>
      </c>
      <c r="D320" t="str">
        <f t="shared" si="16"/>
        <v>Female</v>
      </c>
      <c r="E320" t="s">
        <v>14</v>
      </c>
      <c r="F320" s="2">
        <v>32</v>
      </c>
      <c r="G320" s="2" t="str" cm="1">
        <f t="array" ref="G320">_xlfn.IFS(F320&lt;=8,"Child",F320&lt;=17,"Teen",F320&lt;=35,"Adult",F320&lt;=55,"Seniour Adult",F320&gt;=55,"Old Age")</f>
        <v>Adult</v>
      </c>
      <c r="H320" t="s">
        <v>10</v>
      </c>
      <c r="I320" t="s">
        <v>11</v>
      </c>
      <c r="J320" t="str" cm="1">
        <f t="array" ref="J320">_xlfn.IFS(I320="S","Southamptom",I320="Q","Quentown",I320="C","Cherbrug",I320="B","Cabin")</f>
        <v>Southamptom</v>
      </c>
      <c r="K320" t="s">
        <v>15</v>
      </c>
      <c r="L320" s="2">
        <v>20.110600000000002</v>
      </c>
      <c r="M320" s="2" t="str" cm="1">
        <f t="array" ref="M320">_xlfn.IFS(L320&lt;=15,"Low Fare",L320&lt;=35,"Medium Fare",L320&lt;=100,"High Fare",L320&gt;=100,"Very High Fare")</f>
        <v>Medium Fare</v>
      </c>
      <c r="N320" s="2">
        <v>1</v>
      </c>
      <c r="O320" s="2">
        <v>2</v>
      </c>
      <c r="P320">
        <f t="shared" si="17"/>
        <v>4</v>
      </c>
      <c r="Q320" t="str">
        <f t="shared" si="18"/>
        <v>With Family</v>
      </c>
      <c r="R320" t="str">
        <f t="shared" si="19"/>
        <v>Yes</v>
      </c>
      <c r="S320" t="s">
        <v>16</v>
      </c>
    </row>
    <row r="321" spans="1:19" x14ac:dyDescent="0.3">
      <c r="A321" s="1" t="s">
        <v>279</v>
      </c>
      <c r="B321" t="s">
        <v>1596</v>
      </c>
      <c r="C321" t="s">
        <v>1908</v>
      </c>
      <c r="D321" t="str">
        <f t="shared" si="16"/>
        <v>Male</v>
      </c>
      <c r="E321" t="s">
        <v>9</v>
      </c>
      <c r="F321" s="2">
        <v>25</v>
      </c>
      <c r="G321" s="2" t="str" cm="1">
        <f t="array" ref="G321">_xlfn.IFS(F321&lt;=8,"Child",F321&lt;=17,"Teen",F321&lt;=35,"Adult",F321&lt;=55,"Seniour Adult",F321&gt;=55,"Old Age")</f>
        <v>Adult</v>
      </c>
      <c r="H321" t="s">
        <v>10</v>
      </c>
      <c r="I321" t="s">
        <v>11</v>
      </c>
      <c r="J321" t="str" cm="1">
        <f t="array" ref="J321">_xlfn.IFS(I321="S","Southamptom",I321="Q","Quentown",I321="C","Cherbrug",I321="B","Cabin")</f>
        <v>Southamptom</v>
      </c>
      <c r="K321" t="s">
        <v>34</v>
      </c>
      <c r="L321" s="2">
        <v>7.1711</v>
      </c>
      <c r="M321" s="2" t="str" cm="1">
        <f t="array" ref="M321">_xlfn.IFS(L321&lt;=15,"Low Fare",L321&lt;=35,"Medium Fare",L321&lt;=100,"High Fare",L321&gt;=100,"Very High Fare")</f>
        <v>Low Fare</v>
      </c>
      <c r="N321" s="2">
        <v>0</v>
      </c>
      <c r="O321" s="2">
        <v>0</v>
      </c>
      <c r="P321">
        <f t="shared" si="17"/>
        <v>1</v>
      </c>
      <c r="Q321" t="str">
        <f t="shared" si="18"/>
        <v>Alone</v>
      </c>
      <c r="R321" t="str">
        <f t="shared" si="19"/>
        <v>No</v>
      </c>
      <c r="S321" t="s">
        <v>13</v>
      </c>
    </row>
    <row r="322" spans="1:19" x14ac:dyDescent="0.3">
      <c r="A322" s="1" t="s">
        <v>280</v>
      </c>
      <c r="B322" t="s">
        <v>1600</v>
      </c>
      <c r="C322" t="s">
        <v>1909</v>
      </c>
      <c r="D322" t="str">
        <f t="shared" si="16"/>
        <v>Female</v>
      </c>
      <c r="E322" t="s">
        <v>14</v>
      </c>
      <c r="F322" s="2">
        <v>24</v>
      </c>
      <c r="G322" s="2" t="str" cm="1">
        <f t="array" ref="G322">_xlfn.IFS(F322&lt;=8,"Child",F322&lt;=17,"Teen",F322&lt;=35,"Adult",F322&lt;=55,"Seniour Adult",F322&gt;=55,"Old Age")</f>
        <v>Adult</v>
      </c>
      <c r="H322" t="s">
        <v>18</v>
      </c>
      <c r="I322" t="s">
        <v>19</v>
      </c>
      <c r="J322" t="str" cm="1">
        <f t="array" ref="J322">_xlfn.IFS(I322="S","Southamptom",I322="Q","Quentown",I322="C","Cherbrug",I322="B","Cabin")</f>
        <v>Cherbrug</v>
      </c>
      <c r="K322" t="s">
        <v>38</v>
      </c>
      <c r="L322" s="2">
        <v>27.140499999999999</v>
      </c>
      <c r="M322" s="2" t="str" cm="1">
        <f t="array" ref="M322">_xlfn.IFS(L322&lt;=15,"Low Fare",L322&lt;=35,"Medium Fare",L322&lt;=100,"High Fare",L322&gt;=100,"Very High Fare")</f>
        <v>Medium Fare</v>
      </c>
      <c r="N322" s="2">
        <v>1</v>
      </c>
      <c r="O322" s="2">
        <v>0</v>
      </c>
      <c r="P322">
        <f t="shared" si="17"/>
        <v>2</v>
      </c>
      <c r="Q322" t="str">
        <f t="shared" si="18"/>
        <v>With Family</v>
      </c>
      <c r="R322" t="str">
        <f t="shared" si="19"/>
        <v>Yes</v>
      </c>
      <c r="S322" t="s">
        <v>16</v>
      </c>
    </row>
    <row r="323" spans="1:19" x14ac:dyDescent="0.3">
      <c r="A323" s="1" t="s">
        <v>280</v>
      </c>
      <c r="B323" t="s">
        <v>1596</v>
      </c>
      <c r="C323" t="s">
        <v>1910</v>
      </c>
      <c r="D323" t="str">
        <f t="shared" ref="D323:D386" si="20">PROPER(E323)</f>
        <v>Male</v>
      </c>
      <c r="E323" t="s">
        <v>9</v>
      </c>
      <c r="F323" s="2">
        <v>29</v>
      </c>
      <c r="G323" s="2" t="str" cm="1">
        <f t="array" ref="G323">_xlfn.IFS(F323&lt;=8,"Child",F323&lt;=17,"Teen",F323&lt;=35,"Adult",F323&lt;=55,"Seniour Adult",F323&gt;=55,"Old Age")</f>
        <v>Adult</v>
      </c>
      <c r="H323" t="s">
        <v>18</v>
      </c>
      <c r="I323" t="s">
        <v>19</v>
      </c>
      <c r="J323" t="str" cm="1">
        <f t="array" ref="J323">_xlfn.IFS(I323="S","Southamptom",I323="Q","Quentown",I323="C","Cherbrug",I323="B","Cabin")</f>
        <v>Cherbrug</v>
      </c>
      <c r="K323" t="s">
        <v>38</v>
      </c>
      <c r="L323" s="2">
        <v>27.140499999999999</v>
      </c>
      <c r="M323" s="2" t="str" cm="1">
        <f t="array" ref="M323">_xlfn.IFS(L323&lt;=15,"Low Fare",L323&lt;=35,"Medium Fare",L323&lt;=100,"High Fare",L323&gt;=100,"Very High Fare")</f>
        <v>Medium Fare</v>
      </c>
      <c r="N323" s="2">
        <v>1</v>
      </c>
      <c r="O323" s="2">
        <v>0</v>
      </c>
      <c r="P323">
        <f t="shared" ref="P323:P386" si="21">N323+O323+1</f>
        <v>2</v>
      </c>
      <c r="Q323" t="str">
        <f t="shared" ref="Q323:Q386" si="22">IF(P323=1,"Alone","With Family")</f>
        <v>With Family</v>
      </c>
      <c r="R323" t="str">
        <f t="shared" ref="R323:R386" si="23">PROPER(S323)</f>
        <v>No</v>
      </c>
      <c r="S323" t="s">
        <v>13</v>
      </c>
    </row>
    <row r="324" spans="1:19" x14ac:dyDescent="0.3">
      <c r="A324" s="1" t="s">
        <v>281</v>
      </c>
      <c r="B324" t="s">
        <v>1596</v>
      </c>
      <c r="C324" t="s">
        <v>1911</v>
      </c>
      <c r="D324" t="str">
        <f t="shared" si="20"/>
        <v>Male</v>
      </c>
      <c r="E324" t="s">
        <v>9</v>
      </c>
      <c r="F324" s="2">
        <v>36</v>
      </c>
      <c r="G324" s="2" t="str" cm="1">
        <f t="array" ref="G324">_xlfn.IFS(F324&lt;=8,"Child",F324&lt;=17,"Teen",F324&lt;=35,"Adult",F324&lt;=55,"Seniour Adult",F324&gt;=55,"Old Age")</f>
        <v>Seniour Adult</v>
      </c>
      <c r="H324" t="s">
        <v>10</v>
      </c>
      <c r="I324" t="s">
        <v>11</v>
      </c>
      <c r="J324" t="str" cm="1">
        <f t="array" ref="J324">_xlfn.IFS(I324="S","Southamptom",I324="Q","Quentown",I324="C","Cherbrug",I324="B","Cabin")</f>
        <v>Southamptom</v>
      </c>
      <c r="K324" t="s">
        <v>12</v>
      </c>
      <c r="L324" s="2">
        <v>17.079999999999998</v>
      </c>
      <c r="M324" s="2" t="str" cm="1">
        <f t="array" ref="M324">_xlfn.IFS(L324&lt;=15,"Low Fare",L324&lt;=35,"Medium Fare",L324&lt;=100,"High Fare",L324&gt;=100,"Very High Fare")</f>
        <v>Medium Fare</v>
      </c>
      <c r="N324" s="2">
        <v>1</v>
      </c>
      <c r="O324" s="2">
        <v>0</v>
      </c>
      <c r="P324">
        <f t="shared" si="21"/>
        <v>2</v>
      </c>
      <c r="Q324" t="str">
        <f t="shared" si="22"/>
        <v>With Family</v>
      </c>
      <c r="R324" t="str">
        <f t="shared" si="23"/>
        <v>Yes</v>
      </c>
      <c r="S324" t="s">
        <v>16</v>
      </c>
    </row>
    <row r="325" spans="1:19" x14ac:dyDescent="0.3">
      <c r="A325" s="1" t="s">
        <v>281</v>
      </c>
      <c r="B325" t="s">
        <v>1600</v>
      </c>
      <c r="C325" t="s">
        <v>1912</v>
      </c>
      <c r="D325" t="str">
        <f t="shared" si="20"/>
        <v>Female</v>
      </c>
      <c r="E325" t="s">
        <v>14</v>
      </c>
      <c r="F325" s="2">
        <v>36</v>
      </c>
      <c r="G325" s="2" t="str" cm="1">
        <f t="array" ref="G325">_xlfn.IFS(F325&lt;=8,"Child",F325&lt;=17,"Teen",F325&lt;=35,"Adult",F325&lt;=55,"Seniour Adult",F325&gt;=55,"Old Age")</f>
        <v>Seniour Adult</v>
      </c>
      <c r="H325" t="s">
        <v>10</v>
      </c>
      <c r="I325" t="s">
        <v>11</v>
      </c>
      <c r="J325" t="str" cm="1">
        <f t="array" ref="J325">_xlfn.IFS(I325="S","Southamptom",I325="Q","Quentown",I325="C","Cherbrug",I325="B","Cabin")</f>
        <v>Southamptom</v>
      </c>
      <c r="K325" t="s">
        <v>12</v>
      </c>
      <c r="L325" s="2">
        <v>17.079999999999998</v>
      </c>
      <c r="M325" s="2" t="str" cm="1">
        <f t="array" ref="M325">_xlfn.IFS(L325&lt;=15,"Low Fare",L325&lt;=35,"Medium Fare",L325&lt;=100,"High Fare",L325&gt;=100,"Very High Fare")</f>
        <v>Medium Fare</v>
      </c>
      <c r="N325" s="2">
        <v>1</v>
      </c>
      <c r="O325" s="2">
        <v>0</v>
      </c>
      <c r="P325">
        <f t="shared" si="21"/>
        <v>2</v>
      </c>
      <c r="Q325" t="str">
        <f t="shared" si="22"/>
        <v>With Family</v>
      </c>
      <c r="R325" t="str">
        <f t="shared" si="23"/>
        <v>Yes</v>
      </c>
      <c r="S325" t="s">
        <v>16</v>
      </c>
    </row>
    <row r="326" spans="1:19" x14ac:dyDescent="0.3">
      <c r="A326" s="1" t="s">
        <v>282</v>
      </c>
      <c r="B326" t="s">
        <v>1596</v>
      </c>
      <c r="C326" t="s">
        <v>1913</v>
      </c>
      <c r="D326" t="str">
        <f t="shared" si="20"/>
        <v>Male</v>
      </c>
      <c r="E326" t="s">
        <v>9</v>
      </c>
      <c r="F326" s="2">
        <v>30</v>
      </c>
      <c r="G326" s="2" t="str" cm="1">
        <f t="array" ref="G326">_xlfn.IFS(F326&lt;=8,"Child",F326&lt;=17,"Teen",F326&lt;=35,"Adult",F326&lt;=55,"Seniour Adult",F326&gt;=55,"Old Age")</f>
        <v>Adult</v>
      </c>
      <c r="H326" t="s">
        <v>10</v>
      </c>
      <c r="I326" t="s">
        <v>11</v>
      </c>
      <c r="J326" t="str" cm="1">
        <f t="array" ref="J326">_xlfn.IFS(I326="S","Southamptom",I326="Q","Quentown",I326="C","Cherbrug",I326="B","Cabin")</f>
        <v>Southamptom</v>
      </c>
      <c r="K326" t="s">
        <v>46</v>
      </c>
      <c r="L326" s="2">
        <v>9.1</v>
      </c>
      <c r="M326" s="2" t="str" cm="1">
        <f t="array" ref="M326">_xlfn.IFS(L326&lt;=15,"Low Fare",L326&lt;=35,"Medium Fare",L326&lt;=100,"High Fare",L326&gt;=100,"Very High Fare")</f>
        <v>Low Fare</v>
      </c>
      <c r="N326" s="2">
        <v>0</v>
      </c>
      <c r="O326" s="2">
        <v>0</v>
      </c>
      <c r="P326">
        <f t="shared" si="21"/>
        <v>1</v>
      </c>
      <c r="Q326" t="str">
        <f t="shared" si="22"/>
        <v>Alone</v>
      </c>
      <c r="R326" t="str">
        <f t="shared" si="23"/>
        <v>Yes</v>
      </c>
      <c r="S326" t="s">
        <v>16</v>
      </c>
    </row>
    <row r="327" spans="1:19" x14ac:dyDescent="0.3">
      <c r="A327" s="1" t="s">
        <v>283</v>
      </c>
      <c r="B327" t="s">
        <v>1596</v>
      </c>
      <c r="C327" t="s">
        <v>1914</v>
      </c>
      <c r="D327" t="str">
        <f t="shared" si="20"/>
        <v>Male</v>
      </c>
      <c r="E327" t="s">
        <v>9</v>
      </c>
      <c r="F327" s="2">
        <v>25</v>
      </c>
      <c r="G327" s="2" t="str" cm="1">
        <f t="array" ref="G327">_xlfn.IFS(F327&lt;=8,"Child",F327&lt;=17,"Teen",F327&lt;=35,"Adult",F327&lt;=55,"Seniour Adult",F327&gt;=55,"Old Age")</f>
        <v>Adult</v>
      </c>
      <c r="H327" t="s">
        <v>18</v>
      </c>
      <c r="I327" t="s">
        <v>11</v>
      </c>
      <c r="J327" t="str" cm="1">
        <f t="array" ref="J327">_xlfn.IFS(I327="S","Southamptom",I327="Q","Quentown",I327="C","Cherbrug",I327="B","Cabin")</f>
        <v>Southamptom</v>
      </c>
      <c r="K327" t="s">
        <v>33</v>
      </c>
      <c r="L327" s="2">
        <v>31.1</v>
      </c>
      <c r="M327" s="2" t="str" cm="1">
        <f t="array" ref="M327">_xlfn.IFS(L327&lt;=15,"Low Fare",L327&lt;=35,"Medium Fare",L327&lt;=100,"High Fare",L327&gt;=100,"Very High Fare")</f>
        <v>Medium Fare</v>
      </c>
      <c r="N327" s="2">
        <v>0</v>
      </c>
      <c r="O327" s="2">
        <v>0</v>
      </c>
      <c r="P327">
        <f t="shared" si="21"/>
        <v>1</v>
      </c>
      <c r="Q327" t="str">
        <f t="shared" si="22"/>
        <v>Alone</v>
      </c>
      <c r="R327" t="str">
        <f t="shared" si="23"/>
        <v>No</v>
      </c>
      <c r="S327" t="s">
        <v>13</v>
      </c>
    </row>
    <row r="328" spans="1:19" x14ac:dyDescent="0.3">
      <c r="A328" s="1" t="s">
        <v>284</v>
      </c>
      <c r="B328" t="s">
        <v>1596</v>
      </c>
      <c r="C328" t="s">
        <v>1915</v>
      </c>
      <c r="D328" t="str">
        <f t="shared" si="20"/>
        <v>Male</v>
      </c>
      <c r="E328" t="s">
        <v>9</v>
      </c>
      <c r="F328" s="2">
        <v>30</v>
      </c>
      <c r="G328" s="2" t="str" cm="1">
        <f t="array" ref="G328">_xlfn.IFS(F328&lt;=8,"Child",F328&lt;=17,"Teen",F328&lt;=35,"Adult",F328&lt;=55,"Seniour Adult",F328&gt;=55,"Old Age")</f>
        <v>Adult</v>
      </c>
      <c r="H328" t="s">
        <v>10</v>
      </c>
      <c r="I328" t="s">
        <v>11</v>
      </c>
      <c r="J328" t="str" cm="1">
        <f t="array" ref="J328">_xlfn.IFS(I328="S","Southamptom",I328="Q","Quentown",I328="C","Cherbrug",I328="B","Cabin")</f>
        <v>Southamptom</v>
      </c>
      <c r="K328" t="s">
        <v>15</v>
      </c>
      <c r="L328" s="2">
        <v>7.1711</v>
      </c>
      <c r="M328" s="2" t="str" cm="1">
        <f t="array" ref="M328">_xlfn.IFS(L328&lt;=15,"Low Fare",L328&lt;=35,"Medium Fare",L328&lt;=100,"High Fare",L328&gt;=100,"Very High Fare")</f>
        <v>Low Fare</v>
      </c>
      <c r="N328" s="2">
        <v>0</v>
      </c>
      <c r="O328" s="2">
        <v>0</v>
      </c>
      <c r="P328">
        <f t="shared" si="21"/>
        <v>1</v>
      </c>
      <c r="Q328" t="str">
        <f t="shared" si="22"/>
        <v>Alone</v>
      </c>
      <c r="R328" t="str">
        <f t="shared" si="23"/>
        <v>No</v>
      </c>
      <c r="S328" t="s">
        <v>13</v>
      </c>
    </row>
    <row r="329" spans="1:19" x14ac:dyDescent="0.3">
      <c r="A329" s="1" t="s">
        <v>285</v>
      </c>
      <c r="B329" t="s">
        <v>1596</v>
      </c>
      <c r="C329" t="s">
        <v>1605</v>
      </c>
      <c r="D329" t="str">
        <f t="shared" si="20"/>
        <v>Male</v>
      </c>
      <c r="E329" t="s">
        <v>9</v>
      </c>
      <c r="F329" s="2">
        <v>22</v>
      </c>
      <c r="G329" s="2" t="str" cm="1">
        <f t="array" ref="G329">_xlfn.IFS(F329&lt;=8,"Child",F329&lt;=17,"Teen",F329&lt;=35,"Adult",F329&lt;=55,"Seniour Adult",F329&gt;=55,"Old Age")</f>
        <v>Adult</v>
      </c>
      <c r="H329" t="s">
        <v>10</v>
      </c>
      <c r="I329" t="s">
        <v>11</v>
      </c>
      <c r="J329" t="str" cm="1">
        <f t="array" ref="J329">_xlfn.IFS(I329="S","Southamptom",I329="Q","Quentown",I329="C","Cherbrug",I329="B","Cabin")</f>
        <v>Southamptom</v>
      </c>
      <c r="K329" t="s">
        <v>15</v>
      </c>
      <c r="L329" s="2">
        <v>7.05</v>
      </c>
      <c r="M329" s="2" t="str" cm="1">
        <f t="array" ref="M329">_xlfn.IFS(L329&lt;=15,"Low Fare",L329&lt;=35,"Medium Fare",L329&lt;=100,"High Fare",L329&gt;=100,"Very High Fare")</f>
        <v>Low Fare</v>
      </c>
      <c r="N329" s="2">
        <v>0</v>
      </c>
      <c r="O329" s="2">
        <v>0</v>
      </c>
      <c r="P329">
        <f t="shared" si="21"/>
        <v>1</v>
      </c>
      <c r="Q329" t="str">
        <f t="shared" si="22"/>
        <v>Alone</v>
      </c>
      <c r="R329" t="str">
        <f t="shared" si="23"/>
        <v>No</v>
      </c>
      <c r="S329" t="s">
        <v>13</v>
      </c>
    </row>
    <row r="330" spans="1:19" x14ac:dyDescent="0.3">
      <c r="A330" s="1" t="s">
        <v>285</v>
      </c>
      <c r="B330" t="s">
        <v>1596</v>
      </c>
      <c r="C330" t="s">
        <v>1619</v>
      </c>
      <c r="D330" t="str">
        <f t="shared" si="20"/>
        <v>Male</v>
      </c>
      <c r="E330" t="s">
        <v>9</v>
      </c>
      <c r="F330" s="2">
        <v>26</v>
      </c>
      <c r="G330" s="2" t="str" cm="1">
        <f t="array" ref="G330">_xlfn.IFS(F330&lt;=8,"Child",F330&lt;=17,"Teen",F330&lt;=35,"Adult",F330&lt;=55,"Seniour Adult",F330&gt;=55,"Old Age")</f>
        <v>Adult</v>
      </c>
      <c r="H330" t="s">
        <v>10</v>
      </c>
      <c r="I330" t="s">
        <v>11</v>
      </c>
      <c r="J330" t="str" cm="1">
        <f t="array" ref="J330">_xlfn.IFS(I330="S","Southamptom",I330="Q","Quentown",I330="C","Cherbrug",I330="B","Cabin")</f>
        <v>Southamptom</v>
      </c>
      <c r="K330" t="s">
        <v>15</v>
      </c>
      <c r="L330" s="2">
        <v>7.05</v>
      </c>
      <c r="M330" s="2" t="str" cm="1">
        <f t="array" ref="M330">_xlfn.IFS(L330&lt;=15,"Low Fare",L330&lt;=35,"Medium Fare",L330&lt;=100,"High Fare",L330&gt;=100,"Very High Fare")</f>
        <v>Low Fare</v>
      </c>
      <c r="N330" s="2">
        <v>0</v>
      </c>
      <c r="O330" s="2">
        <v>0</v>
      </c>
      <c r="P330">
        <f t="shared" si="21"/>
        <v>1</v>
      </c>
      <c r="Q330" t="str">
        <f t="shared" si="22"/>
        <v>Alone</v>
      </c>
      <c r="R330" t="str">
        <f t="shared" si="23"/>
        <v>No</v>
      </c>
      <c r="S330" t="s">
        <v>13</v>
      </c>
    </row>
    <row r="331" spans="1:19" x14ac:dyDescent="0.3">
      <c r="A331" s="1" t="s">
        <v>286</v>
      </c>
      <c r="B331" t="s">
        <v>1596</v>
      </c>
      <c r="C331" t="s">
        <v>1916</v>
      </c>
      <c r="D331" t="str">
        <f t="shared" si="20"/>
        <v>Male</v>
      </c>
      <c r="E331" t="s">
        <v>9</v>
      </c>
      <c r="F331" s="2">
        <v>16</v>
      </c>
      <c r="G331" s="2" t="str" cm="1">
        <f t="array" ref="G331">_xlfn.IFS(F331&lt;=8,"Child",F331&lt;=17,"Teen",F331&lt;=35,"Adult",F331&lt;=55,"Seniour Adult",F331&gt;=55,"Old Age")</f>
        <v>Teen</v>
      </c>
      <c r="H331" t="s">
        <v>10</v>
      </c>
      <c r="I331" t="s">
        <v>11</v>
      </c>
      <c r="J331" t="str" cm="1">
        <f t="array" ref="J331">_xlfn.IFS(I331="S","Southamptom",I331="Q","Quentown",I331="C","Cherbrug",I331="B","Cabin")</f>
        <v>Southamptom</v>
      </c>
      <c r="K331" t="s">
        <v>46</v>
      </c>
      <c r="L331" s="2">
        <v>9.1</v>
      </c>
      <c r="M331" s="2" t="str" cm="1">
        <f t="array" ref="M331">_xlfn.IFS(L331&lt;=15,"Low Fare",L331&lt;=35,"Medium Fare",L331&lt;=100,"High Fare",L331&gt;=100,"Very High Fare")</f>
        <v>Low Fare</v>
      </c>
      <c r="N331" s="2">
        <v>0</v>
      </c>
      <c r="O331" s="2">
        <v>0</v>
      </c>
      <c r="P331">
        <f t="shared" si="21"/>
        <v>1</v>
      </c>
      <c r="Q331" t="str">
        <f t="shared" si="22"/>
        <v>Alone</v>
      </c>
      <c r="R331" t="str">
        <f t="shared" si="23"/>
        <v>No</v>
      </c>
      <c r="S331" t="s">
        <v>13</v>
      </c>
    </row>
    <row r="332" spans="1:19" x14ac:dyDescent="0.3">
      <c r="A332" s="1" t="s">
        <v>287</v>
      </c>
      <c r="B332" t="s">
        <v>1602</v>
      </c>
      <c r="C332" t="s">
        <v>1917</v>
      </c>
      <c r="D332" t="str">
        <f t="shared" si="20"/>
        <v>Female</v>
      </c>
      <c r="E332" t="s">
        <v>14</v>
      </c>
      <c r="F332" s="2">
        <v>19</v>
      </c>
      <c r="G332" s="2" t="str" cm="1">
        <f t="array" ref="G332">_xlfn.IFS(F332&lt;=8,"Child",F332&lt;=17,"Teen",F332&lt;=35,"Adult",F332&lt;=55,"Seniour Adult",F332&gt;=55,"Old Age")</f>
        <v>Adult</v>
      </c>
      <c r="H332" t="s">
        <v>10</v>
      </c>
      <c r="I332" t="s">
        <v>36</v>
      </c>
      <c r="J332" t="str" cm="1">
        <f t="array" ref="J332">_xlfn.IFS(I332="S","Southamptom",I332="Q","Quentown",I332="C","Cherbrug",I332="B","Cabin")</f>
        <v>Quentown</v>
      </c>
      <c r="K332" t="s">
        <v>37</v>
      </c>
      <c r="L332" s="2">
        <v>7.1707000000000001</v>
      </c>
      <c r="M332" s="2" t="str" cm="1">
        <f t="array" ref="M332">_xlfn.IFS(L332&lt;=15,"Low Fare",L332&lt;=35,"Medium Fare",L332&lt;=100,"High Fare",L332&gt;=100,"Very High Fare")</f>
        <v>Low Fare</v>
      </c>
      <c r="N332" s="2">
        <v>0</v>
      </c>
      <c r="O332" s="2">
        <v>0</v>
      </c>
      <c r="P332">
        <f t="shared" si="21"/>
        <v>1</v>
      </c>
      <c r="Q332" t="str">
        <f t="shared" si="22"/>
        <v>Alone</v>
      </c>
      <c r="R332" t="str">
        <f t="shared" si="23"/>
        <v>Yes</v>
      </c>
      <c r="S332" t="s">
        <v>16</v>
      </c>
    </row>
    <row r="333" spans="1:19" x14ac:dyDescent="0.3">
      <c r="A333" s="1" t="s">
        <v>288</v>
      </c>
      <c r="B333" t="s">
        <v>1596</v>
      </c>
      <c r="C333" t="s">
        <v>1619</v>
      </c>
      <c r="D333" t="str">
        <f t="shared" si="20"/>
        <v>Male</v>
      </c>
      <c r="E333" t="s">
        <v>9</v>
      </c>
      <c r="F333" s="2">
        <v>18</v>
      </c>
      <c r="G333" s="2" t="str" cm="1">
        <f t="array" ref="G333">_xlfn.IFS(F333&lt;=8,"Child",F333&lt;=17,"Teen",F333&lt;=35,"Adult",F333&lt;=55,"Seniour Adult",F333&gt;=55,"Old Age")</f>
        <v>Adult</v>
      </c>
      <c r="H333" t="s">
        <v>18</v>
      </c>
      <c r="I333" t="s">
        <v>11</v>
      </c>
      <c r="J333" t="str" cm="1">
        <f t="array" ref="J333">_xlfn.IFS(I333="S","Southamptom",I333="Q","Quentown",I333="C","Cherbrug",I333="B","Cabin")</f>
        <v>Southamptom</v>
      </c>
      <c r="K333" t="s">
        <v>15</v>
      </c>
      <c r="L333" s="2">
        <v>73.099999999999994</v>
      </c>
      <c r="M333" s="2" t="str" cm="1">
        <f t="array" ref="M333">_xlfn.IFS(L333&lt;=15,"Low Fare",L333&lt;=35,"Medium Fare",L333&lt;=100,"High Fare",L333&gt;=100,"Very High Fare")</f>
        <v>High Fare</v>
      </c>
      <c r="N333" s="2">
        <v>0</v>
      </c>
      <c r="O333" s="2">
        <v>0</v>
      </c>
      <c r="P333">
        <f t="shared" si="21"/>
        <v>1</v>
      </c>
      <c r="Q333" t="str">
        <f t="shared" si="22"/>
        <v>Alone</v>
      </c>
      <c r="R333" t="str">
        <f t="shared" si="23"/>
        <v>No</v>
      </c>
      <c r="S333" t="s">
        <v>13</v>
      </c>
    </row>
    <row r="334" spans="1:19" x14ac:dyDescent="0.3">
      <c r="A334" s="1" t="s">
        <v>289</v>
      </c>
      <c r="B334" t="s">
        <v>1596</v>
      </c>
      <c r="C334" t="s">
        <v>1918</v>
      </c>
      <c r="D334" t="str">
        <f t="shared" si="20"/>
        <v>Male</v>
      </c>
      <c r="E334" t="s">
        <v>9</v>
      </c>
      <c r="F334" s="2">
        <v>31</v>
      </c>
      <c r="G334" s="2" t="str" cm="1">
        <f t="array" ref="G334">_xlfn.IFS(F334&lt;=8,"Child",F334&lt;=17,"Teen",F334&lt;=35,"Adult",F334&lt;=55,"Seniour Adult",F334&gt;=55,"Old Age")</f>
        <v>Adult</v>
      </c>
      <c r="H334" t="s">
        <v>25</v>
      </c>
      <c r="I334" t="s">
        <v>11</v>
      </c>
      <c r="J334" t="str" cm="1">
        <f t="array" ref="J334">_xlfn.IFS(I334="S","Southamptom",I334="Q","Quentown",I334="C","Cherbrug",I334="B","Cabin")</f>
        <v>Southamptom</v>
      </c>
      <c r="K334" t="s">
        <v>26</v>
      </c>
      <c r="L334" s="2">
        <v>57</v>
      </c>
      <c r="M334" s="2" t="str" cm="1">
        <f t="array" ref="M334">_xlfn.IFS(L334&lt;=15,"Low Fare",L334&lt;=35,"Medium Fare",L334&lt;=100,"High Fare",L334&gt;=100,"Very High Fare")</f>
        <v>High Fare</v>
      </c>
      <c r="N334" s="2">
        <v>1</v>
      </c>
      <c r="O334" s="2">
        <v>0</v>
      </c>
      <c r="P334">
        <f t="shared" si="21"/>
        <v>2</v>
      </c>
      <c r="Q334" t="str">
        <f t="shared" si="22"/>
        <v>With Family</v>
      </c>
      <c r="R334" t="str">
        <f t="shared" si="23"/>
        <v>Yes</v>
      </c>
      <c r="S334" t="s">
        <v>16</v>
      </c>
    </row>
    <row r="335" spans="1:19" x14ac:dyDescent="0.3">
      <c r="A335" s="1" t="s">
        <v>289</v>
      </c>
      <c r="B335" t="s">
        <v>1600</v>
      </c>
      <c r="C335" t="s">
        <v>1919</v>
      </c>
      <c r="D335" t="str">
        <f t="shared" si="20"/>
        <v>Female</v>
      </c>
      <c r="E335" t="s">
        <v>14</v>
      </c>
      <c r="F335" s="2">
        <v>17</v>
      </c>
      <c r="G335" s="2" t="str" cm="1">
        <f t="array" ref="G335">_xlfn.IFS(F335&lt;=8,"Child",F335&lt;=17,"Teen",F335&lt;=35,"Adult",F335&lt;=55,"Seniour Adult",F335&gt;=55,"Old Age")</f>
        <v>Teen</v>
      </c>
      <c r="H335" t="s">
        <v>25</v>
      </c>
      <c r="I335" t="s">
        <v>11</v>
      </c>
      <c r="J335" t="str" cm="1">
        <f t="array" ref="J335">_xlfn.IFS(I335="S","Southamptom",I335="Q","Quentown",I335="C","Cherbrug",I335="B","Cabin")</f>
        <v>Southamptom</v>
      </c>
      <c r="K335" t="s">
        <v>12</v>
      </c>
      <c r="L335" s="2">
        <v>57</v>
      </c>
      <c r="M335" s="2" t="str" cm="1">
        <f t="array" ref="M335">_xlfn.IFS(L335&lt;=15,"Low Fare",L335&lt;=35,"Medium Fare",L335&lt;=100,"High Fare",L335&gt;=100,"Very High Fare")</f>
        <v>High Fare</v>
      </c>
      <c r="N335" s="2">
        <v>1</v>
      </c>
      <c r="O335" s="2">
        <v>0</v>
      </c>
      <c r="P335">
        <f t="shared" si="21"/>
        <v>2</v>
      </c>
      <c r="Q335" t="str">
        <f t="shared" si="22"/>
        <v>With Family</v>
      </c>
      <c r="R335" t="str">
        <f t="shared" si="23"/>
        <v>Yes</v>
      </c>
      <c r="S335" t="s">
        <v>16</v>
      </c>
    </row>
    <row r="336" spans="1:19" x14ac:dyDescent="0.3">
      <c r="A336" s="1" t="s">
        <v>290</v>
      </c>
      <c r="B336" t="s">
        <v>1596</v>
      </c>
      <c r="C336" t="s">
        <v>1920</v>
      </c>
      <c r="D336" t="str">
        <f t="shared" si="20"/>
        <v>Male</v>
      </c>
      <c r="E336" t="s">
        <v>9</v>
      </c>
      <c r="F336" s="2">
        <v>17</v>
      </c>
      <c r="G336" s="2" t="str" cm="1">
        <f t="array" ref="G336">_xlfn.IFS(F336&lt;=8,"Child",F336&lt;=17,"Teen",F336&lt;=35,"Adult",F336&lt;=55,"Seniour Adult",F336&gt;=55,"Old Age")</f>
        <v>Teen</v>
      </c>
      <c r="H336" t="s">
        <v>10</v>
      </c>
      <c r="I336" t="s">
        <v>11</v>
      </c>
      <c r="J336" t="str" cm="1">
        <f t="array" ref="J336">_xlfn.IFS(I336="S","Southamptom",I336="Q","Quentown",I336="C","Cherbrug",I336="B","Cabin")</f>
        <v>Southamptom</v>
      </c>
      <c r="K336" t="s">
        <v>42</v>
      </c>
      <c r="L336" s="2">
        <v>7.1711</v>
      </c>
      <c r="M336" s="2" t="str" cm="1">
        <f t="array" ref="M336">_xlfn.IFS(L336&lt;=15,"Low Fare",L336&lt;=35,"Medium Fare",L336&lt;=100,"High Fare",L336&gt;=100,"Very High Fare")</f>
        <v>Low Fare</v>
      </c>
      <c r="N336" s="2">
        <v>0</v>
      </c>
      <c r="O336" s="2">
        <v>0</v>
      </c>
      <c r="P336">
        <f t="shared" si="21"/>
        <v>1</v>
      </c>
      <c r="Q336" t="str">
        <f t="shared" si="22"/>
        <v>Alone</v>
      </c>
      <c r="R336" t="str">
        <f t="shared" si="23"/>
        <v>No</v>
      </c>
      <c r="S336" t="s">
        <v>13</v>
      </c>
    </row>
    <row r="337" spans="1:19" x14ac:dyDescent="0.3">
      <c r="A337" s="1" t="s">
        <v>291</v>
      </c>
      <c r="B337" t="s">
        <v>1596</v>
      </c>
      <c r="C337" t="s">
        <v>1921</v>
      </c>
      <c r="D337" t="str">
        <f t="shared" si="20"/>
        <v>Male</v>
      </c>
      <c r="E337" t="s">
        <v>9</v>
      </c>
      <c r="F337" s="2">
        <v>42</v>
      </c>
      <c r="G337" s="2" t="str" cm="1">
        <f t="array" ref="G337">_xlfn.IFS(F337&lt;=8,"Child",F337&lt;=17,"Teen",F337&lt;=35,"Adult",F337&lt;=55,"Seniour Adult",F337&gt;=55,"Old Age")</f>
        <v>Seniour Adult</v>
      </c>
      <c r="H337" t="s">
        <v>10</v>
      </c>
      <c r="I337" t="s">
        <v>11</v>
      </c>
      <c r="J337" t="str" cm="1">
        <f t="array" ref="J337">_xlfn.IFS(I337="S","Southamptom",I337="Q","Quentown",I337="C","Cherbrug",I337="B","Cabin")</f>
        <v>Southamptom</v>
      </c>
      <c r="K337" t="s">
        <v>35</v>
      </c>
      <c r="L337" s="2">
        <v>8.1303000000000001</v>
      </c>
      <c r="M337" s="2" t="str" cm="1">
        <f t="array" ref="M337">_xlfn.IFS(L337&lt;=15,"Low Fare",L337&lt;=35,"Medium Fare",L337&lt;=100,"High Fare",L337&gt;=100,"Very High Fare")</f>
        <v>Low Fare</v>
      </c>
      <c r="N337" s="2">
        <v>0</v>
      </c>
      <c r="O337" s="2">
        <v>0</v>
      </c>
      <c r="P337">
        <f t="shared" si="21"/>
        <v>1</v>
      </c>
      <c r="Q337" t="str">
        <f t="shared" si="22"/>
        <v>Alone</v>
      </c>
      <c r="R337" t="str">
        <f t="shared" si="23"/>
        <v>No</v>
      </c>
      <c r="S337" t="s">
        <v>13</v>
      </c>
    </row>
    <row r="338" spans="1:19" x14ac:dyDescent="0.3">
      <c r="A338" s="1" t="s">
        <v>292</v>
      </c>
      <c r="B338" t="s">
        <v>1596</v>
      </c>
      <c r="C338" t="s">
        <v>1922</v>
      </c>
      <c r="D338" t="str">
        <f t="shared" si="20"/>
        <v>Male</v>
      </c>
      <c r="E338" t="s">
        <v>9</v>
      </c>
      <c r="F338" s="2">
        <v>43</v>
      </c>
      <c r="G338" s="2" t="str" cm="1">
        <f t="array" ref="G338">_xlfn.IFS(F338&lt;=8,"Child",F338&lt;=17,"Teen",F338&lt;=35,"Adult",F338&lt;=55,"Seniour Adult",F338&gt;=55,"Old Age")</f>
        <v>Seniour Adult</v>
      </c>
      <c r="H338" t="s">
        <v>10</v>
      </c>
      <c r="I338" t="s">
        <v>11</v>
      </c>
      <c r="J338" t="str" cm="1">
        <f t="array" ref="J338">_xlfn.IFS(I338="S","Southamptom",I338="Q","Quentown",I338="C","Cherbrug",I338="B","Cabin")</f>
        <v>Southamptom</v>
      </c>
      <c r="K338" t="s">
        <v>15</v>
      </c>
      <c r="L338" s="2">
        <v>7.1711</v>
      </c>
      <c r="M338" s="2" t="str" cm="1">
        <f t="array" ref="M338">_xlfn.IFS(L338&lt;=15,"Low Fare",L338&lt;=35,"Medium Fare",L338&lt;=100,"High Fare",L338&gt;=100,"Very High Fare")</f>
        <v>Low Fare</v>
      </c>
      <c r="N338" s="2">
        <v>0</v>
      </c>
      <c r="O338" s="2">
        <v>0</v>
      </c>
      <c r="P338">
        <f t="shared" si="21"/>
        <v>1</v>
      </c>
      <c r="Q338" t="str">
        <f t="shared" si="22"/>
        <v>Alone</v>
      </c>
      <c r="R338" t="str">
        <f t="shared" si="23"/>
        <v>No</v>
      </c>
      <c r="S338" t="s">
        <v>13</v>
      </c>
    </row>
    <row r="339" spans="1:19" x14ac:dyDescent="0.3">
      <c r="A339" s="1" t="s">
        <v>293</v>
      </c>
      <c r="B339" t="s">
        <v>1749</v>
      </c>
      <c r="C339" t="s">
        <v>1923</v>
      </c>
      <c r="D339" t="str">
        <f t="shared" si="20"/>
        <v>Male</v>
      </c>
      <c r="E339" t="s">
        <v>9</v>
      </c>
      <c r="F339" s="2">
        <v>52</v>
      </c>
      <c r="G339" s="2" t="str" cm="1">
        <f t="array" ref="G339">_xlfn.IFS(F339&lt;=8,"Child",F339&lt;=17,"Teen",F339&lt;=35,"Adult",F339&lt;=55,"Seniour Adult",F339&gt;=55,"Old Age")</f>
        <v>Seniour Adult</v>
      </c>
      <c r="H339" t="s">
        <v>25</v>
      </c>
      <c r="I339" t="s">
        <v>11</v>
      </c>
      <c r="J339" t="str" cm="1">
        <f t="array" ref="J339">_xlfn.IFS(I339="S","Southamptom",I339="Q","Quentown",I339="C","Cherbrug",I339="B","Cabin")</f>
        <v>Southamptom</v>
      </c>
      <c r="K339" t="s">
        <v>12</v>
      </c>
      <c r="L339" s="2">
        <v>81.170199999999994</v>
      </c>
      <c r="M339" s="2" t="str" cm="1">
        <f t="array" ref="M339">_xlfn.IFS(L339&lt;=15,"Low Fare",L339&lt;=35,"Medium Fare",L339&lt;=100,"High Fare",L339&gt;=100,"Very High Fare")</f>
        <v>High Fare</v>
      </c>
      <c r="N339" s="2">
        <v>1</v>
      </c>
      <c r="O339" s="2">
        <v>1</v>
      </c>
      <c r="P339">
        <f t="shared" si="21"/>
        <v>3</v>
      </c>
      <c r="Q339" t="str">
        <f t="shared" si="22"/>
        <v>With Family</v>
      </c>
      <c r="R339" t="str">
        <f t="shared" si="23"/>
        <v>Yes</v>
      </c>
      <c r="S339" t="s">
        <v>16</v>
      </c>
    </row>
    <row r="340" spans="1:19" x14ac:dyDescent="0.3">
      <c r="A340" s="1" t="s">
        <v>293</v>
      </c>
      <c r="B340" t="s">
        <v>1612</v>
      </c>
      <c r="C340" t="s">
        <v>1923</v>
      </c>
      <c r="D340" t="str">
        <f t="shared" si="20"/>
        <v>Male</v>
      </c>
      <c r="E340" t="s">
        <v>9</v>
      </c>
      <c r="F340" s="2">
        <v>4</v>
      </c>
      <c r="G340" s="2" t="str" cm="1">
        <f t="array" ref="G340">_xlfn.IFS(F340&lt;=8,"Child",F340&lt;=17,"Teen",F340&lt;=35,"Adult",F340&lt;=55,"Seniour Adult",F340&gt;=55,"Old Age")</f>
        <v>Child</v>
      </c>
      <c r="H340" t="s">
        <v>25</v>
      </c>
      <c r="I340" t="s">
        <v>11</v>
      </c>
      <c r="J340" t="str" cm="1">
        <f t="array" ref="J340">_xlfn.IFS(I340="S","Southamptom",I340="Q","Quentown",I340="C","Cherbrug",I340="B","Cabin")</f>
        <v>Southamptom</v>
      </c>
      <c r="K340" t="s">
        <v>12</v>
      </c>
      <c r="L340" s="2">
        <v>81.170199999999994</v>
      </c>
      <c r="M340" s="2" t="str" cm="1">
        <f t="array" ref="M340">_xlfn.IFS(L340&lt;=15,"Low Fare",L340&lt;=35,"Medium Fare",L340&lt;=100,"High Fare",L340&gt;=100,"Very High Fare")</f>
        <v>High Fare</v>
      </c>
      <c r="N340" s="2">
        <v>0</v>
      </c>
      <c r="O340" s="2">
        <v>2</v>
      </c>
      <c r="P340">
        <f t="shared" si="21"/>
        <v>3</v>
      </c>
      <c r="Q340" t="str">
        <f t="shared" si="22"/>
        <v>With Family</v>
      </c>
      <c r="R340" t="str">
        <f t="shared" si="23"/>
        <v>Yes</v>
      </c>
      <c r="S340" t="s">
        <v>16</v>
      </c>
    </row>
    <row r="341" spans="1:19" x14ac:dyDescent="0.3">
      <c r="A341" s="1" t="s">
        <v>293</v>
      </c>
      <c r="B341" t="s">
        <v>1600</v>
      </c>
      <c r="C341" t="s">
        <v>1924</v>
      </c>
      <c r="D341" t="str">
        <f t="shared" si="20"/>
        <v>Female</v>
      </c>
      <c r="E341" t="s">
        <v>14</v>
      </c>
      <c r="F341" s="2">
        <v>34</v>
      </c>
      <c r="G341" s="2" t="str" cm="1">
        <f t="array" ref="G341">_xlfn.IFS(F341&lt;=8,"Child",F341&lt;=17,"Teen",F341&lt;=35,"Adult",F341&lt;=55,"Seniour Adult",F341&gt;=55,"Old Age")</f>
        <v>Adult</v>
      </c>
      <c r="H341" t="s">
        <v>25</v>
      </c>
      <c r="I341" t="s">
        <v>11</v>
      </c>
      <c r="J341" t="str" cm="1">
        <f t="array" ref="J341">_xlfn.IFS(I341="S","Southamptom",I341="Q","Quentown",I341="C","Cherbrug",I341="B","Cabin")</f>
        <v>Southamptom</v>
      </c>
      <c r="K341" t="s">
        <v>12</v>
      </c>
      <c r="L341" s="2">
        <v>81.170199999999994</v>
      </c>
      <c r="M341" s="2" t="str" cm="1">
        <f t="array" ref="M341">_xlfn.IFS(L341&lt;=15,"Low Fare",L341&lt;=35,"Medium Fare",L341&lt;=100,"High Fare",L341&gt;=100,"Very High Fare")</f>
        <v>High Fare</v>
      </c>
      <c r="N341" s="2">
        <v>1</v>
      </c>
      <c r="O341" s="2">
        <v>1</v>
      </c>
      <c r="P341">
        <f t="shared" si="21"/>
        <v>3</v>
      </c>
      <c r="Q341" t="str">
        <f t="shared" si="22"/>
        <v>With Family</v>
      </c>
      <c r="R341" t="str">
        <f t="shared" si="23"/>
        <v>Yes</v>
      </c>
      <c r="S341" t="s">
        <v>16</v>
      </c>
    </row>
    <row r="342" spans="1:19" x14ac:dyDescent="0.3">
      <c r="A342" s="1" t="s">
        <v>294</v>
      </c>
      <c r="B342" t="s">
        <v>1602</v>
      </c>
      <c r="C342" t="s">
        <v>1925</v>
      </c>
      <c r="D342" t="str">
        <f t="shared" si="20"/>
        <v>Female</v>
      </c>
      <c r="E342" t="s">
        <v>14</v>
      </c>
      <c r="F342" s="2">
        <v>18</v>
      </c>
      <c r="G342" s="2" t="str" cm="1">
        <f t="array" ref="G342">_xlfn.IFS(F342&lt;=8,"Child",F342&lt;=17,"Teen",F342&lt;=35,"Adult",F342&lt;=55,"Seniour Adult",F342&gt;=55,"Old Age")</f>
        <v>Adult</v>
      </c>
      <c r="H342" t="s">
        <v>18</v>
      </c>
      <c r="I342" t="s">
        <v>11</v>
      </c>
      <c r="J342" t="str" cm="1">
        <f t="array" ref="J342">_xlfn.IFS(I342="S","Southamptom",I342="Q","Quentown",I342="C","Cherbrug",I342="B","Cabin")</f>
        <v>Southamptom</v>
      </c>
      <c r="K342" t="s">
        <v>15</v>
      </c>
      <c r="L342" s="2">
        <v>23</v>
      </c>
      <c r="M342" s="2" t="str" cm="1">
        <f t="array" ref="M342">_xlfn.IFS(L342&lt;=15,"Low Fare",L342&lt;=35,"Medium Fare",L342&lt;=100,"High Fare",L342&gt;=100,"Very High Fare")</f>
        <v>Medium Fare</v>
      </c>
      <c r="N342" s="2">
        <v>0</v>
      </c>
      <c r="O342" s="2">
        <v>1</v>
      </c>
      <c r="P342">
        <f t="shared" si="21"/>
        <v>2</v>
      </c>
      <c r="Q342" t="str">
        <f t="shared" si="22"/>
        <v>With Family</v>
      </c>
      <c r="R342" t="str">
        <f t="shared" si="23"/>
        <v>Yes</v>
      </c>
      <c r="S342" t="s">
        <v>16</v>
      </c>
    </row>
    <row r="343" spans="1:19" x14ac:dyDescent="0.3">
      <c r="A343" s="1" t="s">
        <v>294</v>
      </c>
      <c r="B343" t="s">
        <v>1600</v>
      </c>
      <c r="C343" t="s">
        <v>1926</v>
      </c>
      <c r="D343" t="str">
        <f t="shared" si="20"/>
        <v>Female</v>
      </c>
      <c r="E343" t="s">
        <v>14</v>
      </c>
      <c r="F343" s="2">
        <v>34</v>
      </c>
      <c r="G343" s="2" t="str" cm="1">
        <f t="array" ref="G343">_xlfn.IFS(F343&lt;=8,"Child",F343&lt;=17,"Teen",F343&lt;=35,"Adult",F343&lt;=55,"Seniour Adult",F343&gt;=55,"Old Age")</f>
        <v>Adult</v>
      </c>
      <c r="H343" t="s">
        <v>18</v>
      </c>
      <c r="I343" t="s">
        <v>11</v>
      </c>
      <c r="J343" t="str" cm="1">
        <f t="array" ref="J343">_xlfn.IFS(I343="S","Southamptom",I343="Q","Quentown",I343="C","Cherbrug",I343="B","Cabin")</f>
        <v>Southamptom</v>
      </c>
      <c r="K343" t="s">
        <v>15</v>
      </c>
      <c r="L343" s="2">
        <v>23</v>
      </c>
      <c r="M343" s="2" t="str" cm="1">
        <f t="array" ref="M343">_xlfn.IFS(L343&lt;=15,"Low Fare",L343&lt;=35,"Medium Fare",L343&lt;=100,"High Fare",L343&gt;=100,"Very High Fare")</f>
        <v>Medium Fare</v>
      </c>
      <c r="N343" s="2">
        <v>0</v>
      </c>
      <c r="O343" s="2">
        <v>1</v>
      </c>
      <c r="P343">
        <f t="shared" si="21"/>
        <v>2</v>
      </c>
      <c r="Q343" t="str">
        <f t="shared" si="22"/>
        <v>With Family</v>
      </c>
      <c r="R343" t="str">
        <f t="shared" si="23"/>
        <v>Yes</v>
      </c>
      <c r="S343" t="s">
        <v>16</v>
      </c>
    </row>
    <row r="344" spans="1:19" x14ac:dyDescent="0.3">
      <c r="A344" s="1" t="s">
        <v>295</v>
      </c>
      <c r="B344" t="s">
        <v>1602</v>
      </c>
      <c r="C344" t="s">
        <v>1927</v>
      </c>
      <c r="D344" t="str">
        <f t="shared" si="20"/>
        <v>Female</v>
      </c>
      <c r="E344" t="s">
        <v>14</v>
      </c>
      <c r="F344" s="2">
        <v>21</v>
      </c>
      <c r="G344" s="2" t="str" cm="1">
        <f t="array" ref="G344">_xlfn.IFS(F344&lt;=8,"Child",F344&lt;=17,"Teen",F344&lt;=35,"Adult",F344&lt;=55,"Seniour Adult",F344&gt;=55,"Old Age")</f>
        <v>Adult</v>
      </c>
      <c r="H344" t="s">
        <v>10</v>
      </c>
      <c r="I344" t="s">
        <v>36</v>
      </c>
      <c r="J344" t="str" cm="1">
        <f t="array" ref="J344">_xlfn.IFS(I344="S","Southamptom",I344="Q","Quentown",I344="C","Cherbrug",I344="B","Cabin")</f>
        <v>Quentown</v>
      </c>
      <c r="K344" t="s">
        <v>37</v>
      </c>
      <c r="L344" s="2">
        <v>7.15</v>
      </c>
      <c r="M344" s="2" t="str" cm="1">
        <f t="array" ref="M344">_xlfn.IFS(L344&lt;=15,"Low Fare",L344&lt;=35,"Medium Fare",L344&lt;=100,"High Fare",L344&gt;=100,"Very High Fare")</f>
        <v>Low Fare</v>
      </c>
      <c r="N344" s="2">
        <v>0</v>
      </c>
      <c r="O344" s="2">
        <v>0</v>
      </c>
      <c r="P344">
        <f t="shared" si="21"/>
        <v>1</v>
      </c>
      <c r="Q344" t="str">
        <f t="shared" si="22"/>
        <v>Alone</v>
      </c>
      <c r="R344" t="str">
        <f t="shared" si="23"/>
        <v>No</v>
      </c>
      <c r="S344" t="s">
        <v>13</v>
      </c>
    </row>
    <row r="345" spans="1:19" x14ac:dyDescent="0.3">
      <c r="A345" s="1" t="s">
        <v>296</v>
      </c>
      <c r="B345" t="s">
        <v>1596</v>
      </c>
      <c r="C345" t="s">
        <v>1792</v>
      </c>
      <c r="D345" t="str">
        <f t="shared" si="20"/>
        <v>Male</v>
      </c>
      <c r="E345" t="s">
        <v>9</v>
      </c>
      <c r="F345" s="2">
        <v>37</v>
      </c>
      <c r="G345" s="2" t="str" cm="1">
        <f t="array" ref="G345">_xlfn.IFS(F345&lt;=8,"Child",F345&lt;=17,"Teen",F345&lt;=35,"Adult",F345&lt;=55,"Seniour Adult",F345&gt;=55,"Old Age")</f>
        <v>Seniour Adult</v>
      </c>
      <c r="H345" t="s">
        <v>10</v>
      </c>
      <c r="I345" t="s">
        <v>36</v>
      </c>
      <c r="J345" t="str" cm="1">
        <f t="array" ref="J345">_xlfn.IFS(I345="S","Southamptom",I345="Q","Quentown",I345="C","Cherbrug",I345="B","Cabin")</f>
        <v>Quentown</v>
      </c>
      <c r="K345" t="s">
        <v>37</v>
      </c>
      <c r="L345" s="2">
        <v>7.15</v>
      </c>
      <c r="M345" s="2" t="str" cm="1">
        <f t="array" ref="M345">_xlfn.IFS(L345&lt;=15,"Low Fare",L345&lt;=35,"Medium Fare",L345&lt;=100,"High Fare",L345&gt;=100,"Very High Fare")</f>
        <v>Low Fare</v>
      </c>
      <c r="N345" s="2">
        <v>0</v>
      </c>
      <c r="O345" s="2">
        <v>0</v>
      </c>
      <c r="P345">
        <f t="shared" si="21"/>
        <v>1</v>
      </c>
      <c r="Q345" t="str">
        <f t="shared" si="22"/>
        <v>Alone</v>
      </c>
      <c r="R345" t="str">
        <f t="shared" si="23"/>
        <v>No</v>
      </c>
      <c r="S345" t="s">
        <v>13</v>
      </c>
    </row>
    <row r="346" spans="1:19" x14ac:dyDescent="0.3">
      <c r="A346" s="1" t="s">
        <v>297</v>
      </c>
      <c r="B346" t="s">
        <v>1596</v>
      </c>
      <c r="C346" t="s">
        <v>1928</v>
      </c>
      <c r="D346" t="str">
        <f t="shared" si="20"/>
        <v>Male</v>
      </c>
      <c r="E346" t="s">
        <v>9</v>
      </c>
      <c r="F346" s="2">
        <v>18</v>
      </c>
      <c r="G346" s="2" t="str" cm="1">
        <f t="array" ref="G346">_xlfn.IFS(F346&lt;=8,"Child",F346&lt;=17,"Teen",F346&lt;=35,"Adult",F346&lt;=55,"Seniour Adult",F346&gt;=55,"Old Age")</f>
        <v>Adult</v>
      </c>
      <c r="H346" t="s">
        <v>10</v>
      </c>
      <c r="I346" t="s">
        <v>11</v>
      </c>
      <c r="J346" t="str" cm="1">
        <f t="array" ref="J346">_xlfn.IFS(I346="S","Southamptom",I346="Q","Quentown",I346="C","Cherbrug",I346="B","Cabin")</f>
        <v>Southamptom</v>
      </c>
      <c r="K346" t="s">
        <v>15</v>
      </c>
      <c r="L346" s="2">
        <v>8.01</v>
      </c>
      <c r="M346" s="2" t="str" cm="1">
        <f t="array" ref="M346">_xlfn.IFS(L346&lt;=15,"Low Fare",L346&lt;=35,"Medium Fare",L346&lt;=100,"High Fare",L346&gt;=100,"Very High Fare")</f>
        <v>Low Fare</v>
      </c>
      <c r="N346" s="2">
        <v>0</v>
      </c>
      <c r="O346" s="2">
        <v>0</v>
      </c>
      <c r="P346">
        <f t="shared" si="21"/>
        <v>1</v>
      </c>
      <c r="Q346" t="str">
        <f t="shared" si="22"/>
        <v>Alone</v>
      </c>
      <c r="R346" t="str">
        <f t="shared" si="23"/>
        <v>Yes</v>
      </c>
      <c r="S346" t="s">
        <v>16</v>
      </c>
    </row>
    <row r="347" spans="1:19" x14ac:dyDescent="0.3">
      <c r="A347" s="1" t="s">
        <v>298</v>
      </c>
      <c r="B347" t="s">
        <v>1596</v>
      </c>
      <c r="C347" t="s">
        <v>1716</v>
      </c>
      <c r="D347" t="str">
        <f t="shared" si="20"/>
        <v>Male</v>
      </c>
      <c r="E347" t="s">
        <v>9</v>
      </c>
      <c r="F347" s="2">
        <v>22</v>
      </c>
      <c r="G347" s="2" t="str" cm="1">
        <f t="array" ref="G347">_xlfn.IFS(F347&lt;=8,"Child",F347&lt;=17,"Teen",F347&lt;=35,"Adult",F347&lt;=55,"Seniour Adult",F347&gt;=55,"Old Age")</f>
        <v>Adult</v>
      </c>
      <c r="H347" t="s">
        <v>10</v>
      </c>
      <c r="I347" t="s">
        <v>36</v>
      </c>
      <c r="J347" t="str" cm="1">
        <f t="array" ref="J347">_xlfn.IFS(I347="S","Southamptom",I347="Q","Quentown",I347="C","Cherbrug",I347="B","Cabin")</f>
        <v>Quentown</v>
      </c>
      <c r="K347" t="s">
        <v>37</v>
      </c>
      <c r="L347" s="2">
        <v>8.0901999999999994</v>
      </c>
      <c r="M347" s="2" t="str" cm="1">
        <f t="array" ref="M347">_xlfn.IFS(L347&lt;=15,"Low Fare",L347&lt;=35,"Medium Fare",L347&lt;=100,"High Fare",L347&gt;=100,"Very High Fare")</f>
        <v>Low Fare</v>
      </c>
      <c r="N347" s="2">
        <v>0</v>
      </c>
      <c r="O347" s="2">
        <v>0</v>
      </c>
      <c r="P347">
        <f t="shared" si="21"/>
        <v>1</v>
      </c>
      <c r="Q347" t="str">
        <f t="shared" si="22"/>
        <v>Alone</v>
      </c>
      <c r="R347" t="str">
        <f t="shared" si="23"/>
        <v>No</v>
      </c>
      <c r="S347" t="s">
        <v>13</v>
      </c>
    </row>
    <row r="348" spans="1:19" x14ac:dyDescent="0.3">
      <c r="A348" s="1" t="s">
        <v>299</v>
      </c>
      <c r="B348" t="s">
        <v>1600</v>
      </c>
      <c r="C348" t="s">
        <v>1929</v>
      </c>
      <c r="D348" t="str">
        <f t="shared" si="20"/>
        <v>Female</v>
      </c>
      <c r="E348" t="s">
        <v>14</v>
      </c>
      <c r="F348" s="2">
        <v>48</v>
      </c>
      <c r="G348" s="2" t="str" cm="1">
        <f t="array" ref="G348">_xlfn.IFS(F348&lt;=8,"Child",F348&lt;=17,"Teen",F348&lt;=35,"Adult",F348&lt;=55,"Seniour Adult",F348&gt;=55,"Old Age")</f>
        <v>Seniour Adult</v>
      </c>
      <c r="H348" t="s">
        <v>25</v>
      </c>
      <c r="I348" t="s">
        <v>19</v>
      </c>
      <c r="J348" t="str" cm="1">
        <f t="array" ref="J348">_xlfn.IFS(I348="S","Southamptom",I348="Q","Quentown",I348="C","Cherbrug",I348="B","Cabin")</f>
        <v>Cherbrug</v>
      </c>
      <c r="K348" t="s">
        <v>12</v>
      </c>
      <c r="L348" s="2">
        <v>106.0806</v>
      </c>
      <c r="M348" s="2" t="str" cm="1">
        <f t="array" ref="M348">_xlfn.IFS(L348&lt;=15,"Low Fare",L348&lt;=35,"Medium Fare",L348&lt;=100,"High Fare",L348&gt;=100,"Very High Fare")</f>
        <v>Very High Fare</v>
      </c>
      <c r="N348" s="2">
        <v>1</v>
      </c>
      <c r="O348" s="2">
        <v>0</v>
      </c>
      <c r="P348">
        <f t="shared" si="21"/>
        <v>2</v>
      </c>
      <c r="Q348" t="str">
        <f t="shared" si="22"/>
        <v>With Family</v>
      </c>
      <c r="R348" t="str">
        <f t="shared" si="23"/>
        <v>Yes</v>
      </c>
      <c r="S348" t="s">
        <v>16</v>
      </c>
    </row>
    <row r="349" spans="1:19" x14ac:dyDescent="0.3">
      <c r="A349" s="1" t="s">
        <v>299</v>
      </c>
      <c r="B349" t="s">
        <v>1600</v>
      </c>
      <c r="C349" t="s">
        <v>1930</v>
      </c>
      <c r="D349" t="str">
        <f t="shared" si="20"/>
        <v>Female</v>
      </c>
      <c r="E349" t="s">
        <v>14</v>
      </c>
      <c r="F349" s="2">
        <v>27</v>
      </c>
      <c r="G349" s="2" t="str" cm="1">
        <f t="array" ref="G349">_xlfn.IFS(F349&lt;=8,"Child",F349&lt;=17,"Teen",F349&lt;=35,"Adult",F349&lt;=55,"Seniour Adult",F349&gt;=55,"Old Age")</f>
        <v>Adult</v>
      </c>
      <c r="H349" t="s">
        <v>25</v>
      </c>
      <c r="I349" t="s">
        <v>19</v>
      </c>
      <c r="J349" t="str" cm="1">
        <f t="array" ref="J349">_xlfn.IFS(I349="S","Southamptom",I349="Q","Quentown",I349="C","Cherbrug",I349="B","Cabin")</f>
        <v>Cherbrug</v>
      </c>
      <c r="K349" t="s">
        <v>26</v>
      </c>
      <c r="L349" s="2">
        <v>247.10050000000001</v>
      </c>
      <c r="M349" s="2" t="str" cm="1">
        <f t="array" ref="M349">_xlfn.IFS(L349&lt;=15,"Low Fare",L349&lt;=35,"Medium Fare",L349&lt;=100,"High Fare",L349&gt;=100,"Very High Fare")</f>
        <v>Very High Fare</v>
      </c>
      <c r="N349" s="2">
        <v>1</v>
      </c>
      <c r="O349" s="2">
        <v>1</v>
      </c>
      <c r="P349">
        <f t="shared" si="21"/>
        <v>3</v>
      </c>
      <c r="Q349" t="str">
        <f t="shared" si="22"/>
        <v>With Family</v>
      </c>
      <c r="R349" t="str">
        <f t="shared" si="23"/>
        <v>Yes</v>
      </c>
      <c r="S349" t="s">
        <v>16</v>
      </c>
    </row>
    <row r="350" spans="1:19" x14ac:dyDescent="0.3">
      <c r="A350" s="1" t="s">
        <v>299</v>
      </c>
      <c r="B350" t="s">
        <v>1596</v>
      </c>
      <c r="C350" t="s">
        <v>1931</v>
      </c>
      <c r="D350" t="str">
        <f t="shared" si="20"/>
        <v>Male</v>
      </c>
      <c r="E350" t="s">
        <v>9</v>
      </c>
      <c r="F350" s="2">
        <v>50</v>
      </c>
      <c r="G350" s="2" t="str" cm="1">
        <f t="array" ref="G350">_xlfn.IFS(F350&lt;=8,"Child",F350&lt;=17,"Teen",F350&lt;=35,"Adult",F350&lt;=55,"Seniour Adult",F350&gt;=55,"Old Age")</f>
        <v>Seniour Adult</v>
      </c>
      <c r="H350" t="s">
        <v>25</v>
      </c>
      <c r="I350" t="s">
        <v>19</v>
      </c>
      <c r="J350" t="str" cm="1">
        <f t="array" ref="J350">_xlfn.IFS(I350="S","Southamptom",I350="Q","Quentown",I350="C","Cherbrug",I350="B","Cabin")</f>
        <v>Cherbrug</v>
      </c>
      <c r="K350" t="s">
        <v>12</v>
      </c>
      <c r="L350" s="2">
        <v>106.0806</v>
      </c>
      <c r="M350" s="2" t="str" cm="1">
        <f t="array" ref="M350">_xlfn.IFS(L350&lt;=15,"Low Fare",L350&lt;=35,"Medium Fare",L350&lt;=100,"High Fare",L350&gt;=100,"Very High Fare")</f>
        <v>Very High Fare</v>
      </c>
      <c r="N350" s="2">
        <v>1</v>
      </c>
      <c r="O350" s="2">
        <v>0</v>
      </c>
      <c r="P350">
        <f t="shared" si="21"/>
        <v>2</v>
      </c>
      <c r="Q350" t="str">
        <f t="shared" si="22"/>
        <v>With Family</v>
      </c>
      <c r="R350" t="str">
        <f t="shared" si="23"/>
        <v>No</v>
      </c>
      <c r="S350" t="s">
        <v>13</v>
      </c>
    </row>
    <row r="351" spans="1:19" x14ac:dyDescent="0.3">
      <c r="A351" s="1" t="s">
        <v>300</v>
      </c>
      <c r="B351" t="s">
        <v>1596</v>
      </c>
      <c r="C351" t="s">
        <v>1932</v>
      </c>
      <c r="D351" t="str">
        <f t="shared" si="20"/>
        <v>Male</v>
      </c>
      <c r="E351" t="s">
        <v>9</v>
      </c>
      <c r="F351" s="2">
        <v>55</v>
      </c>
      <c r="G351" s="2" t="str" cm="1">
        <f t="array" ref="G351">_xlfn.IFS(F351&lt;=8,"Child",F351&lt;=17,"Teen",F351&lt;=35,"Adult",F351&lt;=55,"Seniour Adult",F351&gt;=55,"Old Age")</f>
        <v>Seniour Adult</v>
      </c>
      <c r="H351" t="s">
        <v>18</v>
      </c>
      <c r="I351" t="s">
        <v>11</v>
      </c>
      <c r="J351" t="str" cm="1">
        <f t="array" ref="J351">_xlfn.IFS(I351="S","Southamptom",I351="Q","Quentown",I351="C","Cherbrug",I351="B","Cabin")</f>
        <v>Southamptom</v>
      </c>
      <c r="K351" t="s">
        <v>15</v>
      </c>
      <c r="L351" s="2">
        <v>26</v>
      </c>
      <c r="M351" s="2" t="str" cm="1">
        <f t="array" ref="M351">_xlfn.IFS(L351&lt;=15,"Low Fare",L351&lt;=35,"Medium Fare",L351&lt;=100,"High Fare",L351&gt;=100,"Very High Fare")</f>
        <v>Medium Fare</v>
      </c>
      <c r="N351" s="2">
        <v>0</v>
      </c>
      <c r="O351" s="2">
        <v>0</v>
      </c>
      <c r="P351">
        <f t="shared" si="21"/>
        <v>1</v>
      </c>
      <c r="Q351" t="str">
        <f t="shared" si="22"/>
        <v>Alone</v>
      </c>
      <c r="R351" t="str">
        <f t="shared" si="23"/>
        <v>No</v>
      </c>
      <c r="S351" t="s">
        <v>13</v>
      </c>
    </row>
    <row r="352" spans="1:19" x14ac:dyDescent="0.3">
      <c r="A352" s="1" t="s">
        <v>301</v>
      </c>
      <c r="B352" t="s">
        <v>1602</v>
      </c>
      <c r="C352" t="s">
        <v>1730</v>
      </c>
      <c r="D352" t="str">
        <f t="shared" si="20"/>
        <v>Female</v>
      </c>
      <c r="E352" t="s">
        <v>14</v>
      </c>
      <c r="F352" s="2">
        <v>31</v>
      </c>
      <c r="G352" s="2" t="str" cm="1">
        <f t="array" ref="G352">_xlfn.IFS(F352&lt;=8,"Child",F352&lt;=17,"Teen",F352&lt;=35,"Adult",F352&lt;=55,"Seniour Adult",F352&gt;=55,"Old Age")</f>
        <v>Adult</v>
      </c>
      <c r="H352" t="s">
        <v>10</v>
      </c>
      <c r="I352" t="s">
        <v>11</v>
      </c>
      <c r="J352" t="str" cm="1">
        <f t="array" ref="J352">_xlfn.IFS(I352="S","Southamptom",I352="Q","Quentown",I352="C","Cherbrug",I352="B","Cabin")</f>
        <v>Southamptom</v>
      </c>
      <c r="K352" t="s">
        <v>12</v>
      </c>
      <c r="L352" s="2">
        <v>12.0906</v>
      </c>
      <c r="M352" s="2" t="str" cm="1">
        <f t="array" ref="M352">_xlfn.IFS(L352&lt;=15,"Low Fare",L352&lt;=35,"Medium Fare",L352&lt;=100,"High Fare",L352&gt;=100,"Very High Fare")</f>
        <v>Low Fare</v>
      </c>
      <c r="N352" s="2">
        <v>0</v>
      </c>
      <c r="O352" s="2">
        <v>0</v>
      </c>
      <c r="P352">
        <f t="shared" si="21"/>
        <v>1</v>
      </c>
      <c r="Q352" t="str">
        <f t="shared" si="22"/>
        <v>Alone</v>
      </c>
      <c r="R352" t="str">
        <f t="shared" si="23"/>
        <v>Yes</v>
      </c>
      <c r="S352" t="s">
        <v>16</v>
      </c>
    </row>
    <row r="353" spans="1:19" x14ac:dyDescent="0.3">
      <c r="A353" s="1" t="s">
        <v>302</v>
      </c>
      <c r="B353" t="s">
        <v>1602</v>
      </c>
      <c r="C353" t="s">
        <v>1730</v>
      </c>
      <c r="D353" t="str">
        <f t="shared" si="20"/>
        <v>Female</v>
      </c>
      <c r="E353" t="s">
        <v>14</v>
      </c>
      <c r="F353" s="2">
        <v>28</v>
      </c>
      <c r="G353" s="2" t="str" cm="1">
        <f t="array" ref="G353">_xlfn.IFS(F353&lt;=8,"Child",F353&lt;=17,"Teen",F353&lt;=35,"Adult",F353&lt;=55,"Seniour Adult",F353&gt;=55,"Old Age")</f>
        <v>Adult</v>
      </c>
      <c r="H353" t="s">
        <v>10</v>
      </c>
      <c r="I353" t="s">
        <v>36</v>
      </c>
      <c r="J353" t="str" cm="1">
        <f t="array" ref="J353">_xlfn.IFS(I353="S","Southamptom",I353="Q","Quentown",I353="C","Cherbrug",I353="B","Cabin")</f>
        <v>Quentown</v>
      </c>
      <c r="K353" t="s">
        <v>37</v>
      </c>
      <c r="L353" s="2">
        <v>7.15</v>
      </c>
      <c r="M353" s="2" t="str" cm="1">
        <f t="array" ref="M353">_xlfn.IFS(L353&lt;=15,"Low Fare",L353&lt;=35,"Medium Fare",L353&lt;=100,"High Fare",L353&gt;=100,"Very High Fare")</f>
        <v>Low Fare</v>
      </c>
      <c r="N353" s="2">
        <v>0</v>
      </c>
      <c r="O353" s="2">
        <v>0</v>
      </c>
      <c r="P353">
        <f t="shared" si="21"/>
        <v>1</v>
      </c>
      <c r="Q353" t="str">
        <f t="shared" si="22"/>
        <v>Alone</v>
      </c>
      <c r="R353" t="str">
        <f t="shared" si="23"/>
        <v>No</v>
      </c>
      <c r="S353" t="s">
        <v>13</v>
      </c>
    </row>
    <row r="354" spans="1:19" x14ac:dyDescent="0.3">
      <c r="A354" s="1" t="s">
        <v>303</v>
      </c>
      <c r="B354" t="s">
        <v>1596</v>
      </c>
      <c r="C354" t="s">
        <v>1933</v>
      </c>
      <c r="D354" t="str">
        <f t="shared" si="20"/>
        <v>Male</v>
      </c>
      <c r="E354" t="s">
        <v>9</v>
      </c>
      <c r="F354" s="2">
        <v>33</v>
      </c>
      <c r="G354" s="2" t="str" cm="1">
        <f t="array" ref="G354">_xlfn.IFS(F354&lt;=8,"Child",F354&lt;=17,"Teen",F354&lt;=35,"Adult",F354&lt;=55,"Seniour Adult",F354&gt;=55,"Old Age")</f>
        <v>Adult</v>
      </c>
      <c r="H354" t="s">
        <v>10</v>
      </c>
      <c r="I354" t="s">
        <v>19</v>
      </c>
      <c r="J354" t="str" cm="1">
        <f t="array" ref="J354">_xlfn.IFS(I354="S","Southamptom",I354="Q","Quentown",I354="C","Cherbrug",I354="B","Cabin")</f>
        <v>Cherbrug</v>
      </c>
      <c r="K354" t="s">
        <v>42</v>
      </c>
      <c r="L354" s="2">
        <v>7.1711</v>
      </c>
      <c r="M354" s="2" t="str" cm="1">
        <f t="array" ref="M354">_xlfn.IFS(L354&lt;=15,"Low Fare",L354&lt;=35,"Medium Fare",L354&lt;=100,"High Fare",L354&gt;=100,"Very High Fare")</f>
        <v>Low Fare</v>
      </c>
      <c r="N354" s="2">
        <v>0</v>
      </c>
      <c r="O354" s="2">
        <v>0</v>
      </c>
      <c r="P354">
        <f t="shared" si="21"/>
        <v>1</v>
      </c>
      <c r="Q354" t="str">
        <f t="shared" si="22"/>
        <v>Alone</v>
      </c>
      <c r="R354" t="str">
        <f t="shared" si="23"/>
        <v>No</v>
      </c>
      <c r="S354" t="s">
        <v>13</v>
      </c>
    </row>
    <row r="355" spans="1:19" x14ac:dyDescent="0.3">
      <c r="A355" s="1" t="s">
        <v>304</v>
      </c>
      <c r="B355" t="s">
        <v>1612</v>
      </c>
      <c r="C355" t="s">
        <v>1934</v>
      </c>
      <c r="D355" t="str">
        <f t="shared" si="20"/>
        <v>Male</v>
      </c>
      <c r="E355" t="s">
        <v>9</v>
      </c>
      <c r="F355" s="2">
        <v>8</v>
      </c>
      <c r="G355" s="2" t="str" cm="1">
        <f t="array" ref="G355">_xlfn.IFS(F355&lt;=8,"Child",F355&lt;=17,"Teen",F355&lt;=35,"Adult",F355&lt;=55,"Seniour Adult",F355&gt;=55,"Old Age")</f>
        <v>Child</v>
      </c>
      <c r="H355" t="s">
        <v>18</v>
      </c>
      <c r="I355" t="s">
        <v>11</v>
      </c>
      <c r="J355" t="str" cm="1">
        <f t="array" ref="J355">_xlfn.IFS(I355="S","Southamptom",I355="Q","Quentown",I355="C","Cherbrug",I355="B","Cabin")</f>
        <v>Southamptom</v>
      </c>
      <c r="K355" t="s">
        <v>12</v>
      </c>
      <c r="L355" s="2">
        <v>32.1</v>
      </c>
      <c r="M355" s="2" t="str" cm="1">
        <f t="array" ref="M355">_xlfn.IFS(L355&lt;=15,"Low Fare",L355&lt;=35,"Medium Fare",L355&lt;=100,"High Fare",L355&gt;=100,"Very High Fare")</f>
        <v>Medium Fare</v>
      </c>
      <c r="N355" s="2">
        <v>0</v>
      </c>
      <c r="O355" s="2">
        <v>2</v>
      </c>
      <c r="P355">
        <f t="shared" si="21"/>
        <v>3</v>
      </c>
      <c r="Q355" t="str">
        <f t="shared" si="22"/>
        <v>With Family</v>
      </c>
      <c r="R355" t="str">
        <f t="shared" si="23"/>
        <v>Yes</v>
      </c>
      <c r="S355" t="s">
        <v>16</v>
      </c>
    </row>
    <row r="356" spans="1:19" x14ac:dyDescent="0.3">
      <c r="A356" s="1" t="s">
        <v>304</v>
      </c>
      <c r="B356" t="s">
        <v>1596</v>
      </c>
      <c r="C356" t="s">
        <v>1935</v>
      </c>
      <c r="D356" t="str">
        <f t="shared" si="20"/>
        <v>Male</v>
      </c>
      <c r="E356" t="s">
        <v>9</v>
      </c>
      <c r="F356" s="2">
        <v>42</v>
      </c>
      <c r="G356" s="2" t="str" cm="1">
        <f t="array" ref="G356">_xlfn.IFS(F356&lt;=8,"Child",F356&lt;=17,"Teen",F356&lt;=35,"Adult",F356&lt;=55,"Seniour Adult",F356&gt;=55,"Old Age")</f>
        <v>Seniour Adult</v>
      </c>
      <c r="H356" t="s">
        <v>18</v>
      </c>
      <c r="I356" t="s">
        <v>11</v>
      </c>
      <c r="J356" t="str" cm="1">
        <f t="array" ref="J356">_xlfn.IFS(I356="S","Southamptom",I356="Q","Quentown",I356="C","Cherbrug",I356="B","Cabin")</f>
        <v>Southamptom</v>
      </c>
      <c r="K356" t="s">
        <v>15</v>
      </c>
      <c r="L356" s="2">
        <v>32.1</v>
      </c>
      <c r="M356" s="2" t="str" cm="1">
        <f t="array" ref="M356">_xlfn.IFS(L356&lt;=15,"Low Fare",L356&lt;=35,"Medium Fare",L356&lt;=100,"High Fare",L356&gt;=100,"Very High Fare")</f>
        <v>Medium Fare</v>
      </c>
      <c r="N356" s="2">
        <v>1</v>
      </c>
      <c r="O356" s="2">
        <v>1</v>
      </c>
      <c r="P356">
        <f t="shared" si="21"/>
        <v>3</v>
      </c>
      <c r="Q356" t="str">
        <f t="shared" si="22"/>
        <v>With Family</v>
      </c>
      <c r="R356" t="str">
        <f t="shared" si="23"/>
        <v>No</v>
      </c>
      <c r="S356" t="s">
        <v>13</v>
      </c>
    </row>
    <row r="357" spans="1:19" x14ac:dyDescent="0.3">
      <c r="A357" s="1" t="s">
        <v>304</v>
      </c>
      <c r="B357" t="s">
        <v>1600</v>
      </c>
      <c r="C357" t="s">
        <v>1936</v>
      </c>
      <c r="D357" t="str">
        <f t="shared" si="20"/>
        <v>Female</v>
      </c>
      <c r="E357" t="s">
        <v>14</v>
      </c>
      <c r="F357" s="2">
        <v>34</v>
      </c>
      <c r="G357" s="2" t="str" cm="1">
        <f t="array" ref="G357">_xlfn.IFS(F357&lt;=8,"Child",F357&lt;=17,"Teen",F357&lt;=35,"Adult",F357&lt;=55,"Seniour Adult",F357&gt;=55,"Old Age")</f>
        <v>Adult</v>
      </c>
      <c r="H357" t="s">
        <v>18</v>
      </c>
      <c r="I357" t="s">
        <v>11</v>
      </c>
      <c r="J357" t="str" cm="1">
        <f t="array" ref="J357">_xlfn.IFS(I357="S","Southamptom",I357="Q","Quentown",I357="C","Cherbrug",I357="B","Cabin")</f>
        <v>Southamptom</v>
      </c>
      <c r="K357" t="s">
        <v>12</v>
      </c>
      <c r="L357" s="2">
        <v>32.1</v>
      </c>
      <c r="M357" s="2" t="str" cm="1">
        <f t="array" ref="M357">_xlfn.IFS(L357&lt;=15,"Low Fare",L357&lt;=35,"Medium Fare",L357&lt;=100,"High Fare",L357&gt;=100,"Very High Fare")</f>
        <v>Medium Fare</v>
      </c>
      <c r="N357" s="2">
        <v>1</v>
      </c>
      <c r="O357" s="2">
        <v>1</v>
      </c>
      <c r="P357">
        <f t="shared" si="21"/>
        <v>3</v>
      </c>
      <c r="Q357" t="str">
        <f t="shared" si="22"/>
        <v>With Family</v>
      </c>
      <c r="R357" t="str">
        <f t="shared" si="23"/>
        <v>Yes</v>
      </c>
      <c r="S357" t="s">
        <v>16</v>
      </c>
    </row>
    <row r="358" spans="1:19" x14ac:dyDescent="0.3">
      <c r="A358" s="1" t="s">
        <v>305</v>
      </c>
      <c r="B358" t="s">
        <v>1602</v>
      </c>
      <c r="C358" t="s">
        <v>1927</v>
      </c>
      <c r="D358" t="str">
        <f t="shared" si="20"/>
        <v>Female</v>
      </c>
      <c r="E358" t="s">
        <v>14</v>
      </c>
      <c r="F358" s="2">
        <v>27</v>
      </c>
      <c r="G358" s="2" t="str" cm="1">
        <f t="array" ref="G358">_xlfn.IFS(F358&lt;=8,"Child",F358&lt;=17,"Teen",F358&lt;=35,"Adult",F358&lt;=55,"Seniour Adult",F358&gt;=55,"Old Age")</f>
        <v>Adult</v>
      </c>
      <c r="H358" t="s">
        <v>10</v>
      </c>
      <c r="I358" t="s">
        <v>36</v>
      </c>
      <c r="J358" t="str" cm="1">
        <f t="array" ref="J358">_xlfn.IFS(I358="S","Southamptom",I358="Q","Quentown",I358="C","Cherbrug",I358="B","Cabin")</f>
        <v>Quentown</v>
      </c>
      <c r="K358" t="s">
        <v>37</v>
      </c>
      <c r="L358" s="2">
        <v>7.15</v>
      </c>
      <c r="M358" s="2" t="str" cm="1">
        <f t="array" ref="M358">_xlfn.IFS(L358&lt;=15,"Low Fare",L358&lt;=35,"Medium Fare",L358&lt;=100,"High Fare",L358&gt;=100,"Very High Fare")</f>
        <v>Low Fare</v>
      </c>
      <c r="N358" s="2">
        <v>0</v>
      </c>
      <c r="O358" s="2">
        <v>0</v>
      </c>
      <c r="P358">
        <f t="shared" si="21"/>
        <v>1</v>
      </c>
      <c r="Q358" t="str">
        <f t="shared" si="22"/>
        <v>Alone</v>
      </c>
      <c r="R358" t="str">
        <f t="shared" si="23"/>
        <v>Yes</v>
      </c>
      <c r="S358" t="s">
        <v>16</v>
      </c>
    </row>
    <row r="359" spans="1:19" x14ac:dyDescent="0.3">
      <c r="A359" s="1" t="s">
        <v>306</v>
      </c>
      <c r="B359" t="s">
        <v>1602</v>
      </c>
      <c r="C359" t="s">
        <v>1937</v>
      </c>
      <c r="D359" t="str">
        <f t="shared" si="20"/>
        <v>Female</v>
      </c>
      <c r="E359" t="s">
        <v>14</v>
      </c>
      <c r="F359" s="2">
        <v>24</v>
      </c>
      <c r="G359" s="2" t="str" cm="1">
        <f t="array" ref="G359">_xlfn.IFS(F359&lt;=8,"Child",F359&lt;=17,"Teen",F359&lt;=35,"Adult",F359&lt;=55,"Seniour Adult",F359&gt;=55,"Old Age")</f>
        <v>Adult</v>
      </c>
      <c r="H359" t="s">
        <v>10</v>
      </c>
      <c r="I359" t="s">
        <v>11</v>
      </c>
      <c r="J359" t="str" cm="1">
        <f t="array" ref="J359">_xlfn.IFS(I359="S","Southamptom",I359="Q","Quentown",I359="C","Cherbrug",I359="B","Cabin")</f>
        <v>Southamptom</v>
      </c>
      <c r="K359" t="s">
        <v>15</v>
      </c>
      <c r="L359" s="2">
        <v>8.01</v>
      </c>
      <c r="M359" s="2" t="str" cm="1">
        <f t="array" ref="M359">_xlfn.IFS(L359&lt;=15,"Low Fare",L359&lt;=35,"Medium Fare",L359&lt;=100,"High Fare",L359&gt;=100,"Very High Fare")</f>
        <v>Low Fare</v>
      </c>
      <c r="N359" s="2">
        <v>0</v>
      </c>
      <c r="O359" s="2">
        <v>0</v>
      </c>
      <c r="P359">
        <f t="shared" si="21"/>
        <v>1</v>
      </c>
      <c r="Q359" t="str">
        <f t="shared" si="22"/>
        <v>Alone</v>
      </c>
      <c r="R359" t="str">
        <f t="shared" si="23"/>
        <v>Yes</v>
      </c>
      <c r="S359" t="s">
        <v>16</v>
      </c>
    </row>
    <row r="360" spans="1:19" x14ac:dyDescent="0.3">
      <c r="A360" s="1" t="s">
        <v>307</v>
      </c>
      <c r="B360" t="s">
        <v>308</v>
      </c>
      <c r="C360" t="s">
        <v>309</v>
      </c>
      <c r="D360" t="str">
        <f t="shared" si="20"/>
        <v>Female</v>
      </c>
      <c r="E360" t="s">
        <v>14</v>
      </c>
      <c r="F360" s="2">
        <v>48</v>
      </c>
      <c r="G360" s="2" t="str" cm="1">
        <f t="array" ref="G360">_xlfn.IFS(F360&lt;=8,"Child",F360&lt;=17,"Teen",F360&lt;=35,"Adult",F360&lt;=55,"Seniour Adult",F360&gt;=55,"Old Age")</f>
        <v>Seniour Adult</v>
      </c>
      <c r="H360" t="s">
        <v>25</v>
      </c>
      <c r="I360" t="s">
        <v>19</v>
      </c>
      <c r="J360" t="str" cm="1">
        <f t="array" ref="J360">_xlfn.IFS(I360="S","Southamptom",I360="Q","Quentown",I360="C","Cherbrug",I360="B","Cabin")</f>
        <v>Cherbrug</v>
      </c>
      <c r="K360" t="s">
        <v>15</v>
      </c>
      <c r="L360" s="2">
        <v>56.180700000000002</v>
      </c>
      <c r="M360" s="2" t="str" cm="1">
        <f t="array" ref="M360">_xlfn.IFS(L360&lt;=15,"Low Fare",L360&lt;=35,"Medium Fare",L360&lt;=100,"High Fare",L360&gt;=100,"Very High Fare")</f>
        <v>High Fare</v>
      </c>
      <c r="N360" s="2">
        <v>1</v>
      </c>
      <c r="O360" s="2">
        <v>0</v>
      </c>
      <c r="P360">
        <f t="shared" si="21"/>
        <v>2</v>
      </c>
      <c r="Q360" t="str">
        <f t="shared" si="22"/>
        <v>With Family</v>
      </c>
      <c r="R360" t="str">
        <f t="shared" si="23"/>
        <v>Yes</v>
      </c>
      <c r="S360" t="s">
        <v>16</v>
      </c>
    </row>
    <row r="361" spans="1:19" x14ac:dyDescent="0.3">
      <c r="A361" s="1" t="s">
        <v>307</v>
      </c>
      <c r="B361" t="s">
        <v>1938</v>
      </c>
      <c r="C361" t="s">
        <v>1939</v>
      </c>
      <c r="D361" t="str">
        <f t="shared" si="20"/>
        <v>Male</v>
      </c>
      <c r="E361" t="s">
        <v>9</v>
      </c>
      <c r="F361" s="2">
        <v>49</v>
      </c>
      <c r="G361" s="2" t="str" cm="1">
        <f t="array" ref="G361">_xlfn.IFS(F361&lt;=8,"Child",F361&lt;=17,"Teen",F361&lt;=35,"Adult",F361&lt;=55,"Seniour Adult",F361&gt;=55,"Old Age")</f>
        <v>Seniour Adult</v>
      </c>
      <c r="H361" t="s">
        <v>25</v>
      </c>
      <c r="I361" t="s">
        <v>19</v>
      </c>
      <c r="J361" t="str" cm="1">
        <f t="array" ref="J361">_xlfn.IFS(I361="S","Southamptom",I361="Q","Quentown",I361="C","Cherbrug",I361="B","Cabin")</f>
        <v>Cherbrug</v>
      </c>
      <c r="K361" t="s">
        <v>15</v>
      </c>
      <c r="L361" s="2">
        <v>39.119999999999997</v>
      </c>
      <c r="M361" s="2" t="str" cm="1">
        <f t="array" ref="M361">_xlfn.IFS(L361&lt;=15,"Low Fare",L361&lt;=35,"Medium Fare",L361&lt;=100,"High Fare",L361&gt;=100,"Very High Fare")</f>
        <v>High Fare</v>
      </c>
      <c r="N361" s="2">
        <v>1</v>
      </c>
      <c r="O361" s="2">
        <v>0</v>
      </c>
      <c r="P361">
        <f t="shared" si="21"/>
        <v>2</v>
      </c>
      <c r="Q361" t="str">
        <f t="shared" si="22"/>
        <v>With Family</v>
      </c>
      <c r="R361" t="str">
        <f t="shared" si="23"/>
        <v>Yes</v>
      </c>
      <c r="S361" t="s">
        <v>16</v>
      </c>
    </row>
    <row r="362" spans="1:19" x14ac:dyDescent="0.3">
      <c r="A362" s="1" t="s">
        <v>310</v>
      </c>
      <c r="B362" t="s">
        <v>1596</v>
      </c>
      <c r="C362" t="s">
        <v>1940</v>
      </c>
      <c r="D362" t="str">
        <f t="shared" si="20"/>
        <v>Male</v>
      </c>
      <c r="E362" t="s">
        <v>9</v>
      </c>
      <c r="F362" s="2">
        <v>39</v>
      </c>
      <c r="G362" s="2" t="str" cm="1">
        <f t="array" ref="G362">_xlfn.IFS(F362&lt;=8,"Child",F362&lt;=17,"Teen",F362&lt;=35,"Adult",F362&lt;=55,"Seniour Adult",F362&gt;=55,"Old Age")</f>
        <v>Seniour Adult</v>
      </c>
      <c r="H362" t="s">
        <v>25</v>
      </c>
      <c r="I362" t="s">
        <v>19</v>
      </c>
      <c r="J362" t="str" cm="1">
        <f t="array" ref="J362">_xlfn.IFS(I362="S","Southamptom",I362="Q","Quentown",I362="C","Cherbrug",I362="B","Cabin")</f>
        <v>Cherbrug</v>
      </c>
      <c r="K362" t="s">
        <v>12</v>
      </c>
      <c r="L362" s="2">
        <v>29.14</v>
      </c>
      <c r="M362" s="2" t="str" cm="1">
        <f t="array" ref="M362">_xlfn.IFS(L362&lt;=15,"Low Fare",L362&lt;=35,"Medium Fare",L362&lt;=100,"High Fare",L362&gt;=100,"Very High Fare")</f>
        <v>Medium Fare</v>
      </c>
      <c r="N362" s="2">
        <v>0</v>
      </c>
      <c r="O362" s="2">
        <v>0</v>
      </c>
      <c r="P362">
        <f t="shared" si="21"/>
        <v>1</v>
      </c>
      <c r="Q362" t="str">
        <f t="shared" si="22"/>
        <v>Alone</v>
      </c>
      <c r="R362" t="str">
        <f t="shared" si="23"/>
        <v>No</v>
      </c>
      <c r="S362" t="s">
        <v>13</v>
      </c>
    </row>
    <row r="363" spans="1:19" x14ac:dyDescent="0.3">
      <c r="A363" s="1" t="s">
        <v>311</v>
      </c>
      <c r="B363" t="s">
        <v>1596</v>
      </c>
      <c r="C363" t="s">
        <v>1941</v>
      </c>
      <c r="D363" t="str">
        <f t="shared" si="20"/>
        <v>Male</v>
      </c>
      <c r="E363" t="s">
        <v>9</v>
      </c>
      <c r="F363" s="2">
        <v>24</v>
      </c>
      <c r="G363" s="2" t="str" cm="1">
        <f t="array" ref="G363">_xlfn.IFS(F363&lt;=8,"Child",F363&lt;=17,"Teen",F363&lt;=35,"Adult",F363&lt;=55,"Seniour Adult",F363&gt;=55,"Old Age")</f>
        <v>Adult</v>
      </c>
      <c r="H363" t="s">
        <v>10</v>
      </c>
      <c r="I363" t="s">
        <v>11</v>
      </c>
      <c r="J363" t="str" cm="1">
        <f t="array" ref="J363">_xlfn.IFS(I363="S","Southamptom",I363="Q","Quentown",I363="C","Cherbrug",I363="B","Cabin")</f>
        <v>Southamptom</v>
      </c>
      <c r="K363" t="s">
        <v>33</v>
      </c>
      <c r="L363" s="2">
        <v>7.11</v>
      </c>
      <c r="M363" s="2" t="str" cm="1">
        <f t="array" ref="M363">_xlfn.IFS(L363&lt;=15,"Low Fare",L363&lt;=35,"Medium Fare",L363&lt;=100,"High Fare",L363&gt;=100,"Very High Fare")</f>
        <v>Low Fare</v>
      </c>
      <c r="N363" s="2">
        <v>0</v>
      </c>
      <c r="O363" s="2">
        <v>0</v>
      </c>
      <c r="P363">
        <f t="shared" si="21"/>
        <v>1</v>
      </c>
      <c r="Q363" t="str">
        <f t="shared" si="22"/>
        <v>Alone</v>
      </c>
      <c r="R363" t="str">
        <f t="shared" si="23"/>
        <v>Yes</v>
      </c>
      <c r="S363" t="s">
        <v>16</v>
      </c>
    </row>
    <row r="364" spans="1:19" x14ac:dyDescent="0.3">
      <c r="A364" s="1" t="s">
        <v>312</v>
      </c>
      <c r="B364" t="s">
        <v>1942</v>
      </c>
      <c r="C364" t="s">
        <v>1943</v>
      </c>
      <c r="D364" t="str">
        <f t="shared" si="20"/>
        <v>Female</v>
      </c>
      <c r="E364" t="s">
        <v>14</v>
      </c>
      <c r="F364" s="2">
        <v>27</v>
      </c>
      <c r="G364" s="2" t="str" cm="1">
        <f t="array" ref="G364">_xlfn.IFS(F364&lt;=8,"Child",F364&lt;=17,"Teen",F364&lt;=35,"Adult",F364&lt;=55,"Seniour Adult",F364&gt;=55,"Old Age")</f>
        <v>Adult</v>
      </c>
      <c r="H364" t="s">
        <v>18</v>
      </c>
      <c r="I364" t="s">
        <v>19</v>
      </c>
      <c r="J364" t="str" cm="1">
        <f t="array" ref="J364">_xlfn.IFS(I364="S","Southamptom",I364="Q","Quentown",I364="C","Cherbrug",I364="B","Cabin")</f>
        <v>Cherbrug</v>
      </c>
      <c r="K364" t="s">
        <v>50</v>
      </c>
      <c r="L364" s="2">
        <v>13.170199999999999</v>
      </c>
      <c r="M364" s="2" t="str" cm="1">
        <f t="array" ref="M364">_xlfn.IFS(L364&lt;=15,"Low Fare",L364&lt;=35,"Medium Fare",L364&lt;=100,"High Fare",L364&gt;=100,"Very High Fare")</f>
        <v>Low Fare</v>
      </c>
      <c r="N364" s="2">
        <v>1</v>
      </c>
      <c r="O364" s="2">
        <v>0</v>
      </c>
      <c r="P364">
        <f t="shared" si="21"/>
        <v>2</v>
      </c>
      <c r="Q364" t="str">
        <f t="shared" si="22"/>
        <v>With Family</v>
      </c>
      <c r="R364" t="str">
        <f t="shared" si="23"/>
        <v>Yes</v>
      </c>
      <c r="S364" t="s">
        <v>16</v>
      </c>
    </row>
    <row r="365" spans="1:19" x14ac:dyDescent="0.3">
      <c r="A365" s="1" t="s">
        <v>312</v>
      </c>
      <c r="B365" t="s">
        <v>1942</v>
      </c>
      <c r="C365" t="s">
        <v>1944</v>
      </c>
      <c r="D365" t="str">
        <f t="shared" si="20"/>
        <v>Female</v>
      </c>
      <c r="E365" t="s">
        <v>14</v>
      </c>
      <c r="F365" s="2">
        <v>30</v>
      </c>
      <c r="G365" s="2" t="str" cm="1">
        <f t="array" ref="G365">_xlfn.IFS(F365&lt;=8,"Child",F365&lt;=17,"Teen",F365&lt;=35,"Adult",F365&lt;=55,"Seniour Adult",F365&gt;=55,"Old Age")</f>
        <v>Adult</v>
      </c>
      <c r="H365" t="s">
        <v>18</v>
      </c>
      <c r="I365" t="s">
        <v>19</v>
      </c>
      <c r="J365" t="str" cm="1">
        <f t="array" ref="J365">_xlfn.IFS(I365="S","Southamptom",I365="Q","Quentown",I365="C","Cherbrug",I365="B","Cabin")</f>
        <v>Cherbrug</v>
      </c>
      <c r="K365" t="s">
        <v>50</v>
      </c>
      <c r="L365" s="2">
        <v>13.170199999999999</v>
      </c>
      <c r="M365" s="2" t="str" cm="1">
        <f t="array" ref="M365">_xlfn.IFS(L365&lt;=15,"Low Fare",L365&lt;=35,"Medium Fare",L365&lt;=100,"High Fare",L365&gt;=100,"Very High Fare")</f>
        <v>Low Fare</v>
      </c>
      <c r="N365" s="2">
        <v>1</v>
      </c>
      <c r="O365" s="2">
        <v>0</v>
      </c>
      <c r="P365">
        <f t="shared" si="21"/>
        <v>2</v>
      </c>
      <c r="Q365" t="str">
        <f t="shared" si="22"/>
        <v>With Family</v>
      </c>
      <c r="R365" t="str">
        <f t="shared" si="23"/>
        <v>Yes</v>
      </c>
      <c r="S365" t="s">
        <v>16</v>
      </c>
    </row>
    <row r="366" spans="1:19" x14ac:dyDescent="0.3">
      <c r="A366" s="1" t="s">
        <v>313</v>
      </c>
      <c r="B366" t="s">
        <v>1596</v>
      </c>
      <c r="C366" t="s">
        <v>1945</v>
      </c>
      <c r="D366" t="str">
        <f t="shared" si="20"/>
        <v>Male</v>
      </c>
      <c r="E366" t="s">
        <v>9</v>
      </c>
      <c r="F366" s="2">
        <v>65</v>
      </c>
      <c r="G366" s="2" t="str" cm="1">
        <f t="array" ref="G366">_xlfn.IFS(F366&lt;=8,"Child",F366&lt;=17,"Teen",F366&lt;=35,"Adult",F366&lt;=55,"Seniour Adult",F366&gt;=55,"Old Age")</f>
        <v>Old Age</v>
      </c>
      <c r="H366" t="s">
        <v>10</v>
      </c>
      <c r="I366" t="s">
        <v>36</v>
      </c>
      <c r="J366" t="str" cm="1">
        <f t="array" ref="J366">_xlfn.IFS(I366="S","Southamptom",I366="Q","Quentown",I366="C","Cherbrug",I366="B","Cabin")</f>
        <v>Quentown</v>
      </c>
      <c r="K366" t="s">
        <v>37</v>
      </c>
      <c r="L366" s="2">
        <v>7.15</v>
      </c>
      <c r="M366" s="2" t="str" cm="1">
        <f t="array" ref="M366">_xlfn.IFS(L366&lt;=15,"Low Fare",L366&lt;=35,"Medium Fare",L366&lt;=100,"High Fare",L366&gt;=100,"Very High Fare")</f>
        <v>Low Fare</v>
      </c>
      <c r="N366" s="2">
        <v>0</v>
      </c>
      <c r="O366" s="2">
        <v>0</v>
      </c>
      <c r="P366">
        <f t="shared" si="21"/>
        <v>1</v>
      </c>
      <c r="Q366" t="str">
        <f t="shared" si="22"/>
        <v>Alone</v>
      </c>
      <c r="R366" t="str">
        <f t="shared" si="23"/>
        <v>No</v>
      </c>
      <c r="S366" t="s">
        <v>13</v>
      </c>
    </row>
    <row r="367" spans="1:19" x14ac:dyDescent="0.3">
      <c r="A367" s="1" t="s">
        <v>314</v>
      </c>
      <c r="B367" t="s">
        <v>1596</v>
      </c>
      <c r="C367" t="s">
        <v>1946</v>
      </c>
      <c r="D367" t="str">
        <f t="shared" si="20"/>
        <v>Male</v>
      </c>
      <c r="E367" t="s">
        <v>9</v>
      </c>
      <c r="F367" s="2">
        <v>23</v>
      </c>
      <c r="G367" s="2" t="str" cm="1">
        <f t="array" ref="G367">_xlfn.IFS(F367&lt;=8,"Child",F367&lt;=17,"Teen",F367&lt;=35,"Adult",F367&lt;=55,"Seniour Adult",F367&gt;=55,"Old Age")</f>
        <v>Adult</v>
      </c>
      <c r="H367" t="s">
        <v>10</v>
      </c>
      <c r="I367" t="s">
        <v>11</v>
      </c>
      <c r="J367" t="str" cm="1">
        <f t="array" ref="J367">_xlfn.IFS(I367="S","Southamptom",I367="Q","Quentown",I367="C","Cherbrug",I367="B","Cabin")</f>
        <v>Southamptom</v>
      </c>
      <c r="K367" t="s">
        <v>12</v>
      </c>
      <c r="L367" s="2">
        <v>13.18</v>
      </c>
      <c r="M367" s="2" t="str" cm="1">
        <f t="array" ref="M367">_xlfn.IFS(L367&lt;=15,"Low Fare",L367&lt;=35,"Medium Fare",L367&lt;=100,"High Fare",L367&gt;=100,"Very High Fare")</f>
        <v>Low Fare</v>
      </c>
      <c r="N367" s="2">
        <v>1</v>
      </c>
      <c r="O367" s="2">
        <v>0</v>
      </c>
      <c r="P367">
        <f t="shared" si="21"/>
        <v>2</v>
      </c>
      <c r="Q367" t="str">
        <f t="shared" si="22"/>
        <v>With Family</v>
      </c>
      <c r="R367" t="str">
        <f t="shared" si="23"/>
        <v>No</v>
      </c>
      <c r="S367" t="s">
        <v>13</v>
      </c>
    </row>
    <row r="368" spans="1:19" x14ac:dyDescent="0.3">
      <c r="A368" s="1" t="s">
        <v>314</v>
      </c>
      <c r="B368" t="s">
        <v>1600</v>
      </c>
      <c r="C368" t="s">
        <v>1947</v>
      </c>
      <c r="D368" t="str">
        <f t="shared" si="20"/>
        <v>Female</v>
      </c>
      <c r="E368" t="s">
        <v>14</v>
      </c>
      <c r="F368" s="2">
        <v>22</v>
      </c>
      <c r="G368" s="2" t="str" cm="1">
        <f t="array" ref="G368">_xlfn.IFS(F368&lt;=8,"Child",F368&lt;=17,"Teen",F368&lt;=35,"Adult",F368&lt;=55,"Seniour Adult",F368&gt;=55,"Old Age")</f>
        <v>Adult</v>
      </c>
      <c r="H368" t="s">
        <v>10</v>
      </c>
      <c r="I368" t="s">
        <v>11</v>
      </c>
      <c r="J368" t="str" cm="1">
        <f t="array" ref="J368">_xlfn.IFS(I368="S","Southamptom",I368="Q","Quentown",I368="C","Cherbrug",I368="B","Cabin")</f>
        <v>Southamptom</v>
      </c>
      <c r="K368" t="s">
        <v>12</v>
      </c>
      <c r="L368" s="2">
        <v>13.18</v>
      </c>
      <c r="M368" s="2" t="str" cm="1">
        <f t="array" ref="M368">_xlfn.IFS(L368&lt;=15,"Low Fare",L368&lt;=35,"Medium Fare",L368&lt;=100,"High Fare",L368&gt;=100,"Very High Fare")</f>
        <v>Low Fare</v>
      </c>
      <c r="N368" s="2">
        <v>1</v>
      </c>
      <c r="O368" s="2">
        <v>0</v>
      </c>
      <c r="P368">
        <f t="shared" si="21"/>
        <v>2</v>
      </c>
      <c r="Q368" t="str">
        <f t="shared" si="22"/>
        <v>With Family</v>
      </c>
      <c r="R368" t="str">
        <f t="shared" si="23"/>
        <v>Yes</v>
      </c>
      <c r="S368" t="s">
        <v>16</v>
      </c>
    </row>
    <row r="369" spans="1:19" x14ac:dyDescent="0.3">
      <c r="A369" s="1" t="s">
        <v>315</v>
      </c>
      <c r="B369" t="s">
        <v>1600</v>
      </c>
      <c r="C369" t="s">
        <v>1948</v>
      </c>
      <c r="D369" t="str">
        <f t="shared" si="20"/>
        <v>Female</v>
      </c>
      <c r="E369" t="s">
        <v>14</v>
      </c>
      <c r="F369" s="2">
        <v>23</v>
      </c>
      <c r="G369" s="2" t="str" cm="1">
        <f t="array" ref="G369">_xlfn.IFS(F369&lt;=8,"Child",F369&lt;=17,"Teen",F369&lt;=35,"Adult",F369&lt;=55,"Seniour Adult",F369&gt;=55,"Old Age")</f>
        <v>Adult</v>
      </c>
      <c r="H369" t="s">
        <v>25</v>
      </c>
      <c r="I369" t="s">
        <v>19</v>
      </c>
      <c r="J369" t="str" cm="1">
        <f t="array" ref="J369">_xlfn.IFS(I369="S","Southamptom",I369="Q","Quentown",I369="C","Cherbrug",I369="B","Cabin")</f>
        <v>Cherbrug</v>
      </c>
      <c r="K369" t="s">
        <v>12</v>
      </c>
      <c r="L369" s="2">
        <v>83.030199999999994</v>
      </c>
      <c r="M369" s="2" t="str" cm="1">
        <f t="array" ref="M369">_xlfn.IFS(L369&lt;=15,"Low Fare",L369&lt;=35,"Medium Fare",L369&lt;=100,"High Fare",L369&gt;=100,"Very High Fare")</f>
        <v>High Fare</v>
      </c>
      <c r="N369" s="2">
        <v>0</v>
      </c>
      <c r="O369" s="2">
        <v>1</v>
      </c>
      <c r="P369">
        <f t="shared" si="21"/>
        <v>2</v>
      </c>
      <c r="Q369" t="str">
        <f t="shared" si="22"/>
        <v>With Family</v>
      </c>
      <c r="R369" t="str">
        <f t="shared" si="23"/>
        <v>Yes</v>
      </c>
      <c r="S369" t="s">
        <v>16</v>
      </c>
    </row>
    <row r="370" spans="1:19" x14ac:dyDescent="0.3">
      <c r="A370" s="1" t="s">
        <v>316</v>
      </c>
      <c r="B370" t="s">
        <v>1596</v>
      </c>
      <c r="C370" t="s">
        <v>1949</v>
      </c>
      <c r="D370" t="str">
        <f t="shared" si="20"/>
        <v>Male</v>
      </c>
      <c r="E370" t="s">
        <v>9</v>
      </c>
      <c r="F370" s="2">
        <v>18</v>
      </c>
      <c r="G370" s="2" t="str" cm="1">
        <f t="array" ref="G370">_xlfn.IFS(F370&lt;=8,"Child",F370&lt;=17,"Teen",F370&lt;=35,"Adult",F370&lt;=55,"Seniour Adult",F370&gt;=55,"Old Age")</f>
        <v>Adult</v>
      </c>
      <c r="H370" t="s">
        <v>10</v>
      </c>
      <c r="I370" t="s">
        <v>11</v>
      </c>
      <c r="J370" t="str" cm="1">
        <f t="array" ref="J370">_xlfn.IFS(I370="S","Southamptom",I370="Q","Quentown",I370="C","Cherbrug",I370="B","Cabin")</f>
        <v>Southamptom</v>
      </c>
      <c r="K370" t="s">
        <v>23</v>
      </c>
      <c r="L370" s="2">
        <v>7.1505999999999998</v>
      </c>
      <c r="M370" s="2" t="str" cm="1">
        <f t="array" ref="M370">_xlfn.IFS(L370&lt;=15,"Low Fare",L370&lt;=35,"Medium Fare",L370&lt;=100,"High Fare",L370&gt;=100,"Very High Fare")</f>
        <v>Low Fare</v>
      </c>
      <c r="N370" s="2">
        <v>0</v>
      </c>
      <c r="O370" s="2">
        <v>0</v>
      </c>
      <c r="P370">
        <f t="shared" si="21"/>
        <v>1</v>
      </c>
      <c r="Q370" t="str">
        <f t="shared" si="22"/>
        <v>Alone</v>
      </c>
      <c r="R370" t="str">
        <f t="shared" si="23"/>
        <v>No</v>
      </c>
      <c r="S370" t="s">
        <v>13</v>
      </c>
    </row>
    <row r="371" spans="1:19" x14ac:dyDescent="0.3">
      <c r="A371" s="1" t="s">
        <v>317</v>
      </c>
      <c r="B371" t="s">
        <v>1596</v>
      </c>
      <c r="C371" t="s">
        <v>1950</v>
      </c>
      <c r="D371" t="str">
        <f t="shared" si="20"/>
        <v>Male</v>
      </c>
      <c r="E371" t="s">
        <v>9</v>
      </c>
      <c r="F371" s="2">
        <v>25</v>
      </c>
      <c r="G371" s="2" t="str" cm="1">
        <f t="array" ref="G371">_xlfn.IFS(F371&lt;=8,"Child",F371&lt;=17,"Teen",F371&lt;=35,"Adult",F371&lt;=55,"Seniour Adult",F371&gt;=55,"Old Age")</f>
        <v>Adult</v>
      </c>
      <c r="H371" t="s">
        <v>18</v>
      </c>
      <c r="I371" t="s">
        <v>11</v>
      </c>
      <c r="J371" t="str" cm="1">
        <f t="array" ref="J371">_xlfn.IFS(I371="S","Southamptom",I371="Q","Quentown",I371="C","Cherbrug",I371="B","Cabin")</f>
        <v>Southamptom</v>
      </c>
      <c r="K371" t="s">
        <v>12</v>
      </c>
      <c r="L371" s="2">
        <v>13</v>
      </c>
      <c r="M371" s="2" t="str" cm="1">
        <f t="array" ref="M371">_xlfn.IFS(L371&lt;=15,"Low Fare",L371&lt;=35,"Medium Fare",L371&lt;=100,"High Fare",L371&gt;=100,"Very High Fare")</f>
        <v>Low Fare</v>
      </c>
      <c r="N371" s="2">
        <v>0</v>
      </c>
      <c r="O371" s="2">
        <v>0</v>
      </c>
      <c r="P371">
        <f t="shared" si="21"/>
        <v>1</v>
      </c>
      <c r="Q371" t="str">
        <f t="shared" si="22"/>
        <v>Alone</v>
      </c>
      <c r="R371" t="str">
        <f t="shared" si="23"/>
        <v>No</v>
      </c>
      <c r="S371" t="s">
        <v>13</v>
      </c>
    </row>
    <row r="372" spans="1:19" x14ac:dyDescent="0.3">
      <c r="A372" s="1" t="s">
        <v>318</v>
      </c>
      <c r="B372" t="s">
        <v>1596</v>
      </c>
      <c r="C372" t="s">
        <v>1951</v>
      </c>
      <c r="D372" t="str">
        <f t="shared" si="20"/>
        <v>Male</v>
      </c>
      <c r="E372" t="s">
        <v>9</v>
      </c>
      <c r="F372" s="2">
        <v>16</v>
      </c>
      <c r="G372" s="2" t="str" cm="1">
        <f t="array" ref="G372">_xlfn.IFS(F372&lt;=8,"Child",F372&lt;=17,"Teen",F372&lt;=35,"Adult",F372&lt;=55,"Seniour Adult",F372&gt;=55,"Old Age")</f>
        <v>Teen</v>
      </c>
      <c r="H372" t="s">
        <v>10</v>
      </c>
      <c r="I372" t="s">
        <v>11</v>
      </c>
      <c r="J372" t="str" cm="1">
        <f t="array" ref="J372">_xlfn.IFS(I372="S","Southamptom",I372="Q","Quentown",I372="C","Cherbrug",I372="B","Cabin")</f>
        <v>Southamptom</v>
      </c>
      <c r="K372" t="s">
        <v>23</v>
      </c>
      <c r="L372" s="2">
        <v>7.1505999999999998</v>
      </c>
      <c r="M372" s="2" t="str" cm="1">
        <f t="array" ref="M372">_xlfn.IFS(L372&lt;=15,"Low Fare",L372&lt;=35,"Medium Fare",L372&lt;=100,"High Fare",L372&gt;=100,"Very High Fare")</f>
        <v>Low Fare</v>
      </c>
      <c r="N372" s="2">
        <v>0</v>
      </c>
      <c r="O372" s="2">
        <v>0</v>
      </c>
      <c r="P372">
        <f t="shared" si="21"/>
        <v>1</v>
      </c>
      <c r="Q372" t="str">
        <f t="shared" si="22"/>
        <v>Alone</v>
      </c>
      <c r="R372" t="str">
        <f t="shared" si="23"/>
        <v>No</v>
      </c>
      <c r="S372" t="s">
        <v>13</v>
      </c>
    </row>
    <row r="373" spans="1:19" x14ac:dyDescent="0.3">
      <c r="A373" s="1" t="s">
        <v>319</v>
      </c>
      <c r="B373" t="s">
        <v>1596</v>
      </c>
      <c r="C373" t="s">
        <v>1952</v>
      </c>
      <c r="D373" t="str">
        <f t="shared" si="20"/>
        <v>Male</v>
      </c>
      <c r="E373" t="s">
        <v>9</v>
      </c>
      <c r="F373" s="2">
        <v>45</v>
      </c>
      <c r="G373" s="2" t="str" cm="1">
        <f t="array" ref="G373">_xlfn.IFS(F373&lt;=8,"Child",F373&lt;=17,"Teen",F373&lt;=35,"Adult",F373&lt;=55,"Seniour Adult",F373&gt;=55,"Old Age")</f>
        <v>Seniour Adult</v>
      </c>
      <c r="H373" t="s">
        <v>10</v>
      </c>
      <c r="I373" t="s">
        <v>11</v>
      </c>
      <c r="J373" t="str" cm="1">
        <f t="array" ref="J373">_xlfn.IFS(I373="S","Southamptom",I373="Q","Quentown",I373="C","Cherbrug",I373="B","Cabin")</f>
        <v>Southamptom</v>
      </c>
      <c r="K373" t="s">
        <v>23</v>
      </c>
      <c r="L373" s="2">
        <v>6.1905999999999999</v>
      </c>
      <c r="M373" s="2" t="str" cm="1">
        <f t="array" ref="M373">_xlfn.IFS(L373&lt;=15,"Low Fare",L373&lt;=35,"Medium Fare",L373&lt;=100,"High Fare",L373&gt;=100,"Very High Fare")</f>
        <v>Low Fare</v>
      </c>
      <c r="N373" s="2">
        <v>0</v>
      </c>
      <c r="O373" s="2">
        <v>0</v>
      </c>
      <c r="P373">
        <f t="shared" si="21"/>
        <v>1</v>
      </c>
      <c r="Q373" t="str">
        <f t="shared" si="22"/>
        <v>Alone</v>
      </c>
      <c r="R373" t="str">
        <f t="shared" si="23"/>
        <v>No</v>
      </c>
      <c r="S373" t="s">
        <v>13</v>
      </c>
    </row>
    <row r="374" spans="1:19" x14ac:dyDescent="0.3">
      <c r="A374" s="1" t="s">
        <v>320</v>
      </c>
      <c r="B374" t="s">
        <v>1596</v>
      </c>
      <c r="C374" t="s">
        <v>1953</v>
      </c>
      <c r="D374" t="str">
        <f t="shared" si="20"/>
        <v>Male</v>
      </c>
      <c r="E374" t="s">
        <v>9</v>
      </c>
      <c r="F374" s="2">
        <v>29</v>
      </c>
      <c r="G374" s="2" t="str" cm="1">
        <f t="array" ref="G374">_xlfn.IFS(F374&lt;=8,"Child",F374&lt;=17,"Teen",F374&lt;=35,"Adult",F374&lt;=55,"Seniour Adult",F374&gt;=55,"Old Age")</f>
        <v>Adult</v>
      </c>
      <c r="H374" t="s">
        <v>10</v>
      </c>
      <c r="I374" t="s">
        <v>19</v>
      </c>
      <c r="J374" t="str" cm="1">
        <f t="array" ref="J374">_xlfn.IFS(I374="S","Southamptom",I374="Q","Quentown",I374="C","Cherbrug",I374="B","Cabin")</f>
        <v>Cherbrug</v>
      </c>
      <c r="K374" t="s">
        <v>15</v>
      </c>
      <c r="L374" s="2">
        <v>7.0406000000000004</v>
      </c>
      <c r="M374" s="2" t="str" cm="1">
        <f t="array" ref="M374">_xlfn.IFS(L374&lt;=15,"Low Fare",L374&lt;=35,"Medium Fare",L374&lt;=100,"High Fare",L374&gt;=100,"Very High Fare")</f>
        <v>Low Fare</v>
      </c>
      <c r="N374" s="2">
        <v>0</v>
      </c>
      <c r="O374" s="2">
        <v>0</v>
      </c>
      <c r="P374">
        <f t="shared" si="21"/>
        <v>1</v>
      </c>
      <c r="Q374" t="str">
        <f t="shared" si="22"/>
        <v>Alone</v>
      </c>
      <c r="R374" t="str">
        <f t="shared" si="23"/>
        <v>No</v>
      </c>
      <c r="S374" t="s">
        <v>13</v>
      </c>
    </row>
    <row r="375" spans="1:19" x14ac:dyDescent="0.3">
      <c r="A375" s="1" t="s">
        <v>320</v>
      </c>
      <c r="B375" t="s">
        <v>1596</v>
      </c>
      <c r="C375" t="s">
        <v>1954</v>
      </c>
      <c r="D375" t="str">
        <f t="shared" si="20"/>
        <v>Male</v>
      </c>
      <c r="E375" t="s">
        <v>9</v>
      </c>
      <c r="F375" s="2">
        <v>15</v>
      </c>
      <c r="G375" s="2" t="str" cm="1">
        <f t="array" ref="G375">_xlfn.IFS(F375&lt;=8,"Child",F375&lt;=17,"Teen",F375&lt;=35,"Adult",F375&lt;=55,"Seniour Adult",F375&gt;=55,"Old Age")</f>
        <v>Teen</v>
      </c>
      <c r="H375" t="s">
        <v>10</v>
      </c>
      <c r="I375" t="s">
        <v>19</v>
      </c>
      <c r="J375" t="str" cm="1">
        <f t="array" ref="J375">_xlfn.IFS(I375="S","Southamptom",I375="Q","Quentown",I375="C","Cherbrug",I375="B","Cabin")</f>
        <v>Cherbrug</v>
      </c>
      <c r="K375" t="s">
        <v>21</v>
      </c>
      <c r="L375" s="2">
        <v>7.0407000000000002</v>
      </c>
      <c r="M375" s="2" t="str" cm="1">
        <f t="array" ref="M375">_xlfn.IFS(L375&lt;=15,"Low Fare",L375&lt;=35,"Medium Fare",L375&lt;=100,"High Fare",L375&gt;=100,"Very High Fare")</f>
        <v>Low Fare</v>
      </c>
      <c r="N375" s="2">
        <v>1</v>
      </c>
      <c r="O375" s="2">
        <v>1</v>
      </c>
      <c r="P375">
        <f t="shared" si="21"/>
        <v>3</v>
      </c>
      <c r="Q375" t="str">
        <f t="shared" si="22"/>
        <v>With Family</v>
      </c>
      <c r="R375" t="str">
        <f t="shared" si="23"/>
        <v>No</v>
      </c>
      <c r="S375" t="s">
        <v>13</v>
      </c>
    </row>
    <row r="376" spans="1:19" x14ac:dyDescent="0.3">
      <c r="A376" s="1" t="s">
        <v>321</v>
      </c>
      <c r="B376" t="s">
        <v>1596</v>
      </c>
      <c r="C376" t="s">
        <v>1882</v>
      </c>
      <c r="D376" t="str">
        <f t="shared" si="20"/>
        <v>Male</v>
      </c>
      <c r="E376" t="s">
        <v>9</v>
      </c>
      <c r="F376" s="2">
        <v>22</v>
      </c>
      <c r="G376" s="2" t="str" cm="1">
        <f t="array" ref="G376">_xlfn.IFS(F376&lt;=8,"Child",F376&lt;=17,"Teen",F376&lt;=35,"Adult",F376&lt;=55,"Seniour Adult",F376&gt;=55,"Old Age")</f>
        <v>Adult</v>
      </c>
      <c r="H376" t="s">
        <v>10</v>
      </c>
      <c r="I376" t="s">
        <v>19</v>
      </c>
      <c r="J376" t="str" cm="1">
        <f t="array" ref="J376">_xlfn.IFS(I376="S","Southamptom",I376="Q","Quentown",I376="C","Cherbrug",I376="B","Cabin")</f>
        <v>Cherbrug</v>
      </c>
      <c r="K376" t="s">
        <v>21</v>
      </c>
      <c r="L376" s="2">
        <v>7.0407000000000002</v>
      </c>
      <c r="M376" s="2" t="str" cm="1">
        <f t="array" ref="M376">_xlfn.IFS(L376&lt;=15,"Low Fare",L376&lt;=35,"Medium Fare",L376&lt;=100,"High Fare",L376&gt;=100,"Very High Fare")</f>
        <v>Low Fare</v>
      </c>
      <c r="N376" s="2">
        <v>1</v>
      </c>
      <c r="O376" s="2">
        <v>1</v>
      </c>
      <c r="P376">
        <f t="shared" si="21"/>
        <v>3</v>
      </c>
      <c r="Q376" t="str">
        <f t="shared" si="22"/>
        <v>With Family</v>
      </c>
      <c r="R376" t="str">
        <f t="shared" si="23"/>
        <v>No</v>
      </c>
      <c r="S376" t="s">
        <v>13</v>
      </c>
    </row>
    <row r="377" spans="1:19" x14ac:dyDescent="0.3">
      <c r="A377" s="1" t="s">
        <v>322</v>
      </c>
      <c r="B377" t="s">
        <v>1596</v>
      </c>
      <c r="C377" t="s">
        <v>1955</v>
      </c>
      <c r="D377" t="str">
        <f t="shared" si="20"/>
        <v>Male</v>
      </c>
      <c r="E377" t="s">
        <v>9</v>
      </c>
      <c r="F377" s="2">
        <v>48</v>
      </c>
      <c r="G377" s="2" t="str" cm="1">
        <f t="array" ref="G377">_xlfn.IFS(F377&lt;=8,"Child",F377&lt;=17,"Teen",F377&lt;=35,"Adult",F377&lt;=55,"Seniour Adult",F377&gt;=55,"Old Age")</f>
        <v>Seniour Adult</v>
      </c>
      <c r="H377" t="s">
        <v>10</v>
      </c>
      <c r="I377" t="s">
        <v>11</v>
      </c>
      <c r="J377" t="str" cm="1">
        <f t="array" ref="J377">_xlfn.IFS(I377="S","Southamptom",I377="Q","Quentown",I377="C","Cherbrug",I377="B","Cabin")</f>
        <v>Southamptom</v>
      </c>
      <c r="K377" t="s">
        <v>15</v>
      </c>
      <c r="L377" s="2">
        <v>7.05</v>
      </c>
      <c r="M377" s="2" t="str" cm="1">
        <f t="array" ref="M377">_xlfn.IFS(L377&lt;=15,"Low Fare",L377&lt;=35,"Medium Fare",L377&lt;=100,"High Fare",L377&gt;=100,"Very High Fare")</f>
        <v>Low Fare</v>
      </c>
      <c r="N377" s="2">
        <v>0</v>
      </c>
      <c r="O377" s="2">
        <v>0</v>
      </c>
      <c r="P377">
        <f t="shared" si="21"/>
        <v>1</v>
      </c>
      <c r="Q377" t="str">
        <f t="shared" si="22"/>
        <v>Alone</v>
      </c>
      <c r="R377" t="str">
        <f t="shared" si="23"/>
        <v>No</v>
      </c>
      <c r="S377" t="s">
        <v>13</v>
      </c>
    </row>
    <row r="378" spans="1:19" x14ac:dyDescent="0.3">
      <c r="A378" s="1" t="s">
        <v>323</v>
      </c>
      <c r="B378" t="s">
        <v>1602</v>
      </c>
      <c r="C378" t="s">
        <v>1956</v>
      </c>
      <c r="D378" t="str">
        <f t="shared" si="20"/>
        <v>Female</v>
      </c>
      <c r="E378" t="s">
        <v>14</v>
      </c>
      <c r="F378" s="2">
        <v>5</v>
      </c>
      <c r="G378" s="2" t="str" cm="1">
        <f t="array" ref="G378">_xlfn.IFS(F378&lt;=8,"Child",F378&lt;=17,"Teen",F378&lt;=35,"Adult",F378&lt;=55,"Seniour Adult",F378&gt;=55,"Old Age")</f>
        <v>Child</v>
      </c>
      <c r="H378" t="s">
        <v>10</v>
      </c>
      <c r="I378" t="s">
        <v>11</v>
      </c>
      <c r="J378" t="str" cm="1">
        <f t="array" ref="J378">_xlfn.IFS(I378="S","Southamptom",I378="Q","Quentown",I378="C","Cherbrug",I378="B","Cabin")</f>
        <v>Southamptom</v>
      </c>
      <c r="K378" t="s">
        <v>12</v>
      </c>
      <c r="L378" s="2">
        <v>12.0906</v>
      </c>
      <c r="M378" s="2" t="str" cm="1">
        <f t="array" ref="M378">_xlfn.IFS(L378&lt;=15,"Low Fare",L378&lt;=35,"Medium Fare",L378&lt;=100,"High Fare",L378&gt;=100,"Very High Fare")</f>
        <v>Low Fare</v>
      </c>
      <c r="N378" s="2">
        <v>0</v>
      </c>
      <c r="O378" s="2">
        <v>0</v>
      </c>
      <c r="P378">
        <f t="shared" si="21"/>
        <v>1</v>
      </c>
      <c r="Q378" t="str">
        <f t="shared" si="22"/>
        <v>Alone</v>
      </c>
      <c r="R378" t="str">
        <f t="shared" si="23"/>
        <v>Yes</v>
      </c>
      <c r="S378" t="s">
        <v>16</v>
      </c>
    </row>
    <row r="379" spans="1:19" x14ac:dyDescent="0.3">
      <c r="A379" s="1" t="s">
        <v>324</v>
      </c>
      <c r="B379" t="s">
        <v>1596</v>
      </c>
      <c r="C379" t="s">
        <v>1957</v>
      </c>
      <c r="D379" t="str">
        <f t="shared" si="20"/>
        <v>Male</v>
      </c>
      <c r="E379" t="s">
        <v>9</v>
      </c>
      <c r="F379" s="2">
        <v>21</v>
      </c>
      <c r="G379" s="2" t="str" cm="1">
        <f t="array" ref="G379">_xlfn.IFS(F379&lt;=8,"Child",F379&lt;=17,"Teen",F379&lt;=35,"Adult",F379&lt;=55,"Seniour Adult",F379&gt;=55,"Old Age")</f>
        <v>Adult</v>
      </c>
      <c r="H379" t="s">
        <v>18</v>
      </c>
      <c r="I379" t="s">
        <v>11</v>
      </c>
      <c r="J379" t="str" cm="1">
        <f t="array" ref="J379">_xlfn.IFS(I379="S","Southamptom",I379="Q","Quentown",I379="C","Cherbrug",I379="B","Cabin")</f>
        <v>Southamptom</v>
      </c>
      <c r="K379" t="s">
        <v>23</v>
      </c>
      <c r="L379" s="2">
        <v>13</v>
      </c>
      <c r="M379" s="2" t="str" cm="1">
        <f t="array" ref="M379">_xlfn.IFS(L379&lt;=15,"Low Fare",L379&lt;=35,"Medium Fare",L379&lt;=100,"High Fare",L379&gt;=100,"Very High Fare")</f>
        <v>Low Fare</v>
      </c>
      <c r="N379" s="2">
        <v>0</v>
      </c>
      <c r="O379" s="2">
        <v>0</v>
      </c>
      <c r="P379">
        <f t="shared" si="21"/>
        <v>1</v>
      </c>
      <c r="Q379" t="str">
        <f t="shared" si="22"/>
        <v>Alone</v>
      </c>
      <c r="R379" t="str">
        <f t="shared" si="23"/>
        <v>No</v>
      </c>
      <c r="S379" t="s">
        <v>13</v>
      </c>
    </row>
    <row r="380" spans="1:19" x14ac:dyDescent="0.3">
      <c r="A380" s="1" t="s">
        <v>325</v>
      </c>
      <c r="B380" t="s">
        <v>1602</v>
      </c>
      <c r="C380" t="s">
        <v>1958</v>
      </c>
      <c r="D380" t="str">
        <f t="shared" si="20"/>
        <v>Female</v>
      </c>
      <c r="E380" t="s">
        <v>14</v>
      </c>
      <c r="F380" s="2">
        <v>39</v>
      </c>
      <c r="G380" s="2" t="str" cm="1">
        <f t="array" ref="G380">_xlfn.IFS(F380&lt;=8,"Child",F380&lt;=17,"Teen",F380&lt;=35,"Adult",F380&lt;=55,"Seniour Adult",F380&gt;=55,"Old Age")</f>
        <v>Seniour Adult</v>
      </c>
      <c r="H380" t="s">
        <v>25</v>
      </c>
      <c r="I380" t="s">
        <v>19</v>
      </c>
      <c r="J380" t="str" cm="1">
        <f t="array" ref="J380">_xlfn.IFS(I380="S","Southamptom",I380="Q","Quentown",I380="C","Cherbrug",I380="B","Cabin")</f>
        <v>Cherbrug</v>
      </c>
      <c r="K380" t="s">
        <v>12</v>
      </c>
      <c r="L380" s="2">
        <v>247.10059999999999</v>
      </c>
      <c r="M380" s="2" t="str" cm="1">
        <f t="array" ref="M380">_xlfn.IFS(L380&lt;=15,"Low Fare",L380&lt;=35,"Medium Fare",L380&lt;=100,"High Fare",L380&gt;=100,"Very High Fare")</f>
        <v>Very High Fare</v>
      </c>
      <c r="N380" s="2">
        <v>0</v>
      </c>
      <c r="O380" s="2">
        <v>0</v>
      </c>
      <c r="P380">
        <f t="shared" si="21"/>
        <v>1</v>
      </c>
      <c r="Q380" t="str">
        <f t="shared" si="22"/>
        <v>Alone</v>
      </c>
      <c r="R380" t="str">
        <f t="shared" si="23"/>
        <v>Yes</v>
      </c>
      <c r="S380" t="s">
        <v>16</v>
      </c>
    </row>
    <row r="381" spans="1:19" x14ac:dyDescent="0.3">
      <c r="A381" s="1" t="s">
        <v>326</v>
      </c>
      <c r="B381" t="s">
        <v>1596</v>
      </c>
      <c r="C381" t="s">
        <v>1959</v>
      </c>
      <c r="D381" t="str">
        <f t="shared" si="20"/>
        <v>Male</v>
      </c>
      <c r="E381" t="s">
        <v>9</v>
      </c>
      <c r="F381" s="2">
        <v>37</v>
      </c>
      <c r="G381" s="2" t="str" cm="1">
        <f t="array" ref="G381">_xlfn.IFS(F381&lt;=8,"Child",F381&lt;=17,"Teen",F381&lt;=35,"Adult",F381&lt;=55,"Seniour Adult",F381&gt;=55,"Old Age")</f>
        <v>Seniour Adult</v>
      </c>
      <c r="H381" t="s">
        <v>10</v>
      </c>
      <c r="I381" t="s">
        <v>11</v>
      </c>
      <c r="J381" t="str" cm="1">
        <f t="array" ref="J381">_xlfn.IFS(I381="S","Southamptom",I381="Q","Quentown",I381="C","Cherbrug",I381="B","Cabin")</f>
        <v>Southamptom</v>
      </c>
      <c r="K381" t="s">
        <v>15</v>
      </c>
      <c r="L381" s="2">
        <v>7.01</v>
      </c>
      <c r="M381" s="2" t="str" cm="1">
        <f t="array" ref="M381">_xlfn.IFS(L381&lt;=15,"Low Fare",L381&lt;=35,"Medium Fare",L381&lt;=100,"High Fare",L381&gt;=100,"Very High Fare")</f>
        <v>Low Fare</v>
      </c>
      <c r="N381" s="2">
        <v>0</v>
      </c>
      <c r="O381" s="2">
        <v>0</v>
      </c>
      <c r="P381">
        <f t="shared" si="21"/>
        <v>1</v>
      </c>
      <c r="Q381" t="str">
        <f t="shared" si="22"/>
        <v>Alone</v>
      </c>
      <c r="R381" t="str">
        <f t="shared" si="23"/>
        <v>No</v>
      </c>
      <c r="S381" t="s">
        <v>13</v>
      </c>
    </row>
    <row r="382" spans="1:19" x14ac:dyDescent="0.3">
      <c r="A382" s="1" t="s">
        <v>327</v>
      </c>
      <c r="B382" t="s">
        <v>1602</v>
      </c>
      <c r="C382" t="s">
        <v>1960</v>
      </c>
      <c r="D382" t="str">
        <f t="shared" si="20"/>
        <v>Female</v>
      </c>
      <c r="E382" t="s">
        <v>14</v>
      </c>
      <c r="F382" s="2">
        <v>54</v>
      </c>
      <c r="G382" s="2" t="str" cm="1">
        <f t="array" ref="G382">_xlfn.IFS(F382&lt;=8,"Child",F382&lt;=17,"Teen",F382&lt;=35,"Adult",F382&lt;=55,"Seniour Adult",F382&gt;=55,"Old Age")</f>
        <v>Seniour Adult</v>
      </c>
      <c r="H382" t="s">
        <v>25</v>
      </c>
      <c r="I382" t="s">
        <v>19</v>
      </c>
      <c r="J382" t="str" cm="1">
        <f t="array" ref="J382">_xlfn.IFS(I382="S","Southamptom",I382="Q","Quentown",I382="C","Cherbrug",I382="B","Cabin")</f>
        <v>Cherbrug</v>
      </c>
      <c r="K382" t="s">
        <v>12</v>
      </c>
      <c r="L382" s="2">
        <v>78.050399999999996</v>
      </c>
      <c r="M382" s="2" t="str" cm="1">
        <f t="array" ref="M382">_xlfn.IFS(L382&lt;=15,"Low Fare",L382&lt;=35,"Medium Fare",L382&lt;=100,"High Fare",L382&gt;=100,"Very High Fare")</f>
        <v>High Fare</v>
      </c>
      <c r="N382" s="2">
        <v>1</v>
      </c>
      <c r="O382" s="2">
        <v>0</v>
      </c>
      <c r="P382">
        <f t="shared" si="21"/>
        <v>2</v>
      </c>
      <c r="Q382" t="str">
        <f t="shared" si="22"/>
        <v>With Family</v>
      </c>
      <c r="R382" t="str">
        <f t="shared" si="23"/>
        <v>Yes</v>
      </c>
      <c r="S382" t="s">
        <v>16</v>
      </c>
    </row>
    <row r="383" spans="1:19" x14ac:dyDescent="0.3">
      <c r="A383" s="1" t="s">
        <v>328</v>
      </c>
      <c r="B383" t="s">
        <v>1602</v>
      </c>
      <c r="C383" t="s">
        <v>1961</v>
      </c>
      <c r="D383" t="str">
        <f t="shared" si="20"/>
        <v>Female</v>
      </c>
      <c r="E383" t="s">
        <v>14</v>
      </c>
      <c r="F383" s="2">
        <v>36</v>
      </c>
      <c r="G383" s="2" t="str" cm="1">
        <f t="array" ref="G383">_xlfn.IFS(F383&lt;=8,"Child",F383&lt;=17,"Teen",F383&lt;=35,"Adult",F383&lt;=55,"Seniour Adult",F383&gt;=55,"Old Age")</f>
        <v>Seniour Adult</v>
      </c>
      <c r="H383" t="s">
        <v>25</v>
      </c>
      <c r="I383" t="s">
        <v>19</v>
      </c>
      <c r="J383" t="str" cm="1">
        <f t="array" ref="J383">_xlfn.IFS(I383="S","Southamptom",I383="Q","Quentown",I383="C","Cherbrug",I383="B","Cabin")</f>
        <v>Cherbrug</v>
      </c>
      <c r="K383" t="s">
        <v>12</v>
      </c>
      <c r="L383" s="2">
        <v>31.130700000000001</v>
      </c>
      <c r="M383" s="2" t="str" cm="1">
        <f t="array" ref="M383">_xlfn.IFS(L383&lt;=15,"Low Fare",L383&lt;=35,"Medium Fare",L383&lt;=100,"High Fare",L383&gt;=100,"Very High Fare")</f>
        <v>Medium Fare</v>
      </c>
      <c r="N383" s="2">
        <v>0</v>
      </c>
      <c r="O383" s="2">
        <v>0</v>
      </c>
      <c r="P383">
        <f t="shared" si="21"/>
        <v>1</v>
      </c>
      <c r="Q383" t="str">
        <f t="shared" si="22"/>
        <v>Alone</v>
      </c>
      <c r="R383" t="str">
        <f t="shared" si="23"/>
        <v>No</v>
      </c>
      <c r="S383" t="s">
        <v>13</v>
      </c>
    </row>
    <row r="384" spans="1:19" x14ac:dyDescent="0.3">
      <c r="A384" s="1" t="s">
        <v>329</v>
      </c>
      <c r="B384" t="s">
        <v>1596</v>
      </c>
      <c r="C384" t="s">
        <v>1962</v>
      </c>
      <c r="D384" t="str">
        <f t="shared" si="20"/>
        <v>Male</v>
      </c>
      <c r="E384" t="s">
        <v>9</v>
      </c>
      <c r="F384" s="2">
        <v>38</v>
      </c>
      <c r="G384" s="2" t="str" cm="1">
        <f t="array" ref="G384">_xlfn.IFS(F384&lt;=8,"Child",F384&lt;=17,"Teen",F384&lt;=35,"Adult",F384&lt;=55,"Seniour Adult",F384&gt;=55,"Old Age")</f>
        <v>Seniour Adult</v>
      </c>
      <c r="H384" t="s">
        <v>10</v>
      </c>
      <c r="I384" t="s">
        <v>11</v>
      </c>
      <c r="J384" t="str" cm="1">
        <f t="array" ref="J384">_xlfn.IFS(I384="S","Southamptom",I384="Q","Quentown",I384="C","Cherbrug",I384="B","Cabin")</f>
        <v>Southamptom</v>
      </c>
      <c r="K384" t="s">
        <v>15</v>
      </c>
      <c r="L384" s="2">
        <v>15.02</v>
      </c>
      <c r="M384" s="2" t="str" cm="1">
        <f t="array" ref="M384">_xlfn.IFS(L384&lt;=15,"Low Fare",L384&lt;=35,"Medium Fare",L384&lt;=100,"High Fare",L384&gt;=100,"Very High Fare")</f>
        <v>Medium Fare</v>
      </c>
      <c r="N384" s="2">
        <v>0</v>
      </c>
      <c r="O384" s="2">
        <v>0</v>
      </c>
      <c r="P384">
        <f t="shared" si="21"/>
        <v>1</v>
      </c>
      <c r="Q384" t="str">
        <f t="shared" si="22"/>
        <v>Alone</v>
      </c>
      <c r="R384" t="str">
        <f t="shared" si="23"/>
        <v>No</v>
      </c>
      <c r="S384" t="s">
        <v>13</v>
      </c>
    </row>
    <row r="385" spans="1:19" x14ac:dyDescent="0.3">
      <c r="A385" s="1" t="s">
        <v>330</v>
      </c>
      <c r="B385" t="s">
        <v>1596</v>
      </c>
      <c r="C385" t="s">
        <v>1963</v>
      </c>
      <c r="D385" t="str">
        <f t="shared" si="20"/>
        <v>Male</v>
      </c>
      <c r="E385" t="s">
        <v>9</v>
      </c>
      <c r="F385" s="2">
        <v>18</v>
      </c>
      <c r="G385" s="2" t="str" cm="1">
        <f t="array" ref="G385">_xlfn.IFS(F385&lt;=8,"Child",F385&lt;=17,"Teen",F385&lt;=35,"Adult",F385&lt;=55,"Seniour Adult",F385&gt;=55,"Old Age")</f>
        <v>Adult</v>
      </c>
      <c r="H385" t="s">
        <v>18</v>
      </c>
      <c r="I385" t="s">
        <v>11</v>
      </c>
      <c r="J385" t="str" cm="1">
        <f t="array" ref="J385">_xlfn.IFS(I385="S","Southamptom",I385="Q","Quentown",I385="C","Cherbrug",I385="B","Cabin")</f>
        <v>Southamptom</v>
      </c>
      <c r="K385" t="s">
        <v>17</v>
      </c>
      <c r="L385" s="2">
        <v>13</v>
      </c>
      <c r="M385" s="2" t="str" cm="1">
        <f t="array" ref="M385">_xlfn.IFS(L385&lt;=15,"Low Fare",L385&lt;=35,"Medium Fare",L385&lt;=100,"High Fare",L385&gt;=100,"Very High Fare")</f>
        <v>Low Fare</v>
      </c>
      <c r="N385" s="2">
        <v>0</v>
      </c>
      <c r="O385" s="2">
        <v>0</v>
      </c>
      <c r="P385">
        <f t="shared" si="21"/>
        <v>1</v>
      </c>
      <c r="Q385" t="str">
        <f t="shared" si="22"/>
        <v>Alone</v>
      </c>
      <c r="R385" t="str">
        <f t="shared" si="23"/>
        <v>No</v>
      </c>
      <c r="S385" t="s">
        <v>13</v>
      </c>
    </row>
    <row r="386" spans="1:19" x14ac:dyDescent="0.3">
      <c r="A386" s="1" t="s">
        <v>331</v>
      </c>
      <c r="B386" t="s">
        <v>1596</v>
      </c>
      <c r="C386" t="s">
        <v>1964</v>
      </c>
      <c r="D386" t="str">
        <f t="shared" si="20"/>
        <v>Male</v>
      </c>
      <c r="E386" t="s">
        <v>9</v>
      </c>
      <c r="F386" s="2">
        <v>46</v>
      </c>
      <c r="G386" s="2" t="str" cm="1">
        <f t="array" ref="G386">_xlfn.IFS(F386&lt;=8,"Child",F386&lt;=17,"Teen",F386&lt;=35,"Adult",F386&lt;=55,"Seniour Adult",F386&gt;=55,"Old Age")</f>
        <v>Seniour Adult</v>
      </c>
      <c r="H386" t="s">
        <v>10</v>
      </c>
      <c r="I386" t="s">
        <v>11</v>
      </c>
      <c r="J386" t="str" cm="1">
        <f t="array" ref="J386">_xlfn.IFS(I386="S","Southamptom",I386="Q","Quentown",I386="C","Cherbrug",I386="B","Cabin")</f>
        <v>Southamptom</v>
      </c>
      <c r="K386" t="s">
        <v>15</v>
      </c>
      <c r="L386" s="2">
        <v>7.05</v>
      </c>
      <c r="M386" s="2" t="str" cm="1">
        <f t="array" ref="M386">_xlfn.IFS(L386&lt;=15,"Low Fare",L386&lt;=35,"Medium Fare",L386&lt;=100,"High Fare",L386&gt;=100,"Very High Fare")</f>
        <v>Low Fare</v>
      </c>
      <c r="N386" s="2">
        <v>0</v>
      </c>
      <c r="O386" s="2">
        <v>0</v>
      </c>
      <c r="P386">
        <f t="shared" si="21"/>
        <v>1</v>
      </c>
      <c r="Q386" t="str">
        <f t="shared" si="22"/>
        <v>Alone</v>
      </c>
      <c r="R386" t="str">
        <f t="shared" si="23"/>
        <v>No</v>
      </c>
      <c r="S386" t="s">
        <v>13</v>
      </c>
    </row>
    <row r="387" spans="1:19" x14ac:dyDescent="0.3">
      <c r="A387" s="1" t="s">
        <v>332</v>
      </c>
      <c r="B387" t="s">
        <v>1596</v>
      </c>
      <c r="C387" t="s">
        <v>1965</v>
      </c>
      <c r="D387" t="str">
        <f t="shared" ref="D387:D450" si="24">PROPER(E387)</f>
        <v>Male</v>
      </c>
      <c r="E387" t="s">
        <v>9</v>
      </c>
      <c r="F387" s="2">
        <v>26</v>
      </c>
      <c r="G387" s="2" t="str" cm="1">
        <f t="array" ref="G387">_xlfn.IFS(F387&lt;=8,"Child",F387&lt;=17,"Teen",F387&lt;=35,"Adult",F387&lt;=55,"Seniour Adult",F387&gt;=55,"Old Age")</f>
        <v>Adult</v>
      </c>
      <c r="H387" t="s">
        <v>10</v>
      </c>
      <c r="I387" t="s">
        <v>36</v>
      </c>
      <c r="J387" t="str" cm="1">
        <f t="array" ref="J387">_xlfn.IFS(I387="S","Southamptom",I387="Q","Quentown",I387="C","Cherbrug",I387="B","Cabin")</f>
        <v>Quentown</v>
      </c>
      <c r="K387" t="s">
        <v>37</v>
      </c>
      <c r="L387" s="2">
        <v>7.15</v>
      </c>
      <c r="M387" s="2" t="str" cm="1">
        <f t="array" ref="M387">_xlfn.IFS(L387&lt;=15,"Low Fare",L387&lt;=35,"Medium Fare",L387&lt;=100,"High Fare",L387&gt;=100,"Very High Fare")</f>
        <v>Low Fare</v>
      </c>
      <c r="N387" s="2">
        <v>0</v>
      </c>
      <c r="O387" s="2">
        <v>0</v>
      </c>
      <c r="P387">
        <f t="shared" ref="P387:P450" si="25">N387+O387+1</f>
        <v>1</v>
      </c>
      <c r="Q387" t="str">
        <f t="shared" ref="Q387:Q450" si="26">IF(P387=1,"Alone","With Family")</f>
        <v>Alone</v>
      </c>
      <c r="R387" t="str">
        <f t="shared" ref="R387:R450" si="27">PROPER(S387)</f>
        <v>No</v>
      </c>
      <c r="S387" t="s">
        <v>13</v>
      </c>
    </row>
    <row r="388" spans="1:19" x14ac:dyDescent="0.3">
      <c r="A388" s="1" t="s">
        <v>333</v>
      </c>
      <c r="B388" t="s">
        <v>1596</v>
      </c>
      <c r="C388" t="s">
        <v>1610</v>
      </c>
      <c r="D388" t="str">
        <f t="shared" si="24"/>
        <v>Male</v>
      </c>
      <c r="E388" t="s">
        <v>9</v>
      </c>
      <c r="F388" s="2">
        <v>49</v>
      </c>
      <c r="G388" s="2" t="str" cm="1">
        <f t="array" ref="G388">_xlfn.IFS(F388&lt;=8,"Child",F388&lt;=17,"Teen",F388&lt;=35,"Adult",F388&lt;=55,"Seniour Adult",F388&gt;=55,"Old Age")</f>
        <v>Seniour Adult</v>
      </c>
      <c r="H388" t="s">
        <v>25</v>
      </c>
      <c r="I388" t="s">
        <v>11</v>
      </c>
      <c r="J388" t="str" cm="1">
        <f t="array" ref="J388">_xlfn.IFS(I388="S","Southamptom",I388="Q","Quentown",I388="C","Cherbrug",I388="B","Cabin")</f>
        <v>Southamptom</v>
      </c>
      <c r="K388" t="s">
        <v>15</v>
      </c>
      <c r="L388" s="2">
        <v>221.1507</v>
      </c>
      <c r="M388" s="2" t="str" cm="1">
        <f t="array" ref="M388">_xlfn.IFS(L388&lt;=15,"Low Fare",L388&lt;=35,"Medium Fare",L388&lt;=100,"High Fare",L388&gt;=100,"Very High Fare")</f>
        <v>Very High Fare</v>
      </c>
      <c r="N388" s="2">
        <v>0</v>
      </c>
      <c r="O388" s="2">
        <v>0</v>
      </c>
      <c r="P388">
        <f t="shared" si="25"/>
        <v>1</v>
      </c>
      <c r="Q388" t="str">
        <f t="shared" si="26"/>
        <v>Alone</v>
      </c>
      <c r="R388" t="str">
        <f t="shared" si="27"/>
        <v>No</v>
      </c>
      <c r="S388" t="s">
        <v>13</v>
      </c>
    </row>
    <row r="389" spans="1:19" x14ac:dyDescent="0.3">
      <c r="A389" s="1" t="s">
        <v>334</v>
      </c>
      <c r="B389" t="s">
        <v>1596</v>
      </c>
      <c r="C389" t="s">
        <v>1966</v>
      </c>
      <c r="D389" t="str">
        <f t="shared" si="24"/>
        <v>Male</v>
      </c>
      <c r="E389" t="s">
        <v>9</v>
      </c>
      <c r="F389" s="2">
        <v>32</v>
      </c>
      <c r="G389" s="2" t="str" cm="1">
        <f t="array" ref="G389">_xlfn.IFS(F389&lt;=8,"Child",F389&lt;=17,"Teen",F389&lt;=35,"Adult",F389&lt;=55,"Seniour Adult",F389&gt;=55,"Old Age")</f>
        <v>Adult</v>
      </c>
      <c r="H389" t="s">
        <v>18</v>
      </c>
      <c r="I389" t="s">
        <v>11</v>
      </c>
      <c r="J389" t="str" cm="1">
        <f t="array" ref="J389">_xlfn.IFS(I389="S","Southamptom",I389="Q","Quentown",I389="C","Cherbrug",I389="B","Cabin")</f>
        <v>Southamptom</v>
      </c>
      <c r="K389" t="s">
        <v>15</v>
      </c>
      <c r="L389" s="2">
        <v>26</v>
      </c>
      <c r="M389" s="2" t="str" cm="1">
        <f t="array" ref="M389">_xlfn.IFS(L389&lt;=15,"Low Fare",L389&lt;=35,"Medium Fare",L389&lt;=100,"High Fare",L389&gt;=100,"Very High Fare")</f>
        <v>Medium Fare</v>
      </c>
      <c r="N389" s="2">
        <v>1</v>
      </c>
      <c r="O389" s="2">
        <v>0</v>
      </c>
      <c r="P389">
        <f t="shared" si="25"/>
        <v>2</v>
      </c>
      <c r="Q389" t="str">
        <f t="shared" si="26"/>
        <v>With Family</v>
      </c>
      <c r="R389" t="str">
        <f t="shared" si="27"/>
        <v>No</v>
      </c>
      <c r="S389" t="s">
        <v>13</v>
      </c>
    </row>
    <row r="390" spans="1:19" x14ac:dyDescent="0.3">
      <c r="A390" s="1" t="s">
        <v>335</v>
      </c>
      <c r="B390" t="s">
        <v>1596</v>
      </c>
      <c r="C390" t="s">
        <v>1967</v>
      </c>
      <c r="D390" t="str">
        <f t="shared" si="24"/>
        <v>Male</v>
      </c>
      <c r="E390" t="s">
        <v>9</v>
      </c>
      <c r="F390" s="2">
        <v>18</v>
      </c>
      <c r="G390" s="2" t="str" cm="1">
        <f t="array" ref="G390">_xlfn.IFS(F390&lt;=8,"Child",F390&lt;=17,"Teen",F390&lt;=35,"Adult",F390&lt;=55,"Seniour Adult",F390&gt;=55,"Old Age")</f>
        <v>Adult</v>
      </c>
      <c r="H390" t="s">
        <v>18</v>
      </c>
      <c r="I390" t="s">
        <v>11</v>
      </c>
      <c r="J390" t="str" cm="1">
        <f t="array" ref="J390">_xlfn.IFS(I390="S","Southamptom",I390="Q","Quentown",I390="C","Cherbrug",I390="B","Cabin")</f>
        <v>Southamptom</v>
      </c>
      <c r="K390" t="s">
        <v>15</v>
      </c>
      <c r="L390" s="2">
        <v>10.1</v>
      </c>
      <c r="M390" s="2" t="str" cm="1">
        <f t="array" ref="M390">_xlfn.IFS(L390&lt;=15,"Low Fare",L390&lt;=35,"Medium Fare",L390&lt;=100,"High Fare",L390&gt;=100,"Very High Fare")</f>
        <v>Low Fare</v>
      </c>
      <c r="N390" s="2">
        <v>0</v>
      </c>
      <c r="O390" s="2">
        <v>0</v>
      </c>
      <c r="P390">
        <f t="shared" si="25"/>
        <v>1</v>
      </c>
      <c r="Q390" t="str">
        <f t="shared" si="26"/>
        <v>Alone</v>
      </c>
      <c r="R390" t="str">
        <f t="shared" si="27"/>
        <v>No</v>
      </c>
      <c r="S390" t="s">
        <v>13</v>
      </c>
    </row>
    <row r="391" spans="1:19" x14ac:dyDescent="0.3">
      <c r="A391" s="1" t="s">
        <v>336</v>
      </c>
      <c r="B391" t="s">
        <v>1596</v>
      </c>
      <c r="C391" t="s">
        <v>1968</v>
      </c>
      <c r="D391" t="str">
        <f t="shared" si="24"/>
        <v>Male</v>
      </c>
      <c r="E391" t="s">
        <v>9</v>
      </c>
      <c r="F391" s="2">
        <v>34</v>
      </c>
      <c r="G391" s="2" t="str" cm="1">
        <f t="array" ref="G391">_xlfn.IFS(F391&lt;=8,"Child",F391&lt;=17,"Teen",F391&lt;=35,"Adult",F391&lt;=55,"Seniour Adult",F391&gt;=55,"Old Age")</f>
        <v>Adult</v>
      </c>
      <c r="H391" t="s">
        <v>10</v>
      </c>
      <c r="I391" t="s">
        <v>11</v>
      </c>
      <c r="J391" t="str" cm="1">
        <f t="array" ref="J391">_xlfn.IFS(I391="S","Southamptom",I391="Q","Quentown",I391="C","Cherbrug",I391="B","Cabin")</f>
        <v>Southamptom</v>
      </c>
      <c r="K391" t="s">
        <v>15</v>
      </c>
      <c r="L391" s="2">
        <v>7.01</v>
      </c>
      <c r="M391" s="2" t="str" cm="1">
        <f t="array" ref="M391">_xlfn.IFS(L391&lt;=15,"Low Fare",L391&lt;=35,"Medium Fare",L391&lt;=100,"High Fare",L391&gt;=100,"Very High Fare")</f>
        <v>Low Fare</v>
      </c>
      <c r="N391" s="2">
        <v>0</v>
      </c>
      <c r="O391" s="2">
        <v>0</v>
      </c>
      <c r="P391">
        <f t="shared" si="25"/>
        <v>1</v>
      </c>
      <c r="Q391" t="str">
        <f t="shared" si="26"/>
        <v>Alone</v>
      </c>
      <c r="R391" t="str">
        <f t="shared" si="27"/>
        <v>Yes</v>
      </c>
      <c r="S391" t="s">
        <v>16</v>
      </c>
    </row>
    <row r="392" spans="1:19" x14ac:dyDescent="0.3">
      <c r="A392" s="1" t="s">
        <v>337</v>
      </c>
      <c r="B392" t="s">
        <v>1596</v>
      </c>
      <c r="C392" t="s">
        <v>1969</v>
      </c>
      <c r="D392" t="str">
        <f t="shared" si="24"/>
        <v>Male</v>
      </c>
      <c r="E392" t="s">
        <v>9</v>
      </c>
      <c r="F392" s="2">
        <v>18</v>
      </c>
      <c r="G392" s="2" t="str" cm="1">
        <f t="array" ref="G392">_xlfn.IFS(F392&lt;=8,"Child",F392&lt;=17,"Teen",F392&lt;=35,"Adult",F392&lt;=55,"Seniour Adult",F392&gt;=55,"Old Age")</f>
        <v>Adult</v>
      </c>
      <c r="H392" t="s">
        <v>10</v>
      </c>
      <c r="I392" t="s">
        <v>11</v>
      </c>
      <c r="J392" t="str" cm="1">
        <f t="array" ref="J392">_xlfn.IFS(I392="S","Southamptom",I392="Q","Quentown",I392="C","Cherbrug",I392="B","Cabin")</f>
        <v>Southamptom</v>
      </c>
      <c r="K392" t="s">
        <v>23</v>
      </c>
      <c r="L392" s="2">
        <v>7.1510999999999996</v>
      </c>
      <c r="M392" s="2" t="str" cm="1">
        <f t="array" ref="M392">_xlfn.IFS(L392&lt;=15,"Low Fare",L392&lt;=35,"Medium Fare",L392&lt;=100,"High Fare",L392&gt;=100,"Very High Fare")</f>
        <v>Low Fare</v>
      </c>
      <c r="N392" s="2">
        <v>0</v>
      </c>
      <c r="O392" s="2">
        <v>0</v>
      </c>
      <c r="P392">
        <f t="shared" si="25"/>
        <v>1</v>
      </c>
      <c r="Q392" t="str">
        <f t="shared" si="26"/>
        <v>Alone</v>
      </c>
      <c r="R392" t="str">
        <f t="shared" si="27"/>
        <v>No</v>
      </c>
      <c r="S392" t="s">
        <v>13</v>
      </c>
    </row>
    <row r="393" spans="1:19" x14ac:dyDescent="0.3">
      <c r="A393" s="1" t="s">
        <v>338</v>
      </c>
      <c r="B393" t="s">
        <v>1600</v>
      </c>
      <c r="C393" t="s">
        <v>1970</v>
      </c>
      <c r="D393" t="str">
        <f t="shared" si="24"/>
        <v>Female</v>
      </c>
      <c r="E393" t="s">
        <v>14</v>
      </c>
      <c r="F393" s="2">
        <v>48</v>
      </c>
      <c r="G393" s="2" t="str" cm="1">
        <f t="array" ref="G393">_xlfn.IFS(F393&lt;=8,"Child",F393&lt;=17,"Teen",F393&lt;=35,"Adult",F393&lt;=55,"Seniour Adult",F393&gt;=55,"Old Age")</f>
        <v>Seniour Adult</v>
      </c>
      <c r="H393" t="s">
        <v>25</v>
      </c>
      <c r="I393" t="s">
        <v>19</v>
      </c>
      <c r="J393" t="str" cm="1">
        <f t="array" ref="J393">_xlfn.IFS(I393="S","Southamptom",I393="Q","Quentown",I393="C","Cherbrug",I393="B","Cabin")</f>
        <v>Cherbrug</v>
      </c>
      <c r="K393" t="s">
        <v>12</v>
      </c>
      <c r="L393" s="2">
        <v>31.130800000000001</v>
      </c>
      <c r="M393" s="2" t="str" cm="1">
        <f t="array" ref="M393">_xlfn.IFS(L393&lt;=15,"Low Fare",L393&lt;=35,"Medium Fare",L393&lt;=100,"High Fare",L393&gt;=100,"Very High Fare")</f>
        <v>Medium Fare</v>
      </c>
      <c r="N393" s="2">
        <v>0</v>
      </c>
      <c r="O393" s="2">
        <v>0</v>
      </c>
      <c r="P393">
        <f t="shared" si="25"/>
        <v>1</v>
      </c>
      <c r="Q393" t="str">
        <f t="shared" si="26"/>
        <v>Alone</v>
      </c>
      <c r="R393" t="str">
        <f t="shared" si="27"/>
        <v>Yes</v>
      </c>
      <c r="S393" t="s">
        <v>16</v>
      </c>
    </row>
    <row r="394" spans="1:19" x14ac:dyDescent="0.3">
      <c r="A394" s="1" t="s">
        <v>339</v>
      </c>
      <c r="B394" t="s">
        <v>1602</v>
      </c>
      <c r="C394" t="s">
        <v>1971</v>
      </c>
      <c r="D394" t="str">
        <f t="shared" si="24"/>
        <v>Female</v>
      </c>
      <c r="E394" t="s">
        <v>14</v>
      </c>
      <c r="F394" s="2">
        <v>22</v>
      </c>
      <c r="G394" s="2" t="str" cm="1">
        <f t="array" ref="G394">_xlfn.IFS(F394&lt;=8,"Child",F394&lt;=17,"Teen",F394&lt;=35,"Adult",F394&lt;=55,"Seniour Adult",F394&gt;=55,"Old Age")</f>
        <v>Adult</v>
      </c>
      <c r="H394" t="s">
        <v>10</v>
      </c>
      <c r="I394" t="s">
        <v>36</v>
      </c>
      <c r="J394" t="str" cm="1">
        <f t="array" ref="J394">_xlfn.IFS(I394="S","Southamptom",I394="Q","Quentown",I394="C","Cherbrug",I394="B","Cabin")</f>
        <v>Quentown</v>
      </c>
      <c r="K394" t="s">
        <v>37</v>
      </c>
      <c r="L394" s="2">
        <v>7.15</v>
      </c>
      <c r="M394" s="2" t="str" cm="1">
        <f t="array" ref="M394">_xlfn.IFS(L394&lt;=15,"Low Fare",L394&lt;=35,"Medium Fare",L394&lt;=100,"High Fare",L394&gt;=100,"Very High Fare")</f>
        <v>Low Fare</v>
      </c>
      <c r="N394" s="2">
        <v>0</v>
      </c>
      <c r="O394" s="2">
        <v>0</v>
      </c>
      <c r="P394">
        <f t="shared" si="25"/>
        <v>1</v>
      </c>
      <c r="Q394" t="str">
        <f t="shared" si="26"/>
        <v>Alone</v>
      </c>
      <c r="R394" t="str">
        <f t="shared" si="27"/>
        <v>No</v>
      </c>
      <c r="S394" t="s">
        <v>13</v>
      </c>
    </row>
    <row r="395" spans="1:19" x14ac:dyDescent="0.3">
      <c r="A395" s="1" t="s">
        <v>339</v>
      </c>
      <c r="B395" t="s">
        <v>1602</v>
      </c>
      <c r="C395" t="s">
        <v>1759</v>
      </c>
      <c r="D395" t="str">
        <f t="shared" si="24"/>
        <v>Female</v>
      </c>
      <c r="E395" t="s">
        <v>14</v>
      </c>
      <c r="F395" s="2">
        <v>42</v>
      </c>
      <c r="G395" s="2" t="str" cm="1">
        <f t="array" ref="G395">_xlfn.IFS(F395&lt;=8,"Child",F395&lt;=17,"Teen",F395&lt;=35,"Adult",F395&lt;=55,"Seniour Adult",F395&gt;=55,"Old Age")</f>
        <v>Seniour Adult</v>
      </c>
      <c r="H395" t="s">
        <v>25</v>
      </c>
      <c r="I395" t="s">
        <v>19</v>
      </c>
      <c r="J395" t="str" cm="1">
        <f t="array" ref="J395">_xlfn.IFS(I395="S","Southamptom",I395="Q","Quentown",I395="C","Cherbrug",I395="B","Cabin")</f>
        <v>Cherbrug</v>
      </c>
      <c r="K395" t="s">
        <v>12</v>
      </c>
      <c r="L395" s="2">
        <v>110.1708</v>
      </c>
      <c r="M395" s="2" t="str" cm="1">
        <f t="array" ref="M395">_xlfn.IFS(L395&lt;=15,"Low Fare",L395&lt;=35,"Medium Fare",L395&lt;=100,"High Fare",L395&gt;=100,"Very High Fare")</f>
        <v>Very High Fare</v>
      </c>
      <c r="N395" s="2">
        <v>0</v>
      </c>
      <c r="O395" s="2">
        <v>0</v>
      </c>
      <c r="P395">
        <f t="shared" si="25"/>
        <v>1</v>
      </c>
      <c r="Q395" t="str">
        <f t="shared" si="26"/>
        <v>Alone</v>
      </c>
      <c r="R395" t="str">
        <f t="shared" si="27"/>
        <v>Yes</v>
      </c>
      <c r="S395" t="s">
        <v>16</v>
      </c>
    </row>
    <row r="396" spans="1:19" x14ac:dyDescent="0.3">
      <c r="A396" s="1" t="s">
        <v>340</v>
      </c>
      <c r="B396" t="s">
        <v>1596</v>
      </c>
      <c r="C396" t="s">
        <v>1965</v>
      </c>
      <c r="D396" t="str">
        <f t="shared" si="24"/>
        <v>Male</v>
      </c>
      <c r="E396" t="s">
        <v>9</v>
      </c>
      <c r="F396" s="2">
        <v>28</v>
      </c>
      <c r="G396" s="2" t="str" cm="1">
        <f t="array" ref="G396">_xlfn.IFS(F396&lt;=8,"Child",F396&lt;=17,"Teen",F396&lt;=35,"Adult",F396&lt;=55,"Seniour Adult",F396&gt;=55,"Old Age")</f>
        <v>Adult</v>
      </c>
      <c r="H396" t="s">
        <v>10</v>
      </c>
      <c r="I396" t="s">
        <v>36</v>
      </c>
      <c r="J396" t="str" cm="1">
        <f t="array" ref="J396">_xlfn.IFS(I396="S","Southamptom",I396="Q","Quentown",I396="C","Cherbrug",I396="B","Cabin")</f>
        <v>Quentown</v>
      </c>
      <c r="K396" t="s">
        <v>37</v>
      </c>
      <c r="L396" s="2">
        <v>7.15</v>
      </c>
      <c r="M396" s="2" t="str" cm="1">
        <f t="array" ref="M396">_xlfn.IFS(L396&lt;=15,"Low Fare",L396&lt;=35,"Medium Fare",L396&lt;=100,"High Fare",L396&gt;=100,"Very High Fare")</f>
        <v>Low Fare</v>
      </c>
      <c r="N396" s="2">
        <v>0</v>
      </c>
      <c r="O396" s="2">
        <v>0</v>
      </c>
      <c r="P396">
        <f t="shared" si="25"/>
        <v>1</v>
      </c>
      <c r="Q396" t="str">
        <f t="shared" si="26"/>
        <v>Alone</v>
      </c>
      <c r="R396" t="str">
        <f t="shared" si="27"/>
        <v>No</v>
      </c>
      <c r="S396" t="s">
        <v>13</v>
      </c>
    </row>
    <row r="397" spans="1:19" x14ac:dyDescent="0.3">
      <c r="A397" s="1" t="s">
        <v>340</v>
      </c>
      <c r="B397" t="s">
        <v>1596</v>
      </c>
      <c r="C397" t="s">
        <v>1610</v>
      </c>
      <c r="D397" t="str">
        <f t="shared" si="24"/>
        <v>Male</v>
      </c>
      <c r="E397" t="s">
        <v>9</v>
      </c>
      <c r="F397" s="2">
        <v>48</v>
      </c>
      <c r="G397" s="2" t="str" cm="1">
        <f t="array" ref="G397">_xlfn.IFS(F397&lt;=8,"Child",F397&lt;=17,"Teen",F397&lt;=35,"Adult",F397&lt;=55,"Seniour Adult",F397&gt;=55,"Old Age")</f>
        <v>Seniour Adult</v>
      </c>
      <c r="H397" t="s">
        <v>10</v>
      </c>
      <c r="I397" t="s">
        <v>36</v>
      </c>
      <c r="J397" t="str" cm="1">
        <f t="array" ref="J397">_xlfn.IFS(I397="S","Southamptom",I397="Q","Quentown",I397="C","Cherbrug",I397="B","Cabin")</f>
        <v>Quentown</v>
      </c>
      <c r="K397" t="s">
        <v>37</v>
      </c>
      <c r="L397" s="2">
        <v>6.19</v>
      </c>
      <c r="M397" s="2" t="str" cm="1">
        <f t="array" ref="M397">_xlfn.IFS(L397&lt;=15,"Low Fare",L397&lt;=35,"Medium Fare",L397&lt;=100,"High Fare",L397&gt;=100,"Very High Fare")</f>
        <v>Low Fare</v>
      </c>
      <c r="N397" s="2">
        <v>0</v>
      </c>
      <c r="O397" s="2">
        <v>0</v>
      </c>
      <c r="P397">
        <f t="shared" si="25"/>
        <v>1</v>
      </c>
      <c r="Q397" t="str">
        <f t="shared" si="26"/>
        <v>Alone</v>
      </c>
      <c r="R397" t="str">
        <f t="shared" si="27"/>
        <v>No</v>
      </c>
      <c r="S397" t="s">
        <v>13</v>
      </c>
    </row>
    <row r="398" spans="1:19" x14ac:dyDescent="0.3">
      <c r="A398" s="1" t="s">
        <v>340</v>
      </c>
      <c r="B398" t="s">
        <v>1596</v>
      </c>
      <c r="C398" t="s">
        <v>1972</v>
      </c>
      <c r="D398" t="str">
        <f t="shared" si="24"/>
        <v>Male</v>
      </c>
      <c r="E398" t="s">
        <v>9</v>
      </c>
      <c r="F398" s="2">
        <v>36</v>
      </c>
      <c r="G398" s="2" t="str" cm="1">
        <f t="array" ref="G398">_xlfn.IFS(F398&lt;=8,"Child",F398&lt;=17,"Teen",F398&lt;=35,"Adult",F398&lt;=55,"Seniour Adult",F398&gt;=55,"Old Age")</f>
        <v>Seniour Adult</v>
      </c>
      <c r="H398" t="s">
        <v>25</v>
      </c>
      <c r="I398" t="s">
        <v>11</v>
      </c>
      <c r="J398" t="str" cm="1">
        <f t="array" ref="J398">_xlfn.IFS(I398="S","Southamptom",I398="Q","Quentown",I398="C","Cherbrug",I398="B","Cabin")</f>
        <v>Southamptom</v>
      </c>
      <c r="K398" t="s">
        <v>26</v>
      </c>
      <c r="L398" s="2">
        <v>26.050899999999999</v>
      </c>
      <c r="M398" s="2" t="str" cm="1">
        <f t="array" ref="M398">_xlfn.IFS(L398&lt;=15,"Low Fare",L398&lt;=35,"Medium Fare",L398&lt;=100,"High Fare",L398&gt;=100,"Very High Fare")</f>
        <v>Medium Fare</v>
      </c>
      <c r="N398" s="2">
        <v>0</v>
      </c>
      <c r="O398" s="2">
        <v>0</v>
      </c>
      <c r="P398">
        <f t="shared" si="25"/>
        <v>1</v>
      </c>
      <c r="Q398" t="str">
        <f t="shared" si="26"/>
        <v>Alone</v>
      </c>
      <c r="R398" t="str">
        <f t="shared" si="27"/>
        <v>Yes</v>
      </c>
      <c r="S398" t="s">
        <v>16</v>
      </c>
    </row>
    <row r="399" spans="1:19" x14ac:dyDescent="0.3">
      <c r="A399" s="1" t="s">
        <v>341</v>
      </c>
      <c r="B399" t="s">
        <v>1596</v>
      </c>
      <c r="C399" t="s">
        <v>1795</v>
      </c>
      <c r="D399" t="str">
        <f t="shared" si="24"/>
        <v>Male</v>
      </c>
      <c r="E399" t="s">
        <v>9</v>
      </c>
      <c r="F399" s="2">
        <v>19</v>
      </c>
      <c r="G399" s="2" t="str" cm="1">
        <f t="array" ref="G399">_xlfn.IFS(F399&lt;=8,"Child",F399&lt;=17,"Teen",F399&lt;=35,"Adult",F399&lt;=55,"Seniour Adult",F399&gt;=55,"Old Age")</f>
        <v>Adult</v>
      </c>
      <c r="H399" t="s">
        <v>10</v>
      </c>
      <c r="I399" t="s">
        <v>36</v>
      </c>
      <c r="J399" t="str" cm="1">
        <f t="array" ref="J399">_xlfn.IFS(I399="S","Southamptom",I399="Q","Quentown",I399="C","Cherbrug",I399="B","Cabin")</f>
        <v>Quentown</v>
      </c>
      <c r="K399" t="s">
        <v>37</v>
      </c>
      <c r="L399" s="2">
        <v>7.1707000000000001</v>
      </c>
      <c r="M399" s="2" t="str" cm="1">
        <f t="array" ref="M399">_xlfn.IFS(L399&lt;=15,"Low Fare",L399&lt;=35,"Medium Fare",L399&lt;=100,"High Fare",L399&gt;=100,"Very High Fare")</f>
        <v>Low Fare</v>
      </c>
      <c r="N399" s="2">
        <v>0</v>
      </c>
      <c r="O399" s="2">
        <v>0</v>
      </c>
      <c r="P399">
        <f t="shared" si="25"/>
        <v>1</v>
      </c>
      <c r="Q399" t="str">
        <f t="shared" si="26"/>
        <v>Alone</v>
      </c>
      <c r="R399" t="str">
        <f t="shared" si="27"/>
        <v>No</v>
      </c>
      <c r="S399" t="s">
        <v>13</v>
      </c>
    </row>
    <row r="400" spans="1:19" x14ac:dyDescent="0.3">
      <c r="A400" s="1" t="s">
        <v>341</v>
      </c>
      <c r="B400" t="s">
        <v>1596</v>
      </c>
      <c r="C400" t="s">
        <v>1619</v>
      </c>
      <c r="D400" t="str">
        <f t="shared" si="24"/>
        <v>Male</v>
      </c>
      <c r="E400" t="s">
        <v>9</v>
      </c>
      <c r="F400" s="2">
        <v>20</v>
      </c>
      <c r="G400" s="2" t="str" cm="1">
        <f t="array" ref="G400">_xlfn.IFS(F400&lt;=8,"Child",F400&lt;=17,"Teen",F400&lt;=35,"Adult",F400&lt;=55,"Seniour Adult",F400&gt;=55,"Old Age")</f>
        <v>Adult</v>
      </c>
      <c r="H400" t="s">
        <v>10</v>
      </c>
      <c r="I400" t="s">
        <v>36</v>
      </c>
      <c r="J400" t="str" cm="1">
        <f t="array" ref="J400">_xlfn.IFS(I400="S","Southamptom",I400="Q","Quentown",I400="C","Cherbrug",I400="B","Cabin")</f>
        <v>Quentown</v>
      </c>
      <c r="K400" t="s">
        <v>37</v>
      </c>
      <c r="L400" s="2">
        <v>7.15</v>
      </c>
      <c r="M400" s="2" t="str" cm="1">
        <f t="array" ref="M400">_xlfn.IFS(L400&lt;=15,"Low Fare",L400&lt;=35,"Medium Fare",L400&lt;=100,"High Fare",L400&gt;=100,"Very High Fare")</f>
        <v>Low Fare</v>
      </c>
      <c r="N400" s="2">
        <v>0</v>
      </c>
      <c r="O400" s="2">
        <v>0</v>
      </c>
      <c r="P400">
        <f t="shared" si="25"/>
        <v>1</v>
      </c>
      <c r="Q400" t="str">
        <f t="shared" si="26"/>
        <v>Alone</v>
      </c>
      <c r="R400" t="str">
        <f t="shared" si="27"/>
        <v>No</v>
      </c>
      <c r="S400" t="s">
        <v>13</v>
      </c>
    </row>
    <row r="401" spans="1:19" x14ac:dyDescent="0.3">
      <c r="A401" s="1" t="s">
        <v>342</v>
      </c>
      <c r="B401" t="s">
        <v>1596</v>
      </c>
      <c r="C401" t="s">
        <v>1973</v>
      </c>
      <c r="D401" t="str">
        <f t="shared" si="24"/>
        <v>Male</v>
      </c>
      <c r="E401" t="s">
        <v>9</v>
      </c>
      <c r="F401" s="2">
        <v>32</v>
      </c>
      <c r="G401" s="2" t="str" cm="1">
        <f t="array" ref="G401">_xlfn.IFS(F401&lt;=8,"Child",F401&lt;=17,"Teen",F401&lt;=35,"Adult",F401&lt;=55,"Seniour Adult",F401&gt;=55,"Old Age")</f>
        <v>Adult</v>
      </c>
      <c r="H401" t="s">
        <v>10</v>
      </c>
      <c r="I401" t="s">
        <v>11</v>
      </c>
      <c r="J401" t="str" cm="1">
        <f t="array" ref="J401">_xlfn.IFS(I401="S","Southamptom",I401="Q","Quentown",I401="C","Cherbrug",I401="B","Cabin")</f>
        <v>Southamptom</v>
      </c>
      <c r="K401" t="s">
        <v>15</v>
      </c>
      <c r="L401" s="2">
        <v>56.091099999999997</v>
      </c>
      <c r="M401" s="2" t="str" cm="1">
        <f t="array" ref="M401">_xlfn.IFS(L401&lt;=15,"Low Fare",L401&lt;=35,"Medium Fare",L401&lt;=100,"High Fare",L401&gt;=100,"Very High Fare")</f>
        <v>High Fare</v>
      </c>
      <c r="N401" s="2">
        <v>0</v>
      </c>
      <c r="O401" s="2">
        <v>0</v>
      </c>
      <c r="P401">
        <f t="shared" si="25"/>
        <v>1</v>
      </c>
      <c r="Q401" t="str">
        <f t="shared" si="26"/>
        <v>Alone</v>
      </c>
      <c r="R401" t="str">
        <f t="shared" si="27"/>
        <v>Yes</v>
      </c>
      <c r="S401" t="s">
        <v>16</v>
      </c>
    </row>
    <row r="402" spans="1:19" x14ac:dyDescent="0.3">
      <c r="A402" s="1" t="s">
        <v>343</v>
      </c>
      <c r="B402" t="s">
        <v>1602</v>
      </c>
      <c r="C402" t="s">
        <v>1974</v>
      </c>
      <c r="D402" t="str">
        <f t="shared" si="24"/>
        <v>Female</v>
      </c>
      <c r="E402" t="s">
        <v>14</v>
      </c>
      <c r="F402" s="2">
        <v>20</v>
      </c>
      <c r="G402" s="2" t="str" cm="1">
        <f t="array" ref="G402">_xlfn.IFS(F402&lt;=8,"Child",F402&lt;=17,"Teen",F402&lt;=35,"Adult",F402&lt;=55,"Seniour Adult",F402&gt;=55,"Old Age")</f>
        <v>Adult</v>
      </c>
      <c r="H402" t="s">
        <v>10</v>
      </c>
      <c r="I402" t="s">
        <v>11</v>
      </c>
      <c r="J402" t="str" cm="1">
        <f t="array" ref="J402">_xlfn.IFS(I402="S","Southamptom",I402="Q","Quentown",I402="C","Cherbrug",I402="B","Cabin")</f>
        <v>Southamptom</v>
      </c>
      <c r="K402" t="s">
        <v>15</v>
      </c>
      <c r="L402" s="2">
        <v>34.070599999999999</v>
      </c>
      <c r="M402" s="2" t="str" cm="1">
        <f t="array" ref="M402">_xlfn.IFS(L402&lt;=15,"Low Fare",L402&lt;=35,"Medium Fare",L402&lt;=100,"High Fare",L402&gt;=100,"Very High Fare")</f>
        <v>Medium Fare</v>
      </c>
      <c r="N402" s="2">
        <v>2</v>
      </c>
      <c r="O402" s="2">
        <v>2</v>
      </c>
      <c r="P402">
        <f t="shared" si="25"/>
        <v>5</v>
      </c>
      <c r="Q402" t="str">
        <f t="shared" si="26"/>
        <v>With Family</v>
      </c>
      <c r="R402" t="str">
        <f t="shared" si="27"/>
        <v>No</v>
      </c>
      <c r="S402" t="s">
        <v>13</v>
      </c>
    </row>
    <row r="403" spans="1:19" x14ac:dyDescent="0.3">
      <c r="A403" s="1" t="s">
        <v>343</v>
      </c>
      <c r="B403" t="s">
        <v>1602</v>
      </c>
      <c r="C403" t="s">
        <v>1975</v>
      </c>
      <c r="D403" t="str">
        <f t="shared" si="24"/>
        <v>Female</v>
      </c>
      <c r="E403" t="s">
        <v>14</v>
      </c>
      <c r="F403" s="2">
        <v>7</v>
      </c>
      <c r="G403" s="2" t="str" cm="1">
        <f t="array" ref="G403">_xlfn.IFS(F403&lt;=8,"Child",F403&lt;=17,"Teen",F403&lt;=35,"Adult",F403&lt;=55,"Seniour Adult",F403&gt;=55,"Old Age")</f>
        <v>Child</v>
      </c>
      <c r="H403" t="s">
        <v>10</v>
      </c>
      <c r="I403" t="s">
        <v>11</v>
      </c>
      <c r="J403" t="str" cm="1">
        <f t="array" ref="J403">_xlfn.IFS(I403="S","Southamptom",I403="Q","Quentown",I403="C","Cherbrug",I403="B","Cabin")</f>
        <v>Southamptom</v>
      </c>
      <c r="K403" t="s">
        <v>15</v>
      </c>
      <c r="L403" s="2">
        <v>34.070599999999999</v>
      </c>
      <c r="M403" s="2" t="str" cm="1">
        <f t="array" ref="M403">_xlfn.IFS(L403&lt;=15,"Low Fare",L403&lt;=35,"Medium Fare",L403&lt;=100,"High Fare",L403&gt;=100,"Very High Fare")</f>
        <v>Medium Fare</v>
      </c>
      <c r="N403" s="2">
        <v>2</v>
      </c>
      <c r="O403" s="2">
        <v>2</v>
      </c>
      <c r="P403">
        <f t="shared" si="25"/>
        <v>5</v>
      </c>
      <c r="Q403" t="str">
        <f t="shared" si="26"/>
        <v>With Family</v>
      </c>
      <c r="R403" t="str">
        <f t="shared" si="27"/>
        <v>No</v>
      </c>
      <c r="S403" t="s">
        <v>13</v>
      </c>
    </row>
    <row r="404" spans="1:19" x14ac:dyDescent="0.3">
      <c r="A404" s="1" t="s">
        <v>343</v>
      </c>
      <c r="B404" t="s">
        <v>1596</v>
      </c>
      <c r="C404" t="s">
        <v>1976</v>
      </c>
      <c r="D404" t="str">
        <f t="shared" si="24"/>
        <v>Male</v>
      </c>
      <c r="E404" t="s">
        <v>9</v>
      </c>
      <c r="F404" s="2">
        <v>23</v>
      </c>
      <c r="G404" s="2" t="str" cm="1">
        <f t="array" ref="G404">_xlfn.IFS(F404&lt;=8,"Child",F404&lt;=17,"Teen",F404&lt;=35,"Adult",F404&lt;=55,"Seniour Adult",F404&gt;=55,"Old Age")</f>
        <v>Adult</v>
      </c>
      <c r="H404" t="s">
        <v>10</v>
      </c>
      <c r="I404" t="s">
        <v>11</v>
      </c>
      <c r="J404" t="str" cm="1">
        <f t="array" ref="J404">_xlfn.IFS(I404="S","Southamptom",I404="Q","Quentown",I404="C","Cherbrug",I404="B","Cabin")</f>
        <v>Southamptom</v>
      </c>
      <c r="K404" t="s">
        <v>15</v>
      </c>
      <c r="L404" s="2">
        <v>8.01</v>
      </c>
      <c r="M404" s="2" t="str" cm="1">
        <f t="array" ref="M404">_xlfn.IFS(L404&lt;=15,"Low Fare",L404&lt;=35,"Medium Fare",L404&lt;=100,"High Fare",L404&gt;=100,"Very High Fare")</f>
        <v>Low Fare</v>
      </c>
      <c r="N404" s="2">
        <v>0</v>
      </c>
      <c r="O404" s="2">
        <v>0</v>
      </c>
      <c r="P404">
        <f t="shared" si="25"/>
        <v>1</v>
      </c>
      <c r="Q404" t="str">
        <f t="shared" si="26"/>
        <v>Alone</v>
      </c>
      <c r="R404" t="str">
        <f t="shared" si="27"/>
        <v>No</v>
      </c>
      <c r="S404" t="s">
        <v>13</v>
      </c>
    </row>
    <row r="405" spans="1:19" x14ac:dyDescent="0.3">
      <c r="A405" s="1" t="s">
        <v>343</v>
      </c>
      <c r="B405" t="s">
        <v>1596</v>
      </c>
      <c r="C405" t="s">
        <v>1977</v>
      </c>
      <c r="D405" t="str">
        <f t="shared" si="24"/>
        <v>Male</v>
      </c>
      <c r="E405" t="s">
        <v>9</v>
      </c>
      <c r="F405" s="2">
        <v>18</v>
      </c>
      <c r="G405" s="2" t="str" cm="1">
        <f t="array" ref="G405">_xlfn.IFS(F405&lt;=8,"Child",F405&lt;=17,"Teen",F405&lt;=35,"Adult",F405&lt;=55,"Seniour Adult",F405&gt;=55,"Old Age")</f>
        <v>Adult</v>
      </c>
      <c r="H405" t="s">
        <v>10</v>
      </c>
      <c r="I405" t="s">
        <v>11</v>
      </c>
      <c r="J405" t="str" cm="1">
        <f t="array" ref="J405">_xlfn.IFS(I405="S","Southamptom",I405="Q","Quentown",I405="C","Cherbrug",I405="B","Cabin")</f>
        <v>Southamptom</v>
      </c>
      <c r="K405" t="s">
        <v>15</v>
      </c>
      <c r="L405" s="2">
        <v>34.070599999999999</v>
      </c>
      <c r="M405" s="2" t="str" cm="1">
        <f t="array" ref="M405">_xlfn.IFS(L405&lt;=15,"Low Fare",L405&lt;=35,"Medium Fare",L405&lt;=100,"High Fare",L405&gt;=100,"Very High Fare")</f>
        <v>Medium Fare</v>
      </c>
      <c r="N405" s="2">
        <v>2</v>
      </c>
      <c r="O405" s="2">
        <v>2</v>
      </c>
      <c r="P405">
        <f t="shared" si="25"/>
        <v>5</v>
      </c>
      <c r="Q405" t="str">
        <f t="shared" si="26"/>
        <v>With Family</v>
      </c>
      <c r="R405" t="str">
        <f t="shared" si="27"/>
        <v>No</v>
      </c>
      <c r="S405" t="s">
        <v>13</v>
      </c>
    </row>
    <row r="406" spans="1:19" x14ac:dyDescent="0.3">
      <c r="A406" s="1" t="s">
        <v>343</v>
      </c>
      <c r="B406" t="s">
        <v>1600</v>
      </c>
      <c r="C406" t="s">
        <v>1978</v>
      </c>
      <c r="D406" t="str">
        <f t="shared" si="24"/>
        <v>Female</v>
      </c>
      <c r="E406" t="s">
        <v>14</v>
      </c>
      <c r="F406" s="2">
        <v>54</v>
      </c>
      <c r="G406" s="2" t="str" cm="1">
        <f t="array" ref="G406">_xlfn.IFS(F406&lt;=8,"Child",F406&lt;=17,"Teen",F406&lt;=35,"Adult",F406&lt;=55,"Seniour Adult",F406&gt;=55,"Old Age")</f>
        <v>Seniour Adult</v>
      </c>
      <c r="H406" t="s">
        <v>10</v>
      </c>
      <c r="I406" t="s">
        <v>11</v>
      </c>
      <c r="J406" t="str" cm="1">
        <f t="array" ref="J406">_xlfn.IFS(I406="S","Southamptom",I406="Q","Quentown",I406="C","Cherbrug",I406="B","Cabin")</f>
        <v>Southamptom</v>
      </c>
      <c r="K406" t="s">
        <v>43</v>
      </c>
      <c r="L406" s="2">
        <v>34.070599999999999</v>
      </c>
      <c r="M406" s="2" t="str" cm="1">
        <f t="array" ref="M406">_xlfn.IFS(L406&lt;=15,"Low Fare",L406&lt;=35,"Medium Fare",L406&lt;=100,"High Fare",L406&gt;=100,"Very High Fare")</f>
        <v>Medium Fare</v>
      </c>
      <c r="N406" s="2">
        <v>1</v>
      </c>
      <c r="O406" s="2">
        <v>3</v>
      </c>
      <c r="P406">
        <f t="shared" si="25"/>
        <v>5</v>
      </c>
      <c r="Q406" t="str">
        <f t="shared" si="26"/>
        <v>With Family</v>
      </c>
      <c r="R406" t="str">
        <f t="shared" si="27"/>
        <v>No</v>
      </c>
      <c r="S406" t="s">
        <v>13</v>
      </c>
    </row>
    <row r="407" spans="1:19" x14ac:dyDescent="0.3">
      <c r="A407" s="1" t="s">
        <v>343</v>
      </c>
      <c r="B407" t="s">
        <v>1596</v>
      </c>
      <c r="C407" t="s">
        <v>1979</v>
      </c>
      <c r="D407" t="str">
        <f t="shared" si="24"/>
        <v>Male</v>
      </c>
      <c r="E407" t="s">
        <v>9</v>
      </c>
      <c r="F407" s="2">
        <v>14</v>
      </c>
      <c r="G407" s="2" t="str" cm="1">
        <f t="array" ref="G407">_xlfn.IFS(F407&lt;=8,"Child",F407&lt;=17,"Teen",F407&lt;=35,"Adult",F407&lt;=55,"Seniour Adult",F407&gt;=55,"Old Age")</f>
        <v>Teen</v>
      </c>
      <c r="H407" t="s">
        <v>10</v>
      </c>
      <c r="I407" t="s">
        <v>11</v>
      </c>
      <c r="J407" t="str" cm="1">
        <f t="array" ref="J407">_xlfn.IFS(I407="S","Southamptom",I407="Q","Quentown",I407="C","Cherbrug",I407="B","Cabin")</f>
        <v>Southamptom</v>
      </c>
      <c r="K407" t="s">
        <v>15</v>
      </c>
      <c r="L407" s="2">
        <v>34.070599999999999</v>
      </c>
      <c r="M407" s="2" t="str" cm="1">
        <f t="array" ref="M407">_xlfn.IFS(L407&lt;=15,"Low Fare",L407&lt;=35,"Medium Fare",L407&lt;=100,"High Fare",L407&gt;=100,"Very High Fare")</f>
        <v>Medium Fare</v>
      </c>
      <c r="N407" s="2">
        <v>1</v>
      </c>
      <c r="O407" s="2">
        <v>3</v>
      </c>
      <c r="P407">
        <f t="shared" si="25"/>
        <v>5</v>
      </c>
      <c r="Q407" t="str">
        <f t="shared" si="26"/>
        <v>With Family</v>
      </c>
      <c r="R407" t="str">
        <f t="shared" si="27"/>
        <v>No</v>
      </c>
      <c r="S407" t="s">
        <v>13</v>
      </c>
    </row>
    <row r="408" spans="1:19" x14ac:dyDescent="0.3">
      <c r="A408" s="1" t="s">
        <v>344</v>
      </c>
      <c r="B408" t="s">
        <v>1596</v>
      </c>
      <c r="C408" t="s">
        <v>1980</v>
      </c>
      <c r="D408" t="str">
        <f t="shared" si="24"/>
        <v>Male</v>
      </c>
      <c r="E408" t="s">
        <v>9</v>
      </c>
      <c r="F408" s="2">
        <v>30</v>
      </c>
      <c r="G408" s="2" t="str" cm="1">
        <f t="array" ref="G408">_xlfn.IFS(F408&lt;=8,"Child",F408&lt;=17,"Teen",F408&lt;=35,"Adult",F408&lt;=55,"Seniour Adult",F408&gt;=55,"Old Age")</f>
        <v>Adult</v>
      </c>
      <c r="H408" t="s">
        <v>25</v>
      </c>
      <c r="I408" t="s">
        <v>11</v>
      </c>
      <c r="J408" t="str" cm="1">
        <f t="array" ref="J408">_xlfn.IFS(I408="S","Southamptom",I408="Q","Quentown",I408="C","Cherbrug",I408="B","Cabin")</f>
        <v>Southamptom</v>
      </c>
      <c r="K408" t="s">
        <v>12</v>
      </c>
      <c r="L408" s="2">
        <v>27.15</v>
      </c>
      <c r="M408" s="2" t="str" cm="1">
        <f t="array" ref="M408">_xlfn.IFS(L408&lt;=15,"Low Fare",L408&lt;=35,"Medium Fare",L408&lt;=100,"High Fare",L408&gt;=100,"Very High Fare")</f>
        <v>Medium Fare</v>
      </c>
      <c r="N408" s="2">
        <v>0</v>
      </c>
      <c r="O408" s="2">
        <v>0</v>
      </c>
      <c r="P408">
        <f t="shared" si="25"/>
        <v>1</v>
      </c>
      <c r="Q408" t="str">
        <f t="shared" si="26"/>
        <v>Alone</v>
      </c>
      <c r="R408" t="str">
        <f t="shared" si="27"/>
        <v>No</v>
      </c>
      <c r="S408" t="s">
        <v>13</v>
      </c>
    </row>
    <row r="409" spans="1:19" x14ac:dyDescent="0.3">
      <c r="A409" s="1" t="s">
        <v>345</v>
      </c>
      <c r="B409" t="s">
        <v>1602</v>
      </c>
      <c r="C409" t="s">
        <v>1981</v>
      </c>
      <c r="D409" t="str">
        <f t="shared" si="24"/>
        <v>Female</v>
      </c>
      <c r="E409" t="s">
        <v>14</v>
      </c>
      <c r="F409" s="2">
        <v>24</v>
      </c>
      <c r="G409" s="2" t="str" cm="1">
        <f t="array" ref="G409">_xlfn.IFS(F409&lt;=8,"Child",F409&lt;=17,"Teen",F409&lt;=35,"Adult",F409&lt;=55,"Seniour Adult",F409&gt;=55,"Old Age")</f>
        <v>Adult</v>
      </c>
      <c r="H409" t="s">
        <v>25</v>
      </c>
      <c r="I409" t="s">
        <v>11</v>
      </c>
      <c r="J409" t="str" cm="1">
        <f t="array" ref="J409">_xlfn.IFS(I409="S","Southamptom",I409="Q","Quentown",I409="C","Cherbrug",I409="B","Cabin")</f>
        <v>Southamptom</v>
      </c>
      <c r="K409" t="s">
        <v>26</v>
      </c>
      <c r="L409" s="2">
        <v>263</v>
      </c>
      <c r="M409" s="2" t="str" cm="1">
        <f t="array" ref="M409">_xlfn.IFS(L409&lt;=15,"Low Fare",L409&lt;=35,"Medium Fare",L409&lt;=100,"High Fare",L409&gt;=100,"Very High Fare")</f>
        <v>Very High Fare</v>
      </c>
      <c r="N409" s="2">
        <v>3</v>
      </c>
      <c r="O409" s="2">
        <v>2</v>
      </c>
      <c r="P409">
        <f t="shared" si="25"/>
        <v>6</v>
      </c>
      <c r="Q409" t="str">
        <f t="shared" si="26"/>
        <v>With Family</v>
      </c>
      <c r="R409" t="str">
        <f t="shared" si="27"/>
        <v>Yes</v>
      </c>
      <c r="S409" t="s">
        <v>16</v>
      </c>
    </row>
    <row r="410" spans="1:19" x14ac:dyDescent="0.3">
      <c r="A410" s="1" t="s">
        <v>345</v>
      </c>
      <c r="B410" t="s">
        <v>1602</v>
      </c>
      <c r="C410" t="s">
        <v>1982</v>
      </c>
      <c r="D410" t="str">
        <f t="shared" si="24"/>
        <v>Female</v>
      </c>
      <c r="E410" t="s">
        <v>14</v>
      </c>
      <c r="F410" s="2">
        <v>28</v>
      </c>
      <c r="G410" s="2" t="str" cm="1">
        <f t="array" ref="G410">_xlfn.IFS(F410&lt;=8,"Child",F410&lt;=17,"Teen",F410&lt;=35,"Adult",F410&lt;=55,"Seniour Adult",F410&gt;=55,"Old Age")</f>
        <v>Adult</v>
      </c>
      <c r="H410" t="s">
        <v>25</v>
      </c>
      <c r="I410" t="s">
        <v>11</v>
      </c>
      <c r="J410" t="str" cm="1">
        <f t="array" ref="J410">_xlfn.IFS(I410="S","Southamptom",I410="Q","Quentown",I410="C","Cherbrug",I410="B","Cabin")</f>
        <v>Southamptom</v>
      </c>
      <c r="K410" t="s">
        <v>26</v>
      </c>
      <c r="L410" s="2">
        <v>263</v>
      </c>
      <c r="M410" s="2" t="str" cm="1">
        <f t="array" ref="M410">_xlfn.IFS(L410&lt;=15,"Low Fare",L410&lt;=35,"Medium Fare",L410&lt;=100,"High Fare",L410&gt;=100,"Very High Fare")</f>
        <v>Very High Fare</v>
      </c>
      <c r="N410" s="2">
        <v>3</v>
      </c>
      <c r="O410" s="2">
        <v>2</v>
      </c>
      <c r="P410">
        <f t="shared" si="25"/>
        <v>6</v>
      </c>
      <c r="Q410" t="str">
        <f t="shared" si="26"/>
        <v>With Family</v>
      </c>
      <c r="R410" t="str">
        <f t="shared" si="27"/>
        <v>Yes</v>
      </c>
      <c r="S410" t="s">
        <v>16</v>
      </c>
    </row>
    <row r="411" spans="1:19" x14ac:dyDescent="0.3">
      <c r="A411" s="1" t="s">
        <v>345</v>
      </c>
      <c r="B411" t="s">
        <v>1602</v>
      </c>
      <c r="C411" t="s">
        <v>1983</v>
      </c>
      <c r="D411" t="str">
        <f t="shared" si="24"/>
        <v>Female</v>
      </c>
      <c r="E411" t="s">
        <v>14</v>
      </c>
      <c r="F411" s="2">
        <v>23</v>
      </c>
      <c r="G411" s="2" t="str" cm="1">
        <f t="array" ref="G411">_xlfn.IFS(F411&lt;=8,"Child",F411&lt;=17,"Teen",F411&lt;=35,"Adult",F411&lt;=55,"Seniour Adult",F411&gt;=55,"Old Age")</f>
        <v>Adult</v>
      </c>
      <c r="H411" t="s">
        <v>25</v>
      </c>
      <c r="I411" t="s">
        <v>11</v>
      </c>
      <c r="J411" t="str" cm="1">
        <f t="array" ref="J411">_xlfn.IFS(I411="S","Southamptom",I411="Q","Quentown",I411="C","Cherbrug",I411="B","Cabin")</f>
        <v>Southamptom</v>
      </c>
      <c r="K411" t="s">
        <v>26</v>
      </c>
      <c r="L411" s="2">
        <v>263</v>
      </c>
      <c r="M411" s="2" t="str" cm="1">
        <f t="array" ref="M411">_xlfn.IFS(L411&lt;=15,"Low Fare",L411&lt;=35,"Medium Fare",L411&lt;=100,"High Fare",L411&gt;=100,"Very High Fare")</f>
        <v>Very High Fare</v>
      </c>
      <c r="N411" s="2">
        <v>3</v>
      </c>
      <c r="O411" s="2">
        <v>2</v>
      </c>
      <c r="P411">
        <f t="shared" si="25"/>
        <v>6</v>
      </c>
      <c r="Q411" t="str">
        <f t="shared" si="26"/>
        <v>With Family</v>
      </c>
      <c r="R411" t="str">
        <f t="shared" si="27"/>
        <v>Yes</v>
      </c>
      <c r="S411" t="s">
        <v>16</v>
      </c>
    </row>
    <row r="412" spans="1:19" x14ac:dyDescent="0.3">
      <c r="A412" s="1" t="s">
        <v>345</v>
      </c>
      <c r="B412" t="s">
        <v>1596</v>
      </c>
      <c r="C412" t="s">
        <v>1984</v>
      </c>
      <c r="D412" t="str">
        <f t="shared" si="24"/>
        <v>Male</v>
      </c>
      <c r="E412" t="s">
        <v>9</v>
      </c>
      <c r="F412" s="2">
        <v>19</v>
      </c>
      <c r="G412" s="2" t="str" cm="1">
        <f t="array" ref="G412">_xlfn.IFS(F412&lt;=8,"Child",F412&lt;=17,"Teen",F412&lt;=35,"Adult",F412&lt;=55,"Seniour Adult",F412&gt;=55,"Old Age")</f>
        <v>Adult</v>
      </c>
      <c r="H412" t="s">
        <v>25</v>
      </c>
      <c r="I412" t="s">
        <v>11</v>
      </c>
      <c r="J412" t="str" cm="1">
        <f t="array" ref="J412">_xlfn.IFS(I412="S","Southamptom",I412="Q","Quentown",I412="C","Cherbrug",I412="B","Cabin")</f>
        <v>Southamptom</v>
      </c>
      <c r="K412" t="s">
        <v>26</v>
      </c>
      <c r="L412" s="2">
        <v>263</v>
      </c>
      <c r="M412" s="2" t="str" cm="1">
        <f t="array" ref="M412">_xlfn.IFS(L412&lt;=15,"Low Fare",L412&lt;=35,"Medium Fare",L412&lt;=100,"High Fare",L412&gt;=100,"Very High Fare")</f>
        <v>Very High Fare</v>
      </c>
      <c r="N412" s="2">
        <v>3</v>
      </c>
      <c r="O412" s="2">
        <v>2</v>
      </c>
      <c r="P412">
        <f t="shared" si="25"/>
        <v>6</v>
      </c>
      <c r="Q412" t="str">
        <f t="shared" si="26"/>
        <v>With Family</v>
      </c>
      <c r="R412" t="str">
        <f t="shared" si="27"/>
        <v>No</v>
      </c>
      <c r="S412" t="s">
        <v>13</v>
      </c>
    </row>
    <row r="413" spans="1:19" x14ac:dyDescent="0.3">
      <c r="A413" s="1" t="s">
        <v>345</v>
      </c>
      <c r="B413" t="s">
        <v>1596</v>
      </c>
      <c r="C413" t="s">
        <v>1985</v>
      </c>
      <c r="D413" t="str">
        <f t="shared" si="24"/>
        <v>Male</v>
      </c>
      <c r="E413" t="s">
        <v>9</v>
      </c>
      <c r="F413" s="2">
        <v>64</v>
      </c>
      <c r="G413" s="2" t="str" cm="1">
        <f t="array" ref="G413">_xlfn.IFS(F413&lt;=8,"Child",F413&lt;=17,"Teen",F413&lt;=35,"Adult",F413&lt;=55,"Seniour Adult",F413&gt;=55,"Old Age")</f>
        <v>Old Age</v>
      </c>
      <c r="H413" t="s">
        <v>25</v>
      </c>
      <c r="I413" t="s">
        <v>11</v>
      </c>
      <c r="J413" t="str" cm="1">
        <f t="array" ref="J413">_xlfn.IFS(I413="S","Southamptom",I413="Q","Quentown",I413="C","Cherbrug",I413="B","Cabin")</f>
        <v>Southamptom</v>
      </c>
      <c r="K413" t="s">
        <v>26</v>
      </c>
      <c r="L413" s="2">
        <v>263</v>
      </c>
      <c r="M413" s="2" t="str" cm="1">
        <f t="array" ref="M413">_xlfn.IFS(L413&lt;=15,"Low Fare",L413&lt;=35,"Medium Fare",L413&lt;=100,"High Fare",L413&gt;=100,"Very High Fare")</f>
        <v>Very High Fare</v>
      </c>
      <c r="N413" s="2">
        <v>1</v>
      </c>
      <c r="O413" s="2">
        <v>4</v>
      </c>
      <c r="P413">
        <f t="shared" si="25"/>
        <v>6</v>
      </c>
      <c r="Q413" t="str">
        <f t="shared" si="26"/>
        <v>With Family</v>
      </c>
      <c r="R413" t="str">
        <f t="shared" si="27"/>
        <v>No</v>
      </c>
      <c r="S413" t="s">
        <v>13</v>
      </c>
    </row>
    <row r="414" spans="1:19" x14ac:dyDescent="0.3">
      <c r="A414" s="1" t="s">
        <v>345</v>
      </c>
      <c r="B414" t="s">
        <v>1600</v>
      </c>
      <c r="C414" t="s">
        <v>1734</v>
      </c>
      <c r="D414" t="str">
        <f t="shared" si="24"/>
        <v>Female</v>
      </c>
      <c r="E414" t="s">
        <v>14</v>
      </c>
      <c r="F414" s="2">
        <v>60</v>
      </c>
      <c r="G414" s="2" t="str" cm="1">
        <f t="array" ref="G414">_xlfn.IFS(F414&lt;=8,"Child",F414&lt;=17,"Teen",F414&lt;=35,"Adult",F414&lt;=55,"Seniour Adult",F414&gt;=55,"Old Age")</f>
        <v>Old Age</v>
      </c>
      <c r="H414" t="s">
        <v>25</v>
      </c>
      <c r="I414" t="s">
        <v>11</v>
      </c>
      <c r="J414" t="str" cm="1">
        <f t="array" ref="J414">_xlfn.IFS(I414="S","Southamptom",I414="Q","Quentown",I414="C","Cherbrug",I414="B","Cabin")</f>
        <v>Southamptom</v>
      </c>
      <c r="K414" t="s">
        <v>26</v>
      </c>
      <c r="L414" s="2">
        <v>263</v>
      </c>
      <c r="M414" s="2" t="str" cm="1">
        <f t="array" ref="M414">_xlfn.IFS(L414&lt;=15,"Low Fare",L414&lt;=35,"Medium Fare",L414&lt;=100,"High Fare",L414&gt;=100,"Very High Fare")</f>
        <v>Very High Fare</v>
      </c>
      <c r="N414" s="2">
        <v>1</v>
      </c>
      <c r="O414" s="2">
        <v>4</v>
      </c>
      <c r="P414">
        <f t="shared" si="25"/>
        <v>6</v>
      </c>
      <c r="Q414" t="str">
        <f t="shared" si="26"/>
        <v>With Family</v>
      </c>
      <c r="R414" t="str">
        <f t="shared" si="27"/>
        <v>Yes</v>
      </c>
      <c r="S414" t="s">
        <v>16</v>
      </c>
    </row>
    <row r="415" spans="1:19" x14ac:dyDescent="0.3">
      <c r="A415" s="1" t="s">
        <v>346</v>
      </c>
      <c r="B415" t="s">
        <v>1596</v>
      </c>
      <c r="C415" t="s">
        <v>1792</v>
      </c>
      <c r="D415" t="str">
        <f t="shared" si="24"/>
        <v>Male</v>
      </c>
      <c r="E415" t="s">
        <v>9</v>
      </c>
      <c r="F415" s="2">
        <v>28</v>
      </c>
      <c r="G415" s="2" t="str" cm="1">
        <f t="array" ref="G415">_xlfn.IFS(F415&lt;=8,"Child",F415&lt;=17,"Teen",F415&lt;=35,"Adult",F415&lt;=55,"Seniour Adult",F415&gt;=55,"Old Age")</f>
        <v>Adult</v>
      </c>
      <c r="H415" t="s">
        <v>10</v>
      </c>
      <c r="I415" t="s">
        <v>36</v>
      </c>
      <c r="J415" t="str" cm="1">
        <f t="array" ref="J415">_xlfn.IFS(I415="S","Southamptom",I415="Q","Quentown",I415="C","Cherbrug",I415="B","Cabin")</f>
        <v>Quentown</v>
      </c>
      <c r="K415" t="s">
        <v>37</v>
      </c>
      <c r="L415" s="2">
        <v>7.15</v>
      </c>
      <c r="M415" s="2" t="str" cm="1">
        <f t="array" ref="M415">_xlfn.IFS(L415&lt;=15,"Low Fare",L415&lt;=35,"Medium Fare",L415&lt;=100,"High Fare",L415&gt;=100,"Very High Fare")</f>
        <v>Low Fare</v>
      </c>
      <c r="N415" s="2">
        <v>0</v>
      </c>
      <c r="O415" s="2">
        <v>0</v>
      </c>
      <c r="P415">
        <f t="shared" si="25"/>
        <v>1</v>
      </c>
      <c r="Q415" t="str">
        <f t="shared" si="26"/>
        <v>Alone</v>
      </c>
      <c r="R415" t="str">
        <f t="shared" si="27"/>
        <v>No</v>
      </c>
      <c r="S415" t="s">
        <v>13</v>
      </c>
    </row>
    <row r="416" spans="1:19" x14ac:dyDescent="0.3">
      <c r="A416" s="1" t="s">
        <v>346</v>
      </c>
      <c r="B416" t="s">
        <v>1596</v>
      </c>
      <c r="C416" t="s">
        <v>1986</v>
      </c>
      <c r="D416" t="str">
        <f t="shared" si="24"/>
        <v>Male</v>
      </c>
      <c r="E416" t="s">
        <v>9</v>
      </c>
      <c r="F416" s="2">
        <v>38</v>
      </c>
      <c r="G416" s="2" t="str" cm="1">
        <f t="array" ref="G416">_xlfn.IFS(F416&lt;=8,"Child",F416&lt;=17,"Teen",F416&lt;=35,"Adult",F416&lt;=55,"Seniour Adult",F416&gt;=55,"Old Age")</f>
        <v>Seniour Adult</v>
      </c>
      <c r="H416" t="s">
        <v>18</v>
      </c>
      <c r="I416" t="s">
        <v>11</v>
      </c>
      <c r="J416" t="str" cm="1">
        <f t="array" ref="J416">_xlfn.IFS(I416="S","Southamptom",I416="Q","Quentown",I416="C","Cherbrug",I416="B","Cabin")</f>
        <v>Southamptom</v>
      </c>
      <c r="K416" t="s">
        <v>12</v>
      </c>
      <c r="L416" s="2">
        <v>13</v>
      </c>
      <c r="M416" s="2" t="str" cm="1">
        <f t="array" ref="M416">_xlfn.IFS(L416&lt;=15,"Low Fare",L416&lt;=35,"Medium Fare",L416&lt;=100,"High Fare",L416&gt;=100,"Very High Fare")</f>
        <v>Low Fare</v>
      </c>
      <c r="N416" s="2">
        <v>0</v>
      </c>
      <c r="O416" s="2">
        <v>0</v>
      </c>
      <c r="P416">
        <f t="shared" si="25"/>
        <v>1</v>
      </c>
      <c r="Q416" t="str">
        <f t="shared" si="26"/>
        <v>Alone</v>
      </c>
      <c r="R416" t="str">
        <f t="shared" si="27"/>
        <v>No</v>
      </c>
      <c r="S416" t="s">
        <v>13</v>
      </c>
    </row>
    <row r="417" spans="1:19" x14ac:dyDescent="0.3">
      <c r="A417" s="1" t="s">
        <v>347</v>
      </c>
      <c r="B417" t="s">
        <v>1602</v>
      </c>
      <c r="C417" t="s">
        <v>1987</v>
      </c>
      <c r="D417" t="str">
        <f t="shared" si="24"/>
        <v>Female</v>
      </c>
      <c r="E417" t="s">
        <v>14</v>
      </c>
      <c r="F417" s="2">
        <v>32</v>
      </c>
      <c r="G417" s="2" t="str" cm="1">
        <f t="array" ref="G417">_xlfn.IFS(F417&lt;=8,"Child",F417&lt;=17,"Teen",F417&lt;=35,"Adult",F417&lt;=55,"Seniour Adult",F417&gt;=55,"Old Age")</f>
        <v>Adult</v>
      </c>
      <c r="H417" t="s">
        <v>25</v>
      </c>
      <c r="I417" t="s">
        <v>19</v>
      </c>
      <c r="J417" t="str" cm="1">
        <f t="array" ref="J417">_xlfn.IFS(I417="S","Southamptom",I417="Q","Quentown",I417="C","Cherbrug",I417="B","Cabin")</f>
        <v>Cherbrug</v>
      </c>
      <c r="K417" t="s">
        <v>15</v>
      </c>
      <c r="L417" s="2">
        <v>56.180700000000002</v>
      </c>
      <c r="M417" s="2" t="str" cm="1">
        <f t="array" ref="M417">_xlfn.IFS(L417&lt;=15,"Low Fare",L417&lt;=35,"Medium Fare",L417&lt;=100,"High Fare",L417&gt;=100,"Very High Fare")</f>
        <v>High Fare</v>
      </c>
      <c r="N417" s="2">
        <v>0</v>
      </c>
      <c r="O417" s="2">
        <v>0</v>
      </c>
      <c r="P417">
        <f t="shared" si="25"/>
        <v>1</v>
      </c>
      <c r="Q417" t="str">
        <f t="shared" si="26"/>
        <v>Alone</v>
      </c>
      <c r="R417" t="str">
        <f t="shared" si="27"/>
        <v>Yes</v>
      </c>
      <c r="S417" t="s">
        <v>16</v>
      </c>
    </row>
    <row r="418" spans="1:19" x14ac:dyDescent="0.3">
      <c r="A418" s="1" t="s">
        <v>348</v>
      </c>
      <c r="B418" t="s">
        <v>1596</v>
      </c>
      <c r="C418" t="s">
        <v>1988</v>
      </c>
      <c r="D418" t="str">
        <f t="shared" si="24"/>
        <v>Male</v>
      </c>
      <c r="E418" t="s">
        <v>9</v>
      </c>
      <c r="F418" s="2">
        <v>37</v>
      </c>
      <c r="G418" s="2" t="str" cm="1">
        <f t="array" ref="G418">_xlfn.IFS(F418&lt;=8,"Child",F418&lt;=17,"Teen",F418&lt;=35,"Adult",F418&lt;=55,"Seniour Adult",F418&gt;=55,"Old Age")</f>
        <v>Seniour Adult</v>
      </c>
      <c r="H418" t="s">
        <v>25</v>
      </c>
      <c r="I418" t="s">
        <v>11</v>
      </c>
      <c r="J418" t="str" cm="1">
        <f t="array" ref="J418">_xlfn.IFS(I418="S","Southamptom",I418="Q","Quentown",I418="C","Cherbrug",I418="B","Cabin")</f>
        <v>Southamptom</v>
      </c>
      <c r="K418" t="s">
        <v>15</v>
      </c>
      <c r="L418" s="2">
        <v>26.11</v>
      </c>
      <c r="M418" s="2" t="str" cm="1">
        <f t="array" ref="M418">_xlfn.IFS(L418&lt;=15,"Low Fare",L418&lt;=35,"Medium Fare",L418&lt;=100,"High Fare",L418&gt;=100,"Very High Fare")</f>
        <v>Medium Fare</v>
      </c>
      <c r="N418" s="2">
        <v>0</v>
      </c>
      <c r="O418" s="2">
        <v>0</v>
      </c>
      <c r="P418">
        <f t="shared" si="25"/>
        <v>1</v>
      </c>
      <c r="Q418" t="str">
        <f t="shared" si="26"/>
        <v>Alone</v>
      </c>
      <c r="R418" t="str">
        <f t="shared" si="27"/>
        <v>No</v>
      </c>
      <c r="S418" t="s">
        <v>13</v>
      </c>
    </row>
    <row r="419" spans="1:19" x14ac:dyDescent="0.3">
      <c r="A419" s="1" t="s">
        <v>349</v>
      </c>
      <c r="B419" t="s">
        <v>1749</v>
      </c>
      <c r="C419" t="s">
        <v>1989</v>
      </c>
      <c r="D419" t="str">
        <f t="shared" si="24"/>
        <v>Male</v>
      </c>
      <c r="E419" t="s">
        <v>9</v>
      </c>
      <c r="F419" s="2">
        <v>49</v>
      </c>
      <c r="G419" s="2" t="str" cm="1">
        <f t="array" ref="G419">_xlfn.IFS(F419&lt;=8,"Child",F419&lt;=17,"Teen",F419&lt;=35,"Adult",F419&lt;=55,"Seniour Adult",F419&gt;=55,"Old Age")</f>
        <v>Seniour Adult</v>
      </c>
      <c r="H419" t="s">
        <v>25</v>
      </c>
      <c r="I419" t="s">
        <v>11</v>
      </c>
      <c r="J419" t="str" cm="1">
        <f t="array" ref="J419">_xlfn.IFS(I419="S","Southamptom",I419="Q","Quentown",I419="C","Cherbrug",I419="B","Cabin")</f>
        <v>Southamptom</v>
      </c>
      <c r="K419" t="s">
        <v>12</v>
      </c>
      <c r="L419" s="2">
        <v>133.13</v>
      </c>
      <c r="M419" s="2" t="str" cm="1">
        <f t="array" ref="M419">_xlfn.IFS(L419&lt;=15,"Low Fare",L419&lt;=35,"Medium Fare",L419&lt;=100,"High Fare",L419&gt;=100,"Very High Fare")</f>
        <v>Very High Fare</v>
      </c>
      <c r="N419" s="2">
        <v>2</v>
      </c>
      <c r="O419" s="2">
        <v>0</v>
      </c>
      <c r="P419">
        <f t="shared" si="25"/>
        <v>3</v>
      </c>
      <c r="Q419" t="str">
        <f t="shared" si="26"/>
        <v>With Family</v>
      </c>
      <c r="R419" t="str">
        <f t="shared" si="27"/>
        <v>Yes</v>
      </c>
      <c r="S419" t="s">
        <v>16</v>
      </c>
    </row>
    <row r="420" spans="1:19" x14ac:dyDescent="0.3">
      <c r="A420" s="1" t="s">
        <v>349</v>
      </c>
      <c r="B420" t="s">
        <v>1596</v>
      </c>
      <c r="C420" t="s">
        <v>1990</v>
      </c>
      <c r="D420" t="str">
        <f t="shared" si="24"/>
        <v>Male</v>
      </c>
      <c r="E420" t="s">
        <v>9</v>
      </c>
      <c r="F420" s="2">
        <v>43</v>
      </c>
      <c r="G420" s="2" t="str" cm="1">
        <f t="array" ref="G420">_xlfn.IFS(F420&lt;=8,"Child",F420&lt;=17,"Teen",F420&lt;=35,"Adult",F420&lt;=55,"Seniour Adult",F420&gt;=55,"Old Age")</f>
        <v>Seniour Adult</v>
      </c>
      <c r="H420" t="s">
        <v>25</v>
      </c>
      <c r="I420" t="s">
        <v>19</v>
      </c>
      <c r="J420" t="str" cm="1">
        <f t="array" ref="J420">_xlfn.IFS(I420="S","Southamptom",I420="Q","Quentown",I420="C","Cherbrug",I420="B","Cabin")</f>
        <v>Cherbrug</v>
      </c>
      <c r="K420" t="s">
        <v>12</v>
      </c>
      <c r="L420" s="2">
        <v>27.140499999999999</v>
      </c>
      <c r="M420" s="2" t="str" cm="1">
        <f t="array" ref="M420">_xlfn.IFS(L420&lt;=15,"Low Fare",L420&lt;=35,"Medium Fare",L420&lt;=100,"High Fare",L420&gt;=100,"Very High Fare")</f>
        <v>Medium Fare</v>
      </c>
      <c r="N420" s="2">
        <v>1</v>
      </c>
      <c r="O420" s="2">
        <v>0</v>
      </c>
      <c r="P420">
        <f t="shared" si="25"/>
        <v>2</v>
      </c>
      <c r="Q420" t="str">
        <f t="shared" si="26"/>
        <v>With Family</v>
      </c>
      <c r="R420" t="str">
        <f t="shared" si="27"/>
        <v>Yes</v>
      </c>
      <c r="S420" t="s">
        <v>16</v>
      </c>
    </row>
    <row r="421" spans="1:19" x14ac:dyDescent="0.3">
      <c r="A421" s="1" t="s">
        <v>349</v>
      </c>
      <c r="B421" t="s">
        <v>1600</v>
      </c>
      <c r="C421" t="s">
        <v>1991</v>
      </c>
      <c r="D421" t="str">
        <f t="shared" si="24"/>
        <v>Female</v>
      </c>
      <c r="E421" t="s">
        <v>14</v>
      </c>
      <c r="F421" s="2">
        <v>42</v>
      </c>
      <c r="G421" s="2" t="str" cm="1">
        <f t="array" ref="G421">_xlfn.IFS(F421&lt;=8,"Child",F421&lt;=17,"Teen",F421&lt;=35,"Adult",F421&lt;=55,"Seniour Adult",F421&gt;=55,"Old Age")</f>
        <v>Seniour Adult</v>
      </c>
      <c r="H421" t="s">
        <v>25</v>
      </c>
      <c r="I421" t="s">
        <v>11</v>
      </c>
      <c r="J421" t="str" cm="1">
        <f t="array" ref="J421">_xlfn.IFS(I421="S","Southamptom",I421="Q","Quentown",I421="C","Cherbrug",I421="B","Cabin")</f>
        <v>Southamptom</v>
      </c>
      <c r="K421" t="s">
        <v>12</v>
      </c>
      <c r="L421" s="2">
        <v>133.13</v>
      </c>
      <c r="M421" s="2" t="str" cm="1">
        <f t="array" ref="M421">_xlfn.IFS(L421&lt;=15,"Low Fare",L421&lt;=35,"Medium Fare",L421&lt;=100,"High Fare",L421&gt;=100,"Very High Fare")</f>
        <v>Very High Fare</v>
      </c>
      <c r="N421" s="2">
        <v>1</v>
      </c>
      <c r="O421" s="2">
        <v>0</v>
      </c>
      <c r="P421">
        <f t="shared" si="25"/>
        <v>2</v>
      </c>
      <c r="Q421" t="str">
        <f t="shared" si="26"/>
        <v>With Family</v>
      </c>
      <c r="R421" t="str">
        <f t="shared" si="27"/>
        <v>Yes</v>
      </c>
      <c r="S421" t="s">
        <v>16</v>
      </c>
    </row>
    <row r="422" spans="1:19" x14ac:dyDescent="0.3">
      <c r="A422" s="1" t="s">
        <v>350</v>
      </c>
      <c r="B422" t="s">
        <v>1602</v>
      </c>
      <c r="C422" t="s">
        <v>1992</v>
      </c>
      <c r="D422" t="str">
        <f t="shared" si="24"/>
        <v>Female</v>
      </c>
      <c r="E422" t="s">
        <v>14</v>
      </c>
      <c r="F422" s="2">
        <v>22</v>
      </c>
      <c r="G422" s="2" t="str" cm="1">
        <f t="array" ref="G422">_xlfn.IFS(F422&lt;=8,"Child",F422&lt;=17,"Teen",F422&lt;=35,"Adult",F422&lt;=55,"Seniour Adult",F422&gt;=55,"Old Age")</f>
        <v>Adult</v>
      </c>
      <c r="H422" t="s">
        <v>25</v>
      </c>
      <c r="I422" t="s">
        <v>19</v>
      </c>
      <c r="J422" t="str" cm="1">
        <f t="array" ref="J422">_xlfn.IFS(I422="S","Southamptom",I422="Q","Quentown",I422="C","Cherbrug",I422="B","Cabin")</f>
        <v>Cherbrug</v>
      </c>
      <c r="K422" t="s">
        <v>32</v>
      </c>
      <c r="L422" s="2">
        <v>49.1</v>
      </c>
      <c r="M422" s="2" t="str" cm="1">
        <f t="array" ref="M422">_xlfn.IFS(L422&lt;=15,"Low Fare",L422&lt;=35,"Medium Fare",L422&lt;=100,"High Fare",L422&gt;=100,"Very High Fare")</f>
        <v>High Fare</v>
      </c>
      <c r="N422" s="2">
        <v>0</v>
      </c>
      <c r="O422" s="2">
        <v>2</v>
      </c>
      <c r="P422">
        <f t="shared" si="25"/>
        <v>3</v>
      </c>
      <c r="Q422" t="str">
        <f t="shared" si="26"/>
        <v>With Family</v>
      </c>
      <c r="R422" t="str">
        <f t="shared" si="27"/>
        <v>Yes</v>
      </c>
      <c r="S422" t="s">
        <v>16</v>
      </c>
    </row>
    <row r="423" spans="1:19" x14ac:dyDescent="0.3">
      <c r="A423" s="1" t="s">
        <v>351</v>
      </c>
      <c r="B423" t="s">
        <v>1596</v>
      </c>
      <c r="C423" t="s">
        <v>1993</v>
      </c>
      <c r="D423" t="str">
        <f t="shared" si="24"/>
        <v>Male</v>
      </c>
      <c r="E423" t="s">
        <v>9</v>
      </c>
      <c r="F423" s="2">
        <v>60</v>
      </c>
      <c r="G423" s="2" t="str" cm="1">
        <f t="array" ref="G423">_xlfn.IFS(F423&lt;=8,"Child",F423&lt;=17,"Teen",F423&lt;=35,"Adult",F423&lt;=55,"Seniour Adult",F423&gt;=55,"Old Age")</f>
        <v>Old Age</v>
      </c>
      <c r="H423" t="s">
        <v>25</v>
      </c>
      <c r="I423" t="s">
        <v>19</v>
      </c>
      <c r="J423" t="str" cm="1">
        <f t="array" ref="J423">_xlfn.IFS(I423="S","Southamptom",I423="Q","Quentown",I423="C","Cherbrug",I423="B","Cabin")</f>
        <v>Cherbrug</v>
      </c>
      <c r="K423" t="s">
        <v>32</v>
      </c>
      <c r="L423" s="2">
        <v>79.040000000000006</v>
      </c>
      <c r="M423" s="2" t="str" cm="1">
        <f t="array" ref="M423">_xlfn.IFS(L423&lt;=15,"Low Fare",L423&lt;=35,"Medium Fare",L423&lt;=100,"High Fare",L423&gt;=100,"Very High Fare")</f>
        <v>High Fare</v>
      </c>
      <c r="N423" s="2">
        <v>1</v>
      </c>
      <c r="O423" s="2">
        <v>1</v>
      </c>
      <c r="P423">
        <f t="shared" si="25"/>
        <v>3</v>
      </c>
      <c r="Q423" t="str">
        <f t="shared" si="26"/>
        <v>With Family</v>
      </c>
      <c r="R423" t="str">
        <f t="shared" si="27"/>
        <v>Yes</v>
      </c>
      <c r="S423" t="s">
        <v>16</v>
      </c>
    </row>
    <row r="424" spans="1:19" x14ac:dyDescent="0.3">
      <c r="A424" s="1" t="s">
        <v>351</v>
      </c>
      <c r="B424" t="s">
        <v>1600</v>
      </c>
      <c r="C424" t="s">
        <v>1994</v>
      </c>
      <c r="D424" t="str">
        <f t="shared" si="24"/>
        <v>Female</v>
      </c>
      <c r="E424" t="s">
        <v>14</v>
      </c>
      <c r="F424" s="2">
        <v>48</v>
      </c>
      <c r="G424" s="2" t="str" cm="1">
        <f t="array" ref="G424">_xlfn.IFS(F424&lt;=8,"Child",F424&lt;=17,"Teen",F424&lt;=35,"Adult",F424&lt;=55,"Seniour Adult",F424&gt;=55,"Old Age")</f>
        <v>Seniour Adult</v>
      </c>
      <c r="H424" t="s">
        <v>25</v>
      </c>
      <c r="I424" t="s">
        <v>19</v>
      </c>
      <c r="J424" t="str" cm="1">
        <f t="array" ref="J424">_xlfn.IFS(I424="S","Southamptom",I424="Q","Quentown",I424="C","Cherbrug",I424="B","Cabin")</f>
        <v>Cherbrug</v>
      </c>
      <c r="K424" t="s">
        <v>32</v>
      </c>
      <c r="L424" s="2">
        <v>79.040000000000006</v>
      </c>
      <c r="M424" s="2" t="str" cm="1">
        <f t="array" ref="M424">_xlfn.IFS(L424&lt;=15,"Low Fare",L424&lt;=35,"Medium Fare",L424&lt;=100,"High Fare",L424&gt;=100,"Very High Fare")</f>
        <v>High Fare</v>
      </c>
      <c r="N424" s="2">
        <v>1</v>
      </c>
      <c r="O424" s="2">
        <v>1</v>
      </c>
      <c r="P424">
        <f t="shared" si="25"/>
        <v>3</v>
      </c>
      <c r="Q424" t="str">
        <f t="shared" si="26"/>
        <v>With Family</v>
      </c>
      <c r="R424" t="str">
        <f t="shared" si="27"/>
        <v>Yes</v>
      </c>
      <c r="S424" t="s">
        <v>16</v>
      </c>
    </row>
    <row r="425" spans="1:19" x14ac:dyDescent="0.3">
      <c r="A425" s="1" t="s">
        <v>352</v>
      </c>
      <c r="B425" t="s">
        <v>1596</v>
      </c>
      <c r="C425" t="s">
        <v>1995</v>
      </c>
      <c r="D425" t="str">
        <f t="shared" si="24"/>
        <v>Male</v>
      </c>
      <c r="E425" t="s">
        <v>9</v>
      </c>
      <c r="F425" s="2">
        <v>39</v>
      </c>
      <c r="G425" s="2" t="str" cm="1">
        <f t="array" ref="G425">_xlfn.IFS(F425&lt;=8,"Child",F425&lt;=17,"Teen",F425&lt;=35,"Adult",F425&lt;=55,"Seniour Adult",F425&gt;=55,"Old Age")</f>
        <v>Seniour Adult</v>
      </c>
      <c r="H425" t="s">
        <v>18</v>
      </c>
      <c r="I425" t="s">
        <v>28</v>
      </c>
      <c r="J425" t="str" cm="1">
        <f t="array" ref="J425">_xlfn.IFS(I425="S","Southamptom",I425="Q","Quentown",I425="C","Cherbrug",I425="B","Cabin")</f>
        <v>Cabin</v>
      </c>
      <c r="K425" t="s">
        <v>15</v>
      </c>
      <c r="L425" s="2">
        <v>33</v>
      </c>
      <c r="M425" s="2" t="str" cm="1">
        <f t="array" ref="M425">_xlfn.IFS(L425&lt;=15,"Low Fare",L425&lt;=35,"Medium Fare",L425&lt;=100,"High Fare",L425&gt;=100,"Very High Fare")</f>
        <v>Medium Fare</v>
      </c>
      <c r="N425" s="2">
        <v>0</v>
      </c>
      <c r="O425" s="2">
        <v>0</v>
      </c>
      <c r="P425">
        <f t="shared" si="25"/>
        <v>1</v>
      </c>
      <c r="Q425" t="str">
        <f t="shared" si="26"/>
        <v>Alone</v>
      </c>
      <c r="R425" t="str">
        <f t="shared" si="27"/>
        <v>No</v>
      </c>
      <c r="S425" t="s">
        <v>13</v>
      </c>
    </row>
    <row r="426" spans="1:19" x14ac:dyDescent="0.3">
      <c r="A426" s="1" t="s">
        <v>353</v>
      </c>
      <c r="B426" t="s">
        <v>1596</v>
      </c>
      <c r="C426" t="s">
        <v>1996</v>
      </c>
      <c r="D426" t="str">
        <f t="shared" si="24"/>
        <v>Male</v>
      </c>
      <c r="E426" t="s">
        <v>9</v>
      </c>
      <c r="F426" s="2">
        <v>39</v>
      </c>
      <c r="G426" s="2" t="str" cm="1">
        <f t="array" ref="G426">_xlfn.IFS(F426&lt;=8,"Child",F426&lt;=17,"Teen",F426&lt;=35,"Adult",F426&lt;=55,"Seniour Adult",F426&gt;=55,"Old Age")</f>
        <v>Seniour Adult</v>
      </c>
      <c r="H426" t="s">
        <v>25</v>
      </c>
      <c r="I426" t="s">
        <v>11</v>
      </c>
      <c r="J426" t="str" cm="1">
        <f t="array" ref="J426">_xlfn.IFS(I426="S","Southamptom",I426="Q","Quentown",I426="C","Cherbrug",I426="B","Cabin")</f>
        <v>Southamptom</v>
      </c>
      <c r="K426" t="s">
        <v>15</v>
      </c>
      <c r="L426" s="2">
        <v>33</v>
      </c>
      <c r="M426" s="2" t="str" cm="1">
        <f t="array" ref="M426">_xlfn.IFS(L426&lt;=15,"Low Fare",L426&lt;=35,"Medium Fare",L426&lt;=100,"High Fare",L426&gt;=100,"Very High Fare")</f>
        <v>Medium Fare</v>
      </c>
      <c r="N426" s="2">
        <v>0</v>
      </c>
      <c r="O426" s="2">
        <v>0</v>
      </c>
      <c r="P426">
        <f t="shared" si="25"/>
        <v>1</v>
      </c>
      <c r="Q426" t="str">
        <f t="shared" si="26"/>
        <v>Alone</v>
      </c>
      <c r="R426" t="str">
        <f t="shared" si="27"/>
        <v>No</v>
      </c>
      <c r="S426" t="s">
        <v>13</v>
      </c>
    </row>
    <row r="427" spans="1:19" x14ac:dyDescent="0.3">
      <c r="A427" s="1" t="s">
        <v>354</v>
      </c>
      <c r="B427" t="s">
        <v>1602</v>
      </c>
      <c r="C427" t="s">
        <v>1997</v>
      </c>
      <c r="D427" t="str">
        <f t="shared" si="24"/>
        <v>Female</v>
      </c>
      <c r="E427" t="s">
        <v>14</v>
      </c>
      <c r="F427" s="2">
        <v>38</v>
      </c>
      <c r="G427" s="2" t="str" cm="1">
        <f t="array" ref="G427">_xlfn.IFS(F427&lt;=8,"Child",F427&lt;=17,"Teen",F427&lt;=35,"Adult",F427&lt;=55,"Seniour Adult",F427&gt;=55,"Old Age")</f>
        <v>Seniour Adult</v>
      </c>
      <c r="H427" t="s">
        <v>18</v>
      </c>
      <c r="I427" t="s">
        <v>11</v>
      </c>
      <c r="J427" t="str" cm="1">
        <f t="array" ref="J427">_xlfn.IFS(I427="S","Southamptom",I427="Q","Quentown",I427="C","Cherbrug",I427="B","Cabin")</f>
        <v>Southamptom</v>
      </c>
      <c r="K427" t="s">
        <v>39</v>
      </c>
      <c r="L427" s="2">
        <v>13</v>
      </c>
      <c r="M427" s="2" t="str" cm="1">
        <f t="array" ref="M427">_xlfn.IFS(L427&lt;=15,"Low Fare",L427&lt;=35,"Medium Fare",L427&lt;=100,"High Fare",L427&gt;=100,"Very High Fare")</f>
        <v>Low Fare</v>
      </c>
      <c r="N427" s="2">
        <v>0</v>
      </c>
      <c r="O427" s="2">
        <v>0</v>
      </c>
      <c r="P427">
        <f t="shared" si="25"/>
        <v>1</v>
      </c>
      <c r="Q427" t="str">
        <f t="shared" si="26"/>
        <v>Alone</v>
      </c>
      <c r="R427" t="str">
        <f t="shared" si="27"/>
        <v>No</v>
      </c>
      <c r="S427" t="s">
        <v>13</v>
      </c>
    </row>
    <row r="428" spans="1:19" x14ac:dyDescent="0.3">
      <c r="A428" s="1" t="s">
        <v>355</v>
      </c>
      <c r="B428" t="s">
        <v>1596</v>
      </c>
      <c r="C428" t="s">
        <v>1998</v>
      </c>
      <c r="D428" t="str">
        <f t="shared" si="24"/>
        <v>Male</v>
      </c>
      <c r="E428" t="s">
        <v>9</v>
      </c>
      <c r="F428" s="2">
        <v>37</v>
      </c>
      <c r="G428" s="2" t="str" cm="1">
        <f t="array" ref="G428">_xlfn.IFS(F428&lt;=8,"Child",F428&lt;=17,"Teen",F428&lt;=35,"Adult",F428&lt;=55,"Seniour Adult",F428&gt;=55,"Old Age")</f>
        <v>Seniour Adult</v>
      </c>
      <c r="H428" t="s">
        <v>25</v>
      </c>
      <c r="I428" t="s">
        <v>11</v>
      </c>
      <c r="J428" t="str" cm="1">
        <f t="array" ref="J428">_xlfn.IFS(I428="S","Southamptom",I428="Q","Quentown",I428="C","Cherbrug",I428="B","Cabin")</f>
        <v>Southamptom</v>
      </c>
      <c r="K428" t="s">
        <v>15</v>
      </c>
      <c r="L428" s="2">
        <v>53.02</v>
      </c>
      <c r="M428" s="2" t="str" cm="1">
        <f t="array" ref="M428">_xlfn.IFS(L428&lt;=15,"Low Fare",L428&lt;=35,"Medium Fare",L428&lt;=100,"High Fare",L428&gt;=100,"Very High Fare")</f>
        <v>High Fare</v>
      </c>
      <c r="N428" s="2">
        <v>1</v>
      </c>
      <c r="O428" s="2">
        <v>0</v>
      </c>
      <c r="P428">
        <f t="shared" si="25"/>
        <v>2</v>
      </c>
      <c r="Q428" t="str">
        <f t="shared" si="26"/>
        <v>With Family</v>
      </c>
      <c r="R428" t="str">
        <f t="shared" si="27"/>
        <v>No</v>
      </c>
      <c r="S428" t="s">
        <v>13</v>
      </c>
    </row>
    <row r="429" spans="1:19" x14ac:dyDescent="0.3">
      <c r="A429" s="1" t="s">
        <v>355</v>
      </c>
      <c r="B429" t="s">
        <v>1600</v>
      </c>
      <c r="C429" t="s">
        <v>1999</v>
      </c>
      <c r="D429" t="str">
        <f t="shared" si="24"/>
        <v>Female</v>
      </c>
      <c r="E429" t="s">
        <v>14</v>
      </c>
      <c r="F429" s="2">
        <v>35</v>
      </c>
      <c r="G429" s="2" t="str" cm="1">
        <f t="array" ref="G429">_xlfn.IFS(F429&lt;=8,"Child",F429&lt;=17,"Teen",F429&lt;=35,"Adult",F429&lt;=55,"Seniour Adult",F429&gt;=55,"Old Age")</f>
        <v>Adult</v>
      </c>
      <c r="H429" t="s">
        <v>25</v>
      </c>
      <c r="I429" t="s">
        <v>11</v>
      </c>
      <c r="J429" t="str" cm="1">
        <f t="array" ref="J429">_xlfn.IFS(I429="S","Southamptom",I429="Q","Quentown",I429="C","Cherbrug",I429="B","Cabin")</f>
        <v>Southamptom</v>
      </c>
      <c r="K429" t="s">
        <v>15</v>
      </c>
      <c r="L429" s="2">
        <v>53.02</v>
      </c>
      <c r="M429" s="2" t="str" cm="1">
        <f t="array" ref="M429">_xlfn.IFS(L429&lt;=15,"Low Fare",L429&lt;=35,"Medium Fare",L429&lt;=100,"High Fare",L429&gt;=100,"Very High Fare")</f>
        <v>High Fare</v>
      </c>
      <c r="N429" s="2">
        <v>1</v>
      </c>
      <c r="O429" s="2">
        <v>0</v>
      </c>
      <c r="P429">
        <f t="shared" si="25"/>
        <v>2</v>
      </c>
      <c r="Q429" t="str">
        <f t="shared" si="26"/>
        <v>With Family</v>
      </c>
      <c r="R429" t="str">
        <f t="shared" si="27"/>
        <v>Yes</v>
      </c>
      <c r="S429" t="s">
        <v>16</v>
      </c>
    </row>
    <row r="430" spans="1:19" x14ac:dyDescent="0.3">
      <c r="A430" s="1" t="s">
        <v>356</v>
      </c>
      <c r="B430" t="s">
        <v>1596</v>
      </c>
      <c r="C430" t="s">
        <v>2000</v>
      </c>
      <c r="D430" t="str">
        <f t="shared" si="24"/>
        <v>Male</v>
      </c>
      <c r="E430" t="s">
        <v>9</v>
      </c>
      <c r="F430" s="2">
        <v>36</v>
      </c>
      <c r="G430" s="2" t="str" cm="1">
        <f t="array" ref="G430">_xlfn.IFS(F430&lt;=8,"Child",F430&lt;=17,"Teen",F430&lt;=35,"Adult",F430&lt;=55,"Seniour Adult",F430&gt;=55,"Old Age")</f>
        <v>Seniour Adult</v>
      </c>
      <c r="H430" t="s">
        <v>18</v>
      </c>
      <c r="I430" t="s">
        <v>11</v>
      </c>
      <c r="J430" t="str" cm="1">
        <f t="array" ref="J430">_xlfn.IFS(I430="S","Southamptom",I430="Q","Quentown",I430="C","Cherbrug",I430="B","Cabin")</f>
        <v>Southamptom</v>
      </c>
      <c r="K430" t="s">
        <v>15</v>
      </c>
      <c r="L430" s="2">
        <v>26</v>
      </c>
      <c r="M430" s="2" t="str" cm="1">
        <f t="array" ref="M430">_xlfn.IFS(L430&lt;=15,"Low Fare",L430&lt;=35,"Medium Fare",L430&lt;=100,"High Fare",L430&gt;=100,"Very High Fare")</f>
        <v>Medium Fare</v>
      </c>
      <c r="N430" s="2">
        <v>0</v>
      </c>
      <c r="O430" s="2">
        <v>0</v>
      </c>
      <c r="P430">
        <f t="shared" si="25"/>
        <v>1</v>
      </c>
      <c r="Q430" t="str">
        <f t="shared" si="26"/>
        <v>Alone</v>
      </c>
      <c r="R430" t="str">
        <f t="shared" si="27"/>
        <v>No</v>
      </c>
      <c r="S430" t="s">
        <v>13</v>
      </c>
    </row>
    <row r="431" spans="1:19" x14ac:dyDescent="0.3">
      <c r="A431" s="1" t="s">
        <v>357</v>
      </c>
      <c r="B431" t="s">
        <v>1596</v>
      </c>
      <c r="C431" t="s">
        <v>1630</v>
      </c>
      <c r="D431" t="str">
        <f t="shared" si="24"/>
        <v>Male</v>
      </c>
      <c r="E431" t="s">
        <v>9</v>
      </c>
      <c r="F431" s="2">
        <v>38</v>
      </c>
      <c r="G431" s="2" t="str" cm="1">
        <f t="array" ref="G431">_xlfn.IFS(F431&lt;=8,"Child",F431&lt;=17,"Teen",F431&lt;=35,"Adult",F431&lt;=55,"Seniour Adult",F431&gt;=55,"Old Age")</f>
        <v>Seniour Adult</v>
      </c>
      <c r="H431" t="s">
        <v>18</v>
      </c>
      <c r="I431" t="s">
        <v>11</v>
      </c>
      <c r="J431" t="str" cm="1">
        <f t="array" ref="J431">_xlfn.IFS(I431="S","Southamptom",I431="Q","Quentown",I431="C","Cherbrug",I431="B","Cabin")</f>
        <v>Southamptom</v>
      </c>
      <c r="K431" t="s">
        <v>15</v>
      </c>
      <c r="L431" s="2">
        <v>21</v>
      </c>
      <c r="M431" s="2" t="str" cm="1">
        <f t="array" ref="M431">_xlfn.IFS(L431&lt;=15,"Low Fare",L431&lt;=35,"Medium Fare",L431&lt;=100,"High Fare",L431&gt;=100,"Very High Fare")</f>
        <v>Medium Fare</v>
      </c>
      <c r="N431" s="2">
        <v>1</v>
      </c>
      <c r="O431" s="2">
        <v>0</v>
      </c>
      <c r="P431">
        <f t="shared" si="25"/>
        <v>2</v>
      </c>
      <c r="Q431" t="str">
        <f t="shared" si="26"/>
        <v>With Family</v>
      </c>
      <c r="R431" t="str">
        <f t="shared" si="27"/>
        <v>No</v>
      </c>
      <c r="S431" t="s">
        <v>13</v>
      </c>
    </row>
    <row r="432" spans="1:19" x14ac:dyDescent="0.3">
      <c r="A432" s="1" t="s">
        <v>357</v>
      </c>
      <c r="B432" t="s">
        <v>1596</v>
      </c>
      <c r="C432" t="s">
        <v>2001</v>
      </c>
      <c r="D432" t="str">
        <f t="shared" si="24"/>
        <v>Male</v>
      </c>
      <c r="E432" t="s">
        <v>9</v>
      </c>
      <c r="F432" s="2">
        <v>33</v>
      </c>
      <c r="G432" s="2" t="str" cm="1">
        <f t="array" ref="G432">_xlfn.IFS(F432&lt;=8,"Child",F432&lt;=17,"Teen",F432&lt;=35,"Adult",F432&lt;=55,"Seniour Adult",F432&gt;=55,"Old Age")</f>
        <v>Adult</v>
      </c>
      <c r="H432" t="s">
        <v>18</v>
      </c>
      <c r="I432" t="s">
        <v>11</v>
      </c>
      <c r="J432" t="str" cm="1">
        <f t="array" ref="J432">_xlfn.IFS(I432="S","Southamptom",I432="Q","Quentown",I432="C","Cherbrug",I432="B","Cabin")</f>
        <v>Southamptom</v>
      </c>
      <c r="K432" t="s">
        <v>15</v>
      </c>
      <c r="L432" s="2">
        <v>21</v>
      </c>
      <c r="M432" s="2" t="str" cm="1">
        <f t="array" ref="M432">_xlfn.IFS(L432&lt;=15,"Low Fare",L432&lt;=35,"Medium Fare",L432&lt;=100,"High Fare",L432&gt;=100,"Very High Fare")</f>
        <v>Medium Fare</v>
      </c>
      <c r="N432" s="2">
        <v>1</v>
      </c>
      <c r="O432" s="2">
        <v>0</v>
      </c>
      <c r="P432">
        <f t="shared" si="25"/>
        <v>2</v>
      </c>
      <c r="Q432" t="str">
        <f t="shared" si="26"/>
        <v>With Family</v>
      </c>
      <c r="R432" t="str">
        <f t="shared" si="27"/>
        <v>No</v>
      </c>
      <c r="S432" t="s">
        <v>13</v>
      </c>
    </row>
    <row r="433" spans="1:19" x14ac:dyDescent="0.3">
      <c r="A433" s="1" t="s">
        <v>358</v>
      </c>
      <c r="B433" t="s">
        <v>1596</v>
      </c>
      <c r="C433" t="s">
        <v>2002</v>
      </c>
      <c r="D433" t="str">
        <f t="shared" si="24"/>
        <v>Male</v>
      </c>
      <c r="E433" t="s">
        <v>9</v>
      </c>
      <c r="F433" s="2">
        <v>29</v>
      </c>
      <c r="G433" s="2" t="str" cm="1">
        <f t="array" ref="G433">_xlfn.IFS(F433&lt;=8,"Child",F433&lt;=17,"Teen",F433&lt;=35,"Adult",F433&lt;=55,"Seniour Adult",F433&gt;=55,"Old Age")</f>
        <v>Adult</v>
      </c>
      <c r="H433" t="s">
        <v>10</v>
      </c>
      <c r="I433" t="s">
        <v>36</v>
      </c>
      <c r="J433" t="str" cm="1">
        <f t="array" ref="J433">_xlfn.IFS(I433="S","Southamptom",I433="Q","Quentown",I433="C","Cherbrug",I433="B","Cabin")</f>
        <v>Quentown</v>
      </c>
      <c r="K433" t="s">
        <v>37</v>
      </c>
      <c r="L433" s="2">
        <v>7.141</v>
      </c>
      <c r="M433" s="2" t="str" cm="1">
        <f t="array" ref="M433">_xlfn.IFS(L433&lt;=15,"Low Fare",L433&lt;=35,"Medium Fare",L433&lt;=100,"High Fare",L433&gt;=100,"Very High Fare")</f>
        <v>Low Fare</v>
      </c>
      <c r="N433" s="2">
        <v>0</v>
      </c>
      <c r="O433" s="2">
        <v>0</v>
      </c>
      <c r="P433">
        <f t="shared" si="25"/>
        <v>1</v>
      </c>
      <c r="Q433" t="str">
        <f t="shared" si="26"/>
        <v>Alone</v>
      </c>
      <c r="R433" t="str">
        <f t="shared" si="27"/>
        <v>No</v>
      </c>
      <c r="S433" t="s">
        <v>13</v>
      </c>
    </row>
    <row r="434" spans="1:19" x14ac:dyDescent="0.3">
      <c r="A434" s="1" t="s">
        <v>359</v>
      </c>
      <c r="B434" t="s">
        <v>1596</v>
      </c>
      <c r="C434" t="s">
        <v>1610</v>
      </c>
      <c r="D434" t="str">
        <f t="shared" si="24"/>
        <v>Male</v>
      </c>
      <c r="E434" t="s">
        <v>9</v>
      </c>
      <c r="F434" s="2">
        <v>23</v>
      </c>
      <c r="G434" s="2" t="str" cm="1">
        <f t="array" ref="G434">_xlfn.IFS(F434&lt;=8,"Child",F434&lt;=17,"Teen",F434&lt;=35,"Adult",F434&lt;=55,"Seniour Adult",F434&gt;=55,"Old Age")</f>
        <v>Adult</v>
      </c>
      <c r="H434" t="s">
        <v>10</v>
      </c>
      <c r="I434" t="s">
        <v>11</v>
      </c>
      <c r="J434" t="str" cm="1">
        <f t="array" ref="J434">_xlfn.IFS(I434="S","Southamptom",I434="Q","Quentown",I434="C","Cherbrug",I434="B","Cabin")</f>
        <v>Southamptom</v>
      </c>
      <c r="K434" t="s">
        <v>15</v>
      </c>
      <c r="L434" s="2">
        <v>14.1</v>
      </c>
      <c r="M434" s="2" t="str" cm="1">
        <f t="array" ref="M434">_xlfn.IFS(L434&lt;=15,"Low Fare",L434&lt;=35,"Medium Fare",L434&lt;=100,"High Fare",L434&gt;=100,"Very High Fare")</f>
        <v>Low Fare</v>
      </c>
      <c r="N434" s="2">
        <v>0</v>
      </c>
      <c r="O434" s="2">
        <v>0</v>
      </c>
      <c r="P434">
        <f t="shared" si="25"/>
        <v>1</v>
      </c>
      <c r="Q434" t="str">
        <f t="shared" si="26"/>
        <v>Alone</v>
      </c>
      <c r="R434" t="str">
        <f t="shared" si="27"/>
        <v>No</v>
      </c>
      <c r="S434" t="s">
        <v>13</v>
      </c>
    </row>
    <row r="435" spans="1:19" x14ac:dyDescent="0.3">
      <c r="A435" s="1" t="s">
        <v>360</v>
      </c>
      <c r="B435" t="s">
        <v>1602</v>
      </c>
      <c r="C435" t="s">
        <v>1701</v>
      </c>
      <c r="D435" t="str">
        <f t="shared" si="24"/>
        <v>Female</v>
      </c>
      <c r="E435" t="s">
        <v>14</v>
      </c>
      <c r="F435" s="2">
        <v>39</v>
      </c>
      <c r="G435" s="2" t="str" cm="1">
        <f t="array" ref="G435">_xlfn.IFS(F435&lt;=8,"Child",F435&lt;=17,"Teen",F435&lt;=35,"Adult",F435&lt;=55,"Seniour Adult",F435&gt;=55,"Old Age")</f>
        <v>Seniour Adult</v>
      </c>
      <c r="H435" t="s">
        <v>18</v>
      </c>
      <c r="I435" t="s">
        <v>11</v>
      </c>
      <c r="J435" t="str" cm="1">
        <f t="array" ref="J435">_xlfn.IFS(I435="S","Southamptom",I435="Q","Quentown",I435="C","Cherbrug",I435="B","Cabin")</f>
        <v>Southamptom</v>
      </c>
      <c r="K435" t="s">
        <v>15</v>
      </c>
      <c r="L435" s="2">
        <v>13</v>
      </c>
      <c r="M435" s="2" t="str" cm="1">
        <f t="array" ref="M435">_xlfn.IFS(L435&lt;=15,"Low Fare",L435&lt;=35,"Medium Fare",L435&lt;=100,"High Fare",L435&gt;=100,"Very High Fare")</f>
        <v>Low Fare</v>
      </c>
      <c r="N435" s="2">
        <v>0</v>
      </c>
      <c r="O435" s="2">
        <v>0</v>
      </c>
      <c r="P435">
        <f t="shared" si="25"/>
        <v>1</v>
      </c>
      <c r="Q435" t="str">
        <f t="shared" si="26"/>
        <v>Alone</v>
      </c>
      <c r="R435" t="str">
        <f t="shared" si="27"/>
        <v>Yes</v>
      </c>
      <c r="S435" t="s">
        <v>16</v>
      </c>
    </row>
    <row r="436" spans="1:19" x14ac:dyDescent="0.3">
      <c r="A436" s="1" t="s">
        <v>361</v>
      </c>
      <c r="B436" t="s">
        <v>1596</v>
      </c>
      <c r="C436" t="s">
        <v>1754</v>
      </c>
      <c r="D436" t="str">
        <f t="shared" si="24"/>
        <v>Male</v>
      </c>
      <c r="E436" t="s">
        <v>9</v>
      </c>
      <c r="F436" s="2">
        <v>19</v>
      </c>
      <c r="G436" s="2" t="str" cm="1">
        <f t="array" ref="G436">_xlfn.IFS(F436&lt;=8,"Child",F436&lt;=17,"Teen",F436&lt;=35,"Adult",F436&lt;=55,"Seniour Adult",F436&gt;=55,"Old Age")</f>
        <v>Adult</v>
      </c>
      <c r="H436" t="s">
        <v>18</v>
      </c>
      <c r="I436" t="s">
        <v>11</v>
      </c>
      <c r="J436" t="str" cm="1">
        <f t="array" ref="J436">_xlfn.IFS(I436="S","Southamptom",I436="Q","Quentown",I436="C","Cherbrug",I436="B","Cabin")</f>
        <v>Southamptom</v>
      </c>
      <c r="K436" t="s">
        <v>15</v>
      </c>
      <c r="L436" s="2">
        <v>26</v>
      </c>
      <c r="M436" s="2" t="str" cm="1">
        <f t="array" ref="M436">_xlfn.IFS(L436&lt;=15,"Low Fare",L436&lt;=35,"Medium Fare",L436&lt;=100,"High Fare",L436&gt;=100,"Very High Fare")</f>
        <v>Medium Fare</v>
      </c>
      <c r="N436" s="2">
        <v>0</v>
      </c>
      <c r="O436" s="2">
        <v>0</v>
      </c>
      <c r="P436">
        <f t="shared" si="25"/>
        <v>1</v>
      </c>
      <c r="Q436" t="str">
        <f t="shared" si="26"/>
        <v>Alone</v>
      </c>
      <c r="R436" t="str">
        <f t="shared" si="27"/>
        <v>No</v>
      </c>
      <c r="S436" t="s">
        <v>13</v>
      </c>
    </row>
    <row r="437" spans="1:19" x14ac:dyDescent="0.3">
      <c r="A437" s="1" t="s">
        <v>362</v>
      </c>
      <c r="B437" t="s">
        <v>1596</v>
      </c>
      <c r="C437" t="s">
        <v>2003</v>
      </c>
      <c r="D437" t="str">
        <f t="shared" si="24"/>
        <v>Male</v>
      </c>
      <c r="E437" t="s">
        <v>9</v>
      </c>
      <c r="F437" s="2">
        <v>26</v>
      </c>
      <c r="G437" s="2" t="str" cm="1">
        <f t="array" ref="G437">_xlfn.IFS(F437&lt;=8,"Child",F437&lt;=17,"Teen",F437&lt;=35,"Adult",F437&lt;=55,"Seniour Adult",F437&gt;=55,"Old Age")</f>
        <v>Adult</v>
      </c>
      <c r="H437" t="s">
        <v>18</v>
      </c>
      <c r="I437" t="s">
        <v>11</v>
      </c>
      <c r="J437" t="str" cm="1">
        <f t="array" ref="J437">_xlfn.IFS(I437="S","Southamptom",I437="Q","Quentown",I437="C","Cherbrug",I437="B","Cabin")</f>
        <v>Southamptom</v>
      </c>
      <c r="K437" t="s">
        <v>33</v>
      </c>
      <c r="L437" s="2">
        <v>10.1</v>
      </c>
      <c r="M437" s="2" t="str" cm="1">
        <f t="array" ref="M437">_xlfn.IFS(L437&lt;=15,"Low Fare",L437&lt;=35,"Medium Fare",L437&lt;=100,"High Fare",L437&gt;=100,"Very High Fare")</f>
        <v>Low Fare</v>
      </c>
      <c r="N437" s="2">
        <v>0</v>
      </c>
      <c r="O437" s="2">
        <v>0</v>
      </c>
      <c r="P437">
        <f t="shared" si="25"/>
        <v>1</v>
      </c>
      <c r="Q437" t="str">
        <f t="shared" si="26"/>
        <v>Alone</v>
      </c>
      <c r="R437" t="str">
        <f t="shared" si="27"/>
        <v>No</v>
      </c>
      <c r="S437" t="s">
        <v>13</v>
      </c>
    </row>
    <row r="438" spans="1:19" x14ac:dyDescent="0.3">
      <c r="A438" s="1" t="s">
        <v>363</v>
      </c>
      <c r="B438" t="s">
        <v>1596</v>
      </c>
      <c r="C438" t="s">
        <v>2004</v>
      </c>
      <c r="D438" t="str">
        <f t="shared" si="24"/>
        <v>Male</v>
      </c>
      <c r="E438" t="s">
        <v>9</v>
      </c>
      <c r="F438" s="2">
        <v>47</v>
      </c>
      <c r="G438" s="2" t="str" cm="1">
        <f t="array" ref="G438">_xlfn.IFS(F438&lt;=8,"Child",F438&lt;=17,"Teen",F438&lt;=35,"Adult",F438&lt;=55,"Seniour Adult",F438&gt;=55,"Old Age")</f>
        <v>Seniour Adult</v>
      </c>
      <c r="H438" t="s">
        <v>25</v>
      </c>
      <c r="I438" t="s">
        <v>11</v>
      </c>
      <c r="J438" t="str" cm="1">
        <f t="array" ref="J438">_xlfn.IFS(I438="S","Southamptom",I438="Q","Quentown",I438="C","Cherbrug",I438="B","Cabin")</f>
        <v>Southamptom</v>
      </c>
      <c r="K438" t="s">
        <v>15</v>
      </c>
      <c r="L438" s="2">
        <v>38.1</v>
      </c>
      <c r="M438" s="2" t="str" cm="1">
        <f t="array" ref="M438">_xlfn.IFS(L438&lt;=15,"Low Fare",L438&lt;=35,"Medium Fare",L438&lt;=100,"High Fare",L438&gt;=100,"Very High Fare")</f>
        <v>High Fare</v>
      </c>
      <c r="N438" s="2">
        <v>0</v>
      </c>
      <c r="O438" s="2">
        <v>0</v>
      </c>
      <c r="P438">
        <f t="shared" si="25"/>
        <v>1</v>
      </c>
      <c r="Q438" t="str">
        <f t="shared" si="26"/>
        <v>Alone</v>
      </c>
      <c r="R438" t="str">
        <f t="shared" si="27"/>
        <v>No</v>
      </c>
      <c r="S438" t="s">
        <v>13</v>
      </c>
    </row>
    <row r="439" spans="1:19" x14ac:dyDescent="0.3">
      <c r="A439" s="1" t="s">
        <v>364</v>
      </c>
      <c r="B439" t="s">
        <v>1600</v>
      </c>
      <c r="C439" t="s">
        <v>2005</v>
      </c>
      <c r="D439" t="str">
        <f t="shared" si="24"/>
        <v>Female</v>
      </c>
      <c r="E439" t="s">
        <v>14</v>
      </c>
      <c r="F439" s="2">
        <v>38</v>
      </c>
      <c r="G439" s="2" t="str" cm="1">
        <f t="array" ref="G439">_xlfn.IFS(F439&lt;=8,"Child",F439&lt;=17,"Teen",F439&lt;=35,"Adult",F439&lt;=55,"Seniour Adult",F439&gt;=55,"Old Age")</f>
        <v>Seniour Adult</v>
      </c>
      <c r="H439" t="s">
        <v>10</v>
      </c>
      <c r="I439" t="s">
        <v>19</v>
      </c>
      <c r="J439" t="str" cm="1">
        <f t="array" ref="J439">_xlfn.IFS(I439="S","Southamptom",I439="Q","Quentown",I439="C","Cherbrug",I439="B","Cabin")</f>
        <v>Cherbrug</v>
      </c>
      <c r="K439" t="s">
        <v>12</v>
      </c>
      <c r="L439" s="2">
        <v>7.0407000000000002</v>
      </c>
      <c r="M439" s="2" t="str" cm="1">
        <f t="array" ref="M439">_xlfn.IFS(L439&lt;=15,"Low Fare",L439&lt;=35,"Medium Fare",L439&lt;=100,"High Fare",L439&gt;=100,"Very High Fare")</f>
        <v>Low Fare</v>
      </c>
      <c r="N439" s="2">
        <v>0</v>
      </c>
      <c r="O439" s="2">
        <v>0</v>
      </c>
      <c r="P439">
        <f t="shared" si="25"/>
        <v>1</v>
      </c>
      <c r="Q439" t="str">
        <f t="shared" si="26"/>
        <v>Alone</v>
      </c>
      <c r="R439" t="str">
        <f t="shared" si="27"/>
        <v>Yes</v>
      </c>
      <c r="S439" t="s">
        <v>16</v>
      </c>
    </row>
    <row r="440" spans="1:19" x14ac:dyDescent="0.3">
      <c r="A440" s="1" t="s">
        <v>365</v>
      </c>
      <c r="B440" t="s">
        <v>1596</v>
      </c>
      <c r="C440" t="s">
        <v>2006</v>
      </c>
      <c r="D440" t="str">
        <f t="shared" si="24"/>
        <v>Male</v>
      </c>
      <c r="E440" t="s">
        <v>9</v>
      </c>
      <c r="F440" s="2">
        <v>21</v>
      </c>
      <c r="G440" s="2" t="str" cm="1">
        <f t="array" ref="G440">_xlfn.IFS(F440&lt;=8,"Child",F440&lt;=17,"Teen",F440&lt;=35,"Adult",F440&lt;=55,"Seniour Adult",F440&gt;=55,"Old Age")</f>
        <v>Adult</v>
      </c>
      <c r="H440" t="s">
        <v>10</v>
      </c>
      <c r="I440" t="s">
        <v>19</v>
      </c>
      <c r="J440" t="str" cm="1">
        <f t="array" ref="J440">_xlfn.IFS(I440="S","Southamptom",I440="Q","Quentown",I440="C","Cherbrug",I440="B","Cabin")</f>
        <v>Cherbrug</v>
      </c>
      <c r="K440" t="s">
        <v>21</v>
      </c>
      <c r="L440" s="2">
        <v>7.0406000000000004</v>
      </c>
      <c r="M440" s="2" t="str" cm="1">
        <f t="array" ref="M440">_xlfn.IFS(L440&lt;=15,"Low Fare",L440&lt;=35,"Medium Fare",L440&lt;=100,"High Fare",L440&gt;=100,"Very High Fare")</f>
        <v>Low Fare</v>
      </c>
      <c r="N440" s="2">
        <v>0</v>
      </c>
      <c r="O440" s="2">
        <v>0</v>
      </c>
      <c r="P440">
        <f t="shared" si="25"/>
        <v>1</v>
      </c>
      <c r="Q440" t="str">
        <f t="shared" si="26"/>
        <v>Alone</v>
      </c>
      <c r="R440" t="str">
        <f t="shared" si="27"/>
        <v>No</v>
      </c>
      <c r="S440" t="s">
        <v>13</v>
      </c>
    </row>
    <row r="441" spans="1:19" x14ac:dyDescent="0.3">
      <c r="A441" s="1" t="s">
        <v>366</v>
      </c>
      <c r="B441" t="s">
        <v>1596</v>
      </c>
      <c r="C441" t="s">
        <v>2007</v>
      </c>
      <c r="D441" t="str">
        <f t="shared" si="24"/>
        <v>Male</v>
      </c>
      <c r="E441" t="s">
        <v>9</v>
      </c>
      <c r="F441" s="2">
        <v>30</v>
      </c>
      <c r="G441" s="2" t="str" cm="1">
        <f t="array" ref="G441">_xlfn.IFS(F441&lt;=8,"Child",F441&lt;=17,"Teen",F441&lt;=35,"Adult",F441&lt;=55,"Seniour Adult",F441&gt;=55,"Old Age")</f>
        <v>Adult</v>
      </c>
      <c r="H441" t="s">
        <v>10</v>
      </c>
      <c r="I441" t="s">
        <v>19</v>
      </c>
      <c r="J441" t="str" cm="1">
        <f t="array" ref="J441">_xlfn.IFS(I441="S","Southamptom",I441="Q","Quentown",I441="C","Cherbrug",I441="B","Cabin")</f>
        <v>Cherbrug</v>
      </c>
      <c r="K441" t="s">
        <v>31</v>
      </c>
      <c r="L441" s="2">
        <v>7.1711</v>
      </c>
      <c r="M441" s="2" t="str" cm="1">
        <f t="array" ref="M441">_xlfn.IFS(L441&lt;=15,"Low Fare",L441&lt;=35,"Medium Fare",L441&lt;=100,"High Fare",L441&gt;=100,"Very High Fare")</f>
        <v>Low Fare</v>
      </c>
      <c r="N441" s="2">
        <v>0</v>
      </c>
      <c r="O441" s="2">
        <v>0</v>
      </c>
      <c r="P441">
        <f t="shared" si="25"/>
        <v>1</v>
      </c>
      <c r="Q441" t="str">
        <f t="shared" si="26"/>
        <v>Alone</v>
      </c>
      <c r="R441" t="str">
        <f t="shared" si="27"/>
        <v>No</v>
      </c>
      <c r="S441" t="s">
        <v>13</v>
      </c>
    </row>
    <row r="442" spans="1:19" x14ac:dyDescent="0.3">
      <c r="A442" s="1" t="s">
        <v>367</v>
      </c>
      <c r="B442" t="s">
        <v>1602</v>
      </c>
      <c r="C442" t="s">
        <v>2008</v>
      </c>
      <c r="D442" t="str">
        <f t="shared" si="24"/>
        <v>Female</v>
      </c>
      <c r="E442" t="s">
        <v>14</v>
      </c>
      <c r="F442" s="2">
        <v>22</v>
      </c>
      <c r="G442" s="2" t="str" cm="1">
        <f t="array" ref="G442">_xlfn.IFS(F442&lt;=8,"Child",F442&lt;=17,"Teen",F442&lt;=35,"Adult",F442&lt;=55,"Seniour Adult",F442&gt;=55,"Old Age")</f>
        <v>Adult</v>
      </c>
      <c r="H442" t="s">
        <v>25</v>
      </c>
      <c r="I442" t="s">
        <v>19</v>
      </c>
      <c r="J442" t="str" cm="1">
        <f t="array" ref="J442">_xlfn.IFS(I442="S","Southamptom",I442="Q","Quentown",I442="C","Cherbrug",I442="B","Cabin")</f>
        <v>Cherbrug</v>
      </c>
      <c r="K442" t="s">
        <v>12</v>
      </c>
      <c r="L442" s="2">
        <v>59.08</v>
      </c>
      <c r="M442" s="2" t="str" cm="1">
        <f t="array" ref="M442">_xlfn.IFS(L442&lt;=15,"Low Fare",L442&lt;=35,"Medium Fare",L442&lt;=100,"High Fare",L442&gt;=100,"Very High Fare")</f>
        <v>High Fare</v>
      </c>
      <c r="N442" s="2">
        <v>0</v>
      </c>
      <c r="O442" s="2">
        <v>1</v>
      </c>
      <c r="P442">
        <f t="shared" si="25"/>
        <v>2</v>
      </c>
      <c r="Q442" t="str">
        <f t="shared" si="26"/>
        <v>With Family</v>
      </c>
      <c r="R442" t="str">
        <f t="shared" si="27"/>
        <v>Yes</v>
      </c>
      <c r="S442" t="s">
        <v>16</v>
      </c>
    </row>
    <row r="443" spans="1:19" x14ac:dyDescent="0.3">
      <c r="A443" s="1" t="s">
        <v>367</v>
      </c>
      <c r="B443" t="s">
        <v>1600</v>
      </c>
      <c r="C443" t="s">
        <v>2009</v>
      </c>
      <c r="D443" t="str">
        <f t="shared" si="24"/>
        <v>Female</v>
      </c>
      <c r="E443" t="s">
        <v>14</v>
      </c>
      <c r="F443" s="2">
        <v>44</v>
      </c>
      <c r="G443" s="2" t="str" cm="1">
        <f t="array" ref="G443">_xlfn.IFS(F443&lt;=8,"Child",F443&lt;=17,"Teen",F443&lt;=35,"Adult",F443&lt;=55,"Seniour Adult",F443&gt;=55,"Old Age")</f>
        <v>Seniour Adult</v>
      </c>
      <c r="H443" t="s">
        <v>25</v>
      </c>
      <c r="I443" t="s">
        <v>19</v>
      </c>
      <c r="J443" t="str" cm="1">
        <f t="array" ref="J443">_xlfn.IFS(I443="S","Southamptom",I443="Q","Quentown",I443="C","Cherbrug",I443="B","Cabin")</f>
        <v>Cherbrug</v>
      </c>
      <c r="K443" t="s">
        <v>12</v>
      </c>
      <c r="L443" s="2">
        <v>59.08</v>
      </c>
      <c r="M443" s="2" t="str" cm="1">
        <f t="array" ref="M443">_xlfn.IFS(L443&lt;=15,"Low Fare",L443&lt;=35,"Medium Fare",L443&lt;=100,"High Fare",L443&gt;=100,"Very High Fare")</f>
        <v>High Fare</v>
      </c>
      <c r="N443" s="2">
        <v>0</v>
      </c>
      <c r="O443" s="2">
        <v>1</v>
      </c>
      <c r="P443">
        <f t="shared" si="25"/>
        <v>2</v>
      </c>
      <c r="Q443" t="str">
        <f t="shared" si="26"/>
        <v>With Family</v>
      </c>
      <c r="R443" t="str">
        <f t="shared" si="27"/>
        <v>Yes</v>
      </c>
      <c r="S443" t="s">
        <v>16</v>
      </c>
    </row>
    <row r="444" spans="1:19" x14ac:dyDescent="0.3">
      <c r="A444" s="1" t="s">
        <v>368</v>
      </c>
      <c r="B444" t="s">
        <v>1602</v>
      </c>
      <c r="C444" t="s">
        <v>2010</v>
      </c>
      <c r="D444" t="str">
        <f t="shared" si="24"/>
        <v>Female</v>
      </c>
      <c r="E444" t="s">
        <v>14</v>
      </c>
      <c r="F444" s="2">
        <v>35</v>
      </c>
      <c r="G444" s="2" t="str" cm="1">
        <f t="array" ref="G444">_xlfn.IFS(F444&lt;=8,"Child",F444&lt;=17,"Teen",F444&lt;=35,"Adult",F444&lt;=55,"Seniour Adult",F444&gt;=55,"Old Age")</f>
        <v>Adult</v>
      </c>
      <c r="H444" t="s">
        <v>25</v>
      </c>
      <c r="I444" t="s">
        <v>11</v>
      </c>
      <c r="J444" t="str" cm="1">
        <f t="array" ref="J444">_xlfn.IFS(I444="S","Southamptom",I444="Q","Quentown",I444="C","Cherbrug",I444="B","Cabin")</f>
        <v>Southamptom</v>
      </c>
      <c r="K444" t="s">
        <v>15</v>
      </c>
      <c r="L444" s="2">
        <v>211.1</v>
      </c>
      <c r="M444" s="2" t="str" cm="1">
        <f t="array" ref="M444">_xlfn.IFS(L444&lt;=15,"Low Fare",L444&lt;=35,"Medium Fare",L444&lt;=100,"High Fare",L444&gt;=100,"Very High Fare")</f>
        <v>Very High Fare</v>
      </c>
      <c r="N444" s="2">
        <v>0</v>
      </c>
      <c r="O444" s="2">
        <v>0</v>
      </c>
      <c r="P444">
        <f t="shared" si="25"/>
        <v>1</v>
      </c>
      <c r="Q444" t="str">
        <f t="shared" si="26"/>
        <v>Alone</v>
      </c>
      <c r="R444" t="str">
        <f t="shared" si="27"/>
        <v>Yes</v>
      </c>
      <c r="S444" t="s">
        <v>16</v>
      </c>
    </row>
    <row r="445" spans="1:19" x14ac:dyDescent="0.3">
      <c r="A445" s="1" t="s">
        <v>369</v>
      </c>
      <c r="B445" t="s">
        <v>1596</v>
      </c>
      <c r="C445" t="s">
        <v>2011</v>
      </c>
      <c r="D445" t="str">
        <f t="shared" si="24"/>
        <v>Male</v>
      </c>
      <c r="E445" t="s">
        <v>9</v>
      </c>
      <c r="F445" s="2">
        <v>23</v>
      </c>
      <c r="G445" s="2" t="str" cm="1">
        <f t="array" ref="G445">_xlfn.IFS(F445&lt;=8,"Child",F445&lt;=17,"Teen",F445&lt;=35,"Adult",F445&lt;=55,"Seniour Adult",F445&gt;=55,"Old Age")</f>
        <v>Adult</v>
      </c>
      <c r="H445" t="s">
        <v>25</v>
      </c>
      <c r="I445" t="s">
        <v>19</v>
      </c>
      <c r="J445" t="str" cm="1">
        <f t="array" ref="J445">_xlfn.IFS(I445="S","Southamptom",I445="Q","Quentown",I445="C","Cherbrug",I445="B","Cabin")</f>
        <v>Cherbrug</v>
      </c>
      <c r="K445" t="s">
        <v>15</v>
      </c>
      <c r="L445" s="2">
        <v>79.040000000000006</v>
      </c>
      <c r="M445" s="2" t="str" cm="1">
        <f t="array" ref="M445">_xlfn.IFS(L445&lt;=15,"Low Fare",L445&lt;=35,"Medium Fare",L445&lt;=100,"High Fare",L445&gt;=100,"Very High Fare")</f>
        <v>High Fare</v>
      </c>
      <c r="N445" s="2">
        <v>0</v>
      </c>
      <c r="O445" s="2">
        <v>0</v>
      </c>
      <c r="P445">
        <f t="shared" si="25"/>
        <v>1</v>
      </c>
      <c r="Q445" t="str">
        <f t="shared" si="26"/>
        <v>Alone</v>
      </c>
      <c r="R445" t="str">
        <f t="shared" si="27"/>
        <v>No</v>
      </c>
      <c r="S445" t="s">
        <v>13</v>
      </c>
    </row>
    <row r="446" spans="1:19" x14ac:dyDescent="0.3">
      <c r="A446" s="1" t="s">
        <v>370</v>
      </c>
      <c r="B446" t="s">
        <v>1596</v>
      </c>
      <c r="C446" t="s">
        <v>1619</v>
      </c>
      <c r="D446" t="str">
        <f t="shared" si="24"/>
        <v>Male</v>
      </c>
      <c r="E446" t="s">
        <v>9</v>
      </c>
      <c r="F446" s="2">
        <v>47</v>
      </c>
      <c r="G446" s="2" t="str" cm="1">
        <f t="array" ref="G446">_xlfn.IFS(F446&lt;=8,"Child",F446&lt;=17,"Teen",F446&lt;=35,"Adult",F446&lt;=55,"Seniour Adult",F446&gt;=55,"Old Age")</f>
        <v>Seniour Adult</v>
      </c>
      <c r="H446" t="s">
        <v>18</v>
      </c>
      <c r="I446" t="s">
        <v>11</v>
      </c>
      <c r="J446" t="str" cm="1">
        <f t="array" ref="J446">_xlfn.IFS(I446="S","Southamptom",I446="Q","Quentown",I446="C","Cherbrug",I446="B","Cabin")</f>
        <v>Southamptom</v>
      </c>
      <c r="K446" t="s">
        <v>15</v>
      </c>
      <c r="L446" s="2">
        <v>10.1</v>
      </c>
      <c r="M446" s="2" t="str" cm="1">
        <f t="array" ref="M446">_xlfn.IFS(L446&lt;=15,"Low Fare",L446&lt;=35,"Medium Fare",L446&lt;=100,"High Fare",L446&gt;=100,"Very High Fare")</f>
        <v>Low Fare</v>
      </c>
      <c r="N446" s="2">
        <v>0</v>
      </c>
      <c r="O446" s="2">
        <v>0</v>
      </c>
      <c r="P446">
        <f t="shared" si="25"/>
        <v>1</v>
      </c>
      <c r="Q446" t="str">
        <f t="shared" si="26"/>
        <v>Alone</v>
      </c>
      <c r="R446" t="str">
        <f t="shared" si="27"/>
        <v>No</v>
      </c>
      <c r="S446" t="s">
        <v>13</v>
      </c>
    </row>
    <row r="447" spans="1:19" x14ac:dyDescent="0.3">
      <c r="A447" s="1" t="s">
        <v>371</v>
      </c>
      <c r="B447" t="s">
        <v>1596</v>
      </c>
      <c r="C447" t="s">
        <v>2012</v>
      </c>
      <c r="D447" t="str">
        <f t="shared" si="24"/>
        <v>Male</v>
      </c>
      <c r="E447" t="s">
        <v>9</v>
      </c>
      <c r="F447" s="2">
        <v>19</v>
      </c>
      <c r="G447" s="2" t="str" cm="1">
        <f t="array" ref="G447">_xlfn.IFS(F447&lt;=8,"Child",F447&lt;=17,"Teen",F447&lt;=35,"Adult",F447&lt;=55,"Seniour Adult",F447&gt;=55,"Old Age")</f>
        <v>Adult</v>
      </c>
      <c r="H447" t="s">
        <v>18</v>
      </c>
      <c r="I447" t="s">
        <v>11</v>
      </c>
      <c r="J447" t="str" cm="1">
        <f t="array" ref="J447">_xlfn.IFS(I447="S","Southamptom",I447="Q","Quentown",I447="C","Cherbrug",I447="B","Cabin")</f>
        <v>Southamptom</v>
      </c>
      <c r="K447" t="s">
        <v>15</v>
      </c>
      <c r="L447" s="2">
        <v>11.1</v>
      </c>
      <c r="M447" s="2" t="str" cm="1">
        <f t="array" ref="M447">_xlfn.IFS(L447&lt;=15,"Low Fare",L447&lt;=35,"Medium Fare",L447&lt;=100,"High Fare",L447&gt;=100,"Very High Fare")</f>
        <v>Low Fare</v>
      </c>
      <c r="N447" s="2">
        <v>1</v>
      </c>
      <c r="O447" s="2">
        <v>0</v>
      </c>
      <c r="P447">
        <f t="shared" si="25"/>
        <v>2</v>
      </c>
      <c r="Q447" t="str">
        <f t="shared" si="26"/>
        <v>With Family</v>
      </c>
      <c r="R447" t="str">
        <f t="shared" si="27"/>
        <v>No</v>
      </c>
      <c r="S447" t="s">
        <v>13</v>
      </c>
    </row>
    <row r="448" spans="1:19" x14ac:dyDescent="0.3">
      <c r="A448" s="1" t="s">
        <v>371</v>
      </c>
      <c r="B448" t="s">
        <v>1596</v>
      </c>
      <c r="C448" t="s">
        <v>2013</v>
      </c>
      <c r="D448" t="str">
        <f t="shared" si="24"/>
        <v>Male</v>
      </c>
      <c r="E448" t="s">
        <v>9</v>
      </c>
      <c r="F448" s="2">
        <v>21</v>
      </c>
      <c r="G448" s="2" t="str" cm="1">
        <f t="array" ref="G448">_xlfn.IFS(F448&lt;=8,"Child",F448&lt;=17,"Teen",F448&lt;=35,"Adult",F448&lt;=55,"Seniour Adult",F448&gt;=55,"Old Age")</f>
        <v>Adult</v>
      </c>
      <c r="H448" t="s">
        <v>18</v>
      </c>
      <c r="I448" t="s">
        <v>11</v>
      </c>
      <c r="J448" t="str" cm="1">
        <f t="array" ref="J448">_xlfn.IFS(I448="S","Southamptom",I448="Q","Quentown",I448="C","Cherbrug",I448="B","Cabin")</f>
        <v>Southamptom</v>
      </c>
      <c r="K448" t="s">
        <v>15</v>
      </c>
      <c r="L448" s="2">
        <v>11.1</v>
      </c>
      <c r="M448" s="2" t="str" cm="1">
        <f t="array" ref="M448">_xlfn.IFS(L448&lt;=15,"Low Fare",L448&lt;=35,"Medium Fare",L448&lt;=100,"High Fare",L448&gt;=100,"Very High Fare")</f>
        <v>Low Fare</v>
      </c>
      <c r="N448" s="2">
        <v>1</v>
      </c>
      <c r="O448" s="2">
        <v>0</v>
      </c>
      <c r="P448">
        <f t="shared" si="25"/>
        <v>2</v>
      </c>
      <c r="Q448" t="str">
        <f t="shared" si="26"/>
        <v>With Family</v>
      </c>
      <c r="R448" t="str">
        <f t="shared" si="27"/>
        <v>No</v>
      </c>
      <c r="S448" t="s">
        <v>13</v>
      </c>
    </row>
    <row r="449" spans="1:19" x14ac:dyDescent="0.3">
      <c r="A449" s="1" t="s">
        <v>371</v>
      </c>
      <c r="B449" t="s">
        <v>1596</v>
      </c>
      <c r="C449" t="s">
        <v>2014</v>
      </c>
      <c r="D449" t="str">
        <f t="shared" si="24"/>
        <v>Male</v>
      </c>
      <c r="E449" t="s">
        <v>9</v>
      </c>
      <c r="F449" s="2">
        <v>24</v>
      </c>
      <c r="G449" s="2" t="str" cm="1">
        <f t="array" ref="G449">_xlfn.IFS(F449&lt;=8,"Child",F449&lt;=17,"Teen",F449&lt;=35,"Adult",F449&lt;=55,"Seniour Adult",F449&gt;=55,"Old Age")</f>
        <v>Adult</v>
      </c>
      <c r="H449" t="s">
        <v>18</v>
      </c>
      <c r="I449" t="s">
        <v>11</v>
      </c>
      <c r="J449" t="str" cm="1">
        <f t="array" ref="J449">_xlfn.IFS(I449="S","Southamptom",I449="Q","Quentown",I449="C","Cherbrug",I449="B","Cabin")</f>
        <v>Southamptom</v>
      </c>
      <c r="K449" t="s">
        <v>15</v>
      </c>
      <c r="L449" s="2">
        <v>13.1</v>
      </c>
      <c r="M449" s="2" t="str" cm="1">
        <f t="array" ref="M449">_xlfn.IFS(L449&lt;=15,"Low Fare",L449&lt;=35,"Medium Fare",L449&lt;=100,"High Fare",L449&gt;=100,"Very High Fare")</f>
        <v>Low Fare</v>
      </c>
      <c r="N449" s="2">
        <v>0</v>
      </c>
      <c r="O449" s="2">
        <v>0</v>
      </c>
      <c r="P449">
        <f t="shared" si="25"/>
        <v>1</v>
      </c>
      <c r="Q449" t="str">
        <f t="shared" si="26"/>
        <v>Alone</v>
      </c>
      <c r="R449" t="str">
        <f t="shared" si="27"/>
        <v>No</v>
      </c>
      <c r="S449" t="s">
        <v>13</v>
      </c>
    </row>
    <row r="450" spans="1:19" x14ac:dyDescent="0.3">
      <c r="A450" s="1" t="s">
        <v>372</v>
      </c>
      <c r="B450" t="s">
        <v>1596</v>
      </c>
      <c r="C450" t="s">
        <v>2015</v>
      </c>
      <c r="D450" t="str">
        <f t="shared" si="24"/>
        <v>Male</v>
      </c>
      <c r="E450" t="s">
        <v>9</v>
      </c>
      <c r="F450" s="2">
        <v>23</v>
      </c>
      <c r="G450" s="2" t="str" cm="1">
        <f t="array" ref="G450">_xlfn.IFS(F450&lt;=8,"Child",F450&lt;=17,"Teen",F450&lt;=35,"Adult",F450&lt;=55,"Seniour Adult",F450&gt;=55,"Old Age")</f>
        <v>Adult</v>
      </c>
      <c r="H450" t="s">
        <v>10</v>
      </c>
      <c r="I450" t="s">
        <v>11</v>
      </c>
      <c r="J450" t="str" cm="1">
        <f t="array" ref="J450">_xlfn.IFS(I450="S","Southamptom",I450="Q","Quentown",I450="C","Cherbrug",I450="B","Cabin")</f>
        <v>Southamptom</v>
      </c>
      <c r="K450" t="s">
        <v>40</v>
      </c>
      <c r="L450" s="2">
        <v>8.01</v>
      </c>
      <c r="M450" s="2" t="str" cm="1">
        <f t="array" ref="M450">_xlfn.IFS(L450&lt;=15,"Low Fare",L450&lt;=35,"Medium Fare",L450&lt;=100,"High Fare",L450&gt;=100,"Very High Fare")</f>
        <v>Low Fare</v>
      </c>
      <c r="N450" s="2">
        <v>0</v>
      </c>
      <c r="O450" s="2">
        <v>0</v>
      </c>
      <c r="P450">
        <f t="shared" si="25"/>
        <v>1</v>
      </c>
      <c r="Q450" t="str">
        <f t="shared" si="26"/>
        <v>Alone</v>
      </c>
      <c r="R450" t="str">
        <f t="shared" si="27"/>
        <v>No</v>
      </c>
      <c r="S450" t="s">
        <v>13</v>
      </c>
    </row>
    <row r="451" spans="1:19" x14ac:dyDescent="0.3">
      <c r="A451" s="1" t="s">
        <v>373</v>
      </c>
      <c r="B451" t="s">
        <v>1596</v>
      </c>
      <c r="C451" t="s">
        <v>1621</v>
      </c>
      <c r="D451" t="str">
        <f t="shared" ref="D451:D514" si="28">PROPER(E451)</f>
        <v>Male</v>
      </c>
      <c r="E451" t="s">
        <v>9</v>
      </c>
      <c r="F451" s="2">
        <v>31</v>
      </c>
      <c r="G451" s="2" t="str" cm="1">
        <f t="array" ref="G451">_xlfn.IFS(F451&lt;=8,"Child",F451&lt;=17,"Teen",F451&lt;=35,"Adult",F451&lt;=55,"Seniour Adult",F451&gt;=55,"Old Age")</f>
        <v>Adult</v>
      </c>
      <c r="H451" t="s">
        <v>18</v>
      </c>
      <c r="I451" t="s">
        <v>11</v>
      </c>
      <c r="J451" t="str" cm="1">
        <f t="array" ref="J451">_xlfn.IFS(I451="S","Southamptom",I451="Q","Quentown",I451="C","Cherbrug",I451="B","Cabin")</f>
        <v>Southamptom</v>
      </c>
      <c r="K451" t="s">
        <v>37</v>
      </c>
      <c r="L451" s="2">
        <v>13</v>
      </c>
      <c r="M451" s="2" t="str" cm="1">
        <f t="array" ref="M451">_xlfn.IFS(L451&lt;=15,"Low Fare",L451&lt;=35,"Medium Fare",L451&lt;=100,"High Fare",L451&gt;=100,"Very High Fare")</f>
        <v>Low Fare</v>
      </c>
      <c r="N451" s="2">
        <v>0</v>
      </c>
      <c r="O451" s="2">
        <v>0</v>
      </c>
      <c r="P451">
        <f t="shared" ref="P451:P514" si="29">N451+O451+1</f>
        <v>1</v>
      </c>
      <c r="Q451" t="str">
        <f t="shared" ref="Q451:Q514" si="30">IF(P451=1,"Alone","With Family")</f>
        <v>Alone</v>
      </c>
      <c r="R451" t="str">
        <f t="shared" ref="R451:R514" si="31">PROPER(S451)</f>
        <v>No</v>
      </c>
      <c r="S451" t="s">
        <v>13</v>
      </c>
    </row>
    <row r="452" spans="1:19" x14ac:dyDescent="0.3">
      <c r="A452" s="1" t="s">
        <v>374</v>
      </c>
      <c r="B452" t="s">
        <v>1596</v>
      </c>
      <c r="C452" t="s">
        <v>1610</v>
      </c>
      <c r="D452" t="str">
        <f t="shared" si="28"/>
        <v>Male</v>
      </c>
      <c r="E452" t="s">
        <v>9</v>
      </c>
      <c r="F452" s="2">
        <v>24</v>
      </c>
      <c r="G452" s="2" t="str" cm="1">
        <f t="array" ref="G452">_xlfn.IFS(F452&lt;=8,"Child",F452&lt;=17,"Teen",F452&lt;=35,"Adult",F452&lt;=55,"Seniour Adult",F452&gt;=55,"Old Age")</f>
        <v>Adult</v>
      </c>
      <c r="H452" t="s">
        <v>18</v>
      </c>
      <c r="I452" t="s">
        <v>11</v>
      </c>
      <c r="J452" t="str" cm="1">
        <f t="array" ref="J452">_xlfn.IFS(I452="S","Southamptom",I452="Q","Quentown",I452="C","Cherbrug",I452="B","Cabin")</f>
        <v>Southamptom</v>
      </c>
      <c r="K452" t="s">
        <v>15</v>
      </c>
      <c r="L452" s="2">
        <v>13</v>
      </c>
      <c r="M452" s="2" t="str" cm="1">
        <f t="array" ref="M452">_xlfn.IFS(L452&lt;=15,"Low Fare",L452&lt;=35,"Medium Fare",L452&lt;=100,"High Fare",L452&gt;=100,"Very High Fare")</f>
        <v>Low Fare</v>
      </c>
      <c r="N452" s="2">
        <v>0</v>
      </c>
      <c r="O452" s="2">
        <v>0</v>
      </c>
      <c r="P452">
        <f t="shared" si="29"/>
        <v>1</v>
      </c>
      <c r="Q452" t="str">
        <f t="shared" si="30"/>
        <v>Alone</v>
      </c>
      <c r="R452" t="str">
        <f t="shared" si="31"/>
        <v>No</v>
      </c>
      <c r="S452" t="s">
        <v>13</v>
      </c>
    </row>
    <row r="453" spans="1:19" x14ac:dyDescent="0.3">
      <c r="A453" s="1" t="s">
        <v>375</v>
      </c>
      <c r="B453" t="s">
        <v>1602</v>
      </c>
      <c r="C453" t="s">
        <v>1763</v>
      </c>
      <c r="D453" t="str">
        <f t="shared" si="28"/>
        <v>Female</v>
      </c>
      <c r="E453" t="s">
        <v>14</v>
      </c>
      <c r="F453" s="2">
        <v>17</v>
      </c>
      <c r="G453" s="2" t="str" cm="1">
        <f t="array" ref="G453">_xlfn.IFS(F453&lt;=8,"Child",F453&lt;=17,"Teen",F453&lt;=35,"Adult",F453&lt;=55,"Seniour Adult",F453&gt;=55,"Old Age")</f>
        <v>Teen</v>
      </c>
      <c r="H453" t="s">
        <v>10</v>
      </c>
      <c r="I453" t="s">
        <v>36</v>
      </c>
      <c r="J453" t="str" cm="1">
        <f t="array" ref="J453">_xlfn.IFS(I453="S","Southamptom",I453="Q","Quentown",I453="C","Cherbrug",I453="B","Cabin")</f>
        <v>Quentown</v>
      </c>
      <c r="K453" t="s">
        <v>37</v>
      </c>
      <c r="L453" s="2">
        <v>7.1407999999999996</v>
      </c>
      <c r="M453" s="2" t="str" cm="1">
        <f t="array" ref="M453">_xlfn.IFS(L453&lt;=15,"Low Fare",L453&lt;=35,"Medium Fare",L453&lt;=100,"High Fare",L453&gt;=100,"Very High Fare")</f>
        <v>Low Fare</v>
      </c>
      <c r="N453" s="2">
        <v>0</v>
      </c>
      <c r="O453" s="2">
        <v>0</v>
      </c>
      <c r="P453">
        <f t="shared" si="29"/>
        <v>1</v>
      </c>
      <c r="Q453" t="str">
        <f t="shared" si="30"/>
        <v>Alone</v>
      </c>
      <c r="R453" t="str">
        <f t="shared" si="31"/>
        <v>Yes</v>
      </c>
      <c r="S453" t="s">
        <v>16</v>
      </c>
    </row>
    <row r="454" spans="1:19" x14ac:dyDescent="0.3">
      <c r="A454" s="1" t="s">
        <v>376</v>
      </c>
      <c r="B454" t="s">
        <v>1596</v>
      </c>
      <c r="C454" t="s">
        <v>2016</v>
      </c>
      <c r="D454" t="str">
        <f t="shared" si="28"/>
        <v>Male</v>
      </c>
      <c r="E454" t="s">
        <v>9</v>
      </c>
      <c r="F454" s="2">
        <v>30</v>
      </c>
      <c r="G454" s="2" t="str" cm="1">
        <f t="array" ref="G454">_xlfn.IFS(F454&lt;=8,"Child",F454&lt;=17,"Teen",F454&lt;=35,"Adult",F454&lt;=55,"Seniour Adult",F454&gt;=55,"Old Age")</f>
        <v>Adult</v>
      </c>
      <c r="H454" t="s">
        <v>18</v>
      </c>
      <c r="I454" t="s">
        <v>11</v>
      </c>
      <c r="J454" t="str" cm="1">
        <f t="array" ref="J454">_xlfn.IFS(I454="S","Southamptom",I454="Q","Quentown",I454="C","Cherbrug",I454="B","Cabin")</f>
        <v>Southamptom</v>
      </c>
      <c r="K454" t="s">
        <v>24</v>
      </c>
      <c r="L454" s="2">
        <v>13</v>
      </c>
      <c r="M454" s="2" t="str" cm="1">
        <f t="array" ref="M454">_xlfn.IFS(L454&lt;=15,"Low Fare",L454&lt;=35,"Medium Fare",L454&lt;=100,"High Fare",L454&gt;=100,"Very High Fare")</f>
        <v>Low Fare</v>
      </c>
      <c r="N454" s="2">
        <v>0</v>
      </c>
      <c r="O454" s="2">
        <v>0</v>
      </c>
      <c r="P454">
        <f t="shared" si="29"/>
        <v>1</v>
      </c>
      <c r="Q454" t="str">
        <f t="shared" si="30"/>
        <v>Alone</v>
      </c>
      <c r="R454" t="str">
        <f t="shared" si="31"/>
        <v>No</v>
      </c>
      <c r="S454" t="s">
        <v>13</v>
      </c>
    </row>
    <row r="455" spans="1:19" x14ac:dyDescent="0.3">
      <c r="A455" s="1" t="s">
        <v>377</v>
      </c>
      <c r="B455" t="s">
        <v>1602</v>
      </c>
      <c r="C455" t="s">
        <v>2017</v>
      </c>
      <c r="D455" t="str">
        <f t="shared" si="28"/>
        <v>Female</v>
      </c>
      <c r="E455" t="s">
        <v>14</v>
      </c>
      <c r="F455" s="2">
        <v>18</v>
      </c>
      <c r="G455" s="2" t="str" cm="1">
        <f t="array" ref="G455">_xlfn.IFS(F455&lt;=8,"Child",F455&lt;=17,"Teen",F455&lt;=35,"Adult",F455&lt;=55,"Seniour Adult",F455&gt;=55,"Old Age")</f>
        <v>Adult</v>
      </c>
      <c r="H455" t="s">
        <v>10</v>
      </c>
      <c r="I455" t="s">
        <v>36</v>
      </c>
      <c r="J455" t="str" cm="1">
        <f t="array" ref="J455">_xlfn.IFS(I455="S","Southamptom",I455="Q","Quentown",I455="C","Cherbrug",I455="B","Cabin")</f>
        <v>Quentown</v>
      </c>
      <c r="K455" t="s">
        <v>37</v>
      </c>
      <c r="L455" s="2">
        <v>7.15</v>
      </c>
      <c r="M455" s="2" t="str" cm="1">
        <f t="array" ref="M455">_xlfn.IFS(L455&lt;=15,"Low Fare",L455&lt;=35,"Medium Fare",L455&lt;=100,"High Fare",L455&gt;=100,"Very High Fare")</f>
        <v>Low Fare</v>
      </c>
      <c r="N455" s="2">
        <v>0</v>
      </c>
      <c r="O455" s="2">
        <v>0</v>
      </c>
      <c r="P455">
        <f t="shared" si="29"/>
        <v>1</v>
      </c>
      <c r="Q455" t="str">
        <f t="shared" si="30"/>
        <v>Alone</v>
      </c>
      <c r="R455" t="str">
        <f t="shared" si="31"/>
        <v>Yes</v>
      </c>
      <c r="S455" t="s">
        <v>16</v>
      </c>
    </row>
    <row r="456" spans="1:19" x14ac:dyDescent="0.3">
      <c r="A456" s="1" t="s">
        <v>378</v>
      </c>
      <c r="B456" t="s">
        <v>1596</v>
      </c>
      <c r="C456" t="s">
        <v>2018</v>
      </c>
      <c r="D456" t="str">
        <f t="shared" si="28"/>
        <v>Male</v>
      </c>
      <c r="E456" t="s">
        <v>9</v>
      </c>
      <c r="F456" s="2">
        <v>47</v>
      </c>
      <c r="G456" s="2" t="str" cm="1">
        <f t="array" ref="G456">_xlfn.IFS(F456&lt;=8,"Child",F456&lt;=17,"Teen",F456&lt;=35,"Adult",F456&lt;=55,"Seniour Adult",F456&gt;=55,"Old Age")</f>
        <v>Seniour Adult</v>
      </c>
      <c r="H456" t="s">
        <v>25</v>
      </c>
      <c r="I456" t="s">
        <v>19</v>
      </c>
      <c r="J456" t="str" cm="1">
        <f t="array" ref="J456">_xlfn.IFS(I456="S","Southamptom",I456="Q","Quentown",I456="C","Cherbrug",I456="B","Cabin")</f>
        <v>Cherbrug</v>
      </c>
      <c r="K456" t="s">
        <v>12</v>
      </c>
      <c r="L456" s="2">
        <v>89.020099999999999</v>
      </c>
      <c r="M456" s="2" t="str" cm="1">
        <f t="array" ref="M456">_xlfn.IFS(L456&lt;=15,"Low Fare",L456&lt;=35,"Medium Fare",L456&lt;=100,"High Fare",L456&gt;=100,"Very High Fare")</f>
        <v>High Fare</v>
      </c>
      <c r="N456" s="2">
        <v>1</v>
      </c>
      <c r="O456" s="2">
        <v>0</v>
      </c>
      <c r="P456">
        <f t="shared" si="29"/>
        <v>2</v>
      </c>
      <c r="Q456" t="str">
        <f t="shared" si="30"/>
        <v>With Family</v>
      </c>
      <c r="R456" t="str">
        <f t="shared" si="31"/>
        <v>Yes</v>
      </c>
      <c r="S456" t="s">
        <v>16</v>
      </c>
    </row>
    <row r="457" spans="1:19" x14ac:dyDescent="0.3">
      <c r="A457" s="1" t="s">
        <v>378</v>
      </c>
      <c r="B457" t="s">
        <v>1600</v>
      </c>
      <c r="C457" t="s">
        <v>2019</v>
      </c>
      <c r="D457" t="str">
        <f t="shared" si="28"/>
        <v>Female</v>
      </c>
      <c r="E457" t="s">
        <v>14</v>
      </c>
      <c r="F457" s="2">
        <v>40</v>
      </c>
      <c r="G457" s="2" t="str" cm="1">
        <f t="array" ref="G457">_xlfn.IFS(F457&lt;=8,"Child",F457&lt;=17,"Teen",F457&lt;=35,"Adult",F457&lt;=55,"Seniour Adult",F457&gt;=55,"Old Age")</f>
        <v>Seniour Adult</v>
      </c>
      <c r="H457" t="s">
        <v>25</v>
      </c>
      <c r="I457" t="s">
        <v>19</v>
      </c>
      <c r="J457" t="str" cm="1">
        <f t="array" ref="J457">_xlfn.IFS(I457="S","Southamptom",I457="Q","Quentown",I457="C","Cherbrug",I457="B","Cabin")</f>
        <v>Cherbrug</v>
      </c>
      <c r="K457" t="s">
        <v>12</v>
      </c>
      <c r="L457" s="2">
        <v>89.020099999999999</v>
      </c>
      <c r="M457" s="2" t="str" cm="1">
        <f t="array" ref="M457">_xlfn.IFS(L457&lt;=15,"Low Fare",L457&lt;=35,"Medium Fare",L457&lt;=100,"High Fare",L457&gt;=100,"Very High Fare")</f>
        <v>High Fare</v>
      </c>
      <c r="N457" s="2">
        <v>1</v>
      </c>
      <c r="O457" s="2">
        <v>0</v>
      </c>
      <c r="P457">
        <f t="shared" si="29"/>
        <v>2</v>
      </c>
      <c r="Q457" t="str">
        <f t="shared" si="30"/>
        <v>With Family</v>
      </c>
      <c r="R457" t="str">
        <f t="shared" si="31"/>
        <v>Yes</v>
      </c>
      <c r="S457" t="s">
        <v>16</v>
      </c>
    </row>
    <row r="458" spans="1:19" x14ac:dyDescent="0.3">
      <c r="A458" s="1" t="s">
        <v>379</v>
      </c>
      <c r="B458" t="s">
        <v>1596</v>
      </c>
      <c r="C458" t="s">
        <v>2020</v>
      </c>
      <c r="D458" t="str">
        <f t="shared" si="28"/>
        <v>Male</v>
      </c>
      <c r="E458" t="s">
        <v>9</v>
      </c>
      <c r="F458" s="2">
        <v>71</v>
      </c>
      <c r="G458" s="2" t="str" cm="1">
        <f t="array" ref="G458">_xlfn.IFS(F458&lt;=8,"Child",F458&lt;=17,"Teen",F458&lt;=35,"Adult",F458&lt;=55,"Seniour Adult",F458&gt;=55,"Old Age")</f>
        <v>Old Age</v>
      </c>
      <c r="H458" t="s">
        <v>25</v>
      </c>
      <c r="I458" t="s">
        <v>19</v>
      </c>
      <c r="J458" t="str" cm="1">
        <f t="array" ref="J458">_xlfn.IFS(I458="S","Southamptom",I458="Q","Quentown",I458="C","Cherbrug",I458="B","Cabin")</f>
        <v>Cherbrug</v>
      </c>
      <c r="K458" t="s">
        <v>12</v>
      </c>
      <c r="L458" s="2">
        <v>34.130099999999999</v>
      </c>
      <c r="M458" s="2" t="str" cm="1">
        <f t="array" ref="M458">_xlfn.IFS(L458&lt;=15,"Low Fare",L458&lt;=35,"Medium Fare",L458&lt;=100,"High Fare",L458&gt;=100,"Very High Fare")</f>
        <v>Medium Fare</v>
      </c>
      <c r="N458" s="2">
        <v>0</v>
      </c>
      <c r="O458" s="2">
        <v>0</v>
      </c>
      <c r="P458">
        <f t="shared" si="29"/>
        <v>1</v>
      </c>
      <c r="Q458" t="str">
        <f t="shared" si="30"/>
        <v>Alone</v>
      </c>
      <c r="R458" t="str">
        <f t="shared" si="31"/>
        <v>No</v>
      </c>
      <c r="S458" t="s">
        <v>13</v>
      </c>
    </row>
    <row r="459" spans="1:19" x14ac:dyDescent="0.3">
      <c r="A459" s="1" t="s">
        <v>380</v>
      </c>
      <c r="B459" t="s">
        <v>1612</v>
      </c>
      <c r="C459" t="s">
        <v>2021</v>
      </c>
      <c r="D459" t="str">
        <f t="shared" si="28"/>
        <v>Male</v>
      </c>
      <c r="E459" t="s">
        <v>9</v>
      </c>
      <c r="F459" s="2">
        <v>9</v>
      </c>
      <c r="G459" s="2" t="str" cm="1">
        <f t="array" ref="G459">_xlfn.IFS(F459&lt;=8,"Child",F459&lt;=17,"Teen",F459&lt;=35,"Adult",F459&lt;=55,"Seniour Adult",F459&gt;=55,"Old Age")</f>
        <v>Teen</v>
      </c>
      <c r="H459" t="s">
        <v>10</v>
      </c>
      <c r="I459" t="s">
        <v>11</v>
      </c>
      <c r="J459" t="str" cm="1">
        <f t="array" ref="J459">_xlfn.IFS(I459="S","Southamptom",I459="Q","Quentown",I459="C","Cherbrug",I459="B","Cabin")</f>
        <v>Southamptom</v>
      </c>
      <c r="K459" t="s">
        <v>15</v>
      </c>
      <c r="L459" s="2">
        <v>20.1006</v>
      </c>
      <c r="M459" s="2" t="str" cm="1">
        <f t="array" ref="M459">_xlfn.IFS(L459&lt;=15,"Low Fare",L459&lt;=35,"Medium Fare",L459&lt;=100,"High Fare",L459&gt;=100,"Very High Fare")</f>
        <v>Medium Fare</v>
      </c>
      <c r="N459" s="2">
        <v>0</v>
      </c>
      <c r="O459" s="2">
        <v>2</v>
      </c>
      <c r="P459">
        <f t="shared" si="29"/>
        <v>3</v>
      </c>
      <c r="Q459" t="str">
        <f t="shared" si="30"/>
        <v>With Family</v>
      </c>
      <c r="R459" t="str">
        <f t="shared" si="31"/>
        <v>Yes</v>
      </c>
      <c r="S459" t="s">
        <v>16</v>
      </c>
    </row>
    <row r="460" spans="1:19" x14ac:dyDescent="0.3">
      <c r="A460" s="1" t="s">
        <v>380</v>
      </c>
      <c r="B460" t="s">
        <v>1596</v>
      </c>
      <c r="C460" t="s">
        <v>2022</v>
      </c>
      <c r="D460" t="str">
        <f t="shared" si="28"/>
        <v>Male</v>
      </c>
      <c r="E460" t="s">
        <v>9</v>
      </c>
      <c r="F460" s="2">
        <v>33</v>
      </c>
      <c r="G460" s="2" t="str" cm="1">
        <f t="array" ref="G460">_xlfn.IFS(F460&lt;=8,"Child",F460&lt;=17,"Teen",F460&lt;=35,"Adult",F460&lt;=55,"Seniour Adult",F460&gt;=55,"Old Age")</f>
        <v>Adult</v>
      </c>
      <c r="H460" t="s">
        <v>10</v>
      </c>
      <c r="I460" t="s">
        <v>11</v>
      </c>
      <c r="J460" t="str" cm="1">
        <f t="array" ref="J460">_xlfn.IFS(I460="S","Southamptom",I460="Q","Quentown",I460="C","Cherbrug",I460="B","Cabin")</f>
        <v>Southamptom</v>
      </c>
      <c r="K460" t="s">
        <v>15</v>
      </c>
      <c r="L460" s="2">
        <v>20.1006</v>
      </c>
      <c r="M460" s="2" t="str" cm="1">
        <f t="array" ref="M460">_xlfn.IFS(L460&lt;=15,"Low Fare",L460&lt;=35,"Medium Fare",L460&lt;=100,"High Fare",L460&gt;=100,"Very High Fare")</f>
        <v>Medium Fare</v>
      </c>
      <c r="N460" s="2">
        <v>1</v>
      </c>
      <c r="O460" s="2">
        <v>1</v>
      </c>
      <c r="P460">
        <f t="shared" si="29"/>
        <v>3</v>
      </c>
      <c r="Q460" t="str">
        <f t="shared" si="30"/>
        <v>With Family</v>
      </c>
      <c r="R460" t="str">
        <f t="shared" si="31"/>
        <v>No</v>
      </c>
      <c r="S460" t="s">
        <v>13</v>
      </c>
    </row>
    <row r="461" spans="1:19" x14ac:dyDescent="0.3">
      <c r="A461" s="1" t="s">
        <v>380</v>
      </c>
      <c r="B461" t="s">
        <v>1596</v>
      </c>
      <c r="C461" t="s">
        <v>2023</v>
      </c>
      <c r="D461" t="str">
        <f t="shared" si="28"/>
        <v>Male</v>
      </c>
      <c r="E461" t="s">
        <v>9</v>
      </c>
      <c r="F461" s="2">
        <v>41</v>
      </c>
      <c r="G461" s="2" t="str" cm="1">
        <f t="array" ref="G461">_xlfn.IFS(F461&lt;=8,"Child",F461&lt;=17,"Teen",F461&lt;=35,"Adult",F461&lt;=55,"Seniour Adult",F461&gt;=55,"Old Age")</f>
        <v>Seniour Adult</v>
      </c>
      <c r="H461" t="s">
        <v>10</v>
      </c>
      <c r="I461" t="s">
        <v>11</v>
      </c>
      <c r="J461" t="str" cm="1">
        <f t="array" ref="J461">_xlfn.IFS(I461="S","Southamptom",I461="Q","Quentown",I461="C","Cherbrug",I461="B","Cabin")</f>
        <v>Southamptom</v>
      </c>
      <c r="K461" t="s">
        <v>15</v>
      </c>
      <c r="L461" s="2">
        <v>7.17</v>
      </c>
      <c r="M461" s="2" t="str" cm="1">
        <f t="array" ref="M461">_xlfn.IFS(L461&lt;=15,"Low Fare",L461&lt;=35,"Medium Fare",L461&lt;=100,"High Fare",L461&gt;=100,"Very High Fare")</f>
        <v>Low Fare</v>
      </c>
      <c r="N461" s="2">
        <v>0</v>
      </c>
      <c r="O461" s="2">
        <v>0</v>
      </c>
      <c r="P461">
        <f t="shared" si="29"/>
        <v>1</v>
      </c>
      <c r="Q461" t="str">
        <f t="shared" si="30"/>
        <v>Alone</v>
      </c>
      <c r="R461" t="str">
        <f t="shared" si="31"/>
        <v>No</v>
      </c>
      <c r="S461" t="s">
        <v>13</v>
      </c>
    </row>
    <row r="462" spans="1:19" x14ac:dyDescent="0.3">
      <c r="A462" s="1" t="s">
        <v>380</v>
      </c>
      <c r="B462" t="s">
        <v>1600</v>
      </c>
      <c r="C462" t="s">
        <v>2024</v>
      </c>
      <c r="D462" t="str">
        <f t="shared" si="28"/>
        <v>Female</v>
      </c>
      <c r="E462" t="s">
        <v>14</v>
      </c>
      <c r="F462" s="2">
        <v>31</v>
      </c>
      <c r="G462" s="2" t="str" cm="1">
        <f t="array" ref="G462">_xlfn.IFS(F462&lt;=8,"Child",F462&lt;=17,"Teen",F462&lt;=35,"Adult",F462&lt;=55,"Seniour Adult",F462&gt;=55,"Old Age")</f>
        <v>Adult</v>
      </c>
      <c r="H462" t="s">
        <v>10</v>
      </c>
      <c r="I462" t="s">
        <v>11</v>
      </c>
      <c r="J462" t="str" cm="1">
        <f t="array" ref="J462">_xlfn.IFS(I462="S","Southamptom",I462="Q","Quentown",I462="C","Cherbrug",I462="B","Cabin")</f>
        <v>Southamptom</v>
      </c>
      <c r="K462" t="s">
        <v>15</v>
      </c>
      <c r="L462" s="2">
        <v>20.1006</v>
      </c>
      <c r="M462" s="2" t="str" cm="1">
        <f t="array" ref="M462">_xlfn.IFS(L462&lt;=15,"Low Fare",L462&lt;=35,"Medium Fare",L462&lt;=100,"High Fare",L462&gt;=100,"Very High Fare")</f>
        <v>Medium Fare</v>
      </c>
      <c r="N462" s="2">
        <v>1</v>
      </c>
      <c r="O462" s="2">
        <v>1</v>
      </c>
      <c r="P462">
        <f t="shared" si="29"/>
        <v>3</v>
      </c>
      <c r="Q462" t="str">
        <f t="shared" si="30"/>
        <v>With Family</v>
      </c>
      <c r="R462" t="str">
        <f t="shared" si="31"/>
        <v>Yes</v>
      </c>
      <c r="S462" t="s">
        <v>16</v>
      </c>
    </row>
    <row r="463" spans="1:19" x14ac:dyDescent="0.3">
      <c r="A463" s="1" t="s">
        <v>381</v>
      </c>
      <c r="B463" t="s">
        <v>1612</v>
      </c>
      <c r="C463" t="s">
        <v>2025</v>
      </c>
      <c r="D463" t="str">
        <f t="shared" si="28"/>
        <v>Male</v>
      </c>
      <c r="E463" t="s">
        <v>9</v>
      </c>
      <c r="F463" s="2">
        <v>9</v>
      </c>
      <c r="G463" s="2" t="str" cm="1">
        <f t="array" ref="G463">_xlfn.IFS(F463&lt;=8,"Child",F463&lt;=17,"Teen",F463&lt;=35,"Adult",F463&lt;=55,"Seniour Adult",F463&gt;=55,"Old Age")</f>
        <v>Teen</v>
      </c>
      <c r="H463" t="s">
        <v>10</v>
      </c>
      <c r="I463" t="s">
        <v>11</v>
      </c>
      <c r="J463" t="str" cm="1">
        <f t="array" ref="J463">_xlfn.IFS(I463="S","Southamptom",I463="Q","Quentown",I463="C","Cherbrug",I463="B","Cabin")</f>
        <v>Southamptom</v>
      </c>
      <c r="K463" t="s">
        <v>15</v>
      </c>
      <c r="L463" s="2">
        <v>46.18</v>
      </c>
      <c r="M463" s="2" t="str" cm="1">
        <f t="array" ref="M463">_xlfn.IFS(L463&lt;=15,"Low Fare",L463&lt;=35,"Medium Fare",L463&lt;=100,"High Fare",L463&gt;=100,"Very High Fare")</f>
        <v>High Fare</v>
      </c>
      <c r="N463" s="2">
        <v>5</v>
      </c>
      <c r="O463" s="2">
        <v>2</v>
      </c>
      <c r="P463">
        <f t="shared" si="29"/>
        <v>8</v>
      </c>
      <c r="Q463" t="str">
        <f t="shared" si="30"/>
        <v>With Family</v>
      </c>
      <c r="R463" t="str">
        <f t="shared" si="31"/>
        <v>No</v>
      </c>
      <c r="S463" t="s">
        <v>13</v>
      </c>
    </row>
    <row r="464" spans="1:19" x14ac:dyDescent="0.3">
      <c r="A464" s="1" t="s">
        <v>381</v>
      </c>
      <c r="B464" t="s">
        <v>1612</v>
      </c>
      <c r="C464" t="s">
        <v>2026</v>
      </c>
      <c r="D464" t="str">
        <f t="shared" si="28"/>
        <v>Male</v>
      </c>
      <c r="E464" t="s">
        <v>9</v>
      </c>
      <c r="F464" s="2">
        <v>1</v>
      </c>
      <c r="G464" s="2" t="str" cm="1">
        <f t="array" ref="G464">_xlfn.IFS(F464&lt;=8,"Child",F464&lt;=17,"Teen",F464&lt;=35,"Adult",F464&lt;=55,"Seniour Adult",F464&gt;=55,"Old Age")</f>
        <v>Child</v>
      </c>
      <c r="H464" t="s">
        <v>10</v>
      </c>
      <c r="I464" t="s">
        <v>11</v>
      </c>
      <c r="J464" t="str" cm="1">
        <f t="array" ref="J464">_xlfn.IFS(I464="S","Southamptom",I464="Q","Quentown",I464="C","Cherbrug",I464="B","Cabin")</f>
        <v>Southamptom</v>
      </c>
      <c r="K464" t="s">
        <v>15</v>
      </c>
      <c r="L464" s="2">
        <v>46.18</v>
      </c>
      <c r="M464" s="2" t="str" cm="1">
        <f t="array" ref="M464">_xlfn.IFS(L464&lt;=15,"Low Fare",L464&lt;=35,"Medium Fare",L464&lt;=100,"High Fare",L464&gt;=100,"Very High Fare")</f>
        <v>High Fare</v>
      </c>
      <c r="N464" s="2">
        <v>5</v>
      </c>
      <c r="O464" s="2">
        <v>2</v>
      </c>
      <c r="P464">
        <f t="shared" si="29"/>
        <v>8</v>
      </c>
      <c r="Q464" t="str">
        <f t="shared" si="30"/>
        <v>With Family</v>
      </c>
      <c r="R464" t="str">
        <f t="shared" si="31"/>
        <v>No</v>
      </c>
      <c r="S464" t="s">
        <v>13</v>
      </c>
    </row>
    <row r="465" spans="1:19" x14ac:dyDescent="0.3">
      <c r="A465" s="1" t="s">
        <v>381</v>
      </c>
      <c r="B465" t="s">
        <v>1612</v>
      </c>
      <c r="C465" t="s">
        <v>2027</v>
      </c>
      <c r="D465" t="str">
        <f t="shared" si="28"/>
        <v>Male</v>
      </c>
      <c r="E465" t="s">
        <v>9</v>
      </c>
      <c r="F465" s="2">
        <v>11</v>
      </c>
      <c r="G465" s="2" t="str" cm="1">
        <f t="array" ref="G465">_xlfn.IFS(F465&lt;=8,"Child",F465&lt;=17,"Teen",F465&lt;=35,"Adult",F465&lt;=55,"Seniour Adult",F465&gt;=55,"Old Age")</f>
        <v>Teen</v>
      </c>
      <c r="H465" t="s">
        <v>10</v>
      </c>
      <c r="I465" t="s">
        <v>11</v>
      </c>
      <c r="J465" t="str" cm="1">
        <f t="array" ref="J465">_xlfn.IFS(I465="S","Southamptom",I465="Q","Quentown",I465="C","Cherbrug",I465="B","Cabin")</f>
        <v>Southamptom</v>
      </c>
      <c r="K465" t="s">
        <v>15</v>
      </c>
      <c r="L465" s="2">
        <v>46.18</v>
      </c>
      <c r="M465" s="2" t="str" cm="1">
        <f t="array" ref="M465">_xlfn.IFS(L465&lt;=15,"Low Fare",L465&lt;=35,"Medium Fare",L465&lt;=100,"High Fare",L465&gt;=100,"Very High Fare")</f>
        <v>High Fare</v>
      </c>
      <c r="N465" s="2">
        <v>5</v>
      </c>
      <c r="O465" s="2">
        <v>2</v>
      </c>
      <c r="P465">
        <f t="shared" si="29"/>
        <v>8</v>
      </c>
      <c r="Q465" t="str">
        <f t="shared" si="30"/>
        <v>With Family</v>
      </c>
      <c r="R465" t="str">
        <f t="shared" si="31"/>
        <v>No</v>
      </c>
      <c r="S465" t="s">
        <v>13</v>
      </c>
    </row>
    <row r="466" spans="1:19" x14ac:dyDescent="0.3">
      <c r="A466" s="1" t="s">
        <v>381</v>
      </c>
      <c r="B466" t="s">
        <v>1602</v>
      </c>
      <c r="C466" t="s">
        <v>2028</v>
      </c>
      <c r="D466" t="str">
        <f t="shared" si="28"/>
        <v>Female</v>
      </c>
      <c r="E466" t="s">
        <v>14</v>
      </c>
      <c r="F466" s="2">
        <v>10</v>
      </c>
      <c r="G466" s="2" t="str" cm="1">
        <f t="array" ref="G466">_xlfn.IFS(F466&lt;=8,"Child",F466&lt;=17,"Teen",F466&lt;=35,"Adult",F466&lt;=55,"Seniour Adult",F466&gt;=55,"Old Age")</f>
        <v>Teen</v>
      </c>
      <c r="H466" t="s">
        <v>10</v>
      </c>
      <c r="I466" t="s">
        <v>11</v>
      </c>
      <c r="J466" t="str" cm="1">
        <f t="array" ref="J466">_xlfn.IFS(I466="S","Southamptom",I466="Q","Quentown",I466="C","Cherbrug",I466="B","Cabin")</f>
        <v>Southamptom</v>
      </c>
      <c r="K466" t="s">
        <v>15</v>
      </c>
      <c r="L466" s="2">
        <v>46.18</v>
      </c>
      <c r="M466" s="2" t="str" cm="1">
        <f t="array" ref="M466">_xlfn.IFS(L466&lt;=15,"Low Fare",L466&lt;=35,"Medium Fare",L466&lt;=100,"High Fare",L466&gt;=100,"Very High Fare")</f>
        <v>High Fare</v>
      </c>
      <c r="N466" s="2">
        <v>5</v>
      </c>
      <c r="O466" s="2">
        <v>2</v>
      </c>
      <c r="P466">
        <f t="shared" si="29"/>
        <v>8</v>
      </c>
      <c r="Q466" t="str">
        <f t="shared" si="30"/>
        <v>With Family</v>
      </c>
      <c r="R466" t="str">
        <f t="shared" si="31"/>
        <v>No</v>
      </c>
      <c r="S466" t="s">
        <v>13</v>
      </c>
    </row>
    <row r="467" spans="1:19" x14ac:dyDescent="0.3">
      <c r="A467" s="1" t="s">
        <v>381</v>
      </c>
      <c r="B467" t="s">
        <v>1602</v>
      </c>
      <c r="C467" t="s">
        <v>2029</v>
      </c>
      <c r="D467" t="str">
        <f t="shared" si="28"/>
        <v>Female</v>
      </c>
      <c r="E467" t="s">
        <v>14</v>
      </c>
      <c r="F467" s="2">
        <v>16</v>
      </c>
      <c r="G467" s="2" t="str" cm="1">
        <f t="array" ref="G467">_xlfn.IFS(F467&lt;=8,"Child",F467&lt;=17,"Teen",F467&lt;=35,"Adult",F467&lt;=55,"Seniour Adult",F467&gt;=55,"Old Age")</f>
        <v>Teen</v>
      </c>
      <c r="H467" t="s">
        <v>10</v>
      </c>
      <c r="I467" t="s">
        <v>11</v>
      </c>
      <c r="J467" t="str" cm="1">
        <f t="array" ref="J467">_xlfn.IFS(I467="S","Southamptom",I467="Q","Quentown",I467="C","Cherbrug",I467="B","Cabin")</f>
        <v>Southamptom</v>
      </c>
      <c r="K467" t="s">
        <v>15</v>
      </c>
      <c r="L467" s="2">
        <v>46.18</v>
      </c>
      <c r="M467" s="2" t="str" cm="1">
        <f t="array" ref="M467">_xlfn.IFS(L467&lt;=15,"Low Fare",L467&lt;=35,"Medium Fare",L467&lt;=100,"High Fare",L467&gt;=100,"Very High Fare")</f>
        <v>High Fare</v>
      </c>
      <c r="N467" s="2">
        <v>5</v>
      </c>
      <c r="O467" s="2">
        <v>2</v>
      </c>
      <c r="P467">
        <f t="shared" si="29"/>
        <v>8</v>
      </c>
      <c r="Q467" t="str">
        <f t="shared" si="30"/>
        <v>With Family</v>
      </c>
      <c r="R467" t="str">
        <f t="shared" si="31"/>
        <v>No</v>
      </c>
      <c r="S467" t="s">
        <v>13</v>
      </c>
    </row>
    <row r="468" spans="1:19" x14ac:dyDescent="0.3">
      <c r="A468" s="1" t="s">
        <v>381</v>
      </c>
      <c r="B468" t="s">
        <v>1596</v>
      </c>
      <c r="C468" t="s">
        <v>1884</v>
      </c>
      <c r="D468" t="str">
        <f t="shared" si="28"/>
        <v>Male</v>
      </c>
      <c r="E468" t="s">
        <v>9</v>
      </c>
      <c r="F468" s="2">
        <v>14</v>
      </c>
      <c r="G468" s="2" t="str" cm="1">
        <f t="array" ref="G468">_xlfn.IFS(F468&lt;=8,"Child",F468&lt;=17,"Teen",F468&lt;=35,"Adult",F468&lt;=55,"Seniour Adult",F468&gt;=55,"Old Age")</f>
        <v>Teen</v>
      </c>
      <c r="H468" t="s">
        <v>10</v>
      </c>
      <c r="I468" t="s">
        <v>11</v>
      </c>
      <c r="J468" t="str" cm="1">
        <f t="array" ref="J468">_xlfn.IFS(I468="S","Southamptom",I468="Q","Quentown",I468="C","Cherbrug",I468="B","Cabin")</f>
        <v>Southamptom</v>
      </c>
      <c r="K468" t="s">
        <v>15</v>
      </c>
      <c r="L468" s="2">
        <v>46.18</v>
      </c>
      <c r="M468" s="2" t="str" cm="1">
        <f t="array" ref="M468">_xlfn.IFS(L468&lt;=15,"Low Fare",L468&lt;=35,"Medium Fare",L468&lt;=100,"High Fare",L468&gt;=100,"Very High Fare")</f>
        <v>High Fare</v>
      </c>
      <c r="N468" s="2">
        <v>5</v>
      </c>
      <c r="O468" s="2">
        <v>2</v>
      </c>
      <c r="P468">
        <f t="shared" si="29"/>
        <v>8</v>
      </c>
      <c r="Q468" t="str">
        <f t="shared" si="30"/>
        <v>With Family</v>
      </c>
      <c r="R468" t="str">
        <f t="shared" si="31"/>
        <v>No</v>
      </c>
      <c r="S468" t="s">
        <v>13</v>
      </c>
    </row>
    <row r="469" spans="1:19" x14ac:dyDescent="0.3">
      <c r="A469" s="1" t="s">
        <v>381</v>
      </c>
      <c r="B469" t="s">
        <v>1596</v>
      </c>
      <c r="C469" t="s">
        <v>2030</v>
      </c>
      <c r="D469" t="str">
        <f t="shared" si="28"/>
        <v>Male</v>
      </c>
      <c r="E469" t="s">
        <v>9</v>
      </c>
      <c r="F469" s="2">
        <v>42</v>
      </c>
      <c r="G469" s="2" t="str" cm="1">
        <f t="array" ref="G469">_xlfn.IFS(F469&lt;=8,"Child",F469&lt;=17,"Teen",F469&lt;=35,"Adult",F469&lt;=55,"Seniour Adult",F469&gt;=55,"Old Age")</f>
        <v>Seniour Adult</v>
      </c>
      <c r="H469" t="s">
        <v>10</v>
      </c>
      <c r="I469" t="s">
        <v>11</v>
      </c>
      <c r="J469" t="str" cm="1">
        <f t="array" ref="J469">_xlfn.IFS(I469="S","Southamptom",I469="Q","Quentown",I469="C","Cherbrug",I469="B","Cabin")</f>
        <v>Southamptom</v>
      </c>
      <c r="K469" t="s">
        <v>15</v>
      </c>
      <c r="L469" s="2">
        <v>46.18</v>
      </c>
      <c r="M469" s="2" t="str" cm="1">
        <f t="array" ref="M469">_xlfn.IFS(L469&lt;=15,"Low Fare",L469&lt;=35,"Medium Fare",L469&lt;=100,"High Fare",L469&gt;=100,"Very High Fare")</f>
        <v>High Fare</v>
      </c>
      <c r="N469" s="2">
        <v>1</v>
      </c>
      <c r="O469" s="2">
        <v>6</v>
      </c>
      <c r="P469">
        <f t="shared" si="29"/>
        <v>8</v>
      </c>
      <c r="Q469" t="str">
        <f t="shared" si="30"/>
        <v>With Family</v>
      </c>
      <c r="R469" t="str">
        <f t="shared" si="31"/>
        <v>No</v>
      </c>
      <c r="S469" t="s">
        <v>13</v>
      </c>
    </row>
    <row r="470" spans="1:19" x14ac:dyDescent="0.3">
      <c r="A470" s="1" t="s">
        <v>381</v>
      </c>
      <c r="B470" t="s">
        <v>1600</v>
      </c>
      <c r="C470" t="s">
        <v>2031</v>
      </c>
      <c r="D470" t="str">
        <f t="shared" si="28"/>
        <v>Female</v>
      </c>
      <c r="E470" t="s">
        <v>14</v>
      </c>
      <c r="F470" s="2">
        <v>43</v>
      </c>
      <c r="G470" s="2" t="str" cm="1">
        <f t="array" ref="G470">_xlfn.IFS(F470&lt;=8,"Child",F470&lt;=17,"Teen",F470&lt;=35,"Adult",F470&lt;=55,"Seniour Adult",F470&gt;=55,"Old Age")</f>
        <v>Seniour Adult</v>
      </c>
      <c r="H470" t="s">
        <v>10</v>
      </c>
      <c r="I470" t="s">
        <v>11</v>
      </c>
      <c r="J470" t="str" cm="1">
        <f t="array" ref="J470">_xlfn.IFS(I470="S","Southamptom",I470="Q","Quentown",I470="C","Cherbrug",I470="B","Cabin")</f>
        <v>Southamptom</v>
      </c>
      <c r="K470" t="s">
        <v>15</v>
      </c>
      <c r="L470" s="2">
        <v>46.18</v>
      </c>
      <c r="M470" s="2" t="str" cm="1">
        <f t="array" ref="M470">_xlfn.IFS(L470&lt;=15,"Low Fare",L470&lt;=35,"Medium Fare",L470&lt;=100,"High Fare",L470&gt;=100,"Very High Fare")</f>
        <v>High Fare</v>
      </c>
      <c r="N470" s="2">
        <v>1</v>
      </c>
      <c r="O470" s="2">
        <v>6</v>
      </c>
      <c r="P470">
        <f t="shared" si="29"/>
        <v>8</v>
      </c>
      <c r="Q470" t="str">
        <f t="shared" si="30"/>
        <v>With Family</v>
      </c>
      <c r="R470" t="str">
        <f t="shared" si="31"/>
        <v>No</v>
      </c>
      <c r="S470" t="s">
        <v>13</v>
      </c>
    </row>
    <row r="471" spans="1:19" x14ac:dyDescent="0.3">
      <c r="A471" s="1" t="s">
        <v>382</v>
      </c>
      <c r="B471" t="s">
        <v>1664</v>
      </c>
      <c r="C471" t="s">
        <v>2032</v>
      </c>
      <c r="D471" t="str">
        <f t="shared" si="28"/>
        <v>Male</v>
      </c>
      <c r="E471" t="s">
        <v>9</v>
      </c>
      <c r="F471" s="2">
        <v>53</v>
      </c>
      <c r="G471" s="2" t="str" cm="1">
        <f t="array" ref="G471">_xlfn.IFS(F471&lt;=8,"Child",F471&lt;=17,"Teen",F471&lt;=35,"Adult",F471&lt;=55,"Seniour Adult",F471&gt;=55,"Old Age")</f>
        <v>Seniour Adult</v>
      </c>
      <c r="H471" t="s">
        <v>25</v>
      </c>
      <c r="I471" t="s">
        <v>11</v>
      </c>
      <c r="J471" t="str" cm="1">
        <f t="array" ref="J471">_xlfn.IFS(I471="S","Southamptom",I471="Q","Quentown",I471="C","Cherbrug",I471="B","Cabin")</f>
        <v>Southamptom</v>
      </c>
      <c r="K471" t="s">
        <v>12</v>
      </c>
      <c r="L471" s="2">
        <v>28.1</v>
      </c>
      <c r="M471" s="2" t="str" cm="1">
        <f t="array" ref="M471">_xlfn.IFS(L471&lt;=15,"Low Fare",L471&lt;=35,"Medium Fare",L471&lt;=100,"High Fare",L471&gt;=100,"Very High Fare")</f>
        <v>Medium Fare</v>
      </c>
      <c r="N471" s="2">
        <v>0</v>
      </c>
      <c r="O471" s="2">
        <v>0</v>
      </c>
      <c r="P471">
        <f t="shared" si="29"/>
        <v>1</v>
      </c>
      <c r="Q471" t="str">
        <f t="shared" si="30"/>
        <v>Alone</v>
      </c>
      <c r="R471" t="str">
        <f t="shared" si="31"/>
        <v>Yes</v>
      </c>
      <c r="S471" t="s">
        <v>16</v>
      </c>
    </row>
    <row r="472" spans="1:19" x14ac:dyDescent="0.3">
      <c r="A472" s="1" t="s">
        <v>383</v>
      </c>
      <c r="B472" t="s">
        <v>1602</v>
      </c>
      <c r="C472" t="s">
        <v>2033</v>
      </c>
      <c r="D472" t="str">
        <f t="shared" si="28"/>
        <v>Female</v>
      </c>
      <c r="E472" t="s">
        <v>14</v>
      </c>
      <c r="F472" s="2">
        <v>19</v>
      </c>
      <c r="G472" s="2" t="str" cm="1">
        <f t="array" ref="G472">_xlfn.IFS(F472&lt;=8,"Child",F472&lt;=17,"Teen",F472&lt;=35,"Adult",F472&lt;=55,"Seniour Adult",F472&gt;=55,"Old Age")</f>
        <v>Adult</v>
      </c>
      <c r="H472" t="s">
        <v>25</v>
      </c>
      <c r="I472" t="s">
        <v>11</v>
      </c>
      <c r="J472" t="str" cm="1">
        <f t="array" ref="J472">_xlfn.IFS(I472="S","Southamptom",I472="Q","Quentown",I472="C","Cherbrug",I472="B","Cabin")</f>
        <v>Southamptom</v>
      </c>
      <c r="K472" t="s">
        <v>15</v>
      </c>
      <c r="L472" s="2">
        <v>153.09030000000001</v>
      </c>
      <c r="M472" s="2" t="str" cm="1">
        <f t="array" ref="M472">_xlfn.IFS(L472&lt;=15,"Low Fare",L472&lt;=35,"Medium Fare",L472&lt;=100,"High Fare",L472&gt;=100,"Very High Fare")</f>
        <v>Very High Fare</v>
      </c>
      <c r="N472" s="2">
        <v>0</v>
      </c>
      <c r="O472" s="2">
        <v>0</v>
      </c>
      <c r="P472">
        <f t="shared" si="29"/>
        <v>1</v>
      </c>
      <c r="Q472" t="str">
        <f t="shared" si="30"/>
        <v>Alone</v>
      </c>
      <c r="R472" t="str">
        <f t="shared" si="31"/>
        <v>Yes</v>
      </c>
      <c r="S472" t="s">
        <v>16</v>
      </c>
    </row>
    <row r="473" spans="1:19" x14ac:dyDescent="0.3">
      <c r="A473" s="1" t="s">
        <v>383</v>
      </c>
      <c r="B473" t="s">
        <v>1596</v>
      </c>
      <c r="C473" t="s">
        <v>2034</v>
      </c>
      <c r="D473" t="str">
        <f t="shared" si="28"/>
        <v>Male</v>
      </c>
      <c r="E473" t="s">
        <v>9</v>
      </c>
      <c r="F473" s="2">
        <v>38</v>
      </c>
      <c r="G473" s="2" t="str" cm="1">
        <f t="array" ref="G473">_xlfn.IFS(F473&lt;=8,"Child",F473&lt;=17,"Teen",F473&lt;=35,"Adult",F473&lt;=55,"Seniour Adult",F473&gt;=55,"Old Age")</f>
        <v>Seniour Adult</v>
      </c>
      <c r="H473" t="s">
        <v>25</v>
      </c>
      <c r="I473" t="s">
        <v>11</v>
      </c>
      <c r="J473" t="str" cm="1">
        <f t="array" ref="J473">_xlfn.IFS(I473="S","Southamptom",I473="Q","Quentown",I473="C","Cherbrug",I473="B","Cabin")</f>
        <v>Southamptom</v>
      </c>
      <c r="K473" t="s">
        <v>26</v>
      </c>
      <c r="L473" s="2">
        <v>30</v>
      </c>
      <c r="M473" s="2" t="str" cm="1">
        <f t="array" ref="M473">_xlfn.IFS(L473&lt;=15,"Low Fare",L473&lt;=35,"Medium Fare",L473&lt;=100,"High Fare",L473&gt;=100,"Very High Fare")</f>
        <v>Medium Fare</v>
      </c>
      <c r="N473" s="2">
        <v>0</v>
      </c>
      <c r="O473" s="2">
        <v>1</v>
      </c>
      <c r="P473">
        <f t="shared" si="29"/>
        <v>2</v>
      </c>
      <c r="Q473" t="str">
        <f t="shared" si="30"/>
        <v>With Family</v>
      </c>
      <c r="R473" t="str">
        <f t="shared" si="31"/>
        <v>No</v>
      </c>
      <c r="S473" t="s">
        <v>13</v>
      </c>
    </row>
    <row r="474" spans="1:19" x14ac:dyDescent="0.3">
      <c r="A474" s="1" t="s">
        <v>383</v>
      </c>
      <c r="B474" t="s">
        <v>1600</v>
      </c>
      <c r="C474" t="s">
        <v>2035</v>
      </c>
      <c r="D474" t="str">
        <f t="shared" si="28"/>
        <v>Female</v>
      </c>
      <c r="E474" t="s">
        <v>14</v>
      </c>
      <c r="F474" s="2">
        <v>59</v>
      </c>
      <c r="G474" s="2" t="str" cm="1">
        <f t="array" ref="G474">_xlfn.IFS(F474&lt;=8,"Child",F474&lt;=17,"Teen",F474&lt;=35,"Adult",F474&lt;=55,"Seniour Adult",F474&gt;=55,"Old Age")</f>
        <v>Old Age</v>
      </c>
      <c r="H474" t="s">
        <v>25</v>
      </c>
      <c r="I474" t="s">
        <v>11</v>
      </c>
      <c r="J474" t="str" cm="1">
        <f t="array" ref="J474">_xlfn.IFS(I474="S","Southamptom",I474="Q","Quentown",I474="C","Cherbrug",I474="B","Cabin")</f>
        <v>Southamptom</v>
      </c>
      <c r="K474" t="s">
        <v>15</v>
      </c>
      <c r="L474" s="2">
        <v>153.09030000000001</v>
      </c>
      <c r="M474" s="2" t="str" cm="1">
        <f t="array" ref="M474">_xlfn.IFS(L474&lt;=15,"Low Fare",L474&lt;=35,"Medium Fare",L474&lt;=100,"High Fare",L474&gt;=100,"Very High Fare")</f>
        <v>Very High Fare</v>
      </c>
      <c r="N474" s="2">
        <v>0</v>
      </c>
      <c r="O474" s="2">
        <v>1</v>
      </c>
      <c r="P474">
        <f t="shared" si="29"/>
        <v>2</v>
      </c>
      <c r="Q474" t="str">
        <f t="shared" si="30"/>
        <v>With Family</v>
      </c>
      <c r="R474" t="str">
        <f t="shared" si="31"/>
        <v>Yes</v>
      </c>
      <c r="S474" t="s">
        <v>16</v>
      </c>
    </row>
    <row r="475" spans="1:19" x14ac:dyDescent="0.3">
      <c r="A475" s="1" t="s">
        <v>384</v>
      </c>
      <c r="B475" t="s">
        <v>1596</v>
      </c>
      <c r="C475" t="s">
        <v>1605</v>
      </c>
      <c r="D475" t="str">
        <f t="shared" si="28"/>
        <v>Male</v>
      </c>
      <c r="E475" t="s">
        <v>9</v>
      </c>
      <c r="F475" s="2">
        <v>52</v>
      </c>
      <c r="G475" s="2" t="str" cm="1">
        <f t="array" ref="G475">_xlfn.IFS(F475&lt;=8,"Child",F475&lt;=17,"Teen",F475&lt;=35,"Adult",F475&lt;=55,"Seniour Adult",F475&gt;=55,"Old Age")</f>
        <v>Seniour Adult</v>
      </c>
      <c r="H475" t="s">
        <v>18</v>
      </c>
      <c r="I475" t="s">
        <v>11</v>
      </c>
      <c r="J475" t="str" cm="1">
        <f t="array" ref="J475">_xlfn.IFS(I475="S","Southamptom",I475="Q","Quentown",I475="C","Cherbrug",I475="B","Cabin")</f>
        <v>Southamptom</v>
      </c>
      <c r="K475" t="s">
        <v>41</v>
      </c>
      <c r="L475" s="2">
        <v>13</v>
      </c>
      <c r="M475" s="2" t="str" cm="1">
        <f t="array" ref="M475">_xlfn.IFS(L475&lt;=15,"Low Fare",L475&lt;=35,"Medium Fare",L475&lt;=100,"High Fare",L475&gt;=100,"Very High Fare")</f>
        <v>Low Fare</v>
      </c>
      <c r="N475" s="2">
        <v>0</v>
      </c>
      <c r="O475" s="2">
        <v>0</v>
      </c>
      <c r="P475">
        <f t="shared" si="29"/>
        <v>1</v>
      </c>
      <c r="Q475" t="str">
        <f t="shared" si="30"/>
        <v>Alone</v>
      </c>
      <c r="R475" t="str">
        <f t="shared" si="31"/>
        <v>No</v>
      </c>
      <c r="S475" t="s">
        <v>13</v>
      </c>
    </row>
    <row r="476" spans="1:19" x14ac:dyDescent="0.3">
      <c r="A476" s="1" t="s">
        <v>385</v>
      </c>
      <c r="B476" t="s">
        <v>1600</v>
      </c>
      <c r="C476" t="s">
        <v>2036</v>
      </c>
      <c r="D476" t="str">
        <f t="shared" si="28"/>
        <v>Female</v>
      </c>
      <c r="E476" t="s">
        <v>14</v>
      </c>
      <c r="F476" s="2">
        <v>45</v>
      </c>
      <c r="G476" s="2" t="str" cm="1">
        <f t="array" ref="G476">_xlfn.IFS(F476&lt;=8,"Child",F476&lt;=17,"Teen",F476&lt;=35,"Adult",F476&lt;=55,"Seniour Adult",F476&gt;=55,"Old Age")</f>
        <v>Seniour Adult</v>
      </c>
      <c r="H476" t="s">
        <v>25</v>
      </c>
      <c r="I476" t="s">
        <v>19</v>
      </c>
      <c r="J476" t="str" cm="1">
        <f t="array" ref="J476">_xlfn.IFS(I476="S","Southamptom",I476="Q","Quentown",I476="C","Cherbrug",I476="B","Cabin")</f>
        <v>Cherbrug</v>
      </c>
      <c r="K476" t="s">
        <v>12</v>
      </c>
      <c r="L476" s="2">
        <v>63.0702</v>
      </c>
      <c r="M476" s="2" t="str" cm="1">
        <f t="array" ref="M476">_xlfn.IFS(L476&lt;=15,"Low Fare",L476&lt;=35,"Medium Fare",L476&lt;=100,"High Fare",L476&gt;=100,"Very High Fare")</f>
        <v>High Fare</v>
      </c>
      <c r="N476" s="2">
        <v>0</v>
      </c>
      <c r="O476" s="2">
        <v>1</v>
      </c>
      <c r="P476">
        <f t="shared" si="29"/>
        <v>2</v>
      </c>
      <c r="Q476" t="str">
        <f t="shared" si="30"/>
        <v>With Family</v>
      </c>
      <c r="R476" t="str">
        <f t="shared" si="31"/>
        <v>Yes</v>
      </c>
      <c r="S476" t="s">
        <v>16</v>
      </c>
    </row>
    <row r="477" spans="1:19" x14ac:dyDescent="0.3">
      <c r="A477" s="1" t="s">
        <v>385</v>
      </c>
      <c r="B477" t="s">
        <v>1596</v>
      </c>
      <c r="C477" t="s">
        <v>2037</v>
      </c>
      <c r="D477" t="str">
        <f t="shared" si="28"/>
        <v>Male</v>
      </c>
      <c r="E477" t="s">
        <v>9</v>
      </c>
      <c r="F477" s="2">
        <v>23</v>
      </c>
      <c r="G477" s="2" t="str" cm="1">
        <f t="array" ref="G477">_xlfn.IFS(F477&lt;=8,"Child",F477&lt;=17,"Teen",F477&lt;=35,"Adult",F477&lt;=55,"Seniour Adult",F477&gt;=55,"Old Age")</f>
        <v>Adult</v>
      </c>
      <c r="H477" t="s">
        <v>25</v>
      </c>
      <c r="I477" t="s">
        <v>19</v>
      </c>
      <c r="J477" t="str" cm="1">
        <f t="array" ref="J477">_xlfn.IFS(I477="S","Southamptom",I477="Q","Quentown",I477="C","Cherbrug",I477="B","Cabin")</f>
        <v>Cherbrug</v>
      </c>
      <c r="K477" t="s">
        <v>12</v>
      </c>
      <c r="L477" s="2">
        <v>63.0702</v>
      </c>
      <c r="M477" s="2" t="str" cm="1">
        <f t="array" ref="M477">_xlfn.IFS(L477&lt;=15,"Low Fare",L477&lt;=35,"Medium Fare",L477&lt;=100,"High Fare",L477&gt;=100,"Very High Fare")</f>
        <v>High Fare</v>
      </c>
      <c r="N477" s="2">
        <v>0</v>
      </c>
      <c r="O477" s="2">
        <v>1</v>
      </c>
      <c r="P477">
        <f t="shared" si="29"/>
        <v>2</v>
      </c>
      <c r="Q477" t="str">
        <f t="shared" si="30"/>
        <v>With Family</v>
      </c>
      <c r="R477" t="str">
        <f t="shared" si="31"/>
        <v>Yes</v>
      </c>
      <c r="S477" t="s">
        <v>16</v>
      </c>
    </row>
    <row r="478" spans="1:19" hidden="1" x14ac:dyDescent="0.3">
      <c r="A478" s="1" t="s">
        <v>386</v>
      </c>
      <c r="B478" t="s">
        <v>1596</v>
      </c>
      <c r="C478" t="s">
        <v>2038</v>
      </c>
      <c r="D478" t="str">
        <f t="shared" si="28"/>
        <v>Male</v>
      </c>
      <c r="E478" t="s">
        <v>9</v>
      </c>
      <c r="F478" s="2">
        <v>20</v>
      </c>
      <c r="G478" s="2" t="str" cm="1">
        <f t="array" ref="G478">_xlfn.IFS(F478&lt;=8,"Child",F478&lt;=17,"Teen",F478&lt;=35,"Adult",F478&lt;=55,"Seniour Adult",F478&gt;=55,"Old Age")</f>
        <v>Adult</v>
      </c>
      <c r="H478" t="s">
        <v>51</v>
      </c>
      <c r="I478" t="s">
        <v>11</v>
      </c>
      <c r="J478" t="str" cm="1">
        <f t="array" ref="J478">_xlfn.IFS(I478="S","Southamptom",I478="Q","Quentown",I478="C","Cherbrug",I478="B","Cabin")</f>
        <v>Southamptom</v>
      </c>
      <c r="K478" t="s">
        <v>15</v>
      </c>
      <c r="L478" s="2">
        <v>33</v>
      </c>
      <c r="M478" s="2" t="str" cm="1">
        <f t="array" ref="M478">_xlfn.IFS(L478&lt;=15,"Low Fare",L478&lt;=35,"Medium Fare",L478&lt;=100,"High Fare",L478&gt;=100,"Very High Fare")</f>
        <v>Medium Fare</v>
      </c>
      <c r="N478" s="2">
        <v>1</v>
      </c>
      <c r="O478" s="2" t="s">
        <v>30</v>
      </c>
      <c r="P478" t="e">
        <f t="shared" si="29"/>
        <v>#VALUE!</v>
      </c>
      <c r="Q478" t="e">
        <f t="shared" si="30"/>
        <v>#VALUE!</v>
      </c>
      <c r="R478" t="str">
        <f t="shared" si="31"/>
        <v>No</v>
      </c>
      <c r="S478" t="s">
        <v>13</v>
      </c>
    </row>
    <row r="479" spans="1:19" x14ac:dyDescent="0.3">
      <c r="A479" s="1" t="s">
        <v>387</v>
      </c>
      <c r="B479" t="s">
        <v>1596</v>
      </c>
      <c r="C479" t="s">
        <v>2039</v>
      </c>
      <c r="D479" t="str">
        <f t="shared" si="28"/>
        <v>Male</v>
      </c>
      <c r="E479" t="s">
        <v>9</v>
      </c>
      <c r="F479" s="2">
        <v>32</v>
      </c>
      <c r="G479" s="2" t="str" cm="1">
        <f t="array" ref="G479">_xlfn.IFS(F479&lt;=8,"Child",F479&lt;=17,"Teen",F479&lt;=35,"Adult",F479&lt;=55,"Seniour Adult",F479&gt;=55,"Old Age")</f>
        <v>Adult</v>
      </c>
      <c r="H479" t="s">
        <v>10</v>
      </c>
      <c r="I479" t="s">
        <v>11</v>
      </c>
      <c r="J479" t="str" cm="1">
        <f t="array" ref="J479">_xlfn.IFS(I479="S","Southamptom",I479="Q","Quentown",I479="C","Cherbrug",I479="B","Cabin")</f>
        <v>Southamptom</v>
      </c>
      <c r="K479" t="s">
        <v>17</v>
      </c>
      <c r="L479" s="2">
        <v>8.0615000000000006</v>
      </c>
      <c r="M479" s="2" t="str" cm="1">
        <f t="array" ref="M479">_xlfn.IFS(L479&lt;=15,"Low Fare",L479&lt;=35,"Medium Fare",L479&lt;=100,"High Fare",L479&gt;=100,"Very High Fare")</f>
        <v>Low Fare</v>
      </c>
      <c r="N479" s="2">
        <v>0</v>
      </c>
      <c r="O479" s="2">
        <v>0</v>
      </c>
      <c r="P479">
        <f t="shared" si="29"/>
        <v>1</v>
      </c>
      <c r="Q479" t="str">
        <f t="shared" si="30"/>
        <v>Alone</v>
      </c>
      <c r="R479" t="str">
        <f t="shared" si="31"/>
        <v>No</v>
      </c>
      <c r="S479" t="s">
        <v>13</v>
      </c>
    </row>
    <row r="480" spans="1:19" x14ac:dyDescent="0.3">
      <c r="A480" s="1" t="s">
        <v>388</v>
      </c>
      <c r="B480" t="s">
        <v>1596</v>
      </c>
      <c r="C480" t="s">
        <v>1682</v>
      </c>
      <c r="D480" t="str">
        <f t="shared" si="28"/>
        <v>Male</v>
      </c>
      <c r="E480" t="s">
        <v>9</v>
      </c>
      <c r="F480" s="2">
        <v>25</v>
      </c>
      <c r="G480" s="2" t="str" cm="1">
        <f t="array" ref="G480">_xlfn.IFS(F480&lt;=8,"Child",F480&lt;=17,"Teen",F480&lt;=35,"Adult",F480&lt;=55,"Seniour Adult",F480&gt;=55,"Old Age")</f>
        <v>Adult</v>
      </c>
      <c r="H480" t="s">
        <v>10</v>
      </c>
      <c r="I480" t="s">
        <v>11</v>
      </c>
      <c r="J480" t="str" cm="1">
        <f t="array" ref="J480">_xlfn.IFS(I480="S","Southamptom",I480="Q","Quentown",I480="C","Cherbrug",I480="B","Cabin")</f>
        <v>Southamptom</v>
      </c>
      <c r="K480" t="s">
        <v>15</v>
      </c>
      <c r="L480" s="2">
        <v>8.01</v>
      </c>
      <c r="M480" s="2" t="str" cm="1">
        <f t="array" ref="M480">_xlfn.IFS(L480&lt;=15,"Low Fare",L480&lt;=35,"Medium Fare",L480&lt;=100,"High Fare",L480&gt;=100,"Very High Fare")</f>
        <v>Low Fare</v>
      </c>
      <c r="N480" s="2">
        <v>0</v>
      </c>
      <c r="O480" s="2">
        <v>0</v>
      </c>
      <c r="P480">
        <f t="shared" si="29"/>
        <v>1</v>
      </c>
      <c r="Q480" t="str">
        <f t="shared" si="30"/>
        <v>Alone</v>
      </c>
      <c r="R480" t="str">
        <f t="shared" si="31"/>
        <v>No</v>
      </c>
      <c r="S480" t="s">
        <v>13</v>
      </c>
    </row>
    <row r="481" spans="1:19" x14ac:dyDescent="0.3">
      <c r="A481" s="1" t="s">
        <v>389</v>
      </c>
      <c r="B481" t="s">
        <v>1596</v>
      </c>
      <c r="C481" t="s">
        <v>2040</v>
      </c>
      <c r="D481" t="str">
        <f t="shared" si="28"/>
        <v>Male</v>
      </c>
      <c r="E481" t="s">
        <v>9</v>
      </c>
      <c r="F481" s="2">
        <v>46</v>
      </c>
      <c r="G481" s="2" t="str" cm="1">
        <f t="array" ref="G481">_xlfn.IFS(F481&lt;=8,"Child",F481&lt;=17,"Teen",F481&lt;=35,"Adult",F481&lt;=55,"Seniour Adult",F481&gt;=55,"Old Age")</f>
        <v>Seniour Adult</v>
      </c>
      <c r="H481" t="s">
        <v>25</v>
      </c>
      <c r="I481" t="s">
        <v>19</v>
      </c>
      <c r="J481" t="str" cm="1">
        <f t="array" ref="J481">_xlfn.IFS(I481="S","Southamptom",I481="Q","Quentown",I481="C","Cherbrug",I481="B","Cabin")</f>
        <v>Cherbrug</v>
      </c>
      <c r="K481" t="s">
        <v>20</v>
      </c>
      <c r="L481" s="2">
        <v>79.040000000000006</v>
      </c>
      <c r="M481" s="2" t="str" cm="1">
        <f t="array" ref="M481">_xlfn.IFS(L481&lt;=15,"Low Fare",L481&lt;=35,"Medium Fare",L481&lt;=100,"High Fare",L481&gt;=100,"Very High Fare")</f>
        <v>High Fare</v>
      </c>
      <c r="N481" s="2">
        <v>0</v>
      </c>
      <c r="O481" s="2">
        <v>0</v>
      </c>
      <c r="P481">
        <f t="shared" si="29"/>
        <v>1</v>
      </c>
      <c r="Q481" t="str">
        <f t="shared" si="30"/>
        <v>Alone</v>
      </c>
      <c r="R481" t="str">
        <f t="shared" si="31"/>
        <v>No</v>
      </c>
      <c r="S481" t="s">
        <v>13</v>
      </c>
    </row>
    <row r="482" spans="1:19" x14ac:dyDescent="0.3">
      <c r="A482" s="1" t="s">
        <v>390</v>
      </c>
      <c r="B482" t="s">
        <v>1596</v>
      </c>
      <c r="C482" t="s">
        <v>2041</v>
      </c>
      <c r="D482" t="str">
        <f t="shared" si="28"/>
        <v>Male</v>
      </c>
      <c r="E482" t="s">
        <v>9</v>
      </c>
      <c r="F482" s="2">
        <v>19</v>
      </c>
      <c r="G482" s="2" t="str" cm="1">
        <f t="array" ref="G482">_xlfn.IFS(F482&lt;=8,"Child",F482&lt;=17,"Teen",F482&lt;=35,"Adult",F482&lt;=55,"Seniour Adult",F482&gt;=55,"Old Age")</f>
        <v>Adult</v>
      </c>
      <c r="H482" t="s">
        <v>10</v>
      </c>
      <c r="I482" t="s">
        <v>11</v>
      </c>
      <c r="J482" t="str" cm="1">
        <f t="array" ref="J482">_xlfn.IFS(I482="S","Southamptom",I482="Q","Quentown",I482="C","Cherbrug",I482="B","Cabin")</f>
        <v>Southamptom</v>
      </c>
      <c r="K482" t="s">
        <v>22</v>
      </c>
      <c r="L482" s="2">
        <v>9.1610999999999994</v>
      </c>
      <c r="M482" s="2" t="str" cm="1">
        <f t="array" ref="M482">_xlfn.IFS(L482&lt;=15,"Low Fare",L482&lt;=35,"Medium Fare",L482&lt;=100,"High Fare",L482&gt;=100,"Very High Fare")</f>
        <v>Low Fare</v>
      </c>
      <c r="N482" s="2">
        <v>0</v>
      </c>
      <c r="O482" s="2">
        <v>0</v>
      </c>
      <c r="P482">
        <f t="shared" si="29"/>
        <v>1</v>
      </c>
      <c r="Q482" t="str">
        <f t="shared" si="30"/>
        <v>Alone</v>
      </c>
      <c r="R482" t="str">
        <f t="shared" si="31"/>
        <v>No</v>
      </c>
      <c r="S482" t="s">
        <v>13</v>
      </c>
    </row>
    <row r="483" spans="1:19" x14ac:dyDescent="0.3">
      <c r="A483" s="1" t="s">
        <v>390</v>
      </c>
      <c r="B483" t="s">
        <v>1596</v>
      </c>
      <c r="C483" t="s">
        <v>2042</v>
      </c>
      <c r="D483" t="str">
        <f t="shared" si="28"/>
        <v>Male</v>
      </c>
      <c r="E483" t="s">
        <v>9</v>
      </c>
      <c r="F483" s="2">
        <v>37</v>
      </c>
      <c r="G483" s="2" t="str" cm="1">
        <f t="array" ref="G483">_xlfn.IFS(F483&lt;=8,"Child",F483&lt;=17,"Teen",F483&lt;=35,"Adult",F483&lt;=55,"Seniour Adult",F483&gt;=55,"Old Age")</f>
        <v>Seniour Adult</v>
      </c>
      <c r="H483" t="s">
        <v>10</v>
      </c>
      <c r="I483" t="s">
        <v>11</v>
      </c>
      <c r="J483" t="str" cm="1">
        <f t="array" ref="J483">_xlfn.IFS(I483="S","Southamptom",I483="Q","Quentown",I483="C","Cherbrug",I483="B","Cabin")</f>
        <v>Southamptom</v>
      </c>
      <c r="K483" t="s">
        <v>22</v>
      </c>
      <c r="L483" s="2">
        <v>7.1806000000000001</v>
      </c>
      <c r="M483" s="2" t="str" cm="1">
        <f t="array" ref="M483">_xlfn.IFS(L483&lt;=15,"Low Fare",L483&lt;=35,"Medium Fare",L483&lt;=100,"High Fare",L483&gt;=100,"Very High Fare")</f>
        <v>Low Fare</v>
      </c>
      <c r="N483" s="2">
        <v>2</v>
      </c>
      <c r="O483" s="2">
        <v>0</v>
      </c>
      <c r="P483">
        <f t="shared" si="29"/>
        <v>3</v>
      </c>
      <c r="Q483" t="str">
        <f t="shared" si="30"/>
        <v>With Family</v>
      </c>
      <c r="R483" t="str">
        <f t="shared" si="31"/>
        <v>No</v>
      </c>
      <c r="S483" t="s">
        <v>13</v>
      </c>
    </row>
    <row r="484" spans="1:19" x14ac:dyDescent="0.3">
      <c r="A484" s="1" t="s">
        <v>390</v>
      </c>
      <c r="B484" t="s">
        <v>1596</v>
      </c>
      <c r="C484" t="s">
        <v>2043</v>
      </c>
      <c r="D484" t="str">
        <f t="shared" si="28"/>
        <v>Male</v>
      </c>
      <c r="E484" t="s">
        <v>9</v>
      </c>
      <c r="F484" s="2">
        <v>28</v>
      </c>
      <c r="G484" s="2" t="str" cm="1">
        <f t="array" ref="G484">_xlfn.IFS(F484&lt;=8,"Child",F484&lt;=17,"Teen",F484&lt;=35,"Adult",F484&lt;=55,"Seniour Adult",F484&gt;=55,"Old Age")</f>
        <v>Adult</v>
      </c>
      <c r="H484" t="s">
        <v>10</v>
      </c>
      <c r="I484" t="s">
        <v>11</v>
      </c>
      <c r="J484" t="str" cm="1">
        <f t="array" ref="J484">_xlfn.IFS(I484="S","Southamptom",I484="Q","Quentown",I484="C","Cherbrug",I484="B","Cabin")</f>
        <v>Southamptom</v>
      </c>
      <c r="K484" t="s">
        <v>22</v>
      </c>
      <c r="L484" s="2">
        <v>7.1806000000000001</v>
      </c>
      <c r="M484" s="2" t="str" cm="1">
        <f t="array" ref="M484">_xlfn.IFS(L484&lt;=15,"Low Fare",L484&lt;=35,"Medium Fare",L484&lt;=100,"High Fare",L484&gt;=100,"Very High Fare")</f>
        <v>Low Fare</v>
      </c>
      <c r="N484" s="2">
        <v>2</v>
      </c>
      <c r="O484" s="2">
        <v>0</v>
      </c>
      <c r="P484">
        <f t="shared" si="29"/>
        <v>3</v>
      </c>
      <c r="Q484" t="str">
        <f t="shared" si="30"/>
        <v>With Family</v>
      </c>
      <c r="R484" t="str">
        <f t="shared" si="31"/>
        <v>No</v>
      </c>
      <c r="S484" t="s">
        <v>13</v>
      </c>
    </row>
    <row r="485" spans="1:19" x14ac:dyDescent="0.3">
      <c r="A485" s="1" t="s">
        <v>390</v>
      </c>
      <c r="B485" t="s">
        <v>1596</v>
      </c>
      <c r="C485" t="s">
        <v>2044</v>
      </c>
      <c r="D485" t="str">
        <f t="shared" si="28"/>
        <v>Male</v>
      </c>
      <c r="E485" t="s">
        <v>9</v>
      </c>
      <c r="F485" s="2">
        <v>19</v>
      </c>
      <c r="G485" s="2" t="str" cm="1">
        <f t="array" ref="G485">_xlfn.IFS(F485&lt;=8,"Child",F485&lt;=17,"Teen",F485&lt;=35,"Adult",F485&lt;=55,"Seniour Adult",F485&gt;=55,"Old Age")</f>
        <v>Adult</v>
      </c>
      <c r="H485" t="s">
        <v>10</v>
      </c>
      <c r="I485" t="s">
        <v>11</v>
      </c>
      <c r="J485" t="str" cm="1">
        <f t="array" ref="J485">_xlfn.IFS(I485="S","Southamptom",I485="Q","Quentown",I485="C","Cherbrug",I485="B","Cabin")</f>
        <v>Southamptom</v>
      </c>
      <c r="K485" t="s">
        <v>23</v>
      </c>
      <c r="L485" s="2">
        <v>7.1505999999999998</v>
      </c>
      <c r="M485" s="2" t="str" cm="1">
        <f t="array" ref="M485">_xlfn.IFS(L485&lt;=15,"Low Fare",L485&lt;=35,"Medium Fare",L485&lt;=100,"High Fare",L485&gt;=100,"Very High Fare")</f>
        <v>Low Fare</v>
      </c>
      <c r="N485" s="2">
        <v>0</v>
      </c>
      <c r="O485" s="2">
        <v>0</v>
      </c>
      <c r="P485">
        <f t="shared" si="29"/>
        <v>1</v>
      </c>
      <c r="Q485" t="str">
        <f t="shared" si="30"/>
        <v>Alone</v>
      </c>
      <c r="R485" t="str">
        <f t="shared" si="31"/>
        <v>No</v>
      </c>
      <c r="S485" t="s">
        <v>13</v>
      </c>
    </row>
    <row r="486" spans="1:19" x14ac:dyDescent="0.3">
      <c r="A486" s="1" t="s">
        <v>391</v>
      </c>
      <c r="B486" t="s">
        <v>1602</v>
      </c>
      <c r="C486" t="s">
        <v>2045</v>
      </c>
      <c r="D486" t="str">
        <f t="shared" si="28"/>
        <v>Female</v>
      </c>
      <c r="E486" t="s">
        <v>14</v>
      </c>
      <c r="F486" s="2">
        <v>24</v>
      </c>
      <c r="G486" s="2" t="str" cm="1">
        <f t="array" ref="G486">_xlfn.IFS(F486&lt;=8,"Child",F486&lt;=17,"Teen",F486&lt;=35,"Adult",F486&lt;=55,"Seniour Adult",F486&gt;=55,"Old Age")</f>
        <v>Adult</v>
      </c>
      <c r="H486" t="s">
        <v>10</v>
      </c>
      <c r="I486" t="s">
        <v>11</v>
      </c>
      <c r="J486" t="str" cm="1">
        <f t="array" ref="J486">_xlfn.IFS(I486="S","Southamptom",I486="Q","Quentown",I486="C","Cherbrug",I486="B","Cabin")</f>
        <v>Southamptom</v>
      </c>
      <c r="K486" t="s">
        <v>32</v>
      </c>
      <c r="L486" s="2">
        <v>8.17</v>
      </c>
      <c r="M486" s="2" t="str" cm="1">
        <f t="array" ref="M486">_xlfn.IFS(L486&lt;=15,"Low Fare",L486&lt;=35,"Medium Fare",L486&lt;=100,"High Fare",L486&gt;=100,"Very High Fare")</f>
        <v>Low Fare</v>
      </c>
      <c r="N486" s="2">
        <v>0</v>
      </c>
      <c r="O486" s="2">
        <v>0</v>
      </c>
      <c r="P486">
        <f t="shared" si="29"/>
        <v>1</v>
      </c>
      <c r="Q486" t="str">
        <f t="shared" si="30"/>
        <v>Alone</v>
      </c>
      <c r="R486" t="str">
        <f t="shared" si="31"/>
        <v>No</v>
      </c>
      <c r="S486" t="s">
        <v>13</v>
      </c>
    </row>
    <row r="487" spans="1:19" x14ac:dyDescent="0.3">
      <c r="A487" s="1" t="s">
        <v>392</v>
      </c>
      <c r="B487" t="s">
        <v>1596</v>
      </c>
      <c r="C487" t="s">
        <v>2046</v>
      </c>
      <c r="D487" t="str">
        <f t="shared" si="28"/>
        <v>Male</v>
      </c>
      <c r="E487" t="s">
        <v>9</v>
      </c>
      <c r="F487" s="2">
        <v>28</v>
      </c>
      <c r="G487" s="2" t="str" cm="1">
        <f t="array" ref="G487">_xlfn.IFS(F487&lt;=8,"Child",F487&lt;=17,"Teen",F487&lt;=35,"Adult",F487&lt;=55,"Seniour Adult",F487&gt;=55,"Old Age")</f>
        <v>Adult</v>
      </c>
      <c r="H487" t="s">
        <v>10</v>
      </c>
      <c r="I487" t="s">
        <v>11</v>
      </c>
      <c r="J487" t="str" cm="1">
        <f t="array" ref="J487">_xlfn.IFS(I487="S","Southamptom",I487="Q","Quentown",I487="C","Cherbrug",I487="B","Cabin")</f>
        <v>Southamptom</v>
      </c>
      <c r="K487" t="s">
        <v>17</v>
      </c>
      <c r="L487" s="2">
        <v>6.1904000000000003</v>
      </c>
      <c r="M487" s="2" t="str" cm="1">
        <f t="array" ref="M487">_xlfn.IFS(L487&lt;=15,"Low Fare",L487&lt;=35,"Medium Fare",L487&lt;=100,"High Fare",L487&gt;=100,"Very High Fare")</f>
        <v>Low Fare</v>
      </c>
      <c r="N487" s="2">
        <v>1</v>
      </c>
      <c r="O487" s="2">
        <v>0</v>
      </c>
      <c r="P487">
        <f t="shared" si="29"/>
        <v>2</v>
      </c>
      <c r="Q487" t="str">
        <f t="shared" si="30"/>
        <v>With Family</v>
      </c>
      <c r="R487" t="str">
        <f t="shared" si="31"/>
        <v>No</v>
      </c>
      <c r="S487" t="s">
        <v>13</v>
      </c>
    </row>
    <row r="488" spans="1:19" x14ac:dyDescent="0.3">
      <c r="A488" s="1" t="s">
        <v>392</v>
      </c>
      <c r="B488" t="s">
        <v>1596</v>
      </c>
      <c r="C488" t="s">
        <v>2047</v>
      </c>
      <c r="D488" t="str">
        <f t="shared" si="28"/>
        <v>Male</v>
      </c>
      <c r="E488" t="s">
        <v>9</v>
      </c>
      <c r="F488" s="2">
        <v>19</v>
      </c>
      <c r="G488" s="2" t="str" cm="1">
        <f t="array" ref="G488">_xlfn.IFS(F488&lt;=8,"Child",F488&lt;=17,"Teen",F488&lt;=35,"Adult",F488&lt;=55,"Seniour Adult",F488&gt;=55,"Old Age")</f>
        <v>Adult</v>
      </c>
      <c r="H488" t="s">
        <v>10</v>
      </c>
      <c r="I488" t="s">
        <v>11</v>
      </c>
      <c r="J488" t="str" cm="1">
        <f t="array" ref="J488">_xlfn.IFS(I488="S","Southamptom",I488="Q","Quentown",I488="C","Cherbrug",I488="B","Cabin")</f>
        <v>Southamptom</v>
      </c>
      <c r="K488" t="s">
        <v>17</v>
      </c>
      <c r="L488" s="2">
        <v>6.1904000000000003</v>
      </c>
      <c r="M488" s="2" t="str" cm="1">
        <f t="array" ref="M488">_xlfn.IFS(L488&lt;=15,"Low Fare",L488&lt;=35,"Medium Fare",L488&lt;=100,"High Fare",L488&gt;=100,"Very High Fare")</f>
        <v>Low Fare</v>
      </c>
      <c r="N488" s="2">
        <v>1</v>
      </c>
      <c r="O488" s="2">
        <v>0</v>
      </c>
      <c r="P488">
        <f t="shared" si="29"/>
        <v>2</v>
      </c>
      <c r="Q488" t="str">
        <f t="shared" si="30"/>
        <v>With Family</v>
      </c>
      <c r="R488" t="str">
        <f t="shared" si="31"/>
        <v>No</v>
      </c>
      <c r="S488" t="s">
        <v>13</v>
      </c>
    </row>
    <row r="489" spans="1:19" x14ac:dyDescent="0.3">
      <c r="A489" s="1" t="s">
        <v>393</v>
      </c>
      <c r="B489" t="s">
        <v>1596</v>
      </c>
      <c r="C489" t="s">
        <v>2048</v>
      </c>
      <c r="D489" t="str">
        <f t="shared" si="28"/>
        <v>Male</v>
      </c>
      <c r="E489" t="s">
        <v>9</v>
      </c>
      <c r="F489" s="2">
        <v>28</v>
      </c>
      <c r="G489" s="2" t="str" cm="1">
        <f t="array" ref="G489">_xlfn.IFS(F489&lt;=8,"Child",F489&lt;=17,"Teen",F489&lt;=35,"Adult",F489&lt;=55,"Seniour Adult",F489&gt;=55,"Old Age")</f>
        <v>Adult</v>
      </c>
      <c r="H489" t="s">
        <v>10</v>
      </c>
      <c r="I489" t="s">
        <v>11</v>
      </c>
      <c r="J489" t="str" cm="1">
        <f t="array" ref="J489">_xlfn.IFS(I489="S","Southamptom",I489="Q","Quentown",I489="C","Cherbrug",I489="B","Cabin")</f>
        <v>Southamptom</v>
      </c>
      <c r="K489" t="s">
        <v>22</v>
      </c>
      <c r="L489" s="2">
        <v>15.17</v>
      </c>
      <c r="M489" s="2" t="str" cm="1">
        <f t="array" ref="M489">_xlfn.IFS(L489&lt;=15,"Low Fare",L489&lt;=35,"Medium Fare",L489&lt;=100,"High Fare",L489&gt;=100,"Very High Fare")</f>
        <v>Medium Fare</v>
      </c>
      <c r="N489" s="2">
        <v>1</v>
      </c>
      <c r="O489" s="2">
        <v>0</v>
      </c>
      <c r="P489">
        <f t="shared" si="29"/>
        <v>2</v>
      </c>
      <c r="Q489" t="str">
        <f t="shared" si="30"/>
        <v>With Family</v>
      </c>
      <c r="R489" t="str">
        <f t="shared" si="31"/>
        <v>No</v>
      </c>
      <c r="S489" t="s">
        <v>13</v>
      </c>
    </row>
    <row r="490" spans="1:19" x14ac:dyDescent="0.3">
      <c r="A490" s="1" t="s">
        <v>393</v>
      </c>
      <c r="B490" t="s">
        <v>1600</v>
      </c>
      <c r="C490" t="s">
        <v>2049</v>
      </c>
      <c r="D490" t="str">
        <f t="shared" si="28"/>
        <v>Female</v>
      </c>
      <c r="E490" t="s">
        <v>14</v>
      </c>
      <c r="F490" s="2">
        <v>24</v>
      </c>
      <c r="G490" s="2" t="str" cm="1">
        <f t="array" ref="G490">_xlfn.IFS(F490&lt;=8,"Child",F490&lt;=17,"Teen",F490&lt;=35,"Adult",F490&lt;=55,"Seniour Adult",F490&gt;=55,"Old Age")</f>
        <v>Adult</v>
      </c>
      <c r="H490" t="s">
        <v>10</v>
      </c>
      <c r="I490" t="s">
        <v>11</v>
      </c>
      <c r="J490" t="str" cm="1">
        <f t="array" ref="J490">_xlfn.IFS(I490="S","Southamptom",I490="Q","Quentown",I490="C","Cherbrug",I490="B","Cabin")</f>
        <v>Southamptom</v>
      </c>
      <c r="K490" t="s">
        <v>22</v>
      </c>
      <c r="L490" s="2">
        <v>15.17</v>
      </c>
      <c r="M490" s="2" t="str" cm="1">
        <f t="array" ref="M490">_xlfn.IFS(L490&lt;=15,"Low Fare",L490&lt;=35,"Medium Fare",L490&lt;=100,"High Fare",L490&gt;=100,"Very High Fare")</f>
        <v>Medium Fare</v>
      </c>
      <c r="N490" s="2">
        <v>1</v>
      </c>
      <c r="O490" s="2">
        <v>0</v>
      </c>
      <c r="P490">
        <f t="shared" si="29"/>
        <v>2</v>
      </c>
      <c r="Q490" t="str">
        <f t="shared" si="30"/>
        <v>With Family</v>
      </c>
      <c r="R490" t="str">
        <f t="shared" si="31"/>
        <v>Yes</v>
      </c>
      <c r="S490" t="s">
        <v>16</v>
      </c>
    </row>
    <row r="491" spans="1:19" x14ac:dyDescent="0.3">
      <c r="A491" s="1" t="s">
        <v>394</v>
      </c>
      <c r="B491" t="s">
        <v>1596</v>
      </c>
      <c r="C491" t="s">
        <v>2050</v>
      </c>
      <c r="D491" t="str">
        <f t="shared" si="28"/>
        <v>Male</v>
      </c>
      <c r="E491" t="s">
        <v>9</v>
      </c>
      <c r="F491" s="2">
        <v>30</v>
      </c>
      <c r="G491" s="2" t="str" cm="1">
        <f t="array" ref="G491">_xlfn.IFS(F491&lt;=8,"Child",F491&lt;=17,"Teen",F491&lt;=35,"Adult",F491&lt;=55,"Seniour Adult",F491&gt;=55,"Old Age")</f>
        <v>Adult</v>
      </c>
      <c r="H491" t="s">
        <v>18</v>
      </c>
      <c r="I491" t="s">
        <v>11</v>
      </c>
      <c r="J491" t="str" cm="1">
        <f t="array" ref="J491">_xlfn.IFS(I491="S","Southamptom",I491="Q","Quentown",I491="C","Cherbrug",I491="B","Cabin")</f>
        <v>Southamptom</v>
      </c>
      <c r="K491" t="s">
        <v>15</v>
      </c>
      <c r="L491" s="2">
        <v>13</v>
      </c>
      <c r="M491" s="2" t="str" cm="1">
        <f t="array" ref="M491">_xlfn.IFS(L491&lt;=15,"Low Fare",L491&lt;=35,"Medium Fare",L491&lt;=100,"High Fare",L491&gt;=100,"Very High Fare")</f>
        <v>Low Fare</v>
      </c>
      <c r="N491" s="2">
        <v>0</v>
      </c>
      <c r="O491" s="2">
        <v>0</v>
      </c>
      <c r="P491">
        <f t="shared" si="29"/>
        <v>1</v>
      </c>
      <c r="Q491" t="str">
        <f t="shared" si="30"/>
        <v>Alone</v>
      </c>
      <c r="R491" t="str">
        <f t="shared" si="31"/>
        <v>No</v>
      </c>
      <c r="S491" t="s">
        <v>13</v>
      </c>
    </row>
    <row r="492" spans="1:19" x14ac:dyDescent="0.3">
      <c r="A492" s="1" t="s">
        <v>395</v>
      </c>
      <c r="B492" t="s">
        <v>1612</v>
      </c>
      <c r="C492" t="s">
        <v>2051</v>
      </c>
      <c r="D492" t="str">
        <f t="shared" si="28"/>
        <v>Male</v>
      </c>
      <c r="E492" t="s">
        <v>9</v>
      </c>
      <c r="F492" s="2">
        <v>0.58333333330000003</v>
      </c>
      <c r="G492" s="2" t="str" cm="1">
        <f t="array" ref="G492">_xlfn.IFS(F492&lt;=8,"Child",F492&lt;=17,"Teen",F492&lt;=35,"Adult",F492&lt;=55,"Seniour Adult",F492&gt;=55,"Old Age")</f>
        <v>Child</v>
      </c>
      <c r="H492" t="s">
        <v>18</v>
      </c>
      <c r="I492" t="s">
        <v>11</v>
      </c>
      <c r="J492" t="str" cm="1">
        <f t="array" ref="J492">_xlfn.IFS(I492="S","Southamptom",I492="Q","Quentown",I492="C","Cherbrug",I492="B","Cabin")</f>
        <v>Southamptom</v>
      </c>
      <c r="K492" t="s">
        <v>12</v>
      </c>
      <c r="L492" s="2">
        <v>14.1</v>
      </c>
      <c r="M492" s="2" t="str" cm="1">
        <f t="array" ref="M492">_xlfn.IFS(L492&lt;=15,"Low Fare",L492&lt;=35,"Medium Fare",L492&lt;=100,"High Fare",L492&gt;=100,"Very High Fare")</f>
        <v>Low Fare</v>
      </c>
      <c r="N492" s="2">
        <v>1</v>
      </c>
      <c r="O492" s="2">
        <v>1</v>
      </c>
      <c r="P492">
        <f t="shared" si="29"/>
        <v>3</v>
      </c>
      <c r="Q492" t="str">
        <f t="shared" si="30"/>
        <v>With Family</v>
      </c>
      <c r="R492" t="str">
        <f t="shared" si="31"/>
        <v>Yes</v>
      </c>
      <c r="S492" t="s">
        <v>16</v>
      </c>
    </row>
    <row r="493" spans="1:19" x14ac:dyDescent="0.3">
      <c r="A493" s="1" t="s">
        <v>395</v>
      </c>
      <c r="B493" t="s">
        <v>1600</v>
      </c>
      <c r="C493" t="s">
        <v>1912</v>
      </c>
      <c r="D493" t="str">
        <f t="shared" si="28"/>
        <v>Female</v>
      </c>
      <c r="E493" t="s">
        <v>14</v>
      </c>
      <c r="F493" s="2">
        <v>23</v>
      </c>
      <c r="G493" s="2" t="str" cm="1">
        <f t="array" ref="G493">_xlfn.IFS(F493&lt;=8,"Child",F493&lt;=17,"Teen",F493&lt;=35,"Adult",F493&lt;=55,"Seniour Adult",F493&gt;=55,"Old Age")</f>
        <v>Adult</v>
      </c>
      <c r="H493" t="s">
        <v>18</v>
      </c>
      <c r="I493" t="s">
        <v>11</v>
      </c>
      <c r="J493" t="str" cm="1">
        <f t="array" ref="J493">_xlfn.IFS(I493="S","Southamptom",I493="Q","Quentown",I493="C","Cherbrug",I493="B","Cabin")</f>
        <v>Southamptom</v>
      </c>
      <c r="K493" t="s">
        <v>12</v>
      </c>
      <c r="L493" s="2">
        <v>14.1</v>
      </c>
      <c r="M493" s="2" t="str" cm="1">
        <f t="array" ref="M493">_xlfn.IFS(L493&lt;=15,"Low Fare",L493&lt;=35,"Medium Fare",L493&lt;=100,"High Fare",L493&gt;=100,"Very High Fare")</f>
        <v>Low Fare</v>
      </c>
      <c r="N493" s="2">
        <v>0</v>
      </c>
      <c r="O493" s="2">
        <v>2</v>
      </c>
      <c r="P493">
        <f t="shared" si="29"/>
        <v>3</v>
      </c>
      <c r="Q493" t="str">
        <f t="shared" si="30"/>
        <v>With Family</v>
      </c>
      <c r="R493" t="str">
        <f t="shared" si="31"/>
        <v>Yes</v>
      </c>
      <c r="S493" t="s">
        <v>16</v>
      </c>
    </row>
    <row r="494" spans="1:19" x14ac:dyDescent="0.3">
      <c r="A494" s="1" t="s">
        <v>396</v>
      </c>
      <c r="B494" t="s">
        <v>1596</v>
      </c>
      <c r="C494" t="s">
        <v>2052</v>
      </c>
      <c r="D494" t="str">
        <f t="shared" si="28"/>
        <v>Male</v>
      </c>
      <c r="E494" t="s">
        <v>9</v>
      </c>
      <c r="F494" s="2">
        <v>19</v>
      </c>
      <c r="G494" s="2" t="str" cm="1">
        <f t="array" ref="G494">_xlfn.IFS(F494&lt;=8,"Child",F494&lt;=17,"Teen",F494&lt;=35,"Adult",F494&lt;=55,"Seniour Adult",F494&gt;=55,"Old Age")</f>
        <v>Adult</v>
      </c>
      <c r="H494" t="s">
        <v>10</v>
      </c>
      <c r="I494" t="s">
        <v>11</v>
      </c>
      <c r="J494" t="str" cm="1">
        <f t="array" ref="J494">_xlfn.IFS(I494="S","Southamptom",I494="Q","Quentown",I494="C","Cherbrug",I494="B","Cabin")</f>
        <v>Southamptom</v>
      </c>
      <c r="K494" t="s">
        <v>46</v>
      </c>
      <c r="L494" s="2">
        <v>9.1</v>
      </c>
      <c r="M494" s="2" t="str" cm="1">
        <f t="array" ref="M494">_xlfn.IFS(L494&lt;=15,"Low Fare",L494&lt;=35,"Medium Fare",L494&lt;=100,"High Fare",L494&gt;=100,"Very High Fare")</f>
        <v>Low Fare</v>
      </c>
      <c r="N494" s="2">
        <v>0</v>
      </c>
      <c r="O494" s="2">
        <v>0</v>
      </c>
      <c r="P494">
        <f t="shared" si="29"/>
        <v>1</v>
      </c>
      <c r="Q494" t="str">
        <f t="shared" si="30"/>
        <v>Alone</v>
      </c>
      <c r="R494" t="str">
        <f t="shared" si="31"/>
        <v>No</v>
      </c>
      <c r="S494" t="s">
        <v>13</v>
      </c>
    </row>
    <row r="495" spans="1:19" x14ac:dyDescent="0.3">
      <c r="A495" s="1" t="s">
        <v>397</v>
      </c>
      <c r="B495" t="s">
        <v>1596</v>
      </c>
      <c r="C495" t="s">
        <v>2053</v>
      </c>
      <c r="D495" t="str">
        <f t="shared" si="28"/>
        <v>Male</v>
      </c>
      <c r="E495" t="s">
        <v>9</v>
      </c>
      <c r="F495" s="2">
        <v>27</v>
      </c>
      <c r="G495" s="2" t="str" cm="1">
        <f t="array" ref="G495">_xlfn.IFS(F495&lt;=8,"Child",F495&lt;=17,"Teen",F495&lt;=35,"Adult",F495&lt;=55,"Seniour Adult",F495&gt;=55,"Old Age")</f>
        <v>Adult</v>
      </c>
      <c r="H495" t="s">
        <v>10</v>
      </c>
      <c r="I495" t="s">
        <v>19</v>
      </c>
      <c r="J495" t="str" cm="1">
        <f t="array" ref="J495">_xlfn.IFS(I495="S","Southamptom",I495="Q","Quentown",I495="C","Cherbrug",I495="B","Cabin")</f>
        <v>Cherbrug</v>
      </c>
      <c r="K495" t="s">
        <v>21</v>
      </c>
      <c r="L495" s="2">
        <v>7.0407000000000002</v>
      </c>
      <c r="M495" s="2" t="str" cm="1">
        <f t="array" ref="M495">_xlfn.IFS(L495&lt;=15,"Low Fare",L495&lt;=35,"Medium Fare",L495&lt;=100,"High Fare",L495&gt;=100,"Very High Fare")</f>
        <v>Low Fare</v>
      </c>
      <c r="N495" s="2">
        <v>0</v>
      </c>
      <c r="O495" s="2">
        <v>0</v>
      </c>
      <c r="P495">
        <f t="shared" si="29"/>
        <v>1</v>
      </c>
      <c r="Q495" t="str">
        <f t="shared" si="30"/>
        <v>Alone</v>
      </c>
      <c r="R495" t="str">
        <f t="shared" si="31"/>
        <v>Yes</v>
      </c>
      <c r="S495" t="s">
        <v>16</v>
      </c>
    </row>
    <row r="496" spans="1:19" x14ac:dyDescent="0.3">
      <c r="A496" s="1" t="s">
        <v>398</v>
      </c>
      <c r="B496" t="s">
        <v>1596</v>
      </c>
      <c r="C496" t="s">
        <v>2054</v>
      </c>
      <c r="D496" t="str">
        <f t="shared" si="28"/>
        <v>Male</v>
      </c>
      <c r="E496" t="s">
        <v>9</v>
      </c>
      <c r="F496" s="2">
        <v>18</v>
      </c>
      <c r="G496" s="2" t="str" cm="1">
        <f t="array" ref="G496">_xlfn.IFS(F496&lt;=8,"Child",F496&lt;=17,"Teen",F496&lt;=35,"Adult",F496&lt;=55,"Seniour Adult",F496&gt;=55,"Old Age")</f>
        <v>Adult</v>
      </c>
      <c r="H496" t="s">
        <v>10</v>
      </c>
      <c r="I496" t="s">
        <v>19</v>
      </c>
      <c r="J496" t="str" cm="1">
        <f t="array" ref="J496">_xlfn.IFS(I496="S","Southamptom",I496="Q","Quentown",I496="C","Cherbrug",I496="B","Cabin")</f>
        <v>Cherbrug</v>
      </c>
      <c r="K496" t="s">
        <v>21</v>
      </c>
      <c r="L496" s="2">
        <v>7.0406000000000004</v>
      </c>
      <c r="M496" s="2" t="str" cm="1">
        <f t="array" ref="M496">_xlfn.IFS(L496&lt;=15,"Low Fare",L496&lt;=35,"Medium Fare",L496&lt;=100,"High Fare",L496&gt;=100,"Very High Fare")</f>
        <v>Low Fare</v>
      </c>
      <c r="N496" s="2">
        <v>0</v>
      </c>
      <c r="O496" s="2">
        <v>0</v>
      </c>
      <c r="P496">
        <f t="shared" si="29"/>
        <v>1</v>
      </c>
      <c r="Q496" t="str">
        <f t="shared" si="30"/>
        <v>Alone</v>
      </c>
      <c r="R496" t="str">
        <f t="shared" si="31"/>
        <v>No</v>
      </c>
      <c r="S496" t="s">
        <v>13</v>
      </c>
    </row>
    <row r="497" spans="1:19" x14ac:dyDescent="0.3">
      <c r="A497" s="1" t="s">
        <v>398</v>
      </c>
      <c r="B497" t="s">
        <v>1596</v>
      </c>
      <c r="C497" t="s">
        <v>2055</v>
      </c>
      <c r="D497" t="str">
        <f t="shared" si="28"/>
        <v>Male</v>
      </c>
      <c r="E497" t="s">
        <v>9</v>
      </c>
      <c r="F497" s="2">
        <v>35</v>
      </c>
      <c r="G497" s="2" t="str" cm="1">
        <f t="array" ref="G497">_xlfn.IFS(F497&lt;=8,"Child",F497&lt;=17,"Teen",F497&lt;=35,"Adult",F497&lt;=55,"Seniour Adult",F497&gt;=55,"Old Age")</f>
        <v>Adult</v>
      </c>
      <c r="H497" t="s">
        <v>10</v>
      </c>
      <c r="I497" t="s">
        <v>19</v>
      </c>
      <c r="J497" t="str" cm="1">
        <f t="array" ref="J497">_xlfn.IFS(I497="S","Southamptom",I497="Q","Quentown",I497="C","Cherbrug",I497="B","Cabin")</f>
        <v>Cherbrug</v>
      </c>
      <c r="K497" t="s">
        <v>21</v>
      </c>
      <c r="L497" s="2">
        <v>7.0407000000000002</v>
      </c>
      <c r="M497" s="2" t="str" cm="1">
        <f t="array" ref="M497">_xlfn.IFS(L497&lt;=15,"Low Fare",L497&lt;=35,"Medium Fare",L497&lt;=100,"High Fare",L497&gt;=100,"Very High Fare")</f>
        <v>Low Fare</v>
      </c>
      <c r="N497" s="2">
        <v>0</v>
      </c>
      <c r="O497" s="2">
        <v>0</v>
      </c>
      <c r="P497">
        <f t="shared" si="29"/>
        <v>1</v>
      </c>
      <c r="Q497" t="str">
        <f t="shared" si="30"/>
        <v>Alone</v>
      </c>
      <c r="R497" t="str">
        <f t="shared" si="31"/>
        <v>No</v>
      </c>
      <c r="S497" t="s">
        <v>13</v>
      </c>
    </row>
    <row r="498" spans="1:19" x14ac:dyDescent="0.3">
      <c r="A498" s="1" t="s">
        <v>399</v>
      </c>
      <c r="B498" t="s">
        <v>1596</v>
      </c>
      <c r="C498" t="s">
        <v>2056</v>
      </c>
      <c r="D498" t="str">
        <f t="shared" si="28"/>
        <v>Male</v>
      </c>
      <c r="E498" t="s">
        <v>9</v>
      </c>
      <c r="F498" s="2">
        <v>41</v>
      </c>
      <c r="G498" s="2" t="str" cm="1">
        <f t="array" ref="G498">_xlfn.IFS(F498&lt;=8,"Child",F498&lt;=17,"Teen",F498&lt;=35,"Adult",F498&lt;=55,"Seniour Adult",F498&gt;=55,"Old Age")</f>
        <v>Seniour Adult</v>
      </c>
      <c r="H498" t="s">
        <v>10</v>
      </c>
      <c r="I498" t="s">
        <v>11</v>
      </c>
      <c r="J498" t="str" cm="1">
        <f t="array" ref="J498">_xlfn.IFS(I498="S","Southamptom",I498="Q","Quentown",I498="C","Cherbrug",I498="B","Cabin")</f>
        <v>Southamptom</v>
      </c>
      <c r="K498" t="s">
        <v>12</v>
      </c>
      <c r="L498" s="2">
        <v>14.020200000000001</v>
      </c>
      <c r="M498" s="2" t="str" cm="1">
        <f t="array" ref="M498">_xlfn.IFS(L498&lt;=15,"Low Fare",L498&lt;=35,"Medium Fare",L498&lt;=100,"High Fare",L498&gt;=100,"Very High Fare")</f>
        <v>Low Fare</v>
      </c>
      <c r="N498" s="2">
        <v>2</v>
      </c>
      <c r="O498" s="2">
        <v>0</v>
      </c>
      <c r="P498">
        <f t="shared" si="29"/>
        <v>3</v>
      </c>
      <c r="Q498" t="str">
        <f t="shared" si="30"/>
        <v>With Family</v>
      </c>
      <c r="R498" t="str">
        <f t="shared" si="31"/>
        <v>No</v>
      </c>
      <c r="S498" t="s">
        <v>13</v>
      </c>
    </row>
    <row r="499" spans="1:19" x14ac:dyDescent="0.3">
      <c r="A499" s="1" t="s">
        <v>399</v>
      </c>
      <c r="B499" t="s">
        <v>1596</v>
      </c>
      <c r="C499" t="s">
        <v>2057</v>
      </c>
      <c r="D499" t="str">
        <f t="shared" si="28"/>
        <v>Male</v>
      </c>
      <c r="E499" t="s">
        <v>9</v>
      </c>
      <c r="F499" s="2">
        <v>26</v>
      </c>
      <c r="G499" s="2" t="str" cm="1">
        <f t="array" ref="G499">_xlfn.IFS(F499&lt;=8,"Child",F499&lt;=17,"Teen",F499&lt;=35,"Adult",F499&lt;=55,"Seniour Adult",F499&gt;=55,"Old Age")</f>
        <v>Adult</v>
      </c>
      <c r="H499" t="s">
        <v>10</v>
      </c>
      <c r="I499" t="s">
        <v>11</v>
      </c>
      <c r="J499" t="str" cm="1">
        <f t="array" ref="J499">_xlfn.IFS(I499="S","Southamptom",I499="Q","Quentown",I499="C","Cherbrug",I499="B","Cabin")</f>
        <v>Southamptom</v>
      </c>
      <c r="K499" t="s">
        <v>27</v>
      </c>
      <c r="L499" s="2">
        <v>7.1700999999999997</v>
      </c>
      <c r="M499" s="2" t="str" cm="1">
        <f t="array" ref="M499">_xlfn.IFS(L499&lt;=15,"Low Fare",L499&lt;=35,"Medium Fare",L499&lt;=100,"High Fare",L499&gt;=100,"Very High Fare")</f>
        <v>Low Fare</v>
      </c>
      <c r="N499" s="2">
        <v>1</v>
      </c>
      <c r="O499" s="2">
        <v>0</v>
      </c>
      <c r="P499">
        <f t="shared" si="29"/>
        <v>2</v>
      </c>
      <c r="Q499" t="str">
        <f t="shared" si="30"/>
        <v>With Family</v>
      </c>
      <c r="R499" t="str">
        <f t="shared" si="31"/>
        <v>No</v>
      </c>
      <c r="S499" t="s">
        <v>13</v>
      </c>
    </row>
    <row r="500" spans="1:19" x14ac:dyDescent="0.3">
      <c r="A500" s="1" t="s">
        <v>399</v>
      </c>
      <c r="B500" t="s">
        <v>1596</v>
      </c>
      <c r="C500" t="s">
        <v>2058</v>
      </c>
      <c r="D500" t="str">
        <f t="shared" si="28"/>
        <v>Male</v>
      </c>
      <c r="E500" t="s">
        <v>9</v>
      </c>
      <c r="F500" s="2">
        <v>21</v>
      </c>
      <c r="G500" s="2" t="str" cm="1">
        <f t="array" ref="G500">_xlfn.IFS(F500&lt;=8,"Child",F500&lt;=17,"Teen",F500&lt;=35,"Adult",F500&lt;=55,"Seniour Adult",F500&gt;=55,"Old Age")</f>
        <v>Adult</v>
      </c>
      <c r="H500" t="s">
        <v>10</v>
      </c>
      <c r="I500" t="s">
        <v>11</v>
      </c>
      <c r="J500" t="str" cm="1">
        <f t="array" ref="J500">_xlfn.IFS(I500="S","Southamptom",I500="Q","Quentown",I500="C","Cherbrug",I500="B","Cabin")</f>
        <v>Southamptom</v>
      </c>
      <c r="K500" t="s">
        <v>27</v>
      </c>
      <c r="L500" s="2">
        <v>7.1700999999999997</v>
      </c>
      <c r="M500" s="2" t="str" cm="1">
        <f t="array" ref="M500">_xlfn.IFS(L500&lt;=15,"Low Fare",L500&lt;=35,"Medium Fare",L500&lt;=100,"High Fare",L500&gt;=100,"Very High Fare")</f>
        <v>Low Fare</v>
      </c>
      <c r="N500" s="2">
        <v>0</v>
      </c>
      <c r="O500" s="2">
        <v>0</v>
      </c>
      <c r="P500">
        <f t="shared" si="29"/>
        <v>1</v>
      </c>
      <c r="Q500" t="str">
        <f t="shared" si="30"/>
        <v>Alone</v>
      </c>
      <c r="R500" t="str">
        <f t="shared" si="31"/>
        <v>No</v>
      </c>
      <c r="S500" t="s">
        <v>13</v>
      </c>
    </row>
    <row r="501" spans="1:19" x14ac:dyDescent="0.3">
      <c r="A501" s="1" t="s">
        <v>399</v>
      </c>
      <c r="B501" t="s">
        <v>1600</v>
      </c>
      <c r="C501" t="s">
        <v>2059</v>
      </c>
      <c r="D501" t="str">
        <f t="shared" si="28"/>
        <v>Female</v>
      </c>
      <c r="E501" t="s">
        <v>14</v>
      </c>
      <c r="F501" s="2">
        <v>45</v>
      </c>
      <c r="G501" s="2" t="str" cm="1">
        <f t="array" ref="G501">_xlfn.IFS(F501&lt;=8,"Child",F501&lt;=17,"Teen",F501&lt;=35,"Adult",F501&lt;=55,"Seniour Adult",F501&gt;=55,"Old Age")</f>
        <v>Seniour Adult</v>
      </c>
      <c r="H501" t="s">
        <v>10</v>
      </c>
      <c r="I501" t="s">
        <v>11</v>
      </c>
      <c r="J501" t="str" cm="1">
        <f t="array" ref="J501">_xlfn.IFS(I501="S","Southamptom",I501="Q","Quentown",I501="C","Cherbrug",I501="B","Cabin")</f>
        <v>Southamptom</v>
      </c>
      <c r="K501" t="s">
        <v>12</v>
      </c>
      <c r="L501" s="2">
        <v>14.020200000000001</v>
      </c>
      <c r="M501" s="2" t="str" cm="1">
        <f t="array" ref="M501">_xlfn.IFS(L501&lt;=15,"Low Fare",L501&lt;=35,"Medium Fare",L501&lt;=100,"High Fare",L501&gt;=100,"Very High Fare")</f>
        <v>Low Fare</v>
      </c>
      <c r="N501" s="2">
        <v>1</v>
      </c>
      <c r="O501" s="2">
        <v>0</v>
      </c>
      <c r="P501">
        <f t="shared" si="29"/>
        <v>2</v>
      </c>
      <c r="Q501" t="str">
        <f t="shared" si="30"/>
        <v>With Family</v>
      </c>
      <c r="R501" t="str">
        <f t="shared" si="31"/>
        <v>Yes</v>
      </c>
      <c r="S501" t="s">
        <v>16</v>
      </c>
    </row>
    <row r="502" spans="1:19" x14ac:dyDescent="0.3">
      <c r="A502" s="1" t="s">
        <v>400</v>
      </c>
      <c r="B502" t="s">
        <v>1596</v>
      </c>
      <c r="C502" t="s">
        <v>2060</v>
      </c>
      <c r="D502" t="str">
        <f t="shared" si="28"/>
        <v>Male</v>
      </c>
      <c r="E502" t="s">
        <v>9</v>
      </c>
      <c r="F502" s="2">
        <v>45</v>
      </c>
      <c r="G502" s="2" t="str" cm="1">
        <f t="array" ref="G502">_xlfn.IFS(F502&lt;=8,"Child",F502&lt;=17,"Teen",F502&lt;=35,"Adult",F502&lt;=55,"Seniour Adult",F502&gt;=55,"Old Age")</f>
        <v>Seniour Adult</v>
      </c>
      <c r="H502" t="s">
        <v>18</v>
      </c>
      <c r="I502" t="s">
        <v>11</v>
      </c>
      <c r="J502" t="str" cm="1">
        <f t="array" ref="J502">_xlfn.IFS(I502="S","Southamptom",I502="Q","Quentown",I502="C","Cherbrug",I502="B","Cabin")</f>
        <v>Southamptom</v>
      </c>
      <c r="K502" t="s">
        <v>12</v>
      </c>
      <c r="L502" s="2">
        <v>13</v>
      </c>
      <c r="M502" s="2" t="str" cm="1">
        <f t="array" ref="M502">_xlfn.IFS(L502&lt;=15,"Low Fare",L502&lt;=35,"Medium Fare",L502&lt;=100,"High Fare",L502&gt;=100,"Very High Fare")</f>
        <v>Low Fare</v>
      </c>
      <c r="N502" s="2">
        <v>0</v>
      </c>
      <c r="O502" s="2">
        <v>0</v>
      </c>
      <c r="P502">
        <f t="shared" si="29"/>
        <v>1</v>
      </c>
      <c r="Q502" t="str">
        <f t="shared" si="30"/>
        <v>Alone</v>
      </c>
      <c r="R502" t="str">
        <f t="shared" si="31"/>
        <v>No</v>
      </c>
      <c r="S502" t="s">
        <v>13</v>
      </c>
    </row>
    <row r="503" spans="1:19" x14ac:dyDescent="0.3">
      <c r="A503" s="1" t="s">
        <v>401</v>
      </c>
      <c r="B503" t="s">
        <v>1596</v>
      </c>
      <c r="C503" t="s">
        <v>2061</v>
      </c>
      <c r="D503" t="str">
        <f t="shared" si="28"/>
        <v>Male</v>
      </c>
      <c r="E503" t="s">
        <v>9</v>
      </c>
      <c r="F503" s="2">
        <v>25</v>
      </c>
      <c r="G503" s="2" t="str" cm="1">
        <f t="array" ref="G503">_xlfn.IFS(F503&lt;=8,"Child",F503&lt;=17,"Teen",F503&lt;=35,"Adult",F503&lt;=55,"Seniour Adult",F503&gt;=55,"Old Age")</f>
        <v>Adult</v>
      </c>
      <c r="H503" t="s">
        <v>25</v>
      </c>
      <c r="I503" t="s">
        <v>19</v>
      </c>
      <c r="J503" t="str" cm="1">
        <f t="array" ref="J503">_xlfn.IFS(I503="S","Southamptom",I503="Q","Quentown",I503="C","Cherbrug",I503="B","Cabin")</f>
        <v>Cherbrug</v>
      </c>
      <c r="K503" t="s">
        <v>12</v>
      </c>
      <c r="L503" s="2">
        <v>55.081000000000003</v>
      </c>
      <c r="M503" s="2" t="str" cm="1">
        <f t="array" ref="M503">_xlfn.IFS(L503&lt;=15,"Low Fare",L503&lt;=35,"Medium Fare",L503&lt;=100,"High Fare",L503&gt;=100,"Very High Fare")</f>
        <v>High Fare</v>
      </c>
      <c r="N503" s="2">
        <v>1</v>
      </c>
      <c r="O503" s="2">
        <v>0</v>
      </c>
      <c r="P503">
        <f t="shared" si="29"/>
        <v>2</v>
      </c>
      <c r="Q503" t="str">
        <f t="shared" si="30"/>
        <v>With Family</v>
      </c>
      <c r="R503" t="str">
        <f t="shared" si="31"/>
        <v>Yes</v>
      </c>
      <c r="S503" t="s">
        <v>16</v>
      </c>
    </row>
    <row r="504" spans="1:19" x14ac:dyDescent="0.3">
      <c r="A504" s="1" t="s">
        <v>401</v>
      </c>
      <c r="B504" t="s">
        <v>1600</v>
      </c>
      <c r="C504" t="s">
        <v>2062</v>
      </c>
      <c r="D504" t="str">
        <f t="shared" si="28"/>
        <v>Female</v>
      </c>
      <c r="E504" t="s">
        <v>14</v>
      </c>
      <c r="F504" s="2">
        <v>21</v>
      </c>
      <c r="G504" s="2" t="str" cm="1">
        <f t="array" ref="G504">_xlfn.IFS(F504&lt;=8,"Child",F504&lt;=17,"Teen",F504&lt;=35,"Adult",F504&lt;=55,"Seniour Adult",F504&gt;=55,"Old Age")</f>
        <v>Adult</v>
      </c>
      <c r="H504" t="s">
        <v>25</v>
      </c>
      <c r="I504" t="s">
        <v>19</v>
      </c>
      <c r="J504" t="str" cm="1">
        <f t="array" ref="J504">_xlfn.IFS(I504="S","Southamptom",I504="Q","Quentown",I504="C","Cherbrug",I504="B","Cabin")</f>
        <v>Cherbrug</v>
      </c>
      <c r="K504" t="s">
        <v>12</v>
      </c>
      <c r="L504" s="2">
        <v>55.081000000000003</v>
      </c>
      <c r="M504" s="2" t="str" cm="1">
        <f t="array" ref="M504">_xlfn.IFS(L504&lt;=15,"Low Fare",L504&lt;=35,"Medium Fare",L504&lt;=100,"High Fare",L504&gt;=100,"Very High Fare")</f>
        <v>High Fare</v>
      </c>
      <c r="N504" s="2">
        <v>1</v>
      </c>
      <c r="O504" s="2">
        <v>0</v>
      </c>
      <c r="P504">
        <f t="shared" si="29"/>
        <v>2</v>
      </c>
      <c r="Q504" t="str">
        <f t="shared" si="30"/>
        <v>With Family</v>
      </c>
      <c r="R504" t="str">
        <f t="shared" si="31"/>
        <v>Yes</v>
      </c>
      <c r="S504" t="s">
        <v>16</v>
      </c>
    </row>
    <row r="505" spans="1:19" x14ac:dyDescent="0.3">
      <c r="A505" s="1" t="s">
        <v>402</v>
      </c>
      <c r="B505" t="s">
        <v>1602</v>
      </c>
      <c r="C505" t="s">
        <v>1735</v>
      </c>
      <c r="D505" t="str">
        <f t="shared" si="28"/>
        <v>Female</v>
      </c>
      <c r="E505" t="s">
        <v>14</v>
      </c>
      <c r="F505" s="2">
        <v>17</v>
      </c>
      <c r="G505" s="2" t="str" cm="1">
        <f t="array" ref="G505">_xlfn.IFS(F505&lt;=8,"Child",F505&lt;=17,"Teen",F505&lt;=35,"Adult",F505&lt;=55,"Seniour Adult",F505&gt;=55,"Old Age")</f>
        <v>Teen</v>
      </c>
      <c r="H505" t="s">
        <v>10</v>
      </c>
      <c r="I505" t="s">
        <v>36</v>
      </c>
      <c r="J505" t="str" cm="1">
        <f t="array" ref="J505">_xlfn.IFS(I505="S","Southamptom",I505="Q","Quentown",I505="C","Cherbrug",I505="B","Cabin")</f>
        <v>Quentown</v>
      </c>
      <c r="K505" t="s">
        <v>37</v>
      </c>
      <c r="L505" s="2">
        <v>7.1407999999999996</v>
      </c>
      <c r="M505" s="2" t="str" cm="1">
        <f t="array" ref="M505">_xlfn.IFS(L505&lt;=15,"Low Fare",L505&lt;=35,"Medium Fare",L505&lt;=100,"High Fare",L505&gt;=100,"Very High Fare")</f>
        <v>Low Fare</v>
      </c>
      <c r="N505" s="2">
        <v>0</v>
      </c>
      <c r="O505" s="2">
        <v>0</v>
      </c>
      <c r="P505">
        <f t="shared" si="29"/>
        <v>1</v>
      </c>
      <c r="Q505" t="str">
        <f t="shared" si="30"/>
        <v>Alone</v>
      </c>
      <c r="R505" t="str">
        <f t="shared" si="31"/>
        <v>No</v>
      </c>
      <c r="S505" t="s">
        <v>13</v>
      </c>
    </row>
    <row r="506" spans="1:19" x14ac:dyDescent="0.3">
      <c r="A506" s="1" t="s">
        <v>403</v>
      </c>
      <c r="B506" t="s">
        <v>1602</v>
      </c>
      <c r="C506" t="s">
        <v>2063</v>
      </c>
      <c r="D506" t="str">
        <f t="shared" si="28"/>
        <v>Female</v>
      </c>
      <c r="E506" t="s">
        <v>14</v>
      </c>
      <c r="F506" s="2">
        <v>21</v>
      </c>
      <c r="G506" s="2" t="str" cm="1">
        <f t="array" ref="G506">_xlfn.IFS(F506&lt;=8,"Child",F506&lt;=17,"Teen",F506&lt;=35,"Adult",F506&lt;=55,"Seniour Adult",F506&gt;=55,"Old Age")</f>
        <v>Adult</v>
      </c>
      <c r="H506" t="s">
        <v>10</v>
      </c>
      <c r="I506" t="s">
        <v>11</v>
      </c>
      <c r="J506" t="str" cm="1">
        <f t="array" ref="J506">_xlfn.IFS(I506="S","Southamptom",I506="Q","Quentown",I506="C","Cherbrug",I506="B","Cabin")</f>
        <v>Southamptom</v>
      </c>
      <c r="K506" t="s">
        <v>15</v>
      </c>
      <c r="L506" s="2">
        <v>7.11</v>
      </c>
      <c r="M506" s="2" t="str" cm="1">
        <f t="array" ref="M506">_xlfn.IFS(L506&lt;=15,"Low Fare",L506&lt;=35,"Medium Fare",L506&lt;=100,"High Fare",L506&gt;=100,"Very High Fare")</f>
        <v>Low Fare</v>
      </c>
      <c r="N506" s="2">
        <v>0</v>
      </c>
      <c r="O506" s="2">
        <v>0</v>
      </c>
      <c r="P506">
        <f t="shared" si="29"/>
        <v>1</v>
      </c>
      <c r="Q506" t="str">
        <f t="shared" si="30"/>
        <v>Alone</v>
      </c>
      <c r="R506" t="str">
        <f t="shared" si="31"/>
        <v>No</v>
      </c>
      <c r="S506" t="s">
        <v>13</v>
      </c>
    </row>
    <row r="507" spans="1:19" x14ac:dyDescent="0.3">
      <c r="A507" s="1" t="s">
        <v>404</v>
      </c>
      <c r="B507" t="s">
        <v>1602</v>
      </c>
      <c r="C507" t="s">
        <v>2064</v>
      </c>
      <c r="D507" t="str">
        <f t="shared" si="28"/>
        <v>Female</v>
      </c>
      <c r="E507" t="s">
        <v>14</v>
      </c>
      <c r="F507" s="2">
        <v>6</v>
      </c>
      <c r="G507" s="2" t="str" cm="1">
        <f t="array" ref="G507">_xlfn.IFS(F507&lt;=8,"Child",F507&lt;=17,"Teen",F507&lt;=35,"Adult",F507&lt;=55,"Seniour Adult",F507&gt;=55,"Old Age")</f>
        <v>Child</v>
      </c>
      <c r="H507" t="s">
        <v>18</v>
      </c>
      <c r="I507" t="s">
        <v>11</v>
      </c>
      <c r="J507" t="str" cm="1">
        <f t="array" ref="J507">_xlfn.IFS(I507="S","Southamptom",I507="Q","Quentown",I507="C","Cherbrug",I507="B","Cabin")</f>
        <v>Southamptom</v>
      </c>
      <c r="K507" t="s">
        <v>43</v>
      </c>
      <c r="L507" s="2">
        <v>33</v>
      </c>
      <c r="M507" s="2" t="str" cm="1">
        <f t="array" ref="M507">_xlfn.IFS(L507&lt;=15,"Low Fare",L507&lt;=35,"Medium Fare",L507&lt;=100,"High Fare",L507&gt;=100,"Very High Fare")</f>
        <v>Medium Fare</v>
      </c>
      <c r="N507" s="2">
        <v>0</v>
      </c>
      <c r="O507" s="2">
        <v>1</v>
      </c>
      <c r="P507">
        <f t="shared" si="29"/>
        <v>2</v>
      </c>
      <c r="Q507" t="str">
        <f t="shared" si="30"/>
        <v>With Family</v>
      </c>
      <c r="R507" t="str">
        <f t="shared" si="31"/>
        <v>Yes</v>
      </c>
      <c r="S507" t="s">
        <v>16</v>
      </c>
    </row>
    <row r="508" spans="1:19" x14ac:dyDescent="0.3">
      <c r="A508" s="1" t="s">
        <v>404</v>
      </c>
      <c r="B508" t="s">
        <v>1596</v>
      </c>
      <c r="C508" t="s">
        <v>2065</v>
      </c>
      <c r="D508" t="str">
        <f t="shared" si="28"/>
        <v>Male</v>
      </c>
      <c r="E508" t="s">
        <v>9</v>
      </c>
      <c r="F508" s="2">
        <v>48</v>
      </c>
      <c r="G508" s="2" t="str" cm="1">
        <f t="array" ref="G508">_xlfn.IFS(F508&lt;=8,"Child",F508&lt;=17,"Teen",F508&lt;=35,"Adult",F508&lt;=55,"Seniour Adult",F508&gt;=55,"Old Age")</f>
        <v>Seniour Adult</v>
      </c>
      <c r="H508" t="s">
        <v>25</v>
      </c>
      <c r="I508" t="s">
        <v>19</v>
      </c>
      <c r="J508" t="str" cm="1">
        <f t="array" ref="J508">_xlfn.IFS(I508="S","Southamptom",I508="Q","Quentown",I508="C","Cherbrug",I508="B","Cabin")</f>
        <v>Cherbrug</v>
      </c>
      <c r="K508" t="s">
        <v>12</v>
      </c>
      <c r="L508" s="2">
        <v>76.140699999999995</v>
      </c>
      <c r="M508" s="2" t="str" cm="1">
        <f t="array" ref="M508">_xlfn.IFS(L508&lt;=15,"Low Fare",L508&lt;=35,"Medium Fare",L508&lt;=100,"High Fare",L508&gt;=100,"Very High Fare")</f>
        <v>High Fare</v>
      </c>
      <c r="N508" s="2">
        <v>1</v>
      </c>
      <c r="O508" s="2">
        <v>0</v>
      </c>
      <c r="P508">
        <f t="shared" si="29"/>
        <v>2</v>
      </c>
      <c r="Q508" t="str">
        <f t="shared" si="30"/>
        <v>With Family</v>
      </c>
      <c r="R508" t="str">
        <f t="shared" si="31"/>
        <v>Yes</v>
      </c>
      <c r="S508" t="s">
        <v>16</v>
      </c>
    </row>
    <row r="509" spans="1:19" x14ac:dyDescent="0.3">
      <c r="A509" s="1" t="s">
        <v>404</v>
      </c>
      <c r="B509" t="s">
        <v>1600</v>
      </c>
      <c r="C509" t="s">
        <v>2066</v>
      </c>
      <c r="D509" t="str">
        <f t="shared" si="28"/>
        <v>Female</v>
      </c>
      <c r="E509" t="s">
        <v>14</v>
      </c>
      <c r="F509" s="2">
        <v>49</v>
      </c>
      <c r="G509" s="2" t="str" cm="1">
        <f t="array" ref="G509">_xlfn.IFS(F509&lt;=8,"Child",F509&lt;=17,"Teen",F509&lt;=35,"Adult",F509&lt;=55,"Seniour Adult",F509&gt;=55,"Old Age")</f>
        <v>Seniour Adult</v>
      </c>
      <c r="H509" t="s">
        <v>25</v>
      </c>
      <c r="I509" t="s">
        <v>19</v>
      </c>
      <c r="J509" t="str" cm="1">
        <f t="array" ref="J509">_xlfn.IFS(I509="S","Southamptom",I509="Q","Quentown",I509="C","Cherbrug",I509="B","Cabin")</f>
        <v>Cherbrug</v>
      </c>
      <c r="K509" t="s">
        <v>12</v>
      </c>
      <c r="L509" s="2">
        <v>76.140699999999995</v>
      </c>
      <c r="M509" s="2" t="str" cm="1">
        <f t="array" ref="M509">_xlfn.IFS(L509&lt;=15,"Low Fare",L509&lt;=35,"Medium Fare",L509&lt;=100,"High Fare",L509&gt;=100,"Very High Fare")</f>
        <v>High Fare</v>
      </c>
      <c r="N509" s="2">
        <v>1</v>
      </c>
      <c r="O509" s="2">
        <v>0</v>
      </c>
      <c r="P509">
        <f t="shared" si="29"/>
        <v>2</v>
      </c>
      <c r="Q509" t="str">
        <f t="shared" si="30"/>
        <v>With Family</v>
      </c>
      <c r="R509" t="str">
        <f t="shared" si="31"/>
        <v>Yes</v>
      </c>
      <c r="S509" t="s">
        <v>16</v>
      </c>
    </row>
    <row r="510" spans="1:19" x14ac:dyDescent="0.3">
      <c r="A510" s="1" t="s">
        <v>404</v>
      </c>
      <c r="B510" t="s">
        <v>2067</v>
      </c>
      <c r="C510" t="s">
        <v>1610</v>
      </c>
      <c r="D510" t="str">
        <f t="shared" si="28"/>
        <v>Male</v>
      </c>
      <c r="E510" t="s">
        <v>9</v>
      </c>
      <c r="F510" s="2">
        <v>39</v>
      </c>
      <c r="G510" s="2" t="str" cm="1">
        <f t="array" ref="G510">_xlfn.IFS(F510&lt;=8,"Child",F510&lt;=17,"Teen",F510&lt;=35,"Adult",F510&lt;=55,"Seniour Adult",F510&gt;=55,"Old Age")</f>
        <v>Seniour Adult</v>
      </c>
      <c r="H510" t="s">
        <v>18</v>
      </c>
      <c r="I510" t="s">
        <v>11</v>
      </c>
      <c r="J510" t="str" cm="1">
        <f t="array" ref="J510">_xlfn.IFS(I510="S","Southamptom",I510="Q","Quentown",I510="C","Cherbrug",I510="B","Cabin")</f>
        <v>Southamptom</v>
      </c>
      <c r="K510" t="s">
        <v>43</v>
      </c>
      <c r="L510" s="2">
        <v>33</v>
      </c>
      <c r="M510" s="2" t="str" cm="1">
        <f t="array" ref="M510">_xlfn.IFS(L510&lt;=15,"Low Fare",L510&lt;=35,"Medium Fare",L510&lt;=100,"High Fare",L510&gt;=100,"Very High Fare")</f>
        <v>Medium Fare</v>
      </c>
      <c r="N510" s="2">
        <v>0</v>
      </c>
      <c r="O510" s="2">
        <v>1</v>
      </c>
      <c r="P510">
        <f t="shared" si="29"/>
        <v>2</v>
      </c>
      <c r="Q510" t="str">
        <f t="shared" si="30"/>
        <v>With Family</v>
      </c>
      <c r="R510" t="str">
        <f t="shared" si="31"/>
        <v>No</v>
      </c>
      <c r="S510" t="s">
        <v>13</v>
      </c>
    </row>
    <row r="511" spans="1:19" x14ac:dyDescent="0.3">
      <c r="A511" s="1" t="s">
        <v>405</v>
      </c>
      <c r="B511" t="s">
        <v>1596</v>
      </c>
      <c r="C511" t="s">
        <v>1821</v>
      </c>
      <c r="D511" t="str">
        <f t="shared" si="28"/>
        <v>Male</v>
      </c>
      <c r="E511" t="s">
        <v>9</v>
      </c>
      <c r="F511" s="2">
        <v>37</v>
      </c>
      <c r="G511" s="2" t="str" cm="1">
        <f t="array" ref="G511">_xlfn.IFS(F511&lt;=8,"Child",F511&lt;=17,"Teen",F511&lt;=35,"Adult",F511&lt;=55,"Seniour Adult",F511&gt;=55,"Old Age")</f>
        <v>Seniour Adult</v>
      </c>
      <c r="H511" t="s">
        <v>25</v>
      </c>
      <c r="I511" t="s">
        <v>11</v>
      </c>
      <c r="J511" t="str" cm="1">
        <f t="array" ref="J511">_xlfn.IFS(I511="S","Southamptom",I511="Q","Quentown",I511="C","Cherbrug",I511="B","Cabin")</f>
        <v>Southamptom</v>
      </c>
      <c r="K511" t="s">
        <v>15</v>
      </c>
      <c r="L511" s="2">
        <v>42.08</v>
      </c>
      <c r="M511" s="2" t="str" cm="1">
        <f t="array" ref="M511">_xlfn.IFS(L511&lt;=15,"Low Fare",L511&lt;=35,"Medium Fare",L511&lt;=100,"High Fare",L511&gt;=100,"Very High Fare")</f>
        <v>High Fare</v>
      </c>
      <c r="N511" s="2">
        <v>0</v>
      </c>
      <c r="O511" s="2">
        <v>0</v>
      </c>
      <c r="P511">
        <f t="shared" si="29"/>
        <v>1</v>
      </c>
      <c r="Q511" t="str">
        <f t="shared" si="30"/>
        <v>Alone</v>
      </c>
      <c r="R511" t="str">
        <f t="shared" si="31"/>
        <v>No</v>
      </c>
      <c r="S511" t="s">
        <v>13</v>
      </c>
    </row>
    <row r="512" spans="1:19" x14ac:dyDescent="0.3">
      <c r="A512" s="1" t="s">
        <v>406</v>
      </c>
      <c r="B512" t="s">
        <v>1596</v>
      </c>
      <c r="C512" t="s">
        <v>2038</v>
      </c>
      <c r="D512" t="str">
        <f t="shared" si="28"/>
        <v>Male</v>
      </c>
      <c r="E512" t="s">
        <v>9</v>
      </c>
      <c r="F512" s="2">
        <v>62</v>
      </c>
      <c r="G512" s="2" t="str" cm="1">
        <f t="array" ref="G512">_xlfn.IFS(F512&lt;=8,"Child",F512&lt;=17,"Teen",F512&lt;=35,"Adult",F512&lt;=55,"Seniour Adult",F512&gt;=55,"Old Age")</f>
        <v>Old Age</v>
      </c>
      <c r="H512" t="s">
        <v>18</v>
      </c>
      <c r="I512" t="s">
        <v>11</v>
      </c>
      <c r="J512" t="str" cm="1">
        <f t="array" ref="J512">_xlfn.IFS(I512="S","Southamptom",I512="Q","Quentown",I512="C","Cherbrug",I512="B","Cabin")</f>
        <v>Southamptom</v>
      </c>
      <c r="K512" t="s">
        <v>15</v>
      </c>
      <c r="L512" s="2">
        <v>10.1</v>
      </c>
      <c r="M512" s="2" t="str" cm="1">
        <f t="array" ref="M512">_xlfn.IFS(L512&lt;=15,"Low Fare",L512&lt;=35,"Medium Fare",L512&lt;=100,"High Fare",L512&gt;=100,"Very High Fare")</f>
        <v>Low Fare</v>
      </c>
      <c r="N512" s="2">
        <v>0</v>
      </c>
      <c r="O512" s="2">
        <v>0</v>
      </c>
      <c r="P512">
        <f t="shared" si="29"/>
        <v>1</v>
      </c>
      <c r="Q512" t="str">
        <f t="shared" si="30"/>
        <v>Alone</v>
      </c>
      <c r="R512" t="str">
        <f t="shared" si="31"/>
        <v>Yes</v>
      </c>
      <c r="S512" t="s">
        <v>16</v>
      </c>
    </row>
    <row r="513" spans="1:19" x14ac:dyDescent="0.3">
      <c r="A513" s="1" t="s">
        <v>406</v>
      </c>
      <c r="B513" t="s">
        <v>1596</v>
      </c>
      <c r="C513" t="s">
        <v>2068</v>
      </c>
      <c r="D513" t="str">
        <f t="shared" si="28"/>
        <v>Male</v>
      </c>
      <c r="E513" t="s">
        <v>9</v>
      </c>
      <c r="F513" s="2">
        <v>45</v>
      </c>
      <c r="G513" s="2" t="str" cm="1">
        <f t="array" ref="G513">_xlfn.IFS(F513&lt;=8,"Child",F513&lt;=17,"Teen",F513&lt;=35,"Adult",F513&lt;=55,"Seniour Adult",F513&gt;=55,"Old Age")</f>
        <v>Seniour Adult</v>
      </c>
      <c r="H513" t="s">
        <v>25</v>
      </c>
      <c r="I513" t="s">
        <v>11</v>
      </c>
      <c r="J513" t="str" cm="1">
        <f t="array" ref="J513">_xlfn.IFS(I513="S","Southamptom",I513="Q","Quentown",I513="C","Cherbrug",I513="B","Cabin")</f>
        <v>Southamptom</v>
      </c>
      <c r="K513" t="s">
        <v>12</v>
      </c>
      <c r="L513" s="2">
        <v>83.090599999999995</v>
      </c>
      <c r="M513" s="2" t="str" cm="1">
        <f t="array" ref="M513">_xlfn.IFS(L513&lt;=15,"Low Fare",L513&lt;=35,"Medium Fare",L513&lt;=100,"High Fare",L513&gt;=100,"Very High Fare")</f>
        <v>High Fare</v>
      </c>
      <c r="N513" s="2">
        <v>1</v>
      </c>
      <c r="O513" s="2">
        <v>0</v>
      </c>
      <c r="P513">
        <f t="shared" si="29"/>
        <v>2</v>
      </c>
      <c r="Q513" t="str">
        <f t="shared" si="30"/>
        <v>With Family</v>
      </c>
      <c r="R513" t="str">
        <f t="shared" si="31"/>
        <v>No</v>
      </c>
      <c r="S513" t="s">
        <v>13</v>
      </c>
    </row>
    <row r="514" spans="1:19" x14ac:dyDescent="0.3">
      <c r="A514" s="1" t="s">
        <v>406</v>
      </c>
      <c r="B514" t="s">
        <v>1600</v>
      </c>
      <c r="C514" t="s">
        <v>1861</v>
      </c>
      <c r="D514" t="str">
        <f t="shared" si="28"/>
        <v>Female</v>
      </c>
      <c r="E514" t="s">
        <v>14</v>
      </c>
      <c r="F514" s="2">
        <v>35</v>
      </c>
      <c r="G514" s="2" t="str" cm="1">
        <f t="array" ref="G514">_xlfn.IFS(F514&lt;=8,"Child",F514&lt;=17,"Teen",F514&lt;=35,"Adult",F514&lt;=55,"Seniour Adult",F514&gt;=55,"Old Age")</f>
        <v>Adult</v>
      </c>
      <c r="H514" t="s">
        <v>25</v>
      </c>
      <c r="I514" t="s">
        <v>11</v>
      </c>
      <c r="J514" t="str" cm="1">
        <f t="array" ref="J514">_xlfn.IFS(I514="S","Southamptom",I514="Q","Quentown",I514="C","Cherbrug",I514="B","Cabin")</f>
        <v>Southamptom</v>
      </c>
      <c r="K514" t="s">
        <v>12</v>
      </c>
      <c r="L514" s="2">
        <v>83.090599999999995</v>
      </c>
      <c r="M514" s="2" t="str" cm="1">
        <f t="array" ref="M514">_xlfn.IFS(L514&lt;=15,"Low Fare",L514&lt;=35,"Medium Fare",L514&lt;=100,"High Fare",L514&gt;=100,"Very High Fare")</f>
        <v>High Fare</v>
      </c>
      <c r="N514" s="2">
        <v>1</v>
      </c>
      <c r="O514" s="2">
        <v>0</v>
      </c>
      <c r="P514">
        <f t="shared" si="29"/>
        <v>2</v>
      </c>
      <c r="Q514" t="str">
        <f t="shared" si="30"/>
        <v>With Family</v>
      </c>
      <c r="R514" t="str">
        <f t="shared" si="31"/>
        <v>Yes</v>
      </c>
      <c r="S514" t="s">
        <v>16</v>
      </c>
    </row>
    <row r="515" spans="1:19" x14ac:dyDescent="0.3">
      <c r="A515" s="1" t="s">
        <v>406</v>
      </c>
      <c r="B515" t="s">
        <v>1596</v>
      </c>
      <c r="C515" t="s">
        <v>2069</v>
      </c>
      <c r="D515" t="str">
        <f t="shared" ref="D515:D578" si="32">PROPER(E515)</f>
        <v>Male</v>
      </c>
      <c r="E515" t="s">
        <v>9</v>
      </c>
      <c r="F515" s="2">
        <v>45</v>
      </c>
      <c r="G515" s="2" t="str" cm="1">
        <f t="array" ref="G515">_xlfn.IFS(F515&lt;=8,"Child",F515&lt;=17,"Teen",F515&lt;=35,"Adult",F515&lt;=55,"Seniour Adult",F515&gt;=55,"Old Age")</f>
        <v>Seniour Adult</v>
      </c>
      <c r="H515" t="s">
        <v>18</v>
      </c>
      <c r="I515" t="s">
        <v>11</v>
      </c>
      <c r="J515" t="str" cm="1">
        <f t="array" ref="J515">_xlfn.IFS(I515="S","Southamptom",I515="Q","Quentown",I515="C","Cherbrug",I515="B","Cabin")</f>
        <v>Southamptom</v>
      </c>
      <c r="K515" t="s">
        <v>15</v>
      </c>
      <c r="L515" s="2">
        <v>10.1</v>
      </c>
      <c r="M515" s="2" t="str" cm="1">
        <f t="array" ref="M515">_xlfn.IFS(L515&lt;=15,"Low Fare",L515&lt;=35,"Medium Fare",L515&lt;=100,"High Fare",L515&gt;=100,"Very High Fare")</f>
        <v>Low Fare</v>
      </c>
      <c r="N515" s="2">
        <v>0</v>
      </c>
      <c r="O515" s="2">
        <v>0</v>
      </c>
      <c r="P515">
        <f t="shared" ref="P515:P578" si="33">N515+O515+1</f>
        <v>1</v>
      </c>
      <c r="Q515" t="str">
        <f t="shared" ref="Q515:Q578" si="34">IF(P515=1,"Alone","With Family")</f>
        <v>Alone</v>
      </c>
      <c r="R515" t="str">
        <f t="shared" ref="R515:R578" si="35">PROPER(S515)</f>
        <v>No</v>
      </c>
      <c r="S515" t="s">
        <v>13</v>
      </c>
    </row>
    <row r="516" spans="1:19" x14ac:dyDescent="0.3">
      <c r="A516" s="1" t="s">
        <v>407</v>
      </c>
      <c r="B516" t="s">
        <v>1596</v>
      </c>
      <c r="C516" t="s">
        <v>1621</v>
      </c>
      <c r="D516" t="str">
        <f t="shared" si="32"/>
        <v>Male</v>
      </c>
      <c r="E516" t="s">
        <v>9</v>
      </c>
      <c r="F516" s="2">
        <v>46</v>
      </c>
      <c r="G516" s="2" t="str" cm="1">
        <f t="array" ref="G516">_xlfn.IFS(F516&lt;=8,"Child",F516&lt;=17,"Teen",F516&lt;=35,"Adult",F516&lt;=55,"Seniour Adult",F516&gt;=55,"Old Age")</f>
        <v>Seniour Adult</v>
      </c>
      <c r="H516" t="s">
        <v>25</v>
      </c>
      <c r="I516" t="s">
        <v>11</v>
      </c>
      <c r="J516" t="str" cm="1">
        <f t="array" ref="J516">_xlfn.IFS(I516="S","Southamptom",I516="Q","Quentown",I516="C","Cherbrug",I516="B","Cabin")</f>
        <v>Southamptom</v>
      </c>
      <c r="K516" t="s">
        <v>15</v>
      </c>
      <c r="L516" s="2">
        <v>33</v>
      </c>
      <c r="M516" s="2" t="str" cm="1">
        <f t="array" ref="M516">_xlfn.IFS(L516&lt;=15,"Low Fare",L516&lt;=35,"Medium Fare",L516&lt;=100,"High Fare",L516&gt;=100,"Very High Fare")</f>
        <v>Medium Fare</v>
      </c>
      <c r="N516" s="2">
        <v>0</v>
      </c>
      <c r="O516" s="2">
        <v>0</v>
      </c>
      <c r="P516">
        <f t="shared" si="33"/>
        <v>1</v>
      </c>
      <c r="Q516" t="str">
        <f t="shared" si="34"/>
        <v>Alone</v>
      </c>
      <c r="R516" t="str">
        <f t="shared" si="35"/>
        <v>No</v>
      </c>
      <c r="S516" t="s">
        <v>13</v>
      </c>
    </row>
    <row r="517" spans="1:19" hidden="1" x14ac:dyDescent="0.3">
      <c r="A517" s="1" t="s">
        <v>408</v>
      </c>
      <c r="B517" t="s">
        <v>1596</v>
      </c>
      <c r="C517" t="s">
        <v>2070</v>
      </c>
      <c r="D517" t="str">
        <f t="shared" si="32"/>
        <v>Male</v>
      </c>
      <c r="E517" t="s">
        <v>9</v>
      </c>
      <c r="F517" s="2">
        <v>33</v>
      </c>
      <c r="G517" s="2" t="str" cm="1">
        <f t="array" ref="G517">_xlfn.IFS(F517&lt;=8,"Child",F517&lt;=17,"Teen",F517&lt;=35,"Adult",F517&lt;=55,"Seniour Adult",F517&gt;=55,"Old Age")</f>
        <v>Adult</v>
      </c>
      <c r="H517" t="s">
        <v>18</v>
      </c>
      <c r="I517" t="s">
        <v>11</v>
      </c>
      <c r="J517" t="str" cm="1">
        <f t="array" ref="J517">_xlfn.IFS(I517="S","Southamptom",I517="Q","Quentown",I517="C","Cherbrug",I517="B","Cabin")</f>
        <v>Southamptom</v>
      </c>
      <c r="K517" t="s">
        <v>15</v>
      </c>
      <c r="L517" s="2">
        <v>33</v>
      </c>
      <c r="M517" s="2" t="str" cm="1">
        <f t="array" ref="M517">_xlfn.IFS(L517&lt;=15,"Low Fare",L517&lt;=35,"Medium Fare",L517&lt;=100,"High Fare",L517&gt;=100,"Very High Fare")</f>
        <v>Medium Fare</v>
      </c>
      <c r="N517" s="2">
        <v>1</v>
      </c>
      <c r="O517" s="2" t="s">
        <v>30</v>
      </c>
      <c r="P517" t="e">
        <f t="shared" si="33"/>
        <v>#VALUE!</v>
      </c>
      <c r="Q517" t="e">
        <f t="shared" si="34"/>
        <v>#VALUE!</v>
      </c>
      <c r="R517" t="str">
        <f t="shared" si="35"/>
        <v>No</v>
      </c>
      <c r="S517" t="s">
        <v>13</v>
      </c>
    </row>
    <row r="518" spans="1:19" x14ac:dyDescent="0.3">
      <c r="A518" s="1" t="s">
        <v>409</v>
      </c>
      <c r="B518" t="s">
        <v>1602</v>
      </c>
      <c r="C518" t="s">
        <v>2071</v>
      </c>
      <c r="D518" t="str">
        <f t="shared" si="32"/>
        <v>Female</v>
      </c>
      <c r="E518" t="s">
        <v>14</v>
      </c>
      <c r="F518" s="2">
        <v>7</v>
      </c>
      <c r="G518" s="2" t="str" cm="1">
        <f t="array" ref="G518">_xlfn.IFS(F518&lt;=8,"Child",F518&lt;=17,"Teen",F518&lt;=35,"Adult",F518&lt;=55,"Seniour Adult",F518&gt;=55,"Old Age")</f>
        <v>Child</v>
      </c>
      <c r="H518" t="s">
        <v>18</v>
      </c>
      <c r="I518" t="s">
        <v>11</v>
      </c>
      <c r="J518" t="str" cm="1">
        <f t="array" ref="J518">_xlfn.IFS(I518="S","Southamptom",I518="Q","Quentown",I518="C","Cherbrug",I518="B","Cabin")</f>
        <v>Southamptom</v>
      </c>
      <c r="K518" t="s">
        <v>15</v>
      </c>
      <c r="L518" s="2">
        <v>26.05</v>
      </c>
      <c r="M518" s="2" t="str" cm="1">
        <f t="array" ref="M518">_xlfn.IFS(L518&lt;=15,"Low Fare",L518&lt;=35,"Medium Fare",L518&lt;=100,"High Fare",L518&gt;=100,"Very High Fare")</f>
        <v>Medium Fare</v>
      </c>
      <c r="N518" s="2">
        <v>0</v>
      </c>
      <c r="O518" s="2">
        <v>2</v>
      </c>
      <c r="P518">
        <f t="shared" si="33"/>
        <v>3</v>
      </c>
      <c r="Q518" t="str">
        <f t="shared" si="34"/>
        <v>With Family</v>
      </c>
      <c r="R518" t="str">
        <f t="shared" si="35"/>
        <v>Yes</v>
      </c>
      <c r="S518" t="s">
        <v>16</v>
      </c>
    </row>
    <row r="519" spans="1:19" x14ac:dyDescent="0.3">
      <c r="A519" s="1" t="s">
        <v>409</v>
      </c>
      <c r="B519" t="s">
        <v>1596</v>
      </c>
      <c r="C519" t="s">
        <v>2040</v>
      </c>
      <c r="D519" t="str">
        <f t="shared" si="32"/>
        <v>Male</v>
      </c>
      <c r="E519" t="s">
        <v>9</v>
      </c>
      <c r="F519" s="2">
        <v>47</v>
      </c>
      <c r="G519" s="2" t="str" cm="1">
        <f t="array" ref="G519">_xlfn.IFS(F519&lt;=8,"Child",F519&lt;=17,"Teen",F519&lt;=35,"Adult",F519&lt;=55,"Seniour Adult",F519&gt;=55,"Old Age")</f>
        <v>Seniour Adult</v>
      </c>
      <c r="H519" t="s">
        <v>18</v>
      </c>
      <c r="I519" t="s">
        <v>11</v>
      </c>
      <c r="J519" t="str" cm="1">
        <f t="array" ref="J519">_xlfn.IFS(I519="S","Southamptom",I519="Q","Quentown",I519="C","Cherbrug",I519="B","Cabin")</f>
        <v>Southamptom</v>
      </c>
      <c r="K519" t="s">
        <v>15</v>
      </c>
      <c r="L519" s="2">
        <v>26.05</v>
      </c>
      <c r="M519" s="2" t="str" cm="1">
        <f t="array" ref="M519">_xlfn.IFS(L519&lt;=15,"Low Fare",L519&lt;=35,"Medium Fare",L519&lt;=100,"High Fare",L519&gt;=100,"Very High Fare")</f>
        <v>Medium Fare</v>
      </c>
      <c r="N519" s="2">
        <v>1</v>
      </c>
      <c r="O519" s="2">
        <v>1</v>
      </c>
      <c r="P519">
        <f t="shared" si="33"/>
        <v>3</v>
      </c>
      <c r="Q519" t="str">
        <f t="shared" si="34"/>
        <v>With Family</v>
      </c>
      <c r="R519" t="str">
        <f t="shared" si="35"/>
        <v>No</v>
      </c>
      <c r="S519" t="s">
        <v>13</v>
      </c>
    </row>
    <row r="520" spans="1:19" x14ac:dyDescent="0.3">
      <c r="A520" s="1" t="s">
        <v>409</v>
      </c>
      <c r="B520" t="s">
        <v>1596</v>
      </c>
      <c r="C520" t="s">
        <v>1728</v>
      </c>
      <c r="D520" t="str">
        <f t="shared" si="32"/>
        <v>Male</v>
      </c>
      <c r="E520" t="s">
        <v>9</v>
      </c>
      <c r="F520" s="2">
        <v>29</v>
      </c>
      <c r="G520" s="2" t="str" cm="1">
        <f t="array" ref="G520">_xlfn.IFS(F520&lt;=8,"Child",F520&lt;=17,"Teen",F520&lt;=35,"Adult",F520&lt;=55,"Seniour Adult",F520&gt;=55,"Old Age")</f>
        <v>Adult</v>
      </c>
      <c r="H520" t="s">
        <v>10</v>
      </c>
      <c r="I520" t="s">
        <v>36</v>
      </c>
      <c r="J520" t="str" cm="1">
        <f t="array" ref="J520">_xlfn.IFS(I520="S","Southamptom",I520="Q","Quentown",I520="C","Cherbrug",I520="B","Cabin")</f>
        <v>Quentown</v>
      </c>
      <c r="K520" t="s">
        <v>37</v>
      </c>
      <c r="L520" s="2">
        <v>6.1702000000000004</v>
      </c>
      <c r="M520" s="2" t="str" cm="1">
        <f t="array" ref="M520">_xlfn.IFS(L520&lt;=15,"Low Fare",L520&lt;=35,"Medium Fare",L520&lt;=100,"High Fare",L520&gt;=100,"Very High Fare")</f>
        <v>Low Fare</v>
      </c>
      <c r="N520" s="2">
        <v>0</v>
      </c>
      <c r="O520" s="2">
        <v>0</v>
      </c>
      <c r="P520">
        <f t="shared" si="33"/>
        <v>1</v>
      </c>
      <c r="Q520" t="str">
        <f t="shared" si="34"/>
        <v>Alone</v>
      </c>
      <c r="R520" t="str">
        <f t="shared" si="35"/>
        <v>No</v>
      </c>
      <c r="S520" t="s">
        <v>13</v>
      </c>
    </row>
    <row r="521" spans="1:19" x14ac:dyDescent="0.3">
      <c r="A521" s="1" t="s">
        <v>409</v>
      </c>
      <c r="B521" t="s">
        <v>1600</v>
      </c>
      <c r="C521" t="s">
        <v>2072</v>
      </c>
      <c r="D521" t="str">
        <f t="shared" si="32"/>
        <v>Female</v>
      </c>
      <c r="E521" t="s">
        <v>14</v>
      </c>
      <c r="F521" s="2">
        <v>48</v>
      </c>
      <c r="G521" s="2" t="str" cm="1">
        <f t="array" ref="G521">_xlfn.IFS(F521&lt;=8,"Child",F521&lt;=17,"Teen",F521&lt;=35,"Adult",F521&lt;=55,"Seniour Adult",F521&gt;=55,"Old Age")</f>
        <v>Seniour Adult</v>
      </c>
      <c r="H521" t="s">
        <v>18</v>
      </c>
      <c r="I521" t="s">
        <v>11</v>
      </c>
      <c r="J521" t="str" cm="1">
        <f t="array" ref="J521">_xlfn.IFS(I521="S","Southamptom",I521="Q","Quentown",I521="C","Cherbrug",I521="B","Cabin")</f>
        <v>Southamptom</v>
      </c>
      <c r="K521" t="s">
        <v>15</v>
      </c>
      <c r="L521" s="2">
        <v>26.05</v>
      </c>
      <c r="M521" s="2" t="str" cm="1">
        <f t="array" ref="M521">_xlfn.IFS(L521&lt;=15,"Low Fare",L521&lt;=35,"Medium Fare",L521&lt;=100,"High Fare",L521&gt;=100,"Very High Fare")</f>
        <v>Medium Fare</v>
      </c>
      <c r="N521" s="2">
        <v>1</v>
      </c>
      <c r="O521" s="2">
        <v>1</v>
      </c>
      <c r="P521">
        <f t="shared" si="33"/>
        <v>3</v>
      </c>
      <c r="Q521" t="str">
        <f t="shared" si="34"/>
        <v>With Family</v>
      </c>
      <c r="R521" t="str">
        <f t="shared" si="35"/>
        <v>Yes</v>
      </c>
      <c r="S521" t="s">
        <v>16</v>
      </c>
    </row>
    <row r="522" spans="1:19" x14ac:dyDescent="0.3">
      <c r="A522" s="1" t="s">
        <v>410</v>
      </c>
      <c r="B522" t="s">
        <v>1596</v>
      </c>
      <c r="C522" t="s">
        <v>2073</v>
      </c>
      <c r="D522" t="str">
        <f t="shared" si="32"/>
        <v>Male</v>
      </c>
      <c r="E522" t="s">
        <v>9</v>
      </c>
      <c r="F522" s="2">
        <v>27</v>
      </c>
      <c r="G522" s="2" t="str" cm="1">
        <f t="array" ref="G522">_xlfn.IFS(F522&lt;=8,"Child",F522&lt;=17,"Teen",F522&lt;=35,"Adult",F522&lt;=55,"Seniour Adult",F522&gt;=55,"Old Age")</f>
        <v>Adult</v>
      </c>
      <c r="H522" t="s">
        <v>25</v>
      </c>
      <c r="I522" t="s">
        <v>19</v>
      </c>
      <c r="J522" t="str" cm="1">
        <f t="array" ref="J522">_xlfn.IFS(I522="S","Southamptom",I522="Q","Quentown",I522="C","Cherbrug",I522="B","Cabin")</f>
        <v>Cherbrug</v>
      </c>
      <c r="K522" t="s">
        <v>52</v>
      </c>
      <c r="L522" s="2">
        <v>76.140699999999995</v>
      </c>
      <c r="M522" s="2" t="str" cm="1">
        <f t="array" ref="M522">_xlfn.IFS(L522&lt;=15,"Low Fare",L522&lt;=35,"Medium Fare",L522&lt;=100,"High Fare",L522&gt;=100,"Very High Fare")</f>
        <v>High Fare</v>
      </c>
      <c r="N522" s="2">
        <v>0</v>
      </c>
      <c r="O522" s="2">
        <v>0</v>
      </c>
      <c r="P522">
        <f t="shared" si="33"/>
        <v>1</v>
      </c>
      <c r="Q522" t="str">
        <f t="shared" si="34"/>
        <v>Alone</v>
      </c>
      <c r="R522" t="str">
        <f t="shared" si="35"/>
        <v>Yes</v>
      </c>
      <c r="S522" t="s">
        <v>16</v>
      </c>
    </row>
    <row r="523" spans="1:19" x14ac:dyDescent="0.3">
      <c r="A523" s="1" t="s">
        <v>411</v>
      </c>
      <c r="B523" t="s">
        <v>1596</v>
      </c>
      <c r="C523" t="s">
        <v>2074</v>
      </c>
      <c r="D523" t="str">
        <f t="shared" si="32"/>
        <v>Male</v>
      </c>
      <c r="E523" t="s">
        <v>9</v>
      </c>
      <c r="F523" s="2">
        <v>45</v>
      </c>
      <c r="G523" s="2" t="str" cm="1">
        <f t="array" ref="G523">_xlfn.IFS(F523&lt;=8,"Child",F523&lt;=17,"Teen",F523&lt;=35,"Adult",F523&lt;=55,"Seniour Adult",F523&gt;=55,"Old Age")</f>
        <v>Seniour Adult</v>
      </c>
      <c r="H523" t="s">
        <v>25</v>
      </c>
      <c r="I523" t="s">
        <v>11</v>
      </c>
      <c r="J523" t="str" cm="1">
        <f t="array" ref="J523">_xlfn.IFS(I523="S","Southamptom",I523="Q","Quentown",I523="C","Cherbrug",I523="B","Cabin")</f>
        <v>Southamptom</v>
      </c>
      <c r="K523" t="s">
        <v>15</v>
      </c>
      <c r="L523" s="2">
        <v>30</v>
      </c>
      <c r="M523" s="2" t="str" cm="1">
        <f t="array" ref="M523">_xlfn.IFS(L523&lt;=15,"Low Fare",L523&lt;=35,"Medium Fare",L523&lt;=100,"High Fare",L523&gt;=100,"Very High Fare")</f>
        <v>Medium Fare</v>
      </c>
      <c r="N523" s="2">
        <v>0</v>
      </c>
      <c r="O523" s="2">
        <v>0</v>
      </c>
      <c r="P523">
        <f t="shared" si="33"/>
        <v>1</v>
      </c>
      <c r="Q523" t="str">
        <f t="shared" si="34"/>
        <v>Alone</v>
      </c>
      <c r="R523" t="str">
        <f t="shared" si="35"/>
        <v>Yes</v>
      </c>
      <c r="S523" t="s">
        <v>16</v>
      </c>
    </row>
    <row r="524" spans="1:19" x14ac:dyDescent="0.3">
      <c r="A524" s="1" t="s">
        <v>412</v>
      </c>
      <c r="B524" t="s">
        <v>1602</v>
      </c>
      <c r="C524" t="s">
        <v>2075</v>
      </c>
      <c r="D524" t="str">
        <f t="shared" si="32"/>
        <v>Female</v>
      </c>
      <c r="E524" t="s">
        <v>14</v>
      </c>
      <c r="F524" s="2">
        <v>24</v>
      </c>
      <c r="G524" s="2" t="str" cm="1">
        <f t="array" ref="G524">_xlfn.IFS(F524&lt;=8,"Child",F524&lt;=17,"Teen",F524&lt;=35,"Adult",F524&lt;=55,"Seniour Adult",F524&gt;=55,"Old Age")</f>
        <v>Adult</v>
      </c>
      <c r="H524" t="s">
        <v>25</v>
      </c>
      <c r="I524" t="s">
        <v>19</v>
      </c>
      <c r="J524" t="str" cm="1">
        <f t="array" ref="J524">_xlfn.IFS(I524="S","Southamptom",I524="Q","Quentown",I524="C","Cherbrug",I524="B","Cabin")</f>
        <v>Cherbrug</v>
      </c>
      <c r="K524" t="s">
        <v>12</v>
      </c>
      <c r="L524" s="2">
        <v>83.030199999999994</v>
      </c>
      <c r="M524" s="2" t="str" cm="1">
        <f t="array" ref="M524">_xlfn.IFS(L524&lt;=15,"Low Fare",L524&lt;=35,"Medium Fare",L524&lt;=100,"High Fare",L524&gt;=100,"Very High Fare")</f>
        <v>High Fare</v>
      </c>
      <c r="N524" s="2">
        <v>0</v>
      </c>
      <c r="O524" s="2">
        <v>0</v>
      </c>
      <c r="P524">
        <f t="shared" si="33"/>
        <v>1</v>
      </c>
      <c r="Q524" t="str">
        <f t="shared" si="34"/>
        <v>Alone</v>
      </c>
      <c r="R524" t="str">
        <f t="shared" si="35"/>
        <v>Yes</v>
      </c>
      <c r="S524" t="s">
        <v>16</v>
      </c>
    </row>
    <row r="525" spans="1:19" x14ac:dyDescent="0.3">
      <c r="A525" s="1" t="s">
        <v>412</v>
      </c>
      <c r="B525" t="s">
        <v>1596</v>
      </c>
      <c r="C525" t="s">
        <v>2076</v>
      </c>
      <c r="D525" t="str">
        <f t="shared" si="32"/>
        <v>Male</v>
      </c>
      <c r="E525" t="s">
        <v>9</v>
      </c>
      <c r="F525" s="2">
        <v>55</v>
      </c>
      <c r="G525" s="2" t="str" cm="1">
        <f t="array" ref="G525">_xlfn.IFS(F525&lt;=8,"Child",F525&lt;=17,"Teen",F525&lt;=35,"Adult",F525&lt;=55,"Seniour Adult",F525&gt;=55,"Old Age")</f>
        <v>Seniour Adult</v>
      </c>
      <c r="H525" t="s">
        <v>25</v>
      </c>
      <c r="I525" t="s">
        <v>11</v>
      </c>
      <c r="J525" t="str" cm="1">
        <f t="array" ref="J525">_xlfn.IFS(I525="S","Southamptom",I525="Q","Quentown",I525="C","Cherbrug",I525="B","Cabin")</f>
        <v>Southamptom</v>
      </c>
      <c r="K525" t="s">
        <v>26</v>
      </c>
      <c r="L525" s="2">
        <v>93.1</v>
      </c>
      <c r="M525" s="2" t="str" cm="1">
        <f t="array" ref="M525">_xlfn.IFS(L525&lt;=15,"Low Fare",L525&lt;=35,"Medium Fare",L525&lt;=100,"High Fare",L525&gt;=100,"Very High Fare")</f>
        <v>High Fare</v>
      </c>
      <c r="N525" s="2">
        <v>1</v>
      </c>
      <c r="O525" s="2">
        <v>1</v>
      </c>
      <c r="P525">
        <f t="shared" si="33"/>
        <v>3</v>
      </c>
      <c r="Q525" t="str">
        <f t="shared" si="34"/>
        <v>With Family</v>
      </c>
      <c r="R525" t="str">
        <f t="shared" si="35"/>
        <v>No</v>
      </c>
      <c r="S525" t="s">
        <v>13</v>
      </c>
    </row>
    <row r="526" spans="1:19" x14ac:dyDescent="0.3">
      <c r="A526" s="1" t="s">
        <v>412</v>
      </c>
      <c r="B526" t="s">
        <v>1600</v>
      </c>
      <c r="C526" t="s">
        <v>2077</v>
      </c>
      <c r="D526" t="str">
        <f t="shared" si="32"/>
        <v>Female</v>
      </c>
      <c r="E526" t="s">
        <v>14</v>
      </c>
      <c r="F526" s="2">
        <v>52</v>
      </c>
      <c r="G526" s="2" t="str" cm="1">
        <f t="array" ref="G526">_xlfn.IFS(F526&lt;=8,"Child",F526&lt;=17,"Teen",F526&lt;=35,"Adult",F526&lt;=55,"Seniour Adult",F526&gt;=55,"Old Age")</f>
        <v>Seniour Adult</v>
      </c>
      <c r="H526" t="s">
        <v>25</v>
      </c>
      <c r="I526" t="s">
        <v>11</v>
      </c>
      <c r="J526" t="str" cm="1">
        <f t="array" ref="J526">_xlfn.IFS(I526="S","Southamptom",I526="Q","Quentown",I526="C","Cherbrug",I526="B","Cabin")</f>
        <v>Southamptom</v>
      </c>
      <c r="K526" t="s">
        <v>26</v>
      </c>
      <c r="L526" s="2">
        <v>93.1</v>
      </c>
      <c r="M526" s="2" t="str" cm="1">
        <f t="array" ref="M526">_xlfn.IFS(L526&lt;=15,"Low Fare",L526&lt;=35,"Medium Fare",L526&lt;=100,"High Fare",L526&gt;=100,"Very High Fare")</f>
        <v>High Fare</v>
      </c>
      <c r="N526" s="2">
        <v>1</v>
      </c>
      <c r="O526" s="2">
        <v>1</v>
      </c>
      <c r="P526">
        <f t="shared" si="33"/>
        <v>3</v>
      </c>
      <c r="Q526" t="str">
        <f t="shared" si="34"/>
        <v>With Family</v>
      </c>
      <c r="R526" t="str">
        <f t="shared" si="35"/>
        <v>Yes</v>
      </c>
      <c r="S526" t="s">
        <v>16</v>
      </c>
    </row>
    <row r="527" spans="1:19" x14ac:dyDescent="0.3">
      <c r="A527" s="1" t="s">
        <v>413</v>
      </c>
      <c r="B527" t="s">
        <v>1596</v>
      </c>
      <c r="C527" t="s">
        <v>2078</v>
      </c>
      <c r="D527" t="str">
        <f t="shared" si="32"/>
        <v>Male</v>
      </c>
      <c r="E527" t="s">
        <v>9</v>
      </c>
      <c r="F527" s="2">
        <v>42</v>
      </c>
      <c r="G527" s="2" t="str" cm="1">
        <f t="array" ref="G527">_xlfn.IFS(F527&lt;=8,"Child",F527&lt;=17,"Teen",F527&lt;=35,"Adult",F527&lt;=55,"Seniour Adult",F527&gt;=55,"Old Age")</f>
        <v>Seniour Adult</v>
      </c>
      <c r="H527" t="s">
        <v>25</v>
      </c>
      <c r="I527" t="s">
        <v>11</v>
      </c>
      <c r="J527" t="str" cm="1">
        <f t="array" ref="J527">_xlfn.IFS(I527="S","Southamptom",I527="Q","Quentown",I527="C","Cherbrug",I527="B","Cabin")</f>
        <v>Southamptom</v>
      </c>
      <c r="K527" t="s">
        <v>15</v>
      </c>
      <c r="L527" s="2">
        <v>42.1</v>
      </c>
      <c r="M527" s="2" t="str" cm="1">
        <f t="array" ref="M527">_xlfn.IFS(L527&lt;=15,"Low Fare",L527&lt;=35,"Medium Fare",L527&lt;=100,"High Fare",L527&gt;=100,"Very High Fare")</f>
        <v>High Fare</v>
      </c>
      <c r="N527" s="2">
        <v>0</v>
      </c>
      <c r="O527" s="2">
        <v>0</v>
      </c>
      <c r="P527">
        <f t="shared" si="33"/>
        <v>1</v>
      </c>
      <c r="Q527" t="str">
        <f t="shared" si="34"/>
        <v>Alone</v>
      </c>
      <c r="R527" t="str">
        <f t="shared" si="35"/>
        <v>No</v>
      </c>
      <c r="S527" t="s">
        <v>13</v>
      </c>
    </row>
    <row r="528" spans="1:19" x14ac:dyDescent="0.3">
      <c r="A528" s="1" t="s">
        <v>414</v>
      </c>
      <c r="B528" t="s">
        <v>1602</v>
      </c>
      <c r="C528" t="s">
        <v>1971</v>
      </c>
      <c r="D528" t="str">
        <f t="shared" si="32"/>
        <v>Female</v>
      </c>
      <c r="E528" t="s">
        <v>14</v>
      </c>
      <c r="F528" s="2">
        <v>33</v>
      </c>
      <c r="G528" s="2" t="str" cm="1">
        <f t="array" ref="G528">_xlfn.IFS(F528&lt;=8,"Child",F528&lt;=17,"Teen",F528&lt;=35,"Adult",F528&lt;=55,"Seniour Adult",F528&gt;=55,"Old Age")</f>
        <v>Adult</v>
      </c>
      <c r="H528" t="s">
        <v>10</v>
      </c>
      <c r="I528" t="s">
        <v>36</v>
      </c>
      <c r="J528" t="str" cm="1">
        <f t="array" ref="J528">_xlfn.IFS(I528="S","Southamptom",I528="Q","Quentown",I528="C","Cherbrug",I528="B","Cabin")</f>
        <v>Quentown</v>
      </c>
      <c r="K528" t="s">
        <v>37</v>
      </c>
      <c r="L528" s="2">
        <v>7.15</v>
      </c>
      <c r="M528" s="2" t="str" cm="1">
        <f t="array" ref="M528">_xlfn.IFS(L528&lt;=15,"Low Fare",L528&lt;=35,"Medium Fare",L528&lt;=100,"High Fare",L528&gt;=100,"Very High Fare")</f>
        <v>Low Fare</v>
      </c>
      <c r="N528" s="2">
        <v>0</v>
      </c>
      <c r="O528" s="2">
        <v>0</v>
      </c>
      <c r="P528">
        <f t="shared" si="33"/>
        <v>1</v>
      </c>
      <c r="Q528" t="str">
        <f t="shared" si="34"/>
        <v>Alone</v>
      </c>
      <c r="R528" t="str">
        <f t="shared" si="35"/>
        <v>Yes</v>
      </c>
      <c r="S528" t="s">
        <v>16</v>
      </c>
    </row>
    <row r="529" spans="1:19" x14ac:dyDescent="0.3">
      <c r="A529" s="1" t="s">
        <v>415</v>
      </c>
      <c r="B529" t="s">
        <v>1596</v>
      </c>
      <c r="C529" t="s">
        <v>2079</v>
      </c>
      <c r="D529" t="str">
        <f t="shared" si="32"/>
        <v>Male</v>
      </c>
      <c r="E529" t="s">
        <v>9</v>
      </c>
      <c r="F529" s="2">
        <v>27</v>
      </c>
      <c r="G529" s="2" t="str" cm="1">
        <f t="array" ref="G529">_xlfn.IFS(F529&lt;=8,"Child",F529&lt;=17,"Teen",F529&lt;=35,"Adult",F529&lt;=55,"Seniour Adult",F529&gt;=55,"Old Age")</f>
        <v>Adult</v>
      </c>
      <c r="H529" t="s">
        <v>10</v>
      </c>
      <c r="I529" t="s">
        <v>11</v>
      </c>
      <c r="J529" t="str" cm="1">
        <f t="array" ref="J529">_xlfn.IFS(I529="S","Southamptom",I529="Q","Quentown",I529="C","Cherbrug",I529="B","Cabin")</f>
        <v>Southamptom</v>
      </c>
      <c r="K529" t="s">
        <v>23</v>
      </c>
      <c r="L529" s="2">
        <v>6.1905999999999999</v>
      </c>
      <c r="M529" s="2" t="str" cm="1">
        <f t="array" ref="M529">_xlfn.IFS(L529&lt;=15,"Low Fare",L529&lt;=35,"Medium Fare",L529&lt;=100,"High Fare",L529&gt;=100,"Very High Fare")</f>
        <v>Low Fare</v>
      </c>
      <c r="N529" s="2">
        <v>0</v>
      </c>
      <c r="O529" s="2">
        <v>0</v>
      </c>
      <c r="P529">
        <f t="shared" si="33"/>
        <v>1</v>
      </c>
      <c r="Q529" t="str">
        <f t="shared" si="34"/>
        <v>Alone</v>
      </c>
      <c r="R529" t="str">
        <f t="shared" si="35"/>
        <v>Yes</v>
      </c>
      <c r="S529" t="s">
        <v>16</v>
      </c>
    </row>
    <row r="530" spans="1:19" x14ac:dyDescent="0.3">
      <c r="A530" s="1" t="s">
        <v>416</v>
      </c>
      <c r="B530" t="s">
        <v>1596</v>
      </c>
      <c r="C530" t="s">
        <v>2080</v>
      </c>
      <c r="D530" t="str">
        <f t="shared" si="32"/>
        <v>Male</v>
      </c>
      <c r="E530" t="s">
        <v>9</v>
      </c>
      <c r="F530" s="2">
        <v>24</v>
      </c>
      <c r="G530" s="2" t="str" cm="1">
        <f t="array" ref="G530">_xlfn.IFS(F530&lt;=8,"Child",F530&lt;=17,"Teen",F530&lt;=35,"Adult",F530&lt;=55,"Seniour Adult",F530&gt;=55,"Old Age")</f>
        <v>Adult</v>
      </c>
      <c r="H530" t="s">
        <v>10</v>
      </c>
      <c r="I530" t="s">
        <v>11</v>
      </c>
      <c r="J530" t="str" cm="1">
        <f t="array" ref="J530">_xlfn.IFS(I530="S","Southamptom",I530="Q","Quentown",I530="C","Cherbrug",I530="B","Cabin")</f>
        <v>Southamptom</v>
      </c>
      <c r="K530" t="s">
        <v>15</v>
      </c>
      <c r="L530" s="2">
        <v>56.091099999999997</v>
      </c>
      <c r="M530" s="2" t="str" cm="1">
        <f t="array" ref="M530">_xlfn.IFS(L530&lt;=15,"Low Fare",L530&lt;=35,"Medium Fare",L530&lt;=100,"High Fare",L530&gt;=100,"Very High Fare")</f>
        <v>High Fare</v>
      </c>
      <c r="N530" s="2">
        <v>0</v>
      </c>
      <c r="O530" s="2">
        <v>0</v>
      </c>
      <c r="P530">
        <f t="shared" si="33"/>
        <v>1</v>
      </c>
      <c r="Q530" t="str">
        <f t="shared" si="34"/>
        <v>Alone</v>
      </c>
      <c r="R530" t="str">
        <f t="shared" si="35"/>
        <v>Yes</v>
      </c>
      <c r="S530" t="s">
        <v>16</v>
      </c>
    </row>
    <row r="531" spans="1:19" x14ac:dyDescent="0.3">
      <c r="A531" s="1" t="s">
        <v>417</v>
      </c>
      <c r="B531" t="s">
        <v>1602</v>
      </c>
      <c r="C531" t="s">
        <v>2081</v>
      </c>
      <c r="D531" t="str">
        <f t="shared" si="32"/>
        <v>Female</v>
      </c>
      <c r="E531" t="s">
        <v>14</v>
      </c>
      <c r="F531" s="2">
        <v>20</v>
      </c>
      <c r="G531" s="2" t="str" cm="1">
        <f t="array" ref="G531">_xlfn.IFS(F531&lt;=8,"Child",F531&lt;=17,"Teen",F531&lt;=35,"Adult",F531&lt;=55,"Seniour Adult",F531&gt;=55,"Old Age")</f>
        <v>Adult</v>
      </c>
      <c r="H531" t="s">
        <v>10</v>
      </c>
      <c r="I531" t="s">
        <v>36</v>
      </c>
      <c r="J531" t="str" cm="1">
        <f t="array" ref="J531">_xlfn.IFS(I531="S","Southamptom",I531="Q","Quentown",I531="C","Cherbrug",I531="B","Cabin")</f>
        <v>Quentown</v>
      </c>
      <c r="K531" t="s">
        <v>37</v>
      </c>
      <c r="L531" s="2">
        <v>6.15</v>
      </c>
      <c r="M531" s="2" t="str" cm="1">
        <f t="array" ref="M531">_xlfn.IFS(L531&lt;=15,"Low Fare",L531&lt;=35,"Medium Fare",L531&lt;=100,"High Fare",L531&gt;=100,"Very High Fare")</f>
        <v>Low Fare</v>
      </c>
      <c r="N531" s="2">
        <v>0</v>
      </c>
      <c r="O531" s="2">
        <v>0</v>
      </c>
      <c r="P531">
        <f t="shared" si="33"/>
        <v>1</v>
      </c>
      <c r="Q531" t="str">
        <f t="shared" si="34"/>
        <v>Alone</v>
      </c>
      <c r="R531" t="str">
        <f t="shared" si="35"/>
        <v>No</v>
      </c>
      <c r="S531" t="s">
        <v>13</v>
      </c>
    </row>
    <row r="532" spans="1:19" x14ac:dyDescent="0.3">
      <c r="A532" s="1" t="s">
        <v>418</v>
      </c>
      <c r="B532" t="s">
        <v>1602</v>
      </c>
      <c r="C532" t="s">
        <v>2082</v>
      </c>
      <c r="D532" t="str">
        <f t="shared" si="32"/>
        <v>Female</v>
      </c>
      <c r="E532" t="s">
        <v>14</v>
      </c>
      <c r="F532" s="2">
        <v>16</v>
      </c>
      <c r="G532" s="2" t="str" cm="1">
        <f t="array" ref="G532">_xlfn.IFS(F532&lt;=8,"Child",F532&lt;=17,"Teen",F532&lt;=35,"Adult",F532&lt;=55,"Seniour Adult",F532&gt;=55,"Old Age")</f>
        <v>Teen</v>
      </c>
      <c r="H532" t="s">
        <v>10</v>
      </c>
      <c r="I532" t="s">
        <v>11</v>
      </c>
      <c r="J532" t="str" cm="1">
        <f t="array" ref="J532">_xlfn.IFS(I532="S","Southamptom",I532="Q","Quentown",I532="C","Cherbrug",I532="B","Cabin")</f>
        <v>Southamptom</v>
      </c>
      <c r="K532" t="s">
        <v>22</v>
      </c>
      <c r="L532" s="2">
        <v>7.1806000000000001</v>
      </c>
      <c r="M532" s="2" t="str" cm="1">
        <f t="array" ref="M532">_xlfn.IFS(L532&lt;=15,"Low Fare",L532&lt;=35,"Medium Fare",L532&lt;=100,"High Fare",L532&gt;=100,"Very High Fare")</f>
        <v>Low Fare</v>
      </c>
      <c r="N532" s="2">
        <v>0</v>
      </c>
      <c r="O532" s="2">
        <v>0</v>
      </c>
      <c r="P532">
        <f t="shared" si="33"/>
        <v>1</v>
      </c>
      <c r="Q532" t="str">
        <f t="shared" si="34"/>
        <v>Alone</v>
      </c>
      <c r="R532" t="str">
        <f t="shared" si="35"/>
        <v>Yes</v>
      </c>
      <c r="S532" t="s">
        <v>16</v>
      </c>
    </row>
    <row r="533" spans="1:19" x14ac:dyDescent="0.3">
      <c r="A533" s="1" t="s">
        <v>419</v>
      </c>
      <c r="B533" t="s">
        <v>1602</v>
      </c>
      <c r="C533" t="s">
        <v>2083</v>
      </c>
      <c r="D533" t="str">
        <f t="shared" si="32"/>
        <v>Female</v>
      </c>
      <c r="E533" t="s">
        <v>14</v>
      </c>
      <c r="F533" s="2">
        <v>23</v>
      </c>
      <c r="G533" s="2" t="str" cm="1">
        <f t="array" ref="G533">_xlfn.IFS(F533&lt;=8,"Child",F533&lt;=17,"Teen",F533&lt;=35,"Adult",F533&lt;=55,"Seniour Adult",F533&gt;=55,"Old Age")</f>
        <v>Adult</v>
      </c>
      <c r="H533" t="s">
        <v>10</v>
      </c>
      <c r="I533" t="s">
        <v>11</v>
      </c>
      <c r="J533" t="str" cm="1">
        <f t="array" ref="J533">_xlfn.IFS(I533="S","Southamptom",I533="Q","Quentown",I533="C","Cherbrug",I533="B","Cabin")</f>
        <v>Southamptom</v>
      </c>
      <c r="K533" t="s">
        <v>22</v>
      </c>
      <c r="L533" s="2">
        <v>7.1806000000000001</v>
      </c>
      <c r="M533" s="2" t="str" cm="1">
        <f t="array" ref="M533">_xlfn.IFS(L533&lt;=15,"Low Fare",L533&lt;=35,"Medium Fare",L533&lt;=100,"High Fare",L533&gt;=100,"Very High Fare")</f>
        <v>Low Fare</v>
      </c>
      <c r="N533" s="2">
        <v>0</v>
      </c>
      <c r="O533" s="2">
        <v>0</v>
      </c>
      <c r="P533">
        <f t="shared" si="33"/>
        <v>1</v>
      </c>
      <c r="Q533" t="str">
        <f t="shared" si="34"/>
        <v>Alone</v>
      </c>
      <c r="R533" t="str">
        <f t="shared" si="35"/>
        <v>No</v>
      </c>
      <c r="S533" t="s">
        <v>13</v>
      </c>
    </row>
    <row r="534" spans="1:19" x14ac:dyDescent="0.3">
      <c r="A534" s="1" t="s">
        <v>420</v>
      </c>
      <c r="B534" t="s">
        <v>1602</v>
      </c>
      <c r="C534" t="s">
        <v>2084</v>
      </c>
      <c r="D534" t="str">
        <f t="shared" si="32"/>
        <v>Female</v>
      </c>
      <c r="E534" t="s">
        <v>14</v>
      </c>
      <c r="F534" s="2">
        <v>22</v>
      </c>
      <c r="G534" s="2" t="str" cm="1">
        <f t="array" ref="G534">_xlfn.IFS(F534&lt;=8,"Child",F534&lt;=17,"Teen",F534&lt;=35,"Adult",F534&lt;=55,"Seniour Adult",F534&gt;=55,"Old Age")</f>
        <v>Adult</v>
      </c>
      <c r="H534" t="s">
        <v>10</v>
      </c>
      <c r="I534" t="s">
        <v>11</v>
      </c>
      <c r="J534" t="str" cm="1">
        <f t="array" ref="J534">_xlfn.IFS(I534="S","Southamptom",I534="Q","Quentown",I534="C","Cherbrug",I534="B","Cabin")</f>
        <v>Southamptom</v>
      </c>
      <c r="K534" t="s">
        <v>23</v>
      </c>
      <c r="L534" s="2">
        <v>8.1903000000000006</v>
      </c>
      <c r="M534" s="2" t="str" cm="1">
        <f t="array" ref="M534">_xlfn.IFS(L534&lt;=15,"Low Fare",L534&lt;=35,"Medium Fare",L534&lt;=100,"High Fare",L534&gt;=100,"Very High Fare")</f>
        <v>Low Fare</v>
      </c>
      <c r="N534" s="2">
        <v>0</v>
      </c>
      <c r="O534" s="2">
        <v>0</v>
      </c>
      <c r="P534">
        <f t="shared" si="33"/>
        <v>1</v>
      </c>
      <c r="Q534" t="str">
        <f t="shared" si="34"/>
        <v>Alone</v>
      </c>
      <c r="R534" t="str">
        <f t="shared" si="35"/>
        <v>Yes</v>
      </c>
      <c r="S534" t="s">
        <v>16</v>
      </c>
    </row>
    <row r="535" spans="1:19" x14ac:dyDescent="0.3">
      <c r="A535" s="1" t="s">
        <v>421</v>
      </c>
      <c r="B535" t="s">
        <v>1596</v>
      </c>
      <c r="C535" t="s">
        <v>2085</v>
      </c>
      <c r="D535" t="str">
        <f t="shared" si="32"/>
        <v>Male</v>
      </c>
      <c r="E535" t="s">
        <v>9</v>
      </c>
      <c r="F535" s="2">
        <v>30</v>
      </c>
      <c r="G535" s="2" t="str" cm="1">
        <f t="array" ref="G535">_xlfn.IFS(F535&lt;=8,"Child",F535&lt;=17,"Teen",F535&lt;=35,"Adult",F535&lt;=55,"Seniour Adult",F535&gt;=55,"Old Age")</f>
        <v>Adult</v>
      </c>
      <c r="H535" t="s">
        <v>10</v>
      </c>
      <c r="I535" t="s">
        <v>11</v>
      </c>
      <c r="J535" t="str" cm="1">
        <f t="array" ref="J535">_xlfn.IFS(I535="S","Southamptom",I535="Q","Quentown",I535="C","Cherbrug",I535="B","Cabin")</f>
        <v>Southamptom</v>
      </c>
      <c r="K535" t="s">
        <v>35</v>
      </c>
      <c r="L535" s="2">
        <v>7.1711</v>
      </c>
      <c r="M535" s="2" t="str" cm="1">
        <f t="array" ref="M535">_xlfn.IFS(L535&lt;=15,"Low Fare",L535&lt;=35,"Medium Fare",L535&lt;=100,"High Fare",L535&gt;=100,"Very High Fare")</f>
        <v>Low Fare</v>
      </c>
      <c r="N535" s="2">
        <v>0</v>
      </c>
      <c r="O535" s="2">
        <v>0</v>
      </c>
      <c r="P535">
        <f t="shared" si="33"/>
        <v>1</v>
      </c>
      <c r="Q535" t="str">
        <f t="shared" si="34"/>
        <v>Alone</v>
      </c>
      <c r="R535" t="str">
        <f t="shared" si="35"/>
        <v>No</v>
      </c>
      <c r="S535" t="s">
        <v>13</v>
      </c>
    </row>
    <row r="536" spans="1:19" x14ac:dyDescent="0.3">
      <c r="A536" s="1" t="s">
        <v>422</v>
      </c>
      <c r="B536" t="s">
        <v>1602</v>
      </c>
      <c r="C536" t="s">
        <v>2086</v>
      </c>
      <c r="D536" t="str">
        <f t="shared" si="32"/>
        <v>Female</v>
      </c>
      <c r="E536" t="s">
        <v>14</v>
      </c>
      <c r="F536" s="2">
        <v>28</v>
      </c>
      <c r="G536" s="2" t="str" cm="1">
        <f t="array" ref="G536">_xlfn.IFS(F536&lt;=8,"Child",F536&lt;=17,"Teen",F536&lt;=35,"Adult",F536&lt;=55,"Seniour Adult",F536&gt;=55,"Old Age")</f>
        <v>Adult</v>
      </c>
      <c r="H536" t="s">
        <v>10</v>
      </c>
      <c r="I536" t="s">
        <v>11</v>
      </c>
      <c r="J536" t="str" cm="1">
        <f t="array" ref="J536">_xlfn.IFS(I536="S","Southamptom",I536="Q","Quentown",I536="C","Cherbrug",I536="B","Cabin")</f>
        <v>Southamptom</v>
      </c>
      <c r="K536" t="s">
        <v>23</v>
      </c>
      <c r="L536" s="2">
        <v>7.1505999999999998</v>
      </c>
      <c r="M536" s="2" t="str" cm="1">
        <f t="array" ref="M536">_xlfn.IFS(L536&lt;=15,"Low Fare",L536&lt;=35,"Medium Fare",L536&lt;=100,"High Fare",L536&gt;=100,"Very High Fare")</f>
        <v>Low Fare</v>
      </c>
      <c r="N536" s="2">
        <v>0</v>
      </c>
      <c r="O536" s="2">
        <v>0</v>
      </c>
      <c r="P536">
        <f t="shared" si="33"/>
        <v>1</v>
      </c>
      <c r="Q536" t="str">
        <f t="shared" si="34"/>
        <v>Alone</v>
      </c>
      <c r="R536" t="str">
        <f t="shared" si="35"/>
        <v>No</v>
      </c>
      <c r="S536" t="s">
        <v>13</v>
      </c>
    </row>
    <row r="537" spans="1:19" x14ac:dyDescent="0.3">
      <c r="A537" s="1" t="s">
        <v>423</v>
      </c>
      <c r="B537" t="s">
        <v>1602</v>
      </c>
      <c r="C537" t="s">
        <v>1741</v>
      </c>
      <c r="D537" t="str">
        <f t="shared" si="32"/>
        <v>Female</v>
      </c>
      <c r="E537" t="s">
        <v>14</v>
      </c>
      <c r="F537" s="2">
        <v>21</v>
      </c>
      <c r="G537" s="2" t="str" cm="1">
        <f t="array" ref="G537">_xlfn.IFS(F537&lt;=8,"Child",F537&lt;=17,"Teen",F537&lt;=35,"Adult",F537&lt;=55,"Seniour Adult",F537&gt;=55,"Old Age")</f>
        <v>Adult</v>
      </c>
      <c r="H537" t="s">
        <v>10</v>
      </c>
      <c r="I537" t="s">
        <v>36</v>
      </c>
      <c r="J537" t="str" cm="1">
        <f t="array" ref="J537">_xlfn.IFS(I537="S","Southamptom",I537="Q","Quentown",I537="C","Cherbrug",I537="B","Cabin")</f>
        <v>Quentown</v>
      </c>
      <c r="K537" t="s">
        <v>37</v>
      </c>
      <c r="L537" s="2">
        <v>7.15</v>
      </c>
      <c r="M537" s="2" t="str" cm="1">
        <f t="array" ref="M537">_xlfn.IFS(L537&lt;=15,"Low Fare",L537&lt;=35,"Medium Fare",L537&lt;=100,"High Fare",L537&gt;=100,"Very High Fare")</f>
        <v>Low Fare</v>
      </c>
      <c r="N537" s="2">
        <v>0</v>
      </c>
      <c r="O537" s="2">
        <v>0</v>
      </c>
      <c r="P537">
        <f t="shared" si="33"/>
        <v>1</v>
      </c>
      <c r="Q537" t="str">
        <f t="shared" si="34"/>
        <v>Alone</v>
      </c>
      <c r="R537" t="str">
        <f t="shared" si="35"/>
        <v>No</v>
      </c>
      <c r="S537" t="s">
        <v>13</v>
      </c>
    </row>
    <row r="538" spans="1:19" x14ac:dyDescent="0.3">
      <c r="A538" s="1" t="s">
        <v>424</v>
      </c>
      <c r="B538" t="s">
        <v>1602</v>
      </c>
      <c r="C538" t="s">
        <v>2087</v>
      </c>
      <c r="D538" t="str">
        <f t="shared" si="32"/>
        <v>Female</v>
      </c>
      <c r="E538" t="s">
        <v>14</v>
      </c>
      <c r="F538" s="2">
        <v>24</v>
      </c>
      <c r="G538" s="2" t="str" cm="1">
        <f t="array" ref="G538">_xlfn.IFS(F538&lt;=8,"Child",F538&lt;=17,"Teen",F538&lt;=35,"Adult",F538&lt;=55,"Seniour Adult",F538&gt;=55,"Old Age")</f>
        <v>Adult</v>
      </c>
      <c r="H538" t="s">
        <v>18</v>
      </c>
      <c r="I538" t="s">
        <v>11</v>
      </c>
      <c r="J538" t="str" cm="1">
        <f t="array" ref="J538">_xlfn.IFS(I538="S","Southamptom",I538="Q","Quentown",I538="C","Cherbrug",I538="B","Cabin")</f>
        <v>Southamptom</v>
      </c>
      <c r="K538" t="s">
        <v>15</v>
      </c>
      <c r="L538" s="2">
        <v>65</v>
      </c>
      <c r="M538" s="2" t="str" cm="1">
        <f t="array" ref="M538">_xlfn.IFS(L538&lt;=15,"Low Fare",L538&lt;=35,"Medium Fare",L538&lt;=100,"High Fare",L538&gt;=100,"Very High Fare")</f>
        <v>High Fare</v>
      </c>
      <c r="N538" s="2">
        <v>1</v>
      </c>
      <c r="O538" s="2">
        <v>2</v>
      </c>
      <c r="P538">
        <f t="shared" si="33"/>
        <v>4</v>
      </c>
      <c r="Q538" t="str">
        <f t="shared" si="34"/>
        <v>With Family</v>
      </c>
      <c r="R538" t="str">
        <f t="shared" si="35"/>
        <v>Yes</v>
      </c>
      <c r="S538" t="s">
        <v>16</v>
      </c>
    </row>
    <row r="539" spans="1:19" x14ac:dyDescent="0.3">
      <c r="A539" s="1" t="s">
        <v>424</v>
      </c>
      <c r="B539" t="s">
        <v>1602</v>
      </c>
      <c r="C539" t="s">
        <v>1772</v>
      </c>
      <c r="D539" t="str">
        <f t="shared" si="32"/>
        <v>Female</v>
      </c>
      <c r="E539" t="s">
        <v>14</v>
      </c>
      <c r="F539" s="2">
        <v>24</v>
      </c>
      <c r="G539" s="2" t="str" cm="1">
        <f t="array" ref="G539">_xlfn.IFS(F539&lt;=8,"Child",F539&lt;=17,"Teen",F539&lt;=35,"Adult",F539&lt;=55,"Seniour Adult",F539&gt;=55,"Old Age")</f>
        <v>Adult</v>
      </c>
      <c r="H539" t="s">
        <v>18</v>
      </c>
      <c r="I539" t="s">
        <v>11</v>
      </c>
      <c r="J539" t="str" cm="1">
        <f t="array" ref="J539">_xlfn.IFS(I539="S","Southamptom",I539="Q","Quentown",I539="C","Cherbrug",I539="B","Cabin")</f>
        <v>Southamptom</v>
      </c>
      <c r="K539" t="s">
        <v>15</v>
      </c>
      <c r="L539" s="2">
        <v>65</v>
      </c>
      <c r="M539" s="2" t="str" cm="1">
        <f t="array" ref="M539">_xlfn.IFS(L539&lt;=15,"Low Fare",L539&lt;=35,"Medium Fare",L539&lt;=100,"High Fare",L539&gt;=100,"Very High Fare")</f>
        <v>High Fare</v>
      </c>
      <c r="N539" s="2">
        <v>1</v>
      </c>
      <c r="O539" s="2">
        <v>2</v>
      </c>
      <c r="P539">
        <f t="shared" si="33"/>
        <v>4</v>
      </c>
      <c r="Q539" t="str">
        <f t="shared" si="34"/>
        <v>With Family</v>
      </c>
      <c r="R539" t="str">
        <f t="shared" si="35"/>
        <v>Yes</v>
      </c>
      <c r="S539" t="s">
        <v>16</v>
      </c>
    </row>
    <row r="540" spans="1:19" x14ac:dyDescent="0.3">
      <c r="A540" s="1" t="s">
        <v>424</v>
      </c>
      <c r="B540" t="s">
        <v>1596</v>
      </c>
      <c r="C540" t="s">
        <v>1605</v>
      </c>
      <c r="D540" t="str">
        <f t="shared" si="32"/>
        <v>Male</v>
      </c>
      <c r="E540" t="s">
        <v>9</v>
      </c>
      <c r="F540" s="2">
        <v>50</v>
      </c>
      <c r="G540" s="2" t="str" cm="1">
        <f t="array" ref="G540">_xlfn.IFS(F540&lt;=8,"Child",F540&lt;=17,"Teen",F540&lt;=35,"Adult",F540&lt;=55,"Seniour Adult",F540&gt;=55,"Old Age")</f>
        <v>Seniour Adult</v>
      </c>
      <c r="H540" t="s">
        <v>18</v>
      </c>
      <c r="I540" t="s">
        <v>11</v>
      </c>
      <c r="J540" t="str" cm="1">
        <f t="array" ref="J540">_xlfn.IFS(I540="S","Southamptom",I540="Q","Quentown",I540="C","Cherbrug",I540="B","Cabin")</f>
        <v>Southamptom</v>
      </c>
      <c r="K540" t="s">
        <v>15</v>
      </c>
      <c r="L540" s="2">
        <v>65</v>
      </c>
      <c r="M540" s="2" t="str" cm="1">
        <f t="array" ref="M540">_xlfn.IFS(L540&lt;=15,"Low Fare",L540&lt;=35,"Medium Fare",L540&lt;=100,"High Fare",L540&gt;=100,"Very High Fare")</f>
        <v>High Fare</v>
      </c>
      <c r="N540" s="2">
        <v>1</v>
      </c>
      <c r="O540" s="2">
        <v>2</v>
      </c>
      <c r="P540">
        <f t="shared" si="33"/>
        <v>4</v>
      </c>
      <c r="Q540" t="str">
        <f t="shared" si="34"/>
        <v>With Family</v>
      </c>
      <c r="R540" t="str">
        <f t="shared" si="35"/>
        <v>No</v>
      </c>
      <c r="S540" t="s">
        <v>13</v>
      </c>
    </row>
    <row r="541" spans="1:19" x14ac:dyDescent="0.3">
      <c r="A541" s="1" t="s">
        <v>424</v>
      </c>
      <c r="B541" t="s">
        <v>1600</v>
      </c>
      <c r="C541" t="s">
        <v>1804</v>
      </c>
      <c r="D541" t="str">
        <f t="shared" si="32"/>
        <v>Female</v>
      </c>
      <c r="E541" t="s">
        <v>14</v>
      </c>
      <c r="F541" s="2">
        <v>50</v>
      </c>
      <c r="G541" s="2" t="str" cm="1">
        <f t="array" ref="G541">_xlfn.IFS(F541&lt;=8,"Child",F541&lt;=17,"Teen",F541&lt;=35,"Adult",F541&lt;=55,"Seniour Adult",F541&gt;=55,"Old Age")</f>
        <v>Seniour Adult</v>
      </c>
      <c r="H541" t="s">
        <v>18</v>
      </c>
      <c r="I541" t="s">
        <v>11</v>
      </c>
      <c r="J541" t="str" cm="1">
        <f t="array" ref="J541">_xlfn.IFS(I541="S","Southamptom",I541="Q","Quentown",I541="C","Cherbrug",I541="B","Cabin")</f>
        <v>Southamptom</v>
      </c>
      <c r="K541" t="s">
        <v>39</v>
      </c>
      <c r="L541" s="2">
        <v>65</v>
      </c>
      <c r="M541" s="2" t="str" cm="1">
        <f t="array" ref="M541">_xlfn.IFS(L541&lt;=15,"Low Fare",L541&lt;=35,"Medium Fare",L541&lt;=100,"High Fare",L541&gt;=100,"Very High Fare")</f>
        <v>High Fare</v>
      </c>
      <c r="N541" s="2">
        <v>1</v>
      </c>
      <c r="O541" s="2">
        <v>2</v>
      </c>
      <c r="P541">
        <f t="shared" si="33"/>
        <v>4</v>
      </c>
      <c r="Q541" t="str">
        <f t="shared" si="34"/>
        <v>With Family</v>
      </c>
      <c r="R541" t="str">
        <f t="shared" si="35"/>
        <v>Yes</v>
      </c>
      <c r="S541" t="s">
        <v>16</v>
      </c>
    </row>
    <row r="542" spans="1:19" x14ac:dyDescent="0.3">
      <c r="A542" s="1" t="s">
        <v>425</v>
      </c>
      <c r="B542" t="s">
        <v>1600</v>
      </c>
      <c r="C542" t="s">
        <v>2088</v>
      </c>
      <c r="D542" t="str">
        <f t="shared" si="32"/>
        <v>Female</v>
      </c>
      <c r="E542" t="s">
        <v>14</v>
      </c>
      <c r="F542" s="2">
        <v>56</v>
      </c>
      <c r="G542" s="2" t="str" cm="1">
        <f t="array" ref="G542">_xlfn.IFS(F542&lt;=8,"Child",F542&lt;=17,"Teen",F542&lt;=35,"Adult",F542&lt;=55,"Seniour Adult",F542&gt;=55,"Old Age")</f>
        <v>Old Age</v>
      </c>
      <c r="H542" t="s">
        <v>18</v>
      </c>
      <c r="I542" t="s">
        <v>11</v>
      </c>
      <c r="J542" t="str" cm="1">
        <f t="array" ref="J542">_xlfn.IFS(I542="S","Southamptom",I542="Q","Quentown",I542="C","Cherbrug",I542="B","Cabin")</f>
        <v>Southamptom</v>
      </c>
      <c r="K542" t="s">
        <v>39</v>
      </c>
      <c r="L542" s="2">
        <v>16</v>
      </c>
      <c r="M542" s="2" t="str" cm="1">
        <f t="array" ref="M542">_xlfn.IFS(L542&lt;=15,"Low Fare",L542&lt;=35,"Medium Fare",L542&lt;=100,"High Fare",L542&gt;=100,"Very High Fare")</f>
        <v>Medium Fare</v>
      </c>
      <c r="N542" s="2">
        <v>0</v>
      </c>
      <c r="O542" s="2">
        <v>0</v>
      </c>
      <c r="P542">
        <f t="shared" si="33"/>
        <v>1</v>
      </c>
      <c r="Q542" t="str">
        <f t="shared" si="34"/>
        <v>Alone</v>
      </c>
      <c r="R542" t="str">
        <f t="shared" si="35"/>
        <v>Yes</v>
      </c>
      <c r="S542" t="s">
        <v>16</v>
      </c>
    </row>
    <row r="543" spans="1:19" x14ac:dyDescent="0.3">
      <c r="A543" s="1" t="s">
        <v>426</v>
      </c>
      <c r="B543" t="s">
        <v>1596</v>
      </c>
      <c r="C543" t="s">
        <v>2089</v>
      </c>
      <c r="D543" t="str">
        <f t="shared" si="32"/>
        <v>Male</v>
      </c>
      <c r="E543" t="s">
        <v>9</v>
      </c>
      <c r="F543" s="2">
        <v>24</v>
      </c>
      <c r="G543" s="2" t="str" cm="1">
        <f t="array" ref="G543">_xlfn.IFS(F543&lt;=8,"Child",F543&lt;=17,"Teen",F543&lt;=35,"Adult",F543&lt;=55,"Seniour Adult",F543&gt;=55,"Old Age")</f>
        <v>Adult</v>
      </c>
      <c r="H543" t="s">
        <v>18</v>
      </c>
      <c r="I543" t="s">
        <v>11</v>
      </c>
      <c r="J543" t="str" cm="1">
        <f t="array" ref="J543">_xlfn.IFS(I543="S","Southamptom",I543="Q","Quentown",I543="C","Cherbrug",I543="B","Cabin")</f>
        <v>Southamptom</v>
      </c>
      <c r="K543" t="s">
        <v>15</v>
      </c>
      <c r="L543" s="2">
        <v>73.099999999999994</v>
      </c>
      <c r="M543" s="2" t="str" cm="1">
        <f t="array" ref="M543">_xlfn.IFS(L543&lt;=15,"Low Fare",L543&lt;=35,"Medium Fare",L543&lt;=100,"High Fare",L543&gt;=100,"Very High Fare")</f>
        <v>High Fare</v>
      </c>
      <c r="N543" s="2">
        <v>2</v>
      </c>
      <c r="O543" s="2">
        <v>0</v>
      </c>
      <c r="P543">
        <f t="shared" si="33"/>
        <v>3</v>
      </c>
      <c r="Q543" t="str">
        <f t="shared" si="34"/>
        <v>With Family</v>
      </c>
      <c r="R543" t="str">
        <f t="shared" si="35"/>
        <v>No</v>
      </c>
      <c r="S543" t="s">
        <v>13</v>
      </c>
    </row>
    <row r="544" spans="1:19" x14ac:dyDescent="0.3">
      <c r="A544" s="1" t="s">
        <v>426</v>
      </c>
      <c r="B544" t="s">
        <v>1596</v>
      </c>
      <c r="C544" t="s">
        <v>2090</v>
      </c>
      <c r="D544" t="str">
        <f t="shared" si="32"/>
        <v>Male</v>
      </c>
      <c r="E544" t="s">
        <v>9</v>
      </c>
      <c r="F544" s="2">
        <v>30</v>
      </c>
      <c r="G544" s="2" t="str" cm="1">
        <f t="array" ref="G544">_xlfn.IFS(F544&lt;=8,"Child",F544&lt;=17,"Teen",F544&lt;=35,"Adult",F544&lt;=55,"Seniour Adult",F544&gt;=55,"Old Age")</f>
        <v>Adult</v>
      </c>
      <c r="H544" t="s">
        <v>18</v>
      </c>
      <c r="I544" t="s">
        <v>11</v>
      </c>
      <c r="J544" t="str" cm="1">
        <f t="array" ref="J544">_xlfn.IFS(I544="S","Southamptom",I544="Q","Quentown",I544="C","Cherbrug",I544="B","Cabin")</f>
        <v>Southamptom</v>
      </c>
      <c r="K544" t="s">
        <v>15</v>
      </c>
      <c r="L544" s="2">
        <v>73.099999999999994</v>
      </c>
      <c r="M544" s="2" t="str" cm="1">
        <f t="array" ref="M544">_xlfn.IFS(L544&lt;=15,"Low Fare",L544&lt;=35,"Medium Fare",L544&lt;=100,"High Fare",L544&gt;=100,"Very High Fare")</f>
        <v>High Fare</v>
      </c>
      <c r="N544" s="2">
        <v>2</v>
      </c>
      <c r="O544" s="2">
        <v>0</v>
      </c>
      <c r="P544">
        <f t="shared" si="33"/>
        <v>3</v>
      </c>
      <c r="Q544" t="str">
        <f t="shared" si="34"/>
        <v>With Family</v>
      </c>
      <c r="R544" t="str">
        <f t="shared" si="35"/>
        <v>No</v>
      </c>
      <c r="S544" t="s">
        <v>13</v>
      </c>
    </row>
    <row r="545" spans="1:19" x14ac:dyDescent="0.3">
      <c r="A545" s="1" t="s">
        <v>426</v>
      </c>
      <c r="B545" t="s">
        <v>1596</v>
      </c>
      <c r="C545" t="s">
        <v>2091</v>
      </c>
      <c r="D545" t="str">
        <f t="shared" si="32"/>
        <v>Male</v>
      </c>
      <c r="E545" t="s">
        <v>9</v>
      </c>
      <c r="F545" s="2">
        <v>21</v>
      </c>
      <c r="G545" s="2" t="str" cm="1">
        <f t="array" ref="G545">_xlfn.IFS(F545&lt;=8,"Child",F545&lt;=17,"Teen",F545&lt;=35,"Adult",F545&lt;=55,"Seniour Adult",F545&gt;=55,"Old Age")</f>
        <v>Adult</v>
      </c>
      <c r="H545" t="s">
        <v>18</v>
      </c>
      <c r="I545" t="s">
        <v>11</v>
      </c>
      <c r="J545" t="str" cm="1">
        <f t="array" ref="J545">_xlfn.IFS(I545="S","Southamptom",I545="Q","Quentown",I545="C","Cherbrug",I545="B","Cabin")</f>
        <v>Southamptom</v>
      </c>
      <c r="K545" t="s">
        <v>15</v>
      </c>
      <c r="L545" s="2">
        <v>73.099999999999994</v>
      </c>
      <c r="M545" s="2" t="str" cm="1">
        <f t="array" ref="M545">_xlfn.IFS(L545&lt;=15,"Low Fare",L545&lt;=35,"Medium Fare",L545&lt;=100,"High Fare",L545&gt;=100,"Very High Fare")</f>
        <v>High Fare</v>
      </c>
      <c r="N545" s="2">
        <v>2</v>
      </c>
      <c r="O545" s="2">
        <v>0</v>
      </c>
      <c r="P545">
        <f t="shared" si="33"/>
        <v>3</v>
      </c>
      <c r="Q545" t="str">
        <f t="shared" si="34"/>
        <v>With Family</v>
      </c>
      <c r="R545" t="str">
        <f t="shared" si="35"/>
        <v>No</v>
      </c>
      <c r="S545" t="s">
        <v>13</v>
      </c>
    </row>
    <row r="546" spans="1:19" x14ac:dyDescent="0.3">
      <c r="A546" s="1" t="s">
        <v>427</v>
      </c>
      <c r="B546" t="s">
        <v>1596</v>
      </c>
      <c r="C546" t="s">
        <v>2092</v>
      </c>
      <c r="D546" t="str">
        <f t="shared" si="32"/>
        <v>Male</v>
      </c>
      <c r="E546" t="s">
        <v>9</v>
      </c>
      <c r="F546" s="2">
        <v>44</v>
      </c>
      <c r="G546" s="2" t="str" cm="1">
        <f t="array" ref="G546">_xlfn.IFS(F546&lt;=8,"Child",F546&lt;=17,"Teen",F546&lt;=35,"Adult",F546&lt;=55,"Seniour Adult",F546&gt;=55,"Old Age")</f>
        <v>Seniour Adult</v>
      </c>
      <c r="H546" t="s">
        <v>25</v>
      </c>
      <c r="I546" t="s">
        <v>11</v>
      </c>
      <c r="J546" t="str" cm="1">
        <f t="array" ref="J546">_xlfn.IFS(I546="S","Southamptom",I546="Q","Quentown",I546="C","Cherbrug",I546="B","Cabin")</f>
        <v>Southamptom</v>
      </c>
      <c r="K546" t="s">
        <v>15</v>
      </c>
      <c r="L546" s="2">
        <v>51.170299999999997</v>
      </c>
      <c r="M546" s="2" t="str" cm="1">
        <f t="array" ref="M546">_xlfn.IFS(L546&lt;=15,"Low Fare",L546&lt;=35,"Medium Fare",L546&lt;=100,"High Fare",L546&gt;=100,"Very High Fare")</f>
        <v>High Fare</v>
      </c>
      <c r="N546" s="2">
        <v>0</v>
      </c>
      <c r="O546" s="2">
        <v>0</v>
      </c>
      <c r="P546">
        <f t="shared" si="33"/>
        <v>1</v>
      </c>
      <c r="Q546" t="str">
        <f t="shared" si="34"/>
        <v>Alone</v>
      </c>
      <c r="R546" t="str">
        <f t="shared" si="35"/>
        <v>No</v>
      </c>
      <c r="S546" t="s">
        <v>13</v>
      </c>
    </row>
    <row r="547" spans="1:19" x14ac:dyDescent="0.3">
      <c r="A547" s="1" t="s">
        <v>428</v>
      </c>
      <c r="B547" t="s">
        <v>1602</v>
      </c>
      <c r="C547" t="s">
        <v>2093</v>
      </c>
      <c r="D547" t="str">
        <f t="shared" si="32"/>
        <v>Female</v>
      </c>
      <c r="E547" t="s">
        <v>14</v>
      </c>
      <c r="F547" s="2">
        <v>18</v>
      </c>
      <c r="G547" s="2" t="str" cm="1">
        <f t="array" ref="G547">_xlfn.IFS(F547&lt;=8,"Child",F547&lt;=17,"Teen",F547&lt;=35,"Adult",F547&lt;=55,"Seniour Adult",F547&gt;=55,"Old Age")</f>
        <v>Adult</v>
      </c>
      <c r="H547" t="s">
        <v>18</v>
      </c>
      <c r="I547" t="s">
        <v>11</v>
      </c>
      <c r="J547" t="str" cm="1">
        <f t="array" ref="J547">_xlfn.IFS(I547="S","Southamptom",I547="Q","Quentown",I547="C","Cherbrug",I547="B","Cabin")</f>
        <v>Southamptom</v>
      </c>
      <c r="K547" t="s">
        <v>22</v>
      </c>
      <c r="L547" s="2">
        <v>13</v>
      </c>
      <c r="M547" s="2" t="str" cm="1">
        <f t="array" ref="M547">_xlfn.IFS(L547&lt;=15,"Low Fare",L547&lt;=35,"Medium Fare",L547&lt;=100,"High Fare",L547&gt;=100,"Very High Fare")</f>
        <v>Low Fare</v>
      </c>
      <c r="N547" s="2">
        <v>1</v>
      </c>
      <c r="O547" s="2">
        <v>1</v>
      </c>
      <c r="P547">
        <f t="shared" si="33"/>
        <v>3</v>
      </c>
      <c r="Q547" t="str">
        <f t="shared" si="34"/>
        <v>With Family</v>
      </c>
      <c r="R547" t="str">
        <f t="shared" si="35"/>
        <v>No</v>
      </c>
      <c r="S547" t="s">
        <v>13</v>
      </c>
    </row>
    <row r="548" spans="1:19" x14ac:dyDescent="0.3">
      <c r="A548" s="1" t="s">
        <v>429</v>
      </c>
      <c r="B548" t="s">
        <v>1596</v>
      </c>
      <c r="C548" t="s">
        <v>2094</v>
      </c>
      <c r="D548" t="str">
        <f t="shared" si="32"/>
        <v>Male</v>
      </c>
      <c r="E548" t="s">
        <v>9</v>
      </c>
      <c r="F548" s="2">
        <v>55</v>
      </c>
      <c r="G548" s="2" t="str" cm="1">
        <f t="array" ref="G548">_xlfn.IFS(F548&lt;=8,"Child",F548&lt;=17,"Teen",F548&lt;=35,"Adult",F548&lt;=55,"Seniour Adult",F548&gt;=55,"Old Age")</f>
        <v>Seniour Adult</v>
      </c>
      <c r="H548" t="s">
        <v>25</v>
      </c>
      <c r="I548" t="s">
        <v>11</v>
      </c>
      <c r="J548" t="str" cm="1">
        <f t="array" ref="J548">_xlfn.IFS(I548="S","Southamptom",I548="Q","Quentown",I548="C","Cherbrug",I548="B","Cabin")</f>
        <v>Southamptom</v>
      </c>
      <c r="K548" t="s">
        <v>15</v>
      </c>
      <c r="L548" s="2">
        <v>50</v>
      </c>
      <c r="M548" s="2" t="str" cm="1">
        <f t="array" ref="M548">_xlfn.IFS(L548&lt;=15,"Low Fare",L548&lt;=35,"Medium Fare",L548&lt;=100,"High Fare",L548&gt;=100,"Very High Fare")</f>
        <v>High Fare</v>
      </c>
      <c r="N548" s="2">
        <v>0</v>
      </c>
      <c r="O548" s="2">
        <v>0</v>
      </c>
      <c r="P548">
        <f t="shared" si="33"/>
        <v>1</v>
      </c>
      <c r="Q548" t="str">
        <f t="shared" si="34"/>
        <v>Alone</v>
      </c>
      <c r="R548" t="str">
        <f t="shared" si="35"/>
        <v>No</v>
      </c>
      <c r="S548" t="s">
        <v>13</v>
      </c>
    </row>
    <row r="549" spans="1:19" x14ac:dyDescent="0.3">
      <c r="A549" s="1" t="s">
        <v>430</v>
      </c>
      <c r="B549" t="s">
        <v>1602</v>
      </c>
      <c r="C549" t="s">
        <v>2095</v>
      </c>
      <c r="D549" t="str">
        <f t="shared" si="32"/>
        <v>Female</v>
      </c>
      <c r="E549" t="s">
        <v>14</v>
      </c>
      <c r="F549" s="2">
        <v>17</v>
      </c>
      <c r="G549" s="2" t="str" cm="1">
        <f t="array" ref="G549">_xlfn.IFS(F549&lt;=8,"Child",F549&lt;=17,"Teen",F549&lt;=35,"Adult",F549&lt;=55,"Seniour Adult",F549&gt;=55,"Old Age")</f>
        <v>Teen</v>
      </c>
      <c r="H549" t="s">
        <v>25</v>
      </c>
      <c r="I549" t="s">
        <v>19</v>
      </c>
      <c r="J549" t="str" cm="1">
        <f t="array" ref="J549">_xlfn.IFS(I549="S","Southamptom",I549="Q","Quentown",I549="C","Cherbrug",I549="B","Cabin")</f>
        <v>Cherbrug</v>
      </c>
      <c r="K549" t="s">
        <v>12</v>
      </c>
      <c r="L549" s="2">
        <v>57.1907</v>
      </c>
      <c r="M549" s="2" t="str" cm="1">
        <f t="array" ref="M549">_xlfn.IFS(L549&lt;=15,"Low Fare",L549&lt;=35,"Medium Fare",L549&lt;=100,"High Fare",L549&gt;=100,"Very High Fare")</f>
        <v>High Fare</v>
      </c>
      <c r="N549" s="2">
        <v>0</v>
      </c>
      <c r="O549" s="2">
        <v>1</v>
      </c>
      <c r="P549">
        <f t="shared" si="33"/>
        <v>2</v>
      </c>
      <c r="Q549" t="str">
        <f t="shared" si="34"/>
        <v>With Family</v>
      </c>
      <c r="R549" t="str">
        <f t="shared" si="35"/>
        <v>Yes</v>
      </c>
      <c r="S549" t="s">
        <v>16</v>
      </c>
    </row>
    <row r="550" spans="1:19" x14ac:dyDescent="0.3">
      <c r="A550" s="1" t="s">
        <v>430</v>
      </c>
      <c r="B550" t="s">
        <v>1600</v>
      </c>
      <c r="C550" t="s">
        <v>2096</v>
      </c>
      <c r="D550" t="str">
        <f t="shared" si="32"/>
        <v>Female</v>
      </c>
      <c r="E550" t="s">
        <v>14</v>
      </c>
      <c r="F550" s="2">
        <v>44</v>
      </c>
      <c r="G550" s="2" t="str" cm="1">
        <f t="array" ref="G550">_xlfn.IFS(F550&lt;=8,"Child",F550&lt;=17,"Teen",F550&lt;=35,"Adult",F550&lt;=55,"Seniour Adult",F550&gt;=55,"Old Age")</f>
        <v>Seniour Adult</v>
      </c>
      <c r="H550" t="s">
        <v>25</v>
      </c>
      <c r="I550" t="s">
        <v>19</v>
      </c>
      <c r="J550" t="str" cm="1">
        <f t="array" ref="J550">_xlfn.IFS(I550="S","Southamptom",I550="Q","Quentown",I550="C","Cherbrug",I550="B","Cabin")</f>
        <v>Cherbrug</v>
      </c>
      <c r="K550" t="s">
        <v>12</v>
      </c>
      <c r="L550" s="2">
        <v>57.1907</v>
      </c>
      <c r="M550" s="2" t="str" cm="1">
        <f t="array" ref="M550">_xlfn.IFS(L550&lt;=15,"Low Fare",L550&lt;=35,"Medium Fare",L550&lt;=100,"High Fare",L550&gt;=100,"Very High Fare")</f>
        <v>High Fare</v>
      </c>
      <c r="N550" s="2">
        <v>0</v>
      </c>
      <c r="O550" s="2">
        <v>1</v>
      </c>
      <c r="P550">
        <f t="shared" si="33"/>
        <v>2</v>
      </c>
      <c r="Q550" t="str">
        <f t="shared" si="34"/>
        <v>With Family</v>
      </c>
      <c r="R550" t="str">
        <f t="shared" si="35"/>
        <v>Yes</v>
      </c>
      <c r="S550" t="s">
        <v>16</v>
      </c>
    </row>
    <row r="551" spans="1:19" x14ac:dyDescent="0.3">
      <c r="A551" s="1" t="s">
        <v>431</v>
      </c>
      <c r="B551" t="s">
        <v>1602</v>
      </c>
      <c r="C551" t="s">
        <v>2097</v>
      </c>
      <c r="D551" t="str">
        <f t="shared" si="32"/>
        <v>Female</v>
      </c>
      <c r="E551" t="s">
        <v>14</v>
      </c>
      <c r="F551" s="2">
        <v>2</v>
      </c>
      <c r="G551" s="2" t="str" cm="1">
        <f t="array" ref="G551">_xlfn.IFS(F551&lt;=8,"Child",F551&lt;=17,"Teen",F551&lt;=35,"Adult",F551&lt;=55,"Seniour Adult",F551&gt;=55,"Old Age")</f>
        <v>Child</v>
      </c>
      <c r="H551" t="s">
        <v>10</v>
      </c>
      <c r="I551" t="s">
        <v>11</v>
      </c>
      <c r="J551" t="str" cm="1">
        <f t="array" ref="J551">_xlfn.IFS(I551="S","Southamptom",I551="Q","Quentown",I551="C","Cherbrug",I551="B","Cabin")</f>
        <v>Southamptom</v>
      </c>
      <c r="K551" t="s">
        <v>22</v>
      </c>
      <c r="L551" s="2">
        <v>12.0509</v>
      </c>
      <c r="M551" s="2" t="str" cm="1">
        <f t="array" ref="M551">_xlfn.IFS(L551&lt;=15,"Low Fare",L551&lt;=35,"Medium Fare",L551&lt;=100,"High Fare",L551&gt;=100,"Very High Fare")</f>
        <v>Low Fare</v>
      </c>
      <c r="N551" s="2">
        <v>0</v>
      </c>
      <c r="O551" s="2">
        <v>1</v>
      </c>
      <c r="P551">
        <f t="shared" si="33"/>
        <v>2</v>
      </c>
      <c r="Q551" t="str">
        <f t="shared" si="34"/>
        <v>With Family</v>
      </c>
      <c r="R551" t="str">
        <f t="shared" si="35"/>
        <v>Yes</v>
      </c>
      <c r="S551" t="s">
        <v>16</v>
      </c>
    </row>
    <row r="552" spans="1:19" x14ac:dyDescent="0.3">
      <c r="A552" s="1" t="s">
        <v>431</v>
      </c>
      <c r="B552" t="s">
        <v>1600</v>
      </c>
      <c r="C552" t="s">
        <v>2098</v>
      </c>
      <c r="D552" t="str">
        <f t="shared" si="32"/>
        <v>Female</v>
      </c>
      <c r="E552" t="s">
        <v>14</v>
      </c>
      <c r="F552" s="2">
        <v>22</v>
      </c>
      <c r="G552" s="2" t="str" cm="1">
        <f t="array" ref="G552">_xlfn.IFS(F552&lt;=8,"Child",F552&lt;=17,"Teen",F552&lt;=35,"Adult",F552&lt;=55,"Seniour Adult",F552&gt;=55,"Old Age")</f>
        <v>Adult</v>
      </c>
      <c r="H552" t="s">
        <v>10</v>
      </c>
      <c r="I552" t="s">
        <v>11</v>
      </c>
      <c r="J552" t="str" cm="1">
        <f t="array" ref="J552">_xlfn.IFS(I552="S","Southamptom",I552="Q","Quentown",I552="C","Cherbrug",I552="B","Cabin")</f>
        <v>Southamptom</v>
      </c>
      <c r="K552" t="s">
        <v>22</v>
      </c>
      <c r="L552" s="2">
        <v>12.0509</v>
      </c>
      <c r="M552" s="2" t="str" cm="1">
        <f t="array" ref="M552">_xlfn.IFS(L552&lt;=15,"Low Fare",L552&lt;=35,"Medium Fare",L552&lt;=100,"High Fare",L552&gt;=100,"Very High Fare")</f>
        <v>Low Fare</v>
      </c>
      <c r="N552" s="2">
        <v>1</v>
      </c>
      <c r="O552" s="2">
        <v>1</v>
      </c>
      <c r="P552">
        <f t="shared" si="33"/>
        <v>3</v>
      </c>
      <c r="Q552" t="str">
        <f t="shared" si="34"/>
        <v>With Family</v>
      </c>
      <c r="R552" t="str">
        <f t="shared" si="35"/>
        <v>Yes</v>
      </c>
      <c r="S552" t="s">
        <v>16</v>
      </c>
    </row>
    <row r="553" spans="1:19" x14ac:dyDescent="0.3">
      <c r="A553" s="1" t="s">
        <v>432</v>
      </c>
      <c r="B553" t="s">
        <v>1602</v>
      </c>
      <c r="C553" t="s">
        <v>1720</v>
      </c>
      <c r="D553" t="str">
        <f t="shared" si="32"/>
        <v>Female</v>
      </c>
      <c r="E553" t="s">
        <v>14</v>
      </c>
      <c r="F553" s="2">
        <v>20</v>
      </c>
      <c r="G553" s="2" t="str" cm="1">
        <f t="array" ref="G553">_xlfn.IFS(F553&lt;=8,"Child",F553&lt;=17,"Teen",F553&lt;=35,"Adult",F553&lt;=55,"Seniour Adult",F553&gt;=55,"Old Age")</f>
        <v>Adult</v>
      </c>
      <c r="H553" t="s">
        <v>18</v>
      </c>
      <c r="I553" t="s">
        <v>11</v>
      </c>
      <c r="J553" t="str" cm="1">
        <f t="array" ref="J553">_xlfn.IFS(I553="S","Southamptom",I553="Q","Quentown",I553="C","Cherbrug",I553="B","Cabin")</f>
        <v>Southamptom</v>
      </c>
      <c r="K553" t="s">
        <v>15</v>
      </c>
      <c r="L553" s="2">
        <v>23</v>
      </c>
      <c r="M553" s="2" t="str" cm="1">
        <f t="array" ref="M553">_xlfn.IFS(L553&lt;=15,"Low Fare",L553&lt;=35,"Medium Fare",L553&lt;=100,"High Fare",L553&gt;=100,"Very High Fare")</f>
        <v>Medium Fare</v>
      </c>
      <c r="N553" s="2">
        <v>2</v>
      </c>
      <c r="O553" s="2">
        <v>1</v>
      </c>
      <c r="P553">
        <f t="shared" si="33"/>
        <v>4</v>
      </c>
      <c r="Q553" t="str">
        <f t="shared" si="34"/>
        <v>With Family</v>
      </c>
      <c r="R553" t="str">
        <f t="shared" si="35"/>
        <v>Yes</v>
      </c>
      <c r="S553" t="s">
        <v>16</v>
      </c>
    </row>
    <row r="554" spans="1:19" x14ac:dyDescent="0.3">
      <c r="A554" s="1" t="s">
        <v>432</v>
      </c>
      <c r="B554" t="s">
        <v>1596</v>
      </c>
      <c r="C554" t="s">
        <v>2099</v>
      </c>
      <c r="D554" t="str">
        <f t="shared" si="32"/>
        <v>Male</v>
      </c>
      <c r="E554" t="s">
        <v>9</v>
      </c>
      <c r="F554" s="2">
        <v>24</v>
      </c>
      <c r="G554" s="2" t="str" cm="1">
        <f t="array" ref="G554">_xlfn.IFS(F554&lt;=8,"Child",F554&lt;=17,"Teen",F554&lt;=35,"Adult",F554&lt;=55,"Seniour Adult",F554&gt;=55,"Old Age")</f>
        <v>Adult</v>
      </c>
      <c r="H554" t="s">
        <v>18</v>
      </c>
      <c r="I554" t="s">
        <v>11</v>
      </c>
      <c r="J554" t="str" cm="1">
        <f t="array" ref="J554">_xlfn.IFS(I554="S","Southamptom",I554="Q","Quentown",I554="C","Cherbrug",I554="B","Cabin")</f>
        <v>Southamptom</v>
      </c>
      <c r="K554" t="s">
        <v>15</v>
      </c>
      <c r="L554" s="2">
        <v>11.1</v>
      </c>
      <c r="M554" s="2" t="str" cm="1">
        <f t="array" ref="M554">_xlfn.IFS(L554&lt;=15,"Low Fare",L554&lt;=35,"Medium Fare",L554&lt;=100,"High Fare",L554&gt;=100,"Very High Fare")</f>
        <v>Low Fare</v>
      </c>
      <c r="N554" s="2">
        <v>2</v>
      </c>
      <c r="O554" s="2">
        <v>1</v>
      </c>
      <c r="P554">
        <f t="shared" si="33"/>
        <v>4</v>
      </c>
      <c r="Q554" t="str">
        <f t="shared" si="34"/>
        <v>With Family</v>
      </c>
      <c r="R554" t="str">
        <f t="shared" si="35"/>
        <v>No</v>
      </c>
      <c r="S554" t="s">
        <v>13</v>
      </c>
    </row>
    <row r="555" spans="1:19" x14ac:dyDescent="0.3">
      <c r="A555" s="1" t="s">
        <v>432</v>
      </c>
      <c r="B555" t="s">
        <v>1596</v>
      </c>
      <c r="C555" t="s">
        <v>2100</v>
      </c>
      <c r="D555" t="str">
        <f t="shared" si="32"/>
        <v>Male</v>
      </c>
      <c r="E555" t="s">
        <v>9</v>
      </c>
      <c r="F555" s="2">
        <v>36</v>
      </c>
      <c r="G555" s="2" t="str" cm="1">
        <f t="array" ref="G555">_xlfn.IFS(F555&lt;=8,"Child",F555&lt;=17,"Teen",F555&lt;=35,"Adult",F555&lt;=55,"Seniour Adult",F555&gt;=55,"Old Age")</f>
        <v>Seniour Adult</v>
      </c>
      <c r="H555" t="s">
        <v>18</v>
      </c>
      <c r="I555" t="s">
        <v>11</v>
      </c>
      <c r="J555" t="str" cm="1">
        <f t="array" ref="J555">_xlfn.IFS(I555="S","Southamptom",I555="Q","Quentown",I555="C","Cherbrug",I555="B","Cabin")</f>
        <v>Southamptom</v>
      </c>
      <c r="K555" t="s">
        <v>15</v>
      </c>
      <c r="L555" s="2">
        <v>13</v>
      </c>
      <c r="M555" s="2" t="str" cm="1">
        <f t="array" ref="M555">_xlfn.IFS(L555&lt;=15,"Low Fare",L555&lt;=35,"Medium Fare",L555&lt;=100,"High Fare",L555&gt;=100,"Very High Fare")</f>
        <v>Low Fare</v>
      </c>
      <c r="N555" s="2">
        <v>0</v>
      </c>
      <c r="O555" s="2">
        <v>0</v>
      </c>
      <c r="P555">
        <f t="shared" si="33"/>
        <v>1</v>
      </c>
      <c r="Q555" t="str">
        <f t="shared" si="34"/>
        <v>Alone</v>
      </c>
      <c r="R555" t="str">
        <f t="shared" si="35"/>
        <v>No</v>
      </c>
      <c r="S555" t="s">
        <v>13</v>
      </c>
    </row>
    <row r="556" spans="1:19" x14ac:dyDescent="0.3">
      <c r="A556" s="1" t="s">
        <v>432</v>
      </c>
      <c r="B556" t="s">
        <v>1600</v>
      </c>
      <c r="C556" t="s">
        <v>2101</v>
      </c>
      <c r="D556" t="str">
        <f t="shared" si="32"/>
        <v>Female</v>
      </c>
      <c r="E556" t="s">
        <v>14</v>
      </c>
      <c r="F556" s="2">
        <v>54</v>
      </c>
      <c r="G556" s="2" t="str" cm="1">
        <f t="array" ref="G556">_xlfn.IFS(F556&lt;=8,"Child",F556&lt;=17,"Teen",F556&lt;=35,"Adult",F556&lt;=55,"Seniour Adult",F556&gt;=55,"Old Age")</f>
        <v>Seniour Adult</v>
      </c>
      <c r="H556" t="s">
        <v>18</v>
      </c>
      <c r="I556" t="s">
        <v>11</v>
      </c>
      <c r="J556" t="str" cm="1">
        <f t="array" ref="J556">_xlfn.IFS(I556="S","Southamptom",I556="Q","Quentown",I556="C","Cherbrug",I556="B","Cabin")</f>
        <v>Southamptom</v>
      </c>
      <c r="K556" t="s">
        <v>15</v>
      </c>
      <c r="L556" s="2">
        <v>23</v>
      </c>
      <c r="M556" s="2" t="str" cm="1">
        <f t="array" ref="M556">_xlfn.IFS(L556&lt;=15,"Low Fare",L556&lt;=35,"Medium Fare",L556&lt;=100,"High Fare",L556&gt;=100,"Very High Fare")</f>
        <v>Medium Fare</v>
      </c>
      <c r="N556" s="2">
        <v>1</v>
      </c>
      <c r="O556" s="2">
        <v>3</v>
      </c>
      <c r="P556">
        <f t="shared" si="33"/>
        <v>5</v>
      </c>
      <c r="Q556" t="str">
        <f t="shared" si="34"/>
        <v>With Family</v>
      </c>
      <c r="R556" t="str">
        <f t="shared" si="35"/>
        <v>Yes</v>
      </c>
      <c r="S556" t="s">
        <v>16</v>
      </c>
    </row>
    <row r="557" spans="1:19" x14ac:dyDescent="0.3">
      <c r="A557" s="1" t="s">
        <v>433</v>
      </c>
      <c r="B557" t="s">
        <v>1596</v>
      </c>
      <c r="C557" t="s">
        <v>2102</v>
      </c>
      <c r="D557" t="str">
        <f t="shared" si="32"/>
        <v>Male</v>
      </c>
      <c r="E557" t="s">
        <v>9</v>
      </c>
      <c r="F557" s="2">
        <v>50</v>
      </c>
      <c r="G557" s="2" t="str" cm="1">
        <f t="array" ref="G557">_xlfn.IFS(F557&lt;=8,"Child",F557&lt;=17,"Teen",F557&lt;=35,"Adult",F557&lt;=55,"Seniour Adult",F557&gt;=55,"Old Age")</f>
        <v>Seniour Adult</v>
      </c>
      <c r="H557" t="s">
        <v>18</v>
      </c>
      <c r="I557" t="s">
        <v>11</v>
      </c>
      <c r="J557" t="str" cm="1">
        <f t="array" ref="J557">_xlfn.IFS(I557="S","Southamptom",I557="Q","Quentown",I557="C","Cherbrug",I557="B","Cabin")</f>
        <v>Southamptom</v>
      </c>
      <c r="K557" t="s">
        <v>15</v>
      </c>
      <c r="L557" s="2">
        <v>13</v>
      </c>
      <c r="M557" s="2" t="str" cm="1">
        <f t="array" ref="M557">_xlfn.IFS(L557&lt;=15,"Low Fare",L557&lt;=35,"Medium Fare",L557&lt;=100,"High Fare",L557&gt;=100,"Very High Fare")</f>
        <v>Low Fare</v>
      </c>
      <c r="N557" s="2">
        <v>0</v>
      </c>
      <c r="O557" s="2">
        <v>0</v>
      </c>
      <c r="P557">
        <f t="shared" si="33"/>
        <v>1</v>
      </c>
      <c r="Q557" t="str">
        <f t="shared" si="34"/>
        <v>Alone</v>
      </c>
      <c r="R557" t="str">
        <f t="shared" si="35"/>
        <v>No</v>
      </c>
      <c r="S557" t="s">
        <v>13</v>
      </c>
    </row>
    <row r="558" spans="1:19" x14ac:dyDescent="0.3">
      <c r="A558" s="1" t="s">
        <v>434</v>
      </c>
      <c r="B558" t="s">
        <v>1600</v>
      </c>
      <c r="C558" t="s">
        <v>2103</v>
      </c>
      <c r="D558" t="str">
        <f t="shared" si="32"/>
        <v>Female</v>
      </c>
      <c r="E558" t="s">
        <v>14</v>
      </c>
      <c r="F558" s="2">
        <v>51</v>
      </c>
      <c r="G558" s="2" t="str" cm="1">
        <f t="array" ref="G558">_xlfn.IFS(F558&lt;=8,"Child",F558&lt;=17,"Teen",F558&lt;=35,"Adult",F558&lt;=55,"Seniour Adult",F558&gt;=55,"Old Age")</f>
        <v>Seniour Adult</v>
      </c>
      <c r="H558" t="s">
        <v>25</v>
      </c>
      <c r="I558" t="s">
        <v>19</v>
      </c>
      <c r="J558" t="str" cm="1">
        <f t="array" ref="J558">_xlfn.IFS(I558="S","Southamptom",I558="Q","Quentown",I558="C","Cherbrug",I558="B","Cabin")</f>
        <v>Cherbrug</v>
      </c>
      <c r="K558" t="s">
        <v>12</v>
      </c>
      <c r="L558" s="2">
        <v>77.190200000000004</v>
      </c>
      <c r="M558" s="2" t="str" cm="1">
        <f t="array" ref="M558">_xlfn.IFS(L558&lt;=15,"Low Fare",L558&lt;=35,"Medium Fare",L558&lt;=100,"High Fare",L558&gt;=100,"Very High Fare")</f>
        <v>High Fare</v>
      </c>
      <c r="N558" s="2">
        <v>1</v>
      </c>
      <c r="O558" s="2">
        <v>0</v>
      </c>
      <c r="P558">
        <f t="shared" si="33"/>
        <v>2</v>
      </c>
      <c r="Q558" t="str">
        <f t="shared" si="34"/>
        <v>With Family</v>
      </c>
      <c r="R558" t="str">
        <f t="shared" si="35"/>
        <v>Yes</v>
      </c>
      <c r="S558" t="s">
        <v>16</v>
      </c>
    </row>
    <row r="559" spans="1:19" x14ac:dyDescent="0.3">
      <c r="A559" s="1" t="s">
        <v>435</v>
      </c>
      <c r="B559" t="s">
        <v>1600</v>
      </c>
      <c r="C559" t="s">
        <v>2104</v>
      </c>
      <c r="D559" t="str">
        <f t="shared" si="32"/>
        <v>Female</v>
      </c>
      <c r="E559" t="s">
        <v>14</v>
      </c>
      <c r="F559" s="2">
        <v>29</v>
      </c>
      <c r="G559" s="2" t="str" cm="1">
        <f t="array" ref="G559">_xlfn.IFS(F559&lt;=8,"Child",F559&lt;=17,"Teen",F559&lt;=35,"Adult",F559&lt;=55,"Seniour Adult",F559&gt;=55,"Old Age")</f>
        <v>Adult</v>
      </c>
      <c r="H559" t="s">
        <v>18</v>
      </c>
      <c r="I559" t="s">
        <v>11</v>
      </c>
      <c r="J559" t="str" cm="1">
        <f t="array" ref="J559">_xlfn.IFS(I559="S","Southamptom",I559="Q","Quentown",I559="C","Cherbrug",I559="B","Cabin")</f>
        <v>Southamptom</v>
      </c>
      <c r="K559" t="s">
        <v>15</v>
      </c>
      <c r="L559" s="2">
        <v>26</v>
      </c>
      <c r="M559" s="2" t="str" cm="1">
        <f t="array" ref="M559">_xlfn.IFS(L559&lt;=15,"Low Fare",L559&lt;=35,"Medium Fare",L559&lt;=100,"High Fare",L559&gt;=100,"Very High Fare")</f>
        <v>Medium Fare</v>
      </c>
      <c r="N559" s="2">
        <v>1</v>
      </c>
      <c r="O559" s="2">
        <v>0</v>
      </c>
      <c r="P559">
        <f t="shared" si="33"/>
        <v>2</v>
      </c>
      <c r="Q559" t="str">
        <f t="shared" si="34"/>
        <v>With Family</v>
      </c>
      <c r="R559" t="str">
        <f t="shared" si="35"/>
        <v>Yes</v>
      </c>
      <c r="S559" t="s">
        <v>16</v>
      </c>
    </row>
    <row r="560" spans="1:19" x14ac:dyDescent="0.3">
      <c r="A560" s="1" t="s">
        <v>435</v>
      </c>
      <c r="B560" t="s">
        <v>1596</v>
      </c>
      <c r="C560" t="s">
        <v>2105</v>
      </c>
      <c r="D560" t="str">
        <f t="shared" si="32"/>
        <v>Male</v>
      </c>
      <c r="E560" t="s">
        <v>9</v>
      </c>
      <c r="F560" s="2">
        <v>44</v>
      </c>
      <c r="G560" s="2" t="str" cm="1">
        <f t="array" ref="G560">_xlfn.IFS(F560&lt;=8,"Child",F560&lt;=17,"Teen",F560&lt;=35,"Adult",F560&lt;=55,"Seniour Adult",F560&gt;=55,"Old Age")</f>
        <v>Seniour Adult</v>
      </c>
      <c r="H560" t="s">
        <v>18</v>
      </c>
      <c r="I560" t="s">
        <v>11</v>
      </c>
      <c r="J560" t="str" cm="1">
        <f t="array" ref="J560">_xlfn.IFS(I560="S","Southamptom",I560="Q","Quentown",I560="C","Cherbrug",I560="B","Cabin")</f>
        <v>Southamptom</v>
      </c>
      <c r="K560" t="s">
        <v>15</v>
      </c>
      <c r="L560" s="2">
        <v>26</v>
      </c>
      <c r="M560" s="2" t="str" cm="1">
        <f t="array" ref="M560">_xlfn.IFS(L560&lt;=15,"Low Fare",L560&lt;=35,"Medium Fare",L560&lt;=100,"High Fare",L560&gt;=100,"Very High Fare")</f>
        <v>Medium Fare</v>
      </c>
      <c r="N560" s="2">
        <v>1</v>
      </c>
      <c r="O560" s="2">
        <v>0</v>
      </c>
      <c r="P560">
        <f t="shared" si="33"/>
        <v>2</v>
      </c>
      <c r="Q560" t="str">
        <f t="shared" si="34"/>
        <v>With Family</v>
      </c>
      <c r="R560" t="str">
        <f t="shared" si="35"/>
        <v>No</v>
      </c>
      <c r="S560" t="s">
        <v>13</v>
      </c>
    </row>
    <row r="561" spans="1:19" x14ac:dyDescent="0.3">
      <c r="A561" s="1" t="s">
        <v>436</v>
      </c>
      <c r="B561" t="s">
        <v>1596</v>
      </c>
      <c r="C561" t="s">
        <v>2106</v>
      </c>
      <c r="D561" t="str">
        <f t="shared" si="32"/>
        <v>Male</v>
      </c>
      <c r="E561" t="s">
        <v>9</v>
      </c>
      <c r="F561" s="2">
        <v>43</v>
      </c>
      <c r="G561" s="2" t="str" cm="1">
        <f t="array" ref="G561">_xlfn.IFS(F561&lt;=8,"Child",F561&lt;=17,"Teen",F561&lt;=35,"Adult",F561&lt;=55,"Seniour Adult",F561&gt;=55,"Old Age")</f>
        <v>Seniour Adult</v>
      </c>
      <c r="H561" t="s">
        <v>10</v>
      </c>
      <c r="I561" t="s">
        <v>11</v>
      </c>
      <c r="J561" t="str" cm="1">
        <f t="array" ref="J561">_xlfn.IFS(I561="S","Southamptom",I561="Q","Quentown",I561="C","Cherbrug",I561="B","Cabin")</f>
        <v>Southamptom</v>
      </c>
      <c r="K561" t="s">
        <v>23</v>
      </c>
      <c r="L561" s="2">
        <v>6.09</v>
      </c>
      <c r="M561" s="2" t="str" cm="1">
        <f t="array" ref="M561">_xlfn.IFS(L561&lt;=15,"Low Fare",L561&lt;=35,"Medium Fare",L561&lt;=100,"High Fare",L561&gt;=100,"Very High Fare")</f>
        <v>Low Fare</v>
      </c>
      <c r="N561" s="2">
        <v>0</v>
      </c>
      <c r="O561" s="2">
        <v>0</v>
      </c>
      <c r="P561">
        <f t="shared" si="33"/>
        <v>1</v>
      </c>
      <c r="Q561" t="str">
        <f t="shared" si="34"/>
        <v>Alone</v>
      </c>
      <c r="R561" t="str">
        <f t="shared" si="35"/>
        <v>No</v>
      </c>
      <c r="S561" t="s">
        <v>13</v>
      </c>
    </row>
    <row r="562" spans="1:19" x14ac:dyDescent="0.3">
      <c r="A562" s="1" t="s">
        <v>437</v>
      </c>
      <c r="B562" t="s">
        <v>1596</v>
      </c>
      <c r="C562" t="s">
        <v>2107</v>
      </c>
      <c r="D562" t="str">
        <f t="shared" si="32"/>
        <v>Male</v>
      </c>
      <c r="E562" t="s">
        <v>9</v>
      </c>
      <c r="F562" s="2">
        <v>18</v>
      </c>
      <c r="G562" s="2" t="str" cm="1">
        <f t="array" ref="G562">_xlfn.IFS(F562&lt;=8,"Child",F562&lt;=17,"Teen",F562&lt;=35,"Adult",F562&lt;=55,"Seniour Adult",F562&gt;=55,"Old Age")</f>
        <v>Adult</v>
      </c>
      <c r="H562" t="s">
        <v>10</v>
      </c>
      <c r="I562" t="s">
        <v>11</v>
      </c>
      <c r="J562" t="str" cm="1">
        <f t="array" ref="J562">_xlfn.IFS(I562="S","Southamptom",I562="Q","Quentown",I562="C","Cherbrug",I562="B","Cabin")</f>
        <v>Southamptom</v>
      </c>
      <c r="K562" t="s">
        <v>17</v>
      </c>
      <c r="L562" s="2">
        <v>22.1006</v>
      </c>
      <c r="M562" s="2" t="str" cm="1">
        <f t="array" ref="M562">_xlfn.IFS(L562&lt;=15,"Low Fare",L562&lt;=35,"Medium Fare",L562&lt;=100,"High Fare",L562&gt;=100,"Very High Fare")</f>
        <v>Medium Fare</v>
      </c>
      <c r="N562" s="2">
        <v>0</v>
      </c>
      <c r="O562" s="2">
        <v>0</v>
      </c>
      <c r="P562">
        <f t="shared" si="33"/>
        <v>1</v>
      </c>
      <c r="Q562" t="str">
        <f t="shared" si="34"/>
        <v>Alone</v>
      </c>
      <c r="R562" t="str">
        <f t="shared" si="35"/>
        <v>No</v>
      </c>
      <c r="S562" t="s">
        <v>13</v>
      </c>
    </row>
    <row r="563" spans="1:19" x14ac:dyDescent="0.3">
      <c r="A563" s="1" t="s">
        <v>438</v>
      </c>
      <c r="B563" t="s">
        <v>1596</v>
      </c>
      <c r="C563" t="s">
        <v>2108</v>
      </c>
      <c r="D563" t="str">
        <f t="shared" si="32"/>
        <v>Male</v>
      </c>
      <c r="E563" t="s">
        <v>9</v>
      </c>
      <c r="F563" s="2">
        <v>42</v>
      </c>
      <c r="G563" s="2" t="str" cm="1">
        <f t="array" ref="G563">_xlfn.IFS(F563&lt;=8,"Child",F563&lt;=17,"Teen",F563&lt;=35,"Adult",F563&lt;=55,"Seniour Adult",F563&gt;=55,"Old Age")</f>
        <v>Seniour Adult</v>
      </c>
      <c r="H563" t="s">
        <v>25</v>
      </c>
      <c r="I563" t="s">
        <v>11</v>
      </c>
      <c r="J563" t="str" cm="1">
        <f t="array" ref="J563">_xlfn.IFS(I563="S","Southamptom",I563="Q","Quentown",I563="C","Cherbrug",I563="B","Cabin")</f>
        <v>Southamptom</v>
      </c>
      <c r="K563" t="s">
        <v>12</v>
      </c>
      <c r="L563" s="2">
        <v>52</v>
      </c>
      <c r="M563" s="2" t="str" cm="1">
        <f t="array" ref="M563">_xlfn.IFS(L563&lt;=15,"Low Fare",L563&lt;=35,"Medium Fare",L563&lt;=100,"High Fare",L563&gt;=100,"Very High Fare")</f>
        <v>High Fare</v>
      </c>
      <c r="N563" s="2">
        <v>1</v>
      </c>
      <c r="O563" s="2">
        <v>0</v>
      </c>
      <c r="P563">
        <f t="shared" si="33"/>
        <v>2</v>
      </c>
      <c r="Q563" t="str">
        <f t="shared" si="34"/>
        <v>With Family</v>
      </c>
      <c r="R563" t="str">
        <f t="shared" si="35"/>
        <v>No</v>
      </c>
      <c r="S563" t="s">
        <v>13</v>
      </c>
    </row>
    <row r="564" spans="1:19" x14ac:dyDescent="0.3">
      <c r="A564" s="1" t="s">
        <v>438</v>
      </c>
      <c r="B564" t="s">
        <v>1600</v>
      </c>
      <c r="C564" t="s">
        <v>2109</v>
      </c>
      <c r="D564" t="str">
        <f t="shared" si="32"/>
        <v>Female</v>
      </c>
      <c r="E564" t="s">
        <v>14</v>
      </c>
      <c r="F564" s="2">
        <v>35</v>
      </c>
      <c r="G564" s="2" t="str" cm="1">
        <f t="array" ref="G564">_xlfn.IFS(F564&lt;=8,"Child",F564&lt;=17,"Teen",F564&lt;=35,"Adult",F564&lt;=55,"Seniour Adult",F564&gt;=55,"Old Age")</f>
        <v>Adult</v>
      </c>
      <c r="H564" t="s">
        <v>25</v>
      </c>
      <c r="I564" t="s">
        <v>11</v>
      </c>
      <c r="J564" t="str" cm="1">
        <f t="array" ref="J564">_xlfn.IFS(I564="S","Southamptom",I564="Q","Quentown",I564="C","Cherbrug",I564="B","Cabin")</f>
        <v>Southamptom</v>
      </c>
      <c r="K564" t="s">
        <v>12</v>
      </c>
      <c r="L564" s="2">
        <v>52</v>
      </c>
      <c r="M564" s="2" t="str" cm="1">
        <f t="array" ref="M564">_xlfn.IFS(L564&lt;=15,"Low Fare",L564&lt;=35,"Medium Fare",L564&lt;=100,"High Fare",L564&gt;=100,"Very High Fare")</f>
        <v>High Fare</v>
      </c>
      <c r="N564" s="2">
        <v>1</v>
      </c>
      <c r="O564" s="2">
        <v>0</v>
      </c>
      <c r="P564">
        <f t="shared" si="33"/>
        <v>2</v>
      </c>
      <c r="Q564" t="str">
        <f t="shared" si="34"/>
        <v>With Family</v>
      </c>
      <c r="R564" t="str">
        <f t="shared" si="35"/>
        <v>Yes</v>
      </c>
      <c r="S564" t="s">
        <v>16</v>
      </c>
    </row>
    <row r="565" spans="1:19" x14ac:dyDescent="0.3">
      <c r="A565" s="1" t="s">
        <v>439</v>
      </c>
      <c r="B565" t="s">
        <v>1596</v>
      </c>
      <c r="C565" t="s">
        <v>1630</v>
      </c>
      <c r="D565" t="str">
        <f t="shared" si="32"/>
        <v>Male</v>
      </c>
      <c r="E565" t="s">
        <v>9</v>
      </c>
      <c r="F565" s="2">
        <v>40</v>
      </c>
      <c r="G565" s="2" t="str" cm="1">
        <f t="array" ref="G565">_xlfn.IFS(F565&lt;=8,"Child",F565&lt;=17,"Teen",F565&lt;=35,"Adult",F565&lt;=55,"Seniour Adult",F565&gt;=55,"Old Age")</f>
        <v>Seniour Adult</v>
      </c>
      <c r="H565" t="s">
        <v>25</v>
      </c>
      <c r="I565" t="s">
        <v>11</v>
      </c>
      <c r="J565" t="str" cm="1">
        <f t="array" ref="J565">_xlfn.IFS(I565="S","Southamptom",I565="Q","Quentown",I565="C","Cherbrug",I565="B","Cabin")</f>
        <v>Southamptom</v>
      </c>
      <c r="K565" t="s">
        <v>12</v>
      </c>
      <c r="L565" s="2">
        <v>26.11</v>
      </c>
      <c r="M565" s="2" t="str" cm="1">
        <f t="array" ref="M565">_xlfn.IFS(L565&lt;=15,"Low Fare",L565&lt;=35,"Medium Fare",L565&lt;=100,"High Fare",L565&gt;=100,"Very High Fare")</f>
        <v>Medium Fare</v>
      </c>
      <c r="N565" s="2">
        <v>0</v>
      </c>
      <c r="O565" s="2">
        <v>0</v>
      </c>
      <c r="P565">
        <f t="shared" si="33"/>
        <v>1</v>
      </c>
      <c r="Q565" t="str">
        <f t="shared" si="34"/>
        <v>Alone</v>
      </c>
      <c r="R565" t="str">
        <f t="shared" si="35"/>
        <v>Yes</v>
      </c>
      <c r="S565" t="s">
        <v>16</v>
      </c>
    </row>
    <row r="566" spans="1:19" x14ac:dyDescent="0.3">
      <c r="A566" s="1" t="s">
        <v>440</v>
      </c>
      <c r="B566" t="s">
        <v>1602</v>
      </c>
      <c r="C566" t="s">
        <v>2110</v>
      </c>
      <c r="D566" t="str">
        <f t="shared" si="32"/>
        <v>Female</v>
      </c>
      <c r="E566" t="s">
        <v>14</v>
      </c>
      <c r="F566" s="2">
        <v>27</v>
      </c>
      <c r="G566" s="2" t="str" cm="1">
        <f t="array" ref="G566">_xlfn.IFS(F566&lt;=8,"Child",F566&lt;=17,"Teen",F566&lt;=35,"Adult",F566&lt;=55,"Seniour Adult",F566&gt;=55,"Old Age")</f>
        <v>Adult</v>
      </c>
      <c r="H566" t="s">
        <v>10</v>
      </c>
      <c r="I566" t="s">
        <v>11</v>
      </c>
      <c r="J566" t="str" cm="1">
        <f t="array" ref="J566">_xlfn.IFS(I566="S","Southamptom",I566="Q","Quentown",I566="C","Cherbrug",I566="B","Cabin")</f>
        <v>Southamptom</v>
      </c>
      <c r="K566" t="s">
        <v>22</v>
      </c>
      <c r="L566" s="2">
        <v>7.1806000000000001</v>
      </c>
      <c r="M566" s="2" t="str" cm="1">
        <f t="array" ref="M566">_xlfn.IFS(L566&lt;=15,"Low Fare",L566&lt;=35,"Medium Fare",L566&lt;=100,"High Fare",L566&gt;=100,"Very High Fare")</f>
        <v>Low Fare</v>
      </c>
      <c r="N566" s="2">
        <v>0</v>
      </c>
      <c r="O566" s="2">
        <v>0</v>
      </c>
      <c r="P566">
        <f t="shared" si="33"/>
        <v>1</v>
      </c>
      <c r="Q566" t="str">
        <f t="shared" si="34"/>
        <v>Alone</v>
      </c>
      <c r="R566" t="str">
        <f t="shared" si="35"/>
        <v>Yes</v>
      </c>
      <c r="S566" t="s">
        <v>16</v>
      </c>
    </row>
    <row r="567" spans="1:19" x14ac:dyDescent="0.3">
      <c r="A567" s="1" t="s">
        <v>441</v>
      </c>
      <c r="B567" t="s">
        <v>1596</v>
      </c>
      <c r="C567" t="s">
        <v>2111</v>
      </c>
      <c r="D567" t="str">
        <f t="shared" si="32"/>
        <v>Male</v>
      </c>
      <c r="E567" t="s">
        <v>9</v>
      </c>
      <c r="F567" s="2">
        <v>21</v>
      </c>
      <c r="G567" s="2" t="str" cm="1">
        <f t="array" ref="G567">_xlfn.IFS(F567&lt;=8,"Child",F567&lt;=17,"Teen",F567&lt;=35,"Adult",F567&lt;=55,"Seniour Adult",F567&gt;=55,"Old Age")</f>
        <v>Adult</v>
      </c>
      <c r="H567" t="s">
        <v>18</v>
      </c>
      <c r="I567" t="s">
        <v>11</v>
      </c>
      <c r="J567" t="str" cm="1">
        <f t="array" ref="J567">_xlfn.IFS(I567="S","Southamptom",I567="Q","Quentown",I567="C","Cherbrug",I567="B","Cabin")</f>
        <v>Southamptom</v>
      </c>
      <c r="K567" t="s">
        <v>15</v>
      </c>
      <c r="L567" s="2">
        <v>73.099999999999994</v>
      </c>
      <c r="M567" s="2" t="str" cm="1">
        <f t="array" ref="M567">_xlfn.IFS(L567&lt;=15,"Low Fare",L567&lt;=35,"Medium Fare",L567&lt;=100,"High Fare",L567&gt;=100,"Very High Fare")</f>
        <v>High Fare</v>
      </c>
      <c r="N567" s="2">
        <v>0</v>
      </c>
      <c r="O567" s="2">
        <v>0</v>
      </c>
      <c r="P567">
        <f t="shared" si="33"/>
        <v>1</v>
      </c>
      <c r="Q567" t="str">
        <f t="shared" si="34"/>
        <v>Alone</v>
      </c>
      <c r="R567" t="str">
        <f t="shared" si="35"/>
        <v>No</v>
      </c>
      <c r="S567" t="s">
        <v>13</v>
      </c>
    </row>
    <row r="568" spans="1:19" x14ac:dyDescent="0.3">
      <c r="A568" s="1" t="s">
        <v>442</v>
      </c>
      <c r="B568" t="s">
        <v>1596</v>
      </c>
      <c r="C568" t="s">
        <v>1610</v>
      </c>
      <c r="D568" t="str">
        <f t="shared" si="32"/>
        <v>Male</v>
      </c>
      <c r="E568" t="s">
        <v>9</v>
      </c>
      <c r="F568" s="2">
        <v>22</v>
      </c>
      <c r="G568" s="2" t="str" cm="1">
        <f t="array" ref="G568">_xlfn.IFS(F568&lt;=8,"Child",F568&lt;=17,"Teen",F568&lt;=35,"Adult",F568&lt;=55,"Seniour Adult",F568&gt;=55,"Old Age")</f>
        <v>Adult</v>
      </c>
      <c r="H568" t="s">
        <v>10</v>
      </c>
      <c r="I568" t="s">
        <v>36</v>
      </c>
      <c r="J568" t="str" cm="1">
        <f t="array" ref="J568">_xlfn.IFS(I568="S","Southamptom",I568="Q","Quentown",I568="C","Cherbrug",I568="B","Cabin")</f>
        <v>Quentown</v>
      </c>
      <c r="K568" t="s">
        <v>15</v>
      </c>
      <c r="L568" s="2">
        <v>7.15</v>
      </c>
      <c r="M568" s="2" t="str" cm="1">
        <f t="array" ref="M568">_xlfn.IFS(L568&lt;=15,"Low Fare",L568&lt;=35,"Medium Fare",L568&lt;=100,"High Fare",L568&gt;=100,"Very High Fare")</f>
        <v>Low Fare</v>
      </c>
      <c r="N568" s="2">
        <v>0</v>
      </c>
      <c r="O568" s="2">
        <v>0</v>
      </c>
      <c r="P568">
        <f t="shared" si="33"/>
        <v>1</v>
      </c>
      <c r="Q568" t="str">
        <f t="shared" si="34"/>
        <v>Alone</v>
      </c>
      <c r="R568" t="str">
        <f t="shared" si="35"/>
        <v>No</v>
      </c>
      <c r="S568" t="s">
        <v>13</v>
      </c>
    </row>
    <row r="569" spans="1:19" x14ac:dyDescent="0.3">
      <c r="A569" s="1" t="s">
        <v>443</v>
      </c>
      <c r="B569" t="s">
        <v>1596</v>
      </c>
      <c r="C569" t="s">
        <v>2112</v>
      </c>
      <c r="D569" t="str">
        <f t="shared" si="32"/>
        <v>Male</v>
      </c>
      <c r="E569" t="s">
        <v>9</v>
      </c>
      <c r="F569" s="2">
        <v>41</v>
      </c>
      <c r="G569" s="2" t="str" cm="1">
        <f t="array" ref="G569">_xlfn.IFS(F569&lt;=8,"Child",F569&lt;=17,"Teen",F569&lt;=35,"Adult",F569&lt;=55,"Seniour Adult",F569&gt;=55,"Old Age")</f>
        <v>Seniour Adult</v>
      </c>
      <c r="H569" t="s">
        <v>18</v>
      </c>
      <c r="I569" t="s">
        <v>11</v>
      </c>
      <c r="J569" t="str" cm="1">
        <f t="array" ref="J569">_xlfn.IFS(I569="S","Southamptom",I569="Q","Quentown",I569="C","Cherbrug",I569="B","Cabin")</f>
        <v>Southamptom</v>
      </c>
      <c r="K569" t="s">
        <v>53</v>
      </c>
      <c r="L569" s="2">
        <v>13</v>
      </c>
      <c r="M569" s="2" t="str" cm="1">
        <f t="array" ref="M569">_xlfn.IFS(L569&lt;=15,"Low Fare",L569&lt;=35,"Medium Fare",L569&lt;=100,"High Fare",L569&gt;=100,"Very High Fare")</f>
        <v>Low Fare</v>
      </c>
      <c r="N569" s="2">
        <v>0</v>
      </c>
      <c r="O569" s="2">
        <v>0</v>
      </c>
      <c r="P569">
        <f t="shared" si="33"/>
        <v>1</v>
      </c>
      <c r="Q569" t="str">
        <f t="shared" si="34"/>
        <v>Alone</v>
      </c>
      <c r="R569" t="str">
        <f t="shared" si="35"/>
        <v>Yes</v>
      </c>
      <c r="S569" t="s">
        <v>16</v>
      </c>
    </row>
    <row r="570" spans="1:19" x14ac:dyDescent="0.3">
      <c r="A570" s="1" t="s">
        <v>444</v>
      </c>
      <c r="B570" t="s">
        <v>1602</v>
      </c>
      <c r="C570" t="s">
        <v>2113</v>
      </c>
      <c r="D570" t="str">
        <f t="shared" si="32"/>
        <v>Female</v>
      </c>
      <c r="E570" t="s">
        <v>14</v>
      </c>
      <c r="F570" s="2">
        <v>26</v>
      </c>
      <c r="G570" s="2" t="str" cm="1">
        <f t="array" ref="G570">_xlfn.IFS(F570&lt;=8,"Child",F570&lt;=17,"Teen",F570&lt;=35,"Adult",F570&lt;=55,"Seniour Adult",F570&gt;=55,"Old Age")</f>
        <v>Adult</v>
      </c>
      <c r="H570" t="s">
        <v>10</v>
      </c>
      <c r="I570" t="s">
        <v>11</v>
      </c>
      <c r="J570" t="str" cm="1">
        <f t="array" ref="J570">_xlfn.IFS(I570="S","Southamptom",I570="Q","Quentown",I570="C","Cherbrug",I570="B","Cabin")</f>
        <v>Southamptom</v>
      </c>
      <c r="K570" t="s">
        <v>15</v>
      </c>
      <c r="L570" s="2">
        <v>8.01</v>
      </c>
      <c r="M570" s="2" t="str" cm="1">
        <f t="array" ref="M570">_xlfn.IFS(L570&lt;=15,"Low Fare",L570&lt;=35,"Medium Fare",L570&lt;=100,"High Fare",L570&gt;=100,"Very High Fare")</f>
        <v>Low Fare</v>
      </c>
      <c r="N570" s="2">
        <v>0</v>
      </c>
      <c r="O570" s="2">
        <v>0</v>
      </c>
      <c r="P570">
        <f t="shared" si="33"/>
        <v>1</v>
      </c>
      <c r="Q570" t="str">
        <f t="shared" si="34"/>
        <v>Alone</v>
      </c>
      <c r="R570" t="str">
        <f t="shared" si="35"/>
        <v>Yes</v>
      </c>
      <c r="S570" t="s">
        <v>16</v>
      </c>
    </row>
    <row r="571" spans="1:19" x14ac:dyDescent="0.3">
      <c r="A571" s="1" t="s">
        <v>444</v>
      </c>
      <c r="B571" t="s">
        <v>1596</v>
      </c>
      <c r="C571" t="s">
        <v>2040</v>
      </c>
      <c r="D571" t="str">
        <f t="shared" si="32"/>
        <v>Male</v>
      </c>
      <c r="E571" t="s">
        <v>9</v>
      </c>
      <c r="F571" s="2">
        <v>63</v>
      </c>
      <c r="G571" s="2" t="str" cm="1">
        <f t="array" ref="G571">_xlfn.IFS(F571&lt;=8,"Child",F571&lt;=17,"Teen",F571&lt;=35,"Adult",F571&lt;=55,"Seniour Adult",F571&gt;=55,"Old Age")</f>
        <v>Old Age</v>
      </c>
      <c r="H571" t="s">
        <v>18</v>
      </c>
      <c r="I571" t="s">
        <v>11</v>
      </c>
      <c r="J571" t="str" cm="1">
        <f t="array" ref="J571">_xlfn.IFS(I571="S","Southamptom",I571="Q","Quentown",I571="C","Cherbrug",I571="B","Cabin")</f>
        <v>Southamptom</v>
      </c>
      <c r="K571" t="s">
        <v>15</v>
      </c>
      <c r="L571" s="2">
        <v>26</v>
      </c>
      <c r="M571" s="2" t="str" cm="1">
        <f t="array" ref="M571">_xlfn.IFS(L571&lt;=15,"Low Fare",L571&lt;=35,"Medium Fare",L571&lt;=100,"High Fare",L571&gt;=100,"Very High Fare")</f>
        <v>Medium Fare</v>
      </c>
      <c r="N571" s="2">
        <v>1</v>
      </c>
      <c r="O571" s="2">
        <v>0</v>
      </c>
      <c r="P571">
        <f t="shared" si="33"/>
        <v>2</v>
      </c>
      <c r="Q571" t="str">
        <f t="shared" si="34"/>
        <v>With Family</v>
      </c>
      <c r="R571" t="str">
        <f t="shared" si="35"/>
        <v>No</v>
      </c>
      <c r="S571" t="s">
        <v>13</v>
      </c>
    </row>
    <row r="572" spans="1:19" x14ac:dyDescent="0.3">
      <c r="A572" s="1" t="s">
        <v>444</v>
      </c>
      <c r="B572" t="s">
        <v>1600</v>
      </c>
      <c r="C572" t="s">
        <v>2114</v>
      </c>
      <c r="D572" t="str">
        <f t="shared" si="32"/>
        <v>Female</v>
      </c>
      <c r="E572" t="s">
        <v>14</v>
      </c>
      <c r="F572" s="2">
        <v>61</v>
      </c>
      <c r="G572" s="2" t="str" cm="1">
        <f t="array" ref="G572">_xlfn.IFS(F572&lt;=8,"Child",F572&lt;=17,"Teen",F572&lt;=35,"Adult",F572&lt;=55,"Seniour Adult",F572&gt;=55,"Old Age")</f>
        <v>Old Age</v>
      </c>
      <c r="H572" t="s">
        <v>18</v>
      </c>
      <c r="I572" t="s">
        <v>11</v>
      </c>
      <c r="J572" t="str" cm="1">
        <f t="array" ref="J572">_xlfn.IFS(I572="S","Southamptom",I572="Q","Quentown",I572="C","Cherbrug",I572="B","Cabin")</f>
        <v>Southamptom</v>
      </c>
      <c r="K572" t="s">
        <v>15</v>
      </c>
      <c r="L572" s="2">
        <v>26</v>
      </c>
      <c r="M572" s="2" t="str" cm="1">
        <f t="array" ref="M572">_xlfn.IFS(L572&lt;=15,"Low Fare",L572&lt;=35,"Medium Fare",L572&lt;=100,"High Fare",L572&gt;=100,"Very High Fare")</f>
        <v>Medium Fare</v>
      </c>
      <c r="N572" s="2">
        <v>1</v>
      </c>
      <c r="O572" s="2">
        <v>0</v>
      </c>
      <c r="P572">
        <f t="shared" si="33"/>
        <v>2</v>
      </c>
      <c r="Q572" t="str">
        <f t="shared" si="34"/>
        <v>With Family</v>
      </c>
      <c r="R572" t="str">
        <f t="shared" si="35"/>
        <v>No</v>
      </c>
      <c r="S572" t="s">
        <v>13</v>
      </c>
    </row>
    <row r="573" spans="1:19" x14ac:dyDescent="0.3">
      <c r="A573" s="1" t="s">
        <v>445</v>
      </c>
      <c r="B573" t="s">
        <v>1596</v>
      </c>
      <c r="C573" t="s">
        <v>2115</v>
      </c>
      <c r="D573" t="str">
        <f t="shared" si="32"/>
        <v>Male</v>
      </c>
      <c r="E573" t="s">
        <v>9</v>
      </c>
      <c r="F573" s="2">
        <v>38</v>
      </c>
      <c r="G573" s="2" t="str" cm="1">
        <f t="array" ref="G573">_xlfn.IFS(F573&lt;=8,"Child",F573&lt;=17,"Teen",F573&lt;=35,"Adult",F573&lt;=55,"Seniour Adult",F573&gt;=55,"Old Age")</f>
        <v>Seniour Adult</v>
      </c>
      <c r="H573" t="s">
        <v>25</v>
      </c>
      <c r="I573" t="s">
        <v>11</v>
      </c>
      <c r="J573" t="str" cm="1">
        <f t="array" ref="J573">_xlfn.IFS(I573="S","Southamptom",I573="Q","Quentown",I573="C","Cherbrug",I573="B","Cabin")</f>
        <v>Southamptom</v>
      </c>
      <c r="K573" t="s">
        <v>12</v>
      </c>
      <c r="L573" s="2">
        <v>100</v>
      </c>
      <c r="M573" s="2" t="str" cm="1">
        <f t="array" ref="M573">_xlfn.IFS(L573&lt;=15,"Low Fare",L573&lt;=35,"Medium Fare",L573&lt;=100,"High Fare",L573&gt;=100,"Very High Fare")</f>
        <v>High Fare</v>
      </c>
      <c r="N573" s="2">
        <v>1</v>
      </c>
      <c r="O573" s="2">
        <v>0</v>
      </c>
      <c r="P573">
        <f t="shared" si="33"/>
        <v>2</v>
      </c>
      <c r="Q573" t="str">
        <f t="shared" si="34"/>
        <v>With Family</v>
      </c>
      <c r="R573" t="str">
        <f t="shared" si="35"/>
        <v>Yes</v>
      </c>
      <c r="S573" t="s">
        <v>16</v>
      </c>
    </row>
    <row r="574" spans="1:19" x14ac:dyDescent="0.3">
      <c r="A574" s="1" t="s">
        <v>445</v>
      </c>
      <c r="B574" t="s">
        <v>1600</v>
      </c>
      <c r="C574" t="s">
        <v>2116</v>
      </c>
      <c r="D574" t="str">
        <f t="shared" si="32"/>
        <v>Female</v>
      </c>
      <c r="E574" t="s">
        <v>14</v>
      </c>
      <c r="F574" s="2">
        <v>31</v>
      </c>
      <c r="G574" s="2" t="str" cm="1">
        <f t="array" ref="G574">_xlfn.IFS(F574&lt;=8,"Child",F574&lt;=17,"Teen",F574&lt;=35,"Adult",F574&lt;=55,"Seniour Adult",F574&gt;=55,"Old Age")</f>
        <v>Adult</v>
      </c>
      <c r="H574" t="s">
        <v>25</v>
      </c>
      <c r="I574" t="s">
        <v>11</v>
      </c>
      <c r="J574" t="str" cm="1">
        <f t="array" ref="J574">_xlfn.IFS(I574="S","Southamptom",I574="Q","Quentown",I574="C","Cherbrug",I574="B","Cabin")</f>
        <v>Southamptom</v>
      </c>
      <c r="K574" t="s">
        <v>12</v>
      </c>
      <c r="L574" s="2">
        <v>100</v>
      </c>
      <c r="M574" s="2" t="str" cm="1">
        <f t="array" ref="M574">_xlfn.IFS(L574&lt;=15,"Low Fare",L574&lt;=35,"Medium Fare",L574&lt;=100,"High Fare",L574&gt;=100,"Very High Fare")</f>
        <v>High Fare</v>
      </c>
      <c r="N574" s="2">
        <v>1</v>
      </c>
      <c r="O574" s="2">
        <v>0</v>
      </c>
      <c r="P574">
        <f t="shared" si="33"/>
        <v>2</v>
      </c>
      <c r="Q574" t="str">
        <f t="shared" si="34"/>
        <v>With Family</v>
      </c>
      <c r="R574" t="str">
        <f t="shared" si="35"/>
        <v>Yes</v>
      </c>
      <c r="S574" t="s">
        <v>16</v>
      </c>
    </row>
    <row r="575" spans="1:19" x14ac:dyDescent="0.3">
      <c r="A575" s="1" t="s">
        <v>445</v>
      </c>
      <c r="B575" t="s">
        <v>1596</v>
      </c>
      <c r="C575" t="s">
        <v>2117</v>
      </c>
      <c r="D575" t="str">
        <f t="shared" si="32"/>
        <v>Male</v>
      </c>
      <c r="E575" t="s">
        <v>9</v>
      </c>
      <c r="F575" s="2">
        <v>43</v>
      </c>
      <c r="G575" s="2" t="str" cm="1">
        <f t="array" ref="G575">_xlfn.IFS(F575&lt;=8,"Child",F575&lt;=17,"Teen",F575&lt;=35,"Adult",F575&lt;=55,"Seniour Adult",F575&gt;=55,"Old Age")</f>
        <v>Seniour Adult</v>
      </c>
      <c r="H575" t="s">
        <v>25</v>
      </c>
      <c r="I575" t="s">
        <v>19</v>
      </c>
      <c r="J575" t="str" cm="1">
        <f t="array" ref="J575">_xlfn.IFS(I575="S","Southamptom",I575="Q","Quentown",I575="C","Cherbrug",I575="B","Cabin")</f>
        <v>Cherbrug</v>
      </c>
      <c r="K575" t="s">
        <v>12</v>
      </c>
      <c r="L575" s="2">
        <v>30.1311</v>
      </c>
      <c r="M575" s="2" t="str" cm="1">
        <f t="array" ref="M575">_xlfn.IFS(L575&lt;=15,"Low Fare",L575&lt;=35,"Medium Fare",L575&lt;=100,"High Fare",L575&gt;=100,"Very High Fare")</f>
        <v>Medium Fare</v>
      </c>
      <c r="N575" s="2">
        <v>0</v>
      </c>
      <c r="O575" s="2">
        <v>0</v>
      </c>
      <c r="P575">
        <f t="shared" si="33"/>
        <v>1</v>
      </c>
      <c r="Q575" t="str">
        <f t="shared" si="34"/>
        <v>Alone</v>
      </c>
      <c r="R575" t="str">
        <f t="shared" si="35"/>
        <v>No</v>
      </c>
      <c r="S575" t="s">
        <v>13</v>
      </c>
    </row>
    <row r="576" spans="1:19" x14ac:dyDescent="0.3">
      <c r="A576" s="1" t="s">
        <v>446</v>
      </c>
      <c r="B576" t="s">
        <v>1596</v>
      </c>
      <c r="C576" t="s">
        <v>2118</v>
      </c>
      <c r="D576" t="str">
        <f t="shared" si="32"/>
        <v>Male</v>
      </c>
      <c r="E576" t="s">
        <v>9</v>
      </c>
      <c r="F576" s="2">
        <v>42</v>
      </c>
      <c r="G576" s="2" t="str" cm="1">
        <f t="array" ref="G576">_xlfn.IFS(F576&lt;=8,"Child",F576&lt;=17,"Teen",F576&lt;=35,"Adult",F576&lt;=55,"Seniour Adult",F576&gt;=55,"Old Age")</f>
        <v>Seniour Adult</v>
      </c>
      <c r="H576" t="s">
        <v>10</v>
      </c>
      <c r="I576" t="s">
        <v>11</v>
      </c>
      <c r="J576" t="str" cm="1">
        <f t="array" ref="J576">_xlfn.IFS(I576="S","Southamptom",I576="Q","Quentown",I576="C","Cherbrug",I576="B","Cabin")</f>
        <v>Southamptom</v>
      </c>
      <c r="K576" t="s">
        <v>17</v>
      </c>
      <c r="L576" s="2">
        <v>7.13</v>
      </c>
      <c r="M576" s="2" t="str" cm="1">
        <f t="array" ref="M576">_xlfn.IFS(L576&lt;=15,"Low Fare",L576&lt;=35,"Medium Fare",L576&lt;=100,"High Fare",L576&gt;=100,"Very High Fare")</f>
        <v>Low Fare</v>
      </c>
      <c r="N576" s="2">
        <v>0</v>
      </c>
      <c r="O576" s="2">
        <v>0</v>
      </c>
      <c r="P576">
        <f t="shared" si="33"/>
        <v>1</v>
      </c>
      <c r="Q576" t="str">
        <f t="shared" si="34"/>
        <v>Alone</v>
      </c>
      <c r="R576" t="str">
        <f t="shared" si="35"/>
        <v>No</v>
      </c>
      <c r="S576" t="s">
        <v>13</v>
      </c>
    </row>
    <row r="577" spans="1:19" hidden="1" x14ac:dyDescent="0.3">
      <c r="A577" s="1" t="s">
        <v>447</v>
      </c>
      <c r="B577" t="s">
        <v>1596</v>
      </c>
      <c r="C577" t="s">
        <v>2119</v>
      </c>
      <c r="D577" t="str">
        <f t="shared" si="32"/>
        <v>Male</v>
      </c>
      <c r="E577" t="s">
        <v>9</v>
      </c>
      <c r="F577" s="2">
        <v>21</v>
      </c>
      <c r="G577" s="2" t="str" cm="1">
        <f t="array" ref="G577">_xlfn.IFS(F577&lt;=8,"Child",F577&lt;=17,"Teen",F577&lt;=35,"Adult",F577&lt;=55,"Seniour Adult",F577&gt;=55,"Old Age")</f>
        <v>Adult</v>
      </c>
      <c r="H577" t="s">
        <v>18</v>
      </c>
      <c r="I577" t="s">
        <v>11</v>
      </c>
      <c r="J577" t="str" cm="1">
        <f t="array" ref="J577">_xlfn.IFS(I577="S","Southamptom",I577="Q","Quentown",I577="C","Cherbrug",I577="B","Cabin")</f>
        <v>Southamptom</v>
      </c>
      <c r="K577" t="s">
        <v>15</v>
      </c>
      <c r="L577" s="2">
        <v>33</v>
      </c>
      <c r="M577" s="2" t="str" cm="1">
        <f t="array" ref="M577">_xlfn.IFS(L577&lt;=15,"Low Fare",L577&lt;=35,"Medium Fare",L577&lt;=100,"High Fare",L577&gt;=100,"Very High Fare")</f>
        <v>Medium Fare</v>
      </c>
      <c r="N577" s="2">
        <v>1</v>
      </c>
      <c r="O577" s="2" t="s">
        <v>30</v>
      </c>
      <c r="P577" t="e">
        <f t="shared" si="33"/>
        <v>#VALUE!</v>
      </c>
      <c r="Q577" t="e">
        <f t="shared" si="34"/>
        <v>#VALUE!</v>
      </c>
      <c r="R577" t="str">
        <f t="shared" si="35"/>
        <v>No</v>
      </c>
      <c r="S577" t="s">
        <v>13</v>
      </c>
    </row>
    <row r="578" spans="1:19" x14ac:dyDescent="0.3">
      <c r="A578" s="1" t="s">
        <v>448</v>
      </c>
      <c r="B578" t="s">
        <v>1596</v>
      </c>
      <c r="C578" t="s">
        <v>2120</v>
      </c>
      <c r="D578" t="str">
        <f t="shared" si="32"/>
        <v>Male</v>
      </c>
      <c r="E578" t="s">
        <v>9</v>
      </c>
      <c r="F578" s="2">
        <v>34</v>
      </c>
      <c r="G578" s="2" t="str" cm="1">
        <f t="array" ref="G578">_xlfn.IFS(F578&lt;=8,"Child",F578&lt;=17,"Teen",F578&lt;=35,"Adult",F578&lt;=55,"Seniour Adult",F578&gt;=55,"Old Age")</f>
        <v>Adult</v>
      </c>
      <c r="H578" t="s">
        <v>18</v>
      </c>
      <c r="I578" t="s">
        <v>11</v>
      </c>
      <c r="J578" t="str" cm="1">
        <f t="array" ref="J578">_xlfn.IFS(I578="S","Southamptom",I578="Q","Quentown",I578="C","Cherbrug",I578="B","Cabin")</f>
        <v>Southamptom</v>
      </c>
      <c r="K578" t="s">
        <v>15</v>
      </c>
      <c r="L578" s="2">
        <v>12.050599999999999</v>
      </c>
      <c r="M578" s="2" t="str" cm="1">
        <f t="array" ref="M578">_xlfn.IFS(L578&lt;=15,"Low Fare",L578&lt;=35,"Medium Fare",L578&lt;=100,"High Fare",L578&gt;=100,"Very High Fare")</f>
        <v>Low Fare</v>
      </c>
      <c r="N578" s="2">
        <v>0</v>
      </c>
      <c r="O578" s="2">
        <v>0</v>
      </c>
      <c r="P578">
        <f t="shared" si="33"/>
        <v>1</v>
      </c>
      <c r="Q578" t="str">
        <f t="shared" si="34"/>
        <v>Alone</v>
      </c>
      <c r="R578" t="str">
        <f t="shared" si="35"/>
        <v>No</v>
      </c>
      <c r="S578" t="s">
        <v>13</v>
      </c>
    </row>
    <row r="579" spans="1:19" x14ac:dyDescent="0.3">
      <c r="A579" s="1" t="s">
        <v>449</v>
      </c>
      <c r="B579" t="s">
        <v>1596</v>
      </c>
      <c r="C579" t="s">
        <v>2121</v>
      </c>
      <c r="D579" t="str">
        <f t="shared" ref="D579:D642" si="36">PROPER(E579)</f>
        <v>Male</v>
      </c>
      <c r="E579" t="s">
        <v>9</v>
      </c>
      <c r="F579" s="2">
        <v>34</v>
      </c>
      <c r="G579" s="2" t="str" cm="1">
        <f t="array" ref="G579">_xlfn.IFS(F579&lt;=8,"Child",F579&lt;=17,"Teen",F579&lt;=35,"Adult",F579&lt;=55,"Seniour Adult",F579&gt;=55,"Old Age")</f>
        <v>Adult</v>
      </c>
      <c r="H579" t="s">
        <v>10</v>
      </c>
      <c r="I579" t="s">
        <v>11</v>
      </c>
      <c r="J579" t="str" cm="1">
        <f t="array" ref="J579">_xlfn.IFS(I579="S","Southamptom",I579="Q","Quentown",I579="C","Cherbrug",I579="B","Cabin")</f>
        <v>Southamptom</v>
      </c>
      <c r="K579" t="s">
        <v>15</v>
      </c>
      <c r="L579" s="2">
        <v>7.1708999999999996</v>
      </c>
      <c r="M579" s="2" t="str" cm="1">
        <f t="array" ref="M579">_xlfn.IFS(L579&lt;=15,"Low Fare",L579&lt;=35,"Medium Fare",L579&lt;=100,"High Fare",L579&gt;=100,"Very High Fare")</f>
        <v>Low Fare</v>
      </c>
      <c r="N579" s="2">
        <v>0</v>
      </c>
      <c r="O579" s="2">
        <v>0</v>
      </c>
      <c r="P579">
        <f t="shared" ref="P579:P642" si="37">N579+O579+1</f>
        <v>1</v>
      </c>
      <c r="Q579" t="str">
        <f t="shared" ref="Q579:Q642" si="38">IF(P579=1,"Alone","With Family")</f>
        <v>Alone</v>
      </c>
      <c r="R579" t="str">
        <f t="shared" ref="R579:R642" si="39">PROPER(S579)</f>
        <v>Yes</v>
      </c>
      <c r="S579" t="s">
        <v>16</v>
      </c>
    </row>
    <row r="580" spans="1:19" x14ac:dyDescent="0.3">
      <c r="A580" s="1" t="s">
        <v>450</v>
      </c>
      <c r="B580" t="s">
        <v>1596</v>
      </c>
      <c r="C580" t="s">
        <v>2122</v>
      </c>
      <c r="D580" t="str">
        <f t="shared" si="36"/>
        <v>Male</v>
      </c>
      <c r="E580" t="s">
        <v>9</v>
      </c>
      <c r="F580" s="2">
        <v>11</v>
      </c>
      <c r="G580" s="2" t="str" cm="1">
        <f t="array" ref="G580">_xlfn.IFS(F580&lt;=8,"Child",F580&lt;=17,"Teen",F580&lt;=35,"Adult",F580&lt;=55,"Seniour Adult",F580&gt;=55,"Old Age")</f>
        <v>Teen</v>
      </c>
      <c r="H580" t="s">
        <v>10</v>
      </c>
      <c r="I580" t="s">
        <v>19</v>
      </c>
      <c r="J580" t="str" cm="1">
        <f t="array" ref="J580">_xlfn.IFS(I580="S","Southamptom",I580="Q","Quentown",I580="C","Cherbrug",I580="B","Cabin")</f>
        <v>Cherbrug</v>
      </c>
      <c r="K580" t="s">
        <v>15</v>
      </c>
      <c r="L580" s="2">
        <v>18.1509</v>
      </c>
      <c r="M580" s="2" t="str" cm="1">
        <f t="array" ref="M580">_xlfn.IFS(L580&lt;=15,"Low Fare",L580&lt;=35,"Medium Fare",L580&lt;=100,"High Fare",L580&gt;=100,"Very High Fare")</f>
        <v>Medium Fare</v>
      </c>
      <c r="N580" s="2">
        <v>0</v>
      </c>
      <c r="O580" s="2">
        <v>0</v>
      </c>
      <c r="P580">
        <f t="shared" si="37"/>
        <v>1</v>
      </c>
      <c r="Q580" t="str">
        <f t="shared" si="38"/>
        <v>Alone</v>
      </c>
      <c r="R580" t="str">
        <f t="shared" si="39"/>
        <v>No</v>
      </c>
      <c r="S580" t="s">
        <v>13</v>
      </c>
    </row>
    <row r="581" spans="1:19" x14ac:dyDescent="0.3">
      <c r="A581" s="1" t="s">
        <v>450</v>
      </c>
      <c r="B581" t="s">
        <v>1600</v>
      </c>
      <c r="C581" t="s">
        <v>2123</v>
      </c>
      <c r="D581" t="str">
        <f t="shared" si="36"/>
        <v>Female</v>
      </c>
      <c r="E581" t="s">
        <v>14</v>
      </c>
      <c r="F581" s="2">
        <v>18</v>
      </c>
      <c r="G581" s="2" t="str" cm="1">
        <f t="array" ref="G581">_xlfn.IFS(F581&lt;=8,"Child",F581&lt;=17,"Teen",F581&lt;=35,"Adult",F581&lt;=55,"Seniour Adult",F581&gt;=55,"Old Age")</f>
        <v>Adult</v>
      </c>
      <c r="H581" t="s">
        <v>10</v>
      </c>
      <c r="I581" t="s">
        <v>19</v>
      </c>
      <c r="J581" t="str" cm="1">
        <f t="array" ref="J581">_xlfn.IFS(I581="S","Southamptom",I581="Q","Quentown",I581="C","Cherbrug",I581="B","Cabin")</f>
        <v>Cherbrug</v>
      </c>
      <c r="K581" t="s">
        <v>54</v>
      </c>
      <c r="L581" s="2">
        <v>7.0407000000000002</v>
      </c>
      <c r="M581" s="2" t="str" cm="1">
        <f t="array" ref="M581">_xlfn.IFS(L581&lt;=15,"Low Fare",L581&lt;=35,"Medium Fare",L581&lt;=100,"High Fare",L581&gt;=100,"Very High Fare")</f>
        <v>Low Fare</v>
      </c>
      <c r="N581" s="2">
        <v>0</v>
      </c>
      <c r="O581" s="2">
        <v>0</v>
      </c>
      <c r="P581">
        <f t="shared" si="37"/>
        <v>1</v>
      </c>
      <c r="Q581" t="str">
        <f t="shared" si="38"/>
        <v>Alone</v>
      </c>
      <c r="R581" t="str">
        <f t="shared" si="39"/>
        <v>Yes</v>
      </c>
      <c r="S581" t="s">
        <v>16</v>
      </c>
    </row>
    <row r="582" spans="1:19" x14ac:dyDescent="0.3">
      <c r="A582" s="1" t="s">
        <v>451</v>
      </c>
      <c r="B582" t="s">
        <v>1596</v>
      </c>
      <c r="C582" t="s">
        <v>2124</v>
      </c>
      <c r="D582" t="str">
        <f t="shared" si="36"/>
        <v>Male</v>
      </c>
      <c r="E582" t="s">
        <v>9</v>
      </c>
      <c r="F582" s="2">
        <v>33</v>
      </c>
      <c r="G582" s="2" t="str" cm="1">
        <f t="array" ref="G582">_xlfn.IFS(F582&lt;=8,"Child",F582&lt;=17,"Teen",F582&lt;=35,"Adult",F582&lt;=55,"Seniour Adult",F582&gt;=55,"Old Age")</f>
        <v>Adult</v>
      </c>
      <c r="H582" t="s">
        <v>10</v>
      </c>
      <c r="I582" t="s">
        <v>19</v>
      </c>
      <c r="J582" t="str" cm="1">
        <f t="array" ref="J582">_xlfn.IFS(I582="S","Southamptom",I582="Q","Quentown",I582="C","Cherbrug",I582="B","Cabin")</f>
        <v>Cherbrug</v>
      </c>
      <c r="K582" t="s">
        <v>21</v>
      </c>
      <c r="L582" s="2">
        <v>14.090199999999999</v>
      </c>
      <c r="M582" s="2" t="str" cm="1">
        <f t="array" ref="M582">_xlfn.IFS(L582&lt;=15,"Low Fare",L582&lt;=35,"Medium Fare",L582&lt;=100,"High Fare",L582&gt;=100,"Very High Fare")</f>
        <v>Low Fare</v>
      </c>
      <c r="N582" s="2">
        <v>0</v>
      </c>
      <c r="O582" s="2">
        <v>0</v>
      </c>
      <c r="P582">
        <f t="shared" si="37"/>
        <v>1</v>
      </c>
      <c r="Q582" t="str">
        <f t="shared" si="38"/>
        <v>Alone</v>
      </c>
      <c r="R582" t="str">
        <f t="shared" si="39"/>
        <v>No</v>
      </c>
      <c r="S582" t="s">
        <v>13</v>
      </c>
    </row>
    <row r="583" spans="1:19" x14ac:dyDescent="0.3">
      <c r="A583" s="1" t="s">
        <v>452</v>
      </c>
      <c r="B583" t="s">
        <v>1602</v>
      </c>
      <c r="C583" t="s">
        <v>2125</v>
      </c>
      <c r="D583" t="str">
        <f t="shared" si="36"/>
        <v>Female</v>
      </c>
      <c r="E583" t="s">
        <v>14</v>
      </c>
      <c r="F583" s="2">
        <v>39</v>
      </c>
      <c r="G583" s="2" t="str" cm="1">
        <f t="array" ref="G583">_xlfn.IFS(F583&lt;=8,"Child",F583&lt;=17,"Teen",F583&lt;=35,"Adult",F583&lt;=55,"Seniour Adult",F583&gt;=55,"Old Age")</f>
        <v>Seniour Adult</v>
      </c>
      <c r="H583" t="s">
        <v>25</v>
      </c>
      <c r="I583" t="s">
        <v>11</v>
      </c>
      <c r="J583" t="str" cm="1">
        <f t="array" ref="J583">_xlfn.IFS(I583="S","Southamptom",I583="Q","Quentown",I583="C","Cherbrug",I583="B","Cabin")</f>
        <v>Southamptom</v>
      </c>
      <c r="K583" t="s">
        <v>15</v>
      </c>
      <c r="L583" s="2">
        <v>80</v>
      </c>
      <c r="M583" s="2" t="str" cm="1">
        <f t="array" ref="M583">_xlfn.IFS(L583&lt;=15,"Low Fare",L583&lt;=35,"Medium Fare",L583&lt;=100,"High Fare",L583&gt;=100,"Very High Fare")</f>
        <v>High Fare</v>
      </c>
      <c r="N583" s="2">
        <v>0</v>
      </c>
      <c r="O583" s="2">
        <v>0</v>
      </c>
      <c r="P583">
        <f t="shared" si="37"/>
        <v>1</v>
      </c>
      <c r="Q583" t="str">
        <f t="shared" si="38"/>
        <v>Alone</v>
      </c>
      <c r="R583" t="str">
        <f t="shared" si="39"/>
        <v>Yes</v>
      </c>
      <c r="S583" t="s">
        <v>16</v>
      </c>
    </row>
    <row r="584" spans="1:19" x14ac:dyDescent="0.3">
      <c r="A584" s="1" t="s">
        <v>453</v>
      </c>
      <c r="B584" t="s">
        <v>1602</v>
      </c>
      <c r="C584" t="s">
        <v>1820</v>
      </c>
      <c r="D584" t="str">
        <f t="shared" si="36"/>
        <v>Female</v>
      </c>
      <c r="E584" t="s">
        <v>14</v>
      </c>
      <c r="F584" s="2">
        <v>17</v>
      </c>
      <c r="G584" s="2" t="str" cm="1">
        <f t="array" ref="G584">_xlfn.IFS(F584&lt;=8,"Child",F584&lt;=17,"Teen",F584&lt;=35,"Adult",F584&lt;=55,"Seniour Adult",F584&gt;=55,"Old Age")</f>
        <v>Teen</v>
      </c>
      <c r="H584" t="s">
        <v>18</v>
      </c>
      <c r="I584" t="s">
        <v>11</v>
      </c>
      <c r="J584" t="str" cm="1">
        <f t="array" ref="J584">_xlfn.IFS(I584="S","Southamptom",I584="Q","Quentown",I584="C","Cherbrug",I584="B","Cabin")</f>
        <v>Southamptom</v>
      </c>
      <c r="K584" t="s">
        <v>33</v>
      </c>
      <c r="L584" s="2">
        <v>10.1</v>
      </c>
      <c r="M584" s="2" t="str" cm="1">
        <f t="array" ref="M584">_xlfn.IFS(L584&lt;=15,"Low Fare",L584&lt;=35,"Medium Fare",L584&lt;=100,"High Fare",L584&gt;=100,"Very High Fare")</f>
        <v>Low Fare</v>
      </c>
      <c r="N584" s="2">
        <v>0</v>
      </c>
      <c r="O584" s="2">
        <v>0</v>
      </c>
      <c r="P584">
        <f t="shared" si="37"/>
        <v>1</v>
      </c>
      <c r="Q584" t="str">
        <f t="shared" si="38"/>
        <v>Alone</v>
      </c>
      <c r="R584" t="str">
        <f t="shared" si="39"/>
        <v>Yes</v>
      </c>
      <c r="S584" t="s">
        <v>16</v>
      </c>
    </row>
    <row r="585" spans="1:19" x14ac:dyDescent="0.3">
      <c r="A585" s="1" t="s">
        <v>454</v>
      </c>
      <c r="B585" t="s">
        <v>1596</v>
      </c>
      <c r="C585" t="s">
        <v>2126</v>
      </c>
      <c r="D585" t="str">
        <f t="shared" si="36"/>
        <v>Male</v>
      </c>
      <c r="E585" t="s">
        <v>9</v>
      </c>
      <c r="F585" s="2">
        <v>32</v>
      </c>
      <c r="G585" s="2" t="str" cm="1">
        <f t="array" ref="G585">_xlfn.IFS(F585&lt;=8,"Child",F585&lt;=17,"Teen",F585&lt;=35,"Adult",F585&lt;=55,"Seniour Adult",F585&gt;=55,"Old Age")</f>
        <v>Adult</v>
      </c>
      <c r="H585" t="s">
        <v>10</v>
      </c>
      <c r="I585" t="s">
        <v>11</v>
      </c>
      <c r="J585" t="str" cm="1">
        <f t="array" ref="J585">_xlfn.IFS(I585="S","Southamptom",I585="Q","Quentown",I585="C","Cherbrug",I585="B","Cabin")</f>
        <v>Southamptom</v>
      </c>
      <c r="K585" t="s">
        <v>15</v>
      </c>
      <c r="L585" s="2">
        <v>7.1711</v>
      </c>
      <c r="M585" s="2" t="str" cm="1">
        <f t="array" ref="M585">_xlfn.IFS(L585&lt;=15,"Low Fare",L585&lt;=35,"Medium Fare",L585&lt;=100,"High Fare",L585&gt;=100,"Very High Fare")</f>
        <v>Low Fare</v>
      </c>
      <c r="N585" s="2">
        <v>0</v>
      </c>
      <c r="O585" s="2">
        <v>0</v>
      </c>
      <c r="P585">
        <f t="shared" si="37"/>
        <v>1</v>
      </c>
      <c r="Q585" t="str">
        <f t="shared" si="38"/>
        <v>Alone</v>
      </c>
      <c r="R585" t="str">
        <f t="shared" si="39"/>
        <v>No</v>
      </c>
      <c r="S585" t="s">
        <v>13</v>
      </c>
    </row>
    <row r="586" spans="1:19" x14ac:dyDescent="0.3">
      <c r="A586" s="1" t="s">
        <v>455</v>
      </c>
      <c r="B586" t="s">
        <v>1602</v>
      </c>
      <c r="C586" t="s">
        <v>2127</v>
      </c>
      <c r="D586" t="str">
        <f t="shared" si="36"/>
        <v>Female</v>
      </c>
      <c r="E586" t="s">
        <v>14</v>
      </c>
      <c r="F586" s="2">
        <v>17</v>
      </c>
      <c r="G586" s="2" t="str" cm="1">
        <f t="array" ref="G586">_xlfn.IFS(F586&lt;=8,"Child",F586&lt;=17,"Teen",F586&lt;=35,"Adult",F586&lt;=55,"Seniour Adult",F586&gt;=55,"Old Age")</f>
        <v>Teen</v>
      </c>
      <c r="H586" t="s">
        <v>10</v>
      </c>
      <c r="I586" t="s">
        <v>11</v>
      </c>
      <c r="J586" t="str" cm="1">
        <f t="array" ref="J586">_xlfn.IFS(I586="S","Southamptom",I586="Q","Quentown",I586="C","Cherbrug",I586="B","Cabin")</f>
        <v>Southamptom</v>
      </c>
      <c r="K586" t="s">
        <v>12</v>
      </c>
      <c r="L586" s="2">
        <v>7.1806000000000001</v>
      </c>
      <c r="M586" s="2" t="str" cm="1">
        <f t="array" ref="M586">_xlfn.IFS(L586&lt;=15,"Low Fare",L586&lt;=35,"Medium Fare",L586&lt;=100,"High Fare",L586&gt;=100,"Very High Fare")</f>
        <v>Low Fare</v>
      </c>
      <c r="N586" s="2">
        <v>1</v>
      </c>
      <c r="O586" s="2">
        <v>0</v>
      </c>
      <c r="P586">
        <f t="shared" si="37"/>
        <v>2</v>
      </c>
      <c r="Q586" t="str">
        <f t="shared" si="38"/>
        <v>With Family</v>
      </c>
      <c r="R586" t="str">
        <f t="shared" si="39"/>
        <v>No</v>
      </c>
      <c r="S586" t="s">
        <v>13</v>
      </c>
    </row>
    <row r="587" spans="1:19" x14ac:dyDescent="0.3">
      <c r="A587" s="1" t="s">
        <v>455</v>
      </c>
      <c r="B587" t="s">
        <v>1602</v>
      </c>
      <c r="C587" t="s">
        <v>2128</v>
      </c>
      <c r="D587" t="str">
        <f t="shared" si="36"/>
        <v>Female</v>
      </c>
      <c r="E587" t="s">
        <v>14</v>
      </c>
      <c r="F587" s="2">
        <v>25</v>
      </c>
      <c r="G587" s="2" t="str" cm="1">
        <f t="array" ref="G587">_xlfn.IFS(F587&lt;=8,"Child",F587&lt;=17,"Teen",F587&lt;=35,"Adult",F587&lt;=55,"Seniour Adult",F587&gt;=55,"Old Age")</f>
        <v>Adult</v>
      </c>
      <c r="H587" t="s">
        <v>10</v>
      </c>
      <c r="I587" t="s">
        <v>11</v>
      </c>
      <c r="J587" t="str" cm="1">
        <f t="array" ref="J587">_xlfn.IFS(I587="S","Southamptom",I587="Q","Quentown",I587="C","Cherbrug",I587="B","Cabin")</f>
        <v>Southamptom</v>
      </c>
      <c r="K587" t="s">
        <v>22</v>
      </c>
      <c r="L587" s="2">
        <v>7.1806000000000001</v>
      </c>
      <c r="M587" s="2" t="str" cm="1">
        <f t="array" ref="M587">_xlfn.IFS(L587&lt;=15,"Low Fare",L587&lt;=35,"Medium Fare",L587&lt;=100,"High Fare",L587&gt;=100,"Very High Fare")</f>
        <v>Low Fare</v>
      </c>
      <c r="N587" s="2">
        <v>1</v>
      </c>
      <c r="O587" s="2">
        <v>0</v>
      </c>
      <c r="P587">
        <f t="shared" si="37"/>
        <v>2</v>
      </c>
      <c r="Q587" t="str">
        <f t="shared" si="38"/>
        <v>With Family</v>
      </c>
      <c r="R587" t="str">
        <f t="shared" si="39"/>
        <v>No</v>
      </c>
      <c r="S587" t="s">
        <v>13</v>
      </c>
    </row>
    <row r="588" spans="1:19" x14ac:dyDescent="0.3">
      <c r="A588" s="1" t="s">
        <v>456</v>
      </c>
      <c r="B588" t="s">
        <v>1602</v>
      </c>
      <c r="C588" t="s">
        <v>2129</v>
      </c>
      <c r="D588" t="str">
        <f t="shared" si="36"/>
        <v>Female</v>
      </c>
      <c r="E588" t="s">
        <v>14</v>
      </c>
      <c r="F588" s="2">
        <v>50</v>
      </c>
      <c r="G588" s="2" t="str" cm="1">
        <f t="array" ref="G588">_xlfn.IFS(F588&lt;=8,"Child",F588&lt;=17,"Teen",F588&lt;=35,"Adult",F588&lt;=55,"Seniour Adult",F588&gt;=55,"Old Age")</f>
        <v>Seniour Adult</v>
      </c>
      <c r="H588" t="s">
        <v>25</v>
      </c>
      <c r="I588" t="s">
        <v>19</v>
      </c>
      <c r="J588" t="str" cm="1">
        <f t="array" ref="J588">_xlfn.IFS(I588="S","Southamptom",I588="Q","Quentown",I588="C","Cherbrug",I588="B","Cabin")</f>
        <v>Cherbrug</v>
      </c>
      <c r="K588" t="s">
        <v>12</v>
      </c>
      <c r="L588" s="2">
        <v>28.1403</v>
      </c>
      <c r="M588" s="2" t="str" cm="1">
        <f t="array" ref="M588">_xlfn.IFS(L588&lt;=15,"Low Fare",L588&lt;=35,"Medium Fare",L588&lt;=100,"High Fare",L588&gt;=100,"Very High Fare")</f>
        <v>Medium Fare</v>
      </c>
      <c r="N588" s="2">
        <v>0</v>
      </c>
      <c r="O588" s="2">
        <v>0</v>
      </c>
      <c r="P588">
        <f t="shared" si="37"/>
        <v>1</v>
      </c>
      <c r="Q588" t="str">
        <f t="shared" si="38"/>
        <v>Alone</v>
      </c>
      <c r="R588" t="str">
        <f t="shared" si="39"/>
        <v>No</v>
      </c>
      <c r="S588" t="s">
        <v>13</v>
      </c>
    </row>
    <row r="589" spans="1:19" x14ac:dyDescent="0.3">
      <c r="A589" s="1" t="s">
        <v>457</v>
      </c>
      <c r="B589" t="s">
        <v>1596</v>
      </c>
      <c r="C589" t="s">
        <v>2130</v>
      </c>
      <c r="D589" t="str">
        <f t="shared" si="36"/>
        <v>Male</v>
      </c>
      <c r="E589" t="s">
        <v>9</v>
      </c>
      <c r="F589" s="2">
        <v>49</v>
      </c>
      <c r="G589" s="2" t="str" cm="1">
        <f t="array" ref="G589">_xlfn.IFS(F589&lt;=8,"Child",F589&lt;=17,"Teen",F589&lt;=35,"Adult",F589&lt;=55,"Seniour Adult",F589&gt;=55,"Old Age")</f>
        <v>Seniour Adult</v>
      </c>
      <c r="H589" t="s">
        <v>25</v>
      </c>
      <c r="I589" t="s">
        <v>11</v>
      </c>
      <c r="J589" t="str" cm="1">
        <f t="array" ref="J589">_xlfn.IFS(I589="S","Southamptom",I589="Q","Quentown",I589="C","Cherbrug",I589="B","Cabin")</f>
        <v>Southamptom</v>
      </c>
      <c r="K589" t="s">
        <v>15</v>
      </c>
      <c r="L589" s="2">
        <v>33</v>
      </c>
      <c r="M589" s="2" t="str" cm="1">
        <f t="array" ref="M589">_xlfn.IFS(L589&lt;=15,"Low Fare",L589&lt;=35,"Medium Fare",L589&lt;=100,"High Fare",L589&gt;=100,"Very High Fare")</f>
        <v>Medium Fare</v>
      </c>
      <c r="N589" s="2">
        <v>0</v>
      </c>
      <c r="O589" s="2">
        <v>0</v>
      </c>
      <c r="P589">
        <f t="shared" si="37"/>
        <v>1</v>
      </c>
      <c r="Q589" t="str">
        <f t="shared" si="38"/>
        <v>Alone</v>
      </c>
      <c r="R589" t="str">
        <f t="shared" si="39"/>
        <v>Yes</v>
      </c>
      <c r="S589" t="s">
        <v>16</v>
      </c>
    </row>
    <row r="590" spans="1:19" x14ac:dyDescent="0.3">
      <c r="A590" s="1" t="s">
        <v>458</v>
      </c>
      <c r="B590" t="s">
        <v>1596</v>
      </c>
      <c r="C590" t="s">
        <v>2131</v>
      </c>
      <c r="D590" t="str">
        <f t="shared" si="36"/>
        <v>Male</v>
      </c>
      <c r="E590" t="s">
        <v>9</v>
      </c>
      <c r="F590" s="2">
        <v>20</v>
      </c>
      <c r="G590" s="2" t="str" cm="1">
        <f t="array" ref="G590">_xlfn.IFS(F590&lt;=8,"Child",F590&lt;=17,"Teen",F590&lt;=35,"Adult",F590&lt;=55,"Seniour Adult",F590&gt;=55,"Old Age")</f>
        <v>Adult</v>
      </c>
      <c r="H590" t="s">
        <v>10</v>
      </c>
      <c r="I590" t="s">
        <v>11</v>
      </c>
      <c r="J590" t="str" cm="1">
        <f t="array" ref="J590">_xlfn.IFS(I590="S","Southamptom",I590="Q","Quentown",I590="C","Cherbrug",I590="B","Cabin")</f>
        <v>Southamptom</v>
      </c>
      <c r="K590" t="s">
        <v>31</v>
      </c>
      <c r="L590" s="2">
        <v>7.1711</v>
      </c>
      <c r="M590" s="2" t="str" cm="1">
        <f t="array" ref="M590">_xlfn.IFS(L590&lt;=15,"Low Fare",L590&lt;=35,"Medium Fare",L590&lt;=100,"High Fare",L590&gt;=100,"Very High Fare")</f>
        <v>Low Fare</v>
      </c>
      <c r="N590" s="2">
        <v>0</v>
      </c>
      <c r="O590" s="2">
        <v>0</v>
      </c>
      <c r="P590">
        <f t="shared" si="37"/>
        <v>1</v>
      </c>
      <c r="Q590" t="str">
        <f t="shared" si="38"/>
        <v>Alone</v>
      </c>
      <c r="R590" t="str">
        <f t="shared" si="39"/>
        <v>No</v>
      </c>
      <c r="S590" t="s">
        <v>13</v>
      </c>
    </row>
    <row r="591" spans="1:19" x14ac:dyDescent="0.3">
      <c r="A591" s="1" t="s">
        <v>459</v>
      </c>
      <c r="B591" t="s">
        <v>1602</v>
      </c>
      <c r="C591" t="s">
        <v>2132</v>
      </c>
      <c r="D591" t="str">
        <f t="shared" si="36"/>
        <v>Female</v>
      </c>
      <c r="E591" t="s">
        <v>14</v>
      </c>
      <c r="F591" s="2">
        <v>16</v>
      </c>
      <c r="G591" s="2" t="str" cm="1">
        <f t="array" ref="G591">_xlfn.IFS(F591&lt;=8,"Child",F591&lt;=17,"Teen",F591&lt;=35,"Adult",F591&lt;=55,"Seniour Adult",F591&gt;=55,"Old Age")</f>
        <v>Teen</v>
      </c>
      <c r="H591" t="s">
        <v>10</v>
      </c>
      <c r="I591" t="s">
        <v>19</v>
      </c>
      <c r="J591" t="str" cm="1">
        <f t="array" ref="J591">_xlfn.IFS(I591="S","Southamptom",I591="Q","Quentown",I591="C","Cherbrug",I591="B","Cabin")</f>
        <v>Cherbrug</v>
      </c>
      <c r="K591" t="s">
        <v>15</v>
      </c>
      <c r="L591" s="2">
        <v>14.0901</v>
      </c>
      <c r="M591" s="2" t="str" cm="1">
        <f t="array" ref="M591">_xlfn.IFS(L591&lt;=15,"Low Fare",L591&lt;=35,"Medium Fare",L591&lt;=100,"High Fare",L591&gt;=100,"Very High Fare")</f>
        <v>Low Fare</v>
      </c>
      <c r="N591" s="2">
        <v>1</v>
      </c>
      <c r="O591" s="2">
        <v>0</v>
      </c>
      <c r="P591">
        <f t="shared" si="37"/>
        <v>2</v>
      </c>
      <c r="Q591" t="str">
        <f t="shared" si="38"/>
        <v>With Family</v>
      </c>
      <c r="R591" t="str">
        <f t="shared" si="39"/>
        <v>No</v>
      </c>
      <c r="S591" t="s">
        <v>13</v>
      </c>
    </row>
    <row r="592" spans="1:19" x14ac:dyDescent="0.3">
      <c r="A592" s="1" t="s">
        <v>459</v>
      </c>
      <c r="B592" t="s">
        <v>1602</v>
      </c>
      <c r="C592" t="s">
        <v>2133</v>
      </c>
      <c r="D592" t="str">
        <f t="shared" si="36"/>
        <v>Female</v>
      </c>
      <c r="E592" t="s">
        <v>14</v>
      </c>
      <c r="F592" s="2">
        <v>19</v>
      </c>
      <c r="G592" s="2" t="str" cm="1">
        <f t="array" ref="G592">_xlfn.IFS(F592&lt;=8,"Child",F592&lt;=17,"Teen",F592&lt;=35,"Adult",F592&lt;=55,"Seniour Adult",F592&gt;=55,"Old Age")</f>
        <v>Adult</v>
      </c>
      <c r="H592" t="s">
        <v>10</v>
      </c>
      <c r="I592" t="s">
        <v>19</v>
      </c>
      <c r="J592" t="str" cm="1">
        <f t="array" ref="J592">_xlfn.IFS(I592="S","Southamptom",I592="Q","Quentown",I592="C","Cherbrug",I592="B","Cabin")</f>
        <v>Cherbrug</v>
      </c>
      <c r="K592" t="s">
        <v>15</v>
      </c>
      <c r="L592" s="2">
        <v>14.0901</v>
      </c>
      <c r="M592" s="2" t="str" cm="1">
        <f t="array" ref="M592">_xlfn.IFS(L592&lt;=15,"Low Fare",L592&lt;=35,"Medium Fare",L592&lt;=100,"High Fare",L592&gt;=100,"Very High Fare")</f>
        <v>Low Fare</v>
      </c>
      <c r="N592" s="2">
        <v>1</v>
      </c>
      <c r="O592" s="2">
        <v>0</v>
      </c>
      <c r="P592">
        <f t="shared" si="37"/>
        <v>2</v>
      </c>
      <c r="Q592" t="str">
        <f t="shared" si="38"/>
        <v>With Family</v>
      </c>
      <c r="R592" t="str">
        <f t="shared" si="39"/>
        <v>No</v>
      </c>
      <c r="S592" t="s">
        <v>13</v>
      </c>
    </row>
    <row r="593" spans="1:19" x14ac:dyDescent="0.3">
      <c r="A593" s="1" t="s">
        <v>460</v>
      </c>
      <c r="B593" t="s">
        <v>1600</v>
      </c>
      <c r="C593" t="s">
        <v>2134</v>
      </c>
      <c r="D593" t="str">
        <f t="shared" si="36"/>
        <v>Female</v>
      </c>
      <c r="E593" t="s">
        <v>14</v>
      </c>
      <c r="F593" s="2">
        <v>24</v>
      </c>
      <c r="G593" s="2" t="str" cm="1">
        <f t="array" ref="G593">_xlfn.IFS(F593&lt;=8,"Child",F593&lt;=17,"Teen",F593&lt;=35,"Adult",F593&lt;=55,"Seniour Adult",F593&gt;=55,"Old Age")</f>
        <v>Adult</v>
      </c>
      <c r="H593" t="s">
        <v>18</v>
      </c>
      <c r="I593" t="s">
        <v>11</v>
      </c>
      <c r="J593" t="str" cm="1">
        <f t="array" ref="J593">_xlfn.IFS(I593="S","Southamptom",I593="Q","Quentown",I593="C","Cherbrug",I593="B","Cabin")</f>
        <v>Southamptom</v>
      </c>
      <c r="K593" t="s">
        <v>15</v>
      </c>
      <c r="L593" s="2">
        <v>27</v>
      </c>
      <c r="M593" s="2" t="str" cm="1">
        <f t="array" ref="M593">_xlfn.IFS(L593&lt;=15,"Low Fare",L593&lt;=35,"Medium Fare",L593&lt;=100,"High Fare",L593&gt;=100,"Very High Fare")</f>
        <v>Medium Fare</v>
      </c>
      <c r="N593" s="2">
        <v>2</v>
      </c>
      <c r="O593" s="2">
        <v>1</v>
      </c>
      <c r="P593">
        <f t="shared" si="37"/>
        <v>4</v>
      </c>
      <c r="Q593" t="str">
        <f t="shared" si="38"/>
        <v>With Family</v>
      </c>
      <c r="R593" t="str">
        <f t="shared" si="39"/>
        <v>Yes</v>
      </c>
      <c r="S593" t="s">
        <v>16</v>
      </c>
    </row>
    <row r="594" spans="1:19" x14ac:dyDescent="0.3">
      <c r="A594" s="1" t="s">
        <v>460</v>
      </c>
      <c r="B594" t="s">
        <v>1596</v>
      </c>
      <c r="C594" t="s">
        <v>2135</v>
      </c>
      <c r="D594" t="str">
        <f t="shared" si="36"/>
        <v>Male</v>
      </c>
      <c r="E594" t="s">
        <v>9</v>
      </c>
      <c r="F594" s="2">
        <v>42</v>
      </c>
      <c r="G594" s="2" t="str" cm="1">
        <f t="array" ref="G594">_xlfn.IFS(F594&lt;=8,"Child",F594&lt;=17,"Teen",F594&lt;=35,"Adult",F594&lt;=55,"Seniour Adult",F594&gt;=55,"Old Age")</f>
        <v>Seniour Adult</v>
      </c>
      <c r="H594" t="s">
        <v>18</v>
      </c>
      <c r="I594" t="s">
        <v>11</v>
      </c>
      <c r="J594" t="str" cm="1">
        <f t="array" ref="J594">_xlfn.IFS(I594="S","Southamptom",I594="Q","Quentown",I594="C","Cherbrug",I594="B","Cabin")</f>
        <v>Southamptom</v>
      </c>
      <c r="K594" t="s">
        <v>41</v>
      </c>
      <c r="L594" s="2">
        <v>27</v>
      </c>
      <c r="M594" s="2" t="str" cm="1">
        <f t="array" ref="M594">_xlfn.IFS(L594&lt;=15,"Low Fare",L594&lt;=35,"Medium Fare",L594&lt;=100,"High Fare",L594&gt;=100,"Very High Fare")</f>
        <v>Medium Fare</v>
      </c>
      <c r="N594" s="2">
        <v>1</v>
      </c>
      <c r="O594" s="2">
        <v>0</v>
      </c>
      <c r="P594">
        <f t="shared" si="37"/>
        <v>2</v>
      </c>
      <c r="Q594" t="str">
        <f t="shared" si="38"/>
        <v>With Family</v>
      </c>
      <c r="R594" t="str">
        <f t="shared" si="39"/>
        <v>No</v>
      </c>
      <c r="S594" t="s">
        <v>13</v>
      </c>
    </row>
    <row r="595" spans="1:19" x14ac:dyDescent="0.3">
      <c r="A595" s="1" t="s">
        <v>461</v>
      </c>
      <c r="B595" t="s">
        <v>1596</v>
      </c>
      <c r="C595" t="s">
        <v>1864</v>
      </c>
      <c r="D595" t="str">
        <f t="shared" si="36"/>
        <v>Male</v>
      </c>
      <c r="E595" t="s">
        <v>9</v>
      </c>
      <c r="F595" s="2">
        <v>30</v>
      </c>
      <c r="G595" s="2" t="str" cm="1">
        <f t="array" ref="G595">_xlfn.IFS(F595&lt;=8,"Child",F595&lt;=17,"Teen",F595&lt;=35,"Adult",F595&lt;=55,"Seniour Adult",F595&gt;=55,"Old Age")</f>
        <v>Adult</v>
      </c>
      <c r="H595" t="s">
        <v>10</v>
      </c>
      <c r="I595" t="s">
        <v>19</v>
      </c>
      <c r="J595" t="str" cm="1">
        <f t="array" ref="J595">_xlfn.IFS(I595="S","Southamptom",I595="Q","Quentown",I595="C","Cherbrug",I595="B","Cabin")</f>
        <v>Cherbrug</v>
      </c>
      <c r="K595" t="s">
        <v>42</v>
      </c>
      <c r="L595" s="2">
        <v>7.1711</v>
      </c>
      <c r="M595" s="2" t="str" cm="1">
        <f t="array" ref="M595">_xlfn.IFS(L595&lt;=15,"Low Fare",L595&lt;=35,"Medium Fare",L595&lt;=100,"High Fare",L595&gt;=100,"Very High Fare")</f>
        <v>Low Fare</v>
      </c>
      <c r="N595" s="2">
        <v>0</v>
      </c>
      <c r="O595" s="2">
        <v>0</v>
      </c>
      <c r="P595">
        <f t="shared" si="37"/>
        <v>1</v>
      </c>
      <c r="Q595" t="str">
        <f t="shared" si="38"/>
        <v>Alone</v>
      </c>
      <c r="R595" t="str">
        <f t="shared" si="39"/>
        <v>Yes</v>
      </c>
      <c r="S595" t="s">
        <v>16</v>
      </c>
    </row>
    <row r="596" spans="1:19" x14ac:dyDescent="0.3">
      <c r="A596" s="1" t="s">
        <v>462</v>
      </c>
      <c r="B596" t="s">
        <v>1596</v>
      </c>
      <c r="C596" t="s">
        <v>2136</v>
      </c>
      <c r="D596" t="str">
        <f t="shared" si="36"/>
        <v>Male</v>
      </c>
      <c r="E596" t="s">
        <v>9</v>
      </c>
      <c r="F596" s="2">
        <v>21</v>
      </c>
      <c r="G596" s="2" t="str" cm="1">
        <f t="array" ref="G596">_xlfn.IFS(F596&lt;=8,"Child",F596&lt;=17,"Teen",F596&lt;=35,"Adult",F596&lt;=55,"Seniour Adult",F596&gt;=55,"Old Age")</f>
        <v>Adult</v>
      </c>
      <c r="H596" t="s">
        <v>10</v>
      </c>
      <c r="I596" t="s">
        <v>11</v>
      </c>
      <c r="J596" t="str" cm="1">
        <f t="array" ref="J596">_xlfn.IFS(I596="S","Southamptom",I596="Q","Quentown",I596="C","Cherbrug",I596="B","Cabin")</f>
        <v>Southamptom</v>
      </c>
      <c r="K596" t="s">
        <v>23</v>
      </c>
      <c r="L596" s="2">
        <v>7.1510999999999996</v>
      </c>
      <c r="M596" s="2" t="str" cm="1">
        <f t="array" ref="M596">_xlfn.IFS(L596&lt;=15,"Low Fare",L596&lt;=35,"Medium Fare",L596&lt;=100,"High Fare",L596&gt;=100,"Very High Fare")</f>
        <v>Low Fare</v>
      </c>
      <c r="N596" s="2">
        <v>0</v>
      </c>
      <c r="O596" s="2">
        <v>0</v>
      </c>
      <c r="P596">
        <f t="shared" si="37"/>
        <v>1</v>
      </c>
      <c r="Q596" t="str">
        <f t="shared" si="38"/>
        <v>Alone</v>
      </c>
      <c r="R596" t="str">
        <f t="shared" si="39"/>
        <v>Yes</v>
      </c>
      <c r="S596" t="s">
        <v>16</v>
      </c>
    </row>
    <row r="597" spans="1:19" x14ac:dyDescent="0.3">
      <c r="A597" s="1" t="s">
        <v>463</v>
      </c>
      <c r="B597" t="s">
        <v>1596</v>
      </c>
      <c r="C597" t="s">
        <v>2137</v>
      </c>
      <c r="D597" t="str">
        <f t="shared" si="36"/>
        <v>Male</v>
      </c>
      <c r="E597" t="s">
        <v>9</v>
      </c>
      <c r="F597" s="2">
        <v>21</v>
      </c>
      <c r="G597" s="2" t="str" cm="1">
        <f t="array" ref="G597">_xlfn.IFS(F597&lt;=8,"Child",F597&lt;=17,"Teen",F597&lt;=35,"Adult",F597&lt;=55,"Seniour Adult",F597&gt;=55,"Old Age")</f>
        <v>Adult</v>
      </c>
      <c r="H597" t="s">
        <v>10</v>
      </c>
      <c r="I597" t="s">
        <v>11</v>
      </c>
      <c r="J597" t="str" cm="1">
        <f t="array" ref="J597">_xlfn.IFS(I597="S","Southamptom",I597="Q","Quentown",I597="C","Cherbrug",I597="B","Cabin")</f>
        <v>Southamptom</v>
      </c>
      <c r="K597" t="s">
        <v>15</v>
      </c>
      <c r="L597" s="2">
        <v>7.01</v>
      </c>
      <c r="M597" s="2" t="str" cm="1">
        <f t="array" ref="M597">_xlfn.IFS(L597&lt;=15,"Low Fare",L597&lt;=35,"Medium Fare",L597&lt;=100,"High Fare",L597&gt;=100,"Very High Fare")</f>
        <v>Low Fare</v>
      </c>
      <c r="N597" s="2">
        <v>0</v>
      </c>
      <c r="O597" s="2">
        <v>0</v>
      </c>
      <c r="P597">
        <f t="shared" si="37"/>
        <v>1</v>
      </c>
      <c r="Q597" t="str">
        <f t="shared" si="38"/>
        <v>Alone</v>
      </c>
      <c r="R597" t="str">
        <f t="shared" si="39"/>
        <v>No</v>
      </c>
      <c r="S597" t="s">
        <v>13</v>
      </c>
    </row>
    <row r="598" spans="1:19" x14ac:dyDescent="0.3">
      <c r="A598" s="1" t="s">
        <v>464</v>
      </c>
      <c r="B598" t="s">
        <v>1596</v>
      </c>
      <c r="C598" t="s">
        <v>2138</v>
      </c>
      <c r="D598" t="str">
        <f t="shared" si="36"/>
        <v>Male</v>
      </c>
      <c r="E598" t="s">
        <v>9</v>
      </c>
      <c r="F598" s="2">
        <v>46</v>
      </c>
      <c r="G598" s="2" t="str" cm="1">
        <f t="array" ref="G598">_xlfn.IFS(F598&lt;=8,"Child",F598&lt;=17,"Teen",F598&lt;=35,"Adult",F598&lt;=55,"Seniour Adult",F598&gt;=55,"Old Age")</f>
        <v>Seniour Adult</v>
      </c>
      <c r="H598" t="s">
        <v>18</v>
      </c>
      <c r="I598" t="s">
        <v>11</v>
      </c>
      <c r="J598" t="str" cm="1">
        <f t="array" ref="J598">_xlfn.IFS(I598="S","Southamptom",I598="Q","Quentown",I598="C","Cherbrug",I598="B","Cabin")</f>
        <v>Southamptom</v>
      </c>
      <c r="K598" t="s">
        <v>40</v>
      </c>
      <c r="L598" s="2">
        <v>15</v>
      </c>
      <c r="M598" s="2" t="str" cm="1">
        <f t="array" ref="M598">_xlfn.IFS(L598&lt;=15,"Low Fare",L598&lt;=35,"Medium Fare",L598&lt;=100,"High Fare",L598&gt;=100,"Very High Fare")</f>
        <v>Low Fare</v>
      </c>
      <c r="N598" s="2">
        <v>0</v>
      </c>
      <c r="O598" s="2">
        <v>0</v>
      </c>
      <c r="P598">
        <f t="shared" si="37"/>
        <v>1</v>
      </c>
      <c r="Q598" t="str">
        <f t="shared" si="38"/>
        <v>Alone</v>
      </c>
      <c r="R598" t="str">
        <f t="shared" si="39"/>
        <v>No</v>
      </c>
      <c r="S598" t="s">
        <v>13</v>
      </c>
    </row>
    <row r="599" spans="1:19" x14ac:dyDescent="0.3">
      <c r="A599" s="1" t="s">
        <v>465</v>
      </c>
      <c r="B599" t="s">
        <v>1596</v>
      </c>
      <c r="C599" t="s">
        <v>2139</v>
      </c>
      <c r="D599" t="str">
        <f t="shared" si="36"/>
        <v>Male</v>
      </c>
      <c r="E599" t="s">
        <v>9</v>
      </c>
      <c r="F599" s="2">
        <v>24</v>
      </c>
      <c r="G599" s="2" t="str" cm="1">
        <f t="array" ref="G599">_xlfn.IFS(F599&lt;=8,"Child",F599&lt;=17,"Teen",F599&lt;=35,"Adult",F599&lt;=55,"Seniour Adult",F599&gt;=55,"Old Age")</f>
        <v>Adult</v>
      </c>
      <c r="H599" t="s">
        <v>18</v>
      </c>
      <c r="I599" t="s">
        <v>11</v>
      </c>
      <c r="J599" t="str" cm="1">
        <f t="array" ref="J599">_xlfn.IFS(I599="S","Southamptom",I599="Q","Quentown",I599="C","Cherbrug",I599="B","Cabin")</f>
        <v>Southamptom</v>
      </c>
      <c r="K599" t="s">
        <v>15</v>
      </c>
      <c r="L599" s="2">
        <v>31.1</v>
      </c>
      <c r="M599" s="2" t="str" cm="1">
        <f t="array" ref="M599">_xlfn.IFS(L599&lt;=15,"Low Fare",L599&lt;=35,"Medium Fare",L599&lt;=100,"High Fare",L599&gt;=100,"Very High Fare")</f>
        <v>Medium Fare</v>
      </c>
      <c r="N599" s="2">
        <v>2</v>
      </c>
      <c r="O599" s="2">
        <v>0</v>
      </c>
      <c r="P599">
        <f t="shared" si="37"/>
        <v>3</v>
      </c>
      <c r="Q599" t="str">
        <f t="shared" si="38"/>
        <v>With Family</v>
      </c>
      <c r="R599" t="str">
        <f t="shared" si="39"/>
        <v>No</v>
      </c>
      <c r="S599" t="s">
        <v>13</v>
      </c>
    </row>
    <row r="600" spans="1:19" x14ac:dyDescent="0.3">
      <c r="A600" s="1" t="s">
        <v>465</v>
      </c>
      <c r="B600" t="s">
        <v>1596</v>
      </c>
      <c r="C600" t="s">
        <v>2140</v>
      </c>
      <c r="D600" t="str">
        <f t="shared" si="36"/>
        <v>Male</v>
      </c>
      <c r="E600" t="s">
        <v>9</v>
      </c>
      <c r="F600" s="2">
        <v>21</v>
      </c>
      <c r="G600" s="2" t="str" cm="1">
        <f t="array" ref="G600">_xlfn.IFS(F600&lt;=8,"Child",F600&lt;=17,"Teen",F600&lt;=35,"Adult",F600&lt;=55,"Seniour Adult",F600&gt;=55,"Old Age")</f>
        <v>Adult</v>
      </c>
      <c r="H600" t="s">
        <v>18</v>
      </c>
      <c r="I600" t="s">
        <v>11</v>
      </c>
      <c r="J600" t="str" cm="1">
        <f t="array" ref="J600">_xlfn.IFS(I600="S","Southamptom",I600="Q","Quentown",I600="C","Cherbrug",I600="B","Cabin")</f>
        <v>Southamptom</v>
      </c>
      <c r="K600" t="s">
        <v>15</v>
      </c>
      <c r="L600" s="2">
        <v>31.1</v>
      </c>
      <c r="M600" s="2" t="str" cm="1">
        <f t="array" ref="M600">_xlfn.IFS(L600&lt;=15,"Low Fare",L600&lt;=35,"Medium Fare",L600&lt;=100,"High Fare",L600&gt;=100,"Very High Fare")</f>
        <v>Medium Fare</v>
      </c>
      <c r="N600" s="2">
        <v>2</v>
      </c>
      <c r="O600" s="2">
        <v>0</v>
      </c>
      <c r="P600">
        <f t="shared" si="37"/>
        <v>3</v>
      </c>
      <c r="Q600" t="str">
        <f t="shared" si="38"/>
        <v>With Family</v>
      </c>
      <c r="R600" t="str">
        <f t="shared" si="39"/>
        <v>No</v>
      </c>
      <c r="S600" t="s">
        <v>13</v>
      </c>
    </row>
    <row r="601" spans="1:19" x14ac:dyDescent="0.3">
      <c r="A601" s="1" t="s">
        <v>466</v>
      </c>
      <c r="B601" t="s">
        <v>1596</v>
      </c>
      <c r="C601" t="s">
        <v>2141</v>
      </c>
      <c r="D601" t="str">
        <f t="shared" si="36"/>
        <v>Male</v>
      </c>
      <c r="E601" t="s">
        <v>9</v>
      </c>
      <c r="F601" s="2">
        <v>32</v>
      </c>
      <c r="G601" s="2" t="str" cm="1">
        <f t="array" ref="G601">_xlfn.IFS(F601&lt;=8,"Child",F601&lt;=17,"Teen",F601&lt;=35,"Adult",F601&lt;=55,"Seniour Adult",F601&gt;=55,"Old Age")</f>
        <v>Adult</v>
      </c>
      <c r="H601" t="s">
        <v>18</v>
      </c>
      <c r="I601" t="s">
        <v>11</v>
      </c>
      <c r="J601" t="str" cm="1">
        <f t="array" ref="J601">_xlfn.IFS(I601="S","Southamptom",I601="Q","Quentown",I601="C","Cherbrug",I601="B","Cabin")</f>
        <v>Southamptom</v>
      </c>
      <c r="K601" t="s">
        <v>15</v>
      </c>
      <c r="L601" s="2">
        <v>10.1</v>
      </c>
      <c r="M601" s="2" t="str" cm="1">
        <f t="array" ref="M601">_xlfn.IFS(L601&lt;=15,"Low Fare",L601&lt;=35,"Medium Fare",L601&lt;=100,"High Fare",L601&gt;=100,"Very High Fare")</f>
        <v>Low Fare</v>
      </c>
      <c r="N601" s="2">
        <v>0</v>
      </c>
      <c r="O601" s="2">
        <v>0</v>
      </c>
      <c r="P601">
        <f t="shared" si="37"/>
        <v>1</v>
      </c>
      <c r="Q601" t="str">
        <f t="shared" si="38"/>
        <v>Alone</v>
      </c>
      <c r="R601" t="str">
        <f t="shared" si="39"/>
        <v>No</v>
      </c>
      <c r="S601" t="s">
        <v>13</v>
      </c>
    </row>
    <row r="602" spans="1:19" x14ac:dyDescent="0.3">
      <c r="A602" s="1" t="s">
        <v>467</v>
      </c>
      <c r="B602" t="s">
        <v>1596</v>
      </c>
      <c r="C602" t="s">
        <v>2142</v>
      </c>
      <c r="D602" t="str">
        <f t="shared" si="36"/>
        <v>Male</v>
      </c>
      <c r="E602" t="s">
        <v>9</v>
      </c>
      <c r="F602" s="2">
        <v>20</v>
      </c>
      <c r="G602" s="2" t="str" cm="1">
        <f t="array" ref="G602">_xlfn.IFS(F602&lt;=8,"Child",F602&lt;=17,"Teen",F602&lt;=35,"Adult",F602&lt;=55,"Seniour Adult",F602&gt;=55,"Old Age")</f>
        <v>Adult</v>
      </c>
      <c r="H602" t="s">
        <v>10</v>
      </c>
      <c r="I602" t="s">
        <v>11</v>
      </c>
      <c r="J602" t="str" cm="1">
        <f t="array" ref="J602">_xlfn.IFS(I602="S","Southamptom",I602="Q","Quentown",I602="C","Cherbrug",I602="B","Cabin")</f>
        <v>Southamptom</v>
      </c>
      <c r="K602" t="s">
        <v>27</v>
      </c>
      <c r="L602" s="2">
        <v>7.1700999999999997</v>
      </c>
      <c r="M602" s="2" t="str" cm="1">
        <f t="array" ref="M602">_xlfn.IFS(L602&lt;=15,"Low Fare",L602&lt;=35,"Medium Fare",L602&lt;=100,"High Fare",L602&gt;=100,"Very High Fare")</f>
        <v>Low Fare</v>
      </c>
      <c r="N602" s="2">
        <v>0</v>
      </c>
      <c r="O602" s="2">
        <v>0</v>
      </c>
      <c r="P602">
        <f t="shared" si="37"/>
        <v>1</v>
      </c>
      <c r="Q602" t="str">
        <f t="shared" si="38"/>
        <v>Alone</v>
      </c>
      <c r="R602" t="str">
        <f t="shared" si="39"/>
        <v>No</v>
      </c>
      <c r="S602" t="s">
        <v>13</v>
      </c>
    </row>
    <row r="603" spans="1:19" x14ac:dyDescent="0.3">
      <c r="A603" s="1" t="s">
        <v>467</v>
      </c>
      <c r="B603" t="s">
        <v>1596</v>
      </c>
      <c r="C603" t="s">
        <v>2143</v>
      </c>
      <c r="D603" t="str">
        <f t="shared" si="36"/>
        <v>Male</v>
      </c>
      <c r="E603" t="s">
        <v>9</v>
      </c>
      <c r="F603" s="2">
        <v>48</v>
      </c>
      <c r="G603" s="2" t="str" cm="1">
        <f t="array" ref="G603">_xlfn.IFS(F603&lt;=8,"Child",F603&lt;=17,"Teen",F603&lt;=35,"Adult",F603&lt;=55,"Seniour Adult",F603&gt;=55,"Old Age")</f>
        <v>Seniour Adult</v>
      </c>
      <c r="H603" t="s">
        <v>10</v>
      </c>
      <c r="I603" t="s">
        <v>11</v>
      </c>
      <c r="J603" t="str" cm="1">
        <f t="array" ref="J603">_xlfn.IFS(I603="S","Southamptom",I603="Q","Quentown",I603="C","Cherbrug",I603="B","Cabin")</f>
        <v>Southamptom</v>
      </c>
      <c r="K603" t="s">
        <v>27</v>
      </c>
      <c r="L603" s="2">
        <v>7.0101000000000004</v>
      </c>
      <c r="M603" s="2" t="str" cm="1">
        <f t="array" ref="M603">_xlfn.IFS(L603&lt;=15,"Low Fare",L603&lt;=35,"Medium Fare",L603&lt;=100,"High Fare",L603&gt;=100,"Very High Fare")</f>
        <v>Low Fare</v>
      </c>
      <c r="N603" s="2">
        <v>0</v>
      </c>
      <c r="O603" s="2">
        <v>0</v>
      </c>
      <c r="P603">
        <f t="shared" si="37"/>
        <v>1</v>
      </c>
      <c r="Q603" t="str">
        <f t="shared" si="38"/>
        <v>Alone</v>
      </c>
      <c r="R603" t="str">
        <f t="shared" si="39"/>
        <v>No</v>
      </c>
      <c r="S603" t="s">
        <v>13</v>
      </c>
    </row>
    <row r="604" spans="1:19" x14ac:dyDescent="0.3">
      <c r="A604" s="1" t="s">
        <v>467</v>
      </c>
      <c r="B604" t="s">
        <v>1596</v>
      </c>
      <c r="C604" t="s">
        <v>2144</v>
      </c>
      <c r="D604" t="str">
        <f t="shared" si="36"/>
        <v>Male</v>
      </c>
      <c r="E604" t="s">
        <v>9</v>
      </c>
      <c r="F604" s="2">
        <v>17</v>
      </c>
      <c r="G604" s="2" t="str" cm="1">
        <f t="array" ref="G604">_xlfn.IFS(F604&lt;=8,"Child",F604&lt;=17,"Teen",F604&lt;=35,"Adult",F604&lt;=55,"Seniour Adult",F604&gt;=55,"Old Age")</f>
        <v>Teen</v>
      </c>
      <c r="H604" t="s">
        <v>10</v>
      </c>
      <c r="I604" t="s">
        <v>11</v>
      </c>
      <c r="J604" t="str" cm="1">
        <f t="array" ref="J604">_xlfn.IFS(I604="S","Southamptom",I604="Q","Quentown",I604="C","Cherbrug",I604="B","Cabin")</f>
        <v>Southamptom</v>
      </c>
      <c r="K604" t="s">
        <v>27</v>
      </c>
      <c r="L604" s="2">
        <v>7.1700999999999997</v>
      </c>
      <c r="M604" s="2" t="str" cm="1">
        <f t="array" ref="M604">_xlfn.IFS(L604&lt;=15,"Low Fare",L604&lt;=35,"Medium Fare",L604&lt;=100,"High Fare",L604&gt;=100,"Very High Fare")</f>
        <v>Low Fare</v>
      </c>
      <c r="N604" s="2">
        <v>1</v>
      </c>
      <c r="O604" s="2">
        <v>0</v>
      </c>
      <c r="P604">
        <f t="shared" si="37"/>
        <v>2</v>
      </c>
      <c r="Q604" t="str">
        <f t="shared" si="38"/>
        <v>With Family</v>
      </c>
      <c r="R604" t="str">
        <f t="shared" si="39"/>
        <v>No</v>
      </c>
      <c r="S604" t="s">
        <v>13</v>
      </c>
    </row>
    <row r="605" spans="1:19" x14ac:dyDescent="0.3">
      <c r="A605" s="1" t="s">
        <v>468</v>
      </c>
      <c r="B605" t="s">
        <v>1602</v>
      </c>
      <c r="C605" t="s">
        <v>2145</v>
      </c>
      <c r="D605" t="str">
        <f t="shared" si="36"/>
        <v>Female</v>
      </c>
      <c r="E605" t="s">
        <v>14</v>
      </c>
      <c r="F605" s="2">
        <v>26</v>
      </c>
      <c r="G605" s="2" t="str" cm="1">
        <f t="array" ref="G605">_xlfn.IFS(F605&lt;=8,"Child",F605&lt;=17,"Teen",F605&lt;=35,"Adult",F605&lt;=55,"Seniour Adult",F605&gt;=55,"Old Age")</f>
        <v>Adult</v>
      </c>
      <c r="H605" t="s">
        <v>10</v>
      </c>
      <c r="I605" t="s">
        <v>36</v>
      </c>
      <c r="J605" t="str" cm="1">
        <f t="array" ref="J605">_xlfn.IFS(I605="S","Southamptom",I605="Q","Quentown",I605="C","Cherbrug",I605="B","Cabin")</f>
        <v>Quentown</v>
      </c>
      <c r="K605" t="s">
        <v>37</v>
      </c>
      <c r="L605" s="2">
        <v>7.15</v>
      </c>
      <c r="M605" s="2" t="str" cm="1">
        <f t="array" ref="M605">_xlfn.IFS(L605&lt;=15,"Low Fare",L605&lt;=35,"Medium Fare",L605&lt;=100,"High Fare",L605&gt;=100,"Very High Fare")</f>
        <v>Low Fare</v>
      </c>
      <c r="N605" s="2">
        <v>0</v>
      </c>
      <c r="O605" s="2">
        <v>0</v>
      </c>
      <c r="P605">
        <f t="shared" si="37"/>
        <v>1</v>
      </c>
      <c r="Q605" t="str">
        <f t="shared" si="38"/>
        <v>Alone</v>
      </c>
      <c r="R605" t="str">
        <f t="shared" si="39"/>
        <v>Yes</v>
      </c>
      <c r="S605" t="s">
        <v>16</v>
      </c>
    </row>
    <row r="606" spans="1:19" x14ac:dyDescent="0.3">
      <c r="A606" s="1" t="s">
        <v>469</v>
      </c>
      <c r="B606" t="s">
        <v>1600</v>
      </c>
      <c r="C606" t="s">
        <v>2146</v>
      </c>
      <c r="D606" t="str">
        <f t="shared" si="36"/>
        <v>Female</v>
      </c>
      <c r="E606" t="s">
        <v>14</v>
      </c>
      <c r="F606" s="2">
        <v>23</v>
      </c>
      <c r="G606" s="2" t="str" cm="1">
        <f t="array" ref="G606">_xlfn.IFS(F606&lt;=8,"Child",F606&lt;=17,"Teen",F606&lt;=35,"Adult",F606&lt;=55,"Seniour Adult",F606&gt;=55,"Old Age")</f>
        <v>Adult</v>
      </c>
      <c r="H606" t="s">
        <v>18</v>
      </c>
      <c r="I606" t="s">
        <v>19</v>
      </c>
      <c r="J606" t="str" cm="1">
        <f t="array" ref="J606">_xlfn.IFS(I606="S","Southamptom",I606="Q","Quentown",I606="C","Cherbrug",I606="B","Cabin")</f>
        <v>Cherbrug</v>
      </c>
      <c r="K606" t="s">
        <v>12</v>
      </c>
      <c r="L606" s="2">
        <v>13.151</v>
      </c>
      <c r="M606" s="2" t="str" cm="1">
        <f t="array" ref="M606">_xlfn.IFS(L606&lt;=15,"Low Fare",L606&lt;=35,"Medium Fare",L606&lt;=100,"High Fare",L606&gt;=100,"Very High Fare")</f>
        <v>Low Fare</v>
      </c>
      <c r="N606" s="2">
        <v>0</v>
      </c>
      <c r="O606" s="2">
        <v>0</v>
      </c>
      <c r="P606">
        <f t="shared" si="37"/>
        <v>1</v>
      </c>
      <c r="Q606" t="str">
        <f t="shared" si="38"/>
        <v>Alone</v>
      </c>
      <c r="R606" t="str">
        <f t="shared" si="39"/>
        <v>Yes</v>
      </c>
      <c r="S606" t="s">
        <v>16</v>
      </c>
    </row>
    <row r="607" spans="1:19" x14ac:dyDescent="0.3">
      <c r="A607" s="1" t="s">
        <v>470</v>
      </c>
      <c r="B607" t="s">
        <v>1596</v>
      </c>
      <c r="C607" t="s">
        <v>2147</v>
      </c>
      <c r="D607" t="str">
        <f t="shared" si="36"/>
        <v>Male</v>
      </c>
      <c r="E607" t="s">
        <v>9</v>
      </c>
      <c r="F607" s="2">
        <v>29</v>
      </c>
      <c r="G607" s="2" t="str" cm="1">
        <f t="array" ref="G607">_xlfn.IFS(F607&lt;=8,"Child",F607&lt;=17,"Teen",F607&lt;=35,"Adult",F607&lt;=55,"Seniour Adult",F607&gt;=55,"Old Age")</f>
        <v>Adult</v>
      </c>
      <c r="H607" t="s">
        <v>10</v>
      </c>
      <c r="I607" t="s">
        <v>11</v>
      </c>
      <c r="J607" t="str" cm="1">
        <f t="array" ref="J607">_xlfn.IFS(I607="S","Southamptom",I607="Q","Quentown",I607="C","Cherbrug",I607="B","Cabin")</f>
        <v>Southamptom</v>
      </c>
      <c r="K607" t="s">
        <v>17</v>
      </c>
      <c r="L607" s="2">
        <v>8.0203000000000007</v>
      </c>
      <c r="M607" s="2" t="str" cm="1">
        <f t="array" ref="M607">_xlfn.IFS(L607&lt;=15,"Low Fare",L607&lt;=35,"Medium Fare",L607&lt;=100,"High Fare",L607&gt;=100,"Very High Fare")</f>
        <v>Low Fare</v>
      </c>
      <c r="N607" s="2">
        <v>0</v>
      </c>
      <c r="O607" s="2">
        <v>0</v>
      </c>
      <c r="P607">
        <f t="shared" si="37"/>
        <v>1</v>
      </c>
      <c r="Q607" t="str">
        <f t="shared" si="38"/>
        <v>Alone</v>
      </c>
      <c r="R607" t="str">
        <f t="shared" si="39"/>
        <v>Yes</v>
      </c>
      <c r="S607" t="s">
        <v>16</v>
      </c>
    </row>
    <row r="608" spans="1:19" x14ac:dyDescent="0.3">
      <c r="A608" s="1" t="s">
        <v>471</v>
      </c>
      <c r="B608" t="s">
        <v>1596</v>
      </c>
      <c r="C608" t="s">
        <v>2148</v>
      </c>
      <c r="D608" t="str">
        <f t="shared" si="36"/>
        <v>Male</v>
      </c>
      <c r="E608" t="s">
        <v>9</v>
      </c>
      <c r="F608" s="2">
        <v>34</v>
      </c>
      <c r="G608" s="2" t="str" cm="1">
        <f t="array" ref="G608">_xlfn.IFS(F608&lt;=8,"Child",F608&lt;=17,"Teen",F608&lt;=35,"Adult",F608&lt;=55,"Seniour Adult",F608&gt;=55,"Old Age")</f>
        <v>Adult</v>
      </c>
      <c r="H608" t="s">
        <v>10</v>
      </c>
      <c r="I608" t="s">
        <v>11</v>
      </c>
      <c r="J608" t="str" cm="1">
        <f t="array" ref="J608">_xlfn.IFS(I608="S","Southamptom",I608="Q","Quentown",I608="C","Cherbrug",I608="B","Cabin")</f>
        <v>Southamptom</v>
      </c>
      <c r="K608" t="s">
        <v>22</v>
      </c>
      <c r="L608" s="2">
        <v>6.0911</v>
      </c>
      <c r="M608" s="2" t="str" cm="1">
        <f t="array" ref="M608">_xlfn.IFS(L608&lt;=15,"Low Fare",L608&lt;=35,"Medium Fare",L608&lt;=100,"High Fare",L608&gt;=100,"Very High Fare")</f>
        <v>Low Fare</v>
      </c>
      <c r="N608" s="2">
        <v>0</v>
      </c>
      <c r="O608" s="2">
        <v>0</v>
      </c>
      <c r="P608">
        <f t="shared" si="37"/>
        <v>1</v>
      </c>
      <c r="Q608" t="str">
        <f t="shared" si="38"/>
        <v>Alone</v>
      </c>
      <c r="R608" t="str">
        <f t="shared" si="39"/>
        <v>No</v>
      </c>
      <c r="S608" t="s">
        <v>13</v>
      </c>
    </row>
    <row r="609" spans="1:19" x14ac:dyDescent="0.3">
      <c r="A609" s="1" t="s">
        <v>472</v>
      </c>
      <c r="B609" t="s">
        <v>1596</v>
      </c>
      <c r="C609" t="s">
        <v>2149</v>
      </c>
      <c r="D609" t="str">
        <f t="shared" si="36"/>
        <v>Male</v>
      </c>
      <c r="E609" t="s">
        <v>9</v>
      </c>
      <c r="F609" s="2">
        <v>22</v>
      </c>
      <c r="G609" s="2" t="str" cm="1">
        <f t="array" ref="G609">_xlfn.IFS(F609&lt;=8,"Child",F609&lt;=17,"Teen",F609&lt;=35,"Adult",F609&lt;=55,"Seniour Adult",F609&gt;=55,"Old Age")</f>
        <v>Adult</v>
      </c>
      <c r="H609" t="s">
        <v>10</v>
      </c>
      <c r="I609" t="s">
        <v>11</v>
      </c>
      <c r="J609" t="str" cm="1">
        <f t="array" ref="J609">_xlfn.IFS(I609="S","Southamptom",I609="Q","Quentown",I609="C","Cherbrug",I609="B","Cabin")</f>
        <v>Southamptom</v>
      </c>
      <c r="K609" t="s">
        <v>23</v>
      </c>
      <c r="L609" s="2">
        <v>7.1510999999999996</v>
      </c>
      <c r="M609" s="2" t="str" cm="1">
        <f t="array" ref="M609">_xlfn.IFS(L609&lt;=15,"Low Fare",L609&lt;=35,"Medium Fare",L609&lt;=100,"High Fare",L609&gt;=100,"Very High Fare")</f>
        <v>Low Fare</v>
      </c>
      <c r="N609" s="2">
        <v>0</v>
      </c>
      <c r="O609" s="2">
        <v>0</v>
      </c>
      <c r="P609">
        <f t="shared" si="37"/>
        <v>1</v>
      </c>
      <c r="Q609" t="str">
        <f t="shared" si="38"/>
        <v>Alone</v>
      </c>
      <c r="R609" t="str">
        <f t="shared" si="39"/>
        <v>No</v>
      </c>
      <c r="S609" t="s">
        <v>13</v>
      </c>
    </row>
    <row r="610" spans="1:19" x14ac:dyDescent="0.3">
      <c r="A610" s="1" t="s">
        <v>472</v>
      </c>
      <c r="B610" t="s">
        <v>1596</v>
      </c>
      <c r="C610" t="s">
        <v>2150</v>
      </c>
      <c r="D610" t="str">
        <f t="shared" si="36"/>
        <v>Male</v>
      </c>
      <c r="E610" t="s">
        <v>9</v>
      </c>
      <c r="F610" s="2">
        <v>33</v>
      </c>
      <c r="G610" s="2" t="str" cm="1">
        <f t="array" ref="G610">_xlfn.IFS(F610&lt;=8,"Child",F610&lt;=17,"Teen",F610&lt;=35,"Adult",F610&lt;=55,"Seniour Adult",F610&gt;=55,"Old Age")</f>
        <v>Adult</v>
      </c>
      <c r="H610" t="s">
        <v>10</v>
      </c>
      <c r="I610" t="s">
        <v>11</v>
      </c>
      <c r="J610" t="str" cm="1">
        <f t="array" ref="J610">_xlfn.IFS(I610="S","Southamptom",I610="Q","Quentown",I610="C","Cherbrug",I610="B","Cabin")</f>
        <v>Southamptom</v>
      </c>
      <c r="K610" t="s">
        <v>23</v>
      </c>
      <c r="L610" s="2">
        <v>8.1301000000000005</v>
      </c>
      <c r="M610" s="2" t="str" cm="1">
        <f t="array" ref="M610">_xlfn.IFS(L610&lt;=15,"Low Fare",L610&lt;=35,"Medium Fare",L610&lt;=100,"High Fare",L610&gt;=100,"Very High Fare")</f>
        <v>Low Fare</v>
      </c>
      <c r="N610" s="2">
        <v>0</v>
      </c>
      <c r="O610" s="2">
        <v>0</v>
      </c>
      <c r="P610">
        <f t="shared" si="37"/>
        <v>1</v>
      </c>
      <c r="Q610" t="str">
        <f t="shared" si="38"/>
        <v>Alone</v>
      </c>
      <c r="R610" t="str">
        <f t="shared" si="39"/>
        <v>No</v>
      </c>
      <c r="S610" t="s">
        <v>13</v>
      </c>
    </row>
    <row r="611" spans="1:19" x14ac:dyDescent="0.3">
      <c r="A611" s="1" t="s">
        <v>472</v>
      </c>
      <c r="B611" t="s">
        <v>1596</v>
      </c>
      <c r="C611" t="s">
        <v>2151</v>
      </c>
      <c r="D611" t="str">
        <f t="shared" si="36"/>
        <v>Male</v>
      </c>
      <c r="E611" t="s">
        <v>9</v>
      </c>
      <c r="F611" s="2">
        <v>31</v>
      </c>
      <c r="G611" s="2" t="str" cm="1">
        <f t="array" ref="G611">_xlfn.IFS(F611&lt;=8,"Child",F611&lt;=17,"Teen",F611&lt;=35,"Adult",F611&lt;=55,"Seniour Adult",F611&gt;=55,"Old Age")</f>
        <v>Adult</v>
      </c>
      <c r="H611" t="s">
        <v>10</v>
      </c>
      <c r="I611" t="s">
        <v>11</v>
      </c>
      <c r="J611" t="str" cm="1">
        <f t="array" ref="J611">_xlfn.IFS(I611="S","Southamptom",I611="Q","Quentown",I611="C","Cherbrug",I611="B","Cabin")</f>
        <v>Southamptom</v>
      </c>
      <c r="K611" t="s">
        <v>12</v>
      </c>
      <c r="L611" s="2">
        <v>7.1505999999999998</v>
      </c>
      <c r="M611" s="2" t="str" cm="1">
        <f t="array" ref="M611">_xlfn.IFS(L611&lt;=15,"Low Fare",L611&lt;=35,"Medium Fare",L611&lt;=100,"High Fare",L611&gt;=100,"Very High Fare")</f>
        <v>Low Fare</v>
      </c>
      <c r="N611" s="2">
        <v>0</v>
      </c>
      <c r="O611" s="2">
        <v>0</v>
      </c>
      <c r="P611">
        <f t="shared" si="37"/>
        <v>1</v>
      </c>
      <c r="Q611" t="str">
        <f t="shared" si="38"/>
        <v>Alone</v>
      </c>
      <c r="R611" t="str">
        <f t="shared" si="39"/>
        <v>No</v>
      </c>
      <c r="S611" t="s">
        <v>13</v>
      </c>
    </row>
    <row r="612" spans="1:19" x14ac:dyDescent="0.3">
      <c r="A612" s="1" t="s">
        <v>472</v>
      </c>
      <c r="B612" t="s">
        <v>1596</v>
      </c>
      <c r="C612" t="s">
        <v>2152</v>
      </c>
      <c r="D612" t="str">
        <f t="shared" si="36"/>
        <v>Male</v>
      </c>
      <c r="E612" t="s">
        <v>9</v>
      </c>
      <c r="F612" s="2">
        <v>29</v>
      </c>
      <c r="G612" s="2" t="str" cm="1">
        <f t="array" ref="G612">_xlfn.IFS(F612&lt;=8,"Child",F612&lt;=17,"Teen",F612&lt;=35,"Adult",F612&lt;=55,"Seniour Adult",F612&gt;=55,"Old Age")</f>
        <v>Adult</v>
      </c>
      <c r="H612" t="s">
        <v>10</v>
      </c>
      <c r="I612" t="s">
        <v>11</v>
      </c>
      <c r="J612" t="str" cm="1">
        <f t="array" ref="J612">_xlfn.IFS(I612="S","Southamptom",I612="Q","Quentown",I612="C","Cherbrug",I612="B","Cabin")</f>
        <v>Southamptom</v>
      </c>
      <c r="K612" t="s">
        <v>12</v>
      </c>
      <c r="L612" s="2">
        <v>7.1700999999999997</v>
      </c>
      <c r="M612" s="2" t="str" cm="1">
        <f t="array" ref="M612">_xlfn.IFS(L612&lt;=15,"Low Fare",L612&lt;=35,"Medium Fare",L612&lt;=100,"High Fare",L612&gt;=100,"Very High Fare")</f>
        <v>Low Fare</v>
      </c>
      <c r="N612" s="2">
        <v>0</v>
      </c>
      <c r="O612" s="2">
        <v>0</v>
      </c>
      <c r="P612">
        <f t="shared" si="37"/>
        <v>1</v>
      </c>
      <c r="Q612" t="str">
        <f t="shared" si="38"/>
        <v>Alone</v>
      </c>
      <c r="R612" t="str">
        <f t="shared" si="39"/>
        <v>No</v>
      </c>
      <c r="S612" t="s">
        <v>13</v>
      </c>
    </row>
    <row r="613" spans="1:19" x14ac:dyDescent="0.3">
      <c r="A613" s="1" t="s">
        <v>473</v>
      </c>
      <c r="B613" t="s">
        <v>1596</v>
      </c>
      <c r="C613" t="s">
        <v>2153</v>
      </c>
      <c r="D613" t="str">
        <f t="shared" si="36"/>
        <v>Male</v>
      </c>
      <c r="E613" t="s">
        <v>9</v>
      </c>
      <c r="F613" s="2">
        <v>26</v>
      </c>
      <c r="G613" s="2" t="str" cm="1">
        <f t="array" ref="G613">_xlfn.IFS(F613&lt;=8,"Child",F613&lt;=17,"Teen",F613&lt;=35,"Adult",F613&lt;=55,"Seniour Adult",F613&gt;=55,"Old Age")</f>
        <v>Adult</v>
      </c>
      <c r="H613" t="s">
        <v>10</v>
      </c>
      <c r="I613" t="s">
        <v>11</v>
      </c>
      <c r="J613" t="str" cm="1">
        <f t="array" ref="J613">_xlfn.IFS(I613="S","Southamptom",I613="Q","Quentown",I613="C","Cherbrug",I613="B","Cabin")</f>
        <v>Southamptom</v>
      </c>
      <c r="K613" t="s">
        <v>23</v>
      </c>
      <c r="L613" s="2">
        <v>7.1505999999999998</v>
      </c>
      <c r="M613" s="2" t="str" cm="1">
        <f t="array" ref="M613">_xlfn.IFS(L613&lt;=15,"Low Fare",L613&lt;=35,"Medium Fare",L613&lt;=100,"High Fare",L613&gt;=100,"Very High Fare")</f>
        <v>Low Fare</v>
      </c>
      <c r="N613" s="2">
        <v>0</v>
      </c>
      <c r="O613" s="2">
        <v>0</v>
      </c>
      <c r="P613">
        <f t="shared" si="37"/>
        <v>1</v>
      </c>
      <c r="Q613" t="str">
        <f t="shared" si="38"/>
        <v>Alone</v>
      </c>
      <c r="R613" t="str">
        <f t="shared" si="39"/>
        <v>Yes</v>
      </c>
      <c r="S613" t="s">
        <v>16</v>
      </c>
    </row>
    <row r="614" spans="1:19" x14ac:dyDescent="0.3">
      <c r="A614" s="1" t="s">
        <v>474</v>
      </c>
      <c r="B614" t="s">
        <v>1612</v>
      </c>
      <c r="C614" t="s">
        <v>2154</v>
      </c>
      <c r="D614" t="str">
        <f t="shared" si="36"/>
        <v>Male</v>
      </c>
      <c r="E614" t="s">
        <v>9</v>
      </c>
      <c r="F614" s="2">
        <v>4</v>
      </c>
      <c r="G614" s="2" t="str" cm="1">
        <f t="array" ref="G614">_xlfn.IFS(F614&lt;=8,"Child",F614&lt;=17,"Teen",F614&lt;=35,"Adult",F614&lt;=55,"Seniour Adult",F614&gt;=55,"Old Age")</f>
        <v>Child</v>
      </c>
      <c r="H614" t="s">
        <v>10</v>
      </c>
      <c r="I614" t="s">
        <v>11</v>
      </c>
      <c r="J614" t="str" cm="1">
        <f t="array" ref="J614">_xlfn.IFS(I614="S","Southamptom",I614="Q","Quentown",I614="C","Cherbrug",I614="B","Cabin")</f>
        <v>Southamptom</v>
      </c>
      <c r="K614" t="s">
        <v>15</v>
      </c>
      <c r="L614" s="2">
        <v>11.020799999999999</v>
      </c>
      <c r="M614" s="2" t="str" cm="1">
        <f t="array" ref="M614">_xlfn.IFS(L614&lt;=15,"Low Fare",L614&lt;=35,"Medium Fare",L614&lt;=100,"High Fare",L614&gt;=100,"Very High Fare")</f>
        <v>Low Fare</v>
      </c>
      <c r="N614" s="2">
        <v>1</v>
      </c>
      <c r="O614" s="2">
        <v>1</v>
      </c>
      <c r="P614">
        <f t="shared" si="37"/>
        <v>3</v>
      </c>
      <c r="Q614" t="str">
        <f t="shared" si="38"/>
        <v>With Family</v>
      </c>
      <c r="R614" t="str">
        <f t="shared" si="39"/>
        <v>Yes</v>
      </c>
      <c r="S614" t="s">
        <v>16</v>
      </c>
    </row>
    <row r="615" spans="1:19" x14ac:dyDescent="0.3">
      <c r="A615" s="1" t="s">
        <v>474</v>
      </c>
      <c r="B615" t="s">
        <v>1602</v>
      </c>
      <c r="C615" t="s">
        <v>2155</v>
      </c>
      <c r="D615" t="str">
        <f t="shared" si="36"/>
        <v>Female</v>
      </c>
      <c r="E615" t="s">
        <v>14</v>
      </c>
      <c r="F615" s="2">
        <v>1</v>
      </c>
      <c r="G615" s="2" t="str" cm="1">
        <f t="array" ref="G615">_xlfn.IFS(F615&lt;=8,"Child",F615&lt;=17,"Teen",F615&lt;=35,"Adult",F615&lt;=55,"Seniour Adult",F615&gt;=55,"Old Age")</f>
        <v>Child</v>
      </c>
      <c r="H615" t="s">
        <v>10</v>
      </c>
      <c r="I615" t="s">
        <v>11</v>
      </c>
      <c r="J615" t="str" cm="1">
        <f t="array" ref="J615">_xlfn.IFS(I615="S","Southamptom",I615="Q","Quentown",I615="C","Cherbrug",I615="B","Cabin")</f>
        <v>Southamptom</v>
      </c>
      <c r="K615" t="s">
        <v>15</v>
      </c>
      <c r="L615" s="2">
        <v>11.020799999999999</v>
      </c>
      <c r="M615" s="2" t="str" cm="1">
        <f t="array" ref="M615">_xlfn.IFS(L615&lt;=15,"Low Fare",L615&lt;=35,"Medium Fare",L615&lt;=100,"High Fare",L615&gt;=100,"Very High Fare")</f>
        <v>Low Fare</v>
      </c>
      <c r="N615" s="2">
        <v>1</v>
      </c>
      <c r="O615" s="2">
        <v>1</v>
      </c>
      <c r="P615">
        <f t="shared" si="37"/>
        <v>3</v>
      </c>
      <c r="Q615" t="str">
        <f t="shared" si="38"/>
        <v>With Family</v>
      </c>
      <c r="R615" t="str">
        <f t="shared" si="39"/>
        <v>Yes</v>
      </c>
      <c r="S615" t="s">
        <v>16</v>
      </c>
    </row>
    <row r="616" spans="1:19" hidden="1" x14ac:dyDescent="0.3">
      <c r="A616" s="1" t="s">
        <v>474</v>
      </c>
      <c r="B616" t="s">
        <v>1596</v>
      </c>
      <c r="C616" t="s">
        <v>2156</v>
      </c>
      <c r="D616" t="str">
        <f t="shared" si="36"/>
        <v>Male</v>
      </c>
      <c r="E616" t="s">
        <v>9</v>
      </c>
      <c r="F616" s="2">
        <v>49</v>
      </c>
      <c r="G616" s="2" t="str" cm="1">
        <f t="array" ref="G616">_xlfn.IFS(F616&lt;=8,"Child",F616&lt;=17,"Teen",F616&lt;=35,"Adult",F616&lt;=55,"Seniour Adult",F616&gt;=55,"Old Age")</f>
        <v>Seniour Adult</v>
      </c>
      <c r="H616" t="s">
        <v>10</v>
      </c>
      <c r="I616" t="s">
        <v>11</v>
      </c>
      <c r="J616" t="str" cm="1">
        <f t="array" ref="J616">_xlfn.IFS(I616="S","Southamptom",I616="Q","Quentown",I616="C","Cherbrug",I616="B","Cabin")</f>
        <v>Southamptom</v>
      </c>
      <c r="K616" t="s">
        <v>12</v>
      </c>
      <c r="L616" s="2">
        <v>33</v>
      </c>
      <c r="M616" s="2" t="str" cm="1">
        <f t="array" ref="M616">_xlfn.IFS(L616&lt;=15,"Low Fare",L616&lt;=35,"Medium Fare",L616&lt;=100,"High Fare",L616&gt;=100,"Very High Fare")</f>
        <v>Medium Fare</v>
      </c>
      <c r="N616" s="2">
        <v>1</v>
      </c>
      <c r="O616" s="2" t="s">
        <v>30</v>
      </c>
      <c r="P616" t="e">
        <f t="shared" si="37"/>
        <v>#VALUE!</v>
      </c>
      <c r="Q616" t="e">
        <f t="shared" si="38"/>
        <v>#VALUE!</v>
      </c>
      <c r="R616" t="str">
        <f t="shared" si="39"/>
        <v>No</v>
      </c>
      <c r="S616" t="s">
        <v>13</v>
      </c>
    </row>
    <row r="617" spans="1:19" x14ac:dyDescent="0.3">
      <c r="A617" s="1" t="s">
        <v>474</v>
      </c>
      <c r="B617" t="s">
        <v>1596</v>
      </c>
      <c r="C617" t="s">
        <v>2157</v>
      </c>
      <c r="D617" t="str">
        <f t="shared" si="36"/>
        <v>Male</v>
      </c>
      <c r="E617" t="s">
        <v>9</v>
      </c>
      <c r="F617" s="2">
        <v>33</v>
      </c>
      <c r="G617" s="2" t="str" cm="1">
        <f t="array" ref="G617">_xlfn.IFS(F617&lt;=8,"Child",F617&lt;=17,"Teen",F617&lt;=35,"Adult",F617&lt;=55,"Seniour Adult",F617&gt;=55,"Old Age")</f>
        <v>Adult</v>
      </c>
      <c r="H617" t="s">
        <v>10</v>
      </c>
      <c r="I617" t="s">
        <v>11</v>
      </c>
      <c r="J617" t="str" cm="1">
        <f t="array" ref="J617">_xlfn.IFS(I617="S","Southamptom",I617="Q","Quentown",I617="C","Cherbrug",I617="B","Cabin")</f>
        <v>Southamptom</v>
      </c>
      <c r="K617" t="s">
        <v>12</v>
      </c>
      <c r="L617" s="2">
        <v>7.1505999999999998</v>
      </c>
      <c r="M617" s="2" t="str" cm="1">
        <f t="array" ref="M617">_xlfn.IFS(L617&lt;=15,"Low Fare",L617&lt;=35,"Medium Fare",L617&lt;=100,"High Fare",L617&gt;=100,"Very High Fare")</f>
        <v>Low Fare</v>
      </c>
      <c r="N617" s="2">
        <v>0</v>
      </c>
      <c r="O617" s="2">
        <v>0</v>
      </c>
      <c r="P617">
        <f t="shared" si="37"/>
        <v>1</v>
      </c>
      <c r="Q617" t="str">
        <f t="shared" si="38"/>
        <v>Alone</v>
      </c>
      <c r="R617" t="str">
        <f t="shared" si="39"/>
        <v>No</v>
      </c>
      <c r="S617" t="s">
        <v>13</v>
      </c>
    </row>
    <row r="618" spans="1:19" x14ac:dyDescent="0.3">
      <c r="A618" s="1" t="s">
        <v>474</v>
      </c>
      <c r="B618" t="s">
        <v>1600</v>
      </c>
      <c r="C618" t="s">
        <v>2158</v>
      </c>
      <c r="D618" t="str">
        <f t="shared" si="36"/>
        <v>Female</v>
      </c>
      <c r="E618" t="s">
        <v>14</v>
      </c>
      <c r="F618" s="2">
        <v>26</v>
      </c>
      <c r="G618" s="2" t="str" cm="1">
        <f t="array" ref="G618">_xlfn.IFS(F618&lt;=8,"Child",F618&lt;=17,"Teen",F618&lt;=35,"Adult",F618&lt;=55,"Seniour Adult",F618&gt;=55,"Old Age")</f>
        <v>Adult</v>
      </c>
      <c r="H618" t="s">
        <v>10</v>
      </c>
      <c r="I618" t="s">
        <v>11</v>
      </c>
      <c r="J618" t="str" cm="1">
        <f t="array" ref="J618">_xlfn.IFS(I618="S","Southamptom",I618="Q","Quentown",I618="C","Cherbrug",I618="B","Cabin")</f>
        <v>Southamptom</v>
      </c>
      <c r="K618" t="s">
        <v>15</v>
      </c>
      <c r="L618" s="2">
        <v>11.020799999999999</v>
      </c>
      <c r="M618" s="2" t="str" cm="1">
        <f t="array" ref="M618">_xlfn.IFS(L618&lt;=15,"Low Fare",L618&lt;=35,"Medium Fare",L618&lt;=100,"High Fare",L618&gt;=100,"Very High Fare")</f>
        <v>Low Fare</v>
      </c>
      <c r="N618" s="2">
        <v>0</v>
      </c>
      <c r="O618" s="2">
        <v>2</v>
      </c>
      <c r="P618">
        <f t="shared" si="37"/>
        <v>3</v>
      </c>
      <c r="Q618" t="str">
        <f t="shared" si="38"/>
        <v>With Family</v>
      </c>
      <c r="R618" t="str">
        <f t="shared" si="39"/>
        <v>Yes</v>
      </c>
      <c r="S618" t="s">
        <v>16</v>
      </c>
    </row>
    <row r="619" spans="1:19" x14ac:dyDescent="0.3">
      <c r="A619" s="1" t="s">
        <v>474</v>
      </c>
      <c r="B619" t="s">
        <v>1596</v>
      </c>
      <c r="C619" t="s">
        <v>2159</v>
      </c>
      <c r="D619" t="str">
        <f t="shared" si="36"/>
        <v>Male</v>
      </c>
      <c r="E619" t="s">
        <v>9</v>
      </c>
      <c r="F619" s="2">
        <v>19</v>
      </c>
      <c r="G619" s="2" t="str" cm="1">
        <f t="array" ref="G619">_xlfn.IFS(F619&lt;=8,"Child",F619&lt;=17,"Teen",F619&lt;=35,"Adult",F619&lt;=55,"Seniour Adult",F619&gt;=55,"Old Age")</f>
        <v>Adult</v>
      </c>
      <c r="H619" t="s">
        <v>10</v>
      </c>
      <c r="I619" t="s">
        <v>11</v>
      </c>
      <c r="J619" t="str" cm="1">
        <f t="array" ref="J619">_xlfn.IFS(I619="S","Southamptom",I619="Q","Quentown",I619="C","Cherbrug",I619="B","Cabin")</f>
        <v>Southamptom</v>
      </c>
      <c r="K619" t="s">
        <v>12</v>
      </c>
      <c r="L619" s="2">
        <v>33</v>
      </c>
      <c r="M619" s="2" t="str" cm="1">
        <f t="array" ref="M619">_xlfn.IFS(L619&lt;=15,"Low Fare",L619&lt;=35,"Medium Fare",L619&lt;=100,"High Fare",L619&gt;=100,"Very High Fare")</f>
        <v>Medium Fare</v>
      </c>
      <c r="N619" s="2">
        <v>0</v>
      </c>
      <c r="O619" s="2">
        <v>0</v>
      </c>
      <c r="P619">
        <f t="shared" si="37"/>
        <v>1</v>
      </c>
      <c r="Q619" t="str">
        <f t="shared" si="38"/>
        <v>Alone</v>
      </c>
      <c r="R619" t="str">
        <f t="shared" si="39"/>
        <v>No</v>
      </c>
      <c r="S619" t="s">
        <v>13</v>
      </c>
    </row>
    <row r="620" spans="1:19" x14ac:dyDescent="0.3">
      <c r="A620" s="1" t="s">
        <v>475</v>
      </c>
      <c r="B620" t="s">
        <v>1612</v>
      </c>
      <c r="C620" t="s">
        <v>2160</v>
      </c>
      <c r="D620" t="str">
        <f t="shared" si="36"/>
        <v>Male</v>
      </c>
      <c r="E620" t="s">
        <v>9</v>
      </c>
      <c r="F620" s="2">
        <v>8</v>
      </c>
      <c r="G620" s="2" t="str" cm="1">
        <f t="array" ref="G620">_xlfn.IFS(F620&lt;=8,"Child",F620&lt;=17,"Teen",F620&lt;=35,"Adult",F620&lt;=55,"Seniour Adult",F620&gt;=55,"Old Age")</f>
        <v>Child</v>
      </c>
      <c r="H620" t="s">
        <v>10</v>
      </c>
      <c r="I620" t="s">
        <v>11</v>
      </c>
      <c r="J620" t="str" cm="1">
        <f t="array" ref="J620">_xlfn.IFS(I620="S","Southamptom",I620="Q","Quentown",I620="C","Cherbrug",I620="B","Cabin")</f>
        <v>Southamptom</v>
      </c>
      <c r="K620" t="s">
        <v>15</v>
      </c>
      <c r="L620" s="2">
        <v>23.09</v>
      </c>
      <c r="M620" s="2" t="str" cm="1">
        <f t="array" ref="M620">_xlfn.IFS(L620&lt;=15,"Low Fare",L620&lt;=35,"Medium Fare",L620&lt;=100,"High Fare",L620&gt;=100,"Very High Fare")</f>
        <v>Medium Fare</v>
      </c>
      <c r="N620" s="2">
        <v>1</v>
      </c>
      <c r="O620" s="2">
        <v>2</v>
      </c>
      <c r="P620">
        <f t="shared" si="37"/>
        <v>4</v>
      </c>
      <c r="Q620" t="str">
        <f t="shared" si="38"/>
        <v>With Family</v>
      </c>
      <c r="R620" t="str">
        <f t="shared" si="39"/>
        <v>No</v>
      </c>
      <c r="S620" t="s">
        <v>13</v>
      </c>
    </row>
    <row r="621" spans="1:19" x14ac:dyDescent="0.3">
      <c r="A621" s="1" t="s">
        <v>475</v>
      </c>
      <c r="B621" t="s">
        <v>1602</v>
      </c>
      <c r="C621" t="s">
        <v>2161</v>
      </c>
      <c r="D621" t="str">
        <f t="shared" si="36"/>
        <v>Female</v>
      </c>
      <c r="E621" t="s">
        <v>14</v>
      </c>
      <c r="F621" s="2">
        <v>7</v>
      </c>
      <c r="G621" s="2" t="str" cm="1">
        <f t="array" ref="G621">_xlfn.IFS(F621&lt;=8,"Child",F621&lt;=17,"Teen",F621&lt;=35,"Adult",F621&lt;=55,"Seniour Adult",F621&gt;=55,"Old Age")</f>
        <v>Child</v>
      </c>
      <c r="H621" t="s">
        <v>10</v>
      </c>
      <c r="I621" t="s">
        <v>11</v>
      </c>
      <c r="J621" t="str" cm="1">
        <f t="array" ref="J621">_xlfn.IFS(I621="S","Southamptom",I621="Q","Quentown",I621="C","Cherbrug",I621="B","Cabin")</f>
        <v>Southamptom</v>
      </c>
      <c r="K621" t="s">
        <v>15</v>
      </c>
      <c r="L621" s="2">
        <v>23.09</v>
      </c>
      <c r="M621" s="2" t="str" cm="1">
        <f t="array" ref="M621">_xlfn.IFS(L621&lt;=15,"Low Fare",L621&lt;=35,"Medium Fare",L621&lt;=100,"High Fare",L621&gt;=100,"Very High Fare")</f>
        <v>Medium Fare</v>
      </c>
      <c r="N621" s="2">
        <v>1</v>
      </c>
      <c r="O621" s="2">
        <v>2</v>
      </c>
      <c r="P621">
        <f t="shared" si="37"/>
        <v>4</v>
      </c>
      <c r="Q621" t="str">
        <f t="shared" si="38"/>
        <v>With Family</v>
      </c>
      <c r="R621" t="str">
        <f t="shared" si="39"/>
        <v>No</v>
      </c>
      <c r="S621" t="s">
        <v>13</v>
      </c>
    </row>
    <row r="622" spans="1:19" x14ac:dyDescent="0.3">
      <c r="A622" s="1" t="s">
        <v>475</v>
      </c>
      <c r="B622" t="s">
        <v>1596</v>
      </c>
      <c r="C622" t="s">
        <v>2162</v>
      </c>
      <c r="D622" t="str">
        <f t="shared" si="36"/>
        <v>Male</v>
      </c>
      <c r="E622" t="s">
        <v>9</v>
      </c>
      <c r="F622" s="2">
        <v>35</v>
      </c>
      <c r="G622" s="2" t="str" cm="1">
        <f t="array" ref="G622">_xlfn.IFS(F622&lt;=8,"Child",F622&lt;=17,"Teen",F622&lt;=35,"Adult",F622&lt;=55,"Seniour Adult",F622&gt;=55,"Old Age")</f>
        <v>Adult</v>
      </c>
      <c r="H622" t="s">
        <v>10</v>
      </c>
      <c r="I622" t="s">
        <v>11</v>
      </c>
      <c r="J622" t="str" cm="1">
        <f t="array" ref="J622">_xlfn.IFS(I622="S","Southamptom",I622="Q","Quentown",I622="C","Cherbrug",I622="B","Cabin")</f>
        <v>Southamptom</v>
      </c>
      <c r="K622" t="s">
        <v>43</v>
      </c>
      <c r="L622" s="2">
        <v>23.09</v>
      </c>
      <c r="M622" s="2" t="str" cm="1">
        <f t="array" ref="M622">_xlfn.IFS(L622&lt;=15,"Low Fare",L622&lt;=35,"Medium Fare",L622&lt;=100,"High Fare",L622&gt;=100,"Very High Fare")</f>
        <v>Medium Fare</v>
      </c>
      <c r="N622" s="2">
        <v>1</v>
      </c>
      <c r="O622" s="2">
        <v>2</v>
      </c>
      <c r="P622">
        <f t="shared" si="37"/>
        <v>4</v>
      </c>
      <c r="Q622" t="str">
        <f t="shared" si="38"/>
        <v>With Family</v>
      </c>
      <c r="R622" t="str">
        <f t="shared" si="39"/>
        <v>No</v>
      </c>
      <c r="S622" t="s">
        <v>13</v>
      </c>
    </row>
    <row r="623" spans="1:19" x14ac:dyDescent="0.3">
      <c r="A623" s="1" t="s">
        <v>475</v>
      </c>
      <c r="B623" t="s">
        <v>1600</v>
      </c>
      <c r="C623" t="s">
        <v>2101</v>
      </c>
      <c r="D623" t="str">
        <f t="shared" si="36"/>
        <v>Female</v>
      </c>
      <c r="E623" t="s">
        <v>14</v>
      </c>
      <c r="F623" s="2">
        <v>36</v>
      </c>
      <c r="G623" s="2" t="str" cm="1">
        <f t="array" ref="G623">_xlfn.IFS(F623&lt;=8,"Child",F623&lt;=17,"Teen",F623&lt;=35,"Adult",F623&lt;=55,"Seniour Adult",F623&gt;=55,"Old Age")</f>
        <v>Seniour Adult</v>
      </c>
      <c r="H623" t="s">
        <v>10</v>
      </c>
      <c r="I623" t="s">
        <v>11</v>
      </c>
      <c r="J623" t="str" cm="1">
        <f t="array" ref="J623">_xlfn.IFS(I623="S","Southamptom",I623="Q","Quentown",I623="C","Cherbrug",I623="B","Cabin")</f>
        <v>Southamptom</v>
      </c>
      <c r="K623" t="s">
        <v>43</v>
      </c>
      <c r="L623" s="2">
        <v>23.09</v>
      </c>
      <c r="M623" s="2" t="str" cm="1">
        <f t="array" ref="M623">_xlfn.IFS(L623&lt;=15,"Low Fare",L623&lt;=35,"Medium Fare",L623&lt;=100,"High Fare",L623&gt;=100,"Very High Fare")</f>
        <v>Medium Fare</v>
      </c>
      <c r="N623" s="2">
        <v>1</v>
      </c>
      <c r="O623" s="2">
        <v>2</v>
      </c>
      <c r="P623">
        <f t="shared" si="37"/>
        <v>4</v>
      </c>
      <c r="Q623" t="str">
        <f t="shared" si="38"/>
        <v>With Family</v>
      </c>
      <c r="R623" t="str">
        <f t="shared" si="39"/>
        <v>No</v>
      </c>
      <c r="S623" t="s">
        <v>13</v>
      </c>
    </row>
    <row r="624" spans="1:19" x14ac:dyDescent="0.3">
      <c r="A624" s="1" t="s">
        <v>476</v>
      </c>
      <c r="B624" t="s">
        <v>1596</v>
      </c>
      <c r="C624" t="s">
        <v>2163</v>
      </c>
      <c r="D624" t="str">
        <f t="shared" si="36"/>
        <v>Male</v>
      </c>
      <c r="E624" t="s">
        <v>9</v>
      </c>
      <c r="F624" s="2">
        <v>46</v>
      </c>
      <c r="G624" s="2" t="str" cm="1">
        <f t="array" ref="G624">_xlfn.IFS(F624&lt;=8,"Child",F624&lt;=17,"Teen",F624&lt;=35,"Adult",F624&lt;=55,"Seniour Adult",F624&gt;=55,"Old Age")</f>
        <v>Seniour Adult</v>
      </c>
      <c r="H624" t="s">
        <v>25</v>
      </c>
      <c r="I624" t="s">
        <v>11</v>
      </c>
      <c r="J624" t="str" cm="1">
        <f t="array" ref="J624">_xlfn.IFS(I624="S","Southamptom",I624="Q","Quentown",I624="C","Cherbrug",I624="B","Cabin")</f>
        <v>Southamptom</v>
      </c>
      <c r="K624" t="s">
        <v>12</v>
      </c>
      <c r="L624" s="2">
        <v>26</v>
      </c>
      <c r="M624" s="2" t="str" cm="1">
        <f t="array" ref="M624">_xlfn.IFS(L624&lt;=15,"Low Fare",L624&lt;=35,"Medium Fare",L624&lt;=100,"High Fare",L624&gt;=100,"Very High Fare")</f>
        <v>Medium Fare</v>
      </c>
      <c r="N624" s="2">
        <v>0</v>
      </c>
      <c r="O624" s="2">
        <v>0</v>
      </c>
      <c r="P624">
        <f t="shared" si="37"/>
        <v>1</v>
      </c>
      <c r="Q624" t="str">
        <f t="shared" si="38"/>
        <v>Alone</v>
      </c>
      <c r="R624" t="str">
        <f t="shared" si="39"/>
        <v>No</v>
      </c>
      <c r="S624" t="s">
        <v>13</v>
      </c>
    </row>
    <row r="625" spans="1:19" x14ac:dyDescent="0.3">
      <c r="A625" s="1" t="s">
        <v>477</v>
      </c>
      <c r="B625" t="s">
        <v>1596</v>
      </c>
      <c r="C625" t="s">
        <v>2164</v>
      </c>
      <c r="D625" t="str">
        <f t="shared" si="36"/>
        <v>Male</v>
      </c>
      <c r="E625" t="s">
        <v>9</v>
      </c>
      <c r="F625" s="2">
        <v>23</v>
      </c>
      <c r="G625" s="2" t="str" cm="1">
        <f t="array" ref="G625">_xlfn.IFS(F625&lt;=8,"Child",F625&lt;=17,"Teen",F625&lt;=35,"Adult",F625&lt;=55,"Seniour Adult",F625&gt;=55,"Old Age")</f>
        <v>Adult</v>
      </c>
      <c r="H625" t="s">
        <v>10</v>
      </c>
      <c r="I625" t="s">
        <v>11</v>
      </c>
      <c r="J625" t="str" cm="1">
        <f t="array" ref="J625">_xlfn.IFS(I625="S","Southamptom",I625="Q","Quentown",I625="C","Cherbrug",I625="B","Cabin")</f>
        <v>Southamptom</v>
      </c>
      <c r="K625" t="s">
        <v>31</v>
      </c>
      <c r="L625" s="2">
        <v>7.1711</v>
      </c>
      <c r="M625" s="2" t="str" cm="1">
        <f t="array" ref="M625">_xlfn.IFS(L625&lt;=15,"Low Fare",L625&lt;=35,"Medium Fare",L625&lt;=100,"High Fare",L625&gt;=100,"Very High Fare")</f>
        <v>Low Fare</v>
      </c>
      <c r="N625" s="2">
        <v>0</v>
      </c>
      <c r="O625" s="2">
        <v>0</v>
      </c>
      <c r="P625">
        <f t="shared" si="37"/>
        <v>1</v>
      </c>
      <c r="Q625" t="str">
        <f t="shared" si="38"/>
        <v>Alone</v>
      </c>
      <c r="R625" t="str">
        <f t="shared" si="39"/>
        <v>No</v>
      </c>
      <c r="S625" t="s">
        <v>13</v>
      </c>
    </row>
    <row r="626" spans="1:19" x14ac:dyDescent="0.3">
      <c r="A626" s="1" t="s">
        <v>478</v>
      </c>
      <c r="B626" t="s">
        <v>1596</v>
      </c>
      <c r="C626" t="s">
        <v>2165</v>
      </c>
      <c r="D626" t="str">
        <f t="shared" si="36"/>
        <v>Male</v>
      </c>
      <c r="E626" t="s">
        <v>9</v>
      </c>
      <c r="F626" s="2">
        <v>25</v>
      </c>
      <c r="G626" s="2" t="str" cm="1">
        <f t="array" ref="G626">_xlfn.IFS(F626&lt;=8,"Child",F626&lt;=17,"Teen",F626&lt;=35,"Adult",F626&lt;=55,"Seniour Adult",F626&gt;=55,"Old Age")</f>
        <v>Adult</v>
      </c>
      <c r="H626" t="s">
        <v>10</v>
      </c>
      <c r="I626" t="s">
        <v>11</v>
      </c>
      <c r="J626" t="str" cm="1">
        <f t="array" ref="J626">_xlfn.IFS(I626="S","Southamptom",I626="Q","Quentown",I626="C","Cherbrug",I626="B","Cabin")</f>
        <v>Southamptom</v>
      </c>
      <c r="K626" t="s">
        <v>23</v>
      </c>
      <c r="L626" s="2">
        <v>7.1700999999999997</v>
      </c>
      <c r="M626" s="2" t="str" cm="1">
        <f t="array" ref="M626">_xlfn.IFS(L626&lt;=15,"Low Fare",L626&lt;=35,"Medium Fare",L626&lt;=100,"High Fare",L626&gt;=100,"Very High Fare")</f>
        <v>Low Fare</v>
      </c>
      <c r="N626" s="2">
        <v>0</v>
      </c>
      <c r="O626" s="2">
        <v>0</v>
      </c>
      <c r="P626">
        <f t="shared" si="37"/>
        <v>1</v>
      </c>
      <c r="Q626" t="str">
        <f t="shared" si="38"/>
        <v>Alone</v>
      </c>
      <c r="R626" t="str">
        <f t="shared" si="39"/>
        <v>Yes</v>
      </c>
      <c r="S626" t="s">
        <v>16</v>
      </c>
    </row>
    <row r="627" spans="1:19" x14ac:dyDescent="0.3">
      <c r="A627" s="1" t="s">
        <v>479</v>
      </c>
      <c r="B627" t="s">
        <v>1596</v>
      </c>
      <c r="C627" t="s">
        <v>2166</v>
      </c>
      <c r="D627" t="str">
        <f t="shared" si="36"/>
        <v>Male</v>
      </c>
      <c r="E627" t="s">
        <v>9</v>
      </c>
      <c r="F627" s="2">
        <v>27</v>
      </c>
      <c r="G627" s="2" t="str" cm="1">
        <f t="array" ref="G627">_xlfn.IFS(F627&lt;=8,"Child",F627&lt;=17,"Teen",F627&lt;=35,"Adult",F627&lt;=55,"Seniour Adult",F627&gt;=55,"Old Age")</f>
        <v>Adult</v>
      </c>
      <c r="H627" t="s">
        <v>10</v>
      </c>
      <c r="I627" t="s">
        <v>11</v>
      </c>
      <c r="J627" t="str" cm="1">
        <f t="array" ref="J627">_xlfn.IFS(I627="S","Southamptom",I627="Q","Quentown",I627="C","Cherbrug",I627="B","Cabin")</f>
        <v>Southamptom</v>
      </c>
      <c r="K627" t="s">
        <v>23</v>
      </c>
      <c r="L627" s="2">
        <v>7.1700999999999997</v>
      </c>
      <c r="M627" s="2" t="str" cm="1">
        <f t="array" ref="M627">_xlfn.IFS(L627&lt;=15,"Low Fare",L627&lt;=35,"Medium Fare",L627&lt;=100,"High Fare",L627&gt;=100,"Very High Fare")</f>
        <v>Low Fare</v>
      </c>
      <c r="N627" s="2">
        <v>0</v>
      </c>
      <c r="O627" s="2">
        <v>0</v>
      </c>
      <c r="P627">
        <f t="shared" si="37"/>
        <v>1</v>
      </c>
      <c r="Q627" t="str">
        <f t="shared" si="38"/>
        <v>Alone</v>
      </c>
      <c r="R627" t="str">
        <f t="shared" si="39"/>
        <v>No</v>
      </c>
      <c r="S627" t="s">
        <v>13</v>
      </c>
    </row>
    <row r="628" spans="1:19" x14ac:dyDescent="0.3">
      <c r="A628" s="1" t="s">
        <v>480</v>
      </c>
      <c r="B628" t="s">
        <v>1596</v>
      </c>
      <c r="C628" t="s">
        <v>2167</v>
      </c>
      <c r="D628" t="str">
        <f t="shared" si="36"/>
        <v>Male</v>
      </c>
      <c r="E628" t="s">
        <v>9</v>
      </c>
      <c r="F628" s="2">
        <v>39</v>
      </c>
      <c r="G628" s="2" t="str" cm="1">
        <f t="array" ref="G628">_xlfn.IFS(F628&lt;=8,"Child",F628&lt;=17,"Teen",F628&lt;=35,"Adult",F628&lt;=55,"Seniour Adult",F628&gt;=55,"Old Age")</f>
        <v>Seniour Adult</v>
      </c>
      <c r="H628" t="s">
        <v>10</v>
      </c>
      <c r="I628" t="s">
        <v>19</v>
      </c>
      <c r="J628" t="str" cm="1">
        <f t="array" ref="J628">_xlfn.IFS(I628="S","Southamptom",I628="Q","Quentown",I628="C","Cherbrug",I628="B","Cabin")</f>
        <v>Cherbrug</v>
      </c>
      <c r="K628" t="s">
        <v>21</v>
      </c>
      <c r="L628" s="2">
        <v>7.0407000000000002</v>
      </c>
      <c r="M628" s="2" t="str" cm="1">
        <f t="array" ref="M628">_xlfn.IFS(L628&lt;=15,"Low Fare",L628&lt;=35,"Medium Fare",L628&lt;=100,"High Fare",L628&gt;=100,"Very High Fare")</f>
        <v>Low Fare</v>
      </c>
      <c r="N628" s="2">
        <v>0</v>
      </c>
      <c r="O628" s="2">
        <v>2</v>
      </c>
      <c r="P628">
        <f t="shared" si="37"/>
        <v>3</v>
      </c>
      <c r="Q628" t="str">
        <f t="shared" si="38"/>
        <v>With Family</v>
      </c>
      <c r="R628" t="str">
        <f t="shared" si="39"/>
        <v>No</v>
      </c>
      <c r="S628" t="s">
        <v>13</v>
      </c>
    </row>
    <row r="629" spans="1:19" x14ac:dyDescent="0.3">
      <c r="A629" s="1" t="s">
        <v>481</v>
      </c>
      <c r="B629" t="s">
        <v>1596</v>
      </c>
      <c r="C629" t="s">
        <v>2168</v>
      </c>
      <c r="D629" t="str">
        <f t="shared" si="36"/>
        <v>Male</v>
      </c>
      <c r="E629" t="s">
        <v>9</v>
      </c>
      <c r="F629" s="2">
        <v>50</v>
      </c>
      <c r="G629" s="2" t="str" cm="1">
        <f t="array" ref="G629">_xlfn.IFS(F629&lt;=8,"Child",F629&lt;=17,"Teen",F629&lt;=35,"Adult",F629&lt;=55,"Seniour Adult",F629&gt;=55,"Old Age")</f>
        <v>Seniour Adult</v>
      </c>
      <c r="H629" t="s">
        <v>25</v>
      </c>
      <c r="I629" t="s">
        <v>11</v>
      </c>
      <c r="J629" t="str" cm="1">
        <f t="array" ref="J629">_xlfn.IFS(I629="S","Southamptom",I629="Q","Quentown",I629="C","Cherbrug",I629="B","Cabin")</f>
        <v>Southamptom</v>
      </c>
      <c r="K629" t="s">
        <v>15</v>
      </c>
      <c r="L629" s="2">
        <v>26</v>
      </c>
      <c r="M629" s="2" t="str" cm="1">
        <f t="array" ref="M629">_xlfn.IFS(L629&lt;=15,"Low Fare",L629&lt;=35,"Medium Fare",L629&lt;=100,"High Fare",L629&gt;=100,"Very High Fare")</f>
        <v>Medium Fare</v>
      </c>
      <c r="N629" s="2">
        <v>0</v>
      </c>
      <c r="O629" s="2">
        <v>0</v>
      </c>
      <c r="P629">
        <f t="shared" si="37"/>
        <v>1</v>
      </c>
      <c r="Q629" t="str">
        <f t="shared" si="38"/>
        <v>Alone</v>
      </c>
      <c r="R629" t="str">
        <f t="shared" si="39"/>
        <v>No</v>
      </c>
      <c r="S629" t="s">
        <v>13</v>
      </c>
    </row>
    <row r="630" spans="1:19" x14ac:dyDescent="0.3">
      <c r="A630" s="1" t="s">
        <v>482</v>
      </c>
      <c r="B630" t="s">
        <v>1602</v>
      </c>
      <c r="C630" t="s">
        <v>2169</v>
      </c>
      <c r="D630" t="str">
        <f t="shared" si="36"/>
        <v>Female</v>
      </c>
      <c r="E630" t="s">
        <v>14</v>
      </c>
      <c r="F630" s="2">
        <v>20</v>
      </c>
      <c r="G630" s="2" t="str" cm="1">
        <f t="array" ref="G630">_xlfn.IFS(F630&lt;=8,"Child",F630&lt;=17,"Teen",F630&lt;=35,"Adult",F630&lt;=55,"Seniour Adult",F630&gt;=55,"Old Age")</f>
        <v>Adult</v>
      </c>
      <c r="H630" t="s">
        <v>10</v>
      </c>
      <c r="I630" t="s">
        <v>11</v>
      </c>
      <c r="J630" t="str" cm="1">
        <f t="array" ref="J630">_xlfn.IFS(I630="S","Southamptom",I630="Q","Quentown",I630="C","Cherbrug",I630="B","Cabin")</f>
        <v>Southamptom</v>
      </c>
      <c r="K630" t="s">
        <v>22</v>
      </c>
      <c r="L630" s="2">
        <v>9.1609999999999996</v>
      </c>
      <c r="M630" s="2" t="str" cm="1">
        <f t="array" ref="M630">_xlfn.IFS(L630&lt;=15,"Low Fare",L630&lt;=35,"Medium Fare",L630&lt;=100,"High Fare",L630&gt;=100,"Very High Fare")</f>
        <v>Low Fare</v>
      </c>
      <c r="N630" s="2">
        <v>1</v>
      </c>
      <c r="O630" s="2">
        <v>0</v>
      </c>
      <c r="P630">
        <f t="shared" si="37"/>
        <v>2</v>
      </c>
      <c r="Q630" t="str">
        <f t="shared" si="38"/>
        <v>With Family</v>
      </c>
      <c r="R630" t="str">
        <f t="shared" si="39"/>
        <v>No</v>
      </c>
      <c r="S630" t="s">
        <v>13</v>
      </c>
    </row>
    <row r="631" spans="1:19" x14ac:dyDescent="0.3">
      <c r="A631" s="1" t="s">
        <v>482</v>
      </c>
      <c r="B631" t="s">
        <v>1602</v>
      </c>
      <c r="C631" t="s">
        <v>2170</v>
      </c>
      <c r="D631" t="str">
        <f t="shared" si="36"/>
        <v>Female</v>
      </c>
      <c r="E631" t="s">
        <v>14</v>
      </c>
      <c r="F631" s="2">
        <v>21</v>
      </c>
      <c r="G631" s="2" t="str" cm="1">
        <f t="array" ref="G631">_xlfn.IFS(F631&lt;=8,"Child",F631&lt;=17,"Teen",F631&lt;=35,"Adult",F631&lt;=55,"Seniour Adult",F631&gt;=55,"Old Age")</f>
        <v>Adult</v>
      </c>
      <c r="H631" t="s">
        <v>10</v>
      </c>
      <c r="I631" t="s">
        <v>11</v>
      </c>
      <c r="J631" t="str" cm="1">
        <f t="array" ref="J631">_xlfn.IFS(I631="S","Southamptom",I631="Q","Quentown",I631="C","Cherbrug",I631="B","Cabin")</f>
        <v>Southamptom</v>
      </c>
      <c r="K631" t="s">
        <v>22</v>
      </c>
      <c r="L631" s="2">
        <v>9.1609999999999996</v>
      </c>
      <c r="M631" s="2" t="str" cm="1">
        <f t="array" ref="M631">_xlfn.IFS(L631&lt;=15,"Low Fare",L631&lt;=35,"Medium Fare",L631&lt;=100,"High Fare",L631&gt;=100,"Very High Fare")</f>
        <v>Low Fare</v>
      </c>
      <c r="N631" s="2">
        <v>1</v>
      </c>
      <c r="O631" s="2">
        <v>0</v>
      </c>
      <c r="P631">
        <f t="shared" si="37"/>
        <v>2</v>
      </c>
      <c r="Q631" t="str">
        <f t="shared" si="38"/>
        <v>With Family</v>
      </c>
      <c r="R631" t="str">
        <f t="shared" si="39"/>
        <v>No</v>
      </c>
      <c r="S631" t="s">
        <v>13</v>
      </c>
    </row>
    <row r="632" spans="1:19" x14ac:dyDescent="0.3">
      <c r="A632" s="1" t="s">
        <v>482</v>
      </c>
      <c r="B632" t="s">
        <v>1596</v>
      </c>
      <c r="C632" t="s">
        <v>2171</v>
      </c>
      <c r="D632" t="str">
        <f t="shared" si="36"/>
        <v>Male</v>
      </c>
      <c r="E632" t="s">
        <v>9</v>
      </c>
      <c r="F632" s="2">
        <v>32</v>
      </c>
      <c r="G632" s="2" t="str" cm="1">
        <f t="array" ref="G632">_xlfn.IFS(F632&lt;=8,"Child",F632&lt;=17,"Teen",F632&lt;=35,"Adult",F632&lt;=55,"Seniour Adult",F632&gt;=55,"Old Age")</f>
        <v>Adult</v>
      </c>
      <c r="H632" t="s">
        <v>10</v>
      </c>
      <c r="I632" t="s">
        <v>11</v>
      </c>
      <c r="J632" t="str" cm="1">
        <f t="array" ref="J632">_xlfn.IFS(I632="S","Southamptom",I632="Q","Quentown",I632="C","Cherbrug",I632="B","Cabin")</f>
        <v>Southamptom</v>
      </c>
      <c r="K632" t="s">
        <v>22</v>
      </c>
      <c r="L632" s="2">
        <v>7.1806000000000001</v>
      </c>
      <c r="M632" s="2" t="str" cm="1">
        <f t="array" ref="M632">_xlfn.IFS(L632&lt;=15,"Low Fare",L632&lt;=35,"Medium Fare",L632&lt;=100,"High Fare",L632&gt;=100,"Very High Fare")</f>
        <v>Low Fare</v>
      </c>
      <c r="N632" s="2">
        <v>0</v>
      </c>
      <c r="O632" s="2">
        <v>0</v>
      </c>
      <c r="P632">
        <f t="shared" si="37"/>
        <v>1</v>
      </c>
      <c r="Q632" t="str">
        <f t="shared" si="38"/>
        <v>Alone</v>
      </c>
      <c r="R632" t="str">
        <f t="shared" si="39"/>
        <v>Yes</v>
      </c>
      <c r="S632" t="s">
        <v>16</v>
      </c>
    </row>
    <row r="633" spans="1:19" x14ac:dyDescent="0.3">
      <c r="A633" s="1" t="s">
        <v>483</v>
      </c>
      <c r="B633" t="s">
        <v>1596</v>
      </c>
      <c r="C633" t="s">
        <v>2172</v>
      </c>
      <c r="D633" t="str">
        <f t="shared" si="36"/>
        <v>Male</v>
      </c>
      <c r="E633" t="s">
        <v>9</v>
      </c>
      <c r="F633" s="2">
        <v>17</v>
      </c>
      <c r="G633" s="2" t="str" cm="1">
        <f t="array" ref="G633">_xlfn.IFS(F633&lt;=8,"Child",F633&lt;=17,"Teen",F633&lt;=35,"Adult",F633&lt;=55,"Seniour Adult",F633&gt;=55,"Old Age")</f>
        <v>Teen</v>
      </c>
      <c r="H633" t="s">
        <v>10</v>
      </c>
      <c r="I633" t="s">
        <v>11</v>
      </c>
      <c r="J633" t="str" cm="1">
        <f t="array" ref="J633">_xlfn.IFS(I633="S","Southamptom",I633="Q","Quentown",I633="C","Cherbrug",I633="B","Cabin")</f>
        <v>Southamptom</v>
      </c>
      <c r="K633" t="s">
        <v>22</v>
      </c>
      <c r="L633" s="2">
        <v>7.0206</v>
      </c>
      <c r="M633" s="2" t="str" cm="1">
        <f t="array" ref="M633">_xlfn.IFS(L633&lt;=15,"Low Fare",L633&lt;=35,"Medium Fare",L633&lt;=100,"High Fare",L633&gt;=100,"Very High Fare")</f>
        <v>Low Fare</v>
      </c>
      <c r="N633" s="2">
        <v>0</v>
      </c>
      <c r="O633" s="2">
        <v>0</v>
      </c>
      <c r="P633">
        <f t="shared" si="37"/>
        <v>1</v>
      </c>
      <c r="Q633" t="str">
        <f t="shared" si="38"/>
        <v>Alone</v>
      </c>
      <c r="R633" t="str">
        <f t="shared" si="39"/>
        <v>No</v>
      </c>
      <c r="S633" t="s">
        <v>13</v>
      </c>
    </row>
    <row r="634" spans="1:19" x14ac:dyDescent="0.3">
      <c r="A634" s="1" t="s">
        <v>484</v>
      </c>
      <c r="B634" t="s">
        <v>1596</v>
      </c>
      <c r="C634" t="s">
        <v>2173</v>
      </c>
      <c r="D634" t="str">
        <f t="shared" si="36"/>
        <v>Male</v>
      </c>
      <c r="E634" t="s">
        <v>9</v>
      </c>
      <c r="F634" s="2">
        <v>21</v>
      </c>
      <c r="G634" s="2" t="str" cm="1">
        <f t="array" ref="G634">_xlfn.IFS(F634&lt;=8,"Child",F634&lt;=17,"Teen",F634&lt;=35,"Adult",F634&lt;=55,"Seniour Adult",F634&gt;=55,"Old Age")</f>
        <v>Adult</v>
      </c>
      <c r="H634" t="s">
        <v>10</v>
      </c>
      <c r="I634" t="s">
        <v>11</v>
      </c>
      <c r="J634" t="str" cm="1">
        <f t="array" ref="J634">_xlfn.IFS(I634="S","Southamptom",I634="Q","Quentown",I634="C","Cherbrug",I634="B","Cabin")</f>
        <v>Southamptom</v>
      </c>
      <c r="K634" t="s">
        <v>17</v>
      </c>
      <c r="L634" s="2">
        <v>8.0808</v>
      </c>
      <c r="M634" s="2" t="str" cm="1">
        <f t="array" ref="M634">_xlfn.IFS(L634&lt;=15,"Low Fare",L634&lt;=35,"Medium Fare",L634&lt;=100,"High Fare",L634&gt;=100,"Very High Fare")</f>
        <v>Low Fare</v>
      </c>
      <c r="N634" s="2">
        <v>0</v>
      </c>
      <c r="O634" s="2">
        <v>0</v>
      </c>
      <c r="P634">
        <f t="shared" si="37"/>
        <v>1</v>
      </c>
      <c r="Q634" t="str">
        <f t="shared" si="38"/>
        <v>Alone</v>
      </c>
      <c r="R634" t="str">
        <f t="shared" si="39"/>
        <v>No</v>
      </c>
      <c r="S634" t="s">
        <v>13</v>
      </c>
    </row>
    <row r="635" spans="1:19" x14ac:dyDescent="0.3">
      <c r="A635" s="1" t="s">
        <v>485</v>
      </c>
      <c r="B635" t="s">
        <v>1596</v>
      </c>
      <c r="C635" t="s">
        <v>2174</v>
      </c>
      <c r="D635" t="str">
        <f t="shared" si="36"/>
        <v>Male</v>
      </c>
      <c r="E635" t="s">
        <v>9</v>
      </c>
      <c r="F635" s="2">
        <v>34</v>
      </c>
      <c r="G635" s="2" t="str" cm="1">
        <f t="array" ref="G635">_xlfn.IFS(F635&lt;=8,"Child",F635&lt;=17,"Teen",F635&lt;=35,"Adult",F635&lt;=55,"Seniour Adult",F635&gt;=55,"Old Age")</f>
        <v>Adult</v>
      </c>
      <c r="H635" t="s">
        <v>18</v>
      </c>
      <c r="I635" t="s">
        <v>11</v>
      </c>
      <c r="J635" t="str" cm="1">
        <f t="array" ref="J635">_xlfn.IFS(I635="S","Southamptom",I635="Q","Quentown",I635="C","Cherbrug",I635="B","Cabin")</f>
        <v>Southamptom</v>
      </c>
      <c r="K635" t="s">
        <v>55</v>
      </c>
      <c r="L635" s="2">
        <v>26</v>
      </c>
      <c r="M635" s="2" t="str" cm="1">
        <f t="array" ref="M635">_xlfn.IFS(L635&lt;=15,"Low Fare",L635&lt;=35,"Medium Fare",L635&lt;=100,"High Fare",L635&gt;=100,"Very High Fare")</f>
        <v>Medium Fare</v>
      </c>
      <c r="N635" s="2">
        <v>1</v>
      </c>
      <c r="O635" s="2">
        <v>0</v>
      </c>
      <c r="P635">
        <f t="shared" si="37"/>
        <v>2</v>
      </c>
      <c r="Q635" t="str">
        <f t="shared" si="38"/>
        <v>With Family</v>
      </c>
      <c r="R635" t="str">
        <f t="shared" si="39"/>
        <v>No</v>
      </c>
      <c r="S635" t="s">
        <v>13</v>
      </c>
    </row>
    <row r="636" spans="1:19" x14ac:dyDescent="0.3">
      <c r="A636" s="1" t="s">
        <v>485</v>
      </c>
      <c r="B636" t="s">
        <v>1600</v>
      </c>
      <c r="C636" t="s">
        <v>2175</v>
      </c>
      <c r="D636" t="str">
        <f t="shared" si="36"/>
        <v>Female</v>
      </c>
      <c r="E636" t="s">
        <v>14</v>
      </c>
      <c r="F636" s="2">
        <v>24</v>
      </c>
      <c r="G636" s="2" t="str" cm="1">
        <f t="array" ref="G636">_xlfn.IFS(F636&lt;=8,"Child",F636&lt;=17,"Teen",F636&lt;=35,"Adult",F636&lt;=55,"Seniour Adult",F636&gt;=55,"Old Age")</f>
        <v>Adult</v>
      </c>
      <c r="H636" t="s">
        <v>18</v>
      </c>
      <c r="I636" t="s">
        <v>11</v>
      </c>
      <c r="J636" t="str" cm="1">
        <f t="array" ref="J636">_xlfn.IFS(I636="S","Southamptom",I636="Q","Quentown",I636="C","Cherbrug",I636="B","Cabin")</f>
        <v>Southamptom</v>
      </c>
      <c r="K636" t="s">
        <v>55</v>
      </c>
      <c r="L636" s="2">
        <v>26</v>
      </c>
      <c r="M636" s="2" t="str" cm="1">
        <f t="array" ref="M636">_xlfn.IFS(L636&lt;=15,"Low Fare",L636&lt;=35,"Medium Fare",L636&lt;=100,"High Fare",L636&gt;=100,"Very High Fare")</f>
        <v>Medium Fare</v>
      </c>
      <c r="N636" s="2">
        <v>1</v>
      </c>
      <c r="O636" s="2">
        <v>0</v>
      </c>
      <c r="P636">
        <f t="shared" si="37"/>
        <v>2</v>
      </c>
      <c r="Q636" t="str">
        <f t="shared" si="38"/>
        <v>With Family</v>
      </c>
      <c r="R636" t="str">
        <f t="shared" si="39"/>
        <v>Yes</v>
      </c>
      <c r="S636" t="s">
        <v>16</v>
      </c>
    </row>
    <row r="637" spans="1:19" x14ac:dyDescent="0.3">
      <c r="A637" s="1" t="s">
        <v>486</v>
      </c>
      <c r="B637" t="s">
        <v>1596</v>
      </c>
      <c r="C637" t="s">
        <v>2176</v>
      </c>
      <c r="D637" t="str">
        <f t="shared" si="36"/>
        <v>Male</v>
      </c>
      <c r="E637" t="s">
        <v>9</v>
      </c>
      <c r="F637" s="2">
        <v>30</v>
      </c>
      <c r="G637" s="2" t="str" cm="1">
        <f t="array" ref="G637">_xlfn.IFS(F637&lt;=8,"Child",F637&lt;=17,"Teen",F637&lt;=35,"Adult",F637&lt;=55,"Seniour Adult",F637&gt;=55,"Old Age")</f>
        <v>Adult</v>
      </c>
      <c r="H637" t="s">
        <v>10</v>
      </c>
      <c r="I637" t="s">
        <v>11</v>
      </c>
      <c r="J637" t="str" cm="1">
        <f t="array" ref="J637">_xlfn.IFS(I637="S","Southamptom",I637="Q","Quentown",I637="C","Cherbrug",I637="B","Cabin")</f>
        <v>Southamptom</v>
      </c>
      <c r="K637" t="s">
        <v>35</v>
      </c>
      <c r="L637" s="2">
        <v>7.1711</v>
      </c>
      <c r="M637" s="2" t="str" cm="1">
        <f t="array" ref="M637">_xlfn.IFS(L637&lt;=15,"Low Fare",L637&lt;=35,"Medium Fare",L637&lt;=100,"High Fare",L637&gt;=100,"Very High Fare")</f>
        <v>Low Fare</v>
      </c>
      <c r="N637" s="2">
        <v>0</v>
      </c>
      <c r="O637" s="2">
        <v>0</v>
      </c>
      <c r="P637">
        <f t="shared" si="37"/>
        <v>1</v>
      </c>
      <c r="Q637" t="str">
        <f t="shared" si="38"/>
        <v>Alone</v>
      </c>
      <c r="R637" t="str">
        <f t="shared" si="39"/>
        <v>No</v>
      </c>
      <c r="S637" t="s">
        <v>13</v>
      </c>
    </row>
    <row r="638" spans="1:19" x14ac:dyDescent="0.3">
      <c r="A638" s="1" t="s">
        <v>487</v>
      </c>
      <c r="B638" t="s">
        <v>1596</v>
      </c>
      <c r="C638" t="s">
        <v>2177</v>
      </c>
      <c r="D638" t="str">
        <f t="shared" si="36"/>
        <v>Male</v>
      </c>
      <c r="E638" t="s">
        <v>9</v>
      </c>
      <c r="F638" s="2">
        <v>21</v>
      </c>
      <c r="G638" s="2" t="str" cm="1">
        <f t="array" ref="G638">_xlfn.IFS(F638&lt;=8,"Child",F638&lt;=17,"Teen",F638&lt;=35,"Adult",F638&lt;=55,"Seniour Adult",F638&gt;=55,"Old Age")</f>
        <v>Adult</v>
      </c>
      <c r="H638" t="s">
        <v>10</v>
      </c>
      <c r="I638" t="s">
        <v>11</v>
      </c>
      <c r="J638" t="str" cm="1">
        <f t="array" ref="J638">_xlfn.IFS(I638="S","Southamptom",I638="Q","Quentown",I638="C","Cherbrug",I638="B","Cabin")</f>
        <v>Southamptom</v>
      </c>
      <c r="K638" t="s">
        <v>23</v>
      </c>
      <c r="L638" s="2">
        <v>7.1510999999999996</v>
      </c>
      <c r="M638" s="2" t="str" cm="1">
        <f t="array" ref="M638">_xlfn.IFS(L638&lt;=15,"Low Fare",L638&lt;=35,"Medium Fare",L638&lt;=100,"High Fare",L638&gt;=100,"Very High Fare")</f>
        <v>Low Fare</v>
      </c>
      <c r="N638" s="2">
        <v>0</v>
      </c>
      <c r="O638" s="2">
        <v>0</v>
      </c>
      <c r="P638">
        <f t="shared" si="37"/>
        <v>1</v>
      </c>
      <c r="Q638" t="str">
        <f t="shared" si="38"/>
        <v>Alone</v>
      </c>
      <c r="R638" t="str">
        <f t="shared" si="39"/>
        <v>Yes</v>
      </c>
      <c r="S638" t="s">
        <v>16</v>
      </c>
    </row>
    <row r="639" spans="1:19" x14ac:dyDescent="0.3">
      <c r="A639" s="1" t="s">
        <v>487</v>
      </c>
      <c r="B639" t="s">
        <v>1596</v>
      </c>
      <c r="C639" t="s">
        <v>2178</v>
      </c>
      <c r="D639" t="str">
        <f t="shared" si="36"/>
        <v>Male</v>
      </c>
      <c r="E639" t="s">
        <v>9</v>
      </c>
      <c r="F639" s="2">
        <v>33</v>
      </c>
      <c r="G639" s="2" t="str" cm="1">
        <f t="array" ref="G639">_xlfn.IFS(F639&lt;=8,"Child",F639&lt;=17,"Teen",F639&lt;=35,"Adult",F639&lt;=55,"Seniour Adult",F639&gt;=55,"Old Age")</f>
        <v>Adult</v>
      </c>
      <c r="H639" t="s">
        <v>10</v>
      </c>
      <c r="I639" t="s">
        <v>11</v>
      </c>
      <c r="J639" t="str" cm="1">
        <f t="array" ref="J639">_xlfn.IFS(I639="S","Southamptom",I639="Q","Quentown",I639="C","Cherbrug",I639="B","Cabin")</f>
        <v>Southamptom</v>
      </c>
      <c r="K639" t="s">
        <v>23</v>
      </c>
      <c r="L639" s="2">
        <v>7.1700999999999997</v>
      </c>
      <c r="M639" s="2" t="str" cm="1">
        <f t="array" ref="M639">_xlfn.IFS(L639&lt;=15,"Low Fare",L639&lt;=35,"Medium Fare",L639&lt;=100,"High Fare",L639&gt;=100,"Very High Fare")</f>
        <v>Low Fare</v>
      </c>
      <c r="N639" s="2">
        <v>0</v>
      </c>
      <c r="O639" s="2">
        <v>0</v>
      </c>
      <c r="P639">
        <f t="shared" si="37"/>
        <v>1</v>
      </c>
      <c r="Q639" t="str">
        <f t="shared" si="38"/>
        <v>Alone</v>
      </c>
      <c r="R639" t="str">
        <f t="shared" si="39"/>
        <v>No</v>
      </c>
      <c r="S639" t="s">
        <v>13</v>
      </c>
    </row>
    <row r="640" spans="1:19" x14ac:dyDescent="0.3">
      <c r="A640" s="1" t="s">
        <v>487</v>
      </c>
      <c r="B640" t="s">
        <v>1596</v>
      </c>
      <c r="C640" t="s">
        <v>2179</v>
      </c>
      <c r="D640" t="str">
        <f t="shared" si="36"/>
        <v>Male</v>
      </c>
      <c r="E640" t="s">
        <v>9</v>
      </c>
      <c r="F640" s="2">
        <v>22</v>
      </c>
      <c r="G640" s="2" t="str" cm="1">
        <f t="array" ref="G640">_xlfn.IFS(F640&lt;=8,"Child",F640&lt;=17,"Teen",F640&lt;=35,"Adult",F640&lt;=55,"Seniour Adult",F640&gt;=55,"Old Age")</f>
        <v>Adult</v>
      </c>
      <c r="H640" t="s">
        <v>10</v>
      </c>
      <c r="I640" t="s">
        <v>11</v>
      </c>
      <c r="J640" t="str" cm="1">
        <f t="array" ref="J640">_xlfn.IFS(I640="S","Southamptom",I640="Q","Quentown",I640="C","Cherbrug",I640="B","Cabin")</f>
        <v>Southamptom</v>
      </c>
      <c r="K640" t="s">
        <v>23</v>
      </c>
      <c r="L640" s="2">
        <v>7.1005000000000003</v>
      </c>
      <c r="M640" s="2" t="str" cm="1">
        <f t="array" ref="M640">_xlfn.IFS(L640&lt;=15,"Low Fare",L640&lt;=35,"Medium Fare",L640&lt;=100,"High Fare",L640&gt;=100,"Very High Fare")</f>
        <v>Low Fare</v>
      </c>
      <c r="N640" s="2">
        <v>0</v>
      </c>
      <c r="O640" s="2">
        <v>0</v>
      </c>
      <c r="P640">
        <f t="shared" si="37"/>
        <v>1</v>
      </c>
      <c r="Q640" t="str">
        <f t="shared" si="38"/>
        <v>Alone</v>
      </c>
      <c r="R640" t="str">
        <f t="shared" si="39"/>
        <v>No</v>
      </c>
      <c r="S640" t="s">
        <v>13</v>
      </c>
    </row>
    <row r="641" spans="1:19" x14ac:dyDescent="0.3">
      <c r="A641" s="1" t="s">
        <v>488</v>
      </c>
      <c r="B641" t="s">
        <v>1600</v>
      </c>
      <c r="C641" t="s">
        <v>2180</v>
      </c>
      <c r="D641" t="str">
        <f t="shared" si="36"/>
        <v>Female</v>
      </c>
      <c r="E641" t="s">
        <v>14</v>
      </c>
      <c r="F641" s="2">
        <v>22</v>
      </c>
      <c r="G641" s="2" t="str" cm="1">
        <f t="array" ref="G641">_xlfn.IFS(F641&lt;=8,"Child",F641&lt;=17,"Teen",F641&lt;=35,"Adult",F641&lt;=55,"Seniour Adult",F641&gt;=55,"Old Age")</f>
        <v>Adult</v>
      </c>
      <c r="H641" t="s">
        <v>18</v>
      </c>
      <c r="I641" t="s">
        <v>11</v>
      </c>
      <c r="J641" t="str" cm="1">
        <f t="array" ref="J641">_xlfn.IFS(I641="S","Southamptom",I641="Q","Quentown",I641="C","Cherbrug",I641="B","Cabin")</f>
        <v>Southamptom</v>
      </c>
      <c r="K641" t="s">
        <v>12</v>
      </c>
      <c r="L641" s="2">
        <v>21</v>
      </c>
      <c r="M641" s="2" t="str" cm="1">
        <f t="array" ref="M641">_xlfn.IFS(L641&lt;=15,"Low Fare",L641&lt;=35,"Medium Fare",L641&lt;=100,"High Fare",L641&gt;=100,"Very High Fare")</f>
        <v>Medium Fare</v>
      </c>
      <c r="N641" s="2">
        <v>0</v>
      </c>
      <c r="O641" s="2">
        <v>0</v>
      </c>
      <c r="P641">
        <f t="shared" si="37"/>
        <v>1</v>
      </c>
      <c r="Q641" t="str">
        <f t="shared" si="38"/>
        <v>Alone</v>
      </c>
      <c r="R641" t="str">
        <f t="shared" si="39"/>
        <v>No</v>
      </c>
      <c r="S641" t="s">
        <v>13</v>
      </c>
    </row>
    <row r="642" spans="1:19" x14ac:dyDescent="0.3">
      <c r="A642" s="1" t="s">
        <v>489</v>
      </c>
      <c r="B642" t="s">
        <v>1602</v>
      </c>
      <c r="C642" t="s">
        <v>2181</v>
      </c>
      <c r="D642" t="str">
        <f t="shared" si="36"/>
        <v>Female</v>
      </c>
      <c r="E642" t="s">
        <v>14</v>
      </c>
      <c r="F642" s="2">
        <v>5</v>
      </c>
      <c r="G642" s="2" t="str" cm="1">
        <f t="array" ref="G642">_xlfn.IFS(F642&lt;=8,"Child",F642&lt;=17,"Teen",F642&lt;=35,"Adult",F642&lt;=55,"Seniour Adult",F642&gt;=55,"Old Age")</f>
        <v>Child</v>
      </c>
      <c r="H642" t="s">
        <v>10</v>
      </c>
      <c r="I642" t="s">
        <v>19</v>
      </c>
      <c r="J642" t="str" cm="1">
        <f t="array" ref="J642">_xlfn.IFS(I642="S","Southamptom",I642="Q","Quentown",I642="C","Cherbrug",I642="B","Cabin")</f>
        <v>Cherbrug</v>
      </c>
      <c r="K642" t="s">
        <v>56</v>
      </c>
      <c r="L642" s="2">
        <v>13.080399999999999</v>
      </c>
      <c r="M642" s="2" t="str" cm="1">
        <f t="array" ref="M642">_xlfn.IFS(L642&lt;=15,"Low Fare",L642&lt;=35,"Medium Fare",L642&lt;=100,"High Fare",L642&gt;=100,"Very High Fare")</f>
        <v>Low Fare</v>
      </c>
      <c r="N642" s="2">
        <v>0</v>
      </c>
      <c r="O642" s="2">
        <v>1</v>
      </c>
      <c r="P642">
        <f t="shared" si="37"/>
        <v>2</v>
      </c>
      <c r="Q642" t="str">
        <f t="shared" si="38"/>
        <v>With Family</v>
      </c>
      <c r="R642" t="str">
        <f t="shared" si="39"/>
        <v>Yes</v>
      </c>
      <c r="S642" t="s">
        <v>16</v>
      </c>
    </row>
    <row r="643" spans="1:19" x14ac:dyDescent="0.3">
      <c r="A643" s="1" t="s">
        <v>489</v>
      </c>
      <c r="B643" t="s">
        <v>1596</v>
      </c>
      <c r="C643" t="s">
        <v>2182</v>
      </c>
      <c r="D643" t="str">
        <f t="shared" ref="D643:D706" si="40">PROPER(E643)</f>
        <v>Male</v>
      </c>
      <c r="E643" t="s">
        <v>9</v>
      </c>
      <c r="F643" s="2">
        <v>39</v>
      </c>
      <c r="G643" s="2" t="str" cm="1">
        <f t="array" ref="G643">_xlfn.IFS(F643&lt;=8,"Child",F643&lt;=17,"Teen",F643&lt;=35,"Adult",F643&lt;=55,"Seniour Adult",F643&gt;=55,"Old Age")</f>
        <v>Seniour Adult</v>
      </c>
      <c r="H643" t="s">
        <v>10</v>
      </c>
      <c r="I643" t="s">
        <v>19</v>
      </c>
      <c r="J643" t="str" cm="1">
        <f t="array" ref="J643">_xlfn.IFS(I643="S","Southamptom",I643="Q","Quentown",I643="C","Cherbrug",I643="B","Cabin")</f>
        <v>Cherbrug</v>
      </c>
      <c r="K643" t="s">
        <v>12</v>
      </c>
      <c r="L643" s="2">
        <v>13.080399999999999</v>
      </c>
      <c r="M643" s="2" t="str" cm="1">
        <f t="array" ref="M643">_xlfn.IFS(L643&lt;=15,"Low Fare",L643&lt;=35,"Medium Fare",L643&lt;=100,"High Fare",L643&gt;=100,"Very High Fare")</f>
        <v>Low Fare</v>
      </c>
      <c r="N643" s="2">
        <v>0</v>
      </c>
      <c r="O643" s="2">
        <v>1</v>
      </c>
      <c r="P643">
        <f t="shared" ref="P643:P706" si="41">N643+O643+1</f>
        <v>2</v>
      </c>
      <c r="Q643" t="str">
        <f t="shared" ref="Q643:Q706" si="42">IF(P643=1,"Alone","With Family")</f>
        <v>With Family</v>
      </c>
      <c r="R643" t="str">
        <f t="shared" ref="R643:R706" si="43">PROPER(S643)</f>
        <v>Yes</v>
      </c>
      <c r="S643" t="s">
        <v>16</v>
      </c>
    </row>
    <row r="644" spans="1:19" x14ac:dyDescent="0.3">
      <c r="A644" s="1" t="s">
        <v>490</v>
      </c>
      <c r="B644" t="s">
        <v>1596</v>
      </c>
      <c r="C644" t="s">
        <v>2183</v>
      </c>
      <c r="D644" t="str">
        <f t="shared" si="40"/>
        <v>Male</v>
      </c>
      <c r="E644" t="s">
        <v>9</v>
      </c>
      <c r="F644" s="2">
        <v>19</v>
      </c>
      <c r="G644" s="2" t="str" cm="1">
        <f t="array" ref="G644">_xlfn.IFS(F644&lt;=8,"Child",F644&lt;=17,"Teen",F644&lt;=35,"Adult",F644&lt;=55,"Seniour Adult",F644&gt;=55,"Old Age")</f>
        <v>Adult</v>
      </c>
      <c r="H644" t="s">
        <v>10</v>
      </c>
      <c r="I644" t="s">
        <v>19</v>
      </c>
      <c r="J644" t="str" cm="1">
        <f t="array" ref="J644">_xlfn.IFS(I644="S","Southamptom",I644="Q","Quentown",I644="C","Cherbrug",I644="B","Cabin")</f>
        <v>Cherbrug</v>
      </c>
      <c r="K644" t="s">
        <v>57</v>
      </c>
      <c r="L644" s="2">
        <v>7.0407000000000002</v>
      </c>
      <c r="M644" s="2" t="str" cm="1">
        <f t="array" ref="M644">_xlfn.IFS(L644&lt;=15,"Low Fare",L644&lt;=35,"Medium Fare",L644&lt;=100,"High Fare",L644&gt;=100,"Very High Fare")</f>
        <v>Low Fare</v>
      </c>
      <c r="N644" s="2">
        <v>0</v>
      </c>
      <c r="O644" s="2">
        <v>0</v>
      </c>
      <c r="P644">
        <f t="shared" si="41"/>
        <v>1</v>
      </c>
      <c r="Q644" t="str">
        <f t="shared" si="42"/>
        <v>Alone</v>
      </c>
      <c r="R644" t="str">
        <f t="shared" si="43"/>
        <v>No</v>
      </c>
      <c r="S644" t="s">
        <v>13</v>
      </c>
    </row>
    <row r="645" spans="1:19" x14ac:dyDescent="0.3">
      <c r="A645" s="1" t="s">
        <v>491</v>
      </c>
      <c r="B645" t="s">
        <v>1602</v>
      </c>
      <c r="C645" t="s">
        <v>2184</v>
      </c>
      <c r="D645" t="str">
        <f t="shared" si="40"/>
        <v>Female</v>
      </c>
      <c r="E645" t="s">
        <v>14</v>
      </c>
      <c r="F645" s="2">
        <v>46</v>
      </c>
      <c r="G645" s="2" t="str" cm="1">
        <f t="array" ref="G645">_xlfn.IFS(F645&lt;=8,"Child",F645&lt;=17,"Teen",F645&lt;=35,"Adult",F645&lt;=55,"Seniour Adult",F645&gt;=55,"Old Age")</f>
        <v>Seniour Adult</v>
      </c>
      <c r="H645" t="s">
        <v>18</v>
      </c>
      <c r="I645" t="s">
        <v>36</v>
      </c>
      <c r="J645" t="str" cm="1">
        <f t="array" ref="J645">_xlfn.IFS(I645="S","Southamptom",I645="Q","Quentown",I645="C","Cherbrug",I645="B","Cabin")</f>
        <v>Quentown</v>
      </c>
      <c r="K645" t="s">
        <v>37</v>
      </c>
      <c r="L645" s="2">
        <v>12.07</v>
      </c>
      <c r="M645" s="2" t="str" cm="1">
        <f t="array" ref="M645">_xlfn.IFS(L645&lt;=15,"Low Fare",L645&lt;=35,"Medium Fare",L645&lt;=100,"High Fare",L645&gt;=100,"Very High Fare")</f>
        <v>Low Fare</v>
      </c>
      <c r="N645" s="2">
        <v>0</v>
      </c>
      <c r="O645" s="2">
        <v>0</v>
      </c>
      <c r="P645">
        <f t="shared" si="41"/>
        <v>1</v>
      </c>
      <c r="Q645" t="str">
        <f t="shared" si="42"/>
        <v>Alone</v>
      </c>
      <c r="R645" t="str">
        <f t="shared" si="43"/>
        <v>Yes</v>
      </c>
      <c r="S645" t="s">
        <v>16</v>
      </c>
    </row>
    <row r="646" spans="1:19" x14ac:dyDescent="0.3">
      <c r="A646" s="1" t="s">
        <v>491</v>
      </c>
      <c r="B646" t="s">
        <v>1596</v>
      </c>
      <c r="C646" t="s">
        <v>2185</v>
      </c>
      <c r="D646" t="str">
        <f t="shared" si="40"/>
        <v>Male</v>
      </c>
      <c r="E646" t="s">
        <v>9</v>
      </c>
      <c r="F646" s="2">
        <v>23</v>
      </c>
      <c r="G646" s="2" t="str" cm="1">
        <f t="array" ref="G646">_xlfn.IFS(F646&lt;=8,"Child",F646&lt;=17,"Teen",F646&lt;=35,"Adult",F646&lt;=55,"Seniour Adult",F646&gt;=55,"Old Age")</f>
        <v>Adult</v>
      </c>
      <c r="H646" t="s">
        <v>10</v>
      </c>
      <c r="I646" t="s">
        <v>36</v>
      </c>
      <c r="J646" t="str" cm="1">
        <f t="array" ref="J646">_xlfn.IFS(I646="S","Southamptom",I646="Q","Quentown",I646="C","Cherbrug",I646="B","Cabin")</f>
        <v>Quentown</v>
      </c>
      <c r="K646" t="s">
        <v>37</v>
      </c>
      <c r="L646" s="2">
        <v>7.15</v>
      </c>
      <c r="M646" s="2" t="str" cm="1">
        <f t="array" ref="M646">_xlfn.IFS(L646&lt;=15,"Low Fare",L646&lt;=35,"Medium Fare",L646&lt;=100,"High Fare",L646&gt;=100,"Very High Fare")</f>
        <v>Low Fare</v>
      </c>
      <c r="N646" s="2">
        <v>0</v>
      </c>
      <c r="O646" s="2">
        <v>0</v>
      </c>
      <c r="P646">
        <f t="shared" si="41"/>
        <v>1</v>
      </c>
      <c r="Q646" t="str">
        <f t="shared" si="42"/>
        <v>Alone</v>
      </c>
      <c r="R646" t="str">
        <f t="shared" si="43"/>
        <v>No</v>
      </c>
      <c r="S646" t="s">
        <v>13</v>
      </c>
    </row>
    <row r="647" spans="1:19" x14ac:dyDescent="0.3">
      <c r="A647" s="1" t="s">
        <v>491</v>
      </c>
      <c r="B647" t="s">
        <v>1596</v>
      </c>
      <c r="C647" t="s">
        <v>1764</v>
      </c>
      <c r="D647" t="str">
        <f t="shared" si="40"/>
        <v>Male</v>
      </c>
      <c r="E647" t="s">
        <v>9</v>
      </c>
      <c r="F647" s="2">
        <v>35</v>
      </c>
      <c r="G647" s="2" t="str" cm="1">
        <f t="array" ref="G647">_xlfn.IFS(F647&lt;=8,"Child",F647&lt;=17,"Teen",F647&lt;=35,"Adult",F647&lt;=55,"Seniour Adult",F647&gt;=55,"Old Age")</f>
        <v>Adult</v>
      </c>
      <c r="H647" t="s">
        <v>18</v>
      </c>
      <c r="I647" t="s">
        <v>36</v>
      </c>
      <c r="J647" t="str" cm="1">
        <f t="array" ref="J647">_xlfn.IFS(I647="S","Southamptom",I647="Q","Quentown",I647="C","Cherbrug",I647="B","Cabin")</f>
        <v>Quentown</v>
      </c>
      <c r="K647" t="s">
        <v>37</v>
      </c>
      <c r="L647" s="2">
        <v>12.07</v>
      </c>
      <c r="M647" s="2" t="str" cm="1">
        <f t="array" ref="M647">_xlfn.IFS(L647&lt;=15,"Low Fare",L647&lt;=35,"Medium Fare",L647&lt;=100,"High Fare",L647&gt;=100,"Very High Fare")</f>
        <v>Low Fare</v>
      </c>
      <c r="N647" s="2">
        <v>0</v>
      </c>
      <c r="O647" s="2">
        <v>0</v>
      </c>
      <c r="P647">
        <f t="shared" si="41"/>
        <v>1</v>
      </c>
      <c r="Q647" t="str">
        <f t="shared" si="42"/>
        <v>Alone</v>
      </c>
      <c r="R647" t="str">
        <f t="shared" si="43"/>
        <v>No</v>
      </c>
      <c r="S647" t="s">
        <v>13</v>
      </c>
    </row>
    <row r="648" spans="1:19" x14ac:dyDescent="0.3">
      <c r="A648" s="1" t="s">
        <v>492</v>
      </c>
      <c r="B648" t="s">
        <v>1596</v>
      </c>
      <c r="C648" t="s">
        <v>1976</v>
      </c>
      <c r="D648" t="str">
        <f t="shared" si="40"/>
        <v>Male</v>
      </c>
      <c r="E648" t="s">
        <v>9</v>
      </c>
      <c r="F648" s="2">
        <v>39</v>
      </c>
      <c r="G648" s="2" t="str" cm="1">
        <f t="array" ref="G648">_xlfn.IFS(F648&lt;=8,"Child",F648&lt;=17,"Teen",F648&lt;=35,"Adult",F648&lt;=55,"Seniour Adult",F648&gt;=55,"Old Age")</f>
        <v>Seniour Adult</v>
      </c>
      <c r="H648" t="s">
        <v>10</v>
      </c>
      <c r="I648" t="s">
        <v>11</v>
      </c>
      <c r="J648" t="str" cm="1">
        <f t="array" ref="J648">_xlfn.IFS(I648="S","Southamptom",I648="Q","Quentown",I648="C","Cherbrug",I648="B","Cabin")</f>
        <v>Southamptom</v>
      </c>
      <c r="K648" t="s">
        <v>12</v>
      </c>
      <c r="L648" s="2">
        <v>7.05</v>
      </c>
      <c r="M648" s="2" t="str" cm="1">
        <f t="array" ref="M648">_xlfn.IFS(L648&lt;=15,"Low Fare",L648&lt;=35,"Medium Fare",L648&lt;=100,"High Fare",L648&gt;=100,"Very High Fare")</f>
        <v>Low Fare</v>
      </c>
      <c r="N648" s="2">
        <v>0</v>
      </c>
      <c r="O648" s="2">
        <v>0</v>
      </c>
      <c r="P648">
        <f t="shared" si="41"/>
        <v>1</v>
      </c>
      <c r="Q648" t="str">
        <f t="shared" si="42"/>
        <v>Alone</v>
      </c>
      <c r="R648" t="str">
        <f t="shared" si="43"/>
        <v>No</v>
      </c>
      <c r="S648" t="s">
        <v>13</v>
      </c>
    </row>
    <row r="649" spans="1:19" x14ac:dyDescent="0.3">
      <c r="A649" s="1" t="s">
        <v>493</v>
      </c>
      <c r="B649" t="s">
        <v>1596</v>
      </c>
      <c r="C649" t="s">
        <v>2186</v>
      </c>
      <c r="D649" t="str">
        <f t="shared" si="40"/>
        <v>Male</v>
      </c>
      <c r="E649" t="s">
        <v>9</v>
      </c>
      <c r="F649" s="2">
        <v>33</v>
      </c>
      <c r="G649" s="2" t="str" cm="1">
        <f t="array" ref="G649">_xlfn.IFS(F649&lt;=8,"Child",F649&lt;=17,"Teen",F649&lt;=35,"Adult",F649&lt;=55,"Seniour Adult",F649&gt;=55,"Old Age")</f>
        <v>Adult</v>
      </c>
      <c r="H649" t="s">
        <v>25</v>
      </c>
      <c r="I649" t="s">
        <v>11</v>
      </c>
      <c r="J649" t="str" cm="1">
        <f t="array" ref="J649">_xlfn.IFS(I649="S","Southamptom",I649="Q","Quentown",I649="C","Cherbrug",I649="B","Cabin")</f>
        <v>Southamptom</v>
      </c>
      <c r="K649" t="s">
        <v>15</v>
      </c>
      <c r="L649" s="2">
        <v>211.1</v>
      </c>
      <c r="M649" s="2" t="str" cm="1">
        <f t="array" ref="M649">_xlfn.IFS(L649&lt;=15,"Low Fare",L649&lt;=35,"Medium Fare",L649&lt;=100,"High Fare",L649&gt;=100,"Very High Fare")</f>
        <v>Very High Fare</v>
      </c>
      <c r="N649" s="2">
        <v>0</v>
      </c>
      <c r="O649" s="2">
        <v>0</v>
      </c>
      <c r="P649">
        <f t="shared" si="41"/>
        <v>1</v>
      </c>
      <c r="Q649" t="str">
        <f t="shared" si="42"/>
        <v>Alone</v>
      </c>
      <c r="R649" t="str">
        <f t="shared" si="43"/>
        <v>No</v>
      </c>
      <c r="S649" t="s">
        <v>13</v>
      </c>
    </row>
    <row r="650" spans="1:19" x14ac:dyDescent="0.3">
      <c r="A650" s="1" t="s">
        <v>494</v>
      </c>
      <c r="B650" t="s">
        <v>1602</v>
      </c>
      <c r="C650" t="s">
        <v>2187</v>
      </c>
      <c r="D650" t="str">
        <f t="shared" si="40"/>
        <v>Female</v>
      </c>
      <c r="E650" t="s">
        <v>14</v>
      </c>
      <c r="F650" s="2">
        <v>20</v>
      </c>
      <c r="G650" s="2" t="str" cm="1">
        <f t="array" ref="G650">_xlfn.IFS(F650&lt;=8,"Child",F650&lt;=17,"Teen",F650&lt;=35,"Adult",F650&lt;=55,"Seniour Adult",F650&gt;=55,"Old Age")</f>
        <v>Adult</v>
      </c>
      <c r="H650" t="s">
        <v>10</v>
      </c>
      <c r="I650" t="s">
        <v>36</v>
      </c>
      <c r="J650" t="str" cm="1">
        <f t="array" ref="J650">_xlfn.IFS(I650="S","Southamptom",I650="Q","Quentown",I650="C","Cherbrug",I650="B","Cabin")</f>
        <v>Quentown</v>
      </c>
      <c r="K650" t="s">
        <v>37</v>
      </c>
      <c r="L650" s="2">
        <v>7.15</v>
      </c>
      <c r="M650" s="2" t="str" cm="1">
        <f t="array" ref="M650">_xlfn.IFS(L650&lt;=15,"Low Fare",L650&lt;=35,"Medium Fare",L650&lt;=100,"High Fare",L650&gt;=100,"Very High Fare")</f>
        <v>Low Fare</v>
      </c>
      <c r="N650" s="2">
        <v>0</v>
      </c>
      <c r="O650" s="2">
        <v>0</v>
      </c>
      <c r="P650">
        <f t="shared" si="41"/>
        <v>1</v>
      </c>
      <c r="Q650" t="str">
        <f t="shared" si="42"/>
        <v>Alone</v>
      </c>
      <c r="R650" t="str">
        <f t="shared" si="43"/>
        <v>Yes</v>
      </c>
      <c r="S650" t="s">
        <v>16</v>
      </c>
    </row>
    <row r="651" spans="1:19" x14ac:dyDescent="0.3">
      <c r="A651" s="1" t="s">
        <v>494</v>
      </c>
      <c r="B651" t="s">
        <v>1602</v>
      </c>
      <c r="C651" t="s">
        <v>1734</v>
      </c>
      <c r="D651" t="str">
        <f t="shared" si="40"/>
        <v>Female</v>
      </c>
      <c r="E651" t="s">
        <v>14</v>
      </c>
      <c r="F651" s="2">
        <v>22</v>
      </c>
      <c r="G651" s="2" t="str" cm="1">
        <f t="array" ref="G651">_xlfn.IFS(F651&lt;=8,"Child",F651&lt;=17,"Teen",F651&lt;=35,"Adult",F651&lt;=55,"Seniour Adult",F651&gt;=55,"Old Age")</f>
        <v>Adult</v>
      </c>
      <c r="H651" t="s">
        <v>10</v>
      </c>
      <c r="I651" t="s">
        <v>36</v>
      </c>
      <c r="J651" t="str" cm="1">
        <f t="array" ref="J651">_xlfn.IFS(I651="S","Southamptom",I651="Q","Quentown",I651="C","Cherbrug",I651="B","Cabin")</f>
        <v>Quentown</v>
      </c>
      <c r="K651" t="s">
        <v>37</v>
      </c>
      <c r="L651" s="2">
        <v>7.15</v>
      </c>
      <c r="M651" s="2" t="str" cm="1">
        <f t="array" ref="M651">_xlfn.IFS(L651&lt;=15,"Low Fare",L651&lt;=35,"Medium Fare",L651&lt;=100,"High Fare",L651&gt;=100,"Very High Fare")</f>
        <v>Low Fare</v>
      </c>
      <c r="N651" s="2">
        <v>0</v>
      </c>
      <c r="O651" s="2">
        <v>0</v>
      </c>
      <c r="P651">
        <f t="shared" si="41"/>
        <v>1</v>
      </c>
      <c r="Q651" t="str">
        <f t="shared" si="42"/>
        <v>Alone</v>
      </c>
      <c r="R651" t="str">
        <f t="shared" si="43"/>
        <v>Yes</v>
      </c>
      <c r="S651" t="s">
        <v>16</v>
      </c>
    </row>
    <row r="652" spans="1:19" x14ac:dyDescent="0.3">
      <c r="A652" s="1" t="s">
        <v>494</v>
      </c>
      <c r="B652" t="s">
        <v>1596</v>
      </c>
      <c r="C652" t="s">
        <v>1965</v>
      </c>
      <c r="D652" t="str">
        <f t="shared" si="40"/>
        <v>Male</v>
      </c>
      <c r="E652" t="s">
        <v>9</v>
      </c>
      <c r="F652" s="2">
        <v>19</v>
      </c>
      <c r="G652" s="2" t="str" cm="1">
        <f t="array" ref="G652">_xlfn.IFS(F652&lt;=8,"Child",F652&lt;=17,"Teen",F652&lt;=35,"Adult",F652&lt;=55,"Seniour Adult",F652&gt;=55,"Old Age")</f>
        <v>Adult</v>
      </c>
      <c r="H652" t="s">
        <v>10</v>
      </c>
      <c r="I652" t="s">
        <v>11</v>
      </c>
      <c r="J652" t="str" cm="1">
        <f t="array" ref="J652">_xlfn.IFS(I652="S","Southamptom",I652="Q","Quentown",I652="C","Cherbrug",I652="B","Cabin")</f>
        <v>Southamptom</v>
      </c>
      <c r="K652" t="s">
        <v>43</v>
      </c>
      <c r="L652" s="2">
        <v>8.01</v>
      </c>
      <c r="M652" s="2" t="str" cm="1">
        <f t="array" ref="M652">_xlfn.IFS(L652&lt;=15,"Low Fare",L652&lt;=35,"Medium Fare",L652&lt;=100,"High Fare",L652&gt;=100,"Very High Fare")</f>
        <v>Low Fare</v>
      </c>
      <c r="N652" s="2">
        <v>0</v>
      </c>
      <c r="O652" s="2">
        <v>0</v>
      </c>
      <c r="P652">
        <f t="shared" si="41"/>
        <v>1</v>
      </c>
      <c r="Q652" t="str">
        <f t="shared" si="42"/>
        <v>Alone</v>
      </c>
      <c r="R652" t="str">
        <f t="shared" si="43"/>
        <v>No</v>
      </c>
      <c r="S652" t="s">
        <v>13</v>
      </c>
    </row>
    <row r="653" spans="1:19" x14ac:dyDescent="0.3">
      <c r="A653" s="1" t="s">
        <v>494</v>
      </c>
      <c r="B653" t="s">
        <v>1600</v>
      </c>
      <c r="C653" t="s">
        <v>2188</v>
      </c>
      <c r="D653" t="str">
        <f t="shared" si="40"/>
        <v>Female</v>
      </c>
      <c r="E653" t="s">
        <v>14</v>
      </c>
      <c r="F653" s="2">
        <v>49</v>
      </c>
      <c r="G653" s="2" t="str" cm="1">
        <f t="array" ref="G653">_xlfn.IFS(F653&lt;=8,"Child",F653&lt;=17,"Teen",F653&lt;=35,"Adult",F653&lt;=55,"Seniour Adult",F653&gt;=55,"Old Age")</f>
        <v>Seniour Adult</v>
      </c>
      <c r="H653" t="s">
        <v>18</v>
      </c>
      <c r="I653" t="s">
        <v>11</v>
      </c>
      <c r="J653" t="str" cm="1">
        <f t="array" ref="J653">_xlfn.IFS(I653="S","Southamptom",I653="Q","Quentown",I653="C","Cherbrug",I653="B","Cabin")</f>
        <v>Southamptom</v>
      </c>
      <c r="K653" t="s">
        <v>15</v>
      </c>
      <c r="L653" s="2">
        <v>13.1</v>
      </c>
      <c r="M653" s="2" t="str" cm="1">
        <f t="array" ref="M653">_xlfn.IFS(L653&lt;=15,"Low Fare",L653&lt;=35,"Medium Fare",L653&lt;=100,"High Fare",L653&gt;=100,"Very High Fare")</f>
        <v>Low Fare</v>
      </c>
      <c r="N653" s="2">
        <v>0</v>
      </c>
      <c r="O653" s="2">
        <v>0</v>
      </c>
      <c r="P653">
        <f t="shared" si="41"/>
        <v>1</v>
      </c>
      <c r="Q653" t="str">
        <f t="shared" si="42"/>
        <v>Alone</v>
      </c>
      <c r="R653" t="str">
        <f t="shared" si="43"/>
        <v>Yes</v>
      </c>
      <c r="S653" t="s">
        <v>16</v>
      </c>
    </row>
    <row r="654" spans="1:19" x14ac:dyDescent="0.3">
      <c r="A654" s="1" t="s">
        <v>495</v>
      </c>
      <c r="B654" t="s">
        <v>1596</v>
      </c>
      <c r="C654" t="s">
        <v>1610</v>
      </c>
      <c r="D654" t="str">
        <f t="shared" si="40"/>
        <v>Male</v>
      </c>
      <c r="E654" t="s">
        <v>9</v>
      </c>
      <c r="F654" s="2">
        <v>24</v>
      </c>
      <c r="G654" s="2" t="str" cm="1">
        <f t="array" ref="G654">_xlfn.IFS(F654&lt;=8,"Child",F654&lt;=17,"Teen",F654&lt;=35,"Adult",F654&lt;=55,"Seniour Adult",F654&gt;=55,"Old Age")</f>
        <v>Adult</v>
      </c>
      <c r="H654" t="s">
        <v>10</v>
      </c>
      <c r="I654" t="s">
        <v>36</v>
      </c>
      <c r="J654" t="str" cm="1">
        <f t="array" ref="J654">_xlfn.IFS(I654="S","Southamptom",I654="Q","Quentown",I654="C","Cherbrug",I654="B","Cabin")</f>
        <v>Quentown</v>
      </c>
      <c r="K654" t="s">
        <v>37</v>
      </c>
      <c r="L654" s="2">
        <v>7.15</v>
      </c>
      <c r="M654" s="2" t="str" cm="1">
        <f t="array" ref="M654">_xlfn.IFS(L654&lt;=15,"Low Fare",L654&lt;=35,"Medium Fare",L654&lt;=100,"High Fare",L654&gt;=100,"Very High Fare")</f>
        <v>Low Fare</v>
      </c>
      <c r="N654" s="2">
        <v>0</v>
      </c>
      <c r="O654" s="2">
        <v>0</v>
      </c>
      <c r="P654">
        <f t="shared" si="41"/>
        <v>1</v>
      </c>
      <c r="Q654" t="str">
        <f t="shared" si="42"/>
        <v>Alone</v>
      </c>
      <c r="R654" t="str">
        <f t="shared" si="43"/>
        <v>Yes</v>
      </c>
      <c r="S654" t="s">
        <v>16</v>
      </c>
    </row>
    <row r="655" spans="1:19" x14ac:dyDescent="0.3">
      <c r="A655" s="1" t="s">
        <v>496</v>
      </c>
      <c r="B655" t="s">
        <v>1596</v>
      </c>
      <c r="C655" t="s">
        <v>2189</v>
      </c>
      <c r="D655" t="str">
        <f t="shared" si="40"/>
        <v>Male</v>
      </c>
      <c r="E655" t="s">
        <v>9</v>
      </c>
      <c r="F655" s="2">
        <v>58</v>
      </c>
      <c r="G655" s="2" t="str" cm="1">
        <f t="array" ref="G655">_xlfn.IFS(F655&lt;=8,"Child",F655&lt;=17,"Teen",F655&lt;=35,"Adult",F655&lt;=55,"Seniour Adult",F655&gt;=55,"Old Age")</f>
        <v>Old Age</v>
      </c>
      <c r="H655" t="s">
        <v>25</v>
      </c>
      <c r="I655" t="s">
        <v>19</v>
      </c>
      <c r="J655" t="str" cm="1">
        <f t="array" ref="J655">_xlfn.IFS(I655="S","Southamptom",I655="Q","Quentown",I655="C","Cherbrug",I655="B","Cabin")</f>
        <v>Cherbrug</v>
      </c>
      <c r="K655" t="s">
        <v>12</v>
      </c>
      <c r="L655" s="2">
        <v>29.14</v>
      </c>
      <c r="M655" s="2" t="str" cm="1">
        <f t="array" ref="M655">_xlfn.IFS(L655&lt;=15,"Low Fare",L655&lt;=35,"Medium Fare",L655&lt;=100,"High Fare",L655&gt;=100,"Very High Fare")</f>
        <v>Medium Fare</v>
      </c>
      <c r="N655" s="2">
        <v>0</v>
      </c>
      <c r="O655" s="2">
        <v>0</v>
      </c>
      <c r="P655">
        <f t="shared" si="41"/>
        <v>1</v>
      </c>
      <c r="Q655" t="str">
        <f t="shared" si="42"/>
        <v>Alone</v>
      </c>
      <c r="R655" t="str">
        <f t="shared" si="43"/>
        <v>No</v>
      </c>
      <c r="S655" t="s">
        <v>13</v>
      </c>
    </row>
    <row r="656" spans="1:19" x14ac:dyDescent="0.3">
      <c r="A656" s="1" t="s">
        <v>497</v>
      </c>
      <c r="B656" t="s">
        <v>1596</v>
      </c>
      <c r="C656" t="s">
        <v>2190</v>
      </c>
      <c r="D656" t="str">
        <f t="shared" si="40"/>
        <v>Male</v>
      </c>
      <c r="E656" t="s">
        <v>9</v>
      </c>
      <c r="F656" s="2">
        <v>41</v>
      </c>
      <c r="G656" s="2" t="str" cm="1">
        <f t="array" ref="G656">_xlfn.IFS(F656&lt;=8,"Child",F656&lt;=17,"Teen",F656&lt;=35,"Adult",F656&lt;=55,"Seniour Adult",F656&gt;=55,"Old Age")</f>
        <v>Seniour Adult</v>
      </c>
      <c r="H656" t="s">
        <v>25</v>
      </c>
      <c r="I656" t="s">
        <v>11</v>
      </c>
      <c r="J656" t="str" cm="1">
        <f t="array" ref="J656">_xlfn.IFS(I656="S","Southamptom",I656="Q","Quentown",I656="C","Cherbrug",I656="B","Cabin")</f>
        <v>Southamptom</v>
      </c>
      <c r="K656" t="s">
        <v>12</v>
      </c>
      <c r="L656" s="2">
        <v>51.170299999999997</v>
      </c>
      <c r="M656" s="2" t="str" cm="1">
        <f t="array" ref="M656">_xlfn.IFS(L656&lt;=15,"Low Fare",L656&lt;=35,"Medium Fare",L656&lt;=100,"High Fare",L656&gt;=100,"Very High Fare")</f>
        <v>High Fare</v>
      </c>
      <c r="N656" s="2">
        <v>1</v>
      </c>
      <c r="O656" s="2">
        <v>0</v>
      </c>
      <c r="P656">
        <f t="shared" si="41"/>
        <v>2</v>
      </c>
      <c r="Q656" t="str">
        <f t="shared" si="42"/>
        <v>With Family</v>
      </c>
      <c r="R656" t="str">
        <f t="shared" si="43"/>
        <v>No</v>
      </c>
      <c r="S656" t="s">
        <v>13</v>
      </c>
    </row>
    <row r="657" spans="1:19" x14ac:dyDescent="0.3">
      <c r="A657" s="1" t="s">
        <v>497</v>
      </c>
      <c r="B657" t="s">
        <v>1600</v>
      </c>
      <c r="C657" t="s">
        <v>2191</v>
      </c>
      <c r="D657" t="str">
        <f t="shared" si="40"/>
        <v>Female</v>
      </c>
      <c r="E657" t="s">
        <v>14</v>
      </c>
      <c r="F657" s="2">
        <v>40</v>
      </c>
      <c r="G657" s="2" t="str" cm="1">
        <f t="array" ref="G657">_xlfn.IFS(F657&lt;=8,"Child",F657&lt;=17,"Teen",F657&lt;=35,"Adult",F657&lt;=55,"Seniour Adult",F657&gt;=55,"Old Age")</f>
        <v>Seniour Adult</v>
      </c>
      <c r="H657" t="s">
        <v>25</v>
      </c>
      <c r="I657" t="s">
        <v>11</v>
      </c>
      <c r="J657" t="str" cm="1">
        <f t="array" ref="J657">_xlfn.IFS(I657="S","Southamptom",I657="Q","Quentown",I657="C","Cherbrug",I657="B","Cabin")</f>
        <v>Southamptom</v>
      </c>
      <c r="K657" t="s">
        <v>12</v>
      </c>
      <c r="L657" s="2">
        <v>51.170299999999997</v>
      </c>
      <c r="M657" s="2" t="str" cm="1">
        <f t="array" ref="M657">_xlfn.IFS(L657&lt;=15,"Low Fare",L657&lt;=35,"Medium Fare",L657&lt;=100,"High Fare",L657&gt;=100,"Very High Fare")</f>
        <v>High Fare</v>
      </c>
      <c r="N657" s="2">
        <v>1</v>
      </c>
      <c r="O657" s="2">
        <v>0</v>
      </c>
      <c r="P657">
        <f t="shared" si="41"/>
        <v>2</v>
      </c>
      <c r="Q657" t="str">
        <f t="shared" si="42"/>
        <v>With Family</v>
      </c>
      <c r="R657" t="str">
        <f t="shared" si="43"/>
        <v>Yes</v>
      </c>
      <c r="S657" t="s">
        <v>16</v>
      </c>
    </row>
    <row r="658" spans="1:19" x14ac:dyDescent="0.3">
      <c r="A658" s="1" t="s">
        <v>498</v>
      </c>
      <c r="B658" t="s">
        <v>1596</v>
      </c>
      <c r="C658" t="s">
        <v>2192</v>
      </c>
      <c r="D658" t="str">
        <f t="shared" si="40"/>
        <v>Male</v>
      </c>
      <c r="E658" t="s">
        <v>9</v>
      </c>
      <c r="F658" s="2">
        <v>25</v>
      </c>
      <c r="G658" s="2" t="str" cm="1">
        <f t="array" ref="G658">_xlfn.IFS(F658&lt;=8,"Child",F658&lt;=17,"Teen",F658&lt;=35,"Adult",F658&lt;=55,"Seniour Adult",F658&gt;=55,"Old Age")</f>
        <v>Adult</v>
      </c>
      <c r="H658" t="s">
        <v>10</v>
      </c>
      <c r="I658" t="s">
        <v>19</v>
      </c>
      <c r="J658" t="str" cm="1">
        <f t="array" ref="J658">_xlfn.IFS(I658="S","Southamptom",I658="Q","Quentown",I658="C","Cherbrug",I658="B","Cabin")</f>
        <v>Cherbrug</v>
      </c>
      <c r="K658" t="s">
        <v>21</v>
      </c>
      <c r="L658" s="2">
        <v>14.0901</v>
      </c>
      <c r="M658" s="2" t="str" cm="1">
        <f t="array" ref="M658">_xlfn.IFS(L658&lt;=15,"Low Fare",L658&lt;=35,"Medium Fare",L658&lt;=100,"High Fare",L658&gt;=100,"Very High Fare")</f>
        <v>Low Fare</v>
      </c>
      <c r="N658" s="2">
        <v>1</v>
      </c>
      <c r="O658" s="2">
        <v>0</v>
      </c>
      <c r="P658">
        <f t="shared" si="41"/>
        <v>2</v>
      </c>
      <c r="Q658" t="str">
        <f t="shared" si="42"/>
        <v>With Family</v>
      </c>
      <c r="R658" t="str">
        <f t="shared" si="43"/>
        <v>No</v>
      </c>
      <c r="S658" t="s">
        <v>13</v>
      </c>
    </row>
    <row r="659" spans="1:19" x14ac:dyDescent="0.3">
      <c r="A659" s="1" t="s">
        <v>498</v>
      </c>
      <c r="B659" t="s">
        <v>1600</v>
      </c>
      <c r="C659" t="s">
        <v>2193</v>
      </c>
      <c r="D659" t="str">
        <f t="shared" si="40"/>
        <v>Female</v>
      </c>
      <c r="E659" t="s">
        <v>14</v>
      </c>
      <c r="F659" s="2">
        <v>20</v>
      </c>
      <c r="G659" s="2" t="str" cm="1">
        <f t="array" ref="G659">_xlfn.IFS(F659&lt;=8,"Child",F659&lt;=17,"Teen",F659&lt;=35,"Adult",F659&lt;=55,"Seniour Adult",F659&gt;=55,"Old Age")</f>
        <v>Adult</v>
      </c>
      <c r="H659" t="s">
        <v>10</v>
      </c>
      <c r="I659" t="s">
        <v>19</v>
      </c>
      <c r="J659" t="str" cm="1">
        <f t="array" ref="J659">_xlfn.IFS(I659="S","Southamptom",I659="Q","Quentown",I659="C","Cherbrug",I659="B","Cabin")</f>
        <v>Cherbrug</v>
      </c>
      <c r="K659" t="s">
        <v>21</v>
      </c>
      <c r="L659" s="2">
        <v>14.0901</v>
      </c>
      <c r="M659" s="2" t="str" cm="1">
        <f t="array" ref="M659">_xlfn.IFS(L659&lt;=15,"Low Fare",L659&lt;=35,"Medium Fare",L659&lt;=100,"High Fare",L659&gt;=100,"Very High Fare")</f>
        <v>Low Fare</v>
      </c>
      <c r="N659" s="2">
        <v>1</v>
      </c>
      <c r="O659" s="2">
        <v>0</v>
      </c>
      <c r="P659">
        <f t="shared" si="41"/>
        <v>2</v>
      </c>
      <c r="Q659" t="str">
        <f t="shared" si="42"/>
        <v>With Family</v>
      </c>
      <c r="R659" t="str">
        <f t="shared" si="43"/>
        <v>No</v>
      </c>
      <c r="S659" t="s">
        <v>13</v>
      </c>
    </row>
    <row r="660" spans="1:19" x14ac:dyDescent="0.3">
      <c r="A660" s="1" t="s">
        <v>499</v>
      </c>
      <c r="B660" t="s">
        <v>1596</v>
      </c>
      <c r="C660" t="s">
        <v>2194</v>
      </c>
      <c r="D660" t="str">
        <f t="shared" si="40"/>
        <v>Male</v>
      </c>
      <c r="E660" t="s">
        <v>9</v>
      </c>
      <c r="F660" s="2">
        <v>25</v>
      </c>
      <c r="G660" s="2" t="str" cm="1">
        <f t="array" ref="G660">_xlfn.IFS(F660&lt;=8,"Child",F660&lt;=17,"Teen",F660&lt;=35,"Adult",F660&lt;=55,"Seniour Adult",F660&gt;=55,"Old Age")</f>
        <v>Adult</v>
      </c>
      <c r="H660" t="s">
        <v>10</v>
      </c>
      <c r="I660" t="s">
        <v>36</v>
      </c>
      <c r="J660" t="str" cm="1">
        <f t="array" ref="J660">_xlfn.IFS(I660="S","Southamptom",I660="Q","Quentown",I660="C","Cherbrug",I660="B","Cabin")</f>
        <v>Quentown</v>
      </c>
      <c r="K660" t="s">
        <v>37</v>
      </c>
      <c r="L660" s="2">
        <v>7.15</v>
      </c>
      <c r="M660" s="2" t="str" cm="1">
        <f t="array" ref="M660">_xlfn.IFS(L660&lt;=15,"Low Fare",L660&lt;=35,"Medium Fare",L660&lt;=100,"High Fare",L660&gt;=100,"Very High Fare")</f>
        <v>Low Fare</v>
      </c>
      <c r="N660" s="2">
        <v>1</v>
      </c>
      <c r="O660" s="2">
        <v>0</v>
      </c>
      <c r="P660">
        <f t="shared" si="41"/>
        <v>2</v>
      </c>
      <c r="Q660" t="str">
        <f t="shared" si="42"/>
        <v>With Family</v>
      </c>
      <c r="R660" t="str">
        <f t="shared" si="43"/>
        <v>No</v>
      </c>
      <c r="S660" t="s">
        <v>13</v>
      </c>
    </row>
    <row r="661" spans="1:19" x14ac:dyDescent="0.3">
      <c r="A661" s="1" t="s">
        <v>499</v>
      </c>
      <c r="B661" t="s">
        <v>1596</v>
      </c>
      <c r="C661" t="s">
        <v>2195</v>
      </c>
      <c r="D661" t="str">
        <f t="shared" si="40"/>
        <v>Male</v>
      </c>
      <c r="E661" t="s">
        <v>9</v>
      </c>
      <c r="F661" s="2">
        <v>22</v>
      </c>
      <c r="G661" s="2" t="str" cm="1">
        <f t="array" ref="G661">_xlfn.IFS(F661&lt;=8,"Child",F661&lt;=17,"Teen",F661&lt;=35,"Adult",F661&lt;=55,"Seniour Adult",F661&gt;=55,"Old Age")</f>
        <v>Adult</v>
      </c>
      <c r="H661" t="s">
        <v>10</v>
      </c>
      <c r="I661" t="s">
        <v>36</v>
      </c>
      <c r="J661" t="str" cm="1">
        <f t="array" ref="J661">_xlfn.IFS(I661="S","Southamptom",I661="Q","Quentown",I661="C","Cherbrug",I661="B","Cabin")</f>
        <v>Quentown</v>
      </c>
      <c r="K661" t="s">
        <v>37</v>
      </c>
      <c r="L661" s="2">
        <v>7.15</v>
      </c>
      <c r="M661" s="2" t="str" cm="1">
        <f t="array" ref="M661">_xlfn.IFS(L661&lt;=15,"Low Fare",L661&lt;=35,"Medium Fare",L661&lt;=100,"High Fare",L661&gt;=100,"Very High Fare")</f>
        <v>Low Fare</v>
      </c>
      <c r="N661" s="2">
        <v>1</v>
      </c>
      <c r="O661" s="2">
        <v>0</v>
      </c>
      <c r="P661">
        <f t="shared" si="41"/>
        <v>2</v>
      </c>
      <c r="Q661" t="str">
        <f t="shared" si="42"/>
        <v>With Family</v>
      </c>
      <c r="R661" t="str">
        <f t="shared" si="43"/>
        <v>No</v>
      </c>
      <c r="S661" t="s">
        <v>13</v>
      </c>
    </row>
    <row r="662" spans="1:19" x14ac:dyDescent="0.3">
      <c r="A662" s="1" t="s">
        <v>500</v>
      </c>
      <c r="B662" t="s">
        <v>1596</v>
      </c>
      <c r="C662" t="s">
        <v>1645</v>
      </c>
      <c r="D662" t="str">
        <f t="shared" si="40"/>
        <v>Male</v>
      </c>
      <c r="E662" t="s">
        <v>9</v>
      </c>
      <c r="F662" s="2">
        <v>22</v>
      </c>
      <c r="G662" s="2" t="str" cm="1">
        <f t="array" ref="G662">_xlfn.IFS(F662&lt;=8,"Child",F662&lt;=17,"Teen",F662&lt;=35,"Adult",F662&lt;=55,"Seniour Adult",F662&gt;=55,"Old Age")</f>
        <v>Adult</v>
      </c>
      <c r="H662" t="s">
        <v>10</v>
      </c>
      <c r="I662" t="s">
        <v>36</v>
      </c>
      <c r="J662" t="str" cm="1">
        <f t="array" ref="J662">_xlfn.IFS(I662="S","Southamptom",I662="Q","Quentown",I662="C","Cherbrug",I662="B","Cabin")</f>
        <v>Quentown</v>
      </c>
      <c r="K662" t="s">
        <v>37</v>
      </c>
      <c r="L662" s="2">
        <v>7.1409000000000002</v>
      </c>
      <c r="M662" s="2" t="str" cm="1">
        <f t="array" ref="M662">_xlfn.IFS(L662&lt;=15,"Low Fare",L662&lt;=35,"Medium Fare",L662&lt;=100,"High Fare",L662&gt;=100,"Very High Fare")</f>
        <v>Low Fare</v>
      </c>
      <c r="N662" s="2">
        <v>0</v>
      </c>
      <c r="O662" s="2">
        <v>0</v>
      </c>
      <c r="P662">
        <f t="shared" si="41"/>
        <v>1</v>
      </c>
      <c r="Q662" t="str">
        <f t="shared" si="42"/>
        <v>Alone</v>
      </c>
      <c r="R662" t="str">
        <f t="shared" si="43"/>
        <v>No</v>
      </c>
      <c r="S662" t="s">
        <v>13</v>
      </c>
    </row>
    <row r="663" spans="1:19" x14ac:dyDescent="0.3">
      <c r="A663" s="1" t="s">
        <v>501</v>
      </c>
      <c r="B663" t="s">
        <v>1596</v>
      </c>
      <c r="C663" t="s">
        <v>2196</v>
      </c>
      <c r="D663" t="str">
        <f t="shared" si="40"/>
        <v>Male</v>
      </c>
      <c r="E663" t="s">
        <v>9</v>
      </c>
      <c r="F663" s="2">
        <v>42</v>
      </c>
      <c r="G663" s="2" t="str" cm="1">
        <f t="array" ref="G663">_xlfn.IFS(F663&lt;=8,"Child",F663&lt;=17,"Teen",F663&lt;=35,"Adult",F663&lt;=55,"Seniour Adult",F663&gt;=55,"Old Age")</f>
        <v>Seniour Adult</v>
      </c>
      <c r="H663" t="s">
        <v>25</v>
      </c>
      <c r="I663" t="s">
        <v>11</v>
      </c>
      <c r="J663" t="str" cm="1">
        <f t="array" ref="J663">_xlfn.IFS(I663="S","Southamptom",I663="Q","Quentown",I663="C","Cherbrug",I663="B","Cabin")</f>
        <v>Southamptom</v>
      </c>
      <c r="K663" t="s">
        <v>12</v>
      </c>
      <c r="L663" s="2">
        <v>52.110100000000003</v>
      </c>
      <c r="M663" s="2" t="str" cm="1">
        <f t="array" ref="M663">_xlfn.IFS(L663&lt;=15,"Low Fare",L663&lt;=35,"Medium Fare",L663&lt;=100,"High Fare",L663&gt;=100,"Very High Fare")</f>
        <v>High Fare</v>
      </c>
      <c r="N663" s="2">
        <v>1</v>
      </c>
      <c r="O663" s="2">
        <v>0</v>
      </c>
      <c r="P663">
        <f t="shared" si="41"/>
        <v>2</v>
      </c>
      <c r="Q663" t="str">
        <f t="shared" si="42"/>
        <v>With Family</v>
      </c>
      <c r="R663" t="str">
        <f t="shared" si="43"/>
        <v>Yes</v>
      </c>
      <c r="S663" t="s">
        <v>16</v>
      </c>
    </row>
    <row r="664" spans="1:19" x14ac:dyDescent="0.3">
      <c r="A664" s="1" t="s">
        <v>501</v>
      </c>
      <c r="B664" t="s">
        <v>1600</v>
      </c>
      <c r="C664" t="s">
        <v>2197</v>
      </c>
      <c r="D664" t="str">
        <f t="shared" si="40"/>
        <v>Female</v>
      </c>
      <c r="E664" t="s">
        <v>14</v>
      </c>
      <c r="F664" s="2">
        <v>45</v>
      </c>
      <c r="G664" s="2" t="str" cm="1">
        <f t="array" ref="G664">_xlfn.IFS(F664&lt;=8,"Child",F664&lt;=17,"Teen",F664&lt;=35,"Adult",F664&lt;=55,"Seniour Adult",F664&gt;=55,"Old Age")</f>
        <v>Seniour Adult</v>
      </c>
      <c r="H664" t="s">
        <v>25</v>
      </c>
      <c r="I664" t="s">
        <v>11</v>
      </c>
      <c r="J664" t="str" cm="1">
        <f t="array" ref="J664">_xlfn.IFS(I664="S","Southamptom",I664="Q","Quentown",I664="C","Cherbrug",I664="B","Cabin")</f>
        <v>Southamptom</v>
      </c>
      <c r="K664" t="s">
        <v>12</v>
      </c>
      <c r="L664" s="2">
        <v>52.110100000000003</v>
      </c>
      <c r="M664" s="2" t="str" cm="1">
        <f t="array" ref="M664">_xlfn.IFS(L664&lt;=15,"Low Fare",L664&lt;=35,"Medium Fare",L664&lt;=100,"High Fare",L664&gt;=100,"Very High Fare")</f>
        <v>High Fare</v>
      </c>
      <c r="N664" s="2">
        <v>1</v>
      </c>
      <c r="O664" s="2">
        <v>0</v>
      </c>
      <c r="P664">
        <f t="shared" si="41"/>
        <v>2</v>
      </c>
      <c r="Q664" t="str">
        <f t="shared" si="42"/>
        <v>With Family</v>
      </c>
      <c r="R664" t="str">
        <f t="shared" si="43"/>
        <v>Yes</v>
      </c>
      <c r="S664" t="s">
        <v>16</v>
      </c>
    </row>
    <row r="665" spans="1:19" x14ac:dyDescent="0.3">
      <c r="A665" s="1" t="s">
        <v>502</v>
      </c>
      <c r="B665" t="s">
        <v>1602</v>
      </c>
      <c r="C665" t="s">
        <v>2198</v>
      </c>
      <c r="D665" t="str">
        <f t="shared" si="40"/>
        <v>Female</v>
      </c>
      <c r="E665" t="s">
        <v>14</v>
      </c>
      <c r="F665" s="2">
        <v>4</v>
      </c>
      <c r="G665" s="2" t="str" cm="1">
        <f t="array" ref="G665">_xlfn.IFS(F665&lt;=8,"Child",F665&lt;=17,"Teen",F665&lt;=35,"Adult",F665&lt;=55,"Seniour Adult",F665&gt;=55,"Old Age")</f>
        <v>Child</v>
      </c>
      <c r="H665" t="s">
        <v>10</v>
      </c>
      <c r="I665" t="s">
        <v>11</v>
      </c>
      <c r="J665" t="str" cm="1">
        <f t="array" ref="J665">_xlfn.IFS(I665="S","Southamptom",I665="Q","Quentown",I665="C","Cherbrug",I665="B","Cabin")</f>
        <v>Southamptom</v>
      </c>
      <c r="K665" t="s">
        <v>32</v>
      </c>
      <c r="L665" s="2">
        <v>22</v>
      </c>
      <c r="M665" s="2" t="str" cm="1">
        <f t="array" ref="M665">_xlfn.IFS(L665&lt;=15,"Low Fare",L665&lt;=35,"Medium Fare",L665&lt;=100,"High Fare",L665&gt;=100,"Very High Fare")</f>
        <v>Medium Fare</v>
      </c>
      <c r="N665" s="2">
        <v>0</v>
      </c>
      <c r="O665" s="2">
        <v>2</v>
      </c>
      <c r="P665">
        <f t="shared" si="41"/>
        <v>3</v>
      </c>
      <c r="Q665" t="str">
        <f t="shared" si="42"/>
        <v>With Family</v>
      </c>
      <c r="R665" t="str">
        <f t="shared" si="43"/>
        <v>Yes</v>
      </c>
      <c r="S665" t="s">
        <v>16</v>
      </c>
    </row>
    <row r="666" spans="1:19" x14ac:dyDescent="0.3">
      <c r="A666" s="1" t="s">
        <v>502</v>
      </c>
      <c r="B666" t="s">
        <v>1600</v>
      </c>
      <c r="C666" t="s">
        <v>2199</v>
      </c>
      <c r="D666" t="str">
        <f t="shared" si="40"/>
        <v>Female</v>
      </c>
      <c r="E666" t="s">
        <v>14</v>
      </c>
      <c r="F666" s="2">
        <v>26</v>
      </c>
      <c r="G666" s="2" t="str" cm="1">
        <f t="array" ref="G666">_xlfn.IFS(F666&lt;=8,"Child",F666&lt;=17,"Teen",F666&lt;=35,"Adult",F666&lt;=55,"Seniour Adult",F666&gt;=55,"Old Age")</f>
        <v>Adult</v>
      </c>
      <c r="H666" t="s">
        <v>10</v>
      </c>
      <c r="I666" t="s">
        <v>11</v>
      </c>
      <c r="J666" t="str" cm="1">
        <f t="array" ref="J666">_xlfn.IFS(I666="S","Southamptom",I666="Q","Quentown",I666="C","Cherbrug",I666="B","Cabin")</f>
        <v>Southamptom</v>
      </c>
      <c r="K666" t="s">
        <v>32</v>
      </c>
      <c r="L666" s="2">
        <v>22</v>
      </c>
      <c r="M666" s="2" t="str" cm="1">
        <f t="array" ref="M666">_xlfn.IFS(L666&lt;=15,"Low Fare",L666&lt;=35,"Medium Fare",L666&lt;=100,"High Fare",L666&gt;=100,"Very High Fare")</f>
        <v>Medium Fare</v>
      </c>
      <c r="N666" s="2">
        <v>1</v>
      </c>
      <c r="O666" s="2">
        <v>1</v>
      </c>
      <c r="P666">
        <f t="shared" si="41"/>
        <v>3</v>
      </c>
      <c r="Q666" t="str">
        <f t="shared" si="42"/>
        <v>With Family</v>
      </c>
      <c r="R666" t="str">
        <f t="shared" si="43"/>
        <v>Yes</v>
      </c>
      <c r="S666" t="s">
        <v>16</v>
      </c>
    </row>
    <row r="667" spans="1:19" x14ac:dyDescent="0.3">
      <c r="A667" s="1" t="s">
        <v>503</v>
      </c>
      <c r="B667" t="s">
        <v>1602</v>
      </c>
      <c r="C667" t="s">
        <v>2200</v>
      </c>
      <c r="D667" t="str">
        <f t="shared" si="40"/>
        <v>Female</v>
      </c>
      <c r="E667" t="s">
        <v>14</v>
      </c>
      <c r="F667" s="2">
        <v>23</v>
      </c>
      <c r="G667" s="2" t="str" cm="1">
        <f t="array" ref="G667">_xlfn.IFS(F667&lt;=8,"Child",F667&lt;=17,"Teen",F667&lt;=35,"Adult",F667&lt;=55,"Seniour Adult",F667&gt;=55,"Old Age")</f>
        <v>Adult</v>
      </c>
      <c r="H667" t="s">
        <v>10</v>
      </c>
      <c r="I667" t="s">
        <v>11</v>
      </c>
      <c r="J667" t="str" cm="1">
        <f t="array" ref="J667">_xlfn.IFS(I667="S","Southamptom",I667="Q","Quentown",I667="C","Cherbrug",I667="B","Cabin")</f>
        <v>Southamptom</v>
      </c>
      <c r="K667" t="s">
        <v>32</v>
      </c>
      <c r="L667" s="2">
        <v>8.1303000000000001</v>
      </c>
      <c r="M667" s="2" t="str" cm="1">
        <f t="array" ref="M667">_xlfn.IFS(L667&lt;=15,"Low Fare",L667&lt;=35,"Medium Fare",L667&lt;=100,"High Fare",L667&gt;=100,"Very High Fare")</f>
        <v>Low Fare</v>
      </c>
      <c r="N667" s="2">
        <v>2</v>
      </c>
      <c r="O667" s="2">
        <v>0</v>
      </c>
      <c r="P667">
        <f t="shared" si="41"/>
        <v>3</v>
      </c>
      <c r="Q667" t="str">
        <f t="shared" si="42"/>
        <v>With Family</v>
      </c>
      <c r="R667" t="str">
        <f t="shared" si="43"/>
        <v>No</v>
      </c>
      <c r="S667" t="s">
        <v>13</v>
      </c>
    </row>
    <row r="668" spans="1:19" x14ac:dyDescent="0.3">
      <c r="A668" s="1" t="s">
        <v>503</v>
      </c>
      <c r="B668" t="s">
        <v>1596</v>
      </c>
      <c r="C668" t="s">
        <v>2201</v>
      </c>
      <c r="D668" t="str">
        <f t="shared" si="40"/>
        <v>Male</v>
      </c>
      <c r="E668" t="s">
        <v>9</v>
      </c>
      <c r="F668" s="2">
        <v>29</v>
      </c>
      <c r="G668" s="2" t="str" cm="1">
        <f t="array" ref="G668">_xlfn.IFS(F668&lt;=8,"Child",F668&lt;=17,"Teen",F668&lt;=35,"Adult",F668&lt;=55,"Seniour Adult",F668&gt;=55,"Old Age")</f>
        <v>Adult</v>
      </c>
      <c r="H668" t="s">
        <v>10</v>
      </c>
      <c r="I668" t="s">
        <v>11</v>
      </c>
      <c r="J668" t="str" cm="1">
        <f t="array" ref="J668">_xlfn.IFS(I668="S","Southamptom",I668="Q","Quentown",I668="C","Cherbrug",I668="B","Cabin")</f>
        <v>Southamptom</v>
      </c>
      <c r="K668" t="s">
        <v>32</v>
      </c>
      <c r="L668" s="2">
        <v>22</v>
      </c>
      <c r="M668" s="2" t="str" cm="1">
        <f t="array" ref="M668">_xlfn.IFS(L668&lt;=15,"Low Fare",L668&lt;=35,"Medium Fare",L668&lt;=100,"High Fare",L668&gt;=100,"Very High Fare")</f>
        <v>Medium Fare</v>
      </c>
      <c r="N668" s="2">
        <v>3</v>
      </c>
      <c r="O668" s="2">
        <v>1</v>
      </c>
      <c r="P668">
        <f t="shared" si="41"/>
        <v>5</v>
      </c>
      <c r="Q668" t="str">
        <f t="shared" si="42"/>
        <v>With Family</v>
      </c>
      <c r="R668" t="str">
        <f t="shared" si="43"/>
        <v>Yes</v>
      </c>
      <c r="S668" t="s">
        <v>16</v>
      </c>
    </row>
    <row r="669" spans="1:19" x14ac:dyDescent="0.3">
      <c r="A669" s="1" t="s">
        <v>503</v>
      </c>
      <c r="B669" t="s">
        <v>1596</v>
      </c>
      <c r="C669" t="s">
        <v>2202</v>
      </c>
      <c r="D669" t="str">
        <f t="shared" si="40"/>
        <v>Male</v>
      </c>
      <c r="E669" t="s">
        <v>9</v>
      </c>
      <c r="F669" s="2">
        <v>26</v>
      </c>
      <c r="G669" s="2" t="str" cm="1">
        <f t="array" ref="G669">_xlfn.IFS(F669&lt;=8,"Child",F669&lt;=17,"Teen",F669&lt;=35,"Adult",F669&lt;=55,"Seniour Adult",F669&gt;=55,"Old Age")</f>
        <v>Adult</v>
      </c>
      <c r="H669" t="s">
        <v>10</v>
      </c>
      <c r="I669" t="s">
        <v>11</v>
      </c>
      <c r="J669" t="str" cm="1">
        <f t="array" ref="J669">_xlfn.IFS(I669="S","Southamptom",I669="Q","Quentown",I669="C","Cherbrug",I669="B","Cabin")</f>
        <v>Southamptom</v>
      </c>
      <c r="K669" t="s">
        <v>32</v>
      </c>
      <c r="L669" s="2">
        <v>8.1303000000000001</v>
      </c>
      <c r="M669" s="2" t="str" cm="1">
        <f t="array" ref="M669">_xlfn.IFS(L669&lt;=15,"Low Fare",L669&lt;=35,"Medium Fare",L669&lt;=100,"High Fare",L669&gt;=100,"Very High Fare")</f>
        <v>Low Fare</v>
      </c>
      <c r="N669" s="2">
        <v>2</v>
      </c>
      <c r="O669" s="2">
        <v>0</v>
      </c>
      <c r="P669">
        <f t="shared" si="41"/>
        <v>3</v>
      </c>
      <c r="Q669" t="str">
        <f t="shared" si="42"/>
        <v>With Family</v>
      </c>
      <c r="R669" t="str">
        <f t="shared" si="43"/>
        <v>No</v>
      </c>
      <c r="S669" t="s">
        <v>13</v>
      </c>
    </row>
    <row r="670" spans="1:19" x14ac:dyDescent="0.3">
      <c r="A670" s="1" t="s">
        <v>504</v>
      </c>
      <c r="B670" t="s">
        <v>1777</v>
      </c>
      <c r="C670" t="s">
        <v>2203</v>
      </c>
      <c r="D670" t="str">
        <f t="shared" si="40"/>
        <v>Male</v>
      </c>
      <c r="E670" t="s">
        <v>9</v>
      </c>
      <c r="F670" s="2">
        <v>52</v>
      </c>
      <c r="G670" s="2" t="str" cm="1">
        <f t="array" ref="G670">_xlfn.IFS(F670&lt;=8,"Child",F670&lt;=17,"Teen",F670&lt;=35,"Adult",F670&lt;=55,"Seniour Adult",F670&gt;=55,"Old Age")</f>
        <v>Seniour Adult</v>
      </c>
      <c r="H670" t="s">
        <v>18</v>
      </c>
      <c r="I670" t="s">
        <v>36</v>
      </c>
      <c r="J670" t="str" cm="1">
        <f t="array" ref="J670">_xlfn.IFS(I670="S","Southamptom",I670="Q","Quentown",I670="C","Cherbrug",I670="B","Cabin")</f>
        <v>Quentown</v>
      </c>
      <c r="K670" t="s">
        <v>12</v>
      </c>
      <c r="L670" s="2">
        <v>12.07</v>
      </c>
      <c r="M670" s="2" t="str" cm="1">
        <f t="array" ref="M670">_xlfn.IFS(L670&lt;=15,"Low Fare",L670&lt;=35,"Medium Fare",L670&lt;=100,"High Fare",L670&gt;=100,"Very High Fare")</f>
        <v>Low Fare</v>
      </c>
      <c r="N670" s="2">
        <v>0</v>
      </c>
      <c r="O670" s="2">
        <v>0</v>
      </c>
      <c r="P670">
        <f t="shared" si="41"/>
        <v>1</v>
      </c>
      <c r="Q670" t="str">
        <f t="shared" si="42"/>
        <v>Alone</v>
      </c>
      <c r="R670" t="str">
        <f t="shared" si="43"/>
        <v>No</v>
      </c>
      <c r="S670" t="s">
        <v>13</v>
      </c>
    </row>
    <row r="671" spans="1:19" x14ac:dyDescent="0.3">
      <c r="A671" s="1" t="s">
        <v>505</v>
      </c>
      <c r="B671" t="s">
        <v>1596</v>
      </c>
      <c r="C671" t="s">
        <v>2204</v>
      </c>
      <c r="D671" t="str">
        <f t="shared" si="40"/>
        <v>Male</v>
      </c>
      <c r="E671" t="s">
        <v>9</v>
      </c>
      <c r="F671" s="2">
        <v>41</v>
      </c>
      <c r="G671" s="2" t="str" cm="1">
        <f t="array" ref="G671">_xlfn.IFS(F671&lt;=8,"Child",F671&lt;=17,"Teen",F671&lt;=35,"Adult",F671&lt;=55,"Seniour Adult",F671&gt;=55,"Old Age")</f>
        <v>Seniour Adult</v>
      </c>
      <c r="H671" t="s">
        <v>25</v>
      </c>
      <c r="I671" t="s">
        <v>11</v>
      </c>
      <c r="J671" t="str" cm="1">
        <f t="array" ref="J671">_xlfn.IFS(I671="S","Southamptom",I671="Q","Quentown",I671="C","Cherbrug",I671="B","Cabin")</f>
        <v>Southamptom</v>
      </c>
      <c r="K671" t="s">
        <v>12</v>
      </c>
      <c r="L671" s="2">
        <v>26.11</v>
      </c>
      <c r="M671" s="2" t="str" cm="1">
        <f t="array" ref="M671">_xlfn.IFS(L671&lt;=15,"Low Fare",L671&lt;=35,"Medium Fare",L671&lt;=100,"High Fare",L671&gt;=100,"Very High Fare")</f>
        <v>Medium Fare</v>
      </c>
      <c r="N671" s="2">
        <v>0</v>
      </c>
      <c r="O671" s="2">
        <v>0</v>
      </c>
      <c r="P671">
        <f t="shared" si="41"/>
        <v>1</v>
      </c>
      <c r="Q671" t="str">
        <f t="shared" si="42"/>
        <v>Alone</v>
      </c>
      <c r="R671" t="str">
        <f t="shared" si="43"/>
        <v>No</v>
      </c>
      <c r="S671" t="s">
        <v>13</v>
      </c>
    </row>
    <row r="672" spans="1:19" x14ac:dyDescent="0.3">
      <c r="A672" s="1" t="s">
        <v>506</v>
      </c>
      <c r="B672" t="s">
        <v>1602</v>
      </c>
      <c r="C672" t="s">
        <v>2205</v>
      </c>
      <c r="D672" t="str">
        <f t="shared" si="40"/>
        <v>Female</v>
      </c>
      <c r="E672" t="s">
        <v>14</v>
      </c>
      <c r="F672" s="2">
        <v>1</v>
      </c>
      <c r="G672" s="2" t="str" cm="1">
        <f t="array" ref="G672">_xlfn.IFS(F672&lt;=8,"Child",F672&lt;=17,"Teen",F672&lt;=35,"Adult",F672&lt;=55,"Seniour Adult",F672&gt;=55,"Old Age")</f>
        <v>Child</v>
      </c>
      <c r="H672" t="s">
        <v>10</v>
      </c>
      <c r="I672" t="s">
        <v>11</v>
      </c>
      <c r="J672" t="str" cm="1">
        <f t="array" ref="J672">_xlfn.IFS(I672="S","Southamptom",I672="Q","Quentown",I672="C","Cherbrug",I672="B","Cabin")</f>
        <v>Southamptom</v>
      </c>
      <c r="K672" t="s">
        <v>23</v>
      </c>
      <c r="L672" s="2">
        <v>12.030799999999999</v>
      </c>
      <c r="M672" s="2" t="str" cm="1">
        <f t="array" ref="M672">_xlfn.IFS(L672&lt;=15,"Low Fare",L672&lt;=35,"Medium Fare",L672&lt;=100,"High Fare",L672&gt;=100,"Very High Fare")</f>
        <v>Low Fare</v>
      </c>
      <c r="N672" s="2">
        <v>1</v>
      </c>
      <c r="O672" s="2">
        <v>1</v>
      </c>
      <c r="P672">
        <f t="shared" si="41"/>
        <v>3</v>
      </c>
      <c r="Q672" t="str">
        <f t="shared" si="42"/>
        <v>With Family</v>
      </c>
      <c r="R672" t="str">
        <f t="shared" si="43"/>
        <v>No</v>
      </c>
      <c r="S672" t="s">
        <v>13</v>
      </c>
    </row>
    <row r="673" spans="1:19" x14ac:dyDescent="0.3">
      <c r="A673" s="1" t="s">
        <v>506</v>
      </c>
      <c r="B673" t="s">
        <v>1596</v>
      </c>
      <c r="C673" t="s">
        <v>2206</v>
      </c>
      <c r="D673" t="str">
        <f t="shared" si="40"/>
        <v>Male</v>
      </c>
      <c r="E673" t="s">
        <v>9</v>
      </c>
      <c r="F673" s="2">
        <v>18</v>
      </c>
      <c r="G673" s="2" t="str" cm="1">
        <f t="array" ref="G673">_xlfn.IFS(F673&lt;=8,"Child",F673&lt;=17,"Teen",F673&lt;=35,"Adult",F673&lt;=55,"Seniour Adult",F673&gt;=55,"Old Age")</f>
        <v>Adult</v>
      </c>
      <c r="H673" t="s">
        <v>10</v>
      </c>
      <c r="I673" t="s">
        <v>11</v>
      </c>
      <c r="J673" t="str" cm="1">
        <f t="array" ref="J673">_xlfn.IFS(I673="S","Southamptom",I673="Q","Quentown",I673="C","Cherbrug",I673="B","Cabin")</f>
        <v>Southamptom</v>
      </c>
      <c r="K673" t="s">
        <v>23</v>
      </c>
      <c r="L673" s="2">
        <v>7.1700999999999997</v>
      </c>
      <c r="M673" s="2" t="str" cm="1">
        <f t="array" ref="M673">_xlfn.IFS(L673&lt;=15,"Low Fare",L673&lt;=35,"Medium Fare",L673&lt;=100,"High Fare",L673&gt;=100,"Very High Fare")</f>
        <v>Low Fare</v>
      </c>
      <c r="N673" s="2">
        <v>1</v>
      </c>
      <c r="O673" s="2">
        <v>1</v>
      </c>
      <c r="P673">
        <f t="shared" si="41"/>
        <v>3</v>
      </c>
      <c r="Q673" t="str">
        <f t="shared" si="42"/>
        <v>With Family</v>
      </c>
      <c r="R673" t="str">
        <f t="shared" si="43"/>
        <v>No</v>
      </c>
      <c r="S673" t="s">
        <v>13</v>
      </c>
    </row>
    <row r="674" spans="1:19" x14ac:dyDescent="0.3">
      <c r="A674" s="1" t="s">
        <v>506</v>
      </c>
      <c r="B674" t="s">
        <v>1600</v>
      </c>
      <c r="C674" t="s">
        <v>2207</v>
      </c>
      <c r="D674" t="str">
        <f t="shared" si="40"/>
        <v>Female</v>
      </c>
      <c r="E674" t="s">
        <v>14</v>
      </c>
      <c r="F674" s="2">
        <v>36</v>
      </c>
      <c r="G674" s="2" t="str" cm="1">
        <f t="array" ref="G674">_xlfn.IFS(F674&lt;=8,"Child",F674&lt;=17,"Teen",F674&lt;=35,"Adult",F674&lt;=55,"Seniour Adult",F674&gt;=55,"Old Age")</f>
        <v>Seniour Adult</v>
      </c>
      <c r="H674" t="s">
        <v>10</v>
      </c>
      <c r="I674" t="s">
        <v>11</v>
      </c>
      <c r="J674" t="str" cm="1">
        <f t="array" ref="J674">_xlfn.IFS(I674="S","Southamptom",I674="Q","Quentown",I674="C","Cherbrug",I674="B","Cabin")</f>
        <v>Southamptom</v>
      </c>
      <c r="K674" t="s">
        <v>23</v>
      </c>
      <c r="L674" s="2">
        <v>12.030799999999999</v>
      </c>
      <c r="M674" s="2" t="str" cm="1">
        <f t="array" ref="M674">_xlfn.IFS(L674&lt;=15,"Low Fare",L674&lt;=35,"Medium Fare",L674&lt;=100,"High Fare",L674&gt;=100,"Very High Fare")</f>
        <v>Low Fare</v>
      </c>
      <c r="N674" s="2">
        <v>0</v>
      </c>
      <c r="O674" s="2">
        <v>2</v>
      </c>
      <c r="P674">
        <f t="shared" si="41"/>
        <v>3</v>
      </c>
      <c r="Q674" t="str">
        <f t="shared" si="42"/>
        <v>With Family</v>
      </c>
      <c r="R674" t="str">
        <f t="shared" si="43"/>
        <v>No</v>
      </c>
      <c r="S674" t="s">
        <v>13</v>
      </c>
    </row>
    <row r="675" spans="1:19" x14ac:dyDescent="0.3">
      <c r="A675" s="1" t="s">
        <v>507</v>
      </c>
      <c r="B675" t="s">
        <v>1596</v>
      </c>
      <c r="C675" t="s">
        <v>2208</v>
      </c>
      <c r="D675" t="str">
        <f t="shared" si="40"/>
        <v>Male</v>
      </c>
      <c r="E675" t="s">
        <v>9</v>
      </c>
      <c r="F675" s="2">
        <v>41</v>
      </c>
      <c r="G675" s="2" t="str" cm="1">
        <f t="array" ref="G675">_xlfn.IFS(F675&lt;=8,"Child",F675&lt;=17,"Teen",F675&lt;=35,"Adult",F675&lt;=55,"Seniour Adult",F675&gt;=55,"Old Age")</f>
        <v>Seniour Adult</v>
      </c>
      <c r="H675" t="s">
        <v>18</v>
      </c>
      <c r="I675" t="s">
        <v>28</v>
      </c>
      <c r="J675" t="str" cm="1">
        <f t="array" ref="J675">_xlfn.IFS(I675="S","Southamptom",I675="Q","Quentown",I675="C","Cherbrug",I675="B","Cabin")</f>
        <v>Cabin</v>
      </c>
      <c r="K675" t="s">
        <v>29</v>
      </c>
      <c r="L675" s="2">
        <v>33</v>
      </c>
      <c r="M675" s="2" t="str" cm="1">
        <f t="array" ref="M675">_xlfn.IFS(L675&lt;=15,"Low Fare",L675&lt;=35,"Medium Fare",L675&lt;=100,"High Fare",L675&gt;=100,"Very High Fare")</f>
        <v>Medium Fare</v>
      </c>
      <c r="N675" s="2">
        <v>0</v>
      </c>
      <c r="O675" s="2">
        <v>0</v>
      </c>
      <c r="P675">
        <f t="shared" si="41"/>
        <v>1</v>
      </c>
      <c r="Q675" t="str">
        <f t="shared" si="42"/>
        <v>Alone</v>
      </c>
      <c r="R675" t="str">
        <f t="shared" si="43"/>
        <v>No</v>
      </c>
      <c r="S675" t="s">
        <v>13</v>
      </c>
    </row>
    <row r="676" spans="1:19" x14ac:dyDescent="0.3">
      <c r="A676" s="1" t="s">
        <v>508</v>
      </c>
      <c r="B676" t="s">
        <v>1596</v>
      </c>
      <c r="C676" t="s">
        <v>2209</v>
      </c>
      <c r="D676" t="str">
        <f t="shared" si="40"/>
        <v>Male</v>
      </c>
      <c r="E676" t="s">
        <v>9</v>
      </c>
      <c r="F676" s="2">
        <v>30</v>
      </c>
      <c r="G676" s="2" t="str" cm="1">
        <f t="array" ref="G676">_xlfn.IFS(F676&lt;=8,"Child",F676&lt;=17,"Teen",F676&lt;=35,"Adult",F676&lt;=55,"Seniour Adult",F676&gt;=55,"Old Age")</f>
        <v>Adult</v>
      </c>
      <c r="H676" t="s">
        <v>10</v>
      </c>
      <c r="I676" t="s">
        <v>19</v>
      </c>
      <c r="J676" t="str" cm="1">
        <f t="array" ref="J676">_xlfn.IFS(I676="S","Southamptom",I676="Q","Quentown",I676="C","Cherbrug",I676="B","Cabin")</f>
        <v>Cherbrug</v>
      </c>
      <c r="K676" t="s">
        <v>31</v>
      </c>
      <c r="L676" s="2">
        <v>7.1711</v>
      </c>
      <c r="M676" s="2" t="str" cm="1">
        <f t="array" ref="M676">_xlfn.IFS(L676&lt;=15,"Low Fare",L676&lt;=35,"Medium Fare",L676&lt;=100,"High Fare",L676&gt;=100,"Very High Fare")</f>
        <v>Low Fare</v>
      </c>
      <c r="N676" s="2">
        <v>0</v>
      </c>
      <c r="O676" s="2">
        <v>0</v>
      </c>
      <c r="P676">
        <f t="shared" si="41"/>
        <v>1</v>
      </c>
      <c r="Q676" t="str">
        <f t="shared" si="42"/>
        <v>Alone</v>
      </c>
      <c r="R676" t="str">
        <f t="shared" si="43"/>
        <v>No</v>
      </c>
      <c r="S676" t="s">
        <v>13</v>
      </c>
    </row>
    <row r="677" spans="1:19" x14ac:dyDescent="0.3">
      <c r="A677" s="1" t="s">
        <v>509</v>
      </c>
      <c r="B677" t="s">
        <v>1596</v>
      </c>
      <c r="C677" t="s">
        <v>2210</v>
      </c>
      <c r="D677" t="str">
        <f t="shared" si="40"/>
        <v>Male</v>
      </c>
      <c r="E677" t="s">
        <v>9</v>
      </c>
      <c r="F677" s="2">
        <v>25</v>
      </c>
      <c r="G677" s="2" t="str" cm="1">
        <f t="array" ref="G677">_xlfn.IFS(F677&lt;=8,"Child",F677&lt;=17,"Teen",F677&lt;=35,"Adult",F677&lt;=55,"Seniour Adult",F677&gt;=55,"Old Age")</f>
        <v>Adult</v>
      </c>
      <c r="H677" t="s">
        <v>10</v>
      </c>
      <c r="I677" t="s">
        <v>19</v>
      </c>
      <c r="J677" t="str" cm="1">
        <f t="array" ref="J677">_xlfn.IFS(I677="S","Southamptom",I677="Q","Quentown",I677="C","Cherbrug",I677="B","Cabin")</f>
        <v>Cherbrug</v>
      </c>
      <c r="K677" t="s">
        <v>58</v>
      </c>
      <c r="L677" s="2">
        <v>7.0407000000000002</v>
      </c>
      <c r="M677" s="2" t="str" cm="1">
        <f t="array" ref="M677">_xlfn.IFS(L677&lt;=15,"Low Fare",L677&lt;=35,"Medium Fare",L677&lt;=100,"High Fare",L677&gt;=100,"Very High Fare")</f>
        <v>Low Fare</v>
      </c>
      <c r="N677" s="2">
        <v>0</v>
      </c>
      <c r="O677" s="2">
        <v>0</v>
      </c>
      <c r="P677">
        <f t="shared" si="41"/>
        <v>1</v>
      </c>
      <c r="Q677" t="str">
        <f t="shared" si="42"/>
        <v>Alone</v>
      </c>
      <c r="R677" t="str">
        <f t="shared" si="43"/>
        <v>Yes</v>
      </c>
      <c r="S677" t="s">
        <v>16</v>
      </c>
    </row>
    <row r="678" spans="1:19" x14ac:dyDescent="0.3">
      <c r="A678" s="1" t="s">
        <v>510</v>
      </c>
      <c r="B678" t="s">
        <v>1602</v>
      </c>
      <c r="C678" t="s">
        <v>2211</v>
      </c>
      <c r="D678" t="str">
        <f t="shared" si="40"/>
        <v>Female</v>
      </c>
      <c r="E678" t="s">
        <v>14</v>
      </c>
      <c r="F678" s="2">
        <v>29</v>
      </c>
      <c r="G678" s="2" t="str" cm="1">
        <f t="array" ref="G678">_xlfn.IFS(F678&lt;=8,"Child",F678&lt;=17,"Teen",F678&lt;=35,"Adult",F678&lt;=55,"Seniour Adult",F678&gt;=55,"Old Age")</f>
        <v>Adult</v>
      </c>
      <c r="H678" t="s">
        <v>25</v>
      </c>
      <c r="I678" t="s">
        <v>11</v>
      </c>
      <c r="J678" t="str" cm="1">
        <f t="array" ref="J678">_xlfn.IFS(I678="S","Southamptom",I678="Q","Quentown",I678="C","Cherbrug",I678="B","Cabin")</f>
        <v>Southamptom</v>
      </c>
      <c r="K678" t="s">
        <v>15</v>
      </c>
      <c r="L678" s="2">
        <v>211.0609</v>
      </c>
      <c r="M678" s="2" t="str" cm="1">
        <f t="array" ref="M678">_xlfn.IFS(L678&lt;=15,"Low Fare",L678&lt;=35,"Medium Fare",L678&lt;=100,"High Fare",L678&gt;=100,"Very High Fare")</f>
        <v>Very High Fare</v>
      </c>
      <c r="N678" s="2">
        <v>0</v>
      </c>
      <c r="O678" s="2">
        <v>0</v>
      </c>
      <c r="P678">
        <f t="shared" si="41"/>
        <v>1</v>
      </c>
      <c r="Q678" t="str">
        <f t="shared" si="42"/>
        <v>Alone</v>
      </c>
      <c r="R678" t="str">
        <f t="shared" si="43"/>
        <v>Yes</v>
      </c>
      <c r="S678" t="s">
        <v>16</v>
      </c>
    </row>
    <row r="679" spans="1:19" hidden="1" x14ac:dyDescent="0.3">
      <c r="A679" s="1" t="s">
        <v>511</v>
      </c>
      <c r="B679" t="s">
        <v>1596</v>
      </c>
      <c r="C679" t="s">
        <v>2212</v>
      </c>
      <c r="D679" t="str">
        <f t="shared" si="40"/>
        <v>Male</v>
      </c>
      <c r="E679" t="s">
        <v>9</v>
      </c>
      <c r="F679" s="2">
        <v>23</v>
      </c>
      <c r="G679" s="2" t="str" cm="1">
        <f t="array" ref="G679">_xlfn.IFS(F679&lt;=8,"Child",F679&lt;=17,"Teen",F679&lt;=35,"Adult",F679&lt;=55,"Seniour Adult",F679&gt;=55,"Old Age")</f>
        <v>Adult</v>
      </c>
      <c r="H679" t="s">
        <v>18</v>
      </c>
      <c r="I679" t="s">
        <v>11</v>
      </c>
      <c r="J679" t="str" cm="1">
        <f t="array" ref="J679">_xlfn.IFS(I679="S","Southamptom",I679="Q","Quentown",I679="C","Cherbrug",I679="B","Cabin")</f>
        <v>Southamptom</v>
      </c>
      <c r="K679" t="s">
        <v>15</v>
      </c>
      <c r="L679" s="2">
        <v>33</v>
      </c>
      <c r="M679" s="2" t="str" cm="1">
        <f t="array" ref="M679">_xlfn.IFS(L679&lt;=15,"Low Fare",L679&lt;=35,"Medium Fare",L679&lt;=100,"High Fare",L679&gt;=100,"Very High Fare")</f>
        <v>Medium Fare</v>
      </c>
      <c r="N679" s="2">
        <v>1</v>
      </c>
      <c r="O679" s="2" t="s">
        <v>30</v>
      </c>
      <c r="P679" t="e">
        <f t="shared" si="41"/>
        <v>#VALUE!</v>
      </c>
      <c r="Q679" t="e">
        <f t="shared" si="42"/>
        <v>#VALUE!</v>
      </c>
      <c r="R679" t="str">
        <f t="shared" si="43"/>
        <v>No</v>
      </c>
      <c r="S679" t="s">
        <v>13</v>
      </c>
    </row>
    <row r="680" spans="1:19" x14ac:dyDescent="0.3">
      <c r="A680" s="1" t="s">
        <v>512</v>
      </c>
      <c r="B680" t="s">
        <v>1596</v>
      </c>
      <c r="C680" t="s">
        <v>2213</v>
      </c>
      <c r="D680" t="str">
        <f t="shared" si="40"/>
        <v>Male</v>
      </c>
      <c r="E680" t="s">
        <v>9</v>
      </c>
      <c r="F680" s="2">
        <v>26</v>
      </c>
      <c r="G680" s="2" t="str" cm="1">
        <f t="array" ref="G680">_xlfn.IFS(F680&lt;=8,"Child",F680&lt;=17,"Teen",F680&lt;=35,"Adult",F680&lt;=55,"Seniour Adult",F680&gt;=55,"Old Age")</f>
        <v>Adult</v>
      </c>
      <c r="H680" t="s">
        <v>10</v>
      </c>
      <c r="I680" t="s">
        <v>11</v>
      </c>
      <c r="J680" t="str" cm="1">
        <f t="array" ref="J680">_xlfn.IFS(I680="S","Southamptom",I680="Q","Quentown",I680="C","Cherbrug",I680="B","Cabin")</f>
        <v>Southamptom</v>
      </c>
      <c r="K680" t="s">
        <v>43</v>
      </c>
      <c r="L680" s="2">
        <v>7.11</v>
      </c>
      <c r="M680" s="2" t="str" cm="1">
        <f t="array" ref="M680">_xlfn.IFS(L680&lt;=15,"Low Fare",L680&lt;=35,"Medium Fare",L680&lt;=100,"High Fare",L680&gt;=100,"Very High Fare")</f>
        <v>Low Fare</v>
      </c>
      <c r="N680" s="2">
        <v>0</v>
      </c>
      <c r="O680" s="2">
        <v>0</v>
      </c>
      <c r="P680">
        <f t="shared" si="41"/>
        <v>1</v>
      </c>
      <c r="Q680" t="str">
        <f t="shared" si="42"/>
        <v>Alone</v>
      </c>
      <c r="R680" t="str">
        <f t="shared" si="43"/>
        <v>No</v>
      </c>
      <c r="S680" t="s">
        <v>13</v>
      </c>
    </row>
    <row r="681" spans="1:19" x14ac:dyDescent="0.3">
      <c r="A681" s="1" t="s">
        <v>513</v>
      </c>
      <c r="B681" t="s">
        <v>1596</v>
      </c>
      <c r="C681" t="s">
        <v>2214</v>
      </c>
      <c r="D681" t="str">
        <f t="shared" si="40"/>
        <v>Male</v>
      </c>
      <c r="E681" t="s">
        <v>9</v>
      </c>
      <c r="F681" s="2">
        <v>31</v>
      </c>
      <c r="G681" s="2" t="str" cm="1">
        <f t="array" ref="G681">_xlfn.IFS(F681&lt;=8,"Child",F681&lt;=17,"Teen",F681&lt;=35,"Adult",F681&lt;=55,"Seniour Adult",F681&gt;=55,"Old Age")</f>
        <v>Adult</v>
      </c>
      <c r="H681" t="s">
        <v>18</v>
      </c>
      <c r="I681" t="s">
        <v>11</v>
      </c>
      <c r="J681" t="str" cm="1">
        <f t="array" ref="J681">_xlfn.IFS(I681="S","Southamptom",I681="Q","Quentown",I681="C","Cherbrug",I681="B","Cabin")</f>
        <v>Southamptom</v>
      </c>
      <c r="K681" t="s">
        <v>23</v>
      </c>
      <c r="L681" s="2">
        <v>10.1</v>
      </c>
      <c r="M681" s="2" t="str" cm="1">
        <f t="array" ref="M681">_xlfn.IFS(L681&lt;=15,"Low Fare",L681&lt;=35,"Medium Fare",L681&lt;=100,"High Fare",L681&gt;=100,"Very High Fare")</f>
        <v>Low Fare</v>
      </c>
      <c r="N681" s="2">
        <v>0</v>
      </c>
      <c r="O681" s="2">
        <v>0</v>
      </c>
      <c r="P681">
        <f t="shared" si="41"/>
        <v>1</v>
      </c>
      <c r="Q681" t="str">
        <f t="shared" si="42"/>
        <v>Alone</v>
      </c>
      <c r="R681" t="str">
        <f t="shared" si="43"/>
        <v>No</v>
      </c>
      <c r="S681" t="s">
        <v>13</v>
      </c>
    </row>
    <row r="682" spans="1:19" x14ac:dyDescent="0.3">
      <c r="A682" s="1" t="s">
        <v>514</v>
      </c>
      <c r="B682" t="s">
        <v>1596</v>
      </c>
      <c r="C682" t="s">
        <v>2215</v>
      </c>
      <c r="D682" t="str">
        <f t="shared" si="40"/>
        <v>Male</v>
      </c>
      <c r="E682" t="s">
        <v>9</v>
      </c>
      <c r="F682" s="2">
        <v>35</v>
      </c>
      <c r="G682" s="2" t="str" cm="1">
        <f t="array" ref="G682">_xlfn.IFS(F682&lt;=8,"Child",F682&lt;=17,"Teen",F682&lt;=35,"Adult",F682&lt;=55,"Seniour Adult",F682&gt;=55,"Old Age")</f>
        <v>Adult</v>
      </c>
      <c r="H682" t="s">
        <v>10</v>
      </c>
      <c r="I682" t="s">
        <v>19</v>
      </c>
      <c r="J682" t="str" cm="1">
        <f t="array" ref="J682">_xlfn.IFS(I682="S","Southamptom",I682="Q","Quentown",I682="C","Cherbrug",I682="B","Cabin")</f>
        <v>Cherbrug</v>
      </c>
      <c r="K682" t="s">
        <v>21</v>
      </c>
      <c r="L682" s="2">
        <v>7.0406000000000004</v>
      </c>
      <c r="M682" s="2" t="str" cm="1">
        <f t="array" ref="M682">_xlfn.IFS(L682&lt;=15,"Low Fare",L682&lt;=35,"Medium Fare",L682&lt;=100,"High Fare",L682&gt;=100,"Very High Fare")</f>
        <v>Low Fare</v>
      </c>
      <c r="N682" s="2">
        <v>0</v>
      </c>
      <c r="O682" s="2">
        <v>0</v>
      </c>
      <c r="P682">
        <f t="shared" si="41"/>
        <v>1</v>
      </c>
      <c r="Q682" t="str">
        <f t="shared" si="42"/>
        <v>Alone</v>
      </c>
      <c r="R682" t="str">
        <f t="shared" si="43"/>
        <v>No</v>
      </c>
      <c r="S682" t="s">
        <v>13</v>
      </c>
    </row>
    <row r="683" spans="1:19" x14ac:dyDescent="0.3">
      <c r="A683" s="1" t="s">
        <v>515</v>
      </c>
      <c r="B683" t="s">
        <v>1777</v>
      </c>
      <c r="C683" t="s">
        <v>1619</v>
      </c>
      <c r="D683" t="str">
        <f t="shared" si="40"/>
        <v>Male</v>
      </c>
      <c r="E683" t="s">
        <v>9</v>
      </c>
      <c r="F683" s="2">
        <v>35</v>
      </c>
      <c r="G683" s="2" t="str" cm="1">
        <f t="array" ref="G683">_xlfn.IFS(F683&lt;=8,"Child",F683&lt;=17,"Teen",F683&lt;=35,"Adult",F683&lt;=55,"Seniour Adult",F683&gt;=55,"Old Age")</f>
        <v>Adult</v>
      </c>
      <c r="H683" t="s">
        <v>18</v>
      </c>
      <c r="I683" t="s">
        <v>11</v>
      </c>
      <c r="J683" t="str" cm="1">
        <f t="array" ref="J683">_xlfn.IFS(I683="S","Southamptom",I683="Q","Quentown",I683="C","Cherbrug",I683="B","Cabin")</f>
        <v>Southamptom</v>
      </c>
      <c r="K683" t="s">
        <v>12</v>
      </c>
      <c r="L683" s="2">
        <v>26</v>
      </c>
      <c r="M683" s="2" t="str" cm="1">
        <f t="array" ref="M683">_xlfn.IFS(L683&lt;=15,"Low Fare",L683&lt;=35,"Medium Fare",L683&lt;=100,"High Fare",L683&gt;=100,"Very High Fare")</f>
        <v>Medium Fare</v>
      </c>
      <c r="N683" s="2">
        <v>1</v>
      </c>
      <c r="O683" s="2">
        <v>1</v>
      </c>
      <c r="P683">
        <f t="shared" si="41"/>
        <v>3</v>
      </c>
      <c r="Q683" t="str">
        <f t="shared" si="42"/>
        <v>With Family</v>
      </c>
      <c r="R683" t="str">
        <f t="shared" si="43"/>
        <v>No</v>
      </c>
      <c r="S683" t="s">
        <v>13</v>
      </c>
    </row>
    <row r="684" spans="1:19" x14ac:dyDescent="0.3">
      <c r="A684" s="1" t="s">
        <v>515</v>
      </c>
      <c r="B684" t="s">
        <v>1600</v>
      </c>
      <c r="C684" t="s">
        <v>2216</v>
      </c>
      <c r="D684" t="str">
        <f t="shared" si="40"/>
        <v>Female</v>
      </c>
      <c r="E684" t="s">
        <v>14</v>
      </c>
      <c r="F684" s="2">
        <v>34</v>
      </c>
      <c r="G684" s="2" t="str" cm="1">
        <f t="array" ref="G684">_xlfn.IFS(F684&lt;=8,"Child",F684&lt;=17,"Teen",F684&lt;=35,"Adult",F684&lt;=55,"Seniour Adult",F684&gt;=55,"Old Age")</f>
        <v>Adult</v>
      </c>
      <c r="H684" t="s">
        <v>18</v>
      </c>
      <c r="I684" t="s">
        <v>11</v>
      </c>
      <c r="J684" t="str" cm="1">
        <f t="array" ref="J684">_xlfn.IFS(I684="S","Southamptom",I684="Q","Quentown",I684="C","Cherbrug",I684="B","Cabin")</f>
        <v>Southamptom</v>
      </c>
      <c r="K684" t="s">
        <v>12</v>
      </c>
      <c r="L684" s="2">
        <v>26</v>
      </c>
      <c r="M684" s="2" t="str" cm="1">
        <f t="array" ref="M684">_xlfn.IFS(L684&lt;=15,"Low Fare",L684&lt;=35,"Medium Fare",L684&lt;=100,"High Fare",L684&gt;=100,"Very High Fare")</f>
        <v>Medium Fare</v>
      </c>
      <c r="N684" s="2">
        <v>1</v>
      </c>
      <c r="O684" s="2">
        <v>1</v>
      </c>
      <c r="P684">
        <f t="shared" si="41"/>
        <v>3</v>
      </c>
      <c r="Q684" t="str">
        <f t="shared" si="42"/>
        <v>With Family</v>
      </c>
      <c r="R684" t="str">
        <f t="shared" si="43"/>
        <v>No</v>
      </c>
      <c r="S684" t="s">
        <v>13</v>
      </c>
    </row>
    <row r="685" spans="1:19" x14ac:dyDescent="0.3">
      <c r="A685" s="1" t="s">
        <v>516</v>
      </c>
      <c r="B685" t="s">
        <v>1602</v>
      </c>
      <c r="C685" t="s">
        <v>2217</v>
      </c>
      <c r="D685" t="str">
        <f t="shared" si="40"/>
        <v>Female</v>
      </c>
      <c r="E685" t="s">
        <v>14</v>
      </c>
      <c r="F685" s="2">
        <v>37</v>
      </c>
      <c r="G685" s="2" t="str" cm="1">
        <f t="array" ref="G685">_xlfn.IFS(F685&lt;=8,"Child",F685&lt;=17,"Teen",F685&lt;=35,"Adult",F685&lt;=55,"Seniour Adult",F685&gt;=55,"Old Age")</f>
        <v>Seniour Adult</v>
      </c>
      <c r="H685" t="s">
        <v>10</v>
      </c>
      <c r="I685" t="s">
        <v>11</v>
      </c>
      <c r="J685" t="str" cm="1">
        <f t="array" ref="J685">_xlfn.IFS(I685="S","Southamptom",I685="Q","Quentown",I685="C","Cherbrug",I685="B","Cabin")</f>
        <v>Southamptom</v>
      </c>
      <c r="K685" t="s">
        <v>22</v>
      </c>
      <c r="L685" s="2">
        <v>9.1109000000000009</v>
      </c>
      <c r="M685" s="2" t="str" cm="1">
        <f t="array" ref="M685">_xlfn.IFS(L685&lt;=15,"Low Fare",L685&lt;=35,"Medium Fare",L685&lt;=100,"High Fare",L685&gt;=100,"Very High Fare")</f>
        <v>Low Fare</v>
      </c>
      <c r="N685" s="2">
        <v>0</v>
      </c>
      <c r="O685" s="2">
        <v>0</v>
      </c>
      <c r="P685">
        <f t="shared" si="41"/>
        <v>1</v>
      </c>
      <c r="Q685" t="str">
        <f t="shared" si="42"/>
        <v>Alone</v>
      </c>
      <c r="R685" t="str">
        <f t="shared" si="43"/>
        <v>No</v>
      </c>
      <c r="S685" t="s">
        <v>13</v>
      </c>
    </row>
    <row r="686" spans="1:19" x14ac:dyDescent="0.3">
      <c r="A686" s="1" t="s">
        <v>517</v>
      </c>
      <c r="B686" t="s">
        <v>1596</v>
      </c>
      <c r="C686" t="s">
        <v>2218</v>
      </c>
      <c r="D686" t="str">
        <f t="shared" si="40"/>
        <v>Male</v>
      </c>
      <c r="E686" t="s">
        <v>9</v>
      </c>
      <c r="F686" s="2">
        <v>31</v>
      </c>
      <c r="G686" s="2" t="str" cm="1">
        <f t="array" ref="G686">_xlfn.IFS(F686&lt;=8,"Child",F686&lt;=17,"Teen",F686&lt;=35,"Adult",F686&lt;=55,"Seniour Adult",F686&gt;=55,"Old Age")</f>
        <v>Adult</v>
      </c>
      <c r="H686" t="s">
        <v>18</v>
      </c>
      <c r="I686" t="s">
        <v>36</v>
      </c>
      <c r="J686" t="str" cm="1">
        <f t="array" ref="J686">_xlfn.IFS(I686="S","Southamptom",I686="Q","Quentown",I686="C","Cherbrug",I686="B","Cabin")</f>
        <v>Quentown</v>
      </c>
      <c r="K686" t="s">
        <v>37</v>
      </c>
      <c r="L686" s="2">
        <v>10.1402</v>
      </c>
      <c r="M686" s="2" t="str" cm="1">
        <f t="array" ref="M686">_xlfn.IFS(L686&lt;=15,"Low Fare",L686&lt;=35,"Medium Fare",L686&lt;=100,"High Fare",L686&gt;=100,"Very High Fare")</f>
        <v>Low Fare</v>
      </c>
      <c r="N686" s="2">
        <v>0</v>
      </c>
      <c r="O686" s="2">
        <v>0</v>
      </c>
      <c r="P686">
        <f t="shared" si="41"/>
        <v>1</v>
      </c>
      <c r="Q686" t="str">
        <f t="shared" si="42"/>
        <v>Alone</v>
      </c>
      <c r="R686" t="str">
        <f t="shared" si="43"/>
        <v>No</v>
      </c>
      <c r="S686" t="s">
        <v>13</v>
      </c>
    </row>
    <row r="687" spans="1:19" x14ac:dyDescent="0.3">
      <c r="A687" s="1" t="s">
        <v>518</v>
      </c>
      <c r="B687" t="s">
        <v>1596</v>
      </c>
      <c r="C687" t="s">
        <v>1663</v>
      </c>
      <c r="D687" t="str">
        <f t="shared" si="40"/>
        <v>Male</v>
      </c>
      <c r="E687" t="s">
        <v>9</v>
      </c>
      <c r="F687" s="2">
        <v>38</v>
      </c>
      <c r="G687" s="2" t="str" cm="1">
        <f t="array" ref="G687">_xlfn.IFS(F687&lt;=8,"Child",F687&lt;=17,"Teen",F687&lt;=35,"Adult",F687&lt;=55,"Seniour Adult",F687&gt;=55,"Old Age")</f>
        <v>Seniour Adult</v>
      </c>
      <c r="H687" t="s">
        <v>10</v>
      </c>
      <c r="I687" t="s">
        <v>11</v>
      </c>
      <c r="J687" t="str" cm="1">
        <f t="array" ref="J687">_xlfn.IFS(I687="S","Southamptom",I687="Q","Quentown",I687="C","Cherbrug",I687="B","Cabin")</f>
        <v>Southamptom</v>
      </c>
      <c r="K687" t="s">
        <v>59</v>
      </c>
      <c r="L687" s="2">
        <v>56.091099999999997</v>
      </c>
      <c r="M687" s="2" t="str" cm="1">
        <f t="array" ref="M687">_xlfn.IFS(L687&lt;=15,"Low Fare",L687&lt;=35,"Medium Fare",L687&lt;=100,"High Fare",L687&gt;=100,"Very High Fare")</f>
        <v>High Fare</v>
      </c>
      <c r="N687" s="2">
        <v>0</v>
      </c>
      <c r="O687" s="2">
        <v>0</v>
      </c>
      <c r="P687">
        <f t="shared" si="41"/>
        <v>1</v>
      </c>
      <c r="Q687" t="str">
        <f t="shared" si="42"/>
        <v>Alone</v>
      </c>
      <c r="R687" t="str">
        <f t="shared" si="43"/>
        <v>Yes</v>
      </c>
      <c r="S687" t="s">
        <v>16</v>
      </c>
    </row>
    <row r="688" spans="1:19" x14ac:dyDescent="0.3">
      <c r="A688" s="1" t="s">
        <v>518</v>
      </c>
      <c r="B688" t="s">
        <v>1596</v>
      </c>
      <c r="C688" t="s">
        <v>2219</v>
      </c>
      <c r="D688" t="str">
        <f t="shared" si="40"/>
        <v>Male</v>
      </c>
      <c r="E688" t="s">
        <v>9</v>
      </c>
      <c r="F688" s="2">
        <v>23</v>
      </c>
      <c r="G688" s="2" t="str" cm="1">
        <f t="array" ref="G688">_xlfn.IFS(F688&lt;=8,"Child",F688&lt;=17,"Teen",F688&lt;=35,"Adult",F688&lt;=55,"Seniour Adult",F688&gt;=55,"Old Age")</f>
        <v>Adult</v>
      </c>
      <c r="H688" t="s">
        <v>10</v>
      </c>
      <c r="I688" t="s">
        <v>11</v>
      </c>
      <c r="J688" t="str" cm="1">
        <f t="array" ref="J688">_xlfn.IFS(I688="S","Southamptom",I688="Q","Quentown",I688="C","Cherbrug",I688="B","Cabin")</f>
        <v>Southamptom</v>
      </c>
      <c r="K688" t="s">
        <v>15</v>
      </c>
      <c r="L688" s="2">
        <v>56.091099999999997</v>
      </c>
      <c r="M688" s="2" t="str" cm="1">
        <f t="array" ref="M688">_xlfn.IFS(L688&lt;=15,"Low Fare",L688&lt;=35,"Medium Fare",L688&lt;=100,"High Fare",L688&gt;=100,"Very High Fare")</f>
        <v>High Fare</v>
      </c>
      <c r="N688" s="2">
        <v>0</v>
      </c>
      <c r="O688" s="2">
        <v>0</v>
      </c>
      <c r="P688">
        <f t="shared" si="41"/>
        <v>1</v>
      </c>
      <c r="Q688" t="str">
        <f t="shared" si="42"/>
        <v>Alone</v>
      </c>
      <c r="R688" t="str">
        <f t="shared" si="43"/>
        <v>No</v>
      </c>
      <c r="S688" t="s">
        <v>13</v>
      </c>
    </row>
    <row r="689" spans="1:19" x14ac:dyDescent="0.3">
      <c r="A689" s="1" t="s">
        <v>519</v>
      </c>
      <c r="B689" t="s">
        <v>1602</v>
      </c>
      <c r="C689" t="s">
        <v>2220</v>
      </c>
      <c r="D689" t="str">
        <f t="shared" si="40"/>
        <v>Female</v>
      </c>
      <c r="E689" t="s">
        <v>14</v>
      </c>
      <c r="F689" s="2">
        <v>22</v>
      </c>
      <c r="G689" s="2" t="str" cm="1">
        <f t="array" ref="G689">_xlfn.IFS(F689&lt;=8,"Child",F689&lt;=17,"Teen",F689&lt;=35,"Adult",F689&lt;=55,"Seniour Adult",F689&gt;=55,"Old Age")</f>
        <v>Adult</v>
      </c>
      <c r="H689" t="s">
        <v>10</v>
      </c>
      <c r="I689" t="s">
        <v>11</v>
      </c>
      <c r="J689" t="str" cm="1">
        <f t="array" ref="J689">_xlfn.IFS(I689="S","Southamptom",I689="Q","Quentown",I689="C","Cherbrug",I689="B","Cabin")</f>
        <v>Southamptom</v>
      </c>
      <c r="K689" t="s">
        <v>23</v>
      </c>
      <c r="L689" s="2">
        <v>7.05</v>
      </c>
      <c r="M689" s="2" t="str" cm="1">
        <f t="array" ref="M689">_xlfn.IFS(L689&lt;=15,"Low Fare",L689&lt;=35,"Medium Fare",L689&lt;=100,"High Fare",L689&gt;=100,"Very High Fare")</f>
        <v>Low Fare</v>
      </c>
      <c r="N689" s="2">
        <v>0</v>
      </c>
      <c r="O689" s="2">
        <v>0</v>
      </c>
      <c r="P689">
        <f t="shared" si="41"/>
        <v>1</v>
      </c>
      <c r="Q689" t="str">
        <f t="shared" si="42"/>
        <v>Alone</v>
      </c>
      <c r="R689" t="str">
        <f t="shared" si="43"/>
        <v>Yes</v>
      </c>
      <c r="S689" t="s">
        <v>16</v>
      </c>
    </row>
    <row r="690" spans="1:19" x14ac:dyDescent="0.3">
      <c r="A690" s="1" t="s">
        <v>520</v>
      </c>
      <c r="B690" t="s">
        <v>1596</v>
      </c>
      <c r="C690" t="s">
        <v>1792</v>
      </c>
      <c r="D690" t="str">
        <f t="shared" si="40"/>
        <v>Male</v>
      </c>
      <c r="E690" t="s">
        <v>9</v>
      </c>
      <c r="F690" s="2">
        <v>17</v>
      </c>
      <c r="G690" s="2" t="str" cm="1">
        <f t="array" ref="G690">_xlfn.IFS(F690&lt;=8,"Child",F690&lt;=17,"Teen",F690&lt;=35,"Adult",F690&lt;=55,"Seniour Adult",F690&gt;=55,"Old Age")</f>
        <v>Teen</v>
      </c>
      <c r="H690" t="s">
        <v>10</v>
      </c>
      <c r="I690" t="s">
        <v>36</v>
      </c>
      <c r="J690" t="str" cm="1">
        <f t="array" ref="J690">_xlfn.IFS(I690="S","Southamptom",I690="Q","Quentown",I690="C","Cherbrug",I690="B","Cabin")</f>
        <v>Quentown</v>
      </c>
      <c r="K690" t="s">
        <v>37</v>
      </c>
      <c r="L690" s="2">
        <v>7.15</v>
      </c>
      <c r="M690" s="2" t="str" cm="1">
        <f t="array" ref="M690">_xlfn.IFS(L690&lt;=15,"Low Fare",L690&lt;=35,"Medium Fare",L690&lt;=100,"High Fare",L690&gt;=100,"Very High Fare")</f>
        <v>Low Fare</v>
      </c>
      <c r="N690" s="2">
        <v>0</v>
      </c>
      <c r="O690" s="2">
        <v>0</v>
      </c>
      <c r="P690">
        <f t="shared" si="41"/>
        <v>1</v>
      </c>
      <c r="Q690" t="str">
        <f t="shared" si="42"/>
        <v>Alone</v>
      </c>
      <c r="R690" t="str">
        <f t="shared" si="43"/>
        <v>No</v>
      </c>
      <c r="S690" t="s">
        <v>13</v>
      </c>
    </row>
    <row r="691" spans="1:19" x14ac:dyDescent="0.3">
      <c r="A691" s="1" t="s">
        <v>521</v>
      </c>
      <c r="B691" t="s">
        <v>1596</v>
      </c>
      <c r="C691" t="s">
        <v>2221</v>
      </c>
      <c r="D691" t="str">
        <f t="shared" si="40"/>
        <v>Male</v>
      </c>
      <c r="E691" t="s">
        <v>9</v>
      </c>
      <c r="F691" s="2">
        <v>32</v>
      </c>
      <c r="G691" s="2" t="str" cm="1">
        <f t="array" ref="G691">_xlfn.IFS(F691&lt;=8,"Child",F691&lt;=17,"Teen",F691&lt;=35,"Adult",F691&lt;=55,"Seniour Adult",F691&gt;=55,"Old Age")</f>
        <v>Adult</v>
      </c>
      <c r="H691" t="s">
        <v>10</v>
      </c>
      <c r="I691" t="s">
        <v>11</v>
      </c>
      <c r="J691" t="str" cm="1">
        <f t="array" ref="J691">_xlfn.IFS(I691="S","Southamptom",I691="Q","Quentown",I691="C","Cherbrug",I691="B","Cabin")</f>
        <v>Southamptom</v>
      </c>
      <c r="K691" t="s">
        <v>15</v>
      </c>
      <c r="L691" s="2">
        <v>56.091099999999997</v>
      </c>
      <c r="M691" s="2" t="str" cm="1">
        <f t="array" ref="M691">_xlfn.IFS(L691&lt;=15,"Low Fare",L691&lt;=35,"Medium Fare",L691&lt;=100,"High Fare",L691&gt;=100,"Very High Fare")</f>
        <v>High Fare</v>
      </c>
      <c r="N691" s="2">
        <v>0</v>
      </c>
      <c r="O691" s="2">
        <v>0</v>
      </c>
      <c r="P691">
        <f t="shared" si="41"/>
        <v>1</v>
      </c>
      <c r="Q691" t="str">
        <f t="shared" si="42"/>
        <v>Alone</v>
      </c>
      <c r="R691" t="str">
        <f t="shared" si="43"/>
        <v>Yes</v>
      </c>
      <c r="S691" t="s">
        <v>16</v>
      </c>
    </row>
    <row r="692" spans="1:19" x14ac:dyDescent="0.3">
      <c r="A692" s="1" t="s">
        <v>522</v>
      </c>
      <c r="B692" t="s">
        <v>1602</v>
      </c>
      <c r="C692" t="s">
        <v>2222</v>
      </c>
      <c r="D692" t="str">
        <f t="shared" si="40"/>
        <v>Female</v>
      </c>
      <c r="E692" t="s">
        <v>14</v>
      </c>
      <c r="F692" s="2">
        <v>1</v>
      </c>
      <c r="G692" s="2" t="str" cm="1">
        <f t="array" ref="G692">_xlfn.IFS(F692&lt;=8,"Child",F692&lt;=17,"Teen",F692&lt;=35,"Adult",F692&lt;=55,"Seniour Adult",F692&gt;=55,"Old Age")</f>
        <v>Child</v>
      </c>
      <c r="H692" t="s">
        <v>18</v>
      </c>
      <c r="I692" t="s">
        <v>19</v>
      </c>
      <c r="J692" t="str" cm="1">
        <f t="array" ref="J692">_xlfn.IFS(I692="S","Southamptom",I692="Q","Quentown",I692="C","Cherbrug",I692="B","Cabin")</f>
        <v>Cherbrug</v>
      </c>
      <c r="K692" t="s">
        <v>20</v>
      </c>
      <c r="L692" s="2">
        <v>41.110700000000001</v>
      </c>
      <c r="M692" s="2" t="str" cm="1">
        <f t="array" ref="M692">_xlfn.IFS(L692&lt;=15,"Low Fare",L692&lt;=35,"Medium Fare",L692&lt;=100,"High Fare",L692&gt;=100,"Very High Fare")</f>
        <v>High Fare</v>
      </c>
      <c r="N692" s="2">
        <v>1</v>
      </c>
      <c r="O692" s="2">
        <v>2</v>
      </c>
      <c r="P692">
        <f t="shared" si="41"/>
        <v>4</v>
      </c>
      <c r="Q692" t="str">
        <f t="shared" si="42"/>
        <v>With Family</v>
      </c>
      <c r="R692" t="str">
        <f t="shared" si="43"/>
        <v>Yes</v>
      </c>
      <c r="S692" t="s">
        <v>16</v>
      </c>
    </row>
    <row r="693" spans="1:19" x14ac:dyDescent="0.3">
      <c r="A693" s="1" t="s">
        <v>522</v>
      </c>
      <c r="B693" t="s">
        <v>1602</v>
      </c>
      <c r="C693" t="s">
        <v>2223</v>
      </c>
      <c r="D693" t="str">
        <f t="shared" si="40"/>
        <v>Female</v>
      </c>
      <c r="E693" t="s">
        <v>14</v>
      </c>
      <c r="F693" s="2">
        <v>3</v>
      </c>
      <c r="G693" s="2" t="str" cm="1">
        <f t="array" ref="G693">_xlfn.IFS(F693&lt;=8,"Child",F693&lt;=17,"Teen",F693&lt;=35,"Adult",F693&lt;=55,"Seniour Adult",F693&gt;=55,"Old Age")</f>
        <v>Child</v>
      </c>
      <c r="H693" t="s">
        <v>18</v>
      </c>
      <c r="I693" t="s">
        <v>19</v>
      </c>
      <c r="J693" t="str" cm="1">
        <f t="array" ref="J693">_xlfn.IFS(I693="S","Southamptom",I693="Q","Quentown",I693="C","Cherbrug",I693="B","Cabin")</f>
        <v>Cherbrug</v>
      </c>
      <c r="K693" t="s">
        <v>20</v>
      </c>
      <c r="L693" s="2">
        <v>41.110700000000001</v>
      </c>
      <c r="M693" s="2" t="str" cm="1">
        <f t="array" ref="M693">_xlfn.IFS(L693&lt;=15,"Low Fare",L693&lt;=35,"Medium Fare",L693&lt;=100,"High Fare",L693&gt;=100,"Very High Fare")</f>
        <v>High Fare</v>
      </c>
      <c r="N693" s="2">
        <v>1</v>
      </c>
      <c r="O693" s="2">
        <v>2</v>
      </c>
      <c r="P693">
        <f t="shared" si="41"/>
        <v>4</v>
      </c>
      <c r="Q693" t="str">
        <f t="shared" si="42"/>
        <v>With Family</v>
      </c>
      <c r="R693" t="str">
        <f t="shared" si="43"/>
        <v>Yes</v>
      </c>
      <c r="S693" t="s">
        <v>16</v>
      </c>
    </row>
    <row r="694" spans="1:19" x14ac:dyDescent="0.3">
      <c r="A694" s="1" t="s">
        <v>522</v>
      </c>
      <c r="B694" t="s">
        <v>1596</v>
      </c>
      <c r="C694" t="s">
        <v>2224</v>
      </c>
      <c r="D694" t="str">
        <f t="shared" si="40"/>
        <v>Male</v>
      </c>
      <c r="E694" t="s">
        <v>9</v>
      </c>
      <c r="F694" s="2">
        <v>25</v>
      </c>
      <c r="G694" s="2" t="str" cm="1">
        <f t="array" ref="G694">_xlfn.IFS(F694&lt;=8,"Child",F694&lt;=17,"Teen",F694&lt;=35,"Adult",F694&lt;=55,"Seniour Adult",F694&gt;=55,"Old Age")</f>
        <v>Adult</v>
      </c>
      <c r="H694" t="s">
        <v>18</v>
      </c>
      <c r="I694" t="s">
        <v>19</v>
      </c>
      <c r="J694" t="str" cm="1">
        <f t="array" ref="J694">_xlfn.IFS(I694="S","Southamptom",I694="Q","Quentown",I694="C","Cherbrug",I694="B","Cabin")</f>
        <v>Cherbrug</v>
      </c>
      <c r="K694" t="s">
        <v>20</v>
      </c>
      <c r="L694" s="2">
        <v>41.110700000000001</v>
      </c>
      <c r="M694" s="2" t="str" cm="1">
        <f t="array" ref="M694">_xlfn.IFS(L694&lt;=15,"Low Fare",L694&lt;=35,"Medium Fare",L694&lt;=100,"High Fare",L694&gt;=100,"Very High Fare")</f>
        <v>High Fare</v>
      </c>
      <c r="N694" s="2">
        <v>1</v>
      </c>
      <c r="O694" s="2">
        <v>2</v>
      </c>
      <c r="P694">
        <f t="shared" si="41"/>
        <v>4</v>
      </c>
      <c r="Q694" t="str">
        <f t="shared" si="42"/>
        <v>With Family</v>
      </c>
      <c r="R694" t="str">
        <f t="shared" si="43"/>
        <v>No</v>
      </c>
      <c r="S694" t="s">
        <v>13</v>
      </c>
    </row>
    <row r="695" spans="1:19" x14ac:dyDescent="0.3">
      <c r="A695" s="1" t="s">
        <v>522</v>
      </c>
      <c r="B695" t="s">
        <v>1600</v>
      </c>
      <c r="C695" t="s">
        <v>2225</v>
      </c>
      <c r="D695" t="str">
        <f t="shared" si="40"/>
        <v>Female</v>
      </c>
      <c r="E695" t="s">
        <v>14</v>
      </c>
      <c r="F695" s="2">
        <v>22</v>
      </c>
      <c r="G695" s="2" t="str" cm="1">
        <f t="array" ref="G695">_xlfn.IFS(F695&lt;=8,"Child",F695&lt;=17,"Teen",F695&lt;=35,"Adult",F695&lt;=55,"Seniour Adult",F695&gt;=55,"Old Age")</f>
        <v>Adult</v>
      </c>
      <c r="H695" t="s">
        <v>18</v>
      </c>
      <c r="I695" t="s">
        <v>19</v>
      </c>
      <c r="J695" t="str" cm="1">
        <f t="array" ref="J695">_xlfn.IFS(I695="S","Southamptom",I695="Q","Quentown",I695="C","Cherbrug",I695="B","Cabin")</f>
        <v>Cherbrug</v>
      </c>
      <c r="K695" t="s">
        <v>20</v>
      </c>
      <c r="L695" s="2">
        <v>41.110700000000001</v>
      </c>
      <c r="M695" s="2" t="str" cm="1">
        <f t="array" ref="M695">_xlfn.IFS(L695&lt;=15,"Low Fare",L695&lt;=35,"Medium Fare",L695&lt;=100,"High Fare",L695&gt;=100,"Very High Fare")</f>
        <v>High Fare</v>
      </c>
      <c r="N695" s="2">
        <v>1</v>
      </c>
      <c r="O695" s="2">
        <v>2</v>
      </c>
      <c r="P695">
        <f t="shared" si="41"/>
        <v>4</v>
      </c>
      <c r="Q695" t="str">
        <f t="shared" si="42"/>
        <v>With Family</v>
      </c>
      <c r="R695" t="str">
        <f t="shared" si="43"/>
        <v>Yes</v>
      </c>
      <c r="S695" t="s">
        <v>16</v>
      </c>
    </row>
    <row r="696" spans="1:19" x14ac:dyDescent="0.3">
      <c r="A696" s="1" t="s">
        <v>523</v>
      </c>
      <c r="B696" t="s">
        <v>1596</v>
      </c>
      <c r="C696" t="s">
        <v>2226</v>
      </c>
      <c r="D696" t="str">
        <f t="shared" si="40"/>
        <v>Male</v>
      </c>
      <c r="E696" t="s">
        <v>9</v>
      </c>
      <c r="F696" s="2">
        <v>29</v>
      </c>
      <c r="G696" s="2" t="str" cm="1">
        <f t="array" ref="G696">_xlfn.IFS(F696&lt;=8,"Child",F696&lt;=17,"Teen",F696&lt;=35,"Adult",F696&lt;=55,"Seniour Adult",F696&gt;=55,"Old Age")</f>
        <v>Adult</v>
      </c>
      <c r="H696" t="s">
        <v>10</v>
      </c>
      <c r="I696" t="s">
        <v>11</v>
      </c>
      <c r="J696" t="str" cm="1">
        <f t="array" ref="J696">_xlfn.IFS(I696="S","Southamptom",I696="Q","Quentown",I696="C","Cherbrug",I696="B","Cabin")</f>
        <v>Southamptom</v>
      </c>
      <c r="K696" t="s">
        <v>12</v>
      </c>
      <c r="L696" s="2">
        <v>9.0907999999999998</v>
      </c>
      <c r="M696" s="2" t="str" cm="1">
        <f t="array" ref="M696">_xlfn.IFS(L696&lt;=15,"Low Fare",L696&lt;=35,"Medium Fare",L696&lt;=100,"High Fare",L696&gt;=100,"Very High Fare")</f>
        <v>Low Fare</v>
      </c>
      <c r="N696" s="2">
        <v>0</v>
      </c>
      <c r="O696" s="2">
        <v>0</v>
      </c>
      <c r="P696">
        <f t="shared" si="41"/>
        <v>1</v>
      </c>
      <c r="Q696" t="str">
        <f t="shared" si="42"/>
        <v>Alone</v>
      </c>
      <c r="R696" t="str">
        <f t="shared" si="43"/>
        <v>No</v>
      </c>
      <c r="S696" t="s">
        <v>13</v>
      </c>
    </row>
    <row r="697" spans="1:19" x14ac:dyDescent="0.3">
      <c r="A697" s="1" t="s">
        <v>523</v>
      </c>
      <c r="B697" t="s">
        <v>1596</v>
      </c>
      <c r="C697" t="s">
        <v>2227</v>
      </c>
      <c r="D697" t="str">
        <f t="shared" si="40"/>
        <v>Male</v>
      </c>
      <c r="E697" t="s">
        <v>9</v>
      </c>
      <c r="F697" s="2">
        <v>29</v>
      </c>
      <c r="G697" s="2" t="str" cm="1">
        <f t="array" ref="G697">_xlfn.IFS(F697&lt;=8,"Child",F697&lt;=17,"Teen",F697&lt;=35,"Adult",F697&lt;=55,"Seniour Adult",F697&gt;=55,"Old Age")</f>
        <v>Adult</v>
      </c>
      <c r="H697" t="s">
        <v>10</v>
      </c>
      <c r="I697" t="s">
        <v>11</v>
      </c>
      <c r="J697" t="str" cm="1">
        <f t="array" ref="J697">_xlfn.IFS(I697="S","Southamptom",I697="Q","Quentown",I697="C","Cherbrug",I697="B","Cabin")</f>
        <v>Southamptom</v>
      </c>
      <c r="K697" t="s">
        <v>23</v>
      </c>
      <c r="L697" s="2">
        <v>7.1505999999999998</v>
      </c>
      <c r="M697" s="2" t="str" cm="1">
        <f t="array" ref="M697">_xlfn.IFS(L697&lt;=15,"Low Fare",L697&lt;=35,"Medium Fare",L697&lt;=100,"High Fare",L697&gt;=100,"Very High Fare")</f>
        <v>Low Fare</v>
      </c>
      <c r="N697" s="2">
        <v>0</v>
      </c>
      <c r="O697" s="2">
        <v>0</v>
      </c>
      <c r="P697">
        <f t="shared" si="41"/>
        <v>1</v>
      </c>
      <c r="Q697" t="str">
        <f t="shared" si="42"/>
        <v>Alone</v>
      </c>
      <c r="R697" t="str">
        <f t="shared" si="43"/>
        <v>No</v>
      </c>
      <c r="S697" t="s">
        <v>13</v>
      </c>
    </row>
    <row r="698" spans="1:19" x14ac:dyDescent="0.3">
      <c r="A698" s="1" t="s">
        <v>523</v>
      </c>
      <c r="B698" t="s">
        <v>1596</v>
      </c>
      <c r="C698" t="s">
        <v>2228</v>
      </c>
      <c r="D698" t="str">
        <f t="shared" si="40"/>
        <v>Male</v>
      </c>
      <c r="E698" t="s">
        <v>9</v>
      </c>
      <c r="F698" s="2">
        <v>22</v>
      </c>
      <c r="G698" s="2" t="str" cm="1">
        <f t="array" ref="G698">_xlfn.IFS(F698&lt;=8,"Child",F698&lt;=17,"Teen",F698&lt;=35,"Adult",F698&lt;=55,"Seniour Adult",F698&gt;=55,"Old Age")</f>
        <v>Adult</v>
      </c>
      <c r="H698" t="s">
        <v>10</v>
      </c>
      <c r="I698" t="s">
        <v>11</v>
      </c>
      <c r="J698" t="str" cm="1">
        <f t="array" ref="J698">_xlfn.IFS(I698="S","Southamptom",I698="Q","Quentown",I698="C","Cherbrug",I698="B","Cabin")</f>
        <v>Southamptom</v>
      </c>
      <c r="K698" t="s">
        <v>23</v>
      </c>
      <c r="L698" s="2">
        <v>7.1505999999999998</v>
      </c>
      <c r="M698" s="2" t="str" cm="1">
        <f t="array" ref="M698">_xlfn.IFS(L698&lt;=15,"Low Fare",L698&lt;=35,"Medium Fare",L698&lt;=100,"High Fare",L698&gt;=100,"Very High Fare")</f>
        <v>Low Fare</v>
      </c>
      <c r="N698" s="2">
        <v>0</v>
      </c>
      <c r="O698" s="2">
        <v>0</v>
      </c>
      <c r="P698">
        <f t="shared" si="41"/>
        <v>1</v>
      </c>
      <c r="Q698" t="str">
        <f t="shared" si="42"/>
        <v>Alone</v>
      </c>
      <c r="R698" t="str">
        <f t="shared" si="43"/>
        <v>No</v>
      </c>
      <c r="S698" t="s">
        <v>13</v>
      </c>
    </row>
    <row r="699" spans="1:19" x14ac:dyDescent="0.3">
      <c r="A699" s="1" t="s">
        <v>524</v>
      </c>
      <c r="B699" t="s">
        <v>1749</v>
      </c>
      <c r="C699" t="s">
        <v>2229</v>
      </c>
      <c r="D699" t="str">
        <f t="shared" si="40"/>
        <v>Female</v>
      </c>
      <c r="E699" t="s">
        <v>14</v>
      </c>
      <c r="F699" s="2">
        <v>49</v>
      </c>
      <c r="G699" s="2" t="str" cm="1">
        <f t="array" ref="G699">_xlfn.IFS(F699&lt;=8,"Child",F699&lt;=17,"Teen",F699&lt;=35,"Adult",F699&lt;=55,"Seniour Adult",F699&gt;=55,"Old Age")</f>
        <v>Seniour Adult</v>
      </c>
      <c r="H699" t="s">
        <v>25</v>
      </c>
      <c r="I699" t="s">
        <v>11</v>
      </c>
      <c r="J699" t="str" cm="1">
        <f t="array" ref="J699">_xlfn.IFS(I699="S","Southamptom",I699="Q","Quentown",I699="C","Cherbrug",I699="B","Cabin")</f>
        <v>Southamptom</v>
      </c>
      <c r="K699" t="s">
        <v>12</v>
      </c>
      <c r="L699" s="2">
        <v>25.180700000000002</v>
      </c>
      <c r="M699" s="2" t="str" cm="1">
        <f t="array" ref="M699">_xlfn.IFS(L699&lt;=15,"Low Fare",L699&lt;=35,"Medium Fare",L699&lt;=100,"High Fare",L699&gt;=100,"Very High Fare")</f>
        <v>Medium Fare</v>
      </c>
      <c r="N699" s="2">
        <v>0</v>
      </c>
      <c r="O699" s="2">
        <v>0</v>
      </c>
      <c r="P699">
        <f t="shared" si="41"/>
        <v>1</v>
      </c>
      <c r="Q699" t="str">
        <f t="shared" si="42"/>
        <v>Alone</v>
      </c>
      <c r="R699" t="str">
        <f t="shared" si="43"/>
        <v>Yes</v>
      </c>
      <c r="S699" t="s">
        <v>16</v>
      </c>
    </row>
    <row r="700" spans="1:19" x14ac:dyDescent="0.3">
      <c r="A700" s="1" t="s">
        <v>525</v>
      </c>
      <c r="B700" t="s">
        <v>1612</v>
      </c>
      <c r="C700" t="s">
        <v>1728</v>
      </c>
      <c r="D700" t="str">
        <f t="shared" si="40"/>
        <v>Male</v>
      </c>
      <c r="E700" t="s">
        <v>9</v>
      </c>
      <c r="F700" s="2">
        <v>5</v>
      </c>
      <c r="G700" s="2" t="str" cm="1">
        <f t="array" ref="G700">_xlfn.IFS(F700&lt;=8,"Child",F700&lt;=17,"Teen",F700&lt;=35,"Adult",F700&lt;=55,"Seniour Adult",F700&gt;=55,"Old Age")</f>
        <v>Child</v>
      </c>
      <c r="H700" t="s">
        <v>10</v>
      </c>
      <c r="I700" t="s">
        <v>11</v>
      </c>
      <c r="J700" t="str" cm="1">
        <f t="array" ref="J700">_xlfn.IFS(I700="S","Southamptom",I700="Q","Quentown",I700="C","Cherbrug",I700="B","Cabin")</f>
        <v>Southamptom</v>
      </c>
      <c r="K700" t="s">
        <v>15</v>
      </c>
      <c r="L700" s="2">
        <v>25.090399999999999</v>
      </c>
      <c r="M700" s="2" t="str" cm="1">
        <f t="array" ref="M700">_xlfn.IFS(L700&lt;=15,"Low Fare",L700&lt;=35,"Medium Fare",L700&lt;=100,"High Fare",L700&gt;=100,"Very High Fare")</f>
        <v>Medium Fare</v>
      </c>
      <c r="N700" s="2">
        <v>3</v>
      </c>
      <c r="O700" s="2">
        <v>1</v>
      </c>
      <c r="P700">
        <f t="shared" si="41"/>
        <v>5</v>
      </c>
      <c r="Q700" t="str">
        <f t="shared" si="42"/>
        <v>With Family</v>
      </c>
      <c r="R700" t="str">
        <f t="shared" si="43"/>
        <v>No</v>
      </c>
      <c r="S700" t="s">
        <v>13</v>
      </c>
    </row>
    <row r="701" spans="1:19" x14ac:dyDescent="0.3">
      <c r="A701" s="1" t="s">
        <v>525</v>
      </c>
      <c r="B701" t="s">
        <v>1602</v>
      </c>
      <c r="C701" t="s">
        <v>2230</v>
      </c>
      <c r="D701" t="str">
        <f t="shared" si="40"/>
        <v>Female</v>
      </c>
      <c r="E701" t="s">
        <v>14</v>
      </c>
      <c r="F701" s="2">
        <v>3</v>
      </c>
      <c r="G701" s="2" t="str" cm="1">
        <f t="array" ref="G701">_xlfn.IFS(F701&lt;=8,"Child",F701&lt;=17,"Teen",F701&lt;=35,"Adult",F701&lt;=55,"Seniour Adult",F701&gt;=55,"Old Age")</f>
        <v>Child</v>
      </c>
      <c r="H701" t="s">
        <v>10</v>
      </c>
      <c r="I701" t="s">
        <v>11</v>
      </c>
      <c r="J701" t="str" cm="1">
        <f t="array" ref="J701">_xlfn.IFS(I701="S","Southamptom",I701="Q","Quentown",I701="C","Cherbrug",I701="B","Cabin")</f>
        <v>Southamptom</v>
      </c>
      <c r="K701" t="s">
        <v>15</v>
      </c>
      <c r="L701" s="2">
        <v>25.090399999999999</v>
      </c>
      <c r="M701" s="2" t="str" cm="1">
        <f t="array" ref="M701">_xlfn.IFS(L701&lt;=15,"Low Fare",L701&lt;=35,"Medium Fare",L701&lt;=100,"High Fare",L701&gt;=100,"Very High Fare")</f>
        <v>Medium Fare</v>
      </c>
      <c r="N701" s="2">
        <v>3</v>
      </c>
      <c r="O701" s="2">
        <v>1</v>
      </c>
      <c r="P701">
        <f t="shared" si="41"/>
        <v>5</v>
      </c>
      <c r="Q701" t="str">
        <f t="shared" si="42"/>
        <v>With Family</v>
      </c>
      <c r="R701" t="str">
        <f t="shared" si="43"/>
        <v>No</v>
      </c>
      <c r="S701" t="s">
        <v>13</v>
      </c>
    </row>
    <row r="702" spans="1:19" x14ac:dyDescent="0.3">
      <c r="A702" s="1" t="s">
        <v>525</v>
      </c>
      <c r="B702" t="s">
        <v>1602</v>
      </c>
      <c r="C702" t="s">
        <v>2231</v>
      </c>
      <c r="D702" t="str">
        <f t="shared" si="40"/>
        <v>Female</v>
      </c>
      <c r="E702" t="s">
        <v>14</v>
      </c>
      <c r="F702" s="2">
        <v>8</v>
      </c>
      <c r="G702" s="2" t="str" cm="1">
        <f t="array" ref="G702">_xlfn.IFS(F702&lt;=8,"Child",F702&lt;=17,"Teen",F702&lt;=35,"Adult",F702&lt;=55,"Seniour Adult",F702&gt;=55,"Old Age")</f>
        <v>Child</v>
      </c>
      <c r="H702" t="s">
        <v>10</v>
      </c>
      <c r="I702" t="s">
        <v>11</v>
      </c>
      <c r="J702" t="str" cm="1">
        <f t="array" ref="J702">_xlfn.IFS(I702="S","Southamptom",I702="Q","Quentown",I702="C","Cherbrug",I702="B","Cabin")</f>
        <v>Southamptom</v>
      </c>
      <c r="K702" t="s">
        <v>15</v>
      </c>
      <c r="L702" s="2">
        <v>25.090399999999999</v>
      </c>
      <c r="M702" s="2" t="str" cm="1">
        <f t="array" ref="M702">_xlfn.IFS(L702&lt;=15,"Low Fare",L702&lt;=35,"Medium Fare",L702&lt;=100,"High Fare",L702&gt;=100,"Very High Fare")</f>
        <v>Medium Fare</v>
      </c>
      <c r="N702" s="2">
        <v>3</v>
      </c>
      <c r="O702" s="2">
        <v>1</v>
      </c>
      <c r="P702">
        <f t="shared" si="41"/>
        <v>5</v>
      </c>
      <c r="Q702" t="str">
        <f t="shared" si="42"/>
        <v>With Family</v>
      </c>
      <c r="R702" t="str">
        <f t="shared" si="43"/>
        <v>No</v>
      </c>
      <c r="S702" t="s">
        <v>13</v>
      </c>
    </row>
    <row r="703" spans="1:19" x14ac:dyDescent="0.3">
      <c r="A703" s="1" t="s">
        <v>525</v>
      </c>
      <c r="B703" t="s">
        <v>1602</v>
      </c>
      <c r="C703" t="s">
        <v>2232</v>
      </c>
      <c r="D703" t="str">
        <f t="shared" si="40"/>
        <v>Female</v>
      </c>
      <c r="E703" t="s">
        <v>14</v>
      </c>
      <c r="F703" s="2">
        <v>12</v>
      </c>
      <c r="G703" s="2" t="str" cm="1">
        <f t="array" ref="G703">_xlfn.IFS(F703&lt;=8,"Child",F703&lt;=17,"Teen",F703&lt;=35,"Adult",F703&lt;=55,"Seniour Adult",F703&gt;=55,"Old Age")</f>
        <v>Teen</v>
      </c>
      <c r="H703" t="s">
        <v>10</v>
      </c>
      <c r="I703" t="s">
        <v>11</v>
      </c>
      <c r="J703" t="str" cm="1">
        <f t="array" ref="J703">_xlfn.IFS(I703="S","Southamptom",I703="Q","Quentown",I703="C","Cherbrug",I703="B","Cabin")</f>
        <v>Southamptom</v>
      </c>
      <c r="K703" t="s">
        <v>15</v>
      </c>
      <c r="L703" s="2">
        <v>25.090399999999999</v>
      </c>
      <c r="M703" s="2" t="str" cm="1">
        <f t="array" ref="M703">_xlfn.IFS(L703&lt;=15,"Low Fare",L703&lt;=35,"Medium Fare",L703&lt;=100,"High Fare",L703&gt;=100,"Very High Fare")</f>
        <v>Medium Fare</v>
      </c>
      <c r="N703" s="2">
        <v>3</v>
      </c>
      <c r="O703" s="2">
        <v>1</v>
      </c>
      <c r="P703">
        <f t="shared" si="41"/>
        <v>5</v>
      </c>
      <c r="Q703" t="str">
        <f t="shared" si="42"/>
        <v>With Family</v>
      </c>
      <c r="R703" t="str">
        <f t="shared" si="43"/>
        <v>No</v>
      </c>
      <c r="S703" t="s">
        <v>13</v>
      </c>
    </row>
    <row r="704" spans="1:19" x14ac:dyDescent="0.3">
      <c r="A704" s="1" t="s">
        <v>525</v>
      </c>
      <c r="B704" t="s">
        <v>1600</v>
      </c>
      <c r="C704" t="s">
        <v>2233</v>
      </c>
      <c r="D704" t="str">
        <f t="shared" si="40"/>
        <v>Female</v>
      </c>
      <c r="E704" t="s">
        <v>14</v>
      </c>
      <c r="F704" s="2">
        <v>40</v>
      </c>
      <c r="G704" s="2" t="str" cm="1">
        <f t="array" ref="G704">_xlfn.IFS(F704&lt;=8,"Child",F704&lt;=17,"Teen",F704&lt;=35,"Adult",F704&lt;=55,"Seniour Adult",F704&gt;=55,"Old Age")</f>
        <v>Seniour Adult</v>
      </c>
      <c r="H704" t="s">
        <v>10</v>
      </c>
      <c r="I704" t="s">
        <v>11</v>
      </c>
      <c r="J704" t="str" cm="1">
        <f t="array" ref="J704">_xlfn.IFS(I704="S","Southamptom",I704="Q","Quentown",I704="C","Cherbrug",I704="B","Cabin")</f>
        <v>Southamptom</v>
      </c>
      <c r="K704" t="s">
        <v>15</v>
      </c>
      <c r="L704" s="2">
        <v>25.090399999999999</v>
      </c>
      <c r="M704" s="2" t="str" cm="1">
        <f t="array" ref="M704">_xlfn.IFS(L704&lt;=15,"Low Fare",L704&lt;=35,"Medium Fare",L704&lt;=100,"High Fare",L704&gt;=100,"Very High Fare")</f>
        <v>Medium Fare</v>
      </c>
      <c r="N704" s="2">
        <v>0</v>
      </c>
      <c r="O704" s="2">
        <v>4</v>
      </c>
      <c r="P704">
        <f t="shared" si="41"/>
        <v>5</v>
      </c>
      <c r="Q704" t="str">
        <f t="shared" si="42"/>
        <v>With Family</v>
      </c>
      <c r="R704" t="str">
        <f t="shared" si="43"/>
        <v>No</v>
      </c>
      <c r="S704" t="s">
        <v>13</v>
      </c>
    </row>
    <row r="705" spans="1:19" x14ac:dyDescent="0.3">
      <c r="A705" s="1" t="s">
        <v>526</v>
      </c>
      <c r="B705" t="s">
        <v>1602</v>
      </c>
      <c r="C705" t="s">
        <v>1820</v>
      </c>
      <c r="D705" t="str">
        <f t="shared" si="40"/>
        <v>Female</v>
      </c>
      <c r="E705" t="s">
        <v>14</v>
      </c>
      <c r="F705" s="2">
        <v>17</v>
      </c>
      <c r="G705" s="2" t="str" cm="1">
        <f t="array" ref="G705">_xlfn.IFS(F705&lt;=8,"Child",F705&lt;=17,"Teen",F705&lt;=35,"Adult",F705&lt;=55,"Seniour Adult",F705&gt;=55,"Old Age")</f>
        <v>Teen</v>
      </c>
      <c r="H705" t="s">
        <v>18</v>
      </c>
      <c r="I705" t="s">
        <v>19</v>
      </c>
      <c r="J705" t="str" cm="1">
        <f t="array" ref="J705">_xlfn.IFS(I705="S","Southamptom",I705="Q","Quentown",I705="C","Cherbrug",I705="B","Cabin")</f>
        <v>Cherbrug</v>
      </c>
      <c r="K705" t="s">
        <v>32</v>
      </c>
      <c r="L705" s="2">
        <v>12</v>
      </c>
      <c r="M705" s="2" t="str" cm="1">
        <f t="array" ref="M705">_xlfn.IFS(L705&lt;=15,"Low Fare",L705&lt;=35,"Medium Fare",L705&lt;=100,"High Fare",L705&gt;=100,"Very High Fare")</f>
        <v>Low Fare</v>
      </c>
      <c r="N705" s="2">
        <v>0</v>
      </c>
      <c r="O705" s="2">
        <v>0</v>
      </c>
      <c r="P705">
        <f t="shared" si="41"/>
        <v>1</v>
      </c>
      <c r="Q705" t="str">
        <f t="shared" si="42"/>
        <v>Alone</v>
      </c>
      <c r="R705" t="str">
        <f t="shared" si="43"/>
        <v>Yes</v>
      </c>
      <c r="S705" t="s">
        <v>16</v>
      </c>
    </row>
    <row r="706" spans="1:19" x14ac:dyDescent="0.3">
      <c r="A706" s="1" t="s">
        <v>527</v>
      </c>
      <c r="B706" t="s">
        <v>1596</v>
      </c>
      <c r="C706" t="s">
        <v>2234</v>
      </c>
      <c r="D706" t="str">
        <f t="shared" si="40"/>
        <v>Male</v>
      </c>
      <c r="E706" t="s">
        <v>9</v>
      </c>
      <c r="F706" s="2">
        <v>32</v>
      </c>
      <c r="G706" s="2" t="str" cm="1">
        <f t="array" ref="G706">_xlfn.IFS(F706&lt;=8,"Child",F706&lt;=17,"Teen",F706&lt;=35,"Adult",F706&lt;=55,"Seniour Adult",F706&gt;=55,"Old Age")</f>
        <v>Adult</v>
      </c>
      <c r="H706" t="s">
        <v>10</v>
      </c>
      <c r="I706" t="s">
        <v>11</v>
      </c>
      <c r="J706" t="str" cm="1">
        <f t="array" ref="J706">_xlfn.IFS(I706="S","Southamptom",I706="Q","Quentown",I706="C","Cherbrug",I706="B","Cabin")</f>
        <v>Southamptom</v>
      </c>
      <c r="K706" t="s">
        <v>22</v>
      </c>
      <c r="L706" s="2">
        <v>7.1806000000000001</v>
      </c>
      <c r="M706" s="2" t="str" cm="1">
        <f t="array" ref="M706">_xlfn.IFS(L706&lt;=15,"Low Fare",L706&lt;=35,"Medium Fare",L706&lt;=100,"High Fare",L706&gt;=100,"Very High Fare")</f>
        <v>Low Fare</v>
      </c>
      <c r="N706" s="2">
        <v>0</v>
      </c>
      <c r="O706" s="2">
        <v>0</v>
      </c>
      <c r="P706">
        <f t="shared" si="41"/>
        <v>1</v>
      </c>
      <c r="Q706" t="str">
        <f t="shared" si="42"/>
        <v>Alone</v>
      </c>
      <c r="R706" t="str">
        <f t="shared" si="43"/>
        <v>No</v>
      </c>
      <c r="S706" t="s">
        <v>13</v>
      </c>
    </row>
    <row r="707" spans="1:19" x14ac:dyDescent="0.3">
      <c r="A707" s="1" t="s">
        <v>528</v>
      </c>
      <c r="B707" t="s">
        <v>1602</v>
      </c>
      <c r="C707" t="s">
        <v>2235</v>
      </c>
      <c r="D707" t="str">
        <f t="shared" ref="D707:D770" si="44">PROPER(E707)</f>
        <v>Female</v>
      </c>
      <c r="E707" t="s">
        <v>14</v>
      </c>
      <c r="F707" s="2">
        <v>31</v>
      </c>
      <c r="G707" s="2" t="str" cm="1">
        <f t="array" ref="G707">_xlfn.IFS(F707&lt;=8,"Child",F707&lt;=17,"Teen",F707&lt;=35,"Adult",F707&lt;=55,"Seniour Adult",F707&gt;=55,"Old Age")</f>
        <v>Adult</v>
      </c>
      <c r="H707" t="s">
        <v>18</v>
      </c>
      <c r="I707" t="s">
        <v>11</v>
      </c>
      <c r="J707" t="str" cm="1">
        <f t="array" ref="J707">_xlfn.IFS(I707="S","Southamptom",I707="Q","Quentown",I707="C","Cherbrug",I707="B","Cabin")</f>
        <v>Southamptom</v>
      </c>
      <c r="K707" t="s">
        <v>43</v>
      </c>
      <c r="L707" s="2">
        <v>33</v>
      </c>
      <c r="M707" s="2" t="str" cm="1">
        <f t="array" ref="M707">_xlfn.IFS(L707&lt;=15,"Low Fare",L707&lt;=35,"Medium Fare",L707&lt;=100,"High Fare",L707&gt;=100,"Very High Fare")</f>
        <v>Medium Fare</v>
      </c>
      <c r="N707" s="2">
        <v>0</v>
      </c>
      <c r="O707" s="2">
        <v>0</v>
      </c>
      <c r="P707">
        <f t="shared" ref="P707:P770" si="45">N707+O707+1</f>
        <v>1</v>
      </c>
      <c r="Q707" t="str">
        <f t="shared" ref="Q707:Q770" si="46">IF(P707=1,"Alone","With Family")</f>
        <v>Alone</v>
      </c>
      <c r="R707" t="str">
        <f t="shared" ref="R707:R770" si="47">PROPER(S707)</f>
        <v>Yes</v>
      </c>
      <c r="S707" t="s">
        <v>16</v>
      </c>
    </row>
    <row r="708" spans="1:19" x14ac:dyDescent="0.3">
      <c r="A708" s="1" t="s">
        <v>529</v>
      </c>
      <c r="B708" t="s">
        <v>1600</v>
      </c>
      <c r="C708" t="s">
        <v>2236</v>
      </c>
      <c r="D708" t="str">
        <f t="shared" si="44"/>
        <v>Female</v>
      </c>
      <c r="E708" t="s">
        <v>14</v>
      </c>
      <c r="F708" s="2">
        <v>39</v>
      </c>
      <c r="G708" s="2" t="str" cm="1">
        <f t="array" ref="G708">_xlfn.IFS(F708&lt;=8,"Child",F708&lt;=17,"Teen",F708&lt;=35,"Adult",F708&lt;=55,"Seniour Adult",F708&gt;=55,"Old Age")</f>
        <v>Seniour Adult</v>
      </c>
      <c r="H708" t="s">
        <v>18</v>
      </c>
      <c r="I708" t="s">
        <v>11</v>
      </c>
      <c r="J708" t="str" cm="1">
        <f t="array" ref="J708">_xlfn.IFS(I708="S","Southamptom",I708="Q","Quentown",I708="C","Cherbrug",I708="B","Cabin")</f>
        <v>Southamptom</v>
      </c>
      <c r="K708" t="s">
        <v>15</v>
      </c>
      <c r="L708" s="2">
        <v>10.1</v>
      </c>
      <c r="M708" s="2" t="str" cm="1">
        <f t="array" ref="M708">_xlfn.IFS(L708&lt;=15,"Low Fare",L708&lt;=35,"Medium Fare",L708&lt;=100,"High Fare",L708&gt;=100,"Very High Fare")</f>
        <v>Low Fare</v>
      </c>
      <c r="N708" s="2">
        <v>0</v>
      </c>
      <c r="O708" s="2">
        <v>0</v>
      </c>
      <c r="P708">
        <f t="shared" si="45"/>
        <v>1</v>
      </c>
      <c r="Q708" t="str">
        <f t="shared" si="46"/>
        <v>Alone</v>
      </c>
      <c r="R708" t="str">
        <f t="shared" si="47"/>
        <v>Yes</v>
      </c>
      <c r="S708" t="s">
        <v>16</v>
      </c>
    </row>
    <row r="709" spans="1:19" x14ac:dyDescent="0.3">
      <c r="A709" s="1" t="s">
        <v>530</v>
      </c>
      <c r="B709" t="s">
        <v>1602</v>
      </c>
      <c r="C709" t="s">
        <v>1734</v>
      </c>
      <c r="D709" t="str">
        <f t="shared" si="44"/>
        <v>Female</v>
      </c>
      <c r="E709" t="s">
        <v>14</v>
      </c>
      <c r="F709" s="2">
        <v>18</v>
      </c>
      <c r="G709" s="2" t="str" cm="1">
        <f t="array" ref="G709">_xlfn.IFS(F709&lt;=8,"Child",F709&lt;=17,"Teen",F709&lt;=35,"Adult",F709&lt;=55,"Seniour Adult",F709&gt;=55,"Old Age")</f>
        <v>Adult</v>
      </c>
      <c r="H709" t="s">
        <v>10</v>
      </c>
      <c r="I709" t="s">
        <v>36</v>
      </c>
      <c r="J709" t="str" cm="1">
        <f t="array" ref="J709">_xlfn.IFS(I709="S","Southamptom",I709="Q","Quentown",I709="C","Cherbrug",I709="B","Cabin")</f>
        <v>Quentown</v>
      </c>
      <c r="K709" t="s">
        <v>37</v>
      </c>
      <c r="L709" s="2">
        <v>15.1</v>
      </c>
      <c r="M709" s="2" t="str" cm="1">
        <f t="array" ref="M709">_xlfn.IFS(L709&lt;=15,"Low Fare",L709&lt;=35,"Medium Fare",L709&lt;=100,"High Fare",L709&gt;=100,"Very High Fare")</f>
        <v>Medium Fare</v>
      </c>
      <c r="N709" s="2">
        <v>1</v>
      </c>
      <c r="O709" s="2">
        <v>0</v>
      </c>
      <c r="P709">
        <f t="shared" si="45"/>
        <v>2</v>
      </c>
      <c r="Q709" t="str">
        <f t="shared" si="46"/>
        <v>With Family</v>
      </c>
      <c r="R709" t="str">
        <f t="shared" si="47"/>
        <v>No</v>
      </c>
      <c r="S709" t="s">
        <v>13</v>
      </c>
    </row>
    <row r="710" spans="1:19" x14ac:dyDescent="0.3">
      <c r="A710" s="1" t="s">
        <v>530</v>
      </c>
      <c r="B710" t="s">
        <v>1596</v>
      </c>
      <c r="C710" t="s">
        <v>2237</v>
      </c>
      <c r="D710" t="str">
        <f t="shared" si="44"/>
        <v>Male</v>
      </c>
      <c r="E710" t="s">
        <v>9</v>
      </c>
      <c r="F710" s="2">
        <v>20</v>
      </c>
      <c r="G710" s="2" t="str" cm="1">
        <f t="array" ref="G710">_xlfn.IFS(F710&lt;=8,"Child",F710&lt;=17,"Teen",F710&lt;=35,"Adult",F710&lt;=55,"Seniour Adult",F710&gt;=55,"Old Age")</f>
        <v>Adult</v>
      </c>
      <c r="H710" t="s">
        <v>10</v>
      </c>
      <c r="I710" t="s">
        <v>36</v>
      </c>
      <c r="J710" t="str" cm="1">
        <f t="array" ref="J710">_xlfn.IFS(I710="S","Southamptom",I710="Q","Quentown",I710="C","Cherbrug",I710="B","Cabin")</f>
        <v>Quentown</v>
      </c>
      <c r="K710" t="s">
        <v>37</v>
      </c>
      <c r="L710" s="2">
        <v>15.1</v>
      </c>
      <c r="M710" s="2" t="str" cm="1">
        <f t="array" ref="M710">_xlfn.IFS(L710&lt;=15,"Low Fare",L710&lt;=35,"Medium Fare",L710&lt;=100,"High Fare",L710&gt;=100,"Very High Fare")</f>
        <v>Medium Fare</v>
      </c>
      <c r="N710" s="2">
        <v>1</v>
      </c>
      <c r="O710" s="2">
        <v>0</v>
      </c>
      <c r="P710">
        <f t="shared" si="45"/>
        <v>2</v>
      </c>
      <c r="Q710" t="str">
        <f t="shared" si="46"/>
        <v>With Family</v>
      </c>
      <c r="R710" t="str">
        <f t="shared" si="47"/>
        <v>No</v>
      </c>
      <c r="S710" t="s">
        <v>13</v>
      </c>
    </row>
    <row r="711" spans="1:19" x14ac:dyDescent="0.3">
      <c r="A711" s="1" t="s">
        <v>531</v>
      </c>
      <c r="B711" t="s">
        <v>1602</v>
      </c>
      <c r="C711" t="s">
        <v>2238</v>
      </c>
      <c r="D711" t="str">
        <f t="shared" si="44"/>
        <v>Female</v>
      </c>
      <c r="E711" t="s">
        <v>14</v>
      </c>
      <c r="F711" s="2">
        <v>27</v>
      </c>
      <c r="G711" s="2" t="str" cm="1">
        <f t="array" ref="G711">_xlfn.IFS(F711&lt;=8,"Child",F711&lt;=17,"Teen",F711&lt;=35,"Adult",F711&lt;=55,"Seniour Adult",F711&gt;=55,"Old Age")</f>
        <v>Adult</v>
      </c>
      <c r="H711" t="s">
        <v>25</v>
      </c>
      <c r="I711" t="s">
        <v>19</v>
      </c>
      <c r="J711" t="str" cm="1">
        <f t="array" ref="J711">_xlfn.IFS(I711="S","Southamptom",I711="Q","Quentown",I711="C","Cherbrug",I711="B","Cabin")</f>
        <v>Cherbrug</v>
      </c>
      <c r="K711" t="s">
        <v>20</v>
      </c>
      <c r="L711" s="2">
        <v>106.0806</v>
      </c>
      <c r="M711" s="2" t="str" cm="1">
        <f t="array" ref="M711">_xlfn.IFS(L711&lt;=15,"Low Fare",L711&lt;=35,"Medium Fare",L711&lt;=100,"High Fare",L711&gt;=100,"Very High Fare")</f>
        <v>Very High Fare</v>
      </c>
      <c r="N711" s="2">
        <v>0</v>
      </c>
      <c r="O711" s="2">
        <v>0</v>
      </c>
      <c r="P711">
        <f t="shared" si="45"/>
        <v>1</v>
      </c>
      <c r="Q711" t="str">
        <f t="shared" si="46"/>
        <v>Alone</v>
      </c>
      <c r="R711" t="str">
        <f t="shared" si="47"/>
        <v>Yes</v>
      </c>
      <c r="S711" t="s">
        <v>16</v>
      </c>
    </row>
    <row r="712" spans="1:19" x14ac:dyDescent="0.3">
      <c r="A712" s="1" t="s">
        <v>532</v>
      </c>
      <c r="B712" t="s">
        <v>1596</v>
      </c>
      <c r="C712" t="s">
        <v>1965</v>
      </c>
      <c r="D712" t="str">
        <f t="shared" si="44"/>
        <v>Male</v>
      </c>
      <c r="E712" t="s">
        <v>9</v>
      </c>
      <c r="F712" s="2">
        <v>41</v>
      </c>
      <c r="G712" s="2" t="str" cm="1">
        <f t="array" ref="G712">_xlfn.IFS(F712&lt;=8,"Child",F712&lt;=17,"Teen",F712&lt;=35,"Adult",F712&lt;=55,"Seniour Adult",F712&gt;=55,"Old Age")</f>
        <v>Seniour Adult</v>
      </c>
      <c r="H712" t="s">
        <v>10</v>
      </c>
      <c r="I712" t="s">
        <v>11</v>
      </c>
      <c r="J712" t="str" cm="1">
        <f t="array" ref="J712">_xlfn.IFS(I712="S","Southamptom",I712="Q","Quentown",I712="C","Cherbrug",I712="B","Cabin")</f>
        <v>Southamptom</v>
      </c>
      <c r="K712" t="s">
        <v>15</v>
      </c>
      <c r="L712" s="2">
        <v>24.03</v>
      </c>
      <c r="M712" s="2" t="str" cm="1">
        <f t="array" ref="M712">_xlfn.IFS(L712&lt;=15,"Low Fare",L712&lt;=35,"Medium Fare",L712&lt;=100,"High Fare",L712&gt;=100,"Very High Fare")</f>
        <v>Medium Fare</v>
      </c>
      <c r="N712" s="2">
        <v>0</v>
      </c>
      <c r="O712" s="2">
        <v>0</v>
      </c>
      <c r="P712">
        <f t="shared" si="45"/>
        <v>1</v>
      </c>
      <c r="Q712" t="str">
        <f t="shared" si="46"/>
        <v>Alone</v>
      </c>
      <c r="R712" t="str">
        <f t="shared" si="47"/>
        <v>No</v>
      </c>
      <c r="S712" t="s">
        <v>13</v>
      </c>
    </row>
    <row r="713" spans="1:19" x14ac:dyDescent="0.3">
      <c r="A713" s="1" t="s">
        <v>533</v>
      </c>
      <c r="B713" t="s">
        <v>1596</v>
      </c>
      <c r="C713" t="s">
        <v>2239</v>
      </c>
      <c r="D713" t="str">
        <f t="shared" si="44"/>
        <v>Male</v>
      </c>
      <c r="E713" t="s">
        <v>9</v>
      </c>
      <c r="F713" s="2">
        <v>35</v>
      </c>
      <c r="G713" s="2" t="str" cm="1">
        <f t="array" ref="G713">_xlfn.IFS(F713&lt;=8,"Child",F713&lt;=17,"Teen",F713&lt;=35,"Adult",F713&lt;=55,"Seniour Adult",F713&gt;=55,"Old Age")</f>
        <v>Adult</v>
      </c>
      <c r="H713" t="s">
        <v>25</v>
      </c>
      <c r="I713" t="s">
        <v>19</v>
      </c>
      <c r="J713" t="str" cm="1">
        <f t="array" ref="J713">_xlfn.IFS(I713="S","Southamptom",I713="Q","Quentown",I713="C","Cherbrug",I713="B","Cabin")</f>
        <v>Cherbrug</v>
      </c>
      <c r="K713" t="s">
        <v>15</v>
      </c>
      <c r="L713" s="2">
        <v>512.0607</v>
      </c>
      <c r="M713" s="2" t="str" cm="1">
        <f t="array" ref="M713">_xlfn.IFS(L713&lt;=15,"Low Fare",L713&lt;=35,"Medium Fare",L713&lt;=100,"High Fare",L713&gt;=100,"Very High Fare")</f>
        <v>Very High Fare</v>
      </c>
      <c r="N713" s="2">
        <v>0</v>
      </c>
      <c r="O713" s="2">
        <v>0</v>
      </c>
      <c r="P713">
        <f t="shared" si="45"/>
        <v>1</v>
      </c>
      <c r="Q713" t="str">
        <f t="shared" si="46"/>
        <v>Alone</v>
      </c>
      <c r="R713" t="str">
        <f t="shared" si="47"/>
        <v>Yes</v>
      </c>
      <c r="S713" t="s">
        <v>16</v>
      </c>
    </row>
    <row r="714" spans="1:19" x14ac:dyDescent="0.3">
      <c r="A714" s="1" t="s">
        <v>534</v>
      </c>
      <c r="B714" t="s">
        <v>1596</v>
      </c>
      <c r="C714" t="s">
        <v>2240</v>
      </c>
      <c r="D714" t="str">
        <f t="shared" si="44"/>
        <v>Male</v>
      </c>
      <c r="E714" t="s">
        <v>9</v>
      </c>
      <c r="F714" s="2">
        <v>37</v>
      </c>
      <c r="G714" s="2" t="str" cm="1">
        <f t="array" ref="G714">_xlfn.IFS(F714&lt;=8,"Child",F714&lt;=17,"Teen",F714&lt;=35,"Adult",F714&lt;=55,"Seniour Adult",F714&gt;=55,"Old Age")</f>
        <v>Seniour Adult</v>
      </c>
      <c r="H714" t="s">
        <v>18</v>
      </c>
      <c r="I714" t="s">
        <v>11</v>
      </c>
      <c r="J714" t="str" cm="1">
        <f t="array" ref="J714">_xlfn.IFS(I714="S","Southamptom",I714="Q","Quentown",I714="C","Cherbrug",I714="B","Cabin")</f>
        <v>Southamptom</v>
      </c>
      <c r="K714" t="s">
        <v>26</v>
      </c>
      <c r="L714" s="2">
        <v>12.1706</v>
      </c>
      <c r="M714" s="2" t="str" cm="1">
        <f t="array" ref="M714">_xlfn.IFS(L714&lt;=15,"Low Fare",L714&lt;=35,"Medium Fare",L714&lt;=100,"High Fare",L714&gt;=100,"Very High Fare")</f>
        <v>Low Fare</v>
      </c>
      <c r="N714" s="2">
        <v>0</v>
      </c>
      <c r="O714" s="2">
        <v>0</v>
      </c>
      <c r="P714">
        <f t="shared" si="45"/>
        <v>1</v>
      </c>
      <c r="Q714" t="str">
        <f t="shared" si="46"/>
        <v>Alone</v>
      </c>
      <c r="R714" t="str">
        <f t="shared" si="47"/>
        <v>No</v>
      </c>
      <c r="S714" t="s">
        <v>13</v>
      </c>
    </row>
    <row r="715" spans="1:19" x14ac:dyDescent="0.3">
      <c r="A715" s="1" t="s">
        <v>535</v>
      </c>
      <c r="B715" t="s">
        <v>1596</v>
      </c>
      <c r="C715" t="s">
        <v>2241</v>
      </c>
      <c r="D715" t="str">
        <f t="shared" si="44"/>
        <v>Male</v>
      </c>
      <c r="E715" t="s">
        <v>9</v>
      </c>
      <c r="F715" s="2">
        <v>30</v>
      </c>
      <c r="G715" s="2" t="str" cm="1">
        <f t="array" ref="G715">_xlfn.IFS(F715&lt;=8,"Child",F715&lt;=17,"Teen",F715&lt;=35,"Adult",F715&lt;=55,"Seniour Adult",F715&gt;=55,"Old Age")</f>
        <v>Adult</v>
      </c>
      <c r="H715" t="s">
        <v>25</v>
      </c>
      <c r="I715" t="s">
        <v>19</v>
      </c>
      <c r="J715" t="str" cm="1">
        <f t="array" ref="J715">_xlfn.IFS(I715="S","Southamptom",I715="Q","Quentown",I715="C","Cherbrug",I715="B","Cabin")</f>
        <v>Cherbrug</v>
      </c>
      <c r="K715" t="s">
        <v>12</v>
      </c>
      <c r="L715" s="2">
        <v>27.140499999999999</v>
      </c>
      <c r="M715" s="2" t="str" cm="1">
        <f t="array" ref="M715">_xlfn.IFS(L715&lt;=15,"Low Fare",L715&lt;=35,"Medium Fare",L715&lt;=100,"High Fare",L715&gt;=100,"Very High Fare")</f>
        <v>Medium Fare</v>
      </c>
      <c r="N715" s="2">
        <v>0</v>
      </c>
      <c r="O715" s="2">
        <v>0</v>
      </c>
      <c r="P715">
        <f t="shared" si="45"/>
        <v>1</v>
      </c>
      <c r="Q715" t="str">
        <f t="shared" si="46"/>
        <v>Alone</v>
      </c>
      <c r="R715" t="str">
        <f t="shared" si="47"/>
        <v>No</v>
      </c>
      <c r="S715" t="s">
        <v>13</v>
      </c>
    </row>
    <row r="716" spans="1:19" x14ac:dyDescent="0.3">
      <c r="A716" s="1" t="s">
        <v>536</v>
      </c>
      <c r="B716" t="s">
        <v>1596</v>
      </c>
      <c r="C716" t="s">
        <v>2242</v>
      </c>
      <c r="D716" t="str">
        <f t="shared" si="44"/>
        <v>Male</v>
      </c>
      <c r="E716" t="s">
        <v>9</v>
      </c>
      <c r="F716" s="2">
        <v>25</v>
      </c>
      <c r="G716" s="2" t="str" cm="1">
        <f t="array" ref="G716">_xlfn.IFS(F716&lt;=8,"Child",F716&lt;=17,"Teen",F716&lt;=35,"Adult",F716&lt;=55,"Seniour Adult",F716&gt;=55,"Old Age")</f>
        <v>Adult</v>
      </c>
      <c r="H716" t="s">
        <v>18</v>
      </c>
      <c r="I716" t="s">
        <v>11</v>
      </c>
      <c r="J716" t="str" cm="1">
        <f t="array" ref="J716">_xlfn.IFS(I716="S","Southamptom",I716="Q","Quentown",I716="C","Cherbrug",I716="B","Cabin")</f>
        <v>Southamptom</v>
      </c>
      <c r="K716" t="s">
        <v>15</v>
      </c>
      <c r="L716" s="2">
        <v>10.1</v>
      </c>
      <c r="M716" s="2" t="str" cm="1">
        <f t="array" ref="M716">_xlfn.IFS(L716&lt;=15,"Low Fare",L716&lt;=35,"Medium Fare",L716&lt;=100,"High Fare",L716&gt;=100,"Very High Fare")</f>
        <v>Low Fare</v>
      </c>
      <c r="N716" s="2">
        <v>0</v>
      </c>
      <c r="O716" s="2">
        <v>0</v>
      </c>
      <c r="P716">
        <f t="shared" si="45"/>
        <v>1</v>
      </c>
      <c r="Q716" t="str">
        <f t="shared" si="46"/>
        <v>Alone</v>
      </c>
      <c r="R716" t="str">
        <f t="shared" si="47"/>
        <v>No</v>
      </c>
      <c r="S716" t="s">
        <v>13</v>
      </c>
    </row>
    <row r="717" spans="1:19" x14ac:dyDescent="0.3">
      <c r="A717" s="1" t="s">
        <v>537</v>
      </c>
      <c r="B717" t="s">
        <v>1596</v>
      </c>
      <c r="C717" t="s">
        <v>2243</v>
      </c>
      <c r="D717" t="str">
        <f t="shared" si="44"/>
        <v>Male</v>
      </c>
      <c r="E717" t="s">
        <v>9</v>
      </c>
      <c r="F717" s="2">
        <v>24</v>
      </c>
      <c r="G717" s="2" t="str" cm="1">
        <f t="array" ref="G717">_xlfn.IFS(F717&lt;=8,"Child",F717&lt;=17,"Teen",F717&lt;=35,"Adult",F717&lt;=55,"Seniour Adult",F717&gt;=55,"Old Age")</f>
        <v>Adult</v>
      </c>
      <c r="H717" t="s">
        <v>10</v>
      </c>
      <c r="I717" t="s">
        <v>11</v>
      </c>
      <c r="J717" t="str" cm="1">
        <f t="array" ref="J717">_xlfn.IFS(I717="S","Southamptom",I717="Q","Quentown",I717="C","Cherbrug",I717="B","Cabin")</f>
        <v>Southamptom</v>
      </c>
      <c r="K717" t="s">
        <v>46</v>
      </c>
      <c r="L717" s="2">
        <v>9.1</v>
      </c>
      <c r="M717" s="2" t="str" cm="1">
        <f t="array" ref="M717">_xlfn.IFS(L717&lt;=15,"Low Fare",L717&lt;=35,"Medium Fare",L717&lt;=100,"High Fare",L717&gt;=100,"Very High Fare")</f>
        <v>Low Fare</v>
      </c>
      <c r="N717" s="2">
        <v>0</v>
      </c>
      <c r="O717" s="2">
        <v>0</v>
      </c>
      <c r="P717">
        <f t="shared" si="45"/>
        <v>1</v>
      </c>
      <c r="Q717" t="str">
        <f t="shared" si="46"/>
        <v>Alone</v>
      </c>
      <c r="R717" t="str">
        <f t="shared" si="47"/>
        <v>No</v>
      </c>
      <c r="S717" t="s">
        <v>13</v>
      </c>
    </row>
    <row r="718" spans="1:19" x14ac:dyDescent="0.3">
      <c r="A718" s="1" t="s">
        <v>538</v>
      </c>
      <c r="B718" t="s">
        <v>1602</v>
      </c>
      <c r="C718" t="s">
        <v>2244</v>
      </c>
      <c r="D718" t="str">
        <f t="shared" si="44"/>
        <v>Female</v>
      </c>
      <c r="E718" t="s">
        <v>14</v>
      </c>
      <c r="F718" s="2">
        <v>25</v>
      </c>
      <c r="G718" s="2" t="str" cm="1">
        <f t="array" ref="G718">_xlfn.IFS(F718&lt;=8,"Child",F718&lt;=17,"Teen",F718&lt;=35,"Adult",F718&lt;=55,"Seniour Adult",F718&gt;=55,"Old Age")</f>
        <v>Adult</v>
      </c>
      <c r="H718" t="s">
        <v>10</v>
      </c>
      <c r="I718" t="s">
        <v>11</v>
      </c>
      <c r="J718" t="str" cm="1">
        <f t="array" ref="J718">_xlfn.IFS(I718="S","Southamptom",I718="Q","Quentown",I718="C","Cherbrug",I718="B","Cabin")</f>
        <v>Southamptom</v>
      </c>
      <c r="K718" t="s">
        <v>23</v>
      </c>
      <c r="L718" s="2">
        <v>7.1505999999999998</v>
      </c>
      <c r="M718" s="2" t="str" cm="1">
        <f t="array" ref="M718">_xlfn.IFS(L718&lt;=15,"Low Fare",L718&lt;=35,"Medium Fare",L718&lt;=100,"High Fare",L718&gt;=100,"Very High Fare")</f>
        <v>Low Fare</v>
      </c>
      <c r="N718" s="2">
        <v>0</v>
      </c>
      <c r="O718" s="2">
        <v>0</v>
      </c>
      <c r="P718">
        <f t="shared" si="45"/>
        <v>1</v>
      </c>
      <c r="Q718" t="str">
        <f t="shared" si="46"/>
        <v>Alone</v>
      </c>
      <c r="R718" t="str">
        <f t="shared" si="47"/>
        <v>No</v>
      </c>
      <c r="S718" t="s">
        <v>13</v>
      </c>
    </row>
    <row r="719" spans="1:19" x14ac:dyDescent="0.3">
      <c r="A719" s="1" t="s">
        <v>539</v>
      </c>
      <c r="B719" t="s">
        <v>1602</v>
      </c>
      <c r="C719" t="s">
        <v>2245</v>
      </c>
      <c r="D719" t="str">
        <f t="shared" si="44"/>
        <v>Female</v>
      </c>
      <c r="E719" t="s">
        <v>14</v>
      </c>
      <c r="F719" s="2">
        <v>45</v>
      </c>
      <c r="G719" s="2" t="str" cm="1">
        <f t="array" ref="G719">_xlfn.IFS(F719&lt;=8,"Child",F719&lt;=17,"Teen",F719&lt;=35,"Adult",F719&lt;=55,"Seniour Adult",F719&gt;=55,"Old Age")</f>
        <v>Seniour Adult</v>
      </c>
      <c r="H719" t="s">
        <v>10</v>
      </c>
      <c r="I719" t="s">
        <v>11</v>
      </c>
      <c r="J719" t="str" cm="1">
        <f t="array" ref="J719">_xlfn.IFS(I719="S","Southamptom",I719="Q","Quentown",I719="C","Cherbrug",I719="B","Cabin")</f>
        <v>Southamptom</v>
      </c>
      <c r="K719" t="s">
        <v>15</v>
      </c>
      <c r="L719" s="2">
        <v>7.15</v>
      </c>
      <c r="M719" s="2" t="str" cm="1">
        <f t="array" ref="M719">_xlfn.IFS(L719&lt;=15,"Low Fare",L719&lt;=35,"Medium Fare",L719&lt;=100,"High Fare",L719&gt;=100,"Very High Fare")</f>
        <v>Low Fare</v>
      </c>
      <c r="N719" s="2">
        <v>0</v>
      </c>
      <c r="O719" s="2">
        <v>0</v>
      </c>
      <c r="P719">
        <f t="shared" si="45"/>
        <v>1</v>
      </c>
      <c r="Q719" t="str">
        <f t="shared" si="46"/>
        <v>Alone</v>
      </c>
      <c r="R719" t="str">
        <f t="shared" si="47"/>
        <v>No</v>
      </c>
      <c r="S719" t="s">
        <v>13</v>
      </c>
    </row>
    <row r="720" spans="1:19" x14ac:dyDescent="0.3">
      <c r="A720" s="1" t="s">
        <v>540</v>
      </c>
      <c r="B720" t="s">
        <v>1596</v>
      </c>
      <c r="C720" t="s">
        <v>1847</v>
      </c>
      <c r="D720" t="str">
        <f t="shared" si="44"/>
        <v>Male</v>
      </c>
      <c r="E720" t="s">
        <v>9</v>
      </c>
      <c r="F720" s="2">
        <v>42</v>
      </c>
      <c r="G720" s="2" t="str" cm="1">
        <f t="array" ref="G720">_xlfn.IFS(F720&lt;=8,"Child",F720&lt;=17,"Teen",F720&lt;=35,"Adult",F720&lt;=55,"Seniour Adult",F720&gt;=55,"Old Age")</f>
        <v>Seniour Adult</v>
      </c>
      <c r="H720" t="s">
        <v>25</v>
      </c>
      <c r="I720" t="s">
        <v>11</v>
      </c>
      <c r="J720" t="str" cm="1">
        <f t="array" ref="J720">_xlfn.IFS(I720="S","Southamptom",I720="Q","Quentown",I720="C","Cherbrug",I720="B","Cabin")</f>
        <v>Southamptom</v>
      </c>
      <c r="K720" t="s">
        <v>23</v>
      </c>
      <c r="L720" s="2">
        <v>26.11</v>
      </c>
      <c r="M720" s="2" t="str" cm="1">
        <f t="array" ref="M720">_xlfn.IFS(L720&lt;=15,"Low Fare",L720&lt;=35,"Medium Fare",L720&lt;=100,"High Fare",L720&gt;=100,"Very High Fare")</f>
        <v>Medium Fare</v>
      </c>
      <c r="N720" s="2">
        <v>0</v>
      </c>
      <c r="O720" s="2">
        <v>0</v>
      </c>
      <c r="P720">
        <f t="shared" si="45"/>
        <v>1</v>
      </c>
      <c r="Q720" t="str">
        <f t="shared" si="46"/>
        <v>Alone</v>
      </c>
      <c r="R720" t="str">
        <f t="shared" si="47"/>
        <v>No</v>
      </c>
      <c r="S720" t="s">
        <v>13</v>
      </c>
    </row>
    <row r="721" spans="1:19" x14ac:dyDescent="0.3">
      <c r="A721" s="1" t="s">
        <v>541</v>
      </c>
      <c r="B721" t="s">
        <v>1596</v>
      </c>
      <c r="C721" t="s">
        <v>2246</v>
      </c>
      <c r="D721" t="str">
        <f t="shared" si="44"/>
        <v>Male</v>
      </c>
      <c r="E721" t="s">
        <v>9</v>
      </c>
      <c r="F721" s="2">
        <v>36</v>
      </c>
      <c r="G721" s="2" t="str" cm="1">
        <f t="array" ref="G721">_xlfn.IFS(F721&lt;=8,"Child",F721&lt;=17,"Teen",F721&lt;=35,"Adult",F721&lt;=55,"Seniour Adult",F721&gt;=55,"Old Age")</f>
        <v>Seniour Adult</v>
      </c>
      <c r="H721" t="s">
        <v>10</v>
      </c>
      <c r="I721" t="s">
        <v>11</v>
      </c>
      <c r="J721" t="str" cm="1">
        <f t="array" ref="J721">_xlfn.IFS(I721="S","Southamptom",I721="Q","Quentown",I721="C","Cherbrug",I721="B","Cabin")</f>
        <v>Southamptom</v>
      </c>
      <c r="K721" t="s">
        <v>23</v>
      </c>
      <c r="L721" s="2">
        <v>15.11</v>
      </c>
      <c r="M721" s="2" t="str" cm="1">
        <f t="array" ref="M721">_xlfn.IFS(L721&lt;=15,"Low Fare",L721&lt;=35,"Medium Fare",L721&lt;=100,"High Fare",L721&gt;=100,"Very High Fare")</f>
        <v>Medium Fare</v>
      </c>
      <c r="N721" s="2">
        <v>1</v>
      </c>
      <c r="O721" s="2">
        <v>0</v>
      </c>
      <c r="P721">
        <f t="shared" si="45"/>
        <v>2</v>
      </c>
      <c r="Q721" t="str">
        <f t="shared" si="46"/>
        <v>With Family</v>
      </c>
      <c r="R721" t="str">
        <f t="shared" si="47"/>
        <v>No</v>
      </c>
      <c r="S721" t="s">
        <v>13</v>
      </c>
    </row>
    <row r="722" spans="1:19" x14ac:dyDescent="0.3">
      <c r="A722" s="1" t="s">
        <v>541</v>
      </c>
      <c r="B722" t="s">
        <v>1600</v>
      </c>
      <c r="C722" t="s">
        <v>2247</v>
      </c>
      <c r="D722" t="str">
        <f t="shared" si="44"/>
        <v>Female</v>
      </c>
      <c r="E722" t="s">
        <v>14</v>
      </c>
      <c r="F722" s="2">
        <v>30</v>
      </c>
      <c r="G722" s="2" t="str" cm="1">
        <f t="array" ref="G722">_xlfn.IFS(F722&lt;=8,"Child",F722&lt;=17,"Teen",F722&lt;=35,"Adult",F722&lt;=55,"Seniour Adult",F722&gt;=55,"Old Age")</f>
        <v>Adult</v>
      </c>
      <c r="H722" t="s">
        <v>10</v>
      </c>
      <c r="I722" t="s">
        <v>11</v>
      </c>
      <c r="J722" t="str" cm="1">
        <f t="array" ref="J722">_xlfn.IFS(I722="S","Southamptom",I722="Q","Quentown",I722="C","Cherbrug",I722="B","Cabin")</f>
        <v>Southamptom</v>
      </c>
      <c r="K722" t="s">
        <v>23</v>
      </c>
      <c r="L722" s="2">
        <v>15.11</v>
      </c>
      <c r="M722" s="2" t="str" cm="1">
        <f t="array" ref="M722">_xlfn.IFS(L722&lt;=15,"Low Fare",L722&lt;=35,"Medium Fare",L722&lt;=100,"High Fare",L722&gt;=100,"Very High Fare")</f>
        <v>Medium Fare</v>
      </c>
      <c r="N722" s="2">
        <v>1</v>
      </c>
      <c r="O722" s="2">
        <v>0</v>
      </c>
      <c r="P722">
        <f t="shared" si="45"/>
        <v>2</v>
      </c>
      <c r="Q722" t="str">
        <f t="shared" si="46"/>
        <v>With Family</v>
      </c>
      <c r="R722" t="str">
        <f t="shared" si="47"/>
        <v>No</v>
      </c>
      <c r="S722" t="s">
        <v>13</v>
      </c>
    </row>
    <row r="723" spans="1:19" x14ac:dyDescent="0.3">
      <c r="A723" s="1" t="s">
        <v>542</v>
      </c>
      <c r="B723" t="s">
        <v>1596</v>
      </c>
      <c r="C723" t="s">
        <v>2248</v>
      </c>
      <c r="D723" t="str">
        <f t="shared" si="44"/>
        <v>Male</v>
      </c>
      <c r="E723" t="s">
        <v>9</v>
      </c>
      <c r="F723" s="2">
        <v>20</v>
      </c>
      <c r="G723" s="2" t="str" cm="1">
        <f t="array" ref="G723">_xlfn.IFS(F723&lt;=8,"Child",F723&lt;=17,"Teen",F723&lt;=35,"Adult",F723&lt;=55,"Seniour Adult",F723&gt;=55,"Old Age")</f>
        <v>Adult</v>
      </c>
      <c r="H723" t="s">
        <v>10</v>
      </c>
      <c r="I723" t="s">
        <v>11</v>
      </c>
      <c r="J723" t="str" cm="1">
        <f t="array" ref="J723">_xlfn.IFS(I723="S","Southamptom",I723="Q","Quentown",I723="C","Cherbrug",I723="B","Cabin")</f>
        <v>Southamptom</v>
      </c>
      <c r="K723" t="s">
        <v>22</v>
      </c>
      <c r="L723" s="2">
        <v>7.1806000000000001</v>
      </c>
      <c r="M723" s="2" t="str" cm="1">
        <f t="array" ref="M723">_xlfn.IFS(L723&lt;=15,"Low Fare",L723&lt;=35,"Medium Fare",L723&lt;=100,"High Fare",L723&gt;=100,"Very High Fare")</f>
        <v>Low Fare</v>
      </c>
      <c r="N723" s="2">
        <v>1</v>
      </c>
      <c r="O723" s="2">
        <v>0</v>
      </c>
      <c r="P723">
        <f t="shared" si="45"/>
        <v>2</v>
      </c>
      <c r="Q723" t="str">
        <f t="shared" si="46"/>
        <v>With Family</v>
      </c>
      <c r="R723" t="str">
        <f t="shared" si="47"/>
        <v>Yes</v>
      </c>
      <c r="S723" t="s">
        <v>16</v>
      </c>
    </row>
    <row r="724" spans="1:19" x14ac:dyDescent="0.3">
      <c r="A724" s="1" t="s">
        <v>543</v>
      </c>
      <c r="B724" t="s">
        <v>1600</v>
      </c>
      <c r="C724" t="s">
        <v>2249</v>
      </c>
      <c r="D724" t="str">
        <f t="shared" si="44"/>
        <v>Female</v>
      </c>
      <c r="E724" t="s">
        <v>14</v>
      </c>
      <c r="F724" s="2">
        <v>55</v>
      </c>
      <c r="G724" s="2" t="str" cm="1">
        <f t="array" ref="G724">_xlfn.IFS(F724&lt;=8,"Child",F724&lt;=17,"Teen",F724&lt;=35,"Adult",F724&lt;=55,"Seniour Adult",F724&gt;=55,"Old Age")</f>
        <v>Seniour Adult</v>
      </c>
      <c r="H724" t="s">
        <v>25</v>
      </c>
      <c r="I724" t="s">
        <v>19</v>
      </c>
      <c r="J724" t="str" cm="1">
        <f t="array" ref="J724">_xlfn.IFS(I724="S","Southamptom",I724="Q","Quentown",I724="C","Cherbrug",I724="B","Cabin")</f>
        <v>Cherbrug</v>
      </c>
      <c r="K724" t="s">
        <v>23</v>
      </c>
      <c r="L724" s="2">
        <v>27.140499999999999</v>
      </c>
      <c r="M724" s="2" t="str" cm="1">
        <f t="array" ref="M724">_xlfn.IFS(L724&lt;=15,"Low Fare",L724&lt;=35,"Medium Fare",L724&lt;=100,"High Fare",L724&gt;=100,"Very High Fare")</f>
        <v>Medium Fare</v>
      </c>
      <c r="N724" s="2">
        <v>0</v>
      </c>
      <c r="O724" s="2">
        <v>0</v>
      </c>
      <c r="P724">
        <f t="shared" si="45"/>
        <v>1</v>
      </c>
      <c r="Q724" t="str">
        <f t="shared" si="46"/>
        <v>Alone</v>
      </c>
      <c r="R724" t="str">
        <f t="shared" si="47"/>
        <v>Yes</v>
      </c>
      <c r="S724" t="s">
        <v>16</v>
      </c>
    </row>
    <row r="725" spans="1:19" x14ac:dyDescent="0.3">
      <c r="A725" s="1" t="s">
        <v>544</v>
      </c>
      <c r="B725" t="s">
        <v>1596</v>
      </c>
      <c r="C725" t="s">
        <v>1858</v>
      </c>
      <c r="D725" t="str">
        <f t="shared" si="44"/>
        <v>Male</v>
      </c>
      <c r="E725" t="s">
        <v>9</v>
      </c>
      <c r="F725" s="2">
        <v>21</v>
      </c>
      <c r="G725" s="2" t="str" cm="1">
        <f t="array" ref="G725">_xlfn.IFS(F725&lt;=8,"Child",F725&lt;=17,"Teen",F725&lt;=35,"Adult",F725&lt;=55,"Seniour Adult",F725&gt;=55,"Old Age")</f>
        <v>Adult</v>
      </c>
      <c r="H725" t="s">
        <v>10</v>
      </c>
      <c r="I725" t="s">
        <v>36</v>
      </c>
      <c r="J725" t="str" cm="1">
        <f t="array" ref="J725">_xlfn.IFS(I725="S","Southamptom",I725="Q","Quentown",I725="C","Cherbrug",I725="B","Cabin")</f>
        <v>Quentown</v>
      </c>
      <c r="K725" t="s">
        <v>37</v>
      </c>
      <c r="L725" s="2">
        <v>7.1707000000000001</v>
      </c>
      <c r="M725" s="2" t="str" cm="1">
        <f t="array" ref="M725">_xlfn.IFS(L725&lt;=15,"Low Fare",L725&lt;=35,"Medium Fare",L725&lt;=100,"High Fare",L725&gt;=100,"Very High Fare")</f>
        <v>Low Fare</v>
      </c>
      <c r="N725" s="2">
        <v>0</v>
      </c>
      <c r="O725" s="2">
        <v>0</v>
      </c>
      <c r="P725">
        <f t="shared" si="45"/>
        <v>1</v>
      </c>
      <c r="Q725" t="str">
        <f t="shared" si="46"/>
        <v>Alone</v>
      </c>
      <c r="R725" t="str">
        <f t="shared" si="47"/>
        <v>No</v>
      </c>
      <c r="S725" t="s">
        <v>13</v>
      </c>
    </row>
    <row r="726" spans="1:19" x14ac:dyDescent="0.3">
      <c r="A726" s="1" t="s">
        <v>545</v>
      </c>
      <c r="B726" t="s">
        <v>1602</v>
      </c>
      <c r="C726" t="s">
        <v>2250</v>
      </c>
      <c r="D726" t="str">
        <f t="shared" si="44"/>
        <v>Female</v>
      </c>
      <c r="E726" t="s">
        <v>14</v>
      </c>
      <c r="F726" s="2">
        <v>16</v>
      </c>
      <c r="G726" s="2" t="str" cm="1">
        <f t="array" ref="G726">_xlfn.IFS(F726&lt;=8,"Child",F726&lt;=17,"Teen",F726&lt;=35,"Adult",F726&lt;=55,"Seniour Adult",F726&gt;=55,"Old Age")</f>
        <v>Teen</v>
      </c>
      <c r="H726" t="s">
        <v>25</v>
      </c>
      <c r="I726" t="s">
        <v>19</v>
      </c>
      <c r="J726" t="str" cm="1">
        <f t="array" ref="J726">_xlfn.IFS(I726="S","Southamptom",I726="Q","Quentown",I726="C","Cherbrug",I726="B","Cabin")</f>
        <v>Cherbrug</v>
      </c>
      <c r="K726" t="s">
        <v>20</v>
      </c>
      <c r="L726" s="2">
        <v>39.08</v>
      </c>
      <c r="M726" s="2" t="str" cm="1">
        <f t="array" ref="M726">_xlfn.IFS(L726&lt;=15,"Low Fare",L726&lt;=35,"Medium Fare",L726&lt;=100,"High Fare",L726&gt;=100,"Very High Fare")</f>
        <v>High Fare</v>
      </c>
      <c r="N726" s="2">
        <v>0</v>
      </c>
      <c r="O726" s="2">
        <v>1</v>
      </c>
      <c r="P726">
        <f t="shared" si="45"/>
        <v>2</v>
      </c>
      <c r="Q726" t="str">
        <f t="shared" si="46"/>
        <v>With Family</v>
      </c>
      <c r="R726" t="str">
        <f t="shared" si="47"/>
        <v>Yes</v>
      </c>
      <c r="S726" t="s">
        <v>16</v>
      </c>
    </row>
    <row r="727" spans="1:19" x14ac:dyDescent="0.3">
      <c r="A727" s="1" t="s">
        <v>545</v>
      </c>
      <c r="B727" t="s">
        <v>1600</v>
      </c>
      <c r="C727" t="s">
        <v>2251</v>
      </c>
      <c r="D727" t="str">
        <f t="shared" si="44"/>
        <v>Female</v>
      </c>
      <c r="E727" t="s">
        <v>14</v>
      </c>
      <c r="F727" s="2">
        <v>50</v>
      </c>
      <c r="G727" s="2" t="str" cm="1">
        <f t="array" ref="G727">_xlfn.IFS(F727&lt;=8,"Child",F727&lt;=17,"Teen",F727&lt;=35,"Adult",F727&lt;=55,"Seniour Adult",F727&gt;=55,"Old Age")</f>
        <v>Seniour Adult</v>
      </c>
      <c r="H727" t="s">
        <v>25</v>
      </c>
      <c r="I727" t="s">
        <v>19</v>
      </c>
      <c r="J727" t="str" cm="1">
        <f t="array" ref="J727">_xlfn.IFS(I727="S","Southamptom",I727="Q","Quentown",I727="C","Cherbrug",I727="B","Cabin")</f>
        <v>Cherbrug</v>
      </c>
      <c r="K727" t="s">
        <v>12</v>
      </c>
      <c r="L727" s="2">
        <v>39.08</v>
      </c>
      <c r="M727" s="2" t="str" cm="1">
        <f t="array" ref="M727">_xlfn.IFS(L727&lt;=15,"Low Fare",L727&lt;=35,"Medium Fare",L727&lt;=100,"High Fare",L727&gt;=100,"Very High Fare")</f>
        <v>High Fare</v>
      </c>
      <c r="N727" s="2">
        <v>0</v>
      </c>
      <c r="O727" s="2">
        <v>1</v>
      </c>
      <c r="P727">
        <f t="shared" si="45"/>
        <v>2</v>
      </c>
      <c r="Q727" t="str">
        <f t="shared" si="46"/>
        <v>With Family</v>
      </c>
      <c r="R727" t="str">
        <f t="shared" si="47"/>
        <v>Yes</v>
      </c>
      <c r="S727" t="s">
        <v>16</v>
      </c>
    </row>
    <row r="728" spans="1:19" x14ac:dyDescent="0.3">
      <c r="A728" s="1" t="s">
        <v>546</v>
      </c>
      <c r="B728" t="s">
        <v>1596</v>
      </c>
      <c r="C728" t="s">
        <v>1610</v>
      </c>
      <c r="D728" t="str">
        <f t="shared" si="44"/>
        <v>Male</v>
      </c>
      <c r="E728" t="s">
        <v>9</v>
      </c>
      <c r="F728" s="2">
        <v>61</v>
      </c>
      <c r="G728" s="2" t="str" cm="1">
        <f t="array" ref="G728">_xlfn.IFS(F728&lt;=8,"Child",F728&lt;=17,"Teen",F728&lt;=35,"Adult",F728&lt;=55,"Seniour Adult",F728&gt;=55,"Old Age")</f>
        <v>Old Age</v>
      </c>
      <c r="H728" t="s">
        <v>18</v>
      </c>
      <c r="I728" t="s">
        <v>36</v>
      </c>
      <c r="J728" t="str" cm="1">
        <f t="array" ref="J728">_xlfn.IFS(I728="S","Southamptom",I728="Q","Quentown",I728="C","Cherbrug",I728="B","Cabin")</f>
        <v>Quentown</v>
      </c>
      <c r="K728" t="s">
        <v>37</v>
      </c>
      <c r="L728" s="2">
        <v>12.07</v>
      </c>
      <c r="M728" s="2" t="str" cm="1">
        <f t="array" ref="M728">_xlfn.IFS(L728&lt;=15,"Low Fare",L728&lt;=35,"Medium Fare",L728&lt;=100,"High Fare",L728&gt;=100,"Very High Fare")</f>
        <v>Low Fare</v>
      </c>
      <c r="N728" s="2">
        <v>0</v>
      </c>
      <c r="O728" s="2">
        <v>0</v>
      </c>
      <c r="P728">
        <f t="shared" si="45"/>
        <v>1</v>
      </c>
      <c r="Q728" t="str">
        <f t="shared" si="46"/>
        <v>Alone</v>
      </c>
      <c r="R728" t="str">
        <f t="shared" si="47"/>
        <v>No</v>
      </c>
      <c r="S728" t="s">
        <v>13</v>
      </c>
    </row>
    <row r="729" spans="1:19" x14ac:dyDescent="0.3">
      <c r="A729" s="1" t="s">
        <v>547</v>
      </c>
      <c r="B729" t="s">
        <v>1596</v>
      </c>
      <c r="C729" t="s">
        <v>1719</v>
      </c>
      <c r="D729" t="str">
        <f t="shared" si="44"/>
        <v>Male</v>
      </c>
      <c r="E729" t="s">
        <v>9</v>
      </c>
      <c r="F729" s="2">
        <v>28</v>
      </c>
      <c r="G729" s="2" t="str" cm="1">
        <f t="array" ref="G729">_xlfn.IFS(F729&lt;=8,"Child",F729&lt;=17,"Teen",F729&lt;=35,"Adult",F729&lt;=55,"Seniour Adult",F729&gt;=55,"Old Age")</f>
        <v>Adult</v>
      </c>
      <c r="H729" t="s">
        <v>10</v>
      </c>
      <c r="I729" t="s">
        <v>11</v>
      </c>
      <c r="J729" t="str" cm="1">
        <f t="array" ref="J729">_xlfn.IFS(I729="S","Southamptom",I729="Q","Quentown",I729="C","Cherbrug",I729="B","Cabin")</f>
        <v>Southamptom</v>
      </c>
      <c r="K729" t="s">
        <v>15</v>
      </c>
      <c r="L729" s="2">
        <v>56.091099999999997</v>
      </c>
      <c r="M729" s="2" t="str" cm="1">
        <f t="array" ref="M729">_xlfn.IFS(L729&lt;=15,"Low Fare",L729&lt;=35,"Medium Fare",L729&lt;=100,"High Fare",L729&gt;=100,"Very High Fare")</f>
        <v>High Fare</v>
      </c>
      <c r="N729" s="2">
        <v>0</v>
      </c>
      <c r="O729" s="2">
        <v>0</v>
      </c>
      <c r="P729">
        <f t="shared" si="45"/>
        <v>1</v>
      </c>
      <c r="Q729" t="str">
        <f t="shared" si="46"/>
        <v>Alone</v>
      </c>
      <c r="R729" t="str">
        <f t="shared" si="47"/>
        <v>No</v>
      </c>
      <c r="S729" t="s">
        <v>13</v>
      </c>
    </row>
    <row r="730" spans="1:19" x14ac:dyDescent="0.3">
      <c r="A730" s="1" t="s">
        <v>548</v>
      </c>
      <c r="B730" t="s">
        <v>1596</v>
      </c>
      <c r="C730" t="s">
        <v>2252</v>
      </c>
      <c r="D730" t="str">
        <f t="shared" si="44"/>
        <v>Male</v>
      </c>
      <c r="E730" t="s">
        <v>9</v>
      </c>
      <c r="F730" s="2">
        <v>27</v>
      </c>
      <c r="G730" s="2" t="str" cm="1">
        <f t="array" ref="G730">_xlfn.IFS(F730&lt;=8,"Child",F730&lt;=17,"Teen",F730&lt;=35,"Adult",F730&lt;=55,"Seniour Adult",F730&gt;=55,"Old Age")</f>
        <v>Adult</v>
      </c>
      <c r="H730" t="s">
        <v>10</v>
      </c>
      <c r="I730" t="s">
        <v>11</v>
      </c>
      <c r="J730" t="str" cm="1">
        <f t="array" ref="J730">_xlfn.IFS(I730="S","Southamptom",I730="Q","Quentown",I730="C","Cherbrug",I730="B","Cabin")</f>
        <v>Southamptom</v>
      </c>
      <c r="K730" t="s">
        <v>60</v>
      </c>
      <c r="L730" s="2">
        <v>9.1</v>
      </c>
      <c r="M730" s="2" t="str" cm="1">
        <f t="array" ref="M730">_xlfn.IFS(L730&lt;=15,"Low Fare",L730&lt;=35,"Medium Fare",L730&lt;=100,"High Fare",L730&gt;=100,"Very High Fare")</f>
        <v>Low Fare</v>
      </c>
      <c r="N730" s="2">
        <v>0</v>
      </c>
      <c r="O730" s="2">
        <v>0</v>
      </c>
      <c r="P730">
        <f t="shared" si="45"/>
        <v>1</v>
      </c>
      <c r="Q730" t="str">
        <f t="shared" si="46"/>
        <v>Alone</v>
      </c>
      <c r="R730" t="str">
        <f t="shared" si="47"/>
        <v>No</v>
      </c>
      <c r="S730" t="s">
        <v>13</v>
      </c>
    </row>
    <row r="731" spans="1:19" x14ac:dyDescent="0.3">
      <c r="A731" s="1" t="s">
        <v>549</v>
      </c>
      <c r="B731" t="s">
        <v>1596</v>
      </c>
      <c r="C731" t="s">
        <v>1824</v>
      </c>
      <c r="D731" t="str">
        <f t="shared" si="44"/>
        <v>Male</v>
      </c>
      <c r="E731" t="s">
        <v>9</v>
      </c>
      <c r="F731" s="2">
        <v>25</v>
      </c>
      <c r="G731" s="2" t="str" cm="1">
        <f t="array" ref="G731">_xlfn.IFS(F731&lt;=8,"Child",F731&lt;=17,"Teen",F731&lt;=35,"Adult",F731&lt;=55,"Seniour Adult",F731&gt;=55,"Old Age")</f>
        <v>Adult</v>
      </c>
      <c r="H731" t="s">
        <v>10</v>
      </c>
      <c r="I731" t="s">
        <v>11</v>
      </c>
      <c r="J731" t="str" cm="1">
        <f t="array" ref="J731">_xlfn.IFS(I731="S","Southamptom",I731="Q","Quentown",I731="C","Cherbrug",I731="B","Cabin")</f>
        <v>Southamptom</v>
      </c>
      <c r="K731" t="s">
        <v>61</v>
      </c>
      <c r="L731" s="2">
        <v>7.05</v>
      </c>
      <c r="M731" s="2" t="str" cm="1">
        <f t="array" ref="M731">_xlfn.IFS(L731&lt;=15,"Low Fare",L731&lt;=35,"Medium Fare",L731&lt;=100,"High Fare",L731&gt;=100,"Very High Fare")</f>
        <v>Low Fare</v>
      </c>
      <c r="N731" s="2">
        <v>0</v>
      </c>
      <c r="O731" s="2">
        <v>0</v>
      </c>
      <c r="P731">
        <f t="shared" si="45"/>
        <v>1</v>
      </c>
      <c r="Q731" t="str">
        <f t="shared" si="46"/>
        <v>Alone</v>
      </c>
      <c r="R731" t="str">
        <f t="shared" si="47"/>
        <v>No</v>
      </c>
      <c r="S731" t="s">
        <v>13</v>
      </c>
    </row>
    <row r="732" spans="1:19" x14ac:dyDescent="0.3">
      <c r="A732" s="1" t="s">
        <v>550</v>
      </c>
      <c r="B732" t="s">
        <v>1600</v>
      </c>
      <c r="C732" t="s">
        <v>2253</v>
      </c>
      <c r="D732" t="str">
        <f t="shared" si="44"/>
        <v>Female</v>
      </c>
      <c r="E732" t="s">
        <v>14</v>
      </c>
      <c r="F732" s="2">
        <v>34</v>
      </c>
      <c r="G732" s="2" t="str" cm="1">
        <f t="array" ref="G732">_xlfn.IFS(F732&lt;=8,"Child",F732&lt;=17,"Teen",F732&lt;=35,"Adult",F732&lt;=55,"Seniour Adult",F732&gt;=55,"Old Age")</f>
        <v>Adult</v>
      </c>
      <c r="H732" t="s">
        <v>10</v>
      </c>
      <c r="I732" t="s">
        <v>11</v>
      </c>
      <c r="J732" t="str" cm="1">
        <f t="array" ref="J732">_xlfn.IFS(I732="S","Southamptom",I732="Q","Quentown",I732="C","Cherbrug",I732="B","Cabin")</f>
        <v>Southamptom</v>
      </c>
      <c r="K732" t="s">
        <v>15</v>
      </c>
      <c r="L732" s="2">
        <v>16.02</v>
      </c>
      <c r="M732" s="2" t="str" cm="1">
        <f t="array" ref="M732">_xlfn.IFS(L732&lt;=15,"Low Fare",L732&lt;=35,"Medium Fare",L732&lt;=100,"High Fare",L732&gt;=100,"Very High Fare")</f>
        <v>Medium Fare</v>
      </c>
      <c r="N732" s="2">
        <v>1</v>
      </c>
      <c r="O732" s="2">
        <v>0</v>
      </c>
      <c r="P732">
        <f t="shared" si="45"/>
        <v>2</v>
      </c>
      <c r="Q732" t="str">
        <f t="shared" si="46"/>
        <v>With Family</v>
      </c>
      <c r="R732" t="str">
        <f t="shared" si="47"/>
        <v>No</v>
      </c>
      <c r="S732" t="s">
        <v>13</v>
      </c>
    </row>
    <row r="733" spans="1:19" x14ac:dyDescent="0.3">
      <c r="A733" s="1" t="s">
        <v>550</v>
      </c>
      <c r="B733" t="s">
        <v>1596</v>
      </c>
      <c r="C733" t="s">
        <v>2254</v>
      </c>
      <c r="D733" t="str">
        <f t="shared" si="44"/>
        <v>Male</v>
      </c>
      <c r="E733" t="s">
        <v>9</v>
      </c>
      <c r="F733" s="2">
        <v>31</v>
      </c>
      <c r="G733" s="2" t="str" cm="1">
        <f t="array" ref="G733">_xlfn.IFS(F733&lt;=8,"Child",F733&lt;=17,"Teen",F733&lt;=35,"Adult",F733&lt;=55,"Seniour Adult",F733&gt;=55,"Old Age")</f>
        <v>Adult</v>
      </c>
      <c r="H733" t="s">
        <v>10</v>
      </c>
      <c r="I733" t="s">
        <v>11</v>
      </c>
      <c r="J733" t="str" cm="1">
        <f t="array" ref="J733">_xlfn.IFS(I733="S","Southamptom",I733="Q","Quentown",I733="C","Cherbrug",I733="B","Cabin")</f>
        <v>Southamptom</v>
      </c>
      <c r="K733" t="s">
        <v>15</v>
      </c>
      <c r="L733" s="2">
        <v>16.02</v>
      </c>
      <c r="M733" s="2" t="str" cm="1">
        <f t="array" ref="M733">_xlfn.IFS(L733&lt;=15,"Low Fare",L733&lt;=35,"Medium Fare",L733&lt;=100,"High Fare",L733&gt;=100,"Very High Fare")</f>
        <v>Medium Fare</v>
      </c>
      <c r="N733" s="2">
        <v>1</v>
      </c>
      <c r="O733" s="2">
        <v>0</v>
      </c>
      <c r="P733">
        <f t="shared" si="45"/>
        <v>2</v>
      </c>
      <c r="Q733" t="str">
        <f t="shared" si="46"/>
        <v>With Family</v>
      </c>
      <c r="R733" t="str">
        <f t="shared" si="47"/>
        <v>No</v>
      </c>
      <c r="S733" t="s">
        <v>13</v>
      </c>
    </row>
    <row r="734" spans="1:19" x14ac:dyDescent="0.3">
      <c r="A734" s="1" t="s">
        <v>551</v>
      </c>
      <c r="B734" t="s">
        <v>1596</v>
      </c>
      <c r="C734" t="s">
        <v>2255</v>
      </c>
      <c r="D734" t="str">
        <f t="shared" si="44"/>
        <v>Male</v>
      </c>
      <c r="E734" t="s">
        <v>9</v>
      </c>
      <c r="F734" s="2">
        <v>19</v>
      </c>
      <c r="G734" s="2" t="str" cm="1">
        <f t="array" ref="G734">_xlfn.IFS(F734&lt;=8,"Child",F734&lt;=17,"Teen",F734&lt;=35,"Adult",F734&lt;=55,"Seniour Adult",F734&gt;=55,"Old Age")</f>
        <v>Adult</v>
      </c>
      <c r="H734" t="s">
        <v>10</v>
      </c>
      <c r="I734" t="s">
        <v>11</v>
      </c>
      <c r="J734" t="str" cm="1">
        <f t="array" ref="J734">_xlfn.IFS(I734="S","Southamptom",I734="Q","Quentown",I734="C","Cherbrug",I734="B","Cabin")</f>
        <v>Southamptom</v>
      </c>
      <c r="K734" t="s">
        <v>15</v>
      </c>
      <c r="L734" s="2">
        <v>7.1707000000000001</v>
      </c>
      <c r="M734" s="2" t="str" cm="1">
        <f t="array" ref="M734">_xlfn.IFS(L734&lt;=15,"Low Fare",L734&lt;=35,"Medium Fare",L734&lt;=100,"High Fare",L734&gt;=100,"Very High Fare")</f>
        <v>Low Fare</v>
      </c>
      <c r="N734" s="2">
        <v>0</v>
      </c>
      <c r="O734" s="2">
        <v>0</v>
      </c>
      <c r="P734">
        <f t="shared" si="45"/>
        <v>1</v>
      </c>
      <c r="Q734" t="str">
        <f t="shared" si="46"/>
        <v>Alone</v>
      </c>
      <c r="R734" t="str">
        <f t="shared" si="47"/>
        <v>No</v>
      </c>
      <c r="S734" t="s">
        <v>13</v>
      </c>
    </row>
    <row r="735" spans="1:19" x14ac:dyDescent="0.3">
      <c r="A735" s="1" t="s">
        <v>552</v>
      </c>
      <c r="B735" t="s">
        <v>1602</v>
      </c>
      <c r="C735" t="s">
        <v>2256</v>
      </c>
      <c r="D735" t="str">
        <f t="shared" si="44"/>
        <v>Female</v>
      </c>
      <c r="E735" t="s">
        <v>14</v>
      </c>
      <c r="F735" s="2">
        <v>21</v>
      </c>
      <c r="G735" s="2" t="str" cm="1">
        <f t="array" ref="G735">_xlfn.IFS(F735&lt;=8,"Child",F735&lt;=17,"Teen",F735&lt;=35,"Adult",F735&lt;=55,"Seniour Adult",F735&gt;=55,"Old Age")</f>
        <v>Adult</v>
      </c>
      <c r="H735" t="s">
        <v>25</v>
      </c>
      <c r="I735" t="s">
        <v>19</v>
      </c>
      <c r="J735" t="str" cm="1">
        <f t="array" ref="J735">_xlfn.IFS(I735="S","Southamptom",I735="Q","Quentown",I735="C","Cherbrug",I735="B","Cabin")</f>
        <v>Cherbrug</v>
      </c>
      <c r="K735" t="s">
        <v>12</v>
      </c>
      <c r="L735" s="2">
        <v>77.190200000000004</v>
      </c>
      <c r="M735" s="2" t="str" cm="1">
        <f t="array" ref="M735">_xlfn.IFS(L735&lt;=15,"Low Fare",L735&lt;=35,"Medium Fare",L735&lt;=100,"High Fare",L735&gt;=100,"Very High Fare")</f>
        <v>High Fare</v>
      </c>
      <c r="N735" s="2">
        <v>0</v>
      </c>
      <c r="O735" s="2">
        <v>0</v>
      </c>
      <c r="P735">
        <f t="shared" si="45"/>
        <v>1</v>
      </c>
      <c r="Q735" t="str">
        <f t="shared" si="46"/>
        <v>Alone</v>
      </c>
      <c r="R735" t="str">
        <f t="shared" si="47"/>
        <v>Yes</v>
      </c>
      <c r="S735" t="s">
        <v>16</v>
      </c>
    </row>
    <row r="736" spans="1:19" x14ac:dyDescent="0.3">
      <c r="A736" s="1" t="s">
        <v>553</v>
      </c>
      <c r="B736" t="s">
        <v>1596</v>
      </c>
      <c r="C736" t="s">
        <v>2257</v>
      </c>
      <c r="D736" t="str">
        <f t="shared" si="44"/>
        <v>Male</v>
      </c>
      <c r="E736" t="s">
        <v>9</v>
      </c>
      <c r="F736" s="2">
        <v>29</v>
      </c>
      <c r="G736" s="2" t="str" cm="1">
        <f t="array" ref="G736">_xlfn.IFS(F736&lt;=8,"Child",F736&lt;=17,"Teen",F736&lt;=35,"Adult",F736&lt;=55,"Seniour Adult",F736&gt;=55,"Old Age")</f>
        <v>Adult</v>
      </c>
      <c r="H736" t="s">
        <v>25</v>
      </c>
      <c r="I736" t="s">
        <v>11</v>
      </c>
      <c r="J736" t="str" cm="1">
        <f t="array" ref="J736">_xlfn.IFS(I736="S","Southamptom",I736="Q","Quentown",I736="C","Cherbrug",I736="B","Cabin")</f>
        <v>Southamptom</v>
      </c>
      <c r="K736" t="s">
        <v>12</v>
      </c>
      <c r="L736" s="2">
        <v>30</v>
      </c>
      <c r="M736" s="2" t="str" cm="1">
        <f t="array" ref="M736">_xlfn.IFS(L736&lt;=15,"Low Fare",L736&lt;=35,"Medium Fare",L736&lt;=100,"High Fare",L736&gt;=100,"Very High Fare")</f>
        <v>Medium Fare</v>
      </c>
      <c r="N736" s="2">
        <v>0</v>
      </c>
      <c r="O736" s="2">
        <v>0</v>
      </c>
      <c r="P736">
        <f t="shared" si="45"/>
        <v>1</v>
      </c>
      <c r="Q736" t="str">
        <f t="shared" si="46"/>
        <v>Alone</v>
      </c>
      <c r="R736" t="str">
        <f t="shared" si="47"/>
        <v>No</v>
      </c>
      <c r="S736" t="s">
        <v>13</v>
      </c>
    </row>
    <row r="737" spans="1:19" x14ac:dyDescent="0.3">
      <c r="A737" s="1" t="s">
        <v>554</v>
      </c>
      <c r="B737" t="s">
        <v>1596</v>
      </c>
      <c r="C737" t="s">
        <v>2258</v>
      </c>
      <c r="D737" t="str">
        <f t="shared" si="44"/>
        <v>Male</v>
      </c>
      <c r="E737" t="s">
        <v>9</v>
      </c>
      <c r="F737" s="2">
        <v>30</v>
      </c>
      <c r="G737" s="2" t="str" cm="1">
        <f t="array" ref="G737">_xlfn.IFS(F737&lt;=8,"Child",F737&lt;=17,"Teen",F737&lt;=35,"Adult",F737&lt;=55,"Seniour Adult",F737&gt;=55,"Old Age")</f>
        <v>Adult</v>
      </c>
      <c r="H737" t="s">
        <v>25</v>
      </c>
      <c r="I737" t="s">
        <v>11</v>
      </c>
      <c r="J737" t="str" cm="1">
        <f t="array" ref="J737">_xlfn.IFS(I737="S","Southamptom",I737="Q","Quentown",I737="C","Cherbrug",I737="B","Cabin")</f>
        <v>Southamptom</v>
      </c>
      <c r="K737" t="s">
        <v>12</v>
      </c>
      <c r="L737" s="2">
        <v>45.1</v>
      </c>
      <c r="M737" s="2" t="str" cm="1">
        <f t="array" ref="M737">_xlfn.IFS(L737&lt;=15,"Low Fare",L737&lt;=35,"Medium Fare",L737&lt;=100,"High Fare",L737&gt;=100,"Very High Fare")</f>
        <v>High Fare</v>
      </c>
      <c r="N737" s="2">
        <v>0</v>
      </c>
      <c r="O737" s="2">
        <v>0</v>
      </c>
      <c r="P737">
        <f t="shared" si="45"/>
        <v>1</v>
      </c>
      <c r="Q737" t="str">
        <f t="shared" si="46"/>
        <v>Alone</v>
      </c>
      <c r="R737" t="str">
        <f t="shared" si="47"/>
        <v>No</v>
      </c>
      <c r="S737" t="s">
        <v>13</v>
      </c>
    </row>
    <row r="738" spans="1:19" x14ac:dyDescent="0.3">
      <c r="A738" s="1" t="s">
        <v>555</v>
      </c>
      <c r="B738" t="s">
        <v>1596</v>
      </c>
      <c r="C738" t="s">
        <v>2259</v>
      </c>
      <c r="D738" t="str">
        <f t="shared" si="44"/>
        <v>Male</v>
      </c>
      <c r="E738" t="s">
        <v>9</v>
      </c>
      <c r="F738" s="2">
        <v>50</v>
      </c>
      <c r="G738" s="2" t="str" cm="1">
        <f t="array" ref="G738">_xlfn.IFS(F738&lt;=8,"Child",F738&lt;=17,"Teen",F738&lt;=35,"Adult",F738&lt;=55,"Seniour Adult",F738&gt;=55,"Old Age")</f>
        <v>Seniour Adult</v>
      </c>
      <c r="H738" t="s">
        <v>18</v>
      </c>
      <c r="I738" t="s">
        <v>11</v>
      </c>
      <c r="J738" t="str" cm="1">
        <f t="array" ref="J738">_xlfn.IFS(I738="S","Southamptom",I738="Q","Quentown",I738="C","Cherbrug",I738="B","Cabin")</f>
        <v>Southamptom</v>
      </c>
      <c r="K738" t="s">
        <v>15</v>
      </c>
      <c r="L738" s="2">
        <v>26</v>
      </c>
      <c r="M738" s="2" t="str" cm="1">
        <f t="array" ref="M738">_xlfn.IFS(L738&lt;=15,"Low Fare",L738&lt;=35,"Medium Fare",L738&lt;=100,"High Fare",L738&gt;=100,"Very High Fare")</f>
        <v>Medium Fare</v>
      </c>
      <c r="N738" s="2">
        <v>1</v>
      </c>
      <c r="O738" s="2">
        <v>0</v>
      </c>
      <c r="P738">
        <f t="shared" si="45"/>
        <v>2</v>
      </c>
      <c r="Q738" t="str">
        <f t="shared" si="46"/>
        <v>With Family</v>
      </c>
      <c r="R738" t="str">
        <f t="shared" si="47"/>
        <v>No</v>
      </c>
      <c r="S738" t="s">
        <v>13</v>
      </c>
    </row>
    <row r="739" spans="1:19" x14ac:dyDescent="0.3">
      <c r="A739" s="1" t="s">
        <v>555</v>
      </c>
      <c r="B739" t="s">
        <v>1600</v>
      </c>
      <c r="C739" t="s">
        <v>2260</v>
      </c>
      <c r="D739" t="str">
        <f t="shared" si="44"/>
        <v>Female</v>
      </c>
      <c r="E739" t="s">
        <v>14</v>
      </c>
      <c r="F739" s="2">
        <v>43</v>
      </c>
      <c r="G739" s="2" t="str" cm="1">
        <f t="array" ref="G739">_xlfn.IFS(F739&lt;=8,"Child",F739&lt;=17,"Teen",F739&lt;=35,"Adult",F739&lt;=55,"Seniour Adult",F739&gt;=55,"Old Age")</f>
        <v>Seniour Adult</v>
      </c>
      <c r="H739" t="s">
        <v>18</v>
      </c>
      <c r="I739" t="s">
        <v>11</v>
      </c>
      <c r="J739" t="str" cm="1">
        <f t="array" ref="J739">_xlfn.IFS(I739="S","Southamptom",I739="Q","Quentown",I739="C","Cherbrug",I739="B","Cabin")</f>
        <v>Southamptom</v>
      </c>
      <c r="K739" t="s">
        <v>15</v>
      </c>
      <c r="L739" s="2">
        <v>26</v>
      </c>
      <c r="M739" s="2" t="str" cm="1">
        <f t="array" ref="M739">_xlfn.IFS(L739&lt;=15,"Low Fare",L739&lt;=35,"Medium Fare",L739&lt;=100,"High Fare",L739&gt;=100,"Very High Fare")</f>
        <v>Medium Fare</v>
      </c>
      <c r="N739" s="2">
        <v>1</v>
      </c>
      <c r="O739" s="2">
        <v>0</v>
      </c>
      <c r="P739">
        <f t="shared" si="45"/>
        <v>2</v>
      </c>
      <c r="Q739" t="str">
        <f t="shared" si="46"/>
        <v>With Family</v>
      </c>
      <c r="R739" t="str">
        <f t="shared" si="47"/>
        <v>Yes</v>
      </c>
      <c r="S739" t="s">
        <v>16</v>
      </c>
    </row>
    <row r="740" spans="1:19" x14ac:dyDescent="0.3">
      <c r="A740" s="1" t="s">
        <v>556</v>
      </c>
      <c r="B740" t="s">
        <v>1596</v>
      </c>
      <c r="C740" t="s">
        <v>2261</v>
      </c>
      <c r="D740" t="str">
        <f t="shared" si="44"/>
        <v>Male</v>
      </c>
      <c r="E740" t="s">
        <v>9</v>
      </c>
      <c r="F740" s="2">
        <v>20</v>
      </c>
      <c r="G740" s="2" t="str" cm="1">
        <f t="array" ref="G740">_xlfn.IFS(F740&lt;=8,"Child",F740&lt;=17,"Teen",F740&lt;=35,"Adult",F740&lt;=55,"Seniour Adult",F740&gt;=55,"Old Age")</f>
        <v>Adult</v>
      </c>
      <c r="H740" t="s">
        <v>10</v>
      </c>
      <c r="I740" t="s">
        <v>11</v>
      </c>
      <c r="J740" t="str" cm="1">
        <f t="array" ref="J740">_xlfn.IFS(I740="S","Southamptom",I740="Q","Quentown",I740="C","Cherbrug",I740="B","Cabin")</f>
        <v>Southamptom</v>
      </c>
      <c r="K740" t="s">
        <v>15</v>
      </c>
      <c r="L740" s="2">
        <v>7.05</v>
      </c>
      <c r="M740" s="2" t="str" cm="1">
        <f t="array" ref="M740">_xlfn.IFS(L740&lt;=15,"Low Fare",L740&lt;=35,"Medium Fare",L740&lt;=100,"High Fare",L740&gt;=100,"Very High Fare")</f>
        <v>Low Fare</v>
      </c>
      <c r="N740" s="2">
        <v>0</v>
      </c>
      <c r="O740" s="2">
        <v>0</v>
      </c>
      <c r="P740">
        <f t="shared" si="45"/>
        <v>1</v>
      </c>
      <c r="Q740" t="str">
        <f t="shared" si="46"/>
        <v>Alone</v>
      </c>
      <c r="R740" t="str">
        <f t="shared" si="47"/>
        <v>No</v>
      </c>
      <c r="S740" t="s">
        <v>13</v>
      </c>
    </row>
    <row r="741" spans="1:19" x14ac:dyDescent="0.3">
      <c r="A741" s="1" t="s">
        <v>557</v>
      </c>
      <c r="B741" t="s">
        <v>1596</v>
      </c>
      <c r="C741" t="s">
        <v>2262</v>
      </c>
      <c r="D741" t="str">
        <f t="shared" si="44"/>
        <v>Male</v>
      </c>
      <c r="E741" t="s">
        <v>9</v>
      </c>
      <c r="F741" s="2">
        <v>29</v>
      </c>
      <c r="G741" s="2" t="str" cm="1">
        <f t="array" ref="G741">_xlfn.IFS(F741&lt;=8,"Child",F741&lt;=17,"Teen",F741&lt;=35,"Adult",F741&lt;=55,"Seniour Adult",F741&gt;=55,"Old Age")</f>
        <v>Adult</v>
      </c>
      <c r="H741" t="s">
        <v>10</v>
      </c>
      <c r="I741" t="s">
        <v>11</v>
      </c>
      <c r="J741" t="str" cm="1">
        <f t="array" ref="J741">_xlfn.IFS(I741="S","Southamptom",I741="Q","Quentown",I741="C","Cherbrug",I741="B","Cabin")</f>
        <v>Southamptom</v>
      </c>
      <c r="K741" t="s">
        <v>42</v>
      </c>
      <c r="L741" s="2">
        <v>8.1303000000000001</v>
      </c>
      <c r="M741" s="2" t="str" cm="1">
        <f t="array" ref="M741">_xlfn.IFS(L741&lt;=15,"Low Fare",L741&lt;=35,"Medium Fare",L741&lt;=100,"High Fare",L741&gt;=100,"Very High Fare")</f>
        <v>Low Fare</v>
      </c>
      <c r="N741" s="2">
        <v>0</v>
      </c>
      <c r="O741" s="2">
        <v>0</v>
      </c>
      <c r="P741">
        <f t="shared" si="45"/>
        <v>1</v>
      </c>
      <c r="Q741" t="str">
        <f t="shared" si="46"/>
        <v>Alone</v>
      </c>
      <c r="R741" t="str">
        <f t="shared" si="47"/>
        <v>Yes</v>
      </c>
      <c r="S741" t="s">
        <v>16</v>
      </c>
    </row>
    <row r="742" spans="1:19" x14ac:dyDescent="0.3">
      <c r="A742" s="1" t="s">
        <v>558</v>
      </c>
      <c r="B742" t="s">
        <v>1596</v>
      </c>
      <c r="C742" t="s">
        <v>2263</v>
      </c>
      <c r="D742" t="str">
        <f t="shared" si="44"/>
        <v>Male</v>
      </c>
      <c r="E742" t="s">
        <v>9</v>
      </c>
      <c r="F742" s="2">
        <v>50</v>
      </c>
      <c r="G742" s="2" t="str" cm="1">
        <f t="array" ref="G742">_xlfn.IFS(F742&lt;=8,"Child",F742&lt;=17,"Teen",F742&lt;=35,"Adult",F742&lt;=55,"Seniour Adult",F742&gt;=55,"Old Age")</f>
        <v>Seniour Adult</v>
      </c>
      <c r="H742" t="s">
        <v>10</v>
      </c>
      <c r="I742" t="s">
        <v>11</v>
      </c>
      <c r="J742" t="str" cm="1">
        <f t="array" ref="J742">_xlfn.IFS(I742="S","Southamptom",I742="Q","Quentown",I742="C","Cherbrug",I742="B","Cabin")</f>
        <v>Southamptom</v>
      </c>
      <c r="K742" t="s">
        <v>23</v>
      </c>
      <c r="L742" s="2">
        <v>7.0101000000000004</v>
      </c>
      <c r="M742" s="2" t="str" cm="1">
        <f t="array" ref="M742">_xlfn.IFS(L742&lt;=15,"Low Fare",L742&lt;=35,"Medium Fare",L742&lt;=100,"High Fare",L742&gt;=100,"Very High Fare")</f>
        <v>Low Fare</v>
      </c>
      <c r="N742" s="2">
        <v>0</v>
      </c>
      <c r="O742" s="2">
        <v>0</v>
      </c>
      <c r="P742">
        <f t="shared" si="45"/>
        <v>1</v>
      </c>
      <c r="Q742" t="str">
        <f t="shared" si="46"/>
        <v>Alone</v>
      </c>
      <c r="R742" t="str">
        <f t="shared" si="47"/>
        <v>No</v>
      </c>
      <c r="S742" t="s">
        <v>13</v>
      </c>
    </row>
    <row r="743" spans="1:19" x14ac:dyDescent="0.3">
      <c r="A743" s="1" t="s">
        <v>559</v>
      </c>
      <c r="B743" t="s">
        <v>1602</v>
      </c>
      <c r="C743" t="s">
        <v>2264</v>
      </c>
      <c r="D743" t="str">
        <f t="shared" si="44"/>
        <v>Female</v>
      </c>
      <c r="E743" t="s">
        <v>14</v>
      </c>
      <c r="F743" s="2">
        <v>23</v>
      </c>
      <c r="G743" s="2" t="str" cm="1">
        <f t="array" ref="G743">_xlfn.IFS(F743&lt;=8,"Child",F743&lt;=17,"Teen",F743&lt;=35,"Adult",F743&lt;=55,"Seniour Adult",F743&gt;=55,"Old Age")</f>
        <v>Adult</v>
      </c>
      <c r="H743" t="s">
        <v>10</v>
      </c>
      <c r="I743" t="s">
        <v>11</v>
      </c>
      <c r="J743" t="str" cm="1">
        <f t="array" ref="J743">_xlfn.IFS(I743="S","Southamptom",I743="Q","Quentown",I743="C","Cherbrug",I743="B","Cabin")</f>
        <v>Southamptom</v>
      </c>
      <c r="K743" t="s">
        <v>12</v>
      </c>
      <c r="L743" s="2">
        <v>7.1700999999999997</v>
      </c>
      <c r="M743" s="2" t="str" cm="1">
        <f t="array" ref="M743">_xlfn.IFS(L743&lt;=15,"Low Fare",L743&lt;=35,"Medium Fare",L743&lt;=100,"High Fare",L743&gt;=100,"Very High Fare")</f>
        <v>Low Fare</v>
      </c>
      <c r="N743" s="2">
        <v>0</v>
      </c>
      <c r="O743" s="2">
        <v>0</v>
      </c>
      <c r="P743">
        <f t="shared" si="45"/>
        <v>1</v>
      </c>
      <c r="Q743" t="str">
        <f t="shared" si="46"/>
        <v>Alone</v>
      </c>
      <c r="R743" t="str">
        <f t="shared" si="47"/>
        <v>Yes</v>
      </c>
      <c r="S743" t="s">
        <v>16</v>
      </c>
    </row>
    <row r="744" spans="1:19" x14ac:dyDescent="0.3">
      <c r="A744" s="1" t="s">
        <v>560</v>
      </c>
      <c r="B744" t="s">
        <v>1596</v>
      </c>
      <c r="C744" t="s">
        <v>2265</v>
      </c>
      <c r="D744" t="str">
        <f t="shared" si="44"/>
        <v>Male</v>
      </c>
      <c r="E744" t="s">
        <v>9</v>
      </c>
      <c r="F744" s="2">
        <v>32</v>
      </c>
      <c r="G744" s="2" t="str" cm="1">
        <f t="array" ref="G744">_xlfn.IFS(F744&lt;=8,"Child",F744&lt;=17,"Teen",F744&lt;=35,"Adult",F744&lt;=55,"Seniour Adult",F744&gt;=55,"Old Age")</f>
        <v>Adult</v>
      </c>
      <c r="H744" t="s">
        <v>10</v>
      </c>
      <c r="I744" t="s">
        <v>11</v>
      </c>
      <c r="J744" t="str" cm="1">
        <f t="array" ref="J744">_xlfn.IFS(I744="S","Southamptom",I744="Q","Quentown",I744="C","Cherbrug",I744="B","Cabin")</f>
        <v>Southamptom</v>
      </c>
      <c r="K744" t="s">
        <v>23</v>
      </c>
      <c r="L744" s="2">
        <v>7.1106999999999996</v>
      </c>
      <c r="M744" s="2" t="str" cm="1">
        <f t="array" ref="M744">_xlfn.IFS(L744&lt;=15,"Low Fare",L744&lt;=35,"Medium Fare",L744&lt;=100,"High Fare",L744&gt;=100,"Very High Fare")</f>
        <v>Low Fare</v>
      </c>
      <c r="N744" s="2">
        <v>0</v>
      </c>
      <c r="O744" s="2">
        <v>0</v>
      </c>
      <c r="P744">
        <f t="shared" si="45"/>
        <v>1</v>
      </c>
      <c r="Q744" t="str">
        <f t="shared" si="46"/>
        <v>Alone</v>
      </c>
      <c r="R744" t="str">
        <f t="shared" si="47"/>
        <v>Yes</v>
      </c>
      <c r="S744" t="s">
        <v>16</v>
      </c>
    </row>
    <row r="745" spans="1:19" x14ac:dyDescent="0.3">
      <c r="A745" s="1" t="s">
        <v>561</v>
      </c>
      <c r="B745" t="s">
        <v>1602</v>
      </c>
      <c r="C745" t="s">
        <v>2266</v>
      </c>
      <c r="D745" t="str">
        <f t="shared" si="44"/>
        <v>Female</v>
      </c>
      <c r="E745" t="s">
        <v>14</v>
      </c>
      <c r="F745" s="2">
        <v>59</v>
      </c>
      <c r="G745" s="2" t="str" cm="1">
        <f t="array" ref="G745">_xlfn.IFS(F745&lt;=8,"Child",F745&lt;=17,"Teen",F745&lt;=35,"Adult",F745&lt;=55,"Seniour Adult",F745&gt;=55,"Old Age")</f>
        <v>Old Age</v>
      </c>
      <c r="H745" t="s">
        <v>25</v>
      </c>
      <c r="I745" t="s">
        <v>19</v>
      </c>
      <c r="J745" t="str" cm="1">
        <f t="array" ref="J745">_xlfn.IFS(I745="S","Southamptom",I745="Q","Quentown",I745="C","Cherbrug",I745="B","Cabin")</f>
        <v>Cherbrug</v>
      </c>
      <c r="K745" t="s">
        <v>20</v>
      </c>
      <c r="L745" s="2">
        <v>146.10050000000001</v>
      </c>
      <c r="M745" s="2" t="str" cm="1">
        <f t="array" ref="M745">_xlfn.IFS(L745&lt;=15,"Low Fare",L745&lt;=35,"Medium Fare",L745&lt;=100,"High Fare",L745&gt;=100,"Very High Fare")</f>
        <v>Very High Fare</v>
      </c>
      <c r="N745" s="2">
        <v>0</v>
      </c>
      <c r="O745" s="2">
        <v>0</v>
      </c>
      <c r="P745">
        <f t="shared" si="45"/>
        <v>1</v>
      </c>
      <c r="Q745" t="str">
        <f t="shared" si="46"/>
        <v>Alone</v>
      </c>
      <c r="R745" t="str">
        <f t="shared" si="47"/>
        <v>Yes</v>
      </c>
      <c r="S745" t="s">
        <v>16</v>
      </c>
    </row>
    <row r="746" spans="1:19" x14ac:dyDescent="0.3">
      <c r="A746" s="1" t="s">
        <v>562</v>
      </c>
      <c r="B746" t="s">
        <v>1596</v>
      </c>
      <c r="C746" t="s">
        <v>2267</v>
      </c>
      <c r="D746" t="str">
        <f t="shared" si="44"/>
        <v>Male</v>
      </c>
      <c r="E746" t="s">
        <v>9</v>
      </c>
      <c r="F746" s="2">
        <v>30</v>
      </c>
      <c r="G746" s="2" t="str" cm="1">
        <f t="array" ref="G746">_xlfn.IFS(F746&lt;=8,"Child",F746&lt;=17,"Teen",F746&lt;=35,"Adult",F746&lt;=55,"Seniour Adult",F746&gt;=55,"Old Age")</f>
        <v>Adult</v>
      </c>
      <c r="H746" t="s">
        <v>10</v>
      </c>
      <c r="I746" t="s">
        <v>19</v>
      </c>
      <c r="J746" t="str" cm="1">
        <f t="array" ref="J746">_xlfn.IFS(I746="S","Southamptom",I746="Q","Quentown",I746="C","Cherbrug",I746="B","Cabin")</f>
        <v>Cherbrug</v>
      </c>
      <c r="K746" t="s">
        <v>57</v>
      </c>
      <c r="L746" s="2">
        <v>6.0808999999999997</v>
      </c>
      <c r="M746" s="2" t="str" cm="1">
        <f t="array" ref="M746">_xlfn.IFS(L746&lt;=15,"Low Fare",L746&lt;=35,"Medium Fare",L746&lt;=100,"High Fare",L746&gt;=100,"Very High Fare")</f>
        <v>Low Fare</v>
      </c>
      <c r="N746" s="2">
        <v>0</v>
      </c>
      <c r="O746" s="2">
        <v>0</v>
      </c>
      <c r="P746">
        <f t="shared" si="45"/>
        <v>1</v>
      </c>
      <c r="Q746" t="str">
        <f t="shared" si="46"/>
        <v>Alone</v>
      </c>
      <c r="R746" t="str">
        <f t="shared" si="47"/>
        <v>No</v>
      </c>
      <c r="S746" t="s">
        <v>13</v>
      </c>
    </row>
    <row r="747" spans="1:19" x14ac:dyDescent="0.3">
      <c r="A747" s="1" t="s">
        <v>563</v>
      </c>
      <c r="B747" t="s">
        <v>1596</v>
      </c>
      <c r="C747" t="s">
        <v>2268</v>
      </c>
      <c r="D747" t="str">
        <f t="shared" si="44"/>
        <v>Male</v>
      </c>
      <c r="E747" t="s">
        <v>9</v>
      </c>
      <c r="F747" s="2">
        <v>44</v>
      </c>
      <c r="G747" s="2" t="str" cm="1">
        <f t="array" ref="G747">_xlfn.IFS(F747&lt;=8,"Child",F747&lt;=17,"Teen",F747&lt;=35,"Adult",F747&lt;=55,"Seniour Adult",F747&gt;=55,"Old Age")</f>
        <v>Seniour Adult</v>
      </c>
      <c r="H747" t="s">
        <v>10</v>
      </c>
      <c r="I747" t="s">
        <v>11</v>
      </c>
      <c r="J747" t="str" cm="1">
        <f t="array" ref="J747">_xlfn.IFS(I747="S","Southamptom",I747="Q","Quentown",I747="C","Cherbrug",I747="B","Cabin")</f>
        <v>Southamptom</v>
      </c>
      <c r="K747" t="s">
        <v>15</v>
      </c>
      <c r="L747" s="2">
        <v>7.1711</v>
      </c>
      <c r="M747" s="2" t="str" cm="1">
        <f t="array" ref="M747">_xlfn.IFS(L747&lt;=15,"Low Fare",L747&lt;=35,"Medium Fare",L747&lt;=100,"High Fare",L747&gt;=100,"Very High Fare")</f>
        <v>Low Fare</v>
      </c>
      <c r="N747" s="2">
        <v>0</v>
      </c>
      <c r="O747" s="2">
        <v>0</v>
      </c>
      <c r="P747">
        <f t="shared" si="45"/>
        <v>1</v>
      </c>
      <c r="Q747" t="str">
        <f t="shared" si="46"/>
        <v>Alone</v>
      </c>
      <c r="R747" t="str">
        <f t="shared" si="47"/>
        <v>No</v>
      </c>
      <c r="S747" t="s">
        <v>13</v>
      </c>
    </row>
    <row r="748" spans="1:19" x14ac:dyDescent="0.3">
      <c r="A748" s="1" t="s">
        <v>564</v>
      </c>
      <c r="B748" t="s">
        <v>1596</v>
      </c>
      <c r="C748" t="s">
        <v>2269</v>
      </c>
      <c r="D748" t="str">
        <f t="shared" si="44"/>
        <v>Male</v>
      </c>
      <c r="E748" t="s">
        <v>9</v>
      </c>
      <c r="F748" s="2">
        <v>20</v>
      </c>
      <c r="G748" s="2" t="str" cm="1">
        <f t="array" ref="G748">_xlfn.IFS(F748&lt;=8,"Child",F748&lt;=17,"Teen",F748&lt;=35,"Adult",F748&lt;=55,"Seniour Adult",F748&gt;=55,"Old Age")</f>
        <v>Adult</v>
      </c>
      <c r="H748" t="s">
        <v>10</v>
      </c>
      <c r="I748" t="s">
        <v>11</v>
      </c>
      <c r="J748" t="str" cm="1">
        <f t="array" ref="J748">_xlfn.IFS(I748="S","Southamptom",I748="Q","Quentown",I748="C","Cherbrug",I748="B","Cabin")</f>
        <v>Southamptom</v>
      </c>
      <c r="K748" t="s">
        <v>43</v>
      </c>
      <c r="L748" s="2">
        <v>7.11</v>
      </c>
      <c r="M748" s="2" t="str" cm="1">
        <f t="array" ref="M748">_xlfn.IFS(L748&lt;=15,"Low Fare",L748&lt;=35,"Medium Fare",L748&lt;=100,"High Fare",L748&gt;=100,"Very High Fare")</f>
        <v>Low Fare</v>
      </c>
      <c r="N748" s="2">
        <v>0</v>
      </c>
      <c r="O748" s="2">
        <v>0</v>
      </c>
      <c r="P748">
        <f t="shared" si="45"/>
        <v>1</v>
      </c>
      <c r="Q748" t="str">
        <f t="shared" si="46"/>
        <v>Alone</v>
      </c>
      <c r="R748" t="str">
        <f t="shared" si="47"/>
        <v>No</v>
      </c>
      <c r="S748" t="s">
        <v>13</v>
      </c>
    </row>
    <row r="749" spans="1:19" x14ac:dyDescent="0.3">
      <c r="A749" s="1" t="s">
        <v>565</v>
      </c>
      <c r="B749" t="s">
        <v>1600</v>
      </c>
      <c r="C749" t="s">
        <v>1734</v>
      </c>
      <c r="D749" t="str">
        <f t="shared" si="44"/>
        <v>Female</v>
      </c>
      <c r="E749" t="s">
        <v>14</v>
      </c>
      <c r="F749" s="2">
        <v>57</v>
      </c>
      <c r="G749" s="2" t="str" cm="1">
        <f t="array" ref="G749">_xlfn.IFS(F749&lt;=8,"Child",F749&lt;=17,"Teen",F749&lt;=35,"Adult",F749&lt;=55,"Seniour Adult",F749&gt;=55,"Old Age")</f>
        <v>Old Age</v>
      </c>
      <c r="H749" t="s">
        <v>18</v>
      </c>
      <c r="I749" t="s">
        <v>11</v>
      </c>
      <c r="J749" t="str" cm="1">
        <f t="array" ref="J749">_xlfn.IFS(I749="S","Southamptom",I749="Q","Quentown",I749="C","Cherbrug",I749="B","Cabin")</f>
        <v>Southamptom</v>
      </c>
      <c r="K749" t="s">
        <v>15</v>
      </c>
      <c r="L749" s="2">
        <v>10.1</v>
      </c>
      <c r="M749" s="2" t="str" cm="1">
        <f t="array" ref="M749">_xlfn.IFS(L749&lt;=15,"Low Fare",L749&lt;=35,"Medium Fare",L749&lt;=100,"High Fare",L749&gt;=100,"Very High Fare")</f>
        <v>Low Fare</v>
      </c>
      <c r="N749" s="2">
        <v>0</v>
      </c>
      <c r="O749" s="2">
        <v>0</v>
      </c>
      <c r="P749">
        <f t="shared" si="45"/>
        <v>1</v>
      </c>
      <c r="Q749" t="str">
        <f t="shared" si="46"/>
        <v>Alone</v>
      </c>
      <c r="R749" t="str">
        <f t="shared" si="47"/>
        <v>No</v>
      </c>
      <c r="S749" t="s">
        <v>13</v>
      </c>
    </row>
    <row r="750" spans="1:19" x14ac:dyDescent="0.3">
      <c r="A750" s="1" t="s">
        <v>566</v>
      </c>
      <c r="B750" t="s">
        <v>1602</v>
      </c>
      <c r="C750" t="s">
        <v>1759</v>
      </c>
      <c r="D750" t="str">
        <f t="shared" si="44"/>
        <v>Female</v>
      </c>
      <c r="E750" t="s">
        <v>14</v>
      </c>
      <c r="F750" s="2">
        <v>21</v>
      </c>
      <c r="G750" s="2" t="str" cm="1">
        <f t="array" ref="G750">_xlfn.IFS(F750&lt;=8,"Child",F750&lt;=17,"Teen",F750&lt;=35,"Adult",F750&lt;=55,"Seniour Adult",F750&gt;=55,"Old Age")</f>
        <v>Adult</v>
      </c>
      <c r="H750" t="s">
        <v>10</v>
      </c>
      <c r="I750" t="s">
        <v>36</v>
      </c>
      <c r="J750" t="str" cm="1">
        <f t="array" ref="J750">_xlfn.IFS(I750="S","Southamptom",I750="Q","Quentown",I750="C","Cherbrug",I750="B","Cabin")</f>
        <v>Quentown</v>
      </c>
      <c r="K750" t="s">
        <v>37</v>
      </c>
      <c r="L750" s="2">
        <v>7.15</v>
      </c>
      <c r="M750" s="2" t="str" cm="1">
        <f t="array" ref="M750">_xlfn.IFS(L750&lt;=15,"Low Fare",L750&lt;=35,"Medium Fare",L750&lt;=100,"High Fare",L750&gt;=100,"Very High Fare")</f>
        <v>Low Fare</v>
      </c>
      <c r="N750" s="2">
        <v>0</v>
      </c>
      <c r="O750" s="2">
        <v>0</v>
      </c>
      <c r="P750">
        <f t="shared" si="45"/>
        <v>1</v>
      </c>
      <c r="Q750" t="str">
        <f t="shared" si="46"/>
        <v>Alone</v>
      </c>
      <c r="R750" t="str">
        <f t="shared" si="47"/>
        <v>Yes</v>
      </c>
      <c r="S750" t="s">
        <v>16</v>
      </c>
    </row>
    <row r="751" spans="1:19" x14ac:dyDescent="0.3">
      <c r="A751" s="1" t="s">
        <v>567</v>
      </c>
      <c r="B751" t="s">
        <v>1602</v>
      </c>
      <c r="C751" t="s">
        <v>2270</v>
      </c>
      <c r="D751" t="str">
        <f t="shared" si="44"/>
        <v>Female</v>
      </c>
      <c r="E751" t="s">
        <v>14</v>
      </c>
      <c r="F751" s="2">
        <v>16</v>
      </c>
      <c r="G751" s="2" t="str" cm="1">
        <f t="array" ref="G751">_xlfn.IFS(F751&lt;=8,"Child",F751&lt;=17,"Teen",F751&lt;=35,"Adult",F751&lt;=55,"Seniour Adult",F751&gt;=55,"Old Age")</f>
        <v>Teen</v>
      </c>
      <c r="H751" t="s">
        <v>25</v>
      </c>
      <c r="I751" t="s">
        <v>11</v>
      </c>
      <c r="J751" t="str" cm="1">
        <f t="array" ref="J751">_xlfn.IFS(I751="S","Southamptom",I751="Q","Quentown",I751="C","Cherbrug",I751="B","Cabin")</f>
        <v>Southamptom</v>
      </c>
      <c r="K751" t="s">
        <v>12</v>
      </c>
      <c r="L751" s="2">
        <v>211.0609</v>
      </c>
      <c r="M751" s="2" t="str" cm="1">
        <f t="array" ref="M751">_xlfn.IFS(L751&lt;=15,"Low Fare",L751&lt;=35,"Medium Fare",L751&lt;=100,"High Fare",L751&gt;=100,"Very High Fare")</f>
        <v>Very High Fare</v>
      </c>
      <c r="N751" s="2">
        <v>0</v>
      </c>
      <c r="O751" s="2">
        <v>1</v>
      </c>
      <c r="P751">
        <f t="shared" si="45"/>
        <v>2</v>
      </c>
      <c r="Q751" t="str">
        <f t="shared" si="46"/>
        <v>With Family</v>
      </c>
      <c r="R751" t="str">
        <f t="shared" si="47"/>
        <v>Yes</v>
      </c>
      <c r="S751" t="s">
        <v>16</v>
      </c>
    </row>
    <row r="752" spans="1:19" x14ac:dyDescent="0.3">
      <c r="A752" s="1" t="s">
        <v>568</v>
      </c>
      <c r="B752" t="s">
        <v>1596</v>
      </c>
      <c r="C752" t="s">
        <v>2271</v>
      </c>
      <c r="D752" t="str">
        <f t="shared" si="44"/>
        <v>Male</v>
      </c>
      <c r="E752" t="s">
        <v>9</v>
      </c>
      <c r="F752" s="2">
        <v>24</v>
      </c>
      <c r="G752" s="2" t="str" cm="1">
        <f t="array" ref="G752">_xlfn.IFS(F752&lt;=8,"Child",F752&lt;=17,"Teen",F752&lt;=35,"Adult",F752&lt;=55,"Seniour Adult",F752&gt;=55,"Old Age")</f>
        <v>Adult</v>
      </c>
      <c r="H752" t="s">
        <v>10</v>
      </c>
      <c r="I752" t="s">
        <v>11</v>
      </c>
      <c r="J752" t="str" cm="1">
        <f t="array" ref="J752">_xlfn.IFS(I752="S","Southamptom",I752="Q","Quentown",I752="C","Cherbrug",I752="B","Cabin")</f>
        <v>Southamptom</v>
      </c>
      <c r="K752" t="s">
        <v>17</v>
      </c>
      <c r="L752" s="2">
        <v>7.0209999999999999</v>
      </c>
      <c r="M752" s="2" t="str" cm="1">
        <f t="array" ref="M752">_xlfn.IFS(L752&lt;=15,"Low Fare",L752&lt;=35,"Medium Fare",L752&lt;=100,"High Fare",L752&gt;=100,"Very High Fare")</f>
        <v>Low Fare</v>
      </c>
      <c r="N752" s="2">
        <v>0</v>
      </c>
      <c r="O752" s="2">
        <v>0</v>
      </c>
      <c r="P752">
        <f t="shared" si="45"/>
        <v>1</v>
      </c>
      <c r="Q752" t="str">
        <f t="shared" si="46"/>
        <v>Alone</v>
      </c>
      <c r="R752" t="str">
        <f t="shared" si="47"/>
        <v>Yes</v>
      </c>
      <c r="S752" t="s">
        <v>16</v>
      </c>
    </row>
    <row r="753" spans="1:19" x14ac:dyDescent="0.3">
      <c r="A753" s="1" t="s">
        <v>569</v>
      </c>
      <c r="B753" t="s">
        <v>1596</v>
      </c>
      <c r="C753" t="s">
        <v>2272</v>
      </c>
      <c r="D753" t="str">
        <f t="shared" si="44"/>
        <v>Male</v>
      </c>
      <c r="E753" t="s">
        <v>9</v>
      </c>
      <c r="F753" s="2">
        <v>22</v>
      </c>
      <c r="G753" s="2" t="str" cm="1">
        <f t="array" ref="G753">_xlfn.IFS(F753&lt;=8,"Child",F753&lt;=17,"Teen",F753&lt;=35,"Adult",F753&lt;=55,"Seniour Adult",F753&gt;=55,"Old Age")</f>
        <v>Adult</v>
      </c>
      <c r="H753" t="s">
        <v>10</v>
      </c>
      <c r="I753" t="s">
        <v>11</v>
      </c>
      <c r="J753" t="str" cm="1">
        <f t="array" ref="J753">_xlfn.IFS(I753="S","Southamptom",I753="Q","Quentown",I753="C","Cherbrug",I753="B","Cabin")</f>
        <v>Southamptom</v>
      </c>
      <c r="K753" t="s">
        <v>22</v>
      </c>
      <c r="L753" s="2">
        <v>7.0206</v>
      </c>
      <c r="M753" s="2" t="str" cm="1">
        <f t="array" ref="M753">_xlfn.IFS(L753&lt;=15,"Low Fare",L753&lt;=35,"Medium Fare",L753&lt;=100,"High Fare",L753&gt;=100,"Very High Fare")</f>
        <v>Low Fare</v>
      </c>
      <c r="N753" s="2">
        <v>0</v>
      </c>
      <c r="O753" s="2">
        <v>0</v>
      </c>
      <c r="P753">
        <f t="shared" si="45"/>
        <v>1</v>
      </c>
      <c r="Q753" t="str">
        <f t="shared" si="46"/>
        <v>Alone</v>
      </c>
      <c r="R753" t="str">
        <f t="shared" si="47"/>
        <v>No</v>
      </c>
      <c r="S753" t="s">
        <v>13</v>
      </c>
    </row>
    <row r="754" spans="1:19" x14ac:dyDescent="0.3">
      <c r="A754" s="1" t="s">
        <v>570</v>
      </c>
      <c r="B754" t="s">
        <v>1596</v>
      </c>
      <c r="C754" t="s">
        <v>2273</v>
      </c>
      <c r="D754" t="str">
        <f t="shared" si="44"/>
        <v>Male</v>
      </c>
      <c r="E754" t="s">
        <v>9</v>
      </c>
      <c r="F754" s="2">
        <v>30</v>
      </c>
      <c r="G754" s="2" t="str" cm="1">
        <f t="array" ref="G754">_xlfn.IFS(F754&lt;=8,"Child",F754&lt;=17,"Teen",F754&lt;=35,"Adult",F754&lt;=55,"Seniour Adult",F754&gt;=55,"Old Age")</f>
        <v>Adult</v>
      </c>
      <c r="H754" t="s">
        <v>25</v>
      </c>
      <c r="I754" t="s">
        <v>11</v>
      </c>
      <c r="J754" t="str" cm="1">
        <f t="array" ref="J754">_xlfn.IFS(I754="S","Southamptom",I754="Q","Quentown",I754="C","Cherbrug",I754="B","Cabin")</f>
        <v>Southamptom</v>
      </c>
      <c r="K754" t="s">
        <v>12</v>
      </c>
      <c r="L754" s="2">
        <v>26</v>
      </c>
      <c r="M754" s="2" t="str" cm="1">
        <f t="array" ref="M754">_xlfn.IFS(L754&lt;=15,"Low Fare",L754&lt;=35,"Medium Fare",L754&lt;=100,"High Fare",L754&gt;=100,"Very High Fare")</f>
        <v>Medium Fare</v>
      </c>
      <c r="N754" s="2">
        <v>0</v>
      </c>
      <c r="O754" s="2">
        <v>0</v>
      </c>
      <c r="P754">
        <f t="shared" si="45"/>
        <v>1</v>
      </c>
      <c r="Q754" t="str">
        <f t="shared" si="46"/>
        <v>Alone</v>
      </c>
      <c r="R754" t="str">
        <f t="shared" si="47"/>
        <v>No</v>
      </c>
      <c r="S754" t="s">
        <v>13</v>
      </c>
    </row>
    <row r="755" spans="1:19" x14ac:dyDescent="0.3">
      <c r="A755" s="1" t="s">
        <v>571</v>
      </c>
      <c r="B755" t="s">
        <v>1602</v>
      </c>
      <c r="C755" t="s">
        <v>1741</v>
      </c>
      <c r="D755" t="str">
        <f t="shared" si="44"/>
        <v>Female</v>
      </c>
      <c r="E755" t="s">
        <v>14</v>
      </c>
      <c r="F755" s="2">
        <v>20</v>
      </c>
      <c r="G755" s="2" t="str" cm="1">
        <f t="array" ref="G755">_xlfn.IFS(F755&lt;=8,"Child",F755&lt;=17,"Teen",F755&lt;=35,"Adult",F755&lt;=55,"Seniour Adult",F755&gt;=55,"Old Age")</f>
        <v>Adult</v>
      </c>
      <c r="H755" t="s">
        <v>10</v>
      </c>
      <c r="I755" t="s">
        <v>36</v>
      </c>
      <c r="J755" t="str" cm="1">
        <f t="array" ref="J755">_xlfn.IFS(I755="S","Southamptom",I755="Q","Quentown",I755="C","Cherbrug",I755="B","Cabin")</f>
        <v>Quentown</v>
      </c>
      <c r="K755" t="s">
        <v>37</v>
      </c>
      <c r="L755" s="2">
        <v>7.1707000000000001</v>
      </c>
      <c r="M755" s="2" t="str" cm="1">
        <f t="array" ref="M755">_xlfn.IFS(L755&lt;=15,"Low Fare",L755&lt;=35,"Medium Fare",L755&lt;=100,"High Fare",L755&gt;=100,"Very High Fare")</f>
        <v>Low Fare</v>
      </c>
      <c r="N755" s="2">
        <v>0</v>
      </c>
      <c r="O755" s="2">
        <v>0</v>
      </c>
      <c r="P755">
        <f t="shared" si="45"/>
        <v>1</v>
      </c>
      <c r="Q755" t="str">
        <f t="shared" si="46"/>
        <v>Alone</v>
      </c>
      <c r="R755" t="str">
        <f t="shared" si="47"/>
        <v>No</v>
      </c>
      <c r="S755" t="s">
        <v>13</v>
      </c>
    </row>
    <row r="756" spans="1:19" x14ac:dyDescent="0.3">
      <c r="A756" s="1" t="s">
        <v>572</v>
      </c>
      <c r="B756" t="s">
        <v>1602</v>
      </c>
      <c r="C756" t="s">
        <v>2274</v>
      </c>
      <c r="D756" t="str">
        <f t="shared" si="44"/>
        <v>Female</v>
      </c>
      <c r="E756" t="s">
        <v>14</v>
      </c>
      <c r="F756" s="2">
        <v>20</v>
      </c>
      <c r="G756" s="2" t="str" cm="1">
        <f t="array" ref="G756">_xlfn.IFS(F756&lt;=8,"Child",F756&lt;=17,"Teen",F756&lt;=35,"Adult",F756&lt;=55,"Seniour Adult",F756&gt;=55,"Old Age")</f>
        <v>Adult</v>
      </c>
      <c r="H756" t="s">
        <v>25</v>
      </c>
      <c r="I756" t="s">
        <v>11</v>
      </c>
      <c r="J756" t="str" cm="1">
        <f t="array" ref="J756">_xlfn.IFS(I756="S","Southamptom",I756="Q","Quentown",I756="C","Cherbrug",I756="B","Cabin")</f>
        <v>Southamptom</v>
      </c>
      <c r="K756" t="s">
        <v>15</v>
      </c>
      <c r="L756" s="2">
        <v>86.1</v>
      </c>
      <c r="M756" s="2" t="str" cm="1">
        <f t="array" ref="M756">_xlfn.IFS(L756&lt;=15,"Low Fare",L756&lt;=35,"Medium Fare",L756&lt;=100,"High Fare",L756&gt;=100,"Very High Fare")</f>
        <v>High Fare</v>
      </c>
      <c r="N756" s="2">
        <v>0</v>
      </c>
      <c r="O756" s="2">
        <v>0</v>
      </c>
      <c r="P756">
        <f t="shared" si="45"/>
        <v>1</v>
      </c>
      <c r="Q756" t="str">
        <f t="shared" si="46"/>
        <v>Alone</v>
      </c>
      <c r="R756" t="str">
        <f t="shared" si="47"/>
        <v>Yes</v>
      </c>
      <c r="S756" t="s">
        <v>16</v>
      </c>
    </row>
    <row r="757" spans="1:19" x14ac:dyDescent="0.3">
      <c r="A757" s="1" t="s">
        <v>573</v>
      </c>
      <c r="B757" t="s">
        <v>1596</v>
      </c>
      <c r="C757" t="s">
        <v>2213</v>
      </c>
      <c r="D757" t="str">
        <f t="shared" si="44"/>
        <v>Male</v>
      </c>
      <c r="E757" t="s">
        <v>9</v>
      </c>
      <c r="F757" s="2">
        <v>34</v>
      </c>
      <c r="G757" s="2" t="str" cm="1">
        <f t="array" ref="G757">_xlfn.IFS(F757&lt;=8,"Child",F757&lt;=17,"Teen",F757&lt;=35,"Adult",F757&lt;=55,"Seniour Adult",F757&gt;=55,"Old Age")</f>
        <v>Adult</v>
      </c>
      <c r="H757" t="s">
        <v>10</v>
      </c>
      <c r="I757" t="s">
        <v>11</v>
      </c>
      <c r="J757" t="str" cm="1">
        <f t="array" ref="J757">_xlfn.IFS(I757="S","Southamptom",I757="Q","Quentown",I757="C","Cherbrug",I757="B","Cabin")</f>
        <v>Southamptom</v>
      </c>
      <c r="K757" t="s">
        <v>15</v>
      </c>
      <c r="L757" s="2">
        <v>8.01</v>
      </c>
      <c r="M757" s="2" t="str" cm="1">
        <f t="array" ref="M757">_xlfn.IFS(L757&lt;=15,"Low Fare",L757&lt;=35,"Medium Fare",L757&lt;=100,"High Fare",L757&gt;=100,"Very High Fare")</f>
        <v>Low Fare</v>
      </c>
      <c r="N757" s="2">
        <v>0</v>
      </c>
      <c r="O757" s="2">
        <v>0</v>
      </c>
      <c r="P757">
        <f t="shared" si="45"/>
        <v>1</v>
      </c>
      <c r="Q757" t="str">
        <f t="shared" si="46"/>
        <v>Alone</v>
      </c>
      <c r="R757" t="str">
        <f t="shared" si="47"/>
        <v>No</v>
      </c>
      <c r="S757" t="s">
        <v>13</v>
      </c>
    </row>
    <row r="758" spans="1:19" x14ac:dyDescent="0.3">
      <c r="A758" s="1" t="s">
        <v>574</v>
      </c>
      <c r="B758" t="s">
        <v>1596</v>
      </c>
      <c r="C758" t="s">
        <v>2275</v>
      </c>
      <c r="D758" t="str">
        <f t="shared" si="44"/>
        <v>Male</v>
      </c>
      <c r="E758" t="s">
        <v>9</v>
      </c>
      <c r="F758" s="2">
        <v>29</v>
      </c>
      <c r="G758" s="2" t="str" cm="1">
        <f t="array" ref="G758">_xlfn.IFS(F758&lt;=8,"Child",F758&lt;=17,"Teen",F758&lt;=35,"Adult",F758&lt;=55,"Seniour Adult",F758&gt;=55,"Old Age")</f>
        <v>Adult</v>
      </c>
      <c r="H758" t="s">
        <v>10</v>
      </c>
      <c r="I758" t="s">
        <v>11</v>
      </c>
      <c r="J758" t="str" cm="1">
        <f t="array" ref="J758">_xlfn.IFS(I758="S","Southamptom",I758="Q","Quentown",I758="C","Cherbrug",I758="B","Cabin")</f>
        <v>Southamptom</v>
      </c>
      <c r="K758" t="s">
        <v>22</v>
      </c>
      <c r="L758" s="2">
        <v>7.1806000000000001</v>
      </c>
      <c r="M758" s="2" t="str" cm="1">
        <f t="array" ref="M758">_xlfn.IFS(L758&lt;=15,"Low Fare",L758&lt;=35,"Medium Fare",L758&lt;=100,"High Fare",L758&gt;=100,"Very High Fare")</f>
        <v>Low Fare</v>
      </c>
      <c r="N758" s="2">
        <v>0</v>
      </c>
      <c r="O758" s="2">
        <v>0</v>
      </c>
      <c r="P758">
        <f t="shared" si="45"/>
        <v>1</v>
      </c>
      <c r="Q758" t="str">
        <f t="shared" si="46"/>
        <v>Alone</v>
      </c>
      <c r="R758" t="str">
        <f t="shared" si="47"/>
        <v>No</v>
      </c>
      <c r="S758" t="s">
        <v>13</v>
      </c>
    </row>
    <row r="759" spans="1:19" x14ac:dyDescent="0.3">
      <c r="A759" s="1" t="s">
        <v>575</v>
      </c>
      <c r="B759" t="s">
        <v>1596</v>
      </c>
      <c r="C759" t="s">
        <v>2276</v>
      </c>
      <c r="D759" t="str">
        <f t="shared" si="44"/>
        <v>Male</v>
      </c>
      <c r="E759" t="s">
        <v>9</v>
      </c>
      <c r="F759" s="2">
        <v>25</v>
      </c>
      <c r="G759" s="2" t="str" cm="1">
        <f t="array" ref="G759">_xlfn.IFS(F759&lt;=8,"Child",F759&lt;=17,"Teen",F759&lt;=35,"Adult",F759&lt;=55,"Seniour Adult",F759&gt;=55,"Old Age")</f>
        <v>Adult</v>
      </c>
      <c r="H759" t="s">
        <v>18</v>
      </c>
      <c r="I759" t="s">
        <v>19</v>
      </c>
      <c r="J759" t="str" cm="1">
        <f t="array" ref="J759">_xlfn.IFS(I759="S","Southamptom",I759="Q","Quentown",I759="C","Cherbrug",I759="B","Cabin")</f>
        <v>Cherbrug</v>
      </c>
      <c r="K759" t="s">
        <v>20</v>
      </c>
      <c r="L759" s="2">
        <v>15</v>
      </c>
      <c r="M759" s="2" t="str" cm="1">
        <f t="array" ref="M759">_xlfn.IFS(L759&lt;=15,"Low Fare",L759&lt;=35,"Medium Fare",L759&lt;=100,"High Fare",L759&gt;=100,"Very High Fare")</f>
        <v>Low Fare</v>
      </c>
      <c r="N759" s="2">
        <v>0</v>
      </c>
      <c r="O759" s="2">
        <v>0</v>
      </c>
      <c r="P759">
        <f t="shared" si="45"/>
        <v>1</v>
      </c>
      <c r="Q759" t="str">
        <f t="shared" si="46"/>
        <v>Alone</v>
      </c>
      <c r="R759" t="str">
        <f t="shared" si="47"/>
        <v>No</v>
      </c>
      <c r="S759" t="s">
        <v>13</v>
      </c>
    </row>
    <row r="760" spans="1:19" x14ac:dyDescent="0.3">
      <c r="A760" s="1" t="s">
        <v>576</v>
      </c>
      <c r="B760" t="s">
        <v>1612</v>
      </c>
      <c r="C760" t="s">
        <v>2277</v>
      </c>
      <c r="D760" t="str">
        <f t="shared" si="44"/>
        <v>Male</v>
      </c>
      <c r="E760" t="s">
        <v>9</v>
      </c>
      <c r="F760" s="2">
        <v>1</v>
      </c>
      <c r="G760" s="2" t="str" cm="1">
        <f t="array" ref="G760">_xlfn.IFS(F760&lt;=8,"Child",F760&lt;=17,"Teen",F760&lt;=35,"Adult",F760&lt;=55,"Seniour Adult",F760&gt;=55,"Old Age")</f>
        <v>Child</v>
      </c>
      <c r="H760" t="s">
        <v>18</v>
      </c>
      <c r="I760" t="s">
        <v>19</v>
      </c>
      <c r="J760" t="str" cm="1">
        <f t="array" ref="J760">_xlfn.IFS(I760="S","Southamptom",I760="Q","Quentown",I760="C","Cherbrug",I760="B","Cabin")</f>
        <v>Cherbrug</v>
      </c>
      <c r="K760" t="s">
        <v>20</v>
      </c>
      <c r="L760" s="2">
        <v>37</v>
      </c>
      <c r="M760" s="2" t="str" cm="1">
        <f t="array" ref="M760">_xlfn.IFS(L760&lt;=15,"Low Fare",L760&lt;=35,"Medium Fare",L760&lt;=100,"High Fare",L760&gt;=100,"Very High Fare")</f>
        <v>High Fare</v>
      </c>
      <c r="N760" s="2">
        <v>0</v>
      </c>
      <c r="O760" s="2">
        <v>2</v>
      </c>
      <c r="P760">
        <f t="shared" si="45"/>
        <v>3</v>
      </c>
      <c r="Q760" t="str">
        <f t="shared" si="46"/>
        <v>With Family</v>
      </c>
      <c r="R760" t="str">
        <f t="shared" si="47"/>
        <v>Yes</v>
      </c>
      <c r="S760" t="s">
        <v>16</v>
      </c>
    </row>
    <row r="761" spans="1:19" x14ac:dyDescent="0.3">
      <c r="A761" s="1" t="s">
        <v>576</v>
      </c>
      <c r="B761" t="s">
        <v>1596</v>
      </c>
      <c r="C761" t="s">
        <v>2278</v>
      </c>
      <c r="D761" t="str">
        <f t="shared" si="44"/>
        <v>Male</v>
      </c>
      <c r="E761" t="s">
        <v>9</v>
      </c>
      <c r="F761" s="2">
        <v>45</v>
      </c>
      <c r="G761" s="2" t="str" cm="1">
        <f t="array" ref="G761">_xlfn.IFS(F761&lt;=8,"Child",F761&lt;=17,"Teen",F761&lt;=35,"Adult",F761&lt;=55,"Seniour Adult",F761&gt;=55,"Old Age")</f>
        <v>Seniour Adult</v>
      </c>
      <c r="H761" t="s">
        <v>18</v>
      </c>
      <c r="I761" t="s">
        <v>19</v>
      </c>
      <c r="J761" t="str" cm="1">
        <f t="array" ref="J761">_xlfn.IFS(I761="S","Southamptom",I761="Q","Quentown",I761="C","Cherbrug",I761="B","Cabin")</f>
        <v>Cherbrug</v>
      </c>
      <c r="K761" t="s">
        <v>20</v>
      </c>
      <c r="L761" s="2">
        <v>37</v>
      </c>
      <c r="M761" s="2" t="str" cm="1">
        <f t="array" ref="M761">_xlfn.IFS(L761&lt;=15,"Low Fare",L761&lt;=35,"Medium Fare",L761&lt;=100,"High Fare",L761&gt;=100,"Very High Fare")</f>
        <v>High Fare</v>
      </c>
      <c r="N761" s="2">
        <v>1</v>
      </c>
      <c r="O761" s="2">
        <v>1</v>
      </c>
      <c r="P761">
        <f t="shared" si="45"/>
        <v>3</v>
      </c>
      <c r="Q761" t="str">
        <f t="shared" si="46"/>
        <v>With Family</v>
      </c>
      <c r="R761" t="str">
        <f t="shared" si="47"/>
        <v>No</v>
      </c>
      <c r="S761" t="s">
        <v>13</v>
      </c>
    </row>
    <row r="762" spans="1:19" x14ac:dyDescent="0.3">
      <c r="A762" s="1" t="s">
        <v>576</v>
      </c>
      <c r="B762" t="s">
        <v>1600</v>
      </c>
      <c r="C762" t="s">
        <v>2279</v>
      </c>
      <c r="D762" t="str">
        <f t="shared" si="44"/>
        <v>Female</v>
      </c>
      <c r="E762" t="s">
        <v>14</v>
      </c>
      <c r="F762" s="2">
        <v>24</v>
      </c>
      <c r="G762" s="2" t="str" cm="1">
        <f t="array" ref="G762">_xlfn.IFS(F762&lt;=8,"Child",F762&lt;=17,"Teen",F762&lt;=35,"Adult",F762&lt;=55,"Seniour Adult",F762&gt;=55,"Old Age")</f>
        <v>Adult</v>
      </c>
      <c r="H762" t="s">
        <v>18</v>
      </c>
      <c r="I762" t="s">
        <v>19</v>
      </c>
      <c r="J762" t="str" cm="1">
        <f t="array" ref="J762">_xlfn.IFS(I762="S","Southamptom",I762="Q","Quentown",I762="C","Cherbrug",I762="B","Cabin")</f>
        <v>Cherbrug</v>
      </c>
      <c r="K762" t="s">
        <v>20</v>
      </c>
      <c r="L762" s="2">
        <v>37</v>
      </c>
      <c r="M762" s="2" t="str" cm="1">
        <f t="array" ref="M762">_xlfn.IFS(L762&lt;=15,"Low Fare",L762&lt;=35,"Medium Fare",L762&lt;=100,"High Fare",L762&gt;=100,"Very High Fare")</f>
        <v>High Fare</v>
      </c>
      <c r="N762" s="2">
        <v>1</v>
      </c>
      <c r="O762" s="2">
        <v>1</v>
      </c>
      <c r="P762">
        <f t="shared" si="45"/>
        <v>3</v>
      </c>
      <c r="Q762" t="str">
        <f t="shared" si="46"/>
        <v>With Family</v>
      </c>
      <c r="R762" t="str">
        <f t="shared" si="47"/>
        <v>Yes</v>
      </c>
      <c r="S762" t="s">
        <v>16</v>
      </c>
    </row>
    <row r="763" spans="1:19" x14ac:dyDescent="0.3">
      <c r="A763" s="1" t="s">
        <v>577</v>
      </c>
      <c r="B763" t="s">
        <v>1596</v>
      </c>
      <c r="C763" t="s">
        <v>2280</v>
      </c>
      <c r="D763" t="str">
        <f t="shared" si="44"/>
        <v>Male</v>
      </c>
      <c r="E763" t="s">
        <v>9</v>
      </c>
      <c r="F763" s="2">
        <v>18</v>
      </c>
      <c r="G763" s="2" t="str" cm="1">
        <f t="array" ref="G763">_xlfn.IFS(F763&lt;=8,"Child",F763&lt;=17,"Teen",F763&lt;=35,"Adult",F763&lt;=55,"Seniour Adult",F763&gt;=55,"Old Age")</f>
        <v>Adult</v>
      </c>
      <c r="H763" t="s">
        <v>10</v>
      </c>
      <c r="I763" t="s">
        <v>19</v>
      </c>
      <c r="J763" t="str" cm="1">
        <f t="array" ref="J763">_xlfn.IFS(I763="S","Southamptom",I763="Q","Quentown",I763="C","Cherbrug",I763="B","Cabin")</f>
        <v>Cherbrug</v>
      </c>
      <c r="K763" t="s">
        <v>21</v>
      </c>
      <c r="L763" s="2">
        <v>7.0407000000000002</v>
      </c>
      <c r="M763" s="2" t="str" cm="1">
        <f t="array" ref="M763">_xlfn.IFS(L763&lt;=15,"Low Fare",L763&lt;=35,"Medium Fare",L763&lt;=100,"High Fare",L763&gt;=100,"Very High Fare")</f>
        <v>Low Fare</v>
      </c>
      <c r="N763" s="2">
        <v>0</v>
      </c>
      <c r="O763" s="2">
        <v>0</v>
      </c>
      <c r="P763">
        <f t="shared" si="45"/>
        <v>1</v>
      </c>
      <c r="Q763" t="str">
        <f t="shared" si="46"/>
        <v>Alone</v>
      </c>
      <c r="R763" t="str">
        <f t="shared" si="47"/>
        <v>Yes</v>
      </c>
      <c r="S763" t="s">
        <v>16</v>
      </c>
    </row>
    <row r="764" spans="1:19" x14ac:dyDescent="0.3">
      <c r="A764" s="1" t="s">
        <v>578</v>
      </c>
      <c r="B764" t="s">
        <v>1602</v>
      </c>
      <c r="C764" t="s">
        <v>1734</v>
      </c>
      <c r="D764" t="str">
        <f t="shared" si="44"/>
        <v>Female</v>
      </c>
      <c r="E764" t="s">
        <v>14</v>
      </c>
      <c r="F764" s="2">
        <v>32</v>
      </c>
      <c r="G764" s="2" t="str" cm="1">
        <f t="array" ref="G764">_xlfn.IFS(F764&lt;=8,"Child",F764&lt;=17,"Teen",F764&lt;=35,"Adult",F764&lt;=55,"Seniour Adult",F764&gt;=55,"Old Age")</f>
        <v>Adult</v>
      </c>
      <c r="H764" t="s">
        <v>10</v>
      </c>
      <c r="I764" t="s">
        <v>36</v>
      </c>
      <c r="J764" t="str" cm="1">
        <f t="array" ref="J764">_xlfn.IFS(I764="S","Southamptom",I764="Q","Quentown",I764="C","Cherbrug",I764="B","Cabin")</f>
        <v>Quentown</v>
      </c>
      <c r="K764" t="s">
        <v>37</v>
      </c>
      <c r="L764" s="2">
        <v>7.15</v>
      </c>
      <c r="M764" s="2" t="str" cm="1">
        <f t="array" ref="M764">_xlfn.IFS(L764&lt;=15,"Low Fare",L764&lt;=35,"Medium Fare",L764&lt;=100,"High Fare",L764&gt;=100,"Very High Fare")</f>
        <v>Low Fare</v>
      </c>
      <c r="N764" s="2">
        <v>0</v>
      </c>
      <c r="O764" s="2">
        <v>0</v>
      </c>
      <c r="P764">
        <f t="shared" si="45"/>
        <v>1</v>
      </c>
      <c r="Q764" t="str">
        <f t="shared" si="46"/>
        <v>Alone</v>
      </c>
      <c r="R764" t="str">
        <f t="shared" si="47"/>
        <v>No</v>
      </c>
      <c r="S764" t="s">
        <v>13</v>
      </c>
    </row>
    <row r="765" spans="1:19" x14ac:dyDescent="0.3">
      <c r="A765" s="1" t="s">
        <v>579</v>
      </c>
      <c r="B765" t="s">
        <v>1596</v>
      </c>
      <c r="C765" t="s">
        <v>2281</v>
      </c>
      <c r="D765" t="str">
        <f t="shared" si="44"/>
        <v>Male</v>
      </c>
      <c r="E765" t="s">
        <v>9</v>
      </c>
      <c r="F765" s="2">
        <v>30</v>
      </c>
      <c r="G765" s="2" t="str" cm="1">
        <f t="array" ref="G765">_xlfn.IFS(F765&lt;=8,"Child",F765&lt;=17,"Teen",F765&lt;=35,"Adult",F765&lt;=55,"Seniour Adult",F765&gt;=55,"Old Age")</f>
        <v>Adult</v>
      </c>
      <c r="H765" t="s">
        <v>18</v>
      </c>
      <c r="I765" t="s">
        <v>19</v>
      </c>
      <c r="J765" t="str" cm="1">
        <f t="array" ref="J765">_xlfn.IFS(I765="S","Southamptom",I765="Q","Quentown",I765="C","Cherbrug",I765="B","Cabin")</f>
        <v>Cherbrug</v>
      </c>
      <c r="K765" t="s">
        <v>12</v>
      </c>
      <c r="L765" s="2">
        <v>15.1107</v>
      </c>
      <c r="M765" s="2" t="str" cm="1">
        <f t="array" ref="M765">_xlfn.IFS(L765&lt;=15,"Low Fare",L765&lt;=35,"Medium Fare",L765&lt;=100,"High Fare",L765&gt;=100,"Very High Fare")</f>
        <v>Medium Fare</v>
      </c>
      <c r="N765" s="2">
        <v>0</v>
      </c>
      <c r="O765" s="2">
        <v>0</v>
      </c>
      <c r="P765">
        <f t="shared" si="45"/>
        <v>1</v>
      </c>
      <c r="Q765" t="str">
        <f t="shared" si="46"/>
        <v>Alone</v>
      </c>
      <c r="R765" t="str">
        <f t="shared" si="47"/>
        <v>No</v>
      </c>
      <c r="S765" t="s">
        <v>13</v>
      </c>
    </row>
    <row r="766" spans="1:19" x14ac:dyDescent="0.3">
      <c r="A766" s="1" t="s">
        <v>580</v>
      </c>
      <c r="B766" t="s">
        <v>1602</v>
      </c>
      <c r="C766" t="s">
        <v>1759</v>
      </c>
      <c r="D766" t="str">
        <f t="shared" si="44"/>
        <v>Female</v>
      </c>
      <c r="E766" t="s">
        <v>14</v>
      </c>
      <c r="F766" s="2">
        <v>28</v>
      </c>
      <c r="G766" s="2" t="str" cm="1">
        <f t="array" ref="G766">_xlfn.IFS(F766&lt;=8,"Child",F766&lt;=17,"Teen",F766&lt;=35,"Adult",F766&lt;=55,"Seniour Adult",F766&gt;=55,"Old Age")</f>
        <v>Adult</v>
      </c>
      <c r="H766" t="s">
        <v>10</v>
      </c>
      <c r="I766" t="s">
        <v>36</v>
      </c>
      <c r="J766" t="str" cm="1">
        <f t="array" ref="J766">_xlfn.IFS(I766="S","Southamptom",I766="Q","Quentown",I766="C","Cherbrug",I766="B","Cabin")</f>
        <v>Quentown</v>
      </c>
      <c r="K766" t="s">
        <v>37</v>
      </c>
      <c r="L766" s="2">
        <v>7.1409000000000002</v>
      </c>
      <c r="M766" s="2" t="str" cm="1">
        <f t="array" ref="M766">_xlfn.IFS(L766&lt;=15,"Low Fare",L766&lt;=35,"Medium Fare",L766&lt;=100,"High Fare",L766&gt;=100,"Very High Fare")</f>
        <v>Low Fare</v>
      </c>
      <c r="N766" s="2">
        <v>0</v>
      </c>
      <c r="O766" s="2">
        <v>0</v>
      </c>
      <c r="P766">
        <f t="shared" si="45"/>
        <v>1</v>
      </c>
      <c r="Q766" t="str">
        <f t="shared" si="46"/>
        <v>Alone</v>
      </c>
      <c r="R766" t="str">
        <f t="shared" si="47"/>
        <v>Yes</v>
      </c>
      <c r="S766" t="s">
        <v>16</v>
      </c>
    </row>
    <row r="767" spans="1:19" x14ac:dyDescent="0.3">
      <c r="A767" s="1" t="s">
        <v>581</v>
      </c>
      <c r="B767" t="s">
        <v>1596</v>
      </c>
      <c r="C767" t="s">
        <v>2282</v>
      </c>
      <c r="D767" t="str">
        <f t="shared" si="44"/>
        <v>Male</v>
      </c>
      <c r="E767" t="s">
        <v>9</v>
      </c>
      <c r="F767" s="2">
        <v>25</v>
      </c>
      <c r="G767" s="2" t="str" cm="1">
        <f t="array" ref="G767">_xlfn.IFS(F767&lt;=8,"Child",F767&lt;=17,"Teen",F767&lt;=35,"Adult",F767&lt;=55,"Seniour Adult",F767&gt;=55,"Old Age")</f>
        <v>Adult</v>
      </c>
      <c r="H767" t="s">
        <v>10</v>
      </c>
      <c r="I767" t="s">
        <v>19</v>
      </c>
      <c r="J767" t="str" cm="1">
        <f t="array" ref="J767">_xlfn.IFS(I767="S","Southamptom",I767="Q","Quentown",I767="C","Cherbrug",I767="B","Cabin")</f>
        <v>Cherbrug</v>
      </c>
      <c r="K767" t="s">
        <v>58</v>
      </c>
      <c r="L767" s="2">
        <v>7.0407000000000002</v>
      </c>
      <c r="M767" s="2" t="str" cm="1">
        <f t="array" ref="M767">_xlfn.IFS(L767&lt;=15,"Low Fare",L767&lt;=35,"Medium Fare",L767&lt;=100,"High Fare",L767&gt;=100,"Very High Fare")</f>
        <v>Low Fare</v>
      </c>
      <c r="N767" s="2">
        <v>0</v>
      </c>
      <c r="O767" s="2">
        <v>0</v>
      </c>
      <c r="P767">
        <f t="shared" si="45"/>
        <v>1</v>
      </c>
      <c r="Q767" t="str">
        <f t="shared" si="46"/>
        <v>Alone</v>
      </c>
      <c r="R767" t="str">
        <f t="shared" si="47"/>
        <v>No</v>
      </c>
      <c r="S767" t="s">
        <v>13</v>
      </c>
    </row>
    <row r="768" spans="1:19" x14ac:dyDescent="0.3">
      <c r="A768" s="1" t="s">
        <v>582</v>
      </c>
      <c r="B768" t="s">
        <v>1596</v>
      </c>
      <c r="C768" t="s">
        <v>2283</v>
      </c>
      <c r="D768" t="str">
        <f t="shared" si="44"/>
        <v>Male</v>
      </c>
      <c r="E768" t="s">
        <v>9</v>
      </c>
      <c r="F768" s="2">
        <v>29</v>
      </c>
      <c r="G768" s="2" t="str" cm="1">
        <f t="array" ref="G768">_xlfn.IFS(F768&lt;=8,"Child",F768&lt;=17,"Teen",F768&lt;=35,"Adult",F768&lt;=55,"Seniour Adult",F768&gt;=55,"Old Age")</f>
        <v>Adult</v>
      </c>
      <c r="H768" t="s">
        <v>25</v>
      </c>
      <c r="I768" t="s">
        <v>19</v>
      </c>
      <c r="J768" t="str" cm="1">
        <f t="array" ref="J768">_xlfn.IFS(I768="S","Southamptom",I768="Q","Quentown",I768="C","Cherbrug",I768="B","Cabin")</f>
        <v>Cherbrug</v>
      </c>
      <c r="K768" t="s">
        <v>20</v>
      </c>
      <c r="L768" s="2">
        <v>29.14</v>
      </c>
      <c r="M768" s="2" t="str" cm="1">
        <f t="array" ref="M768">_xlfn.IFS(L768&lt;=15,"Low Fare",L768&lt;=35,"Medium Fare",L768&lt;=100,"High Fare",L768&gt;=100,"Very High Fare")</f>
        <v>Medium Fare</v>
      </c>
      <c r="N768" s="2">
        <v>0</v>
      </c>
      <c r="O768" s="2">
        <v>0</v>
      </c>
      <c r="P768">
        <f t="shared" si="45"/>
        <v>1</v>
      </c>
      <c r="Q768" t="str">
        <f t="shared" si="46"/>
        <v>Alone</v>
      </c>
      <c r="R768" t="str">
        <f t="shared" si="47"/>
        <v>Yes</v>
      </c>
      <c r="S768" t="s">
        <v>16</v>
      </c>
    </row>
    <row r="769" spans="1:19" x14ac:dyDescent="0.3">
      <c r="A769" s="1" t="s">
        <v>583</v>
      </c>
      <c r="B769" t="s">
        <v>1596</v>
      </c>
      <c r="C769" t="s">
        <v>2284</v>
      </c>
      <c r="D769" t="str">
        <f t="shared" si="44"/>
        <v>Male</v>
      </c>
      <c r="E769" t="s">
        <v>9</v>
      </c>
      <c r="F769" s="2">
        <v>23</v>
      </c>
      <c r="G769" s="2" t="str" cm="1">
        <f t="array" ref="G769">_xlfn.IFS(F769&lt;=8,"Child",F769&lt;=17,"Teen",F769&lt;=35,"Adult",F769&lt;=55,"Seniour Adult",F769&gt;=55,"Old Age")</f>
        <v>Adult</v>
      </c>
      <c r="H769" t="s">
        <v>10</v>
      </c>
      <c r="I769" t="s">
        <v>11</v>
      </c>
      <c r="J769" t="str" cm="1">
        <f t="array" ref="J769">_xlfn.IFS(I769="S","Southamptom",I769="Q","Quentown",I769="C","Cherbrug",I769="B","Cabin")</f>
        <v>Southamptom</v>
      </c>
      <c r="K769" t="s">
        <v>62</v>
      </c>
      <c r="L769" s="2">
        <v>7.1711</v>
      </c>
      <c r="M769" s="2" t="str" cm="1">
        <f t="array" ref="M769">_xlfn.IFS(L769&lt;=15,"Low Fare",L769&lt;=35,"Medium Fare",L769&lt;=100,"High Fare",L769&gt;=100,"Very High Fare")</f>
        <v>Low Fare</v>
      </c>
      <c r="N769" s="2">
        <v>0</v>
      </c>
      <c r="O769" s="2">
        <v>0</v>
      </c>
      <c r="P769">
        <f t="shared" si="45"/>
        <v>1</v>
      </c>
      <c r="Q769" t="str">
        <f t="shared" si="46"/>
        <v>Alone</v>
      </c>
      <c r="R769" t="str">
        <f t="shared" si="47"/>
        <v>No</v>
      </c>
      <c r="S769" t="s">
        <v>13</v>
      </c>
    </row>
    <row r="770" spans="1:19" x14ac:dyDescent="0.3">
      <c r="A770" s="1" t="s">
        <v>584</v>
      </c>
      <c r="B770" t="s">
        <v>1596</v>
      </c>
      <c r="C770" t="s">
        <v>2285</v>
      </c>
      <c r="D770" t="str">
        <f t="shared" si="44"/>
        <v>Male</v>
      </c>
      <c r="E770" t="s">
        <v>9</v>
      </c>
      <c r="F770" s="2">
        <v>35</v>
      </c>
      <c r="G770" s="2" t="str" cm="1">
        <f t="array" ref="G770">_xlfn.IFS(F770&lt;=8,"Child",F770&lt;=17,"Teen",F770&lt;=35,"Adult",F770&lt;=55,"Seniour Adult",F770&gt;=55,"Old Age")</f>
        <v>Adult</v>
      </c>
      <c r="H770" t="s">
        <v>10</v>
      </c>
      <c r="I770" t="s">
        <v>11</v>
      </c>
      <c r="J770" t="str" cm="1">
        <f t="array" ref="J770">_xlfn.IFS(I770="S","Southamptom",I770="Q","Quentown",I770="C","Cherbrug",I770="B","Cabin")</f>
        <v>Southamptom</v>
      </c>
      <c r="K770" t="s">
        <v>31</v>
      </c>
      <c r="L770" s="2">
        <v>7.1711</v>
      </c>
      <c r="M770" s="2" t="str" cm="1">
        <f t="array" ref="M770">_xlfn.IFS(L770&lt;=15,"Low Fare",L770&lt;=35,"Medium Fare",L770&lt;=100,"High Fare",L770&gt;=100,"Very High Fare")</f>
        <v>Low Fare</v>
      </c>
      <c r="N770" s="2">
        <v>0</v>
      </c>
      <c r="O770" s="2">
        <v>0</v>
      </c>
      <c r="P770">
        <f t="shared" si="45"/>
        <v>1</v>
      </c>
      <c r="Q770" t="str">
        <f t="shared" si="46"/>
        <v>Alone</v>
      </c>
      <c r="R770" t="str">
        <f t="shared" si="47"/>
        <v>No</v>
      </c>
      <c r="S770" t="s">
        <v>13</v>
      </c>
    </row>
    <row r="771" spans="1:19" x14ac:dyDescent="0.3">
      <c r="A771" s="1" t="s">
        <v>585</v>
      </c>
      <c r="B771" t="s">
        <v>1596</v>
      </c>
      <c r="C771" t="s">
        <v>2286</v>
      </c>
      <c r="D771" t="str">
        <f t="shared" ref="D771:D834" si="48">PROPER(E771)</f>
        <v>Male</v>
      </c>
      <c r="E771" t="s">
        <v>9</v>
      </c>
      <c r="F771" s="2">
        <v>33</v>
      </c>
      <c r="G771" s="2" t="str" cm="1">
        <f t="array" ref="G771">_xlfn.IFS(F771&lt;=8,"Child",F771&lt;=17,"Teen",F771&lt;=35,"Adult",F771&lt;=55,"Seniour Adult",F771&gt;=55,"Old Age")</f>
        <v>Adult</v>
      </c>
      <c r="H771" t="s">
        <v>10</v>
      </c>
      <c r="I771" t="s">
        <v>19</v>
      </c>
      <c r="J771" t="str" cm="1">
        <f t="array" ref="J771">_xlfn.IFS(I771="S","Southamptom",I771="Q","Quentown",I771="C","Cherbrug",I771="B","Cabin")</f>
        <v>Cherbrug</v>
      </c>
      <c r="K771" t="s">
        <v>56</v>
      </c>
      <c r="L771" s="2">
        <v>7.1711</v>
      </c>
      <c r="M771" s="2" t="str" cm="1">
        <f t="array" ref="M771">_xlfn.IFS(L771&lt;=15,"Low Fare",L771&lt;=35,"Medium Fare",L771&lt;=100,"High Fare",L771&gt;=100,"Very High Fare")</f>
        <v>Low Fare</v>
      </c>
      <c r="N771" s="2">
        <v>0</v>
      </c>
      <c r="O771" s="2">
        <v>0</v>
      </c>
      <c r="P771">
        <f t="shared" ref="P771:P834" si="49">N771+O771+1</f>
        <v>1</v>
      </c>
      <c r="Q771" t="str">
        <f t="shared" ref="Q771:Q834" si="50">IF(P771=1,"Alone","With Family")</f>
        <v>Alone</v>
      </c>
      <c r="R771" t="str">
        <f t="shared" ref="R771:R834" si="51">PROPER(S771)</f>
        <v>No</v>
      </c>
      <c r="S771" t="s">
        <v>13</v>
      </c>
    </row>
    <row r="772" spans="1:19" x14ac:dyDescent="0.3">
      <c r="A772" s="1" t="s">
        <v>586</v>
      </c>
      <c r="B772" t="s">
        <v>1596</v>
      </c>
      <c r="C772" t="s">
        <v>2287</v>
      </c>
      <c r="D772" t="str">
        <f t="shared" si="48"/>
        <v>Male</v>
      </c>
      <c r="E772" t="s">
        <v>9</v>
      </c>
      <c r="F772" s="2">
        <v>18</v>
      </c>
      <c r="G772" s="2" t="str" cm="1">
        <f t="array" ref="G772">_xlfn.IFS(F772&lt;=8,"Child",F772&lt;=17,"Teen",F772&lt;=35,"Adult",F772&lt;=55,"Seniour Adult",F772&gt;=55,"Old Age")</f>
        <v>Adult</v>
      </c>
      <c r="H772" t="s">
        <v>25</v>
      </c>
      <c r="I772" t="s">
        <v>11</v>
      </c>
      <c r="J772" t="str" cm="1">
        <f t="array" ref="J772">_xlfn.IFS(I772="S","Southamptom",I772="Q","Quentown",I772="C","Cherbrug",I772="B","Cabin")</f>
        <v>Southamptom</v>
      </c>
      <c r="K772" t="s">
        <v>12</v>
      </c>
      <c r="L772" s="2">
        <v>53.02</v>
      </c>
      <c r="M772" s="2" t="str" cm="1">
        <f t="array" ref="M772">_xlfn.IFS(L772&lt;=15,"Low Fare",L772&lt;=35,"Medium Fare",L772&lt;=100,"High Fare",L772&gt;=100,"Very High Fare")</f>
        <v>High Fare</v>
      </c>
      <c r="N772" s="2">
        <v>1</v>
      </c>
      <c r="O772" s="2">
        <v>0</v>
      </c>
      <c r="P772">
        <f t="shared" si="49"/>
        <v>2</v>
      </c>
      <c r="Q772" t="str">
        <f t="shared" si="50"/>
        <v>With Family</v>
      </c>
      <c r="R772" t="str">
        <f t="shared" si="51"/>
        <v>No</v>
      </c>
      <c r="S772" t="s">
        <v>13</v>
      </c>
    </row>
    <row r="773" spans="1:19" x14ac:dyDescent="0.3">
      <c r="A773" s="1" t="s">
        <v>586</v>
      </c>
      <c r="B773" t="s">
        <v>1600</v>
      </c>
      <c r="C773" t="s">
        <v>2288</v>
      </c>
      <c r="D773" t="str">
        <f t="shared" si="48"/>
        <v>Female</v>
      </c>
      <c r="E773" t="s">
        <v>14</v>
      </c>
      <c r="F773" s="2">
        <v>18</v>
      </c>
      <c r="G773" s="2" t="str" cm="1">
        <f t="array" ref="G773">_xlfn.IFS(F773&lt;=8,"Child",F773&lt;=17,"Teen",F773&lt;=35,"Adult",F773&lt;=55,"Seniour Adult",F773&gt;=55,"Old Age")</f>
        <v>Adult</v>
      </c>
      <c r="H773" t="s">
        <v>25</v>
      </c>
      <c r="I773" t="s">
        <v>11</v>
      </c>
      <c r="J773" t="str" cm="1">
        <f t="array" ref="J773">_xlfn.IFS(I773="S","Southamptom",I773="Q","Quentown",I773="C","Cherbrug",I773="B","Cabin")</f>
        <v>Southamptom</v>
      </c>
      <c r="K773" t="s">
        <v>43</v>
      </c>
      <c r="L773" s="2">
        <v>53.02</v>
      </c>
      <c r="M773" s="2" t="str" cm="1">
        <f t="array" ref="M773">_xlfn.IFS(L773&lt;=15,"Low Fare",L773&lt;=35,"Medium Fare",L773&lt;=100,"High Fare",L773&gt;=100,"Very High Fare")</f>
        <v>High Fare</v>
      </c>
      <c r="N773" s="2">
        <v>1</v>
      </c>
      <c r="O773" s="2">
        <v>0</v>
      </c>
      <c r="P773">
        <f t="shared" si="49"/>
        <v>2</v>
      </c>
      <c r="Q773" t="str">
        <f t="shared" si="50"/>
        <v>With Family</v>
      </c>
      <c r="R773" t="str">
        <f t="shared" si="51"/>
        <v>Yes</v>
      </c>
      <c r="S773" t="s">
        <v>16</v>
      </c>
    </row>
    <row r="774" spans="1:19" x14ac:dyDescent="0.3">
      <c r="A774" s="1" t="s">
        <v>587</v>
      </c>
      <c r="B774" t="s">
        <v>1596</v>
      </c>
      <c r="C774" t="s">
        <v>2289</v>
      </c>
      <c r="D774" t="str">
        <f t="shared" si="48"/>
        <v>Male</v>
      </c>
      <c r="E774" t="s">
        <v>9</v>
      </c>
      <c r="F774" s="2">
        <v>30</v>
      </c>
      <c r="G774" s="2" t="str" cm="1">
        <f t="array" ref="G774">_xlfn.IFS(F774&lt;=8,"Child",F774&lt;=17,"Teen",F774&lt;=35,"Adult",F774&lt;=55,"Seniour Adult",F774&gt;=55,"Old Age")</f>
        <v>Adult</v>
      </c>
      <c r="H774" t="s">
        <v>10</v>
      </c>
      <c r="I774" t="s">
        <v>19</v>
      </c>
      <c r="J774" t="str" cm="1">
        <f t="array" ref="J774">_xlfn.IFS(I774="S","Southamptom",I774="Q","Quentown",I774="C","Cherbrug",I774="B","Cabin")</f>
        <v>Cherbrug</v>
      </c>
      <c r="K774" t="s">
        <v>31</v>
      </c>
      <c r="L774" s="2">
        <v>7.1711</v>
      </c>
      <c r="M774" s="2" t="str" cm="1">
        <f t="array" ref="M774">_xlfn.IFS(L774&lt;=15,"Low Fare",L774&lt;=35,"Medium Fare",L774&lt;=100,"High Fare",L774&gt;=100,"Very High Fare")</f>
        <v>Low Fare</v>
      </c>
      <c r="N774" s="2">
        <v>0</v>
      </c>
      <c r="O774" s="2">
        <v>0</v>
      </c>
      <c r="P774">
        <f t="shared" si="49"/>
        <v>1</v>
      </c>
      <c r="Q774" t="str">
        <f t="shared" si="50"/>
        <v>Alone</v>
      </c>
      <c r="R774" t="str">
        <f t="shared" si="51"/>
        <v>No</v>
      </c>
      <c r="S774" t="s">
        <v>13</v>
      </c>
    </row>
    <row r="775" spans="1:19" x14ac:dyDescent="0.3">
      <c r="A775" s="1" t="s">
        <v>588</v>
      </c>
      <c r="B775" t="s">
        <v>1596</v>
      </c>
      <c r="C775" t="s">
        <v>1716</v>
      </c>
      <c r="D775" t="str">
        <f t="shared" si="48"/>
        <v>Male</v>
      </c>
      <c r="E775" t="s">
        <v>9</v>
      </c>
      <c r="F775" s="2">
        <v>23</v>
      </c>
      <c r="G775" s="2" t="str" cm="1">
        <f t="array" ref="G775">_xlfn.IFS(F775&lt;=8,"Child",F775&lt;=17,"Teen",F775&lt;=35,"Adult",F775&lt;=55,"Seniour Adult",F775&gt;=55,"Old Age")</f>
        <v>Adult</v>
      </c>
      <c r="H775" t="s">
        <v>18</v>
      </c>
      <c r="I775" t="s">
        <v>11</v>
      </c>
      <c r="J775" t="str" cm="1">
        <f t="array" ref="J775">_xlfn.IFS(I775="S","Southamptom",I775="Q","Quentown",I775="C","Cherbrug",I775="B","Cabin")</f>
        <v>Southamptom</v>
      </c>
      <c r="K775" t="s">
        <v>15</v>
      </c>
      <c r="L775" s="2">
        <v>13</v>
      </c>
      <c r="M775" s="2" t="str" cm="1">
        <f t="array" ref="M775">_xlfn.IFS(L775&lt;=15,"Low Fare",L775&lt;=35,"Medium Fare",L775&lt;=100,"High Fare",L775&gt;=100,"Very High Fare")</f>
        <v>Low Fare</v>
      </c>
      <c r="N775" s="2">
        <v>0</v>
      </c>
      <c r="O775" s="2">
        <v>0</v>
      </c>
      <c r="P775">
        <f t="shared" si="49"/>
        <v>1</v>
      </c>
      <c r="Q775" t="str">
        <f t="shared" si="50"/>
        <v>Alone</v>
      </c>
      <c r="R775" t="str">
        <f t="shared" si="51"/>
        <v>No</v>
      </c>
      <c r="S775" t="s">
        <v>13</v>
      </c>
    </row>
    <row r="776" spans="1:19" x14ac:dyDescent="0.3">
      <c r="A776" s="1" t="s">
        <v>589</v>
      </c>
      <c r="B776" t="s">
        <v>1596</v>
      </c>
      <c r="C776" t="s">
        <v>2290</v>
      </c>
      <c r="D776" t="str">
        <f t="shared" si="48"/>
        <v>Male</v>
      </c>
      <c r="E776" t="s">
        <v>9</v>
      </c>
      <c r="F776" s="2">
        <v>36</v>
      </c>
      <c r="G776" s="2" t="str" cm="1">
        <f t="array" ref="G776">_xlfn.IFS(F776&lt;=8,"Child",F776&lt;=17,"Teen",F776&lt;=35,"Adult",F776&lt;=55,"Seniour Adult",F776&gt;=55,"Old Age")</f>
        <v>Seniour Adult</v>
      </c>
      <c r="H776" t="s">
        <v>18</v>
      </c>
      <c r="I776" t="s">
        <v>11</v>
      </c>
      <c r="J776" t="str" cm="1">
        <f t="array" ref="J776">_xlfn.IFS(I776="S","Southamptom",I776="Q","Quentown",I776="C","Cherbrug",I776="B","Cabin")</f>
        <v>Southamptom</v>
      </c>
      <c r="K776" t="s">
        <v>15</v>
      </c>
      <c r="L776" s="2">
        <v>16</v>
      </c>
      <c r="M776" s="2" t="str" cm="1">
        <f t="array" ref="M776">_xlfn.IFS(L776&lt;=15,"Low Fare",L776&lt;=35,"Medium Fare",L776&lt;=100,"High Fare",L776&gt;=100,"Very High Fare")</f>
        <v>Medium Fare</v>
      </c>
      <c r="N776" s="2">
        <v>0</v>
      </c>
      <c r="O776" s="2">
        <v>0</v>
      </c>
      <c r="P776">
        <f t="shared" si="49"/>
        <v>1</v>
      </c>
      <c r="Q776" t="str">
        <f t="shared" si="50"/>
        <v>Alone</v>
      </c>
      <c r="R776" t="str">
        <f t="shared" si="51"/>
        <v>No</v>
      </c>
      <c r="S776" t="s">
        <v>13</v>
      </c>
    </row>
    <row r="777" spans="1:19" x14ac:dyDescent="0.3">
      <c r="A777" s="1" t="s">
        <v>590</v>
      </c>
      <c r="B777" t="s">
        <v>2291</v>
      </c>
      <c r="C777" t="s">
        <v>2292</v>
      </c>
      <c r="D777" t="str">
        <f t="shared" si="48"/>
        <v>Female</v>
      </c>
      <c r="E777" t="s">
        <v>14</v>
      </c>
      <c r="F777" s="2">
        <v>24</v>
      </c>
      <c r="G777" s="2" t="str" cm="1">
        <f t="array" ref="G777">_xlfn.IFS(F777&lt;=8,"Child",F777&lt;=17,"Teen",F777&lt;=35,"Adult",F777&lt;=55,"Seniour Adult",F777&gt;=55,"Old Age")</f>
        <v>Adult</v>
      </c>
      <c r="H777" t="s">
        <v>25</v>
      </c>
      <c r="I777" t="s">
        <v>19</v>
      </c>
      <c r="J777" t="str" cm="1">
        <f t="array" ref="J777">_xlfn.IFS(I777="S","Southamptom",I777="Q","Quentown",I777="C","Cherbrug",I777="B","Cabin")</f>
        <v>Cherbrug</v>
      </c>
      <c r="K777" t="s">
        <v>46</v>
      </c>
      <c r="L777" s="2">
        <v>49.100099999999998</v>
      </c>
      <c r="M777" s="2" t="str" cm="1">
        <f t="array" ref="M777">_xlfn.IFS(L777&lt;=15,"Low Fare",L777&lt;=35,"Medium Fare",L777&lt;=100,"High Fare",L777&gt;=100,"Very High Fare")</f>
        <v>High Fare</v>
      </c>
      <c r="N777" s="2">
        <v>0</v>
      </c>
      <c r="O777" s="2">
        <v>0</v>
      </c>
      <c r="P777">
        <f t="shared" si="49"/>
        <v>1</v>
      </c>
      <c r="Q777" t="str">
        <f t="shared" si="50"/>
        <v>Alone</v>
      </c>
      <c r="R777" t="str">
        <f t="shared" si="51"/>
        <v>Yes</v>
      </c>
      <c r="S777" t="s">
        <v>16</v>
      </c>
    </row>
    <row r="778" spans="1:19" x14ac:dyDescent="0.3">
      <c r="A778" s="1" t="s">
        <v>591</v>
      </c>
      <c r="B778" t="s">
        <v>1596</v>
      </c>
      <c r="C778" t="s">
        <v>2293</v>
      </c>
      <c r="D778" t="str">
        <f t="shared" si="48"/>
        <v>Male</v>
      </c>
      <c r="E778" t="s">
        <v>9</v>
      </c>
      <c r="F778" s="2">
        <v>46</v>
      </c>
      <c r="G778" s="2" t="str" cm="1">
        <f t="array" ref="G778">_xlfn.IFS(F778&lt;=8,"Child",F778&lt;=17,"Teen",F778&lt;=35,"Adult",F778&lt;=55,"Seniour Adult",F778&gt;=55,"Old Age")</f>
        <v>Seniour Adult</v>
      </c>
      <c r="H778" t="s">
        <v>25</v>
      </c>
      <c r="I778" t="s">
        <v>11</v>
      </c>
      <c r="J778" t="str" cm="1">
        <f t="array" ref="J778">_xlfn.IFS(I778="S","Southamptom",I778="Q","Quentown",I778="C","Cherbrug",I778="B","Cabin")</f>
        <v>Southamptom</v>
      </c>
      <c r="K778" t="s">
        <v>26</v>
      </c>
      <c r="L778" s="2">
        <v>75.040999999999997</v>
      </c>
      <c r="M778" s="2" t="str" cm="1">
        <f t="array" ref="M778">_xlfn.IFS(L778&lt;=15,"Low Fare",L778&lt;=35,"Medium Fare",L778&lt;=100,"High Fare",L778&gt;=100,"Very High Fare")</f>
        <v>High Fare</v>
      </c>
      <c r="N778" s="2">
        <v>0</v>
      </c>
      <c r="O778" s="2">
        <v>0</v>
      </c>
      <c r="P778">
        <f t="shared" si="49"/>
        <v>1</v>
      </c>
      <c r="Q778" t="str">
        <f t="shared" si="50"/>
        <v>Alone</v>
      </c>
      <c r="R778" t="str">
        <f t="shared" si="51"/>
        <v>No</v>
      </c>
      <c r="S778" t="s">
        <v>13</v>
      </c>
    </row>
    <row r="779" spans="1:19" x14ac:dyDescent="0.3">
      <c r="A779" s="1" t="s">
        <v>592</v>
      </c>
      <c r="B779" t="s">
        <v>1602</v>
      </c>
      <c r="C779" t="s">
        <v>1735</v>
      </c>
      <c r="D779" t="str">
        <f t="shared" si="48"/>
        <v>Female</v>
      </c>
      <c r="E779" t="s">
        <v>14</v>
      </c>
      <c r="F779" s="2">
        <v>25</v>
      </c>
      <c r="G779" s="2" t="str" cm="1">
        <f t="array" ref="G779">_xlfn.IFS(F779&lt;=8,"Child",F779&lt;=17,"Teen",F779&lt;=35,"Adult",F779&lt;=55,"Seniour Adult",F779&gt;=55,"Old Age")</f>
        <v>Adult</v>
      </c>
      <c r="H779" t="s">
        <v>10</v>
      </c>
      <c r="I779" t="s">
        <v>36</v>
      </c>
      <c r="J779" t="str" cm="1">
        <f t="array" ref="J779">_xlfn.IFS(I779="S","Southamptom",I779="Q","Quentown",I779="C","Cherbrug",I779="B","Cabin")</f>
        <v>Quentown</v>
      </c>
      <c r="K779" t="s">
        <v>37</v>
      </c>
      <c r="L779" s="2">
        <v>7.15</v>
      </c>
      <c r="M779" s="2" t="str" cm="1">
        <f t="array" ref="M779">_xlfn.IFS(L779&lt;=15,"Low Fare",L779&lt;=35,"Medium Fare",L779&lt;=100,"High Fare",L779&gt;=100,"Very High Fare")</f>
        <v>Low Fare</v>
      </c>
      <c r="N779" s="2">
        <v>0</v>
      </c>
      <c r="O779" s="2">
        <v>0</v>
      </c>
      <c r="P779">
        <f t="shared" si="49"/>
        <v>1</v>
      </c>
      <c r="Q779" t="str">
        <f t="shared" si="50"/>
        <v>Alone</v>
      </c>
      <c r="R779" t="str">
        <f t="shared" si="51"/>
        <v>Yes</v>
      </c>
      <c r="S779" t="s">
        <v>16</v>
      </c>
    </row>
    <row r="780" spans="1:19" x14ac:dyDescent="0.3">
      <c r="A780" s="1" t="s">
        <v>592</v>
      </c>
      <c r="B780" t="s">
        <v>1596</v>
      </c>
      <c r="C780" t="s">
        <v>2294</v>
      </c>
      <c r="D780" t="str">
        <f t="shared" si="48"/>
        <v>Male</v>
      </c>
      <c r="E780" t="s">
        <v>9</v>
      </c>
      <c r="F780" s="2">
        <v>55</v>
      </c>
      <c r="G780" s="2" t="str" cm="1">
        <f t="array" ref="G780">_xlfn.IFS(F780&lt;=8,"Child",F780&lt;=17,"Teen",F780&lt;=35,"Adult",F780&lt;=55,"Seniour Adult",F780&gt;=55,"Old Age")</f>
        <v>Seniour Adult</v>
      </c>
      <c r="H780" t="s">
        <v>25</v>
      </c>
      <c r="I780" t="s">
        <v>11</v>
      </c>
      <c r="J780" t="str" cm="1">
        <f t="array" ref="J780">_xlfn.IFS(I780="S","Southamptom",I780="Q","Quentown",I780="C","Cherbrug",I780="B","Cabin")</f>
        <v>Southamptom</v>
      </c>
      <c r="K780" t="s">
        <v>12</v>
      </c>
      <c r="L780" s="2">
        <v>51.170299999999997</v>
      </c>
      <c r="M780" s="2" t="str" cm="1">
        <f t="array" ref="M780">_xlfn.IFS(L780&lt;=15,"Low Fare",L780&lt;=35,"Medium Fare",L780&lt;=100,"High Fare",L780&gt;=100,"Very High Fare")</f>
        <v>High Fare</v>
      </c>
      <c r="N780" s="2">
        <v>0</v>
      </c>
      <c r="O780" s="2">
        <v>0</v>
      </c>
      <c r="P780">
        <f t="shared" si="49"/>
        <v>1</v>
      </c>
      <c r="Q780" t="str">
        <f t="shared" si="50"/>
        <v>Alone</v>
      </c>
      <c r="R780" t="str">
        <f t="shared" si="51"/>
        <v>No</v>
      </c>
      <c r="S780" t="s">
        <v>13</v>
      </c>
    </row>
    <row r="781" spans="1:19" x14ac:dyDescent="0.3">
      <c r="A781" s="1" t="s">
        <v>593</v>
      </c>
      <c r="B781" t="s">
        <v>1596</v>
      </c>
      <c r="C781" t="s">
        <v>2295</v>
      </c>
      <c r="D781" t="str">
        <f t="shared" si="48"/>
        <v>Male</v>
      </c>
      <c r="E781" t="s">
        <v>9</v>
      </c>
      <c r="F781" s="2">
        <v>19</v>
      </c>
      <c r="G781" s="2" t="str" cm="1">
        <f t="array" ref="G781">_xlfn.IFS(F781&lt;=8,"Child",F781&lt;=17,"Teen",F781&lt;=35,"Adult",F781&lt;=55,"Seniour Adult",F781&gt;=55,"Old Age")</f>
        <v>Adult</v>
      </c>
      <c r="H781" t="s">
        <v>10</v>
      </c>
      <c r="I781" t="s">
        <v>36</v>
      </c>
      <c r="J781" t="str" cm="1">
        <f t="array" ref="J781">_xlfn.IFS(I781="S","Southamptom",I781="Q","Quentown",I781="C","Cherbrug",I781="B","Cabin")</f>
        <v>Quentown</v>
      </c>
      <c r="K781" t="s">
        <v>12</v>
      </c>
      <c r="L781" s="2">
        <v>7.15</v>
      </c>
      <c r="M781" s="2" t="str" cm="1">
        <f t="array" ref="M781">_xlfn.IFS(L781&lt;=15,"Low Fare",L781&lt;=35,"Medium Fare",L781&lt;=100,"High Fare",L781&gt;=100,"Very High Fare")</f>
        <v>Low Fare</v>
      </c>
      <c r="N781" s="2">
        <v>0</v>
      </c>
      <c r="O781" s="2">
        <v>0</v>
      </c>
      <c r="P781">
        <f t="shared" si="49"/>
        <v>1</v>
      </c>
      <c r="Q781" t="str">
        <f t="shared" si="50"/>
        <v>Alone</v>
      </c>
      <c r="R781" t="str">
        <f t="shared" si="51"/>
        <v>Yes</v>
      </c>
      <c r="S781" t="s">
        <v>16</v>
      </c>
    </row>
    <row r="782" spans="1:19" x14ac:dyDescent="0.3">
      <c r="A782" s="1" t="s">
        <v>594</v>
      </c>
      <c r="B782" t="s">
        <v>1602</v>
      </c>
      <c r="C782" t="s">
        <v>1900</v>
      </c>
      <c r="D782" t="str">
        <f t="shared" si="48"/>
        <v>Female</v>
      </c>
      <c r="E782" t="s">
        <v>14</v>
      </c>
      <c r="F782" s="2">
        <v>29</v>
      </c>
      <c r="G782" s="2" t="str" cm="1">
        <f t="array" ref="G782">_xlfn.IFS(F782&lt;=8,"Child",F782&lt;=17,"Teen",F782&lt;=35,"Adult",F782&lt;=55,"Seniour Adult",F782&gt;=55,"Old Age")</f>
        <v>Adult</v>
      </c>
      <c r="H782" t="s">
        <v>10</v>
      </c>
      <c r="I782" t="s">
        <v>36</v>
      </c>
      <c r="J782" t="str" cm="1">
        <f t="array" ref="J782">_xlfn.IFS(I782="S","Southamptom",I782="Q","Quentown",I782="C","Cherbrug",I782="B","Cabin")</f>
        <v>Quentown</v>
      </c>
      <c r="K782" t="s">
        <v>37</v>
      </c>
      <c r="L782" s="2">
        <v>23.05</v>
      </c>
      <c r="M782" s="2" t="str" cm="1">
        <f t="array" ref="M782">_xlfn.IFS(L782&lt;=15,"Low Fare",L782&lt;=35,"Medium Fare",L782&lt;=100,"High Fare",L782&gt;=100,"Very High Fare")</f>
        <v>Medium Fare</v>
      </c>
      <c r="N782" s="2">
        <v>2</v>
      </c>
      <c r="O782" s="2">
        <v>0</v>
      </c>
      <c r="P782">
        <f t="shared" si="49"/>
        <v>3</v>
      </c>
      <c r="Q782" t="str">
        <f t="shared" si="50"/>
        <v>With Family</v>
      </c>
      <c r="R782" t="str">
        <f t="shared" si="51"/>
        <v>Yes</v>
      </c>
      <c r="S782" t="s">
        <v>16</v>
      </c>
    </row>
    <row r="783" spans="1:19" x14ac:dyDescent="0.3">
      <c r="A783" s="1" t="s">
        <v>594</v>
      </c>
      <c r="B783" t="s">
        <v>1602</v>
      </c>
      <c r="C783" t="s">
        <v>2087</v>
      </c>
      <c r="D783" t="str">
        <f t="shared" si="48"/>
        <v>Female</v>
      </c>
      <c r="E783" t="s">
        <v>14</v>
      </c>
      <c r="F783" s="2">
        <v>26</v>
      </c>
      <c r="G783" s="2" t="str" cm="1">
        <f t="array" ref="G783">_xlfn.IFS(F783&lt;=8,"Child",F783&lt;=17,"Teen",F783&lt;=35,"Adult",F783&lt;=55,"Seniour Adult",F783&gt;=55,"Old Age")</f>
        <v>Adult</v>
      </c>
      <c r="H783" t="s">
        <v>10</v>
      </c>
      <c r="I783" t="s">
        <v>36</v>
      </c>
      <c r="J783" t="str" cm="1">
        <f t="array" ref="J783">_xlfn.IFS(I783="S","Southamptom",I783="Q","Quentown",I783="C","Cherbrug",I783="B","Cabin")</f>
        <v>Quentown</v>
      </c>
      <c r="K783" t="s">
        <v>37</v>
      </c>
      <c r="L783" s="2">
        <v>23.05</v>
      </c>
      <c r="M783" s="2" t="str" cm="1">
        <f t="array" ref="M783">_xlfn.IFS(L783&lt;=15,"Low Fare",L783&lt;=35,"Medium Fare",L783&lt;=100,"High Fare",L783&gt;=100,"Very High Fare")</f>
        <v>Medium Fare</v>
      </c>
      <c r="N783" s="2">
        <v>2</v>
      </c>
      <c r="O783" s="2">
        <v>0</v>
      </c>
      <c r="P783">
        <f t="shared" si="49"/>
        <v>3</v>
      </c>
      <c r="Q783" t="str">
        <f t="shared" si="50"/>
        <v>With Family</v>
      </c>
      <c r="R783" t="str">
        <f t="shared" si="51"/>
        <v>Yes</v>
      </c>
      <c r="S783" t="s">
        <v>16</v>
      </c>
    </row>
    <row r="784" spans="1:19" x14ac:dyDescent="0.3">
      <c r="A784" s="1" t="s">
        <v>594</v>
      </c>
      <c r="B784" t="s">
        <v>1596</v>
      </c>
      <c r="C784" t="s">
        <v>2296</v>
      </c>
      <c r="D784" t="str">
        <f t="shared" si="48"/>
        <v>Male</v>
      </c>
      <c r="E784" t="s">
        <v>9</v>
      </c>
      <c r="F784" s="2">
        <v>24</v>
      </c>
      <c r="G784" s="2" t="str" cm="1">
        <f t="array" ref="G784">_xlfn.IFS(F784&lt;=8,"Child",F784&lt;=17,"Teen",F784&lt;=35,"Adult",F784&lt;=55,"Seniour Adult",F784&gt;=55,"Old Age")</f>
        <v>Adult</v>
      </c>
      <c r="H784" t="s">
        <v>10</v>
      </c>
      <c r="I784" t="s">
        <v>36</v>
      </c>
      <c r="J784" t="str" cm="1">
        <f t="array" ref="J784">_xlfn.IFS(I784="S","Southamptom",I784="Q","Quentown",I784="C","Cherbrug",I784="B","Cabin")</f>
        <v>Quentown</v>
      </c>
      <c r="K784" t="s">
        <v>37</v>
      </c>
      <c r="L784" s="2">
        <v>23.05</v>
      </c>
      <c r="M784" s="2" t="str" cm="1">
        <f t="array" ref="M784">_xlfn.IFS(L784&lt;=15,"Low Fare",L784&lt;=35,"Medium Fare",L784&lt;=100,"High Fare",L784&gt;=100,"Very High Fare")</f>
        <v>Medium Fare</v>
      </c>
      <c r="N784" s="2">
        <v>2</v>
      </c>
      <c r="O784" s="2">
        <v>0</v>
      </c>
      <c r="P784">
        <f t="shared" si="49"/>
        <v>3</v>
      </c>
      <c r="Q784" t="str">
        <f t="shared" si="50"/>
        <v>With Family</v>
      </c>
      <c r="R784" t="str">
        <f t="shared" si="51"/>
        <v>Yes</v>
      </c>
      <c r="S784" t="s">
        <v>16</v>
      </c>
    </row>
    <row r="785" spans="1:19" x14ac:dyDescent="0.3">
      <c r="A785" s="1" t="s">
        <v>595</v>
      </c>
      <c r="B785" t="s">
        <v>1596</v>
      </c>
      <c r="C785" t="s">
        <v>2297</v>
      </c>
      <c r="D785" t="str">
        <f t="shared" si="48"/>
        <v>Male</v>
      </c>
      <c r="E785" t="s">
        <v>9</v>
      </c>
      <c r="F785" s="2">
        <v>32</v>
      </c>
      <c r="G785" s="2" t="str" cm="1">
        <f t="array" ref="G785">_xlfn.IFS(F785&lt;=8,"Child",F785&lt;=17,"Teen",F785&lt;=35,"Adult",F785&lt;=55,"Seniour Adult",F785&gt;=55,"Old Age")</f>
        <v>Adult</v>
      </c>
      <c r="H785" t="s">
        <v>18</v>
      </c>
      <c r="I785" t="s">
        <v>11</v>
      </c>
      <c r="J785" t="str" cm="1">
        <f t="array" ref="J785">_xlfn.IFS(I785="S","Southamptom",I785="Q","Quentown",I785="C","Cherbrug",I785="B","Cabin")</f>
        <v>Southamptom</v>
      </c>
      <c r="K785" t="s">
        <v>48</v>
      </c>
      <c r="L785" s="2">
        <v>13.1</v>
      </c>
      <c r="M785" s="2" t="str" cm="1">
        <f t="array" ref="M785">_xlfn.IFS(L785&lt;=15,"Low Fare",L785&lt;=35,"Medium Fare",L785&lt;=100,"High Fare",L785&gt;=100,"Very High Fare")</f>
        <v>Low Fare</v>
      </c>
      <c r="N785" s="2">
        <v>0</v>
      </c>
      <c r="O785" s="2">
        <v>0</v>
      </c>
      <c r="P785">
        <f t="shared" si="49"/>
        <v>1</v>
      </c>
      <c r="Q785" t="str">
        <f t="shared" si="50"/>
        <v>Alone</v>
      </c>
      <c r="R785" t="str">
        <f t="shared" si="51"/>
        <v>No</v>
      </c>
      <c r="S785" t="s">
        <v>13</v>
      </c>
    </row>
    <row r="786" spans="1:19" x14ac:dyDescent="0.3">
      <c r="A786" s="1" t="s">
        <v>596</v>
      </c>
      <c r="B786" t="s">
        <v>1596</v>
      </c>
      <c r="C786" t="s">
        <v>2298</v>
      </c>
      <c r="D786" t="str">
        <f t="shared" si="48"/>
        <v>Male</v>
      </c>
      <c r="E786" t="s">
        <v>9</v>
      </c>
      <c r="F786" s="2">
        <v>32</v>
      </c>
      <c r="G786" s="2" t="str" cm="1">
        <f t="array" ref="G786">_xlfn.IFS(F786&lt;=8,"Child",F786&lt;=17,"Teen",F786&lt;=35,"Adult",F786&lt;=55,"Seniour Adult",F786&gt;=55,"Old Age")</f>
        <v>Adult</v>
      </c>
      <c r="H786" t="s">
        <v>18</v>
      </c>
      <c r="I786" t="s">
        <v>11</v>
      </c>
      <c r="J786" t="str" cm="1">
        <f t="array" ref="J786">_xlfn.IFS(I786="S","Southamptom",I786="Q","Quentown",I786="C","Cherbrug",I786="B","Cabin")</f>
        <v>Southamptom</v>
      </c>
      <c r="K786" t="s">
        <v>26</v>
      </c>
      <c r="L786" s="2">
        <v>13</v>
      </c>
      <c r="M786" s="2" t="str" cm="1">
        <f t="array" ref="M786">_xlfn.IFS(L786&lt;=15,"Low Fare",L786&lt;=35,"Medium Fare",L786&lt;=100,"High Fare",L786&gt;=100,"Very High Fare")</f>
        <v>Low Fare</v>
      </c>
      <c r="N786" s="2">
        <v>0</v>
      </c>
      <c r="O786" s="2">
        <v>0</v>
      </c>
      <c r="P786">
        <f t="shared" si="49"/>
        <v>1</v>
      </c>
      <c r="Q786" t="str">
        <f t="shared" si="50"/>
        <v>Alone</v>
      </c>
      <c r="R786" t="str">
        <f t="shared" si="51"/>
        <v>No</v>
      </c>
      <c r="S786" t="s">
        <v>13</v>
      </c>
    </row>
    <row r="787" spans="1:19" x14ac:dyDescent="0.3">
      <c r="A787" s="1" t="s">
        <v>597</v>
      </c>
      <c r="B787" t="s">
        <v>1602</v>
      </c>
      <c r="C787" t="s">
        <v>1741</v>
      </c>
      <c r="D787" t="str">
        <f t="shared" si="48"/>
        <v>Female</v>
      </c>
      <c r="E787" t="s">
        <v>14</v>
      </c>
      <c r="F787" s="2">
        <v>31</v>
      </c>
      <c r="G787" s="2" t="str" cm="1">
        <f t="array" ref="G787">_xlfn.IFS(F787&lt;=8,"Child",F787&lt;=17,"Teen",F787&lt;=35,"Adult",F787&lt;=55,"Seniour Adult",F787&gt;=55,"Old Age")</f>
        <v>Adult</v>
      </c>
      <c r="H787" t="s">
        <v>10</v>
      </c>
      <c r="I787" t="s">
        <v>36</v>
      </c>
      <c r="J787" t="str" cm="1">
        <f t="array" ref="J787">_xlfn.IFS(I787="S","Southamptom",I787="Q","Quentown",I787="C","Cherbrug",I787="B","Cabin")</f>
        <v>Quentown</v>
      </c>
      <c r="K787" t="s">
        <v>37</v>
      </c>
      <c r="L787" s="2">
        <v>7.1508000000000003</v>
      </c>
      <c r="M787" s="2" t="str" cm="1">
        <f t="array" ref="M787">_xlfn.IFS(L787&lt;=15,"Low Fare",L787&lt;=35,"Medium Fare",L787&lt;=100,"High Fare",L787&gt;=100,"Very High Fare")</f>
        <v>Low Fare</v>
      </c>
      <c r="N787" s="2">
        <v>0</v>
      </c>
      <c r="O787" s="2">
        <v>0</v>
      </c>
      <c r="P787">
        <f t="shared" si="49"/>
        <v>1</v>
      </c>
      <c r="Q787" t="str">
        <f t="shared" si="50"/>
        <v>Alone</v>
      </c>
      <c r="R787" t="str">
        <f t="shared" si="51"/>
        <v>Yes</v>
      </c>
      <c r="S787" t="s">
        <v>16</v>
      </c>
    </row>
    <row r="788" spans="1:19" x14ac:dyDescent="0.3">
      <c r="A788" s="1" t="s">
        <v>598</v>
      </c>
      <c r="B788" t="s">
        <v>1596</v>
      </c>
      <c r="C788" t="s">
        <v>1858</v>
      </c>
      <c r="D788" t="str">
        <f t="shared" si="48"/>
        <v>Male</v>
      </c>
      <c r="E788" t="s">
        <v>9</v>
      </c>
      <c r="F788" s="2">
        <v>20</v>
      </c>
      <c r="G788" s="2" t="str" cm="1">
        <f t="array" ref="G788">_xlfn.IFS(F788&lt;=8,"Child",F788&lt;=17,"Teen",F788&lt;=35,"Adult",F788&lt;=55,"Seniour Adult",F788&gt;=55,"Old Age")</f>
        <v>Adult</v>
      </c>
      <c r="H788" t="s">
        <v>10</v>
      </c>
      <c r="I788" t="s">
        <v>36</v>
      </c>
      <c r="J788" t="str" cm="1">
        <f t="array" ref="J788">_xlfn.IFS(I788="S","Southamptom",I788="Q","Quentown",I788="C","Cherbrug",I788="B","Cabin")</f>
        <v>Quentown</v>
      </c>
      <c r="K788" t="s">
        <v>37</v>
      </c>
      <c r="L788" s="2">
        <v>15.1</v>
      </c>
      <c r="M788" s="2" t="str" cm="1">
        <f t="array" ref="M788">_xlfn.IFS(L788&lt;=15,"Low Fare",L788&lt;=35,"Medium Fare",L788&lt;=100,"High Fare",L788&gt;=100,"Very High Fare")</f>
        <v>Medium Fare</v>
      </c>
      <c r="N788" s="2">
        <v>0</v>
      </c>
      <c r="O788" s="2">
        <v>0</v>
      </c>
      <c r="P788">
        <f t="shared" si="49"/>
        <v>1</v>
      </c>
      <c r="Q788" t="str">
        <f t="shared" si="50"/>
        <v>Alone</v>
      </c>
      <c r="R788" t="str">
        <f t="shared" si="51"/>
        <v>No</v>
      </c>
      <c r="S788" t="s">
        <v>13</v>
      </c>
    </row>
    <row r="789" spans="1:19" x14ac:dyDescent="0.3">
      <c r="A789" s="1" t="s">
        <v>599</v>
      </c>
      <c r="B789" t="s">
        <v>1596</v>
      </c>
      <c r="C789" t="s">
        <v>2299</v>
      </c>
      <c r="D789" t="str">
        <f t="shared" si="48"/>
        <v>Male</v>
      </c>
      <c r="E789" t="s">
        <v>9</v>
      </c>
      <c r="F789" s="2">
        <v>35</v>
      </c>
      <c r="G789" s="2" t="str" cm="1">
        <f t="array" ref="G789">_xlfn.IFS(F789&lt;=8,"Child",F789&lt;=17,"Teen",F789&lt;=35,"Adult",F789&lt;=55,"Seniour Adult",F789&gt;=55,"Old Age")</f>
        <v>Adult</v>
      </c>
      <c r="H789" t="s">
        <v>25</v>
      </c>
      <c r="I789" t="s">
        <v>11</v>
      </c>
      <c r="J789" t="str" cm="1">
        <f t="array" ref="J789">_xlfn.IFS(I789="S","Southamptom",I789="Q","Quentown",I789="C","Cherbrug",I789="B","Cabin")</f>
        <v>Southamptom</v>
      </c>
      <c r="K789" t="s">
        <v>37</v>
      </c>
      <c r="L789" s="2">
        <v>26.050899999999999</v>
      </c>
      <c r="M789" s="2" t="str" cm="1">
        <f t="array" ref="M789">_xlfn.IFS(L789&lt;=15,"Low Fare",L789&lt;=35,"Medium Fare",L789&lt;=100,"High Fare",L789&gt;=100,"Very High Fare")</f>
        <v>Medium Fare</v>
      </c>
      <c r="N789" s="2">
        <v>0</v>
      </c>
      <c r="O789" s="2">
        <v>0</v>
      </c>
      <c r="P789">
        <f t="shared" si="49"/>
        <v>1</v>
      </c>
      <c r="Q789" t="str">
        <f t="shared" si="50"/>
        <v>Alone</v>
      </c>
      <c r="R789" t="str">
        <f t="shared" si="51"/>
        <v>Yes</v>
      </c>
      <c r="S789" t="s">
        <v>16</v>
      </c>
    </row>
    <row r="790" spans="1:19" x14ac:dyDescent="0.3">
      <c r="A790" s="1" t="s">
        <v>600</v>
      </c>
      <c r="B790" t="s">
        <v>2300</v>
      </c>
      <c r="C790" t="s">
        <v>1734</v>
      </c>
      <c r="D790" t="str">
        <f t="shared" si="48"/>
        <v>Female</v>
      </c>
      <c r="E790" t="s">
        <v>14</v>
      </c>
      <c r="F790" s="2">
        <v>22</v>
      </c>
      <c r="G790" s="2" t="str" cm="1">
        <f t="array" ref="G790">_xlfn.IFS(F790&lt;=8,"Child",F790&lt;=17,"Teen",F790&lt;=35,"Adult",F790&lt;=55,"Seniour Adult",F790&gt;=55,"Old Age")</f>
        <v>Adult</v>
      </c>
      <c r="H790" t="s">
        <v>10</v>
      </c>
      <c r="I790" t="s">
        <v>36</v>
      </c>
      <c r="J790" t="str" cm="1">
        <f t="array" ref="J790">_xlfn.IFS(I790="S","Southamptom",I790="Q","Quentown",I790="C","Cherbrug",I790="B","Cabin")</f>
        <v>Quentown</v>
      </c>
      <c r="K790" t="s">
        <v>37</v>
      </c>
      <c r="L790" s="2">
        <v>7.1707000000000001</v>
      </c>
      <c r="M790" s="2" t="str" cm="1">
        <f t="array" ref="M790">_xlfn.IFS(L790&lt;=15,"Low Fare",L790&lt;=35,"Medium Fare",L790&lt;=100,"High Fare",L790&gt;=100,"Very High Fare")</f>
        <v>Low Fare</v>
      </c>
      <c r="N790" s="2">
        <v>0</v>
      </c>
      <c r="O790" s="2">
        <v>0</v>
      </c>
      <c r="P790">
        <f t="shared" si="49"/>
        <v>1</v>
      </c>
      <c r="Q790" t="str">
        <f t="shared" si="50"/>
        <v>Alone</v>
      </c>
      <c r="R790" t="str">
        <f t="shared" si="51"/>
        <v>Yes</v>
      </c>
      <c r="S790" t="s">
        <v>16</v>
      </c>
    </row>
    <row r="791" spans="1:19" x14ac:dyDescent="0.3">
      <c r="A791" s="1" t="s">
        <v>601</v>
      </c>
      <c r="B791" t="s">
        <v>1602</v>
      </c>
      <c r="C791" t="s">
        <v>2301</v>
      </c>
      <c r="D791" t="str">
        <f t="shared" si="48"/>
        <v>Female</v>
      </c>
      <c r="E791" t="s">
        <v>14</v>
      </c>
      <c r="F791" s="2">
        <v>17</v>
      </c>
      <c r="G791" s="2" t="str" cm="1">
        <f t="array" ref="G791">_xlfn.IFS(F791&lt;=8,"Child",F791&lt;=17,"Teen",F791&lt;=35,"Adult",F791&lt;=55,"Seniour Adult",F791&gt;=55,"Old Age")</f>
        <v>Teen</v>
      </c>
      <c r="H791" t="s">
        <v>10</v>
      </c>
      <c r="I791" t="s">
        <v>36</v>
      </c>
      <c r="J791" t="str" cm="1">
        <f t="array" ref="J791">_xlfn.IFS(I791="S","Southamptom",I791="Q","Quentown",I791="C","Cherbrug",I791="B","Cabin")</f>
        <v>Quentown</v>
      </c>
      <c r="K791" t="s">
        <v>12</v>
      </c>
      <c r="L791" s="2">
        <v>8</v>
      </c>
      <c r="M791" s="2" t="str" cm="1">
        <f t="array" ref="M791">_xlfn.IFS(L791&lt;=15,"Low Fare",L791&lt;=35,"Medium Fare",L791&lt;=100,"High Fare",L791&gt;=100,"Very High Fare")</f>
        <v>Low Fare</v>
      </c>
      <c r="N791" s="2">
        <v>0</v>
      </c>
      <c r="O791" s="2">
        <v>0</v>
      </c>
      <c r="P791">
        <f t="shared" si="49"/>
        <v>1</v>
      </c>
      <c r="Q791" t="str">
        <f t="shared" si="50"/>
        <v>Alone</v>
      </c>
      <c r="R791" t="str">
        <f t="shared" si="51"/>
        <v>Yes</v>
      </c>
      <c r="S791" t="s">
        <v>16</v>
      </c>
    </row>
    <row r="792" spans="1:19" x14ac:dyDescent="0.3">
      <c r="A792" s="1" t="s">
        <v>601</v>
      </c>
      <c r="B792" t="s">
        <v>1602</v>
      </c>
      <c r="C792" t="s">
        <v>1735</v>
      </c>
      <c r="D792" t="str">
        <f t="shared" si="48"/>
        <v>Female</v>
      </c>
      <c r="E792" t="s">
        <v>14</v>
      </c>
      <c r="F792" s="2">
        <v>42</v>
      </c>
      <c r="G792" s="2" t="str" cm="1">
        <f t="array" ref="G792">_xlfn.IFS(F792&lt;=8,"Child",F792&lt;=17,"Teen",F792&lt;=35,"Adult",F792&lt;=55,"Seniour Adult",F792&gt;=55,"Old Age")</f>
        <v>Seniour Adult</v>
      </c>
      <c r="H792" t="s">
        <v>10</v>
      </c>
      <c r="I792" t="s">
        <v>36</v>
      </c>
      <c r="J792" t="str" cm="1">
        <f t="array" ref="J792">_xlfn.IFS(I792="S","Southamptom",I792="Q","Quentown",I792="C","Cherbrug",I792="B","Cabin")</f>
        <v>Quentown</v>
      </c>
      <c r="K792" t="s">
        <v>37</v>
      </c>
      <c r="L792" s="2">
        <v>7.15</v>
      </c>
      <c r="M792" s="2" t="str" cm="1">
        <f t="array" ref="M792">_xlfn.IFS(L792&lt;=15,"Low Fare",L792&lt;=35,"Medium Fare",L792&lt;=100,"High Fare",L792&gt;=100,"Very High Fare")</f>
        <v>Low Fare</v>
      </c>
      <c r="N792" s="2">
        <v>0</v>
      </c>
      <c r="O792" s="2">
        <v>0</v>
      </c>
      <c r="P792">
        <f t="shared" si="49"/>
        <v>1</v>
      </c>
      <c r="Q792" t="str">
        <f t="shared" si="50"/>
        <v>Alone</v>
      </c>
      <c r="R792" t="str">
        <f t="shared" si="51"/>
        <v>No</v>
      </c>
      <c r="S792" t="s">
        <v>13</v>
      </c>
    </row>
    <row r="793" spans="1:19" x14ac:dyDescent="0.3">
      <c r="A793" s="1" t="s">
        <v>602</v>
      </c>
      <c r="B793" t="s">
        <v>1596</v>
      </c>
      <c r="C793" t="s">
        <v>2302</v>
      </c>
      <c r="D793" t="str">
        <f t="shared" si="48"/>
        <v>Male</v>
      </c>
      <c r="E793" t="s">
        <v>9</v>
      </c>
      <c r="F793" s="2">
        <v>46</v>
      </c>
      <c r="G793" s="2" t="str" cm="1">
        <f t="array" ref="G793">_xlfn.IFS(F793&lt;=8,"Child",F793&lt;=17,"Teen",F793&lt;=35,"Adult",F793&lt;=55,"Seniour Adult",F793&gt;=55,"Old Age")</f>
        <v>Seniour Adult</v>
      </c>
      <c r="H793" t="s">
        <v>18</v>
      </c>
      <c r="I793" t="s">
        <v>11</v>
      </c>
      <c r="J793" t="str" cm="1">
        <f t="array" ref="J793">_xlfn.IFS(I793="S","Southamptom",I793="Q","Quentown",I793="C","Cherbrug",I793="B","Cabin")</f>
        <v>Southamptom</v>
      </c>
      <c r="K793" t="s">
        <v>33</v>
      </c>
      <c r="L793" s="2">
        <v>26</v>
      </c>
      <c r="M793" s="2" t="str" cm="1">
        <f t="array" ref="M793">_xlfn.IFS(L793&lt;=15,"Low Fare",L793&lt;=35,"Medium Fare",L793&lt;=100,"High Fare",L793&gt;=100,"Very High Fare")</f>
        <v>Medium Fare</v>
      </c>
      <c r="N793" s="2">
        <v>0</v>
      </c>
      <c r="O793" s="2">
        <v>0</v>
      </c>
      <c r="P793">
        <f t="shared" si="49"/>
        <v>1</v>
      </c>
      <c r="Q793" t="str">
        <f t="shared" si="50"/>
        <v>Alone</v>
      </c>
      <c r="R793" t="str">
        <f t="shared" si="51"/>
        <v>No</v>
      </c>
      <c r="S793" t="s">
        <v>13</v>
      </c>
    </row>
    <row r="794" spans="1:19" x14ac:dyDescent="0.3">
      <c r="A794" s="1" t="s">
        <v>603</v>
      </c>
      <c r="B794" t="s">
        <v>1596</v>
      </c>
      <c r="C794" t="s">
        <v>2002</v>
      </c>
      <c r="D794" t="str">
        <f t="shared" si="48"/>
        <v>Male</v>
      </c>
      <c r="E794" t="s">
        <v>9</v>
      </c>
      <c r="F794" s="2">
        <v>19</v>
      </c>
      <c r="G794" s="2" t="str" cm="1">
        <f t="array" ref="G794">_xlfn.IFS(F794&lt;=8,"Child",F794&lt;=17,"Teen",F794&lt;=35,"Adult",F794&lt;=55,"Seniour Adult",F794&gt;=55,"Old Age")</f>
        <v>Adult</v>
      </c>
      <c r="H794" t="s">
        <v>10</v>
      </c>
      <c r="I794" t="s">
        <v>36</v>
      </c>
      <c r="J794" t="str" cm="1">
        <f t="array" ref="J794">_xlfn.IFS(I794="S","Southamptom",I794="Q","Quentown",I794="C","Cherbrug",I794="B","Cabin")</f>
        <v>Quentown</v>
      </c>
      <c r="K794" t="s">
        <v>37</v>
      </c>
      <c r="L794" s="2">
        <v>7.15</v>
      </c>
      <c r="M794" s="2" t="str" cm="1">
        <f t="array" ref="M794">_xlfn.IFS(L794&lt;=15,"Low Fare",L794&lt;=35,"Medium Fare",L794&lt;=100,"High Fare",L794&gt;=100,"Very High Fare")</f>
        <v>Low Fare</v>
      </c>
      <c r="N794" s="2">
        <v>0</v>
      </c>
      <c r="O794" s="2">
        <v>0</v>
      </c>
      <c r="P794">
        <f t="shared" si="49"/>
        <v>1</v>
      </c>
      <c r="Q794" t="str">
        <f t="shared" si="50"/>
        <v>Alone</v>
      </c>
      <c r="R794" t="str">
        <f t="shared" si="51"/>
        <v>No</v>
      </c>
      <c r="S794" t="s">
        <v>13</v>
      </c>
    </row>
    <row r="795" spans="1:19" x14ac:dyDescent="0.3">
      <c r="A795" s="1" t="s">
        <v>604</v>
      </c>
      <c r="B795" t="s">
        <v>1596</v>
      </c>
      <c r="C795" t="s">
        <v>2303</v>
      </c>
      <c r="D795" t="str">
        <f t="shared" si="48"/>
        <v>Male</v>
      </c>
      <c r="E795" t="s">
        <v>9</v>
      </c>
      <c r="F795" s="2">
        <v>27</v>
      </c>
      <c r="G795" s="2" t="str" cm="1">
        <f t="array" ref="G795">_xlfn.IFS(F795&lt;=8,"Child",F795&lt;=17,"Teen",F795&lt;=35,"Adult",F795&lt;=55,"Seniour Adult",F795&gt;=55,"Old Age")</f>
        <v>Adult</v>
      </c>
      <c r="H795" t="s">
        <v>10</v>
      </c>
      <c r="I795" t="s">
        <v>11</v>
      </c>
      <c r="J795" t="str" cm="1">
        <f t="array" ref="J795">_xlfn.IFS(I795="S","Southamptom",I795="Q","Quentown",I795="C","Cherbrug",I795="B","Cabin")</f>
        <v>Southamptom</v>
      </c>
      <c r="K795" t="s">
        <v>15</v>
      </c>
      <c r="L795" s="2">
        <v>16.02</v>
      </c>
      <c r="M795" s="2" t="str" cm="1">
        <f t="array" ref="M795">_xlfn.IFS(L795&lt;=15,"Low Fare",L795&lt;=35,"Medium Fare",L795&lt;=100,"High Fare",L795&gt;=100,"Very High Fare")</f>
        <v>Medium Fare</v>
      </c>
      <c r="N795" s="2">
        <v>1</v>
      </c>
      <c r="O795" s="2">
        <v>0</v>
      </c>
      <c r="P795">
        <f t="shared" si="49"/>
        <v>2</v>
      </c>
      <c r="Q795" t="str">
        <f t="shared" si="50"/>
        <v>With Family</v>
      </c>
      <c r="R795" t="str">
        <f t="shared" si="51"/>
        <v>No</v>
      </c>
      <c r="S795" t="s">
        <v>13</v>
      </c>
    </row>
    <row r="796" spans="1:19" x14ac:dyDescent="0.3">
      <c r="A796" s="1" t="s">
        <v>604</v>
      </c>
      <c r="B796" t="s">
        <v>1600</v>
      </c>
      <c r="C796" t="s">
        <v>2304</v>
      </c>
      <c r="D796" t="str">
        <f t="shared" si="48"/>
        <v>Female</v>
      </c>
      <c r="E796" t="s">
        <v>14</v>
      </c>
      <c r="F796" s="2">
        <v>19</v>
      </c>
      <c r="G796" s="2" t="str" cm="1">
        <f t="array" ref="G796">_xlfn.IFS(F796&lt;=8,"Child",F796&lt;=17,"Teen",F796&lt;=35,"Adult",F796&lt;=55,"Seniour Adult",F796&gt;=55,"Old Age")</f>
        <v>Adult</v>
      </c>
      <c r="H796" t="s">
        <v>10</v>
      </c>
      <c r="I796" t="s">
        <v>11</v>
      </c>
      <c r="J796" t="str" cm="1">
        <f t="array" ref="J796">_xlfn.IFS(I796="S","Southamptom",I796="Q","Quentown",I796="C","Cherbrug",I796="B","Cabin")</f>
        <v>Southamptom</v>
      </c>
      <c r="K796" t="s">
        <v>15</v>
      </c>
      <c r="L796" s="2">
        <v>16.02</v>
      </c>
      <c r="M796" s="2" t="str" cm="1">
        <f t="array" ref="M796">_xlfn.IFS(L796&lt;=15,"Low Fare",L796&lt;=35,"Medium Fare",L796&lt;=100,"High Fare",L796&gt;=100,"Very High Fare")</f>
        <v>Medium Fare</v>
      </c>
      <c r="N796" s="2">
        <v>1</v>
      </c>
      <c r="O796" s="2">
        <v>0</v>
      </c>
      <c r="P796">
        <f t="shared" si="49"/>
        <v>2</v>
      </c>
      <c r="Q796" t="str">
        <f t="shared" si="50"/>
        <v>With Family</v>
      </c>
      <c r="R796" t="str">
        <f t="shared" si="51"/>
        <v>No</v>
      </c>
      <c r="S796" t="s">
        <v>13</v>
      </c>
    </row>
    <row r="797" spans="1:19" x14ac:dyDescent="0.3">
      <c r="A797" s="1" t="s">
        <v>605</v>
      </c>
      <c r="B797" t="s">
        <v>1602</v>
      </c>
      <c r="C797" t="s">
        <v>1927</v>
      </c>
      <c r="D797" t="str">
        <f t="shared" si="48"/>
        <v>Female</v>
      </c>
      <c r="E797" t="s">
        <v>14</v>
      </c>
      <c r="F797" s="2">
        <v>32</v>
      </c>
      <c r="G797" s="2" t="str" cm="1">
        <f t="array" ref="G797">_xlfn.IFS(F797&lt;=8,"Child",F797&lt;=17,"Teen",F797&lt;=35,"Adult",F797&lt;=55,"Seniour Adult",F797&gt;=55,"Old Age")</f>
        <v>Adult</v>
      </c>
      <c r="H797" t="s">
        <v>10</v>
      </c>
      <c r="I797" t="s">
        <v>36</v>
      </c>
      <c r="J797" t="str" cm="1">
        <f t="array" ref="J797">_xlfn.IFS(I797="S","Southamptom",I797="Q","Quentown",I797="C","Cherbrug",I797="B","Cabin")</f>
        <v>Quentown</v>
      </c>
      <c r="K797" t="s">
        <v>37</v>
      </c>
      <c r="L797" s="2">
        <v>7.15</v>
      </c>
      <c r="M797" s="2" t="str" cm="1">
        <f t="array" ref="M797">_xlfn.IFS(L797&lt;=15,"Low Fare",L797&lt;=35,"Medium Fare",L797&lt;=100,"High Fare",L797&gt;=100,"Very High Fare")</f>
        <v>Low Fare</v>
      </c>
      <c r="N797" s="2">
        <v>0</v>
      </c>
      <c r="O797" s="2">
        <v>0</v>
      </c>
      <c r="P797">
        <f t="shared" si="49"/>
        <v>1</v>
      </c>
      <c r="Q797" t="str">
        <f t="shared" si="50"/>
        <v>Alone</v>
      </c>
      <c r="R797" t="str">
        <f t="shared" si="51"/>
        <v>No</v>
      </c>
      <c r="S797" t="s">
        <v>13</v>
      </c>
    </row>
    <row r="798" spans="1:19" x14ac:dyDescent="0.3">
      <c r="A798" s="1" t="s">
        <v>606</v>
      </c>
      <c r="B798" t="s">
        <v>1600</v>
      </c>
      <c r="C798" t="s">
        <v>2305</v>
      </c>
      <c r="D798" t="str">
        <f t="shared" si="48"/>
        <v>Female</v>
      </c>
      <c r="E798" t="s">
        <v>14</v>
      </c>
      <c r="F798" s="2">
        <v>62</v>
      </c>
      <c r="G798" s="2" t="str" cm="1">
        <f t="array" ref="G798">_xlfn.IFS(F798&lt;=8,"Child",F798&lt;=17,"Teen",F798&lt;=35,"Adult",F798&lt;=55,"Seniour Adult",F798&gt;=55,"Old Age")</f>
        <v>Old Age</v>
      </c>
      <c r="H798" t="s">
        <v>10</v>
      </c>
      <c r="I798" t="s">
        <v>11</v>
      </c>
      <c r="J798" t="str" cm="1">
        <f t="array" ref="J798">_xlfn.IFS(I798="S","Southamptom",I798="Q","Quentown",I798="C","Cherbrug",I798="B","Cabin")</f>
        <v>Southamptom</v>
      </c>
      <c r="K798" t="s">
        <v>15</v>
      </c>
      <c r="L798" s="2">
        <v>8.01</v>
      </c>
      <c r="M798" s="2" t="str" cm="1">
        <f t="array" ref="M798">_xlfn.IFS(L798&lt;=15,"Low Fare",L798&lt;=35,"Medium Fare",L798&lt;=100,"High Fare",L798&gt;=100,"Very High Fare")</f>
        <v>Low Fare</v>
      </c>
      <c r="N798" s="2">
        <v>0</v>
      </c>
      <c r="O798" s="2">
        <v>0</v>
      </c>
      <c r="P798">
        <f t="shared" si="49"/>
        <v>1</v>
      </c>
      <c r="Q798" t="str">
        <f t="shared" si="50"/>
        <v>Alone</v>
      </c>
      <c r="R798" t="str">
        <f t="shared" si="51"/>
        <v>No</v>
      </c>
      <c r="S798" t="s">
        <v>13</v>
      </c>
    </row>
    <row r="799" spans="1:19" x14ac:dyDescent="0.3">
      <c r="A799" s="1" t="s">
        <v>607</v>
      </c>
      <c r="B799" t="s">
        <v>1596</v>
      </c>
      <c r="C799" t="s">
        <v>1610</v>
      </c>
      <c r="D799" t="str">
        <f t="shared" si="48"/>
        <v>Male</v>
      </c>
      <c r="E799" t="s">
        <v>9</v>
      </c>
      <c r="F799" s="2">
        <v>22</v>
      </c>
      <c r="G799" s="2" t="str" cm="1">
        <f t="array" ref="G799">_xlfn.IFS(F799&lt;=8,"Child",F799&lt;=17,"Teen",F799&lt;=35,"Adult",F799&lt;=55,"Seniour Adult",F799&gt;=55,"Old Age")</f>
        <v>Adult</v>
      </c>
      <c r="H799" t="s">
        <v>10</v>
      </c>
      <c r="I799" t="s">
        <v>36</v>
      </c>
      <c r="J799" t="str" cm="1">
        <f t="array" ref="J799">_xlfn.IFS(I799="S","Southamptom",I799="Q","Quentown",I799="C","Cherbrug",I799="B","Cabin")</f>
        <v>Quentown</v>
      </c>
      <c r="K799" t="s">
        <v>37</v>
      </c>
      <c r="L799" s="2">
        <v>7.15</v>
      </c>
      <c r="M799" s="2" t="str" cm="1">
        <f t="array" ref="M799">_xlfn.IFS(L799&lt;=15,"Low Fare",L799&lt;=35,"Medium Fare",L799&lt;=100,"High Fare",L799&gt;=100,"Very High Fare")</f>
        <v>Low Fare</v>
      </c>
      <c r="N799" s="2">
        <v>0</v>
      </c>
      <c r="O799" s="2">
        <v>0</v>
      </c>
      <c r="P799">
        <f t="shared" si="49"/>
        <v>1</v>
      </c>
      <c r="Q799" t="str">
        <f t="shared" si="50"/>
        <v>Alone</v>
      </c>
      <c r="R799" t="str">
        <f t="shared" si="51"/>
        <v>No</v>
      </c>
      <c r="S799" t="s">
        <v>13</v>
      </c>
    </row>
    <row r="800" spans="1:19" x14ac:dyDescent="0.3">
      <c r="A800" s="1" t="s">
        <v>608</v>
      </c>
      <c r="B800" t="s">
        <v>1600</v>
      </c>
      <c r="C800" t="s">
        <v>2306</v>
      </c>
      <c r="D800" t="str">
        <f t="shared" si="48"/>
        <v>Female</v>
      </c>
      <c r="E800" t="s">
        <v>14</v>
      </c>
      <c r="F800" s="2">
        <v>32</v>
      </c>
      <c r="G800" s="2" t="str" cm="1">
        <f t="array" ref="G800">_xlfn.IFS(F800&lt;=8,"Child",F800&lt;=17,"Teen",F800&lt;=35,"Adult",F800&lt;=55,"Seniour Adult",F800&gt;=55,"Old Age")</f>
        <v>Adult</v>
      </c>
      <c r="H800" t="s">
        <v>10</v>
      </c>
      <c r="I800" t="s">
        <v>11</v>
      </c>
      <c r="J800" t="str" cm="1">
        <f t="array" ref="J800">_xlfn.IFS(I800="S","Southamptom",I800="Q","Quentown",I800="C","Cherbrug",I800="B","Cabin")</f>
        <v>Southamptom</v>
      </c>
      <c r="K800" t="s">
        <v>15</v>
      </c>
      <c r="L800" s="2">
        <v>8.01</v>
      </c>
      <c r="M800" s="2" t="str" cm="1">
        <f t="array" ref="M800">_xlfn.IFS(L800&lt;=15,"Low Fare",L800&lt;=35,"Medium Fare",L800&lt;=100,"High Fare",L800&gt;=100,"Very High Fare")</f>
        <v>Low Fare</v>
      </c>
      <c r="N800" s="2">
        <v>0</v>
      </c>
      <c r="O800" s="2">
        <v>0</v>
      </c>
      <c r="P800">
        <f t="shared" si="49"/>
        <v>1</v>
      </c>
      <c r="Q800" t="str">
        <f t="shared" si="50"/>
        <v>Alone</v>
      </c>
      <c r="R800" t="str">
        <f t="shared" si="51"/>
        <v>No</v>
      </c>
      <c r="S800" t="s">
        <v>13</v>
      </c>
    </row>
    <row r="801" spans="1:19" x14ac:dyDescent="0.3">
      <c r="A801" s="1" t="s">
        <v>609</v>
      </c>
      <c r="B801" t="s">
        <v>1602</v>
      </c>
      <c r="C801" t="s">
        <v>2307</v>
      </c>
      <c r="D801" t="str">
        <f t="shared" si="48"/>
        <v>Female</v>
      </c>
      <c r="E801" t="s">
        <v>14</v>
      </c>
      <c r="F801" s="2">
        <v>13</v>
      </c>
      <c r="G801" s="2" t="str" cm="1">
        <f t="array" ref="G801">_xlfn.IFS(F801&lt;=8,"Child",F801&lt;=17,"Teen",F801&lt;=35,"Adult",F801&lt;=55,"Seniour Adult",F801&gt;=55,"Old Age")</f>
        <v>Teen</v>
      </c>
      <c r="H801" t="s">
        <v>18</v>
      </c>
      <c r="I801" t="s">
        <v>11</v>
      </c>
      <c r="J801" t="str" cm="1">
        <f t="array" ref="J801">_xlfn.IFS(I801="S","Southamptom",I801="Q","Quentown",I801="C","Cherbrug",I801="B","Cabin")</f>
        <v>Southamptom</v>
      </c>
      <c r="K801" t="s">
        <v>15</v>
      </c>
      <c r="L801" s="2">
        <v>19.100000000000001</v>
      </c>
      <c r="M801" s="2" t="str" cm="1">
        <f t="array" ref="M801">_xlfn.IFS(L801&lt;=15,"Low Fare",L801&lt;=35,"Medium Fare",L801&lt;=100,"High Fare",L801&gt;=100,"Very High Fare")</f>
        <v>Medium Fare</v>
      </c>
      <c r="N801" s="2">
        <v>0</v>
      </c>
      <c r="O801" s="2">
        <v>1</v>
      </c>
      <c r="P801">
        <f t="shared" si="49"/>
        <v>2</v>
      </c>
      <c r="Q801" t="str">
        <f t="shared" si="50"/>
        <v>With Family</v>
      </c>
      <c r="R801" t="str">
        <f t="shared" si="51"/>
        <v>Yes</v>
      </c>
      <c r="S801" t="s">
        <v>16</v>
      </c>
    </row>
    <row r="802" spans="1:19" x14ac:dyDescent="0.3">
      <c r="A802" s="1" t="s">
        <v>609</v>
      </c>
      <c r="B802" t="s">
        <v>1600</v>
      </c>
      <c r="C802" t="s">
        <v>2308</v>
      </c>
      <c r="D802" t="str">
        <f t="shared" si="48"/>
        <v>Female</v>
      </c>
      <c r="E802" t="s">
        <v>14</v>
      </c>
      <c r="F802" s="2">
        <v>42</v>
      </c>
      <c r="G802" s="2" t="str" cm="1">
        <f t="array" ref="G802">_xlfn.IFS(F802&lt;=8,"Child",F802&lt;=17,"Teen",F802&lt;=35,"Adult",F802&lt;=55,"Seniour Adult",F802&gt;=55,"Old Age")</f>
        <v>Seniour Adult</v>
      </c>
      <c r="H802" t="s">
        <v>18</v>
      </c>
      <c r="I802" t="s">
        <v>11</v>
      </c>
      <c r="J802" t="str" cm="1">
        <f t="array" ref="J802">_xlfn.IFS(I802="S","Southamptom",I802="Q","Quentown",I802="C","Cherbrug",I802="B","Cabin")</f>
        <v>Southamptom</v>
      </c>
      <c r="K802" t="s">
        <v>15</v>
      </c>
      <c r="L802" s="2">
        <v>19.100000000000001</v>
      </c>
      <c r="M802" s="2" t="str" cm="1">
        <f t="array" ref="M802">_xlfn.IFS(L802&lt;=15,"Low Fare",L802&lt;=35,"Medium Fare",L802&lt;=100,"High Fare",L802&gt;=100,"Very High Fare")</f>
        <v>Medium Fare</v>
      </c>
      <c r="N802" s="2">
        <v>0</v>
      </c>
      <c r="O802" s="2">
        <v>1</v>
      </c>
      <c r="P802">
        <f t="shared" si="49"/>
        <v>2</v>
      </c>
      <c r="Q802" t="str">
        <f t="shared" si="50"/>
        <v>With Family</v>
      </c>
      <c r="R802" t="str">
        <f t="shared" si="51"/>
        <v>Yes</v>
      </c>
      <c r="S802" t="s">
        <v>16</v>
      </c>
    </row>
    <row r="803" spans="1:19" x14ac:dyDescent="0.3">
      <c r="A803" s="1" t="s">
        <v>610</v>
      </c>
      <c r="B803" t="s">
        <v>1596</v>
      </c>
      <c r="C803" t="s">
        <v>1716</v>
      </c>
      <c r="D803" t="str">
        <f t="shared" si="48"/>
        <v>Male</v>
      </c>
      <c r="E803" t="s">
        <v>9</v>
      </c>
      <c r="F803" s="2">
        <v>19</v>
      </c>
      <c r="G803" s="2" t="str" cm="1">
        <f t="array" ref="G803">_xlfn.IFS(F803&lt;=8,"Child",F803&lt;=17,"Teen",F803&lt;=35,"Adult",F803&lt;=55,"Seniour Adult",F803&gt;=55,"Old Age")</f>
        <v>Adult</v>
      </c>
      <c r="H803" t="s">
        <v>18</v>
      </c>
      <c r="I803" t="s">
        <v>11</v>
      </c>
      <c r="J803" t="str" cm="1">
        <f t="array" ref="J803">_xlfn.IFS(I803="S","Southamptom",I803="Q","Quentown",I803="C","Cherbrug",I803="B","Cabin")</f>
        <v>Southamptom</v>
      </c>
      <c r="K803" t="s">
        <v>15</v>
      </c>
      <c r="L803" s="2">
        <v>10.1</v>
      </c>
      <c r="M803" s="2" t="str" cm="1">
        <f t="array" ref="M803">_xlfn.IFS(L803&lt;=15,"Low Fare",L803&lt;=35,"Medium Fare",L803&lt;=100,"High Fare",L803&gt;=100,"Very High Fare")</f>
        <v>Low Fare</v>
      </c>
      <c r="N803" s="2">
        <v>0</v>
      </c>
      <c r="O803" s="2">
        <v>0</v>
      </c>
      <c r="P803">
        <f t="shared" si="49"/>
        <v>1</v>
      </c>
      <c r="Q803" t="str">
        <f t="shared" si="50"/>
        <v>Alone</v>
      </c>
      <c r="R803" t="str">
        <f t="shared" si="51"/>
        <v>Yes</v>
      </c>
      <c r="S803" t="s">
        <v>16</v>
      </c>
    </row>
    <row r="804" spans="1:19" x14ac:dyDescent="0.3">
      <c r="A804" s="1" t="s">
        <v>611</v>
      </c>
      <c r="B804" t="s">
        <v>1596</v>
      </c>
      <c r="C804" t="s">
        <v>2309</v>
      </c>
      <c r="D804" t="str">
        <f t="shared" si="48"/>
        <v>Male</v>
      </c>
      <c r="E804" t="s">
        <v>9</v>
      </c>
      <c r="F804" s="2">
        <v>48</v>
      </c>
      <c r="G804" s="2" t="str" cm="1">
        <f t="array" ref="G804">_xlfn.IFS(F804&lt;=8,"Child",F804&lt;=17,"Teen",F804&lt;=35,"Adult",F804&lt;=55,"Seniour Adult",F804&gt;=55,"Old Age")</f>
        <v>Seniour Adult</v>
      </c>
      <c r="H804" t="s">
        <v>10</v>
      </c>
      <c r="I804" t="s">
        <v>11</v>
      </c>
      <c r="J804" t="str" cm="1">
        <f t="array" ref="J804">_xlfn.IFS(I804="S","Southamptom",I804="Q","Quentown",I804="C","Cherbrug",I804="B","Cabin")</f>
        <v>Southamptom</v>
      </c>
      <c r="K804" t="s">
        <v>38</v>
      </c>
      <c r="L804" s="2">
        <v>8.01</v>
      </c>
      <c r="M804" s="2" t="str" cm="1">
        <f t="array" ref="M804">_xlfn.IFS(L804&lt;=15,"Low Fare",L804&lt;=35,"Medium Fare",L804&lt;=100,"High Fare",L804&gt;=100,"Very High Fare")</f>
        <v>Low Fare</v>
      </c>
      <c r="N804" s="2">
        <v>0</v>
      </c>
      <c r="O804" s="2">
        <v>0</v>
      </c>
      <c r="P804">
        <f t="shared" si="49"/>
        <v>1</v>
      </c>
      <c r="Q804" t="str">
        <f t="shared" si="50"/>
        <v>Alone</v>
      </c>
      <c r="R804" t="str">
        <f t="shared" si="51"/>
        <v>No</v>
      </c>
      <c r="S804" t="s">
        <v>13</v>
      </c>
    </row>
    <row r="805" spans="1:19" x14ac:dyDescent="0.3">
      <c r="A805" s="1" t="s">
        <v>612</v>
      </c>
      <c r="B805" t="s">
        <v>1596</v>
      </c>
      <c r="C805" t="s">
        <v>2208</v>
      </c>
      <c r="D805" t="str">
        <f t="shared" si="48"/>
        <v>Male</v>
      </c>
      <c r="E805" t="s">
        <v>9</v>
      </c>
      <c r="F805" s="2">
        <v>28</v>
      </c>
      <c r="G805" s="2" t="str" cm="1">
        <f t="array" ref="G805">_xlfn.IFS(F805&lt;=8,"Child",F805&lt;=17,"Teen",F805&lt;=35,"Adult",F805&lt;=55,"Seniour Adult",F805&gt;=55,"Old Age")</f>
        <v>Adult</v>
      </c>
      <c r="H805" t="s">
        <v>10</v>
      </c>
      <c r="I805" t="s">
        <v>36</v>
      </c>
      <c r="J805" t="str" cm="1">
        <f t="array" ref="J805">_xlfn.IFS(I805="S","Southamptom",I805="Q","Quentown",I805="C","Cherbrug",I805="B","Cabin")</f>
        <v>Quentown</v>
      </c>
      <c r="K805" t="s">
        <v>37</v>
      </c>
      <c r="L805" s="2">
        <v>7.15</v>
      </c>
      <c r="M805" s="2" t="str" cm="1">
        <f t="array" ref="M805">_xlfn.IFS(L805&lt;=15,"Low Fare",L805&lt;=35,"Medium Fare",L805&lt;=100,"High Fare",L805&gt;=100,"Very High Fare")</f>
        <v>Low Fare</v>
      </c>
      <c r="N805" s="2">
        <v>0</v>
      </c>
      <c r="O805" s="2">
        <v>0</v>
      </c>
      <c r="P805">
        <f t="shared" si="49"/>
        <v>1</v>
      </c>
      <c r="Q805" t="str">
        <f t="shared" si="50"/>
        <v>Alone</v>
      </c>
      <c r="R805" t="str">
        <f t="shared" si="51"/>
        <v>No</v>
      </c>
      <c r="S805" t="s">
        <v>13</v>
      </c>
    </row>
    <row r="806" spans="1:19" x14ac:dyDescent="0.3">
      <c r="A806" s="1" t="s">
        <v>613</v>
      </c>
      <c r="B806" t="s">
        <v>1596</v>
      </c>
      <c r="C806" t="s">
        <v>2156</v>
      </c>
      <c r="D806" t="str">
        <f t="shared" si="48"/>
        <v>Male</v>
      </c>
      <c r="E806" t="s">
        <v>9</v>
      </c>
      <c r="F806" s="2">
        <v>31</v>
      </c>
      <c r="G806" s="2" t="str" cm="1">
        <f t="array" ref="G806">_xlfn.IFS(F806&lt;=8,"Child",F806&lt;=17,"Teen",F806&lt;=35,"Adult",F806&lt;=55,"Seniour Adult",F806&gt;=55,"Old Age")</f>
        <v>Adult</v>
      </c>
      <c r="H806" t="s">
        <v>18</v>
      </c>
      <c r="I806" t="s">
        <v>11</v>
      </c>
      <c r="J806" t="str" cm="1">
        <f t="array" ref="J806">_xlfn.IFS(I806="S","Southamptom",I806="Q","Quentown",I806="C","Cherbrug",I806="B","Cabin")</f>
        <v>Southamptom</v>
      </c>
      <c r="K806" t="s">
        <v>15</v>
      </c>
      <c r="L806" s="2">
        <v>13</v>
      </c>
      <c r="M806" s="2" t="str" cm="1">
        <f t="array" ref="M806">_xlfn.IFS(L806&lt;=15,"Low Fare",L806&lt;=35,"Medium Fare",L806&lt;=100,"High Fare",L806&gt;=100,"Very High Fare")</f>
        <v>Low Fare</v>
      </c>
      <c r="N806" s="2">
        <v>0</v>
      </c>
      <c r="O806" s="2">
        <v>0</v>
      </c>
      <c r="P806">
        <f t="shared" si="49"/>
        <v>1</v>
      </c>
      <c r="Q806" t="str">
        <f t="shared" si="50"/>
        <v>Alone</v>
      </c>
      <c r="R806" t="str">
        <f t="shared" si="51"/>
        <v>No</v>
      </c>
      <c r="S806" t="s">
        <v>13</v>
      </c>
    </row>
    <row r="807" spans="1:19" x14ac:dyDescent="0.3">
      <c r="A807" s="1" t="s">
        <v>613</v>
      </c>
      <c r="B807" t="s">
        <v>1596</v>
      </c>
      <c r="C807" t="s">
        <v>2310</v>
      </c>
      <c r="D807" t="str">
        <f t="shared" si="48"/>
        <v>Male</v>
      </c>
      <c r="E807" t="s">
        <v>9</v>
      </c>
      <c r="F807" s="2">
        <v>28</v>
      </c>
      <c r="G807" s="2" t="str" cm="1">
        <f t="array" ref="G807">_xlfn.IFS(F807&lt;=8,"Child",F807&lt;=17,"Teen",F807&lt;=35,"Adult",F807&lt;=55,"Seniour Adult",F807&gt;=55,"Old Age")</f>
        <v>Adult</v>
      </c>
      <c r="H807" t="s">
        <v>25</v>
      </c>
      <c r="I807" t="s">
        <v>19</v>
      </c>
      <c r="J807" t="str" cm="1">
        <f t="array" ref="J807">_xlfn.IFS(I807="S","Southamptom",I807="Q","Quentown",I807="C","Cherbrug",I807="B","Cabin")</f>
        <v>Cherbrug</v>
      </c>
      <c r="K807" t="s">
        <v>12</v>
      </c>
      <c r="L807" s="2">
        <v>82.030500000000004</v>
      </c>
      <c r="M807" s="2" t="str" cm="1">
        <f t="array" ref="M807">_xlfn.IFS(L807&lt;=15,"Low Fare",L807&lt;=35,"Medium Fare",L807&lt;=100,"High Fare",L807&gt;=100,"Very High Fare")</f>
        <v>High Fare</v>
      </c>
      <c r="N807" s="2">
        <v>1</v>
      </c>
      <c r="O807" s="2">
        <v>0</v>
      </c>
      <c r="P807">
        <f t="shared" si="49"/>
        <v>2</v>
      </c>
      <c r="Q807" t="str">
        <f t="shared" si="50"/>
        <v>With Family</v>
      </c>
      <c r="R807" t="str">
        <f t="shared" si="51"/>
        <v>No</v>
      </c>
      <c r="S807" t="s">
        <v>13</v>
      </c>
    </row>
    <row r="808" spans="1:19" x14ac:dyDescent="0.3">
      <c r="A808" s="1" t="s">
        <v>613</v>
      </c>
      <c r="B808" t="s">
        <v>1600</v>
      </c>
      <c r="C808" t="s">
        <v>2311</v>
      </c>
      <c r="D808" t="str">
        <f t="shared" si="48"/>
        <v>Female</v>
      </c>
      <c r="E808" t="s">
        <v>14</v>
      </c>
      <c r="F808" s="2">
        <v>25</v>
      </c>
      <c r="G808" s="2" t="str" cm="1">
        <f t="array" ref="G808">_xlfn.IFS(F808&lt;=8,"Child",F808&lt;=17,"Teen",F808&lt;=35,"Adult",F808&lt;=55,"Seniour Adult",F808&gt;=55,"Old Age")</f>
        <v>Adult</v>
      </c>
      <c r="H808" t="s">
        <v>25</v>
      </c>
      <c r="I808" t="s">
        <v>19</v>
      </c>
      <c r="J808" t="str" cm="1">
        <f t="array" ref="J808">_xlfn.IFS(I808="S","Southamptom",I808="Q","Quentown",I808="C","Cherbrug",I808="B","Cabin")</f>
        <v>Cherbrug</v>
      </c>
      <c r="K808" t="s">
        <v>12</v>
      </c>
      <c r="L808" s="2">
        <v>82.030500000000004</v>
      </c>
      <c r="M808" s="2" t="str" cm="1">
        <f t="array" ref="M808">_xlfn.IFS(L808&lt;=15,"Low Fare",L808&lt;=35,"Medium Fare",L808&lt;=100,"High Fare",L808&gt;=100,"Very High Fare")</f>
        <v>High Fare</v>
      </c>
      <c r="N808" s="2">
        <v>1</v>
      </c>
      <c r="O808" s="2">
        <v>0</v>
      </c>
      <c r="P808">
        <f t="shared" si="49"/>
        <v>2</v>
      </c>
      <c r="Q808" t="str">
        <f t="shared" si="50"/>
        <v>With Family</v>
      </c>
      <c r="R808" t="str">
        <f t="shared" si="51"/>
        <v>Yes</v>
      </c>
      <c r="S808" t="s">
        <v>16</v>
      </c>
    </row>
    <row r="809" spans="1:19" x14ac:dyDescent="0.3">
      <c r="A809" s="1" t="s">
        <v>614</v>
      </c>
      <c r="B809" t="s">
        <v>1596</v>
      </c>
      <c r="C809" t="s">
        <v>2312</v>
      </c>
      <c r="D809" t="str">
        <f t="shared" si="48"/>
        <v>Male</v>
      </c>
      <c r="E809" t="s">
        <v>9</v>
      </c>
      <c r="F809" s="2">
        <v>21</v>
      </c>
      <c r="G809" s="2" t="str" cm="1">
        <f t="array" ref="G809">_xlfn.IFS(F809&lt;=8,"Child",F809&lt;=17,"Teen",F809&lt;=35,"Adult",F809&lt;=55,"Seniour Adult",F809&gt;=55,"Old Age")</f>
        <v>Adult</v>
      </c>
      <c r="H809" t="s">
        <v>10</v>
      </c>
      <c r="I809" t="s">
        <v>11</v>
      </c>
      <c r="J809" t="str" cm="1">
        <f t="array" ref="J809">_xlfn.IFS(I809="S","Southamptom",I809="Q","Quentown",I809="C","Cherbrug",I809="B","Cabin")</f>
        <v>Southamptom</v>
      </c>
      <c r="K809" t="s">
        <v>17</v>
      </c>
      <c r="L809" s="2">
        <v>7.1505999999999998</v>
      </c>
      <c r="M809" s="2" t="str" cm="1">
        <f t="array" ref="M809">_xlfn.IFS(L809&lt;=15,"Low Fare",L809&lt;=35,"Medium Fare",L809&lt;=100,"High Fare",L809&gt;=100,"Very High Fare")</f>
        <v>Low Fare</v>
      </c>
      <c r="N809" s="2">
        <v>0</v>
      </c>
      <c r="O809" s="2">
        <v>0</v>
      </c>
      <c r="P809">
        <f t="shared" si="49"/>
        <v>1</v>
      </c>
      <c r="Q809" t="str">
        <f t="shared" si="50"/>
        <v>Alone</v>
      </c>
      <c r="R809" t="str">
        <f t="shared" si="51"/>
        <v>Yes</v>
      </c>
      <c r="S809" t="s">
        <v>16</v>
      </c>
    </row>
    <row r="810" spans="1:19" x14ac:dyDescent="0.3">
      <c r="A810" s="1" t="s">
        <v>615</v>
      </c>
      <c r="B810" t="s">
        <v>1596</v>
      </c>
      <c r="C810" t="s">
        <v>2313</v>
      </c>
      <c r="D810" t="str">
        <f t="shared" si="48"/>
        <v>Male</v>
      </c>
      <c r="E810" t="s">
        <v>9</v>
      </c>
      <c r="F810" s="2">
        <v>28</v>
      </c>
      <c r="G810" s="2" t="str" cm="1">
        <f t="array" ref="G810">_xlfn.IFS(F810&lt;=8,"Child",F810&lt;=17,"Teen",F810&lt;=35,"Adult",F810&lt;=55,"Seniour Adult",F810&gt;=55,"Old Age")</f>
        <v>Adult</v>
      </c>
      <c r="H810" t="s">
        <v>10</v>
      </c>
      <c r="I810" t="s">
        <v>11</v>
      </c>
      <c r="J810" t="str" cm="1">
        <f t="array" ref="J810">_xlfn.IFS(I810="S","Southamptom",I810="Q","Quentown",I810="C","Cherbrug",I810="B","Cabin")</f>
        <v>Southamptom</v>
      </c>
      <c r="K810" t="s">
        <v>31</v>
      </c>
      <c r="L810" s="2">
        <v>7.1711</v>
      </c>
      <c r="M810" s="2" t="str" cm="1">
        <f t="array" ref="M810">_xlfn.IFS(L810&lt;=15,"Low Fare",L810&lt;=35,"Medium Fare",L810&lt;=100,"High Fare",L810&gt;=100,"Very High Fare")</f>
        <v>Low Fare</v>
      </c>
      <c r="N810" s="2">
        <v>0</v>
      </c>
      <c r="O810" s="2">
        <v>0</v>
      </c>
      <c r="P810">
        <f t="shared" si="49"/>
        <v>1</v>
      </c>
      <c r="Q810" t="str">
        <f t="shared" si="50"/>
        <v>Alone</v>
      </c>
      <c r="R810" t="str">
        <f t="shared" si="51"/>
        <v>No</v>
      </c>
      <c r="S810" t="s">
        <v>13</v>
      </c>
    </row>
    <row r="811" spans="1:19" x14ac:dyDescent="0.3">
      <c r="A811" s="1" t="s">
        <v>616</v>
      </c>
      <c r="B811" t="s">
        <v>1596</v>
      </c>
      <c r="C811" t="s">
        <v>1945</v>
      </c>
      <c r="D811" t="str">
        <f t="shared" si="48"/>
        <v>Male</v>
      </c>
      <c r="E811" t="s">
        <v>9</v>
      </c>
      <c r="F811" s="2">
        <v>23</v>
      </c>
      <c r="G811" s="2" t="str" cm="1">
        <f t="array" ref="G811">_xlfn.IFS(F811&lt;=8,"Child",F811&lt;=17,"Teen",F811&lt;=35,"Adult",F811&lt;=55,"Seniour Adult",F811&gt;=55,"Old Age")</f>
        <v>Adult</v>
      </c>
      <c r="H811" t="s">
        <v>10</v>
      </c>
      <c r="I811" t="s">
        <v>11</v>
      </c>
      <c r="J811" t="str" cm="1">
        <f t="array" ref="J811">_xlfn.IFS(I811="S","Southamptom",I811="Q","Quentown",I811="C","Cherbrug",I811="B","Cabin")</f>
        <v>Southamptom</v>
      </c>
      <c r="K811" t="s">
        <v>15</v>
      </c>
      <c r="L811" s="2">
        <v>8.01</v>
      </c>
      <c r="M811" s="2" t="str" cm="1">
        <f t="array" ref="M811">_xlfn.IFS(L811&lt;=15,"Low Fare",L811&lt;=35,"Medium Fare",L811&lt;=100,"High Fare",L811&gt;=100,"Very High Fare")</f>
        <v>Low Fare</v>
      </c>
      <c r="N811" s="2">
        <v>0</v>
      </c>
      <c r="O811" s="2">
        <v>0</v>
      </c>
      <c r="P811">
        <f t="shared" si="49"/>
        <v>1</v>
      </c>
      <c r="Q811" t="str">
        <f t="shared" si="50"/>
        <v>Alone</v>
      </c>
      <c r="R811" t="str">
        <f t="shared" si="51"/>
        <v>No</v>
      </c>
      <c r="S811" t="s">
        <v>13</v>
      </c>
    </row>
    <row r="812" spans="1:19" x14ac:dyDescent="0.3">
      <c r="A812" s="1" t="s">
        <v>617</v>
      </c>
      <c r="B812" t="s">
        <v>1596</v>
      </c>
      <c r="C812" t="s">
        <v>2314</v>
      </c>
      <c r="D812" t="str">
        <f t="shared" si="48"/>
        <v>Male</v>
      </c>
      <c r="E812" t="s">
        <v>9</v>
      </c>
      <c r="F812" s="2">
        <v>65</v>
      </c>
      <c r="G812" s="2" t="str" cm="1">
        <f t="array" ref="G812">_xlfn.IFS(F812&lt;=8,"Child",F812&lt;=17,"Teen",F812&lt;=35,"Adult",F812&lt;=55,"Seniour Adult",F812&gt;=55,"Old Age")</f>
        <v>Old Age</v>
      </c>
      <c r="H812" t="s">
        <v>25</v>
      </c>
      <c r="I812" t="s">
        <v>19</v>
      </c>
      <c r="J812" t="str" cm="1">
        <f t="array" ref="J812">_xlfn.IFS(I812="S","Southamptom",I812="Q","Quentown",I812="C","Cherbrug",I812="B","Cabin")</f>
        <v>Cherbrug</v>
      </c>
      <c r="K812" t="s">
        <v>12</v>
      </c>
      <c r="L812" s="2">
        <v>26.11</v>
      </c>
      <c r="M812" s="2" t="str" cm="1">
        <f t="array" ref="M812">_xlfn.IFS(L812&lt;=15,"Low Fare",L812&lt;=35,"Medium Fare",L812&lt;=100,"High Fare",L812&gt;=100,"Very High Fare")</f>
        <v>Medium Fare</v>
      </c>
      <c r="N812" s="2">
        <v>0</v>
      </c>
      <c r="O812" s="2">
        <v>0</v>
      </c>
      <c r="P812">
        <f t="shared" si="49"/>
        <v>1</v>
      </c>
      <c r="Q812" t="str">
        <f t="shared" si="50"/>
        <v>Alone</v>
      </c>
      <c r="R812" t="str">
        <f t="shared" si="51"/>
        <v>No</v>
      </c>
      <c r="S812" t="s">
        <v>13</v>
      </c>
    </row>
    <row r="813" spans="1:19" x14ac:dyDescent="0.3">
      <c r="A813" s="1" t="s">
        <v>618</v>
      </c>
      <c r="B813" t="s">
        <v>1596</v>
      </c>
      <c r="C813" t="s">
        <v>2315</v>
      </c>
      <c r="D813" t="str">
        <f t="shared" si="48"/>
        <v>Male</v>
      </c>
      <c r="E813" t="s">
        <v>9</v>
      </c>
      <c r="F813" s="2">
        <v>48</v>
      </c>
      <c r="G813" s="2" t="str" cm="1">
        <f t="array" ref="G813">_xlfn.IFS(F813&lt;=8,"Child",F813&lt;=17,"Teen",F813&lt;=35,"Adult",F813&lt;=55,"Seniour Adult",F813&gt;=55,"Old Age")</f>
        <v>Seniour Adult</v>
      </c>
      <c r="H813" t="s">
        <v>18</v>
      </c>
      <c r="I813" t="s">
        <v>11</v>
      </c>
      <c r="J813" t="str" cm="1">
        <f t="array" ref="J813">_xlfn.IFS(I813="S","Southamptom",I813="Q","Quentown",I813="C","Cherbrug",I813="B","Cabin")</f>
        <v>Southamptom</v>
      </c>
      <c r="K813" t="s">
        <v>27</v>
      </c>
      <c r="L813" s="2">
        <v>13</v>
      </c>
      <c r="M813" s="2" t="str" cm="1">
        <f t="array" ref="M813">_xlfn.IFS(L813&lt;=15,"Low Fare",L813&lt;=35,"Medium Fare",L813&lt;=100,"High Fare",L813&gt;=100,"Very High Fare")</f>
        <v>Low Fare</v>
      </c>
      <c r="N813" s="2">
        <v>0</v>
      </c>
      <c r="O813" s="2">
        <v>0</v>
      </c>
      <c r="P813">
        <f t="shared" si="49"/>
        <v>1</v>
      </c>
      <c r="Q813" t="str">
        <f t="shared" si="50"/>
        <v>Alone</v>
      </c>
      <c r="R813" t="str">
        <f t="shared" si="51"/>
        <v>No</v>
      </c>
      <c r="S813" t="s">
        <v>13</v>
      </c>
    </row>
    <row r="814" spans="1:19" x14ac:dyDescent="0.3">
      <c r="A814" s="1" t="s">
        <v>619</v>
      </c>
      <c r="B814" t="s">
        <v>1749</v>
      </c>
      <c r="C814" t="s">
        <v>2094</v>
      </c>
      <c r="D814" t="str">
        <f t="shared" si="48"/>
        <v>Male</v>
      </c>
      <c r="E814" t="s">
        <v>9</v>
      </c>
      <c r="F814" s="2">
        <v>44</v>
      </c>
      <c r="G814" s="2" t="str" cm="1">
        <f t="array" ref="G814">_xlfn.IFS(F814&lt;=8,"Child",F814&lt;=17,"Teen",F814&lt;=35,"Adult",F814&lt;=55,"Seniour Adult",F814&gt;=55,"Old Age")</f>
        <v>Seniour Adult</v>
      </c>
      <c r="H814" t="s">
        <v>25</v>
      </c>
      <c r="I814" t="s">
        <v>36</v>
      </c>
      <c r="J814" t="str" cm="1">
        <f t="array" ref="J814">_xlfn.IFS(I814="S","Southamptom",I814="Q","Quentown",I814="C","Cherbrug",I814="B","Cabin")</f>
        <v>Quentown</v>
      </c>
      <c r="K814" t="s">
        <v>12</v>
      </c>
      <c r="L814" s="2">
        <v>90</v>
      </c>
      <c r="M814" s="2" t="str" cm="1">
        <f t="array" ref="M814">_xlfn.IFS(L814&lt;=15,"Low Fare",L814&lt;=35,"Medium Fare",L814&lt;=100,"High Fare",L814&gt;=100,"Very High Fare")</f>
        <v>High Fare</v>
      </c>
      <c r="N814" s="2">
        <v>2</v>
      </c>
      <c r="O814" s="2">
        <v>0</v>
      </c>
      <c r="P814">
        <f t="shared" si="49"/>
        <v>3</v>
      </c>
      <c r="Q814" t="str">
        <f t="shared" si="50"/>
        <v>With Family</v>
      </c>
      <c r="R814" t="str">
        <f t="shared" si="51"/>
        <v>No</v>
      </c>
      <c r="S814" t="s">
        <v>13</v>
      </c>
    </row>
    <row r="815" spans="1:19" x14ac:dyDescent="0.3">
      <c r="A815" s="1" t="s">
        <v>619</v>
      </c>
      <c r="B815" t="s">
        <v>1602</v>
      </c>
      <c r="C815" t="s">
        <v>2316</v>
      </c>
      <c r="D815" t="str">
        <f t="shared" si="48"/>
        <v>Female</v>
      </c>
      <c r="E815" t="s">
        <v>14</v>
      </c>
      <c r="F815" s="2">
        <v>33</v>
      </c>
      <c r="G815" s="2" t="str" cm="1">
        <f t="array" ref="G815">_xlfn.IFS(F815&lt;=8,"Child",F815&lt;=17,"Teen",F815&lt;=35,"Adult",F815&lt;=55,"Seniour Adult",F815&gt;=55,"Old Age")</f>
        <v>Adult</v>
      </c>
      <c r="H815" t="s">
        <v>25</v>
      </c>
      <c r="I815" t="s">
        <v>36</v>
      </c>
      <c r="J815" t="str" cm="1">
        <f t="array" ref="J815">_xlfn.IFS(I815="S","Southamptom",I815="Q","Quentown",I815="C","Cherbrug",I815="B","Cabin")</f>
        <v>Quentown</v>
      </c>
      <c r="K815" t="s">
        <v>12</v>
      </c>
      <c r="L815" s="2">
        <v>90</v>
      </c>
      <c r="M815" s="2" t="str" cm="1">
        <f t="array" ref="M815">_xlfn.IFS(L815&lt;=15,"Low Fare",L815&lt;=35,"Medium Fare",L815&lt;=100,"High Fare",L815&gt;=100,"Very High Fare")</f>
        <v>High Fare</v>
      </c>
      <c r="N815" s="2">
        <v>1</v>
      </c>
      <c r="O815" s="2">
        <v>0</v>
      </c>
      <c r="P815">
        <f t="shared" si="49"/>
        <v>2</v>
      </c>
      <c r="Q815" t="str">
        <f t="shared" si="50"/>
        <v>With Family</v>
      </c>
      <c r="R815" t="str">
        <f t="shared" si="51"/>
        <v>Yes</v>
      </c>
      <c r="S815" t="s">
        <v>16</v>
      </c>
    </row>
    <row r="816" spans="1:19" x14ac:dyDescent="0.3">
      <c r="A816" s="1" t="s">
        <v>619</v>
      </c>
      <c r="B816" t="s">
        <v>1600</v>
      </c>
      <c r="C816" t="s">
        <v>2317</v>
      </c>
      <c r="D816" t="str">
        <f t="shared" si="48"/>
        <v>Female</v>
      </c>
      <c r="E816" t="s">
        <v>14</v>
      </c>
      <c r="F816" s="2">
        <v>37</v>
      </c>
      <c r="G816" s="2" t="str" cm="1">
        <f t="array" ref="G816">_xlfn.IFS(F816&lt;=8,"Child",F816&lt;=17,"Teen",F816&lt;=35,"Adult",F816&lt;=55,"Seniour Adult",F816&gt;=55,"Old Age")</f>
        <v>Seniour Adult</v>
      </c>
      <c r="H816" t="s">
        <v>25</v>
      </c>
      <c r="I816" t="s">
        <v>36</v>
      </c>
      <c r="J816" t="str" cm="1">
        <f t="array" ref="J816">_xlfn.IFS(I816="S","Southamptom",I816="Q","Quentown",I816="C","Cherbrug",I816="B","Cabin")</f>
        <v>Quentown</v>
      </c>
      <c r="K816" t="s">
        <v>12</v>
      </c>
      <c r="L816" s="2">
        <v>90</v>
      </c>
      <c r="M816" s="2" t="str" cm="1">
        <f t="array" ref="M816">_xlfn.IFS(L816&lt;=15,"Low Fare",L816&lt;=35,"Medium Fare",L816&lt;=100,"High Fare",L816&gt;=100,"Very High Fare")</f>
        <v>High Fare</v>
      </c>
      <c r="N816" s="2">
        <v>1</v>
      </c>
      <c r="O816" s="2">
        <v>0</v>
      </c>
      <c r="P816">
        <f t="shared" si="49"/>
        <v>2</v>
      </c>
      <c r="Q816" t="str">
        <f t="shared" si="50"/>
        <v>With Family</v>
      </c>
      <c r="R816" t="str">
        <f t="shared" si="51"/>
        <v>Yes</v>
      </c>
      <c r="S816" t="s">
        <v>16</v>
      </c>
    </row>
    <row r="817" spans="1:19" x14ac:dyDescent="0.3">
      <c r="A817" s="1" t="s">
        <v>620</v>
      </c>
      <c r="B817" t="s">
        <v>1596</v>
      </c>
      <c r="C817" t="s">
        <v>1864</v>
      </c>
      <c r="D817" t="str">
        <f t="shared" si="48"/>
        <v>Male</v>
      </c>
      <c r="E817" t="s">
        <v>9</v>
      </c>
      <c r="F817" s="2">
        <v>24</v>
      </c>
      <c r="G817" s="2" t="str" cm="1">
        <f t="array" ref="G817">_xlfn.IFS(F817&lt;=8,"Child",F817&lt;=17,"Teen",F817&lt;=35,"Adult",F817&lt;=55,"Seniour Adult",F817&gt;=55,"Old Age")</f>
        <v>Adult</v>
      </c>
      <c r="H817" t="s">
        <v>10</v>
      </c>
      <c r="I817" t="s">
        <v>11</v>
      </c>
      <c r="J817" t="str" cm="1">
        <f t="array" ref="J817">_xlfn.IFS(I817="S","Southamptom",I817="Q","Quentown",I817="C","Cherbrug",I817="B","Cabin")</f>
        <v>Southamptom</v>
      </c>
      <c r="K817" t="s">
        <v>15</v>
      </c>
      <c r="L817" s="2">
        <v>7.1711</v>
      </c>
      <c r="M817" s="2" t="str" cm="1">
        <f t="array" ref="M817">_xlfn.IFS(L817&lt;=15,"Low Fare",L817&lt;=35,"Medium Fare",L817&lt;=100,"High Fare",L817&gt;=100,"Very High Fare")</f>
        <v>Low Fare</v>
      </c>
      <c r="N817" s="2">
        <v>0</v>
      </c>
      <c r="O817" s="2">
        <v>0</v>
      </c>
      <c r="P817">
        <f t="shared" si="49"/>
        <v>1</v>
      </c>
      <c r="Q817" t="str">
        <f t="shared" si="50"/>
        <v>Alone</v>
      </c>
      <c r="R817" t="str">
        <f t="shared" si="51"/>
        <v>No</v>
      </c>
      <c r="S817" t="s">
        <v>13</v>
      </c>
    </row>
    <row r="818" spans="1:19" x14ac:dyDescent="0.3">
      <c r="A818" s="1" t="s">
        <v>621</v>
      </c>
      <c r="B818" t="s">
        <v>1596</v>
      </c>
      <c r="C818" t="s">
        <v>2318</v>
      </c>
      <c r="D818" t="str">
        <f t="shared" si="48"/>
        <v>Male</v>
      </c>
      <c r="E818" t="s">
        <v>9</v>
      </c>
      <c r="F818" s="2">
        <v>21</v>
      </c>
      <c r="G818" s="2" t="str" cm="1">
        <f t="array" ref="G818">_xlfn.IFS(F818&lt;=8,"Child",F818&lt;=17,"Teen",F818&lt;=35,"Adult",F818&lt;=55,"Seniour Adult",F818&gt;=55,"Old Age")</f>
        <v>Adult</v>
      </c>
      <c r="H818" t="s">
        <v>10</v>
      </c>
      <c r="I818" t="s">
        <v>11</v>
      </c>
      <c r="J818" t="str" cm="1">
        <f t="array" ref="J818">_xlfn.IFS(I818="S","Southamptom",I818="Q","Quentown",I818="C","Cherbrug",I818="B","Cabin")</f>
        <v>Southamptom</v>
      </c>
      <c r="K818" t="s">
        <v>31</v>
      </c>
      <c r="L818" s="2">
        <v>7.1711</v>
      </c>
      <c r="M818" s="2" t="str" cm="1">
        <f t="array" ref="M818">_xlfn.IFS(L818&lt;=15,"Low Fare",L818&lt;=35,"Medium Fare",L818&lt;=100,"High Fare",L818&gt;=100,"Very High Fare")</f>
        <v>Low Fare</v>
      </c>
      <c r="N818" s="2">
        <v>0</v>
      </c>
      <c r="O818" s="2">
        <v>0</v>
      </c>
      <c r="P818">
        <f t="shared" si="49"/>
        <v>1</v>
      </c>
      <c r="Q818" t="str">
        <f t="shared" si="50"/>
        <v>Alone</v>
      </c>
      <c r="R818" t="str">
        <f t="shared" si="51"/>
        <v>No</v>
      </c>
      <c r="S818" t="s">
        <v>13</v>
      </c>
    </row>
    <row r="819" spans="1:19" x14ac:dyDescent="0.3">
      <c r="A819" s="1" t="s">
        <v>622</v>
      </c>
      <c r="B819" t="s">
        <v>1596</v>
      </c>
      <c r="C819" t="s">
        <v>2319</v>
      </c>
      <c r="D819" t="str">
        <f t="shared" si="48"/>
        <v>Male</v>
      </c>
      <c r="E819" t="s">
        <v>9</v>
      </c>
      <c r="F819" s="2">
        <v>72</v>
      </c>
      <c r="G819" s="2" t="str" cm="1">
        <f t="array" ref="G819">_xlfn.IFS(F819&lt;=8,"Child",F819&lt;=17,"Teen",F819&lt;=35,"Adult",F819&lt;=55,"Seniour Adult",F819&gt;=55,"Old Age")</f>
        <v>Old Age</v>
      </c>
      <c r="H819" t="s">
        <v>18</v>
      </c>
      <c r="I819" t="s">
        <v>11</v>
      </c>
      <c r="J819" t="str" cm="1">
        <f t="array" ref="J819">_xlfn.IFS(I819="S","Southamptom",I819="Q","Quentown",I819="C","Cherbrug",I819="B","Cabin")</f>
        <v>Southamptom</v>
      </c>
      <c r="K819" t="s">
        <v>15</v>
      </c>
      <c r="L819" s="2">
        <v>10.1</v>
      </c>
      <c r="M819" s="2" t="str" cm="1">
        <f t="array" ref="M819">_xlfn.IFS(L819&lt;=15,"Low Fare",L819&lt;=35,"Medium Fare",L819&lt;=100,"High Fare",L819&gt;=100,"Very High Fare")</f>
        <v>Low Fare</v>
      </c>
      <c r="N819" s="2">
        <v>0</v>
      </c>
      <c r="O819" s="2">
        <v>0</v>
      </c>
      <c r="P819">
        <f t="shared" si="49"/>
        <v>1</v>
      </c>
      <c r="Q819" t="str">
        <f t="shared" si="50"/>
        <v>Alone</v>
      </c>
      <c r="R819" t="str">
        <f t="shared" si="51"/>
        <v>No</v>
      </c>
      <c r="S819" t="s">
        <v>13</v>
      </c>
    </row>
    <row r="820" spans="1:19" x14ac:dyDescent="0.3">
      <c r="A820" s="1" t="s">
        <v>623</v>
      </c>
      <c r="B820" t="s">
        <v>1596</v>
      </c>
      <c r="C820" t="s">
        <v>2320</v>
      </c>
      <c r="D820" t="str">
        <f t="shared" si="48"/>
        <v>Male</v>
      </c>
      <c r="E820" t="s">
        <v>9</v>
      </c>
      <c r="F820" s="2">
        <v>23</v>
      </c>
      <c r="G820" s="2" t="str" cm="1">
        <f t="array" ref="G820">_xlfn.IFS(F820&lt;=8,"Child",F820&lt;=17,"Teen",F820&lt;=35,"Adult",F820&lt;=55,"Seniour Adult",F820&gt;=55,"Old Age")</f>
        <v>Adult</v>
      </c>
      <c r="H820" t="s">
        <v>10</v>
      </c>
      <c r="I820" t="s">
        <v>11</v>
      </c>
      <c r="J820" t="str" cm="1">
        <f t="array" ref="J820">_xlfn.IFS(I820="S","Southamptom",I820="Q","Quentown",I820="C","Cherbrug",I820="B","Cabin")</f>
        <v>Southamptom</v>
      </c>
      <c r="K820" t="s">
        <v>15</v>
      </c>
      <c r="L820" s="2">
        <v>7.1711</v>
      </c>
      <c r="M820" s="2" t="str" cm="1">
        <f t="array" ref="M820">_xlfn.IFS(L820&lt;=15,"Low Fare",L820&lt;=35,"Medium Fare",L820&lt;=100,"High Fare",L820&gt;=100,"Very High Fare")</f>
        <v>Low Fare</v>
      </c>
      <c r="N820" s="2">
        <v>0</v>
      </c>
      <c r="O820" s="2">
        <v>0</v>
      </c>
      <c r="P820">
        <f t="shared" si="49"/>
        <v>1</v>
      </c>
      <c r="Q820" t="str">
        <f t="shared" si="50"/>
        <v>Alone</v>
      </c>
      <c r="R820" t="str">
        <f t="shared" si="51"/>
        <v>No</v>
      </c>
      <c r="S820" t="s">
        <v>13</v>
      </c>
    </row>
    <row r="821" spans="1:19" x14ac:dyDescent="0.3">
      <c r="A821" s="1" t="s">
        <v>624</v>
      </c>
      <c r="B821" t="s">
        <v>1602</v>
      </c>
      <c r="C821" t="s">
        <v>1689</v>
      </c>
      <c r="D821" t="str">
        <f t="shared" si="48"/>
        <v>Female</v>
      </c>
      <c r="E821" t="s">
        <v>14</v>
      </c>
      <c r="F821" s="2">
        <v>23</v>
      </c>
      <c r="G821" s="2" t="str" cm="1">
        <f t="array" ref="G821">_xlfn.IFS(F821&lt;=8,"Child",F821&lt;=17,"Teen",F821&lt;=35,"Adult",F821&lt;=55,"Seniour Adult",F821&gt;=55,"Old Age")</f>
        <v>Adult</v>
      </c>
      <c r="H821" t="s">
        <v>10</v>
      </c>
      <c r="I821" t="s">
        <v>36</v>
      </c>
      <c r="J821" t="str" cm="1">
        <f t="array" ref="J821">_xlfn.IFS(I821="S","Southamptom",I821="Q","Quentown",I821="C","Cherbrug",I821="B","Cabin")</f>
        <v>Quentown</v>
      </c>
      <c r="K821" t="s">
        <v>37</v>
      </c>
      <c r="L821" s="2">
        <v>7.1707000000000001</v>
      </c>
      <c r="M821" s="2" t="str" cm="1">
        <f t="array" ref="M821">_xlfn.IFS(L821&lt;=15,"Low Fare",L821&lt;=35,"Medium Fare",L821&lt;=100,"High Fare",L821&gt;=100,"Very High Fare")</f>
        <v>Low Fare</v>
      </c>
      <c r="N821" s="2">
        <v>0</v>
      </c>
      <c r="O821" s="2">
        <v>0</v>
      </c>
      <c r="P821">
        <f t="shared" si="49"/>
        <v>1</v>
      </c>
      <c r="Q821" t="str">
        <f t="shared" si="50"/>
        <v>Alone</v>
      </c>
      <c r="R821" t="str">
        <f t="shared" si="51"/>
        <v>Yes</v>
      </c>
      <c r="S821" t="s">
        <v>16</v>
      </c>
    </row>
    <row r="822" spans="1:19" x14ac:dyDescent="0.3">
      <c r="A822" s="1" t="s">
        <v>625</v>
      </c>
      <c r="B822" t="s">
        <v>1596</v>
      </c>
      <c r="C822" t="s">
        <v>2321</v>
      </c>
      <c r="D822" t="str">
        <f t="shared" si="48"/>
        <v>Male</v>
      </c>
      <c r="E822" t="s">
        <v>9</v>
      </c>
      <c r="F822" s="2">
        <v>30</v>
      </c>
      <c r="G822" s="2" t="str" cm="1">
        <f t="array" ref="G822">_xlfn.IFS(F822&lt;=8,"Child",F822&lt;=17,"Teen",F822&lt;=35,"Adult",F822&lt;=55,"Seniour Adult",F822&gt;=55,"Old Age")</f>
        <v>Adult</v>
      </c>
      <c r="H822" t="s">
        <v>25</v>
      </c>
      <c r="I822" t="s">
        <v>19</v>
      </c>
      <c r="J822" t="str" cm="1">
        <f t="array" ref="J822">_xlfn.IFS(I822="S","Southamptom",I822="Q","Quentown",I822="C","Cherbrug",I822="B","Cabin")</f>
        <v>Cherbrug</v>
      </c>
      <c r="K822" t="s">
        <v>12</v>
      </c>
      <c r="L822" s="2">
        <v>57.15</v>
      </c>
      <c r="M822" s="2" t="str" cm="1">
        <f t="array" ref="M822">_xlfn.IFS(L822&lt;=15,"Low Fare",L822&lt;=35,"Medium Fare",L822&lt;=100,"High Fare",L822&gt;=100,"Very High Fare")</f>
        <v>High Fare</v>
      </c>
      <c r="N822" s="2">
        <v>1</v>
      </c>
      <c r="O822" s="2">
        <v>0</v>
      </c>
      <c r="P822">
        <f t="shared" si="49"/>
        <v>2</v>
      </c>
      <c r="Q822" t="str">
        <f t="shared" si="50"/>
        <v>With Family</v>
      </c>
      <c r="R822" t="str">
        <f t="shared" si="51"/>
        <v>Yes</v>
      </c>
      <c r="S822" t="s">
        <v>16</v>
      </c>
    </row>
    <row r="823" spans="1:19" x14ac:dyDescent="0.3">
      <c r="A823" s="1" t="s">
        <v>626</v>
      </c>
      <c r="B823" t="s">
        <v>1596</v>
      </c>
      <c r="C823" t="s">
        <v>2322</v>
      </c>
      <c r="D823" t="str">
        <f t="shared" si="48"/>
        <v>Male</v>
      </c>
      <c r="E823" t="s">
        <v>9</v>
      </c>
      <c r="F823" s="2">
        <v>27</v>
      </c>
      <c r="G823" s="2" t="str" cm="1">
        <f t="array" ref="G823">_xlfn.IFS(F823&lt;=8,"Child",F823&lt;=17,"Teen",F823&lt;=35,"Adult",F823&lt;=55,"Seniour Adult",F823&gt;=55,"Old Age")</f>
        <v>Adult</v>
      </c>
      <c r="H823" t="s">
        <v>10</v>
      </c>
      <c r="I823" t="s">
        <v>11</v>
      </c>
      <c r="J823" t="str" cm="1">
        <f t="array" ref="J823">_xlfn.IFS(I823="S","Southamptom",I823="Q","Quentown",I823="C","Cherbrug",I823="B","Cabin")</f>
        <v>Southamptom</v>
      </c>
      <c r="K823" t="s">
        <v>17</v>
      </c>
      <c r="L823" s="2">
        <v>7.13</v>
      </c>
      <c r="M823" s="2" t="str" cm="1">
        <f t="array" ref="M823">_xlfn.IFS(L823&lt;=15,"Low Fare",L823&lt;=35,"Medium Fare",L823&lt;=100,"High Fare",L823&gt;=100,"Very High Fare")</f>
        <v>Low Fare</v>
      </c>
      <c r="N823" s="2">
        <v>0</v>
      </c>
      <c r="O823" s="2">
        <v>0</v>
      </c>
      <c r="P823">
        <f t="shared" si="49"/>
        <v>1</v>
      </c>
      <c r="Q823" t="str">
        <f t="shared" si="50"/>
        <v>Alone</v>
      </c>
      <c r="R823" t="str">
        <f t="shared" si="51"/>
        <v>No</v>
      </c>
      <c r="S823" t="s">
        <v>13</v>
      </c>
    </row>
    <row r="824" spans="1:19" x14ac:dyDescent="0.3">
      <c r="A824" s="1" t="s">
        <v>627</v>
      </c>
      <c r="B824" t="s">
        <v>1596</v>
      </c>
      <c r="C824" t="s">
        <v>2323</v>
      </c>
      <c r="D824" t="str">
        <f t="shared" si="48"/>
        <v>Male</v>
      </c>
      <c r="E824" t="s">
        <v>9</v>
      </c>
      <c r="F824" s="2">
        <v>55</v>
      </c>
      <c r="G824" s="2" t="str" cm="1">
        <f t="array" ref="G824">_xlfn.IFS(F824&lt;=8,"Child",F824&lt;=17,"Teen",F824&lt;=35,"Adult",F824&lt;=55,"Seniour Adult",F824&gt;=55,"Old Age")</f>
        <v>Seniour Adult</v>
      </c>
      <c r="H824" t="s">
        <v>25</v>
      </c>
      <c r="I824" t="s">
        <v>11</v>
      </c>
      <c r="J824" t="str" cm="1">
        <f t="array" ref="J824">_xlfn.IFS(I824="S","Southamptom",I824="Q","Quentown",I824="C","Cherbrug",I824="B","Cabin")</f>
        <v>Southamptom</v>
      </c>
      <c r="K824" t="s">
        <v>26</v>
      </c>
      <c r="L824" s="2">
        <v>30.1</v>
      </c>
      <c r="M824" s="2" t="str" cm="1">
        <f t="array" ref="M824">_xlfn.IFS(L824&lt;=15,"Low Fare",L824&lt;=35,"Medium Fare",L824&lt;=100,"High Fare",L824&gt;=100,"Very High Fare")</f>
        <v>Medium Fare</v>
      </c>
      <c r="N824" s="2">
        <v>0</v>
      </c>
      <c r="O824" s="2">
        <v>0</v>
      </c>
      <c r="P824">
        <f t="shared" si="49"/>
        <v>1</v>
      </c>
      <c r="Q824" t="str">
        <f t="shared" si="50"/>
        <v>Alone</v>
      </c>
      <c r="R824" t="str">
        <f t="shared" si="51"/>
        <v>No</v>
      </c>
      <c r="S824" t="s">
        <v>13</v>
      </c>
    </row>
    <row r="825" spans="1:19" x14ac:dyDescent="0.3">
      <c r="A825" s="1" t="s">
        <v>628</v>
      </c>
      <c r="B825" t="s">
        <v>1777</v>
      </c>
      <c r="C825" t="s">
        <v>2324</v>
      </c>
      <c r="D825" t="str">
        <f t="shared" si="48"/>
        <v>Male</v>
      </c>
      <c r="E825" t="s">
        <v>9</v>
      </c>
      <c r="F825" s="2">
        <v>27</v>
      </c>
      <c r="G825" s="2" t="str" cm="1">
        <f t="array" ref="G825">_xlfn.IFS(F825&lt;=8,"Child",F825&lt;=17,"Teen",F825&lt;=35,"Adult",F825&lt;=55,"Seniour Adult",F825&gt;=55,"Old Age")</f>
        <v>Adult</v>
      </c>
      <c r="H825" t="s">
        <v>18</v>
      </c>
      <c r="I825" t="s">
        <v>11</v>
      </c>
      <c r="J825" t="str" cm="1">
        <f t="array" ref="J825">_xlfn.IFS(I825="S","Southamptom",I825="Q","Quentown",I825="C","Cherbrug",I825="B","Cabin")</f>
        <v>Southamptom</v>
      </c>
      <c r="K825" t="s">
        <v>15</v>
      </c>
      <c r="L825" s="2">
        <v>13</v>
      </c>
      <c r="M825" s="2" t="str" cm="1">
        <f t="array" ref="M825">_xlfn.IFS(L825&lt;=15,"Low Fare",L825&lt;=35,"Medium Fare",L825&lt;=100,"High Fare",L825&gt;=100,"Very High Fare")</f>
        <v>Low Fare</v>
      </c>
      <c r="N825" s="2">
        <v>0</v>
      </c>
      <c r="O825" s="2">
        <v>0</v>
      </c>
      <c r="P825">
        <f t="shared" si="49"/>
        <v>1</v>
      </c>
      <c r="Q825" t="str">
        <f t="shared" si="50"/>
        <v>Alone</v>
      </c>
      <c r="R825" t="str">
        <f t="shared" si="51"/>
        <v>No</v>
      </c>
      <c r="S825" t="s">
        <v>13</v>
      </c>
    </row>
    <row r="826" spans="1:19" x14ac:dyDescent="0.3">
      <c r="A826" s="1" t="s">
        <v>629</v>
      </c>
      <c r="B826" t="s">
        <v>1596</v>
      </c>
      <c r="C826" t="s">
        <v>2325</v>
      </c>
      <c r="D826" t="str">
        <f t="shared" si="48"/>
        <v>Male</v>
      </c>
      <c r="E826" t="s">
        <v>9</v>
      </c>
      <c r="F826" s="2">
        <v>47</v>
      </c>
      <c r="G826" s="2" t="str" cm="1">
        <f t="array" ref="G826">_xlfn.IFS(F826&lt;=8,"Child",F826&lt;=17,"Teen",F826&lt;=35,"Adult",F826&lt;=55,"Seniour Adult",F826&gt;=55,"Old Age")</f>
        <v>Seniour Adult</v>
      </c>
      <c r="H826" t="s">
        <v>25</v>
      </c>
      <c r="I826" t="s">
        <v>11</v>
      </c>
      <c r="J826" t="str" cm="1">
        <f t="array" ref="J826">_xlfn.IFS(I826="S","Southamptom",I826="Q","Quentown",I826="C","Cherbrug",I826="B","Cabin")</f>
        <v>Southamptom</v>
      </c>
      <c r="K826" t="s">
        <v>12</v>
      </c>
      <c r="L826" s="2">
        <v>42.08</v>
      </c>
      <c r="M826" s="2" t="str" cm="1">
        <f t="array" ref="M826">_xlfn.IFS(L826&lt;=15,"Low Fare",L826&lt;=35,"Medium Fare",L826&lt;=100,"High Fare",L826&gt;=100,"Very High Fare")</f>
        <v>High Fare</v>
      </c>
      <c r="N826" s="2">
        <v>0</v>
      </c>
      <c r="O826" s="2">
        <v>0</v>
      </c>
      <c r="P826">
        <f t="shared" si="49"/>
        <v>1</v>
      </c>
      <c r="Q826" t="str">
        <f t="shared" si="50"/>
        <v>Alone</v>
      </c>
      <c r="R826" t="str">
        <f t="shared" si="51"/>
        <v>No</v>
      </c>
      <c r="S826" t="s">
        <v>13</v>
      </c>
    </row>
    <row r="827" spans="1:19" x14ac:dyDescent="0.3">
      <c r="A827" s="1" t="s">
        <v>629</v>
      </c>
      <c r="B827" t="s">
        <v>1596</v>
      </c>
      <c r="C827" t="s">
        <v>2326</v>
      </c>
      <c r="D827" t="str">
        <f t="shared" si="48"/>
        <v>Male</v>
      </c>
      <c r="E827" t="s">
        <v>9</v>
      </c>
      <c r="F827" s="2">
        <v>19</v>
      </c>
      <c r="G827" s="2" t="str" cm="1">
        <f t="array" ref="G827">_xlfn.IFS(F827&lt;=8,"Child",F827&lt;=17,"Teen",F827&lt;=35,"Adult",F827&lt;=55,"Seniour Adult",F827&gt;=55,"Old Age")</f>
        <v>Adult</v>
      </c>
      <c r="H827" t="s">
        <v>10</v>
      </c>
      <c r="I827" t="s">
        <v>11</v>
      </c>
      <c r="J827" t="str" cm="1">
        <f t="array" ref="J827">_xlfn.IFS(I827="S","Southamptom",I827="Q","Quentown",I827="C","Cherbrug",I827="B","Cabin")</f>
        <v>Southamptom</v>
      </c>
      <c r="K827" t="s">
        <v>15</v>
      </c>
      <c r="L827" s="2">
        <v>8.01</v>
      </c>
      <c r="M827" s="2" t="str" cm="1">
        <f t="array" ref="M827">_xlfn.IFS(L827&lt;=15,"Low Fare",L827&lt;=35,"Medium Fare",L827&lt;=100,"High Fare",L827&gt;=100,"Very High Fare")</f>
        <v>Low Fare</v>
      </c>
      <c r="N827" s="2">
        <v>0</v>
      </c>
      <c r="O827" s="2">
        <v>0</v>
      </c>
      <c r="P827">
        <f t="shared" si="49"/>
        <v>1</v>
      </c>
      <c r="Q827" t="str">
        <f t="shared" si="50"/>
        <v>Alone</v>
      </c>
      <c r="R827" t="str">
        <f t="shared" si="51"/>
        <v>No</v>
      </c>
      <c r="S827" t="s">
        <v>13</v>
      </c>
    </row>
    <row r="828" spans="1:19" x14ac:dyDescent="0.3">
      <c r="A828" s="1" t="s">
        <v>630</v>
      </c>
      <c r="B828" t="s">
        <v>1612</v>
      </c>
      <c r="C828" t="s">
        <v>2327</v>
      </c>
      <c r="D828" t="str">
        <f t="shared" si="48"/>
        <v>Male</v>
      </c>
      <c r="E828" t="s">
        <v>9</v>
      </c>
      <c r="F828" s="2">
        <v>7</v>
      </c>
      <c r="G828" s="2" t="str" cm="1">
        <f t="array" ref="G828">_xlfn.IFS(F828&lt;=8,"Child",F828&lt;=17,"Teen",F828&lt;=35,"Adult",F828&lt;=55,"Seniour Adult",F828&gt;=55,"Old Age")</f>
        <v>Child</v>
      </c>
      <c r="H828" t="s">
        <v>10</v>
      </c>
      <c r="I828" t="s">
        <v>11</v>
      </c>
      <c r="J828" t="str" cm="1">
        <f t="array" ref="J828">_xlfn.IFS(I828="S","Southamptom",I828="Q","Quentown",I828="C","Cherbrug",I828="B","Cabin")</f>
        <v>Southamptom</v>
      </c>
      <c r="K828" t="s">
        <v>15</v>
      </c>
      <c r="L828" s="2">
        <v>12.0906</v>
      </c>
      <c r="M828" s="2" t="str" cm="1">
        <f t="array" ref="M828">_xlfn.IFS(L828&lt;=15,"Low Fare",L828&lt;=35,"Medium Fare",L828&lt;=100,"High Fare",L828&gt;=100,"Very High Fare")</f>
        <v>Low Fare</v>
      </c>
      <c r="N828" s="2">
        <v>0</v>
      </c>
      <c r="O828" s="2">
        <v>1</v>
      </c>
      <c r="P828">
        <f t="shared" si="49"/>
        <v>2</v>
      </c>
      <c r="Q828" t="str">
        <f t="shared" si="50"/>
        <v>With Family</v>
      </c>
      <c r="R828" t="str">
        <f t="shared" si="51"/>
        <v>Yes</v>
      </c>
      <c r="S828" t="s">
        <v>16</v>
      </c>
    </row>
    <row r="829" spans="1:19" x14ac:dyDescent="0.3">
      <c r="A829" s="1" t="s">
        <v>630</v>
      </c>
      <c r="B829" t="s">
        <v>1600</v>
      </c>
      <c r="C829" t="s">
        <v>2328</v>
      </c>
      <c r="D829" t="str">
        <f t="shared" si="48"/>
        <v>Female</v>
      </c>
      <c r="E829" t="s">
        <v>14</v>
      </c>
      <c r="F829" s="2">
        <v>29</v>
      </c>
      <c r="G829" s="2" t="str" cm="1">
        <f t="array" ref="G829">_xlfn.IFS(F829&lt;=8,"Child",F829&lt;=17,"Teen",F829&lt;=35,"Adult",F829&lt;=55,"Seniour Adult",F829&gt;=55,"Old Age")</f>
        <v>Adult</v>
      </c>
      <c r="H829" t="s">
        <v>10</v>
      </c>
      <c r="I829" t="s">
        <v>11</v>
      </c>
      <c r="J829" t="str" cm="1">
        <f t="array" ref="J829">_xlfn.IFS(I829="S","Southamptom",I829="Q","Quentown",I829="C","Cherbrug",I829="B","Cabin")</f>
        <v>Southamptom</v>
      </c>
      <c r="K829" t="s">
        <v>15</v>
      </c>
      <c r="L829" s="2">
        <v>12.0906</v>
      </c>
      <c r="M829" s="2" t="str" cm="1">
        <f t="array" ref="M829">_xlfn.IFS(L829&lt;=15,"Low Fare",L829&lt;=35,"Medium Fare",L829&lt;=100,"High Fare",L829&gt;=100,"Very High Fare")</f>
        <v>Low Fare</v>
      </c>
      <c r="N829" s="2">
        <v>0</v>
      </c>
      <c r="O829" s="2">
        <v>1</v>
      </c>
      <c r="P829">
        <f t="shared" si="49"/>
        <v>2</v>
      </c>
      <c r="Q829" t="str">
        <f t="shared" si="50"/>
        <v>With Family</v>
      </c>
      <c r="R829" t="str">
        <f t="shared" si="51"/>
        <v>Yes</v>
      </c>
      <c r="S829" t="s">
        <v>16</v>
      </c>
    </row>
    <row r="830" spans="1:19" x14ac:dyDescent="0.3">
      <c r="A830" s="1" t="s">
        <v>631</v>
      </c>
      <c r="B830" t="s">
        <v>1602</v>
      </c>
      <c r="C830" t="s">
        <v>1927</v>
      </c>
      <c r="D830" t="str">
        <f t="shared" si="48"/>
        <v>Female</v>
      </c>
      <c r="E830" t="s">
        <v>14</v>
      </c>
      <c r="F830" s="2">
        <v>28</v>
      </c>
      <c r="G830" s="2" t="str" cm="1">
        <f t="array" ref="G830">_xlfn.IFS(F830&lt;=8,"Child",F830&lt;=17,"Teen",F830&lt;=35,"Adult",F830&lt;=55,"Seniour Adult",F830&gt;=55,"Old Age")</f>
        <v>Adult</v>
      </c>
      <c r="H830" t="s">
        <v>10</v>
      </c>
      <c r="I830" t="s">
        <v>36</v>
      </c>
      <c r="J830" t="str" cm="1">
        <f t="array" ref="J830">_xlfn.IFS(I830="S","Southamptom",I830="Q","Quentown",I830="C","Cherbrug",I830="B","Cabin")</f>
        <v>Quentown</v>
      </c>
      <c r="K830" t="s">
        <v>37</v>
      </c>
      <c r="L830" s="2">
        <v>24.03</v>
      </c>
      <c r="M830" s="2" t="str" cm="1">
        <f t="array" ref="M830">_xlfn.IFS(L830&lt;=15,"Low Fare",L830&lt;=35,"Medium Fare",L830&lt;=100,"High Fare",L830&gt;=100,"Very High Fare")</f>
        <v>Medium Fare</v>
      </c>
      <c r="N830" s="2">
        <v>1</v>
      </c>
      <c r="O830" s="2">
        <v>0</v>
      </c>
      <c r="P830">
        <f t="shared" si="49"/>
        <v>2</v>
      </c>
      <c r="Q830" t="str">
        <f t="shared" si="50"/>
        <v>With Family</v>
      </c>
      <c r="R830" t="str">
        <f t="shared" si="51"/>
        <v>Yes</v>
      </c>
      <c r="S830" t="s">
        <v>16</v>
      </c>
    </row>
    <row r="831" spans="1:19" x14ac:dyDescent="0.3">
      <c r="A831" s="1" t="s">
        <v>631</v>
      </c>
      <c r="B831" t="s">
        <v>1596</v>
      </c>
      <c r="C831" t="s">
        <v>2329</v>
      </c>
      <c r="D831" t="str">
        <f t="shared" si="48"/>
        <v>Male</v>
      </c>
      <c r="E831" t="s">
        <v>9</v>
      </c>
      <c r="F831" s="2">
        <v>28</v>
      </c>
      <c r="G831" s="2" t="str" cm="1">
        <f t="array" ref="G831">_xlfn.IFS(F831&lt;=8,"Child",F831&lt;=17,"Teen",F831&lt;=35,"Adult",F831&lt;=55,"Seniour Adult",F831&gt;=55,"Old Age")</f>
        <v>Adult</v>
      </c>
      <c r="H831" t="s">
        <v>10</v>
      </c>
      <c r="I831" t="s">
        <v>36</v>
      </c>
      <c r="J831" t="str" cm="1">
        <f t="array" ref="J831">_xlfn.IFS(I831="S","Southamptom",I831="Q","Quentown",I831="C","Cherbrug",I831="B","Cabin")</f>
        <v>Quentown</v>
      </c>
      <c r="K831" t="s">
        <v>37</v>
      </c>
      <c r="L831" s="2">
        <v>24.03</v>
      </c>
      <c r="M831" s="2" t="str" cm="1">
        <f t="array" ref="M831">_xlfn.IFS(L831&lt;=15,"Low Fare",L831&lt;=35,"Medium Fare",L831&lt;=100,"High Fare",L831&gt;=100,"Very High Fare")</f>
        <v>Medium Fare</v>
      </c>
      <c r="N831" s="2">
        <v>1</v>
      </c>
      <c r="O831" s="2">
        <v>0</v>
      </c>
      <c r="P831">
        <f t="shared" si="49"/>
        <v>2</v>
      </c>
      <c r="Q831" t="str">
        <f t="shared" si="50"/>
        <v>With Family</v>
      </c>
      <c r="R831" t="str">
        <f t="shared" si="51"/>
        <v>No</v>
      </c>
      <c r="S831" t="s">
        <v>13</v>
      </c>
    </row>
    <row r="832" spans="1:19" x14ac:dyDescent="0.3">
      <c r="A832" s="1" t="s">
        <v>632</v>
      </c>
      <c r="B832" t="s">
        <v>1749</v>
      </c>
      <c r="C832" t="s">
        <v>1794</v>
      </c>
      <c r="D832" t="str">
        <f t="shared" si="48"/>
        <v>Male</v>
      </c>
      <c r="E832" t="s">
        <v>9</v>
      </c>
      <c r="F832" s="2">
        <v>54</v>
      </c>
      <c r="G832" s="2" t="str" cm="1">
        <f t="array" ref="G832">_xlfn.IFS(F832&lt;=8,"Child",F832&lt;=17,"Teen",F832&lt;=35,"Adult",F832&lt;=55,"Seniour Adult",F832&gt;=55,"Old Age")</f>
        <v>Seniour Adult</v>
      </c>
      <c r="H832" t="s">
        <v>18</v>
      </c>
      <c r="I832" t="s">
        <v>11</v>
      </c>
      <c r="J832" t="str" cm="1">
        <f t="array" ref="J832">_xlfn.IFS(I832="S","Southamptom",I832="Q","Quentown",I832="C","Cherbrug",I832="B","Cabin")</f>
        <v>Southamptom</v>
      </c>
      <c r="K832" t="s">
        <v>12</v>
      </c>
      <c r="L832" s="2">
        <v>14</v>
      </c>
      <c r="M832" s="2" t="str" cm="1">
        <f t="array" ref="M832">_xlfn.IFS(L832&lt;=15,"Low Fare",L832&lt;=35,"Medium Fare",L832&lt;=100,"High Fare",L832&gt;=100,"Very High Fare")</f>
        <v>Low Fare</v>
      </c>
      <c r="N832" s="2">
        <v>0</v>
      </c>
      <c r="O832" s="2">
        <v>0</v>
      </c>
      <c r="P832">
        <f t="shared" si="49"/>
        <v>1</v>
      </c>
      <c r="Q832" t="str">
        <f t="shared" si="50"/>
        <v>Alone</v>
      </c>
      <c r="R832" t="str">
        <f t="shared" si="51"/>
        <v>No</v>
      </c>
      <c r="S832" t="s">
        <v>13</v>
      </c>
    </row>
    <row r="833" spans="1:19" x14ac:dyDescent="0.3">
      <c r="A833" s="1" t="s">
        <v>633</v>
      </c>
      <c r="B833" t="s">
        <v>1596</v>
      </c>
      <c r="C833" t="s">
        <v>2330</v>
      </c>
      <c r="D833" t="str">
        <f t="shared" si="48"/>
        <v>Male</v>
      </c>
      <c r="E833" t="s">
        <v>9</v>
      </c>
      <c r="F833" s="2">
        <v>38</v>
      </c>
      <c r="G833" s="2" t="str" cm="1">
        <f t="array" ref="G833">_xlfn.IFS(F833&lt;=8,"Child",F833&lt;=17,"Teen",F833&lt;=35,"Adult",F833&lt;=55,"Seniour Adult",F833&gt;=55,"Old Age")</f>
        <v>Seniour Adult</v>
      </c>
      <c r="H833" t="s">
        <v>18</v>
      </c>
      <c r="I833" t="s">
        <v>11</v>
      </c>
      <c r="J833" t="str" cm="1">
        <f t="array" ref="J833">_xlfn.IFS(I833="S","Southamptom",I833="Q","Quentown",I833="C","Cherbrug",I833="B","Cabin")</f>
        <v>Southamptom</v>
      </c>
      <c r="K833" t="s">
        <v>15</v>
      </c>
      <c r="L833" s="2">
        <v>26</v>
      </c>
      <c r="M833" s="2" t="str" cm="1">
        <f t="array" ref="M833">_xlfn.IFS(L833&lt;=15,"Low Fare",L833&lt;=35,"Medium Fare",L833&lt;=100,"High Fare",L833&gt;=100,"Very High Fare")</f>
        <v>Medium Fare</v>
      </c>
      <c r="N833" s="2">
        <v>0</v>
      </c>
      <c r="O833" s="2">
        <v>0</v>
      </c>
      <c r="P833">
        <f t="shared" si="49"/>
        <v>1</v>
      </c>
      <c r="Q833" t="str">
        <f t="shared" si="50"/>
        <v>Alone</v>
      </c>
      <c r="R833" t="str">
        <f t="shared" si="51"/>
        <v>No</v>
      </c>
      <c r="S833" t="s">
        <v>13</v>
      </c>
    </row>
    <row r="834" spans="1:19" x14ac:dyDescent="0.3">
      <c r="A834" s="1" t="s">
        <v>633</v>
      </c>
      <c r="B834" t="s">
        <v>1596</v>
      </c>
      <c r="C834" t="s">
        <v>1619</v>
      </c>
      <c r="D834" t="str">
        <f t="shared" si="48"/>
        <v>Male</v>
      </c>
      <c r="E834" t="s">
        <v>9</v>
      </c>
      <c r="F834" s="2">
        <v>34</v>
      </c>
      <c r="G834" s="2" t="str" cm="1">
        <f t="array" ref="G834">_xlfn.IFS(F834&lt;=8,"Child",F834&lt;=17,"Teen",F834&lt;=35,"Adult",F834&lt;=55,"Seniour Adult",F834&gt;=55,"Old Age")</f>
        <v>Adult</v>
      </c>
      <c r="H834" t="s">
        <v>10</v>
      </c>
      <c r="I834" t="s">
        <v>11</v>
      </c>
      <c r="J834" t="str" cm="1">
        <f t="array" ref="J834">_xlfn.IFS(I834="S","Southamptom",I834="Q","Quentown",I834="C","Cherbrug",I834="B","Cabin")</f>
        <v>Southamptom</v>
      </c>
      <c r="K834" t="s">
        <v>15</v>
      </c>
      <c r="L834" s="2">
        <v>8.01</v>
      </c>
      <c r="M834" s="2" t="str" cm="1">
        <f t="array" ref="M834">_xlfn.IFS(L834&lt;=15,"Low Fare",L834&lt;=35,"Medium Fare",L834&lt;=100,"High Fare",L834&gt;=100,"Very High Fare")</f>
        <v>Low Fare</v>
      </c>
      <c r="N834" s="2">
        <v>0</v>
      </c>
      <c r="O834" s="2">
        <v>0</v>
      </c>
      <c r="P834">
        <f t="shared" si="49"/>
        <v>1</v>
      </c>
      <c r="Q834" t="str">
        <f t="shared" si="50"/>
        <v>Alone</v>
      </c>
      <c r="R834" t="str">
        <f t="shared" si="51"/>
        <v>No</v>
      </c>
      <c r="S834" t="s">
        <v>13</v>
      </c>
    </row>
    <row r="835" spans="1:19" x14ac:dyDescent="0.3">
      <c r="A835" s="1" t="s">
        <v>634</v>
      </c>
      <c r="B835" t="s">
        <v>1596</v>
      </c>
      <c r="C835" t="s">
        <v>2331</v>
      </c>
      <c r="D835" t="str">
        <f t="shared" ref="D835:D898" si="52">PROPER(E835)</f>
        <v>Male</v>
      </c>
      <c r="E835" t="s">
        <v>9</v>
      </c>
      <c r="F835" s="2">
        <v>30</v>
      </c>
      <c r="G835" s="2" t="str" cm="1">
        <f t="array" ref="G835">_xlfn.IFS(F835&lt;=8,"Child",F835&lt;=17,"Teen",F835&lt;=35,"Adult",F835&lt;=55,"Seniour Adult",F835&gt;=55,"Old Age")</f>
        <v>Adult</v>
      </c>
      <c r="H835" t="s">
        <v>10</v>
      </c>
      <c r="I835" t="s">
        <v>36</v>
      </c>
      <c r="J835" t="str" cm="1">
        <f t="array" ref="J835">_xlfn.IFS(I835="S","Southamptom",I835="Q","Quentown",I835="C","Cherbrug",I835="B","Cabin")</f>
        <v>Quentown</v>
      </c>
      <c r="K835" t="s">
        <v>37</v>
      </c>
      <c r="L835" s="2">
        <v>7.15</v>
      </c>
      <c r="M835" s="2" t="str" cm="1">
        <f t="array" ref="M835">_xlfn.IFS(L835&lt;=15,"Low Fare",L835&lt;=35,"Medium Fare",L835&lt;=100,"High Fare",L835&gt;=100,"Very High Fare")</f>
        <v>Low Fare</v>
      </c>
      <c r="N835" s="2">
        <v>0</v>
      </c>
      <c r="O835" s="2">
        <v>0</v>
      </c>
      <c r="P835">
        <f t="shared" ref="P835:P898" si="53">N835+O835+1</f>
        <v>1</v>
      </c>
      <c r="Q835" t="str">
        <f t="shared" ref="Q835:Q898" si="54">IF(P835=1,"Alone","With Family")</f>
        <v>Alone</v>
      </c>
      <c r="R835" t="str">
        <f t="shared" ref="R835:R898" si="55">PROPER(S835)</f>
        <v>No</v>
      </c>
      <c r="S835" t="s">
        <v>13</v>
      </c>
    </row>
    <row r="836" spans="1:19" x14ac:dyDescent="0.3">
      <c r="A836" s="1" t="s">
        <v>635</v>
      </c>
      <c r="B836" t="s">
        <v>1596</v>
      </c>
      <c r="C836" t="s">
        <v>2332</v>
      </c>
      <c r="D836" t="str">
        <f t="shared" si="52"/>
        <v>Male</v>
      </c>
      <c r="E836" t="s">
        <v>9</v>
      </c>
      <c r="F836" s="2">
        <v>29</v>
      </c>
      <c r="G836" s="2" t="str" cm="1">
        <f t="array" ref="G836">_xlfn.IFS(F836&lt;=8,"Child",F836&lt;=17,"Teen",F836&lt;=35,"Adult",F836&lt;=55,"Seniour Adult",F836&gt;=55,"Old Age")</f>
        <v>Adult</v>
      </c>
      <c r="H836" t="s">
        <v>10</v>
      </c>
      <c r="I836" t="s">
        <v>11</v>
      </c>
      <c r="J836" t="str" cm="1">
        <f t="array" ref="J836">_xlfn.IFS(I836="S","Southamptom",I836="Q","Quentown",I836="C","Cherbrug",I836="B","Cabin")</f>
        <v>Southamptom</v>
      </c>
      <c r="K836" t="s">
        <v>17</v>
      </c>
      <c r="L836" s="2">
        <v>7.1505999999999998</v>
      </c>
      <c r="M836" s="2" t="str" cm="1">
        <f t="array" ref="M836">_xlfn.IFS(L836&lt;=15,"Low Fare",L836&lt;=35,"Medium Fare",L836&lt;=100,"High Fare",L836&gt;=100,"Very High Fare")</f>
        <v>Low Fare</v>
      </c>
      <c r="N836" s="2">
        <v>0</v>
      </c>
      <c r="O836" s="2">
        <v>0</v>
      </c>
      <c r="P836">
        <f t="shared" si="53"/>
        <v>1</v>
      </c>
      <c r="Q836" t="str">
        <f t="shared" si="54"/>
        <v>Alone</v>
      </c>
      <c r="R836" t="str">
        <f t="shared" si="55"/>
        <v>Yes</v>
      </c>
      <c r="S836" t="s">
        <v>16</v>
      </c>
    </row>
    <row r="837" spans="1:19" x14ac:dyDescent="0.3">
      <c r="A837" s="1" t="s">
        <v>636</v>
      </c>
      <c r="B837" t="s">
        <v>1600</v>
      </c>
      <c r="C837" t="s">
        <v>2333</v>
      </c>
      <c r="D837" t="str">
        <f t="shared" si="52"/>
        <v>Female</v>
      </c>
      <c r="E837" t="s">
        <v>14</v>
      </c>
      <c r="F837" s="2">
        <v>35</v>
      </c>
      <c r="G837" s="2" t="str" cm="1">
        <f t="array" ref="G837">_xlfn.IFS(F837&lt;=8,"Child",F837&lt;=17,"Teen",F837&lt;=35,"Adult",F837&lt;=55,"Seniour Adult",F837&gt;=55,"Old Age")</f>
        <v>Adult</v>
      </c>
      <c r="H837" t="s">
        <v>10</v>
      </c>
      <c r="I837" t="s">
        <v>19</v>
      </c>
      <c r="J837" t="str" cm="1">
        <f t="array" ref="J837">_xlfn.IFS(I837="S","Southamptom",I837="Q","Quentown",I837="C","Cherbrug",I837="B","Cabin")</f>
        <v>Cherbrug</v>
      </c>
      <c r="K837" t="s">
        <v>21</v>
      </c>
      <c r="L837" s="2">
        <v>7.0407000000000002</v>
      </c>
      <c r="M837" s="2" t="str" cm="1">
        <f t="array" ref="M837">_xlfn.IFS(L837&lt;=15,"Low Fare",L837&lt;=35,"Medium Fare",L837&lt;=100,"High Fare",L837&gt;=100,"Very High Fare")</f>
        <v>Low Fare</v>
      </c>
      <c r="N837" s="2">
        <v>0</v>
      </c>
      <c r="O837" s="2">
        <v>0</v>
      </c>
      <c r="P837">
        <f t="shared" si="53"/>
        <v>1</v>
      </c>
      <c r="Q837" t="str">
        <f t="shared" si="54"/>
        <v>Alone</v>
      </c>
      <c r="R837" t="str">
        <f t="shared" si="55"/>
        <v>Yes</v>
      </c>
      <c r="S837" t="s">
        <v>16</v>
      </c>
    </row>
    <row r="838" spans="1:19" x14ac:dyDescent="0.3">
      <c r="A838" s="1" t="s">
        <v>637</v>
      </c>
      <c r="B838" t="s">
        <v>1596</v>
      </c>
      <c r="C838" t="s">
        <v>2334</v>
      </c>
      <c r="D838" t="str">
        <f t="shared" si="52"/>
        <v>Male</v>
      </c>
      <c r="E838" t="s">
        <v>9</v>
      </c>
      <c r="F838" s="2">
        <v>28</v>
      </c>
      <c r="G838" s="2" t="str" cm="1">
        <f t="array" ref="G838">_xlfn.IFS(F838&lt;=8,"Child",F838&lt;=17,"Teen",F838&lt;=35,"Adult",F838&lt;=55,"Seniour Adult",F838&gt;=55,"Old Age")</f>
        <v>Adult</v>
      </c>
      <c r="H838" t="s">
        <v>10</v>
      </c>
      <c r="I838" t="s">
        <v>11</v>
      </c>
      <c r="J838" t="str" cm="1">
        <f t="array" ref="J838">_xlfn.IFS(I838="S","Southamptom",I838="Q","Quentown",I838="C","Cherbrug",I838="B","Cabin")</f>
        <v>Southamptom</v>
      </c>
      <c r="K838" t="s">
        <v>15</v>
      </c>
      <c r="L838" s="2">
        <v>8.01</v>
      </c>
      <c r="M838" s="2" t="str" cm="1">
        <f t="array" ref="M838">_xlfn.IFS(L838&lt;=15,"Low Fare",L838&lt;=35,"Medium Fare",L838&lt;=100,"High Fare",L838&gt;=100,"Very High Fare")</f>
        <v>Low Fare</v>
      </c>
      <c r="N838" s="2">
        <v>0</v>
      </c>
      <c r="O838" s="2">
        <v>0</v>
      </c>
      <c r="P838">
        <f t="shared" si="53"/>
        <v>1</v>
      </c>
      <c r="Q838" t="str">
        <f t="shared" si="54"/>
        <v>Alone</v>
      </c>
      <c r="R838" t="str">
        <f t="shared" si="55"/>
        <v>No</v>
      </c>
      <c r="S838" t="s">
        <v>13</v>
      </c>
    </row>
    <row r="839" spans="1:19" x14ac:dyDescent="0.3">
      <c r="A839" s="1" t="s">
        <v>638</v>
      </c>
      <c r="B839" t="s">
        <v>1612</v>
      </c>
      <c r="C839" t="s">
        <v>2335</v>
      </c>
      <c r="D839" t="str">
        <f t="shared" si="52"/>
        <v>Male</v>
      </c>
      <c r="E839" t="s">
        <v>9</v>
      </c>
      <c r="F839" s="2">
        <v>4</v>
      </c>
      <c r="G839" s="2" t="str" cm="1">
        <f t="array" ref="G839">_xlfn.IFS(F839&lt;=8,"Child",F839&lt;=17,"Teen",F839&lt;=35,"Adult",F839&lt;=55,"Seniour Adult",F839&gt;=55,"Old Age")</f>
        <v>Child</v>
      </c>
      <c r="H839" t="s">
        <v>10</v>
      </c>
      <c r="I839" t="s">
        <v>19</v>
      </c>
      <c r="J839" t="str" cm="1">
        <f t="array" ref="J839">_xlfn.IFS(I839="S","Southamptom",I839="Q","Quentown",I839="C","Cherbrug",I839="B","Cabin")</f>
        <v>Cherbrug</v>
      </c>
      <c r="K839" t="s">
        <v>21</v>
      </c>
      <c r="L839" s="2">
        <v>15.0411</v>
      </c>
      <c r="M839" s="2" t="str" cm="1">
        <f t="array" ref="M839">_xlfn.IFS(L839&lt;=15,"Low Fare",L839&lt;=35,"Medium Fare",L839&lt;=100,"High Fare",L839&gt;=100,"Very High Fare")</f>
        <v>Medium Fare</v>
      </c>
      <c r="N839" s="2">
        <v>1</v>
      </c>
      <c r="O839" s="2">
        <v>1</v>
      </c>
      <c r="P839">
        <f t="shared" si="53"/>
        <v>3</v>
      </c>
      <c r="Q839" t="str">
        <f t="shared" si="54"/>
        <v>With Family</v>
      </c>
      <c r="R839" t="str">
        <f t="shared" si="55"/>
        <v>Yes</v>
      </c>
      <c r="S839" t="s">
        <v>16</v>
      </c>
    </row>
    <row r="840" spans="1:19" x14ac:dyDescent="0.3">
      <c r="A840" s="1" t="s">
        <v>638</v>
      </c>
      <c r="B840" t="s">
        <v>1612</v>
      </c>
      <c r="C840" t="s">
        <v>2336</v>
      </c>
      <c r="D840" t="str">
        <f t="shared" si="52"/>
        <v>Male</v>
      </c>
      <c r="E840" t="s">
        <v>9</v>
      </c>
      <c r="F840" s="2">
        <v>7</v>
      </c>
      <c r="G840" s="2" t="str" cm="1">
        <f t="array" ref="G840">_xlfn.IFS(F840&lt;=8,"Child",F840&lt;=17,"Teen",F840&lt;=35,"Adult",F840&lt;=55,"Seniour Adult",F840&gt;=55,"Old Age")</f>
        <v>Child</v>
      </c>
      <c r="H840" t="s">
        <v>10</v>
      </c>
      <c r="I840" t="s">
        <v>19</v>
      </c>
      <c r="J840" t="str" cm="1">
        <f t="array" ref="J840">_xlfn.IFS(I840="S","Southamptom",I840="Q","Quentown",I840="C","Cherbrug",I840="B","Cabin")</f>
        <v>Cherbrug</v>
      </c>
      <c r="K840" t="s">
        <v>21</v>
      </c>
      <c r="L840" s="2">
        <v>15.0411</v>
      </c>
      <c r="M840" s="2" t="str" cm="1">
        <f t="array" ref="M840">_xlfn.IFS(L840&lt;=15,"Low Fare",L840&lt;=35,"Medium Fare",L840&lt;=100,"High Fare",L840&gt;=100,"Very High Fare")</f>
        <v>Medium Fare</v>
      </c>
      <c r="N840" s="2">
        <v>1</v>
      </c>
      <c r="O840" s="2">
        <v>1</v>
      </c>
      <c r="P840">
        <f t="shared" si="53"/>
        <v>3</v>
      </c>
      <c r="Q840" t="str">
        <f t="shared" si="54"/>
        <v>With Family</v>
      </c>
      <c r="R840" t="str">
        <f t="shared" si="55"/>
        <v>Yes</v>
      </c>
      <c r="S840" t="s">
        <v>16</v>
      </c>
    </row>
    <row r="841" spans="1:19" x14ac:dyDescent="0.3">
      <c r="A841" s="1" t="s">
        <v>638</v>
      </c>
      <c r="B841" t="s">
        <v>1600</v>
      </c>
      <c r="C841" t="s">
        <v>2337</v>
      </c>
      <c r="D841" t="str">
        <f t="shared" si="52"/>
        <v>Female</v>
      </c>
      <c r="E841" t="s">
        <v>14</v>
      </c>
      <c r="F841" s="2">
        <v>25</v>
      </c>
      <c r="G841" s="2" t="str" cm="1">
        <f t="array" ref="G841">_xlfn.IFS(F841&lt;=8,"Child",F841&lt;=17,"Teen",F841&lt;=35,"Adult",F841&lt;=55,"Seniour Adult",F841&gt;=55,"Old Age")</f>
        <v>Adult</v>
      </c>
      <c r="H841" t="s">
        <v>10</v>
      </c>
      <c r="I841" t="s">
        <v>19</v>
      </c>
      <c r="J841" t="str" cm="1">
        <f t="array" ref="J841">_xlfn.IFS(I841="S","Southamptom",I841="Q","Quentown",I841="C","Cherbrug",I841="B","Cabin")</f>
        <v>Cherbrug</v>
      </c>
      <c r="K841" t="s">
        <v>21</v>
      </c>
      <c r="L841" s="2">
        <v>15.0411</v>
      </c>
      <c r="M841" s="2" t="str" cm="1">
        <f t="array" ref="M841">_xlfn.IFS(L841&lt;=15,"Low Fare",L841&lt;=35,"Medium Fare",L841&lt;=100,"High Fare",L841&gt;=100,"Very High Fare")</f>
        <v>Medium Fare</v>
      </c>
      <c r="N841" s="2">
        <v>0</v>
      </c>
      <c r="O841" s="2">
        <v>2</v>
      </c>
      <c r="P841">
        <f t="shared" si="53"/>
        <v>3</v>
      </c>
      <c r="Q841" t="str">
        <f t="shared" si="54"/>
        <v>With Family</v>
      </c>
      <c r="R841" t="str">
        <f t="shared" si="55"/>
        <v>Yes</v>
      </c>
      <c r="S841" t="s">
        <v>16</v>
      </c>
    </row>
    <row r="842" spans="1:19" x14ac:dyDescent="0.3">
      <c r="A842" s="1" t="s">
        <v>639</v>
      </c>
      <c r="B842" t="s">
        <v>1596</v>
      </c>
      <c r="C842" t="s">
        <v>2338</v>
      </c>
      <c r="D842" t="str">
        <f t="shared" si="52"/>
        <v>Male</v>
      </c>
      <c r="E842" t="s">
        <v>9</v>
      </c>
      <c r="F842" s="2">
        <v>17</v>
      </c>
      <c r="G842" s="2" t="str" cm="1">
        <f t="array" ref="G842">_xlfn.IFS(F842&lt;=8,"Child",F842&lt;=17,"Teen",F842&lt;=35,"Adult",F842&lt;=55,"Seniour Adult",F842&gt;=55,"Old Age")</f>
        <v>Teen</v>
      </c>
      <c r="H842" t="s">
        <v>18</v>
      </c>
      <c r="I842" t="s">
        <v>11</v>
      </c>
      <c r="J842" t="str" cm="1">
        <f t="array" ref="J842">_xlfn.IFS(I842="S","Southamptom",I842="Q","Quentown",I842="C","Cherbrug",I842="B","Cabin")</f>
        <v>Southamptom</v>
      </c>
      <c r="K842" t="s">
        <v>15</v>
      </c>
      <c r="L842" s="2">
        <v>10.1</v>
      </c>
      <c r="M842" s="2" t="str" cm="1">
        <f t="array" ref="M842">_xlfn.IFS(L842&lt;=15,"Low Fare",L842&lt;=35,"Medium Fare",L842&lt;=100,"High Fare",L842&gt;=100,"Very High Fare")</f>
        <v>Low Fare</v>
      </c>
      <c r="N842" s="2">
        <v>0</v>
      </c>
      <c r="O842" s="2">
        <v>0</v>
      </c>
      <c r="P842">
        <f t="shared" si="53"/>
        <v>1</v>
      </c>
      <c r="Q842" t="str">
        <f t="shared" si="54"/>
        <v>Alone</v>
      </c>
      <c r="R842" t="str">
        <f t="shared" si="55"/>
        <v>No</v>
      </c>
      <c r="S842" t="s">
        <v>13</v>
      </c>
    </row>
    <row r="843" spans="1:19" x14ac:dyDescent="0.3">
      <c r="A843" s="1" t="s">
        <v>640</v>
      </c>
      <c r="B843" t="s">
        <v>1602</v>
      </c>
      <c r="C843" t="s">
        <v>1735</v>
      </c>
      <c r="D843" t="str">
        <f t="shared" si="52"/>
        <v>Female</v>
      </c>
      <c r="E843" t="s">
        <v>14</v>
      </c>
      <c r="F843" s="2">
        <v>21</v>
      </c>
      <c r="G843" s="2" t="str" cm="1">
        <f t="array" ref="G843">_xlfn.IFS(F843&lt;=8,"Child",F843&lt;=17,"Teen",F843&lt;=35,"Adult",F843&lt;=55,"Seniour Adult",F843&gt;=55,"Old Age")</f>
        <v>Adult</v>
      </c>
      <c r="H843" t="s">
        <v>10</v>
      </c>
      <c r="I843" t="s">
        <v>36</v>
      </c>
      <c r="J843" t="str" cm="1">
        <f t="array" ref="J843">_xlfn.IFS(I843="S","Southamptom",I843="Q","Quentown",I843="C","Cherbrug",I843="B","Cabin")</f>
        <v>Quentown</v>
      </c>
      <c r="K843" t="s">
        <v>37</v>
      </c>
      <c r="L843" s="2">
        <v>7.1407999999999996</v>
      </c>
      <c r="M843" s="2" t="str" cm="1">
        <f t="array" ref="M843">_xlfn.IFS(L843&lt;=15,"Low Fare",L843&lt;=35,"Medium Fare",L843&lt;=100,"High Fare",L843&gt;=100,"Very High Fare")</f>
        <v>Low Fare</v>
      </c>
      <c r="N843" s="2">
        <v>0</v>
      </c>
      <c r="O843" s="2">
        <v>0</v>
      </c>
      <c r="P843">
        <f t="shared" si="53"/>
        <v>1</v>
      </c>
      <c r="Q843" t="str">
        <f t="shared" si="54"/>
        <v>Alone</v>
      </c>
      <c r="R843" t="str">
        <f t="shared" si="55"/>
        <v>Yes</v>
      </c>
      <c r="S843" t="s">
        <v>16</v>
      </c>
    </row>
    <row r="844" spans="1:19" x14ac:dyDescent="0.3">
      <c r="A844" s="1" t="s">
        <v>641</v>
      </c>
      <c r="B844" t="s">
        <v>1602</v>
      </c>
      <c r="C844" t="s">
        <v>2339</v>
      </c>
      <c r="D844" t="str">
        <f t="shared" si="52"/>
        <v>Female</v>
      </c>
      <c r="E844" t="s">
        <v>14</v>
      </c>
      <c r="F844" s="2">
        <v>25</v>
      </c>
      <c r="G844" s="2" t="str" cm="1">
        <f t="array" ref="G844">_xlfn.IFS(F844&lt;=8,"Child",F844&lt;=17,"Teen",F844&lt;=35,"Adult",F844&lt;=55,"Seniour Adult",F844&gt;=55,"Old Age")</f>
        <v>Adult</v>
      </c>
      <c r="H844" t="s">
        <v>10</v>
      </c>
      <c r="I844" t="s">
        <v>36</v>
      </c>
      <c r="J844" t="str" cm="1">
        <f t="array" ref="J844">_xlfn.IFS(I844="S","Southamptom",I844="Q","Quentown",I844="C","Cherbrug",I844="B","Cabin")</f>
        <v>Quentown</v>
      </c>
      <c r="K844" t="s">
        <v>37</v>
      </c>
      <c r="L844" s="2">
        <v>7.15</v>
      </c>
      <c r="M844" s="2" t="str" cm="1">
        <f t="array" ref="M844">_xlfn.IFS(L844&lt;=15,"Low Fare",L844&lt;=35,"Medium Fare",L844&lt;=100,"High Fare",L844&gt;=100,"Very High Fare")</f>
        <v>Low Fare</v>
      </c>
      <c r="N844" s="2">
        <v>0</v>
      </c>
      <c r="O844" s="2">
        <v>0</v>
      </c>
      <c r="P844">
        <f t="shared" si="53"/>
        <v>1</v>
      </c>
      <c r="Q844" t="str">
        <f t="shared" si="54"/>
        <v>Alone</v>
      </c>
      <c r="R844" t="str">
        <f t="shared" si="55"/>
        <v>Yes</v>
      </c>
      <c r="S844" t="s">
        <v>16</v>
      </c>
    </row>
    <row r="845" spans="1:19" x14ac:dyDescent="0.3">
      <c r="A845" s="1" t="s">
        <v>642</v>
      </c>
      <c r="B845" t="s">
        <v>1596</v>
      </c>
      <c r="C845" t="s">
        <v>1795</v>
      </c>
      <c r="D845" t="str">
        <f t="shared" si="52"/>
        <v>Male</v>
      </c>
      <c r="E845" t="s">
        <v>9</v>
      </c>
      <c r="F845" s="2">
        <v>22</v>
      </c>
      <c r="G845" s="2" t="str" cm="1">
        <f t="array" ref="G845">_xlfn.IFS(F845&lt;=8,"Child",F845&lt;=17,"Teen",F845&lt;=35,"Adult",F845&lt;=55,"Seniour Adult",F845&gt;=55,"Old Age")</f>
        <v>Adult</v>
      </c>
      <c r="H845" t="s">
        <v>10</v>
      </c>
      <c r="I845" t="s">
        <v>11</v>
      </c>
      <c r="J845" t="str" cm="1">
        <f t="array" ref="J845">_xlfn.IFS(I845="S","Southamptom",I845="Q","Quentown",I845="C","Cherbrug",I845="B","Cabin")</f>
        <v>Southamptom</v>
      </c>
      <c r="K845" t="s">
        <v>15</v>
      </c>
      <c r="L845" s="2">
        <v>8.01</v>
      </c>
      <c r="M845" s="2" t="str" cm="1">
        <f t="array" ref="M845">_xlfn.IFS(L845&lt;=15,"Low Fare",L845&lt;=35,"Medium Fare",L845&lt;=100,"High Fare",L845&gt;=100,"Very High Fare")</f>
        <v>Low Fare</v>
      </c>
      <c r="N845" s="2">
        <v>0</v>
      </c>
      <c r="O845" s="2">
        <v>0</v>
      </c>
      <c r="P845">
        <f t="shared" si="53"/>
        <v>1</v>
      </c>
      <c r="Q845" t="str">
        <f t="shared" si="54"/>
        <v>Alone</v>
      </c>
      <c r="R845" t="str">
        <f t="shared" si="55"/>
        <v>No</v>
      </c>
      <c r="S845" t="s">
        <v>13</v>
      </c>
    </row>
    <row r="846" spans="1:19" x14ac:dyDescent="0.3">
      <c r="A846" s="1" t="s">
        <v>643</v>
      </c>
      <c r="B846" t="s">
        <v>1602</v>
      </c>
      <c r="C846" t="s">
        <v>1735</v>
      </c>
      <c r="D846" t="str">
        <f t="shared" si="52"/>
        <v>Female</v>
      </c>
      <c r="E846" t="s">
        <v>14</v>
      </c>
      <c r="F846" s="2">
        <v>18</v>
      </c>
      <c r="G846" s="2" t="str" cm="1">
        <f t="array" ref="G846">_xlfn.IFS(F846&lt;=8,"Child",F846&lt;=17,"Teen",F846&lt;=35,"Adult",F846&lt;=55,"Seniour Adult",F846&gt;=55,"Old Age")</f>
        <v>Adult</v>
      </c>
      <c r="H846" t="s">
        <v>10</v>
      </c>
      <c r="I846" t="s">
        <v>36</v>
      </c>
      <c r="J846" t="str" cm="1">
        <f t="array" ref="J846">_xlfn.IFS(I846="S","Southamptom",I846="Q","Quentown",I846="C","Cherbrug",I846="B","Cabin")</f>
        <v>Quentown</v>
      </c>
      <c r="K846" t="s">
        <v>37</v>
      </c>
      <c r="L846" s="2">
        <v>15.1</v>
      </c>
      <c r="M846" s="2" t="str" cm="1">
        <f t="array" ref="M846">_xlfn.IFS(L846&lt;=15,"Low Fare",L846&lt;=35,"Medium Fare",L846&lt;=100,"High Fare",L846&gt;=100,"Very High Fare")</f>
        <v>Medium Fare</v>
      </c>
      <c r="N846" s="2">
        <v>1</v>
      </c>
      <c r="O846" s="2">
        <v>0</v>
      </c>
      <c r="P846">
        <f t="shared" si="53"/>
        <v>2</v>
      </c>
      <c r="Q846" t="str">
        <f t="shared" si="54"/>
        <v>With Family</v>
      </c>
      <c r="R846" t="str">
        <f t="shared" si="55"/>
        <v>Yes</v>
      </c>
      <c r="S846" t="s">
        <v>16</v>
      </c>
    </row>
    <row r="847" spans="1:19" x14ac:dyDescent="0.3">
      <c r="A847" s="1" t="s">
        <v>643</v>
      </c>
      <c r="B847" t="s">
        <v>1602</v>
      </c>
      <c r="C847" t="s">
        <v>2340</v>
      </c>
      <c r="D847" t="str">
        <f t="shared" si="52"/>
        <v>Female</v>
      </c>
      <c r="E847" t="s">
        <v>14</v>
      </c>
      <c r="F847" s="2">
        <v>25</v>
      </c>
      <c r="G847" s="2" t="str" cm="1">
        <f t="array" ref="G847">_xlfn.IFS(F847&lt;=8,"Child",F847&lt;=17,"Teen",F847&lt;=35,"Adult",F847&lt;=55,"Seniour Adult",F847&gt;=55,"Old Age")</f>
        <v>Adult</v>
      </c>
      <c r="H847" t="s">
        <v>10</v>
      </c>
      <c r="I847" t="s">
        <v>36</v>
      </c>
      <c r="J847" t="str" cm="1">
        <f t="array" ref="J847">_xlfn.IFS(I847="S","Southamptom",I847="Q","Quentown",I847="C","Cherbrug",I847="B","Cabin")</f>
        <v>Quentown</v>
      </c>
      <c r="K847" t="s">
        <v>37</v>
      </c>
      <c r="L847" s="2">
        <v>15.1</v>
      </c>
      <c r="M847" s="2" t="str" cm="1">
        <f t="array" ref="M847">_xlfn.IFS(L847&lt;=15,"Low Fare",L847&lt;=35,"Medium Fare",L847&lt;=100,"High Fare",L847&gt;=100,"Very High Fare")</f>
        <v>Medium Fare</v>
      </c>
      <c r="N847" s="2">
        <v>1</v>
      </c>
      <c r="O847" s="2">
        <v>0</v>
      </c>
      <c r="P847">
        <f t="shared" si="53"/>
        <v>2</v>
      </c>
      <c r="Q847" t="str">
        <f t="shared" si="54"/>
        <v>With Family</v>
      </c>
      <c r="R847" t="str">
        <f t="shared" si="55"/>
        <v>Yes</v>
      </c>
      <c r="S847" t="s">
        <v>16</v>
      </c>
    </row>
    <row r="848" spans="1:19" x14ac:dyDescent="0.3">
      <c r="A848" s="1" t="s">
        <v>643</v>
      </c>
      <c r="B848" t="s">
        <v>1602</v>
      </c>
      <c r="C848" t="s">
        <v>2341</v>
      </c>
      <c r="D848" t="str">
        <f t="shared" si="52"/>
        <v>Female</v>
      </c>
      <c r="E848" t="s">
        <v>14</v>
      </c>
      <c r="F848" s="2">
        <v>31</v>
      </c>
      <c r="G848" s="2" t="str" cm="1">
        <f t="array" ref="G848">_xlfn.IFS(F848&lt;=8,"Child",F848&lt;=17,"Teen",F848&lt;=35,"Adult",F848&lt;=55,"Seniour Adult",F848&gt;=55,"Old Age")</f>
        <v>Adult</v>
      </c>
      <c r="H848" t="s">
        <v>10</v>
      </c>
      <c r="I848" t="s">
        <v>36</v>
      </c>
      <c r="J848" t="str" cm="1">
        <f t="array" ref="J848">_xlfn.IFS(I848="S","Southamptom",I848="Q","Quentown",I848="C","Cherbrug",I848="B","Cabin")</f>
        <v>Quentown</v>
      </c>
      <c r="K848" t="s">
        <v>37</v>
      </c>
      <c r="L848" s="2">
        <v>15.1</v>
      </c>
      <c r="M848" s="2" t="str" cm="1">
        <f t="array" ref="M848">_xlfn.IFS(L848&lt;=15,"Low Fare",L848&lt;=35,"Medium Fare",L848&lt;=100,"High Fare",L848&gt;=100,"Very High Fare")</f>
        <v>Medium Fare</v>
      </c>
      <c r="N848" s="2">
        <v>0</v>
      </c>
      <c r="O848" s="2">
        <v>0</v>
      </c>
      <c r="P848">
        <f t="shared" si="53"/>
        <v>1</v>
      </c>
      <c r="Q848" t="str">
        <f t="shared" si="54"/>
        <v>Alone</v>
      </c>
      <c r="R848" t="str">
        <f t="shared" si="55"/>
        <v>Yes</v>
      </c>
      <c r="S848" t="s">
        <v>16</v>
      </c>
    </row>
    <row r="849" spans="1:19" x14ac:dyDescent="0.3">
      <c r="A849" s="1" t="s">
        <v>644</v>
      </c>
      <c r="B849" t="s">
        <v>1600</v>
      </c>
      <c r="C849" t="s">
        <v>2342</v>
      </c>
      <c r="D849" t="str">
        <f t="shared" si="52"/>
        <v>Female</v>
      </c>
      <c r="E849" t="s">
        <v>14</v>
      </c>
      <c r="F849" s="2">
        <v>22</v>
      </c>
      <c r="G849" s="2" t="str" cm="1">
        <f t="array" ref="G849">_xlfn.IFS(F849&lt;=8,"Child",F849&lt;=17,"Teen",F849&lt;=35,"Adult",F849&lt;=55,"Seniour Adult",F849&gt;=55,"Old Age")</f>
        <v>Adult</v>
      </c>
      <c r="H849" t="s">
        <v>10</v>
      </c>
      <c r="I849" t="s">
        <v>19</v>
      </c>
      <c r="J849" t="str" cm="1">
        <f t="array" ref="J849">_xlfn.IFS(I849="S","Southamptom",I849="Q","Quentown",I849="C","Cherbrug",I849="B","Cabin")</f>
        <v>Cherbrug</v>
      </c>
      <c r="K849" t="s">
        <v>21</v>
      </c>
      <c r="L849" s="2">
        <v>7.0406000000000004</v>
      </c>
      <c r="M849" s="2" t="str" cm="1">
        <f t="array" ref="M849">_xlfn.IFS(L849&lt;=15,"Low Fare",L849&lt;=35,"Medium Fare",L849&lt;=100,"High Fare",L849&gt;=100,"Very High Fare")</f>
        <v>Low Fare</v>
      </c>
      <c r="N849" s="2">
        <v>0</v>
      </c>
      <c r="O849" s="2">
        <v>0</v>
      </c>
      <c r="P849">
        <f t="shared" si="53"/>
        <v>1</v>
      </c>
      <c r="Q849" t="str">
        <f t="shared" si="54"/>
        <v>Alone</v>
      </c>
      <c r="R849" t="str">
        <f t="shared" si="55"/>
        <v>Yes</v>
      </c>
      <c r="S849" t="s">
        <v>16</v>
      </c>
    </row>
    <row r="850" spans="1:19" x14ac:dyDescent="0.3">
      <c r="A850" s="1" t="s">
        <v>645</v>
      </c>
      <c r="B850" t="s">
        <v>1596</v>
      </c>
      <c r="C850" t="s">
        <v>2343</v>
      </c>
      <c r="D850" t="str">
        <f t="shared" si="52"/>
        <v>Male</v>
      </c>
      <c r="E850" t="s">
        <v>9</v>
      </c>
      <c r="F850" s="2">
        <v>18</v>
      </c>
      <c r="G850" s="2" t="str" cm="1">
        <f t="array" ref="G850">_xlfn.IFS(F850&lt;=8,"Child",F850&lt;=17,"Teen",F850&lt;=35,"Adult",F850&lt;=55,"Seniour Adult",F850&gt;=55,"Old Age")</f>
        <v>Adult</v>
      </c>
      <c r="H850" t="s">
        <v>10</v>
      </c>
      <c r="I850" t="s">
        <v>11</v>
      </c>
      <c r="J850" t="str" cm="1">
        <f t="array" ref="J850">_xlfn.IFS(I850="S","Southamptom",I850="Q","Quentown",I850="C","Cherbrug",I850="B","Cabin")</f>
        <v>Southamptom</v>
      </c>
      <c r="K850" t="s">
        <v>23</v>
      </c>
      <c r="L850" s="2">
        <v>7.15</v>
      </c>
      <c r="M850" s="2" t="str" cm="1">
        <f t="array" ref="M850">_xlfn.IFS(L850&lt;=15,"Low Fare",L850&lt;=35,"Medium Fare",L850&lt;=100,"High Fare",L850&gt;=100,"Very High Fare")</f>
        <v>Low Fare</v>
      </c>
      <c r="N850" s="2">
        <v>0</v>
      </c>
      <c r="O850" s="2">
        <v>0</v>
      </c>
      <c r="P850">
        <f t="shared" si="53"/>
        <v>1</v>
      </c>
      <c r="Q850" t="str">
        <f t="shared" si="54"/>
        <v>Alone</v>
      </c>
      <c r="R850" t="str">
        <f t="shared" si="55"/>
        <v>No</v>
      </c>
      <c r="S850" t="s">
        <v>13</v>
      </c>
    </row>
    <row r="851" spans="1:19" x14ac:dyDescent="0.3">
      <c r="A851" s="1" t="s">
        <v>646</v>
      </c>
      <c r="B851" t="s">
        <v>1596</v>
      </c>
      <c r="C851" t="s">
        <v>2293</v>
      </c>
      <c r="D851" t="str">
        <f t="shared" si="52"/>
        <v>Male</v>
      </c>
      <c r="E851" t="s">
        <v>9</v>
      </c>
      <c r="F851" s="2">
        <v>63</v>
      </c>
      <c r="G851" s="2" t="str" cm="1">
        <f t="array" ref="G851">_xlfn.IFS(F851&lt;=8,"Child",F851&lt;=17,"Teen",F851&lt;=35,"Adult",F851&lt;=55,"Seniour Adult",F851&gt;=55,"Old Age")</f>
        <v>Old Age</v>
      </c>
      <c r="H851" t="s">
        <v>18</v>
      </c>
      <c r="I851" t="s">
        <v>36</v>
      </c>
      <c r="J851" t="str" cm="1">
        <f t="array" ref="J851">_xlfn.IFS(I851="S","Southamptom",I851="Q","Quentown",I851="C","Cherbrug",I851="B","Cabin")</f>
        <v>Quentown</v>
      </c>
      <c r="K851" t="s">
        <v>37</v>
      </c>
      <c r="L851" s="2">
        <v>9.1309000000000005</v>
      </c>
      <c r="M851" s="2" t="str" cm="1">
        <f t="array" ref="M851">_xlfn.IFS(L851&lt;=15,"Low Fare",L851&lt;=35,"Medium Fare",L851&lt;=100,"High Fare",L851&gt;=100,"Very High Fare")</f>
        <v>Low Fare</v>
      </c>
      <c r="N851" s="2">
        <v>0</v>
      </c>
      <c r="O851" s="2">
        <v>0</v>
      </c>
      <c r="P851">
        <f t="shared" si="53"/>
        <v>1</v>
      </c>
      <c r="Q851" t="str">
        <f t="shared" si="54"/>
        <v>Alone</v>
      </c>
      <c r="R851" t="str">
        <f t="shared" si="55"/>
        <v>No</v>
      </c>
      <c r="S851" t="s">
        <v>13</v>
      </c>
    </row>
    <row r="852" spans="1:19" x14ac:dyDescent="0.3">
      <c r="A852" s="1" t="s">
        <v>647</v>
      </c>
      <c r="B852" t="s">
        <v>1596</v>
      </c>
      <c r="C852" t="s">
        <v>2344</v>
      </c>
      <c r="D852" t="str">
        <f t="shared" si="52"/>
        <v>Male</v>
      </c>
      <c r="E852" t="s">
        <v>9</v>
      </c>
      <c r="F852" s="2">
        <v>22</v>
      </c>
      <c r="G852" s="2" t="str" cm="1">
        <f t="array" ref="G852">_xlfn.IFS(F852&lt;=8,"Child",F852&lt;=17,"Teen",F852&lt;=35,"Adult",F852&lt;=55,"Seniour Adult",F852&gt;=55,"Old Age")</f>
        <v>Adult</v>
      </c>
      <c r="H852" t="s">
        <v>10</v>
      </c>
      <c r="I852" t="s">
        <v>11</v>
      </c>
      <c r="J852" t="str" cm="1">
        <f t="array" ref="J852">_xlfn.IFS(I852="S","Southamptom",I852="Q","Quentown",I852="C","Cherbrug",I852="B","Cabin")</f>
        <v>Southamptom</v>
      </c>
      <c r="K852" t="s">
        <v>31</v>
      </c>
      <c r="L852" s="2">
        <v>7.1711</v>
      </c>
      <c r="M852" s="2" t="str" cm="1">
        <f t="array" ref="M852">_xlfn.IFS(L852&lt;=15,"Low Fare",L852&lt;=35,"Medium Fare",L852&lt;=100,"High Fare",L852&gt;=100,"Very High Fare")</f>
        <v>Low Fare</v>
      </c>
      <c r="N852" s="2">
        <v>0</v>
      </c>
      <c r="O852" s="2">
        <v>0</v>
      </c>
      <c r="P852">
        <f t="shared" si="53"/>
        <v>1</v>
      </c>
      <c r="Q852" t="str">
        <f t="shared" si="54"/>
        <v>Alone</v>
      </c>
      <c r="R852" t="str">
        <f t="shared" si="55"/>
        <v>No</v>
      </c>
      <c r="S852" t="s">
        <v>13</v>
      </c>
    </row>
    <row r="853" spans="1:19" x14ac:dyDescent="0.3">
      <c r="A853" s="1" t="s">
        <v>648</v>
      </c>
      <c r="B853" t="s">
        <v>1602</v>
      </c>
      <c r="C853" t="s">
        <v>2345</v>
      </c>
      <c r="D853" t="str">
        <f t="shared" si="52"/>
        <v>Female</v>
      </c>
      <c r="E853" t="s">
        <v>14</v>
      </c>
      <c r="F853" s="2">
        <v>15</v>
      </c>
      <c r="G853" s="2" t="str" cm="1">
        <f t="array" ref="G853">_xlfn.IFS(F853&lt;=8,"Child",F853&lt;=17,"Teen",F853&lt;=35,"Adult",F853&lt;=55,"Seniour Adult",F853&gt;=55,"Old Age")</f>
        <v>Teen</v>
      </c>
      <c r="H853" t="s">
        <v>10</v>
      </c>
      <c r="I853" t="s">
        <v>19</v>
      </c>
      <c r="J853" t="str" cm="1">
        <f t="array" ref="J853">_xlfn.IFS(I853="S","Southamptom",I853="Q","Quentown",I853="C","Cherbrug",I853="B","Cabin")</f>
        <v>Cherbrug</v>
      </c>
      <c r="K853" t="s">
        <v>21</v>
      </c>
      <c r="L853" s="2">
        <v>7.0406000000000004</v>
      </c>
      <c r="M853" s="2" t="str" cm="1">
        <f t="array" ref="M853">_xlfn.IFS(L853&lt;=15,"Low Fare",L853&lt;=35,"Medium Fare",L853&lt;=100,"High Fare",L853&gt;=100,"Very High Fare")</f>
        <v>Low Fare</v>
      </c>
      <c r="N853" s="2">
        <v>0</v>
      </c>
      <c r="O853" s="2">
        <v>0</v>
      </c>
      <c r="P853">
        <f t="shared" si="53"/>
        <v>1</v>
      </c>
      <c r="Q853" t="str">
        <f t="shared" si="54"/>
        <v>Alone</v>
      </c>
      <c r="R853" t="str">
        <f t="shared" si="55"/>
        <v>Yes</v>
      </c>
      <c r="S853" t="s">
        <v>16</v>
      </c>
    </row>
    <row r="854" spans="1:19" x14ac:dyDescent="0.3">
      <c r="A854" s="1" t="s">
        <v>649</v>
      </c>
      <c r="B854" t="s">
        <v>1596</v>
      </c>
      <c r="C854" t="s">
        <v>2346</v>
      </c>
      <c r="D854" t="str">
        <f t="shared" si="52"/>
        <v>Male</v>
      </c>
      <c r="E854" t="s">
        <v>9</v>
      </c>
      <c r="F854" s="2">
        <v>17</v>
      </c>
      <c r="G854" s="2" t="str" cm="1">
        <f t="array" ref="G854">_xlfn.IFS(F854&lt;=8,"Child",F854&lt;=17,"Teen",F854&lt;=35,"Adult",F854&lt;=55,"Seniour Adult",F854&gt;=55,"Old Age")</f>
        <v>Teen</v>
      </c>
      <c r="H854" t="s">
        <v>10</v>
      </c>
      <c r="I854" t="s">
        <v>19</v>
      </c>
      <c r="J854" t="str" cm="1">
        <f t="array" ref="J854">_xlfn.IFS(I854="S","Southamptom",I854="Q","Quentown",I854="C","Cherbrug",I854="B","Cabin")</f>
        <v>Cherbrug</v>
      </c>
      <c r="K854" t="s">
        <v>21</v>
      </c>
      <c r="L854" s="2">
        <v>7.0407000000000002</v>
      </c>
      <c r="M854" s="2" t="str" cm="1">
        <f t="array" ref="M854">_xlfn.IFS(L854&lt;=15,"Low Fare",L854&lt;=35,"Medium Fare",L854&lt;=100,"High Fare",L854&gt;=100,"Very High Fare")</f>
        <v>Low Fare</v>
      </c>
      <c r="N854" s="2">
        <v>0</v>
      </c>
      <c r="O854" s="2">
        <v>0</v>
      </c>
      <c r="P854">
        <f t="shared" si="53"/>
        <v>1</v>
      </c>
      <c r="Q854" t="str">
        <f t="shared" si="54"/>
        <v>Alone</v>
      </c>
      <c r="R854" t="str">
        <f t="shared" si="55"/>
        <v>No</v>
      </c>
      <c r="S854" t="s">
        <v>13</v>
      </c>
    </row>
    <row r="855" spans="1:19" x14ac:dyDescent="0.3">
      <c r="A855" s="1" t="s">
        <v>650</v>
      </c>
      <c r="B855" t="s">
        <v>1602</v>
      </c>
      <c r="C855" t="s">
        <v>2200</v>
      </c>
      <c r="D855" t="str">
        <f t="shared" si="52"/>
        <v>Female</v>
      </c>
      <c r="E855" t="s">
        <v>14</v>
      </c>
      <c r="F855" s="2">
        <v>1</v>
      </c>
      <c r="G855" s="2" t="str" cm="1">
        <f t="array" ref="G855">_xlfn.IFS(F855&lt;=8,"Child",F855&lt;=17,"Teen",F855&lt;=35,"Adult",F855&lt;=55,"Seniour Adult",F855&gt;=55,"Old Age")</f>
        <v>Child</v>
      </c>
      <c r="H855" t="s">
        <v>10</v>
      </c>
      <c r="I855" t="s">
        <v>19</v>
      </c>
      <c r="J855" t="str" cm="1">
        <f t="array" ref="J855">_xlfn.IFS(I855="S","Southamptom",I855="Q","Quentown",I855="C","Cherbrug",I855="B","Cabin")</f>
        <v>Cherbrug</v>
      </c>
      <c r="K855" t="s">
        <v>21</v>
      </c>
      <c r="L855" s="2">
        <v>15.141</v>
      </c>
      <c r="M855" s="2" t="str" cm="1">
        <f t="array" ref="M855">_xlfn.IFS(L855&lt;=15,"Low Fare",L855&lt;=35,"Medium Fare",L855&lt;=100,"High Fare",L855&gt;=100,"Very High Fare")</f>
        <v>Medium Fare</v>
      </c>
      <c r="N855" s="2">
        <v>0</v>
      </c>
      <c r="O855" s="2">
        <v>2</v>
      </c>
      <c r="P855">
        <f t="shared" si="53"/>
        <v>3</v>
      </c>
      <c r="Q855" t="str">
        <f t="shared" si="54"/>
        <v>With Family</v>
      </c>
      <c r="R855" t="str">
        <f t="shared" si="55"/>
        <v>Yes</v>
      </c>
      <c r="S855" t="s">
        <v>16</v>
      </c>
    </row>
    <row r="856" spans="1:19" x14ac:dyDescent="0.3">
      <c r="A856" s="1" t="s">
        <v>650</v>
      </c>
      <c r="B856" t="s">
        <v>1596</v>
      </c>
      <c r="C856" t="s">
        <v>2347</v>
      </c>
      <c r="D856" t="str">
        <f t="shared" si="52"/>
        <v>Male</v>
      </c>
      <c r="E856" t="s">
        <v>9</v>
      </c>
      <c r="F856" s="2">
        <v>21</v>
      </c>
      <c r="G856" s="2" t="str" cm="1">
        <f t="array" ref="G856">_xlfn.IFS(F856&lt;=8,"Child",F856&lt;=17,"Teen",F856&lt;=35,"Adult",F856&lt;=55,"Seniour Adult",F856&gt;=55,"Old Age")</f>
        <v>Adult</v>
      </c>
      <c r="H856" t="s">
        <v>10</v>
      </c>
      <c r="I856" t="s">
        <v>19</v>
      </c>
      <c r="J856" t="str" cm="1">
        <f t="array" ref="J856">_xlfn.IFS(I856="S","Southamptom",I856="Q","Quentown",I856="C","Cherbrug",I856="B","Cabin")</f>
        <v>Cherbrug</v>
      </c>
      <c r="K856" t="s">
        <v>21</v>
      </c>
      <c r="L856" s="2">
        <v>15.141</v>
      </c>
      <c r="M856" s="2" t="str" cm="1">
        <f t="array" ref="M856">_xlfn.IFS(L856&lt;=15,"Low Fare",L856&lt;=35,"Medium Fare",L856&lt;=100,"High Fare",L856&gt;=100,"Very High Fare")</f>
        <v>Medium Fare</v>
      </c>
      <c r="N856" s="2">
        <v>1</v>
      </c>
      <c r="O856" s="2">
        <v>1</v>
      </c>
      <c r="P856">
        <f t="shared" si="53"/>
        <v>3</v>
      </c>
      <c r="Q856" t="str">
        <f t="shared" si="54"/>
        <v>With Family</v>
      </c>
      <c r="R856" t="str">
        <f t="shared" si="55"/>
        <v>Yes</v>
      </c>
      <c r="S856" t="s">
        <v>16</v>
      </c>
    </row>
    <row r="857" spans="1:19" x14ac:dyDescent="0.3">
      <c r="A857" s="1" t="s">
        <v>650</v>
      </c>
      <c r="B857" t="s">
        <v>1600</v>
      </c>
      <c r="C857" t="s">
        <v>2348</v>
      </c>
      <c r="D857" t="str">
        <f t="shared" si="52"/>
        <v>Female</v>
      </c>
      <c r="E857" t="s">
        <v>14</v>
      </c>
      <c r="F857" s="2">
        <v>19</v>
      </c>
      <c r="G857" s="2" t="str" cm="1">
        <f t="array" ref="G857">_xlfn.IFS(F857&lt;=8,"Child",F857&lt;=17,"Teen",F857&lt;=35,"Adult",F857&lt;=55,"Seniour Adult",F857&gt;=55,"Old Age")</f>
        <v>Adult</v>
      </c>
      <c r="H857" t="s">
        <v>10</v>
      </c>
      <c r="I857" t="s">
        <v>19</v>
      </c>
      <c r="J857" t="str" cm="1">
        <f t="array" ref="J857">_xlfn.IFS(I857="S","Southamptom",I857="Q","Quentown",I857="C","Cherbrug",I857="B","Cabin")</f>
        <v>Cherbrug</v>
      </c>
      <c r="K857" t="s">
        <v>21</v>
      </c>
      <c r="L857" s="2">
        <v>15.141</v>
      </c>
      <c r="M857" s="2" t="str" cm="1">
        <f t="array" ref="M857">_xlfn.IFS(L857&lt;=15,"Low Fare",L857&lt;=35,"Medium Fare",L857&lt;=100,"High Fare",L857&gt;=100,"Very High Fare")</f>
        <v>Medium Fare</v>
      </c>
      <c r="N857" s="2">
        <v>1</v>
      </c>
      <c r="O857" s="2">
        <v>1</v>
      </c>
      <c r="P857">
        <f t="shared" si="53"/>
        <v>3</v>
      </c>
      <c r="Q857" t="str">
        <f t="shared" si="54"/>
        <v>With Family</v>
      </c>
      <c r="R857" t="str">
        <f t="shared" si="55"/>
        <v>Yes</v>
      </c>
      <c r="S857" t="s">
        <v>16</v>
      </c>
    </row>
    <row r="858" spans="1:19" x14ac:dyDescent="0.3">
      <c r="A858" s="1" t="s">
        <v>651</v>
      </c>
      <c r="B858" t="s">
        <v>1596</v>
      </c>
      <c r="C858" t="s">
        <v>1621</v>
      </c>
      <c r="D858" t="str">
        <f t="shared" si="52"/>
        <v>Male</v>
      </c>
      <c r="E858" t="s">
        <v>9</v>
      </c>
      <c r="F858" s="2">
        <v>36</v>
      </c>
      <c r="G858" s="2" t="str" cm="1">
        <f t="array" ref="G858">_xlfn.IFS(F858&lt;=8,"Child",F858&lt;=17,"Teen",F858&lt;=35,"Adult",F858&lt;=55,"Seniour Adult",F858&gt;=55,"Old Age")</f>
        <v>Seniour Adult</v>
      </c>
      <c r="H858" t="s">
        <v>10</v>
      </c>
      <c r="I858" t="s">
        <v>11</v>
      </c>
      <c r="J858" t="str" cm="1">
        <f t="array" ref="J858">_xlfn.IFS(I858="S","Southamptom",I858="Q","Quentown",I858="C","Cherbrug",I858="B","Cabin")</f>
        <v>Southamptom</v>
      </c>
      <c r="K858" t="s">
        <v>15</v>
      </c>
      <c r="L858" s="2">
        <v>8.01</v>
      </c>
      <c r="M858" s="2" t="str" cm="1">
        <f t="array" ref="M858">_xlfn.IFS(L858&lt;=15,"Low Fare",L858&lt;=35,"Medium Fare",L858&lt;=100,"High Fare",L858&gt;=100,"Very High Fare")</f>
        <v>Low Fare</v>
      </c>
      <c r="N858" s="2">
        <v>0</v>
      </c>
      <c r="O858" s="2">
        <v>0</v>
      </c>
      <c r="P858">
        <f t="shared" si="53"/>
        <v>1</v>
      </c>
      <c r="Q858" t="str">
        <f t="shared" si="54"/>
        <v>Alone</v>
      </c>
      <c r="R858" t="str">
        <f t="shared" si="55"/>
        <v>No</v>
      </c>
      <c r="S858" t="s">
        <v>13</v>
      </c>
    </row>
    <row r="859" spans="1:19" x14ac:dyDescent="0.3">
      <c r="A859" s="1" t="s">
        <v>652</v>
      </c>
      <c r="B859" t="s">
        <v>1596</v>
      </c>
      <c r="C859" t="s">
        <v>1646</v>
      </c>
      <c r="D859" t="str">
        <f t="shared" si="52"/>
        <v>Male</v>
      </c>
      <c r="E859" t="s">
        <v>9</v>
      </c>
      <c r="F859" s="2">
        <v>32</v>
      </c>
      <c r="G859" s="2" t="str" cm="1">
        <f t="array" ref="G859">_xlfn.IFS(F859&lt;=8,"Child",F859&lt;=17,"Teen",F859&lt;=35,"Adult",F859&lt;=55,"Seniour Adult",F859&gt;=55,"Old Age")</f>
        <v>Adult</v>
      </c>
      <c r="H859" t="s">
        <v>10</v>
      </c>
      <c r="I859" t="s">
        <v>11</v>
      </c>
      <c r="J859" t="str" cm="1">
        <f t="array" ref="J859">_xlfn.IFS(I859="S","Southamptom",I859="Q","Quentown",I859="C","Cherbrug",I859="B","Cabin")</f>
        <v>Southamptom</v>
      </c>
      <c r="K859" t="s">
        <v>15</v>
      </c>
      <c r="L859" s="2">
        <v>7.1711</v>
      </c>
      <c r="M859" s="2" t="str" cm="1">
        <f t="array" ref="M859">_xlfn.IFS(L859&lt;=15,"Low Fare",L859&lt;=35,"Medium Fare",L859&lt;=100,"High Fare",L859&gt;=100,"Very High Fare")</f>
        <v>Low Fare</v>
      </c>
      <c r="N859" s="2">
        <v>0</v>
      </c>
      <c r="O859" s="2">
        <v>0</v>
      </c>
      <c r="P859">
        <f t="shared" si="53"/>
        <v>1</v>
      </c>
      <c r="Q859" t="str">
        <f t="shared" si="54"/>
        <v>Alone</v>
      </c>
      <c r="R859" t="str">
        <f t="shared" si="55"/>
        <v>No</v>
      </c>
      <c r="S859" t="s">
        <v>13</v>
      </c>
    </row>
    <row r="860" spans="1:19" x14ac:dyDescent="0.3">
      <c r="A860" s="1" t="s">
        <v>653</v>
      </c>
      <c r="B860" t="s">
        <v>1596</v>
      </c>
      <c r="C860" t="s">
        <v>2349</v>
      </c>
      <c r="D860" t="str">
        <f t="shared" si="52"/>
        <v>Male</v>
      </c>
      <c r="E860" t="s">
        <v>9</v>
      </c>
      <c r="F860" s="2">
        <v>20</v>
      </c>
      <c r="G860" s="2" t="str" cm="1">
        <f t="array" ref="G860">_xlfn.IFS(F860&lt;=8,"Child",F860&lt;=17,"Teen",F860&lt;=35,"Adult",F860&lt;=55,"Seniour Adult",F860&gt;=55,"Old Age")</f>
        <v>Adult</v>
      </c>
      <c r="H860" t="s">
        <v>10</v>
      </c>
      <c r="I860" t="s">
        <v>19</v>
      </c>
      <c r="J860" t="str" cm="1">
        <f t="array" ref="J860">_xlfn.IFS(I860="S","Southamptom",I860="Q","Quentown",I860="C","Cherbrug",I860="B","Cabin")</f>
        <v>Cherbrug</v>
      </c>
      <c r="K860" t="s">
        <v>21</v>
      </c>
      <c r="L860" s="2">
        <v>7.0407000000000002</v>
      </c>
      <c r="M860" s="2" t="str" cm="1">
        <f t="array" ref="M860">_xlfn.IFS(L860&lt;=15,"Low Fare",L860&lt;=35,"Medium Fare",L860&lt;=100,"High Fare",L860&gt;=100,"Very High Fare")</f>
        <v>Low Fare</v>
      </c>
      <c r="N860" s="2">
        <v>0</v>
      </c>
      <c r="O860" s="2">
        <v>0</v>
      </c>
      <c r="P860">
        <f t="shared" si="53"/>
        <v>1</v>
      </c>
      <c r="Q860" t="str">
        <f t="shared" si="54"/>
        <v>Alone</v>
      </c>
      <c r="R860" t="str">
        <f t="shared" si="55"/>
        <v>No</v>
      </c>
      <c r="S860" t="s">
        <v>13</v>
      </c>
    </row>
    <row r="861" spans="1:19" x14ac:dyDescent="0.3">
      <c r="A861" s="1" t="s">
        <v>654</v>
      </c>
      <c r="B861" t="s">
        <v>1596</v>
      </c>
      <c r="C861" t="s">
        <v>2350</v>
      </c>
      <c r="D861" t="str">
        <f t="shared" si="52"/>
        <v>Male</v>
      </c>
      <c r="E861" t="s">
        <v>9</v>
      </c>
      <c r="F861" s="2">
        <v>28</v>
      </c>
      <c r="G861" s="2" t="str" cm="1">
        <f t="array" ref="G861">_xlfn.IFS(F861&lt;=8,"Child",F861&lt;=17,"Teen",F861&lt;=35,"Adult",F861&lt;=55,"Seniour Adult",F861&gt;=55,"Old Age")</f>
        <v>Adult</v>
      </c>
      <c r="H861" t="s">
        <v>18</v>
      </c>
      <c r="I861" t="s">
        <v>19</v>
      </c>
      <c r="J861" t="str" cm="1">
        <f t="array" ref="J861">_xlfn.IFS(I861="S","Southamptom",I861="Q","Quentown",I861="C","Cherbrug",I861="B","Cabin")</f>
        <v>Cherbrug</v>
      </c>
      <c r="K861" t="s">
        <v>12</v>
      </c>
      <c r="L861" s="2">
        <v>30.0105</v>
      </c>
      <c r="M861" s="2" t="str" cm="1">
        <f t="array" ref="M861">_xlfn.IFS(L861&lt;=15,"Low Fare",L861&lt;=35,"Medium Fare",L861&lt;=100,"High Fare",L861&gt;=100,"Very High Fare")</f>
        <v>Medium Fare</v>
      </c>
      <c r="N861" s="2">
        <v>1</v>
      </c>
      <c r="O861" s="2">
        <v>0</v>
      </c>
      <c r="P861">
        <f t="shared" si="53"/>
        <v>2</v>
      </c>
      <c r="Q861" t="str">
        <f t="shared" si="54"/>
        <v>With Family</v>
      </c>
      <c r="R861" t="str">
        <f t="shared" si="55"/>
        <v>No</v>
      </c>
      <c r="S861" t="s">
        <v>13</v>
      </c>
    </row>
    <row r="862" spans="1:19" x14ac:dyDescent="0.3">
      <c r="A862" s="1" t="s">
        <v>654</v>
      </c>
      <c r="B862" t="s">
        <v>1600</v>
      </c>
      <c r="C862" t="s">
        <v>2345</v>
      </c>
      <c r="D862" t="str">
        <f t="shared" si="52"/>
        <v>Female</v>
      </c>
      <c r="E862" t="s">
        <v>14</v>
      </c>
      <c r="F862" s="2">
        <v>14</v>
      </c>
      <c r="G862" s="2" t="str" cm="1">
        <f t="array" ref="G862">_xlfn.IFS(F862&lt;=8,"Child",F862&lt;=17,"Teen",F862&lt;=35,"Adult",F862&lt;=55,"Seniour Adult",F862&gt;=55,"Old Age")</f>
        <v>Teen</v>
      </c>
      <c r="H862" t="s">
        <v>18</v>
      </c>
      <c r="I862" t="s">
        <v>19</v>
      </c>
      <c r="J862" t="str" cm="1">
        <f t="array" ref="J862">_xlfn.IFS(I862="S","Southamptom",I862="Q","Quentown",I862="C","Cherbrug",I862="B","Cabin")</f>
        <v>Cherbrug</v>
      </c>
      <c r="K862" t="s">
        <v>21</v>
      </c>
      <c r="L862" s="2">
        <v>30.0105</v>
      </c>
      <c r="M862" s="2" t="str" cm="1">
        <f t="array" ref="M862">_xlfn.IFS(L862&lt;=15,"Low Fare",L862&lt;=35,"Medium Fare",L862&lt;=100,"High Fare",L862&gt;=100,"Very High Fare")</f>
        <v>Medium Fare</v>
      </c>
      <c r="N862" s="2">
        <v>1</v>
      </c>
      <c r="O862" s="2">
        <v>0</v>
      </c>
      <c r="P862">
        <f t="shared" si="53"/>
        <v>2</v>
      </c>
      <c r="Q862" t="str">
        <f t="shared" si="54"/>
        <v>With Family</v>
      </c>
      <c r="R862" t="str">
        <f t="shared" si="55"/>
        <v>Yes</v>
      </c>
      <c r="S862" t="s">
        <v>16</v>
      </c>
    </row>
    <row r="863" spans="1:19" x14ac:dyDescent="0.3">
      <c r="A863" s="1" t="s">
        <v>655</v>
      </c>
      <c r="B863" t="s">
        <v>1596</v>
      </c>
      <c r="C863" t="s">
        <v>2351</v>
      </c>
      <c r="D863" t="str">
        <f t="shared" si="52"/>
        <v>Male</v>
      </c>
      <c r="E863" t="s">
        <v>9</v>
      </c>
      <c r="F863" s="2">
        <v>20</v>
      </c>
      <c r="G863" s="2" t="str" cm="1">
        <f t="array" ref="G863">_xlfn.IFS(F863&lt;=8,"Child",F863&lt;=17,"Teen",F863&lt;=35,"Adult",F863&lt;=55,"Seniour Adult",F863&gt;=55,"Old Age")</f>
        <v>Adult</v>
      </c>
      <c r="H863" t="s">
        <v>10</v>
      </c>
      <c r="I863" t="s">
        <v>19</v>
      </c>
      <c r="J863" t="str" cm="1">
        <f t="array" ref="J863">_xlfn.IFS(I863="S","Southamptom",I863="Q","Quentown",I863="C","Cherbrug",I863="B","Cabin")</f>
        <v>Cherbrug</v>
      </c>
      <c r="K863" t="s">
        <v>21</v>
      </c>
      <c r="L863" s="2">
        <v>7.0406000000000004</v>
      </c>
      <c r="M863" s="2" t="str" cm="1">
        <f t="array" ref="M863">_xlfn.IFS(L863&lt;=15,"Low Fare",L863&lt;=35,"Medium Fare",L863&lt;=100,"High Fare",L863&gt;=100,"Very High Fare")</f>
        <v>Low Fare</v>
      </c>
      <c r="N863" s="2">
        <v>0</v>
      </c>
      <c r="O863" s="2">
        <v>0</v>
      </c>
      <c r="P863">
        <f t="shared" si="53"/>
        <v>1</v>
      </c>
      <c r="Q863" t="str">
        <f t="shared" si="54"/>
        <v>Alone</v>
      </c>
      <c r="R863" t="str">
        <f t="shared" si="55"/>
        <v>No</v>
      </c>
      <c r="S863" t="s">
        <v>13</v>
      </c>
    </row>
    <row r="864" spans="1:19" x14ac:dyDescent="0.3">
      <c r="A864" s="1" t="s">
        <v>656</v>
      </c>
      <c r="B864" t="s">
        <v>1596</v>
      </c>
      <c r="C864" t="s">
        <v>2259</v>
      </c>
      <c r="D864" t="str">
        <f t="shared" si="52"/>
        <v>Male</v>
      </c>
      <c r="E864" t="s">
        <v>9</v>
      </c>
      <c r="F864" s="2">
        <v>36</v>
      </c>
      <c r="G864" s="2" t="str" cm="1">
        <f t="array" ref="G864">_xlfn.IFS(F864&lt;=8,"Child",F864&lt;=17,"Teen",F864&lt;=35,"Adult",F864&lt;=55,"Seniour Adult",F864&gt;=55,"Old Age")</f>
        <v>Seniour Adult</v>
      </c>
      <c r="H864" t="s">
        <v>25</v>
      </c>
      <c r="I864" t="s">
        <v>19</v>
      </c>
      <c r="J864" t="str" cm="1">
        <f t="array" ref="J864">_xlfn.IFS(I864="S","Southamptom",I864="Q","Quentown",I864="C","Cherbrug",I864="B","Cabin")</f>
        <v>Cherbrug</v>
      </c>
      <c r="K864" t="s">
        <v>12</v>
      </c>
      <c r="L864" s="2">
        <v>29.14</v>
      </c>
      <c r="M864" s="2" t="str" cm="1">
        <f t="array" ref="M864">_xlfn.IFS(L864&lt;=15,"Low Fare",L864&lt;=35,"Medium Fare",L864&lt;=100,"High Fare",L864&gt;=100,"Very High Fare")</f>
        <v>Medium Fare</v>
      </c>
      <c r="N864" s="2">
        <v>0</v>
      </c>
      <c r="O864" s="2">
        <v>1</v>
      </c>
      <c r="P864">
        <f t="shared" si="53"/>
        <v>2</v>
      </c>
      <c r="Q864" t="str">
        <f t="shared" si="54"/>
        <v>With Family</v>
      </c>
      <c r="R864" t="str">
        <f t="shared" si="55"/>
        <v>No</v>
      </c>
      <c r="S864" t="s">
        <v>13</v>
      </c>
    </row>
    <row r="865" spans="1:19" x14ac:dyDescent="0.3">
      <c r="A865" s="1" t="s">
        <v>657</v>
      </c>
      <c r="B865" t="s">
        <v>1602</v>
      </c>
      <c r="C865" t="s">
        <v>1606</v>
      </c>
      <c r="D865" t="str">
        <f t="shared" si="52"/>
        <v>Female</v>
      </c>
      <c r="E865" t="s">
        <v>14</v>
      </c>
      <c r="F865" s="2">
        <v>21</v>
      </c>
      <c r="G865" s="2" t="str" cm="1">
        <f t="array" ref="G865">_xlfn.IFS(F865&lt;=8,"Child",F865&lt;=17,"Teen",F865&lt;=35,"Adult",F865&lt;=55,"Seniour Adult",F865&gt;=55,"Old Age")</f>
        <v>Adult</v>
      </c>
      <c r="H865" t="s">
        <v>10</v>
      </c>
      <c r="I865" t="s">
        <v>36</v>
      </c>
      <c r="J865" t="str" cm="1">
        <f t="array" ref="J865">_xlfn.IFS(I865="S","Southamptom",I865="Q","Quentown",I865="C","Cherbrug",I865="B","Cabin")</f>
        <v>Quentown</v>
      </c>
      <c r="K865" t="s">
        <v>37</v>
      </c>
      <c r="L865" s="2">
        <v>7.15</v>
      </c>
      <c r="M865" s="2" t="str" cm="1">
        <f t="array" ref="M865">_xlfn.IFS(L865&lt;=15,"Low Fare",L865&lt;=35,"Medium Fare",L865&lt;=100,"High Fare",L865&gt;=100,"Very High Fare")</f>
        <v>Low Fare</v>
      </c>
      <c r="N865" s="2">
        <v>0</v>
      </c>
      <c r="O865" s="2">
        <v>0</v>
      </c>
      <c r="P865">
        <f t="shared" si="53"/>
        <v>1</v>
      </c>
      <c r="Q865" t="str">
        <f t="shared" si="54"/>
        <v>Alone</v>
      </c>
      <c r="R865" t="str">
        <f t="shared" si="55"/>
        <v>No</v>
      </c>
      <c r="S865" t="s">
        <v>13</v>
      </c>
    </row>
    <row r="866" spans="1:19" x14ac:dyDescent="0.3">
      <c r="A866" s="1" t="s">
        <v>658</v>
      </c>
      <c r="B866" t="s">
        <v>1612</v>
      </c>
      <c r="C866" t="s">
        <v>2352</v>
      </c>
      <c r="D866" t="str">
        <f t="shared" si="52"/>
        <v>Male</v>
      </c>
      <c r="E866" t="s">
        <v>9</v>
      </c>
      <c r="F866" s="2">
        <v>2</v>
      </c>
      <c r="G866" s="2" t="str" cm="1">
        <f t="array" ref="G866">_xlfn.IFS(F866&lt;=8,"Child",F866&lt;=17,"Teen",F866&lt;=35,"Adult",F866&lt;=55,"Seniour Adult",F866&gt;=55,"Old Age")</f>
        <v>Child</v>
      </c>
      <c r="H866" t="s">
        <v>18</v>
      </c>
      <c r="I866" t="s">
        <v>11</v>
      </c>
      <c r="J866" t="str" cm="1">
        <f t="array" ref="J866">_xlfn.IFS(I866="S","Southamptom",I866="Q","Quentown",I866="C","Cherbrug",I866="B","Cabin")</f>
        <v>Southamptom</v>
      </c>
      <c r="K866" t="s">
        <v>20</v>
      </c>
      <c r="L866" s="2">
        <v>26</v>
      </c>
      <c r="M866" s="2" t="str" cm="1">
        <f t="array" ref="M866">_xlfn.IFS(L866&lt;=15,"Low Fare",L866&lt;=35,"Medium Fare",L866&lt;=100,"High Fare",L866&gt;=100,"Very High Fare")</f>
        <v>Medium Fare</v>
      </c>
      <c r="N866" s="2">
        <v>1</v>
      </c>
      <c r="O866" s="2">
        <v>1</v>
      </c>
      <c r="P866">
        <f t="shared" si="53"/>
        <v>3</v>
      </c>
      <c r="Q866" t="str">
        <f t="shared" si="54"/>
        <v>With Family</v>
      </c>
      <c r="R866" t="str">
        <f t="shared" si="55"/>
        <v>Yes</v>
      </c>
      <c r="S866" t="s">
        <v>16</v>
      </c>
    </row>
    <row r="867" spans="1:19" x14ac:dyDescent="0.3">
      <c r="A867" s="1" t="s">
        <v>658</v>
      </c>
      <c r="B867" t="s">
        <v>1612</v>
      </c>
      <c r="C867" t="s">
        <v>2353</v>
      </c>
      <c r="D867" t="str">
        <f t="shared" si="52"/>
        <v>Male</v>
      </c>
      <c r="E867" t="s">
        <v>9</v>
      </c>
      <c r="F867" s="2">
        <v>3</v>
      </c>
      <c r="G867" s="2" t="str" cm="1">
        <f t="array" ref="G867">_xlfn.IFS(F867&lt;=8,"Child",F867&lt;=17,"Teen",F867&lt;=35,"Adult",F867&lt;=55,"Seniour Adult",F867&gt;=55,"Old Age")</f>
        <v>Child</v>
      </c>
      <c r="H867" t="s">
        <v>18</v>
      </c>
      <c r="I867" t="s">
        <v>11</v>
      </c>
      <c r="J867" t="str" cm="1">
        <f t="array" ref="J867">_xlfn.IFS(I867="S","Southamptom",I867="Q","Quentown",I867="C","Cherbrug",I867="B","Cabin")</f>
        <v>Southamptom</v>
      </c>
      <c r="K867" t="s">
        <v>20</v>
      </c>
      <c r="L867" s="2">
        <v>26</v>
      </c>
      <c r="M867" s="2" t="str" cm="1">
        <f t="array" ref="M867">_xlfn.IFS(L867&lt;=15,"Low Fare",L867&lt;=35,"Medium Fare",L867&lt;=100,"High Fare",L867&gt;=100,"Very High Fare")</f>
        <v>Medium Fare</v>
      </c>
      <c r="N867" s="2">
        <v>1</v>
      </c>
      <c r="O867" s="2">
        <v>1</v>
      </c>
      <c r="P867">
        <f t="shared" si="53"/>
        <v>3</v>
      </c>
      <c r="Q867" t="str">
        <f t="shared" si="54"/>
        <v>With Family</v>
      </c>
      <c r="R867" t="str">
        <f t="shared" si="55"/>
        <v>Yes</v>
      </c>
      <c r="S867" t="s">
        <v>16</v>
      </c>
    </row>
    <row r="868" spans="1:19" x14ac:dyDescent="0.3">
      <c r="A868" s="1" t="s">
        <v>658</v>
      </c>
      <c r="B868" t="s">
        <v>1596</v>
      </c>
      <c r="C868" t="s">
        <v>2354</v>
      </c>
      <c r="D868" t="str">
        <f t="shared" si="52"/>
        <v>Male</v>
      </c>
      <c r="E868" t="s">
        <v>9</v>
      </c>
      <c r="F868" s="2">
        <v>32</v>
      </c>
      <c r="G868" s="2" t="str" cm="1">
        <f t="array" ref="G868">_xlfn.IFS(F868&lt;=8,"Child",F868&lt;=17,"Teen",F868&lt;=35,"Adult",F868&lt;=55,"Seniour Adult",F868&gt;=55,"Old Age")</f>
        <v>Adult</v>
      </c>
      <c r="H868" t="s">
        <v>18</v>
      </c>
      <c r="I868" t="s">
        <v>11</v>
      </c>
      <c r="J868" t="str" cm="1">
        <f t="array" ref="J868">_xlfn.IFS(I868="S","Southamptom",I868="Q","Quentown",I868="C","Cherbrug",I868="B","Cabin")</f>
        <v>Southamptom</v>
      </c>
      <c r="K868" t="s">
        <v>63</v>
      </c>
      <c r="L868" s="2">
        <v>26</v>
      </c>
      <c r="M868" s="2" t="str" cm="1">
        <f t="array" ref="M868">_xlfn.IFS(L868&lt;=15,"Low Fare",L868&lt;=35,"Medium Fare",L868&lt;=100,"High Fare",L868&gt;=100,"Very High Fare")</f>
        <v>Medium Fare</v>
      </c>
      <c r="N868" s="2">
        <v>0</v>
      </c>
      <c r="O868" s="2">
        <v>2</v>
      </c>
      <c r="P868">
        <f t="shared" si="53"/>
        <v>3</v>
      </c>
      <c r="Q868" t="str">
        <f t="shared" si="54"/>
        <v>With Family</v>
      </c>
      <c r="R868" t="str">
        <f t="shared" si="55"/>
        <v>No</v>
      </c>
      <c r="S868" t="s">
        <v>13</v>
      </c>
    </row>
    <row r="869" spans="1:19" x14ac:dyDescent="0.3">
      <c r="A869" s="1" t="s">
        <v>659</v>
      </c>
      <c r="B869" t="s">
        <v>1596</v>
      </c>
      <c r="C869" t="s">
        <v>2355</v>
      </c>
      <c r="D869" t="str">
        <f t="shared" si="52"/>
        <v>Male</v>
      </c>
      <c r="E869" t="s">
        <v>9</v>
      </c>
      <c r="F869" s="2">
        <v>22</v>
      </c>
      <c r="G869" s="2" t="str" cm="1">
        <f t="array" ref="G869">_xlfn.IFS(F869&lt;=8,"Child",F869&lt;=17,"Teen",F869&lt;=35,"Adult",F869&lt;=55,"Seniour Adult",F869&gt;=55,"Old Age")</f>
        <v>Adult</v>
      </c>
      <c r="H869" t="s">
        <v>10</v>
      </c>
      <c r="I869" t="s">
        <v>11</v>
      </c>
      <c r="J869" t="str" cm="1">
        <f t="array" ref="J869">_xlfn.IFS(I869="S","Southamptom",I869="Q","Quentown",I869="C","Cherbrug",I869="B","Cabin")</f>
        <v>Southamptom</v>
      </c>
      <c r="K869" t="s">
        <v>15</v>
      </c>
      <c r="L869" s="2">
        <v>7.1711</v>
      </c>
      <c r="M869" s="2" t="str" cm="1">
        <f t="array" ref="M869">_xlfn.IFS(L869&lt;=15,"Low Fare",L869&lt;=35,"Medium Fare",L869&lt;=100,"High Fare",L869&gt;=100,"Very High Fare")</f>
        <v>Low Fare</v>
      </c>
      <c r="N869" s="2">
        <v>0</v>
      </c>
      <c r="O869" s="2">
        <v>0</v>
      </c>
      <c r="P869">
        <f t="shared" si="53"/>
        <v>1</v>
      </c>
      <c r="Q869" t="str">
        <f t="shared" si="54"/>
        <v>Alone</v>
      </c>
      <c r="R869" t="str">
        <f t="shared" si="55"/>
        <v>No</v>
      </c>
      <c r="S869" t="s">
        <v>13</v>
      </c>
    </row>
    <row r="870" spans="1:19" x14ac:dyDescent="0.3">
      <c r="A870" s="1" t="s">
        <v>660</v>
      </c>
      <c r="B870" t="s">
        <v>1596</v>
      </c>
      <c r="C870" t="s">
        <v>2356</v>
      </c>
      <c r="D870" t="str">
        <f t="shared" si="52"/>
        <v>Male</v>
      </c>
      <c r="E870" t="s">
        <v>9</v>
      </c>
      <c r="F870" s="2">
        <v>26</v>
      </c>
      <c r="G870" s="2" t="str" cm="1">
        <f t="array" ref="G870">_xlfn.IFS(F870&lt;=8,"Child",F870&lt;=17,"Teen",F870&lt;=35,"Adult",F870&lt;=55,"Seniour Adult",F870&gt;=55,"Old Age")</f>
        <v>Adult</v>
      </c>
      <c r="H870" t="s">
        <v>18</v>
      </c>
      <c r="I870" t="s">
        <v>11</v>
      </c>
      <c r="J870" t="str" cm="1">
        <f t="array" ref="J870">_xlfn.IFS(I870="S","Southamptom",I870="Q","Quentown",I870="C","Cherbrug",I870="B","Cabin")</f>
        <v>Southamptom</v>
      </c>
      <c r="K870" t="s">
        <v>15</v>
      </c>
      <c r="L870" s="2">
        <v>13</v>
      </c>
      <c r="M870" s="2" t="str" cm="1">
        <f t="array" ref="M870">_xlfn.IFS(L870&lt;=15,"Low Fare",L870&lt;=35,"Medium Fare",L870&lt;=100,"High Fare",L870&gt;=100,"Very High Fare")</f>
        <v>Low Fare</v>
      </c>
      <c r="N870" s="2">
        <v>0</v>
      </c>
      <c r="O870" s="2">
        <v>0</v>
      </c>
      <c r="P870">
        <f t="shared" si="53"/>
        <v>1</v>
      </c>
      <c r="Q870" t="str">
        <f t="shared" si="54"/>
        <v>Alone</v>
      </c>
      <c r="R870" t="str">
        <f t="shared" si="55"/>
        <v>No</v>
      </c>
      <c r="S870" t="s">
        <v>13</v>
      </c>
    </row>
    <row r="871" spans="1:19" x14ac:dyDescent="0.3">
      <c r="A871" s="1" t="s">
        <v>661</v>
      </c>
      <c r="B871" t="s">
        <v>1602</v>
      </c>
      <c r="C871" t="s">
        <v>2357</v>
      </c>
      <c r="D871" t="str">
        <f t="shared" si="52"/>
        <v>Female</v>
      </c>
      <c r="E871" t="s">
        <v>14</v>
      </c>
      <c r="F871" s="2">
        <v>31</v>
      </c>
      <c r="G871" s="2" t="str" cm="1">
        <f t="array" ref="G871">_xlfn.IFS(F871&lt;=8,"Child",F871&lt;=17,"Teen",F871&lt;=35,"Adult",F871&lt;=55,"Seniour Adult",F871&gt;=55,"Old Age")</f>
        <v>Adult</v>
      </c>
      <c r="H871" t="s">
        <v>25</v>
      </c>
      <c r="I871" t="s">
        <v>19</v>
      </c>
      <c r="J871" t="str" cm="1">
        <f t="array" ref="J871">_xlfn.IFS(I871="S","Southamptom",I871="Q","Quentown",I871="C","Cherbrug",I871="B","Cabin")</f>
        <v>Cherbrug</v>
      </c>
      <c r="K871" t="s">
        <v>12</v>
      </c>
      <c r="L871" s="2">
        <v>113.0506</v>
      </c>
      <c r="M871" s="2" t="str" cm="1">
        <f t="array" ref="M871">_xlfn.IFS(L871&lt;=15,"Low Fare",L871&lt;=35,"Medium Fare",L871&lt;=100,"High Fare",L871&gt;=100,"Very High Fare")</f>
        <v>Very High Fare</v>
      </c>
      <c r="N871" s="2">
        <v>1</v>
      </c>
      <c r="O871" s="2">
        <v>0</v>
      </c>
      <c r="P871">
        <f t="shared" si="53"/>
        <v>2</v>
      </c>
      <c r="Q871" t="str">
        <f t="shared" si="54"/>
        <v>With Family</v>
      </c>
      <c r="R871" t="str">
        <f t="shared" si="55"/>
        <v>Yes</v>
      </c>
      <c r="S871" t="s">
        <v>16</v>
      </c>
    </row>
    <row r="872" spans="1:19" x14ac:dyDescent="0.3">
      <c r="A872" s="1" t="s">
        <v>661</v>
      </c>
      <c r="B872" t="s">
        <v>1602</v>
      </c>
      <c r="C872" t="s">
        <v>2358</v>
      </c>
      <c r="D872" t="str">
        <f t="shared" si="52"/>
        <v>Female</v>
      </c>
      <c r="E872" t="s">
        <v>14</v>
      </c>
      <c r="F872" s="2">
        <v>23</v>
      </c>
      <c r="G872" s="2" t="str" cm="1">
        <f t="array" ref="G872">_xlfn.IFS(F872&lt;=8,"Child",F872&lt;=17,"Teen",F872&lt;=35,"Adult",F872&lt;=55,"Seniour Adult",F872&gt;=55,"Old Age")</f>
        <v>Adult</v>
      </c>
      <c r="H872" t="s">
        <v>25</v>
      </c>
      <c r="I872" t="s">
        <v>19</v>
      </c>
      <c r="J872" t="str" cm="1">
        <f t="array" ref="J872">_xlfn.IFS(I872="S","Southamptom",I872="Q","Quentown",I872="C","Cherbrug",I872="B","Cabin")</f>
        <v>Cherbrug</v>
      </c>
      <c r="K872" t="s">
        <v>12</v>
      </c>
      <c r="L872" s="2">
        <v>113.0506</v>
      </c>
      <c r="M872" s="2" t="str" cm="1">
        <f t="array" ref="M872">_xlfn.IFS(L872&lt;=15,"Low Fare",L872&lt;=35,"Medium Fare",L872&lt;=100,"High Fare",L872&gt;=100,"Very High Fare")</f>
        <v>Very High Fare</v>
      </c>
      <c r="N872" s="2">
        <v>1</v>
      </c>
      <c r="O872" s="2">
        <v>0</v>
      </c>
      <c r="P872">
        <f t="shared" si="53"/>
        <v>2</v>
      </c>
      <c r="Q872" t="str">
        <f t="shared" si="54"/>
        <v>With Family</v>
      </c>
      <c r="R872" t="str">
        <f t="shared" si="55"/>
        <v>Yes</v>
      </c>
      <c r="S872" t="s">
        <v>16</v>
      </c>
    </row>
    <row r="873" spans="1:19" x14ac:dyDescent="0.3">
      <c r="A873" s="1" t="s">
        <v>661</v>
      </c>
      <c r="B873" t="s">
        <v>1596</v>
      </c>
      <c r="C873" t="s">
        <v>2359</v>
      </c>
      <c r="D873" t="str">
        <f t="shared" si="52"/>
        <v>Male</v>
      </c>
      <c r="E873" t="s">
        <v>9</v>
      </c>
      <c r="F873" s="2">
        <v>58</v>
      </c>
      <c r="G873" s="2" t="str" cm="1">
        <f t="array" ref="G873">_xlfn.IFS(F873&lt;=8,"Child",F873&lt;=17,"Teen",F873&lt;=35,"Adult",F873&lt;=55,"Seniour Adult",F873&gt;=55,"Old Age")</f>
        <v>Old Age</v>
      </c>
      <c r="H873" t="s">
        <v>25</v>
      </c>
      <c r="I873" t="s">
        <v>19</v>
      </c>
      <c r="J873" t="str" cm="1">
        <f t="array" ref="J873">_xlfn.IFS(I873="S","Southamptom",I873="Q","Quentown",I873="C","Cherbrug",I873="B","Cabin")</f>
        <v>Cherbrug</v>
      </c>
      <c r="K873" t="s">
        <v>12</v>
      </c>
      <c r="L873" s="2">
        <v>113.0506</v>
      </c>
      <c r="M873" s="2" t="str" cm="1">
        <f t="array" ref="M873">_xlfn.IFS(L873&lt;=15,"Low Fare",L873&lt;=35,"Medium Fare",L873&lt;=100,"High Fare",L873&gt;=100,"Very High Fare")</f>
        <v>Very High Fare</v>
      </c>
      <c r="N873" s="2">
        <v>0</v>
      </c>
      <c r="O873" s="2">
        <v>2</v>
      </c>
      <c r="P873">
        <f t="shared" si="53"/>
        <v>3</v>
      </c>
      <c r="Q873" t="str">
        <f t="shared" si="54"/>
        <v>With Family</v>
      </c>
      <c r="R873" t="str">
        <f t="shared" si="55"/>
        <v>No</v>
      </c>
      <c r="S873" t="s">
        <v>13</v>
      </c>
    </row>
    <row r="874" spans="1:19" x14ac:dyDescent="0.3">
      <c r="A874" s="1" t="s">
        <v>662</v>
      </c>
      <c r="B874" t="s">
        <v>1602</v>
      </c>
      <c r="C874" t="s">
        <v>2360</v>
      </c>
      <c r="D874" t="str">
        <f t="shared" si="52"/>
        <v>Female</v>
      </c>
      <c r="E874" t="s">
        <v>14</v>
      </c>
      <c r="F874" s="2">
        <v>19</v>
      </c>
      <c r="G874" s="2" t="str" cm="1">
        <f t="array" ref="G874">_xlfn.IFS(F874&lt;=8,"Child",F874&lt;=17,"Teen",F874&lt;=35,"Adult",F874&lt;=55,"Seniour Adult",F874&gt;=55,"Old Age")</f>
        <v>Adult</v>
      </c>
      <c r="H874" t="s">
        <v>25</v>
      </c>
      <c r="I874" t="s">
        <v>11</v>
      </c>
      <c r="J874" t="str" cm="1">
        <f t="array" ref="J874">_xlfn.IFS(I874="S","Southamptom",I874="Q","Quentown",I874="C","Cherbrug",I874="B","Cabin")</f>
        <v>Southamptom</v>
      </c>
      <c r="K874" t="s">
        <v>12</v>
      </c>
      <c r="L874" s="2">
        <v>26.050799999999999</v>
      </c>
      <c r="M874" s="2" t="str" cm="1">
        <f t="array" ref="M874">_xlfn.IFS(L874&lt;=15,"Low Fare",L874&lt;=35,"Medium Fare",L874&lt;=100,"High Fare",L874&gt;=100,"Very High Fare")</f>
        <v>Medium Fare</v>
      </c>
      <c r="N874" s="2">
        <v>0</v>
      </c>
      <c r="O874" s="2">
        <v>2</v>
      </c>
      <c r="P874">
        <f t="shared" si="53"/>
        <v>3</v>
      </c>
      <c r="Q874" t="str">
        <f t="shared" si="54"/>
        <v>With Family</v>
      </c>
      <c r="R874" t="str">
        <f t="shared" si="55"/>
        <v>Yes</v>
      </c>
      <c r="S874" t="s">
        <v>16</v>
      </c>
    </row>
    <row r="875" spans="1:19" x14ac:dyDescent="0.3">
      <c r="A875" s="1" t="s">
        <v>663</v>
      </c>
      <c r="B875" t="s">
        <v>1596</v>
      </c>
      <c r="C875" t="s">
        <v>1967</v>
      </c>
      <c r="D875" t="str">
        <f t="shared" si="52"/>
        <v>Male</v>
      </c>
      <c r="E875" t="s">
        <v>9</v>
      </c>
      <c r="F875" s="2">
        <v>19</v>
      </c>
      <c r="G875" s="2" t="str" cm="1">
        <f t="array" ref="G875">_xlfn.IFS(F875&lt;=8,"Child",F875&lt;=17,"Teen",F875&lt;=35,"Adult",F875&lt;=55,"Seniour Adult",F875&gt;=55,"Old Age")</f>
        <v>Adult</v>
      </c>
      <c r="H875" t="s">
        <v>18</v>
      </c>
      <c r="I875" t="s">
        <v>11</v>
      </c>
      <c r="J875" t="str" cm="1">
        <f t="array" ref="J875">_xlfn.IFS(I875="S","Southamptom",I875="Q","Quentown",I875="C","Cherbrug",I875="B","Cabin")</f>
        <v>Southamptom</v>
      </c>
      <c r="K875" t="s">
        <v>15</v>
      </c>
      <c r="L875" s="2">
        <v>36.15</v>
      </c>
      <c r="M875" s="2" t="str" cm="1">
        <f t="array" ref="M875">_xlfn.IFS(L875&lt;=15,"Low Fare",L875&lt;=35,"Medium Fare",L875&lt;=100,"High Fare",L875&gt;=100,"Very High Fare")</f>
        <v>High Fare</v>
      </c>
      <c r="N875" s="2">
        <v>1</v>
      </c>
      <c r="O875" s="2">
        <v>1</v>
      </c>
      <c r="P875">
        <f t="shared" si="53"/>
        <v>3</v>
      </c>
      <c r="Q875" t="str">
        <f t="shared" si="54"/>
        <v>With Family</v>
      </c>
      <c r="R875" t="str">
        <f t="shared" si="55"/>
        <v>No</v>
      </c>
      <c r="S875" t="s">
        <v>13</v>
      </c>
    </row>
    <row r="876" spans="1:19" x14ac:dyDescent="0.3">
      <c r="A876" s="1" t="s">
        <v>664</v>
      </c>
      <c r="B876" t="s">
        <v>1596</v>
      </c>
      <c r="C876" t="s">
        <v>2361</v>
      </c>
      <c r="D876" t="str">
        <f t="shared" si="52"/>
        <v>Male</v>
      </c>
      <c r="E876" t="s">
        <v>9</v>
      </c>
      <c r="F876" s="2">
        <v>60</v>
      </c>
      <c r="G876" s="2" t="str" cm="1">
        <f t="array" ref="G876">_xlfn.IFS(F876&lt;=8,"Child",F876&lt;=17,"Teen",F876&lt;=35,"Adult",F876&lt;=55,"Seniour Adult",F876&gt;=55,"Old Age")</f>
        <v>Old Age</v>
      </c>
      <c r="H876" t="s">
        <v>25</v>
      </c>
      <c r="I876" t="s">
        <v>11</v>
      </c>
      <c r="J876" t="str" cm="1">
        <f t="array" ref="J876">_xlfn.IFS(I876="S","Southamptom",I876="Q","Quentown",I876="C","Cherbrug",I876="B","Cabin")</f>
        <v>Southamptom</v>
      </c>
      <c r="K876" t="s">
        <v>15</v>
      </c>
      <c r="L876" s="2">
        <v>26</v>
      </c>
      <c r="M876" s="2" t="str" cm="1">
        <f t="array" ref="M876">_xlfn.IFS(L876&lt;=15,"Low Fare",L876&lt;=35,"Medium Fare",L876&lt;=100,"High Fare",L876&gt;=100,"Very High Fare")</f>
        <v>Medium Fare</v>
      </c>
      <c r="N876" s="2">
        <v>0</v>
      </c>
      <c r="O876" s="2">
        <v>0</v>
      </c>
      <c r="P876">
        <f t="shared" si="53"/>
        <v>1</v>
      </c>
      <c r="Q876" t="str">
        <f t="shared" si="54"/>
        <v>Alone</v>
      </c>
      <c r="R876" t="str">
        <f t="shared" si="55"/>
        <v>No</v>
      </c>
      <c r="S876" t="s">
        <v>13</v>
      </c>
    </row>
    <row r="877" spans="1:19" x14ac:dyDescent="0.3">
      <c r="A877" s="1" t="s">
        <v>665</v>
      </c>
      <c r="B877" t="s">
        <v>1602</v>
      </c>
      <c r="C877" t="s">
        <v>2362</v>
      </c>
      <c r="D877" t="str">
        <f t="shared" si="52"/>
        <v>Female</v>
      </c>
      <c r="E877" t="s">
        <v>14</v>
      </c>
      <c r="F877" s="2">
        <v>29</v>
      </c>
      <c r="G877" s="2" t="str" cm="1">
        <f t="array" ref="G877">_xlfn.IFS(F877&lt;=8,"Child",F877&lt;=17,"Teen",F877&lt;=35,"Adult",F877&lt;=55,"Seniour Adult",F877&gt;=55,"Old Age")</f>
        <v>Adult</v>
      </c>
      <c r="H877" t="s">
        <v>10</v>
      </c>
      <c r="I877" t="s">
        <v>11</v>
      </c>
      <c r="J877" t="str" cm="1">
        <f t="array" ref="J877">_xlfn.IFS(I877="S","Southamptom",I877="Q","Quentown",I877="C","Cherbrug",I877="B","Cabin")</f>
        <v>Southamptom</v>
      </c>
      <c r="K877" t="s">
        <v>22</v>
      </c>
      <c r="L877" s="2">
        <v>7.1806000000000001</v>
      </c>
      <c r="M877" s="2" t="str" cm="1">
        <f t="array" ref="M877">_xlfn.IFS(L877&lt;=15,"Low Fare",L877&lt;=35,"Medium Fare",L877&lt;=100,"High Fare",L877&gt;=100,"Very High Fare")</f>
        <v>Low Fare</v>
      </c>
      <c r="N877" s="2">
        <v>0</v>
      </c>
      <c r="O877" s="2">
        <v>0</v>
      </c>
      <c r="P877">
        <f t="shared" si="53"/>
        <v>1</v>
      </c>
      <c r="Q877" t="str">
        <f t="shared" si="54"/>
        <v>Alone</v>
      </c>
      <c r="R877" t="str">
        <f t="shared" si="55"/>
        <v>No</v>
      </c>
      <c r="S877" t="s">
        <v>13</v>
      </c>
    </row>
    <row r="878" spans="1:19" x14ac:dyDescent="0.3">
      <c r="A878" s="1" t="s">
        <v>666</v>
      </c>
      <c r="B878" t="s">
        <v>1596</v>
      </c>
      <c r="C878" t="s">
        <v>1605</v>
      </c>
      <c r="D878" t="str">
        <f t="shared" si="52"/>
        <v>Male</v>
      </c>
      <c r="E878" t="s">
        <v>9</v>
      </c>
      <c r="F878" s="2">
        <v>28</v>
      </c>
      <c r="G878" s="2" t="str" cm="1">
        <f t="array" ref="G878">_xlfn.IFS(F878&lt;=8,"Child",F878&lt;=17,"Teen",F878&lt;=35,"Adult",F878&lt;=55,"Seniour Adult",F878&gt;=55,"Old Age")</f>
        <v>Adult</v>
      </c>
      <c r="H878" t="s">
        <v>10</v>
      </c>
      <c r="I878" t="s">
        <v>11</v>
      </c>
      <c r="J878" t="str" cm="1">
        <f t="array" ref="J878">_xlfn.IFS(I878="S","Southamptom",I878="Q","Quentown",I878="C","Cherbrug",I878="B","Cabin")</f>
        <v>Southamptom</v>
      </c>
      <c r="K878" t="s">
        <v>23</v>
      </c>
      <c r="L878" s="2">
        <v>8.01</v>
      </c>
      <c r="M878" s="2" t="str" cm="1">
        <f t="array" ref="M878">_xlfn.IFS(L878&lt;=15,"Low Fare",L878&lt;=35,"Medium Fare",L878&lt;=100,"High Fare",L878&gt;=100,"Very High Fare")</f>
        <v>Low Fare</v>
      </c>
      <c r="N878" s="2">
        <v>0</v>
      </c>
      <c r="O878" s="2">
        <v>0</v>
      </c>
      <c r="P878">
        <f t="shared" si="53"/>
        <v>1</v>
      </c>
      <c r="Q878" t="str">
        <f t="shared" si="54"/>
        <v>Alone</v>
      </c>
      <c r="R878" t="str">
        <f t="shared" si="55"/>
        <v>No</v>
      </c>
      <c r="S878" t="s">
        <v>13</v>
      </c>
    </row>
    <row r="879" spans="1:19" x14ac:dyDescent="0.3">
      <c r="A879" s="1" t="s">
        <v>667</v>
      </c>
      <c r="B879" t="s">
        <v>1602</v>
      </c>
      <c r="C879" t="s">
        <v>2363</v>
      </c>
      <c r="D879" t="str">
        <f t="shared" si="52"/>
        <v>Female</v>
      </c>
      <c r="E879" t="s">
        <v>14</v>
      </c>
      <c r="F879" s="2">
        <v>18</v>
      </c>
      <c r="G879" s="2" t="str" cm="1">
        <f t="array" ref="G879">_xlfn.IFS(F879&lt;=8,"Child",F879&lt;=17,"Teen",F879&lt;=35,"Adult",F879&lt;=55,"Seniour Adult",F879&gt;=55,"Old Age")</f>
        <v>Adult</v>
      </c>
      <c r="H879" t="s">
        <v>10</v>
      </c>
      <c r="I879" t="s">
        <v>11</v>
      </c>
      <c r="J879" t="str" cm="1">
        <f t="array" ref="J879">_xlfn.IFS(I879="S","Southamptom",I879="Q","Quentown",I879="C","Cherbrug",I879="B","Cabin")</f>
        <v>Southamptom</v>
      </c>
      <c r="K879" t="s">
        <v>23</v>
      </c>
      <c r="L879" s="2">
        <v>7.1505999999999998</v>
      </c>
      <c r="M879" s="2" t="str" cm="1">
        <f t="array" ref="M879">_xlfn.IFS(L879&lt;=15,"Low Fare",L879&lt;=35,"Medium Fare",L879&lt;=100,"High Fare",L879&gt;=100,"Very High Fare")</f>
        <v>Low Fare</v>
      </c>
      <c r="N879" s="2">
        <v>0</v>
      </c>
      <c r="O879" s="2">
        <v>0</v>
      </c>
      <c r="P879">
        <f t="shared" si="53"/>
        <v>1</v>
      </c>
      <c r="Q879" t="str">
        <f t="shared" si="54"/>
        <v>Alone</v>
      </c>
      <c r="R879" t="str">
        <f t="shared" si="55"/>
        <v>Yes</v>
      </c>
      <c r="S879" t="s">
        <v>16</v>
      </c>
    </row>
    <row r="880" spans="1:19" x14ac:dyDescent="0.3">
      <c r="A880" s="1" t="s">
        <v>667</v>
      </c>
      <c r="B880" t="s">
        <v>1602</v>
      </c>
      <c r="C880" t="s">
        <v>2364</v>
      </c>
      <c r="D880" t="str">
        <f t="shared" si="52"/>
        <v>Female</v>
      </c>
      <c r="E880" t="s">
        <v>14</v>
      </c>
      <c r="F880" s="2">
        <v>26</v>
      </c>
      <c r="G880" s="2" t="str" cm="1">
        <f t="array" ref="G880">_xlfn.IFS(F880&lt;=8,"Child",F880&lt;=17,"Teen",F880&lt;=35,"Adult",F880&lt;=55,"Seniour Adult",F880&gt;=55,"Old Age")</f>
        <v>Adult</v>
      </c>
      <c r="H880" t="s">
        <v>10</v>
      </c>
      <c r="I880" t="s">
        <v>11</v>
      </c>
      <c r="J880" t="str" cm="1">
        <f t="array" ref="J880">_xlfn.IFS(I880="S","Southamptom",I880="Q","Quentown",I880="C","Cherbrug",I880="B","Cabin")</f>
        <v>Southamptom</v>
      </c>
      <c r="K880" t="s">
        <v>23</v>
      </c>
      <c r="L880" s="2">
        <v>7.1700999999999997</v>
      </c>
      <c r="M880" s="2" t="str" cm="1">
        <f t="array" ref="M880">_xlfn.IFS(L880&lt;=15,"Low Fare",L880&lt;=35,"Medium Fare",L880&lt;=100,"High Fare",L880&gt;=100,"Very High Fare")</f>
        <v>Low Fare</v>
      </c>
      <c r="N880" s="2">
        <v>0</v>
      </c>
      <c r="O880" s="2">
        <v>0</v>
      </c>
      <c r="P880">
        <f t="shared" si="53"/>
        <v>1</v>
      </c>
      <c r="Q880" t="str">
        <f t="shared" si="54"/>
        <v>Alone</v>
      </c>
      <c r="R880" t="str">
        <f t="shared" si="55"/>
        <v>Yes</v>
      </c>
      <c r="S880" t="s">
        <v>16</v>
      </c>
    </row>
    <row r="881" spans="1:19" x14ac:dyDescent="0.3">
      <c r="A881" s="1" t="s">
        <v>667</v>
      </c>
      <c r="B881" t="s">
        <v>1596</v>
      </c>
      <c r="C881" t="s">
        <v>2365</v>
      </c>
      <c r="D881" t="str">
        <f t="shared" si="52"/>
        <v>Male</v>
      </c>
      <c r="E881" t="s">
        <v>9</v>
      </c>
      <c r="F881" s="2">
        <v>21</v>
      </c>
      <c r="G881" s="2" t="str" cm="1">
        <f t="array" ref="G881">_xlfn.IFS(F881&lt;=8,"Child",F881&lt;=17,"Teen",F881&lt;=35,"Adult",F881&lt;=55,"Seniour Adult",F881&gt;=55,"Old Age")</f>
        <v>Adult</v>
      </c>
      <c r="H881" t="s">
        <v>10</v>
      </c>
      <c r="I881" t="s">
        <v>11</v>
      </c>
      <c r="J881" t="str" cm="1">
        <f t="array" ref="J881">_xlfn.IFS(I881="S","Southamptom",I881="Q","Quentown",I881="C","Cherbrug",I881="B","Cabin")</f>
        <v>Southamptom</v>
      </c>
      <c r="K881" t="s">
        <v>23</v>
      </c>
      <c r="L881" s="2">
        <v>7.1700999999999997</v>
      </c>
      <c r="M881" s="2" t="str" cm="1">
        <f t="array" ref="M881">_xlfn.IFS(L881&lt;=15,"Low Fare",L881&lt;=35,"Medium Fare",L881&lt;=100,"High Fare",L881&gt;=100,"Very High Fare")</f>
        <v>Low Fare</v>
      </c>
      <c r="N881" s="2">
        <v>0</v>
      </c>
      <c r="O881" s="2">
        <v>0</v>
      </c>
      <c r="P881">
        <f t="shared" si="53"/>
        <v>1</v>
      </c>
      <c r="Q881" t="str">
        <f t="shared" si="54"/>
        <v>Alone</v>
      </c>
      <c r="R881" t="str">
        <f t="shared" si="55"/>
        <v>No</v>
      </c>
      <c r="S881" t="s">
        <v>13</v>
      </c>
    </row>
    <row r="882" spans="1:19" x14ac:dyDescent="0.3">
      <c r="A882" s="1" t="s">
        <v>668</v>
      </c>
      <c r="B882" t="s">
        <v>1612</v>
      </c>
      <c r="C882" t="s">
        <v>2366</v>
      </c>
      <c r="D882" t="str">
        <f t="shared" si="52"/>
        <v>Male</v>
      </c>
      <c r="E882" t="s">
        <v>9</v>
      </c>
      <c r="F882" s="2">
        <v>11</v>
      </c>
      <c r="G882" s="2" t="str" cm="1">
        <f t="array" ref="G882">_xlfn.IFS(F882&lt;=8,"Child",F882&lt;=17,"Teen",F882&lt;=35,"Adult",F882&lt;=55,"Seniour Adult",F882&gt;=55,"Old Age")</f>
        <v>Teen</v>
      </c>
      <c r="H882" t="s">
        <v>10</v>
      </c>
      <c r="I882" t="s">
        <v>19</v>
      </c>
      <c r="J882" t="str" cm="1">
        <f t="array" ref="J882">_xlfn.IFS(I882="S","Southamptom",I882="Q","Quentown",I882="C","Cherbrug",I882="B","Cabin")</f>
        <v>Cherbrug</v>
      </c>
      <c r="K882" t="s">
        <v>21</v>
      </c>
      <c r="L882" s="2">
        <v>11.041</v>
      </c>
      <c r="M882" s="2" t="str" cm="1">
        <f t="array" ref="M882">_xlfn.IFS(L882&lt;=15,"Low Fare",L882&lt;=35,"Medium Fare",L882&lt;=100,"High Fare",L882&gt;=100,"Very High Fare")</f>
        <v>Low Fare</v>
      </c>
      <c r="N882" s="2">
        <v>1</v>
      </c>
      <c r="O882" s="2">
        <v>0</v>
      </c>
      <c r="P882">
        <f t="shared" si="53"/>
        <v>2</v>
      </c>
      <c r="Q882" t="str">
        <f t="shared" si="54"/>
        <v>With Family</v>
      </c>
      <c r="R882" t="str">
        <f t="shared" si="55"/>
        <v>Yes</v>
      </c>
      <c r="S882" t="s">
        <v>16</v>
      </c>
    </row>
    <row r="883" spans="1:19" x14ac:dyDescent="0.3">
      <c r="A883" s="1" t="s">
        <v>668</v>
      </c>
      <c r="B883" t="s">
        <v>1602</v>
      </c>
      <c r="C883" t="s">
        <v>2367</v>
      </c>
      <c r="D883" t="str">
        <f t="shared" si="52"/>
        <v>Female</v>
      </c>
      <c r="E883" t="s">
        <v>14</v>
      </c>
      <c r="F883" s="2">
        <v>14</v>
      </c>
      <c r="G883" s="2" t="str" cm="1">
        <f t="array" ref="G883">_xlfn.IFS(F883&lt;=8,"Child",F883&lt;=17,"Teen",F883&lt;=35,"Adult",F883&lt;=55,"Seniour Adult",F883&gt;=55,"Old Age")</f>
        <v>Teen</v>
      </c>
      <c r="H883" t="s">
        <v>10</v>
      </c>
      <c r="I883" t="s">
        <v>19</v>
      </c>
      <c r="J883" t="str" cm="1">
        <f t="array" ref="J883">_xlfn.IFS(I883="S","Southamptom",I883="Q","Quentown",I883="C","Cherbrug",I883="B","Cabin")</f>
        <v>Cherbrug</v>
      </c>
      <c r="K883" t="s">
        <v>21</v>
      </c>
      <c r="L883" s="2">
        <v>11.041</v>
      </c>
      <c r="M883" s="2" t="str" cm="1">
        <f t="array" ref="M883">_xlfn.IFS(L883&lt;=15,"Low Fare",L883&lt;=35,"Medium Fare",L883&lt;=100,"High Fare",L883&gt;=100,"Very High Fare")</f>
        <v>Low Fare</v>
      </c>
      <c r="N883" s="2">
        <v>1</v>
      </c>
      <c r="O883" s="2">
        <v>0</v>
      </c>
      <c r="P883">
        <f t="shared" si="53"/>
        <v>2</v>
      </c>
      <c r="Q883" t="str">
        <f t="shared" si="54"/>
        <v>With Family</v>
      </c>
      <c r="R883" t="str">
        <f t="shared" si="55"/>
        <v>Yes</v>
      </c>
      <c r="S883" t="s">
        <v>16</v>
      </c>
    </row>
    <row r="884" spans="1:19" x14ac:dyDescent="0.3">
      <c r="A884" s="1" t="s">
        <v>669</v>
      </c>
      <c r="B884" t="s">
        <v>1596</v>
      </c>
      <c r="C884" t="s">
        <v>2368</v>
      </c>
      <c r="D884" t="str">
        <f t="shared" si="52"/>
        <v>Male</v>
      </c>
      <c r="E884" t="s">
        <v>9</v>
      </c>
      <c r="F884" s="2">
        <v>41</v>
      </c>
      <c r="G884" s="2" t="str" cm="1">
        <f t="array" ref="G884">_xlfn.IFS(F884&lt;=8,"Child",F884&lt;=17,"Teen",F884&lt;=35,"Adult",F884&lt;=55,"Seniour Adult",F884&gt;=55,"Old Age")</f>
        <v>Seniour Adult</v>
      </c>
      <c r="H884" t="s">
        <v>10</v>
      </c>
      <c r="I884" t="s">
        <v>11</v>
      </c>
      <c r="J884" t="str" cm="1">
        <f t="array" ref="J884">_xlfn.IFS(I884="S","Southamptom",I884="Q","Quentown",I884="C","Cherbrug",I884="B","Cabin")</f>
        <v>Southamptom</v>
      </c>
      <c r="K884" t="s">
        <v>22</v>
      </c>
      <c r="L884" s="2">
        <v>7.0206</v>
      </c>
      <c r="M884" s="2" t="str" cm="1">
        <f t="array" ref="M884">_xlfn.IFS(L884&lt;=15,"Low Fare",L884&lt;=35,"Medium Fare",L884&lt;=100,"High Fare",L884&gt;=100,"Very High Fare")</f>
        <v>Low Fare</v>
      </c>
      <c r="N884" s="2">
        <v>0</v>
      </c>
      <c r="O884" s="2">
        <v>0</v>
      </c>
      <c r="P884">
        <f t="shared" si="53"/>
        <v>1</v>
      </c>
      <c r="Q884" t="str">
        <f t="shared" si="54"/>
        <v>Alone</v>
      </c>
      <c r="R884" t="str">
        <f t="shared" si="55"/>
        <v>No</v>
      </c>
      <c r="S884" t="s">
        <v>13</v>
      </c>
    </row>
    <row r="885" spans="1:19" x14ac:dyDescent="0.3">
      <c r="A885" s="1" t="s">
        <v>670</v>
      </c>
      <c r="B885" t="s">
        <v>1596</v>
      </c>
      <c r="C885" t="s">
        <v>2369</v>
      </c>
      <c r="D885" t="str">
        <f t="shared" si="52"/>
        <v>Male</v>
      </c>
      <c r="E885" t="s">
        <v>9</v>
      </c>
      <c r="F885" s="2">
        <v>39</v>
      </c>
      <c r="G885" s="2" t="str" cm="1">
        <f t="array" ref="G885">_xlfn.IFS(F885&lt;=8,"Child",F885&lt;=17,"Teen",F885&lt;=35,"Adult",F885&lt;=55,"Seniour Adult",F885&gt;=55,"Old Age")</f>
        <v>Seniour Adult</v>
      </c>
      <c r="H885" t="s">
        <v>10</v>
      </c>
      <c r="I885" t="s">
        <v>11</v>
      </c>
      <c r="J885" t="str" cm="1">
        <f t="array" ref="J885">_xlfn.IFS(I885="S","Southamptom",I885="Q","Quentown",I885="C","Cherbrug",I885="B","Cabin")</f>
        <v>Southamptom</v>
      </c>
      <c r="K885" t="s">
        <v>12</v>
      </c>
      <c r="L885" s="2">
        <v>7.1806000000000001</v>
      </c>
      <c r="M885" s="2" t="str" cm="1">
        <f t="array" ref="M885">_xlfn.IFS(L885&lt;=15,"Low Fare",L885&lt;=35,"Medium Fare",L885&lt;=100,"High Fare",L885&gt;=100,"Very High Fare")</f>
        <v>Low Fare</v>
      </c>
      <c r="N885" s="2">
        <v>0</v>
      </c>
      <c r="O885" s="2">
        <v>0</v>
      </c>
      <c r="P885">
        <f t="shared" si="53"/>
        <v>1</v>
      </c>
      <c r="Q885" t="str">
        <f t="shared" si="54"/>
        <v>Alone</v>
      </c>
      <c r="R885" t="str">
        <f t="shared" si="55"/>
        <v>Yes</v>
      </c>
      <c r="S885" t="s">
        <v>16</v>
      </c>
    </row>
    <row r="886" spans="1:19" x14ac:dyDescent="0.3">
      <c r="A886" s="1" t="s">
        <v>671</v>
      </c>
      <c r="B886" t="s">
        <v>1596</v>
      </c>
      <c r="C886" t="s">
        <v>2370</v>
      </c>
      <c r="D886" t="str">
        <f t="shared" si="52"/>
        <v>Male</v>
      </c>
      <c r="E886" t="s">
        <v>9</v>
      </c>
      <c r="F886" s="2">
        <v>20</v>
      </c>
      <c r="G886" s="2" t="str" cm="1">
        <f t="array" ref="G886">_xlfn.IFS(F886&lt;=8,"Child",F886&lt;=17,"Teen",F886&lt;=35,"Adult",F886&lt;=55,"Seniour Adult",F886&gt;=55,"Old Age")</f>
        <v>Adult</v>
      </c>
      <c r="H886" t="s">
        <v>10</v>
      </c>
      <c r="I886" t="s">
        <v>19</v>
      </c>
      <c r="J886" t="str" cm="1">
        <f t="array" ref="J886">_xlfn.IFS(I886="S","Southamptom",I886="Q","Quentown",I886="C","Cherbrug",I886="B","Cabin")</f>
        <v>Cherbrug</v>
      </c>
      <c r="K886" t="s">
        <v>21</v>
      </c>
      <c r="L886" s="2">
        <v>7.0407000000000002</v>
      </c>
      <c r="M886" s="2" t="str" cm="1">
        <f t="array" ref="M886">_xlfn.IFS(L886&lt;=15,"Low Fare",L886&lt;=35,"Medium Fare",L886&lt;=100,"High Fare",L886&gt;=100,"Very High Fare")</f>
        <v>Low Fare</v>
      </c>
      <c r="N886" s="2">
        <v>0</v>
      </c>
      <c r="O886" s="2">
        <v>0</v>
      </c>
      <c r="P886">
        <f t="shared" si="53"/>
        <v>1</v>
      </c>
      <c r="Q886" t="str">
        <f t="shared" si="54"/>
        <v>Alone</v>
      </c>
      <c r="R886" t="str">
        <f t="shared" si="55"/>
        <v>No</v>
      </c>
      <c r="S886" t="s">
        <v>13</v>
      </c>
    </row>
    <row r="887" spans="1:19" x14ac:dyDescent="0.3">
      <c r="A887" s="1" t="s">
        <v>672</v>
      </c>
      <c r="B887" t="s">
        <v>1596</v>
      </c>
      <c r="C887" t="s">
        <v>2371</v>
      </c>
      <c r="D887" t="str">
        <f t="shared" si="52"/>
        <v>Male</v>
      </c>
      <c r="E887" t="s">
        <v>9</v>
      </c>
      <c r="F887" s="2">
        <v>27</v>
      </c>
      <c r="G887" s="2" t="str" cm="1">
        <f t="array" ref="G887">_xlfn.IFS(F887&lt;=8,"Child",F887&lt;=17,"Teen",F887&lt;=35,"Adult",F887&lt;=55,"Seniour Adult",F887&gt;=55,"Old Age")</f>
        <v>Adult</v>
      </c>
      <c r="H887" t="s">
        <v>18</v>
      </c>
      <c r="I887" t="s">
        <v>11</v>
      </c>
      <c r="J887" t="str" cm="1">
        <f t="array" ref="J887">_xlfn.IFS(I887="S","Southamptom",I887="Q","Quentown",I887="C","Cherbrug",I887="B","Cabin")</f>
        <v>Southamptom</v>
      </c>
      <c r="K887" t="s">
        <v>43</v>
      </c>
      <c r="L887" s="2">
        <v>13.1</v>
      </c>
      <c r="M887" s="2" t="str" cm="1">
        <f t="array" ref="M887">_xlfn.IFS(L887&lt;=15,"Low Fare",L887&lt;=35,"Medium Fare",L887&lt;=100,"High Fare",L887&gt;=100,"Very High Fare")</f>
        <v>Low Fare</v>
      </c>
      <c r="N887" s="2">
        <v>0</v>
      </c>
      <c r="O887" s="2">
        <v>0</v>
      </c>
      <c r="P887">
        <f t="shared" si="53"/>
        <v>1</v>
      </c>
      <c r="Q887" t="str">
        <f t="shared" si="54"/>
        <v>Alone</v>
      </c>
      <c r="R887" t="str">
        <f t="shared" si="55"/>
        <v>No</v>
      </c>
      <c r="S887" t="s">
        <v>13</v>
      </c>
    </row>
    <row r="888" spans="1:19" x14ac:dyDescent="0.3">
      <c r="A888" s="1" t="s">
        <v>673</v>
      </c>
      <c r="B888" t="s">
        <v>1596</v>
      </c>
      <c r="C888" t="s">
        <v>2372</v>
      </c>
      <c r="D888" t="str">
        <f t="shared" si="52"/>
        <v>Male</v>
      </c>
      <c r="E888" t="s">
        <v>9</v>
      </c>
      <c r="F888" s="2">
        <v>21</v>
      </c>
      <c r="G888" s="2" t="str" cm="1">
        <f t="array" ref="G888">_xlfn.IFS(F888&lt;=8,"Child",F888&lt;=17,"Teen",F888&lt;=35,"Adult",F888&lt;=55,"Seniour Adult",F888&gt;=55,"Old Age")</f>
        <v>Adult</v>
      </c>
      <c r="H888" t="s">
        <v>10</v>
      </c>
      <c r="I888" t="s">
        <v>11</v>
      </c>
      <c r="J888" t="str" cm="1">
        <f t="array" ref="J888">_xlfn.IFS(I888="S","Southamptom",I888="Q","Quentown",I888="C","Cherbrug",I888="B","Cabin")</f>
        <v>Southamptom</v>
      </c>
      <c r="K888" t="s">
        <v>15</v>
      </c>
      <c r="L888" s="2">
        <v>7.16</v>
      </c>
      <c r="M888" s="2" t="str" cm="1">
        <f t="array" ref="M888">_xlfn.IFS(L888&lt;=15,"Low Fare",L888&lt;=35,"Medium Fare",L888&lt;=100,"High Fare",L888&gt;=100,"Very High Fare")</f>
        <v>Low Fare</v>
      </c>
      <c r="N888" s="2">
        <v>0</v>
      </c>
      <c r="O888" s="2">
        <v>0</v>
      </c>
      <c r="P888">
        <f t="shared" si="53"/>
        <v>1</v>
      </c>
      <c r="Q888" t="str">
        <f t="shared" si="54"/>
        <v>Alone</v>
      </c>
      <c r="R888" t="str">
        <f t="shared" si="55"/>
        <v>No</v>
      </c>
      <c r="S888" t="s">
        <v>13</v>
      </c>
    </row>
    <row r="889" spans="1:19" x14ac:dyDescent="0.3">
      <c r="A889" s="1" t="s">
        <v>674</v>
      </c>
      <c r="B889" t="s">
        <v>1596</v>
      </c>
      <c r="C889" t="s">
        <v>2373</v>
      </c>
      <c r="D889" t="str">
        <f t="shared" si="52"/>
        <v>Male</v>
      </c>
      <c r="E889" t="s">
        <v>9</v>
      </c>
      <c r="F889" s="2">
        <v>20</v>
      </c>
      <c r="G889" s="2" t="str" cm="1">
        <f t="array" ref="G889">_xlfn.IFS(F889&lt;=8,"Child",F889&lt;=17,"Teen",F889&lt;=35,"Adult",F889&lt;=55,"Seniour Adult",F889&gt;=55,"Old Age")</f>
        <v>Adult</v>
      </c>
      <c r="H889" t="s">
        <v>25</v>
      </c>
      <c r="I889" t="s">
        <v>19</v>
      </c>
      <c r="J889" t="str" cm="1">
        <f t="array" ref="J889">_xlfn.IFS(I889="S","Southamptom",I889="Q","Quentown",I889="C","Cherbrug",I889="B","Cabin")</f>
        <v>Cherbrug</v>
      </c>
      <c r="K889" t="s">
        <v>64</v>
      </c>
      <c r="L889" s="2">
        <v>13.170299999999999</v>
      </c>
      <c r="M889" s="2" t="str" cm="1">
        <f t="array" ref="M889">_xlfn.IFS(L889&lt;=15,"Low Fare",L889&lt;=35,"Medium Fare",L889&lt;=100,"High Fare",L889&gt;=100,"Very High Fare")</f>
        <v>Low Fare</v>
      </c>
      <c r="N889" s="2">
        <v>0</v>
      </c>
      <c r="O889" s="2">
        <v>0</v>
      </c>
      <c r="P889">
        <f t="shared" si="53"/>
        <v>1</v>
      </c>
      <c r="Q889" t="str">
        <f t="shared" si="54"/>
        <v>Alone</v>
      </c>
      <c r="R889" t="str">
        <f t="shared" si="55"/>
        <v>Yes</v>
      </c>
      <c r="S889" t="s">
        <v>16</v>
      </c>
    </row>
    <row r="890" spans="1:19" x14ac:dyDescent="0.3">
      <c r="A890" s="1" t="s">
        <v>675</v>
      </c>
      <c r="B890" t="s">
        <v>1600</v>
      </c>
      <c r="C890" t="s">
        <v>1730</v>
      </c>
      <c r="D890" t="str">
        <f t="shared" si="52"/>
        <v>Female</v>
      </c>
      <c r="E890" t="s">
        <v>14</v>
      </c>
      <c r="F890" s="2">
        <v>29</v>
      </c>
      <c r="G890" s="2" t="str" cm="1">
        <f t="array" ref="G890">_xlfn.IFS(F890&lt;=8,"Child",F890&lt;=17,"Teen",F890&lt;=35,"Adult",F890&lt;=55,"Seniour Adult",F890&gt;=55,"Old Age")</f>
        <v>Adult</v>
      </c>
      <c r="H890" t="s">
        <v>18</v>
      </c>
      <c r="I890" t="s">
        <v>11</v>
      </c>
      <c r="J890" t="str" cm="1">
        <f t="array" ref="J890">_xlfn.IFS(I890="S","Southamptom",I890="Q","Quentown",I890="C","Cherbrug",I890="B","Cabin")</f>
        <v>Southamptom</v>
      </c>
      <c r="K890" t="s">
        <v>12</v>
      </c>
      <c r="L890" s="2">
        <v>10.1</v>
      </c>
      <c r="M890" s="2" t="str" cm="1">
        <f t="array" ref="M890">_xlfn.IFS(L890&lt;=15,"Low Fare",L890&lt;=35,"Medium Fare",L890&lt;=100,"High Fare",L890&gt;=100,"Very High Fare")</f>
        <v>Low Fare</v>
      </c>
      <c r="N890" s="2">
        <v>0</v>
      </c>
      <c r="O890" s="2">
        <v>0</v>
      </c>
      <c r="P890">
        <f t="shared" si="53"/>
        <v>1</v>
      </c>
      <c r="Q890" t="str">
        <f t="shared" si="54"/>
        <v>Alone</v>
      </c>
      <c r="R890" t="str">
        <f t="shared" si="55"/>
        <v>Yes</v>
      </c>
      <c r="S890" t="s">
        <v>16</v>
      </c>
    </row>
    <row r="891" spans="1:19" x14ac:dyDescent="0.3">
      <c r="A891" s="1" t="s">
        <v>676</v>
      </c>
      <c r="B891" t="s">
        <v>1602</v>
      </c>
      <c r="C891" t="s">
        <v>2374</v>
      </c>
      <c r="D891" t="str">
        <f t="shared" si="52"/>
        <v>Female</v>
      </c>
      <c r="E891" t="s">
        <v>14</v>
      </c>
      <c r="F891" s="2">
        <v>22</v>
      </c>
      <c r="G891" s="2" t="str" cm="1">
        <f t="array" ref="G891">_xlfn.IFS(F891&lt;=8,"Child",F891&lt;=17,"Teen",F891&lt;=35,"Adult",F891&lt;=55,"Seniour Adult",F891&gt;=55,"Old Age")</f>
        <v>Adult</v>
      </c>
      <c r="H891" t="s">
        <v>10</v>
      </c>
      <c r="I891" t="s">
        <v>11</v>
      </c>
      <c r="J891" t="str" cm="1">
        <f t="array" ref="J891">_xlfn.IFS(I891="S","Southamptom",I891="Q","Quentown",I891="C","Cherbrug",I891="B","Cabin")</f>
        <v>Southamptom</v>
      </c>
      <c r="K891" t="s">
        <v>23</v>
      </c>
      <c r="L891" s="2">
        <v>7.15</v>
      </c>
      <c r="M891" s="2" t="str" cm="1">
        <f t="array" ref="M891">_xlfn.IFS(L891&lt;=15,"Low Fare",L891&lt;=35,"Medium Fare",L891&lt;=100,"High Fare",L891&gt;=100,"Very High Fare")</f>
        <v>Low Fare</v>
      </c>
      <c r="N891" s="2">
        <v>0</v>
      </c>
      <c r="O891" s="2">
        <v>0</v>
      </c>
      <c r="P891">
        <f t="shared" si="53"/>
        <v>1</v>
      </c>
      <c r="Q891" t="str">
        <f t="shared" si="54"/>
        <v>Alone</v>
      </c>
      <c r="R891" t="str">
        <f t="shared" si="55"/>
        <v>Yes</v>
      </c>
      <c r="S891" t="s">
        <v>16</v>
      </c>
    </row>
    <row r="892" spans="1:19" x14ac:dyDescent="0.3">
      <c r="A892" s="1" t="s">
        <v>677</v>
      </c>
      <c r="B892" t="s">
        <v>1596</v>
      </c>
      <c r="C892" t="s">
        <v>2375</v>
      </c>
      <c r="D892" t="str">
        <f t="shared" si="52"/>
        <v>Male</v>
      </c>
      <c r="E892" t="s">
        <v>9</v>
      </c>
      <c r="F892" s="2">
        <v>60</v>
      </c>
      <c r="G892" s="2" t="str" cm="1">
        <f t="array" ref="G892">_xlfn.IFS(F892&lt;=8,"Child",F892&lt;=17,"Teen",F892&lt;=35,"Adult",F892&lt;=55,"Seniour Adult",F892&gt;=55,"Old Age")</f>
        <v>Old Age</v>
      </c>
      <c r="H892" t="s">
        <v>10</v>
      </c>
      <c r="I892" t="s">
        <v>11</v>
      </c>
      <c r="J892" t="str" cm="1">
        <f t="array" ref="J892">_xlfn.IFS(I892="S","Southamptom",I892="Q","Quentown",I892="C","Cherbrug",I892="B","Cabin")</f>
        <v>Southamptom</v>
      </c>
      <c r="K892" t="s">
        <v>17</v>
      </c>
      <c r="L892" s="2">
        <v>6.0408999999999997</v>
      </c>
      <c r="M892" s="2" t="str" cm="1">
        <f t="array" ref="M892">_xlfn.IFS(L892&lt;=15,"Low Fare",L892&lt;=35,"Medium Fare",L892&lt;=100,"High Fare",L892&gt;=100,"Very High Fare")</f>
        <v>Low Fare</v>
      </c>
      <c r="N892" s="2">
        <v>0</v>
      </c>
      <c r="O892" s="2">
        <v>0</v>
      </c>
      <c r="P892">
        <f t="shared" si="53"/>
        <v>1</v>
      </c>
      <c r="Q892" t="str">
        <f t="shared" si="54"/>
        <v>Alone</v>
      </c>
      <c r="R892" t="str">
        <f t="shared" si="55"/>
        <v>No</v>
      </c>
      <c r="S892" t="s">
        <v>13</v>
      </c>
    </row>
    <row r="893" spans="1:19" x14ac:dyDescent="0.3">
      <c r="A893" s="1" t="s">
        <v>678</v>
      </c>
      <c r="B893" t="s">
        <v>1596</v>
      </c>
      <c r="C893" t="s">
        <v>2237</v>
      </c>
      <c r="D893" t="str">
        <f t="shared" si="52"/>
        <v>Male</v>
      </c>
      <c r="E893" t="s">
        <v>9</v>
      </c>
      <c r="F893" s="2">
        <v>21</v>
      </c>
      <c r="G893" s="2" t="str" cm="1">
        <f t="array" ref="G893">_xlfn.IFS(F893&lt;=8,"Child",F893&lt;=17,"Teen",F893&lt;=35,"Adult",F893&lt;=55,"Seniour Adult",F893&gt;=55,"Old Age")</f>
        <v>Adult</v>
      </c>
      <c r="H893" t="s">
        <v>10</v>
      </c>
      <c r="I893" t="s">
        <v>36</v>
      </c>
      <c r="J893" t="str" cm="1">
        <f t="array" ref="J893">_xlfn.IFS(I893="S","Southamptom",I893="Q","Quentown",I893="C","Cherbrug",I893="B","Cabin")</f>
        <v>Quentown</v>
      </c>
      <c r="K893" t="s">
        <v>37</v>
      </c>
      <c r="L893" s="2">
        <v>7.1607000000000003</v>
      </c>
      <c r="M893" s="2" t="str" cm="1">
        <f t="array" ref="M893">_xlfn.IFS(L893&lt;=15,"Low Fare",L893&lt;=35,"Medium Fare",L893&lt;=100,"High Fare",L893&gt;=100,"Very High Fare")</f>
        <v>Low Fare</v>
      </c>
      <c r="N893" s="2">
        <v>0</v>
      </c>
      <c r="O893" s="2">
        <v>0</v>
      </c>
      <c r="P893">
        <f t="shared" si="53"/>
        <v>1</v>
      </c>
      <c r="Q893" t="str">
        <f t="shared" si="54"/>
        <v>Alone</v>
      </c>
      <c r="R893" t="str">
        <f t="shared" si="55"/>
        <v>No</v>
      </c>
      <c r="S893" t="s">
        <v>13</v>
      </c>
    </row>
    <row r="894" spans="1:19" x14ac:dyDescent="0.3">
      <c r="A894" s="1" t="s">
        <v>678</v>
      </c>
      <c r="B894" t="s">
        <v>1600</v>
      </c>
      <c r="C894" t="s">
        <v>2376</v>
      </c>
      <c r="D894" t="str">
        <f t="shared" si="52"/>
        <v>Female</v>
      </c>
      <c r="E894" t="s">
        <v>14</v>
      </c>
      <c r="F894" s="2">
        <v>26</v>
      </c>
      <c r="G894" s="2" t="str" cm="1">
        <f t="array" ref="G894">_xlfn.IFS(F894&lt;=8,"Child",F894&lt;=17,"Teen",F894&lt;=35,"Adult",F894&lt;=55,"Seniour Adult",F894&gt;=55,"Old Age")</f>
        <v>Adult</v>
      </c>
      <c r="H894" t="s">
        <v>10</v>
      </c>
      <c r="I894" t="s">
        <v>36</v>
      </c>
      <c r="J894" t="str" cm="1">
        <f t="array" ref="J894">_xlfn.IFS(I894="S","Southamptom",I894="Q","Quentown",I894="C","Cherbrug",I894="B","Cabin")</f>
        <v>Quentown</v>
      </c>
      <c r="K894" t="s">
        <v>37</v>
      </c>
      <c r="L894" s="2">
        <v>15.1</v>
      </c>
      <c r="M894" s="2" t="str" cm="1">
        <f t="array" ref="M894">_xlfn.IFS(L894&lt;=15,"Low Fare",L894&lt;=35,"Medium Fare",L894&lt;=100,"High Fare",L894&gt;=100,"Very High Fare")</f>
        <v>Medium Fare</v>
      </c>
      <c r="N894" s="2">
        <v>1</v>
      </c>
      <c r="O894" s="2">
        <v>0</v>
      </c>
      <c r="P894">
        <f t="shared" si="53"/>
        <v>2</v>
      </c>
      <c r="Q894" t="str">
        <f t="shared" si="54"/>
        <v>With Family</v>
      </c>
      <c r="R894" t="str">
        <f t="shared" si="55"/>
        <v>Yes</v>
      </c>
      <c r="S894" t="s">
        <v>16</v>
      </c>
    </row>
    <row r="895" spans="1:19" x14ac:dyDescent="0.3">
      <c r="A895" s="1" t="s">
        <v>678</v>
      </c>
      <c r="B895" t="s">
        <v>1596</v>
      </c>
      <c r="C895" t="s">
        <v>1645</v>
      </c>
      <c r="D895" t="str">
        <f t="shared" si="52"/>
        <v>Male</v>
      </c>
      <c r="E895" t="s">
        <v>9</v>
      </c>
      <c r="F895" s="2">
        <v>27</v>
      </c>
      <c r="G895" s="2" t="str" cm="1">
        <f t="array" ref="G895">_xlfn.IFS(F895&lt;=8,"Child",F895&lt;=17,"Teen",F895&lt;=35,"Adult",F895&lt;=55,"Seniour Adult",F895&gt;=55,"Old Age")</f>
        <v>Adult</v>
      </c>
      <c r="H895" t="s">
        <v>10</v>
      </c>
      <c r="I895" t="s">
        <v>36</v>
      </c>
      <c r="J895" t="str" cm="1">
        <f t="array" ref="J895">_xlfn.IFS(I895="S","Southamptom",I895="Q","Quentown",I895="C","Cherbrug",I895="B","Cabin")</f>
        <v>Quentown</v>
      </c>
      <c r="K895" t="s">
        <v>37</v>
      </c>
      <c r="L895" s="2">
        <v>15.1</v>
      </c>
      <c r="M895" s="2" t="str" cm="1">
        <f t="array" ref="M895">_xlfn.IFS(L895&lt;=15,"Low Fare",L895&lt;=35,"Medium Fare",L895&lt;=100,"High Fare",L895&gt;=100,"Very High Fare")</f>
        <v>Medium Fare</v>
      </c>
      <c r="N895" s="2">
        <v>1</v>
      </c>
      <c r="O895" s="2">
        <v>0</v>
      </c>
      <c r="P895">
        <f t="shared" si="53"/>
        <v>2</v>
      </c>
      <c r="Q895" t="str">
        <f t="shared" si="54"/>
        <v>With Family</v>
      </c>
      <c r="R895" t="str">
        <f t="shared" si="55"/>
        <v>No</v>
      </c>
      <c r="S895" t="s">
        <v>13</v>
      </c>
    </row>
    <row r="896" spans="1:19" x14ac:dyDescent="0.3">
      <c r="A896" s="1" t="s">
        <v>679</v>
      </c>
      <c r="B896" t="s">
        <v>1596</v>
      </c>
      <c r="C896" t="s">
        <v>2377</v>
      </c>
      <c r="D896" t="str">
        <f t="shared" si="52"/>
        <v>Male</v>
      </c>
      <c r="E896" t="s">
        <v>9</v>
      </c>
      <c r="F896" s="2">
        <v>18</v>
      </c>
      <c r="G896" s="2" t="str" cm="1">
        <f t="array" ref="G896">_xlfn.IFS(F896&lt;=8,"Child",F896&lt;=17,"Teen",F896&lt;=35,"Adult",F896&lt;=55,"Seniour Adult",F896&gt;=55,"Old Age")</f>
        <v>Adult</v>
      </c>
      <c r="H896" t="s">
        <v>10</v>
      </c>
      <c r="I896" t="s">
        <v>36</v>
      </c>
      <c r="J896" t="str" cm="1">
        <f t="array" ref="J896">_xlfn.IFS(I896="S","Southamptom",I896="Q","Quentown",I896="C","Cherbrug",I896="B","Cabin")</f>
        <v>Quentown</v>
      </c>
      <c r="K896" t="s">
        <v>37</v>
      </c>
      <c r="L896" s="2">
        <v>7.1407999999999996</v>
      </c>
      <c r="M896" s="2" t="str" cm="1">
        <f t="array" ref="M896">_xlfn.IFS(L896&lt;=15,"Low Fare",L896&lt;=35,"Medium Fare",L896&lt;=100,"High Fare",L896&gt;=100,"Very High Fare")</f>
        <v>Low Fare</v>
      </c>
      <c r="N896" s="2">
        <v>0</v>
      </c>
      <c r="O896" s="2">
        <v>0</v>
      </c>
      <c r="P896">
        <f t="shared" si="53"/>
        <v>1</v>
      </c>
      <c r="Q896" t="str">
        <f t="shared" si="54"/>
        <v>Alone</v>
      </c>
      <c r="R896" t="str">
        <f t="shared" si="55"/>
        <v>No</v>
      </c>
      <c r="S896" t="s">
        <v>13</v>
      </c>
    </row>
    <row r="897" spans="1:19" x14ac:dyDescent="0.3">
      <c r="A897" s="1" t="s">
        <v>680</v>
      </c>
      <c r="B897" t="s">
        <v>1596</v>
      </c>
      <c r="C897" t="s">
        <v>2378</v>
      </c>
      <c r="D897" t="str">
        <f t="shared" si="52"/>
        <v>Male</v>
      </c>
      <c r="E897" t="s">
        <v>9</v>
      </c>
      <c r="F897" s="2">
        <v>17</v>
      </c>
      <c r="G897" s="2" t="str" cm="1">
        <f t="array" ref="G897">_xlfn.IFS(F897&lt;=8,"Child",F897&lt;=17,"Teen",F897&lt;=35,"Adult",F897&lt;=55,"Seniour Adult",F897&gt;=55,"Old Age")</f>
        <v>Teen</v>
      </c>
      <c r="H897" t="s">
        <v>10</v>
      </c>
      <c r="I897" t="s">
        <v>36</v>
      </c>
      <c r="J897" t="str" cm="1">
        <f t="array" ref="J897">_xlfn.IFS(I897="S","Southamptom",I897="Q","Quentown",I897="C","Cherbrug",I897="B","Cabin")</f>
        <v>Quentown</v>
      </c>
      <c r="K897" t="s">
        <v>37</v>
      </c>
      <c r="L897" s="2">
        <v>7.15</v>
      </c>
      <c r="M897" s="2" t="str" cm="1">
        <f t="array" ref="M897">_xlfn.IFS(L897&lt;=15,"Low Fare",L897&lt;=35,"Medium Fare",L897&lt;=100,"High Fare",L897&gt;=100,"Very High Fare")</f>
        <v>Low Fare</v>
      </c>
      <c r="N897" s="2">
        <v>0</v>
      </c>
      <c r="O897" s="2">
        <v>0</v>
      </c>
      <c r="P897">
        <f t="shared" si="53"/>
        <v>1</v>
      </c>
      <c r="Q897" t="str">
        <f t="shared" si="54"/>
        <v>Alone</v>
      </c>
      <c r="R897" t="str">
        <f t="shared" si="55"/>
        <v>No</v>
      </c>
      <c r="S897" t="s">
        <v>13</v>
      </c>
    </row>
    <row r="898" spans="1:19" x14ac:dyDescent="0.3">
      <c r="A898" s="1" t="s">
        <v>680</v>
      </c>
      <c r="B898" t="s">
        <v>1596</v>
      </c>
      <c r="C898" t="s">
        <v>1792</v>
      </c>
      <c r="D898" t="str">
        <f t="shared" si="52"/>
        <v>Male</v>
      </c>
      <c r="E898" t="s">
        <v>9</v>
      </c>
      <c r="F898" s="2">
        <v>23</v>
      </c>
      <c r="G898" s="2" t="str" cm="1">
        <f t="array" ref="G898">_xlfn.IFS(F898&lt;=8,"Child",F898&lt;=17,"Teen",F898&lt;=35,"Adult",F898&lt;=55,"Seniour Adult",F898&gt;=55,"Old Age")</f>
        <v>Adult</v>
      </c>
      <c r="H898" t="s">
        <v>10</v>
      </c>
      <c r="I898" t="s">
        <v>36</v>
      </c>
      <c r="J898" t="str" cm="1">
        <f t="array" ref="J898">_xlfn.IFS(I898="S","Southamptom",I898="Q","Quentown",I898="C","Cherbrug",I898="B","Cabin")</f>
        <v>Quentown</v>
      </c>
      <c r="K898" t="s">
        <v>37</v>
      </c>
      <c r="L898" s="2">
        <v>7.15</v>
      </c>
      <c r="M898" s="2" t="str" cm="1">
        <f t="array" ref="M898">_xlfn.IFS(L898&lt;=15,"Low Fare",L898&lt;=35,"Medium Fare",L898&lt;=100,"High Fare",L898&gt;=100,"Very High Fare")</f>
        <v>Low Fare</v>
      </c>
      <c r="N898" s="2">
        <v>0</v>
      </c>
      <c r="O898" s="2">
        <v>0</v>
      </c>
      <c r="P898">
        <f t="shared" si="53"/>
        <v>1</v>
      </c>
      <c r="Q898" t="str">
        <f t="shared" si="54"/>
        <v>Alone</v>
      </c>
      <c r="R898" t="str">
        <f t="shared" si="55"/>
        <v>No</v>
      </c>
      <c r="S898" t="s">
        <v>13</v>
      </c>
    </row>
    <row r="899" spans="1:19" x14ac:dyDescent="0.3">
      <c r="A899" s="1" t="s">
        <v>681</v>
      </c>
      <c r="B899" t="s">
        <v>1596</v>
      </c>
      <c r="C899" t="s">
        <v>2379</v>
      </c>
      <c r="D899" t="str">
        <f t="shared" ref="D899:D962" si="56">PROPER(E899)</f>
        <v>Male</v>
      </c>
      <c r="E899" t="s">
        <v>9</v>
      </c>
      <c r="F899" s="2">
        <v>23</v>
      </c>
      <c r="G899" s="2" t="str" cm="1">
        <f t="array" ref="G899">_xlfn.IFS(F899&lt;=8,"Child",F899&lt;=17,"Teen",F899&lt;=35,"Adult",F899&lt;=55,"Seniour Adult",F899&gt;=55,"Old Age")</f>
        <v>Adult</v>
      </c>
      <c r="H899" t="s">
        <v>10</v>
      </c>
      <c r="I899" t="s">
        <v>11</v>
      </c>
      <c r="J899" t="str" cm="1">
        <f t="array" ref="J899">_xlfn.IFS(I899="S","Southamptom",I899="Q","Quentown",I899="C","Cherbrug",I899="B","Cabin")</f>
        <v>Southamptom</v>
      </c>
      <c r="K899" t="s">
        <v>23</v>
      </c>
      <c r="L899" s="2">
        <v>9.0405999999999995</v>
      </c>
      <c r="M899" s="2" t="str" cm="1">
        <f t="array" ref="M899">_xlfn.IFS(L899&lt;=15,"Low Fare",L899&lt;=35,"Medium Fare",L899&lt;=100,"High Fare",L899&gt;=100,"Very High Fare")</f>
        <v>Low Fare</v>
      </c>
      <c r="N899" s="2">
        <v>0</v>
      </c>
      <c r="O899" s="2">
        <v>0</v>
      </c>
      <c r="P899">
        <f t="shared" ref="P899:P962" si="57">N899+O899+1</f>
        <v>1</v>
      </c>
      <c r="Q899" t="str">
        <f t="shared" ref="Q899:Q962" si="58">IF(P899=1,"Alone","With Family")</f>
        <v>Alone</v>
      </c>
      <c r="R899" t="str">
        <f t="shared" ref="R899:R962" si="59">PROPER(S899)</f>
        <v>No</v>
      </c>
      <c r="S899" t="s">
        <v>13</v>
      </c>
    </row>
    <row r="900" spans="1:19" x14ac:dyDescent="0.3">
      <c r="A900" s="1" t="s">
        <v>682</v>
      </c>
      <c r="B900" t="s">
        <v>1602</v>
      </c>
      <c r="C900" t="s">
        <v>1720</v>
      </c>
      <c r="D900" t="str">
        <f t="shared" si="56"/>
        <v>Female</v>
      </c>
      <c r="E900" t="s">
        <v>14</v>
      </c>
      <c r="F900" s="2">
        <v>24</v>
      </c>
      <c r="G900" s="2" t="str" cm="1">
        <f t="array" ref="G900">_xlfn.IFS(F900&lt;=8,"Child",F900&lt;=17,"Teen",F900&lt;=35,"Adult",F900&lt;=55,"Seniour Adult",F900&gt;=55,"Old Age")</f>
        <v>Adult</v>
      </c>
      <c r="H900" t="s">
        <v>10</v>
      </c>
      <c r="I900" t="s">
        <v>36</v>
      </c>
      <c r="J900" t="str" cm="1">
        <f t="array" ref="J900">_xlfn.IFS(I900="S","Southamptom",I900="Q","Quentown",I900="C","Cherbrug",I900="B","Cabin")</f>
        <v>Quentown</v>
      </c>
      <c r="K900" t="s">
        <v>37</v>
      </c>
      <c r="L900" s="2">
        <v>7.1707000000000001</v>
      </c>
      <c r="M900" s="2" t="str" cm="1">
        <f t="array" ref="M900">_xlfn.IFS(L900&lt;=15,"Low Fare",L900&lt;=35,"Medium Fare",L900&lt;=100,"High Fare",L900&gt;=100,"Very High Fare")</f>
        <v>Low Fare</v>
      </c>
      <c r="N900" s="2">
        <v>0</v>
      </c>
      <c r="O900" s="2">
        <v>0</v>
      </c>
      <c r="P900">
        <f t="shared" si="57"/>
        <v>1</v>
      </c>
      <c r="Q900" t="str">
        <f t="shared" si="58"/>
        <v>Alone</v>
      </c>
      <c r="R900" t="str">
        <f t="shared" si="59"/>
        <v>Yes</v>
      </c>
      <c r="S900" t="s">
        <v>16</v>
      </c>
    </row>
    <row r="901" spans="1:19" x14ac:dyDescent="0.3">
      <c r="A901" s="1" t="s">
        <v>683</v>
      </c>
      <c r="B901" t="s">
        <v>1602</v>
      </c>
      <c r="C901" t="s">
        <v>2380</v>
      </c>
      <c r="D901" t="str">
        <f t="shared" si="56"/>
        <v>Female</v>
      </c>
      <c r="E901" t="s">
        <v>14</v>
      </c>
      <c r="F901" s="2">
        <v>22</v>
      </c>
      <c r="G901" s="2" t="str" cm="1">
        <f t="array" ref="G901">_xlfn.IFS(F901&lt;=8,"Child",F901&lt;=17,"Teen",F901&lt;=35,"Adult",F901&lt;=55,"Seniour Adult",F901&gt;=55,"Old Age")</f>
        <v>Adult</v>
      </c>
      <c r="H901" t="s">
        <v>10</v>
      </c>
      <c r="I901" t="s">
        <v>11</v>
      </c>
      <c r="J901" t="str" cm="1">
        <f t="array" ref="J901">_xlfn.IFS(I901="S","Southamptom",I901="Q","Quentown",I901="C","Cherbrug",I901="B","Cabin")</f>
        <v>Southamptom</v>
      </c>
      <c r="K901" t="s">
        <v>23</v>
      </c>
      <c r="L901" s="2">
        <v>7.1505999999999998</v>
      </c>
      <c r="M901" s="2" t="str" cm="1">
        <f t="array" ref="M901">_xlfn.IFS(L901&lt;=15,"Low Fare",L901&lt;=35,"Medium Fare",L901&lt;=100,"High Fare",L901&gt;=100,"Very High Fare")</f>
        <v>Low Fare</v>
      </c>
      <c r="N901" s="2">
        <v>0</v>
      </c>
      <c r="O901" s="2">
        <v>0</v>
      </c>
      <c r="P901">
        <f t="shared" si="57"/>
        <v>1</v>
      </c>
      <c r="Q901" t="str">
        <f t="shared" si="58"/>
        <v>Alone</v>
      </c>
      <c r="R901" t="str">
        <f t="shared" si="59"/>
        <v>Yes</v>
      </c>
      <c r="S901" t="s">
        <v>16</v>
      </c>
    </row>
    <row r="902" spans="1:19" x14ac:dyDescent="0.3">
      <c r="A902" s="1" t="s">
        <v>684</v>
      </c>
      <c r="B902" t="s">
        <v>1596</v>
      </c>
      <c r="C902" t="s">
        <v>1792</v>
      </c>
      <c r="D902" t="str">
        <f t="shared" si="56"/>
        <v>Male</v>
      </c>
      <c r="E902" t="s">
        <v>9</v>
      </c>
      <c r="F902" s="2">
        <v>21</v>
      </c>
      <c r="G902" s="2" t="str" cm="1">
        <f t="array" ref="G902">_xlfn.IFS(F902&lt;=8,"Child",F902&lt;=17,"Teen",F902&lt;=35,"Adult",F902&lt;=55,"Seniour Adult",F902&gt;=55,"Old Age")</f>
        <v>Adult</v>
      </c>
      <c r="H902" t="s">
        <v>10</v>
      </c>
      <c r="I902" t="s">
        <v>36</v>
      </c>
      <c r="J902" t="str" cm="1">
        <f t="array" ref="J902">_xlfn.IFS(I902="S","Southamptom",I902="Q","Quentown",I902="C","Cherbrug",I902="B","Cabin")</f>
        <v>Quentown</v>
      </c>
      <c r="K902" t="s">
        <v>37</v>
      </c>
      <c r="L902" s="2">
        <v>7.15</v>
      </c>
      <c r="M902" s="2" t="str" cm="1">
        <f t="array" ref="M902">_xlfn.IFS(L902&lt;=15,"Low Fare",L902&lt;=35,"Medium Fare",L902&lt;=100,"High Fare",L902&gt;=100,"Very High Fare")</f>
        <v>Low Fare</v>
      </c>
      <c r="N902" s="2">
        <v>0</v>
      </c>
      <c r="O902" s="2">
        <v>0</v>
      </c>
      <c r="P902">
        <f t="shared" si="57"/>
        <v>1</v>
      </c>
      <c r="Q902" t="str">
        <f t="shared" si="58"/>
        <v>Alone</v>
      </c>
      <c r="R902" t="str">
        <f t="shared" si="59"/>
        <v>Yes</v>
      </c>
      <c r="S902" t="s">
        <v>16</v>
      </c>
    </row>
    <row r="903" spans="1:19" x14ac:dyDescent="0.3">
      <c r="A903" s="1" t="s">
        <v>685</v>
      </c>
      <c r="B903" t="s">
        <v>1602</v>
      </c>
      <c r="C903" t="s">
        <v>2081</v>
      </c>
      <c r="D903" t="str">
        <f t="shared" si="56"/>
        <v>Female</v>
      </c>
      <c r="E903" t="s">
        <v>14</v>
      </c>
      <c r="F903" s="2">
        <v>16</v>
      </c>
      <c r="G903" s="2" t="str" cm="1">
        <f t="array" ref="G903">_xlfn.IFS(F903&lt;=8,"Child",F903&lt;=17,"Teen",F903&lt;=35,"Adult",F903&lt;=55,"Seniour Adult",F903&gt;=55,"Old Age")</f>
        <v>Teen</v>
      </c>
      <c r="H903" t="s">
        <v>10</v>
      </c>
      <c r="I903" t="s">
        <v>36</v>
      </c>
      <c r="J903" t="str" cm="1">
        <f t="array" ref="J903">_xlfn.IFS(I903="S","Southamptom",I903="Q","Quentown",I903="C","Cherbrug",I903="B","Cabin")</f>
        <v>Quentown</v>
      </c>
      <c r="K903" t="s">
        <v>37</v>
      </c>
      <c r="L903" s="2">
        <v>7.1607000000000003</v>
      </c>
      <c r="M903" s="2" t="str" cm="1">
        <f t="array" ref="M903">_xlfn.IFS(L903&lt;=15,"Low Fare",L903&lt;=35,"Medium Fare",L903&lt;=100,"High Fare",L903&gt;=100,"Very High Fare")</f>
        <v>Low Fare</v>
      </c>
      <c r="N903" s="2">
        <v>0</v>
      </c>
      <c r="O903" s="2">
        <v>0</v>
      </c>
      <c r="P903">
        <f t="shared" si="57"/>
        <v>1</v>
      </c>
      <c r="Q903" t="str">
        <f t="shared" si="58"/>
        <v>Alone</v>
      </c>
      <c r="R903" t="str">
        <f t="shared" si="59"/>
        <v>Yes</v>
      </c>
      <c r="S903" t="s">
        <v>16</v>
      </c>
    </row>
    <row r="904" spans="1:19" x14ac:dyDescent="0.3">
      <c r="A904" s="1" t="s">
        <v>686</v>
      </c>
      <c r="B904" t="s">
        <v>2381</v>
      </c>
      <c r="C904" t="s">
        <v>2382</v>
      </c>
      <c r="D904" t="str">
        <f t="shared" si="56"/>
        <v>Female</v>
      </c>
      <c r="E904" t="s">
        <v>14</v>
      </c>
      <c r="F904" s="2">
        <v>39</v>
      </c>
      <c r="G904" s="2" t="str" cm="1">
        <f t="array" ref="G904">_xlfn.IFS(F904&lt;=8,"Child",F904&lt;=17,"Teen",F904&lt;=35,"Adult",F904&lt;=55,"Seniour Adult",F904&gt;=55,"Old Age")</f>
        <v>Seniour Adult</v>
      </c>
      <c r="H904" t="s">
        <v>25</v>
      </c>
      <c r="I904" t="s">
        <v>19</v>
      </c>
      <c r="J904" t="str" cm="1">
        <f t="array" ref="J904">_xlfn.IFS(I904="S","Southamptom",I904="Q","Quentown",I904="C","Cherbrug",I904="B","Cabin")</f>
        <v>Cherbrug</v>
      </c>
      <c r="K904" t="s">
        <v>50</v>
      </c>
      <c r="L904" s="2">
        <v>108.18</v>
      </c>
      <c r="M904" s="2" t="str" cm="1">
        <f t="array" ref="M904">_xlfn.IFS(L904&lt;=15,"Low Fare",L904&lt;=35,"Medium Fare",L904&lt;=100,"High Fare",L904&gt;=100,"Very High Fare")</f>
        <v>Very High Fare</v>
      </c>
      <c r="N904" s="2">
        <v>0</v>
      </c>
      <c r="O904" s="2">
        <v>0</v>
      </c>
      <c r="P904">
        <f t="shared" si="57"/>
        <v>1</v>
      </c>
      <c r="Q904" t="str">
        <f t="shared" si="58"/>
        <v>Alone</v>
      </c>
      <c r="R904" t="str">
        <f t="shared" si="59"/>
        <v>Yes</v>
      </c>
      <c r="S904" t="s">
        <v>16</v>
      </c>
    </row>
    <row r="905" spans="1:19" x14ac:dyDescent="0.3">
      <c r="A905" s="1" t="s">
        <v>687</v>
      </c>
      <c r="B905" t="s">
        <v>1612</v>
      </c>
      <c r="C905" t="s">
        <v>2383</v>
      </c>
      <c r="D905" t="str">
        <f t="shared" si="56"/>
        <v>Male</v>
      </c>
      <c r="E905" t="s">
        <v>9</v>
      </c>
      <c r="F905" s="2">
        <v>9</v>
      </c>
      <c r="G905" s="2" t="str" cm="1">
        <f t="array" ref="G905">_xlfn.IFS(F905&lt;=8,"Child",F905&lt;=17,"Teen",F905&lt;=35,"Adult",F905&lt;=55,"Seniour Adult",F905&gt;=55,"Old Age")</f>
        <v>Teen</v>
      </c>
      <c r="H905" t="s">
        <v>10</v>
      </c>
      <c r="I905" t="s">
        <v>11</v>
      </c>
      <c r="J905" t="str" cm="1">
        <f t="array" ref="J905">_xlfn.IFS(I905="S","Southamptom",I905="Q","Quentown",I905="C","Cherbrug",I905="B","Cabin")</f>
        <v>Southamptom</v>
      </c>
      <c r="K905" t="s">
        <v>17</v>
      </c>
      <c r="L905" s="2">
        <v>3.0305</v>
      </c>
      <c r="M905" s="2" t="str" cm="1">
        <f t="array" ref="M905">_xlfn.IFS(L905&lt;=15,"Low Fare",L905&lt;=35,"Medium Fare",L905&lt;=100,"High Fare",L905&gt;=100,"Very High Fare")</f>
        <v>Low Fare</v>
      </c>
      <c r="N905" s="2">
        <v>0</v>
      </c>
      <c r="O905" s="2">
        <v>1</v>
      </c>
      <c r="P905">
        <f t="shared" si="57"/>
        <v>2</v>
      </c>
      <c r="Q905" t="str">
        <f t="shared" si="58"/>
        <v>With Family</v>
      </c>
      <c r="R905" t="str">
        <f t="shared" si="59"/>
        <v>Yes</v>
      </c>
      <c r="S905" t="s">
        <v>16</v>
      </c>
    </row>
    <row r="906" spans="1:19" x14ac:dyDescent="0.3">
      <c r="A906" s="1" t="s">
        <v>687</v>
      </c>
      <c r="B906" t="s">
        <v>1596</v>
      </c>
      <c r="C906" t="s">
        <v>2384</v>
      </c>
      <c r="D906" t="str">
        <f t="shared" si="56"/>
        <v>Male</v>
      </c>
      <c r="E906" t="s">
        <v>9</v>
      </c>
      <c r="F906" s="2">
        <v>28</v>
      </c>
      <c r="G906" s="2" t="str" cm="1">
        <f t="array" ref="G906">_xlfn.IFS(F906&lt;=8,"Child",F906&lt;=17,"Teen",F906&lt;=35,"Adult",F906&lt;=55,"Seniour Adult",F906&gt;=55,"Old Age")</f>
        <v>Adult</v>
      </c>
      <c r="H906" t="s">
        <v>10</v>
      </c>
      <c r="I906" t="s">
        <v>11</v>
      </c>
      <c r="J906" t="str" cm="1">
        <f t="array" ref="J906">_xlfn.IFS(I906="S","Southamptom",I906="Q","Quentown",I906="C","Cherbrug",I906="B","Cabin")</f>
        <v>Southamptom</v>
      </c>
      <c r="K906" t="s">
        <v>17</v>
      </c>
      <c r="L906" s="2">
        <v>22.1006</v>
      </c>
      <c r="M906" s="2" t="str" cm="1">
        <f t="array" ref="M906">_xlfn.IFS(L906&lt;=15,"Low Fare",L906&lt;=35,"Medium Fare",L906&lt;=100,"High Fare",L906&gt;=100,"Very High Fare")</f>
        <v>Medium Fare</v>
      </c>
      <c r="N906" s="2">
        <v>0</v>
      </c>
      <c r="O906" s="2">
        <v>0</v>
      </c>
      <c r="P906">
        <f t="shared" si="57"/>
        <v>1</v>
      </c>
      <c r="Q906" t="str">
        <f t="shared" si="58"/>
        <v>Alone</v>
      </c>
      <c r="R906" t="str">
        <f t="shared" si="59"/>
        <v>No</v>
      </c>
      <c r="S906" t="s">
        <v>13</v>
      </c>
    </row>
    <row r="907" spans="1:19" x14ac:dyDescent="0.3">
      <c r="A907" s="1" t="s">
        <v>687</v>
      </c>
      <c r="B907" t="s">
        <v>1596</v>
      </c>
      <c r="C907" t="s">
        <v>2385</v>
      </c>
      <c r="D907" t="str">
        <f t="shared" si="56"/>
        <v>Male</v>
      </c>
      <c r="E907" t="s">
        <v>9</v>
      </c>
      <c r="F907" s="2">
        <v>42</v>
      </c>
      <c r="G907" s="2" t="str" cm="1">
        <f t="array" ref="G907">_xlfn.IFS(F907&lt;=8,"Child",F907&lt;=17,"Teen",F907&lt;=35,"Adult",F907&lt;=55,"Seniour Adult",F907&gt;=55,"Old Age")</f>
        <v>Seniour Adult</v>
      </c>
      <c r="H907" t="s">
        <v>10</v>
      </c>
      <c r="I907" t="s">
        <v>11</v>
      </c>
      <c r="J907" t="str" cm="1">
        <f t="array" ref="J907">_xlfn.IFS(I907="S","Southamptom",I907="Q","Quentown",I907="C","Cherbrug",I907="B","Cabin")</f>
        <v>Southamptom</v>
      </c>
      <c r="K907" t="s">
        <v>12</v>
      </c>
      <c r="L907" s="2">
        <v>8.0800999999999998</v>
      </c>
      <c r="M907" s="2" t="str" cm="1">
        <f t="array" ref="M907">_xlfn.IFS(L907&lt;=15,"Low Fare",L907&lt;=35,"Medium Fare",L907&lt;=100,"High Fare",L907&gt;=100,"Very High Fare")</f>
        <v>Low Fare</v>
      </c>
      <c r="N907" s="2">
        <v>0</v>
      </c>
      <c r="O907" s="2">
        <v>1</v>
      </c>
      <c r="P907">
        <f t="shared" si="57"/>
        <v>2</v>
      </c>
      <c r="Q907" t="str">
        <f t="shared" si="58"/>
        <v>With Family</v>
      </c>
      <c r="R907" t="str">
        <f t="shared" si="59"/>
        <v>No</v>
      </c>
      <c r="S907" t="s">
        <v>13</v>
      </c>
    </row>
    <row r="908" spans="1:19" x14ac:dyDescent="0.3">
      <c r="A908" s="1" t="s">
        <v>687</v>
      </c>
      <c r="B908" t="s">
        <v>1596</v>
      </c>
      <c r="C908" t="s">
        <v>2386</v>
      </c>
      <c r="D908" t="str">
        <f t="shared" si="56"/>
        <v>Male</v>
      </c>
      <c r="E908" t="s">
        <v>9</v>
      </c>
      <c r="F908" s="2">
        <v>27</v>
      </c>
      <c r="G908" s="2" t="str" cm="1">
        <f t="array" ref="G908">_xlfn.IFS(F908&lt;=8,"Child",F908&lt;=17,"Teen",F908&lt;=35,"Adult",F908&lt;=55,"Seniour Adult",F908&gt;=55,"Old Age")</f>
        <v>Adult</v>
      </c>
      <c r="H908" t="s">
        <v>10</v>
      </c>
      <c r="I908" t="s">
        <v>11</v>
      </c>
      <c r="J908" t="str" cm="1">
        <f t="array" ref="J908">_xlfn.IFS(I908="S","Southamptom",I908="Q","Quentown",I908="C","Cherbrug",I908="B","Cabin")</f>
        <v>Southamptom</v>
      </c>
      <c r="K908" t="s">
        <v>17</v>
      </c>
      <c r="L908" s="2">
        <v>7.0602999999999998</v>
      </c>
      <c r="M908" s="2" t="str" cm="1">
        <f t="array" ref="M908">_xlfn.IFS(L908&lt;=15,"Low Fare",L908&lt;=35,"Medium Fare",L908&lt;=100,"High Fare",L908&gt;=100,"Very High Fare")</f>
        <v>Low Fare</v>
      </c>
      <c r="N908" s="2">
        <v>0</v>
      </c>
      <c r="O908" s="2">
        <v>0</v>
      </c>
      <c r="P908">
        <f t="shared" si="57"/>
        <v>1</v>
      </c>
      <c r="Q908" t="str">
        <f t="shared" si="58"/>
        <v>Alone</v>
      </c>
      <c r="R908" t="str">
        <f t="shared" si="59"/>
        <v>No</v>
      </c>
      <c r="S908" t="s">
        <v>13</v>
      </c>
    </row>
    <row r="909" spans="1:19" x14ac:dyDescent="0.3">
      <c r="A909" s="1" t="s">
        <v>688</v>
      </c>
      <c r="B909" t="s">
        <v>1602</v>
      </c>
      <c r="C909" t="s">
        <v>2387</v>
      </c>
      <c r="D909" t="str">
        <f t="shared" si="56"/>
        <v>Female</v>
      </c>
      <c r="E909" t="s">
        <v>14</v>
      </c>
      <c r="F909" s="2">
        <v>31</v>
      </c>
      <c r="G909" s="2" t="str" cm="1">
        <f t="array" ref="G909">_xlfn.IFS(F909&lt;=8,"Child",F909&lt;=17,"Teen",F909&lt;=35,"Adult",F909&lt;=55,"Seniour Adult",F909&gt;=55,"Old Age")</f>
        <v>Adult</v>
      </c>
      <c r="H909" t="s">
        <v>10</v>
      </c>
      <c r="I909" t="s">
        <v>11</v>
      </c>
      <c r="J909" t="str" cm="1">
        <f t="array" ref="J909">_xlfn.IFS(I909="S","Southamptom",I909="Q","Quentown",I909="C","Cherbrug",I909="B","Cabin")</f>
        <v>Southamptom</v>
      </c>
      <c r="K909" t="s">
        <v>23</v>
      </c>
      <c r="L909" s="2">
        <v>7.1700999999999997</v>
      </c>
      <c r="M909" s="2" t="str" cm="1">
        <f t="array" ref="M909">_xlfn.IFS(L909&lt;=15,"Low Fare",L909&lt;=35,"Medium Fare",L909&lt;=100,"High Fare",L909&gt;=100,"Very High Fare")</f>
        <v>Low Fare</v>
      </c>
      <c r="N909" s="2">
        <v>0</v>
      </c>
      <c r="O909" s="2">
        <v>0</v>
      </c>
      <c r="P909">
        <f t="shared" si="57"/>
        <v>1</v>
      </c>
      <c r="Q909" t="str">
        <f t="shared" si="58"/>
        <v>Alone</v>
      </c>
      <c r="R909" t="str">
        <f t="shared" si="59"/>
        <v>No</v>
      </c>
      <c r="S909" t="s">
        <v>13</v>
      </c>
    </row>
    <row r="910" spans="1:19" x14ac:dyDescent="0.3">
      <c r="A910" s="1" t="s">
        <v>688</v>
      </c>
      <c r="B910" t="s">
        <v>1596</v>
      </c>
      <c r="C910" t="s">
        <v>2388</v>
      </c>
      <c r="D910" t="str">
        <f t="shared" si="56"/>
        <v>Male</v>
      </c>
      <c r="E910" t="s">
        <v>9</v>
      </c>
      <c r="F910" s="2">
        <v>28</v>
      </c>
      <c r="G910" s="2" t="str" cm="1">
        <f t="array" ref="G910">_xlfn.IFS(F910&lt;=8,"Child",F910&lt;=17,"Teen",F910&lt;=35,"Adult",F910&lt;=55,"Seniour Adult",F910&gt;=55,"Old Age")</f>
        <v>Adult</v>
      </c>
      <c r="H910" t="s">
        <v>10</v>
      </c>
      <c r="I910" t="s">
        <v>11</v>
      </c>
      <c r="J910" t="str" cm="1">
        <f t="array" ref="J910">_xlfn.IFS(I910="S","Southamptom",I910="Q","Quentown",I910="C","Cherbrug",I910="B","Cabin")</f>
        <v>Southamptom</v>
      </c>
      <c r="K910" t="s">
        <v>23</v>
      </c>
      <c r="L910" s="2">
        <v>7.1700999999999997</v>
      </c>
      <c r="M910" s="2" t="str" cm="1">
        <f t="array" ref="M910">_xlfn.IFS(L910&lt;=15,"Low Fare",L910&lt;=35,"Medium Fare",L910&lt;=100,"High Fare",L910&gt;=100,"Very High Fare")</f>
        <v>Low Fare</v>
      </c>
      <c r="N910" s="2">
        <v>0</v>
      </c>
      <c r="O910" s="2">
        <v>0</v>
      </c>
      <c r="P910">
        <f t="shared" si="57"/>
        <v>1</v>
      </c>
      <c r="Q910" t="str">
        <f t="shared" si="58"/>
        <v>Alone</v>
      </c>
      <c r="R910" t="str">
        <f t="shared" si="59"/>
        <v>No</v>
      </c>
      <c r="S910" t="s">
        <v>13</v>
      </c>
    </row>
    <row r="911" spans="1:19" x14ac:dyDescent="0.3">
      <c r="A911" s="1" t="s">
        <v>688</v>
      </c>
      <c r="B911" t="s">
        <v>1596</v>
      </c>
      <c r="C911" t="s">
        <v>2389</v>
      </c>
      <c r="D911" t="str">
        <f t="shared" si="56"/>
        <v>Male</v>
      </c>
      <c r="E911" t="s">
        <v>9</v>
      </c>
      <c r="F911" s="2">
        <v>32</v>
      </c>
      <c r="G911" s="2" t="str" cm="1">
        <f t="array" ref="G911">_xlfn.IFS(F911&lt;=8,"Child",F911&lt;=17,"Teen",F911&lt;=35,"Adult",F911&lt;=55,"Seniour Adult",F911&gt;=55,"Old Age")</f>
        <v>Adult</v>
      </c>
      <c r="H911" t="s">
        <v>10</v>
      </c>
      <c r="I911" t="s">
        <v>11</v>
      </c>
      <c r="J911" t="str" cm="1">
        <f t="array" ref="J911">_xlfn.IFS(I911="S","Southamptom",I911="Q","Quentown",I911="C","Cherbrug",I911="B","Cabin")</f>
        <v>Southamptom</v>
      </c>
      <c r="K911" t="s">
        <v>23</v>
      </c>
      <c r="L911" s="2">
        <v>7.1505999999999998</v>
      </c>
      <c r="M911" s="2" t="str" cm="1">
        <f t="array" ref="M911">_xlfn.IFS(L911&lt;=15,"Low Fare",L911&lt;=35,"Medium Fare",L911&lt;=100,"High Fare",L911&gt;=100,"Very High Fare")</f>
        <v>Low Fare</v>
      </c>
      <c r="N911" s="2">
        <v>0</v>
      </c>
      <c r="O911" s="2">
        <v>0</v>
      </c>
      <c r="P911">
        <f t="shared" si="57"/>
        <v>1</v>
      </c>
      <c r="Q911" t="str">
        <f t="shared" si="58"/>
        <v>Alone</v>
      </c>
      <c r="R911" t="str">
        <f t="shared" si="59"/>
        <v>Yes</v>
      </c>
      <c r="S911" t="s">
        <v>16</v>
      </c>
    </row>
    <row r="912" spans="1:19" x14ac:dyDescent="0.3">
      <c r="A912" s="1" t="s">
        <v>689</v>
      </c>
      <c r="B912" t="s">
        <v>1596</v>
      </c>
      <c r="C912" t="s">
        <v>2390</v>
      </c>
      <c r="D912" t="str">
        <f t="shared" si="56"/>
        <v>Male</v>
      </c>
      <c r="E912" t="s">
        <v>9</v>
      </c>
      <c r="F912" s="2">
        <v>20</v>
      </c>
      <c r="G912" s="2" t="str" cm="1">
        <f t="array" ref="G912">_xlfn.IFS(F912&lt;=8,"Child",F912&lt;=17,"Teen",F912&lt;=35,"Adult",F912&lt;=55,"Seniour Adult",F912&gt;=55,"Old Age")</f>
        <v>Adult</v>
      </c>
      <c r="H912" t="s">
        <v>10</v>
      </c>
      <c r="I912" t="s">
        <v>11</v>
      </c>
      <c r="J912" t="str" cm="1">
        <f t="array" ref="J912">_xlfn.IFS(I912="S","Southamptom",I912="Q","Quentown",I912="C","Cherbrug",I912="B","Cabin")</f>
        <v>Southamptom</v>
      </c>
      <c r="K912" t="s">
        <v>17</v>
      </c>
      <c r="L912" s="2">
        <v>9.0405999999999995</v>
      </c>
      <c r="M912" s="2" t="str" cm="1">
        <f t="array" ref="M912">_xlfn.IFS(L912&lt;=15,"Low Fare",L912&lt;=35,"Medium Fare",L912&lt;=100,"High Fare",L912&gt;=100,"Very High Fare")</f>
        <v>Low Fare</v>
      </c>
      <c r="N912" s="2">
        <v>0</v>
      </c>
      <c r="O912" s="2">
        <v>0</v>
      </c>
      <c r="P912">
        <f t="shared" si="57"/>
        <v>1</v>
      </c>
      <c r="Q912" t="str">
        <f t="shared" si="58"/>
        <v>Alone</v>
      </c>
      <c r="R912" t="str">
        <f t="shared" si="59"/>
        <v>No</v>
      </c>
      <c r="S912" t="s">
        <v>13</v>
      </c>
    </row>
    <row r="913" spans="1:19" x14ac:dyDescent="0.3">
      <c r="A913" s="1" t="s">
        <v>690</v>
      </c>
      <c r="B913" t="s">
        <v>1596</v>
      </c>
      <c r="C913" t="s">
        <v>2391</v>
      </c>
      <c r="D913" t="str">
        <f t="shared" si="56"/>
        <v>Male</v>
      </c>
      <c r="E913" t="s">
        <v>9</v>
      </c>
      <c r="F913" s="2">
        <v>29</v>
      </c>
      <c r="G913" s="2" t="str" cm="1">
        <f t="array" ref="G913">_xlfn.IFS(F913&lt;=8,"Child",F913&lt;=17,"Teen",F913&lt;=35,"Adult",F913&lt;=55,"Seniour Adult",F913&gt;=55,"Old Age")</f>
        <v>Adult</v>
      </c>
      <c r="H913" t="s">
        <v>25</v>
      </c>
      <c r="I913" t="s">
        <v>19</v>
      </c>
      <c r="J913" t="str" cm="1">
        <f t="array" ref="J913">_xlfn.IFS(I913="S","Southamptom",I913="Q","Quentown",I913="C","Cherbrug",I913="B","Cabin")</f>
        <v>Cherbrug</v>
      </c>
      <c r="K913" t="s">
        <v>20</v>
      </c>
      <c r="L913" s="2">
        <v>25.140999999999998</v>
      </c>
      <c r="M913" s="2" t="str" cm="1">
        <f t="array" ref="M913">_xlfn.IFS(L913&lt;=15,"Low Fare",L913&lt;=35,"Medium Fare",L913&lt;=100,"High Fare",L913&gt;=100,"Very High Fare")</f>
        <v>Medium Fare</v>
      </c>
      <c r="N913" s="2">
        <v>0</v>
      </c>
      <c r="O913" s="2">
        <v>0</v>
      </c>
      <c r="P913">
        <f t="shared" si="57"/>
        <v>1</v>
      </c>
      <c r="Q913" t="str">
        <f t="shared" si="58"/>
        <v>Alone</v>
      </c>
      <c r="R913" t="str">
        <f t="shared" si="59"/>
        <v>Yes</v>
      </c>
      <c r="S913" t="s">
        <v>16</v>
      </c>
    </row>
    <row r="914" spans="1:19" x14ac:dyDescent="0.3">
      <c r="A914" s="1" t="s">
        <v>691</v>
      </c>
      <c r="B914" t="s">
        <v>1602</v>
      </c>
      <c r="C914" t="s">
        <v>2392</v>
      </c>
      <c r="D914" t="str">
        <f t="shared" si="56"/>
        <v>Female</v>
      </c>
      <c r="E914" t="s">
        <v>14</v>
      </c>
      <c r="F914" s="2">
        <v>23</v>
      </c>
      <c r="G914" s="2" t="str" cm="1">
        <f t="array" ref="G914">_xlfn.IFS(F914&lt;=8,"Child",F914&lt;=17,"Teen",F914&lt;=35,"Adult",F914&lt;=55,"Seniour Adult",F914&gt;=55,"Old Age")</f>
        <v>Adult</v>
      </c>
      <c r="H914" t="s">
        <v>10</v>
      </c>
      <c r="I914" t="s">
        <v>11</v>
      </c>
      <c r="J914" t="str" cm="1">
        <f t="array" ref="J914">_xlfn.IFS(I914="S","Southamptom",I914="Q","Quentown",I914="C","Cherbrug",I914="B","Cabin")</f>
        <v>Southamptom</v>
      </c>
      <c r="K914" t="s">
        <v>65</v>
      </c>
      <c r="L914" s="2">
        <v>8.1303000000000001</v>
      </c>
      <c r="M914" s="2" t="str" cm="1">
        <f t="array" ref="M914">_xlfn.IFS(L914&lt;=15,"Low Fare",L914&lt;=35,"Medium Fare",L914&lt;=100,"High Fare",L914&gt;=100,"Very High Fare")</f>
        <v>Low Fare</v>
      </c>
      <c r="N914" s="2">
        <v>0</v>
      </c>
      <c r="O914" s="2">
        <v>0</v>
      </c>
      <c r="P914">
        <f t="shared" si="57"/>
        <v>1</v>
      </c>
      <c r="Q914" t="str">
        <f t="shared" si="58"/>
        <v>Alone</v>
      </c>
      <c r="R914" t="str">
        <f t="shared" si="59"/>
        <v>No</v>
      </c>
      <c r="S914" t="s">
        <v>13</v>
      </c>
    </row>
    <row r="915" spans="1:19" x14ac:dyDescent="0.3">
      <c r="A915" s="1" t="s">
        <v>691</v>
      </c>
      <c r="B915" t="s">
        <v>1602</v>
      </c>
      <c r="C915" t="s">
        <v>1781</v>
      </c>
      <c r="D915" t="str">
        <f t="shared" si="56"/>
        <v>Female</v>
      </c>
      <c r="E915" t="s">
        <v>14</v>
      </c>
      <c r="F915" s="2">
        <v>20</v>
      </c>
      <c r="G915" s="2" t="str" cm="1">
        <f t="array" ref="G915">_xlfn.IFS(F915&lt;=8,"Child",F915&lt;=17,"Teen",F915&lt;=35,"Adult",F915&lt;=55,"Seniour Adult",F915&gt;=55,"Old Age")</f>
        <v>Adult</v>
      </c>
      <c r="H915" t="s">
        <v>10</v>
      </c>
      <c r="I915" t="s">
        <v>11</v>
      </c>
      <c r="J915" t="str" cm="1">
        <f t="array" ref="J915">_xlfn.IFS(I915="S","Southamptom",I915="Q","Quentown",I915="C","Cherbrug",I915="B","Cabin")</f>
        <v>Southamptom</v>
      </c>
      <c r="K915" t="s">
        <v>65</v>
      </c>
      <c r="L915" s="2">
        <v>8.1303000000000001</v>
      </c>
      <c r="M915" s="2" t="str" cm="1">
        <f t="array" ref="M915">_xlfn.IFS(L915&lt;=15,"Low Fare",L915&lt;=35,"Medium Fare",L915&lt;=100,"High Fare",L915&gt;=100,"Very High Fare")</f>
        <v>Low Fare</v>
      </c>
      <c r="N915" s="2">
        <v>0</v>
      </c>
      <c r="O915" s="2">
        <v>0</v>
      </c>
      <c r="P915">
        <f t="shared" si="57"/>
        <v>1</v>
      </c>
      <c r="Q915" t="str">
        <f t="shared" si="58"/>
        <v>Alone</v>
      </c>
      <c r="R915" t="str">
        <f t="shared" si="59"/>
        <v>No</v>
      </c>
      <c r="S915" t="s">
        <v>13</v>
      </c>
    </row>
    <row r="916" spans="1:19" x14ac:dyDescent="0.3">
      <c r="A916" s="1" t="s">
        <v>691</v>
      </c>
      <c r="B916" t="s">
        <v>1596</v>
      </c>
      <c r="C916" t="s">
        <v>1783</v>
      </c>
      <c r="D916" t="str">
        <f t="shared" si="56"/>
        <v>Male</v>
      </c>
      <c r="E916" t="s">
        <v>9</v>
      </c>
      <c r="F916" s="2">
        <v>20</v>
      </c>
      <c r="G916" s="2" t="str" cm="1">
        <f t="array" ref="G916">_xlfn.IFS(F916&lt;=8,"Child",F916&lt;=17,"Teen",F916&lt;=35,"Adult",F916&lt;=55,"Seniour Adult",F916&gt;=55,"Old Age")</f>
        <v>Adult</v>
      </c>
      <c r="H916" t="s">
        <v>10</v>
      </c>
      <c r="I916" t="s">
        <v>11</v>
      </c>
      <c r="J916" t="str" cm="1">
        <f t="array" ref="J916">_xlfn.IFS(I916="S","Southamptom",I916="Q","Quentown",I916="C","Cherbrug",I916="B","Cabin")</f>
        <v>Southamptom</v>
      </c>
      <c r="K916" t="s">
        <v>65</v>
      </c>
      <c r="L916" s="2">
        <v>8.1303000000000001</v>
      </c>
      <c r="M916" s="2" t="str" cm="1">
        <f t="array" ref="M916">_xlfn.IFS(L916&lt;=15,"Low Fare",L916&lt;=35,"Medium Fare",L916&lt;=100,"High Fare",L916&gt;=100,"Very High Fare")</f>
        <v>Low Fare</v>
      </c>
      <c r="N916" s="2">
        <v>0</v>
      </c>
      <c r="O916" s="2">
        <v>0</v>
      </c>
      <c r="P916">
        <f t="shared" si="57"/>
        <v>1</v>
      </c>
      <c r="Q916" t="str">
        <f t="shared" si="58"/>
        <v>Alone</v>
      </c>
      <c r="R916" t="str">
        <f t="shared" si="59"/>
        <v>No</v>
      </c>
      <c r="S916" t="s">
        <v>13</v>
      </c>
    </row>
    <row r="917" spans="1:19" x14ac:dyDescent="0.3">
      <c r="A917" s="1" t="s">
        <v>692</v>
      </c>
      <c r="B917" t="s">
        <v>1596</v>
      </c>
      <c r="C917" t="s">
        <v>2393</v>
      </c>
      <c r="D917" t="str">
        <f t="shared" si="56"/>
        <v>Male</v>
      </c>
      <c r="E917" t="s">
        <v>9</v>
      </c>
      <c r="F917" s="2">
        <v>16</v>
      </c>
      <c r="G917" s="2" t="str" cm="1">
        <f t="array" ref="G917">_xlfn.IFS(F917&lt;=8,"Child",F917&lt;=17,"Teen",F917&lt;=35,"Adult",F917&lt;=55,"Seniour Adult",F917&gt;=55,"Old Age")</f>
        <v>Teen</v>
      </c>
      <c r="H917" t="s">
        <v>10</v>
      </c>
      <c r="I917" t="s">
        <v>11</v>
      </c>
      <c r="J917" t="str" cm="1">
        <f t="array" ref="J917">_xlfn.IFS(I917="S","Southamptom",I917="Q","Quentown",I917="C","Cherbrug",I917="B","Cabin")</f>
        <v>Southamptom</v>
      </c>
      <c r="K917" t="s">
        <v>23</v>
      </c>
      <c r="L917" s="2">
        <v>9.0404</v>
      </c>
      <c r="M917" s="2" t="str" cm="1">
        <f t="array" ref="M917">_xlfn.IFS(L917&lt;=15,"Low Fare",L917&lt;=35,"Medium Fare",L917&lt;=100,"High Fare",L917&gt;=100,"Very High Fare")</f>
        <v>Low Fare</v>
      </c>
      <c r="N917" s="2">
        <v>0</v>
      </c>
      <c r="O917" s="2">
        <v>0</v>
      </c>
      <c r="P917">
        <f t="shared" si="57"/>
        <v>1</v>
      </c>
      <c r="Q917" t="str">
        <f t="shared" si="58"/>
        <v>Alone</v>
      </c>
      <c r="R917" t="str">
        <f t="shared" si="59"/>
        <v>No</v>
      </c>
      <c r="S917" t="s">
        <v>13</v>
      </c>
    </row>
    <row r="918" spans="1:19" x14ac:dyDescent="0.3">
      <c r="A918" s="1" t="s">
        <v>693</v>
      </c>
      <c r="B918" t="s">
        <v>1602</v>
      </c>
      <c r="C918" t="s">
        <v>2394</v>
      </c>
      <c r="D918" t="str">
        <f t="shared" si="56"/>
        <v>Female</v>
      </c>
      <c r="E918" t="s">
        <v>14</v>
      </c>
      <c r="F918" s="2">
        <v>22</v>
      </c>
      <c r="G918" s="2" t="str" cm="1">
        <f t="array" ref="G918">_xlfn.IFS(F918&lt;=8,"Child",F918&lt;=17,"Teen",F918&lt;=35,"Adult",F918&lt;=55,"Seniour Adult",F918&gt;=55,"Old Age")</f>
        <v>Adult</v>
      </c>
      <c r="H918" t="s">
        <v>25</v>
      </c>
      <c r="I918" t="s">
        <v>11</v>
      </c>
      <c r="J918" t="str" cm="1">
        <f t="array" ref="J918">_xlfn.IFS(I918="S","Southamptom",I918="Q","Quentown",I918="C","Cherbrug",I918="B","Cabin")</f>
        <v>Southamptom</v>
      </c>
      <c r="K918" t="s">
        <v>12</v>
      </c>
      <c r="L918" s="2">
        <v>61.1907</v>
      </c>
      <c r="M918" s="2" t="str" cm="1">
        <f t="array" ref="M918">_xlfn.IFS(L918&lt;=15,"Low Fare",L918&lt;=35,"Medium Fare",L918&lt;=100,"High Fare",L918&gt;=100,"Very High Fare")</f>
        <v>High Fare</v>
      </c>
      <c r="N918" s="2">
        <v>0</v>
      </c>
      <c r="O918" s="2">
        <v>1</v>
      </c>
      <c r="P918">
        <f t="shared" si="57"/>
        <v>2</v>
      </c>
      <c r="Q918" t="str">
        <f t="shared" si="58"/>
        <v>With Family</v>
      </c>
      <c r="R918" t="str">
        <f t="shared" si="59"/>
        <v>Yes</v>
      </c>
      <c r="S918" t="s">
        <v>16</v>
      </c>
    </row>
    <row r="919" spans="1:19" x14ac:dyDescent="0.3">
      <c r="A919" s="1" t="s">
        <v>694</v>
      </c>
      <c r="B919" t="s">
        <v>1596</v>
      </c>
      <c r="C919" t="s">
        <v>2395</v>
      </c>
      <c r="D919" t="str">
        <f t="shared" si="56"/>
        <v>Male</v>
      </c>
      <c r="E919" t="s">
        <v>9</v>
      </c>
      <c r="F919" s="2">
        <v>64</v>
      </c>
      <c r="G919" s="2" t="str" cm="1">
        <f t="array" ref="G919">_xlfn.IFS(F919&lt;=8,"Child",F919&lt;=17,"Teen",F919&lt;=35,"Adult",F919&lt;=55,"Seniour Adult",F919&gt;=55,"Old Age")</f>
        <v>Old Age</v>
      </c>
      <c r="H919" t="s">
        <v>25</v>
      </c>
      <c r="I919" t="s">
        <v>11</v>
      </c>
      <c r="J919" t="str" cm="1">
        <f t="array" ref="J919">_xlfn.IFS(I919="S","Southamptom",I919="Q","Quentown",I919="C","Cherbrug",I919="B","Cabin")</f>
        <v>Southamptom</v>
      </c>
      <c r="K919" t="s">
        <v>12</v>
      </c>
      <c r="L919" s="2">
        <v>61.1907</v>
      </c>
      <c r="M919" s="2" t="str" cm="1">
        <f t="array" ref="M919">_xlfn.IFS(L919&lt;=15,"Low Fare",L919&lt;=35,"Medium Fare",L919&lt;=100,"High Fare",L919&gt;=100,"Very High Fare")</f>
        <v>High Fare</v>
      </c>
      <c r="N919" s="2">
        <v>0</v>
      </c>
      <c r="O919" s="2">
        <v>1</v>
      </c>
      <c r="P919">
        <f t="shared" si="57"/>
        <v>2</v>
      </c>
      <c r="Q919" t="str">
        <f t="shared" si="58"/>
        <v>With Family</v>
      </c>
      <c r="R919" t="str">
        <f t="shared" si="59"/>
        <v>No</v>
      </c>
      <c r="S919" t="s">
        <v>13</v>
      </c>
    </row>
    <row r="920" spans="1:19" x14ac:dyDescent="0.3">
      <c r="A920" s="1" t="s">
        <v>695</v>
      </c>
      <c r="B920" t="s">
        <v>1602</v>
      </c>
      <c r="C920" t="s">
        <v>2396</v>
      </c>
      <c r="D920" t="str">
        <f t="shared" si="56"/>
        <v>Female</v>
      </c>
      <c r="E920" t="s">
        <v>14</v>
      </c>
      <c r="F920" s="2">
        <v>21</v>
      </c>
      <c r="G920" s="2" t="str" cm="1">
        <f t="array" ref="G920">_xlfn.IFS(F920&lt;=8,"Child",F920&lt;=17,"Teen",F920&lt;=35,"Adult",F920&lt;=55,"Seniour Adult",F920&gt;=55,"Old Age")</f>
        <v>Adult</v>
      </c>
      <c r="H920" t="s">
        <v>10</v>
      </c>
      <c r="I920" t="s">
        <v>36</v>
      </c>
      <c r="J920" t="str" cm="1">
        <f t="array" ref="J920">_xlfn.IFS(I920="S","Southamptom",I920="Q","Quentown",I920="C","Cherbrug",I920="B","Cabin")</f>
        <v>Quentown</v>
      </c>
      <c r="K920" t="s">
        <v>37</v>
      </c>
      <c r="L920" s="2">
        <v>7.1207000000000003</v>
      </c>
      <c r="M920" s="2" t="str" cm="1">
        <f t="array" ref="M920">_xlfn.IFS(L920&lt;=15,"Low Fare",L920&lt;=35,"Medium Fare",L920&lt;=100,"High Fare",L920&gt;=100,"Very High Fare")</f>
        <v>Low Fare</v>
      </c>
      <c r="N920" s="2">
        <v>0</v>
      </c>
      <c r="O920" s="2">
        <v>0</v>
      </c>
      <c r="P920">
        <f t="shared" si="57"/>
        <v>1</v>
      </c>
      <c r="Q920" t="str">
        <f t="shared" si="58"/>
        <v>Alone</v>
      </c>
      <c r="R920" t="str">
        <f t="shared" si="59"/>
        <v>No</v>
      </c>
      <c r="S920" t="s">
        <v>13</v>
      </c>
    </row>
    <row r="921" spans="1:19" x14ac:dyDescent="0.3">
      <c r="A921" s="1" t="s">
        <v>696</v>
      </c>
      <c r="B921" t="s">
        <v>1596</v>
      </c>
      <c r="C921" t="s">
        <v>1996</v>
      </c>
      <c r="D921" t="str">
        <f t="shared" si="56"/>
        <v>Male</v>
      </c>
      <c r="E921" t="s">
        <v>9</v>
      </c>
      <c r="F921" s="2">
        <v>38</v>
      </c>
      <c r="G921" s="2" t="str" cm="1">
        <f t="array" ref="G921">_xlfn.IFS(F921&lt;=8,"Child",F921&lt;=17,"Teen",F921&lt;=35,"Adult",F921&lt;=55,"Seniour Adult",F921&gt;=55,"Old Age")</f>
        <v>Seniour Adult</v>
      </c>
      <c r="H921" t="s">
        <v>18</v>
      </c>
      <c r="I921" t="s">
        <v>11</v>
      </c>
      <c r="J921" t="str" cm="1">
        <f t="array" ref="J921">_xlfn.IFS(I921="S","Southamptom",I921="Q","Quentown",I921="C","Cherbrug",I921="B","Cabin")</f>
        <v>Southamptom</v>
      </c>
      <c r="K921" t="s">
        <v>12</v>
      </c>
      <c r="L921" s="2">
        <v>13</v>
      </c>
      <c r="M921" s="2" t="str" cm="1">
        <f t="array" ref="M921">_xlfn.IFS(L921&lt;=15,"Low Fare",L921&lt;=35,"Medium Fare",L921&lt;=100,"High Fare",L921&gt;=100,"Very High Fare")</f>
        <v>Low Fare</v>
      </c>
      <c r="N921" s="2">
        <v>0</v>
      </c>
      <c r="O921" s="2">
        <v>0</v>
      </c>
      <c r="P921">
        <f t="shared" si="57"/>
        <v>1</v>
      </c>
      <c r="Q921" t="str">
        <f t="shared" si="58"/>
        <v>Alone</v>
      </c>
      <c r="R921" t="str">
        <f t="shared" si="59"/>
        <v>No</v>
      </c>
      <c r="S921" t="s">
        <v>13</v>
      </c>
    </row>
    <row r="922" spans="1:19" x14ac:dyDescent="0.3">
      <c r="A922" s="1" t="s">
        <v>697</v>
      </c>
      <c r="B922" t="s">
        <v>1596</v>
      </c>
      <c r="C922" t="s">
        <v>2397</v>
      </c>
      <c r="D922" t="str">
        <f t="shared" si="56"/>
        <v>Male</v>
      </c>
      <c r="E922" t="s">
        <v>9</v>
      </c>
      <c r="F922" s="2">
        <v>36</v>
      </c>
      <c r="G922" s="2" t="str" cm="1">
        <f t="array" ref="G922">_xlfn.IFS(F922&lt;=8,"Child",F922&lt;=17,"Teen",F922&lt;=35,"Adult",F922&lt;=55,"Seniour Adult",F922&gt;=55,"Old Age")</f>
        <v>Seniour Adult</v>
      </c>
      <c r="H922" t="s">
        <v>25</v>
      </c>
      <c r="I922" t="s">
        <v>19</v>
      </c>
      <c r="J922" t="str" cm="1">
        <f t="array" ref="J922">_xlfn.IFS(I922="S","Southamptom",I922="Q","Quentown",I922="C","Cherbrug",I922="B","Cabin")</f>
        <v>Cherbrug</v>
      </c>
      <c r="K922" t="s">
        <v>66</v>
      </c>
      <c r="L922" s="2">
        <v>27.140499999999999</v>
      </c>
      <c r="M922" s="2" t="str" cm="1">
        <f t="array" ref="M922">_xlfn.IFS(L922&lt;=15,"Low Fare",L922&lt;=35,"Medium Fare",L922&lt;=100,"High Fare",L922&gt;=100,"Very High Fare")</f>
        <v>Medium Fare</v>
      </c>
      <c r="N922" s="2">
        <v>0</v>
      </c>
      <c r="O922" s="2">
        <v>0</v>
      </c>
      <c r="P922">
        <f t="shared" si="57"/>
        <v>1</v>
      </c>
      <c r="Q922" t="str">
        <f t="shared" si="58"/>
        <v>Alone</v>
      </c>
      <c r="R922" t="str">
        <f t="shared" si="59"/>
        <v>No</v>
      </c>
      <c r="S922" t="s">
        <v>13</v>
      </c>
    </row>
    <row r="923" spans="1:19" x14ac:dyDescent="0.3">
      <c r="A923" s="1" t="s">
        <v>698</v>
      </c>
      <c r="B923" t="s">
        <v>1596</v>
      </c>
      <c r="C923" t="s">
        <v>2398</v>
      </c>
      <c r="D923" t="str">
        <f t="shared" si="56"/>
        <v>Male</v>
      </c>
      <c r="E923" t="s">
        <v>9</v>
      </c>
      <c r="F923" s="2">
        <v>22</v>
      </c>
      <c r="G923" s="2" t="str" cm="1">
        <f t="array" ref="G923">_xlfn.IFS(F923&lt;=8,"Child",F923&lt;=17,"Teen",F923&lt;=35,"Adult",F923&lt;=55,"Seniour Adult",F923&gt;=55,"Old Age")</f>
        <v>Adult</v>
      </c>
      <c r="H923" t="s">
        <v>18</v>
      </c>
      <c r="I923" t="s">
        <v>11</v>
      </c>
      <c r="J923" t="str" cm="1">
        <f t="array" ref="J923">_xlfn.IFS(I923="S","Southamptom",I923="Q","Quentown",I923="C","Cherbrug",I923="B","Cabin")</f>
        <v>Southamptom</v>
      </c>
      <c r="K923" t="s">
        <v>15</v>
      </c>
      <c r="L923" s="2">
        <v>10.1</v>
      </c>
      <c r="M923" s="2" t="str" cm="1">
        <f t="array" ref="M923">_xlfn.IFS(L923&lt;=15,"Low Fare",L923&lt;=35,"Medium Fare",L923&lt;=100,"High Fare",L923&gt;=100,"Very High Fare")</f>
        <v>Low Fare</v>
      </c>
      <c r="N923" s="2">
        <v>0</v>
      </c>
      <c r="O923" s="2">
        <v>0</v>
      </c>
      <c r="P923">
        <f t="shared" si="57"/>
        <v>1</v>
      </c>
      <c r="Q923" t="str">
        <f t="shared" si="58"/>
        <v>Alone</v>
      </c>
      <c r="R923" t="str">
        <f t="shared" si="59"/>
        <v>Yes</v>
      </c>
      <c r="S923" t="s">
        <v>16</v>
      </c>
    </row>
    <row r="924" spans="1:19" x14ac:dyDescent="0.3">
      <c r="A924" s="1" t="s">
        <v>699</v>
      </c>
      <c r="B924" t="s">
        <v>1596</v>
      </c>
      <c r="C924" t="s">
        <v>2399</v>
      </c>
      <c r="D924" t="str">
        <f t="shared" si="56"/>
        <v>Male</v>
      </c>
      <c r="E924" t="s">
        <v>9</v>
      </c>
      <c r="F924" s="2">
        <v>27</v>
      </c>
      <c r="G924" s="2" t="str" cm="1">
        <f t="array" ref="G924">_xlfn.IFS(F924&lt;=8,"Child",F924&lt;=17,"Teen",F924&lt;=35,"Adult",F924&lt;=55,"Seniour Adult",F924&gt;=55,"Old Age")</f>
        <v>Adult</v>
      </c>
      <c r="H924" t="s">
        <v>18</v>
      </c>
      <c r="I924" t="s">
        <v>19</v>
      </c>
      <c r="J924" t="str" cm="1">
        <f t="array" ref="J924">_xlfn.IFS(I924="S","Southamptom",I924="Q","Quentown",I924="C","Cherbrug",I924="B","Cabin")</f>
        <v>Cherbrug</v>
      </c>
      <c r="K924" t="s">
        <v>50</v>
      </c>
      <c r="L924" s="2">
        <v>13.170299999999999</v>
      </c>
      <c r="M924" s="2" t="str" cm="1">
        <f t="array" ref="M924">_xlfn.IFS(L924&lt;=15,"Low Fare",L924&lt;=35,"Medium Fare",L924&lt;=100,"High Fare",L924&gt;=100,"Very High Fare")</f>
        <v>Low Fare</v>
      </c>
      <c r="N924" s="2">
        <v>0</v>
      </c>
      <c r="O924" s="2">
        <v>0</v>
      </c>
      <c r="P924">
        <f t="shared" si="57"/>
        <v>1</v>
      </c>
      <c r="Q924" t="str">
        <f t="shared" si="58"/>
        <v>Alone</v>
      </c>
      <c r="R924" t="str">
        <f t="shared" si="59"/>
        <v>Yes</v>
      </c>
      <c r="S924" t="s">
        <v>16</v>
      </c>
    </row>
    <row r="925" spans="1:19" x14ac:dyDescent="0.3">
      <c r="A925" s="1" t="s">
        <v>700</v>
      </c>
      <c r="B925" t="s">
        <v>1749</v>
      </c>
      <c r="C925" t="s">
        <v>2373</v>
      </c>
      <c r="D925" t="str">
        <f t="shared" si="56"/>
        <v>Male</v>
      </c>
      <c r="E925" t="s">
        <v>9</v>
      </c>
      <c r="F925" s="2">
        <v>23</v>
      </c>
      <c r="G925" s="2" t="str" cm="1">
        <f t="array" ref="G925">_xlfn.IFS(F925&lt;=8,"Child",F925&lt;=17,"Teen",F925&lt;=35,"Adult",F925&lt;=55,"Seniour Adult",F925&gt;=55,"Old Age")</f>
        <v>Adult</v>
      </c>
      <c r="H925" t="s">
        <v>18</v>
      </c>
      <c r="I925" t="s">
        <v>11</v>
      </c>
      <c r="J925" t="str" cm="1">
        <f t="array" ref="J925">_xlfn.IFS(I925="S","Southamptom",I925="Q","Quentown",I925="C","Cherbrug",I925="B","Cabin")</f>
        <v>Southamptom</v>
      </c>
      <c r="K925" t="s">
        <v>26</v>
      </c>
      <c r="L925" s="2">
        <v>10.1</v>
      </c>
      <c r="M925" s="2" t="str" cm="1">
        <f t="array" ref="M925">_xlfn.IFS(L925&lt;=15,"Low Fare",L925&lt;=35,"Medium Fare",L925&lt;=100,"High Fare",L925&gt;=100,"Very High Fare")</f>
        <v>Low Fare</v>
      </c>
      <c r="N925" s="2">
        <v>0</v>
      </c>
      <c r="O925" s="2">
        <v>0</v>
      </c>
      <c r="P925">
        <f t="shared" si="57"/>
        <v>1</v>
      </c>
      <c r="Q925" t="str">
        <f t="shared" si="58"/>
        <v>Alone</v>
      </c>
      <c r="R925" t="str">
        <f t="shared" si="59"/>
        <v>No</v>
      </c>
      <c r="S925" t="s">
        <v>13</v>
      </c>
    </row>
    <row r="926" spans="1:19" x14ac:dyDescent="0.3">
      <c r="A926" s="1" t="s">
        <v>701</v>
      </c>
      <c r="B926" t="s">
        <v>2400</v>
      </c>
      <c r="C926" t="s">
        <v>2401</v>
      </c>
      <c r="D926" t="str">
        <f t="shared" si="56"/>
        <v>Male</v>
      </c>
      <c r="E926" t="s">
        <v>9</v>
      </c>
      <c r="F926" s="2">
        <v>29</v>
      </c>
      <c r="G926" s="2" t="str" cm="1">
        <f t="array" ref="G926">_xlfn.IFS(F926&lt;=8,"Child",F926&lt;=17,"Teen",F926&lt;=35,"Adult",F926&lt;=55,"Seniour Adult",F926&gt;=55,"Old Age")</f>
        <v>Adult</v>
      </c>
      <c r="H926" t="s">
        <v>18</v>
      </c>
      <c r="I926" t="s">
        <v>19</v>
      </c>
      <c r="J926" t="str" cm="1">
        <f t="array" ref="J926">_xlfn.IFS(I926="S","Southamptom",I926="Q","Quentown",I926="C","Cherbrug",I926="B","Cabin")</f>
        <v>Cherbrug</v>
      </c>
      <c r="K926" t="s">
        <v>50</v>
      </c>
      <c r="L926" s="2">
        <v>13.170199999999999</v>
      </c>
      <c r="M926" s="2" t="str" cm="1">
        <f t="array" ref="M926">_xlfn.IFS(L926&lt;=15,"Low Fare",L926&lt;=35,"Medium Fare",L926&lt;=100,"High Fare",L926&gt;=100,"Very High Fare")</f>
        <v>Low Fare</v>
      </c>
      <c r="N926" s="2">
        <v>0</v>
      </c>
      <c r="O926" s="2">
        <v>0</v>
      </c>
      <c r="P926">
        <f t="shared" si="57"/>
        <v>1</v>
      </c>
      <c r="Q926" t="str">
        <f t="shared" si="58"/>
        <v>Alone</v>
      </c>
      <c r="R926" t="str">
        <f t="shared" si="59"/>
        <v>Yes</v>
      </c>
      <c r="S926" t="s">
        <v>16</v>
      </c>
    </row>
    <row r="927" spans="1:19" x14ac:dyDescent="0.3">
      <c r="A927" s="1" t="s">
        <v>702</v>
      </c>
      <c r="B927" t="s">
        <v>1612</v>
      </c>
      <c r="C927" t="s">
        <v>2402</v>
      </c>
      <c r="D927" t="str">
        <f t="shared" si="56"/>
        <v>Male</v>
      </c>
      <c r="E927" t="s">
        <v>9</v>
      </c>
      <c r="F927" s="2">
        <v>2</v>
      </c>
      <c r="G927" s="2" t="str" cm="1">
        <f t="array" ref="G927">_xlfn.IFS(F927&lt;=8,"Child",F927&lt;=17,"Teen",F927&lt;=35,"Adult",F927&lt;=55,"Seniour Adult",F927&gt;=55,"Old Age")</f>
        <v>Child</v>
      </c>
      <c r="H927" t="s">
        <v>10</v>
      </c>
      <c r="I927" t="s">
        <v>11</v>
      </c>
      <c r="J927" t="str" cm="1">
        <f t="array" ref="J927">_xlfn.IFS(I927="S","Southamptom",I927="Q","Quentown",I927="C","Cherbrug",I927="B","Cabin")</f>
        <v>Southamptom</v>
      </c>
      <c r="K927" t="s">
        <v>23</v>
      </c>
      <c r="L927" s="2">
        <v>21.0106</v>
      </c>
      <c r="M927" s="2" t="str" cm="1">
        <f t="array" ref="M927">_xlfn.IFS(L927&lt;=15,"Low Fare",L927&lt;=35,"Medium Fare",L927&lt;=100,"High Fare",L927&gt;=100,"Very High Fare")</f>
        <v>Medium Fare</v>
      </c>
      <c r="N927" s="2">
        <v>3</v>
      </c>
      <c r="O927" s="2">
        <v>1</v>
      </c>
      <c r="P927">
        <f t="shared" si="57"/>
        <v>5</v>
      </c>
      <c r="Q927" t="str">
        <f t="shared" si="58"/>
        <v>With Family</v>
      </c>
      <c r="R927" t="str">
        <f t="shared" si="59"/>
        <v>No</v>
      </c>
      <c r="S927" t="s">
        <v>13</v>
      </c>
    </row>
    <row r="928" spans="1:19" x14ac:dyDescent="0.3">
      <c r="A928" s="1" t="s">
        <v>702</v>
      </c>
      <c r="B928" t="s">
        <v>1612</v>
      </c>
      <c r="C928" t="s">
        <v>2403</v>
      </c>
      <c r="D928" t="str">
        <f t="shared" si="56"/>
        <v>Male</v>
      </c>
      <c r="E928" t="s">
        <v>9</v>
      </c>
      <c r="F928" s="2">
        <v>6</v>
      </c>
      <c r="G928" s="2" t="str" cm="1">
        <f t="array" ref="G928">_xlfn.IFS(F928&lt;=8,"Child",F928&lt;=17,"Teen",F928&lt;=35,"Adult",F928&lt;=55,"Seniour Adult",F928&gt;=55,"Old Age")</f>
        <v>Child</v>
      </c>
      <c r="H928" t="s">
        <v>10</v>
      </c>
      <c r="I928" t="s">
        <v>11</v>
      </c>
      <c r="J928" t="str" cm="1">
        <f t="array" ref="J928">_xlfn.IFS(I928="S","Southamptom",I928="Q","Quentown",I928="C","Cherbrug",I928="B","Cabin")</f>
        <v>Southamptom</v>
      </c>
      <c r="K928" t="s">
        <v>23</v>
      </c>
      <c r="L928" s="2">
        <v>21.0106</v>
      </c>
      <c r="M928" s="2" t="str" cm="1">
        <f t="array" ref="M928">_xlfn.IFS(L928&lt;=15,"Low Fare",L928&lt;=35,"Medium Fare",L928&lt;=100,"High Fare",L928&gt;=100,"Very High Fare")</f>
        <v>Medium Fare</v>
      </c>
      <c r="N928" s="2">
        <v>3</v>
      </c>
      <c r="O928" s="2">
        <v>1</v>
      </c>
      <c r="P928">
        <f t="shared" si="57"/>
        <v>5</v>
      </c>
      <c r="Q928" t="str">
        <f t="shared" si="58"/>
        <v>With Family</v>
      </c>
      <c r="R928" t="str">
        <f t="shared" si="59"/>
        <v>No</v>
      </c>
      <c r="S928" t="s">
        <v>13</v>
      </c>
    </row>
    <row r="929" spans="1:19" x14ac:dyDescent="0.3">
      <c r="A929" s="1" t="s">
        <v>702</v>
      </c>
      <c r="B929" t="s">
        <v>1602</v>
      </c>
      <c r="C929" t="s">
        <v>2404</v>
      </c>
      <c r="D929" t="str">
        <f t="shared" si="56"/>
        <v>Female</v>
      </c>
      <c r="E929" t="s">
        <v>14</v>
      </c>
      <c r="F929" s="2">
        <v>3</v>
      </c>
      <c r="G929" s="2" t="str" cm="1">
        <f t="array" ref="G929">_xlfn.IFS(F929&lt;=8,"Child",F929&lt;=17,"Teen",F929&lt;=35,"Adult",F929&lt;=55,"Seniour Adult",F929&gt;=55,"Old Age")</f>
        <v>Child</v>
      </c>
      <c r="H929" t="s">
        <v>10</v>
      </c>
      <c r="I929" t="s">
        <v>11</v>
      </c>
      <c r="J929" t="str" cm="1">
        <f t="array" ref="J929">_xlfn.IFS(I929="S","Southamptom",I929="Q","Quentown",I929="C","Cherbrug",I929="B","Cabin")</f>
        <v>Southamptom</v>
      </c>
      <c r="K929" t="s">
        <v>23</v>
      </c>
      <c r="L929" s="2">
        <v>21.0106</v>
      </c>
      <c r="M929" s="2" t="str" cm="1">
        <f t="array" ref="M929">_xlfn.IFS(L929&lt;=15,"Low Fare",L929&lt;=35,"Medium Fare",L929&lt;=100,"High Fare",L929&gt;=100,"Very High Fare")</f>
        <v>Medium Fare</v>
      </c>
      <c r="N929" s="2">
        <v>3</v>
      </c>
      <c r="O929" s="2">
        <v>1</v>
      </c>
      <c r="P929">
        <f t="shared" si="57"/>
        <v>5</v>
      </c>
      <c r="Q929" t="str">
        <f t="shared" si="58"/>
        <v>With Family</v>
      </c>
      <c r="R929" t="str">
        <f t="shared" si="59"/>
        <v>No</v>
      </c>
      <c r="S929" t="s">
        <v>13</v>
      </c>
    </row>
    <row r="930" spans="1:19" x14ac:dyDescent="0.3">
      <c r="A930" s="1" t="s">
        <v>702</v>
      </c>
      <c r="B930" t="s">
        <v>1602</v>
      </c>
      <c r="C930" t="s">
        <v>2405</v>
      </c>
      <c r="D930" t="str">
        <f t="shared" si="56"/>
        <v>Female</v>
      </c>
      <c r="E930" t="s">
        <v>14</v>
      </c>
      <c r="F930" s="2">
        <v>8</v>
      </c>
      <c r="G930" s="2" t="str" cm="1">
        <f t="array" ref="G930">_xlfn.IFS(F930&lt;=8,"Child",F930&lt;=17,"Teen",F930&lt;=35,"Adult",F930&lt;=55,"Seniour Adult",F930&gt;=55,"Old Age")</f>
        <v>Child</v>
      </c>
      <c r="H930" t="s">
        <v>10</v>
      </c>
      <c r="I930" t="s">
        <v>11</v>
      </c>
      <c r="J930" t="str" cm="1">
        <f t="array" ref="J930">_xlfn.IFS(I930="S","Southamptom",I930="Q","Quentown",I930="C","Cherbrug",I930="B","Cabin")</f>
        <v>Southamptom</v>
      </c>
      <c r="K930" t="s">
        <v>23</v>
      </c>
      <c r="L930" s="2">
        <v>21.0106</v>
      </c>
      <c r="M930" s="2" t="str" cm="1">
        <f t="array" ref="M930">_xlfn.IFS(L930&lt;=15,"Low Fare",L930&lt;=35,"Medium Fare",L930&lt;=100,"High Fare",L930&gt;=100,"Very High Fare")</f>
        <v>Medium Fare</v>
      </c>
      <c r="N930" s="2">
        <v>3</v>
      </c>
      <c r="O930" s="2">
        <v>1</v>
      </c>
      <c r="P930">
        <f t="shared" si="57"/>
        <v>5</v>
      </c>
      <c r="Q930" t="str">
        <f t="shared" si="58"/>
        <v>With Family</v>
      </c>
      <c r="R930" t="str">
        <f t="shared" si="59"/>
        <v>No</v>
      </c>
      <c r="S930" t="s">
        <v>13</v>
      </c>
    </row>
    <row r="931" spans="1:19" x14ac:dyDescent="0.3">
      <c r="A931" s="1" t="s">
        <v>702</v>
      </c>
      <c r="B931" t="s">
        <v>1600</v>
      </c>
      <c r="C931" t="s">
        <v>2406</v>
      </c>
      <c r="D931" t="str">
        <f t="shared" si="56"/>
        <v>Female</v>
      </c>
      <c r="E931" t="s">
        <v>14</v>
      </c>
      <c r="F931" s="2">
        <v>29</v>
      </c>
      <c r="G931" s="2" t="str" cm="1">
        <f t="array" ref="G931">_xlfn.IFS(F931&lt;=8,"Child",F931&lt;=17,"Teen",F931&lt;=35,"Adult",F931&lt;=55,"Seniour Adult",F931&gt;=55,"Old Age")</f>
        <v>Adult</v>
      </c>
      <c r="H931" t="s">
        <v>10</v>
      </c>
      <c r="I931" t="s">
        <v>11</v>
      </c>
      <c r="J931" t="str" cm="1">
        <f t="array" ref="J931">_xlfn.IFS(I931="S","Southamptom",I931="Q","Quentown",I931="C","Cherbrug",I931="B","Cabin")</f>
        <v>Southamptom</v>
      </c>
      <c r="K931" t="s">
        <v>23</v>
      </c>
      <c r="L931" s="2">
        <v>21.0106</v>
      </c>
      <c r="M931" s="2" t="str" cm="1">
        <f t="array" ref="M931">_xlfn.IFS(L931&lt;=15,"Low Fare",L931&lt;=35,"Medium Fare",L931&lt;=100,"High Fare",L931&gt;=100,"Very High Fare")</f>
        <v>Medium Fare</v>
      </c>
      <c r="N931" s="2">
        <v>0</v>
      </c>
      <c r="O931" s="2">
        <v>4</v>
      </c>
      <c r="P931">
        <f t="shared" si="57"/>
        <v>5</v>
      </c>
      <c r="Q931" t="str">
        <f t="shared" si="58"/>
        <v>With Family</v>
      </c>
      <c r="R931" t="str">
        <f t="shared" si="59"/>
        <v>No</v>
      </c>
      <c r="S931" t="s">
        <v>13</v>
      </c>
    </row>
    <row r="932" spans="1:19" x14ac:dyDescent="0.3">
      <c r="A932" s="1" t="s">
        <v>703</v>
      </c>
      <c r="B932" t="s">
        <v>1612</v>
      </c>
      <c r="C932" t="s">
        <v>2407</v>
      </c>
      <c r="D932" t="str">
        <f t="shared" si="56"/>
        <v>Male</v>
      </c>
      <c r="E932" t="s">
        <v>9</v>
      </c>
      <c r="F932" s="2">
        <v>1</v>
      </c>
      <c r="G932" s="2" t="str" cm="1">
        <f t="array" ref="G932">_xlfn.IFS(F932&lt;=8,"Child",F932&lt;=17,"Teen",F932&lt;=35,"Adult",F932&lt;=55,"Seniour Adult",F932&gt;=55,"Old Age")</f>
        <v>Child</v>
      </c>
      <c r="H932" t="s">
        <v>10</v>
      </c>
      <c r="I932" t="s">
        <v>11</v>
      </c>
      <c r="J932" t="str" cm="1">
        <f t="array" ref="J932">_xlfn.IFS(I932="S","Southamptom",I932="Q","Quentown",I932="C","Cherbrug",I932="B","Cabin")</f>
        <v>Southamptom</v>
      </c>
      <c r="K932" t="s">
        <v>22</v>
      </c>
      <c r="L932" s="2">
        <v>39.130899999999997</v>
      </c>
      <c r="M932" s="2" t="str" cm="1">
        <f t="array" ref="M932">_xlfn.IFS(L932&lt;=15,"Low Fare",L932&lt;=35,"Medium Fare",L932&lt;=100,"High Fare",L932&gt;=100,"Very High Fare")</f>
        <v>High Fare</v>
      </c>
      <c r="N932" s="2">
        <v>4</v>
      </c>
      <c r="O932" s="2">
        <v>1</v>
      </c>
      <c r="P932">
        <f t="shared" si="57"/>
        <v>6</v>
      </c>
      <c r="Q932" t="str">
        <f t="shared" si="58"/>
        <v>With Family</v>
      </c>
      <c r="R932" t="str">
        <f t="shared" si="59"/>
        <v>No</v>
      </c>
      <c r="S932" t="s">
        <v>13</v>
      </c>
    </row>
    <row r="933" spans="1:19" x14ac:dyDescent="0.3">
      <c r="A933" s="1" t="s">
        <v>703</v>
      </c>
      <c r="B933" t="s">
        <v>1612</v>
      </c>
      <c r="C933" t="s">
        <v>2408</v>
      </c>
      <c r="D933" t="str">
        <f t="shared" si="56"/>
        <v>Male</v>
      </c>
      <c r="E933" t="s">
        <v>9</v>
      </c>
      <c r="F933" s="2">
        <v>15</v>
      </c>
      <c r="G933" s="2" t="str" cm="1">
        <f t="array" ref="G933">_xlfn.IFS(F933&lt;=8,"Child",F933&lt;=17,"Teen",F933&lt;=35,"Adult",F933&lt;=55,"Seniour Adult",F933&gt;=55,"Old Age")</f>
        <v>Teen</v>
      </c>
      <c r="H933" t="s">
        <v>10</v>
      </c>
      <c r="I933" t="s">
        <v>11</v>
      </c>
      <c r="J933" t="str" cm="1">
        <f t="array" ref="J933">_xlfn.IFS(I933="S","Southamptom",I933="Q","Quentown",I933="C","Cherbrug",I933="B","Cabin")</f>
        <v>Southamptom</v>
      </c>
      <c r="K933" t="s">
        <v>12</v>
      </c>
      <c r="L933" s="2">
        <v>39.130899999999997</v>
      </c>
      <c r="M933" s="2" t="str" cm="1">
        <f t="array" ref="M933">_xlfn.IFS(L933&lt;=15,"Low Fare",L933&lt;=35,"Medium Fare",L933&lt;=100,"High Fare",L933&gt;=100,"Very High Fare")</f>
        <v>High Fare</v>
      </c>
      <c r="N933" s="2">
        <v>4</v>
      </c>
      <c r="O933" s="2">
        <v>1</v>
      </c>
      <c r="P933">
        <f t="shared" si="57"/>
        <v>6</v>
      </c>
      <c r="Q933" t="str">
        <f t="shared" si="58"/>
        <v>With Family</v>
      </c>
      <c r="R933" t="str">
        <f t="shared" si="59"/>
        <v>No</v>
      </c>
      <c r="S933" t="s">
        <v>13</v>
      </c>
    </row>
    <row r="934" spans="1:19" x14ac:dyDescent="0.3">
      <c r="A934" s="1" t="s">
        <v>703</v>
      </c>
      <c r="B934" t="s">
        <v>1612</v>
      </c>
      <c r="C934" t="s">
        <v>2409</v>
      </c>
      <c r="D934" t="str">
        <f t="shared" si="56"/>
        <v>Male</v>
      </c>
      <c r="E934" t="s">
        <v>9</v>
      </c>
      <c r="F934" s="2">
        <v>7</v>
      </c>
      <c r="G934" s="2" t="str" cm="1">
        <f t="array" ref="G934">_xlfn.IFS(F934&lt;=8,"Child",F934&lt;=17,"Teen",F934&lt;=35,"Adult",F934&lt;=55,"Seniour Adult",F934&gt;=55,"Old Age")</f>
        <v>Child</v>
      </c>
      <c r="H934" t="s">
        <v>10</v>
      </c>
      <c r="I934" t="s">
        <v>11</v>
      </c>
      <c r="J934" t="str" cm="1">
        <f t="array" ref="J934">_xlfn.IFS(I934="S","Southamptom",I934="Q","Quentown",I934="C","Cherbrug",I934="B","Cabin")</f>
        <v>Southamptom</v>
      </c>
      <c r="K934" t="s">
        <v>22</v>
      </c>
      <c r="L934" s="2">
        <v>39.130899999999997</v>
      </c>
      <c r="M934" s="2" t="str" cm="1">
        <f t="array" ref="M934">_xlfn.IFS(L934&lt;=15,"Low Fare",L934&lt;=35,"Medium Fare",L934&lt;=100,"High Fare",L934&gt;=100,"Very High Fare")</f>
        <v>High Fare</v>
      </c>
      <c r="N934" s="2">
        <v>4</v>
      </c>
      <c r="O934" s="2">
        <v>1</v>
      </c>
      <c r="P934">
        <f t="shared" si="57"/>
        <v>6</v>
      </c>
      <c r="Q934" t="str">
        <f t="shared" si="58"/>
        <v>With Family</v>
      </c>
      <c r="R934" t="str">
        <f t="shared" si="59"/>
        <v>No</v>
      </c>
      <c r="S934" t="s">
        <v>13</v>
      </c>
    </row>
    <row r="935" spans="1:19" x14ac:dyDescent="0.3">
      <c r="A935" s="1" t="s">
        <v>703</v>
      </c>
      <c r="B935" t="s">
        <v>1612</v>
      </c>
      <c r="C935" t="s">
        <v>2410</v>
      </c>
      <c r="D935" t="str">
        <f t="shared" si="56"/>
        <v>Male</v>
      </c>
      <c r="E935" t="s">
        <v>9</v>
      </c>
      <c r="F935" s="2">
        <v>2</v>
      </c>
      <c r="G935" s="2" t="str" cm="1">
        <f t="array" ref="G935">_xlfn.IFS(F935&lt;=8,"Child",F935&lt;=17,"Teen",F935&lt;=35,"Adult",F935&lt;=55,"Seniour Adult",F935&gt;=55,"Old Age")</f>
        <v>Child</v>
      </c>
      <c r="H935" t="s">
        <v>10</v>
      </c>
      <c r="I935" t="s">
        <v>11</v>
      </c>
      <c r="J935" t="str" cm="1">
        <f t="array" ref="J935">_xlfn.IFS(I935="S","Southamptom",I935="Q","Quentown",I935="C","Cherbrug",I935="B","Cabin")</f>
        <v>Southamptom</v>
      </c>
      <c r="K935" t="s">
        <v>22</v>
      </c>
      <c r="L935" s="2">
        <v>39.130899999999997</v>
      </c>
      <c r="M935" s="2" t="str" cm="1">
        <f t="array" ref="M935">_xlfn.IFS(L935&lt;=15,"Low Fare",L935&lt;=35,"Medium Fare",L935&lt;=100,"High Fare",L935&gt;=100,"Very High Fare")</f>
        <v>High Fare</v>
      </c>
      <c r="N935" s="2">
        <v>4</v>
      </c>
      <c r="O935" s="2">
        <v>1</v>
      </c>
      <c r="P935">
        <f t="shared" si="57"/>
        <v>6</v>
      </c>
      <c r="Q935" t="str">
        <f t="shared" si="58"/>
        <v>With Family</v>
      </c>
      <c r="R935" t="str">
        <f t="shared" si="59"/>
        <v>No</v>
      </c>
      <c r="S935" t="s">
        <v>13</v>
      </c>
    </row>
    <row r="936" spans="1:19" x14ac:dyDescent="0.3">
      <c r="A936" s="1" t="s">
        <v>703</v>
      </c>
      <c r="B936" t="s">
        <v>1596</v>
      </c>
      <c r="C936" t="s">
        <v>2411</v>
      </c>
      <c r="D936" t="str">
        <f t="shared" si="56"/>
        <v>Male</v>
      </c>
      <c r="E936" t="s">
        <v>9</v>
      </c>
      <c r="F936" s="2">
        <v>16</v>
      </c>
      <c r="G936" s="2" t="str" cm="1">
        <f t="array" ref="G936">_xlfn.IFS(F936&lt;=8,"Child",F936&lt;=17,"Teen",F936&lt;=35,"Adult",F936&lt;=55,"Seniour Adult",F936&gt;=55,"Old Age")</f>
        <v>Teen</v>
      </c>
      <c r="H936" t="s">
        <v>10</v>
      </c>
      <c r="I936" t="s">
        <v>11</v>
      </c>
      <c r="J936" t="str" cm="1">
        <f t="array" ref="J936">_xlfn.IFS(I936="S","Southamptom",I936="Q","Quentown",I936="C","Cherbrug",I936="B","Cabin")</f>
        <v>Southamptom</v>
      </c>
      <c r="K936" t="s">
        <v>22</v>
      </c>
      <c r="L936" s="2">
        <v>39.130899999999997</v>
      </c>
      <c r="M936" s="2" t="str" cm="1">
        <f t="array" ref="M936">_xlfn.IFS(L936&lt;=15,"Low Fare",L936&lt;=35,"Medium Fare",L936&lt;=100,"High Fare",L936&gt;=100,"Very High Fare")</f>
        <v>High Fare</v>
      </c>
      <c r="N936" s="2">
        <v>4</v>
      </c>
      <c r="O936" s="2">
        <v>1</v>
      </c>
      <c r="P936">
        <f t="shared" si="57"/>
        <v>6</v>
      </c>
      <c r="Q936" t="str">
        <f t="shared" si="58"/>
        <v>With Family</v>
      </c>
      <c r="R936" t="str">
        <f t="shared" si="59"/>
        <v>No</v>
      </c>
      <c r="S936" t="s">
        <v>13</v>
      </c>
    </row>
    <row r="937" spans="1:19" x14ac:dyDescent="0.3">
      <c r="A937" s="1" t="s">
        <v>703</v>
      </c>
      <c r="B937" t="s">
        <v>1600</v>
      </c>
      <c r="C937" t="s">
        <v>2412</v>
      </c>
      <c r="D937" t="str">
        <f t="shared" si="56"/>
        <v>Female</v>
      </c>
      <c r="E937" t="s">
        <v>14</v>
      </c>
      <c r="F937" s="2">
        <v>41</v>
      </c>
      <c r="G937" s="2" t="str" cm="1">
        <f t="array" ref="G937">_xlfn.IFS(F937&lt;=8,"Child",F937&lt;=17,"Teen",F937&lt;=35,"Adult",F937&lt;=55,"Seniour Adult",F937&gt;=55,"Old Age")</f>
        <v>Seniour Adult</v>
      </c>
      <c r="H937" t="s">
        <v>10</v>
      </c>
      <c r="I937" t="s">
        <v>11</v>
      </c>
      <c r="J937" t="str" cm="1">
        <f t="array" ref="J937">_xlfn.IFS(I937="S","Southamptom",I937="Q","Quentown",I937="C","Cherbrug",I937="B","Cabin")</f>
        <v>Southamptom</v>
      </c>
      <c r="K937" t="s">
        <v>22</v>
      </c>
      <c r="L937" s="2">
        <v>39.130899999999997</v>
      </c>
      <c r="M937" s="2" t="str" cm="1">
        <f t="array" ref="M937">_xlfn.IFS(L937&lt;=15,"Low Fare",L937&lt;=35,"Medium Fare",L937&lt;=100,"High Fare",L937&gt;=100,"Very High Fare")</f>
        <v>High Fare</v>
      </c>
      <c r="N937" s="2">
        <v>0</v>
      </c>
      <c r="O937" s="2">
        <v>5</v>
      </c>
      <c r="P937">
        <f t="shared" si="57"/>
        <v>6</v>
      </c>
      <c r="Q937" t="str">
        <f t="shared" si="58"/>
        <v>With Family</v>
      </c>
      <c r="R937" t="str">
        <f t="shared" si="59"/>
        <v>No</v>
      </c>
      <c r="S937" t="s">
        <v>13</v>
      </c>
    </row>
    <row r="938" spans="1:19" x14ac:dyDescent="0.3">
      <c r="A938" s="1" t="s">
        <v>704</v>
      </c>
      <c r="B938" t="s">
        <v>1596</v>
      </c>
      <c r="C938" t="s">
        <v>2413</v>
      </c>
      <c r="D938" t="str">
        <f t="shared" si="56"/>
        <v>Male</v>
      </c>
      <c r="E938" t="s">
        <v>9</v>
      </c>
      <c r="F938" s="2">
        <v>17</v>
      </c>
      <c r="G938" s="2" t="str" cm="1">
        <f t="array" ref="G938">_xlfn.IFS(F938&lt;=8,"Child",F938&lt;=17,"Teen",F938&lt;=35,"Adult",F938&lt;=55,"Seniour Adult",F938&gt;=55,"Old Age")</f>
        <v>Teen</v>
      </c>
      <c r="H938" t="s">
        <v>18</v>
      </c>
      <c r="I938" t="s">
        <v>11</v>
      </c>
      <c r="J938" t="str" cm="1">
        <f t="array" ref="J938">_xlfn.IFS(I938="S","Southamptom",I938="Q","Quentown",I938="C","Cherbrug",I938="B","Cabin")</f>
        <v>Southamptom</v>
      </c>
      <c r="K938" t="s">
        <v>33</v>
      </c>
      <c r="L938" s="2">
        <v>10.1</v>
      </c>
      <c r="M938" s="2" t="str" cm="1">
        <f t="array" ref="M938">_xlfn.IFS(L938&lt;=15,"Low Fare",L938&lt;=35,"Medium Fare",L938&lt;=100,"High Fare",L938&gt;=100,"Very High Fare")</f>
        <v>Low Fare</v>
      </c>
      <c r="N938" s="2">
        <v>0</v>
      </c>
      <c r="O938" s="2">
        <v>0</v>
      </c>
      <c r="P938">
        <f t="shared" si="57"/>
        <v>1</v>
      </c>
      <c r="Q938" t="str">
        <f t="shared" si="58"/>
        <v>Alone</v>
      </c>
      <c r="R938" t="str">
        <f t="shared" si="59"/>
        <v>No</v>
      </c>
      <c r="S938" t="s">
        <v>13</v>
      </c>
    </row>
    <row r="939" spans="1:19" x14ac:dyDescent="0.3">
      <c r="A939" s="1" t="s">
        <v>705</v>
      </c>
      <c r="B939" t="s">
        <v>1596</v>
      </c>
      <c r="C939" t="s">
        <v>2414</v>
      </c>
      <c r="D939" t="str">
        <f t="shared" si="56"/>
        <v>Male</v>
      </c>
      <c r="E939" t="s">
        <v>9</v>
      </c>
      <c r="F939" s="2">
        <v>21</v>
      </c>
      <c r="G939" s="2" t="str" cm="1">
        <f t="array" ref="G939">_xlfn.IFS(F939&lt;=8,"Child",F939&lt;=17,"Teen",F939&lt;=35,"Adult",F939&lt;=55,"Seniour Adult",F939&gt;=55,"Old Age")</f>
        <v>Adult</v>
      </c>
      <c r="H939" t="s">
        <v>18</v>
      </c>
      <c r="I939" t="s">
        <v>28</v>
      </c>
      <c r="J939" t="str" cm="1">
        <f t="array" ref="J939">_xlfn.IFS(I939="S","Southamptom",I939="Q","Quentown",I939="C","Cherbrug",I939="B","Cabin")</f>
        <v>Cabin</v>
      </c>
      <c r="K939" t="s">
        <v>29</v>
      </c>
      <c r="L939" s="2">
        <v>33</v>
      </c>
      <c r="M939" s="2" t="str" cm="1">
        <f t="array" ref="M939">_xlfn.IFS(L939&lt;=15,"Low Fare",L939&lt;=35,"Medium Fare",L939&lt;=100,"High Fare",L939&gt;=100,"Very High Fare")</f>
        <v>Medium Fare</v>
      </c>
      <c r="N939" s="2">
        <v>0</v>
      </c>
      <c r="O939" s="2">
        <v>0</v>
      </c>
      <c r="P939">
        <f t="shared" si="57"/>
        <v>1</v>
      </c>
      <c r="Q939" t="str">
        <f t="shared" si="58"/>
        <v>Alone</v>
      </c>
      <c r="R939" t="str">
        <f t="shared" si="59"/>
        <v>No</v>
      </c>
      <c r="S939" t="s">
        <v>13</v>
      </c>
    </row>
    <row r="940" spans="1:19" x14ac:dyDescent="0.3">
      <c r="A940" s="1" t="s">
        <v>706</v>
      </c>
      <c r="B940" t="s">
        <v>1600</v>
      </c>
      <c r="C940" t="s">
        <v>2415</v>
      </c>
      <c r="D940" t="str">
        <f t="shared" si="56"/>
        <v>Female</v>
      </c>
      <c r="E940" t="s">
        <v>14</v>
      </c>
      <c r="F940" s="2">
        <v>59</v>
      </c>
      <c r="G940" s="2" t="str" cm="1">
        <f t="array" ref="G940">_xlfn.IFS(F940&lt;=8,"Child",F940&lt;=17,"Teen",F940&lt;=35,"Adult",F940&lt;=55,"Seniour Adult",F940&gt;=55,"Old Age")</f>
        <v>Old Age</v>
      </c>
      <c r="H940" t="s">
        <v>18</v>
      </c>
      <c r="I940" t="s">
        <v>11</v>
      </c>
      <c r="J940" t="str" cm="1">
        <f t="array" ref="J940">_xlfn.IFS(I940="S","Southamptom",I940="Q","Quentown",I940="C","Cherbrug",I940="B","Cabin")</f>
        <v>Southamptom</v>
      </c>
      <c r="K940" t="s">
        <v>12</v>
      </c>
      <c r="L940" s="2">
        <v>26</v>
      </c>
      <c r="M940" s="2" t="str" cm="1">
        <f t="array" ref="M940">_xlfn.IFS(L940&lt;=15,"Low Fare",L940&lt;=35,"Medium Fare",L940&lt;=100,"High Fare",L940&gt;=100,"Very High Fare")</f>
        <v>Medium Fare</v>
      </c>
      <c r="N940" s="2">
        <v>0</v>
      </c>
      <c r="O940" s="2">
        <v>1</v>
      </c>
      <c r="P940">
        <f t="shared" si="57"/>
        <v>2</v>
      </c>
      <c r="Q940" t="str">
        <f t="shared" si="58"/>
        <v>With Family</v>
      </c>
      <c r="R940" t="str">
        <f t="shared" si="59"/>
        <v>Yes</v>
      </c>
      <c r="S940" t="s">
        <v>16</v>
      </c>
    </row>
    <row r="941" spans="1:19" x14ac:dyDescent="0.3">
      <c r="A941" s="1" t="s">
        <v>707</v>
      </c>
      <c r="B941" t="s">
        <v>1596</v>
      </c>
      <c r="C941" t="s">
        <v>2416</v>
      </c>
      <c r="D941" t="str">
        <f t="shared" si="56"/>
        <v>Male</v>
      </c>
      <c r="E941" t="s">
        <v>9</v>
      </c>
      <c r="F941" s="2">
        <v>30</v>
      </c>
      <c r="G941" s="2" t="str" cm="1">
        <f t="array" ref="G941">_xlfn.IFS(F941&lt;=8,"Child",F941&lt;=17,"Teen",F941&lt;=35,"Adult",F941&lt;=55,"Seniour Adult",F941&gt;=55,"Old Age")</f>
        <v>Adult</v>
      </c>
      <c r="H941" t="s">
        <v>25</v>
      </c>
      <c r="I941" t="s">
        <v>28</v>
      </c>
      <c r="J941" t="str" cm="1">
        <f t="array" ref="J941">_xlfn.IFS(I941="S","Southamptom",I941="Q","Quentown",I941="C","Cherbrug",I941="B","Cabin")</f>
        <v>Cabin</v>
      </c>
      <c r="K941" t="s">
        <v>15</v>
      </c>
      <c r="L941" s="2">
        <v>33</v>
      </c>
      <c r="M941" s="2" t="str" cm="1">
        <f t="array" ref="M941">_xlfn.IFS(L941&lt;=15,"Low Fare",L941&lt;=35,"Medium Fare",L941&lt;=100,"High Fare",L941&gt;=100,"Very High Fare")</f>
        <v>Medium Fare</v>
      </c>
      <c r="N941" s="2">
        <v>0</v>
      </c>
      <c r="O941" s="2">
        <v>0</v>
      </c>
      <c r="P941">
        <f t="shared" si="57"/>
        <v>1</v>
      </c>
      <c r="Q941" t="str">
        <f t="shared" si="58"/>
        <v>Alone</v>
      </c>
      <c r="R941" t="str">
        <f t="shared" si="59"/>
        <v>No</v>
      </c>
      <c r="S941" t="s">
        <v>13</v>
      </c>
    </row>
    <row r="942" spans="1:19" x14ac:dyDescent="0.3">
      <c r="A942" s="1" t="s">
        <v>708</v>
      </c>
      <c r="B942" t="s">
        <v>1596</v>
      </c>
      <c r="C942" t="s">
        <v>2417</v>
      </c>
      <c r="D942" t="str">
        <f t="shared" si="56"/>
        <v>Male</v>
      </c>
      <c r="E942" t="s">
        <v>9</v>
      </c>
      <c r="F942" s="2">
        <v>40</v>
      </c>
      <c r="G942" s="2" t="str" cm="1">
        <f t="array" ref="G942">_xlfn.IFS(F942&lt;=8,"Child",F942&lt;=17,"Teen",F942&lt;=35,"Adult",F942&lt;=55,"Seniour Adult",F942&gt;=55,"Old Age")</f>
        <v>Seniour Adult</v>
      </c>
      <c r="H942" t="s">
        <v>25</v>
      </c>
      <c r="I942" t="s">
        <v>11</v>
      </c>
      <c r="J942" t="str" cm="1">
        <f t="array" ref="J942">_xlfn.IFS(I942="S","Southamptom",I942="Q","Quentown",I942="C","Cherbrug",I942="B","Cabin")</f>
        <v>Southamptom</v>
      </c>
      <c r="K942" t="s">
        <v>15</v>
      </c>
      <c r="L942" s="2">
        <v>28.1</v>
      </c>
      <c r="M942" s="2" t="str" cm="1">
        <f t="array" ref="M942">_xlfn.IFS(L942&lt;=15,"Low Fare",L942&lt;=35,"Medium Fare",L942&lt;=100,"High Fare",L942&gt;=100,"Very High Fare")</f>
        <v>Medium Fare</v>
      </c>
      <c r="N942" s="2">
        <v>0</v>
      </c>
      <c r="O942" s="2">
        <v>0</v>
      </c>
      <c r="P942">
        <f t="shared" si="57"/>
        <v>1</v>
      </c>
      <c r="Q942" t="str">
        <f t="shared" si="58"/>
        <v>Alone</v>
      </c>
      <c r="R942" t="str">
        <f t="shared" si="59"/>
        <v>No</v>
      </c>
      <c r="S942" t="s">
        <v>13</v>
      </c>
    </row>
    <row r="943" spans="1:19" x14ac:dyDescent="0.3">
      <c r="A943" s="1" t="s">
        <v>709</v>
      </c>
      <c r="B943" t="s">
        <v>1596</v>
      </c>
      <c r="C943" t="s">
        <v>1722</v>
      </c>
      <c r="D943" t="str">
        <f t="shared" si="56"/>
        <v>Male</v>
      </c>
      <c r="E943" t="s">
        <v>9</v>
      </c>
      <c r="F943" s="2">
        <v>21</v>
      </c>
      <c r="G943" s="2" t="str" cm="1">
        <f t="array" ref="G943">_xlfn.IFS(F943&lt;=8,"Child",F943&lt;=17,"Teen",F943&lt;=35,"Adult",F943&lt;=55,"Seniour Adult",F943&gt;=55,"Old Age")</f>
        <v>Adult</v>
      </c>
      <c r="H943" t="s">
        <v>10</v>
      </c>
      <c r="I943" t="s">
        <v>11</v>
      </c>
      <c r="J943" t="str" cm="1">
        <f t="array" ref="J943">_xlfn.IFS(I943="S","Southamptom",I943="Q","Quentown",I943="C","Cherbrug",I943="B","Cabin")</f>
        <v>Southamptom</v>
      </c>
      <c r="K943" t="s">
        <v>56</v>
      </c>
      <c r="L943" s="2">
        <v>8.1303000000000001</v>
      </c>
      <c r="M943" s="2" t="str" cm="1">
        <f t="array" ref="M943">_xlfn.IFS(L943&lt;=15,"Low Fare",L943&lt;=35,"Medium Fare",L943&lt;=100,"High Fare",L943&gt;=100,"Very High Fare")</f>
        <v>Low Fare</v>
      </c>
      <c r="N943" s="2">
        <v>0</v>
      </c>
      <c r="O943" s="2">
        <v>0</v>
      </c>
      <c r="P943">
        <f t="shared" si="57"/>
        <v>1</v>
      </c>
      <c r="Q943" t="str">
        <f t="shared" si="58"/>
        <v>Alone</v>
      </c>
      <c r="R943" t="str">
        <f t="shared" si="59"/>
        <v>No</v>
      </c>
      <c r="S943" t="s">
        <v>13</v>
      </c>
    </row>
    <row r="944" spans="1:19" x14ac:dyDescent="0.3">
      <c r="A944" s="1" t="s">
        <v>710</v>
      </c>
      <c r="B944" t="s">
        <v>1596</v>
      </c>
      <c r="C944" t="s">
        <v>2038</v>
      </c>
      <c r="D944" t="str">
        <f t="shared" si="56"/>
        <v>Male</v>
      </c>
      <c r="E944" t="s">
        <v>9</v>
      </c>
      <c r="F944" s="2">
        <v>20</v>
      </c>
      <c r="G944" s="2" t="str" cm="1">
        <f t="array" ref="G944">_xlfn.IFS(F944&lt;=8,"Child",F944&lt;=17,"Teen",F944&lt;=35,"Adult",F944&lt;=55,"Seniour Adult",F944&gt;=55,"Old Age")</f>
        <v>Adult</v>
      </c>
      <c r="H944" t="s">
        <v>10</v>
      </c>
      <c r="I944" t="s">
        <v>11</v>
      </c>
      <c r="J944" t="str" cm="1">
        <f t="array" ref="J944">_xlfn.IFS(I944="S","Southamptom",I944="Q","Quentown",I944="C","Cherbrug",I944="B","Cabin")</f>
        <v>Southamptom</v>
      </c>
      <c r="K944" t="s">
        <v>15</v>
      </c>
      <c r="L944" s="2">
        <v>14.1</v>
      </c>
      <c r="M944" s="2" t="str" cm="1">
        <f t="array" ref="M944">_xlfn.IFS(L944&lt;=15,"Low Fare",L944&lt;=35,"Medium Fare",L944&lt;=100,"High Fare",L944&gt;=100,"Very High Fare")</f>
        <v>Low Fare</v>
      </c>
      <c r="N944" s="2">
        <v>0</v>
      </c>
      <c r="O944" s="2">
        <v>0</v>
      </c>
      <c r="P944">
        <f t="shared" si="57"/>
        <v>1</v>
      </c>
      <c r="Q944" t="str">
        <f t="shared" si="58"/>
        <v>Alone</v>
      </c>
      <c r="R944" t="str">
        <f t="shared" si="59"/>
        <v>No</v>
      </c>
      <c r="S944" t="s">
        <v>13</v>
      </c>
    </row>
    <row r="945" spans="1:19" x14ac:dyDescent="0.3">
      <c r="A945" s="1" t="s">
        <v>711</v>
      </c>
      <c r="B945" t="s">
        <v>1596</v>
      </c>
      <c r="C945" t="s">
        <v>2418</v>
      </c>
      <c r="D945" t="str">
        <f t="shared" si="56"/>
        <v>Male</v>
      </c>
      <c r="E945" t="s">
        <v>9</v>
      </c>
      <c r="F945" s="2">
        <v>32</v>
      </c>
      <c r="G945" s="2" t="str" cm="1">
        <f t="array" ref="G945">_xlfn.IFS(F945&lt;=8,"Child",F945&lt;=17,"Teen",F945&lt;=35,"Adult",F945&lt;=55,"Seniour Adult",F945&gt;=55,"Old Age")</f>
        <v>Adult</v>
      </c>
      <c r="H945" t="s">
        <v>10</v>
      </c>
      <c r="I945" t="s">
        <v>11</v>
      </c>
      <c r="J945" t="str" cm="1">
        <f t="array" ref="J945">_xlfn.IFS(I945="S","Southamptom",I945="Q","Quentown",I945="C","Cherbrug",I945="B","Cabin")</f>
        <v>Southamptom</v>
      </c>
      <c r="K945" t="s">
        <v>65</v>
      </c>
      <c r="L945" s="2">
        <v>7.1711</v>
      </c>
      <c r="M945" s="2" t="str" cm="1">
        <f t="array" ref="M945">_xlfn.IFS(L945&lt;=15,"Low Fare",L945&lt;=35,"Medium Fare",L945&lt;=100,"High Fare",L945&gt;=100,"Very High Fare")</f>
        <v>Low Fare</v>
      </c>
      <c r="N945" s="2">
        <v>0</v>
      </c>
      <c r="O945" s="2">
        <v>0</v>
      </c>
      <c r="P945">
        <f t="shared" si="57"/>
        <v>1</v>
      </c>
      <c r="Q945" t="str">
        <f t="shared" si="58"/>
        <v>Alone</v>
      </c>
      <c r="R945" t="str">
        <f t="shared" si="59"/>
        <v>No</v>
      </c>
      <c r="S945" t="s">
        <v>13</v>
      </c>
    </row>
    <row r="946" spans="1:19" x14ac:dyDescent="0.3">
      <c r="A946" s="1" t="s">
        <v>712</v>
      </c>
      <c r="B946" t="s">
        <v>1596</v>
      </c>
      <c r="C946" t="s">
        <v>2419</v>
      </c>
      <c r="D946" t="str">
        <f t="shared" si="56"/>
        <v>Male</v>
      </c>
      <c r="E946" t="s">
        <v>9</v>
      </c>
      <c r="F946" s="2">
        <v>23</v>
      </c>
      <c r="G946" s="2" t="str" cm="1">
        <f t="array" ref="G946">_xlfn.IFS(F946&lt;=8,"Child",F946&lt;=17,"Teen",F946&lt;=35,"Adult",F946&lt;=55,"Seniour Adult",F946&gt;=55,"Old Age")</f>
        <v>Adult</v>
      </c>
      <c r="H946" t="s">
        <v>25</v>
      </c>
      <c r="I946" t="s">
        <v>11</v>
      </c>
      <c r="J946" t="str" cm="1">
        <f t="array" ref="J946">_xlfn.IFS(I946="S","Southamptom",I946="Q","Quentown",I946="C","Cherbrug",I946="B","Cabin")</f>
        <v>Southamptom</v>
      </c>
      <c r="K946" t="s">
        <v>26</v>
      </c>
      <c r="L946" s="2">
        <v>93.1</v>
      </c>
      <c r="M946" s="2" t="str" cm="1">
        <f t="array" ref="M946">_xlfn.IFS(L946&lt;=15,"Low Fare",L946&lt;=35,"Medium Fare",L946&lt;=100,"High Fare",L946&gt;=100,"Very High Fare")</f>
        <v>High Fare</v>
      </c>
      <c r="N946" s="2">
        <v>0</v>
      </c>
      <c r="O946" s="2">
        <v>0</v>
      </c>
      <c r="P946">
        <f t="shared" si="57"/>
        <v>1</v>
      </c>
      <c r="Q946" t="str">
        <f t="shared" si="58"/>
        <v>Alone</v>
      </c>
      <c r="R946" t="str">
        <f t="shared" si="59"/>
        <v>No</v>
      </c>
      <c r="S946" t="s">
        <v>13</v>
      </c>
    </row>
    <row r="947" spans="1:19" x14ac:dyDescent="0.3">
      <c r="A947" s="1" t="s">
        <v>713</v>
      </c>
      <c r="B947" t="s">
        <v>1612</v>
      </c>
      <c r="C947" t="s">
        <v>2420</v>
      </c>
      <c r="D947" t="str">
        <f t="shared" si="56"/>
        <v>Male</v>
      </c>
      <c r="E947" t="s">
        <v>9</v>
      </c>
      <c r="F947" s="2">
        <v>0.58333333330000003</v>
      </c>
      <c r="G947" s="2" t="str" cm="1">
        <f t="array" ref="G947">_xlfn.IFS(F947&lt;=8,"Child",F947&lt;=17,"Teen",F947&lt;=35,"Adult",F947&lt;=55,"Seniour Adult",F947&gt;=55,"Old Age")</f>
        <v>Child</v>
      </c>
      <c r="H947" t="s">
        <v>10</v>
      </c>
      <c r="I947" t="s">
        <v>11</v>
      </c>
      <c r="J947" t="str" cm="1">
        <f t="array" ref="J947">_xlfn.IFS(I947="S","Southamptom",I947="Q","Quentown",I947="C","Cherbrug",I947="B","Cabin")</f>
        <v>Southamptom</v>
      </c>
      <c r="K947" t="s">
        <v>15</v>
      </c>
      <c r="L947" s="2">
        <v>13.150600000000001</v>
      </c>
      <c r="M947" s="2" t="str" cm="1">
        <f t="array" ref="M947">_xlfn.IFS(L947&lt;=15,"Low Fare",L947&lt;=35,"Medium Fare",L947&lt;=100,"High Fare",L947&gt;=100,"Very High Fare")</f>
        <v>Low Fare</v>
      </c>
      <c r="N947" s="2">
        <v>1</v>
      </c>
      <c r="O947" s="2">
        <v>1</v>
      </c>
      <c r="P947">
        <f t="shared" si="57"/>
        <v>3</v>
      </c>
      <c r="Q947" t="str">
        <f t="shared" si="58"/>
        <v>With Family</v>
      </c>
      <c r="R947" t="str">
        <f t="shared" si="59"/>
        <v>No</v>
      </c>
      <c r="S947" t="s">
        <v>13</v>
      </c>
    </row>
    <row r="948" spans="1:19" x14ac:dyDescent="0.3">
      <c r="A948" s="1" t="s">
        <v>713</v>
      </c>
      <c r="B948" t="s">
        <v>1602</v>
      </c>
      <c r="C948" t="s">
        <v>2421</v>
      </c>
      <c r="D948" t="str">
        <f t="shared" si="56"/>
        <v>Female</v>
      </c>
      <c r="E948" t="s">
        <v>14</v>
      </c>
      <c r="F948" s="2">
        <v>4</v>
      </c>
      <c r="G948" s="2" t="str" cm="1">
        <f t="array" ref="G948">_xlfn.IFS(F948&lt;=8,"Child",F948&lt;=17,"Teen",F948&lt;=35,"Adult",F948&lt;=55,"Seniour Adult",F948&gt;=55,"Old Age")</f>
        <v>Child</v>
      </c>
      <c r="H948" t="s">
        <v>10</v>
      </c>
      <c r="I948" t="s">
        <v>11</v>
      </c>
      <c r="J948" t="str" cm="1">
        <f t="array" ref="J948">_xlfn.IFS(I948="S","Southamptom",I948="Q","Quentown",I948="C","Cherbrug",I948="B","Cabin")</f>
        <v>Southamptom</v>
      </c>
      <c r="K948" t="s">
        <v>15</v>
      </c>
      <c r="L948" s="2">
        <v>13.150600000000001</v>
      </c>
      <c r="M948" s="2" t="str" cm="1">
        <f t="array" ref="M948">_xlfn.IFS(L948&lt;=15,"Low Fare",L948&lt;=35,"Medium Fare",L948&lt;=100,"High Fare",L948&gt;=100,"Very High Fare")</f>
        <v>Low Fare</v>
      </c>
      <c r="N948" s="2">
        <v>1</v>
      </c>
      <c r="O948" s="2">
        <v>1</v>
      </c>
      <c r="P948">
        <f t="shared" si="57"/>
        <v>3</v>
      </c>
      <c r="Q948" t="str">
        <f t="shared" si="58"/>
        <v>With Family</v>
      </c>
      <c r="R948" t="str">
        <f t="shared" si="59"/>
        <v>No</v>
      </c>
      <c r="S948" t="s">
        <v>13</v>
      </c>
    </row>
    <row r="949" spans="1:19" x14ac:dyDescent="0.3">
      <c r="A949" s="1" t="s">
        <v>713</v>
      </c>
      <c r="B949" t="s">
        <v>1600</v>
      </c>
      <c r="C949" t="s">
        <v>2035</v>
      </c>
      <c r="D949" t="str">
        <f t="shared" si="56"/>
        <v>Female</v>
      </c>
      <c r="E949" t="s">
        <v>14</v>
      </c>
      <c r="F949" s="2">
        <v>26</v>
      </c>
      <c r="G949" s="2" t="str" cm="1">
        <f t="array" ref="G949">_xlfn.IFS(F949&lt;=8,"Child",F949&lt;=17,"Teen",F949&lt;=35,"Adult",F949&lt;=55,"Seniour Adult",F949&gt;=55,"Old Age")</f>
        <v>Adult</v>
      </c>
      <c r="H949" t="s">
        <v>10</v>
      </c>
      <c r="I949" t="s">
        <v>11</v>
      </c>
      <c r="J949" t="str" cm="1">
        <f t="array" ref="J949">_xlfn.IFS(I949="S","Southamptom",I949="Q","Quentown",I949="C","Cherbrug",I949="B","Cabin")</f>
        <v>Southamptom</v>
      </c>
      <c r="K949" t="s">
        <v>15</v>
      </c>
      <c r="L949" s="2">
        <v>13.150600000000001</v>
      </c>
      <c r="M949" s="2" t="str" cm="1">
        <f t="array" ref="M949">_xlfn.IFS(L949&lt;=15,"Low Fare",L949&lt;=35,"Medium Fare",L949&lt;=100,"High Fare",L949&gt;=100,"Very High Fare")</f>
        <v>Low Fare</v>
      </c>
      <c r="N949" s="2">
        <v>0</v>
      </c>
      <c r="O949" s="2">
        <v>2</v>
      </c>
      <c r="P949">
        <f t="shared" si="57"/>
        <v>3</v>
      </c>
      <c r="Q949" t="str">
        <f t="shared" si="58"/>
        <v>With Family</v>
      </c>
      <c r="R949" t="str">
        <f t="shared" si="59"/>
        <v>No</v>
      </c>
      <c r="S949" t="s">
        <v>13</v>
      </c>
    </row>
    <row r="950" spans="1:19" x14ac:dyDescent="0.3">
      <c r="A950" s="1" t="s">
        <v>714</v>
      </c>
      <c r="B950" t="s">
        <v>1596</v>
      </c>
      <c r="C950" t="s">
        <v>1794</v>
      </c>
      <c r="D950" t="str">
        <f t="shared" si="56"/>
        <v>Male</v>
      </c>
      <c r="E950" t="s">
        <v>9</v>
      </c>
      <c r="F950" s="2">
        <v>32</v>
      </c>
      <c r="G950" s="2" t="str" cm="1">
        <f t="array" ref="G950">_xlfn.IFS(F950&lt;=8,"Child",F950&lt;=17,"Teen",F950&lt;=35,"Adult",F950&lt;=55,"Seniour Adult",F950&gt;=55,"Old Age")</f>
        <v>Adult</v>
      </c>
      <c r="H950" t="s">
        <v>10</v>
      </c>
      <c r="I950" t="s">
        <v>11</v>
      </c>
      <c r="J950" t="str" cm="1">
        <f t="array" ref="J950">_xlfn.IFS(I950="S","Southamptom",I950="Q","Quentown",I950="C","Cherbrug",I950="B","Cabin")</f>
        <v>Southamptom</v>
      </c>
      <c r="K950" t="s">
        <v>15</v>
      </c>
      <c r="L950" s="2">
        <v>7</v>
      </c>
      <c r="M950" s="2" t="str" cm="1">
        <f t="array" ref="M950">_xlfn.IFS(L950&lt;=15,"Low Fare",L950&lt;=35,"Medium Fare",L950&lt;=100,"High Fare",L950&gt;=100,"Very High Fare")</f>
        <v>Low Fare</v>
      </c>
      <c r="N950" s="2">
        <v>0</v>
      </c>
      <c r="O950" s="2">
        <v>0</v>
      </c>
      <c r="P950">
        <f t="shared" si="57"/>
        <v>1</v>
      </c>
      <c r="Q950" t="str">
        <f t="shared" si="58"/>
        <v>Alone</v>
      </c>
      <c r="R950" t="str">
        <f t="shared" si="59"/>
        <v>No</v>
      </c>
      <c r="S950" t="s">
        <v>13</v>
      </c>
    </row>
    <row r="951" spans="1:19" x14ac:dyDescent="0.3">
      <c r="A951" s="1" t="s">
        <v>715</v>
      </c>
      <c r="B951" t="s">
        <v>1600</v>
      </c>
      <c r="C951" t="s">
        <v>2035</v>
      </c>
      <c r="D951" t="str">
        <f t="shared" si="56"/>
        <v>Female</v>
      </c>
      <c r="E951" t="s">
        <v>14</v>
      </c>
      <c r="F951" s="2">
        <v>22</v>
      </c>
      <c r="G951" s="2" t="str" cm="1">
        <f t="array" ref="G951">_xlfn.IFS(F951&lt;=8,"Child",F951&lt;=17,"Teen",F951&lt;=35,"Adult",F951&lt;=55,"Seniour Adult",F951&gt;=55,"Old Age")</f>
        <v>Adult</v>
      </c>
      <c r="H951" t="s">
        <v>25</v>
      </c>
      <c r="I951" t="s">
        <v>11</v>
      </c>
      <c r="J951" t="str" cm="1">
        <f t="array" ref="J951">_xlfn.IFS(I951="S","Southamptom",I951="Q","Quentown",I951="C","Cherbrug",I951="B","Cabin")</f>
        <v>Southamptom</v>
      </c>
      <c r="K951" t="s">
        <v>15</v>
      </c>
      <c r="L951" s="2">
        <v>66.12</v>
      </c>
      <c r="M951" s="2" t="str" cm="1">
        <f t="array" ref="M951">_xlfn.IFS(L951&lt;=15,"Low Fare",L951&lt;=35,"Medium Fare",L951&lt;=100,"High Fare",L951&gt;=100,"Very High Fare")</f>
        <v>High Fare</v>
      </c>
      <c r="N951" s="2">
        <v>1</v>
      </c>
      <c r="O951" s="2">
        <v>0</v>
      </c>
      <c r="P951">
        <f t="shared" si="57"/>
        <v>2</v>
      </c>
      <c r="Q951" t="str">
        <f t="shared" si="58"/>
        <v>With Family</v>
      </c>
      <c r="R951" t="str">
        <f t="shared" si="59"/>
        <v>Yes</v>
      </c>
      <c r="S951" t="s">
        <v>16</v>
      </c>
    </row>
    <row r="952" spans="1:19" x14ac:dyDescent="0.3">
      <c r="A952" s="1" t="s">
        <v>715</v>
      </c>
      <c r="B952" t="s">
        <v>1596</v>
      </c>
      <c r="C952" t="s">
        <v>2422</v>
      </c>
      <c r="D952" t="str">
        <f t="shared" si="56"/>
        <v>Male</v>
      </c>
      <c r="E952" t="s">
        <v>9</v>
      </c>
      <c r="F952" s="2">
        <v>29</v>
      </c>
      <c r="G952" s="2" t="str" cm="1">
        <f t="array" ref="G952">_xlfn.IFS(F952&lt;=8,"Child",F952&lt;=17,"Teen",F952&lt;=35,"Adult",F952&lt;=55,"Seniour Adult",F952&gt;=55,"Old Age")</f>
        <v>Adult</v>
      </c>
      <c r="H952" t="s">
        <v>25</v>
      </c>
      <c r="I952" t="s">
        <v>11</v>
      </c>
      <c r="J952" t="str" cm="1">
        <f t="array" ref="J952">_xlfn.IFS(I952="S","Southamptom",I952="Q","Quentown",I952="C","Cherbrug",I952="B","Cabin")</f>
        <v>Southamptom</v>
      </c>
      <c r="K952" t="s">
        <v>15</v>
      </c>
      <c r="L952" s="2">
        <v>66.12</v>
      </c>
      <c r="M952" s="2" t="str" cm="1">
        <f t="array" ref="M952">_xlfn.IFS(L952&lt;=15,"Low Fare",L952&lt;=35,"Medium Fare",L952&lt;=100,"High Fare",L952&gt;=100,"Very High Fare")</f>
        <v>High Fare</v>
      </c>
      <c r="N952" s="2">
        <v>1</v>
      </c>
      <c r="O952" s="2">
        <v>0</v>
      </c>
      <c r="P952">
        <f t="shared" si="57"/>
        <v>2</v>
      </c>
      <c r="Q952" t="str">
        <f t="shared" si="58"/>
        <v>With Family</v>
      </c>
      <c r="R952" t="str">
        <f t="shared" si="59"/>
        <v>No</v>
      </c>
      <c r="S952" t="s">
        <v>13</v>
      </c>
    </row>
    <row r="953" spans="1:19" x14ac:dyDescent="0.3">
      <c r="A953" s="1" t="s">
        <v>716</v>
      </c>
      <c r="B953" t="s">
        <v>1596</v>
      </c>
      <c r="C953" t="s">
        <v>2423</v>
      </c>
      <c r="D953" t="str">
        <f t="shared" si="56"/>
        <v>Male</v>
      </c>
      <c r="E953" t="s">
        <v>9</v>
      </c>
      <c r="F953" s="2">
        <v>28</v>
      </c>
      <c r="G953" s="2" t="str" cm="1">
        <f t="array" ref="G953">_xlfn.IFS(F953&lt;=8,"Child",F953&lt;=17,"Teen",F953&lt;=35,"Adult",F953&lt;=55,"Seniour Adult",F953&gt;=55,"Old Age")</f>
        <v>Adult</v>
      </c>
      <c r="H953" t="s">
        <v>10</v>
      </c>
      <c r="I953" t="s">
        <v>11</v>
      </c>
      <c r="J953" t="str" cm="1">
        <f t="array" ref="J953">_xlfn.IFS(I953="S","Southamptom",I953="Q","Quentown",I953="C","Cherbrug",I953="B","Cabin")</f>
        <v>Southamptom</v>
      </c>
      <c r="K953" t="s">
        <v>17</v>
      </c>
      <c r="L953" s="2">
        <v>7.1505999999999998</v>
      </c>
      <c r="M953" s="2" t="str" cm="1">
        <f t="array" ref="M953">_xlfn.IFS(L953&lt;=15,"Low Fare",L953&lt;=35,"Medium Fare",L953&lt;=100,"High Fare",L953&gt;=100,"Very High Fare")</f>
        <v>Low Fare</v>
      </c>
      <c r="N953" s="2">
        <v>0</v>
      </c>
      <c r="O953" s="2">
        <v>0</v>
      </c>
      <c r="P953">
        <f t="shared" si="57"/>
        <v>1</v>
      </c>
      <c r="Q953" t="str">
        <f t="shared" si="58"/>
        <v>Alone</v>
      </c>
      <c r="R953" t="str">
        <f t="shared" si="59"/>
        <v>No</v>
      </c>
      <c r="S953" t="s">
        <v>13</v>
      </c>
    </row>
    <row r="954" spans="1:19" x14ac:dyDescent="0.3">
      <c r="A954" s="1" t="s">
        <v>717</v>
      </c>
      <c r="B954" t="s">
        <v>1596</v>
      </c>
      <c r="C954" t="s">
        <v>2424</v>
      </c>
      <c r="D954" t="str">
        <f t="shared" si="56"/>
        <v>Male</v>
      </c>
      <c r="E954" t="s">
        <v>9</v>
      </c>
      <c r="F954" s="2">
        <v>24</v>
      </c>
      <c r="G954" s="2" t="str" cm="1">
        <f t="array" ref="G954">_xlfn.IFS(F954&lt;=8,"Child",F954&lt;=17,"Teen",F954&lt;=35,"Adult",F954&lt;=55,"Seniour Adult",F954&gt;=55,"Old Age")</f>
        <v>Adult</v>
      </c>
      <c r="H954" t="s">
        <v>10</v>
      </c>
      <c r="I954" t="s">
        <v>11</v>
      </c>
      <c r="J954" t="str" cm="1">
        <f t="array" ref="J954">_xlfn.IFS(I954="S","Southamptom",I954="Q","Quentown",I954="C","Cherbrug",I954="B","Cabin")</f>
        <v>Southamptom</v>
      </c>
      <c r="K954" t="s">
        <v>15</v>
      </c>
      <c r="L954" s="2">
        <v>8.01</v>
      </c>
      <c r="M954" s="2" t="str" cm="1">
        <f t="array" ref="M954">_xlfn.IFS(L954&lt;=15,"Low Fare",L954&lt;=35,"Medium Fare",L954&lt;=100,"High Fare",L954&gt;=100,"Very High Fare")</f>
        <v>Low Fare</v>
      </c>
      <c r="N954" s="2">
        <v>0</v>
      </c>
      <c r="O954" s="2">
        <v>0</v>
      </c>
      <c r="P954">
        <f t="shared" si="57"/>
        <v>1</v>
      </c>
      <c r="Q954" t="str">
        <f t="shared" si="58"/>
        <v>Alone</v>
      </c>
      <c r="R954" t="str">
        <f t="shared" si="59"/>
        <v>No</v>
      </c>
      <c r="S954" t="s">
        <v>13</v>
      </c>
    </row>
    <row r="955" spans="1:19" x14ac:dyDescent="0.3">
      <c r="A955" s="1" t="s">
        <v>718</v>
      </c>
      <c r="B955" t="s">
        <v>1596</v>
      </c>
      <c r="C955" t="s">
        <v>2228</v>
      </c>
      <c r="D955" t="str">
        <f t="shared" si="56"/>
        <v>Male</v>
      </c>
      <c r="E955" t="s">
        <v>9</v>
      </c>
      <c r="F955" s="2">
        <v>21</v>
      </c>
      <c r="G955" s="2" t="str" cm="1">
        <f t="array" ref="G955">_xlfn.IFS(F955&lt;=8,"Child",F955&lt;=17,"Teen",F955&lt;=35,"Adult",F955&lt;=55,"Seniour Adult",F955&gt;=55,"Old Age")</f>
        <v>Adult</v>
      </c>
      <c r="H955" t="s">
        <v>10</v>
      </c>
      <c r="I955" t="s">
        <v>11</v>
      </c>
      <c r="J955" t="str" cm="1">
        <f t="array" ref="J955">_xlfn.IFS(I955="S","Southamptom",I955="Q","Quentown",I955="C","Cherbrug",I955="B","Cabin")</f>
        <v>Southamptom</v>
      </c>
      <c r="K955" t="s">
        <v>22</v>
      </c>
      <c r="L955" s="2">
        <v>7.1806000000000001</v>
      </c>
      <c r="M955" s="2" t="str" cm="1">
        <f t="array" ref="M955">_xlfn.IFS(L955&lt;=15,"Low Fare",L955&lt;=35,"Medium Fare",L955&lt;=100,"High Fare",L955&gt;=100,"Very High Fare")</f>
        <v>Low Fare</v>
      </c>
      <c r="N955" s="2">
        <v>0</v>
      </c>
      <c r="O955" s="2">
        <v>0</v>
      </c>
      <c r="P955">
        <f t="shared" si="57"/>
        <v>1</v>
      </c>
      <c r="Q955" t="str">
        <f t="shared" si="58"/>
        <v>Alone</v>
      </c>
      <c r="R955" t="str">
        <f t="shared" si="59"/>
        <v>No</v>
      </c>
      <c r="S955" t="s">
        <v>13</v>
      </c>
    </row>
    <row r="956" spans="1:19" x14ac:dyDescent="0.3">
      <c r="A956" s="1" t="s">
        <v>719</v>
      </c>
      <c r="B956" t="s">
        <v>1596</v>
      </c>
      <c r="C956" t="s">
        <v>2425</v>
      </c>
      <c r="D956" t="str">
        <f t="shared" si="56"/>
        <v>Male</v>
      </c>
      <c r="E956" t="s">
        <v>9</v>
      </c>
      <c r="F956" s="2">
        <v>25</v>
      </c>
      <c r="G956" s="2" t="str" cm="1">
        <f t="array" ref="G956">_xlfn.IFS(F956&lt;=8,"Child",F956&lt;=17,"Teen",F956&lt;=35,"Adult",F956&lt;=55,"Seniour Adult",F956&gt;=55,"Old Age")</f>
        <v>Adult</v>
      </c>
      <c r="H956" t="s">
        <v>10</v>
      </c>
      <c r="I956" t="s">
        <v>11</v>
      </c>
      <c r="J956" t="str" cm="1">
        <f t="array" ref="J956">_xlfn.IFS(I956="S","Southamptom",I956="Q","Quentown",I956="C","Cherbrug",I956="B","Cabin")</f>
        <v>Southamptom</v>
      </c>
      <c r="K956" t="s">
        <v>22</v>
      </c>
      <c r="L956" s="2">
        <v>7.1806000000000001</v>
      </c>
      <c r="M956" s="2" t="str" cm="1">
        <f t="array" ref="M956">_xlfn.IFS(L956&lt;=15,"Low Fare",L956&lt;=35,"Medium Fare",L956&lt;=100,"High Fare",L956&gt;=100,"Very High Fare")</f>
        <v>Low Fare</v>
      </c>
      <c r="N956" s="2">
        <v>0</v>
      </c>
      <c r="O956" s="2">
        <v>0</v>
      </c>
      <c r="P956">
        <f t="shared" si="57"/>
        <v>1</v>
      </c>
      <c r="Q956" t="str">
        <f t="shared" si="58"/>
        <v>Alone</v>
      </c>
      <c r="R956" t="str">
        <f t="shared" si="59"/>
        <v>No</v>
      </c>
      <c r="S956" t="s">
        <v>13</v>
      </c>
    </row>
    <row r="957" spans="1:19" x14ac:dyDescent="0.3">
      <c r="A957" s="1" t="s">
        <v>720</v>
      </c>
      <c r="B957" t="s">
        <v>1600</v>
      </c>
      <c r="C957" t="s">
        <v>2426</v>
      </c>
      <c r="D957" t="str">
        <f t="shared" si="56"/>
        <v>Female</v>
      </c>
      <c r="E957" t="s">
        <v>14</v>
      </c>
      <c r="F957" s="2">
        <v>22</v>
      </c>
      <c r="G957" s="2" t="str" cm="1">
        <f t="array" ref="G957">_xlfn.IFS(F957&lt;=8,"Child",F957&lt;=17,"Teen",F957&lt;=35,"Adult",F957&lt;=55,"Seniour Adult",F957&gt;=55,"Old Age")</f>
        <v>Adult</v>
      </c>
      <c r="H957" t="s">
        <v>25</v>
      </c>
      <c r="I957" t="s">
        <v>19</v>
      </c>
      <c r="J957" t="str" cm="1">
        <f t="array" ref="J957">_xlfn.IFS(I957="S","Southamptom",I957="Q","Quentown",I957="C","Cherbrug",I957="B","Cabin")</f>
        <v>Cherbrug</v>
      </c>
      <c r="K957" t="s">
        <v>50</v>
      </c>
      <c r="L957" s="2">
        <v>108.18</v>
      </c>
      <c r="M957" s="2" t="str" cm="1">
        <f t="array" ref="M957">_xlfn.IFS(L957&lt;=15,"Low Fare",L957&lt;=35,"Medium Fare",L957&lt;=100,"High Fare",L957&gt;=100,"Very High Fare")</f>
        <v>Very High Fare</v>
      </c>
      <c r="N957" s="2">
        <v>1</v>
      </c>
      <c r="O957" s="2">
        <v>0</v>
      </c>
      <c r="P957">
        <f t="shared" si="57"/>
        <v>2</v>
      </c>
      <c r="Q957" t="str">
        <f t="shared" si="58"/>
        <v>With Family</v>
      </c>
      <c r="R957" t="str">
        <f t="shared" si="59"/>
        <v>Yes</v>
      </c>
      <c r="S957" t="s">
        <v>16</v>
      </c>
    </row>
    <row r="958" spans="1:19" x14ac:dyDescent="0.3">
      <c r="A958" s="1" t="s">
        <v>720</v>
      </c>
      <c r="B958" t="s">
        <v>1596</v>
      </c>
      <c r="C958" t="s">
        <v>2427</v>
      </c>
      <c r="D958" t="str">
        <f t="shared" si="56"/>
        <v>Male</v>
      </c>
      <c r="E958" t="s">
        <v>9</v>
      </c>
      <c r="F958" s="2">
        <v>24</v>
      </c>
      <c r="G958" s="2" t="str" cm="1">
        <f t="array" ref="G958">_xlfn.IFS(F958&lt;=8,"Child",F958&lt;=17,"Teen",F958&lt;=35,"Adult",F958&lt;=55,"Seniour Adult",F958&gt;=55,"Old Age")</f>
        <v>Adult</v>
      </c>
      <c r="H958" t="s">
        <v>25</v>
      </c>
      <c r="I958" t="s">
        <v>19</v>
      </c>
      <c r="J958" t="str" cm="1">
        <f t="array" ref="J958">_xlfn.IFS(I958="S","Southamptom",I958="Q","Quentown",I958="C","Cherbrug",I958="B","Cabin")</f>
        <v>Cherbrug</v>
      </c>
      <c r="K958" t="s">
        <v>50</v>
      </c>
      <c r="L958" s="2">
        <v>108.18</v>
      </c>
      <c r="M958" s="2" t="str" cm="1">
        <f t="array" ref="M958">_xlfn.IFS(L958&lt;=15,"Low Fare",L958&lt;=35,"Medium Fare",L958&lt;=100,"High Fare",L958&gt;=100,"Very High Fare")</f>
        <v>Very High Fare</v>
      </c>
      <c r="N958" s="2">
        <v>1</v>
      </c>
      <c r="O958" s="2">
        <v>0</v>
      </c>
      <c r="P958">
        <f t="shared" si="57"/>
        <v>2</v>
      </c>
      <c r="Q958" t="str">
        <f t="shared" si="58"/>
        <v>With Family</v>
      </c>
      <c r="R958" t="str">
        <f t="shared" si="59"/>
        <v>No</v>
      </c>
      <c r="S958" t="s">
        <v>13</v>
      </c>
    </row>
    <row r="959" spans="1:19" x14ac:dyDescent="0.3">
      <c r="A959" s="1" t="s">
        <v>721</v>
      </c>
      <c r="B959" t="s">
        <v>1596</v>
      </c>
      <c r="C959" t="s">
        <v>2428</v>
      </c>
      <c r="D959" t="str">
        <f t="shared" si="56"/>
        <v>Male</v>
      </c>
      <c r="E959" t="s">
        <v>9</v>
      </c>
      <c r="F959" s="2">
        <v>19</v>
      </c>
      <c r="G959" s="2" t="str" cm="1">
        <f t="array" ref="G959">_xlfn.IFS(F959&lt;=8,"Child",F959&lt;=17,"Teen",F959&lt;=35,"Adult",F959&lt;=55,"Seniour Adult",F959&gt;=55,"Old Age")</f>
        <v>Adult</v>
      </c>
      <c r="H959" t="s">
        <v>18</v>
      </c>
      <c r="I959" t="s">
        <v>11</v>
      </c>
      <c r="J959" t="str" cm="1">
        <f t="array" ref="J959">_xlfn.IFS(I959="S","Southamptom",I959="Q","Quentown",I959="C","Cherbrug",I959="B","Cabin")</f>
        <v>Southamptom</v>
      </c>
      <c r="K959" t="s">
        <v>15</v>
      </c>
      <c r="L959" s="2">
        <v>10.1</v>
      </c>
      <c r="M959" s="2" t="str" cm="1">
        <f t="array" ref="M959">_xlfn.IFS(L959&lt;=15,"Low Fare",L959&lt;=35,"Medium Fare",L959&lt;=100,"High Fare",L959&gt;=100,"Very High Fare")</f>
        <v>Low Fare</v>
      </c>
      <c r="N959" s="2">
        <v>0</v>
      </c>
      <c r="O959" s="2">
        <v>0</v>
      </c>
      <c r="P959">
        <f t="shared" si="57"/>
        <v>1</v>
      </c>
      <c r="Q959" t="str">
        <f t="shared" si="58"/>
        <v>Alone</v>
      </c>
      <c r="R959" t="str">
        <f t="shared" si="59"/>
        <v>No</v>
      </c>
      <c r="S959" t="s">
        <v>13</v>
      </c>
    </row>
    <row r="960" spans="1:19" x14ac:dyDescent="0.3">
      <c r="A960" s="1" t="s">
        <v>722</v>
      </c>
      <c r="B960" t="s">
        <v>1596</v>
      </c>
      <c r="C960" t="s">
        <v>1822</v>
      </c>
      <c r="D960" t="str">
        <f t="shared" si="56"/>
        <v>Male</v>
      </c>
      <c r="E960" t="s">
        <v>9</v>
      </c>
      <c r="F960" s="2">
        <v>24</v>
      </c>
      <c r="G960" s="2" t="str" cm="1">
        <f t="array" ref="G960">_xlfn.IFS(F960&lt;=8,"Child",F960&lt;=17,"Teen",F960&lt;=35,"Adult",F960&lt;=55,"Seniour Adult",F960&gt;=55,"Old Age")</f>
        <v>Adult</v>
      </c>
      <c r="H960" t="s">
        <v>10</v>
      </c>
      <c r="I960" t="s">
        <v>11</v>
      </c>
      <c r="J960" t="str" cm="1">
        <f t="array" ref="J960">_xlfn.IFS(I960="S","Southamptom",I960="Q","Quentown",I960="C","Cherbrug",I960="B","Cabin")</f>
        <v>Southamptom</v>
      </c>
      <c r="K960" t="s">
        <v>15</v>
      </c>
      <c r="L960" s="2">
        <v>7.05</v>
      </c>
      <c r="M960" s="2" t="str" cm="1">
        <f t="array" ref="M960">_xlfn.IFS(L960&lt;=15,"Low Fare",L960&lt;=35,"Medium Fare",L960&lt;=100,"High Fare",L960&gt;=100,"Very High Fare")</f>
        <v>Low Fare</v>
      </c>
      <c r="N960" s="2">
        <v>0</v>
      </c>
      <c r="O960" s="2">
        <v>0</v>
      </c>
      <c r="P960">
        <f t="shared" si="57"/>
        <v>1</v>
      </c>
      <c r="Q960" t="str">
        <f t="shared" si="58"/>
        <v>Alone</v>
      </c>
      <c r="R960" t="str">
        <f t="shared" si="59"/>
        <v>No</v>
      </c>
      <c r="S960" t="s">
        <v>13</v>
      </c>
    </row>
    <row r="961" spans="1:19" x14ac:dyDescent="0.3">
      <c r="A961" s="1" t="s">
        <v>723</v>
      </c>
      <c r="B961" t="s">
        <v>1596</v>
      </c>
      <c r="C961" t="s">
        <v>2429</v>
      </c>
      <c r="D961" t="str">
        <f t="shared" si="56"/>
        <v>Male</v>
      </c>
      <c r="E961" t="s">
        <v>9</v>
      </c>
      <c r="F961" s="2">
        <v>39</v>
      </c>
      <c r="G961" s="2" t="str" cm="1">
        <f t="array" ref="G961">_xlfn.IFS(F961&lt;=8,"Child",F961&lt;=17,"Teen",F961&lt;=35,"Adult",F961&lt;=55,"Seniour Adult",F961&gt;=55,"Old Age")</f>
        <v>Seniour Adult</v>
      </c>
      <c r="H961" t="s">
        <v>18</v>
      </c>
      <c r="I961" t="s">
        <v>19</v>
      </c>
      <c r="J961" t="str" cm="1">
        <f t="array" ref="J961">_xlfn.IFS(I961="S","Southamptom",I961="Q","Quentown",I961="C","Cherbrug",I961="B","Cabin")</f>
        <v>Cherbrug</v>
      </c>
      <c r="K961" t="s">
        <v>20</v>
      </c>
      <c r="L961" s="2">
        <v>15.01</v>
      </c>
      <c r="M961" s="2" t="str" cm="1">
        <f t="array" ref="M961">_xlfn.IFS(L961&lt;=15,"Low Fare",L961&lt;=35,"Medium Fare",L961&lt;=100,"High Fare",L961&gt;=100,"Very High Fare")</f>
        <v>Medium Fare</v>
      </c>
      <c r="N961" s="2">
        <v>0</v>
      </c>
      <c r="O961" s="2">
        <v>0</v>
      </c>
      <c r="P961">
        <f t="shared" si="57"/>
        <v>1</v>
      </c>
      <c r="Q961" t="str">
        <f t="shared" si="58"/>
        <v>Alone</v>
      </c>
      <c r="R961" t="str">
        <f t="shared" si="59"/>
        <v>No</v>
      </c>
      <c r="S961" t="s">
        <v>13</v>
      </c>
    </row>
    <row r="962" spans="1:19" x14ac:dyDescent="0.3">
      <c r="A962" s="1" t="s">
        <v>724</v>
      </c>
      <c r="B962" t="s">
        <v>1602</v>
      </c>
      <c r="C962" t="s">
        <v>2430</v>
      </c>
      <c r="D962" t="str">
        <f t="shared" si="56"/>
        <v>Female</v>
      </c>
      <c r="E962" t="s">
        <v>14</v>
      </c>
      <c r="F962" s="2">
        <v>33</v>
      </c>
      <c r="G962" s="2" t="str" cm="1">
        <f t="array" ref="G962">_xlfn.IFS(F962&lt;=8,"Child",F962&lt;=17,"Teen",F962&lt;=35,"Adult",F962&lt;=55,"Seniour Adult",F962&gt;=55,"Old Age")</f>
        <v>Adult</v>
      </c>
      <c r="H962" t="s">
        <v>25</v>
      </c>
      <c r="I962" t="s">
        <v>11</v>
      </c>
      <c r="J962" t="str" cm="1">
        <f t="array" ref="J962">_xlfn.IFS(I962="S","Southamptom",I962="Q","Quentown",I962="C","Cherbrug",I962="B","Cabin")</f>
        <v>Southamptom</v>
      </c>
      <c r="K962" t="s">
        <v>26</v>
      </c>
      <c r="L962" s="2">
        <v>93.1</v>
      </c>
      <c r="M962" s="2" t="str" cm="1">
        <f t="array" ref="M962">_xlfn.IFS(L962&lt;=15,"Low Fare",L962&lt;=35,"Medium Fare",L962&lt;=100,"High Fare",L962&gt;=100,"Very High Fare")</f>
        <v>High Fare</v>
      </c>
      <c r="N962" s="2">
        <v>0</v>
      </c>
      <c r="O962" s="2">
        <v>0</v>
      </c>
      <c r="P962">
        <f t="shared" si="57"/>
        <v>1</v>
      </c>
      <c r="Q962" t="str">
        <f t="shared" si="58"/>
        <v>Alone</v>
      </c>
      <c r="R962" t="str">
        <f t="shared" si="59"/>
        <v>Yes</v>
      </c>
      <c r="S962" t="s">
        <v>16</v>
      </c>
    </row>
    <row r="963" spans="1:19" x14ac:dyDescent="0.3">
      <c r="A963" s="1" t="s">
        <v>725</v>
      </c>
      <c r="B963" t="s">
        <v>1596</v>
      </c>
      <c r="C963" t="s">
        <v>2431</v>
      </c>
      <c r="D963" t="str">
        <f t="shared" ref="D963:D1026" si="60">PROPER(E963)</f>
        <v>Male</v>
      </c>
      <c r="E963" t="s">
        <v>9</v>
      </c>
      <c r="F963" s="2">
        <v>25</v>
      </c>
      <c r="G963" s="2" t="str" cm="1">
        <f t="array" ref="G963">_xlfn.IFS(F963&lt;=8,"Child",F963&lt;=17,"Teen",F963&lt;=35,"Adult",F963&lt;=55,"Seniour Adult",F963&gt;=55,"Old Age")</f>
        <v>Adult</v>
      </c>
      <c r="H963" t="s">
        <v>10</v>
      </c>
      <c r="I963" t="s">
        <v>11</v>
      </c>
      <c r="J963" t="str" cm="1">
        <f t="array" ref="J963">_xlfn.IFS(I963="S","Southamptom",I963="Q","Quentown",I963="C","Cherbrug",I963="B","Cabin")</f>
        <v>Southamptom</v>
      </c>
      <c r="K963" t="s">
        <v>23</v>
      </c>
      <c r="L963" s="2">
        <v>7.1505999999999998</v>
      </c>
      <c r="M963" s="2" t="str" cm="1">
        <f t="array" ref="M963">_xlfn.IFS(L963&lt;=15,"Low Fare",L963&lt;=35,"Medium Fare",L963&lt;=100,"High Fare",L963&gt;=100,"Very High Fare")</f>
        <v>Low Fare</v>
      </c>
      <c r="N963" s="2">
        <v>1</v>
      </c>
      <c r="O963" s="2">
        <v>0</v>
      </c>
      <c r="P963">
        <f t="shared" ref="P963:P1026" si="61">N963+O963+1</f>
        <v>2</v>
      </c>
      <c r="Q963" t="str">
        <f t="shared" ref="Q963:Q1026" si="62">IF(P963=1,"Alone","With Family")</f>
        <v>With Family</v>
      </c>
      <c r="R963" t="str">
        <f t="shared" ref="R963:R1026" si="63">PROPER(S963)</f>
        <v>Yes</v>
      </c>
      <c r="S963" t="s">
        <v>16</v>
      </c>
    </row>
    <row r="964" spans="1:19" x14ac:dyDescent="0.3">
      <c r="A964" s="1" t="s">
        <v>726</v>
      </c>
      <c r="B964" t="s">
        <v>1777</v>
      </c>
      <c r="C964" t="s">
        <v>1649</v>
      </c>
      <c r="D964" t="str">
        <f t="shared" si="60"/>
        <v>Male</v>
      </c>
      <c r="E964" t="s">
        <v>9</v>
      </c>
      <c r="F964" s="2">
        <v>41</v>
      </c>
      <c r="G964" s="2" t="str" cm="1">
        <f t="array" ref="G964">_xlfn.IFS(F964&lt;=8,"Child",F964&lt;=17,"Teen",F964&lt;=35,"Adult",F964&lt;=55,"Seniour Adult",F964&gt;=55,"Old Age")</f>
        <v>Seniour Adult</v>
      </c>
      <c r="H964" t="s">
        <v>18</v>
      </c>
      <c r="I964" t="s">
        <v>11</v>
      </c>
      <c r="J964" t="str" cm="1">
        <f t="array" ref="J964">_xlfn.IFS(I964="S","Southamptom",I964="Q","Quentown",I964="C","Cherbrug",I964="B","Cabin")</f>
        <v>Southamptom</v>
      </c>
      <c r="K964" t="s">
        <v>64</v>
      </c>
      <c r="L964" s="2">
        <v>13</v>
      </c>
      <c r="M964" s="2" t="str" cm="1">
        <f t="array" ref="M964">_xlfn.IFS(L964&lt;=15,"Low Fare",L964&lt;=35,"Medium Fare",L964&lt;=100,"High Fare",L964&gt;=100,"Very High Fare")</f>
        <v>Low Fare</v>
      </c>
      <c r="N964" s="2">
        <v>0</v>
      </c>
      <c r="O964" s="2">
        <v>0</v>
      </c>
      <c r="P964">
        <f t="shared" si="61"/>
        <v>1</v>
      </c>
      <c r="Q964" t="str">
        <f t="shared" si="62"/>
        <v>Alone</v>
      </c>
      <c r="R964" t="str">
        <f t="shared" si="63"/>
        <v>No</v>
      </c>
      <c r="S964" t="s">
        <v>13</v>
      </c>
    </row>
    <row r="965" spans="1:19" x14ac:dyDescent="0.3">
      <c r="A965" s="1" t="s">
        <v>727</v>
      </c>
      <c r="B965" t="s">
        <v>1602</v>
      </c>
      <c r="C965" t="s">
        <v>2432</v>
      </c>
      <c r="D965" t="str">
        <f t="shared" si="60"/>
        <v>Female</v>
      </c>
      <c r="E965" t="s">
        <v>14</v>
      </c>
      <c r="F965" s="2">
        <v>28</v>
      </c>
      <c r="G965" s="2" t="str" cm="1">
        <f t="array" ref="G965">_xlfn.IFS(F965&lt;=8,"Child",F965&lt;=17,"Teen",F965&lt;=35,"Adult",F965&lt;=55,"Seniour Adult",F965&gt;=55,"Old Age")</f>
        <v>Adult</v>
      </c>
      <c r="H965" t="s">
        <v>10</v>
      </c>
      <c r="I965" t="s">
        <v>11</v>
      </c>
      <c r="J965" t="str" cm="1">
        <f t="array" ref="J965">_xlfn.IFS(I965="S","Southamptom",I965="Q","Quentown",I965="C","Cherbrug",I965="B","Cabin")</f>
        <v>Southamptom</v>
      </c>
      <c r="K965" t="s">
        <v>65</v>
      </c>
      <c r="L965" s="2">
        <v>7.1711</v>
      </c>
      <c r="M965" s="2" t="str" cm="1">
        <f t="array" ref="M965">_xlfn.IFS(L965&lt;=15,"Low Fare",L965&lt;=35,"Medium Fare",L965&lt;=100,"High Fare",L965&gt;=100,"Very High Fare")</f>
        <v>Low Fare</v>
      </c>
      <c r="N965" s="2">
        <v>0</v>
      </c>
      <c r="O965" s="2">
        <v>0</v>
      </c>
      <c r="P965">
        <f t="shared" si="61"/>
        <v>1</v>
      </c>
      <c r="Q965" t="str">
        <f t="shared" si="62"/>
        <v>Alone</v>
      </c>
      <c r="R965" t="str">
        <f t="shared" si="63"/>
        <v>No</v>
      </c>
      <c r="S965" t="s">
        <v>13</v>
      </c>
    </row>
    <row r="966" spans="1:19" x14ac:dyDescent="0.3">
      <c r="A966" s="1" t="s">
        <v>728</v>
      </c>
      <c r="B966" t="s">
        <v>1612</v>
      </c>
      <c r="C966" t="s">
        <v>2433</v>
      </c>
      <c r="D966" t="str">
        <f t="shared" si="60"/>
        <v>Male</v>
      </c>
      <c r="E966" t="s">
        <v>9</v>
      </c>
      <c r="F966" s="2">
        <v>4</v>
      </c>
      <c r="G966" s="2" t="str" cm="1">
        <f t="array" ref="G966">_xlfn.IFS(F966&lt;=8,"Child",F966&lt;=17,"Teen",F966&lt;=35,"Adult",F966&lt;=55,"Seniour Adult",F966&gt;=55,"Old Age")</f>
        <v>Child</v>
      </c>
      <c r="H966" t="s">
        <v>10</v>
      </c>
      <c r="I966" t="s">
        <v>19</v>
      </c>
      <c r="J966" t="str" cm="1">
        <f t="array" ref="J966">_xlfn.IFS(I966="S","Southamptom",I966="Q","Quentown",I966="C","Cherbrug",I966="B","Cabin")</f>
        <v>Cherbrug</v>
      </c>
      <c r="K966" t="s">
        <v>21</v>
      </c>
      <c r="L966" s="2">
        <v>22.0702</v>
      </c>
      <c r="M966" s="2" t="str" cm="1">
        <f t="array" ref="M966">_xlfn.IFS(L966&lt;=15,"Low Fare",L966&lt;=35,"Medium Fare",L966&lt;=100,"High Fare",L966&gt;=100,"Very High Fare")</f>
        <v>Medium Fare</v>
      </c>
      <c r="N966" s="2">
        <v>1</v>
      </c>
      <c r="O966" s="2">
        <v>1</v>
      </c>
      <c r="P966">
        <f t="shared" si="61"/>
        <v>3</v>
      </c>
      <c r="Q966" t="str">
        <f t="shared" si="62"/>
        <v>With Family</v>
      </c>
      <c r="R966" t="str">
        <f t="shared" si="63"/>
        <v>Yes</v>
      </c>
      <c r="S966" t="s">
        <v>16</v>
      </c>
    </row>
    <row r="967" spans="1:19" x14ac:dyDescent="0.3">
      <c r="A967" s="1" t="s">
        <v>728</v>
      </c>
      <c r="B967" t="s">
        <v>1602</v>
      </c>
      <c r="C967" t="s">
        <v>1912</v>
      </c>
      <c r="D967" t="str">
        <f t="shared" si="60"/>
        <v>Female</v>
      </c>
      <c r="E967" t="s">
        <v>14</v>
      </c>
      <c r="F967" s="2">
        <v>2</v>
      </c>
      <c r="G967" s="2" t="str" cm="1">
        <f t="array" ref="G967">_xlfn.IFS(F967&lt;=8,"Child",F967&lt;=17,"Teen",F967&lt;=35,"Adult",F967&lt;=55,"Seniour Adult",F967&gt;=55,"Old Age")</f>
        <v>Child</v>
      </c>
      <c r="H967" t="s">
        <v>10</v>
      </c>
      <c r="I967" t="s">
        <v>19</v>
      </c>
      <c r="J967" t="str" cm="1">
        <f t="array" ref="J967">_xlfn.IFS(I967="S","Southamptom",I967="Q","Quentown",I967="C","Cherbrug",I967="B","Cabin")</f>
        <v>Cherbrug</v>
      </c>
      <c r="K967" t="s">
        <v>21</v>
      </c>
      <c r="L967" s="2">
        <v>22.0702</v>
      </c>
      <c r="M967" s="2" t="str" cm="1">
        <f t="array" ref="M967">_xlfn.IFS(L967&lt;=15,"Low Fare",L967&lt;=35,"Medium Fare",L967&lt;=100,"High Fare",L967&gt;=100,"Very High Fare")</f>
        <v>Medium Fare</v>
      </c>
      <c r="N967" s="2">
        <v>1</v>
      </c>
      <c r="O967" s="2">
        <v>1</v>
      </c>
      <c r="P967">
        <f t="shared" si="61"/>
        <v>3</v>
      </c>
      <c r="Q967" t="str">
        <f t="shared" si="62"/>
        <v>With Family</v>
      </c>
      <c r="R967" t="str">
        <f t="shared" si="63"/>
        <v>Yes</v>
      </c>
      <c r="S967" t="s">
        <v>16</v>
      </c>
    </row>
    <row r="968" spans="1:19" x14ac:dyDescent="0.3">
      <c r="A968" s="1" t="s">
        <v>729</v>
      </c>
      <c r="B968" t="s">
        <v>1596</v>
      </c>
      <c r="C968" t="s">
        <v>2434</v>
      </c>
      <c r="D968" t="str">
        <f t="shared" si="60"/>
        <v>Male</v>
      </c>
      <c r="E968" t="s">
        <v>9</v>
      </c>
      <c r="F968" s="2">
        <v>24</v>
      </c>
      <c r="G968" s="2" t="str" cm="1">
        <f t="array" ref="G968">_xlfn.IFS(F968&lt;=8,"Child",F968&lt;=17,"Teen",F968&lt;=35,"Adult",F968&lt;=55,"Seniour Adult",F968&gt;=55,"Old Age")</f>
        <v>Adult</v>
      </c>
      <c r="H968" t="s">
        <v>10</v>
      </c>
      <c r="I968" t="s">
        <v>11</v>
      </c>
      <c r="J968" t="str" cm="1">
        <f t="array" ref="J968">_xlfn.IFS(I968="S","Southamptom",I968="Q","Quentown",I968="C","Cherbrug",I968="B","Cabin")</f>
        <v>Southamptom</v>
      </c>
      <c r="K968" t="s">
        <v>15</v>
      </c>
      <c r="L968" s="2">
        <v>8.01</v>
      </c>
      <c r="M968" s="2" t="str" cm="1">
        <f t="array" ref="M968">_xlfn.IFS(L968&lt;=15,"Low Fare",L968&lt;=35,"Medium Fare",L968&lt;=100,"High Fare",L968&gt;=100,"Very High Fare")</f>
        <v>Low Fare</v>
      </c>
      <c r="N968" s="2">
        <v>0</v>
      </c>
      <c r="O968" s="2">
        <v>0</v>
      </c>
      <c r="P968">
        <f t="shared" si="61"/>
        <v>1</v>
      </c>
      <c r="Q968" t="str">
        <f t="shared" si="62"/>
        <v>Alone</v>
      </c>
      <c r="R968" t="str">
        <f t="shared" si="63"/>
        <v>No</v>
      </c>
      <c r="S968" t="s">
        <v>13</v>
      </c>
    </row>
    <row r="969" spans="1:19" x14ac:dyDescent="0.3">
      <c r="A969" s="1" t="s">
        <v>730</v>
      </c>
      <c r="B969" t="s">
        <v>1602</v>
      </c>
      <c r="C969" t="s">
        <v>1735</v>
      </c>
      <c r="D969" t="str">
        <f t="shared" si="60"/>
        <v>Female</v>
      </c>
      <c r="E969" t="s">
        <v>14</v>
      </c>
      <c r="F969" s="2">
        <v>28</v>
      </c>
      <c r="G969" s="2" t="str" cm="1">
        <f t="array" ref="G969">_xlfn.IFS(F969&lt;=8,"Child",F969&lt;=17,"Teen",F969&lt;=35,"Adult",F969&lt;=55,"Seniour Adult",F969&gt;=55,"Old Age")</f>
        <v>Adult</v>
      </c>
      <c r="H969" t="s">
        <v>10</v>
      </c>
      <c r="I969" t="s">
        <v>36</v>
      </c>
      <c r="J969" t="str" cm="1">
        <f t="array" ref="J969">_xlfn.IFS(I969="S","Southamptom",I969="Q","Quentown",I969="C","Cherbrug",I969="B","Cabin")</f>
        <v>Quentown</v>
      </c>
      <c r="K969" t="s">
        <v>37</v>
      </c>
      <c r="L969" s="2">
        <v>8.0208999999999993</v>
      </c>
      <c r="M969" s="2" t="str" cm="1">
        <f t="array" ref="M969">_xlfn.IFS(L969&lt;=15,"Low Fare",L969&lt;=35,"Medium Fare",L969&lt;=100,"High Fare",L969&gt;=100,"Very High Fare")</f>
        <v>Low Fare</v>
      </c>
      <c r="N969" s="2">
        <v>0</v>
      </c>
      <c r="O969" s="2">
        <v>0</v>
      </c>
      <c r="P969">
        <f t="shared" si="61"/>
        <v>1</v>
      </c>
      <c r="Q969" t="str">
        <f t="shared" si="62"/>
        <v>Alone</v>
      </c>
      <c r="R969" t="str">
        <f t="shared" si="63"/>
        <v>No</v>
      </c>
      <c r="S969" t="s">
        <v>13</v>
      </c>
    </row>
    <row r="970" spans="1:19" x14ac:dyDescent="0.3">
      <c r="A970" s="1" t="s">
        <v>731</v>
      </c>
      <c r="B970" t="s">
        <v>1596</v>
      </c>
      <c r="C970" t="s">
        <v>2435</v>
      </c>
      <c r="D970" t="str">
        <f t="shared" si="60"/>
        <v>Male</v>
      </c>
      <c r="E970" t="s">
        <v>9</v>
      </c>
      <c r="F970" s="2">
        <v>19</v>
      </c>
      <c r="G970" s="2" t="str" cm="1">
        <f t="array" ref="G970">_xlfn.IFS(F970&lt;=8,"Child",F970&lt;=17,"Teen",F970&lt;=35,"Adult",F970&lt;=55,"Seniour Adult",F970&gt;=55,"Old Age")</f>
        <v>Adult</v>
      </c>
      <c r="H970" t="s">
        <v>10</v>
      </c>
      <c r="I970" t="s">
        <v>11</v>
      </c>
      <c r="J970" t="str" cm="1">
        <f t="array" ref="J970">_xlfn.IFS(I970="S","Southamptom",I970="Q","Quentown",I970="C","Cherbrug",I970="B","Cabin")</f>
        <v>Southamptom</v>
      </c>
      <c r="K970" t="s">
        <v>31</v>
      </c>
      <c r="L970" s="2">
        <v>7.1711</v>
      </c>
      <c r="M970" s="2" t="str" cm="1">
        <f t="array" ref="M970">_xlfn.IFS(L970&lt;=15,"Low Fare",L970&lt;=35,"Medium Fare",L970&lt;=100,"High Fare",L970&gt;=100,"Very High Fare")</f>
        <v>Low Fare</v>
      </c>
      <c r="N970" s="2">
        <v>0</v>
      </c>
      <c r="O970" s="2">
        <v>0</v>
      </c>
      <c r="P970">
        <f t="shared" si="61"/>
        <v>1</v>
      </c>
      <c r="Q970" t="str">
        <f t="shared" si="62"/>
        <v>Alone</v>
      </c>
      <c r="R970" t="str">
        <f t="shared" si="63"/>
        <v>No</v>
      </c>
      <c r="S970" t="s">
        <v>13</v>
      </c>
    </row>
    <row r="971" spans="1:19" x14ac:dyDescent="0.3">
      <c r="A971" s="1" t="s">
        <v>731</v>
      </c>
      <c r="B971" t="s">
        <v>1596</v>
      </c>
      <c r="C971" t="s">
        <v>2436</v>
      </c>
      <c r="D971" t="str">
        <f t="shared" si="60"/>
        <v>Male</v>
      </c>
      <c r="E971" t="s">
        <v>9</v>
      </c>
      <c r="F971" s="2">
        <v>29</v>
      </c>
      <c r="G971" s="2" t="str" cm="1">
        <f t="array" ref="G971">_xlfn.IFS(F971&lt;=8,"Child",F971&lt;=17,"Teen",F971&lt;=35,"Adult",F971&lt;=55,"Seniour Adult",F971&gt;=55,"Old Age")</f>
        <v>Adult</v>
      </c>
      <c r="H971" t="s">
        <v>10</v>
      </c>
      <c r="I971" t="s">
        <v>11</v>
      </c>
      <c r="J971" t="str" cm="1">
        <f t="array" ref="J971">_xlfn.IFS(I971="S","Southamptom",I971="Q","Quentown",I971="C","Cherbrug",I971="B","Cabin")</f>
        <v>Southamptom</v>
      </c>
      <c r="K971" t="s">
        <v>31</v>
      </c>
      <c r="L971" s="2">
        <v>7.1711</v>
      </c>
      <c r="M971" s="2" t="str" cm="1">
        <f t="array" ref="M971">_xlfn.IFS(L971&lt;=15,"Low Fare",L971&lt;=35,"Medium Fare",L971&lt;=100,"High Fare",L971&gt;=100,"Very High Fare")</f>
        <v>Low Fare</v>
      </c>
      <c r="N971" s="2">
        <v>0</v>
      </c>
      <c r="O971" s="2">
        <v>0</v>
      </c>
      <c r="P971">
        <f t="shared" si="61"/>
        <v>1</v>
      </c>
      <c r="Q971" t="str">
        <f t="shared" si="62"/>
        <v>Alone</v>
      </c>
      <c r="R971" t="str">
        <f t="shared" si="63"/>
        <v>No</v>
      </c>
      <c r="S971" t="s">
        <v>13</v>
      </c>
    </row>
    <row r="972" spans="1:19" x14ac:dyDescent="0.3">
      <c r="A972" s="1" t="s">
        <v>732</v>
      </c>
      <c r="B972" t="s">
        <v>1602</v>
      </c>
      <c r="C972" t="s">
        <v>2437</v>
      </c>
      <c r="D972" t="str">
        <f t="shared" si="60"/>
        <v>Female</v>
      </c>
      <c r="E972" t="s">
        <v>14</v>
      </c>
      <c r="F972" s="2">
        <v>18</v>
      </c>
      <c r="G972" s="2" t="str" cm="1">
        <f t="array" ref="G972">_xlfn.IFS(F972&lt;=8,"Child",F972&lt;=17,"Teen",F972&lt;=35,"Adult",F972&lt;=55,"Seniour Adult",F972&gt;=55,"Old Age")</f>
        <v>Adult</v>
      </c>
      <c r="H972" t="s">
        <v>10</v>
      </c>
      <c r="I972" t="s">
        <v>11</v>
      </c>
      <c r="J972" t="str" cm="1">
        <f t="array" ref="J972">_xlfn.IFS(I972="S","Southamptom",I972="Q","Quentown",I972="C","Cherbrug",I972="B","Cabin")</f>
        <v>Southamptom</v>
      </c>
      <c r="K972" t="s">
        <v>23</v>
      </c>
      <c r="L972" s="2">
        <v>7.1505999999999998</v>
      </c>
      <c r="M972" s="2" t="str" cm="1">
        <f t="array" ref="M972">_xlfn.IFS(L972&lt;=15,"Low Fare",L972&lt;=35,"Medium Fare",L972&lt;=100,"High Fare",L972&gt;=100,"Very High Fare")</f>
        <v>Low Fare</v>
      </c>
      <c r="N972" s="2">
        <v>0</v>
      </c>
      <c r="O972" s="2">
        <v>0</v>
      </c>
      <c r="P972">
        <f t="shared" si="61"/>
        <v>1</v>
      </c>
      <c r="Q972" t="str">
        <f t="shared" si="62"/>
        <v>Alone</v>
      </c>
      <c r="R972" t="str">
        <f t="shared" si="63"/>
        <v>No</v>
      </c>
      <c r="S972" t="s">
        <v>13</v>
      </c>
    </row>
    <row r="973" spans="1:19" x14ac:dyDescent="0.3">
      <c r="A973" s="1" t="s">
        <v>732</v>
      </c>
      <c r="B973" t="s">
        <v>1596</v>
      </c>
      <c r="C973" t="s">
        <v>2438</v>
      </c>
      <c r="D973" t="str">
        <f t="shared" si="60"/>
        <v>Male</v>
      </c>
      <c r="E973" t="s">
        <v>9</v>
      </c>
      <c r="F973" s="2">
        <v>25</v>
      </c>
      <c r="G973" s="2" t="str" cm="1">
        <f t="array" ref="G973">_xlfn.IFS(F973&lt;=8,"Child",F973&lt;=17,"Teen",F973&lt;=35,"Adult",F973&lt;=55,"Seniour Adult",F973&gt;=55,"Old Age")</f>
        <v>Adult</v>
      </c>
      <c r="H973" t="s">
        <v>10</v>
      </c>
      <c r="I973" t="s">
        <v>11</v>
      </c>
      <c r="J973" t="str" cm="1">
        <f t="array" ref="J973">_xlfn.IFS(I973="S","Southamptom",I973="Q","Quentown",I973="C","Cherbrug",I973="B","Cabin")</f>
        <v>Southamptom</v>
      </c>
      <c r="K973" t="s">
        <v>23</v>
      </c>
      <c r="L973" s="2">
        <v>7.1505999999999998</v>
      </c>
      <c r="M973" s="2" t="str" cm="1">
        <f t="array" ref="M973">_xlfn.IFS(L973&lt;=15,"Low Fare",L973&lt;=35,"Medium Fare",L973&lt;=100,"High Fare",L973&gt;=100,"Very High Fare")</f>
        <v>Low Fare</v>
      </c>
      <c r="N973" s="2">
        <v>1</v>
      </c>
      <c r="O973" s="2">
        <v>0</v>
      </c>
      <c r="P973">
        <f t="shared" si="61"/>
        <v>2</v>
      </c>
      <c r="Q973" t="str">
        <f t="shared" si="62"/>
        <v>With Family</v>
      </c>
      <c r="R973" t="str">
        <f t="shared" si="63"/>
        <v>No</v>
      </c>
      <c r="S973" t="s">
        <v>13</v>
      </c>
    </row>
    <row r="974" spans="1:19" x14ac:dyDescent="0.3">
      <c r="A974" s="1" t="s">
        <v>733</v>
      </c>
      <c r="B974" t="s">
        <v>1775</v>
      </c>
      <c r="C974" t="s">
        <v>2439</v>
      </c>
      <c r="D974" t="str">
        <f t="shared" si="60"/>
        <v>Male</v>
      </c>
      <c r="E974" t="s">
        <v>9</v>
      </c>
      <c r="F974" s="2">
        <v>52</v>
      </c>
      <c r="G974" s="2" t="str" cm="1">
        <f t="array" ref="G974">_xlfn.IFS(F974&lt;=8,"Child",F974&lt;=17,"Teen",F974&lt;=35,"Adult",F974&lt;=55,"Seniour Adult",F974&gt;=55,"Old Age")</f>
        <v>Seniour Adult</v>
      </c>
      <c r="H974" t="s">
        <v>25</v>
      </c>
      <c r="I974" t="s">
        <v>11</v>
      </c>
      <c r="J974" t="str" cm="1">
        <f t="array" ref="J974">_xlfn.IFS(I974="S","Southamptom",I974="Q","Quentown",I974="C","Cherbrug",I974="B","Cabin")</f>
        <v>Southamptom</v>
      </c>
      <c r="K974" t="s">
        <v>26</v>
      </c>
      <c r="L974" s="2">
        <v>30.1</v>
      </c>
      <c r="M974" s="2" t="str" cm="1">
        <f t="array" ref="M974">_xlfn.IFS(L974&lt;=15,"Low Fare",L974&lt;=35,"Medium Fare",L974&lt;=100,"High Fare",L974&gt;=100,"Very High Fare")</f>
        <v>Medium Fare</v>
      </c>
      <c r="N974" s="2">
        <v>0</v>
      </c>
      <c r="O974" s="2">
        <v>0</v>
      </c>
      <c r="P974">
        <f t="shared" si="61"/>
        <v>1</v>
      </c>
      <c r="Q974" t="str">
        <f t="shared" si="62"/>
        <v>Alone</v>
      </c>
      <c r="R974" t="str">
        <f t="shared" si="63"/>
        <v>Yes</v>
      </c>
      <c r="S974" t="s">
        <v>16</v>
      </c>
    </row>
    <row r="975" spans="1:19" x14ac:dyDescent="0.3">
      <c r="A975" s="1" t="s">
        <v>734</v>
      </c>
      <c r="B975" t="s">
        <v>1602</v>
      </c>
      <c r="C975" t="s">
        <v>2440</v>
      </c>
      <c r="D975" t="str">
        <f t="shared" si="60"/>
        <v>Female</v>
      </c>
      <c r="E975" t="s">
        <v>14</v>
      </c>
      <c r="F975" s="2">
        <v>21</v>
      </c>
      <c r="G975" s="2" t="str" cm="1">
        <f t="array" ref="G975">_xlfn.IFS(F975&lt;=8,"Child",F975&lt;=17,"Teen",F975&lt;=35,"Adult",F975&lt;=55,"Seniour Adult",F975&gt;=55,"Old Age")</f>
        <v>Adult</v>
      </c>
      <c r="H975" t="s">
        <v>18</v>
      </c>
      <c r="I975" t="s">
        <v>11</v>
      </c>
      <c r="J975" t="str" cm="1">
        <f t="array" ref="J975">_xlfn.IFS(I975="S","Southamptom",I975="Q","Quentown",I975="C","Cherbrug",I975="B","Cabin")</f>
        <v>Southamptom</v>
      </c>
      <c r="K975" t="s">
        <v>15</v>
      </c>
      <c r="L975" s="2">
        <v>21</v>
      </c>
      <c r="M975" s="2" t="str" cm="1">
        <f t="array" ref="M975">_xlfn.IFS(L975&lt;=15,"Low Fare",L975&lt;=35,"Medium Fare",L975&lt;=100,"High Fare",L975&gt;=100,"Very High Fare")</f>
        <v>Medium Fare</v>
      </c>
      <c r="N975" s="2">
        <v>0</v>
      </c>
      <c r="O975" s="2">
        <v>1</v>
      </c>
      <c r="P975">
        <f t="shared" si="61"/>
        <v>2</v>
      </c>
      <c r="Q975" t="str">
        <f t="shared" si="62"/>
        <v>With Family</v>
      </c>
      <c r="R975" t="str">
        <f t="shared" si="63"/>
        <v>Yes</v>
      </c>
      <c r="S975" t="s">
        <v>16</v>
      </c>
    </row>
    <row r="976" spans="1:19" x14ac:dyDescent="0.3">
      <c r="A976" s="1" t="s">
        <v>734</v>
      </c>
      <c r="B976" t="s">
        <v>1602</v>
      </c>
      <c r="C976" t="s">
        <v>2441</v>
      </c>
      <c r="D976" t="str">
        <f t="shared" si="60"/>
        <v>Female</v>
      </c>
      <c r="E976" t="s">
        <v>14</v>
      </c>
      <c r="F976" s="2">
        <v>19</v>
      </c>
      <c r="G976" s="2" t="str" cm="1">
        <f t="array" ref="G976">_xlfn.IFS(F976&lt;=8,"Child",F976&lt;=17,"Teen",F976&lt;=35,"Adult",F976&lt;=55,"Seniour Adult",F976&gt;=55,"Old Age")</f>
        <v>Adult</v>
      </c>
      <c r="H976" t="s">
        <v>18</v>
      </c>
      <c r="I976" t="s">
        <v>11</v>
      </c>
      <c r="J976" t="str" cm="1">
        <f t="array" ref="J976">_xlfn.IFS(I976="S","Southamptom",I976="Q","Quentown",I976="C","Cherbrug",I976="B","Cabin")</f>
        <v>Southamptom</v>
      </c>
      <c r="K976" t="s">
        <v>15</v>
      </c>
      <c r="L976" s="2">
        <v>26</v>
      </c>
      <c r="M976" s="2" t="str" cm="1">
        <f t="array" ref="M976">_xlfn.IFS(L976&lt;=15,"Low Fare",L976&lt;=35,"Medium Fare",L976&lt;=100,"High Fare",L976&gt;=100,"Very High Fare")</f>
        <v>Medium Fare</v>
      </c>
      <c r="N976" s="2">
        <v>0</v>
      </c>
      <c r="O976" s="2">
        <v>0</v>
      </c>
      <c r="P976">
        <f t="shared" si="61"/>
        <v>1</v>
      </c>
      <c r="Q976" t="str">
        <f t="shared" si="62"/>
        <v>Alone</v>
      </c>
      <c r="R976" t="str">
        <f t="shared" si="63"/>
        <v>Yes</v>
      </c>
      <c r="S976" t="s">
        <v>16</v>
      </c>
    </row>
    <row r="977" spans="1:19" x14ac:dyDescent="0.3">
      <c r="A977" s="1" t="s">
        <v>734</v>
      </c>
      <c r="B977" t="s">
        <v>1596</v>
      </c>
      <c r="C977" t="s">
        <v>2442</v>
      </c>
      <c r="D977" t="str">
        <f t="shared" si="60"/>
        <v>Male</v>
      </c>
      <c r="E977" t="s">
        <v>9</v>
      </c>
      <c r="F977" s="2">
        <v>43</v>
      </c>
      <c r="G977" s="2" t="str" cm="1">
        <f t="array" ref="G977">_xlfn.IFS(F977&lt;=8,"Child",F977&lt;=17,"Teen",F977&lt;=35,"Adult",F977&lt;=55,"Seniour Adult",F977&gt;=55,"Old Age")</f>
        <v>Seniour Adult</v>
      </c>
      <c r="H977" t="s">
        <v>18</v>
      </c>
      <c r="I977" t="s">
        <v>11</v>
      </c>
      <c r="J977" t="str" cm="1">
        <f t="array" ref="J977">_xlfn.IFS(I977="S","Southamptom",I977="Q","Quentown",I977="C","Cherbrug",I977="B","Cabin")</f>
        <v>Southamptom</v>
      </c>
      <c r="K977" t="s">
        <v>15</v>
      </c>
      <c r="L977" s="2">
        <v>21</v>
      </c>
      <c r="M977" s="2" t="str" cm="1">
        <f t="array" ref="M977">_xlfn.IFS(L977&lt;=15,"Low Fare",L977&lt;=35,"Medium Fare",L977&lt;=100,"High Fare",L977&gt;=100,"Very High Fare")</f>
        <v>Medium Fare</v>
      </c>
      <c r="N977" s="2">
        <v>0</v>
      </c>
      <c r="O977" s="2">
        <v>1</v>
      </c>
      <c r="P977">
        <f t="shared" si="61"/>
        <v>2</v>
      </c>
      <c r="Q977" t="str">
        <f t="shared" si="62"/>
        <v>With Family</v>
      </c>
      <c r="R977" t="str">
        <f t="shared" si="63"/>
        <v>No</v>
      </c>
      <c r="S977" t="s">
        <v>13</v>
      </c>
    </row>
    <row r="978" spans="1:19" x14ac:dyDescent="0.3">
      <c r="A978" s="1" t="s">
        <v>735</v>
      </c>
      <c r="B978" t="s">
        <v>1596</v>
      </c>
      <c r="C978" t="s">
        <v>2443</v>
      </c>
      <c r="D978" t="str">
        <f t="shared" si="60"/>
        <v>Male</v>
      </c>
      <c r="E978" t="s">
        <v>9</v>
      </c>
      <c r="F978" s="2">
        <v>33</v>
      </c>
      <c r="G978" s="2" t="str" cm="1">
        <f t="array" ref="G978">_xlfn.IFS(F978&lt;=8,"Child",F978&lt;=17,"Teen",F978&lt;=35,"Adult",F978&lt;=55,"Seniour Adult",F978&gt;=55,"Old Age")</f>
        <v>Adult</v>
      </c>
      <c r="H978" t="s">
        <v>10</v>
      </c>
      <c r="I978" t="s">
        <v>11</v>
      </c>
      <c r="J978" t="str" cm="1">
        <f t="array" ref="J978">_xlfn.IFS(I978="S","Southamptom",I978="Q","Quentown",I978="C","Cherbrug",I978="B","Cabin")</f>
        <v>Southamptom</v>
      </c>
      <c r="K978" t="s">
        <v>47</v>
      </c>
      <c r="L978" s="2">
        <v>8.01</v>
      </c>
      <c r="M978" s="2" t="str" cm="1">
        <f t="array" ref="M978">_xlfn.IFS(L978&lt;=15,"Low Fare",L978&lt;=35,"Medium Fare",L978&lt;=100,"High Fare",L978&gt;=100,"Very High Fare")</f>
        <v>Low Fare</v>
      </c>
      <c r="N978" s="2">
        <v>0</v>
      </c>
      <c r="O978" s="2">
        <v>0</v>
      </c>
      <c r="P978">
        <f t="shared" si="61"/>
        <v>1</v>
      </c>
      <c r="Q978" t="str">
        <f t="shared" si="62"/>
        <v>Alone</v>
      </c>
      <c r="R978" t="str">
        <f t="shared" si="63"/>
        <v>Yes</v>
      </c>
      <c r="S978" t="s">
        <v>16</v>
      </c>
    </row>
    <row r="979" spans="1:19" x14ac:dyDescent="0.3">
      <c r="A979" s="1" t="s">
        <v>736</v>
      </c>
      <c r="B979" t="s">
        <v>1600</v>
      </c>
      <c r="C979" t="s">
        <v>2444</v>
      </c>
      <c r="D979" t="str">
        <f t="shared" si="60"/>
        <v>Female</v>
      </c>
      <c r="E979" t="s">
        <v>14</v>
      </c>
      <c r="F979" s="2">
        <v>32</v>
      </c>
      <c r="G979" s="2" t="str" cm="1">
        <f t="array" ref="G979">_xlfn.IFS(F979&lt;=8,"Child",F979&lt;=17,"Teen",F979&lt;=35,"Adult",F979&lt;=55,"Seniour Adult",F979&gt;=55,"Old Age")</f>
        <v>Adult</v>
      </c>
      <c r="H979" t="s">
        <v>18</v>
      </c>
      <c r="I979" t="s">
        <v>11</v>
      </c>
      <c r="J979" t="str" cm="1">
        <f t="array" ref="J979">_xlfn.IFS(I979="S","Southamptom",I979="Q","Quentown",I979="C","Cherbrug",I979="B","Cabin")</f>
        <v>Southamptom</v>
      </c>
      <c r="K979" t="s">
        <v>47</v>
      </c>
      <c r="L979" s="2">
        <v>13</v>
      </c>
      <c r="M979" s="2" t="str" cm="1">
        <f t="array" ref="M979">_xlfn.IFS(L979&lt;=15,"Low Fare",L979&lt;=35,"Medium Fare",L979&lt;=100,"High Fare",L979&gt;=100,"Very High Fare")</f>
        <v>Low Fare</v>
      </c>
      <c r="N979" s="2">
        <v>0</v>
      </c>
      <c r="O979" s="2">
        <v>0</v>
      </c>
      <c r="P979">
        <f t="shared" si="61"/>
        <v>1</v>
      </c>
      <c r="Q979" t="str">
        <f t="shared" si="62"/>
        <v>Alone</v>
      </c>
      <c r="R979" t="str">
        <f t="shared" si="63"/>
        <v>Yes</v>
      </c>
      <c r="S979" t="s">
        <v>16</v>
      </c>
    </row>
    <row r="980" spans="1:19" x14ac:dyDescent="0.3">
      <c r="A980" s="1" t="s">
        <v>737</v>
      </c>
      <c r="B980" t="s">
        <v>1596</v>
      </c>
      <c r="C980" t="s">
        <v>2445</v>
      </c>
      <c r="D980" t="str">
        <f t="shared" si="60"/>
        <v>Male</v>
      </c>
      <c r="E980" t="s">
        <v>9</v>
      </c>
      <c r="F980" s="2">
        <v>27</v>
      </c>
      <c r="G980" s="2" t="str" cm="1">
        <f t="array" ref="G980">_xlfn.IFS(F980&lt;=8,"Child",F980&lt;=17,"Teen",F980&lt;=35,"Adult",F980&lt;=55,"Seniour Adult",F980&gt;=55,"Old Age")</f>
        <v>Adult</v>
      </c>
      <c r="H980" t="s">
        <v>10</v>
      </c>
      <c r="I980" t="s">
        <v>11</v>
      </c>
      <c r="J980" t="str" cm="1">
        <f t="array" ref="J980">_xlfn.IFS(I980="S","Southamptom",I980="Q","Quentown",I980="C","Cherbrug",I980="B","Cabin")</f>
        <v>Southamptom</v>
      </c>
      <c r="K980" t="s">
        <v>15</v>
      </c>
      <c r="L980" s="2">
        <v>7.1711</v>
      </c>
      <c r="M980" s="2" t="str" cm="1">
        <f t="array" ref="M980">_xlfn.IFS(L980&lt;=15,"Low Fare",L980&lt;=35,"Medium Fare",L980&lt;=100,"High Fare",L980&gt;=100,"Very High Fare")</f>
        <v>Low Fare</v>
      </c>
      <c r="N980" s="2">
        <v>0</v>
      </c>
      <c r="O980" s="2">
        <v>0</v>
      </c>
      <c r="P980">
        <f t="shared" si="61"/>
        <v>1</v>
      </c>
      <c r="Q980" t="str">
        <f t="shared" si="62"/>
        <v>Alone</v>
      </c>
      <c r="R980" t="str">
        <f t="shared" si="63"/>
        <v>No</v>
      </c>
      <c r="S980" t="s">
        <v>13</v>
      </c>
    </row>
    <row r="981" spans="1:19" x14ac:dyDescent="0.3">
      <c r="A981" s="1" t="s">
        <v>738</v>
      </c>
      <c r="B981" t="s">
        <v>1596</v>
      </c>
      <c r="C981" t="s">
        <v>2446</v>
      </c>
      <c r="D981" t="str">
        <f t="shared" si="60"/>
        <v>Male</v>
      </c>
      <c r="E981" t="s">
        <v>9</v>
      </c>
      <c r="F981" s="2">
        <v>17</v>
      </c>
      <c r="G981" s="2" t="str" cm="1">
        <f t="array" ref="G981">_xlfn.IFS(F981&lt;=8,"Child",F981&lt;=17,"Teen",F981&lt;=35,"Adult",F981&lt;=55,"Seniour Adult",F981&gt;=55,"Old Age")</f>
        <v>Teen</v>
      </c>
      <c r="H981" t="s">
        <v>10</v>
      </c>
      <c r="I981" t="s">
        <v>11</v>
      </c>
      <c r="J981" t="str" cm="1">
        <f t="array" ref="J981">_xlfn.IFS(I981="S","Southamptom",I981="Q","Quentown",I981="C","Cherbrug",I981="B","Cabin")</f>
        <v>Southamptom</v>
      </c>
      <c r="K981" t="s">
        <v>65</v>
      </c>
      <c r="L981" s="2">
        <v>8.1303000000000001</v>
      </c>
      <c r="M981" s="2" t="str" cm="1">
        <f t="array" ref="M981">_xlfn.IFS(L981&lt;=15,"Low Fare",L981&lt;=35,"Medium Fare",L981&lt;=100,"High Fare",L981&gt;=100,"Very High Fare")</f>
        <v>Low Fare</v>
      </c>
      <c r="N981" s="2">
        <v>0</v>
      </c>
      <c r="O981" s="2">
        <v>0</v>
      </c>
      <c r="P981">
        <f t="shared" si="61"/>
        <v>1</v>
      </c>
      <c r="Q981" t="str">
        <f t="shared" si="62"/>
        <v>Alone</v>
      </c>
      <c r="R981" t="str">
        <f t="shared" si="63"/>
        <v>No</v>
      </c>
      <c r="S981" t="s">
        <v>13</v>
      </c>
    </row>
    <row r="982" spans="1:19" x14ac:dyDescent="0.3">
      <c r="A982" s="1" t="s">
        <v>738</v>
      </c>
      <c r="B982" t="s">
        <v>1596</v>
      </c>
      <c r="C982" t="s">
        <v>2447</v>
      </c>
      <c r="D982" t="str">
        <f t="shared" si="60"/>
        <v>Male</v>
      </c>
      <c r="E982" t="s">
        <v>9</v>
      </c>
      <c r="F982" s="2">
        <v>24</v>
      </c>
      <c r="G982" s="2" t="str" cm="1">
        <f t="array" ref="G982">_xlfn.IFS(F982&lt;=8,"Child",F982&lt;=17,"Teen",F982&lt;=35,"Adult",F982&lt;=55,"Seniour Adult",F982&gt;=55,"Old Age")</f>
        <v>Adult</v>
      </c>
      <c r="H982" t="s">
        <v>10</v>
      </c>
      <c r="I982" t="s">
        <v>11</v>
      </c>
      <c r="J982" t="str" cm="1">
        <f t="array" ref="J982">_xlfn.IFS(I982="S","Southamptom",I982="Q","Quentown",I982="C","Cherbrug",I982="B","Cabin")</f>
        <v>Southamptom</v>
      </c>
      <c r="K982" t="s">
        <v>65</v>
      </c>
      <c r="L982" s="2">
        <v>8.1303000000000001</v>
      </c>
      <c r="M982" s="2" t="str" cm="1">
        <f t="array" ref="M982">_xlfn.IFS(L982&lt;=15,"Low Fare",L982&lt;=35,"Medium Fare",L982&lt;=100,"High Fare",L982&gt;=100,"Very High Fare")</f>
        <v>Low Fare</v>
      </c>
      <c r="N982" s="2">
        <v>0</v>
      </c>
      <c r="O982" s="2">
        <v>0</v>
      </c>
      <c r="P982">
        <f t="shared" si="61"/>
        <v>1</v>
      </c>
      <c r="Q982" t="str">
        <f t="shared" si="62"/>
        <v>Alone</v>
      </c>
      <c r="R982" t="str">
        <f t="shared" si="63"/>
        <v>No</v>
      </c>
      <c r="S982" t="s">
        <v>13</v>
      </c>
    </row>
    <row r="983" spans="1:19" x14ac:dyDescent="0.3">
      <c r="A983" s="1" t="s">
        <v>739</v>
      </c>
      <c r="B983" t="s">
        <v>1596</v>
      </c>
      <c r="C983" t="s">
        <v>2002</v>
      </c>
      <c r="D983" t="str">
        <f t="shared" si="60"/>
        <v>Male</v>
      </c>
      <c r="E983" t="s">
        <v>9</v>
      </c>
      <c r="F983" s="2">
        <v>24</v>
      </c>
      <c r="G983" s="2" t="str" cm="1">
        <f t="array" ref="G983">_xlfn.IFS(F983&lt;=8,"Child",F983&lt;=17,"Teen",F983&lt;=35,"Adult",F983&lt;=55,"Seniour Adult",F983&gt;=55,"Old Age")</f>
        <v>Adult</v>
      </c>
      <c r="H983" t="s">
        <v>18</v>
      </c>
      <c r="I983" t="s">
        <v>11</v>
      </c>
      <c r="J983" t="str" cm="1">
        <f t="array" ref="J983">_xlfn.IFS(I983="S","Southamptom",I983="Q","Quentown",I983="C","Cherbrug",I983="B","Cabin")</f>
        <v>Southamptom</v>
      </c>
      <c r="K983" t="s">
        <v>15</v>
      </c>
      <c r="L983" s="2">
        <v>13</v>
      </c>
      <c r="M983" s="2" t="str" cm="1">
        <f t="array" ref="M983">_xlfn.IFS(L983&lt;=15,"Low Fare",L983&lt;=35,"Medium Fare",L983&lt;=100,"High Fare",L983&gt;=100,"Very High Fare")</f>
        <v>Low Fare</v>
      </c>
      <c r="N983" s="2">
        <v>0</v>
      </c>
      <c r="O983" s="2">
        <v>0</v>
      </c>
      <c r="P983">
        <f t="shared" si="61"/>
        <v>1</v>
      </c>
      <c r="Q983" t="str">
        <f t="shared" si="62"/>
        <v>Alone</v>
      </c>
      <c r="R983" t="str">
        <f t="shared" si="63"/>
        <v>No</v>
      </c>
      <c r="S983" t="s">
        <v>13</v>
      </c>
    </row>
    <row r="984" spans="1:19" x14ac:dyDescent="0.3">
      <c r="A984" s="1" t="s">
        <v>740</v>
      </c>
      <c r="B984" t="s">
        <v>1596</v>
      </c>
      <c r="C984" t="s">
        <v>2448</v>
      </c>
      <c r="D984" t="str">
        <f t="shared" si="60"/>
        <v>Male</v>
      </c>
      <c r="E984" t="s">
        <v>9</v>
      </c>
      <c r="F984" s="2">
        <v>30</v>
      </c>
      <c r="G984" s="2" t="str" cm="1">
        <f t="array" ref="G984">_xlfn.IFS(F984&lt;=8,"Child",F984&lt;=17,"Teen",F984&lt;=35,"Adult",F984&lt;=55,"Seniour Adult",F984&gt;=55,"Old Age")</f>
        <v>Adult</v>
      </c>
      <c r="H984" t="s">
        <v>18</v>
      </c>
      <c r="I984" t="s">
        <v>19</v>
      </c>
      <c r="J984" t="str" cm="1">
        <f t="array" ref="J984">_xlfn.IFS(I984="S","Southamptom",I984="Q","Quentown",I984="C","Cherbrug",I984="B","Cabin")</f>
        <v>Cherbrug</v>
      </c>
      <c r="K984" t="s">
        <v>12</v>
      </c>
      <c r="L984" s="2">
        <v>12.1409</v>
      </c>
      <c r="M984" s="2" t="str" cm="1">
        <f t="array" ref="M984">_xlfn.IFS(L984&lt;=15,"Low Fare",L984&lt;=35,"Medium Fare",L984&lt;=100,"High Fare",L984&gt;=100,"Very High Fare")</f>
        <v>Low Fare</v>
      </c>
      <c r="N984" s="2">
        <v>0</v>
      </c>
      <c r="O984" s="2">
        <v>0</v>
      </c>
      <c r="P984">
        <f t="shared" si="61"/>
        <v>1</v>
      </c>
      <c r="Q984" t="str">
        <f t="shared" si="62"/>
        <v>Alone</v>
      </c>
      <c r="R984" t="str">
        <f t="shared" si="63"/>
        <v>Yes</v>
      </c>
      <c r="S984" t="s">
        <v>16</v>
      </c>
    </row>
    <row r="985" spans="1:19" x14ac:dyDescent="0.3">
      <c r="A985" s="1" t="s">
        <v>741</v>
      </c>
      <c r="B985" t="s">
        <v>1596</v>
      </c>
      <c r="C985" t="s">
        <v>2449</v>
      </c>
      <c r="D985" t="str">
        <f t="shared" si="60"/>
        <v>Male</v>
      </c>
      <c r="E985" t="s">
        <v>9</v>
      </c>
      <c r="F985" s="2">
        <v>46</v>
      </c>
      <c r="G985" s="2" t="str" cm="1">
        <f t="array" ref="G985">_xlfn.IFS(F985&lt;=8,"Child",F985&lt;=17,"Teen",F985&lt;=35,"Adult",F985&lt;=55,"Seniour Adult",F985&gt;=55,"Old Age")</f>
        <v>Seniour Adult</v>
      </c>
      <c r="H985" t="s">
        <v>25</v>
      </c>
      <c r="I985" t="s">
        <v>11</v>
      </c>
      <c r="J985" t="str" cm="1">
        <f t="array" ref="J985">_xlfn.IFS(I985="S","Southamptom",I985="Q","Quentown",I985="C","Cherbrug",I985="B","Cabin")</f>
        <v>Southamptom</v>
      </c>
      <c r="K985" t="s">
        <v>12</v>
      </c>
      <c r="L985" s="2">
        <v>52</v>
      </c>
      <c r="M985" s="2" t="str" cm="1">
        <f t="array" ref="M985">_xlfn.IFS(L985&lt;=15,"Low Fare",L985&lt;=35,"Medium Fare",L985&lt;=100,"High Fare",L985&gt;=100,"Very High Fare")</f>
        <v>High Fare</v>
      </c>
      <c r="N985" s="2">
        <v>0</v>
      </c>
      <c r="O985" s="2">
        <v>0</v>
      </c>
      <c r="P985">
        <f t="shared" si="61"/>
        <v>1</v>
      </c>
      <c r="Q985" t="str">
        <f t="shared" si="62"/>
        <v>Alone</v>
      </c>
      <c r="R985" t="str">
        <f t="shared" si="63"/>
        <v>No</v>
      </c>
      <c r="S985" t="s">
        <v>13</v>
      </c>
    </row>
    <row r="986" spans="1:19" x14ac:dyDescent="0.3">
      <c r="A986" s="1" t="s">
        <v>742</v>
      </c>
      <c r="B986" t="s">
        <v>1600</v>
      </c>
      <c r="C986" t="s">
        <v>2450</v>
      </c>
      <c r="D986" t="str">
        <f t="shared" si="60"/>
        <v>Female</v>
      </c>
      <c r="E986" t="s">
        <v>14</v>
      </c>
      <c r="F986" s="2">
        <v>56</v>
      </c>
      <c r="G986" s="2" t="str" cm="1">
        <f t="array" ref="G986">_xlfn.IFS(F986&lt;=8,"Child",F986&lt;=17,"Teen",F986&lt;=35,"Adult",F986&lt;=55,"Seniour Adult",F986&gt;=55,"Old Age")</f>
        <v>Old Age</v>
      </c>
      <c r="H986" t="s">
        <v>25</v>
      </c>
      <c r="I986" t="s">
        <v>19</v>
      </c>
      <c r="J986" t="str" cm="1">
        <f t="array" ref="J986">_xlfn.IFS(I986="S","Southamptom",I986="Q","Quentown",I986="C","Cherbrug",I986="B","Cabin")</f>
        <v>Cherbrug</v>
      </c>
      <c r="K986" t="s">
        <v>12</v>
      </c>
      <c r="L986" s="2">
        <v>83.030199999999994</v>
      </c>
      <c r="M986" s="2" t="str" cm="1">
        <f t="array" ref="M986">_xlfn.IFS(L986&lt;=15,"Low Fare",L986&lt;=35,"Medium Fare",L986&lt;=100,"High Fare",L986&gt;=100,"Very High Fare")</f>
        <v>High Fare</v>
      </c>
      <c r="N986" s="2">
        <v>0</v>
      </c>
      <c r="O986" s="2">
        <v>1</v>
      </c>
      <c r="P986">
        <f t="shared" si="61"/>
        <v>2</v>
      </c>
      <c r="Q986" t="str">
        <f t="shared" si="62"/>
        <v>With Family</v>
      </c>
      <c r="R986" t="str">
        <f t="shared" si="63"/>
        <v>Yes</v>
      </c>
      <c r="S986" t="s">
        <v>16</v>
      </c>
    </row>
    <row r="987" spans="1:19" x14ac:dyDescent="0.3">
      <c r="A987" s="1" t="s">
        <v>743</v>
      </c>
      <c r="B987" t="s">
        <v>1596</v>
      </c>
      <c r="C987" t="s">
        <v>2182</v>
      </c>
      <c r="D987" t="str">
        <f t="shared" si="60"/>
        <v>Male</v>
      </c>
      <c r="E987" t="s">
        <v>9</v>
      </c>
      <c r="F987" s="2">
        <v>27</v>
      </c>
      <c r="G987" s="2" t="str" cm="1">
        <f t="array" ref="G987">_xlfn.IFS(F987&lt;=8,"Child",F987&lt;=17,"Teen",F987&lt;=35,"Adult",F987&lt;=55,"Seniour Adult",F987&gt;=55,"Old Age")</f>
        <v>Adult</v>
      </c>
      <c r="H987" t="s">
        <v>18</v>
      </c>
      <c r="I987" t="s">
        <v>19</v>
      </c>
      <c r="J987" t="str" cm="1">
        <f t="array" ref="J987">_xlfn.IFS(I987="S","Southamptom",I987="Q","Quentown",I987="C","Cherbrug",I987="B","Cabin")</f>
        <v>Cherbrug</v>
      </c>
      <c r="K987" t="s">
        <v>12</v>
      </c>
      <c r="L987" s="2">
        <v>15</v>
      </c>
      <c r="M987" s="2" t="str" cm="1">
        <f t="array" ref="M987">_xlfn.IFS(L987&lt;=15,"Low Fare",L987&lt;=35,"Medium Fare",L987&lt;=100,"High Fare",L987&gt;=100,"Very High Fare")</f>
        <v>Low Fare</v>
      </c>
      <c r="N987" s="2">
        <v>0</v>
      </c>
      <c r="O987" s="2">
        <v>0</v>
      </c>
      <c r="P987">
        <f t="shared" si="61"/>
        <v>1</v>
      </c>
      <c r="Q987" t="str">
        <f t="shared" si="62"/>
        <v>Alone</v>
      </c>
      <c r="R987" t="str">
        <f t="shared" si="63"/>
        <v>No</v>
      </c>
      <c r="S987" t="s">
        <v>13</v>
      </c>
    </row>
    <row r="988" spans="1:19" x14ac:dyDescent="0.3">
      <c r="A988" s="1" t="s">
        <v>744</v>
      </c>
      <c r="B988" t="s">
        <v>1596</v>
      </c>
      <c r="C988" t="s">
        <v>2451</v>
      </c>
      <c r="D988" t="str">
        <f t="shared" si="60"/>
        <v>Male</v>
      </c>
      <c r="E988" t="s">
        <v>9</v>
      </c>
      <c r="F988" s="2">
        <v>16</v>
      </c>
      <c r="G988" s="2" t="str" cm="1">
        <f t="array" ref="G988">_xlfn.IFS(F988&lt;=8,"Child",F988&lt;=17,"Teen",F988&lt;=35,"Adult",F988&lt;=55,"Seniour Adult",F988&gt;=55,"Old Age")</f>
        <v>Teen</v>
      </c>
      <c r="H988" t="s">
        <v>10</v>
      </c>
      <c r="I988" t="s">
        <v>19</v>
      </c>
      <c r="J988" t="str" cm="1">
        <f t="array" ref="J988">_xlfn.IFS(I988="S","Southamptom",I988="Q","Quentown",I988="C","Cherbrug",I988="B","Cabin")</f>
        <v>Cherbrug</v>
      </c>
      <c r="K988" t="s">
        <v>15</v>
      </c>
      <c r="L988" s="2">
        <v>8.1402999999999999</v>
      </c>
      <c r="M988" s="2" t="str" cm="1">
        <f t="array" ref="M988">_xlfn.IFS(L988&lt;=15,"Low Fare",L988&lt;=35,"Medium Fare",L988&lt;=100,"High Fare",L988&gt;=100,"Very High Fare")</f>
        <v>Low Fare</v>
      </c>
      <c r="N988" s="2">
        <v>0</v>
      </c>
      <c r="O988" s="2">
        <v>0</v>
      </c>
      <c r="P988">
        <f t="shared" si="61"/>
        <v>1</v>
      </c>
      <c r="Q988" t="str">
        <f t="shared" si="62"/>
        <v>Alone</v>
      </c>
      <c r="R988" t="str">
        <f t="shared" si="63"/>
        <v>No</v>
      </c>
      <c r="S988" t="s">
        <v>13</v>
      </c>
    </row>
    <row r="989" spans="1:19" x14ac:dyDescent="0.3">
      <c r="A989" s="1" t="s">
        <v>745</v>
      </c>
      <c r="B989" t="s">
        <v>1602</v>
      </c>
      <c r="C989" t="s">
        <v>2452</v>
      </c>
      <c r="D989" t="str">
        <f t="shared" si="60"/>
        <v>Female</v>
      </c>
      <c r="E989" t="s">
        <v>14</v>
      </c>
      <c r="F989" s="2">
        <v>2</v>
      </c>
      <c r="G989" s="2" t="str" cm="1">
        <f t="array" ref="G989">_xlfn.IFS(F989&lt;=8,"Child",F989&lt;=17,"Teen",F989&lt;=35,"Adult",F989&lt;=55,"Seniour Adult",F989&gt;=55,"Old Age")</f>
        <v>Child</v>
      </c>
      <c r="H989" t="s">
        <v>18</v>
      </c>
      <c r="I989" t="s">
        <v>11</v>
      </c>
      <c r="J989" t="str" cm="1">
        <f t="array" ref="J989">_xlfn.IFS(I989="S","Southamptom",I989="Q","Quentown",I989="C","Cherbrug",I989="B","Cabin")</f>
        <v>Southamptom</v>
      </c>
      <c r="K989" t="s">
        <v>15</v>
      </c>
      <c r="L989" s="2">
        <v>26</v>
      </c>
      <c r="M989" s="2" t="str" cm="1">
        <f t="array" ref="M989">_xlfn.IFS(L989&lt;=15,"Low Fare",L989&lt;=35,"Medium Fare",L989&lt;=100,"High Fare",L989&gt;=100,"Very High Fare")</f>
        <v>Medium Fare</v>
      </c>
      <c r="N989" s="2">
        <v>1</v>
      </c>
      <c r="O989" s="2">
        <v>1</v>
      </c>
      <c r="P989">
        <f t="shared" si="61"/>
        <v>3</v>
      </c>
      <c r="Q989" t="str">
        <f t="shared" si="62"/>
        <v>With Family</v>
      </c>
      <c r="R989" t="str">
        <f t="shared" si="63"/>
        <v>Yes</v>
      </c>
      <c r="S989" t="s">
        <v>16</v>
      </c>
    </row>
    <row r="990" spans="1:19" x14ac:dyDescent="0.3">
      <c r="A990" s="1" t="s">
        <v>745</v>
      </c>
      <c r="B990" t="s">
        <v>1602</v>
      </c>
      <c r="C990" t="s">
        <v>2453</v>
      </c>
      <c r="D990" t="str">
        <f t="shared" si="60"/>
        <v>Female</v>
      </c>
      <c r="E990" t="s">
        <v>14</v>
      </c>
      <c r="F990" s="2">
        <v>8</v>
      </c>
      <c r="G990" s="2" t="str" cm="1">
        <f t="array" ref="G990">_xlfn.IFS(F990&lt;=8,"Child",F990&lt;=17,"Teen",F990&lt;=35,"Adult",F990&lt;=55,"Seniour Adult",F990&gt;=55,"Old Age")</f>
        <v>Child</v>
      </c>
      <c r="H990" t="s">
        <v>18</v>
      </c>
      <c r="I990" t="s">
        <v>11</v>
      </c>
      <c r="J990" t="str" cm="1">
        <f t="array" ref="J990">_xlfn.IFS(I990="S","Southamptom",I990="Q","Quentown",I990="C","Cherbrug",I990="B","Cabin")</f>
        <v>Southamptom</v>
      </c>
      <c r="K990" t="s">
        <v>15</v>
      </c>
      <c r="L990" s="2">
        <v>26</v>
      </c>
      <c r="M990" s="2" t="str" cm="1">
        <f t="array" ref="M990">_xlfn.IFS(L990&lt;=15,"Low Fare",L990&lt;=35,"Medium Fare",L990&lt;=100,"High Fare",L990&gt;=100,"Very High Fare")</f>
        <v>Medium Fare</v>
      </c>
      <c r="N990" s="2">
        <v>1</v>
      </c>
      <c r="O990" s="2">
        <v>1</v>
      </c>
      <c r="P990">
        <f t="shared" si="61"/>
        <v>3</v>
      </c>
      <c r="Q990" t="str">
        <f t="shared" si="62"/>
        <v>With Family</v>
      </c>
      <c r="R990" t="str">
        <f t="shared" si="63"/>
        <v>Yes</v>
      </c>
      <c r="S990" t="s">
        <v>16</v>
      </c>
    </row>
    <row r="991" spans="1:19" x14ac:dyDescent="0.3">
      <c r="A991" s="1" t="s">
        <v>745</v>
      </c>
      <c r="B991" t="s">
        <v>1600</v>
      </c>
      <c r="C991" t="s">
        <v>1804</v>
      </c>
      <c r="D991" t="str">
        <f t="shared" si="60"/>
        <v>Female</v>
      </c>
      <c r="E991" t="s">
        <v>14</v>
      </c>
      <c r="F991" s="2">
        <v>33</v>
      </c>
      <c r="G991" s="2" t="str" cm="1">
        <f t="array" ref="G991">_xlfn.IFS(F991&lt;=8,"Child",F991&lt;=17,"Teen",F991&lt;=35,"Adult",F991&lt;=55,"Seniour Adult",F991&gt;=55,"Old Age")</f>
        <v>Adult</v>
      </c>
      <c r="H991" t="s">
        <v>18</v>
      </c>
      <c r="I991" t="s">
        <v>11</v>
      </c>
      <c r="J991" t="str" cm="1">
        <f t="array" ref="J991">_xlfn.IFS(I991="S","Southamptom",I991="Q","Quentown",I991="C","Cherbrug",I991="B","Cabin")</f>
        <v>Southamptom</v>
      </c>
      <c r="K991" t="s">
        <v>15</v>
      </c>
      <c r="L991" s="2">
        <v>26</v>
      </c>
      <c r="M991" s="2" t="str" cm="1">
        <f t="array" ref="M991">_xlfn.IFS(L991&lt;=15,"Low Fare",L991&lt;=35,"Medium Fare",L991&lt;=100,"High Fare",L991&gt;=100,"Very High Fare")</f>
        <v>Medium Fare</v>
      </c>
      <c r="N991" s="2">
        <v>0</v>
      </c>
      <c r="O991" s="2">
        <v>2</v>
      </c>
      <c r="P991">
        <f t="shared" si="61"/>
        <v>3</v>
      </c>
      <c r="Q991" t="str">
        <f t="shared" si="62"/>
        <v>With Family</v>
      </c>
      <c r="R991" t="str">
        <f t="shared" si="63"/>
        <v>Yes</v>
      </c>
      <c r="S991" t="s">
        <v>16</v>
      </c>
    </row>
    <row r="992" spans="1:19" x14ac:dyDescent="0.3">
      <c r="A992" s="1" t="s">
        <v>746</v>
      </c>
      <c r="B992" t="s">
        <v>1596</v>
      </c>
      <c r="C992" t="s">
        <v>2454</v>
      </c>
      <c r="D992" t="str">
        <f t="shared" si="60"/>
        <v>Male</v>
      </c>
      <c r="E992" t="s">
        <v>9</v>
      </c>
      <c r="F992" s="2">
        <v>27</v>
      </c>
      <c r="G992" s="2" t="str" cm="1">
        <f t="array" ref="G992">_xlfn.IFS(F992&lt;=8,"Child",F992&lt;=17,"Teen",F992&lt;=35,"Adult",F992&lt;=55,"Seniour Adult",F992&gt;=55,"Old Age")</f>
        <v>Adult</v>
      </c>
      <c r="H992" t="s">
        <v>10</v>
      </c>
      <c r="I992" t="s">
        <v>11</v>
      </c>
      <c r="J992" t="str" cm="1">
        <f t="array" ref="J992">_xlfn.IFS(I992="S","Southamptom",I992="Q","Quentown",I992="C","Cherbrug",I992="B","Cabin")</f>
        <v>Southamptom</v>
      </c>
      <c r="K992" t="s">
        <v>15</v>
      </c>
      <c r="L992" s="2">
        <v>7.1711</v>
      </c>
      <c r="M992" s="2" t="str" cm="1">
        <f t="array" ref="M992">_xlfn.IFS(L992&lt;=15,"Low Fare",L992&lt;=35,"Medium Fare",L992&lt;=100,"High Fare",L992&gt;=100,"Very High Fare")</f>
        <v>Low Fare</v>
      </c>
      <c r="N992" s="2">
        <v>0</v>
      </c>
      <c r="O992" s="2">
        <v>0</v>
      </c>
      <c r="P992">
        <f t="shared" si="61"/>
        <v>1</v>
      </c>
      <c r="Q992" t="str">
        <f t="shared" si="62"/>
        <v>Alone</v>
      </c>
      <c r="R992" t="str">
        <f t="shared" si="63"/>
        <v>No</v>
      </c>
      <c r="S992" t="s">
        <v>13</v>
      </c>
    </row>
    <row r="993" spans="1:19" x14ac:dyDescent="0.3">
      <c r="A993" s="1" t="s">
        <v>747</v>
      </c>
      <c r="B993" t="s">
        <v>1596</v>
      </c>
      <c r="C993" t="s">
        <v>2455</v>
      </c>
      <c r="D993" t="str">
        <f t="shared" si="60"/>
        <v>Male</v>
      </c>
      <c r="E993" t="s">
        <v>9</v>
      </c>
      <c r="F993" s="2">
        <v>21</v>
      </c>
      <c r="G993" s="2" t="str" cm="1">
        <f t="array" ref="G993">_xlfn.IFS(F993&lt;=8,"Child",F993&lt;=17,"Teen",F993&lt;=35,"Adult",F993&lt;=55,"Seniour Adult",F993&gt;=55,"Old Age")</f>
        <v>Adult</v>
      </c>
      <c r="H993" t="s">
        <v>10</v>
      </c>
      <c r="I993" t="s">
        <v>19</v>
      </c>
      <c r="J993" t="str" cm="1">
        <f t="array" ref="J993">_xlfn.IFS(I993="S","Southamptom",I993="Q","Quentown",I993="C","Cherbrug",I993="B","Cabin")</f>
        <v>Cherbrug</v>
      </c>
      <c r="K993" t="s">
        <v>21</v>
      </c>
      <c r="L993" s="2">
        <v>7.0406000000000004</v>
      </c>
      <c r="M993" s="2" t="str" cm="1">
        <f t="array" ref="M993">_xlfn.IFS(L993&lt;=15,"Low Fare",L993&lt;=35,"Medium Fare",L993&lt;=100,"High Fare",L993&gt;=100,"Very High Fare")</f>
        <v>Low Fare</v>
      </c>
      <c r="N993" s="2">
        <v>0</v>
      </c>
      <c r="O993" s="2">
        <v>0</v>
      </c>
      <c r="P993">
        <f t="shared" si="61"/>
        <v>1</v>
      </c>
      <c r="Q993" t="str">
        <f t="shared" si="62"/>
        <v>Alone</v>
      </c>
      <c r="R993" t="str">
        <f t="shared" si="63"/>
        <v>No</v>
      </c>
      <c r="S993" t="s">
        <v>13</v>
      </c>
    </row>
    <row r="994" spans="1:19" x14ac:dyDescent="0.3">
      <c r="A994" s="1" t="s">
        <v>748</v>
      </c>
      <c r="B994" t="s">
        <v>1600</v>
      </c>
      <c r="C994" t="s">
        <v>2456</v>
      </c>
      <c r="D994" t="str">
        <f t="shared" si="60"/>
        <v>Female</v>
      </c>
      <c r="E994" t="s">
        <v>14</v>
      </c>
      <c r="F994" s="2">
        <v>63</v>
      </c>
      <c r="G994" s="2" t="str" cm="1">
        <f t="array" ref="G994">_xlfn.IFS(F994&lt;=8,"Child",F994&lt;=17,"Teen",F994&lt;=35,"Adult",F994&lt;=55,"Seniour Adult",F994&gt;=55,"Old Age")</f>
        <v>Old Age</v>
      </c>
      <c r="H994" t="s">
        <v>10</v>
      </c>
      <c r="I994" t="s">
        <v>11</v>
      </c>
      <c r="J994" t="str" cm="1">
        <f t="array" ref="J994">_xlfn.IFS(I994="S","Southamptom",I994="Q","Quentown",I994="C","Cherbrug",I994="B","Cabin")</f>
        <v>Southamptom</v>
      </c>
      <c r="K994" t="s">
        <v>17</v>
      </c>
      <c r="L994" s="2">
        <v>8.0203000000000007</v>
      </c>
      <c r="M994" s="2" t="str" cm="1">
        <f t="array" ref="M994">_xlfn.IFS(L994&lt;=15,"Low Fare",L994&lt;=35,"Medium Fare",L994&lt;=100,"High Fare",L994&gt;=100,"Very High Fare")</f>
        <v>Low Fare</v>
      </c>
      <c r="N994" s="2">
        <v>0</v>
      </c>
      <c r="O994" s="2">
        <v>0</v>
      </c>
      <c r="P994">
        <f t="shared" si="61"/>
        <v>1</v>
      </c>
      <c r="Q994" t="str">
        <f t="shared" si="62"/>
        <v>Alone</v>
      </c>
      <c r="R994" t="str">
        <f t="shared" si="63"/>
        <v>No</v>
      </c>
      <c r="S994" t="s">
        <v>13</v>
      </c>
    </row>
    <row r="995" spans="1:19" x14ac:dyDescent="0.3">
      <c r="A995" s="1" t="s">
        <v>749</v>
      </c>
      <c r="B995" t="s">
        <v>1596</v>
      </c>
      <c r="C995" t="s">
        <v>2457</v>
      </c>
      <c r="D995" t="str">
        <f t="shared" si="60"/>
        <v>Male</v>
      </c>
      <c r="E995" t="s">
        <v>9</v>
      </c>
      <c r="F995" s="2">
        <v>30</v>
      </c>
      <c r="G995" s="2" t="str" cm="1">
        <f t="array" ref="G995">_xlfn.IFS(F995&lt;=8,"Child",F995&lt;=17,"Teen",F995&lt;=35,"Adult",F995&lt;=55,"Seniour Adult",F995&gt;=55,"Old Age")</f>
        <v>Adult</v>
      </c>
      <c r="H995" t="s">
        <v>10</v>
      </c>
      <c r="I995" t="s">
        <v>19</v>
      </c>
      <c r="J995" t="str" cm="1">
        <f t="array" ref="J995">_xlfn.IFS(I995="S","Southamptom",I995="Q","Quentown",I995="C","Cherbrug",I995="B","Cabin")</f>
        <v>Cherbrug</v>
      </c>
      <c r="K995" t="s">
        <v>21</v>
      </c>
      <c r="L995" s="2">
        <v>7.0407000000000002</v>
      </c>
      <c r="M995" s="2" t="str" cm="1">
        <f t="array" ref="M995">_xlfn.IFS(L995&lt;=15,"Low Fare",L995&lt;=35,"Medium Fare",L995&lt;=100,"High Fare",L995&gt;=100,"Very High Fare")</f>
        <v>Low Fare</v>
      </c>
      <c r="N995" s="2">
        <v>0</v>
      </c>
      <c r="O995" s="2">
        <v>0</v>
      </c>
      <c r="P995">
        <f t="shared" si="61"/>
        <v>1</v>
      </c>
      <c r="Q995" t="str">
        <f t="shared" si="62"/>
        <v>Alone</v>
      </c>
      <c r="R995" t="str">
        <f t="shared" si="63"/>
        <v>No</v>
      </c>
      <c r="S995" t="s">
        <v>13</v>
      </c>
    </row>
    <row r="996" spans="1:19" x14ac:dyDescent="0.3">
      <c r="A996" s="1" t="s">
        <v>750</v>
      </c>
      <c r="B996" t="s">
        <v>1596</v>
      </c>
      <c r="C996" t="s">
        <v>2458</v>
      </c>
      <c r="D996" t="str">
        <f t="shared" si="60"/>
        <v>Male</v>
      </c>
      <c r="E996" t="s">
        <v>9</v>
      </c>
      <c r="F996" s="2">
        <v>18</v>
      </c>
      <c r="G996" s="2" t="str" cm="1">
        <f t="array" ref="G996">_xlfn.IFS(F996&lt;=8,"Child",F996&lt;=17,"Teen",F996&lt;=35,"Adult",F996&lt;=55,"Seniour Adult",F996&gt;=55,"Old Age")</f>
        <v>Adult</v>
      </c>
      <c r="H996" t="s">
        <v>10</v>
      </c>
      <c r="I996" t="s">
        <v>11</v>
      </c>
      <c r="J996" t="str" cm="1">
        <f t="array" ref="J996">_xlfn.IFS(I996="S","Southamptom",I996="Q","Quentown",I996="C","Cherbrug",I996="B","Cabin")</f>
        <v>Southamptom</v>
      </c>
      <c r="K996" t="s">
        <v>40</v>
      </c>
      <c r="L996" s="2">
        <v>7.05</v>
      </c>
      <c r="M996" s="2" t="str" cm="1">
        <f t="array" ref="M996">_xlfn.IFS(L996&lt;=15,"Low Fare",L996&lt;=35,"Medium Fare",L996&lt;=100,"High Fare",L996&gt;=100,"Very High Fare")</f>
        <v>Low Fare</v>
      </c>
      <c r="N996" s="2">
        <v>0</v>
      </c>
      <c r="O996" s="2">
        <v>0</v>
      </c>
      <c r="P996">
        <f t="shared" si="61"/>
        <v>1</v>
      </c>
      <c r="Q996" t="str">
        <f t="shared" si="62"/>
        <v>Alone</v>
      </c>
      <c r="R996" t="str">
        <f t="shared" si="63"/>
        <v>No</v>
      </c>
      <c r="S996" t="s">
        <v>13</v>
      </c>
    </row>
    <row r="997" spans="1:19" x14ac:dyDescent="0.3">
      <c r="A997" s="1" t="s">
        <v>751</v>
      </c>
      <c r="B997" t="s">
        <v>1596</v>
      </c>
      <c r="C997" t="s">
        <v>1824</v>
      </c>
      <c r="D997" t="str">
        <f t="shared" si="60"/>
        <v>Male</v>
      </c>
      <c r="E997" t="s">
        <v>9</v>
      </c>
      <c r="F997" s="2">
        <v>36</v>
      </c>
      <c r="G997" s="2" t="str" cm="1">
        <f t="array" ref="G997">_xlfn.IFS(F997&lt;=8,"Child",F997&lt;=17,"Teen",F997&lt;=35,"Adult",F997&lt;=55,"Seniour Adult",F997&gt;=55,"Old Age")</f>
        <v>Seniour Adult</v>
      </c>
      <c r="H997" t="s">
        <v>18</v>
      </c>
      <c r="I997" t="s">
        <v>11</v>
      </c>
      <c r="J997" t="str" cm="1">
        <f t="array" ref="J997">_xlfn.IFS(I997="S","Southamptom",I997="Q","Quentown",I997="C","Cherbrug",I997="B","Cabin")</f>
        <v>Southamptom</v>
      </c>
      <c r="K997" t="s">
        <v>15</v>
      </c>
      <c r="L997" s="2">
        <v>10.1</v>
      </c>
      <c r="M997" s="2" t="str" cm="1">
        <f t="array" ref="M997">_xlfn.IFS(L997&lt;=15,"Low Fare",L997&lt;=35,"Medium Fare",L997&lt;=100,"High Fare",L997&gt;=100,"Very High Fare")</f>
        <v>Low Fare</v>
      </c>
      <c r="N997" s="2">
        <v>0</v>
      </c>
      <c r="O997" s="2">
        <v>0</v>
      </c>
      <c r="P997">
        <f t="shared" si="61"/>
        <v>1</v>
      </c>
      <c r="Q997" t="str">
        <f t="shared" si="62"/>
        <v>Alone</v>
      </c>
      <c r="R997" t="str">
        <f t="shared" si="63"/>
        <v>No</v>
      </c>
      <c r="S997" t="s">
        <v>13</v>
      </c>
    </row>
    <row r="998" spans="1:19" x14ac:dyDescent="0.3">
      <c r="A998" s="1" t="s">
        <v>752</v>
      </c>
      <c r="B998" t="s">
        <v>1596</v>
      </c>
      <c r="C998" t="s">
        <v>2459</v>
      </c>
      <c r="D998" t="str">
        <f t="shared" si="60"/>
        <v>Male</v>
      </c>
      <c r="E998" t="s">
        <v>9</v>
      </c>
      <c r="F998" s="2">
        <v>38</v>
      </c>
      <c r="G998" s="2" t="str" cm="1">
        <f t="array" ref="G998">_xlfn.IFS(F998&lt;=8,"Child",F998&lt;=17,"Teen",F998&lt;=35,"Adult",F998&lt;=55,"Seniour Adult",F998&gt;=55,"Old Age")</f>
        <v>Seniour Adult</v>
      </c>
      <c r="H998" t="s">
        <v>10</v>
      </c>
      <c r="I998" t="s">
        <v>11</v>
      </c>
      <c r="J998" t="str" cm="1">
        <f t="array" ref="J998">_xlfn.IFS(I998="S","Southamptom",I998="Q","Quentown",I998="C","Cherbrug",I998="B","Cabin")</f>
        <v>Southamptom</v>
      </c>
      <c r="K998" t="s">
        <v>34</v>
      </c>
      <c r="L998" s="2">
        <v>7.1711</v>
      </c>
      <c r="M998" s="2" t="str" cm="1">
        <f t="array" ref="M998">_xlfn.IFS(L998&lt;=15,"Low Fare",L998&lt;=35,"Medium Fare",L998&lt;=100,"High Fare",L998&gt;=100,"Very High Fare")</f>
        <v>Low Fare</v>
      </c>
      <c r="N998" s="2">
        <v>0</v>
      </c>
      <c r="O998" s="2">
        <v>0</v>
      </c>
      <c r="P998">
        <f t="shared" si="61"/>
        <v>1</v>
      </c>
      <c r="Q998" t="str">
        <f t="shared" si="62"/>
        <v>Alone</v>
      </c>
      <c r="R998" t="str">
        <f t="shared" si="63"/>
        <v>No</v>
      </c>
      <c r="S998" t="s">
        <v>13</v>
      </c>
    </row>
    <row r="999" spans="1:19" x14ac:dyDescent="0.3">
      <c r="A999" s="1" t="s">
        <v>753</v>
      </c>
      <c r="B999" t="s">
        <v>1596</v>
      </c>
      <c r="C999" t="s">
        <v>2460</v>
      </c>
      <c r="D999" t="str">
        <f t="shared" si="60"/>
        <v>Male</v>
      </c>
      <c r="E999" t="s">
        <v>9</v>
      </c>
      <c r="F999" s="2">
        <v>33</v>
      </c>
      <c r="G999" s="2" t="str" cm="1">
        <f t="array" ref="G999">_xlfn.IFS(F999&lt;=8,"Child",F999&lt;=17,"Teen",F999&lt;=35,"Adult",F999&lt;=55,"Seniour Adult",F999&gt;=55,"Old Age")</f>
        <v>Adult</v>
      </c>
      <c r="H999" t="s">
        <v>18</v>
      </c>
      <c r="I999" t="s">
        <v>11</v>
      </c>
      <c r="J999" t="str" cm="1">
        <f t="array" ref="J999">_xlfn.IFS(I999="S","Southamptom",I999="Q","Quentown",I999="C","Cherbrug",I999="B","Cabin")</f>
        <v>Southamptom</v>
      </c>
      <c r="K999" t="s">
        <v>33</v>
      </c>
      <c r="L999" s="2">
        <v>21</v>
      </c>
      <c r="M999" s="2" t="str" cm="1">
        <f t="array" ref="M999">_xlfn.IFS(L999&lt;=15,"Low Fare",L999&lt;=35,"Medium Fare",L999&lt;=100,"High Fare",L999&gt;=100,"Very High Fare")</f>
        <v>Medium Fare</v>
      </c>
      <c r="N999" s="2">
        <v>1</v>
      </c>
      <c r="O999" s="2">
        <v>0</v>
      </c>
      <c r="P999">
        <f t="shared" si="61"/>
        <v>2</v>
      </c>
      <c r="Q999" t="str">
        <f t="shared" si="62"/>
        <v>With Family</v>
      </c>
      <c r="R999" t="str">
        <f t="shared" si="63"/>
        <v>No</v>
      </c>
      <c r="S999" t="s">
        <v>13</v>
      </c>
    </row>
    <row r="1000" spans="1:19" x14ac:dyDescent="0.3">
      <c r="A1000" s="1" t="s">
        <v>753</v>
      </c>
      <c r="B1000" t="s">
        <v>1600</v>
      </c>
      <c r="C1000" t="s">
        <v>2461</v>
      </c>
      <c r="D1000" t="str">
        <f t="shared" si="60"/>
        <v>Female</v>
      </c>
      <c r="E1000" t="s">
        <v>14</v>
      </c>
      <c r="F1000" s="2">
        <v>30</v>
      </c>
      <c r="G1000" s="2" t="str" cm="1">
        <f t="array" ref="G1000">_xlfn.IFS(F1000&lt;=8,"Child",F1000&lt;=17,"Teen",F1000&lt;=35,"Adult",F1000&lt;=55,"Seniour Adult",F1000&gt;=55,"Old Age")</f>
        <v>Adult</v>
      </c>
      <c r="H1000" t="s">
        <v>18</v>
      </c>
      <c r="I1000" t="s">
        <v>11</v>
      </c>
      <c r="J1000" t="str" cm="1">
        <f t="array" ref="J1000">_xlfn.IFS(I1000="S","Southamptom",I1000="Q","Quentown",I1000="C","Cherbrug",I1000="B","Cabin")</f>
        <v>Southamptom</v>
      </c>
      <c r="K1000" t="s">
        <v>33</v>
      </c>
      <c r="L1000" s="2">
        <v>21</v>
      </c>
      <c r="M1000" s="2" t="str" cm="1">
        <f t="array" ref="M1000">_xlfn.IFS(L1000&lt;=15,"Low Fare",L1000&lt;=35,"Medium Fare",L1000&lt;=100,"High Fare",L1000&gt;=100,"Very High Fare")</f>
        <v>Medium Fare</v>
      </c>
      <c r="N1000" s="2">
        <v>3</v>
      </c>
      <c r="O1000" s="2">
        <v>0</v>
      </c>
      <c r="P1000">
        <f t="shared" si="61"/>
        <v>4</v>
      </c>
      <c r="Q1000" t="str">
        <f t="shared" si="62"/>
        <v>With Family</v>
      </c>
      <c r="R1000" t="str">
        <f t="shared" si="63"/>
        <v>Yes</v>
      </c>
      <c r="S1000" t="s">
        <v>16</v>
      </c>
    </row>
    <row r="1001" spans="1:19" x14ac:dyDescent="0.3">
      <c r="A1001" s="1" t="s">
        <v>754</v>
      </c>
      <c r="B1001" t="s">
        <v>1596</v>
      </c>
      <c r="C1001" t="s">
        <v>2462</v>
      </c>
      <c r="D1001" t="str">
        <f t="shared" si="60"/>
        <v>Male</v>
      </c>
      <c r="E1001" t="s">
        <v>9</v>
      </c>
      <c r="F1001" s="2">
        <v>37</v>
      </c>
      <c r="G1001" s="2" t="str" cm="1">
        <f t="array" ref="G1001">_xlfn.IFS(F1001&lt;=8,"Child",F1001&lt;=17,"Teen",F1001&lt;=35,"Adult",F1001&lt;=55,"Seniour Adult",F1001&gt;=55,"Old Age")</f>
        <v>Seniour Adult</v>
      </c>
      <c r="H1001" t="s">
        <v>25</v>
      </c>
      <c r="I1001" t="s">
        <v>19</v>
      </c>
      <c r="J1001" t="str" cm="1">
        <f t="array" ref="J1001">_xlfn.IFS(I1001="S","Southamptom",I1001="Q","Quentown",I1001="C","Cherbrug",I1001="B","Cabin")</f>
        <v>Cherbrug</v>
      </c>
      <c r="K1001" t="s">
        <v>67</v>
      </c>
      <c r="L1001" s="2">
        <v>33</v>
      </c>
      <c r="M1001" s="2" t="str" cm="1">
        <f t="array" ref="M1001">_xlfn.IFS(L1001&lt;=15,"Low Fare",L1001&lt;=35,"Medium Fare",L1001&lt;=100,"High Fare",L1001&gt;=100,"Very High Fare")</f>
        <v>Medium Fare</v>
      </c>
      <c r="N1001" s="2">
        <v>0</v>
      </c>
      <c r="O1001" s="2">
        <v>0</v>
      </c>
      <c r="P1001">
        <f t="shared" si="61"/>
        <v>1</v>
      </c>
      <c r="Q1001" t="str">
        <f t="shared" si="62"/>
        <v>Alone</v>
      </c>
      <c r="R1001" t="str">
        <f t="shared" si="63"/>
        <v>No</v>
      </c>
      <c r="S1001" t="s">
        <v>13</v>
      </c>
    </row>
    <row r="1002" spans="1:19" x14ac:dyDescent="0.3">
      <c r="A1002" s="1" t="s">
        <v>755</v>
      </c>
      <c r="B1002" t="s">
        <v>1942</v>
      </c>
      <c r="C1002" t="s">
        <v>2463</v>
      </c>
      <c r="D1002" t="str">
        <f t="shared" si="60"/>
        <v>Female</v>
      </c>
      <c r="E1002" t="s">
        <v>14</v>
      </c>
      <c r="F1002" s="2">
        <v>29</v>
      </c>
      <c r="G1002" s="2" t="str" cm="1">
        <f t="array" ref="G1002">_xlfn.IFS(F1002&lt;=8,"Child",F1002&lt;=17,"Teen",F1002&lt;=35,"Adult",F1002&lt;=55,"Seniour Adult",F1002&gt;=55,"Old Age")</f>
        <v>Adult</v>
      </c>
      <c r="H1002" t="s">
        <v>18</v>
      </c>
      <c r="I1002" t="s">
        <v>11</v>
      </c>
      <c r="J1002" t="str" cm="1">
        <f t="array" ref="J1002">_xlfn.IFS(I1002="S","Southamptom",I1002="Q","Quentown",I1002="C","Cherbrug",I1002="B","Cabin")</f>
        <v>Southamptom</v>
      </c>
      <c r="K1002" t="s">
        <v>50</v>
      </c>
      <c r="L1002" s="2">
        <v>13</v>
      </c>
      <c r="M1002" s="2" t="str" cm="1">
        <f t="array" ref="M1002">_xlfn.IFS(L1002&lt;=15,"Low Fare",L1002&lt;=35,"Medium Fare",L1002&lt;=100,"High Fare",L1002&gt;=100,"Very High Fare")</f>
        <v>Low Fare</v>
      </c>
      <c r="N1002" s="2">
        <v>0</v>
      </c>
      <c r="O1002" s="2">
        <v>0</v>
      </c>
      <c r="P1002">
        <f t="shared" si="61"/>
        <v>1</v>
      </c>
      <c r="Q1002" t="str">
        <f t="shared" si="62"/>
        <v>Alone</v>
      </c>
      <c r="R1002" t="str">
        <f t="shared" si="63"/>
        <v>Yes</v>
      </c>
      <c r="S1002" t="s">
        <v>16</v>
      </c>
    </row>
    <row r="1003" spans="1:19" x14ac:dyDescent="0.3">
      <c r="A1003" s="1" t="s">
        <v>756</v>
      </c>
      <c r="B1003" t="s">
        <v>1596</v>
      </c>
      <c r="C1003" t="s">
        <v>2464</v>
      </c>
      <c r="D1003" t="str">
        <f t="shared" si="60"/>
        <v>Male</v>
      </c>
      <c r="E1003" t="s">
        <v>9</v>
      </c>
      <c r="F1003" s="2">
        <v>21</v>
      </c>
      <c r="G1003" s="2" t="str" cm="1">
        <f t="array" ref="G1003">_xlfn.IFS(F1003&lt;=8,"Child",F1003&lt;=17,"Teen",F1003&lt;=35,"Adult",F1003&lt;=55,"Seniour Adult",F1003&gt;=55,"Old Age")</f>
        <v>Adult</v>
      </c>
      <c r="H1003" t="s">
        <v>10</v>
      </c>
      <c r="I1003" t="s">
        <v>11</v>
      </c>
      <c r="J1003" t="str" cm="1">
        <f t="array" ref="J1003">_xlfn.IFS(I1003="S","Southamptom",I1003="Q","Quentown",I1003="C","Cherbrug",I1003="B","Cabin")</f>
        <v>Southamptom</v>
      </c>
      <c r="K1003" t="s">
        <v>15</v>
      </c>
      <c r="L1003" s="2">
        <v>8.01</v>
      </c>
      <c r="M1003" s="2" t="str" cm="1">
        <f t="array" ref="M1003">_xlfn.IFS(L1003&lt;=15,"Low Fare",L1003&lt;=35,"Medium Fare",L1003&lt;=100,"High Fare",L1003&gt;=100,"Very High Fare")</f>
        <v>Low Fare</v>
      </c>
      <c r="N1003" s="2">
        <v>0</v>
      </c>
      <c r="O1003" s="2">
        <v>0</v>
      </c>
      <c r="P1003">
        <f t="shared" si="61"/>
        <v>1</v>
      </c>
      <c r="Q1003" t="str">
        <f t="shared" si="62"/>
        <v>Alone</v>
      </c>
      <c r="R1003" t="str">
        <f t="shared" si="63"/>
        <v>No</v>
      </c>
      <c r="S1003" t="s">
        <v>13</v>
      </c>
    </row>
    <row r="1004" spans="1:19" x14ac:dyDescent="0.3">
      <c r="A1004" s="1" t="s">
        <v>757</v>
      </c>
      <c r="B1004" t="s">
        <v>1596</v>
      </c>
      <c r="C1004" t="s">
        <v>2465</v>
      </c>
      <c r="D1004" t="str">
        <f t="shared" si="60"/>
        <v>Male</v>
      </c>
      <c r="E1004" t="s">
        <v>9</v>
      </c>
      <c r="F1004" s="2">
        <v>33</v>
      </c>
      <c r="G1004" s="2" t="str" cm="1">
        <f t="array" ref="G1004">_xlfn.IFS(F1004&lt;=8,"Child",F1004&lt;=17,"Teen",F1004&lt;=35,"Adult",F1004&lt;=55,"Seniour Adult",F1004&gt;=55,"Old Age")</f>
        <v>Adult</v>
      </c>
      <c r="H1004" t="s">
        <v>25</v>
      </c>
      <c r="I1004" t="s">
        <v>19</v>
      </c>
      <c r="J1004" t="str" cm="1">
        <f t="array" ref="J1004">_xlfn.IFS(I1004="S","Southamptom",I1004="Q","Quentown",I1004="C","Cherbrug",I1004="B","Cabin")</f>
        <v>Cherbrug</v>
      </c>
      <c r="K1004" t="s">
        <v>12</v>
      </c>
      <c r="L1004" s="2">
        <v>39.119999999999997</v>
      </c>
      <c r="M1004" s="2" t="str" cm="1">
        <f t="array" ref="M1004">_xlfn.IFS(L1004&lt;=15,"Low Fare",L1004&lt;=35,"Medium Fare",L1004&lt;=100,"High Fare",L1004&gt;=100,"Very High Fare")</f>
        <v>High Fare</v>
      </c>
      <c r="N1004" s="2">
        <v>0</v>
      </c>
      <c r="O1004" s="2">
        <v>0</v>
      </c>
      <c r="P1004">
        <f t="shared" si="61"/>
        <v>1</v>
      </c>
      <c r="Q1004" t="str">
        <f t="shared" si="62"/>
        <v>Alone</v>
      </c>
      <c r="R1004" t="str">
        <f t="shared" si="63"/>
        <v>Yes</v>
      </c>
      <c r="S1004" t="s">
        <v>16</v>
      </c>
    </row>
    <row r="1005" spans="1:19" x14ac:dyDescent="0.3">
      <c r="A1005" s="1" t="s">
        <v>758</v>
      </c>
      <c r="B1005" t="s">
        <v>1612</v>
      </c>
      <c r="C1005" t="s">
        <v>1671</v>
      </c>
      <c r="D1005" t="str">
        <f t="shared" si="60"/>
        <v>Male</v>
      </c>
      <c r="E1005" t="s">
        <v>9</v>
      </c>
      <c r="F1005" s="2">
        <v>10</v>
      </c>
      <c r="G1005" s="2" t="str" cm="1">
        <f t="array" ref="G1005">_xlfn.IFS(F1005&lt;=8,"Child",F1005&lt;=17,"Teen",F1005&lt;=35,"Adult",F1005&lt;=55,"Seniour Adult",F1005&gt;=55,"Old Age")</f>
        <v>Teen</v>
      </c>
      <c r="H1005" t="s">
        <v>10</v>
      </c>
      <c r="I1005" t="s">
        <v>36</v>
      </c>
      <c r="J1005" t="str" cm="1">
        <f t="array" ref="J1005">_xlfn.IFS(I1005="S","Southamptom",I1005="Q","Quentown",I1005="C","Cherbrug",I1005="B","Cabin")</f>
        <v>Quentown</v>
      </c>
      <c r="K1005" t="s">
        <v>37</v>
      </c>
      <c r="L1005" s="2">
        <v>29.020600000000002</v>
      </c>
      <c r="M1005" s="2" t="str" cm="1">
        <f t="array" ref="M1005">_xlfn.IFS(L1005&lt;=15,"Low Fare",L1005&lt;=35,"Medium Fare",L1005&lt;=100,"High Fare",L1005&gt;=100,"Very High Fare")</f>
        <v>Medium Fare</v>
      </c>
      <c r="N1005" s="2">
        <v>4</v>
      </c>
      <c r="O1005" s="2">
        <v>1</v>
      </c>
      <c r="P1005">
        <f t="shared" si="61"/>
        <v>6</v>
      </c>
      <c r="Q1005" t="str">
        <f t="shared" si="62"/>
        <v>With Family</v>
      </c>
      <c r="R1005" t="str">
        <f t="shared" si="63"/>
        <v>No</v>
      </c>
      <c r="S1005" t="s">
        <v>13</v>
      </c>
    </row>
    <row r="1006" spans="1:19" x14ac:dyDescent="0.3">
      <c r="A1006" s="1" t="s">
        <v>758</v>
      </c>
      <c r="B1006" t="s">
        <v>1612</v>
      </c>
      <c r="C1006" t="s">
        <v>1976</v>
      </c>
      <c r="D1006" t="str">
        <f t="shared" si="60"/>
        <v>Male</v>
      </c>
      <c r="E1006" t="s">
        <v>9</v>
      </c>
      <c r="F1006" s="2">
        <v>4</v>
      </c>
      <c r="G1006" s="2" t="str" cm="1">
        <f t="array" ref="G1006">_xlfn.IFS(F1006&lt;=8,"Child",F1006&lt;=17,"Teen",F1006&lt;=35,"Adult",F1006&lt;=55,"Seniour Adult",F1006&gt;=55,"Old Age")</f>
        <v>Child</v>
      </c>
      <c r="H1006" t="s">
        <v>10</v>
      </c>
      <c r="I1006" t="s">
        <v>36</v>
      </c>
      <c r="J1006" t="str" cm="1">
        <f t="array" ref="J1006">_xlfn.IFS(I1006="S","Southamptom",I1006="Q","Quentown",I1006="C","Cherbrug",I1006="B","Cabin")</f>
        <v>Quentown</v>
      </c>
      <c r="K1006" t="s">
        <v>37</v>
      </c>
      <c r="L1006" s="2">
        <v>29.020600000000002</v>
      </c>
      <c r="M1006" s="2" t="str" cm="1">
        <f t="array" ref="M1006">_xlfn.IFS(L1006&lt;=15,"Low Fare",L1006&lt;=35,"Medium Fare",L1006&lt;=100,"High Fare",L1006&gt;=100,"Very High Fare")</f>
        <v>Medium Fare</v>
      </c>
      <c r="N1006" s="2">
        <v>4</v>
      </c>
      <c r="O1006" s="2">
        <v>1</v>
      </c>
      <c r="P1006">
        <f t="shared" si="61"/>
        <v>6</v>
      </c>
      <c r="Q1006" t="str">
        <f t="shared" si="62"/>
        <v>With Family</v>
      </c>
      <c r="R1006" t="str">
        <f t="shared" si="63"/>
        <v>No</v>
      </c>
      <c r="S1006" t="s">
        <v>13</v>
      </c>
    </row>
    <row r="1007" spans="1:19" x14ac:dyDescent="0.3">
      <c r="A1007" s="1" t="s">
        <v>758</v>
      </c>
      <c r="B1007" t="s">
        <v>1612</v>
      </c>
      <c r="C1007" t="s">
        <v>2466</v>
      </c>
      <c r="D1007" t="str">
        <f t="shared" si="60"/>
        <v>Male</v>
      </c>
      <c r="E1007" t="s">
        <v>9</v>
      </c>
      <c r="F1007" s="2">
        <v>7</v>
      </c>
      <c r="G1007" s="2" t="str" cm="1">
        <f t="array" ref="G1007">_xlfn.IFS(F1007&lt;=8,"Child",F1007&lt;=17,"Teen",F1007&lt;=35,"Adult",F1007&lt;=55,"Seniour Adult",F1007&gt;=55,"Old Age")</f>
        <v>Child</v>
      </c>
      <c r="H1007" t="s">
        <v>10</v>
      </c>
      <c r="I1007" t="s">
        <v>36</v>
      </c>
      <c r="J1007" t="str" cm="1">
        <f t="array" ref="J1007">_xlfn.IFS(I1007="S","Southamptom",I1007="Q","Quentown",I1007="C","Cherbrug",I1007="B","Cabin")</f>
        <v>Quentown</v>
      </c>
      <c r="K1007" t="s">
        <v>37</v>
      </c>
      <c r="L1007" s="2">
        <v>29.020600000000002</v>
      </c>
      <c r="M1007" s="2" t="str" cm="1">
        <f t="array" ref="M1007">_xlfn.IFS(L1007&lt;=15,"Low Fare",L1007&lt;=35,"Medium Fare",L1007&lt;=100,"High Fare",L1007&gt;=100,"Very High Fare")</f>
        <v>Medium Fare</v>
      </c>
      <c r="N1007" s="2">
        <v>4</v>
      </c>
      <c r="O1007" s="2">
        <v>1</v>
      </c>
      <c r="P1007">
        <f t="shared" si="61"/>
        <v>6</v>
      </c>
      <c r="Q1007" t="str">
        <f t="shared" si="62"/>
        <v>With Family</v>
      </c>
      <c r="R1007" t="str">
        <f t="shared" si="63"/>
        <v>No</v>
      </c>
      <c r="S1007" t="s">
        <v>13</v>
      </c>
    </row>
    <row r="1008" spans="1:19" x14ac:dyDescent="0.3">
      <c r="A1008" s="1" t="s">
        <v>758</v>
      </c>
      <c r="B1008" t="s">
        <v>1612</v>
      </c>
      <c r="C1008" t="s">
        <v>2467</v>
      </c>
      <c r="D1008" t="str">
        <f t="shared" si="60"/>
        <v>Male</v>
      </c>
      <c r="E1008" t="s">
        <v>9</v>
      </c>
      <c r="F1008" s="2">
        <v>2</v>
      </c>
      <c r="G1008" s="2" t="str" cm="1">
        <f t="array" ref="G1008">_xlfn.IFS(F1008&lt;=8,"Child",F1008&lt;=17,"Teen",F1008&lt;=35,"Adult",F1008&lt;=55,"Seniour Adult",F1008&gt;=55,"Old Age")</f>
        <v>Child</v>
      </c>
      <c r="H1008" t="s">
        <v>10</v>
      </c>
      <c r="I1008" t="s">
        <v>36</v>
      </c>
      <c r="J1008" t="str" cm="1">
        <f t="array" ref="J1008">_xlfn.IFS(I1008="S","Southamptom",I1008="Q","Quentown",I1008="C","Cherbrug",I1008="B","Cabin")</f>
        <v>Quentown</v>
      </c>
      <c r="K1008" t="s">
        <v>37</v>
      </c>
      <c r="L1008" s="2">
        <v>29.020600000000002</v>
      </c>
      <c r="M1008" s="2" t="str" cm="1">
        <f t="array" ref="M1008">_xlfn.IFS(L1008&lt;=15,"Low Fare",L1008&lt;=35,"Medium Fare",L1008&lt;=100,"High Fare",L1008&gt;=100,"Very High Fare")</f>
        <v>Medium Fare</v>
      </c>
      <c r="N1008" s="2">
        <v>4</v>
      </c>
      <c r="O1008" s="2">
        <v>1</v>
      </c>
      <c r="P1008">
        <f t="shared" si="61"/>
        <v>6</v>
      </c>
      <c r="Q1008" t="str">
        <f t="shared" si="62"/>
        <v>With Family</v>
      </c>
      <c r="R1008" t="str">
        <f t="shared" si="63"/>
        <v>No</v>
      </c>
      <c r="S1008" t="s">
        <v>13</v>
      </c>
    </row>
    <row r="1009" spans="1:19" x14ac:dyDescent="0.3">
      <c r="A1009" s="1" t="s">
        <v>758</v>
      </c>
      <c r="B1009" t="s">
        <v>1612</v>
      </c>
      <c r="C1009" t="s">
        <v>2468</v>
      </c>
      <c r="D1009" t="str">
        <f t="shared" si="60"/>
        <v>Male</v>
      </c>
      <c r="E1009" t="s">
        <v>9</v>
      </c>
      <c r="F1009" s="2">
        <v>8</v>
      </c>
      <c r="G1009" s="2" t="str" cm="1">
        <f t="array" ref="G1009">_xlfn.IFS(F1009&lt;=8,"Child",F1009&lt;=17,"Teen",F1009&lt;=35,"Adult",F1009&lt;=55,"Seniour Adult",F1009&gt;=55,"Old Age")</f>
        <v>Child</v>
      </c>
      <c r="H1009" t="s">
        <v>10</v>
      </c>
      <c r="I1009" t="s">
        <v>36</v>
      </c>
      <c r="J1009" t="str" cm="1">
        <f t="array" ref="J1009">_xlfn.IFS(I1009="S","Southamptom",I1009="Q","Quentown",I1009="C","Cherbrug",I1009="B","Cabin")</f>
        <v>Quentown</v>
      </c>
      <c r="K1009" t="s">
        <v>37</v>
      </c>
      <c r="L1009" s="2">
        <v>29.020600000000002</v>
      </c>
      <c r="M1009" s="2" t="str" cm="1">
        <f t="array" ref="M1009">_xlfn.IFS(L1009&lt;=15,"Low Fare",L1009&lt;=35,"Medium Fare",L1009&lt;=100,"High Fare",L1009&gt;=100,"Very High Fare")</f>
        <v>Medium Fare</v>
      </c>
      <c r="N1009" s="2">
        <v>4</v>
      </c>
      <c r="O1009" s="2">
        <v>1</v>
      </c>
      <c r="P1009">
        <f t="shared" si="61"/>
        <v>6</v>
      </c>
      <c r="Q1009" t="str">
        <f t="shared" si="62"/>
        <v>With Family</v>
      </c>
      <c r="R1009" t="str">
        <f t="shared" si="63"/>
        <v>No</v>
      </c>
      <c r="S1009" t="s">
        <v>13</v>
      </c>
    </row>
    <row r="1010" spans="1:19" x14ac:dyDescent="0.3">
      <c r="A1010" s="1" t="s">
        <v>758</v>
      </c>
      <c r="B1010" t="s">
        <v>1600</v>
      </c>
      <c r="C1010" t="s">
        <v>1759</v>
      </c>
      <c r="D1010" t="str">
        <f t="shared" si="60"/>
        <v>Female</v>
      </c>
      <c r="E1010" t="s">
        <v>14</v>
      </c>
      <c r="F1010" s="2">
        <v>39</v>
      </c>
      <c r="G1010" s="2" t="str" cm="1">
        <f t="array" ref="G1010">_xlfn.IFS(F1010&lt;=8,"Child",F1010&lt;=17,"Teen",F1010&lt;=35,"Adult",F1010&lt;=55,"Seniour Adult",F1010&gt;=55,"Old Age")</f>
        <v>Seniour Adult</v>
      </c>
      <c r="H1010" t="s">
        <v>10</v>
      </c>
      <c r="I1010" t="s">
        <v>36</v>
      </c>
      <c r="J1010" t="str" cm="1">
        <f t="array" ref="J1010">_xlfn.IFS(I1010="S","Southamptom",I1010="Q","Quentown",I1010="C","Cherbrug",I1010="B","Cabin")</f>
        <v>Quentown</v>
      </c>
      <c r="K1010" t="s">
        <v>37</v>
      </c>
      <c r="L1010" s="2">
        <v>29.020600000000002</v>
      </c>
      <c r="M1010" s="2" t="str" cm="1">
        <f t="array" ref="M1010">_xlfn.IFS(L1010&lt;=15,"Low Fare",L1010&lt;=35,"Medium Fare",L1010&lt;=100,"High Fare",L1010&gt;=100,"Very High Fare")</f>
        <v>Medium Fare</v>
      </c>
      <c r="N1010" s="2">
        <v>0</v>
      </c>
      <c r="O1010" s="2">
        <v>5</v>
      </c>
      <c r="P1010">
        <f t="shared" si="61"/>
        <v>6</v>
      </c>
      <c r="Q1010" t="str">
        <f t="shared" si="62"/>
        <v>With Family</v>
      </c>
      <c r="R1010" t="str">
        <f t="shared" si="63"/>
        <v>No</v>
      </c>
      <c r="S1010" t="s">
        <v>13</v>
      </c>
    </row>
    <row r="1011" spans="1:19" x14ac:dyDescent="0.3">
      <c r="A1011" s="1" t="s">
        <v>759</v>
      </c>
      <c r="B1011" t="s">
        <v>1596</v>
      </c>
      <c r="C1011" t="s">
        <v>2469</v>
      </c>
      <c r="D1011" t="str">
        <f t="shared" si="60"/>
        <v>Male</v>
      </c>
      <c r="E1011" t="s">
        <v>9</v>
      </c>
      <c r="F1011" s="2">
        <v>23</v>
      </c>
      <c r="G1011" s="2" t="str" cm="1">
        <f t="array" ref="G1011">_xlfn.IFS(F1011&lt;=8,"Child",F1011&lt;=17,"Teen",F1011&lt;=35,"Adult",F1011&lt;=55,"Seniour Adult",F1011&gt;=55,"Old Age")</f>
        <v>Adult</v>
      </c>
      <c r="H1011" t="s">
        <v>18</v>
      </c>
      <c r="I1011" t="s">
        <v>19</v>
      </c>
      <c r="J1011" t="str" cm="1">
        <f t="array" ref="J1011">_xlfn.IFS(I1011="S","Southamptom",I1011="Q","Quentown",I1011="C","Cherbrug",I1011="B","Cabin")</f>
        <v>Cherbrug</v>
      </c>
      <c r="K1011" t="s">
        <v>15</v>
      </c>
      <c r="L1011" s="2">
        <v>15</v>
      </c>
      <c r="M1011" s="2" t="str" cm="1">
        <f t="array" ref="M1011">_xlfn.IFS(L1011&lt;=15,"Low Fare",L1011&lt;=35,"Medium Fare",L1011&lt;=100,"High Fare",L1011&gt;=100,"Very High Fare")</f>
        <v>Low Fare</v>
      </c>
      <c r="N1011" s="2">
        <v>0</v>
      </c>
      <c r="O1011" s="2">
        <v>0</v>
      </c>
      <c r="P1011">
        <f t="shared" si="61"/>
        <v>1</v>
      </c>
      <c r="Q1011" t="str">
        <f t="shared" si="62"/>
        <v>Alone</v>
      </c>
      <c r="R1011" t="str">
        <f t="shared" si="63"/>
        <v>No</v>
      </c>
      <c r="S1011" t="s">
        <v>13</v>
      </c>
    </row>
    <row r="1012" spans="1:19" x14ac:dyDescent="0.3">
      <c r="A1012" s="1" t="s">
        <v>760</v>
      </c>
      <c r="B1012" t="s">
        <v>1612</v>
      </c>
      <c r="C1012" t="s">
        <v>2470</v>
      </c>
      <c r="D1012" t="str">
        <f t="shared" si="60"/>
        <v>Male</v>
      </c>
      <c r="E1012" t="s">
        <v>9</v>
      </c>
      <c r="F1012" s="2">
        <v>0.75</v>
      </c>
      <c r="G1012" s="2" t="str" cm="1">
        <f t="array" ref="G1012">_xlfn.IFS(F1012&lt;=8,"Child",F1012&lt;=17,"Teen",F1012&lt;=35,"Adult",F1012&lt;=55,"Seniour Adult",F1012&gt;=55,"Old Age")</f>
        <v>Child</v>
      </c>
      <c r="H1012" t="s">
        <v>18</v>
      </c>
      <c r="I1012" t="s">
        <v>11</v>
      </c>
      <c r="J1012" t="str" cm="1">
        <f t="array" ref="J1012">_xlfn.IFS(I1012="S","Southamptom",I1012="Q","Quentown",I1012="C","Cherbrug",I1012="B","Cabin")</f>
        <v>Southamptom</v>
      </c>
      <c r="K1012" t="s">
        <v>15</v>
      </c>
      <c r="L1012" s="2">
        <v>18.149999999999999</v>
      </c>
      <c r="M1012" s="2" t="str" cm="1">
        <f t="array" ref="M1012">_xlfn.IFS(L1012&lt;=15,"Low Fare",L1012&lt;=35,"Medium Fare",L1012&lt;=100,"High Fare",L1012&gt;=100,"Very High Fare")</f>
        <v>Medium Fare</v>
      </c>
      <c r="N1012" s="2">
        <v>1</v>
      </c>
      <c r="O1012" s="2">
        <v>1</v>
      </c>
      <c r="P1012">
        <f t="shared" si="61"/>
        <v>3</v>
      </c>
      <c r="Q1012" t="str">
        <f t="shared" si="62"/>
        <v>With Family</v>
      </c>
      <c r="R1012" t="str">
        <f t="shared" si="63"/>
        <v>Yes</v>
      </c>
      <c r="S1012" t="s">
        <v>16</v>
      </c>
    </row>
    <row r="1013" spans="1:19" x14ac:dyDescent="0.3">
      <c r="A1013" s="1" t="s">
        <v>760</v>
      </c>
      <c r="B1013" t="s">
        <v>1612</v>
      </c>
      <c r="C1013" t="s">
        <v>2471</v>
      </c>
      <c r="D1013" t="str">
        <f t="shared" si="60"/>
        <v>Male</v>
      </c>
      <c r="E1013" t="s">
        <v>9</v>
      </c>
      <c r="F1013" s="2">
        <v>3</v>
      </c>
      <c r="G1013" s="2" t="str" cm="1">
        <f t="array" ref="G1013">_xlfn.IFS(F1013&lt;=8,"Child",F1013&lt;=17,"Teen",F1013&lt;=35,"Adult",F1013&lt;=55,"Seniour Adult",F1013&gt;=55,"Old Age")</f>
        <v>Child</v>
      </c>
      <c r="H1013" t="s">
        <v>18</v>
      </c>
      <c r="I1013" t="s">
        <v>11</v>
      </c>
      <c r="J1013" t="str" cm="1">
        <f t="array" ref="J1013">_xlfn.IFS(I1013="S","Southamptom",I1013="Q","Quentown",I1013="C","Cherbrug",I1013="B","Cabin")</f>
        <v>Southamptom</v>
      </c>
      <c r="K1013" t="s">
        <v>15</v>
      </c>
      <c r="L1013" s="2">
        <v>18.149999999999999</v>
      </c>
      <c r="M1013" s="2" t="str" cm="1">
        <f t="array" ref="M1013">_xlfn.IFS(L1013&lt;=15,"Low Fare",L1013&lt;=35,"Medium Fare",L1013&lt;=100,"High Fare",L1013&gt;=100,"Very High Fare")</f>
        <v>Medium Fare</v>
      </c>
      <c r="N1013" s="2">
        <v>1</v>
      </c>
      <c r="O1013" s="2">
        <v>1</v>
      </c>
      <c r="P1013">
        <f t="shared" si="61"/>
        <v>3</v>
      </c>
      <c r="Q1013" t="str">
        <f t="shared" si="62"/>
        <v>With Family</v>
      </c>
      <c r="R1013" t="str">
        <f t="shared" si="63"/>
        <v>Yes</v>
      </c>
      <c r="S1013" t="s">
        <v>16</v>
      </c>
    </row>
    <row r="1014" spans="1:19" x14ac:dyDescent="0.3">
      <c r="A1014" s="1" t="s">
        <v>760</v>
      </c>
      <c r="B1014" t="s">
        <v>1600</v>
      </c>
      <c r="C1014" t="s">
        <v>2472</v>
      </c>
      <c r="D1014" t="str">
        <f t="shared" si="60"/>
        <v>Female</v>
      </c>
      <c r="E1014" t="s">
        <v>14</v>
      </c>
      <c r="F1014" s="2">
        <v>24</v>
      </c>
      <c r="G1014" s="2" t="str" cm="1">
        <f t="array" ref="G1014">_xlfn.IFS(F1014&lt;=8,"Child",F1014&lt;=17,"Teen",F1014&lt;=35,"Adult",F1014&lt;=55,"Seniour Adult",F1014&gt;=55,"Old Age")</f>
        <v>Adult</v>
      </c>
      <c r="H1014" t="s">
        <v>18</v>
      </c>
      <c r="I1014" t="s">
        <v>11</v>
      </c>
      <c r="J1014" t="str" cm="1">
        <f t="array" ref="J1014">_xlfn.IFS(I1014="S","Southamptom",I1014="Q","Quentown",I1014="C","Cherbrug",I1014="B","Cabin")</f>
        <v>Southamptom</v>
      </c>
      <c r="K1014" t="s">
        <v>15</v>
      </c>
      <c r="L1014" s="2">
        <v>18.149999999999999</v>
      </c>
      <c r="M1014" s="2" t="str" cm="1">
        <f t="array" ref="M1014">_xlfn.IFS(L1014&lt;=15,"Low Fare",L1014&lt;=35,"Medium Fare",L1014&lt;=100,"High Fare",L1014&gt;=100,"Very High Fare")</f>
        <v>Medium Fare</v>
      </c>
      <c r="N1014" s="2">
        <v>2</v>
      </c>
      <c r="O1014" s="2">
        <v>3</v>
      </c>
      <c r="P1014">
        <f t="shared" si="61"/>
        <v>6</v>
      </c>
      <c r="Q1014" t="str">
        <f t="shared" si="62"/>
        <v>With Family</v>
      </c>
      <c r="R1014" t="str">
        <f t="shared" si="63"/>
        <v>Yes</v>
      </c>
      <c r="S1014" t="s">
        <v>16</v>
      </c>
    </row>
    <row r="1015" spans="1:19" x14ac:dyDescent="0.3">
      <c r="A1015" s="1" t="s">
        <v>761</v>
      </c>
      <c r="B1015" t="s">
        <v>1602</v>
      </c>
      <c r="C1015" t="s">
        <v>2473</v>
      </c>
      <c r="D1015" t="str">
        <f t="shared" si="60"/>
        <v>Female</v>
      </c>
      <c r="E1015" t="s">
        <v>14</v>
      </c>
      <c r="F1015" s="2">
        <v>58</v>
      </c>
      <c r="G1015" s="2" t="str" cm="1">
        <f t="array" ref="G1015">_xlfn.IFS(F1015&lt;=8,"Child",F1015&lt;=17,"Teen",F1015&lt;=35,"Adult",F1015&lt;=55,"Seniour Adult",F1015&gt;=55,"Old Age")</f>
        <v>Old Age</v>
      </c>
      <c r="H1015" t="s">
        <v>18</v>
      </c>
      <c r="I1015" t="s">
        <v>11</v>
      </c>
      <c r="J1015" t="str" cm="1">
        <f t="array" ref="J1015">_xlfn.IFS(I1015="S","Southamptom",I1015="Q","Quentown",I1015="C","Cherbrug",I1015="B","Cabin")</f>
        <v>Southamptom</v>
      </c>
      <c r="K1015" t="s">
        <v>15</v>
      </c>
      <c r="L1015" s="2">
        <v>10.1</v>
      </c>
      <c r="M1015" s="2" t="str" cm="1">
        <f t="array" ref="M1015">_xlfn.IFS(L1015&lt;=15,"Low Fare",L1015&lt;=35,"Medium Fare",L1015&lt;=100,"High Fare",L1015&gt;=100,"Very High Fare")</f>
        <v>Low Fare</v>
      </c>
      <c r="N1015" s="2">
        <v>0</v>
      </c>
      <c r="O1015" s="2">
        <v>0</v>
      </c>
      <c r="P1015">
        <f t="shared" si="61"/>
        <v>1</v>
      </c>
      <c r="Q1015" t="str">
        <f t="shared" si="62"/>
        <v>Alone</v>
      </c>
      <c r="R1015" t="str">
        <f t="shared" si="63"/>
        <v>Yes</v>
      </c>
      <c r="S1015" t="s">
        <v>16</v>
      </c>
    </row>
    <row r="1016" spans="1:19" x14ac:dyDescent="0.3">
      <c r="A1016" s="1" t="s">
        <v>762</v>
      </c>
      <c r="B1016" t="s">
        <v>1596</v>
      </c>
      <c r="C1016" t="s">
        <v>2474</v>
      </c>
      <c r="D1016" t="str">
        <f t="shared" si="60"/>
        <v>Male</v>
      </c>
      <c r="E1016" t="s">
        <v>9</v>
      </c>
      <c r="F1016" s="2">
        <v>22</v>
      </c>
      <c r="G1016" s="2" t="str" cm="1">
        <f t="array" ref="G1016">_xlfn.IFS(F1016&lt;=8,"Child",F1016&lt;=17,"Teen",F1016&lt;=35,"Adult",F1016&lt;=55,"Seniour Adult",F1016&gt;=55,"Old Age")</f>
        <v>Adult</v>
      </c>
      <c r="H1016" t="s">
        <v>25</v>
      </c>
      <c r="I1016" t="s">
        <v>19</v>
      </c>
      <c r="J1016" t="str" cm="1">
        <f t="array" ref="J1016">_xlfn.IFS(I1016="S","Southamptom",I1016="Q","Quentown",I1016="C","Cherbrug",I1016="B","Cabin")</f>
        <v>Cherbrug</v>
      </c>
      <c r="K1016" t="s">
        <v>15</v>
      </c>
      <c r="L1016" s="2">
        <v>135.1208</v>
      </c>
      <c r="M1016" s="2" t="str" cm="1">
        <f t="array" ref="M1016">_xlfn.IFS(L1016&lt;=15,"Low Fare",L1016&lt;=35,"Medium Fare",L1016&lt;=100,"High Fare",L1016&gt;=100,"Very High Fare")</f>
        <v>Very High Fare</v>
      </c>
      <c r="N1016" s="2">
        <v>0</v>
      </c>
      <c r="O1016" s="2">
        <v>0</v>
      </c>
      <c r="P1016">
        <f t="shared" si="61"/>
        <v>1</v>
      </c>
      <c r="Q1016" t="str">
        <f t="shared" si="62"/>
        <v>Alone</v>
      </c>
      <c r="R1016" t="str">
        <f t="shared" si="63"/>
        <v>No</v>
      </c>
      <c r="S1016" t="s">
        <v>13</v>
      </c>
    </row>
    <row r="1017" spans="1:19" x14ac:dyDescent="0.3">
      <c r="A1017" s="1" t="s">
        <v>763</v>
      </c>
      <c r="B1017" t="s">
        <v>1602</v>
      </c>
      <c r="C1017" t="s">
        <v>2475</v>
      </c>
      <c r="D1017" t="str">
        <f t="shared" si="60"/>
        <v>Female</v>
      </c>
      <c r="E1017" t="s">
        <v>14</v>
      </c>
      <c r="F1017" s="2">
        <v>22</v>
      </c>
      <c r="G1017" s="2" t="str" cm="1">
        <f t="array" ref="G1017">_xlfn.IFS(F1017&lt;=8,"Child",F1017&lt;=17,"Teen",F1017&lt;=35,"Adult",F1017&lt;=55,"Seniour Adult",F1017&gt;=55,"Old Age")</f>
        <v>Adult</v>
      </c>
      <c r="H1017" t="s">
        <v>10</v>
      </c>
      <c r="I1017" t="s">
        <v>11</v>
      </c>
      <c r="J1017" t="str" cm="1">
        <f t="array" ref="J1017">_xlfn.IFS(I1017="S","Southamptom",I1017="Q","Quentown",I1017="C","Cherbrug",I1017="B","Cabin")</f>
        <v>Southamptom</v>
      </c>
      <c r="K1017" t="s">
        <v>22</v>
      </c>
      <c r="L1017" s="2">
        <v>39.130899999999997</v>
      </c>
      <c r="M1017" s="2" t="str" cm="1">
        <f t="array" ref="M1017">_xlfn.IFS(L1017&lt;=15,"Low Fare",L1017&lt;=35,"Medium Fare",L1017&lt;=100,"High Fare",L1017&gt;=100,"Very High Fare")</f>
        <v>High Fare</v>
      </c>
      <c r="N1017" s="2">
        <v>0</v>
      </c>
      <c r="O1017" s="2">
        <v>0</v>
      </c>
      <c r="P1017">
        <f t="shared" si="61"/>
        <v>1</v>
      </c>
      <c r="Q1017" t="str">
        <f t="shared" si="62"/>
        <v>Alone</v>
      </c>
      <c r="R1017" t="str">
        <f t="shared" si="63"/>
        <v>No</v>
      </c>
      <c r="S1017" t="s">
        <v>13</v>
      </c>
    </row>
    <row r="1018" spans="1:19" x14ac:dyDescent="0.3">
      <c r="A1018" s="1" t="s">
        <v>764</v>
      </c>
      <c r="B1018" t="s">
        <v>1596</v>
      </c>
      <c r="C1018" t="s">
        <v>2476</v>
      </c>
      <c r="D1018" t="str">
        <f t="shared" si="60"/>
        <v>Male</v>
      </c>
      <c r="E1018" t="s">
        <v>9</v>
      </c>
      <c r="F1018" s="2">
        <v>35</v>
      </c>
      <c r="G1018" s="2" t="str" cm="1">
        <f t="array" ref="G1018">_xlfn.IFS(F1018&lt;=8,"Child",F1018&lt;=17,"Teen",F1018&lt;=35,"Adult",F1018&lt;=55,"Seniour Adult",F1018&gt;=55,"Old Age")</f>
        <v>Adult</v>
      </c>
      <c r="H1018" t="s">
        <v>10</v>
      </c>
      <c r="I1018" t="s">
        <v>11</v>
      </c>
      <c r="J1018" t="str" cm="1">
        <f t="array" ref="J1018">_xlfn.IFS(I1018="S","Southamptom",I1018="Q","Quentown",I1018="C","Cherbrug",I1018="B","Cabin")</f>
        <v>Southamptom</v>
      </c>
      <c r="K1018" t="s">
        <v>22</v>
      </c>
      <c r="L1018" s="2">
        <v>7.0206</v>
      </c>
      <c r="M1018" s="2" t="str" cm="1">
        <f t="array" ref="M1018">_xlfn.IFS(L1018&lt;=15,"Low Fare",L1018&lt;=35,"Medium Fare",L1018&lt;=100,"High Fare",L1018&gt;=100,"Very High Fare")</f>
        <v>Low Fare</v>
      </c>
      <c r="N1018" s="2">
        <v>0</v>
      </c>
      <c r="O1018" s="2">
        <v>0</v>
      </c>
      <c r="P1018">
        <f t="shared" si="61"/>
        <v>1</v>
      </c>
      <c r="Q1018" t="str">
        <f t="shared" si="62"/>
        <v>Alone</v>
      </c>
      <c r="R1018" t="str">
        <f t="shared" si="63"/>
        <v>No</v>
      </c>
      <c r="S1018" t="s">
        <v>13</v>
      </c>
    </row>
    <row r="1019" spans="1:19" x14ac:dyDescent="0.3">
      <c r="A1019" s="1" t="s">
        <v>765</v>
      </c>
      <c r="B1019" t="s">
        <v>1602</v>
      </c>
      <c r="C1019" t="s">
        <v>1606</v>
      </c>
      <c r="D1019" t="str">
        <f t="shared" si="60"/>
        <v>Female</v>
      </c>
      <c r="E1019" t="s">
        <v>14</v>
      </c>
      <c r="F1019" s="2">
        <v>22</v>
      </c>
      <c r="G1019" s="2" t="str" cm="1">
        <f t="array" ref="G1019">_xlfn.IFS(F1019&lt;=8,"Child",F1019&lt;=17,"Teen",F1019&lt;=35,"Adult",F1019&lt;=55,"Seniour Adult",F1019&gt;=55,"Old Age")</f>
        <v>Adult</v>
      </c>
      <c r="H1019" t="s">
        <v>10</v>
      </c>
      <c r="I1019" t="s">
        <v>36</v>
      </c>
      <c r="J1019" t="str" cm="1">
        <f t="array" ref="J1019">_xlfn.IFS(I1019="S","Southamptom",I1019="Q","Quentown",I1019="C","Cherbrug",I1019="B","Cabin")</f>
        <v>Quentown</v>
      </c>
      <c r="K1019" t="s">
        <v>37</v>
      </c>
      <c r="L1019" s="2">
        <v>7.1405000000000003</v>
      </c>
      <c r="M1019" s="2" t="str" cm="1">
        <f t="array" ref="M1019">_xlfn.IFS(L1019&lt;=15,"Low Fare",L1019&lt;=35,"Medium Fare",L1019&lt;=100,"High Fare",L1019&gt;=100,"Very High Fare")</f>
        <v>Low Fare</v>
      </c>
      <c r="N1019" s="2">
        <v>0</v>
      </c>
      <c r="O1019" s="2">
        <v>0</v>
      </c>
      <c r="P1019">
        <f t="shared" si="61"/>
        <v>1</v>
      </c>
      <c r="Q1019" t="str">
        <f t="shared" si="62"/>
        <v>Alone</v>
      </c>
      <c r="R1019" t="str">
        <f t="shared" si="63"/>
        <v>Yes</v>
      </c>
      <c r="S1019" t="s">
        <v>16</v>
      </c>
    </row>
    <row r="1020" spans="1:19" x14ac:dyDescent="0.3">
      <c r="A1020" s="1" t="s">
        <v>766</v>
      </c>
      <c r="B1020" t="s">
        <v>1596</v>
      </c>
      <c r="C1020" t="s">
        <v>2477</v>
      </c>
      <c r="D1020" t="str">
        <f t="shared" si="60"/>
        <v>Male</v>
      </c>
      <c r="E1020" t="s">
        <v>9</v>
      </c>
      <c r="F1020" s="2">
        <v>69</v>
      </c>
      <c r="G1020" s="2" t="str" cm="1">
        <f t="array" ref="G1020">_xlfn.IFS(F1020&lt;=8,"Child",F1020&lt;=17,"Teen",F1020&lt;=35,"Adult",F1020&lt;=55,"Seniour Adult",F1020&gt;=55,"Old Age")</f>
        <v>Old Age</v>
      </c>
      <c r="H1020" t="s">
        <v>10</v>
      </c>
      <c r="I1020" t="s">
        <v>11</v>
      </c>
      <c r="J1020" t="str" cm="1">
        <f t="array" ref="J1020">_xlfn.IFS(I1020="S","Southamptom",I1020="Q","Quentown",I1020="C","Cherbrug",I1020="B","Cabin")</f>
        <v>Southamptom</v>
      </c>
      <c r="K1020" t="s">
        <v>15</v>
      </c>
      <c r="L1020" s="2">
        <v>14.1</v>
      </c>
      <c r="M1020" s="2" t="str" cm="1">
        <f t="array" ref="M1020">_xlfn.IFS(L1020&lt;=15,"Low Fare",L1020&lt;=35,"Medium Fare",L1020&lt;=100,"High Fare",L1020&gt;=100,"Very High Fare")</f>
        <v>Low Fare</v>
      </c>
      <c r="N1020" s="2">
        <v>0</v>
      </c>
      <c r="O1020" s="2">
        <v>0</v>
      </c>
      <c r="P1020">
        <f t="shared" si="61"/>
        <v>1</v>
      </c>
      <c r="Q1020" t="str">
        <f t="shared" si="62"/>
        <v>Alone</v>
      </c>
      <c r="R1020" t="str">
        <f t="shared" si="63"/>
        <v>No</v>
      </c>
      <c r="S1020" t="s">
        <v>13</v>
      </c>
    </row>
    <row r="1021" spans="1:19" x14ac:dyDescent="0.3">
      <c r="A1021" s="1" t="s">
        <v>766</v>
      </c>
      <c r="B1021" t="s">
        <v>1600</v>
      </c>
      <c r="C1021" t="s">
        <v>2478</v>
      </c>
      <c r="D1021" t="str">
        <f t="shared" si="60"/>
        <v>Female</v>
      </c>
      <c r="E1021" t="s">
        <v>14</v>
      </c>
      <c r="F1021" s="2">
        <v>64</v>
      </c>
      <c r="G1021" s="2" t="str" cm="1">
        <f t="array" ref="G1021">_xlfn.IFS(F1021&lt;=8,"Child",F1021&lt;=17,"Teen",F1021&lt;=35,"Adult",F1021&lt;=55,"Seniour Adult",F1021&gt;=55,"Old Age")</f>
        <v>Old Age</v>
      </c>
      <c r="H1021" t="s">
        <v>10</v>
      </c>
      <c r="I1021" t="s">
        <v>11</v>
      </c>
      <c r="J1021" t="str" cm="1">
        <f t="array" ref="J1021">_xlfn.IFS(I1021="S","Southamptom",I1021="Q","Quentown",I1021="C","Cherbrug",I1021="B","Cabin")</f>
        <v>Southamptom</v>
      </c>
      <c r="K1021" t="s">
        <v>15</v>
      </c>
      <c r="L1021" s="2">
        <v>14.1</v>
      </c>
      <c r="M1021" s="2" t="str" cm="1">
        <f t="array" ref="M1021">_xlfn.IFS(L1021&lt;=15,"Low Fare",L1021&lt;=35,"Medium Fare",L1021&lt;=100,"High Fare",L1021&gt;=100,"Very High Fare")</f>
        <v>Low Fare</v>
      </c>
      <c r="N1021" s="2">
        <v>0</v>
      </c>
      <c r="O1021" s="2">
        <v>0</v>
      </c>
      <c r="P1021">
        <f t="shared" si="61"/>
        <v>1</v>
      </c>
      <c r="Q1021" t="str">
        <f t="shared" si="62"/>
        <v>Alone</v>
      </c>
      <c r="R1021" t="str">
        <f t="shared" si="63"/>
        <v>No</v>
      </c>
      <c r="S1021" t="s">
        <v>13</v>
      </c>
    </row>
    <row r="1022" spans="1:19" x14ac:dyDescent="0.3">
      <c r="A1022" s="1" t="s">
        <v>767</v>
      </c>
      <c r="B1022" t="s">
        <v>1600</v>
      </c>
      <c r="C1022" t="s">
        <v>1620</v>
      </c>
      <c r="D1022" t="str">
        <f t="shared" si="60"/>
        <v>Female</v>
      </c>
      <c r="E1022" t="s">
        <v>14</v>
      </c>
      <c r="F1022" s="2">
        <v>43</v>
      </c>
      <c r="G1022" s="2" t="str" cm="1">
        <f t="array" ref="G1022">_xlfn.IFS(F1022&lt;=8,"Child",F1022&lt;=17,"Teen",F1022&lt;=35,"Adult",F1022&lt;=55,"Seniour Adult",F1022&gt;=55,"Old Age")</f>
        <v>Seniour Adult</v>
      </c>
      <c r="H1022" t="s">
        <v>25</v>
      </c>
      <c r="I1022" t="s">
        <v>11</v>
      </c>
      <c r="J1022" t="str" cm="1">
        <f t="array" ref="J1022">_xlfn.IFS(I1022="S","Southamptom",I1022="Q","Quentown",I1022="C","Cherbrug",I1022="B","Cabin")</f>
        <v>Southamptom</v>
      </c>
      <c r="K1022" t="s">
        <v>12</v>
      </c>
      <c r="L1022" s="2">
        <v>211.0609</v>
      </c>
      <c r="M1022" s="2" t="str" cm="1">
        <f t="array" ref="M1022">_xlfn.IFS(L1022&lt;=15,"Low Fare",L1022&lt;=35,"Medium Fare",L1022&lt;=100,"High Fare",L1022&gt;=100,"Very High Fare")</f>
        <v>Very High Fare</v>
      </c>
      <c r="N1022" s="2">
        <v>0</v>
      </c>
      <c r="O1022" s="2">
        <v>1</v>
      </c>
      <c r="P1022">
        <f t="shared" si="61"/>
        <v>2</v>
      </c>
      <c r="Q1022" t="str">
        <f t="shared" si="62"/>
        <v>With Family</v>
      </c>
      <c r="R1022" t="str">
        <f t="shared" si="63"/>
        <v>Yes</v>
      </c>
      <c r="S1022" t="s">
        <v>16</v>
      </c>
    </row>
    <row r="1023" spans="1:19" x14ac:dyDescent="0.3">
      <c r="A1023" s="1" t="s">
        <v>768</v>
      </c>
      <c r="B1023" t="s">
        <v>1596</v>
      </c>
      <c r="C1023" t="s">
        <v>2479</v>
      </c>
      <c r="D1023" t="str">
        <f t="shared" si="60"/>
        <v>Male</v>
      </c>
      <c r="E1023" t="s">
        <v>9</v>
      </c>
      <c r="F1023" s="2">
        <v>50</v>
      </c>
      <c r="G1023" s="2" t="str" cm="1">
        <f t="array" ref="G1023">_xlfn.IFS(F1023&lt;=8,"Child",F1023&lt;=17,"Teen",F1023&lt;=35,"Adult",F1023&lt;=55,"Seniour Adult",F1023&gt;=55,"Old Age")</f>
        <v>Seniour Adult</v>
      </c>
      <c r="H1023" t="s">
        <v>10</v>
      </c>
      <c r="I1023" t="s">
        <v>11</v>
      </c>
      <c r="J1023" t="str" cm="1">
        <f t="array" ref="J1023">_xlfn.IFS(I1023="S","Southamptom",I1023="Q","Quentown",I1023="C","Cherbrug",I1023="B","Cabin")</f>
        <v>Southamptom</v>
      </c>
      <c r="K1023" t="s">
        <v>15</v>
      </c>
      <c r="L1023" s="2">
        <v>14.1</v>
      </c>
      <c r="M1023" s="2" t="str" cm="1">
        <f t="array" ref="M1023">_xlfn.IFS(L1023&lt;=15,"Low Fare",L1023&lt;=35,"Medium Fare",L1023&lt;=100,"High Fare",L1023&gt;=100,"Very High Fare")</f>
        <v>Low Fare</v>
      </c>
      <c r="N1023" s="2">
        <v>1</v>
      </c>
      <c r="O1023" s="2">
        <v>0</v>
      </c>
      <c r="P1023">
        <f t="shared" si="61"/>
        <v>2</v>
      </c>
      <c r="Q1023" t="str">
        <f t="shared" si="62"/>
        <v>With Family</v>
      </c>
      <c r="R1023" t="str">
        <f t="shared" si="63"/>
        <v>No</v>
      </c>
      <c r="S1023" t="s">
        <v>13</v>
      </c>
    </row>
    <row r="1024" spans="1:19" x14ac:dyDescent="0.3">
      <c r="A1024" s="1" t="s">
        <v>768</v>
      </c>
      <c r="B1024" t="s">
        <v>1600</v>
      </c>
      <c r="C1024" t="s">
        <v>2480</v>
      </c>
      <c r="D1024" t="str">
        <f t="shared" si="60"/>
        <v>Female</v>
      </c>
      <c r="E1024" t="s">
        <v>14</v>
      </c>
      <c r="F1024" s="2">
        <v>48</v>
      </c>
      <c r="G1024" s="2" t="str" cm="1">
        <f t="array" ref="G1024">_xlfn.IFS(F1024&lt;=8,"Child",F1024&lt;=17,"Teen",F1024&lt;=35,"Adult",F1024&lt;=55,"Seniour Adult",F1024&gt;=55,"Old Age")</f>
        <v>Seniour Adult</v>
      </c>
      <c r="H1024" t="s">
        <v>10</v>
      </c>
      <c r="I1024" t="s">
        <v>11</v>
      </c>
      <c r="J1024" t="str" cm="1">
        <f t="array" ref="J1024">_xlfn.IFS(I1024="S","Southamptom",I1024="Q","Quentown",I1024="C","Cherbrug",I1024="B","Cabin")</f>
        <v>Southamptom</v>
      </c>
      <c r="K1024" t="s">
        <v>15</v>
      </c>
      <c r="L1024" s="2">
        <v>14.1</v>
      </c>
      <c r="M1024" s="2" t="str" cm="1">
        <f t="array" ref="M1024">_xlfn.IFS(L1024&lt;=15,"Low Fare",L1024&lt;=35,"Medium Fare",L1024&lt;=100,"High Fare",L1024&gt;=100,"Very High Fare")</f>
        <v>Low Fare</v>
      </c>
      <c r="N1024" s="2">
        <v>1</v>
      </c>
      <c r="O1024" s="2">
        <v>0</v>
      </c>
      <c r="P1024">
        <f t="shared" si="61"/>
        <v>2</v>
      </c>
      <c r="Q1024" t="str">
        <f t="shared" si="62"/>
        <v>With Family</v>
      </c>
      <c r="R1024" t="str">
        <f t="shared" si="63"/>
        <v>No</v>
      </c>
      <c r="S1024" t="s">
        <v>13</v>
      </c>
    </row>
    <row r="1025" spans="1:19" x14ac:dyDescent="0.3">
      <c r="A1025" s="1" t="s">
        <v>768</v>
      </c>
      <c r="B1025" t="s">
        <v>1596</v>
      </c>
      <c r="C1025" t="s">
        <v>2427</v>
      </c>
      <c r="D1025" t="str">
        <f t="shared" si="60"/>
        <v>Male</v>
      </c>
      <c r="E1025" t="s">
        <v>9</v>
      </c>
      <c r="F1025" s="2">
        <v>45</v>
      </c>
      <c r="G1025" s="2" t="str" cm="1">
        <f t="array" ref="G1025">_xlfn.IFS(F1025&lt;=8,"Child",F1025&lt;=17,"Teen",F1025&lt;=35,"Adult",F1025&lt;=55,"Seniour Adult",F1025&gt;=55,"Old Age")</f>
        <v>Seniour Adult</v>
      </c>
      <c r="H1025" t="s">
        <v>25</v>
      </c>
      <c r="I1025" t="s">
        <v>19</v>
      </c>
      <c r="J1025" t="str" cm="1">
        <f t="array" ref="J1025">_xlfn.IFS(I1025="S","Southamptom",I1025="Q","Quentown",I1025="C","Cherbrug",I1025="B","Cabin")</f>
        <v>Cherbrug</v>
      </c>
      <c r="K1025" t="s">
        <v>15</v>
      </c>
      <c r="L1025" s="2">
        <v>247.10059999999999</v>
      </c>
      <c r="M1025" s="2" t="str" cm="1">
        <f t="array" ref="M1025">_xlfn.IFS(L1025&lt;=15,"Low Fare",L1025&lt;=35,"Medium Fare",L1025&lt;=100,"High Fare",L1025&gt;=100,"Very High Fare")</f>
        <v>Very High Fare</v>
      </c>
      <c r="N1025" s="2">
        <v>0</v>
      </c>
      <c r="O1025" s="2">
        <v>0</v>
      </c>
      <c r="P1025">
        <f t="shared" si="61"/>
        <v>1</v>
      </c>
      <c r="Q1025" t="str">
        <f t="shared" si="62"/>
        <v>Alone</v>
      </c>
      <c r="R1025" t="str">
        <f t="shared" si="63"/>
        <v>No</v>
      </c>
      <c r="S1025" t="s">
        <v>13</v>
      </c>
    </row>
    <row r="1026" spans="1:19" x14ac:dyDescent="0.3">
      <c r="A1026" s="1" t="s">
        <v>769</v>
      </c>
      <c r="B1026" t="s">
        <v>1596</v>
      </c>
      <c r="C1026" t="s">
        <v>2481</v>
      </c>
      <c r="D1026" t="str">
        <f t="shared" si="60"/>
        <v>Male</v>
      </c>
      <c r="E1026" t="s">
        <v>9</v>
      </c>
      <c r="F1026" s="2">
        <v>31</v>
      </c>
      <c r="G1026" s="2" t="str" cm="1">
        <f t="array" ref="G1026">_xlfn.IFS(F1026&lt;=8,"Child",F1026&lt;=17,"Teen",F1026&lt;=35,"Adult",F1026&lt;=55,"Seniour Adult",F1026&gt;=55,"Old Age")</f>
        <v>Adult</v>
      </c>
      <c r="H1026" t="s">
        <v>25</v>
      </c>
      <c r="I1026" t="s">
        <v>11</v>
      </c>
      <c r="J1026" t="str" cm="1">
        <f t="array" ref="J1026">_xlfn.IFS(I1026="S","Southamptom",I1026="Q","Quentown",I1026="C","Cherbrug",I1026="B","Cabin")</f>
        <v>Southamptom</v>
      </c>
      <c r="K1026" t="s">
        <v>12</v>
      </c>
      <c r="L1026" s="2">
        <v>50.091099999999997</v>
      </c>
      <c r="M1026" s="2" t="str" cm="1">
        <f t="array" ref="M1026">_xlfn.IFS(L1026&lt;=15,"Low Fare",L1026&lt;=35,"Medium Fare",L1026&lt;=100,"High Fare",L1026&gt;=100,"Very High Fare")</f>
        <v>High Fare</v>
      </c>
      <c r="N1026" s="2">
        <v>0</v>
      </c>
      <c r="O1026" s="2">
        <v>0</v>
      </c>
      <c r="P1026">
        <f t="shared" si="61"/>
        <v>1</v>
      </c>
      <c r="Q1026" t="str">
        <f t="shared" si="62"/>
        <v>Alone</v>
      </c>
      <c r="R1026" t="str">
        <f t="shared" si="63"/>
        <v>No</v>
      </c>
      <c r="S1026" t="s">
        <v>13</v>
      </c>
    </row>
    <row r="1027" spans="1:19" x14ac:dyDescent="0.3">
      <c r="A1027" s="1" t="s">
        <v>770</v>
      </c>
      <c r="B1027" t="s">
        <v>1596</v>
      </c>
      <c r="C1027" t="s">
        <v>2482</v>
      </c>
      <c r="D1027" t="str">
        <f t="shared" ref="D1027:D1090" si="64">PROPER(E1027)</f>
        <v>Male</v>
      </c>
      <c r="E1027" t="s">
        <v>9</v>
      </c>
      <c r="F1027" s="2">
        <v>18</v>
      </c>
      <c r="G1027" s="2" t="str" cm="1">
        <f t="array" ref="G1027">_xlfn.IFS(F1027&lt;=8,"Child",F1027&lt;=17,"Teen",F1027&lt;=35,"Adult",F1027&lt;=55,"Seniour Adult",F1027&gt;=55,"Old Age")</f>
        <v>Adult</v>
      </c>
      <c r="H1027" t="s">
        <v>18</v>
      </c>
      <c r="I1027" t="s">
        <v>11</v>
      </c>
      <c r="J1027" t="str" cm="1">
        <f t="array" ref="J1027">_xlfn.IFS(I1027="S","Southamptom",I1027="Q","Quentown",I1027="C","Cherbrug",I1027="B","Cabin")</f>
        <v>Southamptom</v>
      </c>
      <c r="K1027" t="s">
        <v>15</v>
      </c>
      <c r="L1027" s="2">
        <v>10.1</v>
      </c>
      <c r="M1027" s="2" t="str" cm="1">
        <f t="array" ref="M1027">_xlfn.IFS(L1027&lt;=15,"Low Fare",L1027&lt;=35,"Medium Fare",L1027&lt;=100,"High Fare",L1027&gt;=100,"Very High Fare")</f>
        <v>Low Fare</v>
      </c>
      <c r="N1027" s="2">
        <v>0</v>
      </c>
      <c r="O1027" s="2">
        <v>0</v>
      </c>
      <c r="P1027">
        <f t="shared" ref="P1027:P1090" si="65">N1027+O1027+1</f>
        <v>1</v>
      </c>
      <c r="Q1027" t="str">
        <f t="shared" ref="Q1027:Q1090" si="66">IF(P1027=1,"Alone","With Family")</f>
        <v>Alone</v>
      </c>
      <c r="R1027" t="str">
        <f t="shared" ref="R1027:R1090" si="67">PROPER(S1027)</f>
        <v>No</v>
      </c>
      <c r="S1027" t="s">
        <v>13</v>
      </c>
    </row>
    <row r="1028" spans="1:19" x14ac:dyDescent="0.3">
      <c r="A1028" s="1" t="s">
        <v>770</v>
      </c>
      <c r="B1028" t="s">
        <v>1596</v>
      </c>
      <c r="C1028" t="s">
        <v>1716</v>
      </c>
      <c r="D1028" t="str">
        <f t="shared" si="64"/>
        <v>Male</v>
      </c>
      <c r="E1028" t="s">
        <v>9</v>
      </c>
      <c r="F1028" s="2">
        <v>30</v>
      </c>
      <c r="G1028" s="2" t="str" cm="1">
        <f t="array" ref="G1028">_xlfn.IFS(F1028&lt;=8,"Child",F1028&lt;=17,"Teen",F1028&lt;=35,"Adult",F1028&lt;=55,"Seniour Adult",F1028&gt;=55,"Old Age")</f>
        <v>Adult</v>
      </c>
      <c r="H1028" t="s">
        <v>10</v>
      </c>
      <c r="I1028" t="s">
        <v>11</v>
      </c>
      <c r="J1028" t="str" cm="1">
        <f t="array" ref="J1028">_xlfn.IFS(I1028="S","Southamptom",I1028="Q","Quentown",I1028="C","Cherbrug",I1028="B","Cabin")</f>
        <v>Southamptom</v>
      </c>
      <c r="K1028" t="s">
        <v>40</v>
      </c>
      <c r="L1028" s="2">
        <v>8.01</v>
      </c>
      <c r="M1028" s="2" t="str" cm="1">
        <f t="array" ref="M1028">_xlfn.IFS(L1028&lt;=15,"Low Fare",L1028&lt;=35,"Medium Fare",L1028&lt;=100,"High Fare",L1028&gt;=100,"Very High Fare")</f>
        <v>Low Fare</v>
      </c>
      <c r="N1028" s="2">
        <v>0</v>
      </c>
      <c r="O1028" s="2">
        <v>0</v>
      </c>
      <c r="P1028">
        <f t="shared" si="65"/>
        <v>1</v>
      </c>
      <c r="Q1028" t="str">
        <f t="shared" si="66"/>
        <v>Alone</v>
      </c>
      <c r="R1028" t="str">
        <f t="shared" si="67"/>
        <v>No</v>
      </c>
      <c r="S1028" t="s">
        <v>13</v>
      </c>
    </row>
    <row r="1029" spans="1:19" x14ac:dyDescent="0.3">
      <c r="A1029" s="1" t="s">
        <v>771</v>
      </c>
      <c r="B1029" t="s">
        <v>1596</v>
      </c>
      <c r="C1029" t="s">
        <v>2483</v>
      </c>
      <c r="D1029" t="str">
        <f t="shared" si="64"/>
        <v>Male</v>
      </c>
      <c r="E1029" t="s">
        <v>9</v>
      </c>
      <c r="F1029" s="2">
        <v>45</v>
      </c>
      <c r="G1029" s="2" t="str" cm="1">
        <f t="array" ref="G1029">_xlfn.IFS(F1029&lt;=8,"Child",F1029&lt;=17,"Teen",F1029&lt;=35,"Adult",F1029&lt;=55,"Seniour Adult",F1029&gt;=55,"Old Age")</f>
        <v>Seniour Adult</v>
      </c>
      <c r="H1029" t="s">
        <v>25</v>
      </c>
      <c r="I1029" t="s">
        <v>11</v>
      </c>
      <c r="J1029" t="str" cm="1">
        <f t="array" ref="J1029">_xlfn.IFS(I1029="S","Southamptom",I1029="Q","Quentown",I1029="C","Cherbrug",I1029="B","Cabin")</f>
        <v>Southamptom</v>
      </c>
      <c r="K1029" t="s">
        <v>12</v>
      </c>
      <c r="L1029" s="2">
        <v>26.11</v>
      </c>
      <c r="M1029" s="2" t="str" cm="1">
        <f t="array" ref="M1029">_xlfn.IFS(L1029&lt;=15,"Low Fare",L1029&lt;=35,"Medium Fare",L1029&lt;=100,"High Fare",L1029&gt;=100,"Very High Fare")</f>
        <v>Medium Fare</v>
      </c>
      <c r="N1029" s="2">
        <v>0</v>
      </c>
      <c r="O1029" s="2">
        <v>0</v>
      </c>
      <c r="P1029">
        <f t="shared" si="65"/>
        <v>1</v>
      </c>
      <c r="Q1029" t="str">
        <f t="shared" si="66"/>
        <v>Alone</v>
      </c>
      <c r="R1029" t="str">
        <f t="shared" si="67"/>
        <v>Yes</v>
      </c>
      <c r="S1029" t="s">
        <v>16</v>
      </c>
    </row>
    <row r="1030" spans="1:19" x14ac:dyDescent="0.3">
      <c r="A1030" s="1" t="s">
        <v>772</v>
      </c>
      <c r="B1030" t="s">
        <v>1596</v>
      </c>
      <c r="C1030" t="s">
        <v>2484</v>
      </c>
      <c r="D1030" t="str">
        <f t="shared" si="64"/>
        <v>Male</v>
      </c>
      <c r="E1030" t="s">
        <v>9</v>
      </c>
      <c r="F1030" s="2">
        <v>49</v>
      </c>
      <c r="G1030" s="2" t="str" cm="1">
        <f t="array" ref="G1030">_xlfn.IFS(F1030&lt;=8,"Child",F1030&lt;=17,"Teen",F1030&lt;=35,"Adult",F1030&lt;=55,"Seniour Adult",F1030&gt;=55,"Old Age")</f>
        <v>Seniour Adult</v>
      </c>
      <c r="H1030" t="s">
        <v>10</v>
      </c>
      <c r="I1030" t="s">
        <v>11</v>
      </c>
      <c r="J1030" t="str" cm="1">
        <f t="array" ref="J1030">_xlfn.IFS(I1030="S","Southamptom",I1030="Q","Quentown",I1030="C","Cherbrug",I1030="B","Cabin")</f>
        <v>Southamptom</v>
      </c>
      <c r="K1030" t="s">
        <v>17</v>
      </c>
      <c r="L1030" s="2">
        <v>7.1505999999999998</v>
      </c>
      <c r="M1030" s="2" t="str" cm="1">
        <f t="array" ref="M1030">_xlfn.IFS(L1030&lt;=15,"Low Fare",L1030&lt;=35,"Medium Fare",L1030&lt;=100,"High Fare",L1030&gt;=100,"Very High Fare")</f>
        <v>Low Fare</v>
      </c>
      <c r="N1030" s="2">
        <v>0</v>
      </c>
      <c r="O1030" s="2">
        <v>0</v>
      </c>
      <c r="P1030">
        <f t="shared" si="65"/>
        <v>1</v>
      </c>
      <c r="Q1030" t="str">
        <f t="shared" si="66"/>
        <v>Alone</v>
      </c>
      <c r="R1030" t="str">
        <f t="shared" si="67"/>
        <v>No</v>
      </c>
      <c r="S1030" t="s">
        <v>13</v>
      </c>
    </row>
    <row r="1031" spans="1:19" x14ac:dyDescent="0.3">
      <c r="A1031" s="1" t="s">
        <v>773</v>
      </c>
      <c r="B1031" t="s">
        <v>1596</v>
      </c>
      <c r="C1031" t="s">
        <v>2485</v>
      </c>
      <c r="D1031" t="str">
        <f t="shared" si="64"/>
        <v>Male</v>
      </c>
      <c r="E1031" t="s">
        <v>9</v>
      </c>
      <c r="F1031" s="2">
        <v>39</v>
      </c>
      <c r="G1031" s="2" t="str" cm="1">
        <f t="array" ref="G1031">_xlfn.IFS(F1031&lt;=8,"Child",F1031&lt;=17,"Teen",F1031&lt;=35,"Adult",F1031&lt;=55,"Seniour Adult",F1031&gt;=55,"Old Age")</f>
        <v>Seniour Adult</v>
      </c>
      <c r="H1031" t="s">
        <v>25</v>
      </c>
      <c r="I1031" t="s">
        <v>11</v>
      </c>
      <c r="J1031" t="str" cm="1">
        <f t="array" ref="J1031">_xlfn.IFS(I1031="S","Southamptom",I1031="Q","Quentown",I1031="C","Cherbrug",I1031="B","Cabin")</f>
        <v>Southamptom</v>
      </c>
      <c r="K1031" t="s">
        <v>12</v>
      </c>
      <c r="L1031" s="2">
        <v>50</v>
      </c>
      <c r="M1031" s="2" t="str" cm="1">
        <f t="array" ref="M1031">_xlfn.IFS(L1031&lt;=15,"Low Fare",L1031&lt;=35,"Medium Fare",L1031&lt;=100,"High Fare",L1031&gt;=100,"Very High Fare")</f>
        <v>High Fare</v>
      </c>
      <c r="N1031" s="2">
        <v>0</v>
      </c>
      <c r="O1031" s="2">
        <v>0</v>
      </c>
      <c r="P1031">
        <f t="shared" si="65"/>
        <v>1</v>
      </c>
      <c r="Q1031" t="str">
        <f t="shared" si="66"/>
        <v>Alone</v>
      </c>
      <c r="R1031" t="str">
        <f t="shared" si="67"/>
        <v>No</v>
      </c>
      <c r="S1031" t="s">
        <v>13</v>
      </c>
    </row>
    <row r="1032" spans="1:19" x14ac:dyDescent="0.3">
      <c r="A1032" s="1" t="s">
        <v>774</v>
      </c>
      <c r="B1032" t="s">
        <v>1602</v>
      </c>
      <c r="C1032" t="s">
        <v>2486</v>
      </c>
      <c r="D1032" t="str">
        <f t="shared" si="64"/>
        <v>Female</v>
      </c>
      <c r="E1032" t="s">
        <v>14</v>
      </c>
      <c r="F1032" s="2">
        <v>2</v>
      </c>
      <c r="G1032" s="2" t="str" cm="1">
        <f t="array" ref="G1032">_xlfn.IFS(F1032&lt;=8,"Child",F1032&lt;=17,"Teen",F1032&lt;=35,"Adult",F1032&lt;=55,"Seniour Adult",F1032&gt;=55,"Old Age")</f>
        <v>Child</v>
      </c>
      <c r="H1032" t="s">
        <v>10</v>
      </c>
      <c r="I1032" t="s">
        <v>11</v>
      </c>
      <c r="J1032" t="str" cm="1">
        <f t="array" ref="J1032">_xlfn.IFS(I1032="S","Southamptom",I1032="Q","Quentown",I1032="C","Cherbrug",I1032="B","Cabin")</f>
        <v>Southamptom</v>
      </c>
      <c r="K1032" t="s">
        <v>22</v>
      </c>
      <c r="L1032" s="2">
        <v>20.040299999999998</v>
      </c>
      <c r="M1032" s="2" t="str" cm="1">
        <f t="array" ref="M1032">_xlfn.IFS(L1032&lt;=15,"Low Fare",L1032&lt;=35,"Medium Fare",L1032&lt;=100,"High Fare",L1032&gt;=100,"Very High Fare")</f>
        <v>Medium Fare</v>
      </c>
      <c r="N1032" s="2">
        <v>1</v>
      </c>
      <c r="O1032" s="2">
        <v>1</v>
      </c>
      <c r="P1032">
        <f t="shared" si="65"/>
        <v>3</v>
      </c>
      <c r="Q1032" t="str">
        <f t="shared" si="66"/>
        <v>With Family</v>
      </c>
      <c r="R1032" t="str">
        <f t="shared" si="67"/>
        <v>No</v>
      </c>
      <c r="S1032" t="s">
        <v>13</v>
      </c>
    </row>
    <row r="1033" spans="1:19" x14ac:dyDescent="0.3">
      <c r="A1033" s="1" t="s">
        <v>774</v>
      </c>
      <c r="B1033" t="s">
        <v>1600</v>
      </c>
      <c r="C1033" t="s">
        <v>2487</v>
      </c>
      <c r="D1033" t="str">
        <f t="shared" si="64"/>
        <v>Female</v>
      </c>
      <c r="E1033" t="s">
        <v>14</v>
      </c>
      <c r="F1033" s="2">
        <v>41</v>
      </c>
      <c r="G1033" s="2" t="str" cm="1">
        <f t="array" ref="G1033">_xlfn.IFS(F1033&lt;=8,"Child",F1033&lt;=17,"Teen",F1033&lt;=35,"Adult",F1033&lt;=55,"Seniour Adult",F1033&gt;=55,"Old Age")</f>
        <v>Seniour Adult</v>
      </c>
      <c r="H1033" t="s">
        <v>10</v>
      </c>
      <c r="I1033" t="s">
        <v>11</v>
      </c>
      <c r="J1033" t="str" cm="1">
        <f t="array" ref="J1033">_xlfn.IFS(I1033="S","Southamptom",I1033="Q","Quentown",I1033="C","Cherbrug",I1033="B","Cabin")</f>
        <v>Southamptom</v>
      </c>
      <c r="K1033" t="s">
        <v>22</v>
      </c>
      <c r="L1033" s="2">
        <v>20.040299999999998</v>
      </c>
      <c r="M1033" s="2" t="str" cm="1">
        <f t="array" ref="M1033">_xlfn.IFS(L1033&lt;=15,"Low Fare",L1033&lt;=35,"Medium Fare",L1033&lt;=100,"High Fare",L1033&gt;=100,"Very High Fare")</f>
        <v>Medium Fare</v>
      </c>
      <c r="N1033" s="2">
        <v>0</v>
      </c>
      <c r="O1033" s="2">
        <v>2</v>
      </c>
      <c r="P1033">
        <f t="shared" si="65"/>
        <v>3</v>
      </c>
      <c r="Q1033" t="str">
        <f t="shared" si="66"/>
        <v>With Family</v>
      </c>
      <c r="R1033" t="str">
        <f t="shared" si="67"/>
        <v>No</v>
      </c>
      <c r="S1033" t="s">
        <v>13</v>
      </c>
    </row>
    <row r="1034" spans="1:19" x14ac:dyDescent="0.3">
      <c r="A1034" s="1" t="s">
        <v>774</v>
      </c>
      <c r="B1034" t="s">
        <v>1596</v>
      </c>
      <c r="C1034" t="s">
        <v>2488</v>
      </c>
      <c r="D1034" t="str">
        <f t="shared" si="64"/>
        <v>Male</v>
      </c>
      <c r="E1034" t="s">
        <v>9</v>
      </c>
      <c r="F1034" s="2">
        <v>18</v>
      </c>
      <c r="G1034" s="2" t="str" cm="1">
        <f t="array" ref="G1034">_xlfn.IFS(F1034&lt;=8,"Child",F1034&lt;=17,"Teen",F1034&lt;=35,"Adult",F1034&lt;=55,"Seniour Adult",F1034&gt;=55,"Old Age")</f>
        <v>Adult</v>
      </c>
      <c r="H1034" t="s">
        <v>10</v>
      </c>
      <c r="I1034" t="s">
        <v>11</v>
      </c>
      <c r="J1034" t="str" cm="1">
        <f t="array" ref="J1034">_xlfn.IFS(I1034="S","Southamptom",I1034="Q","Quentown",I1034="C","Cherbrug",I1034="B","Cabin")</f>
        <v>Southamptom</v>
      </c>
      <c r="K1034" t="s">
        <v>22</v>
      </c>
      <c r="L1034" s="2">
        <v>20.040299999999998</v>
      </c>
      <c r="M1034" s="2" t="str" cm="1">
        <f t="array" ref="M1034">_xlfn.IFS(L1034&lt;=15,"Low Fare",L1034&lt;=35,"Medium Fare",L1034&lt;=100,"High Fare",L1034&gt;=100,"Very High Fare")</f>
        <v>Medium Fare</v>
      </c>
      <c r="N1034" s="2">
        <v>1</v>
      </c>
      <c r="O1034" s="2">
        <v>1</v>
      </c>
      <c r="P1034">
        <f t="shared" si="65"/>
        <v>3</v>
      </c>
      <c r="Q1034" t="str">
        <f t="shared" si="66"/>
        <v>With Family</v>
      </c>
      <c r="R1034" t="str">
        <f t="shared" si="67"/>
        <v>No</v>
      </c>
      <c r="S1034" t="s">
        <v>13</v>
      </c>
    </row>
    <row r="1035" spans="1:19" x14ac:dyDescent="0.3">
      <c r="A1035" s="1" t="s">
        <v>775</v>
      </c>
      <c r="B1035" t="s">
        <v>1602</v>
      </c>
      <c r="C1035" t="s">
        <v>2489</v>
      </c>
      <c r="D1035" t="str">
        <f t="shared" si="64"/>
        <v>Female</v>
      </c>
      <c r="E1035" t="s">
        <v>14</v>
      </c>
      <c r="F1035" s="2">
        <v>33</v>
      </c>
      <c r="G1035" s="2" t="str" cm="1">
        <f t="array" ref="G1035">_xlfn.IFS(F1035&lt;=8,"Child",F1035&lt;=17,"Teen",F1035&lt;=35,"Adult",F1035&lt;=55,"Seniour Adult",F1035&gt;=55,"Old Age")</f>
        <v>Adult</v>
      </c>
      <c r="H1035" t="s">
        <v>25</v>
      </c>
      <c r="I1035" t="s">
        <v>19</v>
      </c>
      <c r="J1035" t="str" cm="1">
        <f t="array" ref="J1035">_xlfn.IFS(I1035="S","Southamptom",I1035="Q","Quentown",I1035="C","Cherbrug",I1035="B","Cabin")</f>
        <v>Cherbrug</v>
      </c>
      <c r="K1035" t="s">
        <v>20</v>
      </c>
      <c r="L1035" s="2">
        <v>27.140499999999999</v>
      </c>
      <c r="M1035" s="2" t="str" cm="1">
        <f t="array" ref="M1035">_xlfn.IFS(L1035&lt;=15,"Low Fare",L1035&lt;=35,"Medium Fare",L1035&lt;=100,"High Fare",L1035&gt;=100,"Very High Fare")</f>
        <v>Medium Fare</v>
      </c>
      <c r="N1035" s="2">
        <v>0</v>
      </c>
      <c r="O1035" s="2">
        <v>0</v>
      </c>
      <c r="P1035">
        <f t="shared" si="65"/>
        <v>1</v>
      </c>
      <c r="Q1035" t="str">
        <f t="shared" si="66"/>
        <v>Alone</v>
      </c>
      <c r="R1035" t="str">
        <f t="shared" si="67"/>
        <v>Yes</v>
      </c>
      <c r="S1035" t="s">
        <v>16</v>
      </c>
    </row>
    <row r="1036" spans="1:19" x14ac:dyDescent="0.3">
      <c r="A1036" s="1" t="s">
        <v>776</v>
      </c>
      <c r="B1036" t="s">
        <v>1596</v>
      </c>
      <c r="C1036" t="s">
        <v>2038</v>
      </c>
      <c r="D1036" t="str">
        <f t="shared" si="64"/>
        <v>Male</v>
      </c>
      <c r="E1036" t="s">
        <v>9</v>
      </c>
      <c r="F1036" s="2">
        <v>46</v>
      </c>
      <c r="G1036" s="2" t="str" cm="1">
        <f t="array" ref="G1036">_xlfn.IFS(F1036&lt;=8,"Child",F1036&lt;=17,"Teen",F1036&lt;=35,"Adult",F1036&lt;=55,"Seniour Adult",F1036&gt;=55,"Old Age")</f>
        <v>Seniour Adult</v>
      </c>
      <c r="H1036" t="s">
        <v>25</v>
      </c>
      <c r="I1036" t="s">
        <v>19</v>
      </c>
      <c r="J1036" t="str" cm="1">
        <f t="array" ref="J1036">_xlfn.IFS(I1036="S","Southamptom",I1036="Q","Quentown",I1036="C","Cherbrug",I1036="B","Cabin")</f>
        <v>Cherbrug</v>
      </c>
      <c r="K1036" t="s">
        <v>12</v>
      </c>
      <c r="L1036" s="2">
        <v>79</v>
      </c>
      <c r="M1036" s="2" t="str" cm="1">
        <f t="array" ref="M1036">_xlfn.IFS(L1036&lt;=15,"Low Fare",L1036&lt;=35,"Medium Fare",L1036&lt;=100,"High Fare",L1036&gt;=100,"Very High Fare")</f>
        <v>High Fare</v>
      </c>
      <c r="N1036" s="2">
        <v>0</v>
      </c>
      <c r="O1036" s="2">
        <v>0</v>
      </c>
      <c r="P1036">
        <f t="shared" si="65"/>
        <v>1</v>
      </c>
      <c r="Q1036" t="str">
        <f t="shared" si="66"/>
        <v>Alone</v>
      </c>
      <c r="R1036" t="str">
        <f t="shared" si="67"/>
        <v>No</v>
      </c>
      <c r="S1036" t="s">
        <v>13</v>
      </c>
    </row>
    <row r="1037" spans="1:19" x14ac:dyDescent="0.3">
      <c r="A1037" s="1" t="s">
        <v>777</v>
      </c>
      <c r="B1037" t="s">
        <v>1596</v>
      </c>
      <c r="C1037" t="s">
        <v>2490</v>
      </c>
      <c r="D1037" t="str">
        <f t="shared" si="64"/>
        <v>Male</v>
      </c>
      <c r="E1037" t="s">
        <v>9</v>
      </c>
      <c r="F1037" s="2">
        <v>36</v>
      </c>
      <c r="G1037" s="2" t="str" cm="1">
        <f t="array" ref="G1037">_xlfn.IFS(F1037&lt;=8,"Child",F1037&lt;=17,"Teen",F1037&lt;=35,"Adult",F1037&lt;=55,"Seniour Adult",F1037&gt;=55,"Old Age")</f>
        <v>Seniour Adult</v>
      </c>
      <c r="H1037" t="s">
        <v>25</v>
      </c>
      <c r="I1037" t="s">
        <v>11</v>
      </c>
      <c r="J1037" t="str" cm="1">
        <f t="array" ref="J1037">_xlfn.IFS(I1037="S","Southamptom",I1037="Q","Quentown",I1037="C","Cherbrug",I1037="B","Cabin")</f>
        <v>Southamptom</v>
      </c>
      <c r="K1037" t="s">
        <v>26</v>
      </c>
      <c r="L1037" s="2">
        <v>40.020600000000002</v>
      </c>
      <c r="M1037" s="2" t="str" cm="1">
        <f t="array" ref="M1037">_xlfn.IFS(L1037&lt;=15,"Low Fare",L1037&lt;=35,"Medium Fare",L1037&lt;=100,"High Fare",L1037&gt;=100,"Very High Fare")</f>
        <v>High Fare</v>
      </c>
      <c r="N1037" s="2">
        <v>0</v>
      </c>
      <c r="O1037" s="2">
        <v>0</v>
      </c>
      <c r="P1037">
        <f t="shared" si="65"/>
        <v>1</v>
      </c>
      <c r="Q1037" t="str">
        <f t="shared" si="66"/>
        <v>Alone</v>
      </c>
      <c r="R1037" t="str">
        <f t="shared" si="67"/>
        <v>No</v>
      </c>
      <c r="S1037" t="s">
        <v>13</v>
      </c>
    </row>
    <row r="1038" spans="1:19" x14ac:dyDescent="0.3">
      <c r="A1038" s="1" t="s">
        <v>778</v>
      </c>
      <c r="B1038" t="s">
        <v>779</v>
      </c>
      <c r="C1038" t="s">
        <v>780</v>
      </c>
      <c r="D1038" t="str">
        <f t="shared" si="64"/>
        <v>Female</v>
      </c>
      <c r="E1038" t="s">
        <v>14</v>
      </c>
      <c r="F1038" s="2">
        <v>33</v>
      </c>
      <c r="G1038" s="2" t="str" cm="1">
        <f t="array" ref="G1038">_xlfn.IFS(F1038&lt;=8,"Child",F1038&lt;=17,"Teen",F1038&lt;=35,"Adult",F1038&lt;=55,"Seniour Adult",F1038&gt;=55,"Old Age")</f>
        <v>Adult</v>
      </c>
      <c r="H1038" t="s">
        <v>25</v>
      </c>
      <c r="I1038" t="s">
        <v>11</v>
      </c>
      <c r="J1038" t="str" cm="1">
        <f t="array" ref="J1038">_xlfn.IFS(I1038="S","Southamptom",I1038="Q","Quentown",I1038="C","Cherbrug",I1038="B","Cabin")</f>
        <v>Southamptom</v>
      </c>
      <c r="K1038" t="s">
        <v>15</v>
      </c>
      <c r="L1038" s="2">
        <v>86.1</v>
      </c>
      <c r="M1038" s="2" t="str" cm="1">
        <f t="array" ref="M1038">_xlfn.IFS(L1038&lt;=15,"Low Fare",L1038&lt;=35,"Medium Fare",L1038&lt;=100,"High Fare",L1038&gt;=100,"Very High Fare")</f>
        <v>High Fare</v>
      </c>
      <c r="N1038" s="2">
        <v>0</v>
      </c>
      <c r="O1038" s="2">
        <v>0</v>
      </c>
      <c r="P1038">
        <f t="shared" si="65"/>
        <v>1</v>
      </c>
      <c r="Q1038" t="str">
        <f t="shared" si="66"/>
        <v>Alone</v>
      </c>
      <c r="R1038" t="str">
        <f t="shared" si="67"/>
        <v>Yes</v>
      </c>
      <c r="S1038" t="s">
        <v>16</v>
      </c>
    </row>
    <row r="1039" spans="1:19" x14ac:dyDescent="0.3">
      <c r="A1039" s="1" t="s">
        <v>781</v>
      </c>
      <c r="B1039" t="s">
        <v>1602</v>
      </c>
      <c r="C1039" t="s">
        <v>2491</v>
      </c>
      <c r="D1039" t="str">
        <f t="shared" si="64"/>
        <v>Female</v>
      </c>
      <c r="E1039" t="s">
        <v>14</v>
      </c>
      <c r="F1039" s="2">
        <v>26</v>
      </c>
      <c r="G1039" s="2" t="str" cm="1">
        <f t="array" ref="G1039">_xlfn.IFS(F1039&lt;=8,"Child",F1039&lt;=17,"Teen",F1039&lt;=35,"Adult",F1039&lt;=55,"Seniour Adult",F1039&gt;=55,"Old Age")</f>
        <v>Adult</v>
      </c>
      <c r="H1039" t="s">
        <v>10</v>
      </c>
      <c r="I1039" t="s">
        <v>11</v>
      </c>
      <c r="J1039" t="str" cm="1">
        <f t="array" ref="J1039">_xlfn.IFS(I1039="S","Southamptom",I1039="Q","Quentown",I1039="C","Cherbrug",I1039="B","Cabin")</f>
        <v>Southamptom</v>
      </c>
      <c r="K1039" t="s">
        <v>60</v>
      </c>
      <c r="L1039" s="2">
        <v>8.01</v>
      </c>
      <c r="M1039" s="2" t="str" cm="1">
        <f t="array" ref="M1039">_xlfn.IFS(L1039&lt;=15,"Low Fare",L1039&lt;=35,"Medium Fare",L1039&lt;=100,"High Fare",L1039&gt;=100,"Very High Fare")</f>
        <v>Low Fare</v>
      </c>
      <c r="N1039" s="2">
        <v>0</v>
      </c>
      <c r="O1039" s="2">
        <v>0</v>
      </c>
      <c r="P1039">
        <f t="shared" si="65"/>
        <v>1</v>
      </c>
      <c r="Q1039" t="str">
        <f t="shared" si="66"/>
        <v>Alone</v>
      </c>
      <c r="R1039" t="str">
        <f t="shared" si="67"/>
        <v>Yes</v>
      </c>
      <c r="S1039" t="s">
        <v>16</v>
      </c>
    </row>
    <row r="1040" spans="1:19" x14ac:dyDescent="0.3">
      <c r="A1040" s="1" t="s">
        <v>782</v>
      </c>
      <c r="B1040" t="s">
        <v>1596</v>
      </c>
      <c r="C1040" t="s">
        <v>2002</v>
      </c>
      <c r="D1040" t="str">
        <f t="shared" si="64"/>
        <v>Male</v>
      </c>
      <c r="E1040" t="s">
        <v>9</v>
      </c>
      <c r="F1040" s="2">
        <v>46</v>
      </c>
      <c r="G1040" s="2" t="str" cm="1">
        <f t="array" ref="G1040">_xlfn.IFS(F1040&lt;=8,"Child",F1040&lt;=17,"Teen",F1040&lt;=35,"Adult",F1040&lt;=55,"Seniour Adult",F1040&gt;=55,"Old Age")</f>
        <v>Seniour Adult</v>
      </c>
      <c r="H1040" t="s">
        <v>25</v>
      </c>
      <c r="I1040" t="s">
        <v>19</v>
      </c>
      <c r="J1040" t="str" cm="1">
        <f t="array" ref="J1040">_xlfn.IFS(I1040="S","Southamptom",I1040="Q","Quentown",I1040="C","Cherbrug",I1040="B","Cabin")</f>
        <v>Cherbrug</v>
      </c>
      <c r="K1040" t="s">
        <v>12</v>
      </c>
      <c r="L1040" s="2">
        <v>59.08</v>
      </c>
      <c r="M1040" s="2" t="str" cm="1">
        <f t="array" ref="M1040">_xlfn.IFS(L1040&lt;=15,"Low Fare",L1040&lt;=35,"Medium Fare",L1040&lt;=100,"High Fare",L1040&gt;=100,"Very High Fare")</f>
        <v>High Fare</v>
      </c>
      <c r="N1040" s="2">
        <v>1</v>
      </c>
      <c r="O1040" s="2">
        <v>0</v>
      </c>
      <c r="P1040">
        <f t="shared" si="65"/>
        <v>2</v>
      </c>
      <c r="Q1040" t="str">
        <f t="shared" si="66"/>
        <v>With Family</v>
      </c>
      <c r="R1040" t="str">
        <f t="shared" si="67"/>
        <v>No</v>
      </c>
      <c r="S1040" t="s">
        <v>13</v>
      </c>
    </row>
    <row r="1041" spans="1:19" x14ac:dyDescent="0.3">
      <c r="A1041" s="1" t="s">
        <v>782</v>
      </c>
      <c r="B1041" t="s">
        <v>1600</v>
      </c>
      <c r="C1041" t="s">
        <v>2492</v>
      </c>
      <c r="D1041" t="str">
        <f t="shared" si="64"/>
        <v>Female</v>
      </c>
      <c r="E1041" t="s">
        <v>14</v>
      </c>
      <c r="F1041" s="2">
        <v>54</v>
      </c>
      <c r="G1041" s="2" t="str" cm="1">
        <f t="array" ref="G1041">_xlfn.IFS(F1041&lt;=8,"Child",F1041&lt;=17,"Teen",F1041&lt;=35,"Adult",F1041&lt;=55,"Seniour Adult",F1041&gt;=55,"Old Age")</f>
        <v>Seniour Adult</v>
      </c>
      <c r="H1041" t="s">
        <v>25</v>
      </c>
      <c r="I1041" t="s">
        <v>19</v>
      </c>
      <c r="J1041" t="str" cm="1">
        <f t="array" ref="J1041">_xlfn.IFS(I1041="S","Southamptom",I1041="Q","Quentown",I1041="C","Cherbrug",I1041="B","Cabin")</f>
        <v>Cherbrug</v>
      </c>
      <c r="K1041" t="s">
        <v>12</v>
      </c>
      <c r="L1041" s="2">
        <v>59.08</v>
      </c>
      <c r="M1041" s="2" t="str" cm="1">
        <f t="array" ref="M1041">_xlfn.IFS(L1041&lt;=15,"Low Fare",L1041&lt;=35,"Medium Fare",L1041&lt;=100,"High Fare",L1041&gt;=100,"Very High Fare")</f>
        <v>High Fare</v>
      </c>
      <c r="N1041" s="2">
        <v>1</v>
      </c>
      <c r="O1041" s="2">
        <v>0</v>
      </c>
      <c r="P1041">
        <f t="shared" si="65"/>
        <v>2</v>
      </c>
      <c r="Q1041" t="str">
        <f t="shared" si="66"/>
        <v>With Family</v>
      </c>
      <c r="R1041" t="str">
        <f t="shared" si="67"/>
        <v>Yes</v>
      </c>
      <c r="S1041" t="s">
        <v>16</v>
      </c>
    </row>
    <row r="1042" spans="1:19" x14ac:dyDescent="0.3">
      <c r="A1042" s="1" t="s">
        <v>783</v>
      </c>
      <c r="B1042" t="s">
        <v>1596</v>
      </c>
      <c r="C1042" t="s">
        <v>2493</v>
      </c>
      <c r="D1042" t="str">
        <f t="shared" si="64"/>
        <v>Male</v>
      </c>
      <c r="E1042" t="s">
        <v>9</v>
      </c>
      <c r="F1042" s="2">
        <v>55</v>
      </c>
      <c r="G1042" s="2" t="str" cm="1">
        <f t="array" ref="G1042">_xlfn.IFS(F1042&lt;=8,"Child",F1042&lt;=17,"Teen",F1042&lt;=35,"Adult",F1042&lt;=55,"Seniour Adult",F1042&gt;=55,"Old Age")</f>
        <v>Seniour Adult</v>
      </c>
      <c r="H1042" t="s">
        <v>10</v>
      </c>
      <c r="I1042" t="s">
        <v>11</v>
      </c>
      <c r="J1042" t="str" cm="1">
        <f t="array" ref="J1042">_xlfn.IFS(I1042="S","Southamptom",I1042="Q","Quentown",I1042="C","Cherbrug",I1042="B","Cabin")</f>
        <v>Southamptom</v>
      </c>
      <c r="K1042" t="s">
        <v>15</v>
      </c>
      <c r="L1042" s="2">
        <v>8.01</v>
      </c>
      <c r="M1042" s="2" t="str" cm="1">
        <f t="array" ref="M1042">_xlfn.IFS(L1042&lt;=15,"Low Fare",L1042&lt;=35,"Medium Fare",L1042&lt;=100,"High Fare",L1042&gt;=100,"Very High Fare")</f>
        <v>Low Fare</v>
      </c>
      <c r="N1042" s="2">
        <v>0</v>
      </c>
      <c r="O1042" s="2">
        <v>0</v>
      </c>
      <c r="P1042">
        <f t="shared" si="65"/>
        <v>1</v>
      </c>
      <c r="Q1042" t="str">
        <f t="shared" si="66"/>
        <v>Alone</v>
      </c>
      <c r="R1042" t="str">
        <f t="shared" si="67"/>
        <v>No</v>
      </c>
      <c r="S1042" t="s">
        <v>13</v>
      </c>
    </row>
    <row r="1043" spans="1:19" x14ac:dyDescent="0.3">
      <c r="A1043" s="1" t="s">
        <v>784</v>
      </c>
      <c r="B1043" t="s">
        <v>1596</v>
      </c>
      <c r="C1043" t="s">
        <v>2494</v>
      </c>
      <c r="D1043" t="str">
        <f t="shared" si="64"/>
        <v>Male</v>
      </c>
      <c r="E1043" t="s">
        <v>9</v>
      </c>
      <c r="F1043" s="2">
        <v>59</v>
      </c>
      <c r="G1043" s="2" t="str" cm="1">
        <f t="array" ref="G1043">_xlfn.IFS(F1043&lt;=8,"Child",F1043&lt;=17,"Teen",F1043&lt;=35,"Adult",F1043&lt;=55,"Seniour Adult",F1043&gt;=55,"Old Age")</f>
        <v>Old Age</v>
      </c>
      <c r="H1043" t="s">
        <v>25</v>
      </c>
      <c r="I1043" t="s">
        <v>11</v>
      </c>
      <c r="J1043" t="str" cm="1">
        <f t="array" ref="J1043">_xlfn.IFS(I1043="S","Southamptom",I1043="Q","Quentown",I1043="C","Cherbrug",I1043="B","Cabin")</f>
        <v>Southamptom</v>
      </c>
      <c r="K1043" t="s">
        <v>49</v>
      </c>
      <c r="L1043" s="2">
        <v>26.11</v>
      </c>
      <c r="M1043" s="2" t="str" cm="1">
        <f t="array" ref="M1043">_xlfn.IFS(L1043&lt;=15,"Low Fare",L1043&lt;=35,"Medium Fare",L1043&lt;=100,"High Fare",L1043&gt;=100,"Very High Fare")</f>
        <v>Medium Fare</v>
      </c>
      <c r="N1043" s="2">
        <v>0</v>
      </c>
      <c r="O1043" s="2">
        <v>0</v>
      </c>
      <c r="P1043">
        <f t="shared" si="65"/>
        <v>1</v>
      </c>
      <c r="Q1043" t="str">
        <f t="shared" si="66"/>
        <v>Alone</v>
      </c>
      <c r="R1043" t="str">
        <f t="shared" si="67"/>
        <v>No</v>
      </c>
      <c r="S1043" t="s">
        <v>13</v>
      </c>
    </row>
    <row r="1044" spans="1:19" x14ac:dyDescent="0.3">
      <c r="A1044" s="1" t="s">
        <v>785</v>
      </c>
      <c r="B1044" t="s">
        <v>1602</v>
      </c>
      <c r="C1044" t="s">
        <v>2472</v>
      </c>
      <c r="D1044" t="str">
        <f t="shared" si="64"/>
        <v>Female</v>
      </c>
      <c r="E1044" t="s">
        <v>14</v>
      </c>
      <c r="F1044" s="2">
        <v>22</v>
      </c>
      <c r="G1044" s="2" t="str" cm="1">
        <f t="array" ref="G1044">_xlfn.IFS(F1044&lt;=8,"Child",F1044&lt;=17,"Teen",F1044&lt;=35,"Adult",F1044&lt;=55,"Seniour Adult",F1044&gt;=55,"Old Age")</f>
        <v>Adult</v>
      </c>
      <c r="H1044" t="s">
        <v>18</v>
      </c>
      <c r="I1044" t="s">
        <v>11</v>
      </c>
      <c r="J1044" t="str" cm="1">
        <f t="array" ref="J1044">_xlfn.IFS(I1044="S","Southamptom",I1044="Q","Quentown",I1044="C","Cherbrug",I1044="B","Cabin")</f>
        <v>Southamptom</v>
      </c>
      <c r="K1044" t="s">
        <v>33</v>
      </c>
      <c r="L1044" s="2">
        <v>10.1</v>
      </c>
      <c r="M1044" s="2" t="str" cm="1">
        <f t="array" ref="M1044">_xlfn.IFS(L1044&lt;=15,"Low Fare",L1044&lt;=35,"Medium Fare",L1044&lt;=100,"High Fare",L1044&gt;=100,"Very High Fare")</f>
        <v>Low Fare</v>
      </c>
      <c r="N1044" s="2">
        <v>0</v>
      </c>
      <c r="O1044" s="2">
        <v>0</v>
      </c>
      <c r="P1044">
        <f t="shared" si="65"/>
        <v>1</v>
      </c>
      <c r="Q1044" t="str">
        <f t="shared" si="66"/>
        <v>Alone</v>
      </c>
      <c r="R1044" t="str">
        <f t="shared" si="67"/>
        <v>Yes</v>
      </c>
      <c r="S1044" t="s">
        <v>16</v>
      </c>
    </row>
    <row r="1045" spans="1:19" x14ac:dyDescent="0.3">
      <c r="A1045" s="1" t="s">
        <v>786</v>
      </c>
      <c r="B1045" t="s">
        <v>1596</v>
      </c>
      <c r="C1045" t="s">
        <v>2495</v>
      </c>
      <c r="D1045" t="str">
        <f t="shared" si="64"/>
        <v>Male</v>
      </c>
      <c r="E1045" t="s">
        <v>9</v>
      </c>
      <c r="F1045" s="2">
        <v>17</v>
      </c>
      <c r="G1045" s="2" t="str" cm="1">
        <f t="array" ref="G1045">_xlfn.IFS(F1045&lt;=8,"Child",F1045&lt;=17,"Teen",F1045&lt;=35,"Adult",F1045&lt;=55,"Seniour Adult",F1045&gt;=55,"Old Age")</f>
        <v>Teen</v>
      </c>
      <c r="H1045" t="s">
        <v>10</v>
      </c>
      <c r="I1045" t="s">
        <v>11</v>
      </c>
      <c r="J1045" t="str" cm="1">
        <f t="array" ref="J1045">_xlfn.IFS(I1045="S","Southamptom",I1045="Q","Quentown",I1045="C","Cherbrug",I1045="B","Cabin")</f>
        <v>Southamptom</v>
      </c>
      <c r="K1045" t="s">
        <v>15</v>
      </c>
      <c r="L1045" s="2">
        <v>8.01</v>
      </c>
      <c r="M1045" s="2" t="str" cm="1">
        <f t="array" ref="M1045">_xlfn.IFS(L1045&lt;=15,"Low Fare",L1045&lt;=35,"Medium Fare",L1045&lt;=100,"High Fare",L1045&gt;=100,"Very High Fare")</f>
        <v>Low Fare</v>
      </c>
      <c r="N1045" s="2">
        <v>0</v>
      </c>
      <c r="O1045" s="2">
        <v>0</v>
      </c>
      <c r="P1045">
        <f t="shared" si="65"/>
        <v>1</v>
      </c>
      <c r="Q1045" t="str">
        <f t="shared" si="66"/>
        <v>Alone</v>
      </c>
      <c r="R1045" t="str">
        <f t="shared" si="67"/>
        <v>No</v>
      </c>
      <c r="S1045" t="s">
        <v>13</v>
      </c>
    </row>
    <row r="1046" spans="1:19" x14ac:dyDescent="0.3">
      <c r="A1046" s="1" t="s">
        <v>787</v>
      </c>
      <c r="B1046" t="s">
        <v>1596</v>
      </c>
      <c r="C1046" t="s">
        <v>1700</v>
      </c>
      <c r="D1046" t="str">
        <f t="shared" si="64"/>
        <v>Male</v>
      </c>
      <c r="E1046" t="s">
        <v>9</v>
      </c>
      <c r="F1046" s="2">
        <v>24</v>
      </c>
      <c r="G1046" s="2" t="str" cm="1">
        <f t="array" ref="G1046">_xlfn.IFS(F1046&lt;=8,"Child",F1046&lt;=17,"Teen",F1046&lt;=35,"Adult",F1046&lt;=55,"Seniour Adult",F1046&gt;=55,"Old Age")</f>
        <v>Adult</v>
      </c>
      <c r="H1046" t="s">
        <v>10</v>
      </c>
      <c r="I1046" t="s">
        <v>36</v>
      </c>
      <c r="J1046" t="str" cm="1">
        <f t="array" ref="J1046">_xlfn.IFS(I1046="S","Southamptom",I1046="Q","Quentown",I1046="C","Cherbrug",I1046="B","Cabin")</f>
        <v>Quentown</v>
      </c>
      <c r="K1046" t="s">
        <v>37</v>
      </c>
      <c r="L1046" s="2">
        <v>7.15</v>
      </c>
      <c r="M1046" s="2" t="str" cm="1">
        <f t="array" ref="M1046">_xlfn.IFS(L1046&lt;=15,"Low Fare",L1046&lt;=35,"Medium Fare",L1046&lt;=100,"High Fare",L1046&gt;=100,"Very High Fare")</f>
        <v>Low Fare</v>
      </c>
      <c r="N1046" s="2">
        <v>0</v>
      </c>
      <c r="O1046" s="2">
        <v>0</v>
      </c>
      <c r="P1046">
        <f t="shared" si="65"/>
        <v>1</v>
      </c>
      <c r="Q1046" t="str">
        <f t="shared" si="66"/>
        <v>Alone</v>
      </c>
      <c r="R1046" t="str">
        <f t="shared" si="67"/>
        <v>Yes</v>
      </c>
      <c r="S1046" t="s">
        <v>16</v>
      </c>
    </row>
    <row r="1047" spans="1:19" x14ac:dyDescent="0.3">
      <c r="A1047" s="1" t="s">
        <v>787</v>
      </c>
      <c r="B1047" t="s">
        <v>1596</v>
      </c>
      <c r="C1047" t="s">
        <v>1792</v>
      </c>
      <c r="D1047" t="str">
        <f t="shared" si="64"/>
        <v>Male</v>
      </c>
      <c r="E1047" t="s">
        <v>9</v>
      </c>
      <c r="F1047" s="2">
        <v>30</v>
      </c>
      <c r="G1047" s="2" t="str" cm="1">
        <f t="array" ref="G1047">_xlfn.IFS(F1047&lt;=8,"Child",F1047&lt;=17,"Teen",F1047&lt;=35,"Adult",F1047&lt;=55,"Seniour Adult",F1047&gt;=55,"Old Age")</f>
        <v>Adult</v>
      </c>
      <c r="H1047" t="s">
        <v>10</v>
      </c>
      <c r="I1047" t="s">
        <v>36</v>
      </c>
      <c r="J1047" t="str" cm="1">
        <f t="array" ref="J1047">_xlfn.IFS(I1047="S","Southamptom",I1047="Q","Quentown",I1047="C","Cherbrug",I1047="B","Cabin")</f>
        <v>Quentown</v>
      </c>
      <c r="K1047" t="s">
        <v>37</v>
      </c>
      <c r="L1047" s="2">
        <v>24.03</v>
      </c>
      <c r="M1047" s="2" t="str" cm="1">
        <f t="array" ref="M1047">_xlfn.IFS(L1047&lt;=15,"Low Fare",L1047&lt;=35,"Medium Fare",L1047&lt;=100,"High Fare",L1047&gt;=100,"Very High Fare")</f>
        <v>Medium Fare</v>
      </c>
      <c r="N1047" s="2">
        <v>0</v>
      </c>
      <c r="O1047" s="2">
        <v>0</v>
      </c>
      <c r="P1047">
        <f t="shared" si="65"/>
        <v>1</v>
      </c>
      <c r="Q1047" t="str">
        <f t="shared" si="66"/>
        <v>Alone</v>
      </c>
      <c r="R1047" t="str">
        <f t="shared" si="67"/>
        <v>No</v>
      </c>
      <c r="S1047" t="s">
        <v>13</v>
      </c>
    </row>
    <row r="1048" spans="1:19" x14ac:dyDescent="0.3">
      <c r="A1048" s="1" t="s">
        <v>788</v>
      </c>
      <c r="B1048" t="s">
        <v>1612</v>
      </c>
      <c r="C1048" t="s">
        <v>2496</v>
      </c>
      <c r="D1048" t="str">
        <f t="shared" si="64"/>
        <v>Male</v>
      </c>
      <c r="E1048" t="s">
        <v>9</v>
      </c>
      <c r="F1048" s="2">
        <v>13</v>
      </c>
      <c r="G1048" s="2" t="str" cm="1">
        <f t="array" ref="G1048">_xlfn.IFS(F1048&lt;=8,"Child",F1048&lt;=17,"Teen",F1048&lt;=35,"Adult",F1048&lt;=55,"Seniour Adult",F1048&gt;=55,"Old Age")</f>
        <v>Teen</v>
      </c>
      <c r="H1048" t="s">
        <v>25</v>
      </c>
      <c r="I1048" t="s">
        <v>19</v>
      </c>
      <c r="J1048" t="str" cm="1">
        <f t="array" ref="J1048">_xlfn.IFS(I1048="S","Southamptom",I1048="Q","Quentown",I1048="C","Cherbrug",I1048="B","Cabin")</f>
        <v>Cherbrug</v>
      </c>
      <c r="K1048" t="s">
        <v>12</v>
      </c>
      <c r="L1048" s="2">
        <v>262.07060000000001</v>
      </c>
      <c r="M1048" s="2" t="str" cm="1">
        <f t="array" ref="M1048">_xlfn.IFS(L1048&lt;=15,"Low Fare",L1048&lt;=35,"Medium Fare",L1048&lt;=100,"High Fare",L1048&gt;=100,"Very High Fare")</f>
        <v>Very High Fare</v>
      </c>
      <c r="N1048" s="2">
        <v>2</v>
      </c>
      <c r="O1048" s="2">
        <v>2</v>
      </c>
      <c r="P1048">
        <f t="shared" si="65"/>
        <v>5</v>
      </c>
      <c r="Q1048" t="str">
        <f t="shared" si="66"/>
        <v>With Family</v>
      </c>
      <c r="R1048" t="str">
        <f t="shared" si="67"/>
        <v>Yes</v>
      </c>
      <c r="S1048" t="s">
        <v>16</v>
      </c>
    </row>
    <row r="1049" spans="1:19" x14ac:dyDescent="0.3">
      <c r="A1049" s="1" t="s">
        <v>788</v>
      </c>
      <c r="B1049" t="s">
        <v>1602</v>
      </c>
      <c r="C1049" t="s">
        <v>2497</v>
      </c>
      <c r="D1049" t="str">
        <f t="shared" si="64"/>
        <v>Female</v>
      </c>
      <c r="E1049" t="s">
        <v>14</v>
      </c>
      <c r="F1049" s="2">
        <v>18</v>
      </c>
      <c r="G1049" s="2" t="str" cm="1">
        <f t="array" ref="G1049">_xlfn.IFS(F1049&lt;=8,"Child",F1049&lt;=17,"Teen",F1049&lt;=35,"Adult",F1049&lt;=55,"Seniour Adult",F1049&gt;=55,"Old Age")</f>
        <v>Adult</v>
      </c>
      <c r="H1049" t="s">
        <v>25</v>
      </c>
      <c r="I1049" t="s">
        <v>19</v>
      </c>
      <c r="J1049" t="str" cm="1">
        <f t="array" ref="J1049">_xlfn.IFS(I1049="S","Southamptom",I1049="Q","Quentown",I1049="C","Cherbrug",I1049="B","Cabin")</f>
        <v>Cherbrug</v>
      </c>
      <c r="K1049" t="s">
        <v>12</v>
      </c>
      <c r="L1049" s="2">
        <v>262.07060000000001</v>
      </c>
      <c r="M1049" s="2" t="str" cm="1">
        <f t="array" ref="M1049">_xlfn.IFS(L1049&lt;=15,"Low Fare",L1049&lt;=35,"Medium Fare",L1049&lt;=100,"High Fare",L1049&gt;=100,"Very High Fare")</f>
        <v>Very High Fare</v>
      </c>
      <c r="N1049" s="2">
        <v>2</v>
      </c>
      <c r="O1049" s="2">
        <v>2</v>
      </c>
      <c r="P1049">
        <f t="shared" si="65"/>
        <v>5</v>
      </c>
      <c r="Q1049" t="str">
        <f t="shared" si="66"/>
        <v>With Family</v>
      </c>
      <c r="R1049" t="str">
        <f t="shared" si="67"/>
        <v>Yes</v>
      </c>
      <c r="S1049" t="s">
        <v>16</v>
      </c>
    </row>
    <row r="1050" spans="1:19" x14ac:dyDescent="0.3">
      <c r="A1050" s="1" t="s">
        <v>788</v>
      </c>
      <c r="B1050" t="s">
        <v>1602</v>
      </c>
      <c r="C1050" t="s">
        <v>2498</v>
      </c>
      <c r="D1050" t="str">
        <f t="shared" si="64"/>
        <v>Female</v>
      </c>
      <c r="E1050" t="s">
        <v>14</v>
      </c>
      <c r="F1050" s="2">
        <v>21</v>
      </c>
      <c r="G1050" s="2" t="str" cm="1">
        <f t="array" ref="G1050">_xlfn.IFS(F1050&lt;=8,"Child",F1050&lt;=17,"Teen",F1050&lt;=35,"Adult",F1050&lt;=55,"Seniour Adult",F1050&gt;=55,"Old Age")</f>
        <v>Adult</v>
      </c>
      <c r="H1050" t="s">
        <v>25</v>
      </c>
      <c r="I1050" t="s">
        <v>19</v>
      </c>
      <c r="J1050" t="str" cm="1">
        <f t="array" ref="J1050">_xlfn.IFS(I1050="S","Southamptom",I1050="Q","Quentown",I1050="C","Cherbrug",I1050="B","Cabin")</f>
        <v>Cherbrug</v>
      </c>
      <c r="K1050" t="s">
        <v>12</v>
      </c>
      <c r="L1050" s="2">
        <v>262.07060000000001</v>
      </c>
      <c r="M1050" s="2" t="str" cm="1">
        <f t="array" ref="M1050">_xlfn.IFS(L1050&lt;=15,"Low Fare",L1050&lt;=35,"Medium Fare",L1050&lt;=100,"High Fare",L1050&gt;=100,"Very High Fare")</f>
        <v>Very High Fare</v>
      </c>
      <c r="N1050" s="2">
        <v>2</v>
      </c>
      <c r="O1050" s="2">
        <v>2</v>
      </c>
      <c r="P1050">
        <f t="shared" si="65"/>
        <v>5</v>
      </c>
      <c r="Q1050" t="str">
        <f t="shared" si="66"/>
        <v>With Family</v>
      </c>
      <c r="R1050" t="str">
        <f t="shared" si="67"/>
        <v>Yes</v>
      </c>
      <c r="S1050" t="s">
        <v>16</v>
      </c>
    </row>
    <row r="1051" spans="1:19" x14ac:dyDescent="0.3">
      <c r="A1051" s="1" t="s">
        <v>788</v>
      </c>
      <c r="B1051" t="s">
        <v>1596</v>
      </c>
      <c r="C1051" t="s">
        <v>2499</v>
      </c>
      <c r="D1051" t="str">
        <f t="shared" si="64"/>
        <v>Male</v>
      </c>
      <c r="E1051" t="s">
        <v>9</v>
      </c>
      <c r="F1051" s="2">
        <v>61</v>
      </c>
      <c r="G1051" s="2" t="str" cm="1">
        <f t="array" ref="G1051">_xlfn.IFS(F1051&lt;=8,"Child",F1051&lt;=17,"Teen",F1051&lt;=35,"Adult",F1051&lt;=55,"Seniour Adult",F1051&gt;=55,"Old Age")</f>
        <v>Old Age</v>
      </c>
      <c r="H1051" t="s">
        <v>25</v>
      </c>
      <c r="I1051" t="s">
        <v>19</v>
      </c>
      <c r="J1051" t="str" cm="1">
        <f t="array" ref="J1051">_xlfn.IFS(I1051="S","Southamptom",I1051="Q","Quentown",I1051="C","Cherbrug",I1051="B","Cabin")</f>
        <v>Cherbrug</v>
      </c>
      <c r="K1051" t="s">
        <v>12</v>
      </c>
      <c r="L1051" s="2">
        <v>262.07060000000001</v>
      </c>
      <c r="M1051" s="2" t="str" cm="1">
        <f t="array" ref="M1051">_xlfn.IFS(L1051&lt;=15,"Low Fare",L1051&lt;=35,"Medium Fare",L1051&lt;=100,"High Fare",L1051&gt;=100,"Very High Fare")</f>
        <v>Very High Fare</v>
      </c>
      <c r="N1051" s="2">
        <v>1</v>
      </c>
      <c r="O1051" s="2">
        <v>3</v>
      </c>
      <c r="P1051">
        <f t="shared" si="65"/>
        <v>5</v>
      </c>
      <c r="Q1051" t="str">
        <f t="shared" si="66"/>
        <v>With Family</v>
      </c>
      <c r="R1051" t="str">
        <f t="shared" si="67"/>
        <v>No</v>
      </c>
      <c r="S1051" t="s">
        <v>13</v>
      </c>
    </row>
    <row r="1052" spans="1:19" x14ac:dyDescent="0.3">
      <c r="A1052" s="1" t="s">
        <v>788</v>
      </c>
      <c r="B1052" t="s">
        <v>1600</v>
      </c>
      <c r="C1052" t="s">
        <v>2500</v>
      </c>
      <c r="D1052" t="str">
        <f t="shared" si="64"/>
        <v>Female</v>
      </c>
      <c r="E1052" t="s">
        <v>14</v>
      </c>
      <c r="F1052" s="2">
        <v>48</v>
      </c>
      <c r="G1052" s="2" t="str" cm="1">
        <f t="array" ref="G1052">_xlfn.IFS(F1052&lt;=8,"Child",F1052&lt;=17,"Teen",F1052&lt;=35,"Adult",F1052&lt;=55,"Seniour Adult",F1052&gt;=55,"Old Age")</f>
        <v>Seniour Adult</v>
      </c>
      <c r="H1052" t="s">
        <v>25</v>
      </c>
      <c r="I1052" t="s">
        <v>19</v>
      </c>
      <c r="J1052" t="str" cm="1">
        <f t="array" ref="J1052">_xlfn.IFS(I1052="S","Southamptom",I1052="Q","Quentown",I1052="C","Cherbrug",I1052="B","Cabin")</f>
        <v>Cherbrug</v>
      </c>
      <c r="K1052" t="s">
        <v>12</v>
      </c>
      <c r="L1052" s="2">
        <v>262.07060000000001</v>
      </c>
      <c r="M1052" s="2" t="str" cm="1">
        <f t="array" ref="M1052">_xlfn.IFS(L1052&lt;=15,"Low Fare",L1052&lt;=35,"Medium Fare",L1052&lt;=100,"High Fare",L1052&gt;=100,"Very High Fare")</f>
        <v>Very High Fare</v>
      </c>
      <c r="N1052" s="2">
        <v>1</v>
      </c>
      <c r="O1052" s="2">
        <v>3</v>
      </c>
      <c r="P1052">
        <f t="shared" si="65"/>
        <v>5</v>
      </c>
      <c r="Q1052" t="str">
        <f t="shared" si="66"/>
        <v>With Family</v>
      </c>
      <c r="R1052" t="str">
        <f t="shared" si="67"/>
        <v>Yes</v>
      </c>
      <c r="S1052" t="s">
        <v>16</v>
      </c>
    </row>
    <row r="1053" spans="1:19" x14ac:dyDescent="0.3">
      <c r="A1053" s="1" t="s">
        <v>789</v>
      </c>
      <c r="B1053" t="s">
        <v>1596</v>
      </c>
      <c r="C1053" t="s">
        <v>2501</v>
      </c>
      <c r="D1053" t="str">
        <f t="shared" si="64"/>
        <v>Male</v>
      </c>
      <c r="E1053" t="s">
        <v>9</v>
      </c>
      <c r="F1053" s="2">
        <v>30</v>
      </c>
      <c r="G1053" s="2" t="str" cm="1">
        <f t="array" ref="G1053">_xlfn.IFS(F1053&lt;=8,"Child",F1053&lt;=17,"Teen",F1053&lt;=35,"Adult",F1053&lt;=55,"Seniour Adult",F1053&gt;=55,"Old Age")</f>
        <v>Adult</v>
      </c>
      <c r="H1053" t="s">
        <v>10</v>
      </c>
      <c r="I1053" t="s">
        <v>19</v>
      </c>
      <c r="J1053" t="str" cm="1">
        <f t="array" ref="J1053">_xlfn.IFS(I1053="S","Southamptom",I1053="Q","Quentown",I1053="C","Cherbrug",I1053="B","Cabin")</f>
        <v>Cherbrug</v>
      </c>
      <c r="K1053" t="s">
        <v>21</v>
      </c>
      <c r="L1053" s="2">
        <v>7.0407000000000002</v>
      </c>
      <c r="M1053" s="2" t="str" cm="1">
        <f t="array" ref="M1053">_xlfn.IFS(L1053&lt;=15,"Low Fare",L1053&lt;=35,"Medium Fare",L1053&lt;=100,"High Fare",L1053&gt;=100,"Very High Fare")</f>
        <v>Low Fare</v>
      </c>
      <c r="N1053" s="2">
        <v>0</v>
      </c>
      <c r="O1053" s="2">
        <v>0</v>
      </c>
      <c r="P1053">
        <f t="shared" si="65"/>
        <v>1</v>
      </c>
      <c r="Q1053" t="str">
        <f t="shared" si="66"/>
        <v>Alone</v>
      </c>
      <c r="R1053" t="str">
        <f t="shared" si="67"/>
        <v>No</v>
      </c>
      <c r="S1053" t="s">
        <v>13</v>
      </c>
    </row>
    <row r="1054" spans="1:19" x14ac:dyDescent="0.3">
      <c r="A1054" s="1" t="s">
        <v>789</v>
      </c>
      <c r="B1054" t="s">
        <v>1596</v>
      </c>
      <c r="C1054" t="s">
        <v>2502</v>
      </c>
      <c r="D1054" t="str">
        <f t="shared" si="64"/>
        <v>Male</v>
      </c>
      <c r="E1054" t="s">
        <v>9</v>
      </c>
      <c r="F1054" s="2">
        <v>27</v>
      </c>
      <c r="G1054" s="2" t="str" cm="1">
        <f t="array" ref="G1054">_xlfn.IFS(F1054&lt;=8,"Child",F1054&lt;=17,"Teen",F1054&lt;=35,"Adult",F1054&lt;=55,"Seniour Adult",F1054&gt;=55,"Old Age")</f>
        <v>Adult</v>
      </c>
      <c r="H1054" t="s">
        <v>10</v>
      </c>
      <c r="I1054" t="s">
        <v>19</v>
      </c>
      <c r="J1054" t="str" cm="1">
        <f t="array" ref="J1054">_xlfn.IFS(I1054="S","Southamptom",I1054="Q","Quentown",I1054="C","Cherbrug",I1054="B","Cabin")</f>
        <v>Cherbrug</v>
      </c>
      <c r="K1054" t="s">
        <v>21</v>
      </c>
      <c r="L1054" s="2">
        <v>7.0406000000000004</v>
      </c>
      <c r="M1054" s="2" t="str" cm="1">
        <f t="array" ref="M1054">_xlfn.IFS(L1054&lt;=15,"Low Fare",L1054&lt;=35,"Medium Fare",L1054&lt;=100,"High Fare",L1054&gt;=100,"Very High Fare")</f>
        <v>Low Fare</v>
      </c>
      <c r="N1054" s="2">
        <v>0</v>
      </c>
      <c r="O1054" s="2">
        <v>0</v>
      </c>
      <c r="P1054">
        <f t="shared" si="65"/>
        <v>1</v>
      </c>
      <c r="Q1054" t="str">
        <f t="shared" si="66"/>
        <v>Alone</v>
      </c>
      <c r="R1054" t="str">
        <f t="shared" si="67"/>
        <v>No</v>
      </c>
      <c r="S1054" t="s">
        <v>13</v>
      </c>
    </row>
    <row r="1055" spans="1:19" x14ac:dyDescent="0.3">
      <c r="A1055" s="1" t="s">
        <v>790</v>
      </c>
      <c r="B1055" t="s">
        <v>1596</v>
      </c>
      <c r="C1055" t="s">
        <v>2503</v>
      </c>
      <c r="D1055" t="str">
        <f t="shared" si="64"/>
        <v>Male</v>
      </c>
      <c r="E1055" t="s">
        <v>9</v>
      </c>
      <c r="F1055" s="2">
        <v>47</v>
      </c>
      <c r="G1055" s="2" t="str" cm="1">
        <f t="array" ref="G1055">_xlfn.IFS(F1055&lt;=8,"Child",F1055&lt;=17,"Teen",F1055&lt;=35,"Adult",F1055&lt;=55,"Seniour Adult",F1055&gt;=55,"Old Age")</f>
        <v>Seniour Adult</v>
      </c>
      <c r="H1055" t="s">
        <v>25</v>
      </c>
      <c r="I1055" t="s">
        <v>11</v>
      </c>
      <c r="J1055" t="str" cm="1">
        <f t="array" ref="J1055">_xlfn.IFS(I1055="S","Southamptom",I1055="Q","Quentown",I1055="C","Cherbrug",I1055="B","Cabin")</f>
        <v>Southamptom</v>
      </c>
      <c r="K1055" t="s">
        <v>15</v>
      </c>
      <c r="L1055" s="2">
        <v>30.1</v>
      </c>
      <c r="M1055" s="2" t="str" cm="1">
        <f t="array" ref="M1055">_xlfn.IFS(L1055&lt;=15,"Low Fare",L1055&lt;=35,"Medium Fare",L1055&lt;=100,"High Fare",L1055&gt;=100,"Very High Fare")</f>
        <v>Medium Fare</v>
      </c>
      <c r="N1055" s="2">
        <v>0</v>
      </c>
      <c r="O1055" s="2">
        <v>0</v>
      </c>
      <c r="P1055">
        <f t="shared" si="65"/>
        <v>1</v>
      </c>
      <c r="Q1055" t="str">
        <f t="shared" si="66"/>
        <v>Alone</v>
      </c>
      <c r="R1055" t="str">
        <f t="shared" si="67"/>
        <v>Yes</v>
      </c>
      <c r="S1055" t="s">
        <v>16</v>
      </c>
    </row>
    <row r="1056" spans="1:19" x14ac:dyDescent="0.3">
      <c r="A1056" s="1" t="s">
        <v>791</v>
      </c>
      <c r="B1056" t="s">
        <v>1596</v>
      </c>
      <c r="C1056" t="s">
        <v>2504</v>
      </c>
      <c r="D1056" t="str">
        <f t="shared" si="64"/>
        <v>Male</v>
      </c>
      <c r="E1056" t="s">
        <v>9</v>
      </c>
      <c r="F1056" s="2">
        <v>19</v>
      </c>
      <c r="G1056" s="2" t="str" cm="1">
        <f t="array" ref="G1056">_xlfn.IFS(F1056&lt;=8,"Child",F1056&lt;=17,"Teen",F1056&lt;=35,"Adult",F1056&lt;=55,"Seniour Adult",F1056&gt;=55,"Old Age")</f>
        <v>Adult</v>
      </c>
      <c r="H1056" t="s">
        <v>10</v>
      </c>
      <c r="I1056" t="s">
        <v>36</v>
      </c>
      <c r="J1056" t="str" cm="1">
        <f t="array" ref="J1056">_xlfn.IFS(I1056="S","Southamptom",I1056="Q","Quentown",I1056="C","Cherbrug",I1056="B","Cabin")</f>
        <v>Quentown</v>
      </c>
      <c r="K1056" t="s">
        <v>37</v>
      </c>
      <c r="L1056" s="2">
        <v>7.1406999999999998</v>
      </c>
      <c r="M1056" s="2" t="str" cm="1">
        <f t="array" ref="M1056">_xlfn.IFS(L1056&lt;=15,"Low Fare",L1056&lt;=35,"Medium Fare",L1056&lt;=100,"High Fare",L1056&gt;=100,"Very High Fare")</f>
        <v>Low Fare</v>
      </c>
      <c r="N1056" s="2">
        <v>0</v>
      </c>
      <c r="O1056" s="2">
        <v>0</v>
      </c>
      <c r="P1056">
        <f t="shared" si="65"/>
        <v>1</v>
      </c>
      <c r="Q1056" t="str">
        <f t="shared" si="66"/>
        <v>Alone</v>
      </c>
      <c r="R1056" t="str">
        <f t="shared" si="67"/>
        <v>No</v>
      </c>
      <c r="S1056" t="s">
        <v>13</v>
      </c>
    </row>
    <row r="1057" spans="1:19" x14ac:dyDescent="0.3">
      <c r="A1057" s="1" t="s">
        <v>792</v>
      </c>
      <c r="B1057" t="s">
        <v>1596</v>
      </c>
      <c r="C1057" t="s">
        <v>1728</v>
      </c>
      <c r="D1057" t="str">
        <f t="shared" si="64"/>
        <v>Male</v>
      </c>
      <c r="E1057" t="s">
        <v>9</v>
      </c>
      <c r="F1057" s="2">
        <v>17</v>
      </c>
      <c r="G1057" s="2" t="str" cm="1">
        <f t="array" ref="G1057">_xlfn.IFS(F1057&lt;=8,"Child",F1057&lt;=17,"Teen",F1057&lt;=35,"Adult",F1057&lt;=55,"Seniour Adult",F1057&gt;=55,"Old Age")</f>
        <v>Teen</v>
      </c>
      <c r="H1057" t="s">
        <v>10</v>
      </c>
      <c r="I1057" t="s">
        <v>11</v>
      </c>
      <c r="J1057" t="str" cm="1">
        <f t="array" ref="J1057">_xlfn.IFS(I1057="S","Southamptom",I1057="Q","Quentown",I1057="C","Cherbrug",I1057="B","Cabin")</f>
        <v>Southamptom</v>
      </c>
      <c r="K1057" t="s">
        <v>15</v>
      </c>
      <c r="L1057" s="2">
        <v>7.1109999999999998</v>
      </c>
      <c r="M1057" s="2" t="str" cm="1">
        <f t="array" ref="M1057">_xlfn.IFS(L1057&lt;=15,"Low Fare",L1057&lt;=35,"Medium Fare",L1057&lt;=100,"High Fare",L1057&gt;=100,"Very High Fare")</f>
        <v>Low Fare</v>
      </c>
      <c r="N1057" s="2">
        <v>0</v>
      </c>
      <c r="O1057" s="2">
        <v>0</v>
      </c>
      <c r="P1057">
        <f t="shared" si="65"/>
        <v>1</v>
      </c>
      <c r="Q1057" t="str">
        <f t="shared" si="66"/>
        <v>Alone</v>
      </c>
      <c r="R1057" t="str">
        <f t="shared" si="67"/>
        <v>No</v>
      </c>
      <c r="S1057" t="s">
        <v>13</v>
      </c>
    </row>
    <row r="1058" spans="1:19" x14ac:dyDescent="0.3">
      <c r="A1058" s="1" t="s">
        <v>793</v>
      </c>
      <c r="B1058" t="s">
        <v>1596</v>
      </c>
      <c r="C1058" t="s">
        <v>2505</v>
      </c>
      <c r="D1058" t="str">
        <f t="shared" si="64"/>
        <v>Male</v>
      </c>
      <c r="E1058" t="s">
        <v>9</v>
      </c>
      <c r="F1058" s="2">
        <v>43</v>
      </c>
      <c r="G1058" s="2" t="str" cm="1">
        <f t="array" ref="G1058">_xlfn.IFS(F1058&lt;=8,"Child",F1058&lt;=17,"Teen",F1058&lt;=35,"Adult",F1058&lt;=55,"Seniour Adult",F1058&gt;=55,"Old Age")</f>
        <v>Seniour Adult</v>
      </c>
      <c r="H1058" t="s">
        <v>10</v>
      </c>
      <c r="I1058" t="s">
        <v>11</v>
      </c>
      <c r="J1058" t="str" cm="1">
        <f t="array" ref="J1058">_xlfn.IFS(I1058="S","Southamptom",I1058="Q","Quentown",I1058="C","Cherbrug",I1058="B","Cabin")</f>
        <v>Southamptom</v>
      </c>
      <c r="K1058" t="s">
        <v>17</v>
      </c>
      <c r="L1058" s="2">
        <v>7.05</v>
      </c>
      <c r="M1058" s="2" t="str" cm="1">
        <f t="array" ref="M1058">_xlfn.IFS(L1058&lt;=15,"Low Fare",L1058&lt;=35,"Medium Fare",L1058&lt;=100,"High Fare",L1058&gt;=100,"Very High Fare")</f>
        <v>Low Fare</v>
      </c>
      <c r="N1058" s="2">
        <v>0</v>
      </c>
      <c r="O1058" s="2">
        <v>0</v>
      </c>
      <c r="P1058">
        <f t="shared" si="65"/>
        <v>1</v>
      </c>
      <c r="Q1058" t="str">
        <f t="shared" si="66"/>
        <v>Alone</v>
      </c>
      <c r="R1058" t="str">
        <f t="shared" si="67"/>
        <v>No</v>
      </c>
      <c r="S1058" t="s">
        <v>13</v>
      </c>
    </row>
    <row r="1059" spans="1:19" x14ac:dyDescent="0.3">
      <c r="A1059" s="1" t="s">
        <v>794</v>
      </c>
      <c r="B1059" t="s">
        <v>1612</v>
      </c>
      <c r="C1059" t="s">
        <v>2506</v>
      </c>
      <c r="D1059" t="str">
        <f t="shared" si="64"/>
        <v>Male</v>
      </c>
      <c r="E1059" t="s">
        <v>9</v>
      </c>
      <c r="F1059" s="2">
        <v>13</v>
      </c>
      <c r="G1059" s="2" t="str" cm="1">
        <f t="array" ref="G1059">_xlfn.IFS(F1059&lt;=8,"Child",F1059&lt;=17,"Teen",F1059&lt;=35,"Adult",F1059&lt;=55,"Seniour Adult",F1059&gt;=55,"Old Age")</f>
        <v>Teen</v>
      </c>
      <c r="H1059" t="s">
        <v>10</v>
      </c>
      <c r="I1059" t="s">
        <v>11</v>
      </c>
      <c r="J1059" t="str" cm="1">
        <f t="array" ref="J1059">_xlfn.IFS(I1059="S","Southamptom",I1059="Q","Quentown",I1059="C","Cherbrug",I1059="B","Cabin")</f>
        <v>Southamptom</v>
      </c>
      <c r="K1059" t="s">
        <v>15</v>
      </c>
      <c r="L1059" s="2">
        <v>69.11</v>
      </c>
      <c r="M1059" s="2" t="str" cm="1">
        <f t="array" ref="M1059">_xlfn.IFS(L1059&lt;=15,"Low Fare",L1059&lt;=35,"Medium Fare",L1059&lt;=100,"High Fare",L1059&gt;=100,"Very High Fare")</f>
        <v>High Fare</v>
      </c>
      <c r="N1059" s="2">
        <v>8</v>
      </c>
      <c r="O1059" s="2">
        <v>2</v>
      </c>
      <c r="P1059">
        <f t="shared" si="65"/>
        <v>11</v>
      </c>
      <c r="Q1059" t="str">
        <f t="shared" si="66"/>
        <v>With Family</v>
      </c>
      <c r="R1059" t="str">
        <f t="shared" si="67"/>
        <v>No</v>
      </c>
      <c r="S1059" t="s">
        <v>13</v>
      </c>
    </row>
    <row r="1060" spans="1:19" x14ac:dyDescent="0.3">
      <c r="A1060" s="1" t="s">
        <v>794</v>
      </c>
      <c r="B1060" t="s">
        <v>1612</v>
      </c>
      <c r="C1060" t="s">
        <v>1857</v>
      </c>
      <c r="D1060" t="str">
        <f t="shared" si="64"/>
        <v>Male</v>
      </c>
      <c r="E1060" t="s">
        <v>9</v>
      </c>
      <c r="F1060" s="2">
        <v>5</v>
      </c>
      <c r="G1060" s="2" t="str" cm="1">
        <f t="array" ref="G1060">_xlfn.IFS(F1060&lt;=8,"Child",F1060&lt;=17,"Teen",F1060&lt;=35,"Adult",F1060&lt;=55,"Seniour Adult",F1060&gt;=55,"Old Age")</f>
        <v>Child</v>
      </c>
      <c r="H1060" t="s">
        <v>10</v>
      </c>
      <c r="I1060" t="s">
        <v>11</v>
      </c>
      <c r="J1060" t="str" cm="1">
        <f t="array" ref="J1060">_xlfn.IFS(I1060="S","Southamptom",I1060="Q","Quentown",I1060="C","Cherbrug",I1060="B","Cabin")</f>
        <v>Southamptom</v>
      </c>
      <c r="K1060" t="s">
        <v>15</v>
      </c>
      <c r="L1060" s="2">
        <v>69.11</v>
      </c>
      <c r="M1060" s="2" t="str" cm="1">
        <f t="array" ref="M1060">_xlfn.IFS(L1060&lt;=15,"Low Fare",L1060&lt;=35,"Medium Fare",L1060&lt;=100,"High Fare",L1060&gt;=100,"Very High Fare")</f>
        <v>High Fare</v>
      </c>
      <c r="N1060" s="2">
        <v>8</v>
      </c>
      <c r="O1060" s="2">
        <v>2</v>
      </c>
      <c r="P1060">
        <f t="shared" si="65"/>
        <v>11</v>
      </c>
      <c r="Q1060" t="str">
        <f t="shared" si="66"/>
        <v>With Family</v>
      </c>
      <c r="R1060" t="str">
        <f t="shared" si="67"/>
        <v>No</v>
      </c>
      <c r="S1060" t="s">
        <v>13</v>
      </c>
    </row>
    <row r="1061" spans="1:19" x14ac:dyDescent="0.3">
      <c r="A1061" s="1" t="s">
        <v>794</v>
      </c>
      <c r="B1061" t="s">
        <v>1602</v>
      </c>
      <c r="C1061" t="s">
        <v>2507</v>
      </c>
      <c r="D1061" t="str">
        <f t="shared" si="64"/>
        <v>Female</v>
      </c>
      <c r="E1061" t="s">
        <v>14</v>
      </c>
      <c r="F1061" s="2">
        <v>8</v>
      </c>
      <c r="G1061" s="2" t="str" cm="1">
        <f t="array" ref="G1061">_xlfn.IFS(F1061&lt;=8,"Child",F1061&lt;=17,"Teen",F1061&lt;=35,"Adult",F1061&lt;=55,"Seniour Adult",F1061&gt;=55,"Old Age")</f>
        <v>Child</v>
      </c>
      <c r="H1061" t="s">
        <v>10</v>
      </c>
      <c r="I1061" t="s">
        <v>11</v>
      </c>
      <c r="J1061" t="str" cm="1">
        <f t="array" ref="J1061">_xlfn.IFS(I1061="S","Southamptom",I1061="Q","Quentown",I1061="C","Cherbrug",I1061="B","Cabin")</f>
        <v>Southamptom</v>
      </c>
      <c r="K1061" t="s">
        <v>15</v>
      </c>
      <c r="L1061" s="2">
        <v>69.11</v>
      </c>
      <c r="M1061" s="2" t="str" cm="1">
        <f t="array" ref="M1061">_xlfn.IFS(L1061&lt;=15,"Low Fare",L1061&lt;=35,"Medium Fare",L1061&lt;=100,"High Fare",L1061&gt;=100,"Very High Fare")</f>
        <v>High Fare</v>
      </c>
      <c r="N1061" s="2">
        <v>8</v>
      </c>
      <c r="O1061" s="2">
        <v>2</v>
      </c>
      <c r="P1061">
        <f t="shared" si="65"/>
        <v>11</v>
      </c>
      <c r="Q1061" t="str">
        <f t="shared" si="66"/>
        <v>With Family</v>
      </c>
      <c r="R1061" t="str">
        <f t="shared" si="67"/>
        <v>No</v>
      </c>
      <c r="S1061" t="s">
        <v>13</v>
      </c>
    </row>
    <row r="1062" spans="1:19" x14ac:dyDescent="0.3">
      <c r="A1062" s="1" t="s">
        <v>794</v>
      </c>
      <c r="B1062" t="s">
        <v>1602</v>
      </c>
      <c r="C1062" t="s">
        <v>2062</v>
      </c>
      <c r="D1062" t="str">
        <f t="shared" si="64"/>
        <v>Female</v>
      </c>
      <c r="E1062" t="s">
        <v>14</v>
      </c>
      <c r="F1062" s="2">
        <v>14</v>
      </c>
      <c r="G1062" s="2" t="str" cm="1">
        <f t="array" ref="G1062">_xlfn.IFS(F1062&lt;=8,"Child",F1062&lt;=17,"Teen",F1062&lt;=35,"Adult",F1062&lt;=55,"Seniour Adult",F1062&gt;=55,"Old Age")</f>
        <v>Teen</v>
      </c>
      <c r="H1062" t="s">
        <v>10</v>
      </c>
      <c r="I1062" t="s">
        <v>11</v>
      </c>
      <c r="J1062" t="str" cm="1">
        <f t="array" ref="J1062">_xlfn.IFS(I1062="S","Southamptom",I1062="Q","Quentown",I1062="C","Cherbrug",I1062="B","Cabin")</f>
        <v>Southamptom</v>
      </c>
      <c r="K1062" t="s">
        <v>15</v>
      </c>
      <c r="L1062" s="2">
        <v>69.11</v>
      </c>
      <c r="M1062" s="2" t="str" cm="1">
        <f t="array" ref="M1062">_xlfn.IFS(L1062&lt;=15,"Low Fare",L1062&lt;=35,"Medium Fare",L1062&lt;=100,"High Fare",L1062&gt;=100,"Very High Fare")</f>
        <v>High Fare</v>
      </c>
      <c r="N1062" s="2">
        <v>8</v>
      </c>
      <c r="O1062" s="2">
        <v>2</v>
      </c>
      <c r="P1062">
        <f t="shared" si="65"/>
        <v>11</v>
      </c>
      <c r="Q1062" t="str">
        <f t="shared" si="66"/>
        <v>With Family</v>
      </c>
      <c r="R1062" t="str">
        <f t="shared" si="67"/>
        <v>No</v>
      </c>
      <c r="S1062" t="s">
        <v>13</v>
      </c>
    </row>
    <row r="1063" spans="1:19" x14ac:dyDescent="0.3">
      <c r="A1063" s="1" t="s">
        <v>794</v>
      </c>
      <c r="B1063" t="s">
        <v>1602</v>
      </c>
      <c r="C1063" t="s">
        <v>2508</v>
      </c>
      <c r="D1063" t="str">
        <f t="shared" si="64"/>
        <v>Female</v>
      </c>
      <c r="E1063" t="s">
        <v>14</v>
      </c>
      <c r="F1063" s="2">
        <v>10</v>
      </c>
      <c r="G1063" s="2" t="str" cm="1">
        <f t="array" ref="G1063">_xlfn.IFS(F1063&lt;=8,"Child",F1063&lt;=17,"Teen",F1063&lt;=35,"Adult",F1063&lt;=55,"Seniour Adult",F1063&gt;=55,"Old Age")</f>
        <v>Teen</v>
      </c>
      <c r="H1063" t="s">
        <v>10</v>
      </c>
      <c r="I1063" t="s">
        <v>11</v>
      </c>
      <c r="J1063" t="str" cm="1">
        <f t="array" ref="J1063">_xlfn.IFS(I1063="S","Southamptom",I1063="Q","Quentown",I1063="C","Cherbrug",I1063="B","Cabin")</f>
        <v>Southamptom</v>
      </c>
      <c r="K1063" t="s">
        <v>15</v>
      </c>
      <c r="L1063" s="2">
        <v>69.11</v>
      </c>
      <c r="M1063" s="2" t="str" cm="1">
        <f t="array" ref="M1063">_xlfn.IFS(L1063&lt;=15,"Low Fare",L1063&lt;=35,"Medium Fare",L1063&lt;=100,"High Fare",L1063&gt;=100,"Very High Fare")</f>
        <v>High Fare</v>
      </c>
      <c r="N1063" s="2">
        <v>8</v>
      </c>
      <c r="O1063" s="2">
        <v>2</v>
      </c>
      <c r="P1063">
        <f t="shared" si="65"/>
        <v>11</v>
      </c>
      <c r="Q1063" t="str">
        <f t="shared" si="66"/>
        <v>With Family</v>
      </c>
      <c r="R1063" t="str">
        <f t="shared" si="67"/>
        <v>No</v>
      </c>
      <c r="S1063" t="s">
        <v>13</v>
      </c>
    </row>
    <row r="1064" spans="1:19" x14ac:dyDescent="0.3">
      <c r="A1064" s="1" t="s">
        <v>794</v>
      </c>
      <c r="B1064" t="s">
        <v>1602</v>
      </c>
      <c r="C1064" t="s">
        <v>2509</v>
      </c>
      <c r="D1064" t="str">
        <f t="shared" si="64"/>
        <v>Female</v>
      </c>
      <c r="E1064" t="s">
        <v>14</v>
      </c>
      <c r="F1064" s="2">
        <v>21</v>
      </c>
      <c r="G1064" s="2" t="str" cm="1">
        <f t="array" ref="G1064">_xlfn.IFS(F1064&lt;=8,"Child",F1064&lt;=17,"Teen",F1064&lt;=35,"Adult",F1064&lt;=55,"Seniour Adult",F1064&gt;=55,"Old Age")</f>
        <v>Adult</v>
      </c>
      <c r="H1064" t="s">
        <v>10</v>
      </c>
      <c r="I1064" t="s">
        <v>11</v>
      </c>
      <c r="J1064" t="str" cm="1">
        <f t="array" ref="J1064">_xlfn.IFS(I1064="S","Southamptom",I1064="Q","Quentown",I1064="C","Cherbrug",I1064="B","Cabin")</f>
        <v>Southamptom</v>
      </c>
      <c r="K1064" t="s">
        <v>15</v>
      </c>
      <c r="L1064" s="2">
        <v>69.11</v>
      </c>
      <c r="M1064" s="2" t="str" cm="1">
        <f t="array" ref="M1064">_xlfn.IFS(L1064&lt;=15,"Low Fare",L1064&lt;=35,"Medium Fare",L1064&lt;=100,"High Fare",L1064&gt;=100,"Very High Fare")</f>
        <v>High Fare</v>
      </c>
      <c r="N1064" s="2">
        <v>8</v>
      </c>
      <c r="O1064" s="2">
        <v>2</v>
      </c>
      <c r="P1064">
        <f t="shared" si="65"/>
        <v>11</v>
      </c>
      <c r="Q1064" t="str">
        <f t="shared" si="66"/>
        <v>With Family</v>
      </c>
      <c r="R1064" t="str">
        <f t="shared" si="67"/>
        <v>No</v>
      </c>
      <c r="S1064" t="s">
        <v>13</v>
      </c>
    </row>
    <row r="1065" spans="1:19" x14ac:dyDescent="0.3">
      <c r="A1065" s="1" t="s">
        <v>794</v>
      </c>
      <c r="B1065" t="s">
        <v>1596</v>
      </c>
      <c r="C1065" t="s">
        <v>2510</v>
      </c>
      <c r="D1065" t="str">
        <f t="shared" si="64"/>
        <v>Male</v>
      </c>
      <c r="E1065" t="s">
        <v>9</v>
      </c>
      <c r="F1065" s="2">
        <v>18</v>
      </c>
      <c r="G1065" s="2" t="str" cm="1">
        <f t="array" ref="G1065">_xlfn.IFS(F1065&lt;=8,"Child",F1065&lt;=17,"Teen",F1065&lt;=35,"Adult",F1065&lt;=55,"Seniour Adult",F1065&gt;=55,"Old Age")</f>
        <v>Adult</v>
      </c>
      <c r="H1065" t="s">
        <v>10</v>
      </c>
      <c r="I1065" t="s">
        <v>11</v>
      </c>
      <c r="J1065" t="str" cm="1">
        <f t="array" ref="J1065">_xlfn.IFS(I1065="S","Southamptom",I1065="Q","Quentown",I1065="C","Cherbrug",I1065="B","Cabin")</f>
        <v>Southamptom</v>
      </c>
      <c r="K1065" t="s">
        <v>15</v>
      </c>
      <c r="L1065" s="2">
        <v>69.11</v>
      </c>
      <c r="M1065" s="2" t="str" cm="1">
        <f t="array" ref="M1065">_xlfn.IFS(L1065&lt;=15,"Low Fare",L1065&lt;=35,"Medium Fare",L1065&lt;=100,"High Fare",L1065&gt;=100,"Very High Fare")</f>
        <v>High Fare</v>
      </c>
      <c r="N1065" s="2">
        <v>8</v>
      </c>
      <c r="O1065" s="2">
        <v>2</v>
      </c>
      <c r="P1065">
        <f t="shared" si="65"/>
        <v>11</v>
      </c>
      <c r="Q1065" t="str">
        <f t="shared" si="66"/>
        <v>With Family</v>
      </c>
      <c r="R1065" t="str">
        <f t="shared" si="67"/>
        <v>No</v>
      </c>
      <c r="S1065" t="s">
        <v>13</v>
      </c>
    </row>
    <row r="1066" spans="1:19" x14ac:dyDescent="0.3">
      <c r="A1066" s="1" t="s">
        <v>794</v>
      </c>
      <c r="B1066" t="s">
        <v>1596</v>
      </c>
      <c r="C1066" t="s">
        <v>2511</v>
      </c>
      <c r="D1066" t="str">
        <f t="shared" si="64"/>
        <v>Male</v>
      </c>
      <c r="E1066" t="s">
        <v>9</v>
      </c>
      <c r="F1066" s="2">
        <v>17</v>
      </c>
      <c r="G1066" s="2" t="str" cm="1">
        <f t="array" ref="G1066">_xlfn.IFS(F1066&lt;=8,"Child",F1066&lt;=17,"Teen",F1066&lt;=35,"Adult",F1066&lt;=55,"Seniour Adult",F1066&gt;=55,"Old Age")</f>
        <v>Teen</v>
      </c>
      <c r="H1066" t="s">
        <v>10</v>
      </c>
      <c r="I1066" t="s">
        <v>11</v>
      </c>
      <c r="J1066" t="str" cm="1">
        <f t="array" ref="J1066">_xlfn.IFS(I1066="S","Southamptom",I1066="Q","Quentown",I1066="C","Cherbrug",I1066="B","Cabin")</f>
        <v>Southamptom</v>
      </c>
      <c r="K1066" t="s">
        <v>15</v>
      </c>
      <c r="L1066" s="2">
        <v>69.11</v>
      </c>
      <c r="M1066" s="2" t="str" cm="1">
        <f t="array" ref="M1066">_xlfn.IFS(L1066&lt;=15,"Low Fare",L1066&lt;=35,"Medium Fare",L1066&lt;=100,"High Fare",L1066&gt;=100,"Very High Fare")</f>
        <v>High Fare</v>
      </c>
      <c r="N1066" s="2">
        <v>8</v>
      </c>
      <c r="O1066" s="2">
        <v>2</v>
      </c>
      <c r="P1066">
        <f t="shared" si="65"/>
        <v>11</v>
      </c>
      <c r="Q1066" t="str">
        <f t="shared" si="66"/>
        <v>With Family</v>
      </c>
      <c r="R1066" t="str">
        <f t="shared" si="67"/>
        <v>No</v>
      </c>
      <c r="S1066" t="s">
        <v>13</v>
      </c>
    </row>
    <row r="1067" spans="1:19" x14ac:dyDescent="0.3">
      <c r="A1067" s="1" t="s">
        <v>794</v>
      </c>
      <c r="B1067" t="s">
        <v>1596</v>
      </c>
      <c r="C1067" t="s">
        <v>2512</v>
      </c>
      <c r="D1067" t="str">
        <f t="shared" si="64"/>
        <v>Male</v>
      </c>
      <c r="E1067" t="s">
        <v>9</v>
      </c>
      <c r="F1067" s="2">
        <v>20</v>
      </c>
      <c r="G1067" s="2" t="str" cm="1">
        <f t="array" ref="G1067">_xlfn.IFS(F1067&lt;=8,"Child",F1067&lt;=17,"Teen",F1067&lt;=35,"Adult",F1067&lt;=55,"Seniour Adult",F1067&gt;=55,"Old Age")</f>
        <v>Adult</v>
      </c>
      <c r="H1067" t="s">
        <v>10</v>
      </c>
      <c r="I1067" t="s">
        <v>11</v>
      </c>
      <c r="J1067" t="str" cm="1">
        <f t="array" ref="J1067">_xlfn.IFS(I1067="S","Southamptom",I1067="Q","Quentown",I1067="C","Cherbrug",I1067="B","Cabin")</f>
        <v>Southamptom</v>
      </c>
      <c r="K1067" t="s">
        <v>15</v>
      </c>
      <c r="L1067" s="2">
        <v>69.11</v>
      </c>
      <c r="M1067" s="2" t="str" cm="1">
        <f t="array" ref="M1067">_xlfn.IFS(L1067&lt;=15,"Low Fare",L1067&lt;=35,"Medium Fare",L1067&lt;=100,"High Fare",L1067&gt;=100,"Very High Fare")</f>
        <v>High Fare</v>
      </c>
      <c r="N1067" s="2">
        <v>8</v>
      </c>
      <c r="O1067" s="2">
        <v>2</v>
      </c>
      <c r="P1067">
        <f t="shared" si="65"/>
        <v>11</v>
      </c>
      <c r="Q1067" t="str">
        <f t="shared" si="66"/>
        <v>With Family</v>
      </c>
      <c r="R1067" t="str">
        <f t="shared" si="67"/>
        <v>No</v>
      </c>
      <c r="S1067" t="s">
        <v>13</v>
      </c>
    </row>
    <row r="1068" spans="1:19" x14ac:dyDescent="0.3">
      <c r="A1068" s="1" t="s">
        <v>794</v>
      </c>
      <c r="B1068" t="s">
        <v>1596</v>
      </c>
      <c r="C1068" t="s">
        <v>2513</v>
      </c>
      <c r="D1068" t="str">
        <f t="shared" si="64"/>
        <v>Male</v>
      </c>
      <c r="E1068" t="s">
        <v>9</v>
      </c>
      <c r="F1068" s="2">
        <v>45</v>
      </c>
      <c r="G1068" s="2" t="str" cm="1">
        <f t="array" ref="G1068">_xlfn.IFS(F1068&lt;=8,"Child",F1068&lt;=17,"Teen",F1068&lt;=35,"Adult",F1068&lt;=55,"Seniour Adult",F1068&gt;=55,"Old Age")</f>
        <v>Seniour Adult</v>
      </c>
      <c r="H1068" t="s">
        <v>10</v>
      </c>
      <c r="I1068" t="s">
        <v>11</v>
      </c>
      <c r="J1068" t="str" cm="1">
        <f t="array" ref="J1068">_xlfn.IFS(I1068="S","Southamptom",I1068="Q","Quentown",I1068="C","Cherbrug",I1068="B","Cabin")</f>
        <v>Southamptom</v>
      </c>
      <c r="K1068" t="s">
        <v>15</v>
      </c>
      <c r="L1068" s="2">
        <v>69.11</v>
      </c>
      <c r="M1068" s="2" t="str" cm="1">
        <f t="array" ref="M1068">_xlfn.IFS(L1068&lt;=15,"Low Fare",L1068&lt;=35,"Medium Fare",L1068&lt;=100,"High Fare",L1068&gt;=100,"Very High Fare")</f>
        <v>High Fare</v>
      </c>
      <c r="N1068" s="2">
        <v>1</v>
      </c>
      <c r="O1068" s="2">
        <v>9</v>
      </c>
      <c r="P1068">
        <f t="shared" si="65"/>
        <v>11</v>
      </c>
      <c r="Q1068" t="str">
        <f t="shared" si="66"/>
        <v>With Family</v>
      </c>
      <c r="R1068" t="str">
        <f t="shared" si="67"/>
        <v>No</v>
      </c>
      <c r="S1068" t="s">
        <v>13</v>
      </c>
    </row>
    <row r="1069" spans="1:19" x14ac:dyDescent="0.3">
      <c r="A1069" s="1" t="s">
        <v>794</v>
      </c>
      <c r="B1069" t="s">
        <v>1600</v>
      </c>
      <c r="C1069" t="s">
        <v>2514</v>
      </c>
      <c r="D1069" t="str">
        <f t="shared" si="64"/>
        <v>Female</v>
      </c>
      <c r="E1069" t="s">
        <v>14</v>
      </c>
      <c r="F1069" s="2">
        <v>45</v>
      </c>
      <c r="G1069" s="2" t="str" cm="1">
        <f t="array" ref="G1069">_xlfn.IFS(F1069&lt;=8,"Child",F1069&lt;=17,"Teen",F1069&lt;=35,"Adult",F1069&lt;=55,"Seniour Adult",F1069&gt;=55,"Old Age")</f>
        <v>Seniour Adult</v>
      </c>
      <c r="H1069" t="s">
        <v>10</v>
      </c>
      <c r="I1069" t="s">
        <v>11</v>
      </c>
      <c r="J1069" t="str" cm="1">
        <f t="array" ref="J1069">_xlfn.IFS(I1069="S","Southamptom",I1069="Q","Quentown",I1069="C","Cherbrug",I1069="B","Cabin")</f>
        <v>Southamptom</v>
      </c>
      <c r="K1069" t="s">
        <v>15</v>
      </c>
      <c r="L1069" s="2">
        <v>69.11</v>
      </c>
      <c r="M1069" s="2" t="str" cm="1">
        <f t="array" ref="M1069">_xlfn.IFS(L1069&lt;=15,"Low Fare",L1069&lt;=35,"Medium Fare",L1069&lt;=100,"High Fare",L1069&gt;=100,"Very High Fare")</f>
        <v>High Fare</v>
      </c>
      <c r="N1069" s="2">
        <v>1</v>
      </c>
      <c r="O1069" s="2">
        <v>9</v>
      </c>
      <c r="P1069">
        <f t="shared" si="65"/>
        <v>11</v>
      </c>
      <c r="Q1069" t="str">
        <f t="shared" si="66"/>
        <v>With Family</v>
      </c>
      <c r="R1069" t="str">
        <f t="shared" si="67"/>
        <v>No</v>
      </c>
      <c r="S1069" t="s">
        <v>13</v>
      </c>
    </row>
    <row r="1070" spans="1:19" x14ac:dyDescent="0.3">
      <c r="A1070" s="1" t="s">
        <v>795</v>
      </c>
      <c r="B1070" t="s">
        <v>2291</v>
      </c>
      <c r="C1070" t="s">
        <v>2515</v>
      </c>
      <c r="D1070" t="str">
        <f t="shared" si="64"/>
        <v>Female</v>
      </c>
      <c r="E1070" t="s">
        <v>14</v>
      </c>
      <c r="F1070" s="2">
        <v>24</v>
      </c>
      <c r="G1070" s="2" t="str" cm="1">
        <f t="array" ref="G1070">_xlfn.IFS(F1070&lt;=8,"Child",F1070&lt;=17,"Teen",F1070&lt;=35,"Adult",F1070&lt;=55,"Seniour Adult",F1070&gt;=55,"Old Age")</f>
        <v>Adult</v>
      </c>
      <c r="H1070" t="s">
        <v>25</v>
      </c>
      <c r="I1070" t="s">
        <v>19</v>
      </c>
      <c r="J1070" t="str" cm="1">
        <f t="array" ref="J1070">_xlfn.IFS(I1070="S","Southamptom",I1070="Q","Quentown",I1070="C","Cherbrug",I1070="B","Cabin")</f>
        <v>Cherbrug</v>
      </c>
      <c r="K1070" t="s">
        <v>15</v>
      </c>
      <c r="L1070" s="2">
        <v>69.06</v>
      </c>
      <c r="M1070" s="2" t="str" cm="1">
        <f t="array" ref="M1070">_xlfn.IFS(L1070&lt;=15,"Low Fare",L1070&lt;=35,"Medium Fare",L1070&lt;=100,"High Fare",L1070&gt;=100,"Very High Fare")</f>
        <v>High Fare</v>
      </c>
      <c r="N1070" s="2">
        <v>0</v>
      </c>
      <c r="O1070" s="2">
        <v>0</v>
      </c>
      <c r="P1070">
        <f t="shared" si="65"/>
        <v>1</v>
      </c>
      <c r="Q1070" t="str">
        <f t="shared" si="66"/>
        <v>Alone</v>
      </c>
      <c r="R1070" t="str">
        <f t="shared" si="67"/>
        <v>Yes</v>
      </c>
      <c r="S1070" t="s">
        <v>16</v>
      </c>
    </row>
    <row r="1071" spans="1:19" x14ac:dyDescent="0.3">
      <c r="A1071" s="1" t="s">
        <v>796</v>
      </c>
      <c r="B1071" t="s">
        <v>1596</v>
      </c>
      <c r="C1071" t="s">
        <v>2151</v>
      </c>
      <c r="D1071" t="str">
        <f t="shared" si="64"/>
        <v>Male</v>
      </c>
      <c r="E1071" t="s">
        <v>9</v>
      </c>
      <c r="F1071" s="2">
        <v>24</v>
      </c>
      <c r="G1071" s="2" t="str" cm="1">
        <f t="array" ref="G1071">_xlfn.IFS(F1071&lt;=8,"Child",F1071&lt;=17,"Teen",F1071&lt;=35,"Adult",F1071&lt;=55,"Seniour Adult",F1071&gt;=55,"Old Age")</f>
        <v>Adult</v>
      </c>
      <c r="H1071" t="s">
        <v>10</v>
      </c>
      <c r="I1071" t="s">
        <v>11</v>
      </c>
      <c r="J1071" t="str" cm="1">
        <f t="array" ref="J1071">_xlfn.IFS(I1071="S","Southamptom",I1071="Q","Quentown",I1071="C","Cherbrug",I1071="B","Cabin")</f>
        <v>Southamptom</v>
      </c>
      <c r="K1071" t="s">
        <v>23</v>
      </c>
      <c r="L1071" s="2">
        <v>9.0606000000000009</v>
      </c>
      <c r="M1071" s="2" t="str" cm="1">
        <f t="array" ref="M1071">_xlfn.IFS(L1071&lt;=15,"Low Fare",L1071&lt;=35,"Medium Fare",L1071&lt;=100,"High Fare",L1071&gt;=100,"Very High Fare")</f>
        <v>Low Fare</v>
      </c>
      <c r="N1071" s="2">
        <v>0</v>
      </c>
      <c r="O1071" s="2">
        <v>0</v>
      </c>
      <c r="P1071">
        <f t="shared" si="65"/>
        <v>1</v>
      </c>
      <c r="Q1071" t="str">
        <f t="shared" si="66"/>
        <v>Alone</v>
      </c>
      <c r="R1071" t="str">
        <f t="shared" si="67"/>
        <v>No</v>
      </c>
      <c r="S1071" t="s">
        <v>13</v>
      </c>
    </row>
    <row r="1072" spans="1:19" x14ac:dyDescent="0.3">
      <c r="A1072" s="1" t="s">
        <v>797</v>
      </c>
      <c r="B1072" t="s">
        <v>1602</v>
      </c>
      <c r="C1072" t="s">
        <v>2516</v>
      </c>
      <c r="D1072" t="str">
        <f t="shared" si="64"/>
        <v>Female</v>
      </c>
      <c r="E1072" t="s">
        <v>14</v>
      </c>
      <c r="F1072" s="2">
        <v>21</v>
      </c>
      <c r="G1072" s="2" t="str" cm="1">
        <f t="array" ref="G1072">_xlfn.IFS(F1072&lt;=8,"Child",F1072&lt;=17,"Teen",F1072&lt;=35,"Adult",F1072&lt;=55,"Seniour Adult",F1072&gt;=55,"Old Age")</f>
        <v>Adult</v>
      </c>
      <c r="H1072" t="s">
        <v>10</v>
      </c>
      <c r="I1072" t="s">
        <v>11</v>
      </c>
      <c r="J1072" t="str" cm="1">
        <f t="array" ref="J1072">_xlfn.IFS(I1072="S","Southamptom",I1072="Q","Quentown",I1072="C","Cherbrug",I1072="B","Cabin")</f>
        <v>Southamptom</v>
      </c>
      <c r="K1072" t="s">
        <v>17</v>
      </c>
      <c r="L1072" s="2">
        <v>7.13</v>
      </c>
      <c r="M1072" s="2" t="str" cm="1">
        <f t="array" ref="M1072">_xlfn.IFS(L1072&lt;=15,"Low Fare",L1072&lt;=35,"Medium Fare",L1072&lt;=100,"High Fare",L1072&gt;=100,"Very High Fare")</f>
        <v>Low Fare</v>
      </c>
      <c r="N1072" s="2">
        <v>0</v>
      </c>
      <c r="O1072" s="2">
        <v>0</v>
      </c>
      <c r="P1072">
        <f t="shared" si="65"/>
        <v>1</v>
      </c>
      <c r="Q1072" t="str">
        <f t="shared" si="66"/>
        <v>Alone</v>
      </c>
      <c r="R1072" t="str">
        <f t="shared" si="67"/>
        <v>Yes</v>
      </c>
      <c r="S1072" t="s">
        <v>16</v>
      </c>
    </row>
    <row r="1073" spans="1:19" x14ac:dyDescent="0.3">
      <c r="A1073" s="1" t="s">
        <v>798</v>
      </c>
      <c r="B1073" t="s">
        <v>1596</v>
      </c>
      <c r="C1073" t="s">
        <v>2517</v>
      </c>
      <c r="D1073" t="str">
        <f t="shared" si="64"/>
        <v>Male</v>
      </c>
      <c r="E1073" t="s">
        <v>9</v>
      </c>
      <c r="F1073" s="2">
        <v>43</v>
      </c>
      <c r="G1073" s="2" t="str" cm="1">
        <f t="array" ref="G1073">_xlfn.IFS(F1073&lt;=8,"Child",F1073&lt;=17,"Teen",F1073&lt;=35,"Adult",F1073&lt;=55,"Seniour Adult",F1073&gt;=55,"Old Age")</f>
        <v>Seniour Adult</v>
      </c>
      <c r="H1073" t="s">
        <v>25</v>
      </c>
      <c r="I1073" t="s">
        <v>11</v>
      </c>
      <c r="J1073" t="str" cm="1">
        <f t="array" ref="J1073">_xlfn.IFS(I1073="S","Southamptom",I1073="Q","Quentown",I1073="C","Cherbrug",I1073="B","Cabin")</f>
        <v>Southamptom</v>
      </c>
      <c r="K1073" t="s">
        <v>12</v>
      </c>
      <c r="L1073" s="2">
        <v>26</v>
      </c>
      <c r="M1073" s="2" t="str" cm="1">
        <f t="array" ref="M1073">_xlfn.IFS(L1073&lt;=15,"Low Fare",L1073&lt;=35,"Medium Fare",L1073&lt;=100,"High Fare",L1073&gt;=100,"Very High Fare")</f>
        <v>Medium Fare</v>
      </c>
      <c r="N1073" s="2">
        <v>0</v>
      </c>
      <c r="O1073" s="2">
        <v>0</v>
      </c>
      <c r="P1073">
        <f t="shared" si="65"/>
        <v>1</v>
      </c>
      <c r="Q1073" t="str">
        <f t="shared" si="66"/>
        <v>Alone</v>
      </c>
      <c r="R1073" t="str">
        <f t="shared" si="67"/>
        <v>Yes</v>
      </c>
      <c r="S1073" t="s">
        <v>16</v>
      </c>
    </row>
    <row r="1074" spans="1:19" x14ac:dyDescent="0.3">
      <c r="A1074" s="1" t="s">
        <v>799</v>
      </c>
      <c r="B1074" t="s">
        <v>1596</v>
      </c>
      <c r="C1074" t="s">
        <v>2518</v>
      </c>
      <c r="D1074" t="str">
        <f t="shared" si="64"/>
        <v>Male</v>
      </c>
      <c r="E1074" t="s">
        <v>9</v>
      </c>
      <c r="F1074" s="2">
        <v>29</v>
      </c>
      <c r="G1074" s="2" t="str" cm="1">
        <f t="array" ref="G1074">_xlfn.IFS(F1074&lt;=8,"Child",F1074&lt;=17,"Teen",F1074&lt;=35,"Adult",F1074&lt;=55,"Seniour Adult",F1074&gt;=55,"Old Age")</f>
        <v>Adult</v>
      </c>
      <c r="H1074" t="s">
        <v>10</v>
      </c>
      <c r="I1074" t="s">
        <v>11</v>
      </c>
      <c r="J1074" t="str" cm="1">
        <f t="array" ref="J1074">_xlfn.IFS(I1074="S","Southamptom",I1074="Q","Quentown",I1074="C","Cherbrug",I1074="B","Cabin")</f>
        <v>Southamptom</v>
      </c>
      <c r="K1074" t="s">
        <v>12</v>
      </c>
      <c r="L1074" s="2">
        <v>7.1806000000000001</v>
      </c>
      <c r="M1074" s="2" t="str" cm="1">
        <f t="array" ref="M1074">_xlfn.IFS(L1074&lt;=15,"Low Fare",L1074&lt;=35,"Medium Fare",L1074&lt;=100,"High Fare",L1074&gt;=100,"Very High Fare")</f>
        <v>Low Fare</v>
      </c>
      <c r="N1074" s="2">
        <v>0</v>
      </c>
      <c r="O1074" s="2">
        <v>0</v>
      </c>
      <c r="P1074">
        <f t="shared" si="65"/>
        <v>1</v>
      </c>
      <c r="Q1074" t="str">
        <f t="shared" si="66"/>
        <v>Alone</v>
      </c>
      <c r="R1074" t="str">
        <f t="shared" si="67"/>
        <v>No</v>
      </c>
      <c r="S1074" t="s">
        <v>13</v>
      </c>
    </row>
    <row r="1075" spans="1:19" x14ac:dyDescent="0.3">
      <c r="A1075" s="1" t="s">
        <v>800</v>
      </c>
      <c r="B1075" t="s">
        <v>1596</v>
      </c>
      <c r="C1075" t="s">
        <v>2167</v>
      </c>
      <c r="D1075" t="str">
        <f t="shared" si="64"/>
        <v>Male</v>
      </c>
      <c r="E1075" t="s">
        <v>9</v>
      </c>
      <c r="F1075" s="2">
        <v>17</v>
      </c>
      <c r="G1075" s="2" t="str" cm="1">
        <f t="array" ref="G1075">_xlfn.IFS(F1075&lt;=8,"Child",F1075&lt;=17,"Teen",F1075&lt;=35,"Adult",F1075&lt;=55,"Seniour Adult",F1075&gt;=55,"Old Age")</f>
        <v>Teen</v>
      </c>
      <c r="H1075" t="s">
        <v>10</v>
      </c>
      <c r="I1075" t="s">
        <v>19</v>
      </c>
      <c r="J1075" t="str" cm="1">
        <f t="array" ref="J1075">_xlfn.IFS(I1075="S","Southamptom",I1075="Q","Quentown",I1075="C","Cherbrug",I1075="B","Cabin")</f>
        <v>Cherbrug</v>
      </c>
      <c r="K1075" t="s">
        <v>21</v>
      </c>
      <c r="L1075" s="2">
        <v>21.130700000000001</v>
      </c>
      <c r="M1075" s="2" t="str" cm="1">
        <f t="array" ref="M1075">_xlfn.IFS(L1075&lt;=15,"Low Fare",L1075&lt;=35,"Medium Fare",L1075&lt;=100,"High Fare",L1075&gt;=100,"Very High Fare")</f>
        <v>Medium Fare</v>
      </c>
      <c r="N1075" s="2">
        <v>2</v>
      </c>
      <c r="O1075" s="2">
        <v>0</v>
      </c>
      <c r="P1075">
        <f t="shared" si="65"/>
        <v>3</v>
      </c>
      <c r="Q1075" t="str">
        <f t="shared" si="66"/>
        <v>With Family</v>
      </c>
      <c r="R1075" t="str">
        <f t="shared" si="67"/>
        <v>No</v>
      </c>
      <c r="S1075" t="s">
        <v>13</v>
      </c>
    </row>
    <row r="1076" spans="1:19" x14ac:dyDescent="0.3">
      <c r="A1076" s="1" t="s">
        <v>800</v>
      </c>
      <c r="B1076" t="s">
        <v>1596</v>
      </c>
      <c r="C1076" t="s">
        <v>2519</v>
      </c>
      <c r="D1076" t="str">
        <f t="shared" si="64"/>
        <v>Male</v>
      </c>
      <c r="E1076" t="s">
        <v>9</v>
      </c>
      <c r="F1076" s="2">
        <v>40</v>
      </c>
      <c r="G1076" s="2" t="str" cm="1">
        <f t="array" ref="G1076">_xlfn.IFS(F1076&lt;=8,"Child",F1076&lt;=17,"Teen",F1076&lt;=35,"Adult",F1076&lt;=55,"Seniour Adult",F1076&gt;=55,"Old Age")</f>
        <v>Seniour Adult</v>
      </c>
      <c r="H1076" t="s">
        <v>10</v>
      </c>
      <c r="I1076" t="s">
        <v>19</v>
      </c>
      <c r="J1076" t="str" cm="1">
        <f t="array" ref="J1076">_xlfn.IFS(I1076="S","Southamptom",I1076="Q","Quentown",I1076="C","Cherbrug",I1076="B","Cabin")</f>
        <v>Cherbrug</v>
      </c>
      <c r="K1076" t="s">
        <v>21</v>
      </c>
      <c r="L1076" s="2">
        <v>21.130700000000001</v>
      </c>
      <c r="M1076" s="2" t="str" cm="1">
        <f t="array" ref="M1076">_xlfn.IFS(L1076&lt;=15,"Low Fare",L1076&lt;=35,"Medium Fare",L1076&lt;=100,"High Fare",L1076&gt;=100,"Very High Fare")</f>
        <v>Medium Fare</v>
      </c>
      <c r="N1076" s="2">
        <v>2</v>
      </c>
      <c r="O1076" s="2">
        <v>0</v>
      </c>
      <c r="P1076">
        <f t="shared" si="65"/>
        <v>3</v>
      </c>
      <c r="Q1076" t="str">
        <f t="shared" si="66"/>
        <v>With Family</v>
      </c>
      <c r="R1076" t="str">
        <f t="shared" si="67"/>
        <v>No</v>
      </c>
      <c r="S1076" t="s">
        <v>13</v>
      </c>
    </row>
    <row r="1077" spans="1:19" x14ac:dyDescent="0.3">
      <c r="A1077" s="1" t="s">
        <v>800</v>
      </c>
      <c r="B1077" t="s">
        <v>1596</v>
      </c>
      <c r="C1077" t="s">
        <v>2520</v>
      </c>
      <c r="D1077" t="str">
        <f t="shared" si="64"/>
        <v>Male</v>
      </c>
      <c r="E1077" t="s">
        <v>9</v>
      </c>
      <c r="F1077" s="2">
        <v>16</v>
      </c>
      <c r="G1077" s="2" t="str" cm="1">
        <f t="array" ref="G1077">_xlfn.IFS(F1077&lt;=8,"Child",F1077&lt;=17,"Teen",F1077&lt;=35,"Adult",F1077&lt;=55,"Seniour Adult",F1077&gt;=55,"Old Age")</f>
        <v>Teen</v>
      </c>
      <c r="H1077" t="s">
        <v>10</v>
      </c>
      <c r="I1077" t="s">
        <v>19</v>
      </c>
      <c r="J1077" t="str" cm="1">
        <f t="array" ref="J1077">_xlfn.IFS(I1077="S","Southamptom",I1077="Q","Quentown",I1077="C","Cherbrug",I1077="B","Cabin")</f>
        <v>Cherbrug</v>
      </c>
      <c r="K1077" t="s">
        <v>21</v>
      </c>
      <c r="L1077" s="2">
        <v>21.130700000000001</v>
      </c>
      <c r="M1077" s="2" t="str" cm="1">
        <f t="array" ref="M1077">_xlfn.IFS(L1077&lt;=15,"Low Fare",L1077&lt;=35,"Medium Fare",L1077&lt;=100,"High Fare",L1077&gt;=100,"Very High Fare")</f>
        <v>Medium Fare</v>
      </c>
      <c r="N1077" s="2">
        <v>2</v>
      </c>
      <c r="O1077" s="2">
        <v>0</v>
      </c>
      <c r="P1077">
        <f t="shared" si="65"/>
        <v>3</v>
      </c>
      <c r="Q1077" t="str">
        <f t="shared" si="66"/>
        <v>With Family</v>
      </c>
      <c r="R1077" t="str">
        <f t="shared" si="67"/>
        <v>No</v>
      </c>
      <c r="S1077" t="s">
        <v>13</v>
      </c>
    </row>
    <row r="1078" spans="1:19" x14ac:dyDescent="0.3">
      <c r="A1078" s="1" t="s">
        <v>801</v>
      </c>
      <c r="B1078" t="s">
        <v>1602</v>
      </c>
      <c r="C1078" t="s">
        <v>2521</v>
      </c>
      <c r="D1078" t="str">
        <f t="shared" si="64"/>
        <v>Female</v>
      </c>
      <c r="E1078" t="s">
        <v>14</v>
      </c>
      <c r="F1078" s="2">
        <v>1</v>
      </c>
      <c r="G1078" s="2" t="str" cm="1">
        <f t="array" ref="G1078">_xlfn.IFS(F1078&lt;=8,"Child",F1078&lt;=17,"Teen",F1078&lt;=35,"Adult",F1078&lt;=55,"Seniour Adult",F1078&gt;=55,"Old Age")</f>
        <v>Child</v>
      </c>
      <c r="H1078" t="s">
        <v>10</v>
      </c>
      <c r="I1078" t="s">
        <v>11</v>
      </c>
      <c r="J1078" t="str" cm="1">
        <f t="array" ref="J1078">_xlfn.IFS(I1078="S","Southamptom",I1078="Q","Quentown",I1078="C","Cherbrug",I1078="B","Cabin")</f>
        <v>Southamptom</v>
      </c>
      <c r="K1078" t="s">
        <v>23</v>
      </c>
      <c r="L1078" s="2">
        <v>16.14</v>
      </c>
      <c r="M1078" s="2" t="str" cm="1">
        <f t="array" ref="M1078">_xlfn.IFS(L1078&lt;=15,"Low Fare",L1078&lt;=35,"Medium Fare",L1078&lt;=100,"High Fare",L1078&gt;=100,"Very High Fare")</f>
        <v>Medium Fare</v>
      </c>
      <c r="N1078" s="2">
        <v>1</v>
      </c>
      <c r="O1078" s="2">
        <v>1</v>
      </c>
      <c r="P1078">
        <f t="shared" si="65"/>
        <v>3</v>
      </c>
      <c r="Q1078" t="str">
        <f t="shared" si="66"/>
        <v>With Family</v>
      </c>
      <c r="R1078" t="str">
        <f t="shared" si="67"/>
        <v>Yes</v>
      </c>
      <c r="S1078" t="s">
        <v>16</v>
      </c>
    </row>
    <row r="1079" spans="1:19" x14ac:dyDescent="0.3">
      <c r="A1079" s="1" t="s">
        <v>801</v>
      </c>
      <c r="B1079" t="s">
        <v>1602</v>
      </c>
      <c r="C1079" t="s">
        <v>2522</v>
      </c>
      <c r="D1079" t="str">
        <f t="shared" si="64"/>
        <v>Female</v>
      </c>
      <c r="E1079" t="s">
        <v>14</v>
      </c>
      <c r="F1079" s="2">
        <v>4</v>
      </c>
      <c r="G1079" s="2" t="str" cm="1">
        <f t="array" ref="G1079">_xlfn.IFS(F1079&lt;=8,"Child",F1079&lt;=17,"Teen",F1079&lt;=35,"Adult",F1079&lt;=55,"Seniour Adult",F1079&gt;=55,"Old Age")</f>
        <v>Child</v>
      </c>
      <c r="H1079" t="s">
        <v>10</v>
      </c>
      <c r="I1079" t="s">
        <v>11</v>
      </c>
      <c r="J1079" t="str" cm="1">
        <f t="array" ref="J1079">_xlfn.IFS(I1079="S","Southamptom",I1079="Q","Quentown",I1079="C","Cherbrug",I1079="B","Cabin")</f>
        <v>Southamptom</v>
      </c>
      <c r="K1079" t="s">
        <v>23</v>
      </c>
      <c r="L1079" s="2">
        <v>16.14</v>
      </c>
      <c r="M1079" s="2" t="str" cm="1">
        <f t="array" ref="M1079">_xlfn.IFS(L1079&lt;=15,"Low Fare",L1079&lt;=35,"Medium Fare",L1079&lt;=100,"High Fare",L1079&gt;=100,"Very High Fare")</f>
        <v>Medium Fare</v>
      </c>
      <c r="N1079" s="2">
        <v>1</v>
      </c>
      <c r="O1079" s="2">
        <v>1</v>
      </c>
      <c r="P1079">
        <f t="shared" si="65"/>
        <v>3</v>
      </c>
      <c r="Q1079" t="str">
        <f t="shared" si="66"/>
        <v>With Family</v>
      </c>
      <c r="R1079" t="str">
        <f t="shared" si="67"/>
        <v>Yes</v>
      </c>
      <c r="S1079" t="s">
        <v>16</v>
      </c>
    </row>
    <row r="1080" spans="1:19" x14ac:dyDescent="0.3">
      <c r="A1080" s="1" t="s">
        <v>801</v>
      </c>
      <c r="B1080" t="s">
        <v>1600</v>
      </c>
      <c r="C1080" t="s">
        <v>2523</v>
      </c>
      <c r="D1080" t="str">
        <f t="shared" si="64"/>
        <v>Female</v>
      </c>
      <c r="E1080" t="s">
        <v>14</v>
      </c>
      <c r="F1080" s="2">
        <v>24</v>
      </c>
      <c r="G1080" s="2" t="str" cm="1">
        <f t="array" ref="G1080">_xlfn.IFS(F1080&lt;=8,"Child",F1080&lt;=17,"Teen",F1080&lt;=35,"Adult",F1080&lt;=55,"Seniour Adult",F1080&gt;=55,"Old Age")</f>
        <v>Adult</v>
      </c>
      <c r="H1080" t="s">
        <v>10</v>
      </c>
      <c r="I1080" t="s">
        <v>11</v>
      </c>
      <c r="J1080" t="str" cm="1">
        <f t="array" ref="J1080">_xlfn.IFS(I1080="S","Southamptom",I1080="Q","Quentown",I1080="C","Cherbrug",I1080="B","Cabin")</f>
        <v>Southamptom</v>
      </c>
      <c r="K1080" t="s">
        <v>23</v>
      </c>
      <c r="L1080" s="2">
        <v>16.14</v>
      </c>
      <c r="M1080" s="2" t="str" cm="1">
        <f t="array" ref="M1080">_xlfn.IFS(L1080&lt;=15,"Low Fare",L1080&lt;=35,"Medium Fare",L1080&lt;=100,"High Fare",L1080&gt;=100,"Very High Fare")</f>
        <v>Medium Fare</v>
      </c>
      <c r="N1080" s="2">
        <v>0</v>
      </c>
      <c r="O1080" s="2">
        <v>2</v>
      </c>
      <c r="P1080">
        <f t="shared" si="65"/>
        <v>3</v>
      </c>
      <c r="Q1080" t="str">
        <f t="shared" si="66"/>
        <v>With Family</v>
      </c>
      <c r="R1080" t="str">
        <f t="shared" si="67"/>
        <v>Yes</v>
      </c>
      <c r="S1080" t="s">
        <v>16</v>
      </c>
    </row>
    <row r="1081" spans="1:19" x14ac:dyDescent="0.3">
      <c r="A1081" s="1" t="s">
        <v>802</v>
      </c>
      <c r="B1081" t="s">
        <v>1596</v>
      </c>
      <c r="C1081" t="s">
        <v>2524</v>
      </c>
      <c r="D1081" t="str">
        <f t="shared" si="64"/>
        <v>Male</v>
      </c>
      <c r="E1081" t="s">
        <v>9</v>
      </c>
      <c r="F1081" s="2">
        <v>21</v>
      </c>
      <c r="G1081" s="2" t="str" cm="1">
        <f t="array" ref="G1081">_xlfn.IFS(F1081&lt;=8,"Child",F1081&lt;=17,"Teen",F1081&lt;=35,"Adult",F1081&lt;=55,"Seniour Adult",F1081&gt;=55,"Old Age")</f>
        <v>Adult</v>
      </c>
      <c r="H1081" t="s">
        <v>10</v>
      </c>
      <c r="I1081" t="s">
        <v>11</v>
      </c>
      <c r="J1081" t="str" cm="1">
        <f t="array" ref="J1081">_xlfn.IFS(I1081="S","Southamptom",I1081="Q","Quentown",I1081="C","Cherbrug",I1081="B","Cabin")</f>
        <v>Southamptom</v>
      </c>
      <c r="K1081" t="s">
        <v>46</v>
      </c>
      <c r="L1081" s="2">
        <v>9.1</v>
      </c>
      <c r="M1081" s="2" t="str" cm="1">
        <f t="array" ref="M1081">_xlfn.IFS(L1081&lt;=15,"Low Fare",L1081&lt;=35,"Medium Fare",L1081&lt;=100,"High Fare",L1081&gt;=100,"Very High Fare")</f>
        <v>Low Fare</v>
      </c>
      <c r="N1081" s="2">
        <v>0</v>
      </c>
      <c r="O1081" s="2">
        <v>0</v>
      </c>
      <c r="P1081">
        <f t="shared" si="65"/>
        <v>1</v>
      </c>
      <c r="Q1081" t="str">
        <f t="shared" si="66"/>
        <v>Alone</v>
      </c>
      <c r="R1081" t="str">
        <f t="shared" si="67"/>
        <v>Yes</v>
      </c>
      <c r="S1081" t="s">
        <v>16</v>
      </c>
    </row>
    <row r="1082" spans="1:19" x14ac:dyDescent="0.3">
      <c r="A1082" s="1" t="s">
        <v>803</v>
      </c>
      <c r="B1082" t="s">
        <v>1596</v>
      </c>
      <c r="C1082" t="s">
        <v>1621</v>
      </c>
      <c r="D1082" t="str">
        <f t="shared" si="64"/>
        <v>Male</v>
      </c>
      <c r="E1082" t="s">
        <v>9</v>
      </c>
      <c r="F1082" s="2">
        <v>19</v>
      </c>
      <c r="G1082" s="2" t="str" cm="1">
        <f t="array" ref="G1082">_xlfn.IFS(F1082&lt;=8,"Child",F1082&lt;=17,"Teen",F1082&lt;=35,"Adult",F1082&lt;=55,"Seniour Adult",F1082&gt;=55,"Old Age")</f>
        <v>Adult</v>
      </c>
      <c r="H1082" t="s">
        <v>10</v>
      </c>
      <c r="I1082" t="s">
        <v>11</v>
      </c>
      <c r="J1082" t="str" cm="1">
        <f t="array" ref="J1082">_xlfn.IFS(I1082="S","Southamptom",I1082="Q","Quentown",I1082="C","Cherbrug",I1082="B","Cabin")</f>
        <v>Southamptom</v>
      </c>
      <c r="K1082" t="s">
        <v>15</v>
      </c>
      <c r="L1082" s="2">
        <v>8.01</v>
      </c>
      <c r="M1082" s="2" t="str" cm="1">
        <f t="array" ref="M1082">_xlfn.IFS(L1082&lt;=15,"Low Fare",L1082&lt;=35,"Medium Fare",L1082&lt;=100,"High Fare",L1082&gt;=100,"Very High Fare")</f>
        <v>Low Fare</v>
      </c>
      <c r="N1082" s="2">
        <v>0</v>
      </c>
      <c r="O1082" s="2">
        <v>0</v>
      </c>
      <c r="P1082">
        <f t="shared" si="65"/>
        <v>1</v>
      </c>
      <c r="Q1082" t="str">
        <f t="shared" si="66"/>
        <v>Alone</v>
      </c>
      <c r="R1082" t="str">
        <f t="shared" si="67"/>
        <v>No</v>
      </c>
      <c r="S1082" t="s">
        <v>13</v>
      </c>
    </row>
    <row r="1083" spans="1:19" x14ac:dyDescent="0.3">
      <c r="A1083" s="1" t="s">
        <v>804</v>
      </c>
      <c r="B1083" t="s">
        <v>1596</v>
      </c>
      <c r="C1083" t="s">
        <v>2525</v>
      </c>
      <c r="D1083" t="str">
        <f t="shared" si="64"/>
        <v>Male</v>
      </c>
      <c r="E1083" t="s">
        <v>9</v>
      </c>
      <c r="F1083" s="2">
        <v>24</v>
      </c>
      <c r="G1083" s="2" t="str" cm="1">
        <f t="array" ref="G1083">_xlfn.IFS(F1083&lt;=8,"Child",F1083&lt;=17,"Teen",F1083&lt;=35,"Adult",F1083&lt;=55,"Seniour Adult",F1083&gt;=55,"Old Age")</f>
        <v>Adult</v>
      </c>
      <c r="H1083" t="s">
        <v>10</v>
      </c>
      <c r="I1083" t="s">
        <v>11</v>
      </c>
      <c r="J1083" t="str" cm="1">
        <f t="array" ref="J1083">_xlfn.IFS(I1083="S","Southamptom",I1083="Q","Quentown",I1083="C","Cherbrug",I1083="B","Cabin")</f>
        <v>Southamptom</v>
      </c>
      <c r="K1083" t="s">
        <v>15</v>
      </c>
      <c r="L1083" s="2">
        <v>8.01</v>
      </c>
      <c r="M1083" s="2" t="str" cm="1">
        <f t="array" ref="M1083">_xlfn.IFS(L1083&lt;=15,"Low Fare",L1083&lt;=35,"Medium Fare",L1083&lt;=100,"High Fare",L1083&gt;=100,"Very High Fare")</f>
        <v>Low Fare</v>
      </c>
      <c r="N1083" s="2">
        <v>0</v>
      </c>
      <c r="O1083" s="2">
        <v>0</v>
      </c>
      <c r="P1083">
        <f t="shared" si="65"/>
        <v>1</v>
      </c>
      <c r="Q1083" t="str">
        <f t="shared" si="66"/>
        <v>Alone</v>
      </c>
      <c r="R1083" t="str">
        <f t="shared" si="67"/>
        <v>No</v>
      </c>
      <c r="S1083" t="s">
        <v>13</v>
      </c>
    </row>
    <row r="1084" spans="1:19" x14ac:dyDescent="0.3">
      <c r="A1084" s="1" t="s">
        <v>805</v>
      </c>
      <c r="B1084" t="s">
        <v>1596</v>
      </c>
      <c r="C1084" t="s">
        <v>1965</v>
      </c>
      <c r="D1084" t="str">
        <f t="shared" si="64"/>
        <v>Male</v>
      </c>
      <c r="E1084" t="s">
        <v>9</v>
      </c>
      <c r="F1084" s="2">
        <v>22</v>
      </c>
      <c r="G1084" s="2" t="str" cm="1">
        <f t="array" ref="G1084">_xlfn.IFS(F1084&lt;=8,"Child",F1084&lt;=17,"Teen",F1084&lt;=35,"Adult",F1084&lt;=55,"Seniour Adult",F1084&gt;=55,"Old Age")</f>
        <v>Adult</v>
      </c>
      <c r="H1084" t="s">
        <v>10</v>
      </c>
      <c r="I1084" t="s">
        <v>36</v>
      </c>
      <c r="J1084" t="str" cm="1">
        <f t="array" ref="J1084">_xlfn.IFS(I1084="S","Southamptom",I1084="Q","Quentown",I1084="C","Cherbrug",I1084="B","Cabin")</f>
        <v>Quentown</v>
      </c>
      <c r="K1084" t="s">
        <v>37</v>
      </c>
      <c r="L1084" s="2">
        <v>7.1406000000000001</v>
      </c>
      <c r="M1084" s="2" t="str" cm="1">
        <f t="array" ref="M1084">_xlfn.IFS(L1084&lt;=15,"Low Fare",L1084&lt;=35,"Medium Fare",L1084&lt;=100,"High Fare",L1084&gt;=100,"Very High Fare")</f>
        <v>Low Fare</v>
      </c>
      <c r="N1084" s="2">
        <v>0</v>
      </c>
      <c r="O1084" s="2">
        <v>0</v>
      </c>
      <c r="P1084">
        <f t="shared" si="65"/>
        <v>1</v>
      </c>
      <c r="Q1084" t="str">
        <f t="shared" si="66"/>
        <v>Alone</v>
      </c>
      <c r="R1084" t="str">
        <f t="shared" si="67"/>
        <v>No</v>
      </c>
      <c r="S1084" t="s">
        <v>13</v>
      </c>
    </row>
    <row r="1085" spans="1:19" x14ac:dyDescent="0.3">
      <c r="A1085" s="1" t="s">
        <v>806</v>
      </c>
      <c r="B1085" t="s">
        <v>1600</v>
      </c>
      <c r="C1085" t="s">
        <v>2515</v>
      </c>
      <c r="D1085" t="str">
        <f t="shared" si="64"/>
        <v>Female</v>
      </c>
      <c r="E1085" t="s">
        <v>14</v>
      </c>
      <c r="F1085" s="2">
        <v>35</v>
      </c>
      <c r="G1085" s="2" t="str" cm="1">
        <f t="array" ref="G1085">_xlfn.IFS(F1085&lt;=8,"Child",F1085&lt;=17,"Teen",F1085&lt;=35,"Adult",F1085&lt;=55,"Seniour Adult",F1085&gt;=55,"Old Age")</f>
        <v>Adult</v>
      </c>
      <c r="H1085" t="s">
        <v>25</v>
      </c>
      <c r="I1085" t="s">
        <v>19</v>
      </c>
      <c r="J1085" t="str" cm="1">
        <f t="array" ref="J1085">_xlfn.IFS(I1085="S","Southamptom",I1085="Q","Quentown",I1085="C","Cherbrug",I1085="B","Cabin")</f>
        <v>Cherbrug</v>
      </c>
      <c r="K1085" t="s">
        <v>64</v>
      </c>
      <c r="L1085" s="2">
        <v>57.15</v>
      </c>
      <c r="M1085" s="2" t="str" cm="1">
        <f t="array" ref="M1085">_xlfn.IFS(L1085&lt;=15,"Low Fare",L1085&lt;=35,"Medium Fare",L1085&lt;=100,"High Fare",L1085&gt;=100,"Very High Fare")</f>
        <v>High Fare</v>
      </c>
      <c r="N1085" s="2">
        <v>1</v>
      </c>
      <c r="O1085" s="2">
        <v>0</v>
      </c>
      <c r="P1085">
        <f t="shared" si="65"/>
        <v>2</v>
      </c>
      <c r="Q1085" t="str">
        <f t="shared" si="66"/>
        <v>With Family</v>
      </c>
      <c r="R1085" t="str">
        <f t="shared" si="67"/>
        <v>Yes</v>
      </c>
      <c r="S1085" t="s">
        <v>16</v>
      </c>
    </row>
    <row r="1086" spans="1:19" x14ac:dyDescent="0.3">
      <c r="A1086" s="1" t="s">
        <v>807</v>
      </c>
      <c r="B1086" t="s">
        <v>1596</v>
      </c>
      <c r="C1086" t="s">
        <v>2526</v>
      </c>
      <c r="D1086" t="str">
        <f t="shared" si="64"/>
        <v>Male</v>
      </c>
      <c r="E1086" t="s">
        <v>9</v>
      </c>
      <c r="F1086" s="2">
        <v>29</v>
      </c>
      <c r="G1086" s="2" t="str" cm="1">
        <f t="array" ref="G1086">_xlfn.IFS(F1086&lt;=8,"Child",F1086&lt;=17,"Teen",F1086&lt;=35,"Adult",F1086&lt;=55,"Seniour Adult",F1086&gt;=55,"Old Age")</f>
        <v>Adult</v>
      </c>
      <c r="H1086" t="s">
        <v>10</v>
      </c>
      <c r="I1086" t="s">
        <v>11</v>
      </c>
      <c r="J1086" t="str" cm="1">
        <f t="array" ref="J1086">_xlfn.IFS(I1086="S","Southamptom",I1086="Q","Quentown",I1086="C","Cherbrug",I1086="B","Cabin")</f>
        <v>Southamptom</v>
      </c>
      <c r="K1086" t="s">
        <v>46</v>
      </c>
      <c r="L1086" s="2">
        <v>9.1</v>
      </c>
      <c r="M1086" s="2" t="str" cm="1">
        <f t="array" ref="M1086">_xlfn.IFS(L1086&lt;=15,"Low Fare",L1086&lt;=35,"Medium Fare",L1086&lt;=100,"High Fare",L1086&gt;=100,"Very High Fare")</f>
        <v>Low Fare</v>
      </c>
      <c r="N1086" s="2">
        <v>0</v>
      </c>
      <c r="O1086" s="2">
        <v>0</v>
      </c>
      <c r="P1086">
        <f t="shared" si="65"/>
        <v>1</v>
      </c>
      <c r="Q1086" t="str">
        <f t="shared" si="66"/>
        <v>Alone</v>
      </c>
      <c r="R1086" t="str">
        <f t="shared" si="67"/>
        <v>Yes</v>
      </c>
      <c r="S1086" t="s">
        <v>16</v>
      </c>
    </row>
    <row r="1087" spans="1:19" x14ac:dyDescent="0.3">
      <c r="A1087" s="1" t="s">
        <v>808</v>
      </c>
      <c r="B1087" t="s">
        <v>1596</v>
      </c>
      <c r="C1087" t="s">
        <v>2527</v>
      </c>
      <c r="D1087" t="str">
        <f t="shared" si="64"/>
        <v>Male</v>
      </c>
      <c r="E1087" t="s">
        <v>9</v>
      </c>
      <c r="F1087" s="2">
        <v>22</v>
      </c>
      <c r="G1087" s="2" t="str" cm="1">
        <f t="array" ref="G1087">_xlfn.IFS(F1087&lt;=8,"Child",F1087&lt;=17,"Teen",F1087&lt;=35,"Adult",F1087&lt;=55,"Seniour Adult",F1087&gt;=55,"Old Age")</f>
        <v>Adult</v>
      </c>
      <c r="H1087" t="s">
        <v>18</v>
      </c>
      <c r="I1087" t="s">
        <v>11</v>
      </c>
      <c r="J1087" t="str" cm="1">
        <f t="array" ref="J1087">_xlfn.IFS(I1087="S","Southamptom",I1087="Q","Quentown",I1087="C","Cherbrug",I1087="B","Cabin")</f>
        <v>Southamptom</v>
      </c>
      <c r="K1087" t="s">
        <v>15</v>
      </c>
      <c r="L1087" s="2">
        <v>13</v>
      </c>
      <c r="M1087" s="2" t="str" cm="1">
        <f t="array" ref="M1087">_xlfn.IFS(L1087&lt;=15,"Low Fare",L1087&lt;=35,"Medium Fare",L1087&lt;=100,"High Fare",L1087&gt;=100,"Very High Fare")</f>
        <v>Low Fare</v>
      </c>
      <c r="N1087" s="2">
        <v>0</v>
      </c>
      <c r="O1087" s="2">
        <v>0</v>
      </c>
      <c r="P1087">
        <f t="shared" si="65"/>
        <v>1</v>
      </c>
      <c r="Q1087" t="str">
        <f t="shared" si="66"/>
        <v>Alone</v>
      </c>
      <c r="R1087" t="str">
        <f t="shared" si="67"/>
        <v>No</v>
      </c>
      <c r="S1087" t="s">
        <v>13</v>
      </c>
    </row>
    <row r="1088" spans="1:19" x14ac:dyDescent="0.3">
      <c r="A1088" s="1" t="s">
        <v>809</v>
      </c>
      <c r="B1088" t="s">
        <v>1596</v>
      </c>
      <c r="C1088" t="s">
        <v>2528</v>
      </c>
      <c r="D1088" t="str">
        <f t="shared" si="64"/>
        <v>Male</v>
      </c>
      <c r="E1088" t="s">
        <v>9</v>
      </c>
      <c r="F1088" s="2">
        <v>42</v>
      </c>
      <c r="G1088" s="2" t="str" cm="1">
        <f t="array" ref="G1088">_xlfn.IFS(F1088&lt;=8,"Child",F1088&lt;=17,"Teen",F1088&lt;=35,"Adult",F1088&lt;=55,"Seniour Adult",F1088&gt;=55,"Old Age")</f>
        <v>Seniour Adult</v>
      </c>
      <c r="H1088" t="s">
        <v>10</v>
      </c>
      <c r="I1088" t="s">
        <v>11</v>
      </c>
      <c r="J1088" t="str" cm="1">
        <f t="array" ref="J1088">_xlfn.IFS(I1088="S","Southamptom",I1088="Q","Quentown",I1088="C","Cherbrug",I1088="B","Cabin")</f>
        <v>Southamptom</v>
      </c>
      <c r="K1088" t="s">
        <v>15</v>
      </c>
      <c r="L1088" s="2">
        <v>7.1711</v>
      </c>
      <c r="M1088" s="2" t="str" cm="1">
        <f t="array" ref="M1088">_xlfn.IFS(L1088&lt;=15,"Low Fare",L1088&lt;=35,"Medium Fare",L1088&lt;=100,"High Fare",L1088&gt;=100,"Very High Fare")</f>
        <v>Low Fare</v>
      </c>
      <c r="N1088" s="2">
        <v>0</v>
      </c>
      <c r="O1088" s="2">
        <v>0</v>
      </c>
      <c r="P1088">
        <f t="shared" si="65"/>
        <v>1</v>
      </c>
      <c r="Q1088" t="str">
        <f t="shared" si="66"/>
        <v>Alone</v>
      </c>
      <c r="R1088" t="str">
        <f t="shared" si="67"/>
        <v>No</v>
      </c>
      <c r="S1088" t="s">
        <v>13</v>
      </c>
    </row>
    <row r="1089" spans="1:19" x14ac:dyDescent="0.3">
      <c r="A1089" s="1" t="s">
        <v>810</v>
      </c>
      <c r="B1089" t="s">
        <v>1596</v>
      </c>
      <c r="C1089" t="s">
        <v>2529</v>
      </c>
      <c r="D1089" t="str">
        <f t="shared" si="64"/>
        <v>Male</v>
      </c>
      <c r="E1089" t="s">
        <v>9</v>
      </c>
      <c r="F1089" s="2">
        <v>28</v>
      </c>
      <c r="G1089" s="2" t="str" cm="1">
        <f t="array" ref="G1089">_xlfn.IFS(F1089&lt;=8,"Child",F1089&lt;=17,"Teen",F1089&lt;=35,"Adult",F1089&lt;=55,"Seniour Adult",F1089&gt;=55,"Old Age")</f>
        <v>Adult</v>
      </c>
      <c r="H1089" t="s">
        <v>18</v>
      </c>
      <c r="I1089" t="s">
        <v>11</v>
      </c>
      <c r="J1089" t="str" cm="1">
        <f t="array" ref="J1089">_xlfn.IFS(I1089="S","Southamptom",I1089="Q","Quentown",I1089="C","Cherbrug",I1089="B","Cabin")</f>
        <v>Southamptom</v>
      </c>
      <c r="K1089" t="s">
        <v>15</v>
      </c>
      <c r="L1089" s="2">
        <v>13</v>
      </c>
      <c r="M1089" s="2" t="str" cm="1">
        <f t="array" ref="M1089">_xlfn.IFS(L1089&lt;=15,"Low Fare",L1089&lt;=35,"Medium Fare",L1089&lt;=100,"High Fare",L1089&gt;=100,"Very High Fare")</f>
        <v>Low Fare</v>
      </c>
      <c r="N1089" s="2">
        <v>0</v>
      </c>
      <c r="O1089" s="2">
        <v>0</v>
      </c>
      <c r="P1089">
        <f t="shared" si="65"/>
        <v>1</v>
      </c>
      <c r="Q1089" t="str">
        <f t="shared" si="66"/>
        <v>Alone</v>
      </c>
      <c r="R1089" t="str">
        <f t="shared" si="67"/>
        <v>No</v>
      </c>
      <c r="S1089" t="s">
        <v>13</v>
      </c>
    </row>
    <row r="1090" spans="1:19" x14ac:dyDescent="0.3">
      <c r="A1090" s="1" t="s">
        <v>811</v>
      </c>
      <c r="B1090" t="s">
        <v>1612</v>
      </c>
      <c r="C1090" t="s">
        <v>2192</v>
      </c>
      <c r="D1090" t="str">
        <f t="shared" si="64"/>
        <v>Male</v>
      </c>
      <c r="E1090" t="s">
        <v>9</v>
      </c>
      <c r="F1090" s="2">
        <v>10</v>
      </c>
      <c r="G1090" s="2" t="str" cm="1">
        <f t="array" ref="G1090">_xlfn.IFS(F1090&lt;=8,"Child",F1090&lt;=17,"Teen",F1090&lt;=35,"Adult",F1090&lt;=55,"Seniour Adult",F1090&gt;=55,"Old Age")</f>
        <v>Teen</v>
      </c>
      <c r="H1090" t="s">
        <v>10</v>
      </c>
      <c r="I1090" t="s">
        <v>19</v>
      </c>
      <c r="J1090" t="str" cm="1">
        <f t="array" ref="J1090">_xlfn.IFS(I1090="S","Southamptom",I1090="Q","Quentown",I1090="C","Cherbrug",I1090="B","Cabin")</f>
        <v>Cherbrug</v>
      </c>
      <c r="K1090" t="s">
        <v>21</v>
      </c>
      <c r="L1090" s="2">
        <v>4</v>
      </c>
      <c r="M1090" s="2" t="str" cm="1">
        <f t="array" ref="M1090">_xlfn.IFS(L1090&lt;=15,"Low Fare",L1090&lt;=35,"Medium Fare",L1090&lt;=100,"High Fare",L1090&gt;=100,"Very High Fare")</f>
        <v>Low Fare</v>
      </c>
      <c r="N1090" s="2">
        <v>0</v>
      </c>
      <c r="O1090" s="2">
        <v>0</v>
      </c>
      <c r="P1090">
        <f t="shared" si="65"/>
        <v>1</v>
      </c>
      <c r="Q1090" t="str">
        <f t="shared" si="66"/>
        <v>Alone</v>
      </c>
      <c r="R1090" t="str">
        <f t="shared" si="67"/>
        <v>No</v>
      </c>
      <c r="S1090" t="s">
        <v>13</v>
      </c>
    </row>
    <row r="1091" spans="1:19" x14ac:dyDescent="0.3">
      <c r="A1091" s="1" t="s">
        <v>812</v>
      </c>
      <c r="B1091" t="s">
        <v>1602</v>
      </c>
      <c r="C1091" t="s">
        <v>2530</v>
      </c>
      <c r="D1091" t="str">
        <f t="shared" ref="D1091:D1154" si="68">PROPER(E1091)</f>
        <v>Female</v>
      </c>
      <c r="E1091" t="s">
        <v>14</v>
      </c>
      <c r="F1091" s="2">
        <v>30</v>
      </c>
      <c r="G1091" s="2" t="str" cm="1">
        <f t="array" ref="G1091">_xlfn.IFS(F1091&lt;=8,"Child",F1091&lt;=17,"Teen",F1091&lt;=35,"Adult",F1091&lt;=55,"Seniour Adult",F1091&gt;=55,"Old Age")</f>
        <v>Adult</v>
      </c>
      <c r="H1091" t="s">
        <v>25</v>
      </c>
      <c r="I1091" t="s">
        <v>11</v>
      </c>
      <c r="J1091" t="str" cm="1">
        <f t="array" ref="J1091">_xlfn.IFS(I1091="S","Southamptom",I1091="Q","Quentown",I1091="C","Cherbrug",I1091="B","Cabin")</f>
        <v>Southamptom</v>
      </c>
      <c r="K1091" t="s">
        <v>15</v>
      </c>
      <c r="L1091" s="2">
        <v>31</v>
      </c>
      <c r="M1091" s="2" t="str" cm="1">
        <f t="array" ref="M1091">_xlfn.IFS(L1091&lt;=15,"Low Fare",L1091&lt;=35,"Medium Fare",L1091&lt;=100,"High Fare",L1091&gt;=100,"Very High Fare")</f>
        <v>Medium Fare</v>
      </c>
      <c r="N1091" s="2">
        <v>0</v>
      </c>
      <c r="O1091" s="2">
        <v>0</v>
      </c>
      <c r="P1091">
        <f t="shared" ref="P1091:P1154" si="69">N1091+O1091+1</f>
        <v>1</v>
      </c>
      <c r="Q1091" t="str">
        <f t="shared" ref="Q1091:Q1154" si="70">IF(P1091=1,"Alone","With Family")</f>
        <v>Alone</v>
      </c>
      <c r="R1091" t="str">
        <f t="shared" ref="R1091:R1154" si="71">PROPER(S1091)</f>
        <v>Yes</v>
      </c>
      <c r="S1091" t="s">
        <v>16</v>
      </c>
    </row>
    <row r="1092" spans="1:19" x14ac:dyDescent="0.3">
      <c r="A1092" s="1" t="s">
        <v>813</v>
      </c>
      <c r="B1092" t="s">
        <v>1596</v>
      </c>
      <c r="C1092" t="s">
        <v>2531</v>
      </c>
      <c r="D1092" t="str">
        <f t="shared" si="68"/>
        <v>Male</v>
      </c>
      <c r="E1092" t="s">
        <v>9</v>
      </c>
      <c r="F1092" s="2">
        <v>34</v>
      </c>
      <c r="G1092" s="2" t="str" cm="1">
        <f t="array" ref="G1092">_xlfn.IFS(F1092&lt;=8,"Child",F1092&lt;=17,"Teen",F1092&lt;=35,"Adult",F1092&lt;=55,"Seniour Adult",F1092&gt;=55,"Old Age")</f>
        <v>Adult</v>
      </c>
      <c r="H1092" t="s">
        <v>25</v>
      </c>
      <c r="I1092" t="s">
        <v>11</v>
      </c>
      <c r="J1092" t="str" cm="1">
        <f t="array" ref="J1092">_xlfn.IFS(I1092="S","Southamptom",I1092="Q","Quentown",I1092="C","Cherbrug",I1092="B","Cabin")</f>
        <v>Southamptom</v>
      </c>
      <c r="K1092" t="s">
        <v>12</v>
      </c>
      <c r="L1092" s="2">
        <v>26.11</v>
      </c>
      <c r="M1092" s="2" t="str" cm="1">
        <f t="array" ref="M1092">_xlfn.IFS(L1092&lt;=15,"Low Fare",L1092&lt;=35,"Medium Fare",L1092&lt;=100,"High Fare",L1092&gt;=100,"Very High Fare")</f>
        <v>Medium Fare</v>
      </c>
      <c r="N1092" s="2">
        <v>0</v>
      </c>
      <c r="O1092" s="2">
        <v>0</v>
      </c>
      <c r="P1092">
        <f t="shared" si="69"/>
        <v>1</v>
      </c>
      <c r="Q1092" t="str">
        <f t="shared" si="70"/>
        <v>Alone</v>
      </c>
      <c r="R1092" t="str">
        <f t="shared" si="71"/>
        <v>Yes</v>
      </c>
      <c r="S1092" t="s">
        <v>16</v>
      </c>
    </row>
    <row r="1093" spans="1:19" hidden="1" x14ac:dyDescent="0.3">
      <c r="A1093" s="1" t="s">
        <v>814</v>
      </c>
      <c r="B1093" t="s">
        <v>1596</v>
      </c>
      <c r="C1093" t="s">
        <v>2532</v>
      </c>
      <c r="D1093" t="str">
        <f t="shared" si="68"/>
        <v>Male</v>
      </c>
      <c r="E1093" t="s">
        <v>9</v>
      </c>
      <c r="F1093" s="2">
        <v>35</v>
      </c>
      <c r="G1093" s="2" t="str" cm="1">
        <f t="array" ref="G1093">_xlfn.IFS(F1093&lt;=8,"Child",F1093&lt;=17,"Teen",F1093&lt;=35,"Adult",F1093&lt;=55,"Seniour Adult",F1093&gt;=55,"Old Age")</f>
        <v>Adult</v>
      </c>
      <c r="H1093" t="s">
        <v>10</v>
      </c>
      <c r="I1093" t="s">
        <v>11</v>
      </c>
      <c r="J1093" t="str" cm="1">
        <f t="array" ref="J1093">_xlfn.IFS(I1093="S","Southamptom",I1093="Q","Quentown",I1093="C","Cherbrug",I1093="B","Cabin")</f>
        <v>Southamptom</v>
      </c>
      <c r="K1093" t="s">
        <v>37</v>
      </c>
      <c r="L1093" s="2">
        <v>33</v>
      </c>
      <c r="M1093" s="2" t="str" cm="1">
        <f t="array" ref="M1093">_xlfn.IFS(L1093&lt;=15,"Low Fare",L1093&lt;=35,"Medium Fare",L1093&lt;=100,"High Fare",L1093&gt;=100,"Very High Fare")</f>
        <v>Medium Fare</v>
      </c>
      <c r="N1093" s="2">
        <v>1</v>
      </c>
      <c r="O1093" s="2" t="s">
        <v>30</v>
      </c>
      <c r="P1093" t="e">
        <f t="shared" si="69"/>
        <v>#VALUE!</v>
      </c>
      <c r="Q1093" t="e">
        <f t="shared" si="70"/>
        <v>#VALUE!</v>
      </c>
      <c r="R1093" t="str">
        <f t="shared" si="71"/>
        <v>No</v>
      </c>
      <c r="S1093" t="s">
        <v>13</v>
      </c>
    </row>
    <row r="1094" spans="1:19" x14ac:dyDescent="0.3">
      <c r="A1094" s="1" t="s">
        <v>815</v>
      </c>
      <c r="B1094" t="s">
        <v>1596</v>
      </c>
      <c r="C1094" t="s">
        <v>2533</v>
      </c>
      <c r="D1094" t="str">
        <f t="shared" si="68"/>
        <v>Male</v>
      </c>
      <c r="E1094" t="s">
        <v>9</v>
      </c>
      <c r="F1094" s="2">
        <v>29</v>
      </c>
      <c r="G1094" s="2" t="str" cm="1">
        <f t="array" ref="G1094">_xlfn.IFS(F1094&lt;=8,"Child",F1094&lt;=17,"Teen",F1094&lt;=35,"Adult",F1094&lt;=55,"Seniour Adult",F1094&gt;=55,"Old Age")</f>
        <v>Adult</v>
      </c>
      <c r="H1094" t="s">
        <v>18</v>
      </c>
      <c r="I1094" t="s">
        <v>11</v>
      </c>
      <c r="J1094" t="str" cm="1">
        <f t="array" ref="J1094">_xlfn.IFS(I1094="S","Southamptom",I1094="Q","Quentown",I1094="C","Cherbrug",I1094="B","Cabin")</f>
        <v>Southamptom</v>
      </c>
      <c r="K1094" t="s">
        <v>15</v>
      </c>
      <c r="L1094" s="2">
        <v>26</v>
      </c>
      <c r="M1094" s="2" t="str" cm="1">
        <f t="array" ref="M1094">_xlfn.IFS(L1094&lt;=15,"Low Fare",L1094&lt;=35,"Medium Fare",L1094&lt;=100,"High Fare",L1094&gt;=100,"Very High Fare")</f>
        <v>Medium Fare</v>
      </c>
      <c r="N1094" s="2">
        <v>0</v>
      </c>
      <c r="O1094" s="2">
        <v>0</v>
      </c>
      <c r="P1094">
        <f t="shared" si="69"/>
        <v>1</v>
      </c>
      <c r="Q1094" t="str">
        <f t="shared" si="70"/>
        <v>Alone</v>
      </c>
      <c r="R1094" t="str">
        <f t="shared" si="71"/>
        <v>No</v>
      </c>
      <c r="S1094" t="s">
        <v>13</v>
      </c>
    </row>
    <row r="1095" spans="1:19" x14ac:dyDescent="0.3">
      <c r="A1095" s="1" t="s">
        <v>816</v>
      </c>
      <c r="B1095" t="s">
        <v>1596</v>
      </c>
      <c r="C1095" t="s">
        <v>1792</v>
      </c>
      <c r="D1095" t="str">
        <f t="shared" si="68"/>
        <v>Male</v>
      </c>
      <c r="E1095" t="s">
        <v>9</v>
      </c>
      <c r="F1095" s="2">
        <v>27</v>
      </c>
      <c r="G1095" s="2" t="str" cm="1">
        <f t="array" ref="G1095">_xlfn.IFS(F1095&lt;=8,"Child",F1095&lt;=17,"Teen",F1095&lt;=35,"Adult",F1095&lt;=55,"Seniour Adult",F1095&gt;=55,"Old Age")</f>
        <v>Adult</v>
      </c>
      <c r="H1095" t="s">
        <v>10</v>
      </c>
      <c r="I1095" t="s">
        <v>36</v>
      </c>
      <c r="J1095" t="str" cm="1">
        <f t="array" ref="J1095">_xlfn.IFS(I1095="S","Southamptom",I1095="Q","Quentown",I1095="C","Cherbrug",I1095="B","Cabin")</f>
        <v>Quentown</v>
      </c>
      <c r="K1095" t="s">
        <v>37</v>
      </c>
      <c r="L1095" s="2">
        <v>7.15</v>
      </c>
      <c r="M1095" s="2" t="str" cm="1">
        <f t="array" ref="M1095">_xlfn.IFS(L1095&lt;=15,"Low Fare",L1095&lt;=35,"Medium Fare",L1095&lt;=100,"High Fare",L1095&gt;=100,"Very High Fare")</f>
        <v>Low Fare</v>
      </c>
      <c r="N1095" s="2">
        <v>0</v>
      </c>
      <c r="O1095" s="2">
        <v>0</v>
      </c>
      <c r="P1095">
        <f t="shared" si="69"/>
        <v>1</v>
      </c>
      <c r="Q1095" t="str">
        <f t="shared" si="70"/>
        <v>Alone</v>
      </c>
      <c r="R1095" t="str">
        <f t="shared" si="71"/>
        <v>No</v>
      </c>
      <c r="S1095" t="s">
        <v>13</v>
      </c>
    </row>
    <row r="1096" spans="1:19" x14ac:dyDescent="0.3">
      <c r="A1096" s="1" t="s">
        <v>817</v>
      </c>
      <c r="B1096" t="s">
        <v>1596</v>
      </c>
      <c r="C1096" t="s">
        <v>2534</v>
      </c>
      <c r="D1096" t="str">
        <f t="shared" si="68"/>
        <v>Male</v>
      </c>
      <c r="E1096" t="s">
        <v>9</v>
      </c>
      <c r="F1096" s="2">
        <v>19</v>
      </c>
      <c r="G1096" s="2" t="str" cm="1">
        <f t="array" ref="G1096">_xlfn.IFS(F1096&lt;=8,"Child",F1096&lt;=17,"Teen",F1096&lt;=35,"Adult",F1096&lt;=55,"Seniour Adult",F1096&gt;=55,"Old Age")</f>
        <v>Adult</v>
      </c>
      <c r="H1096" t="s">
        <v>10</v>
      </c>
      <c r="I1096" t="s">
        <v>19</v>
      </c>
      <c r="J1096" t="str" cm="1">
        <f t="array" ref="J1096">_xlfn.IFS(I1096="S","Southamptom",I1096="Q","Quentown",I1096="C","Cherbrug",I1096="B","Cabin")</f>
        <v>Cherbrug</v>
      </c>
      <c r="K1096" t="s">
        <v>15</v>
      </c>
      <c r="L1096" s="2">
        <v>7.0406000000000004</v>
      </c>
      <c r="M1096" s="2" t="str" cm="1">
        <f t="array" ref="M1096">_xlfn.IFS(L1096&lt;=15,"Low Fare",L1096&lt;=35,"Medium Fare",L1096&lt;=100,"High Fare",L1096&gt;=100,"Very High Fare")</f>
        <v>Low Fare</v>
      </c>
      <c r="N1096" s="2">
        <v>0</v>
      </c>
      <c r="O1096" s="2">
        <v>0</v>
      </c>
      <c r="P1096">
        <f t="shared" si="69"/>
        <v>1</v>
      </c>
      <c r="Q1096" t="str">
        <f t="shared" si="70"/>
        <v>Alone</v>
      </c>
      <c r="R1096" t="str">
        <f t="shared" si="71"/>
        <v>No</v>
      </c>
      <c r="S1096" t="s">
        <v>13</v>
      </c>
    </row>
    <row r="1097" spans="1:19" x14ac:dyDescent="0.3">
      <c r="A1097" s="1" t="s">
        <v>818</v>
      </c>
      <c r="B1097" t="s">
        <v>1596</v>
      </c>
      <c r="C1097" t="s">
        <v>2535</v>
      </c>
      <c r="D1097" t="str">
        <f t="shared" si="68"/>
        <v>Male</v>
      </c>
      <c r="E1097" t="s">
        <v>9</v>
      </c>
      <c r="F1097" s="2">
        <v>55</v>
      </c>
      <c r="G1097" s="2" t="str" cm="1">
        <f t="array" ref="G1097">_xlfn.IFS(F1097&lt;=8,"Child",F1097&lt;=17,"Teen",F1097&lt;=35,"Adult",F1097&lt;=55,"Seniour Adult",F1097&gt;=55,"Old Age")</f>
        <v>Seniour Adult</v>
      </c>
      <c r="H1097" t="s">
        <v>10</v>
      </c>
      <c r="I1097" t="s">
        <v>11</v>
      </c>
      <c r="J1097" t="str" cm="1">
        <f t="array" ref="J1097">_xlfn.IFS(I1097="S","Southamptom",I1097="Q","Quentown",I1097="C","Cherbrug",I1097="B","Cabin")</f>
        <v>Southamptom</v>
      </c>
      <c r="K1097" t="s">
        <v>15</v>
      </c>
      <c r="L1097" s="2">
        <v>15.02</v>
      </c>
      <c r="M1097" s="2" t="str" cm="1">
        <f t="array" ref="M1097">_xlfn.IFS(L1097&lt;=15,"Low Fare",L1097&lt;=35,"Medium Fare",L1097&lt;=100,"High Fare",L1097&gt;=100,"Very High Fare")</f>
        <v>Medium Fare</v>
      </c>
      <c r="N1097" s="2">
        <v>0</v>
      </c>
      <c r="O1097" s="2">
        <v>0</v>
      </c>
      <c r="P1097">
        <f t="shared" si="69"/>
        <v>1</v>
      </c>
      <c r="Q1097" t="str">
        <f t="shared" si="70"/>
        <v>Alone</v>
      </c>
      <c r="R1097" t="str">
        <f t="shared" si="71"/>
        <v>No</v>
      </c>
      <c r="S1097" t="s">
        <v>13</v>
      </c>
    </row>
    <row r="1098" spans="1:19" x14ac:dyDescent="0.3">
      <c r="A1098" s="1" t="s">
        <v>819</v>
      </c>
      <c r="B1098" t="s">
        <v>1600</v>
      </c>
      <c r="C1098" t="s">
        <v>2536</v>
      </c>
      <c r="D1098" t="str">
        <f t="shared" si="68"/>
        <v>Female</v>
      </c>
      <c r="E1098" t="s">
        <v>14</v>
      </c>
      <c r="F1098" s="2">
        <v>25</v>
      </c>
      <c r="G1098" s="2" t="str" cm="1">
        <f t="array" ref="G1098">_xlfn.IFS(F1098&lt;=8,"Child",F1098&lt;=17,"Teen",F1098&lt;=35,"Adult",F1098&lt;=55,"Seniour Adult",F1098&gt;=55,"Old Age")</f>
        <v>Adult</v>
      </c>
      <c r="H1098" t="s">
        <v>18</v>
      </c>
      <c r="I1098" t="s">
        <v>11</v>
      </c>
      <c r="J1098" t="str" cm="1">
        <f t="array" ref="J1098">_xlfn.IFS(I1098="S","Southamptom",I1098="Q","Quentown",I1098="C","Cherbrug",I1098="B","Cabin")</f>
        <v>Southamptom</v>
      </c>
      <c r="K1098" t="s">
        <v>12</v>
      </c>
      <c r="L1098" s="2">
        <v>26</v>
      </c>
      <c r="M1098" s="2" t="str" cm="1">
        <f t="array" ref="M1098">_xlfn.IFS(L1098&lt;=15,"Low Fare",L1098&lt;=35,"Medium Fare",L1098&lt;=100,"High Fare",L1098&gt;=100,"Very High Fare")</f>
        <v>Medium Fare</v>
      </c>
      <c r="N1098" s="2">
        <v>0</v>
      </c>
      <c r="O1098" s="2">
        <v>1</v>
      </c>
      <c r="P1098">
        <f t="shared" si="69"/>
        <v>2</v>
      </c>
      <c r="Q1098" t="str">
        <f t="shared" si="70"/>
        <v>With Family</v>
      </c>
      <c r="R1098" t="str">
        <f t="shared" si="71"/>
        <v>Yes</v>
      </c>
      <c r="S1098" t="s">
        <v>16</v>
      </c>
    </row>
    <row r="1099" spans="1:19" x14ac:dyDescent="0.3">
      <c r="A1099" s="1" t="s">
        <v>820</v>
      </c>
      <c r="B1099" t="s">
        <v>1596</v>
      </c>
      <c r="C1099" t="s">
        <v>2537</v>
      </c>
      <c r="D1099" t="str">
        <f t="shared" si="68"/>
        <v>Male</v>
      </c>
      <c r="E1099" t="s">
        <v>9</v>
      </c>
      <c r="F1099" s="2">
        <v>26</v>
      </c>
      <c r="G1099" s="2" t="str" cm="1">
        <f t="array" ref="G1099">_xlfn.IFS(F1099&lt;=8,"Child",F1099&lt;=17,"Teen",F1099&lt;=35,"Adult",F1099&lt;=55,"Seniour Adult",F1099&gt;=55,"Old Age")</f>
        <v>Adult</v>
      </c>
      <c r="H1099" t="s">
        <v>10</v>
      </c>
      <c r="I1099" t="s">
        <v>19</v>
      </c>
      <c r="J1099" t="str" cm="1">
        <f t="array" ref="J1099">_xlfn.IFS(I1099="S","Southamptom",I1099="Q","Quentown",I1099="C","Cherbrug",I1099="B","Cabin")</f>
        <v>Cherbrug</v>
      </c>
      <c r="K1099" t="s">
        <v>21</v>
      </c>
      <c r="L1099" s="2">
        <v>7.0406000000000004</v>
      </c>
      <c r="M1099" s="2" t="str" cm="1">
        <f t="array" ref="M1099">_xlfn.IFS(L1099&lt;=15,"Low Fare",L1099&lt;=35,"Medium Fare",L1099&lt;=100,"High Fare",L1099&gt;=100,"Very High Fare")</f>
        <v>Low Fare</v>
      </c>
      <c r="N1099" s="2">
        <v>0</v>
      </c>
      <c r="O1099" s="2">
        <v>0</v>
      </c>
      <c r="P1099">
        <f t="shared" si="69"/>
        <v>1</v>
      </c>
      <c r="Q1099" t="str">
        <f t="shared" si="70"/>
        <v>Alone</v>
      </c>
      <c r="R1099" t="str">
        <f t="shared" si="71"/>
        <v>No</v>
      </c>
      <c r="S1099" t="s">
        <v>13</v>
      </c>
    </row>
    <row r="1100" spans="1:19" x14ac:dyDescent="0.3">
      <c r="A1100" s="1" t="s">
        <v>821</v>
      </c>
      <c r="B1100" t="s">
        <v>1602</v>
      </c>
      <c r="C1100" t="s">
        <v>1720</v>
      </c>
      <c r="D1100" t="str">
        <f t="shared" si="68"/>
        <v>Female</v>
      </c>
      <c r="E1100" t="s">
        <v>14</v>
      </c>
      <c r="F1100" s="2">
        <v>20</v>
      </c>
      <c r="G1100" s="2" t="str" cm="1">
        <f t="array" ref="G1100">_xlfn.IFS(F1100&lt;=8,"Child",F1100&lt;=17,"Teen",F1100&lt;=35,"Adult",F1100&lt;=55,"Seniour Adult",F1100&gt;=55,"Old Age")</f>
        <v>Adult</v>
      </c>
      <c r="H1100" t="s">
        <v>10</v>
      </c>
      <c r="I1100" t="s">
        <v>36</v>
      </c>
      <c r="J1100" t="str" cm="1">
        <f t="array" ref="J1100">_xlfn.IFS(I1100="S","Southamptom",I1100="Q","Quentown",I1100="C","Cherbrug",I1100="B","Cabin")</f>
        <v>Quentown</v>
      </c>
      <c r="K1100" t="s">
        <v>37</v>
      </c>
      <c r="L1100" s="2">
        <v>7.1607000000000003</v>
      </c>
      <c r="M1100" s="2" t="str" cm="1">
        <f t="array" ref="M1100">_xlfn.IFS(L1100&lt;=15,"Low Fare",L1100&lt;=35,"Medium Fare",L1100&lt;=100,"High Fare",L1100&gt;=100,"Very High Fare")</f>
        <v>Low Fare</v>
      </c>
      <c r="N1100" s="2">
        <v>0</v>
      </c>
      <c r="O1100" s="2">
        <v>0</v>
      </c>
      <c r="P1100">
        <f t="shared" si="69"/>
        <v>1</v>
      </c>
      <c r="Q1100" t="str">
        <f t="shared" si="70"/>
        <v>Alone</v>
      </c>
      <c r="R1100" t="str">
        <f t="shared" si="71"/>
        <v>Yes</v>
      </c>
      <c r="S1100" t="s">
        <v>16</v>
      </c>
    </row>
    <row r="1101" spans="1:19" x14ac:dyDescent="0.3">
      <c r="A1101" s="1" t="s">
        <v>822</v>
      </c>
      <c r="B1101" t="s">
        <v>1596</v>
      </c>
      <c r="C1101" t="s">
        <v>2538</v>
      </c>
      <c r="D1101" t="str">
        <f t="shared" si="68"/>
        <v>Male</v>
      </c>
      <c r="E1101" t="s">
        <v>9</v>
      </c>
      <c r="F1101" s="2">
        <v>22</v>
      </c>
      <c r="G1101" s="2" t="str" cm="1">
        <f t="array" ref="G1101">_xlfn.IFS(F1101&lt;=8,"Child",F1101&lt;=17,"Teen",F1101&lt;=35,"Adult",F1101&lt;=55,"Seniour Adult",F1101&gt;=55,"Old Age")</f>
        <v>Adult</v>
      </c>
      <c r="H1101" t="s">
        <v>10</v>
      </c>
      <c r="I1101" t="s">
        <v>11</v>
      </c>
      <c r="J1101" t="str" cm="1">
        <f t="array" ref="J1101">_xlfn.IFS(I1101="S","Southamptom",I1101="Q","Quentown",I1101="C","Cherbrug",I1101="B","Cabin")</f>
        <v>Southamptom</v>
      </c>
      <c r="K1101" t="s">
        <v>15</v>
      </c>
      <c r="L1101" s="2">
        <v>8.01</v>
      </c>
      <c r="M1101" s="2" t="str" cm="1">
        <f t="array" ref="M1101">_xlfn.IFS(L1101&lt;=15,"Low Fare",L1101&lt;=35,"Medium Fare",L1101&lt;=100,"High Fare",L1101&gt;=100,"Very High Fare")</f>
        <v>Low Fare</v>
      </c>
      <c r="N1101" s="2">
        <v>0</v>
      </c>
      <c r="O1101" s="2">
        <v>0</v>
      </c>
      <c r="P1101">
        <f t="shared" si="69"/>
        <v>1</v>
      </c>
      <c r="Q1101" t="str">
        <f t="shared" si="70"/>
        <v>Alone</v>
      </c>
      <c r="R1101" t="str">
        <f t="shared" si="71"/>
        <v>No</v>
      </c>
      <c r="S1101" t="s">
        <v>13</v>
      </c>
    </row>
    <row r="1102" spans="1:19" x14ac:dyDescent="0.3">
      <c r="A1102" s="1" t="s">
        <v>823</v>
      </c>
      <c r="B1102" t="s">
        <v>1602</v>
      </c>
      <c r="C1102" t="s">
        <v>2539</v>
      </c>
      <c r="D1102" t="str">
        <f t="shared" si="68"/>
        <v>Female</v>
      </c>
      <c r="E1102" t="s">
        <v>14</v>
      </c>
      <c r="F1102" s="2">
        <v>40</v>
      </c>
      <c r="G1102" s="2" t="str" cm="1">
        <f t="array" ref="G1102">_xlfn.IFS(F1102&lt;=8,"Child",F1102&lt;=17,"Teen",F1102&lt;=35,"Adult",F1102&lt;=55,"Seniour Adult",F1102&gt;=55,"Old Age")</f>
        <v>Seniour Adult</v>
      </c>
      <c r="H1102" t="s">
        <v>25</v>
      </c>
      <c r="I1102" t="s">
        <v>11</v>
      </c>
      <c r="J1102" t="str" cm="1">
        <f t="array" ref="J1102">_xlfn.IFS(I1102="S","Southamptom",I1102="Q","Quentown",I1102="C","Cherbrug",I1102="B","Cabin")</f>
        <v>Southamptom</v>
      </c>
      <c r="K1102" t="s">
        <v>12</v>
      </c>
      <c r="L1102" s="2">
        <v>153.09030000000001</v>
      </c>
      <c r="M1102" s="2" t="str" cm="1">
        <f t="array" ref="M1102">_xlfn.IFS(L1102&lt;=15,"Low Fare",L1102&lt;=35,"Medium Fare",L1102&lt;=100,"High Fare",L1102&gt;=100,"Very High Fare")</f>
        <v>Very High Fare</v>
      </c>
      <c r="N1102" s="2">
        <v>0</v>
      </c>
      <c r="O1102" s="2">
        <v>0</v>
      </c>
      <c r="P1102">
        <f t="shared" si="69"/>
        <v>1</v>
      </c>
      <c r="Q1102" t="str">
        <f t="shared" si="70"/>
        <v>Alone</v>
      </c>
      <c r="R1102" t="str">
        <f t="shared" si="71"/>
        <v>Yes</v>
      </c>
      <c r="S1102" t="s">
        <v>16</v>
      </c>
    </row>
    <row r="1103" spans="1:19" x14ac:dyDescent="0.3">
      <c r="A1103" s="1" t="s">
        <v>824</v>
      </c>
      <c r="B1103" t="s">
        <v>1602</v>
      </c>
      <c r="C1103" t="s">
        <v>2540</v>
      </c>
      <c r="D1103" t="str">
        <f t="shared" si="68"/>
        <v>Female</v>
      </c>
      <c r="E1103" t="s">
        <v>14</v>
      </c>
      <c r="F1103" s="2">
        <v>17</v>
      </c>
      <c r="G1103" s="2" t="str" cm="1">
        <f t="array" ref="G1103">_xlfn.IFS(F1103&lt;=8,"Child",F1103&lt;=17,"Teen",F1103&lt;=35,"Adult",F1103&lt;=55,"Seniour Adult",F1103&gt;=55,"Old Age")</f>
        <v>Teen</v>
      </c>
      <c r="H1103" t="s">
        <v>18</v>
      </c>
      <c r="I1103" t="s">
        <v>11</v>
      </c>
      <c r="J1103" t="str" cm="1">
        <f t="array" ref="J1103">_xlfn.IFS(I1103="S","Southamptom",I1103="Q","Quentown",I1103="C","Cherbrug",I1103="B","Cabin")</f>
        <v>Southamptom</v>
      </c>
      <c r="K1103" t="s">
        <v>22</v>
      </c>
      <c r="L1103" s="2">
        <v>13</v>
      </c>
      <c r="M1103" s="2" t="str" cm="1">
        <f t="array" ref="M1103">_xlfn.IFS(L1103&lt;=15,"Low Fare",L1103&lt;=35,"Medium Fare",L1103&lt;=100,"High Fare",L1103&gt;=100,"Very High Fare")</f>
        <v>Low Fare</v>
      </c>
      <c r="N1103" s="2">
        <v>0</v>
      </c>
      <c r="O1103" s="2">
        <v>2</v>
      </c>
      <c r="P1103">
        <f t="shared" si="69"/>
        <v>3</v>
      </c>
      <c r="Q1103" t="str">
        <f t="shared" si="70"/>
        <v>With Family</v>
      </c>
      <c r="R1103" t="str">
        <f t="shared" si="71"/>
        <v>Yes</v>
      </c>
      <c r="S1103" t="s">
        <v>16</v>
      </c>
    </row>
    <row r="1104" spans="1:19" x14ac:dyDescent="0.3">
      <c r="A1104" s="1" t="s">
        <v>825</v>
      </c>
      <c r="B1104" t="s">
        <v>1596</v>
      </c>
      <c r="C1104" t="s">
        <v>2541</v>
      </c>
      <c r="D1104" t="str">
        <f t="shared" si="68"/>
        <v>Male</v>
      </c>
      <c r="E1104" t="s">
        <v>9</v>
      </c>
      <c r="F1104" s="2">
        <v>35</v>
      </c>
      <c r="G1104" s="2" t="str" cm="1">
        <f t="array" ref="G1104">_xlfn.IFS(F1104&lt;=8,"Child",F1104&lt;=17,"Teen",F1104&lt;=35,"Adult",F1104&lt;=55,"Seniour Adult",F1104&gt;=55,"Old Age")</f>
        <v>Adult</v>
      </c>
      <c r="H1104" t="s">
        <v>25</v>
      </c>
      <c r="I1104" t="s">
        <v>11</v>
      </c>
      <c r="J1104" t="str" cm="1">
        <f t="array" ref="J1104">_xlfn.IFS(I1104="S","Southamptom",I1104="Q","Quentown",I1104="C","Cherbrug",I1104="B","Cabin")</f>
        <v>Southamptom</v>
      </c>
      <c r="K1104" t="s">
        <v>12</v>
      </c>
      <c r="L1104" s="2">
        <v>26.050899999999999</v>
      </c>
      <c r="M1104" s="2" t="str" cm="1">
        <f t="array" ref="M1104">_xlfn.IFS(L1104&lt;=15,"Low Fare",L1104&lt;=35,"Medium Fare",L1104&lt;=100,"High Fare",L1104&gt;=100,"Very High Fare")</f>
        <v>Medium Fare</v>
      </c>
      <c r="N1104" s="2">
        <v>0</v>
      </c>
      <c r="O1104" s="2">
        <v>0</v>
      </c>
      <c r="P1104">
        <f t="shared" si="69"/>
        <v>1</v>
      </c>
      <c r="Q1104" t="str">
        <f t="shared" si="70"/>
        <v>Alone</v>
      </c>
      <c r="R1104" t="str">
        <f t="shared" si="71"/>
        <v>Yes</v>
      </c>
      <c r="S1104" t="s">
        <v>16</v>
      </c>
    </row>
    <row r="1105" spans="1:19" x14ac:dyDescent="0.3">
      <c r="A1105" s="1" t="s">
        <v>826</v>
      </c>
      <c r="B1105" t="s">
        <v>1600</v>
      </c>
      <c r="C1105" t="s">
        <v>2542</v>
      </c>
      <c r="D1105" t="str">
        <f t="shared" si="68"/>
        <v>Female</v>
      </c>
      <c r="E1105" t="s">
        <v>14</v>
      </c>
      <c r="F1105" s="2">
        <v>39</v>
      </c>
      <c r="G1105" s="2" t="str" cm="1">
        <f t="array" ref="G1105">_xlfn.IFS(F1105&lt;=8,"Child",F1105&lt;=17,"Teen",F1105&lt;=35,"Adult",F1105&lt;=55,"Seniour Adult",F1105&gt;=55,"Old Age")</f>
        <v>Seniour Adult</v>
      </c>
      <c r="H1105" t="s">
        <v>25</v>
      </c>
      <c r="I1105" t="s">
        <v>19</v>
      </c>
      <c r="J1105" t="str" cm="1">
        <f t="array" ref="J1105">_xlfn.IFS(I1105="S","Southamptom",I1105="Q","Quentown",I1105="C","Cherbrug",I1105="B","Cabin")</f>
        <v>Cherbrug</v>
      </c>
      <c r="K1105" t="s">
        <v>12</v>
      </c>
      <c r="L1105" s="2">
        <v>55.18</v>
      </c>
      <c r="M1105" s="2" t="str" cm="1">
        <f t="array" ref="M1105">_xlfn.IFS(L1105&lt;=15,"Low Fare",L1105&lt;=35,"Medium Fare",L1105&lt;=100,"High Fare",L1105&gt;=100,"Very High Fare")</f>
        <v>High Fare</v>
      </c>
      <c r="N1105" s="2">
        <v>1</v>
      </c>
      <c r="O1105" s="2">
        <v>0</v>
      </c>
      <c r="P1105">
        <f t="shared" si="69"/>
        <v>2</v>
      </c>
      <c r="Q1105" t="str">
        <f t="shared" si="70"/>
        <v>With Family</v>
      </c>
      <c r="R1105" t="str">
        <f t="shared" si="71"/>
        <v>Yes</v>
      </c>
      <c r="S1105" t="s">
        <v>16</v>
      </c>
    </row>
    <row r="1106" spans="1:19" x14ac:dyDescent="0.3">
      <c r="A1106" s="1" t="s">
        <v>826</v>
      </c>
      <c r="B1106" t="s">
        <v>1596</v>
      </c>
      <c r="C1106" t="s">
        <v>2543</v>
      </c>
      <c r="D1106" t="str">
        <f t="shared" si="68"/>
        <v>Male</v>
      </c>
      <c r="E1106" t="s">
        <v>9</v>
      </c>
      <c r="F1106" s="2">
        <v>51</v>
      </c>
      <c r="G1106" s="2" t="str" cm="1">
        <f t="array" ref="G1106">_xlfn.IFS(F1106&lt;=8,"Child",F1106&lt;=17,"Teen",F1106&lt;=35,"Adult",F1106&lt;=55,"Seniour Adult",F1106&gt;=55,"Old Age")</f>
        <v>Seniour Adult</v>
      </c>
      <c r="H1106" t="s">
        <v>25</v>
      </c>
      <c r="I1106" t="s">
        <v>19</v>
      </c>
      <c r="J1106" t="str" cm="1">
        <f t="array" ref="J1106">_xlfn.IFS(I1106="S","Southamptom",I1106="Q","Quentown",I1106="C","Cherbrug",I1106="B","Cabin")</f>
        <v>Cherbrug</v>
      </c>
      <c r="K1106" t="s">
        <v>12</v>
      </c>
      <c r="L1106" s="2">
        <v>55.18</v>
      </c>
      <c r="M1106" s="2" t="str" cm="1">
        <f t="array" ref="M1106">_xlfn.IFS(L1106&lt;=15,"Low Fare",L1106&lt;=35,"Medium Fare",L1106&lt;=100,"High Fare",L1106&gt;=100,"Very High Fare")</f>
        <v>High Fare</v>
      </c>
      <c r="N1106" s="2">
        <v>1</v>
      </c>
      <c r="O1106" s="2">
        <v>0</v>
      </c>
      <c r="P1106">
        <f t="shared" si="69"/>
        <v>2</v>
      </c>
      <c r="Q1106" t="str">
        <f t="shared" si="70"/>
        <v>With Family</v>
      </c>
      <c r="R1106" t="str">
        <f t="shared" si="71"/>
        <v>No</v>
      </c>
      <c r="S1106" t="s">
        <v>13</v>
      </c>
    </row>
    <row r="1107" spans="1:19" x14ac:dyDescent="0.3">
      <c r="A1107" s="1" t="s">
        <v>827</v>
      </c>
      <c r="B1107" t="s">
        <v>1596</v>
      </c>
      <c r="C1107" t="s">
        <v>1610</v>
      </c>
      <c r="D1107" t="str">
        <f t="shared" si="68"/>
        <v>Male</v>
      </c>
      <c r="E1107" t="s">
        <v>9</v>
      </c>
      <c r="F1107" s="2">
        <v>40</v>
      </c>
      <c r="G1107" s="2" t="str" cm="1">
        <f t="array" ref="G1107">_xlfn.IFS(F1107&lt;=8,"Child",F1107&lt;=17,"Teen",F1107&lt;=35,"Adult",F1107&lt;=55,"Seniour Adult",F1107&gt;=55,"Old Age")</f>
        <v>Seniour Adult</v>
      </c>
      <c r="H1107" t="s">
        <v>10</v>
      </c>
      <c r="I1107" t="s">
        <v>11</v>
      </c>
      <c r="J1107" t="str" cm="1">
        <f t="array" ref="J1107">_xlfn.IFS(I1107="S","Southamptom",I1107="Q","Quentown",I1107="C","Cherbrug",I1107="B","Cabin")</f>
        <v>Southamptom</v>
      </c>
      <c r="K1107" t="s">
        <v>15</v>
      </c>
      <c r="L1107" s="2">
        <v>8.01</v>
      </c>
      <c r="M1107" s="2" t="str" cm="1">
        <f t="array" ref="M1107">_xlfn.IFS(L1107&lt;=15,"Low Fare",L1107&lt;=35,"Medium Fare",L1107&lt;=100,"High Fare",L1107&gt;=100,"Very High Fare")</f>
        <v>Low Fare</v>
      </c>
      <c r="N1107" s="2">
        <v>0</v>
      </c>
      <c r="O1107" s="2">
        <v>0</v>
      </c>
      <c r="P1107">
        <f t="shared" si="69"/>
        <v>1</v>
      </c>
      <c r="Q1107" t="str">
        <f t="shared" si="70"/>
        <v>Alone</v>
      </c>
      <c r="R1107" t="str">
        <f t="shared" si="71"/>
        <v>No</v>
      </c>
      <c r="S1107" t="s">
        <v>13</v>
      </c>
    </row>
    <row r="1108" spans="1:19" x14ac:dyDescent="0.3">
      <c r="A1108" s="1" t="s">
        <v>828</v>
      </c>
      <c r="B1108" t="s">
        <v>1596</v>
      </c>
      <c r="C1108" t="s">
        <v>2544</v>
      </c>
      <c r="D1108" t="str">
        <f t="shared" si="68"/>
        <v>Male</v>
      </c>
      <c r="E1108" t="s">
        <v>9</v>
      </c>
      <c r="F1108" s="2">
        <v>56</v>
      </c>
      <c r="G1108" s="2" t="str" cm="1">
        <f t="array" ref="G1108">_xlfn.IFS(F1108&lt;=8,"Child",F1108&lt;=17,"Teen",F1108&lt;=35,"Adult",F1108&lt;=55,"Seniour Adult",F1108&gt;=55,"Old Age")</f>
        <v>Old Age</v>
      </c>
      <c r="H1108" t="s">
        <v>25</v>
      </c>
      <c r="I1108" t="s">
        <v>11</v>
      </c>
      <c r="J1108" t="str" cm="1">
        <f t="array" ref="J1108">_xlfn.IFS(I1108="S","Southamptom",I1108="Q","Quentown",I1108="C","Cherbrug",I1108="B","Cabin")</f>
        <v>Southamptom</v>
      </c>
      <c r="K1108" t="s">
        <v>32</v>
      </c>
      <c r="L1108" s="2">
        <v>35.1</v>
      </c>
      <c r="M1108" s="2" t="str" cm="1">
        <f t="array" ref="M1108">_xlfn.IFS(L1108&lt;=15,"Low Fare",L1108&lt;=35,"Medium Fare",L1108&lt;=100,"High Fare",L1108&gt;=100,"Very High Fare")</f>
        <v>High Fare</v>
      </c>
      <c r="N1108" s="2">
        <v>0</v>
      </c>
      <c r="O1108" s="2">
        <v>0</v>
      </c>
      <c r="P1108">
        <f t="shared" si="69"/>
        <v>1</v>
      </c>
      <c r="Q1108" t="str">
        <f t="shared" si="70"/>
        <v>Alone</v>
      </c>
      <c r="R1108" t="str">
        <f t="shared" si="71"/>
        <v>Yes</v>
      </c>
      <c r="S1108" t="s">
        <v>16</v>
      </c>
    </row>
    <row r="1109" spans="1:19" x14ac:dyDescent="0.3">
      <c r="A1109" s="1" t="s">
        <v>829</v>
      </c>
      <c r="B1109" t="s">
        <v>1602</v>
      </c>
      <c r="C1109" t="s">
        <v>2545</v>
      </c>
      <c r="D1109" t="str">
        <f t="shared" si="68"/>
        <v>Female</v>
      </c>
      <c r="E1109" t="s">
        <v>14</v>
      </c>
      <c r="F1109" s="2">
        <v>20</v>
      </c>
      <c r="G1109" s="2" t="str" cm="1">
        <f t="array" ref="G1109">_xlfn.IFS(F1109&lt;=8,"Child",F1109&lt;=17,"Teen",F1109&lt;=35,"Adult",F1109&lt;=55,"Seniour Adult",F1109&gt;=55,"Old Age")</f>
        <v>Adult</v>
      </c>
      <c r="H1109" t="s">
        <v>18</v>
      </c>
      <c r="I1109" t="s">
        <v>11</v>
      </c>
      <c r="J1109" t="str" cm="1">
        <f t="array" ref="J1109">_xlfn.IFS(I1109="S","Southamptom",I1109="Q","Quentown",I1109="C","Cherbrug",I1109="B","Cabin")</f>
        <v>Southamptom</v>
      </c>
      <c r="K1109" t="s">
        <v>15</v>
      </c>
      <c r="L1109" s="2">
        <v>36.15</v>
      </c>
      <c r="M1109" s="2" t="str" cm="1">
        <f t="array" ref="M1109">_xlfn.IFS(L1109&lt;=15,"Low Fare",L1109&lt;=35,"Medium Fare",L1109&lt;=100,"High Fare",L1109&gt;=100,"Very High Fare")</f>
        <v>High Fare</v>
      </c>
      <c r="N1109" s="2">
        <v>0</v>
      </c>
      <c r="O1109" s="2">
        <v>0</v>
      </c>
      <c r="P1109">
        <f t="shared" si="69"/>
        <v>1</v>
      </c>
      <c r="Q1109" t="str">
        <f t="shared" si="70"/>
        <v>Alone</v>
      </c>
      <c r="R1109" t="str">
        <f t="shared" si="71"/>
        <v>Yes</v>
      </c>
      <c r="S1109" t="s">
        <v>16</v>
      </c>
    </row>
    <row r="1110" spans="1:19" x14ac:dyDescent="0.3">
      <c r="A1110" s="1" t="s">
        <v>830</v>
      </c>
      <c r="B1110" t="s">
        <v>1602</v>
      </c>
      <c r="C1110" t="s">
        <v>1912</v>
      </c>
      <c r="D1110" t="str">
        <f t="shared" si="68"/>
        <v>Female</v>
      </c>
      <c r="E1110" t="s">
        <v>14</v>
      </c>
      <c r="F1110" s="2">
        <v>30</v>
      </c>
      <c r="G1110" s="2" t="str" cm="1">
        <f t="array" ref="G1110">_xlfn.IFS(F1110&lt;=8,"Child",F1110&lt;=17,"Teen",F1110&lt;=35,"Adult",F1110&lt;=55,"Seniour Adult",F1110&gt;=55,"Old Age")</f>
        <v>Adult</v>
      </c>
      <c r="H1110" t="s">
        <v>18</v>
      </c>
      <c r="I1110" t="s">
        <v>11</v>
      </c>
      <c r="J1110" t="str" cm="1">
        <f t="array" ref="J1110">_xlfn.IFS(I1110="S","Southamptom",I1110="Q","Quentown",I1110="C","Cherbrug",I1110="B","Cabin")</f>
        <v>Southamptom</v>
      </c>
      <c r="K1110" t="s">
        <v>22</v>
      </c>
      <c r="L1110" s="2">
        <v>13</v>
      </c>
      <c r="M1110" s="2" t="str" cm="1">
        <f t="array" ref="M1110">_xlfn.IFS(L1110&lt;=15,"Low Fare",L1110&lt;=35,"Medium Fare",L1110&lt;=100,"High Fare",L1110&gt;=100,"Very High Fare")</f>
        <v>Low Fare</v>
      </c>
      <c r="N1110" s="2">
        <v>0</v>
      </c>
      <c r="O1110" s="2">
        <v>0</v>
      </c>
      <c r="P1110">
        <f t="shared" si="69"/>
        <v>1</v>
      </c>
      <c r="Q1110" t="str">
        <f t="shared" si="70"/>
        <v>Alone</v>
      </c>
      <c r="R1110" t="str">
        <f t="shared" si="71"/>
        <v>Yes</v>
      </c>
      <c r="S1110" t="s">
        <v>16</v>
      </c>
    </row>
    <row r="1111" spans="1:19" x14ac:dyDescent="0.3">
      <c r="A1111" s="1" t="s">
        <v>831</v>
      </c>
      <c r="B1111" t="s">
        <v>1596</v>
      </c>
      <c r="C1111" t="s">
        <v>2546</v>
      </c>
      <c r="D1111" t="str">
        <f t="shared" si="68"/>
        <v>Male</v>
      </c>
      <c r="E1111" t="s">
        <v>9</v>
      </c>
      <c r="F1111" s="2">
        <v>22</v>
      </c>
      <c r="G1111" s="2" t="str" cm="1">
        <f t="array" ref="G1111">_xlfn.IFS(F1111&lt;=8,"Child",F1111&lt;=17,"Teen",F1111&lt;=35,"Adult",F1111&lt;=55,"Seniour Adult",F1111&gt;=55,"Old Age")</f>
        <v>Adult</v>
      </c>
      <c r="H1111" t="s">
        <v>10</v>
      </c>
      <c r="I1111" t="s">
        <v>19</v>
      </c>
      <c r="J1111" t="str" cm="1">
        <f t="array" ref="J1111">_xlfn.IFS(I1111="S","Southamptom",I1111="Q","Quentown",I1111="C","Cherbrug",I1111="B","Cabin")</f>
        <v>Cherbrug</v>
      </c>
      <c r="K1111" t="s">
        <v>58</v>
      </c>
      <c r="L1111" s="2">
        <v>7.0407000000000002</v>
      </c>
      <c r="M1111" s="2" t="str" cm="1">
        <f t="array" ref="M1111">_xlfn.IFS(L1111&lt;=15,"Low Fare",L1111&lt;=35,"Medium Fare",L1111&lt;=100,"High Fare",L1111&gt;=100,"Very High Fare")</f>
        <v>Low Fare</v>
      </c>
      <c r="N1111" s="2">
        <v>0</v>
      </c>
      <c r="O1111" s="2">
        <v>0</v>
      </c>
      <c r="P1111">
        <f t="shared" si="69"/>
        <v>1</v>
      </c>
      <c r="Q1111" t="str">
        <f t="shared" si="70"/>
        <v>Alone</v>
      </c>
      <c r="R1111" t="str">
        <f t="shared" si="71"/>
        <v>No</v>
      </c>
      <c r="S1111" t="s">
        <v>13</v>
      </c>
    </row>
    <row r="1112" spans="1:19" x14ac:dyDescent="0.3">
      <c r="A1112" s="1" t="s">
        <v>832</v>
      </c>
      <c r="B1112" t="s">
        <v>1596</v>
      </c>
      <c r="C1112" t="s">
        <v>2547</v>
      </c>
      <c r="D1112" t="str">
        <f t="shared" si="68"/>
        <v>Male</v>
      </c>
      <c r="E1112" t="s">
        <v>9</v>
      </c>
      <c r="F1112" s="2">
        <v>20</v>
      </c>
      <c r="G1112" s="2" t="str" cm="1">
        <f t="array" ref="G1112">_xlfn.IFS(F1112&lt;=8,"Child",F1112&lt;=17,"Teen",F1112&lt;=35,"Adult",F1112&lt;=55,"Seniour Adult",F1112&gt;=55,"Old Age")</f>
        <v>Adult</v>
      </c>
      <c r="H1112" t="s">
        <v>10</v>
      </c>
      <c r="I1112" t="s">
        <v>11</v>
      </c>
      <c r="J1112" t="str" cm="1">
        <f t="array" ref="J1112">_xlfn.IFS(I1112="S","Southamptom",I1112="Q","Quentown",I1112="C","Cherbrug",I1112="B","Cabin")</f>
        <v>Southamptom</v>
      </c>
      <c r="K1112" t="s">
        <v>15</v>
      </c>
      <c r="L1112" s="2">
        <v>8.01</v>
      </c>
      <c r="M1112" s="2" t="str" cm="1">
        <f t="array" ref="M1112">_xlfn.IFS(L1112&lt;=15,"Low Fare",L1112&lt;=35,"Medium Fare",L1112&lt;=100,"High Fare",L1112&gt;=100,"Very High Fare")</f>
        <v>Low Fare</v>
      </c>
      <c r="N1112" s="2">
        <v>0</v>
      </c>
      <c r="O1112" s="2">
        <v>0</v>
      </c>
      <c r="P1112">
        <f t="shared" si="69"/>
        <v>1</v>
      </c>
      <c r="Q1112" t="str">
        <f t="shared" si="70"/>
        <v>Alone</v>
      </c>
      <c r="R1112" t="str">
        <f t="shared" si="71"/>
        <v>No</v>
      </c>
      <c r="S1112" t="s">
        <v>13</v>
      </c>
    </row>
    <row r="1113" spans="1:19" x14ac:dyDescent="0.3">
      <c r="A1113" s="1" t="s">
        <v>833</v>
      </c>
      <c r="B1113" t="s">
        <v>1596</v>
      </c>
      <c r="C1113" t="s">
        <v>2548</v>
      </c>
      <c r="D1113" t="str">
        <f t="shared" si="68"/>
        <v>Male</v>
      </c>
      <c r="E1113" t="s">
        <v>9</v>
      </c>
      <c r="F1113" s="2">
        <v>40</v>
      </c>
      <c r="G1113" s="2" t="str" cm="1">
        <f t="array" ref="G1113">_xlfn.IFS(F1113&lt;=8,"Child",F1113&lt;=17,"Teen",F1113&lt;=35,"Adult",F1113&lt;=55,"Seniour Adult",F1113&gt;=55,"Old Age")</f>
        <v>Seniour Adult</v>
      </c>
      <c r="H1113" t="s">
        <v>10</v>
      </c>
      <c r="I1113" t="s">
        <v>11</v>
      </c>
      <c r="J1113" t="str" cm="1">
        <f t="array" ref="J1113">_xlfn.IFS(I1113="S","Southamptom",I1113="Q","Quentown",I1113="C","Cherbrug",I1113="B","Cabin")</f>
        <v>Southamptom</v>
      </c>
      <c r="K1113" t="s">
        <v>34</v>
      </c>
      <c r="L1113" s="2">
        <v>7.1711</v>
      </c>
      <c r="M1113" s="2" t="str" cm="1">
        <f t="array" ref="M1113">_xlfn.IFS(L1113&lt;=15,"Low Fare",L1113&lt;=35,"Medium Fare",L1113&lt;=100,"High Fare",L1113&gt;=100,"Very High Fare")</f>
        <v>Low Fare</v>
      </c>
      <c r="N1113" s="2">
        <v>0</v>
      </c>
      <c r="O1113" s="2">
        <v>0</v>
      </c>
      <c r="P1113">
        <f t="shared" si="69"/>
        <v>1</v>
      </c>
      <c r="Q1113" t="str">
        <f t="shared" si="70"/>
        <v>Alone</v>
      </c>
      <c r="R1113" t="str">
        <f t="shared" si="71"/>
        <v>No</v>
      </c>
      <c r="S1113" t="s">
        <v>13</v>
      </c>
    </row>
    <row r="1114" spans="1:19" x14ac:dyDescent="0.3">
      <c r="A1114" s="1" t="s">
        <v>834</v>
      </c>
      <c r="B1114" t="s">
        <v>1596</v>
      </c>
      <c r="C1114" t="s">
        <v>2549</v>
      </c>
      <c r="D1114" t="str">
        <f t="shared" si="68"/>
        <v>Male</v>
      </c>
      <c r="E1114" t="s">
        <v>9</v>
      </c>
      <c r="F1114" s="2">
        <v>21</v>
      </c>
      <c r="G1114" s="2" t="str" cm="1">
        <f t="array" ref="G1114">_xlfn.IFS(F1114&lt;=8,"Child",F1114&lt;=17,"Teen",F1114&lt;=35,"Adult",F1114&lt;=55,"Seniour Adult",F1114&gt;=55,"Old Age")</f>
        <v>Adult</v>
      </c>
      <c r="H1114" t="s">
        <v>10</v>
      </c>
      <c r="I1114" t="s">
        <v>11</v>
      </c>
      <c r="J1114" t="str" cm="1">
        <f t="array" ref="J1114">_xlfn.IFS(I1114="S","Southamptom",I1114="Q","Quentown",I1114="C","Cherbrug",I1114="B","Cabin")</f>
        <v>Southamptom</v>
      </c>
      <c r="K1114" t="s">
        <v>12</v>
      </c>
      <c r="L1114" s="2">
        <v>7.1806000000000001</v>
      </c>
      <c r="M1114" s="2" t="str" cm="1">
        <f t="array" ref="M1114">_xlfn.IFS(L1114&lt;=15,"Low Fare",L1114&lt;=35,"Medium Fare",L1114&lt;=100,"High Fare",L1114&gt;=100,"Very High Fare")</f>
        <v>Low Fare</v>
      </c>
      <c r="N1114" s="2">
        <v>0</v>
      </c>
      <c r="O1114" s="2">
        <v>0</v>
      </c>
      <c r="P1114">
        <f t="shared" si="69"/>
        <v>1</v>
      </c>
      <c r="Q1114" t="str">
        <f t="shared" si="70"/>
        <v>Alone</v>
      </c>
      <c r="R1114" t="str">
        <f t="shared" si="71"/>
        <v>No</v>
      </c>
      <c r="S1114" t="s">
        <v>13</v>
      </c>
    </row>
    <row r="1115" spans="1:19" x14ac:dyDescent="0.3">
      <c r="A1115" s="1" t="s">
        <v>835</v>
      </c>
      <c r="B1115" t="s">
        <v>1602</v>
      </c>
      <c r="C1115" t="s">
        <v>2374</v>
      </c>
      <c r="D1115" t="str">
        <f t="shared" si="68"/>
        <v>Female</v>
      </c>
      <c r="E1115" t="s">
        <v>14</v>
      </c>
      <c r="F1115" s="2">
        <v>18</v>
      </c>
      <c r="G1115" s="2" t="str" cm="1">
        <f t="array" ref="G1115">_xlfn.IFS(F1115&lt;=8,"Child",F1115&lt;=17,"Teen",F1115&lt;=35,"Adult",F1115&lt;=55,"Seniour Adult",F1115&gt;=55,"Old Age")</f>
        <v>Adult</v>
      </c>
      <c r="H1115" t="s">
        <v>10</v>
      </c>
      <c r="I1115" t="s">
        <v>11</v>
      </c>
      <c r="J1115" t="str" cm="1">
        <f t="array" ref="J1115">_xlfn.IFS(I1115="S","Southamptom",I1115="Q","Quentown",I1115="C","Cherbrug",I1115="B","Cabin")</f>
        <v>Southamptom</v>
      </c>
      <c r="K1115" t="s">
        <v>22</v>
      </c>
      <c r="L1115" s="2">
        <v>6.0911</v>
      </c>
      <c r="M1115" s="2" t="str" cm="1">
        <f t="array" ref="M1115">_xlfn.IFS(L1115&lt;=15,"Low Fare",L1115&lt;=35,"Medium Fare",L1115&lt;=100,"High Fare",L1115&gt;=100,"Very High Fare")</f>
        <v>Low Fare</v>
      </c>
      <c r="N1115" s="2">
        <v>0</v>
      </c>
      <c r="O1115" s="2">
        <v>0</v>
      </c>
      <c r="P1115">
        <f t="shared" si="69"/>
        <v>1</v>
      </c>
      <c r="Q1115" t="str">
        <f t="shared" si="70"/>
        <v>Alone</v>
      </c>
      <c r="R1115" t="str">
        <f t="shared" si="71"/>
        <v>Yes</v>
      </c>
      <c r="S1115" t="s">
        <v>16</v>
      </c>
    </row>
    <row r="1116" spans="1:19" x14ac:dyDescent="0.3">
      <c r="A1116" s="1" t="s">
        <v>836</v>
      </c>
      <c r="B1116" t="s">
        <v>1596</v>
      </c>
      <c r="C1116" t="s">
        <v>2550</v>
      </c>
      <c r="D1116" t="str">
        <f t="shared" si="68"/>
        <v>Male</v>
      </c>
      <c r="E1116" t="s">
        <v>9</v>
      </c>
      <c r="F1116" s="2">
        <v>59</v>
      </c>
      <c r="G1116" s="2" t="str" cm="1">
        <f t="array" ref="G1116">_xlfn.IFS(F1116&lt;=8,"Child",F1116&lt;=17,"Teen",F1116&lt;=35,"Adult",F1116&lt;=55,"Seniour Adult",F1116&gt;=55,"Old Age")</f>
        <v>Old Age</v>
      </c>
      <c r="H1116" t="s">
        <v>18</v>
      </c>
      <c r="I1116" t="s">
        <v>11</v>
      </c>
      <c r="J1116" t="str" cm="1">
        <f t="array" ref="J1116">_xlfn.IFS(I1116="S","Southamptom",I1116="Q","Quentown",I1116="C","Cherbrug",I1116="B","Cabin")</f>
        <v>Southamptom</v>
      </c>
      <c r="K1116" t="s">
        <v>23</v>
      </c>
      <c r="L1116" s="2">
        <v>13.1</v>
      </c>
      <c r="M1116" s="2" t="str" cm="1">
        <f t="array" ref="M1116">_xlfn.IFS(L1116&lt;=15,"Low Fare",L1116&lt;=35,"Medium Fare",L1116&lt;=100,"High Fare",L1116&gt;=100,"Very High Fare")</f>
        <v>Low Fare</v>
      </c>
      <c r="N1116" s="2">
        <v>0</v>
      </c>
      <c r="O1116" s="2">
        <v>0</v>
      </c>
      <c r="P1116">
        <f t="shared" si="69"/>
        <v>1</v>
      </c>
      <c r="Q1116" t="str">
        <f t="shared" si="70"/>
        <v>Alone</v>
      </c>
      <c r="R1116" t="str">
        <f t="shared" si="71"/>
        <v>No</v>
      </c>
      <c r="S1116" t="s">
        <v>13</v>
      </c>
    </row>
    <row r="1117" spans="1:19" x14ac:dyDescent="0.3">
      <c r="A1117" s="1" t="s">
        <v>837</v>
      </c>
      <c r="B1117" t="s">
        <v>1612</v>
      </c>
      <c r="C1117" t="s">
        <v>2551</v>
      </c>
      <c r="D1117" t="str">
        <f t="shared" si="68"/>
        <v>Male</v>
      </c>
      <c r="E1117" t="s">
        <v>9</v>
      </c>
      <c r="F1117" s="2">
        <v>5</v>
      </c>
      <c r="G1117" s="2" t="str" cm="1">
        <f t="array" ref="G1117">_xlfn.IFS(F1117&lt;=8,"Child",F1117&lt;=17,"Teen",F1117&lt;=35,"Adult",F1117&lt;=55,"Seniour Adult",F1117&gt;=55,"Old Age")</f>
        <v>Child</v>
      </c>
      <c r="H1117" t="s">
        <v>10</v>
      </c>
      <c r="I1117" t="s">
        <v>11</v>
      </c>
      <c r="J1117" t="str" cm="1">
        <f t="array" ref="J1117">_xlfn.IFS(I1117="S","Southamptom",I1117="Q","Quentown",I1117="C","Cherbrug",I1117="B","Cabin")</f>
        <v>Southamptom</v>
      </c>
      <c r="K1117" t="s">
        <v>12</v>
      </c>
      <c r="L1117" s="2">
        <v>27.18</v>
      </c>
      <c r="M1117" s="2" t="str" cm="1">
        <f t="array" ref="M1117">_xlfn.IFS(L1117&lt;=15,"Low Fare",L1117&lt;=35,"Medium Fare",L1117&lt;=100,"High Fare",L1117&gt;=100,"Very High Fare")</f>
        <v>Medium Fare</v>
      </c>
      <c r="N1117" s="2">
        <v>3</v>
      </c>
      <c r="O1117" s="2">
        <v>2</v>
      </c>
      <c r="P1117">
        <f t="shared" si="69"/>
        <v>6</v>
      </c>
      <c r="Q1117" t="str">
        <f t="shared" si="70"/>
        <v>With Family</v>
      </c>
      <c r="R1117" t="str">
        <f t="shared" si="71"/>
        <v>No</v>
      </c>
      <c r="S1117" t="s">
        <v>13</v>
      </c>
    </row>
    <row r="1118" spans="1:19" x14ac:dyDescent="0.3">
      <c r="A1118" s="1" t="s">
        <v>837</v>
      </c>
      <c r="B1118" t="s">
        <v>1612</v>
      </c>
      <c r="C1118" t="s">
        <v>2552</v>
      </c>
      <c r="D1118" t="str">
        <f t="shared" si="68"/>
        <v>Male</v>
      </c>
      <c r="E1118" t="s">
        <v>9</v>
      </c>
      <c r="F1118" s="2">
        <v>11</v>
      </c>
      <c r="G1118" s="2" t="str" cm="1">
        <f t="array" ref="G1118">_xlfn.IFS(F1118&lt;=8,"Child",F1118&lt;=17,"Teen",F1118&lt;=35,"Adult",F1118&lt;=55,"Seniour Adult",F1118&gt;=55,"Old Age")</f>
        <v>Teen</v>
      </c>
      <c r="H1118" t="s">
        <v>10</v>
      </c>
      <c r="I1118" t="s">
        <v>11</v>
      </c>
      <c r="J1118" t="str" cm="1">
        <f t="array" ref="J1118">_xlfn.IFS(I1118="S","Southamptom",I1118="Q","Quentown",I1118="C","Cherbrug",I1118="B","Cabin")</f>
        <v>Southamptom</v>
      </c>
      <c r="K1118" t="s">
        <v>12</v>
      </c>
      <c r="L1118" s="2">
        <v>27.18</v>
      </c>
      <c r="M1118" s="2" t="str" cm="1">
        <f t="array" ref="M1118">_xlfn.IFS(L1118&lt;=15,"Low Fare",L1118&lt;=35,"Medium Fare",L1118&lt;=100,"High Fare",L1118&gt;=100,"Very High Fare")</f>
        <v>Medium Fare</v>
      </c>
      <c r="N1118" s="2">
        <v>3</v>
      </c>
      <c r="O1118" s="2">
        <v>2</v>
      </c>
      <c r="P1118">
        <f t="shared" si="69"/>
        <v>6</v>
      </c>
      <c r="Q1118" t="str">
        <f t="shared" si="70"/>
        <v>With Family</v>
      </c>
      <c r="R1118" t="str">
        <f t="shared" si="71"/>
        <v>No</v>
      </c>
      <c r="S1118" t="s">
        <v>13</v>
      </c>
    </row>
    <row r="1119" spans="1:19" x14ac:dyDescent="0.3">
      <c r="A1119" s="1" t="s">
        <v>837</v>
      </c>
      <c r="B1119" t="s">
        <v>1602</v>
      </c>
      <c r="C1119" t="s">
        <v>2553</v>
      </c>
      <c r="D1119" t="str">
        <f t="shared" si="68"/>
        <v>Female</v>
      </c>
      <c r="E1119" t="s">
        <v>14</v>
      </c>
      <c r="F1119" s="2">
        <v>9</v>
      </c>
      <c r="G1119" s="2" t="str" cm="1">
        <f t="array" ref="G1119">_xlfn.IFS(F1119&lt;=8,"Child",F1119&lt;=17,"Teen",F1119&lt;=35,"Adult",F1119&lt;=55,"Seniour Adult",F1119&gt;=55,"Old Age")</f>
        <v>Teen</v>
      </c>
      <c r="H1119" t="s">
        <v>10</v>
      </c>
      <c r="I1119" t="s">
        <v>11</v>
      </c>
      <c r="J1119" t="str" cm="1">
        <f t="array" ref="J1119">_xlfn.IFS(I1119="S","Southamptom",I1119="Q","Quentown",I1119="C","Cherbrug",I1119="B","Cabin")</f>
        <v>Southamptom</v>
      </c>
      <c r="K1119" t="s">
        <v>12</v>
      </c>
      <c r="L1119" s="2">
        <v>27.18</v>
      </c>
      <c r="M1119" s="2" t="str" cm="1">
        <f t="array" ref="M1119">_xlfn.IFS(L1119&lt;=15,"Low Fare",L1119&lt;=35,"Medium Fare",L1119&lt;=100,"High Fare",L1119&gt;=100,"Very High Fare")</f>
        <v>Medium Fare</v>
      </c>
      <c r="N1119" s="2">
        <v>3</v>
      </c>
      <c r="O1119" s="2">
        <v>2</v>
      </c>
      <c r="P1119">
        <f t="shared" si="69"/>
        <v>6</v>
      </c>
      <c r="Q1119" t="str">
        <f t="shared" si="70"/>
        <v>With Family</v>
      </c>
      <c r="R1119" t="str">
        <f t="shared" si="71"/>
        <v>No</v>
      </c>
      <c r="S1119" t="s">
        <v>13</v>
      </c>
    </row>
    <row r="1120" spans="1:19" x14ac:dyDescent="0.3">
      <c r="A1120" s="1" t="s">
        <v>837</v>
      </c>
      <c r="B1120" t="s">
        <v>1602</v>
      </c>
      <c r="C1120" t="s">
        <v>2554</v>
      </c>
      <c r="D1120" t="str">
        <f t="shared" si="68"/>
        <v>Female</v>
      </c>
      <c r="E1120" t="s">
        <v>14</v>
      </c>
      <c r="F1120" s="2">
        <v>2</v>
      </c>
      <c r="G1120" s="2" t="str" cm="1">
        <f t="array" ref="G1120">_xlfn.IFS(F1120&lt;=8,"Child",F1120&lt;=17,"Teen",F1120&lt;=35,"Adult",F1120&lt;=55,"Seniour Adult",F1120&gt;=55,"Old Age")</f>
        <v>Child</v>
      </c>
      <c r="H1120" t="s">
        <v>10</v>
      </c>
      <c r="I1120" t="s">
        <v>11</v>
      </c>
      <c r="J1120" t="str" cm="1">
        <f t="array" ref="J1120">_xlfn.IFS(I1120="S","Southamptom",I1120="Q","Quentown",I1120="C","Cherbrug",I1120="B","Cabin")</f>
        <v>Southamptom</v>
      </c>
      <c r="K1120" t="s">
        <v>12</v>
      </c>
      <c r="L1120" s="2">
        <v>27.18</v>
      </c>
      <c r="M1120" s="2" t="str" cm="1">
        <f t="array" ref="M1120">_xlfn.IFS(L1120&lt;=15,"Low Fare",L1120&lt;=35,"Medium Fare",L1120&lt;=100,"High Fare",L1120&gt;=100,"Very High Fare")</f>
        <v>Medium Fare</v>
      </c>
      <c r="N1120" s="2">
        <v>3</v>
      </c>
      <c r="O1120" s="2">
        <v>2</v>
      </c>
      <c r="P1120">
        <f t="shared" si="69"/>
        <v>6</v>
      </c>
      <c r="Q1120" t="str">
        <f t="shared" si="70"/>
        <v>With Family</v>
      </c>
      <c r="R1120" t="str">
        <f t="shared" si="71"/>
        <v>No</v>
      </c>
      <c r="S1120" t="s">
        <v>13</v>
      </c>
    </row>
    <row r="1121" spans="1:19" x14ac:dyDescent="0.3">
      <c r="A1121" s="1" t="s">
        <v>837</v>
      </c>
      <c r="B1121" t="s">
        <v>1600</v>
      </c>
      <c r="C1121" t="s">
        <v>2555</v>
      </c>
      <c r="D1121" t="str">
        <f t="shared" si="68"/>
        <v>Female</v>
      </c>
      <c r="E1121" t="s">
        <v>14</v>
      </c>
      <c r="F1121" s="2">
        <v>43</v>
      </c>
      <c r="G1121" s="2" t="str" cm="1">
        <f t="array" ref="G1121">_xlfn.IFS(F1121&lt;=8,"Child",F1121&lt;=17,"Teen",F1121&lt;=35,"Adult",F1121&lt;=55,"Seniour Adult",F1121&gt;=55,"Old Age")</f>
        <v>Seniour Adult</v>
      </c>
      <c r="H1121" t="s">
        <v>10</v>
      </c>
      <c r="I1121" t="s">
        <v>11</v>
      </c>
      <c r="J1121" t="str" cm="1">
        <f t="array" ref="J1121">_xlfn.IFS(I1121="S","Southamptom",I1121="Q","Quentown",I1121="C","Cherbrug",I1121="B","Cabin")</f>
        <v>Southamptom</v>
      </c>
      <c r="K1121" t="s">
        <v>23</v>
      </c>
      <c r="L1121" s="2">
        <v>27.18</v>
      </c>
      <c r="M1121" s="2" t="str" cm="1">
        <f t="array" ref="M1121">_xlfn.IFS(L1121&lt;=15,"Low Fare",L1121&lt;=35,"Medium Fare",L1121&lt;=100,"High Fare",L1121&gt;=100,"Very High Fare")</f>
        <v>Medium Fare</v>
      </c>
      <c r="N1121" s="2">
        <v>1</v>
      </c>
      <c r="O1121" s="2">
        <v>4</v>
      </c>
      <c r="P1121">
        <f t="shared" si="69"/>
        <v>6</v>
      </c>
      <c r="Q1121" t="str">
        <f t="shared" si="70"/>
        <v>With Family</v>
      </c>
      <c r="R1121" t="str">
        <f t="shared" si="71"/>
        <v>No</v>
      </c>
      <c r="S1121" t="s">
        <v>13</v>
      </c>
    </row>
    <row r="1122" spans="1:19" x14ac:dyDescent="0.3">
      <c r="A1122" s="1" t="s">
        <v>837</v>
      </c>
      <c r="B1122" t="s">
        <v>1596</v>
      </c>
      <c r="C1122" t="s">
        <v>2556</v>
      </c>
      <c r="D1122" t="str">
        <f t="shared" si="68"/>
        <v>Male</v>
      </c>
      <c r="E1122" t="s">
        <v>9</v>
      </c>
      <c r="F1122" s="2">
        <v>40</v>
      </c>
      <c r="G1122" s="2" t="str" cm="1">
        <f t="array" ref="G1122">_xlfn.IFS(F1122&lt;=8,"Child",F1122&lt;=17,"Teen",F1122&lt;=35,"Adult",F1122&lt;=55,"Seniour Adult",F1122&gt;=55,"Old Age")</f>
        <v>Seniour Adult</v>
      </c>
      <c r="H1122" t="s">
        <v>10</v>
      </c>
      <c r="I1122" t="s">
        <v>11</v>
      </c>
      <c r="J1122" t="str" cm="1">
        <f t="array" ref="J1122">_xlfn.IFS(I1122="S","Southamptom",I1122="Q","Quentown",I1122="C","Cherbrug",I1122="B","Cabin")</f>
        <v>Southamptom</v>
      </c>
      <c r="K1122" t="s">
        <v>23</v>
      </c>
      <c r="L1122" s="2">
        <v>27.18</v>
      </c>
      <c r="M1122" s="2" t="str" cm="1">
        <f t="array" ref="M1122">_xlfn.IFS(L1122&lt;=15,"Low Fare",L1122&lt;=35,"Medium Fare",L1122&lt;=100,"High Fare",L1122&gt;=100,"Very High Fare")</f>
        <v>Medium Fare</v>
      </c>
      <c r="N1122" s="2">
        <v>1</v>
      </c>
      <c r="O1122" s="2">
        <v>4</v>
      </c>
      <c r="P1122">
        <f t="shared" si="69"/>
        <v>6</v>
      </c>
      <c r="Q1122" t="str">
        <f t="shared" si="70"/>
        <v>With Family</v>
      </c>
      <c r="R1122" t="str">
        <f t="shared" si="71"/>
        <v>No</v>
      </c>
      <c r="S1122" t="s">
        <v>13</v>
      </c>
    </row>
    <row r="1123" spans="1:19" x14ac:dyDescent="0.3">
      <c r="A1123" s="1" t="s">
        <v>838</v>
      </c>
      <c r="B1123" t="s">
        <v>1596</v>
      </c>
      <c r="C1123" t="s">
        <v>2557</v>
      </c>
      <c r="D1123" t="str">
        <f t="shared" si="68"/>
        <v>Male</v>
      </c>
      <c r="E1123" t="s">
        <v>9</v>
      </c>
      <c r="F1123" s="2">
        <v>42</v>
      </c>
      <c r="G1123" s="2" t="str" cm="1">
        <f t="array" ref="G1123">_xlfn.IFS(F1123&lt;=8,"Child",F1123&lt;=17,"Teen",F1123&lt;=35,"Adult",F1123&lt;=55,"Seniour Adult",F1123&gt;=55,"Old Age")</f>
        <v>Seniour Adult</v>
      </c>
      <c r="H1123" t="s">
        <v>10</v>
      </c>
      <c r="I1123" t="s">
        <v>11</v>
      </c>
      <c r="J1123" t="str" cm="1">
        <f t="array" ref="J1123">_xlfn.IFS(I1123="S","Southamptom",I1123="Q","Quentown",I1123="C","Cherbrug",I1123="B","Cabin")</f>
        <v>Southamptom</v>
      </c>
      <c r="K1123" t="s">
        <v>15</v>
      </c>
      <c r="L1123" s="2">
        <v>7.1711</v>
      </c>
      <c r="M1123" s="2" t="str" cm="1">
        <f t="array" ref="M1123">_xlfn.IFS(L1123&lt;=15,"Low Fare",L1123&lt;=35,"Medium Fare",L1123&lt;=100,"High Fare",L1123&gt;=100,"Very High Fare")</f>
        <v>Low Fare</v>
      </c>
      <c r="N1123" s="2">
        <v>0</v>
      </c>
      <c r="O1123" s="2">
        <v>0</v>
      </c>
      <c r="P1123">
        <f t="shared" si="69"/>
        <v>1</v>
      </c>
      <c r="Q1123" t="str">
        <f t="shared" si="70"/>
        <v>Alone</v>
      </c>
      <c r="R1123" t="str">
        <f t="shared" si="71"/>
        <v>No</v>
      </c>
      <c r="S1123" t="s">
        <v>13</v>
      </c>
    </row>
    <row r="1124" spans="1:19" x14ac:dyDescent="0.3">
      <c r="A1124" s="1" t="s">
        <v>839</v>
      </c>
      <c r="B1124" t="s">
        <v>1602</v>
      </c>
      <c r="C1124" t="s">
        <v>2558</v>
      </c>
      <c r="D1124" t="str">
        <f t="shared" si="68"/>
        <v>Female</v>
      </c>
      <c r="E1124" t="s">
        <v>14</v>
      </c>
      <c r="F1124" s="2">
        <v>30</v>
      </c>
      <c r="G1124" s="2" t="str" cm="1">
        <f t="array" ref="G1124">_xlfn.IFS(F1124&lt;=8,"Child",F1124&lt;=17,"Teen",F1124&lt;=35,"Adult",F1124&lt;=55,"Seniour Adult",F1124&gt;=55,"Old Age")</f>
        <v>Adult</v>
      </c>
      <c r="H1124" t="s">
        <v>18</v>
      </c>
      <c r="I1124" t="s">
        <v>36</v>
      </c>
      <c r="J1124" t="str" cm="1">
        <f t="array" ref="J1124">_xlfn.IFS(I1124="S","Southamptom",I1124="Q","Quentown",I1124="C","Cherbrug",I1124="B","Cabin")</f>
        <v>Quentown</v>
      </c>
      <c r="K1124" t="s">
        <v>26</v>
      </c>
      <c r="L1124" s="2">
        <v>12.07</v>
      </c>
      <c r="M1124" s="2" t="str" cm="1">
        <f t="array" ref="M1124">_xlfn.IFS(L1124&lt;=15,"Low Fare",L1124&lt;=35,"Medium Fare",L1124&lt;=100,"High Fare",L1124&gt;=100,"Very High Fare")</f>
        <v>Low Fare</v>
      </c>
      <c r="N1124" s="2">
        <v>0</v>
      </c>
      <c r="O1124" s="2">
        <v>0</v>
      </c>
      <c r="P1124">
        <f t="shared" si="69"/>
        <v>1</v>
      </c>
      <c r="Q1124" t="str">
        <f t="shared" si="70"/>
        <v>Alone</v>
      </c>
      <c r="R1124" t="str">
        <f t="shared" si="71"/>
        <v>Yes</v>
      </c>
      <c r="S1124" t="s">
        <v>16</v>
      </c>
    </row>
    <row r="1125" spans="1:19" x14ac:dyDescent="0.3">
      <c r="A1125" s="1" t="s">
        <v>840</v>
      </c>
      <c r="B1125" t="s">
        <v>1596</v>
      </c>
      <c r="C1125" t="s">
        <v>2559</v>
      </c>
      <c r="D1125" t="str">
        <f t="shared" si="68"/>
        <v>Male</v>
      </c>
      <c r="E1125" t="s">
        <v>9</v>
      </c>
      <c r="F1125" s="2">
        <v>35</v>
      </c>
      <c r="G1125" s="2" t="str" cm="1">
        <f t="array" ref="G1125">_xlfn.IFS(F1125&lt;=8,"Child",F1125&lt;=17,"Teen",F1125&lt;=35,"Adult",F1125&lt;=55,"Seniour Adult",F1125&gt;=55,"Old Age")</f>
        <v>Adult</v>
      </c>
      <c r="H1125" t="s">
        <v>18</v>
      </c>
      <c r="I1125" t="s">
        <v>11</v>
      </c>
      <c r="J1125" t="str" cm="1">
        <f t="array" ref="J1125">_xlfn.IFS(I1125="S","Southamptom",I1125="Q","Quentown",I1125="C","Cherbrug",I1125="B","Cabin")</f>
        <v>Southamptom</v>
      </c>
      <c r="K1125" t="s">
        <v>15</v>
      </c>
      <c r="L1125" s="2">
        <v>10.1</v>
      </c>
      <c r="M1125" s="2" t="str" cm="1">
        <f t="array" ref="M1125">_xlfn.IFS(L1125&lt;=15,"Low Fare",L1125&lt;=35,"Medium Fare",L1125&lt;=100,"High Fare",L1125&gt;=100,"Very High Fare")</f>
        <v>Low Fare</v>
      </c>
      <c r="N1125" s="2">
        <v>0</v>
      </c>
      <c r="O1125" s="2">
        <v>0</v>
      </c>
      <c r="P1125">
        <f t="shared" si="69"/>
        <v>1</v>
      </c>
      <c r="Q1125" t="str">
        <f t="shared" si="70"/>
        <v>Alone</v>
      </c>
      <c r="R1125" t="str">
        <f t="shared" si="71"/>
        <v>No</v>
      </c>
      <c r="S1125" t="s">
        <v>13</v>
      </c>
    </row>
    <row r="1126" spans="1:19" x14ac:dyDescent="0.3">
      <c r="A1126" s="1" t="s">
        <v>841</v>
      </c>
      <c r="B1126" t="s">
        <v>1596</v>
      </c>
      <c r="C1126" t="s">
        <v>2560</v>
      </c>
      <c r="D1126" t="str">
        <f t="shared" si="68"/>
        <v>Male</v>
      </c>
      <c r="E1126" t="s">
        <v>9</v>
      </c>
      <c r="F1126" s="2">
        <v>20</v>
      </c>
      <c r="G1126" s="2" t="str" cm="1">
        <f t="array" ref="G1126">_xlfn.IFS(F1126&lt;=8,"Child",F1126&lt;=17,"Teen",F1126&lt;=35,"Adult",F1126&lt;=55,"Seniour Adult",F1126&gt;=55,"Old Age")</f>
        <v>Adult</v>
      </c>
      <c r="H1126" t="s">
        <v>10</v>
      </c>
      <c r="I1126" t="s">
        <v>11</v>
      </c>
      <c r="J1126" t="str" cm="1">
        <f t="array" ref="J1126">_xlfn.IFS(I1126="S","Southamptom",I1126="Q","Quentown",I1126="C","Cherbrug",I1126="B","Cabin")</f>
        <v>Southamptom</v>
      </c>
      <c r="K1126" t="s">
        <v>15</v>
      </c>
      <c r="L1126" s="2">
        <v>8.01</v>
      </c>
      <c r="M1126" s="2" t="str" cm="1">
        <f t="array" ref="M1126">_xlfn.IFS(L1126&lt;=15,"Low Fare",L1126&lt;=35,"Medium Fare",L1126&lt;=100,"High Fare",L1126&gt;=100,"Very High Fare")</f>
        <v>Low Fare</v>
      </c>
      <c r="N1126" s="2">
        <v>0</v>
      </c>
      <c r="O1126" s="2">
        <v>0</v>
      </c>
      <c r="P1126">
        <f t="shared" si="69"/>
        <v>1</v>
      </c>
      <c r="Q1126" t="str">
        <f t="shared" si="70"/>
        <v>Alone</v>
      </c>
      <c r="R1126" t="str">
        <f t="shared" si="71"/>
        <v>No</v>
      </c>
      <c r="S1126" t="s">
        <v>13</v>
      </c>
    </row>
    <row r="1127" spans="1:19" x14ac:dyDescent="0.3">
      <c r="A1127" s="1" t="s">
        <v>842</v>
      </c>
      <c r="B1127" t="s">
        <v>1596</v>
      </c>
      <c r="C1127" t="s">
        <v>2561</v>
      </c>
      <c r="D1127" t="str">
        <f t="shared" si="68"/>
        <v>Male</v>
      </c>
      <c r="E1127" t="s">
        <v>9</v>
      </c>
      <c r="F1127" s="2">
        <v>28</v>
      </c>
      <c r="G1127" s="2" t="str" cm="1">
        <f t="array" ref="G1127">_xlfn.IFS(F1127&lt;=8,"Child",F1127&lt;=17,"Teen",F1127&lt;=35,"Adult",F1127&lt;=55,"Seniour Adult",F1127&gt;=55,"Old Age")</f>
        <v>Adult</v>
      </c>
      <c r="H1127" t="s">
        <v>25</v>
      </c>
      <c r="I1127" t="s">
        <v>11</v>
      </c>
      <c r="J1127" t="str" cm="1">
        <f t="array" ref="J1127">_xlfn.IFS(I1127="S","Southamptom",I1127="Q","Quentown",I1127="C","Cherbrug",I1127="B","Cabin")</f>
        <v>Southamptom</v>
      </c>
      <c r="K1127" t="s">
        <v>12</v>
      </c>
      <c r="L1127" s="2">
        <v>35.1</v>
      </c>
      <c r="M1127" s="2" t="str" cm="1">
        <f t="array" ref="M1127">_xlfn.IFS(L1127&lt;=15,"Low Fare",L1127&lt;=35,"Medium Fare",L1127&lt;=100,"High Fare",L1127&gt;=100,"Very High Fare")</f>
        <v>High Fare</v>
      </c>
      <c r="N1127" s="2">
        <v>0</v>
      </c>
      <c r="O1127" s="2">
        <v>0</v>
      </c>
      <c r="P1127">
        <f t="shared" si="69"/>
        <v>1</v>
      </c>
      <c r="Q1127" t="str">
        <f t="shared" si="70"/>
        <v>Alone</v>
      </c>
      <c r="R1127" t="str">
        <f t="shared" si="71"/>
        <v>Yes</v>
      </c>
      <c r="S1127" t="s">
        <v>16</v>
      </c>
    </row>
    <row r="1128" spans="1:19" x14ac:dyDescent="0.3">
      <c r="A1128" s="1" t="s">
        <v>843</v>
      </c>
      <c r="B1128" t="s">
        <v>1596</v>
      </c>
      <c r="C1128" t="s">
        <v>2562</v>
      </c>
      <c r="D1128" t="str">
        <f t="shared" si="68"/>
        <v>Male</v>
      </c>
      <c r="E1128" t="s">
        <v>9</v>
      </c>
      <c r="F1128" s="2">
        <v>56</v>
      </c>
      <c r="G1128" s="2" t="str" cm="1">
        <f t="array" ref="G1128">_xlfn.IFS(F1128&lt;=8,"Child",F1128&lt;=17,"Teen",F1128&lt;=35,"Adult",F1128&lt;=55,"Seniour Adult",F1128&gt;=55,"Old Age")</f>
        <v>Old Age</v>
      </c>
      <c r="H1128" t="s">
        <v>25</v>
      </c>
      <c r="I1128" t="s">
        <v>11</v>
      </c>
      <c r="J1128" t="str" cm="1">
        <f t="array" ref="J1128">_xlfn.IFS(I1128="S","Southamptom",I1128="Q","Quentown",I1128="C","Cherbrug",I1128="B","Cabin")</f>
        <v>Southamptom</v>
      </c>
      <c r="K1128" t="s">
        <v>15</v>
      </c>
      <c r="L1128" s="2">
        <v>26.11</v>
      </c>
      <c r="M1128" s="2" t="str" cm="1">
        <f t="array" ref="M1128">_xlfn.IFS(L1128&lt;=15,"Low Fare",L1128&lt;=35,"Medium Fare",L1128&lt;=100,"High Fare",L1128&gt;=100,"Very High Fare")</f>
        <v>Medium Fare</v>
      </c>
      <c r="N1128" s="2">
        <v>0</v>
      </c>
      <c r="O1128" s="2">
        <v>0</v>
      </c>
      <c r="P1128">
        <f t="shared" si="69"/>
        <v>1</v>
      </c>
      <c r="Q1128" t="str">
        <f t="shared" si="70"/>
        <v>Alone</v>
      </c>
      <c r="R1128" t="str">
        <f t="shared" si="71"/>
        <v>No</v>
      </c>
      <c r="S1128" t="s">
        <v>13</v>
      </c>
    </row>
    <row r="1129" spans="1:19" x14ac:dyDescent="0.3">
      <c r="A1129" s="1" t="s">
        <v>844</v>
      </c>
      <c r="B1129" t="s">
        <v>1596</v>
      </c>
      <c r="C1129" t="s">
        <v>2563</v>
      </c>
      <c r="D1129" t="str">
        <f t="shared" si="68"/>
        <v>Male</v>
      </c>
      <c r="E1129" t="s">
        <v>9</v>
      </c>
      <c r="F1129" s="2">
        <v>37</v>
      </c>
      <c r="G1129" s="2" t="str" cm="1">
        <f t="array" ref="G1129">_xlfn.IFS(F1129&lt;=8,"Child",F1129&lt;=17,"Teen",F1129&lt;=35,"Adult",F1129&lt;=55,"Seniour Adult",F1129&gt;=55,"Old Age")</f>
        <v>Seniour Adult</v>
      </c>
      <c r="H1129" t="s">
        <v>10</v>
      </c>
      <c r="I1129" t="s">
        <v>11</v>
      </c>
      <c r="J1129" t="str" cm="1">
        <f t="array" ref="J1129">_xlfn.IFS(I1129="S","Southamptom",I1129="Q","Quentown",I1129="C","Cherbrug",I1129="B","Cabin")</f>
        <v>Southamptom</v>
      </c>
      <c r="K1129" t="s">
        <v>65</v>
      </c>
      <c r="L1129" s="2">
        <v>8.1303000000000001</v>
      </c>
      <c r="M1129" s="2" t="str" cm="1">
        <f t="array" ref="M1129">_xlfn.IFS(L1129&lt;=15,"Low Fare",L1129&lt;=35,"Medium Fare",L1129&lt;=100,"High Fare",L1129&gt;=100,"Very High Fare")</f>
        <v>Low Fare</v>
      </c>
      <c r="N1129" s="2">
        <v>0</v>
      </c>
      <c r="O1129" s="2">
        <v>0</v>
      </c>
      <c r="P1129">
        <f t="shared" si="69"/>
        <v>1</v>
      </c>
      <c r="Q1129" t="str">
        <f t="shared" si="70"/>
        <v>Alone</v>
      </c>
      <c r="R1129" t="str">
        <f t="shared" si="71"/>
        <v>No</v>
      </c>
      <c r="S1129" t="s">
        <v>13</v>
      </c>
    </row>
    <row r="1130" spans="1:19" x14ac:dyDescent="0.3">
      <c r="A1130" s="1" t="s">
        <v>845</v>
      </c>
      <c r="B1130" t="s">
        <v>1602</v>
      </c>
      <c r="C1130" t="s">
        <v>2564</v>
      </c>
      <c r="D1130" t="str">
        <f t="shared" si="68"/>
        <v>Female</v>
      </c>
      <c r="E1130" t="s">
        <v>14</v>
      </c>
      <c r="F1130" s="2">
        <v>49</v>
      </c>
      <c r="G1130" s="2" t="str" cm="1">
        <f t="array" ref="G1130">_xlfn.IFS(F1130&lt;=8,"Child",F1130&lt;=17,"Teen",F1130&lt;=35,"Adult",F1130&lt;=55,"Seniour Adult",F1130&gt;=55,"Old Age")</f>
        <v>Seniour Adult</v>
      </c>
      <c r="H1130" t="s">
        <v>18</v>
      </c>
      <c r="I1130" t="s">
        <v>11</v>
      </c>
      <c r="J1130" t="str" cm="1">
        <f t="array" ref="J1130">_xlfn.IFS(I1130="S","Southamptom",I1130="Q","Quentown",I1130="C","Cherbrug",I1130="B","Cabin")</f>
        <v>Southamptom</v>
      </c>
      <c r="K1130" t="s">
        <v>15</v>
      </c>
      <c r="L1130" s="2">
        <v>13</v>
      </c>
      <c r="M1130" s="2" t="str" cm="1">
        <f t="array" ref="M1130">_xlfn.IFS(L1130&lt;=15,"Low Fare",L1130&lt;=35,"Medium Fare",L1130&lt;=100,"High Fare",L1130&gt;=100,"Very High Fare")</f>
        <v>Low Fare</v>
      </c>
      <c r="N1130" s="2">
        <v>0</v>
      </c>
      <c r="O1130" s="2">
        <v>0</v>
      </c>
      <c r="P1130">
        <f t="shared" si="69"/>
        <v>1</v>
      </c>
      <c r="Q1130" t="str">
        <f t="shared" si="70"/>
        <v>Alone</v>
      </c>
      <c r="R1130" t="str">
        <f t="shared" si="71"/>
        <v>Yes</v>
      </c>
      <c r="S1130" t="s">
        <v>16</v>
      </c>
    </row>
    <row r="1131" spans="1:19" x14ac:dyDescent="0.3">
      <c r="A1131" s="1" t="s">
        <v>845</v>
      </c>
      <c r="B1131" t="s">
        <v>1596</v>
      </c>
      <c r="C1131" t="s">
        <v>2565</v>
      </c>
      <c r="D1131" t="str">
        <f t="shared" si="68"/>
        <v>Male</v>
      </c>
      <c r="E1131" t="s">
        <v>9</v>
      </c>
      <c r="F1131" s="2">
        <v>56</v>
      </c>
      <c r="G1131" s="2" t="str" cm="1">
        <f t="array" ref="G1131">_xlfn.IFS(F1131&lt;=8,"Child",F1131&lt;=17,"Teen",F1131&lt;=35,"Adult",F1131&lt;=55,"Seniour Adult",F1131&gt;=55,"Old Age")</f>
        <v>Old Age</v>
      </c>
      <c r="H1131" t="s">
        <v>25</v>
      </c>
      <c r="I1131" t="s">
        <v>19</v>
      </c>
      <c r="J1131" t="str" cm="1">
        <f t="array" ref="J1131">_xlfn.IFS(I1131="S","Southamptom",I1131="Q","Quentown",I1131="C","Cherbrug",I1131="B","Cabin")</f>
        <v>Cherbrug</v>
      </c>
      <c r="K1131" t="s">
        <v>20</v>
      </c>
      <c r="L1131" s="2">
        <v>30.1311</v>
      </c>
      <c r="M1131" s="2" t="str" cm="1">
        <f t="array" ref="M1131">_xlfn.IFS(L1131&lt;=15,"Low Fare",L1131&lt;=35,"Medium Fare",L1131&lt;=100,"High Fare",L1131&gt;=100,"Very High Fare")</f>
        <v>Medium Fare</v>
      </c>
      <c r="N1131" s="2">
        <v>0</v>
      </c>
      <c r="O1131" s="2">
        <v>0</v>
      </c>
      <c r="P1131">
        <f t="shared" si="69"/>
        <v>1</v>
      </c>
      <c r="Q1131" t="str">
        <f t="shared" si="70"/>
        <v>Alone</v>
      </c>
      <c r="R1131" t="str">
        <f t="shared" si="71"/>
        <v>No</v>
      </c>
      <c r="S1131" t="s">
        <v>13</v>
      </c>
    </row>
    <row r="1132" spans="1:19" x14ac:dyDescent="0.3">
      <c r="A1132" s="1" t="s">
        <v>845</v>
      </c>
      <c r="B1132" t="s">
        <v>1596</v>
      </c>
      <c r="C1132" t="s">
        <v>2566</v>
      </c>
      <c r="D1132" t="str">
        <f t="shared" si="68"/>
        <v>Male</v>
      </c>
      <c r="E1132" t="s">
        <v>9</v>
      </c>
      <c r="F1132" s="2">
        <v>24</v>
      </c>
      <c r="G1132" s="2" t="str" cm="1">
        <f t="array" ref="G1132">_xlfn.IFS(F1132&lt;=8,"Child",F1132&lt;=17,"Teen",F1132&lt;=35,"Adult",F1132&lt;=55,"Seniour Adult",F1132&gt;=55,"Old Age")</f>
        <v>Adult</v>
      </c>
      <c r="H1132" t="s">
        <v>25</v>
      </c>
      <c r="I1132" t="s">
        <v>19</v>
      </c>
      <c r="J1132" t="str" cm="1">
        <f t="array" ref="J1132">_xlfn.IFS(I1132="S","Southamptom",I1132="Q","Quentown",I1132="C","Cherbrug",I1132="B","Cabin")</f>
        <v>Cherbrug</v>
      </c>
      <c r="K1132" t="s">
        <v>12</v>
      </c>
      <c r="L1132" s="2">
        <v>60</v>
      </c>
      <c r="M1132" s="2" t="str" cm="1">
        <f t="array" ref="M1132">_xlfn.IFS(L1132&lt;=15,"Low Fare",L1132&lt;=35,"Medium Fare",L1132&lt;=100,"High Fare",L1132&gt;=100,"Very High Fare")</f>
        <v>High Fare</v>
      </c>
      <c r="N1132" s="2">
        <v>1</v>
      </c>
      <c r="O1132" s="2">
        <v>0</v>
      </c>
      <c r="P1132">
        <f t="shared" si="69"/>
        <v>2</v>
      </c>
      <c r="Q1132" t="str">
        <f t="shared" si="70"/>
        <v>With Family</v>
      </c>
      <c r="R1132" t="str">
        <f t="shared" si="71"/>
        <v>No</v>
      </c>
      <c r="S1132" t="s">
        <v>13</v>
      </c>
    </row>
    <row r="1133" spans="1:19" x14ac:dyDescent="0.3">
      <c r="A1133" s="1" t="s">
        <v>845</v>
      </c>
      <c r="B1133" t="s">
        <v>1596</v>
      </c>
      <c r="C1133" t="s">
        <v>2567</v>
      </c>
      <c r="D1133" t="str">
        <f t="shared" si="68"/>
        <v>Male</v>
      </c>
      <c r="E1133" t="s">
        <v>9</v>
      </c>
      <c r="F1133" s="2">
        <v>57</v>
      </c>
      <c r="G1133" s="2" t="str" cm="1">
        <f t="array" ref="G1133">_xlfn.IFS(F1133&lt;=8,"Child",F1133&lt;=17,"Teen",F1133&lt;=35,"Adult",F1133&lt;=55,"Seniour Adult",F1133&gt;=55,"Old Age")</f>
        <v>Old Age</v>
      </c>
      <c r="H1133" t="s">
        <v>25</v>
      </c>
      <c r="I1133" t="s">
        <v>11</v>
      </c>
      <c r="J1133" t="str" cm="1">
        <f t="array" ref="J1133">_xlfn.IFS(I1133="S","Southamptom",I1133="Q","Quentown",I1133="C","Cherbrug",I1133="B","Cabin")</f>
        <v>Southamptom</v>
      </c>
      <c r="K1133" t="s">
        <v>15</v>
      </c>
      <c r="L1133" s="2">
        <v>26</v>
      </c>
      <c r="M1133" s="2" t="str" cm="1">
        <f t="array" ref="M1133">_xlfn.IFS(L1133&lt;=15,"Low Fare",L1133&lt;=35,"Medium Fare",L1133&lt;=100,"High Fare",L1133&gt;=100,"Very High Fare")</f>
        <v>Medium Fare</v>
      </c>
      <c r="N1133" s="2">
        <v>0</v>
      </c>
      <c r="O1133" s="2">
        <v>0</v>
      </c>
      <c r="P1133">
        <f t="shared" si="69"/>
        <v>1</v>
      </c>
      <c r="Q1133" t="str">
        <f t="shared" si="70"/>
        <v>Alone</v>
      </c>
      <c r="R1133" t="str">
        <f t="shared" si="71"/>
        <v>No</v>
      </c>
      <c r="S1133" t="s">
        <v>13</v>
      </c>
    </row>
    <row r="1134" spans="1:19" x14ac:dyDescent="0.3">
      <c r="A1134" s="1" t="s">
        <v>845</v>
      </c>
      <c r="B1134" t="s">
        <v>1600</v>
      </c>
      <c r="C1134" t="s">
        <v>2568</v>
      </c>
      <c r="D1134" t="str">
        <f t="shared" si="68"/>
        <v>Female</v>
      </c>
      <c r="E1134" t="s">
        <v>14</v>
      </c>
      <c r="F1134" s="2">
        <v>18</v>
      </c>
      <c r="G1134" s="2" t="str" cm="1">
        <f t="array" ref="G1134">_xlfn.IFS(F1134&lt;=8,"Child",F1134&lt;=17,"Teen",F1134&lt;=35,"Adult",F1134&lt;=55,"Seniour Adult",F1134&gt;=55,"Old Age")</f>
        <v>Adult</v>
      </c>
      <c r="H1134" t="s">
        <v>25</v>
      </c>
      <c r="I1134" t="s">
        <v>19</v>
      </c>
      <c r="J1134" t="str" cm="1">
        <f t="array" ref="J1134">_xlfn.IFS(I1134="S","Southamptom",I1134="Q","Quentown",I1134="C","Cherbrug",I1134="B","Cabin")</f>
        <v>Cherbrug</v>
      </c>
      <c r="K1134" t="s">
        <v>12</v>
      </c>
      <c r="L1134" s="2">
        <v>60</v>
      </c>
      <c r="M1134" s="2" t="str" cm="1">
        <f t="array" ref="M1134">_xlfn.IFS(L1134&lt;=15,"Low Fare",L1134&lt;=35,"Medium Fare",L1134&lt;=100,"High Fare",L1134&gt;=100,"Very High Fare")</f>
        <v>High Fare</v>
      </c>
      <c r="N1134" s="2">
        <v>1</v>
      </c>
      <c r="O1134" s="2">
        <v>0</v>
      </c>
      <c r="P1134">
        <f t="shared" si="69"/>
        <v>2</v>
      </c>
      <c r="Q1134" t="str">
        <f t="shared" si="70"/>
        <v>With Family</v>
      </c>
      <c r="R1134" t="str">
        <f t="shared" si="71"/>
        <v>Yes</v>
      </c>
      <c r="S1134" t="s">
        <v>16</v>
      </c>
    </row>
    <row r="1135" spans="1:19" x14ac:dyDescent="0.3">
      <c r="A1135" s="1" t="s">
        <v>846</v>
      </c>
      <c r="B1135" t="s">
        <v>1602</v>
      </c>
      <c r="C1135" t="s">
        <v>1691</v>
      </c>
      <c r="D1135" t="str">
        <f t="shared" si="68"/>
        <v>Female</v>
      </c>
      <c r="E1135" t="s">
        <v>14</v>
      </c>
      <c r="F1135" s="2">
        <v>18</v>
      </c>
      <c r="G1135" s="2" t="str" cm="1">
        <f t="array" ref="G1135">_xlfn.IFS(F1135&lt;=8,"Child",F1135&lt;=17,"Teen",F1135&lt;=35,"Adult",F1135&lt;=55,"Seniour Adult",F1135&gt;=55,"Old Age")</f>
        <v>Adult</v>
      </c>
      <c r="H1135" t="s">
        <v>10</v>
      </c>
      <c r="I1135" t="s">
        <v>36</v>
      </c>
      <c r="J1135" t="str" cm="1">
        <f t="array" ref="J1135">_xlfn.IFS(I1135="S","Southamptom",I1135="Q","Quentown",I1135="C","Cherbrug",I1135="B","Cabin")</f>
        <v>Quentown</v>
      </c>
      <c r="K1135" t="s">
        <v>37</v>
      </c>
      <c r="L1135" s="2">
        <v>7.1407999999999996</v>
      </c>
      <c r="M1135" s="2" t="str" cm="1">
        <f t="array" ref="M1135">_xlfn.IFS(L1135&lt;=15,"Low Fare",L1135&lt;=35,"Medium Fare",L1135&lt;=100,"High Fare",L1135&gt;=100,"Very High Fare")</f>
        <v>Low Fare</v>
      </c>
      <c r="N1135" s="2">
        <v>0</v>
      </c>
      <c r="O1135" s="2">
        <v>0</v>
      </c>
      <c r="P1135">
        <f t="shared" si="69"/>
        <v>1</v>
      </c>
      <c r="Q1135" t="str">
        <f t="shared" si="70"/>
        <v>Alone</v>
      </c>
      <c r="R1135" t="str">
        <f t="shared" si="71"/>
        <v>Yes</v>
      </c>
      <c r="S1135" t="s">
        <v>16</v>
      </c>
    </row>
    <row r="1136" spans="1:19" x14ac:dyDescent="0.3">
      <c r="A1136" s="1" t="s">
        <v>846</v>
      </c>
      <c r="B1136" t="s">
        <v>1596</v>
      </c>
      <c r="C1136" t="s">
        <v>1645</v>
      </c>
      <c r="D1136" t="str">
        <f t="shared" si="68"/>
        <v>Male</v>
      </c>
      <c r="E1136" t="s">
        <v>9</v>
      </c>
      <c r="F1136" s="2">
        <v>27</v>
      </c>
      <c r="G1136" s="2" t="str" cm="1">
        <f t="array" ref="G1136">_xlfn.IFS(F1136&lt;=8,"Child",F1136&lt;=17,"Teen",F1136&lt;=35,"Adult",F1136&lt;=55,"Seniour Adult",F1136&gt;=55,"Old Age")</f>
        <v>Adult</v>
      </c>
      <c r="H1136" t="s">
        <v>10</v>
      </c>
      <c r="I1136" t="s">
        <v>36</v>
      </c>
      <c r="J1136" t="str" cm="1">
        <f t="array" ref="J1136">_xlfn.IFS(I1136="S","Southamptom",I1136="Q","Quentown",I1136="C","Cherbrug",I1136="B","Cabin")</f>
        <v>Quentown</v>
      </c>
      <c r="K1136" t="s">
        <v>37</v>
      </c>
      <c r="L1136" s="2">
        <v>7.15</v>
      </c>
      <c r="M1136" s="2" t="str" cm="1">
        <f t="array" ref="M1136">_xlfn.IFS(L1136&lt;=15,"Low Fare",L1136&lt;=35,"Medium Fare",L1136&lt;=100,"High Fare",L1136&gt;=100,"Very High Fare")</f>
        <v>Low Fare</v>
      </c>
      <c r="N1136" s="2">
        <v>0</v>
      </c>
      <c r="O1136" s="2">
        <v>0</v>
      </c>
      <c r="P1136">
        <f t="shared" si="69"/>
        <v>1</v>
      </c>
      <c r="Q1136" t="str">
        <f t="shared" si="70"/>
        <v>Alone</v>
      </c>
      <c r="R1136" t="str">
        <f t="shared" si="71"/>
        <v>No</v>
      </c>
      <c r="S1136" t="s">
        <v>13</v>
      </c>
    </row>
    <row r="1137" spans="1:19" x14ac:dyDescent="0.3">
      <c r="A1137" s="1" t="s">
        <v>847</v>
      </c>
      <c r="B1137" t="s">
        <v>1596</v>
      </c>
      <c r="C1137" t="s">
        <v>2569</v>
      </c>
      <c r="D1137" t="str">
        <f t="shared" si="68"/>
        <v>Male</v>
      </c>
      <c r="E1137" t="s">
        <v>9</v>
      </c>
      <c r="F1137" s="2">
        <v>24</v>
      </c>
      <c r="G1137" s="2" t="str" cm="1">
        <f t="array" ref="G1137">_xlfn.IFS(F1137&lt;=8,"Child",F1137&lt;=17,"Teen",F1137&lt;=35,"Adult",F1137&lt;=55,"Seniour Adult",F1137&gt;=55,"Old Age")</f>
        <v>Adult</v>
      </c>
      <c r="H1137" t="s">
        <v>25</v>
      </c>
      <c r="I1137" t="s">
        <v>11</v>
      </c>
      <c r="J1137" t="str" cm="1">
        <f t="array" ref="J1137">_xlfn.IFS(I1137="S","Southamptom",I1137="Q","Quentown",I1137="C","Cherbrug",I1137="B","Cabin")</f>
        <v>Southamptom</v>
      </c>
      <c r="K1137" t="s">
        <v>12</v>
      </c>
      <c r="L1137" s="2">
        <v>82.050399999999996</v>
      </c>
      <c r="M1137" s="2" t="str" cm="1">
        <f t="array" ref="M1137">_xlfn.IFS(L1137&lt;=15,"Low Fare",L1137&lt;=35,"Medium Fare",L1137&lt;=100,"High Fare",L1137&gt;=100,"Very High Fare")</f>
        <v>High Fare</v>
      </c>
      <c r="N1137" s="2">
        <v>1</v>
      </c>
      <c r="O1137" s="2">
        <v>0</v>
      </c>
      <c r="P1137">
        <f t="shared" si="69"/>
        <v>2</v>
      </c>
      <c r="Q1137" t="str">
        <f t="shared" si="70"/>
        <v>With Family</v>
      </c>
      <c r="R1137" t="str">
        <f t="shared" si="71"/>
        <v>Yes</v>
      </c>
      <c r="S1137" t="s">
        <v>16</v>
      </c>
    </row>
    <row r="1138" spans="1:19" x14ac:dyDescent="0.3">
      <c r="A1138" s="1" t="s">
        <v>847</v>
      </c>
      <c r="B1138" t="s">
        <v>1600</v>
      </c>
      <c r="C1138" t="s">
        <v>2570</v>
      </c>
      <c r="D1138" t="str">
        <f t="shared" si="68"/>
        <v>Female</v>
      </c>
      <c r="E1138" t="s">
        <v>14</v>
      </c>
      <c r="F1138" s="2">
        <v>23</v>
      </c>
      <c r="G1138" s="2" t="str" cm="1">
        <f t="array" ref="G1138">_xlfn.IFS(F1138&lt;=8,"Child",F1138&lt;=17,"Teen",F1138&lt;=35,"Adult",F1138&lt;=55,"Seniour Adult",F1138&gt;=55,"Old Age")</f>
        <v>Adult</v>
      </c>
      <c r="H1138" t="s">
        <v>25</v>
      </c>
      <c r="I1138" t="s">
        <v>11</v>
      </c>
      <c r="J1138" t="str" cm="1">
        <f t="array" ref="J1138">_xlfn.IFS(I1138="S","Southamptom",I1138="Q","Quentown",I1138="C","Cherbrug",I1138="B","Cabin")</f>
        <v>Southamptom</v>
      </c>
      <c r="K1138" t="s">
        <v>12</v>
      </c>
      <c r="L1138" s="2">
        <v>82.050399999999996</v>
      </c>
      <c r="M1138" s="2" t="str" cm="1">
        <f t="array" ref="M1138">_xlfn.IFS(L1138&lt;=15,"Low Fare",L1138&lt;=35,"Medium Fare",L1138&lt;=100,"High Fare",L1138&gt;=100,"Very High Fare")</f>
        <v>High Fare</v>
      </c>
      <c r="N1138" s="2">
        <v>1</v>
      </c>
      <c r="O1138" s="2">
        <v>0</v>
      </c>
      <c r="P1138">
        <f t="shared" si="69"/>
        <v>2</v>
      </c>
      <c r="Q1138" t="str">
        <f t="shared" si="70"/>
        <v>With Family</v>
      </c>
      <c r="R1138" t="str">
        <f t="shared" si="71"/>
        <v>Yes</v>
      </c>
      <c r="S1138" t="s">
        <v>16</v>
      </c>
    </row>
    <row r="1139" spans="1:19" x14ac:dyDescent="0.3">
      <c r="A1139" s="1" t="s">
        <v>848</v>
      </c>
      <c r="B1139" t="s">
        <v>1596</v>
      </c>
      <c r="C1139" t="s">
        <v>2571</v>
      </c>
      <c r="D1139" t="str">
        <f t="shared" si="68"/>
        <v>Male</v>
      </c>
      <c r="E1139" t="s">
        <v>9</v>
      </c>
      <c r="F1139" s="2">
        <v>25</v>
      </c>
      <c r="G1139" s="2" t="str" cm="1">
        <f t="array" ref="G1139">_xlfn.IFS(F1139&lt;=8,"Child",F1139&lt;=17,"Teen",F1139&lt;=35,"Adult",F1139&lt;=55,"Seniour Adult",F1139&gt;=55,"Old Age")</f>
        <v>Adult</v>
      </c>
      <c r="H1139" t="s">
        <v>18</v>
      </c>
      <c r="I1139" t="s">
        <v>11</v>
      </c>
      <c r="J1139" t="str" cm="1">
        <f t="array" ref="J1139">_xlfn.IFS(I1139="S","Southamptom",I1139="Q","Quentown",I1139="C","Cherbrug",I1139="B","Cabin")</f>
        <v>Southamptom</v>
      </c>
      <c r="K1139" t="s">
        <v>15</v>
      </c>
      <c r="L1139" s="2">
        <v>13</v>
      </c>
      <c r="M1139" s="2" t="str" cm="1">
        <f t="array" ref="M1139">_xlfn.IFS(L1139&lt;=15,"Low Fare",L1139&lt;=35,"Medium Fare",L1139&lt;=100,"High Fare",L1139&gt;=100,"Very High Fare")</f>
        <v>Low Fare</v>
      </c>
      <c r="N1139" s="2">
        <v>0</v>
      </c>
      <c r="O1139" s="2">
        <v>0</v>
      </c>
      <c r="P1139">
        <f t="shared" si="69"/>
        <v>1</v>
      </c>
      <c r="Q1139" t="str">
        <f t="shared" si="70"/>
        <v>Alone</v>
      </c>
      <c r="R1139" t="str">
        <f t="shared" si="71"/>
        <v>No</v>
      </c>
      <c r="S1139" t="s">
        <v>13</v>
      </c>
    </row>
    <row r="1140" spans="1:19" x14ac:dyDescent="0.3">
      <c r="A1140" s="1" t="s">
        <v>849</v>
      </c>
      <c r="B1140" t="s">
        <v>1596</v>
      </c>
      <c r="C1140" t="s">
        <v>2572</v>
      </c>
      <c r="D1140" t="str">
        <f t="shared" si="68"/>
        <v>Male</v>
      </c>
      <c r="E1140" t="s">
        <v>9</v>
      </c>
      <c r="F1140" s="2">
        <v>19</v>
      </c>
      <c r="G1140" s="2" t="str" cm="1">
        <f t="array" ref="G1140">_xlfn.IFS(F1140&lt;=8,"Child",F1140&lt;=17,"Teen",F1140&lt;=35,"Adult",F1140&lt;=55,"Seniour Adult",F1140&gt;=55,"Old Age")</f>
        <v>Adult</v>
      </c>
      <c r="H1140" t="s">
        <v>10</v>
      </c>
      <c r="I1140" t="s">
        <v>11</v>
      </c>
      <c r="J1140" t="str" cm="1">
        <f t="array" ref="J1140">_xlfn.IFS(I1140="S","Southamptom",I1140="Q","Quentown",I1140="C","Cherbrug",I1140="B","Cabin")</f>
        <v>Southamptom</v>
      </c>
      <c r="K1140" t="s">
        <v>17</v>
      </c>
      <c r="L1140" s="2">
        <v>7.13</v>
      </c>
      <c r="M1140" s="2" t="str" cm="1">
        <f t="array" ref="M1140">_xlfn.IFS(L1140&lt;=15,"Low Fare",L1140&lt;=35,"Medium Fare",L1140&lt;=100,"High Fare",L1140&gt;=100,"Very High Fare")</f>
        <v>Low Fare</v>
      </c>
      <c r="N1140" s="2">
        <v>0</v>
      </c>
      <c r="O1140" s="2">
        <v>0</v>
      </c>
      <c r="P1140">
        <f t="shared" si="69"/>
        <v>1</v>
      </c>
      <c r="Q1140" t="str">
        <f t="shared" si="70"/>
        <v>Alone</v>
      </c>
      <c r="R1140" t="str">
        <f t="shared" si="71"/>
        <v>No</v>
      </c>
      <c r="S1140" t="s">
        <v>13</v>
      </c>
    </row>
    <row r="1141" spans="1:19" x14ac:dyDescent="0.3">
      <c r="A1141" s="1" t="s">
        <v>850</v>
      </c>
      <c r="B1141" t="s">
        <v>1596</v>
      </c>
      <c r="C1141" t="s">
        <v>2573</v>
      </c>
      <c r="D1141" t="str">
        <f t="shared" si="68"/>
        <v>Male</v>
      </c>
      <c r="E1141" t="s">
        <v>9</v>
      </c>
      <c r="F1141" s="2">
        <v>31</v>
      </c>
      <c r="G1141" s="2" t="str" cm="1">
        <f t="array" ref="G1141">_xlfn.IFS(F1141&lt;=8,"Child",F1141&lt;=17,"Teen",F1141&lt;=35,"Adult",F1141&lt;=55,"Seniour Adult",F1141&gt;=55,"Old Age")</f>
        <v>Adult</v>
      </c>
      <c r="H1141" t="s">
        <v>10</v>
      </c>
      <c r="I1141" t="s">
        <v>11</v>
      </c>
      <c r="J1141" t="str" cm="1">
        <f t="array" ref="J1141">_xlfn.IFS(I1141="S","Southamptom",I1141="Q","Quentown",I1141="C","Cherbrug",I1141="B","Cabin")</f>
        <v>Southamptom</v>
      </c>
      <c r="K1141" t="s">
        <v>15</v>
      </c>
      <c r="L1141" s="2">
        <v>8.01</v>
      </c>
      <c r="M1141" s="2" t="str" cm="1">
        <f t="array" ref="M1141">_xlfn.IFS(L1141&lt;=15,"Low Fare",L1141&lt;=35,"Medium Fare",L1141&lt;=100,"High Fare",L1141&gt;=100,"Very High Fare")</f>
        <v>Low Fare</v>
      </c>
      <c r="N1141" s="2">
        <v>0</v>
      </c>
      <c r="O1141" s="2">
        <v>0</v>
      </c>
      <c r="P1141">
        <f t="shared" si="69"/>
        <v>1</v>
      </c>
      <c r="Q1141" t="str">
        <f t="shared" si="70"/>
        <v>Alone</v>
      </c>
      <c r="R1141" t="str">
        <f t="shared" si="71"/>
        <v>No</v>
      </c>
      <c r="S1141" t="s">
        <v>13</v>
      </c>
    </row>
    <row r="1142" spans="1:19" x14ac:dyDescent="0.3">
      <c r="A1142" s="1" t="s">
        <v>851</v>
      </c>
      <c r="B1142" t="s">
        <v>1596</v>
      </c>
      <c r="C1142" t="s">
        <v>2574</v>
      </c>
      <c r="D1142" t="str">
        <f t="shared" si="68"/>
        <v>Male</v>
      </c>
      <c r="E1142" t="s">
        <v>9</v>
      </c>
      <c r="F1142" s="2">
        <v>23</v>
      </c>
      <c r="G1142" s="2" t="str" cm="1">
        <f t="array" ref="G1142">_xlfn.IFS(F1142&lt;=8,"Child",F1142&lt;=17,"Teen",F1142&lt;=35,"Adult",F1142&lt;=55,"Seniour Adult",F1142&gt;=55,"Old Age")</f>
        <v>Adult</v>
      </c>
      <c r="H1142" t="s">
        <v>10</v>
      </c>
      <c r="I1142" t="s">
        <v>11</v>
      </c>
      <c r="J1142" t="str" cm="1">
        <f t="array" ref="J1142">_xlfn.IFS(I1142="S","Southamptom",I1142="Q","Quentown",I1142="C","Cherbrug",I1142="B","Cabin")</f>
        <v>Southamptom</v>
      </c>
      <c r="K1142" t="s">
        <v>15</v>
      </c>
      <c r="L1142" s="2">
        <v>8.01</v>
      </c>
      <c r="M1142" s="2" t="str" cm="1">
        <f t="array" ref="M1142">_xlfn.IFS(L1142&lt;=15,"Low Fare",L1142&lt;=35,"Medium Fare",L1142&lt;=100,"High Fare",L1142&gt;=100,"Very High Fare")</f>
        <v>Low Fare</v>
      </c>
      <c r="N1142" s="2">
        <v>0</v>
      </c>
      <c r="O1142" s="2">
        <v>0</v>
      </c>
      <c r="P1142">
        <f t="shared" si="69"/>
        <v>1</v>
      </c>
      <c r="Q1142" t="str">
        <f t="shared" si="70"/>
        <v>Alone</v>
      </c>
      <c r="R1142" t="str">
        <f t="shared" si="71"/>
        <v>No</v>
      </c>
      <c r="S1142" t="s">
        <v>13</v>
      </c>
    </row>
    <row r="1143" spans="1:19" x14ac:dyDescent="0.3">
      <c r="A1143" s="1" t="s">
        <v>852</v>
      </c>
      <c r="B1143" t="s">
        <v>1612</v>
      </c>
      <c r="C1143" t="s">
        <v>2371</v>
      </c>
      <c r="D1143" t="str">
        <f t="shared" si="68"/>
        <v>Male</v>
      </c>
      <c r="E1143" t="s">
        <v>9</v>
      </c>
      <c r="F1143" s="2">
        <v>6</v>
      </c>
      <c r="G1143" s="2" t="str" cm="1">
        <f t="array" ref="G1143">_xlfn.IFS(F1143&lt;=8,"Child",F1143&lt;=17,"Teen",F1143&lt;=35,"Adult",F1143&lt;=55,"Seniour Adult",F1143&gt;=55,"Old Age")</f>
        <v>Child</v>
      </c>
      <c r="H1143" t="s">
        <v>25</v>
      </c>
      <c r="I1143" t="s">
        <v>19</v>
      </c>
      <c r="J1143" t="str" cm="1">
        <f t="array" ref="J1143">_xlfn.IFS(I1143="S","Southamptom",I1143="Q","Quentown",I1143="C","Cherbrug",I1143="B","Cabin")</f>
        <v>Cherbrug</v>
      </c>
      <c r="K1143" t="s">
        <v>12</v>
      </c>
      <c r="L1143" s="2">
        <v>134.1</v>
      </c>
      <c r="M1143" s="2" t="str" cm="1">
        <f t="array" ref="M1143">_xlfn.IFS(L1143&lt;=15,"Low Fare",L1143&lt;=35,"Medium Fare",L1143&lt;=100,"High Fare",L1143&gt;=100,"Very High Fare")</f>
        <v>Very High Fare</v>
      </c>
      <c r="N1143" s="2">
        <v>0</v>
      </c>
      <c r="O1143" s="2">
        <v>2</v>
      </c>
      <c r="P1143">
        <f t="shared" si="69"/>
        <v>3</v>
      </c>
      <c r="Q1143" t="str">
        <f t="shared" si="70"/>
        <v>With Family</v>
      </c>
      <c r="R1143" t="str">
        <f t="shared" si="71"/>
        <v>Yes</v>
      </c>
      <c r="S1143" t="s">
        <v>16</v>
      </c>
    </row>
    <row r="1144" spans="1:19" x14ac:dyDescent="0.3">
      <c r="A1144" s="1" t="s">
        <v>852</v>
      </c>
      <c r="B1144" t="s">
        <v>1596</v>
      </c>
      <c r="C1144" t="s">
        <v>2575</v>
      </c>
      <c r="D1144" t="str">
        <f t="shared" si="68"/>
        <v>Male</v>
      </c>
      <c r="E1144" t="s">
        <v>9</v>
      </c>
      <c r="F1144" s="2">
        <v>45</v>
      </c>
      <c r="G1144" s="2" t="str" cm="1">
        <f t="array" ref="G1144">_xlfn.IFS(F1144&lt;=8,"Child",F1144&lt;=17,"Teen",F1144&lt;=35,"Adult",F1144&lt;=55,"Seniour Adult",F1144&gt;=55,"Old Age")</f>
        <v>Seniour Adult</v>
      </c>
      <c r="H1144" t="s">
        <v>25</v>
      </c>
      <c r="I1144" t="s">
        <v>19</v>
      </c>
      <c r="J1144" t="str" cm="1">
        <f t="array" ref="J1144">_xlfn.IFS(I1144="S","Southamptom",I1144="Q","Quentown",I1144="C","Cherbrug",I1144="B","Cabin")</f>
        <v>Cherbrug</v>
      </c>
      <c r="K1144" t="s">
        <v>12</v>
      </c>
      <c r="L1144" s="2">
        <v>134.1</v>
      </c>
      <c r="M1144" s="2" t="str" cm="1">
        <f t="array" ref="M1144">_xlfn.IFS(L1144&lt;=15,"Low Fare",L1144&lt;=35,"Medium Fare",L1144&lt;=100,"High Fare",L1144&gt;=100,"Very High Fare")</f>
        <v>Very High Fare</v>
      </c>
      <c r="N1144" s="2">
        <v>1</v>
      </c>
      <c r="O1144" s="2">
        <v>1</v>
      </c>
      <c r="P1144">
        <f t="shared" si="69"/>
        <v>3</v>
      </c>
      <c r="Q1144" t="str">
        <f t="shared" si="70"/>
        <v>With Family</v>
      </c>
      <c r="R1144" t="str">
        <f t="shared" si="71"/>
        <v>Yes</v>
      </c>
      <c r="S1144" t="s">
        <v>16</v>
      </c>
    </row>
    <row r="1145" spans="1:19" x14ac:dyDescent="0.3">
      <c r="A1145" s="1" t="s">
        <v>852</v>
      </c>
      <c r="B1145" t="s">
        <v>1600</v>
      </c>
      <c r="C1145" t="s">
        <v>2576</v>
      </c>
      <c r="D1145" t="str">
        <f t="shared" si="68"/>
        <v>Female</v>
      </c>
      <c r="E1145" t="s">
        <v>14</v>
      </c>
      <c r="F1145" s="2">
        <v>39</v>
      </c>
      <c r="G1145" s="2" t="str" cm="1">
        <f t="array" ref="G1145">_xlfn.IFS(F1145&lt;=8,"Child",F1145&lt;=17,"Teen",F1145&lt;=35,"Adult",F1145&lt;=55,"Seniour Adult",F1145&gt;=55,"Old Age")</f>
        <v>Seniour Adult</v>
      </c>
      <c r="H1145" t="s">
        <v>25</v>
      </c>
      <c r="I1145" t="s">
        <v>19</v>
      </c>
      <c r="J1145" t="str" cm="1">
        <f t="array" ref="J1145">_xlfn.IFS(I1145="S","Southamptom",I1145="Q","Quentown",I1145="C","Cherbrug",I1145="B","Cabin")</f>
        <v>Cherbrug</v>
      </c>
      <c r="K1145" t="s">
        <v>12</v>
      </c>
      <c r="L1145" s="2">
        <v>134.1</v>
      </c>
      <c r="M1145" s="2" t="str" cm="1">
        <f t="array" ref="M1145">_xlfn.IFS(L1145&lt;=15,"Low Fare",L1145&lt;=35,"Medium Fare",L1145&lt;=100,"High Fare",L1145&gt;=100,"Very High Fare")</f>
        <v>Very High Fare</v>
      </c>
      <c r="N1145" s="2">
        <v>1</v>
      </c>
      <c r="O1145" s="2">
        <v>1</v>
      </c>
      <c r="P1145">
        <f t="shared" si="69"/>
        <v>3</v>
      </c>
      <c r="Q1145" t="str">
        <f t="shared" si="70"/>
        <v>With Family</v>
      </c>
      <c r="R1145" t="str">
        <f t="shared" si="71"/>
        <v>Yes</v>
      </c>
      <c r="S1145" t="s">
        <v>16</v>
      </c>
    </row>
    <row r="1146" spans="1:19" x14ac:dyDescent="0.3">
      <c r="A1146" s="1" t="s">
        <v>853</v>
      </c>
      <c r="B1146" t="s">
        <v>1600</v>
      </c>
      <c r="C1146" t="s">
        <v>2577</v>
      </c>
      <c r="D1146" t="str">
        <f t="shared" si="68"/>
        <v>Female</v>
      </c>
      <c r="E1146" t="s">
        <v>14</v>
      </c>
      <c r="F1146" s="2">
        <v>48</v>
      </c>
      <c r="G1146" s="2" t="str" cm="1">
        <f t="array" ref="G1146">_xlfn.IFS(F1146&lt;=8,"Child",F1146&lt;=17,"Teen",F1146&lt;=35,"Adult",F1146&lt;=55,"Seniour Adult",F1146&gt;=55,"Old Age")</f>
        <v>Seniour Adult</v>
      </c>
      <c r="H1146" t="s">
        <v>25</v>
      </c>
      <c r="I1146" t="s">
        <v>19</v>
      </c>
      <c r="J1146" t="str" cm="1">
        <f t="array" ref="J1146">_xlfn.IFS(I1146="S","Southamptom",I1146="Q","Quentown",I1146="C","Cherbrug",I1146="B","Cabin")</f>
        <v>Cherbrug</v>
      </c>
      <c r="K1146" t="s">
        <v>12</v>
      </c>
      <c r="L1146" s="2">
        <v>146.10050000000001</v>
      </c>
      <c r="M1146" s="2" t="str" cm="1">
        <f t="array" ref="M1146">_xlfn.IFS(L1146&lt;=15,"Low Fare",L1146&lt;=35,"Medium Fare",L1146&lt;=100,"High Fare",L1146&gt;=100,"Very High Fare")</f>
        <v>Very High Fare</v>
      </c>
      <c r="N1146" s="2">
        <v>1</v>
      </c>
      <c r="O1146" s="2">
        <v>0</v>
      </c>
      <c r="P1146">
        <f t="shared" si="69"/>
        <v>2</v>
      </c>
      <c r="Q1146" t="str">
        <f t="shared" si="70"/>
        <v>With Family</v>
      </c>
      <c r="R1146" t="str">
        <f t="shared" si="71"/>
        <v>Yes</v>
      </c>
      <c r="S1146" t="s">
        <v>16</v>
      </c>
    </row>
    <row r="1147" spans="1:19" x14ac:dyDescent="0.3">
      <c r="A1147" s="1" t="s">
        <v>853</v>
      </c>
      <c r="B1147" t="s">
        <v>1596</v>
      </c>
      <c r="C1147" t="s">
        <v>2578</v>
      </c>
      <c r="D1147" t="str">
        <f t="shared" si="68"/>
        <v>Male</v>
      </c>
      <c r="E1147" t="s">
        <v>9</v>
      </c>
      <c r="F1147" s="2">
        <v>57</v>
      </c>
      <c r="G1147" s="2" t="str" cm="1">
        <f t="array" ref="G1147">_xlfn.IFS(F1147&lt;=8,"Child",F1147&lt;=17,"Teen",F1147&lt;=35,"Adult",F1147&lt;=55,"Seniour Adult",F1147&gt;=55,"Old Age")</f>
        <v>Old Age</v>
      </c>
      <c r="H1147" t="s">
        <v>25</v>
      </c>
      <c r="I1147" t="s">
        <v>19</v>
      </c>
      <c r="J1147" t="str" cm="1">
        <f t="array" ref="J1147">_xlfn.IFS(I1147="S","Southamptom",I1147="Q","Quentown",I1147="C","Cherbrug",I1147="B","Cabin")</f>
        <v>Cherbrug</v>
      </c>
      <c r="K1147" t="s">
        <v>12</v>
      </c>
      <c r="L1147" s="2">
        <v>146.10050000000001</v>
      </c>
      <c r="M1147" s="2" t="str" cm="1">
        <f t="array" ref="M1147">_xlfn.IFS(L1147&lt;=15,"Low Fare",L1147&lt;=35,"Medium Fare",L1147&lt;=100,"High Fare",L1147&gt;=100,"Very High Fare")</f>
        <v>Very High Fare</v>
      </c>
      <c r="N1147" s="2">
        <v>1</v>
      </c>
      <c r="O1147" s="2">
        <v>0</v>
      </c>
      <c r="P1147">
        <f t="shared" si="69"/>
        <v>2</v>
      </c>
      <c r="Q1147" t="str">
        <f t="shared" si="70"/>
        <v>With Family</v>
      </c>
      <c r="R1147" t="str">
        <f t="shared" si="71"/>
        <v>No</v>
      </c>
      <c r="S1147" t="s">
        <v>13</v>
      </c>
    </row>
    <row r="1148" spans="1:19" x14ac:dyDescent="0.3">
      <c r="A1148" s="1" t="s">
        <v>854</v>
      </c>
      <c r="B1148" t="s">
        <v>1596</v>
      </c>
      <c r="C1148" t="s">
        <v>2579</v>
      </c>
      <c r="D1148" t="str">
        <f t="shared" si="68"/>
        <v>Male</v>
      </c>
      <c r="E1148" t="s">
        <v>9</v>
      </c>
      <c r="F1148" s="2">
        <v>31</v>
      </c>
      <c r="G1148" s="2" t="str" cm="1">
        <f t="array" ref="G1148">_xlfn.IFS(F1148&lt;=8,"Child",F1148&lt;=17,"Teen",F1148&lt;=35,"Adult",F1148&lt;=55,"Seniour Adult",F1148&gt;=55,"Old Age")</f>
        <v>Adult</v>
      </c>
      <c r="H1148" t="s">
        <v>10</v>
      </c>
      <c r="I1148" t="s">
        <v>11</v>
      </c>
      <c r="J1148" t="str" cm="1">
        <f t="array" ref="J1148">_xlfn.IFS(I1148="S","Southamptom",I1148="Q","Quentown",I1148="C","Cherbrug",I1148="B","Cabin")</f>
        <v>Southamptom</v>
      </c>
      <c r="K1148" t="s">
        <v>15</v>
      </c>
      <c r="L1148" s="2">
        <v>8.01</v>
      </c>
      <c r="M1148" s="2" t="str" cm="1">
        <f t="array" ref="M1148">_xlfn.IFS(L1148&lt;=15,"Low Fare",L1148&lt;=35,"Medium Fare",L1148&lt;=100,"High Fare",L1148&gt;=100,"Very High Fare")</f>
        <v>Low Fare</v>
      </c>
      <c r="N1148" s="2">
        <v>0</v>
      </c>
      <c r="O1148" s="2">
        <v>0</v>
      </c>
      <c r="P1148">
        <f t="shared" si="69"/>
        <v>1</v>
      </c>
      <c r="Q1148" t="str">
        <f t="shared" si="70"/>
        <v>Alone</v>
      </c>
      <c r="R1148" t="str">
        <f t="shared" si="71"/>
        <v>No</v>
      </c>
      <c r="S1148" t="s">
        <v>13</v>
      </c>
    </row>
    <row r="1149" spans="1:19" x14ac:dyDescent="0.3">
      <c r="A1149" s="1" t="s">
        <v>855</v>
      </c>
      <c r="B1149" t="s">
        <v>1749</v>
      </c>
      <c r="C1149" t="s">
        <v>2580</v>
      </c>
      <c r="D1149" t="str">
        <f t="shared" si="68"/>
        <v>Male</v>
      </c>
      <c r="E1149" t="s">
        <v>9</v>
      </c>
      <c r="F1149" s="2">
        <v>32</v>
      </c>
      <c r="G1149" s="2" t="str" cm="1">
        <f t="array" ref="G1149">_xlfn.IFS(F1149&lt;=8,"Child",F1149&lt;=17,"Teen",F1149&lt;=35,"Adult",F1149&lt;=55,"Seniour Adult",F1149&gt;=55,"Old Age")</f>
        <v>Adult</v>
      </c>
      <c r="H1149" t="s">
        <v>25</v>
      </c>
      <c r="I1149" t="s">
        <v>11</v>
      </c>
      <c r="J1149" t="str" cm="1">
        <f t="array" ref="J1149">_xlfn.IFS(I1149="S","Southamptom",I1149="Q","Quentown",I1149="C","Cherbrug",I1149="B","Cabin")</f>
        <v>Southamptom</v>
      </c>
      <c r="K1149" t="s">
        <v>32</v>
      </c>
      <c r="L1149" s="2">
        <v>30.1</v>
      </c>
      <c r="M1149" s="2" t="str" cm="1">
        <f t="array" ref="M1149">_xlfn.IFS(L1149&lt;=15,"Low Fare",L1149&lt;=35,"Medium Fare",L1149&lt;=100,"High Fare",L1149&gt;=100,"Very High Fare")</f>
        <v>Medium Fare</v>
      </c>
      <c r="N1149" s="2">
        <v>0</v>
      </c>
      <c r="O1149" s="2">
        <v>0</v>
      </c>
      <c r="P1149">
        <f t="shared" si="69"/>
        <v>1</v>
      </c>
      <c r="Q1149" t="str">
        <f t="shared" si="70"/>
        <v>Alone</v>
      </c>
      <c r="R1149" t="str">
        <f t="shared" si="71"/>
        <v>Yes</v>
      </c>
      <c r="S1149" t="s">
        <v>16</v>
      </c>
    </row>
    <row r="1150" spans="1:19" x14ac:dyDescent="0.3">
      <c r="A1150" s="1" t="s">
        <v>856</v>
      </c>
      <c r="B1150" t="s">
        <v>1596</v>
      </c>
      <c r="C1150" t="s">
        <v>1864</v>
      </c>
      <c r="D1150" t="str">
        <f t="shared" si="68"/>
        <v>Male</v>
      </c>
      <c r="E1150" t="s">
        <v>9</v>
      </c>
      <c r="F1150" s="2">
        <v>23</v>
      </c>
      <c r="G1150" s="2" t="str" cm="1">
        <f t="array" ref="G1150">_xlfn.IFS(F1150&lt;=8,"Child",F1150&lt;=17,"Teen",F1150&lt;=35,"Adult",F1150&lt;=55,"Seniour Adult",F1150&gt;=55,"Old Age")</f>
        <v>Adult</v>
      </c>
      <c r="H1150" t="s">
        <v>10</v>
      </c>
      <c r="I1150" t="s">
        <v>11</v>
      </c>
      <c r="J1150" t="str" cm="1">
        <f t="array" ref="J1150">_xlfn.IFS(I1150="S","Southamptom",I1150="Q","Quentown",I1150="C","Cherbrug",I1150="B","Cabin")</f>
        <v>Southamptom</v>
      </c>
      <c r="K1150" t="s">
        <v>31</v>
      </c>
      <c r="L1150" s="2">
        <v>7.1711</v>
      </c>
      <c r="M1150" s="2" t="str" cm="1">
        <f t="array" ref="M1150">_xlfn.IFS(L1150&lt;=15,"Low Fare",L1150&lt;=35,"Medium Fare",L1150&lt;=100,"High Fare",L1150&gt;=100,"Very High Fare")</f>
        <v>Low Fare</v>
      </c>
      <c r="N1150" s="2">
        <v>0</v>
      </c>
      <c r="O1150" s="2">
        <v>0</v>
      </c>
      <c r="P1150">
        <f t="shared" si="69"/>
        <v>1</v>
      </c>
      <c r="Q1150" t="str">
        <f t="shared" si="70"/>
        <v>Alone</v>
      </c>
      <c r="R1150" t="str">
        <f t="shared" si="71"/>
        <v>No</v>
      </c>
      <c r="S1150" t="s">
        <v>13</v>
      </c>
    </row>
    <row r="1151" spans="1:19" x14ac:dyDescent="0.3">
      <c r="A1151" s="1" t="s">
        <v>857</v>
      </c>
      <c r="B1151" t="s">
        <v>1596</v>
      </c>
      <c r="C1151" t="s">
        <v>1864</v>
      </c>
      <c r="D1151" t="str">
        <f t="shared" si="68"/>
        <v>Male</v>
      </c>
      <c r="E1151" t="s">
        <v>9</v>
      </c>
      <c r="F1151" s="2">
        <v>33</v>
      </c>
      <c r="G1151" s="2" t="str" cm="1">
        <f t="array" ref="G1151">_xlfn.IFS(F1151&lt;=8,"Child",F1151&lt;=17,"Teen",F1151&lt;=35,"Adult",F1151&lt;=55,"Seniour Adult",F1151&gt;=55,"Old Age")</f>
        <v>Adult</v>
      </c>
      <c r="H1151" t="s">
        <v>10</v>
      </c>
      <c r="I1151" t="s">
        <v>19</v>
      </c>
      <c r="J1151" t="str" cm="1">
        <f t="array" ref="J1151">_xlfn.IFS(I1151="S","Southamptom",I1151="Q","Quentown",I1151="C","Cherbrug",I1151="B","Cabin")</f>
        <v>Cherbrug</v>
      </c>
      <c r="K1151" t="s">
        <v>65</v>
      </c>
      <c r="L1151" s="2">
        <v>8.1309000000000005</v>
      </c>
      <c r="M1151" s="2" t="str" cm="1">
        <f t="array" ref="M1151">_xlfn.IFS(L1151&lt;=15,"Low Fare",L1151&lt;=35,"Medium Fare",L1151&lt;=100,"High Fare",L1151&gt;=100,"Very High Fare")</f>
        <v>Low Fare</v>
      </c>
      <c r="N1151" s="2">
        <v>0</v>
      </c>
      <c r="O1151" s="2">
        <v>0</v>
      </c>
      <c r="P1151">
        <f t="shared" si="69"/>
        <v>1</v>
      </c>
      <c r="Q1151" t="str">
        <f t="shared" si="70"/>
        <v>Alone</v>
      </c>
      <c r="R1151" t="str">
        <f t="shared" si="71"/>
        <v>No</v>
      </c>
      <c r="S1151" t="s">
        <v>13</v>
      </c>
    </row>
    <row r="1152" spans="1:19" x14ac:dyDescent="0.3">
      <c r="A1152" s="1" t="s">
        <v>858</v>
      </c>
      <c r="B1152" t="s">
        <v>1602</v>
      </c>
      <c r="C1152" t="s">
        <v>2581</v>
      </c>
      <c r="D1152" t="str">
        <f t="shared" si="68"/>
        <v>Female</v>
      </c>
      <c r="E1152" t="s">
        <v>14</v>
      </c>
      <c r="F1152" s="2">
        <v>24</v>
      </c>
      <c r="G1152" s="2" t="str" cm="1">
        <f t="array" ref="G1152">_xlfn.IFS(F1152&lt;=8,"Child",F1152&lt;=17,"Teen",F1152&lt;=35,"Adult",F1152&lt;=55,"Seniour Adult",F1152&gt;=55,"Old Age")</f>
        <v>Adult</v>
      </c>
      <c r="H1152" t="s">
        <v>10</v>
      </c>
      <c r="I1152" t="s">
        <v>11</v>
      </c>
      <c r="J1152" t="str" cm="1">
        <f t="array" ref="J1152">_xlfn.IFS(I1152="S","Southamptom",I1152="Q","Quentown",I1152="C","Cherbrug",I1152="B","Cabin")</f>
        <v>Southamptom</v>
      </c>
      <c r="K1152" t="s">
        <v>15</v>
      </c>
      <c r="L1152" s="2">
        <v>7.11</v>
      </c>
      <c r="M1152" s="2" t="str" cm="1">
        <f t="array" ref="M1152">_xlfn.IFS(L1152&lt;=15,"Low Fare",L1152&lt;=35,"Medium Fare",L1152&lt;=100,"High Fare",L1152&gt;=100,"Very High Fare")</f>
        <v>Low Fare</v>
      </c>
      <c r="N1152" s="2">
        <v>0</v>
      </c>
      <c r="O1152" s="2">
        <v>0</v>
      </c>
      <c r="P1152">
        <f t="shared" si="69"/>
        <v>1</v>
      </c>
      <c r="Q1152" t="str">
        <f t="shared" si="70"/>
        <v>Alone</v>
      </c>
      <c r="R1152" t="str">
        <f t="shared" si="71"/>
        <v>Yes</v>
      </c>
      <c r="S1152" t="s">
        <v>16</v>
      </c>
    </row>
    <row r="1153" spans="1:19" x14ac:dyDescent="0.3">
      <c r="A1153" s="1" t="s">
        <v>858</v>
      </c>
      <c r="B1153" t="s">
        <v>1596</v>
      </c>
      <c r="C1153" t="s">
        <v>2582</v>
      </c>
      <c r="D1153" t="str">
        <f t="shared" si="68"/>
        <v>Male</v>
      </c>
      <c r="E1153" t="s">
        <v>9</v>
      </c>
      <c r="F1153" s="2">
        <v>22</v>
      </c>
      <c r="G1153" s="2" t="str" cm="1">
        <f t="array" ref="G1153">_xlfn.IFS(F1153&lt;=8,"Child",F1153&lt;=17,"Teen",F1153&lt;=35,"Adult",F1153&lt;=55,"Seniour Adult",F1153&gt;=55,"Old Age")</f>
        <v>Adult</v>
      </c>
      <c r="H1153" t="s">
        <v>10</v>
      </c>
      <c r="I1153" t="s">
        <v>11</v>
      </c>
      <c r="J1153" t="str" cm="1">
        <f t="array" ref="J1153">_xlfn.IFS(I1153="S","Southamptom",I1153="Q","Quentown",I1153="C","Cherbrug",I1153="B","Cabin")</f>
        <v>Southamptom</v>
      </c>
      <c r="K1153" t="s">
        <v>15</v>
      </c>
      <c r="L1153" s="2">
        <v>8.01</v>
      </c>
      <c r="M1153" s="2" t="str" cm="1">
        <f t="array" ref="M1153">_xlfn.IFS(L1153&lt;=15,"Low Fare",L1153&lt;=35,"Medium Fare",L1153&lt;=100,"High Fare",L1153&gt;=100,"Very High Fare")</f>
        <v>Low Fare</v>
      </c>
      <c r="N1153" s="2">
        <v>0</v>
      </c>
      <c r="O1153" s="2">
        <v>0</v>
      </c>
      <c r="P1153">
        <f t="shared" si="69"/>
        <v>1</v>
      </c>
      <c r="Q1153" t="str">
        <f t="shared" si="70"/>
        <v>Alone</v>
      </c>
      <c r="R1153" t="str">
        <f t="shared" si="71"/>
        <v>No</v>
      </c>
      <c r="S1153" t="s">
        <v>13</v>
      </c>
    </row>
    <row r="1154" spans="1:19" x14ac:dyDescent="0.3">
      <c r="A1154" s="1" t="s">
        <v>859</v>
      </c>
      <c r="B1154" t="s">
        <v>1596</v>
      </c>
      <c r="C1154" t="s">
        <v>2583</v>
      </c>
      <c r="D1154" t="str">
        <f t="shared" si="68"/>
        <v>Male</v>
      </c>
      <c r="E1154" t="s">
        <v>9</v>
      </c>
      <c r="F1154" s="2">
        <v>42</v>
      </c>
      <c r="G1154" s="2" t="str" cm="1">
        <f t="array" ref="G1154">_xlfn.IFS(F1154&lt;=8,"Child",F1154&lt;=17,"Teen",F1154&lt;=35,"Adult",F1154&lt;=55,"Seniour Adult",F1154&gt;=55,"Old Age")</f>
        <v>Seniour Adult</v>
      </c>
      <c r="H1154" t="s">
        <v>18</v>
      </c>
      <c r="I1154" t="s">
        <v>19</v>
      </c>
      <c r="J1154" t="str" cm="1">
        <f t="array" ref="J1154">_xlfn.IFS(I1154="S","Southamptom",I1154="Q","Quentown",I1154="C","Cherbrug",I1154="B","Cabin")</f>
        <v>Cherbrug</v>
      </c>
      <c r="K1154" t="s">
        <v>12</v>
      </c>
      <c r="L1154" s="2">
        <v>15</v>
      </c>
      <c r="M1154" s="2" t="str" cm="1">
        <f t="array" ref="M1154">_xlfn.IFS(L1154&lt;=15,"Low Fare",L1154&lt;=35,"Medium Fare",L1154&lt;=100,"High Fare",L1154&gt;=100,"Very High Fare")</f>
        <v>Low Fare</v>
      </c>
      <c r="N1154" s="2">
        <v>0</v>
      </c>
      <c r="O1154" s="2">
        <v>0</v>
      </c>
      <c r="P1154">
        <f t="shared" si="69"/>
        <v>1</v>
      </c>
      <c r="Q1154" t="str">
        <f t="shared" si="70"/>
        <v>Alone</v>
      </c>
      <c r="R1154" t="str">
        <f t="shared" si="71"/>
        <v>No</v>
      </c>
      <c r="S1154" t="s">
        <v>13</v>
      </c>
    </row>
    <row r="1155" spans="1:19" x14ac:dyDescent="0.3">
      <c r="A1155" s="1" t="s">
        <v>860</v>
      </c>
      <c r="B1155" t="s">
        <v>1596</v>
      </c>
      <c r="C1155" t="s">
        <v>1704</v>
      </c>
      <c r="D1155" t="str">
        <f t="shared" ref="D1155:D1218" si="72">PROPER(E1155)</f>
        <v>Male</v>
      </c>
      <c r="E1155" t="s">
        <v>9</v>
      </c>
      <c r="F1155" s="2">
        <v>62</v>
      </c>
      <c r="G1155" s="2" t="str" cm="1">
        <f t="array" ref="G1155">_xlfn.IFS(F1155&lt;=8,"Child",F1155&lt;=17,"Teen",F1155&lt;=35,"Adult",F1155&lt;=55,"Seniour Adult",F1155&gt;=55,"Old Age")</f>
        <v>Old Age</v>
      </c>
      <c r="H1155" t="s">
        <v>25</v>
      </c>
      <c r="I1155" t="s">
        <v>11</v>
      </c>
      <c r="J1155" t="str" cm="1">
        <f t="array" ref="J1155">_xlfn.IFS(I1155="S","Southamptom",I1155="Q","Quentown",I1155="C","Cherbrug",I1155="B","Cabin")</f>
        <v>Southamptom</v>
      </c>
      <c r="K1155" t="s">
        <v>15</v>
      </c>
      <c r="L1155" s="2">
        <v>26.11</v>
      </c>
      <c r="M1155" s="2" t="str" cm="1">
        <f t="array" ref="M1155">_xlfn.IFS(L1155&lt;=15,"Low Fare",L1155&lt;=35,"Medium Fare",L1155&lt;=100,"High Fare",L1155&gt;=100,"Very High Fare")</f>
        <v>Medium Fare</v>
      </c>
      <c r="N1155" s="2">
        <v>0</v>
      </c>
      <c r="O1155" s="2">
        <v>0</v>
      </c>
      <c r="P1155">
        <f t="shared" ref="P1155:P1218" si="73">N1155+O1155+1</f>
        <v>1</v>
      </c>
      <c r="Q1155" t="str">
        <f t="shared" ref="Q1155:Q1218" si="74">IF(P1155=1,"Alone","With Family")</f>
        <v>Alone</v>
      </c>
      <c r="R1155" t="str">
        <f t="shared" ref="R1155:R1218" si="75">PROPER(S1155)</f>
        <v>No</v>
      </c>
      <c r="S1155" t="s">
        <v>13</v>
      </c>
    </row>
    <row r="1156" spans="1:19" x14ac:dyDescent="0.3">
      <c r="A1156" s="1" t="s">
        <v>861</v>
      </c>
      <c r="B1156" t="s">
        <v>1596</v>
      </c>
      <c r="C1156" t="s">
        <v>2584</v>
      </c>
      <c r="D1156" t="str">
        <f t="shared" si="72"/>
        <v>Male</v>
      </c>
      <c r="E1156" t="s">
        <v>9</v>
      </c>
      <c r="F1156" s="2">
        <v>54</v>
      </c>
      <c r="G1156" s="2" t="str" cm="1">
        <f t="array" ref="G1156">_xlfn.IFS(F1156&lt;=8,"Child",F1156&lt;=17,"Teen",F1156&lt;=35,"Adult",F1156&lt;=55,"Seniour Adult",F1156&gt;=55,"Old Age")</f>
        <v>Seniour Adult</v>
      </c>
      <c r="H1156" t="s">
        <v>25</v>
      </c>
      <c r="I1156" t="s">
        <v>19</v>
      </c>
      <c r="J1156" t="str" cm="1">
        <f t="array" ref="J1156">_xlfn.IFS(I1156="S","Southamptom",I1156="Q","Quentown",I1156="C","Cherbrug",I1156="B","Cabin")</f>
        <v>Cherbrug</v>
      </c>
      <c r="K1156" t="s">
        <v>12</v>
      </c>
      <c r="L1156" s="2">
        <v>55.081000000000003</v>
      </c>
      <c r="M1156" s="2" t="str" cm="1">
        <f t="array" ref="M1156">_xlfn.IFS(L1156&lt;=15,"Low Fare",L1156&lt;=35,"Medium Fare",L1156&lt;=100,"High Fare",L1156&gt;=100,"Very High Fare")</f>
        <v>High Fare</v>
      </c>
      <c r="N1156" s="2">
        <v>1</v>
      </c>
      <c r="O1156" s="2">
        <v>0</v>
      </c>
      <c r="P1156">
        <f t="shared" si="73"/>
        <v>2</v>
      </c>
      <c r="Q1156" t="str">
        <f t="shared" si="74"/>
        <v>With Family</v>
      </c>
      <c r="R1156" t="str">
        <f t="shared" si="75"/>
        <v>Yes</v>
      </c>
      <c r="S1156" t="s">
        <v>16</v>
      </c>
    </row>
    <row r="1157" spans="1:19" x14ac:dyDescent="0.3">
      <c r="A1157" s="1" t="s">
        <v>861</v>
      </c>
      <c r="B1157" t="s">
        <v>1600</v>
      </c>
      <c r="C1157" t="s">
        <v>2585</v>
      </c>
      <c r="D1157" t="str">
        <f t="shared" si="72"/>
        <v>Female</v>
      </c>
      <c r="E1157" t="s">
        <v>14</v>
      </c>
      <c r="F1157" s="2">
        <v>43</v>
      </c>
      <c r="G1157" s="2" t="str" cm="1">
        <f t="array" ref="G1157">_xlfn.IFS(F1157&lt;=8,"Child",F1157&lt;=17,"Teen",F1157&lt;=35,"Adult",F1157&lt;=55,"Seniour Adult",F1157&gt;=55,"Old Age")</f>
        <v>Seniour Adult</v>
      </c>
      <c r="H1157" t="s">
        <v>25</v>
      </c>
      <c r="I1157" t="s">
        <v>19</v>
      </c>
      <c r="J1157" t="str" cm="1">
        <f t="array" ref="J1157">_xlfn.IFS(I1157="S","Southamptom",I1157="Q","Quentown",I1157="C","Cherbrug",I1157="B","Cabin")</f>
        <v>Cherbrug</v>
      </c>
      <c r="K1157" t="s">
        <v>37</v>
      </c>
      <c r="L1157" s="2">
        <v>55.081000000000003</v>
      </c>
      <c r="M1157" s="2" t="str" cm="1">
        <f t="array" ref="M1157">_xlfn.IFS(L1157&lt;=15,"Low Fare",L1157&lt;=35,"Medium Fare",L1157&lt;=100,"High Fare",L1157&gt;=100,"Very High Fare")</f>
        <v>High Fare</v>
      </c>
      <c r="N1157" s="2">
        <v>1</v>
      </c>
      <c r="O1157" s="2">
        <v>0</v>
      </c>
      <c r="P1157">
        <f t="shared" si="73"/>
        <v>2</v>
      </c>
      <c r="Q1157" t="str">
        <f t="shared" si="74"/>
        <v>With Family</v>
      </c>
      <c r="R1157" t="str">
        <f t="shared" si="75"/>
        <v>Yes</v>
      </c>
      <c r="S1157" t="s">
        <v>16</v>
      </c>
    </row>
    <row r="1158" spans="1:19" x14ac:dyDescent="0.3">
      <c r="A1158" s="1" t="s">
        <v>862</v>
      </c>
      <c r="B1158" t="s">
        <v>1600</v>
      </c>
      <c r="C1158" t="s">
        <v>2586</v>
      </c>
      <c r="D1158" t="str">
        <f t="shared" si="72"/>
        <v>Female</v>
      </c>
      <c r="E1158" t="s">
        <v>14</v>
      </c>
      <c r="F1158" s="2">
        <v>52</v>
      </c>
      <c r="G1158" s="2" t="str" cm="1">
        <f t="array" ref="G1158">_xlfn.IFS(F1158&lt;=8,"Child",F1158&lt;=17,"Teen",F1158&lt;=35,"Adult",F1158&lt;=55,"Seniour Adult",F1158&gt;=55,"Old Age")</f>
        <v>Seniour Adult</v>
      </c>
      <c r="H1158" t="s">
        <v>25</v>
      </c>
      <c r="I1158" t="s">
        <v>19</v>
      </c>
      <c r="J1158" t="str" cm="1">
        <f t="array" ref="J1158">_xlfn.IFS(I1158="S","Southamptom",I1158="Q","Quentown",I1158="C","Cherbrug",I1158="B","Cabin")</f>
        <v>Cherbrug</v>
      </c>
      <c r="K1158" t="s">
        <v>12</v>
      </c>
      <c r="L1158" s="2">
        <v>78.050399999999996</v>
      </c>
      <c r="M1158" s="2" t="str" cm="1">
        <f t="array" ref="M1158">_xlfn.IFS(L1158&lt;=15,"Low Fare",L1158&lt;=35,"Medium Fare",L1158&lt;=100,"High Fare",L1158&gt;=100,"Very High Fare")</f>
        <v>High Fare</v>
      </c>
      <c r="N1158" s="2">
        <v>1</v>
      </c>
      <c r="O1158" s="2">
        <v>0</v>
      </c>
      <c r="P1158">
        <f t="shared" si="73"/>
        <v>2</v>
      </c>
      <c r="Q1158" t="str">
        <f t="shared" si="74"/>
        <v>With Family</v>
      </c>
      <c r="R1158" t="str">
        <f t="shared" si="75"/>
        <v>Yes</v>
      </c>
      <c r="S1158" t="s">
        <v>16</v>
      </c>
    </row>
    <row r="1159" spans="1:19" x14ac:dyDescent="0.3">
      <c r="A1159" s="1" t="s">
        <v>863</v>
      </c>
      <c r="B1159" t="s">
        <v>1596</v>
      </c>
      <c r="C1159" t="s">
        <v>2587</v>
      </c>
      <c r="D1159" t="str">
        <f t="shared" si="72"/>
        <v>Male</v>
      </c>
      <c r="E1159" t="s">
        <v>9</v>
      </c>
      <c r="F1159" s="2">
        <v>64</v>
      </c>
      <c r="G1159" s="2" t="str" cm="1">
        <f t="array" ref="G1159">_xlfn.IFS(F1159&lt;=8,"Child",F1159&lt;=17,"Teen",F1159&lt;=35,"Adult",F1159&lt;=55,"Seniour Adult",F1159&gt;=55,"Old Age")</f>
        <v>Old Age</v>
      </c>
      <c r="H1159" t="s">
        <v>25</v>
      </c>
      <c r="I1159" t="s">
        <v>19</v>
      </c>
      <c r="J1159" t="str" cm="1">
        <f t="array" ref="J1159">_xlfn.IFS(I1159="S","Southamptom",I1159="Q","Quentown",I1159="C","Cherbrug",I1159="B","Cabin")</f>
        <v>Cherbrug</v>
      </c>
      <c r="K1159" t="s">
        <v>12</v>
      </c>
      <c r="L1159" s="2">
        <v>27.140499999999999</v>
      </c>
      <c r="M1159" s="2" t="str" cm="1">
        <f t="array" ref="M1159">_xlfn.IFS(L1159&lt;=15,"Low Fare",L1159&lt;=35,"Medium Fare",L1159&lt;=100,"High Fare",L1159&gt;=100,"Very High Fare")</f>
        <v>Medium Fare</v>
      </c>
      <c r="N1159" s="2">
        <v>0</v>
      </c>
      <c r="O1159" s="2">
        <v>0</v>
      </c>
      <c r="P1159">
        <f t="shared" si="73"/>
        <v>1</v>
      </c>
      <c r="Q1159" t="str">
        <f t="shared" si="74"/>
        <v>Alone</v>
      </c>
      <c r="R1159" t="str">
        <f t="shared" si="75"/>
        <v>No</v>
      </c>
      <c r="S1159" t="s">
        <v>13</v>
      </c>
    </row>
    <row r="1160" spans="1:19" x14ac:dyDescent="0.3">
      <c r="A1160" s="1" t="s">
        <v>864</v>
      </c>
      <c r="B1160" t="s">
        <v>1596</v>
      </c>
      <c r="C1160" t="s">
        <v>2588</v>
      </c>
      <c r="D1160" t="str">
        <f t="shared" si="72"/>
        <v>Male</v>
      </c>
      <c r="E1160" t="s">
        <v>9</v>
      </c>
      <c r="F1160" s="2">
        <v>24</v>
      </c>
      <c r="G1160" s="2" t="str" cm="1">
        <f t="array" ref="G1160">_xlfn.IFS(F1160&lt;=8,"Child",F1160&lt;=17,"Teen",F1160&lt;=35,"Adult",F1160&lt;=55,"Seniour Adult",F1160&gt;=55,"Old Age")</f>
        <v>Adult</v>
      </c>
      <c r="H1160" t="s">
        <v>18</v>
      </c>
      <c r="I1160" t="s">
        <v>11</v>
      </c>
      <c r="J1160" t="str" cm="1">
        <f t="array" ref="J1160">_xlfn.IFS(I1160="S","Southamptom",I1160="Q","Quentown",I1160="C","Cherbrug",I1160="B","Cabin")</f>
        <v>Southamptom</v>
      </c>
      <c r="K1160" t="s">
        <v>15</v>
      </c>
      <c r="L1160" s="2">
        <v>10.1</v>
      </c>
      <c r="M1160" s="2" t="str" cm="1">
        <f t="array" ref="M1160">_xlfn.IFS(L1160&lt;=15,"Low Fare",L1160&lt;=35,"Medium Fare",L1160&lt;=100,"High Fare",L1160&gt;=100,"Very High Fare")</f>
        <v>Low Fare</v>
      </c>
      <c r="N1160" s="2">
        <v>0</v>
      </c>
      <c r="O1160" s="2">
        <v>0</v>
      </c>
      <c r="P1160">
        <f t="shared" si="73"/>
        <v>1</v>
      </c>
      <c r="Q1160" t="str">
        <f t="shared" si="74"/>
        <v>Alone</v>
      </c>
      <c r="R1160" t="str">
        <f t="shared" si="75"/>
        <v>No</v>
      </c>
      <c r="S1160" t="s">
        <v>13</v>
      </c>
    </row>
    <row r="1161" spans="1:19" x14ac:dyDescent="0.3">
      <c r="A1161" s="1" t="s">
        <v>865</v>
      </c>
      <c r="B1161" t="s">
        <v>1600</v>
      </c>
      <c r="C1161" t="s">
        <v>2589</v>
      </c>
      <c r="D1161" t="str">
        <f t="shared" si="72"/>
        <v>Female</v>
      </c>
      <c r="E1161" t="s">
        <v>14</v>
      </c>
      <c r="F1161" s="2">
        <v>61</v>
      </c>
      <c r="G1161" s="2" t="str" cm="1">
        <f t="array" ref="G1161">_xlfn.IFS(F1161&lt;=8,"Child",F1161&lt;=17,"Teen",F1161&lt;=35,"Adult",F1161&lt;=55,"Seniour Adult",F1161&gt;=55,"Old Age")</f>
        <v>Old Age</v>
      </c>
      <c r="H1161" t="s">
        <v>25</v>
      </c>
      <c r="I1161" t="s">
        <v>11</v>
      </c>
      <c r="J1161" t="str" cm="1">
        <f t="array" ref="J1161">_xlfn.IFS(I1161="S","Southamptom",I1161="Q","Quentown",I1161="C","Cherbrug",I1161="B","Cabin")</f>
        <v>Southamptom</v>
      </c>
      <c r="K1161" t="s">
        <v>12</v>
      </c>
      <c r="L1161" s="2">
        <v>80</v>
      </c>
      <c r="M1161" s="2" t="str" cm="1">
        <f t="array" ref="M1161">_xlfn.IFS(L1161&lt;=15,"Low Fare",L1161&lt;=35,"Medium Fare",L1161&lt;=100,"High Fare",L1161&gt;=100,"Very High Fare")</f>
        <v>High Fare</v>
      </c>
      <c r="N1161" s="2">
        <v>0</v>
      </c>
      <c r="O1161" s="2">
        <v>0</v>
      </c>
      <c r="P1161">
        <f t="shared" si="73"/>
        <v>1</v>
      </c>
      <c r="Q1161" t="str">
        <f t="shared" si="74"/>
        <v>Alone</v>
      </c>
      <c r="R1161" t="str">
        <f t="shared" si="75"/>
        <v>Yes</v>
      </c>
      <c r="S1161" t="s">
        <v>16</v>
      </c>
    </row>
    <row r="1162" spans="1:19" x14ac:dyDescent="0.3">
      <c r="A1162" s="1" t="s">
        <v>866</v>
      </c>
      <c r="B1162" t="s">
        <v>1596</v>
      </c>
      <c r="C1162" t="s">
        <v>1645</v>
      </c>
      <c r="D1162" t="str">
        <f t="shared" si="72"/>
        <v>Male</v>
      </c>
      <c r="E1162" t="s">
        <v>9</v>
      </c>
      <c r="F1162" s="2">
        <v>59</v>
      </c>
      <c r="G1162" s="2" t="str" cm="1">
        <f t="array" ref="G1162">_xlfn.IFS(F1162&lt;=8,"Child",F1162&lt;=17,"Teen",F1162&lt;=35,"Adult",F1162&lt;=55,"Seniour Adult",F1162&gt;=55,"Old Age")</f>
        <v>Old Age</v>
      </c>
      <c r="H1162" t="s">
        <v>10</v>
      </c>
      <c r="I1162" t="s">
        <v>11</v>
      </c>
      <c r="J1162" t="str" cm="1">
        <f t="array" ref="J1162">_xlfn.IFS(I1162="S","Southamptom",I1162="Q","Quentown",I1162="C","Cherbrug",I1162="B","Cabin")</f>
        <v>Southamptom</v>
      </c>
      <c r="K1162" t="s">
        <v>15</v>
      </c>
      <c r="L1162" s="2">
        <v>33</v>
      </c>
      <c r="M1162" s="2" t="str" cm="1">
        <f t="array" ref="M1162">_xlfn.IFS(L1162&lt;=15,"Low Fare",L1162&lt;=35,"Medium Fare",L1162&lt;=100,"High Fare",L1162&gt;=100,"Very High Fare")</f>
        <v>Medium Fare</v>
      </c>
      <c r="N1162" s="2">
        <v>0</v>
      </c>
      <c r="O1162" s="2">
        <v>0</v>
      </c>
      <c r="P1162">
        <f t="shared" si="73"/>
        <v>1</v>
      </c>
      <c r="Q1162" t="str">
        <f t="shared" si="74"/>
        <v>Alone</v>
      </c>
      <c r="R1162" t="str">
        <f t="shared" si="75"/>
        <v>No</v>
      </c>
      <c r="S1162" t="s">
        <v>13</v>
      </c>
    </row>
    <row r="1163" spans="1:19" x14ac:dyDescent="0.3">
      <c r="A1163" s="1" t="s">
        <v>867</v>
      </c>
      <c r="B1163" t="s">
        <v>1596</v>
      </c>
      <c r="C1163" t="s">
        <v>2590</v>
      </c>
      <c r="D1163" t="str">
        <f t="shared" si="72"/>
        <v>Male</v>
      </c>
      <c r="E1163" t="s">
        <v>9</v>
      </c>
      <c r="F1163" s="2">
        <v>19</v>
      </c>
      <c r="G1163" s="2" t="str" cm="1">
        <f t="array" ref="G1163">_xlfn.IFS(F1163&lt;=8,"Child",F1163&lt;=17,"Teen",F1163&lt;=35,"Adult",F1163&lt;=55,"Seniour Adult",F1163&gt;=55,"Old Age")</f>
        <v>Adult</v>
      </c>
      <c r="H1163" t="s">
        <v>10</v>
      </c>
      <c r="I1163" t="s">
        <v>11</v>
      </c>
      <c r="J1163" t="str" cm="1">
        <f t="array" ref="J1163">_xlfn.IFS(I1163="S","Southamptom",I1163="Q","Quentown",I1163="C","Cherbrug",I1163="B","Cabin")</f>
        <v>Southamptom</v>
      </c>
      <c r="K1163" t="s">
        <v>31</v>
      </c>
      <c r="L1163" s="2">
        <v>7.1711</v>
      </c>
      <c r="M1163" s="2" t="str" cm="1">
        <f t="array" ref="M1163">_xlfn.IFS(L1163&lt;=15,"Low Fare",L1163&lt;=35,"Medium Fare",L1163&lt;=100,"High Fare",L1163&gt;=100,"Very High Fare")</f>
        <v>Low Fare</v>
      </c>
      <c r="N1163" s="2">
        <v>0</v>
      </c>
      <c r="O1163" s="2">
        <v>0</v>
      </c>
      <c r="P1163">
        <f t="shared" si="73"/>
        <v>1</v>
      </c>
      <c r="Q1163" t="str">
        <f t="shared" si="74"/>
        <v>Alone</v>
      </c>
      <c r="R1163" t="str">
        <f t="shared" si="75"/>
        <v>No</v>
      </c>
      <c r="S1163" t="s">
        <v>13</v>
      </c>
    </row>
    <row r="1164" spans="1:19" x14ac:dyDescent="0.3">
      <c r="A1164" s="1" t="s">
        <v>868</v>
      </c>
      <c r="B1164" t="s">
        <v>1602</v>
      </c>
      <c r="C1164" t="s">
        <v>2591</v>
      </c>
      <c r="D1164" t="str">
        <f t="shared" si="72"/>
        <v>Female</v>
      </c>
      <c r="E1164" t="s">
        <v>14</v>
      </c>
      <c r="F1164" s="2">
        <v>22</v>
      </c>
      <c r="G1164" s="2" t="str" cm="1">
        <f t="array" ref="G1164">_xlfn.IFS(F1164&lt;=8,"Child",F1164&lt;=17,"Teen",F1164&lt;=35,"Adult",F1164&lt;=55,"Seniour Adult",F1164&gt;=55,"Old Age")</f>
        <v>Adult</v>
      </c>
      <c r="H1164" t="s">
        <v>10</v>
      </c>
      <c r="I1164" t="s">
        <v>11</v>
      </c>
      <c r="J1164" t="str" cm="1">
        <f t="array" ref="J1164">_xlfn.IFS(I1164="S","Southamptom",I1164="Q","Quentown",I1164="C","Cherbrug",I1164="B","Cabin")</f>
        <v>Southamptom</v>
      </c>
      <c r="K1164" t="s">
        <v>22</v>
      </c>
      <c r="L1164" s="2">
        <v>9.1608999999999998</v>
      </c>
      <c r="M1164" s="2" t="str" cm="1">
        <f t="array" ref="M1164">_xlfn.IFS(L1164&lt;=15,"Low Fare",L1164&lt;=35,"Medium Fare",L1164&lt;=100,"High Fare",L1164&gt;=100,"Very High Fare")</f>
        <v>Low Fare</v>
      </c>
      <c r="N1164" s="2">
        <v>0</v>
      </c>
      <c r="O1164" s="2">
        <v>0</v>
      </c>
      <c r="P1164">
        <f t="shared" si="73"/>
        <v>1</v>
      </c>
      <c r="Q1164" t="str">
        <f t="shared" si="74"/>
        <v>Alone</v>
      </c>
      <c r="R1164" t="str">
        <f t="shared" si="75"/>
        <v>No</v>
      </c>
      <c r="S1164" t="s">
        <v>13</v>
      </c>
    </row>
    <row r="1165" spans="1:19" x14ac:dyDescent="0.3">
      <c r="A1165" s="1" t="s">
        <v>869</v>
      </c>
      <c r="B1165" t="s">
        <v>1596</v>
      </c>
      <c r="C1165" t="s">
        <v>2592</v>
      </c>
      <c r="D1165" t="str">
        <f t="shared" si="72"/>
        <v>Male</v>
      </c>
      <c r="E1165" t="s">
        <v>9</v>
      </c>
      <c r="F1165" s="2">
        <v>30</v>
      </c>
      <c r="G1165" s="2" t="str" cm="1">
        <f t="array" ref="G1165">_xlfn.IFS(F1165&lt;=8,"Child",F1165&lt;=17,"Teen",F1165&lt;=35,"Adult",F1165&lt;=55,"Seniour Adult",F1165&gt;=55,"Old Age")</f>
        <v>Adult</v>
      </c>
      <c r="H1165" t="s">
        <v>10</v>
      </c>
      <c r="I1165" t="s">
        <v>11</v>
      </c>
      <c r="J1165" t="str" cm="1">
        <f t="array" ref="J1165">_xlfn.IFS(I1165="S","Southamptom",I1165="Q","Quentown",I1165="C","Cherbrug",I1165="B","Cabin")</f>
        <v>Southamptom</v>
      </c>
      <c r="K1165" t="s">
        <v>22</v>
      </c>
      <c r="L1165" s="2">
        <v>7.1806000000000001</v>
      </c>
      <c r="M1165" s="2" t="str" cm="1">
        <f t="array" ref="M1165">_xlfn.IFS(L1165&lt;=15,"Low Fare",L1165&lt;=35,"Medium Fare",L1165&lt;=100,"High Fare",L1165&gt;=100,"Very High Fare")</f>
        <v>Low Fare</v>
      </c>
      <c r="N1165" s="2">
        <v>0</v>
      </c>
      <c r="O1165" s="2">
        <v>0</v>
      </c>
      <c r="P1165">
        <f t="shared" si="73"/>
        <v>1</v>
      </c>
      <c r="Q1165" t="str">
        <f t="shared" si="74"/>
        <v>Alone</v>
      </c>
      <c r="R1165" t="str">
        <f t="shared" si="75"/>
        <v>Yes</v>
      </c>
      <c r="S1165" t="s">
        <v>16</v>
      </c>
    </row>
    <row r="1166" spans="1:19" x14ac:dyDescent="0.3">
      <c r="A1166" s="1" t="s">
        <v>870</v>
      </c>
      <c r="B1166" t="s">
        <v>1596</v>
      </c>
      <c r="C1166" t="s">
        <v>2593</v>
      </c>
      <c r="D1166" t="str">
        <f t="shared" si="72"/>
        <v>Male</v>
      </c>
      <c r="E1166" t="s">
        <v>9</v>
      </c>
      <c r="F1166" s="2">
        <v>67</v>
      </c>
      <c r="G1166" s="2" t="str" cm="1">
        <f t="array" ref="G1166">_xlfn.IFS(F1166&lt;=8,"Child",F1166&lt;=17,"Teen",F1166&lt;=35,"Adult",F1166&lt;=55,"Seniour Adult",F1166&gt;=55,"Old Age")</f>
        <v>Old Age</v>
      </c>
      <c r="H1166" t="s">
        <v>25</v>
      </c>
      <c r="I1166" t="s">
        <v>11</v>
      </c>
      <c r="J1166" t="str" cm="1">
        <f t="array" ref="J1166">_xlfn.IFS(I1166="S","Southamptom",I1166="Q","Quentown",I1166="C","Cherbrug",I1166="B","Cabin")</f>
        <v>Southamptom</v>
      </c>
      <c r="K1166" t="s">
        <v>12</v>
      </c>
      <c r="L1166" s="2">
        <v>221.1507</v>
      </c>
      <c r="M1166" s="2" t="str" cm="1">
        <f t="array" ref="M1166">_xlfn.IFS(L1166&lt;=15,"Low Fare",L1166&lt;=35,"Medium Fare",L1166&lt;=100,"High Fare",L1166&gt;=100,"Very High Fare")</f>
        <v>Very High Fare</v>
      </c>
      <c r="N1166" s="2">
        <v>1</v>
      </c>
      <c r="O1166" s="2">
        <v>0</v>
      </c>
      <c r="P1166">
        <f t="shared" si="73"/>
        <v>2</v>
      </c>
      <c r="Q1166" t="str">
        <f t="shared" si="74"/>
        <v>With Family</v>
      </c>
      <c r="R1166" t="str">
        <f t="shared" si="75"/>
        <v>No</v>
      </c>
      <c r="S1166" t="s">
        <v>13</v>
      </c>
    </row>
    <row r="1167" spans="1:19" x14ac:dyDescent="0.3">
      <c r="A1167" s="1" t="s">
        <v>870</v>
      </c>
      <c r="B1167" t="s">
        <v>1600</v>
      </c>
      <c r="C1167" t="s">
        <v>2594</v>
      </c>
      <c r="D1167" t="str">
        <f t="shared" si="72"/>
        <v>Female</v>
      </c>
      <c r="E1167" t="s">
        <v>14</v>
      </c>
      <c r="F1167" s="2">
        <v>63</v>
      </c>
      <c r="G1167" s="2" t="str" cm="1">
        <f t="array" ref="G1167">_xlfn.IFS(F1167&lt;=8,"Child",F1167&lt;=17,"Teen",F1167&lt;=35,"Adult",F1167&lt;=55,"Seniour Adult",F1167&gt;=55,"Old Age")</f>
        <v>Old Age</v>
      </c>
      <c r="H1167" t="s">
        <v>25</v>
      </c>
      <c r="I1167" t="s">
        <v>11</v>
      </c>
      <c r="J1167" t="str" cm="1">
        <f t="array" ref="J1167">_xlfn.IFS(I1167="S","Southamptom",I1167="Q","Quentown",I1167="C","Cherbrug",I1167="B","Cabin")</f>
        <v>Southamptom</v>
      </c>
      <c r="K1167" t="s">
        <v>64</v>
      </c>
      <c r="L1167" s="2">
        <v>221.1507</v>
      </c>
      <c r="M1167" s="2" t="str" cm="1">
        <f t="array" ref="M1167">_xlfn.IFS(L1167&lt;=15,"Low Fare",L1167&lt;=35,"Medium Fare",L1167&lt;=100,"High Fare",L1167&gt;=100,"Very High Fare")</f>
        <v>Very High Fare</v>
      </c>
      <c r="N1167" s="2">
        <v>1</v>
      </c>
      <c r="O1167" s="2">
        <v>0</v>
      </c>
      <c r="P1167">
        <f t="shared" si="73"/>
        <v>2</v>
      </c>
      <c r="Q1167" t="str">
        <f t="shared" si="74"/>
        <v>With Family</v>
      </c>
      <c r="R1167" t="str">
        <f t="shared" si="75"/>
        <v>No</v>
      </c>
      <c r="S1167" t="s">
        <v>13</v>
      </c>
    </row>
    <row r="1168" spans="1:19" x14ac:dyDescent="0.3">
      <c r="A1168" s="1" t="s">
        <v>871</v>
      </c>
      <c r="B1168" t="s">
        <v>1596</v>
      </c>
      <c r="C1168" t="s">
        <v>1864</v>
      </c>
      <c r="D1168" t="str">
        <f t="shared" si="72"/>
        <v>Male</v>
      </c>
      <c r="E1168" t="s">
        <v>9</v>
      </c>
      <c r="F1168" s="2">
        <v>27</v>
      </c>
      <c r="G1168" s="2" t="str" cm="1">
        <f t="array" ref="G1168">_xlfn.IFS(F1168&lt;=8,"Child",F1168&lt;=17,"Teen",F1168&lt;=35,"Adult",F1168&lt;=55,"Seniour Adult",F1168&gt;=55,"Old Age")</f>
        <v>Adult</v>
      </c>
      <c r="H1168" t="s">
        <v>10</v>
      </c>
      <c r="I1168" t="s">
        <v>11</v>
      </c>
      <c r="J1168" t="str" cm="1">
        <f t="array" ref="J1168">_xlfn.IFS(I1168="S","Southamptom",I1168="Q","Quentown",I1168="C","Cherbrug",I1168="B","Cabin")</f>
        <v>Southamptom</v>
      </c>
      <c r="K1168" t="s">
        <v>65</v>
      </c>
      <c r="L1168" s="2">
        <v>8.1303000000000001</v>
      </c>
      <c r="M1168" s="2" t="str" cm="1">
        <f t="array" ref="M1168">_xlfn.IFS(L1168&lt;=15,"Low Fare",L1168&lt;=35,"Medium Fare",L1168&lt;=100,"High Fare",L1168&gt;=100,"Very High Fare")</f>
        <v>Low Fare</v>
      </c>
      <c r="N1168" s="2">
        <v>0</v>
      </c>
      <c r="O1168" s="2">
        <v>0</v>
      </c>
      <c r="P1168">
        <f t="shared" si="73"/>
        <v>1</v>
      </c>
      <c r="Q1168" t="str">
        <f t="shared" si="74"/>
        <v>Alone</v>
      </c>
      <c r="R1168" t="str">
        <f t="shared" si="75"/>
        <v>No</v>
      </c>
      <c r="S1168" t="s">
        <v>13</v>
      </c>
    </row>
    <row r="1169" spans="1:19" x14ac:dyDescent="0.3">
      <c r="A1169" s="1" t="s">
        <v>872</v>
      </c>
      <c r="B1169" t="s">
        <v>1602</v>
      </c>
      <c r="C1169" t="s">
        <v>2595</v>
      </c>
      <c r="D1169" t="str">
        <f t="shared" si="72"/>
        <v>Female</v>
      </c>
      <c r="E1169" t="s">
        <v>14</v>
      </c>
      <c r="F1169" s="2">
        <v>2</v>
      </c>
      <c r="G1169" s="2" t="str" cm="1">
        <f t="array" ref="G1169">_xlfn.IFS(F1169&lt;=8,"Child",F1169&lt;=17,"Teen",F1169&lt;=35,"Adult",F1169&lt;=55,"Seniour Adult",F1169&gt;=55,"Old Age")</f>
        <v>Child</v>
      </c>
      <c r="H1169" t="s">
        <v>10</v>
      </c>
      <c r="I1169" t="s">
        <v>11</v>
      </c>
      <c r="J1169" t="str" cm="1">
        <f t="array" ref="J1169">_xlfn.IFS(I1169="S","Southamptom",I1169="Q","Quentown",I1169="C","Cherbrug",I1169="B","Cabin")</f>
        <v>Southamptom</v>
      </c>
      <c r="K1169" t="s">
        <v>12</v>
      </c>
      <c r="L1169" s="2">
        <v>10.090299999999999</v>
      </c>
      <c r="M1169" s="2" t="str" cm="1">
        <f t="array" ref="M1169">_xlfn.IFS(L1169&lt;=15,"Low Fare",L1169&lt;=35,"Medium Fare",L1169&lt;=100,"High Fare",L1169&gt;=100,"Very High Fare")</f>
        <v>Low Fare</v>
      </c>
      <c r="N1169" s="2">
        <v>0</v>
      </c>
      <c r="O1169" s="2">
        <v>1</v>
      </c>
      <c r="P1169">
        <f t="shared" si="73"/>
        <v>2</v>
      </c>
      <c r="Q1169" t="str">
        <f t="shared" si="74"/>
        <v>With Family</v>
      </c>
      <c r="R1169" t="str">
        <f t="shared" si="75"/>
        <v>No</v>
      </c>
      <c r="S1169" t="s">
        <v>13</v>
      </c>
    </row>
    <row r="1170" spans="1:19" x14ac:dyDescent="0.3">
      <c r="A1170" s="1" t="s">
        <v>872</v>
      </c>
      <c r="B1170" t="s">
        <v>1600</v>
      </c>
      <c r="C1170" t="s">
        <v>2596</v>
      </c>
      <c r="D1170" t="str">
        <f t="shared" si="72"/>
        <v>Female</v>
      </c>
      <c r="E1170" t="s">
        <v>14</v>
      </c>
      <c r="F1170" s="2">
        <v>29</v>
      </c>
      <c r="G1170" s="2" t="str" cm="1">
        <f t="array" ref="G1170">_xlfn.IFS(F1170&lt;=8,"Child",F1170&lt;=17,"Teen",F1170&lt;=35,"Adult",F1170&lt;=55,"Seniour Adult",F1170&gt;=55,"Old Age")</f>
        <v>Adult</v>
      </c>
      <c r="H1170" t="s">
        <v>10</v>
      </c>
      <c r="I1170" t="s">
        <v>11</v>
      </c>
      <c r="J1170" t="str" cm="1">
        <f t="array" ref="J1170">_xlfn.IFS(I1170="S","Southamptom",I1170="Q","Quentown",I1170="C","Cherbrug",I1170="B","Cabin")</f>
        <v>Southamptom</v>
      </c>
      <c r="K1170" t="s">
        <v>23</v>
      </c>
      <c r="L1170" s="2">
        <v>10.090299999999999</v>
      </c>
      <c r="M1170" s="2" t="str" cm="1">
        <f t="array" ref="M1170">_xlfn.IFS(L1170&lt;=15,"Low Fare",L1170&lt;=35,"Medium Fare",L1170&lt;=100,"High Fare",L1170&gt;=100,"Very High Fare")</f>
        <v>Low Fare</v>
      </c>
      <c r="N1170" s="2">
        <v>1</v>
      </c>
      <c r="O1170" s="2">
        <v>1</v>
      </c>
      <c r="P1170">
        <f t="shared" si="73"/>
        <v>3</v>
      </c>
      <c r="Q1170" t="str">
        <f t="shared" si="74"/>
        <v>With Family</v>
      </c>
      <c r="R1170" t="str">
        <f t="shared" si="75"/>
        <v>No</v>
      </c>
      <c r="S1170" t="s">
        <v>13</v>
      </c>
    </row>
    <row r="1171" spans="1:19" x14ac:dyDescent="0.3">
      <c r="A1171" s="1" t="s">
        <v>873</v>
      </c>
      <c r="B1171" t="s">
        <v>1596</v>
      </c>
      <c r="C1171" t="s">
        <v>2597</v>
      </c>
      <c r="D1171" t="str">
        <f t="shared" si="72"/>
        <v>Male</v>
      </c>
      <c r="E1171" t="s">
        <v>9</v>
      </c>
      <c r="F1171" s="2">
        <v>20</v>
      </c>
      <c r="G1171" s="2" t="str" cm="1">
        <f t="array" ref="G1171">_xlfn.IFS(F1171&lt;=8,"Child",F1171&lt;=17,"Teen",F1171&lt;=35,"Adult",F1171&lt;=55,"Seniour Adult",F1171&gt;=55,"Old Age")</f>
        <v>Adult</v>
      </c>
      <c r="H1171" t="s">
        <v>10</v>
      </c>
      <c r="I1171" t="s">
        <v>11</v>
      </c>
      <c r="J1171" t="str" cm="1">
        <f t="array" ref="J1171">_xlfn.IFS(I1171="S","Southamptom",I1171="Q","Quentown",I1171="C","Cherbrug",I1171="B","Cabin")</f>
        <v>Southamptom</v>
      </c>
      <c r="K1171" t="s">
        <v>15</v>
      </c>
      <c r="L1171" s="2">
        <v>8.01</v>
      </c>
      <c r="M1171" s="2" t="str" cm="1">
        <f t="array" ref="M1171">_xlfn.IFS(L1171&lt;=15,"Low Fare",L1171&lt;=35,"Medium Fare",L1171&lt;=100,"High Fare",L1171&gt;=100,"Very High Fare")</f>
        <v>Low Fare</v>
      </c>
      <c r="N1171" s="2">
        <v>0</v>
      </c>
      <c r="O1171" s="2">
        <v>0</v>
      </c>
      <c r="P1171">
        <f t="shared" si="73"/>
        <v>1</v>
      </c>
      <c r="Q1171" t="str">
        <f t="shared" si="74"/>
        <v>Alone</v>
      </c>
      <c r="R1171" t="str">
        <f t="shared" si="75"/>
        <v>Yes</v>
      </c>
      <c r="S1171" t="s">
        <v>16</v>
      </c>
    </row>
    <row r="1172" spans="1:19" x14ac:dyDescent="0.3">
      <c r="A1172" s="1" t="s">
        <v>874</v>
      </c>
      <c r="B1172" t="s">
        <v>1596</v>
      </c>
      <c r="C1172" t="s">
        <v>2598</v>
      </c>
      <c r="D1172" t="str">
        <f t="shared" si="72"/>
        <v>Male</v>
      </c>
      <c r="E1172" t="s">
        <v>9</v>
      </c>
      <c r="F1172" s="2">
        <v>44</v>
      </c>
      <c r="G1172" s="2" t="str" cm="1">
        <f t="array" ref="G1172">_xlfn.IFS(F1172&lt;=8,"Child",F1172&lt;=17,"Teen",F1172&lt;=35,"Adult",F1172&lt;=55,"Seniour Adult",F1172&gt;=55,"Old Age")</f>
        <v>Seniour Adult</v>
      </c>
      <c r="H1172" t="s">
        <v>10</v>
      </c>
      <c r="I1172" t="s">
        <v>11</v>
      </c>
      <c r="J1172" t="str" cm="1">
        <f t="array" ref="J1172">_xlfn.IFS(I1172="S","Southamptom",I1172="Q","Quentown",I1172="C","Cherbrug",I1172="B","Cabin")</f>
        <v>Southamptom</v>
      </c>
      <c r="K1172" t="s">
        <v>22</v>
      </c>
      <c r="L1172" s="2">
        <v>7.1806000000000001</v>
      </c>
      <c r="M1172" s="2" t="str" cm="1">
        <f t="array" ref="M1172">_xlfn.IFS(L1172&lt;=15,"Low Fare",L1172&lt;=35,"Medium Fare",L1172&lt;=100,"High Fare",L1172&gt;=100,"Very High Fare")</f>
        <v>Low Fare</v>
      </c>
      <c r="N1172" s="2">
        <v>0</v>
      </c>
      <c r="O1172" s="2">
        <v>0</v>
      </c>
      <c r="P1172">
        <f t="shared" si="73"/>
        <v>1</v>
      </c>
      <c r="Q1172" t="str">
        <f t="shared" si="74"/>
        <v>Alone</v>
      </c>
      <c r="R1172" t="str">
        <f t="shared" si="75"/>
        <v>Yes</v>
      </c>
      <c r="S1172" t="s">
        <v>16</v>
      </c>
    </row>
    <row r="1173" spans="1:19" x14ac:dyDescent="0.3">
      <c r="A1173" s="1" t="s">
        <v>875</v>
      </c>
      <c r="B1173" t="s">
        <v>1596</v>
      </c>
      <c r="C1173" t="s">
        <v>2599</v>
      </c>
      <c r="D1173" t="str">
        <f t="shared" si="72"/>
        <v>Male</v>
      </c>
      <c r="E1173" t="s">
        <v>9</v>
      </c>
      <c r="F1173" s="2">
        <v>25</v>
      </c>
      <c r="G1173" s="2" t="str" cm="1">
        <f t="array" ref="G1173">_xlfn.IFS(F1173&lt;=8,"Child",F1173&lt;=17,"Teen",F1173&lt;=35,"Adult",F1173&lt;=55,"Seniour Adult",F1173&gt;=55,"Old Age")</f>
        <v>Adult</v>
      </c>
      <c r="H1173" t="s">
        <v>10</v>
      </c>
      <c r="I1173" t="s">
        <v>11</v>
      </c>
      <c r="J1173" t="str" cm="1">
        <f t="array" ref="J1173">_xlfn.IFS(I1173="S","Southamptom",I1173="Q","Quentown",I1173="C","Cherbrug",I1173="B","Cabin")</f>
        <v>Southamptom</v>
      </c>
      <c r="K1173" t="s">
        <v>15</v>
      </c>
      <c r="L1173" s="2">
        <v>7.01</v>
      </c>
      <c r="M1173" s="2" t="str" cm="1">
        <f t="array" ref="M1173">_xlfn.IFS(L1173&lt;=15,"Low Fare",L1173&lt;=35,"Medium Fare",L1173&lt;=100,"High Fare",L1173&gt;=100,"Very High Fare")</f>
        <v>Low Fare</v>
      </c>
      <c r="N1173" s="2">
        <v>0</v>
      </c>
      <c r="O1173" s="2">
        <v>0</v>
      </c>
      <c r="P1173">
        <f t="shared" si="73"/>
        <v>1</v>
      </c>
      <c r="Q1173" t="str">
        <f t="shared" si="74"/>
        <v>Alone</v>
      </c>
      <c r="R1173" t="str">
        <f t="shared" si="75"/>
        <v>No</v>
      </c>
      <c r="S1173" t="s">
        <v>13</v>
      </c>
    </row>
    <row r="1174" spans="1:19" x14ac:dyDescent="0.3">
      <c r="A1174" s="1" t="s">
        <v>876</v>
      </c>
      <c r="B1174" t="s">
        <v>1596</v>
      </c>
      <c r="C1174" t="s">
        <v>2511</v>
      </c>
      <c r="D1174" t="str">
        <f t="shared" si="72"/>
        <v>Male</v>
      </c>
      <c r="E1174" t="s">
        <v>9</v>
      </c>
      <c r="F1174" s="2">
        <v>61</v>
      </c>
      <c r="G1174" s="2" t="str" cm="1">
        <f t="array" ref="G1174">_xlfn.IFS(F1174&lt;=8,"Child",F1174&lt;=17,"Teen",F1174&lt;=35,"Adult",F1174&lt;=55,"Seniour Adult",F1174&gt;=55,"Old Age")</f>
        <v>Old Age</v>
      </c>
      <c r="H1174" t="s">
        <v>25</v>
      </c>
      <c r="I1174" t="s">
        <v>11</v>
      </c>
      <c r="J1174" t="str" cm="1">
        <f t="array" ref="J1174">_xlfn.IFS(I1174="S","Southamptom",I1174="Q","Quentown",I1174="C","Cherbrug",I1174="B","Cabin")</f>
        <v>Southamptom</v>
      </c>
      <c r="K1174" t="s">
        <v>15</v>
      </c>
      <c r="L1174" s="2">
        <v>32.060499999999998</v>
      </c>
      <c r="M1174" s="2" t="str" cm="1">
        <f t="array" ref="M1174">_xlfn.IFS(L1174&lt;=15,"Low Fare",L1174&lt;=35,"Medium Fare",L1174&lt;=100,"High Fare",L1174&gt;=100,"Very High Fare")</f>
        <v>Medium Fare</v>
      </c>
      <c r="N1174" s="2">
        <v>0</v>
      </c>
      <c r="O1174" s="2">
        <v>0</v>
      </c>
      <c r="P1174">
        <f t="shared" si="73"/>
        <v>1</v>
      </c>
      <c r="Q1174" t="str">
        <f t="shared" si="74"/>
        <v>Alone</v>
      </c>
      <c r="R1174" t="str">
        <f t="shared" si="75"/>
        <v>No</v>
      </c>
      <c r="S1174" t="s">
        <v>13</v>
      </c>
    </row>
    <row r="1175" spans="1:19" x14ac:dyDescent="0.3">
      <c r="A1175" s="1" t="s">
        <v>877</v>
      </c>
      <c r="B1175" t="s">
        <v>1596</v>
      </c>
      <c r="C1175" t="s">
        <v>2600</v>
      </c>
      <c r="D1175" t="str">
        <f t="shared" si="72"/>
        <v>Male</v>
      </c>
      <c r="E1175" t="s">
        <v>9</v>
      </c>
      <c r="F1175" s="2">
        <v>74</v>
      </c>
      <c r="G1175" s="2" t="str" cm="1">
        <f t="array" ref="G1175">_xlfn.IFS(F1175&lt;=8,"Child",F1175&lt;=17,"Teen",F1175&lt;=35,"Adult",F1175&lt;=55,"Seniour Adult",F1175&gt;=55,"Old Age")</f>
        <v>Old Age</v>
      </c>
      <c r="H1175" t="s">
        <v>10</v>
      </c>
      <c r="I1175" t="s">
        <v>11</v>
      </c>
      <c r="J1175" t="str" cm="1">
        <f t="array" ref="J1175">_xlfn.IFS(I1175="S","Southamptom",I1175="Q","Quentown",I1175="C","Cherbrug",I1175="B","Cabin")</f>
        <v>Southamptom</v>
      </c>
      <c r="K1175" t="s">
        <v>23</v>
      </c>
      <c r="L1175" s="2">
        <v>7.1505999999999998</v>
      </c>
      <c r="M1175" s="2" t="str" cm="1">
        <f t="array" ref="M1175">_xlfn.IFS(L1175&lt;=15,"Low Fare",L1175&lt;=35,"Medium Fare",L1175&lt;=100,"High Fare",L1175&gt;=100,"Very High Fare")</f>
        <v>Low Fare</v>
      </c>
      <c r="N1175" s="2">
        <v>0</v>
      </c>
      <c r="O1175" s="2">
        <v>0</v>
      </c>
      <c r="P1175">
        <f t="shared" si="73"/>
        <v>1</v>
      </c>
      <c r="Q1175" t="str">
        <f t="shared" si="74"/>
        <v>Alone</v>
      </c>
      <c r="R1175" t="str">
        <f t="shared" si="75"/>
        <v>No</v>
      </c>
      <c r="S1175" t="s">
        <v>13</v>
      </c>
    </row>
    <row r="1176" spans="1:19" x14ac:dyDescent="0.3">
      <c r="A1176" s="1" t="s">
        <v>877</v>
      </c>
      <c r="B1176" t="s">
        <v>1596</v>
      </c>
      <c r="C1176" t="s">
        <v>2601</v>
      </c>
      <c r="D1176" t="str">
        <f t="shared" si="72"/>
        <v>Male</v>
      </c>
      <c r="E1176" t="s">
        <v>9</v>
      </c>
      <c r="F1176" s="2">
        <v>14</v>
      </c>
      <c r="G1176" s="2" t="str" cm="1">
        <f t="array" ref="G1176">_xlfn.IFS(F1176&lt;=8,"Child",F1176&lt;=17,"Teen",F1176&lt;=35,"Adult",F1176&lt;=55,"Seniour Adult",F1176&gt;=55,"Old Age")</f>
        <v>Teen</v>
      </c>
      <c r="H1176" t="s">
        <v>10</v>
      </c>
      <c r="I1176" t="s">
        <v>11</v>
      </c>
      <c r="J1176" t="str" cm="1">
        <f t="array" ref="J1176">_xlfn.IFS(I1176="S","Southamptom",I1176="Q","Quentown",I1176="C","Cherbrug",I1176="B","Cabin")</f>
        <v>Southamptom</v>
      </c>
      <c r="K1176" t="s">
        <v>23</v>
      </c>
      <c r="L1176" s="2">
        <v>9.0405999999999995</v>
      </c>
      <c r="M1176" s="2" t="str" cm="1">
        <f t="array" ref="M1176">_xlfn.IFS(L1176&lt;=15,"Low Fare",L1176&lt;=35,"Medium Fare",L1176&lt;=100,"High Fare",L1176&gt;=100,"Very High Fare")</f>
        <v>Low Fare</v>
      </c>
      <c r="N1176" s="2">
        <v>0</v>
      </c>
      <c r="O1176" s="2">
        <v>0</v>
      </c>
      <c r="P1176">
        <f t="shared" si="73"/>
        <v>1</v>
      </c>
      <c r="Q1176" t="str">
        <f t="shared" si="74"/>
        <v>Alone</v>
      </c>
      <c r="R1176" t="str">
        <f t="shared" si="75"/>
        <v>Yes</v>
      </c>
      <c r="S1176" t="s">
        <v>16</v>
      </c>
    </row>
    <row r="1177" spans="1:19" x14ac:dyDescent="0.3">
      <c r="A1177" s="1" t="s">
        <v>877</v>
      </c>
      <c r="B1177" t="s">
        <v>1596</v>
      </c>
      <c r="C1177" t="s">
        <v>2602</v>
      </c>
      <c r="D1177" t="str">
        <f t="shared" si="72"/>
        <v>Male</v>
      </c>
      <c r="E1177" t="s">
        <v>9</v>
      </c>
      <c r="F1177" s="2">
        <v>24</v>
      </c>
      <c r="G1177" s="2" t="str" cm="1">
        <f t="array" ref="G1177">_xlfn.IFS(F1177&lt;=8,"Child",F1177&lt;=17,"Teen",F1177&lt;=35,"Adult",F1177&lt;=55,"Seniour Adult",F1177&gt;=55,"Old Age")</f>
        <v>Adult</v>
      </c>
      <c r="H1177" t="s">
        <v>10</v>
      </c>
      <c r="I1177" t="s">
        <v>11</v>
      </c>
      <c r="J1177" t="str" cm="1">
        <f t="array" ref="J1177">_xlfn.IFS(I1177="S","Southamptom",I1177="Q","Quentown",I1177="C","Cherbrug",I1177="B","Cabin")</f>
        <v>Southamptom</v>
      </c>
      <c r="K1177" t="s">
        <v>23</v>
      </c>
      <c r="L1177" s="2">
        <v>7.1510999999999996</v>
      </c>
      <c r="M1177" s="2" t="str" cm="1">
        <f t="array" ref="M1177">_xlfn.IFS(L1177&lt;=15,"Low Fare",L1177&lt;=35,"Medium Fare",L1177&lt;=100,"High Fare",L1177&gt;=100,"Very High Fare")</f>
        <v>Low Fare</v>
      </c>
      <c r="N1177" s="2">
        <v>0</v>
      </c>
      <c r="O1177" s="2">
        <v>0</v>
      </c>
      <c r="P1177">
        <f t="shared" si="73"/>
        <v>1</v>
      </c>
      <c r="Q1177" t="str">
        <f t="shared" si="74"/>
        <v>Alone</v>
      </c>
      <c r="R1177" t="str">
        <f t="shared" si="75"/>
        <v>No</v>
      </c>
      <c r="S1177" t="s">
        <v>13</v>
      </c>
    </row>
    <row r="1178" spans="1:19" x14ac:dyDescent="0.3">
      <c r="A1178" s="1" t="s">
        <v>878</v>
      </c>
      <c r="B1178" t="s">
        <v>1596</v>
      </c>
      <c r="C1178" t="s">
        <v>2038</v>
      </c>
      <c r="D1178" t="str">
        <f t="shared" si="72"/>
        <v>Male</v>
      </c>
      <c r="E1178" t="s">
        <v>9</v>
      </c>
      <c r="F1178" s="2">
        <v>19</v>
      </c>
      <c r="G1178" s="2" t="str" cm="1">
        <f t="array" ref="G1178">_xlfn.IFS(F1178&lt;=8,"Child",F1178&lt;=17,"Teen",F1178&lt;=35,"Adult",F1178&lt;=55,"Seniour Adult",F1178&gt;=55,"Old Age")</f>
        <v>Adult</v>
      </c>
      <c r="H1178" t="s">
        <v>18</v>
      </c>
      <c r="I1178" t="s">
        <v>11</v>
      </c>
      <c r="J1178" t="str" cm="1">
        <f t="array" ref="J1178">_xlfn.IFS(I1178="S","Southamptom",I1178="Q","Quentown",I1178="C","Cherbrug",I1178="B","Cabin")</f>
        <v>Southamptom</v>
      </c>
      <c r="K1178" t="s">
        <v>15</v>
      </c>
      <c r="L1178" s="2">
        <v>13</v>
      </c>
      <c r="M1178" s="2" t="str" cm="1">
        <f t="array" ref="M1178">_xlfn.IFS(L1178&lt;=15,"Low Fare",L1178&lt;=35,"Medium Fare",L1178&lt;=100,"High Fare",L1178&gt;=100,"Very High Fare")</f>
        <v>Low Fare</v>
      </c>
      <c r="N1178" s="2">
        <v>0</v>
      </c>
      <c r="O1178" s="2">
        <v>0</v>
      </c>
      <c r="P1178">
        <f t="shared" si="73"/>
        <v>1</v>
      </c>
      <c r="Q1178" t="str">
        <f t="shared" si="74"/>
        <v>Alone</v>
      </c>
      <c r="R1178" t="str">
        <f t="shared" si="75"/>
        <v>No</v>
      </c>
      <c r="S1178" t="s">
        <v>13</v>
      </c>
    </row>
    <row r="1179" spans="1:19" x14ac:dyDescent="0.3">
      <c r="A1179" s="1" t="s">
        <v>879</v>
      </c>
      <c r="B1179" t="s">
        <v>1596</v>
      </c>
      <c r="C1179" t="s">
        <v>2603</v>
      </c>
      <c r="D1179" t="str">
        <f t="shared" si="72"/>
        <v>Male</v>
      </c>
      <c r="E1179" t="s">
        <v>9</v>
      </c>
      <c r="F1179" s="2">
        <v>14</v>
      </c>
      <c r="G1179" s="2" t="str" cm="1">
        <f t="array" ref="G1179">_xlfn.IFS(F1179&lt;=8,"Child",F1179&lt;=17,"Teen",F1179&lt;=35,"Adult",F1179&lt;=55,"Seniour Adult",F1179&gt;=55,"Old Age")</f>
        <v>Teen</v>
      </c>
      <c r="H1179" t="s">
        <v>18</v>
      </c>
      <c r="I1179" t="s">
        <v>11</v>
      </c>
      <c r="J1179" t="str" cm="1">
        <f t="array" ref="J1179">_xlfn.IFS(I1179="S","Southamptom",I1179="Q","Quentown",I1179="C","Cherbrug",I1179="B","Cabin")</f>
        <v>Southamptom</v>
      </c>
      <c r="K1179" t="s">
        <v>15</v>
      </c>
      <c r="L1179" s="2">
        <v>65</v>
      </c>
      <c r="M1179" s="2" t="str" cm="1">
        <f t="array" ref="M1179">_xlfn.IFS(L1179&lt;=15,"Low Fare",L1179&lt;=35,"Medium Fare",L1179&lt;=100,"High Fare",L1179&gt;=100,"Very High Fare")</f>
        <v>High Fare</v>
      </c>
      <c r="N1179" s="2">
        <v>0</v>
      </c>
      <c r="O1179" s="2">
        <v>0</v>
      </c>
      <c r="P1179">
        <f t="shared" si="73"/>
        <v>1</v>
      </c>
      <c r="Q1179" t="str">
        <f t="shared" si="74"/>
        <v>Alone</v>
      </c>
      <c r="R1179" t="str">
        <f t="shared" si="75"/>
        <v>No</v>
      </c>
      <c r="S1179" t="s">
        <v>13</v>
      </c>
    </row>
    <row r="1180" spans="1:19" x14ac:dyDescent="0.3">
      <c r="A1180" s="1" t="s">
        <v>880</v>
      </c>
      <c r="B1180" t="s">
        <v>1600</v>
      </c>
      <c r="C1180" t="s">
        <v>2604</v>
      </c>
      <c r="D1180" t="str">
        <f t="shared" si="72"/>
        <v>Female</v>
      </c>
      <c r="E1180" t="s">
        <v>14</v>
      </c>
      <c r="F1180" s="2">
        <v>46</v>
      </c>
      <c r="G1180" s="2" t="str" cm="1">
        <f t="array" ref="G1180">_xlfn.IFS(F1180&lt;=8,"Child",F1180&lt;=17,"Teen",F1180&lt;=35,"Adult",F1180&lt;=55,"Seniour Adult",F1180&gt;=55,"Old Age")</f>
        <v>Seniour Adult</v>
      </c>
      <c r="H1180" t="s">
        <v>25</v>
      </c>
      <c r="I1180" t="s">
        <v>11</v>
      </c>
      <c r="J1180" t="str" cm="1">
        <f t="array" ref="J1180">_xlfn.IFS(I1180="S","Southamptom",I1180="Q","Quentown",I1180="C","Cherbrug",I1180="B","Cabin")</f>
        <v>Southamptom</v>
      </c>
      <c r="K1180" t="s">
        <v>12</v>
      </c>
      <c r="L1180" s="2">
        <v>25.180700000000002</v>
      </c>
      <c r="M1180" s="2" t="str" cm="1">
        <f t="array" ref="M1180">_xlfn.IFS(L1180&lt;=15,"Low Fare",L1180&lt;=35,"Medium Fare",L1180&lt;=100,"High Fare",L1180&gt;=100,"Very High Fare")</f>
        <v>Medium Fare</v>
      </c>
      <c r="N1180" s="2">
        <v>0</v>
      </c>
      <c r="O1180" s="2">
        <v>0</v>
      </c>
      <c r="P1180">
        <f t="shared" si="73"/>
        <v>1</v>
      </c>
      <c r="Q1180" t="str">
        <f t="shared" si="74"/>
        <v>Alone</v>
      </c>
      <c r="R1180" t="str">
        <f t="shared" si="75"/>
        <v>Yes</v>
      </c>
      <c r="S1180" t="s">
        <v>16</v>
      </c>
    </row>
    <row r="1181" spans="1:19" x14ac:dyDescent="0.3">
      <c r="A1181" s="1" t="s">
        <v>881</v>
      </c>
      <c r="B1181" t="s">
        <v>1612</v>
      </c>
      <c r="C1181" t="s">
        <v>2605</v>
      </c>
      <c r="D1181" t="str">
        <f t="shared" si="72"/>
        <v>Male</v>
      </c>
      <c r="E1181" t="s">
        <v>9</v>
      </c>
      <c r="F1181" s="2">
        <v>1</v>
      </c>
      <c r="G1181" s="2" t="str" cm="1">
        <f t="array" ref="G1181">_xlfn.IFS(F1181&lt;=8,"Child",F1181&lt;=17,"Teen",F1181&lt;=35,"Adult",F1181&lt;=55,"Seniour Adult",F1181&gt;=55,"Old Age")</f>
        <v>Child</v>
      </c>
      <c r="H1181" t="s">
        <v>10</v>
      </c>
      <c r="I1181" t="s">
        <v>19</v>
      </c>
      <c r="J1181" t="str" cm="1">
        <f t="array" ref="J1181">_xlfn.IFS(I1181="S","Southamptom",I1181="Q","Quentown",I1181="C","Cherbrug",I1181="B","Cabin")</f>
        <v>Cherbrug</v>
      </c>
      <c r="K1181" t="s">
        <v>21</v>
      </c>
      <c r="L1181" s="2">
        <v>8.1004000000000005</v>
      </c>
      <c r="M1181" s="2" t="str" cm="1">
        <f t="array" ref="M1181">_xlfn.IFS(L1181&lt;=15,"Low Fare",L1181&lt;=35,"Medium Fare",L1181&lt;=100,"High Fare",L1181&gt;=100,"Very High Fare")</f>
        <v>Low Fare</v>
      </c>
      <c r="N1181" s="2">
        <v>0</v>
      </c>
      <c r="O1181" s="2">
        <v>1</v>
      </c>
      <c r="P1181">
        <f t="shared" si="73"/>
        <v>2</v>
      </c>
      <c r="Q1181" t="str">
        <f t="shared" si="74"/>
        <v>With Family</v>
      </c>
      <c r="R1181" t="str">
        <f t="shared" si="75"/>
        <v>Yes</v>
      </c>
      <c r="S1181" t="s">
        <v>16</v>
      </c>
    </row>
    <row r="1182" spans="1:19" x14ac:dyDescent="0.3">
      <c r="A1182" s="1" t="s">
        <v>881</v>
      </c>
      <c r="B1182" t="s">
        <v>1596</v>
      </c>
      <c r="C1182" t="s">
        <v>2606</v>
      </c>
      <c r="D1182" t="str">
        <f t="shared" si="72"/>
        <v>Male</v>
      </c>
      <c r="E1182" t="s">
        <v>9</v>
      </c>
      <c r="F1182" s="2">
        <v>30</v>
      </c>
      <c r="G1182" s="2" t="str" cm="1">
        <f t="array" ref="G1182">_xlfn.IFS(F1182&lt;=8,"Child",F1182&lt;=17,"Teen",F1182&lt;=35,"Adult",F1182&lt;=55,"Seniour Adult",F1182&gt;=55,"Old Age")</f>
        <v>Adult</v>
      </c>
      <c r="H1182" t="s">
        <v>10</v>
      </c>
      <c r="I1182" t="s">
        <v>19</v>
      </c>
      <c r="J1182" t="str" cm="1">
        <f t="array" ref="J1182">_xlfn.IFS(I1182="S","Southamptom",I1182="Q","Quentown",I1182="C","Cherbrug",I1182="B","Cabin")</f>
        <v>Cherbrug</v>
      </c>
      <c r="K1182" t="s">
        <v>21</v>
      </c>
      <c r="L1182" s="2">
        <v>6.0808999999999997</v>
      </c>
      <c r="M1182" s="2" t="str" cm="1">
        <f t="array" ref="M1182">_xlfn.IFS(L1182&lt;=15,"Low Fare",L1182&lt;=35,"Medium Fare",L1182&lt;=100,"High Fare",L1182&gt;=100,"Very High Fare")</f>
        <v>Low Fare</v>
      </c>
      <c r="N1182" s="2">
        <v>1</v>
      </c>
      <c r="O1182" s="2">
        <v>0</v>
      </c>
      <c r="P1182">
        <f t="shared" si="73"/>
        <v>2</v>
      </c>
      <c r="Q1182" t="str">
        <f t="shared" si="74"/>
        <v>With Family</v>
      </c>
      <c r="R1182" t="str">
        <f t="shared" si="75"/>
        <v>No</v>
      </c>
      <c r="S1182" t="s">
        <v>13</v>
      </c>
    </row>
    <row r="1183" spans="1:19" x14ac:dyDescent="0.3">
      <c r="A1183" s="1" t="s">
        <v>881</v>
      </c>
      <c r="B1183" t="s">
        <v>1600</v>
      </c>
      <c r="C1183" t="s">
        <v>2607</v>
      </c>
      <c r="D1183" t="str">
        <f t="shared" si="72"/>
        <v>Female</v>
      </c>
      <c r="E1183" t="s">
        <v>14</v>
      </c>
      <c r="F1183" s="2">
        <v>16</v>
      </c>
      <c r="G1183" s="2" t="str" cm="1">
        <f t="array" ref="G1183">_xlfn.IFS(F1183&lt;=8,"Child",F1183&lt;=17,"Teen",F1183&lt;=35,"Adult",F1183&lt;=55,"Seniour Adult",F1183&gt;=55,"Old Age")</f>
        <v>Teen</v>
      </c>
      <c r="H1183" t="s">
        <v>10</v>
      </c>
      <c r="I1183" t="s">
        <v>19</v>
      </c>
      <c r="J1183" t="str" cm="1">
        <f t="array" ref="J1183">_xlfn.IFS(I1183="S","Southamptom",I1183="Q","Quentown",I1183="C","Cherbrug",I1183="B","Cabin")</f>
        <v>Cherbrug</v>
      </c>
      <c r="K1183" t="s">
        <v>21</v>
      </c>
      <c r="L1183" s="2">
        <v>8.1004000000000005</v>
      </c>
      <c r="M1183" s="2" t="str" cm="1">
        <f t="array" ref="M1183">_xlfn.IFS(L1183&lt;=15,"Low Fare",L1183&lt;=35,"Medium Fare",L1183&lt;=100,"High Fare",L1183&gt;=100,"Very High Fare")</f>
        <v>Low Fare</v>
      </c>
      <c r="N1183" s="2">
        <v>1</v>
      </c>
      <c r="O1183" s="2">
        <v>1</v>
      </c>
      <c r="P1183">
        <f t="shared" si="73"/>
        <v>3</v>
      </c>
      <c r="Q1183" t="str">
        <f t="shared" si="74"/>
        <v>With Family</v>
      </c>
      <c r="R1183" t="str">
        <f t="shared" si="75"/>
        <v>Yes</v>
      </c>
      <c r="S1183" t="s">
        <v>16</v>
      </c>
    </row>
    <row r="1184" spans="1:19" x14ac:dyDescent="0.3">
      <c r="A1184" s="1" t="s">
        <v>882</v>
      </c>
      <c r="B1184" t="s">
        <v>1602</v>
      </c>
      <c r="C1184" t="s">
        <v>1924</v>
      </c>
      <c r="D1184" t="str">
        <f t="shared" si="72"/>
        <v>Female</v>
      </c>
      <c r="E1184" t="s">
        <v>14</v>
      </c>
      <c r="F1184" s="2">
        <v>18</v>
      </c>
      <c r="G1184" s="2" t="str" cm="1">
        <f t="array" ref="G1184">_xlfn.IFS(F1184&lt;=8,"Child",F1184&lt;=17,"Teen",F1184&lt;=35,"Adult",F1184&lt;=55,"Seniour Adult",F1184&gt;=55,"Old Age")</f>
        <v>Adult</v>
      </c>
      <c r="H1184" t="s">
        <v>25</v>
      </c>
      <c r="I1184" t="s">
        <v>11</v>
      </c>
      <c r="J1184" t="str" cm="1">
        <f t="array" ref="J1184">_xlfn.IFS(I1184="S","Southamptom",I1184="Q","Quentown",I1184="C","Cherbrug",I1184="B","Cabin")</f>
        <v>Southamptom</v>
      </c>
      <c r="K1184" t="s">
        <v>12</v>
      </c>
      <c r="L1184" s="2">
        <v>79.13</v>
      </c>
      <c r="M1184" s="2" t="str" cm="1">
        <f t="array" ref="M1184">_xlfn.IFS(L1184&lt;=15,"Low Fare",L1184&lt;=35,"Medium Fare",L1184&lt;=100,"High Fare",L1184&gt;=100,"Very High Fare")</f>
        <v>High Fare</v>
      </c>
      <c r="N1184" s="2">
        <v>0</v>
      </c>
      <c r="O1184" s="2">
        <v>2</v>
      </c>
      <c r="P1184">
        <f t="shared" si="73"/>
        <v>3</v>
      </c>
      <c r="Q1184" t="str">
        <f t="shared" si="74"/>
        <v>With Family</v>
      </c>
      <c r="R1184" t="str">
        <f t="shared" si="75"/>
        <v>Yes</v>
      </c>
      <c r="S1184" t="s">
        <v>16</v>
      </c>
    </row>
    <row r="1185" spans="1:19" x14ac:dyDescent="0.3">
      <c r="A1185" s="1" t="s">
        <v>882</v>
      </c>
      <c r="B1185" t="s">
        <v>1596</v>
      </c>
      <c r="C1185" t="s">
        <v>1831</v>
      </c>
      <c r="D1185" t="str">
        <f t="shared" si="72"/>
        <v>Male</v>
      </c>
      <c r="E1185" t="s">
        <v>9</v>
      </c>
      <c r="F1185" s="2">
        <v>52</v>
      </c>
      <c r="G1185" s="2" t="str" cm="1">
        <f t="array" ref="G1185">_xlfn.IFS(F1185&lt;=8,"Child",F1185&lt;=17,"Teen",F1185&lt;=35,"Adult",F1185&lt;=55,"Seniour Adult",F1185&gt;=55,"Old Age")</f>
        <v>Seniour Adult</v>
      </c>
      <c r="H1185" t="s">
        <v>25</v>
      </c>
      <c r="I1185" t="s">
        <v>11</v>
      </c>
      <c r="J1185" t="str" cm="1">
        <f t="array" ref="J1185">_xlfn.IFS(I1185="S","Southamptom",I1185="Q","Quentown",I1185="C","Cherbrug",I1185="B","Cabin")</f>
        <v>Southamptom</v>
      </c>
      <c r="K1185" t="s">
        <v>12</v>
      </c>
      <c r="L1185" s="2">
        <v>79.13</v>
      </c>
      <c r="M1185" s="2" t="str" cm="1">
        <f t="array" ref="M1185">_xlfn.IFS(L1185&lt;=15,"Low Fare",L1185&lt;=35,"Medium Fare",L1185&lt;=100,"High Fare",L1185&gt;=100,"Very High Fare")</f>
        <v>High Fare</v>
      </c>
      <c r="N1185" s="2">
        <v>1</v>
      </c>
      <c r="O1185" s="2">
        <v>1</v>
      </c>
      <c r="P1185">
        <f t="shared" si="73"/>
        <v>3</v>
      </c>
      <c r="Q1185" t="str">
        <f t="shared" si="74"/>
        <v>With Family</v>
      </c>
      <c r="R1185" t="str">
        <f t="shared" si="75"/>
        <v>No</v>
      </c>
      <c r="S1185" t="s">
        <v>13</v>
      </c>
    </row>
    <row r="1186" spans="1:19" x14ac:dyDescent="0.3">
      <c r="A1186" s="1" t="s">
        <v>882</v>
      </c>
      <c r="B1186" t="s">
        <v>1600</v>
      </c>
      <c r="C1186" t="s">
        <v>2608</v>
      </c>
      <c r="D1186" t="str">
        <f t="shared" si="72"/>
        <v>Female</v>
      </c>
      <c r="E1186" t="s">
        <v>14</v>
      </c>
      <c r="F1186" s="2">
        <v>39</v>
      </c>
      <c r="G1186" s="2" t="str" cm="1">
        <f t="array" ref="G1186">_xlfn.IFS(F1186&lt;=8,"Child",F1186&lt;=17,"Teen",F1186&lt;=35,"Adult",F1186&lt;=55,"Seniour Adult",F1186&gt;=55,"Old Age")</f>
        <v>Seniour Adult</v>
      </c>
      <c r="H1186" t="s">
        <v>25</v>
      </c>
      <c r="I1186" t="s">
        <v>11</v>
      </c>
      <c r="J1186" t="str" cm="1">
        <f t="array" ref="J1186">_xlfn.IFS(I1186="S","Southamptom",I1186="Q","Quentown",I1186="C","Cherbrug",I1186="B","Cabin")</f>
        <v>Southamptom</v>
      </c>
      <c r="K1186" t="s">
        <v>12</v>
      </c>
      <c r="L1186" s="2">
        <v>79.13</v>
      </c>
      <c r="M1186" s="2" t="str" cm="1">
        <f t="array" ref="M1186">_xlfn.IFS(L1186&lt;=15,"Low Fare",L1186&lt;=35,"Medium Fare",L1186&lt;=100,"High Fare",L1186&gt;=100,"Very High Fare")</f>
        <v>High Fare</v>
      </c>
      <c r="N1186" s="2">
        <v>1</v>
      </c>
      <c r="O1186" s="2">
        <v>1</v>
      </c>
      <c r="P1186">
        <f t="shared" si="73"/>
        <v>3</v>
      </c>
      <c r="Q1186" t="str">
        <f t="shared" si="74"/>
        <v>With Family</v>
      </c>
      <c r="R1186" t="str">
        <f t="shared" si="75"/>
        <v>Yes</v>
      </c>
      <c r="S1186" t="s">
        <v>16</v>
      </c>
    </row>
    <row r="1187" spans="1:19" x14ac:dyDescent="0.3">
      <c r="A1187" s="1" t="s">
        <v>883</v>
      </c>
      <c r="B1187" t="s">
        <v>1596</v>
      </c>
      <c r="C1187" t="s">
        <v>2609</v>
      </c>
      <c r="D1187" t="str">
        <f t="shared" si="72"/>
        <v>Male</v>
      </c>
      <c r="E1187" t="s">
        <v>9</v>
      </c>
      <c r="F1187" s="2">
        <v>48</v>
      </c>
      <c r="G1187" s="2" t="str" cm="1">
        <f t="array" ref="G1187">_xlfn.IFS(F1187&lt;=8,"Child",F1187&lt;=17,"Teen",F1187&lt;=35,"Adult",F1187&lt;=55,"Seniour Adult",F1187&gt;=55,"Old Age")</f>
        <v>Seniour Adult</v>
      </c>
      <c r="H1187" t="s">
        <v>25</v>
      </c>
      <c r="I1187" t="s">
        <v>11</v>
      </c>
      <c r="J1187" t="str" cm="1">
        <f t="array" ref="J1187">_xlfn.IFS(I1187="S","Southamptom",I1187="Q","Quentown",I1187="C","Cherbrug",I1187="B","Cabin")</f>
        <v>Southamptom</v>
      </c>
      <c r="K1187" t="s">
        <v>12</v>
      </c>
      <c r="L1187" s="2">
        <v>52</v>
      </c>
      <c r="M1187" s="2" t="str" cm="1">
        <f t="array" ref="M1187">_xlfn.IFS(L1187&lt;=15,"Low Fare",L1187&lt;=35,"Medium Fare",L1187&lt;=100,"High Fare",L1187&gt;=100,"Very High Fare")</f>
        <v>High Fare</v>
      </c>
      <c r="N1187" s="2">
        <v>1</v>
      </c>
      <c r="O1187" s="2">
        <v>0</v>
      </c>
      <c r="P1187">
        <f t="shared" si="73"/>
        <v>2</v>
      </c>
      <c r="Q1187" t="str">
        <f t="shared" si="74"/>
        <v>With Family</v>
      </c>
      <c r="R1187" t="str">
        <f t="shared" si="75"/>
        <v>Yes</v>
      </c>
      <c r="S1187" t="s">
        <v>16</v>
      </c>
    </row>
    <row r="1188" spans="1:19" hidden="1" x14ac:dyDescent="0.3">
      <c r="A1188" s="1" t="s">
        <v>883</v>
      </c>
      <c r="B1188" t="s">
        <v>1596</v>
      </c>
      <c r="C1188" t="s">
        <v>2610</v>
      </c>
      <c r="D1188" t="str">
        <f t="shared" si="72"/>
        <v>Male</v>
      </c>
      <c r="E1188" t="s">
        <v>9</v>
      </c>
      <c r="F1188" s="2">
        <v>40</v>
      </c>
      <c r="G1188" s="2" t="str" cm="1">
        <f t="array" ref="G1188">_xlfn.IFS(F1188&lt;=8,"Child",F1188&lt;=17,"Teen",F1188&lt;=35,"Adult",F1188&lt;=55,"Seniour Adult",F1188&gt;=55,"Old Age")</f>
        <v>Seniour Adult</v>
      </c>
      <c r="H1188" t="s">
        <v>18</v>
      </c>
      <c r="I1188" t="s">
        <v>11</v>
      </c>
      <c r="J1188" t="str" cm="1">
        <f t="array" ref="J1188">_xlfn.IFS(I1188="S","Southamptom",I1188="Q","Quentown",I1188="C","Cherbrug",I1188="B","Cabin")</f>
        <v>Southamptom</v>
      </c>
      <c r="K1188" t="s">
        <v>15</v>
      </c>
      <c r="L1188" s="2">
        <v>33</v>
      </c>
      <c r="M1188" s="2" t="str" cm="1">
        <f t="array" ref="M1188">_xlfn.IFS(L1188&lt;=15,"Low Fare",L1188&lt;=35,"Medium Fare",L1188&lt;=100,"High Fare",L1188&gt;=100,"Very High Fare")</f>
        <v>Medium Fare</v>
      </c>
      <c r="N1188" s="2">
        <v>1</v>
      </c>
      <c r="O1188" s="2" t="s">
        <v>30</v>
      </c>
      <c r="P1188" t="e">
        <f t="shared" si="73"/>
        <v>#VALUE!</v>
      </c>
      <c r="Q1188" t="e">
        <f t="shared" si="74"/>
        <v>#VALUE!</v>
      </c>
      <c r="R1188" t="str">
        <f t="shared" si="75"/>
        <v>No</v>
      </c>
      <c r="S1188" t="s">
        <v>13</v>
      </c>
    </row>
    <row r="1189" spans="1:19" x14ac:dyDescent="0.3">
      <c r="A1189" s="1" t="s">
        <v>883</v>
      </c>
      <c r="B1189" t="s">
        <v>1600</v>
      </c>
      <c r="C1189" t="s">
        <v>2611</v>
      </c>
      <c r="D1189" t="str">
        <f t="shared" si="72"/>
        <v>Female</v>
      </c>
      <c r="E1189" t="s">
        <v>14</v>
      </c>
      <c r="F1189" s="2">
        <v>49</v>
      </c>
      <c r="G1189" s="2" t="str" cm="1">
        <f t="array" ref="G1189">_xlfn.IFS(F1189&lt;=8,"Child",F1189&lt;=17,"Teen",F1189&lt;=35,"Adult",F1189&lt;=55,"Seniour Adult",F1189&gt;=55,"Old Age")</f>
        <v>Seniour Adult</v>
      </c>
      <c r="H1189" t="s">
        <v>25</v>
      </c>
      <c r="I1189" t="s">
        <v>11</v>
      </c>
      <c r="J1189" t="str" cm="1">
        <f t="array" ref="J1189">_xlfn.IFS(I1189="S","Southamptom",I1189="Q","Quentown",I1189="C","Cherbrug",I1189="B","Cabin")</f>
        <v>Southamptom</v>
      </c>
      <c r="K1189" t="s">
        <v>12</v>
      </c>
      <c r="L1189" s="2">
        <v>52</v>
      </c>
      <c r="M1189" s="2" t="str" cm="1">
        <f t="array" ref="M1189">_xlfn.IFS(L1189&lt;=15,"Low Fare",L1189&lt;=35,"Medium Fare",L1189&lt;=100,"High Fare",L1189&gt;=100,"Very High Fare")</f>
        <v>High Fare</v>
      </c>
      <c r="N1189" s="2">
        <v>1</v>
      </c>
      <c r="O1189" s="2">
        <v>0</v>
      </c>
      <c r="P1189">
        <f t="shared" si="73"/>
        <v>2</v>
      </c>
      <c r="Q1189" t="str">
        <f t="shared" si="74"/>
        <v>With Family</v>
      </c>
      <c r="R1189" t="str">
        <f t="shared" si="75"/>
        <v>Yes</v>
      </c>
      <c r="S1189" t="s">
        <v>16</v>
      </c>
    </row>
    <row r="1190" spans="1:19" x14ac:dyDescent="0.3">
      <c r="A1190" s="1" t="s">
        <v>884</v>
      </c>
      <c r="B1190" t="s">
        <v>1596</v>
      </c>
      <c r="C1190" t="s">
        <v>2612</v>
      </c>
      <c r="D1190" t="str">
        <f t="shared" si="72"/>
        <v>Male</v>
      </c>
      <c r="E1190" t="s">
        <v>9</v>
      </c>
      <c r="F1190" s="2">
        <v>25</v>
      </c>
      <c r="G1190" s="2" t="str" cm="1">
        <f t="array" ref="G1190">_xlfn.IFS(F1190&lt;=8,"Child",F1190&lt;=17,"Teen",F1190&lt;=35,"Adult",F1190&lt;=55,"Seniour Adult",F1190&gt;=55,"Old Age")</f>
        <v>Adult</v>
      </c>
      <c r="H1190" t="s">
        <v>10</v>
      </c>
      <c r="I1190" t="s">
        <v>11</v>
      </c>
      <c r="J1190" t="str" cm="1">
        <f t="array" ref="J1190">_xlfn.IFS(I1190="S","Southamptom",I1190="Q","Quentown",I1190="C","Cherbrug",I1190="B","Cabin")</f>
        <v>Southamptom</v>
      </c>
      <c r="K1190" t="s">
        <v>23</v>
      </c>
      <c r="L1190" s="2">
        <v>7.1510999999999996</v>
      </c>
      <c r="M1190" s="2" t="str" cm="1">
        <f t="array" ref="M1190">_xlfn.IFS(L1190&lt;=15,"Low Fare",L1190&lt;=35,"Medium Fare",L1190&lt;=100,"High Fare",L1190&gt;=100,"Very High Fare")</f>
        <v>Low Fare</v>
      </c>
      <c r="N1190" s="2">
        <v>0</v>
      </c>
      <c r="O1190" s="2">
        <v>0</v>
      </c>
      <c r="P1190">
        <f t="shared" si="73"/>
        <v>1</v>
      </c>
      <c r="Q1190" t="str">
        <f t="shared" si="74"/>
        <v>Alone</v>
      </c>
      <c r="R1190" t="str">
        <f t="shared" si="75"/>
        <v>Yes</v>
      </c>
      <c r="S1190" t="s">
        <v>16</v>
      </c>
    </row>
    <row r="1191" spans="1:19" x14ac:dyDescent="0.3">
      <c r="A1191" s="1" t="s">
        <v>885</v>
      </c>
      <c r="B1191" t="s">
        <v>1596</v>
      </c>
      <c r="C1191" t="s">
        <v>2613</v>
      </c>
      <c r="D1191" t="str">
        <f t="shared" si="72"/>
        <v>Male</v>
      </c>
      <c r="E1191" t="s">
        <v>9</v>
      </c>
      <c r="F1191" s="2">
        <v>49</v>
      </c>
      <c r="G1191" s="2" t="str" cm="1">
        <f t="array" ref="G1191">_xlfn.IFS(F1191&lt;=8,"Child",F1191&lt;=17,"Teen",F1191&lt;=35,"Adult",F1191&lt;=55,"Seniour Adult",F1191&gt;=55,"Old Age")</f>
        <v>Seniour Adult</v>
      </c>
      <c r="H1191" t="s">
        <v>25</v>
      </c>
      <c r="I1191" t="s">
        <v>19</v>
      </c>
      <c r="J1191" t="str" cm="1">
        <f t="array" ref="J1191">_xlfn.IFS(I1191="S","Southamptom",I1191="Q","Quentown",I1191="C","Cherbrug",I1191="B","Cabin")</f>
        <v>Cherbrug</v>
      </c>
      <c r="K1191" t="s">
        <v>12</v>
      </c>
      <c r="L1191" s="2">
        <v>110.1708</v>
      </c>
      <c r="M1191" s="2" t="str" cm="1">
        <f t="array" ref="M1191">_xlfn.IFS(L1191&lt;=15,"Low Fare",L1191&lt;=35,"Medium Fare",L1191&lt;=100,"High Fare",L1191&gt;=100,"Very High Fare")</f>
        <v>Very High Fare</v>
      </c>
      <c r="N1191" s="2">
        <v>1</v>
      </c>
      <c r="O1191" s="2">
        <v>1</v>
      </c>
      <c r="P1191">
        <f t="shared" si="73"/>
        <v>3</v>
      </c>
      <c r="Q1191" t="str">
        <f t="shared" si="74"/>
        <v>With Family</v>
      </c>
      <c r="R1191" t="str">
        <f t="shared" si="75"/>
        <v>No</v>
      </c>
      <c r="S1191" t="s">
        <v>13</v>
      </c>
    </row>
    <row r="1192" spans="1:19" x14ac:dyDescent="0.3">
      <c r="A1192" s="1" t="s">
        <v>885</v>
      </c>
      <c r="B1192" t="s">
        <v>1596</v>
      </c>
      <c r="C1192" t="s">
        <v>2614</v>
      </c>
      <c r="D1192" t="str">
        <f t="shared" si="72"/>
        <v>Male</v>
      </c>
      <c r="E1192" t="s">
        <v>9</v>
      </c>
      <c r="F1192" s="2">
        <v>17</v>
      </c>
      <c r="G1192" s="2" t="str" cm="1">
        <f t="array" ref="G1192">_xlfn.IFS(F1192&lt;=8,"Child",F1192&lt;=17,"Teen",F1192&lt;=35,"Adult",F1192&lt;=55,"Seniour Adult",F1192&gt;=55,"Old Age")</f>
        <v>Teen</v>
      </c>
      <c r="H1192" t="s">
        <v>25</v>
      </c>
      <c r="I1192" t="s">
        <v>19</v>
      </c>
      <c r="J1192" t="str" cm="1">
        <f t="array" ref="J1192">_xlfn.IFS(I1192="S","Southamptom",I1192="Q","Quentown",I1192="C","Cherbrug",I1192="B","Cabin")</f>
        <v>Cherbrug</v>
      </c>
      <c r="K1192" t="s">
        <v>12</v>
      </c>
      <c r="L1192" s="2">
        <v>110.1708</v>
      </c>
      <c r="M1192" s="2" t="str" cm="1">
        <f t="array" ref="M1192">_xlfn.IFS(L1192&lt;=15,"Low Fare",L1192&lt;=35,"Medium Fare",L1192&lt;=100,"High Fare",L1192&gt;=100,"Very High Fare")</f>
        <v>Very High Fare</v>
      </c>
      <c r="N1192" s="2">
        <v>0</v>
      </c>
      <c r="O1192" s="2">
        <v>2</v>
      </c>
      <c r="P1192">
        <f t="shared" si="73"/>
        <v>3</v>
      </c>
      <c r="Q1192" t="str">
        <f t="shared" si="74"/>
        <v>With Family</v>
      </c>
      <c r="R1192" t="str">
        <f t="shared" si="75"/>
        <v>Yes</v>
      </c>
      <c r="S1192" t="s">
        <v>16</v>
      </c>
    </row>
    <row r="1193" spans="1:19" x14ac:dyDescent="0.3">
      <c r="A1193" s="1" t="s">
        <v>885</v>
      </c>
      <c r="B1193" t="s">
        <v>1600</v>
      </c>
      <c r="C1193" t="s">
        <v>2615</v>
      </c>
      <c r="D1193" t="str">
        <f t="shared" si="72"/>
        <v>Female</v>
      </c>
      <c r="E1193" t="s">
        <v>14</v>
      </c>
      <c r="F1193" s="2">
        <v>39</v>
      </c>
      <c r="G1193" s="2" t="str" cm="1">
        <f t="array" ref="G1193">_xlfn.IFS(F1193&lt;=8,"Child",F1193&lt;=17,"Teen",F1193&lt;=35,"Adult",F1193&lt;=55,"Seniour Adult",F1193&gt;=55,"Old Age")</f>
        <v>Seniour Adult</v>
      </c>
      <c r="H1193" t="s">
        <v>25</v>
      </c>
      <c r="I1193" t="s">
        <v>19</v>
      </c>
      <c r="J1193" t="str" cm="1">
        <f t="array" ref="J1193">_xlfn.IFS(I1193="S","Southamptom",I1193="Q","Quentown",I1193="C","Cherbrug",I1193="B","Cabin")</f>
        <v>Cherbrug</v>
      </c>
      <c r="K1193" t="s">
        <v>12</v>
      </c>
      <c r="L1193" s="2">
        <v>110.1708</v>
      </c>
      <c r="M1193" s="2" t="str" cm="1">
        <f t="array" ref="M1193">_xlfn.IFS(L1193&lt;=15,"Low Fare",L1193&lt;=35,"Medium Fare",L1193&lt;=100,"High Fare",L1193&gt;=100,"Very High Fare")</f>
        <v>Very High Fare</v>
      </c>
      <c r="N1193" s="2">
        <v>1</v>
      </c>
      <c r="O1193" s="2">
        <v>1</v>
      </c>
      <c r="P1193">
        <f t="shared" si="73"/>
        <v>3</v>
      </c>
      <c r="Q1193" t="str">
        <f t="shared" si="74"/>
        <v>With Family</v>
      </c>
      <c r="R1193" t="str">
        <f t="shared" si="75"/>
        <v>Yes</v>
      </c>
      <c r="S1193" t="s">
        <v>16</v>
      </c>
    </row>
    <row r="1194" spans="1:19" x14ac:dyDescent="0.3">
      <c r="A1194" s="1" t="s">
        <v>886</v>
      </c>
      <c r="B1194" t="s">
        <v>1596</v>
      </c>
      <c r="C1194" t="s">
        <v>2616</v>
      </c>
      <c r="D1194" t="str">
        <f t="shared" si="72"/>
        <v>Male</v>
      </c>
      <c r="E1194" t="s">
        <v>9</v>
      </c>
      <c r="F1194" s="2">
        <v>34</v>
      </c>
      <c r="G1194" s="2" t="str" cm="1">
        <f t="array" ref="G1194">_xlfn.IFS(F1194&lt;=8,"Child",F1194&lt;=17,"Teen",F1194&lt;=35,"Adult",F1194&lt;=55,"Seniour Adult",F1194&gt;=55,"Old Age")</f>
        <v>Adult</v>
      </c>
      <c r="H1194" t="s">
        <v>10</v>
      </c>
      <c r="I1194" t="s">
        <v>11</v>
      </c>
      <c r="J1194" t="str" cm="1">
        <f t="array" ref="J1194">_xlfn.IFS(I1194="S","Southamptom",I1194="Q","Quentown",I1194="C","Cherbrug",I1194="B","Cabin")</f>
        <v>Southamptom</v>
      </c>
      <c r="K1194" t="s">
        <v>15</v>
      </c>
      <c r="L1194" s="2">
        <v>8.01</v>
      </c>
      <c r="M1194" s="2" t="str" cm="1">
        <f t="array" ref="M1194">_xlfn.IFS(L1194&lt;=15,"Low Fare",L1194&lt;=35,"Medium Fare",L1194&lt;=100,"High Fare",L1194&gt;=100,"Very High Fare")</f>
        <v>Low Fare</v>
      </c>
      <c r="N1194" s="2">
        <v>0</v>
      </c>
      <c r="O1194" s="2">
        <v>0</v>
      </c>
      <c r="P1194">
        <f t="shared" si="73"/>
        <v>1</v>
      </c>
      <c r="Q1194" t="str">
        <f t="shared" si="74"/>
        <v>Alone</v>
      </c>
      <c r="R1194" t="str">
        <f t="shared" si="75"/>
        <v>No</v>
      </c>
      <c r="S1194" t="s">
        <v>13</v>
      </c>
    </row>
    <row r="1195" spans="1:19" x14ac:dyDescent="0.3">
      <c r="A1195" s="1" t="s">
        <v>887</v>
      </c>
      <c r="B1195" t="s">
        <v>1596</v>
      </c>
      <c r="C1195" t="s">
        <v>1610</v>
      </c>
      <c r="D1195" t="str">
        <f t="shared" si="72"/>
        <v>Male</v>
      </c>
      <c r="E1195" t="s">
        <v>9</v>
      </c>
      <c r="F1195" s="2">
        <v>34</v>
      </c>
      <c r="G1195" s="2" t="str" cm="1">
        <f t="array" ref="G1195">_xlfn.IFS(F1195&lt;=8,"Child",F1195&lt;=17,"Teen",F1195&lt;=35,"Adult",F1195&lt;=55,"Seniour Adult",F1195&gt;=55,"Old Age")</f>
        <v>Adult</v>
      </c>
      <c r="H1195" t="s">
        <v>10</v>
      </c>
      <c r="I1195" t="s">
        <v>19</v>
      </c>
      <c r="J1195" t="str" cm="1">
        <f t="array" ref="J1195">_xlfn.IFS(I1195="S","Southamptom",I1195="Q","Quentown",I1195="C","Cherbrug",I1195="B","Cabin")</f>
        <v>Cherbrug</v>
      </c>
      <c r="K1195" t="s">
        <v>15</v>
      </c>
      <c r="L1195" s="2">
        <v>6.0808999999999997</v>
      </c>
      <c r="M1195" s="2" t="str" cm="1">
        <f t="array" ref="M1195">_xlfn.IFS(L1195&lt;=15,"Low Fare",L1195&lt;=35,"Medium Fare",L1195&lt;=100,"High Fare",L1195&gt;=100,"Very High Fare")</f>
        <v>Low Fare</v>
      </c>
      <c r="N1195" s="2">
        <v>0</v>
      </c>
      <c r="O1195" s="2">
        <v>0</v>
      </c>
      <c r="P1195">
        <f t="shared" si="73"/>
        <v>1</v>
      </c>
      <c r="Q1195" t="str">
        <f t="shared" si="74"/>
        <v>Alone</v>
      </c>
      <c r="R1195" t="str">
        <f t="shared" si="75"/>
        <v>No</v>
      </c>
      <c r="S1195" t="s">
        <v>13</v>
      </c>
    </row>
    <row r="1196" spans="1:19" x14ac:dyDescent="0.3">
      <c r="A1196" s="1" t="s">
        <v>887</v>
      </c>
      <c r="B1196" t="s">
        <v>1596</v>
      </c>
      <c r="C1196" t="s">
        <v>1882</v>
      </c>
      <c r="D1196" t="str">
        <f t="shared" si="72"/>
        <v>Male</v>
      </c>
      <c r="E1196" t="s">
        <v>9</v>
      </c>
      <c r="F1196" s="2">
        <v>16</v>
      </c>
      <c r="G1196" s="2" t="str" cm="1">
        <f t="array" ref="G1196">_xlfn.IFS(F1196&lt;=8,"Child",F1196&lt;=17,"Teen",F1196&lt;=35,"Adult",F1196&lt;=55,"Seniour Adult",F1196&gt;=55,"Old Age")</f>
        <v>Teen</v>
      </c>
      <c r="H1196" t="s">
        <v>10</v>
      </c>
      <c r="I1196" t="s">
        <v>19</v>
      </c>
      <c r="J1196" t="str" cm="1">
        <f t="array" ref="J1196">_xlfn.IFS(I1196="S","Southamptom",I1196="Q","Quentown",I1196="C","Cherbrug",I1196="B","Cabin")</f>
        <v>Cherbrug</v>
      </c>
      <c r="K1196" t="s">
        <v>15</v>
      </c>
      <c r="L1196" s="2">
        <v>7.0406000000000004</v>
      </c>
      <c r="M1196" s="2" t="str" cm="1">
        <f t="array" ref="M1196">_xlfn.IFS(L1196&lt;=15,"Low Fare",L1196&lt;=35,"Medium Fare",L1196&lt;=100,"High Fare",L1196&gt;=100,"Very High Fare")</f>
        <v>Low Fare</v>
      </c>
      <c r="N1196" s="2">
        <v>0</v>
      </c>
      <c r="O1196" s="2">
        <v>0</v>
      </c>
      <c r="P1196">
        <f t="shared" si="73"/>
        <v>1</v>
      </c>
      <c r="Q1196" t="str">
        <f t="shared" si="74"/>
        <v>Alone</v>
      </c>
      <c r="R1196" t="str">
        <f t="shared" si="75"/>
        <v>No</v>
      </c>
      <c r="S1196" t="s">
        <v>13</v>
      </c>
    </row>
    <row r="1197" spans="1:19" x14ac:dyDescent="0.3">
      <c r="A1197" s="1" t="s">
        <v>888</v>
      </c>
      <c r="B1197" t="s">
        <v>1596</v>
      </c>
      <c r="C1197" t="s">
        <v>2617</v>
      </c>
      <c r="D1197" t="str">
        <f t="shared" si="72"/>
        <v>Male</v>
      </c>
      <c r="E1197" t="s">
        <v>9</v>
      </c>
      <c r="F1197" s="2">
        <v>37</v>
      </c>
      <c r="G1197" s="2" t="str" cm="1">
        <f t="array" ref="G1197">_xlfn.IFS(F1197&lt;=8,"Child",F1197&lt;=17,"Teen",F1197&lt;=35,"Adult",F1197&lt;=55,"Seniour Adult",F1197&gt;=55,"Old Age")</f>
        <v>Seniour Adult</v>
      </c>
      <c r="H1197" t="s">
        <v>10</v>
      </c>
      <c r="I1197" t="s">
        <v>11</v>
      </c>
      <c r="J1197" t="str" cm="1">
        <f t="array" ref="J1197">_xlfn.IFS(I1197="S","Southamptom",I1197="Q","Quentown",I1197="C","Cherbrug",I1197="B","Cabin")</f>
        <v>Southamptom</v>
      </c>
      <c r="K1197" t="s">
        <v>43</v>
      </c>
      <c r="L1197" s="2">
        <v>8.01</v>
      </c>
      <c r="M1197" s="2" t="str" cm="1">
        <f t="array" ref="M1197">_xlfn.IFS(L1197&lt;=15,"Low Fare",L1197&lt;=35,"Medium Fare",L1197&lt;=100,"High Fare",L1197&gt;=100,"Very High Fare")</f>
        <v>Low Fare</v>
      </c>
      <c r="N1197" s="2">
        <v>0</v>
      </c>
      <c r="O1197" s="2">
        <v>0</v>
      </c>
      <c r="P1197">
        <f t="shared" si="73"/>
        <v>1</v>
      </c>
      <c r="Q1197" t="str">
        <f t="shared" si="74"/>
        <v>Alone</v>
      </c>
      <c r="R1197" t="str">
        <f t="shared" si="75"/>
        <v>No</v>
      </c>
      <c r="S1197" t="s">
        <v>13</v>
      </c>
    </row>
    <row r="1198" spans="1:19" x14ac:dyDescent="0.3">
      <c r="A1198" s="1" t="s">
        <v>889</v>
      </c>
      <c r="B1198" t="s">
        <v>1602</v>
      </c>
      <c r="C1198" t="s">
        <v>2618</v>
      </c>
      <c r="D1198" t="str">
        <f t="shared" si="72"/>
        <v>Female</v>
      </c>
      <c r="E1198" t="s">
        <v>14</v>
      </c>
      <c r="F1198" s="2">
        <v>38</v>
      </c>
      <c r="G1198" s="2" t="str" cm="1">
        <f t="array" ref="G1198">_xlfn.IFS(F1198&lt;=8,"Child",F1198&lt;=17,"Teen",F1198&lt;=35,"Adult",F1198&lt;=55,"Seniour Adult",F1198&gt;=55,"Old Age")</f>
        <v>Seniour Adult</v>
      </c>
      <c r="H1198" t="s">
        <v>25</v>
      </c>
      <c r="I1198" t="s">
        <v>19</v>
      </c>
      <c r="J1198" t="str" cm="1">
        <f t="array" ref="J1198">_xlfn.IFS(I1198="S","Southamptom",I1198="Q","Quentown",I1198="C","Cherbrug",I1198="B","Cabin")</f>
        <v>Cherbrug</v>
      </c>
      <c r="K1198" t="s">
        <v>12</v>
      </c>
      <c r="L1198" s="2">
        <v>80</v>
      </c>
      <c r="M1198" s="2" t="str" cm="1">
        <f t="array" ref="M1198">_xlfn.IFS(L1198&lt;=15,"Low Fare",L1198&lt;=35,"Medium Fare",L1198&lt;=100,"High Fare",L1198&gt;=100,"Very High Fare")</f>
        <v>High Fare</v>
      </c>
      <c r="N1198" s="2">
        <v>0</v>
      </c>
      <c r="O1198" s="2">
        <v>0</v>
      </c>
      <c r="P1198">
        <f t="shared" si="73"/>
        <v>1</v>
      </c>
      <c r="Q1198" t="str">
        <f t="shared" si="74"/>
        <v>Alone</v>
      </c>
      <c r="R1198" t="str">
        <f t="shared" si="75"/>
        <v>Yes</v>
      </c>
      <c r="S1198" t="s">
        <v>16</v>
      </c>
    </row>
    <row r="1199" spans="1:19" x14ac:dyDescent="0.3">
      <c r="A1199" s="1" t="s">
        <v>890</v>
      </c>
      <c r="B1199" t="s">
        <v>1596</v>
      </c>
      <c r="C1199" t="s">
        <v>2533</v>
      </c>
      <c r="D1199" t="str">
        <f t="shared" si="72"/>
        <v>Male</v>
      </c>
      <c r="E1199" t="s">
        <v>9</v>
      </c>
      <c r="F1199" s="2">
        <v>37</v>
      </c>
      <c r="G1199" s="2" t="str" cm="1">
        <f t="array" ref="G1199">_xlfn.IFS(F1199&lt;=8,"Child",F1199&lt;=17,"Teen",F1199&lt;=35,"Adult",F1199&lt;=55,"Seniour Adult",F1199&gt;=55,"Old Age")</f>
        <v>Seniour Adult</v>
      </c>
      <c r="H1199" t="s">
        <v>10</v>
      </c>
      <c r="I1199" t="s">
        <v>11</v>
      </c>
      <c r="J1199" t="str" cm="1">
        <f t="array" ref="J1199">_xlfn.IFS(I1199="S","Southamptom",I1199="Q","Quentown",I1199="C","Cherbrug",I1199="B","Cabin")</f>
        <v>Southamptom</v>
      </c>
      <c r="K1199" t="s">
        <v>15</v>
      </c>
      <c r="L1199" s="2">
        <v>16.02</v>
      </c>
      <c r="M1199" s="2" t="str" cm="1">
        <f t="array" ref="M1199">_xlfn.IFS(L1199&lt;=15,"Low Fare",L1199&lt;=35,"Medium Fare",L1199&lt;=100,"High Fare",L1199&gt;=100,"Very High Fare")</f>
        <v>Medium Fare</v>
      </c>
      <c r="N1199" s="2">
        <v>1</v>
      </c>
      <c r="O1199" s="2">
        <v>0</v>
      </c>
      <c r="P1199">
        <f t="shared" si="73"/>
        <v>2</v>
      </c>
      <c r="Q1199" t="str">
        <f t="shared" si="74"/>
        <v>With Family</v>
      </c>
      <c r="R1199" t="str">
        <f t="shared" si="75"/>
        <v>No</v>
      </c>
      <c r="S1199" t="s">
        <v>13</v>
      </c>
    </row>
    <row r="1200" spans="1:19" x14ac:dyDescent="0.3">
      <c r="A1200" s="1" t="s">
        <v>890</v>
      </c>
      <c r="B1200" t="s">
        <v>1600</v>
      </c>
      <c r="C1200" t="s">
        <v>2619</v>
      </c>
      <c r="D1200" t="str">
        <f t="shared" si="72"/>
        <v>Female</v>
      </c>
      <c r="E1200" t="s">
        <v>14</v>
      </c>
      <c r="F1200" s="2">
        <v>33</v>
      </c>
      <c r="G1200" s="2" t="str" cm="1">
        <f t="array" ref="G1200">_xlfn.IFS(F1200&lt;=8,"Child",F1200&lt;=17,"Teen",F1200&lt;=35,"Adult",F1200&lt;=55,"Seniour Adult",F1200&gt;=55,"Old Age")</f>
        <v>Adult</v>
      </c>
      <c r="H1200" t="s">
        <v>10</v>
      </c>
      <c r="I1200" t="s">
        <v>11</v>
      </c>
      <c r="J1200" t="str" cm="1">
        <f t="array" ref="J1200">_xlfn.IFS(I1200="S","Southamptom",I1200="Q","Quentown",I1200="C","Cherbrug",I1200="B","Cabin")</f>
        <v>Southamptom</v>
      </c>
      <c r="K1200" t="s">
        <v>15</v>
      </c>
      <c r="L1200" s="2">
        <v>16.02</v>
      </c>
      <c r="M1200" s="2" t="str" cm="1">
        <f t="array" ref="M1200">_xlfn.IFS(L1200&lt;=15,"Low Fare",L1200&lt;=35,"Medium Fare",L1200&lt;=100,"High Fare",L1200&gt;=100,"Very High Fare")</f>
        <v>Medium Fare</v>
      </c>
      <c r="N1200" s="2">
        <v>1</v>
      </c>
      <c r="O1200" s="2">
        <v>0</v>
      </c>
      <c r="P1200">
        <f t="shared" si="73"/>
        <v>2</v>
      </c>
      <c r="Q1200" t="str">
        <f t="shared" si="74"/>
        <v>With Family</v>
      </c>
      <c r="R1200" t="str">
        <f t="shared" si="75"/>
        <v>Yes</v>
      </c>
      <c r="S1200" t="s">
        <v>16</v>
      </c>
    </row>
    <row r="1201" spans="1:19" x14ac:dyDescent="0.3">
      <c r="A1201" s="1" t="s">
        <v>891</v>
      </c>
      <c r="B1201" t="s">
        <v>1596</v>
      </c>
      <c r="C1201" t="s">
        <v>2620</v>
      </c>
      <c r="D1201" t="str">
        <f t="shared" si="72"/>
        <v>Male</v>
      </c>
      <c r="E1201" t="s">
        <v>9</v>
      </c>
      <c r="F1201" s="2">
        <v>32</v>
      </c>
      <c r="G1201" s="2" t="str" cm="1">
        <f t="array" ref="G1201">_xlfn.IFS(F1201&lt;=8,"Child",F1201&lt;=17,"Teen",F1201&lt;=35,"Adult",F1201&lt;=55,"Seniour Adult",F1201&gt;=55,"Old Age")</f>
        <v>Adult</v>
      </c>
      <c r="H1201" t="s">
        <v>10</v>
      </c>
      <c r="I1201" t="s">
        <v>11</v>
      </c>
      <c r="J1201" t="str" cm="1">
        <f t="array" ref="J1201">_xlfn.IFS(I1201="S","Southamptom",I1201="Q","Quentown",I1201="C","Cherbrug",I1201="B","Cabin")</f>
        <v>Southamptom</v>
      </c>
      <c r="K1201" t="s">
        <v>22</v>
      </c>
      <c r="L1201" s="2">
        <v>7.1806000000000001</v>
      </c>
      <c r="M1201" s="2" t="str" cm="1">
        <f t="array" ref="M1201">_xlfn.IFS(L1201&lt;=15,"Low Fare",L1201&lt;=35,"Medium Fare",L1201&lt;=100,"High Fare",L1201&gt;=100,"Very High Fare")</f>
        <v>Low Fare</v>
      </c>
      <c r="N1201" s="2">
        <v>0</v>
      </c>
      <c r="O1201" s="2">
        <v>0</v>
      </c>
      <c r="P1201">
        <f t="shared" si="73"/>
        <v>1</v>
      </c>
      <c r="Q1201" t="str">
        <f t="shared" si="74"/>
        <v>Alone</v>
      </c>
      <c r="R1201" t="str">
        <f t="shared" si="75"/>
        <v>No</v>
      </c>
      <c r="S1201" t="s">
        <v>13</v>
      </c>
    </row>
    <row r="1202" spans="1:19" x14ac:dyDescent="0.3">
      <c r="A1202" s="1" t="s">
        <v>892</v>
      </c>
      <c r="B1202" t="s">
        <v>1596</v>
      </c>
      <c r="C1202" t="s">
        <v>2621</v>
      </c>
      <c r="D1202" t="str">
        <f t="shared" si="72"/>
        <v>Male</v>
      </c>
      <c r="E1202" t="s">
        <v>9</v>
      </c>
      <c r="F1202" s="2">
        <v>20</v>
      </c>
      <c r="G1202" s="2" t="str" cm="1">
        <f t="array" ref="G1202">_xlfn.IFS(F1202&lt;=8,"Child",F1202&lt;=17,"Teen",F1202&lt;=35,"Adult",F1202&lt;=55,"Seniour Adult",F1202&gt;=55,"Old Age")</f>
        <v>Adult</v>
      </c>
      <c r="H1202" t="s">
        <v>10</v>
      </c>
      <c r="I1202" t="s">
        <v>36</v>
      </c>
      <c r="J1202" t="str" cm="1">
        <f t="array" ref="J1202">_xlfn.IFS(I1202="S","Southamptom",I1202="Q","Quentown",I1202="C","Cherbrug",I1202="B","Cabin")</f>
        <v>Quentown</v>
      </c>
      <c r="K1202" t="s">
        <v>37</v>
      </c>
      <c r="L1202" s="2">
        <v>7.15</v>
      </c>
      <c r="M1202" s="2" t="str" cm="1">
        <f t="array" ref="M1202">_xlfn.IFS(L1202&lt;=15,"Low Fare",L1202&lt;=35,"Medium Fare",L1202&lt;=100,"High Fare",L1202&gt;=100,"Very High Fare")</f>
        <v>Low Fare</v>
      </c>
      <c r="N1202" s="2">
        <v>0</v>
      </c>
      <c r="O1202" s="2">
        <v>0</v>
      </c>
      <c r="P1202">
        <f t="shared" si="73"/>
        <v>1</v>
      </c>
      <c r="Q1202" t="str">
        <f t="shared" si="74"/>
        <v>Alone</v>
      </c>
      <c r="R1202" t="str">
        <f t="shared" si="75"/>
        <v>No</v>
      </c>
      <c r="S1202" t="s">
        <v>13</v>
      </c>
    </row>
    <row r="1203" spans="1:19" x14ac:dyDescent="0.3">
      <c r="A1203" s="1" t="s">
        <v>893</v>
      </c>
      <c r="B1203" t="s">
        <v>1596</v>
      </c>
      <c r="C1203" t="s">
        <v>2164</v>
      </c>
      <c r="D1203" t="str">
        <f t="shared" si="72"/>
        <v>Male</v>
      </c>
      <c r="E1203" t="s">
        <v>9</v>
      </c>
      <c r="F1203" s="2">
        <v>23</v>
      </c>
      <c r="G1203" s="2" t="str" cm="1">
        <f t="array" ref="G1203">_xlfn.IFS(F1203&lt;=8,"Child",F1203&lt;=17,"Teen",F1203&lt;=35,"Adult",F1203&lt;=55,"Seniour Adult",F1203&gt;=55,"Old Age")</f>
        <v>Adult</v>
      </c>
      <c r="H1203" t="s">
        <v>10</v>
      </c>
      <c r="I1203" t="s">
        <v>11</v>
      </c>
      <c r="J1203" t="str" cm="1">
        <f t="array" ref="J1203">_xlfn.IFS(I1203="S","Southamptom",I1203="Q","Quentown",I1203="C","Cherbrug",I1203="B","Cabin")</f>
        <v>Southamptom</v>
      </c>
      <c r="K1203" t="s">
        <v>31</v>
      </c>
      <c r="L1203" s="2">
        <v>7.1711</v>
      </c>
      <c r="M1203" s="2" t="str" cm="1">
        <f t="array" ref="M1203">_xlfn.IFS(L1203&lt;=15,"Low Fare",L1203&lt;=35,"Medium Fare",L1203&lt;=100,"High Fare",L1203&gt;=100,"Very High Fare")</f>
        <v>Low Fare</v>
      </c>
      <c r="N1203" s="2">
        <v>0</v>
      </c>
      <c r="O1203" s="2">
        <v>0</v>
      </c>
      <c r="P1203">
        <f t="shared" si="73"/>
        <v>1</v>
      </c>
      <c r="Q1203" t="str">
        <f t="shared" si="74"/>
        <v>Alone</v>
      </c>
      <c r="R1203" t="str">
        <f t="shared" si="75"/>
        <v>No</v>
      </c>
      <c r="S1203" t="s">
        <v>13</v>
      </c>
    </row>
    <row r="1204" spans="1:19" x14ac:dyDescent="0.3">
      <c r="A1204" s="1" t="s">
        <v>894</v>
      </c>
      <c r="B1204" t="s">
        <v>1596</v>
      </c>
      <c r="C1204" t="s">
        <v>2622</v>
      </c>
      <c r="D1204" t="str">
        <f t="shared" si="72"/>
        <v>Male</v>
      </c>
      <c r="E1204" t="s">
        <v>9</v>
      </c>
      <c r="F1204" s="2">
        <v>22</v>
      </c>
      <c r="G1204" s="2" t="str" cm="1">
        <f t="array" ref="G1204">_xlfn.IFS(F1204&lt;=8,"Child",F1204&lt;=17,"Teen",F1204&lt;=35,"Adult",F1204&lt;=55,"Seniour Adult",F1204&gt;=55,"Old Age")</f>
        <v>Adult</v>
      </c>
      <c r="H1204" t="s">
        <v>10</v>
      </c>
      <c r="I1204" t="s">
        <v>11</v>
      </c>
      <c r="J1204" t="str" cm="1">
        <f t="array" ref="J1204">_xlfn.IFS(I1204="S","Southamptom",I1204="Q","Quentown",I1204="C","Cherbrug",I1204="B","Cabin")</f>
        <v>Southamptom</v>
      </c>
      <c r="K1204" t="s">
        <v>15</v>
      </c>
      <c r="L1204" s="2">
        <v>8.01</v>
      </c>
      <c r="M1204" s="2" t="str" cm="1">
        <f t="array" ref="M1204">_xlfn.IFS(L1204&lt;=15,"Low Fare",L1204&lt;=35,"Medium Fare",L1204&lt;=100,"High Fare",L1204&gt;=100,"Very High Fare")</f>
        <v>Low Fare</v>
      </c>
      <c r="N1204" s="2">
        <v>0</v>
      </c>
      <c r="O1204" s="2">
        <v>0</v>
      </c>
      <c r="P1204">
        <f t="shared" si="73"/>
        <v>1</v>
      </c>
      <c r="Q1204" t="str">
        <f t="shared" si="74"/>
        <v>Alone</v>
      </c>
      <c r="R1204" t="str">
        <f t="shared" si="75"/>
        <v>No</v>
      </c>
      <c r="S1204" t="s">
        <v>13</v>
      </c>
    </row>
    <row r="1205" spans="1:19" x14ac:dyDescent="0.3">
      <c r="A1205" s="1" t="s">
        <v>895</v>
      </c>
      <c r="B1205" t="s">
        <v>1602</v>
      </c>
      <c r="C1205" t="s">
        <v>1689</v>
      </c>
      <c r="D1205" t="str">
        <f t="shared" si="72"/>
        <v>Female</v>
      </c>
      <c r="E1205" t="s">
        <v>14</v>
      </c>
      <c r="F1205" s="2">
        <v>48</v>
      </c>
      <c r="G1205" s="2" t="str" cm="1">
        <f t="array" ref="G1205">_xlfn.IFS(F1205&lt;=8,"Child",F1205&lt;=17,"Teen",F1205&lt;=35,"Adult",F1205&lt;=55,"Seniour Adult",F1205&gt;=55,"Old Age")</f>
        <v>Seniour Adult</v>
      </c>
      <c r="H1205" t="s">
        <v>18</v>
      </c>
      <c r="I1205" t="s">
        <v>11</v>
      </c>
      <c r="J1205" t="str" cm="1">
        <f t="array" ref="J1205">_xlfn.IFS(I1205="S","Southamptom",I1205="Q","Quentown",I1205="C","Cherbrug",I1205="B","Cabin")</f>
        <v>Southamptom</v>
      </c>
      <c r="K1205" t="s">
        <v>37</v>
      </c>
      <c r="L1205" s="2">
        <v>10.1</v>
      </c>
      <c r="M1205" s="2" t="str" cm="1">
        <f t="array" ref="M1205">_xlfn.IFS(L1205&lt;=15,"Low Fare",L1205&lt;=35,"Medium Fare",L1205&lt;=100,"High Fare",L1205&gt;=100,"Very High Fare")</f>
        <v>Low Fare</v>
      </c>
      <c r="N1205" s="2">
        <v>0</v>
      </c>
      <c r="O1205" s="2">
        <v>0</v>
      </c>
      <c r="P1205">
        <f t="shared" si="73"/>
        <v>1</v>
      </c>
      <c r="Q1205" t="str">
        <f t="shared" si="74"/>
        <v>Alone</v>
      </c>
      <c r="R1205" t="str">
        <f t="shared" si="75"/>
        <v>Yes</v>
      </c>
      <c r="S1205" t="s">
        <v>16</v>
      </c>
    </row>
    <row r="1206" spans="1:19" x14ac:dyDescent="0.3">
      <c r="A1206" s="1" t="s">
        <v>896</v>
      </c>
      <c r="B1206" t="s">
        <v>1596</v>
      </c>
      <c r="C1206" t="s">
        <v>2623</v>
      </c>
      <c r="D1206" t="str">
        <f t="shared" si="72"/>
        <v>Male</v>
      </c>
      <c r="E1206" t="s">
        <v>9</v>
      </c>
      <c r="F1206" s="2">
        <v>41</v>
      </c>
      <c r="G1206" s="2" t="str" cm="1">
        <f t="array" ref="G1206">_xlfn.IFS(F1206&lt;=8,"Child",F1206&lt;=17,"Teen",F1206&lt;=35,"Adult",F1206&lt;=55,"Seniour Adult",F1206&gt;=55,"Old Age")</f>
        <v>Seniour Adult</v>
      </c>
      <c r="H1206" t="s">
        <v>10</v>
      </c>
      <c r="I1206" t="s">
        <v>11</v>
      </c>
      <c r="J1206" t="str" cm="1">
        <f t="array" ref="J1206">_xlfn.IFS(I1206="S","Southamptom",I1206="Q","Quentown",I1206="C","Cherbrug",I1206="B","Cabin")</f>
        <v>Southamptom</v>
      </c>
      <c r="K1206" t="s">
        <v>15</v>
      </c>
      <c r="L1206" s="2">
        <v>8.01</v>
      </c>
      <c r="M1206" s="2" t="str" cm="1">
        <f t="array" ref="M1206">_xlfn.IFS(L1206&lt;=15,"Low Fare",L1206&lt;=35,"Medium Fare",L1206&lt;=100,"High Fare",L1206&gt;=100,"Very High Fare")</f>
        <v>Low Fare</v>
      </c>
      <c r="N1206" s="2">
        <v>0</v>
      </c>
      <c r="O1206" s="2">
        <v>0</v>
      </c>
      <c r="P1206">
        <f t="shared" si="73"/>
        <v>1</v>
      </c>
      <c r="Q1206" t="str">
        <f t="shared" si="74"/>
        <v>Alone</v>
      </c>
      <c r="R1206" t="str">
        <f t="shared" si="75"/>
        <v>No</v>
      </c>
      <c r="S1206" t="s">
        <v>13</v>
      </c>
    </row>
    <row r="1207" spans="1:19" x14ac:dyDescent="0.3">
      <c r="A1207" s="1" t="s">
        <v>897</v>
      </c>
      <c r="B1207" t="s">
        <v>1596</v>
      </c>
      <c r="C1207" t="s">
        <v>2624</v>
      </c>
      <c r="D1207" t="str">
        <f t="shared" si="72"/>
        <v>Male</v>
      </c>
      <c r="E1207" t="s">
        <v>9</v>
      </c>
      <c r="F1207" s="2">
        <v>20</v>
      </c>
      <c r="G1207" s="2" t="str" cm="1">
        <f t="array" ref="G1207">_xlfn.IFS(F1207&lt;=8,"Child",F1207&lt;=17,"Teen",F1207&lt;=35,"Adult",F1207&lt;=55,"Seniour Adult",F1207&gt;=55,"Old Age")</f>
        <v>Adult</v>
      </c>
      <c r="H1207" t="s">
        <v>10</v>
      </c>
      <c r="I1207" t="s">
        <v>19</v>
      </c>
      <c r="J1207" t="str" cm="1">
        <f t="array" ref="J1207">_xlfn.IFS(I1207="S","Southamptom",I1207="Q","Quentown",I1207="C","Cherbrug",I1207="B","Cabin")</f>
        <v>Cherbrug</v>
      </c>
      <c r="K1207" t="s">
        <v>21</v>
      </c>
      <c r="L1207" s="2">
        <v>7.0407000000000002</v>
      </c>
      <c r="M1207" s="2" t="str" cm="1">
        <f t="array" ref="M1207">_xlfn.IFS(L1207&lt;=15,"Low Fare",L1207&lt;=35,"Medium Fare",L1207&lt;=100,"High Fare",L1207&gt;=100,"Very High Fare")</f>
        <v>Low Fare</v>
      </c>
      <c r="N1207" s="2">
        <v>0</v>
      </c>
      <c r="O1207" s="2">
        <v>0</v>
      </c>
      <c r="P1207">
        <f t="shared" si="73"/>
        <v>1</v>
      </c>
      <c r="Q1207" t="str">
        <f t="shared" si="74"/>
        <v>Alone</v>
      </c>
      <c r="R1207" t="str">
        <f t="shared" si="75"/>
        <v>No</v>
      </c>
      <c r="S1207" t="s">
        <v>13</v>
      </c>
    </row>
    <row r="1208" spans="1:19" x14ac:dyDescent="0.3">
      <c r="A1208" s="1" t="s">
        <v>898</v>
      </c>
      <c r="B1208" t="s">
        <v>1596</v>
      </c>
      <c r="C1208" t="s">
        <v>1621</v>
      </c>
      <c r="D1208" t="str">
        <f t="shared" si="72"/>
        <v>Male</v>
      </c>
      <c r="E1208" t="s">
        <v>9</v>
      </c>
      <c r="F1208" s="2">
        <v>26</v>
      </c>
      <c r="G1208" s="2" t="str" cm="1">
        <f t="array" ref="G1208">_xlfn.IFS(F1208&lt;=8,"Child",F1208&lt;=17,"Teen",F1208&lt;=35,"Adult",F1208&lt;=55,"Seniour Adult",F1208&gt;=55,"Old Age")</f>
        <v>Adult</v>
      </c>
      <c r="H1208" t="s">
        <v>10</v>
      </c>
      <c r="I1208" t="s">
        <v>11</v>
      </c>
      <c r="J1208" t="str" cm="1">
        <f t="array" ref="J1208">_xlfn.IFS(I1208="S","Southamptom",I1208="Q","Quentown",I1208="C","Cherbrug",I1208="B","Cabin")</f>
        <v>Southamptom</v>
      </c>
      <c r="K1208" t="s">
        <v>23</v>
      </c>
      <c r="L1208" s="2">
        <v>33</v>
      </c>
      <c r="M1208" s="2" t="str" cm="1">
        <f t="array" ref="M1208">_xlfn.IFS(L1208&lt;=15,"Low Fare",L1208&lt;=35,"Medium Fare",L1208&lt;=100,"High Fare",L1208&gt;=100,"Very High Fare")</f>
        <v>Medium Fare</v>
      </c>
      <c r="N1208" s="2">
        <v>0</v>
      </c>
      <c r="O1208" s="2">
        <v>0</v>
      </c>
      <c r="P1208">
        <f t="shared" si="73"/>
        <v>1</v>
      </c>
      <c r="Q1208" t="str">
        <f t="shared" si="74"/>
        <v>Alone</v>
      </c>
      <c r="R1208" t="str">
        <f t="shared" si="75"/>
        <v>Yes</v>
      </c>
      <c r="S1208" t="s">
        <v>16</v>
      </c>
    </row>
    <row r="1209" spans="1:19" x14ac:dyDescent="0.3">
      <c r="A1209" s="1" t="s">
        <v>899</v>
      </c>
      <c r="B1209" t="s">
        <v>1596</v>
      </c>
      <c r="C1209" t="s">
        <v>2625</v>
      </c>
      <c r="D1209" t="str">
        <f t="shared" si="72"/>
        <v>Male</v>
      </c>
      <c r="E1209" t="s">
        <v>9</v>
      </c>
      <c r="F1209" s="2">
        <v>25</v>
      </c>
      <c r="G1209" s="2" t="str" cm="1">
        <f t="array" ref="G1209">_xlfn.IFS(F1209&lt;=8,"Child",F1209&lt;=17,"Teen",F1209&lt;=35,"Adult",F1209&lt;=55,"Seniour Adult",F1209&gt;=55,"Old Age")</f>
        <v>Adult</v>
      </c>
      <c r="H1209" t="s">
        <v>10</v>
      </c>
      <c r="I1209" t="s">
        <v>11</v>
      </c>
      <c r="J1209" t="str" cm="1">
        <f t="array" ref="J1209">_xlfn.IFS(I1209="S","Southamptom",I1209="Q","Quentown",I1209="C","Cherbrug",I1209="B","Cabin")</f>
        <v>Southamptom</v>
      </c>
      <c r="K1209" t="s">
        <v>31</v>
      </c>
      <c r="L1209" s="2">
        <v>7.1711</v>
      </c>
      <c r="M1209" s="2" t="str" cm="1">
        <f t="array" ref="M1209">_xlfn.IFS(L1209&lt;=15,"Low Fare",L1209&lt;=35,"Medium Fare",L1209&lt;=100,"High Fare",L1209&gt;=100,"Very High Fare")</f>
        <v>Low Fare</v>
      </c>
      <c r="N1209" s="2">
        <v>0</v>
      </c>
      <c r="O1209" s="2">
        <v>0</v>
      </c>
      <c r="P1209">
        <f t="shared" si="73"/>
        <v>1</v>
      </c>
      <c r="Q1209" t="str">
        <f t="shared" si="74"/>
        <v>Alone</v>
      </c>
      <c r="R1209" t="str">
        <f t="shared" si="75"/>
        <v>No</v>
      </c>
      <c r="S1209" t="s">
        <v>13</v>
      </c>
    </row>
    <row r="1210" spans="1:19" x14ac:dyDescent="0.3">
      <c r="A1210" s="1" t="s">
        <v>900</v>
      </c>
      <c r="B1210" t="s">
        <v>1596</v>
      </c>
      <c r="C1210" t="s">
        <v>2626</v>
      </c>
      <c r="D1210" t="str">
        <f t="shared" si="72"/>
        <v>Male</v>
      </c>
      <c r="E1210" t="s">
        <v>9</v>
      </c>
      <c r="F1210" s="2">
        <v>23</v>
      </c>
      <c r="G1210" s="2" t="str" cm="1">
        <f t="array" ref="G1210">_xlfn.IFS(F1210&lt;=8,"Child",F1210&lt;=17,"Teen",F1210&lt;=35,"Adult",F1210&lt;=55,"Seniour Adult",F1210&gt;=55,"Old Age")</f>
        <v>Adult</v>
      </c>
      <c r="H1210" t="s">
        <v>18</v>
      </c>
      <c r="I1210" t="s">
        <v>11</v>
      </c>
      <c r="J1210" t="str" cm="1">
        <f t="array" ref="J1210">_xlfn.IFS(I1210="S","Southamptom",I1210="Q","Quentown",I1210="C","Cherbrug",I1210="B","Cabin")</f>
        <v>Southamptom</v>
      </c>
      <c r="K1210" t="s">
        <v>15</v>
      </c>
      <c r="L1210" s="2">
        <v>13</v>
      </c>
      <c r="M1210" s="2" t="str" cm="1">
        <f t="array" ref="M1210">_xlfn.IFS(L1210&lt;=15,"Low Fare",L1210&lt;=35,"Medium Fare",L1210&lt;=100,"High Fare",L1210&gt;=100,"Very High Fare")</f>
        <v>Low Fare</v>
      </c>
      <c r="N1210" s="2">
        <v>0</v>
      </c>
      <c r="O1210" s="2">
        <v>0</v>
      </c>
      <c r="P1210">
        <f t="shared" si="73"/>
        <v>1</v>
      </c>
      <c r="Q1210" t="str">
        <f t="shared" si="74"/>
        <v>Alone</v>
      </c>
      <c r="R1210" t="str">
        <f t="shared" si="75"/>
        <v>No</v>
      </c>
      <c r="S1210" t="s">
        <v>13</v>
      </c>
    </row>
    <row r="1211" spans="1:19" x14ac:dyDescent="0.3">
      <c r="A1211" s="1" t="s">
        <v>901</v>
      </c>
      <c r="B1211" t="s">
        <v>1600</v>
      </c>
      <c r="C1211" t="s">
        <v>2627</v>
      </c>
      <c r="D1211" t="str">
        <f t="shared" si="72"/>
        <v>Female</v>
      </c>
      <c r="E1211" t="s">
        <v>14</v>
      </c>
      <c r="F1211" s="2">
        <v>27</v>
      </c>
      <c r="G1211" s="2" t="str" cm="1">
        <f t="array" ref="G1211">_xlfn.IFS(F1211&lt;=8,"Child",F1211&lt;=17,"Teen",F1211&lt;=35,"Adult",F1211&lt;=55,"Seniour Adult",F1211&gt;=55,"Old Age")</f>
        <v>Adult</v>
      </c>
      <c r="H1211" t="s">
        <v>18</v>
      </c>
      <c r="I1211" t="s">
        <v>11</v>
      </c>
      <c r="J1211" t="str" cm="1">
        <f t="array" ref="J1211">_xlfn.IFS(I1211="S","Southamptom",I1211="Q","Quentown",I1211="C","Cherbrug",I1211="B","Cabin")</f>
        <v>Southamptom</v>
      </c>
      <c r="K1211" t="s">
        <v>43</v>
      </c>
      <c r="L1211" s="2">
        <v>12.13</v>
      </c>
      <c r="M1211" s="2" t="str" cm="1">
        <f t="array" ref="M1211">_xlfn.IFS(L1211&lt;=15,"Low Fare",L1211&lt;=35,"Medium Fare",L1211&lt;=100,"High Fare",L1211&gt;=100,"Very High Fare")</f>
        <v>Low Fare</v>
      </c>
      <c r="N1211" s="2">
        <v>0</v>
      </c>
      <c r="O1211" s="2">
        <v>0</v>
      </c>
      <c r="P1211">
        <f t="shared" si="73"/>
        <v>1</v>
      </c>
      <c r="Q1211" t="str">
        <f t="shared" si="74"/>
        <v>Alone</v>
      </c>
      <c r="R1211" t="str">
        <f t="shared" si="75"/>
        <v>Yes</v>
      </c>
      <c r="S1211" t="s">
        <v>16</v>
      </c>
    </row>
    <row r="1212" spans="1:19" x14ac:dyDescent="0.3">
      <c r="A1212" s="1" t="s">
        <v>902</v>
      </c>
      <c r="B1212" t="s">
        <v>1602</v>
      </c>
      <c r="C1212" t="s">
        <v>2628</v>
      </c>
      <c r="D1212" t="str">
        <f t="shared" si="72"/>
        <v>Female</v>
      </c>
      <c r="E1212" t="s">
        <v>14</v>
      </c>
      <c r="F1212" s="2">
        <v>27</v>
      </c>
      <c r="G1212" s="2" t="str" cm="1">
        <f t="array" ref="G1212">_xlfn.IFS(F1212&lt;=8,"Child",F1212&lt;=17,"Teen",F1212&lt;=35,"Adult",F1212&lt;=55,"Seniour Adult",F1212&gt;=55,"Old Age")</f>
        <v>Adult</v>
      </c>
      <c r="H1212" t="s">
        <v>18</v>
      </c>
      <c r="I1212" t="s">
        <v>11</v>
      </c>
      <c r="J1212" t="str" cm="1">
        <f t="array" ref="J1212">_xlfn.IFS(I1212="S","Southamptom",I1212="Q","Quentown",I1212="C","Cherbrug",I1212="B","Cabin")</f>
        <v>Southamptom</v>
      </c>
      <c r="K1212" t="s">
        <v>15</v>
      </c>
      <c r="L1212" s="2">
        <v>10.1</v>
      </c>
      <c r="M1212" s="2" t="str" cm="1">
        <f t="array" ref="M1212">_xlfn.IFS(L1212&lt;=15,"Low Fare",L1212&lt;=35,"Medium Fare",L1212&lt;=100,"High Fare",L1212&gt;=100,"Very High Fare")</f>
        <v>Low Fare</v>
      </c>
      <c r="N1212" s="2">
        <v>0</v>
      </c>
      <c r="O1212" s="2">
        <v>0</v>
      </c>
      <c r="P1212">
        <f t="shared" si="73"/>
        <v>1</v>
      </c>
      <c r="Q1212" t="str">
        <f t="shared" si="74"/>
        <v>Alone</v>
      </c>
      <c r="R1212" t="str">
        <f t="shared" si="75"/>
        <v>Yes</v>
      </c>
      <c r="S1212" t="s">
        <v>16</v>
      </c>
    </row>
    <row r="1213" spans="1:19" x14ac:dyDescent="0.3">
      <c r="A1213" s="1" t="s">
        <v>903</v>
      </c>
      <c r="B1213" t="s">
        <v>1596</v>
      </c>
      <c r="C1213" t="s">
        <v>2629</v>
      </c>
      <c r="D1213" t="str">
        <f t="shared" si="72"/>
        <v>Male</v>
      </c>
      <c r="E1213" t="s">
        <v>9</v>
      </c>
      <c r="F1213" s="2">
        <v>31</v>
      </c>
      <c r="G1213" s="2" t="str" cm="1">
        <f t="array" ref="G1213">_xlfn.IFS(F1213&lt;=8,"Child",F1213&lt;=17,"Teen",F1213&lt;=35,"Adult",F1213&lt;=55,"Seniour Adult",F1213&gt;=55,"Old Age")</f>
        <v>Adult</v>
      </c>
      <c r="H1213" t="s">
        <v>25</v>
      </c>
      <c r="I1213" t="s">
        <v>19</v>
      </c>
      <c r="J1213" t="str" cm="1">
        <f t="array" ref="J1213">_xlfn.IFS(I1213="S","Southamptom",I1213="Q","Quentown",I1213="C","Cherbrug",I1213="B","Cabin")</f>
        <v>Cherbrug</v>
      </c>
      <c r="K1213" t="s">
        <v>12</v>
      </c>
      <c r="L1213" s="2">
        <v>28.100899999999999</v>
      </c>
      <c r="M1213" s="2" t="str" cm="1">
        <f t="array" ref="M1213">_xlfn.IFS(L1213&lt;=15,"Low Fare",L1213&lt;=35,"Medium Fare",L1213&lt;=100,"High Fare",L1213&gt;=100,"Very High Fare")</f>
        <v>Medium Fare</v>
      </c>
      <c r="N1213" s="2">
        <v>0</v>
      </c>
      <c r="O1213" s="2">
        <v>0</v>
      </c>
      <c r="P1213">
        <f t="shared" si="73"/>
        <v>1</v>
      </c>
      <c r="Q1213" t="str">
        <f t="shared" si="74"/>
        <v>Alone</v>
      </c>
      <c r="R1213" t="str">
        <f t="shared" si="75"/>
        <v>Yes</v>
      </c>
      <c r="S1213" t="s">
        <v>16</v>
      </c>
    </row>
    <row r="1214" spans="1:19" x14ac:dyDescent="0.3">
      <c r="A1214" s="1" t="s">
        <v>904</v>
      </c>
      <c r="B1214" t="s">
        <v>1612</v>
      </c>
      <c r="C1214" t="s">
        <v>2630</v>
      </c>
      <c r="D1214" t="str">
        <f t="shared" si="72"/>
        <v>Male</v>
      </c>
      <c r="E1214" t="s">
        <v>9</v>
      </c>
      <c r="F1214" s="2">
        <v>8</v>
      </c>
      <c r="G1214" s="2" t="str" cm="1">
        <f t="array" ref="G1214">_xlfn.IFS(F1214&lt;=8,"Child",F1214&lt;=17,"Teen",F1214&lt;=35,"Adult",F1214&lt;=55,"Seniour Adult",F1214&gt;=55,"Old Age")</f>
        <v>Child</v>
      </c>
      <c r="H1214" t="s">
        <v>10</v>
      </c>
      <c r="I1214" t="s">
        <v>19</v>
      </c>
      <c r="J1214" t="str" cm="1">
        <f t="array" ref="J1214">_xlfn.IFS(I1214="S","Southamptom",I1214="Q","Quentown",I1214="C","Cherbrug",I1214="B","Cabin")</f>
        <v>Cherbrug</v>
      </c>
      <c r="K1214" t="s">
        <v>21</v>
      </c>
      <c r="L1214" s="2">
        <v>15.0411</v>
      </c>
      <c r="M1214" s="2" t="str" cm="1">
        <f t="array" ref="M1214">_xlfn.IFS(L1214&lt;=15,"Low Fare",L1214&lt;=35,"Medium Fare",L1214&lt;=100,"High Fare",L1214&gt;=100,"Very High Fare")</f>
        <v>Medium Fare</v>
      </c>
      <c r="N1214" s="2">
        <v>1</v>
      </c>
      <c r="O1214" s="2">
        <v>1</v>
      </c>
      <c r="P1214">
        <f t="shared" si="73"/>
        <v>3</v>
      </c>
      <c r="Q1214" t="str">
        <f t="shared" si="74"/>
        <v>With Family</v>
      </c>
      <c r="R1214" t="str">
        <f t="shared" si="75"/>
        <v>Yes</v>
      </c>
      <c r="S1214" t="s">
        <v>16</v>
      </c>
    </row>
    <row r="1215" spans="1:19" x14ac:dyDescent="0.3">
      <c r="A1215" s="1" t="s">
        <v>904</v>
      </c>
      <c r="B1215" t="s">
        <v>1602</v>
      </c>
      <c r="C1215" t="s">
        <v>2631</v>
      </c>
      <c r="D1215" t="str">
        <f t="shared" si="72"/>
        <v>Female</v>
      </c>
      <c r="E1215" t="s">
        <v>14</v>
      </c>
      <c r="F1215" s="2">
        <v>9</v>
      </c>
      <c r="G1215" s="2" t="str" cm="1">
        <f t="array" ref="G1215">_xlfn.IFS(F1215&lt;=8,"Child",F1215&lt;=17,"Teen",F1215&lt;=35,"Adult",F1215&lt;=55,"Seniour Adult",F1215&gt;=55,"Old Age")</f>
        <v>Teen</v>
      </c>
      <c r="H1215" t="s">
        <v>10</v>
      </c>
      <c r="I1215" t="s">
        <v>19</v>
      </c>
      <c r="J1215" t="str" cm="1">
        <f t="array" ref="J1215">_xlfn.IFS(I1215="S","Southamptom",I1215="Q","Quentown",I1215="C","Cherbrug",I1215="B","Cabin")</f>
        <v>Cherbrug</v>
      </c>
      <c r="K1215" t="s">
        <v>21</v>
      </c>
      <c r="L1215" s="2">
        <v>15.0411</v>
      </c>
      <c r="M1215" s="2" t="str" cm="1">
        <f t="array" ref="M1215">_xlfn.IFS(L1215&lt;=15,"Low Fare",L1215&lt;=35,"Medium Fare",L1215&lt;=100,"High Fare",L1215&gt;=100,"Very High Fare")</f>
        <v>Medium Fare</v>
      </c>
      <c r="N1215" s="2">
        <v>1</v>
      </c>
      <c r="O1215" s="2">
        <v>1</v>
      </c>
      <c r="P1215">
        <f t="shared" si="73"/>
        <v>3</v>
      </c>
      <c r="Q1215" t="str">
        <f t="shared" si="74"/>
        <v>With Family</v>
      </c>
      <c r="R1215" t="str">
        <f t="shared" si="75"/>
        <v>Yes</v>
      </c>
      <c r="S1215" t="s">
        <v>16</v>
      </c>
    </row>
    <row r="1216" spans="1:19" x14ac:dyDescent="0.3">
      <c r="A1216" s="1" t="s">
        <v>904</v>
      </c>
      <c r="B1216" t="s">
        <v>1600</v>
      </c>
      <c r="C1216" t="s">
        <v>2632</v>
      </c>
      <c r="D1216" t="str">
        <f t="shared" si="72"/>
        <v>Female</v>
      </c>
      <c r="E1216" t="s">
        <v>14</v>
      </c>
      <c r="F1216" s="2">
        <v>27</v>
      </c>
      <c r="G1216" s="2" t="str" cm="1">
        <f t="array" ref="G1216">_xlfn.IFS(F1216&lt;=8,"Child",F1216&lt;=17,"Teen",F1216&lt;=35,"Adult",F1216&lt;=55,"Seniour Adult",F1216&gt;=55,"Old Age")</f>
        <v>Adult</v>
      </c>
      <c r="H1216" t="s">
        <v>10</v>
      </c>
      <c r="I1216" t="s">
        <v>19</v>
      </c>
      <c r="J1216" t="str" cm="1">
        <f t="array" ref="J1216">_xlfn.IFS(I1216="S","Southamptom",I1216="Q","Quentown",I1216="C","Cherbrug",I1216="B","Cabin")</f>
        <v>Cherbrug</v>
      </c>
      <c r="K1216" t="s">
        <v>21</v>
      </c>
      <c r="L1216" s="2">
        <v>15.0411</v>
      </c>
      <c r="M1216" s="2" t="str" cm="1">
        <f t="array" ref="M1216">_xlfn.IFS(L1216&lt;=15,"Low Fare",L1216&lt;=35,"Medium Fare",L1216&lt;=100,"High Fare",L1216&gt;=100,"Very High Fare")</f>
        <v>Medium Fare</v>
      </c>
      <c r="N1216" s="2">
        <v>0</v>
      </c>
      <c r="O1216" s="2">
        <v>2</v>
      </c>
      <c r="P1216">
        <f t="shared" si="73"/>
        <v>3</v>
      </c>
      <c r="Q1216" t="str">
        <f t="shared" si="74"/>
        <v>With Family</v>
      </c>
      <c r="R1216" t="str">
        <f t="shared" si="75"/>
        <v>Yes</v>
      </c>
      <c r="S1216" t="s">
        <v>16</v>
      </c>
    </row>
    <row r="1217" spans="1:19" x14ac:dyDescent="0.3">
      <c r="A1217" s="1" t="s">
        <v>905</v>
      </c>
      <c r="B1217" t="s">
        <v>1596</v>
      </c>
      <c r="C1217" t="s">
        <v>2633</v>
      </c>
      <c r="D1217" t="str">
        <f t="shared" si="72"/>
        <v>Male</v>
      </c>
      <c r="E1217" t="s">
        <v>9</v>
      </c>
      <c r="F1217" s="2">
        <v>36</v>
      </c>
      <c r="G1217" s="2" t="str" cm="1">
        <f t="array" ref="G1217">_xlfn.IFS(F1217&lt;=8,"Child",F1217&lt;=17,"Teen",F1217&lt;=35,"Adult",F1217&lt;=55,"Seniour Adult",F1217&gt;=55,"Old Age")</f>
        <v>Seniour Adult</v>
      </c>
      <c r="H1217" t="s">
        <v>10</v>
      </c>
      <c r="I1217" t="s">
        <v>11</v>
      </c>
      <c r="J1217" t="str" cm="1">
        <f t="array" ref="J1217">_xlfn.IFS(I1217="S","Southamptom",I1217="Q","Quentown",I1217="C","Cherbrug",I1217="B","Cabin")</f>
        <v>Southamptom</v>
      </c>
      <c r="K1217" t="s">
        <v>65</v>
      </c>
      <c r="L1217" s="2">
        <v>7.1711</v>
      </c>
      <c r="M1217" s="2" t="str" cm="1">
        <f t="array" ref="M1217">_xlfn.IFS(L1217&lt;=15,"Low Fare",L1217&lt;=35,"Medium Fare",L1217&lt;=100,"High Fare",L1217&gt;=100,"Very High Fare")</f>
        <v>Low Fare</v>
      </c>
      <c r="N1217" s="2">
        <v>0</v>
      </c>
      <c r="O1217" s="2">
        <v>0</v>
      </c>
      <c r="P1217">
        <f t="shared" si="73"/>
        <v>1</v>
      </c>
      <c r="Q1217" t="str">
        <f t="shared" si="74"/>
        <v>Alone</v>
      </c>
      <c r="R1217" t="str">
        <f t="shared" si="75"/>
        <v>No</v>
      </c>
      <c r="S1217" t="s">
        <v>13</v>
      </c>
    </row>
    <row r="1218" spans="1:19" x14ac:dyDescent="0.3">
      <c r="A1218" s="1" t="s">
        <v>906</v>
      </c>
      <c r="B1218" t="s">
        <v>1602</v>
      </c>
      <c r="C1218" t="s">
        <v>2374</v>
      </c>
      <c r="D1218" t="str">
        <f t="shared" si="72"/>
        <v>Female</v>
      </c>
      <c r="E1218" t="s">
        <v>14</v>
      </c>
      <c r="F1218" s="2">
        <v>18</v>
      </c>
      <c r="G1218" s="2" t="str" cm="1">
        <f t="array" ref="G1218">_xlfn.IFS(F1218&lt;=8,"Child",F1218&lt;=17,"Teen",F1218&lt;=35,"Adult",F1218&lt;=55,"Seniour Adult",F1218&gt;=55,"Old Age")</f>
        <v>Adult</v>
      </c>
      <c r="H1218" t="s">
        <v>10</v>
      </c>
      <c r="I1218" t="s">
        <v>11</v>
      </c>
      <c r="J1218" t="str" cm="1">
        <f t="array" ref="J1218">_xlfn.IFS(I1218="S","Southamptom",I1218="Q","Quentown",I1218="C","Cherbrug",I1218="B","Cabin")</f>
        <v>Southamptom</v>
      </c>
      <c r="K1218" t="s">
        <v>22</v>
      </c>
      <c r="L1218" s="2">
        <v>9.1609999999999996</v>
      </c>
      <c r="M1218" s="2" t="str" cm="1">
        <f t="array" ref="M1218">_xlfn.IFS(L1218&lt;=15,"Low Fare",L1218&lt;=35,"Medium Fare",L1218&lt;=100,"High Fare",L1218&gt;=100,"Very High Fare")</f>
        <v>Low Fare</v>
      </c>
      <c r="N1218" s="2">
        <v>0</v>
      </c>
      <c r="O1218" s="2">
        <v>0</v>
      </c>
      <c r="P1218">
        <f t="shared" si="73"/>
        <v>1</v>
      </c>
      <c r="Q1218" t="str">
        <f t="shared" si="74"/>
        <v>Alone</v>
      </c>
      <c r="R1218" t="str">
        <f t="shared" si="75"/>
        <v>Yes</v>
      </c>
      <c r="S1218" t="s">
        <v>16</v>
      </c>
    </row>
    <row r="1219" spans="1:19" x14ac:dyDescent="0.3">
      <c r="A1219" s="1" t="s">
        <v>907</v>
      </c>
      <c r="B1219" t="s">
        <v>1600</v>
      </c>
      <c r="C1219" t="s">
        <v>2634</v>
      </c>
      <c r="D1219" t="str">
        <f t="shared" ref="D1219:D1282" si="76">PROPER(E1219)</f>
        <v>Female</v>
      </c>
      <c r="E1219" t="s">
        <v>14</v>
      </c>
      <c r="F1219" s="2">
        <v>63</v>
      </c>
      <c r="G1219" s="2" t="str" cm="1">
        <f t="array" ref="G1219">_xlfn.IFS(F1219&lt;=8,"Child",F1219&lt;=17,"Teen",F1219&lt;=35,"Adult",F1219&lt;=55,"Seniour Adult",F1219&gt;=55,"Old Age")</f>
        <v>Old Age</v>
      </c>
      <c r="H1219" t="s">
        <v>10</v>
      </c>
      <c r="I1219" t="s">
        <v>11</v>
      </c>
      <c r="J1219" t="str" cm="1">
        <f t="array" ref="J1219">_xlfn.IFS(I1219="S","Southamptom",I1219="Q","Quentown",I1219="C","Cherbrug",I1219="B","Cabin")</f>
        <v>Southamptom</v>
      </c>
      <c r="K1219" t="s">
        <v>22</v>
      </c>
      <c r="L1219" s="2">
        <v>9.1109000000000009</v>
      </c>
      <c r="M1219" s="2" t="str" cm="1">
        <f t="array" ref="M1219">_xlfn.IFS(L1219&lt;=15,"Low Fare",L1219&lt;=35,"Medium Fare",L1219&lt;=100,"High Fare",L1219&gt;=100,"Very High Fare")</f>
        <v>Low Fare</v>
      </c>
      <c r="N1219" s="2">
        <v>0</v>
      </c>
      <c r="O1219" s="2">
        <v>0</v>
      </c>
      <c r="P1219">
        <f t="shared" ref="P1219:P1282" si="77">N1219+O1219+1</f>
        <v>1</v>
      </c>
      <c r="Q1219" t="str">
        <f t="shared" ref="Q1219:Q1282" si="78">IF(P1219=1,"Alone","With Family")</f>
        <v>Alone</v>
      </c>
      <c r="R1219" t="str">
        <f t="shared" ref="R1219:R1282" si="79">PROPER(S1219)</f>
        <v>Yes</v>
      </c>
      <c r="S1219" t="s">
        <v>16</v>
      </c>
    </row>
    <row r="1220" spans="1:19" x14ac:dyDescent="0.3">
      <c r="A1220" s="1" t="s">
        <v>908</v>
      </c>
      <c r="B1220" t="s">
        <v>1600</v>
      </c>
      <c r="C1220" t="s">
        <v>2635</v>
      </c>
      <c r="D1220" t="str">
        <f t="shared" si="76"/>
        <v>Female</v>
      </c>
      <c r="E1220" t="s">
        <v>14</v>
      </c>
      <c r="F1220" s="2">
        <v>26</v>
      </c>
      <c r="G1220" s="2" t="str" cm="1">
        <f t="array" ref="G1220">_xlfn.IFS(F1220&lt;=8,"Child",F1220&lt;=17,"Teen",F1220&lt;=35,"Adult",F1220&lt;=55,"Seniour Adult",F1220&gt;=55,"Old Age")</f>
        <v>Adult</v>
      </c>
      <c r="H1220" t="s">
        <v>18</v>
      </c>
      <c r="I1220" t="s">
        <v>11</v>
      </c>
      <c r="J1220" t="str" cm="1">
        <f t="array" ref="J1220">_xlfn.IFS(I1220="S","Southamptom",I1220="Q","Quentown",I1220="C","Cherbrug",I1220="B","Cabin")</f>
        <v>Southamptom</v>
      </c>
      <c r="K1220" t="s">
        <v>15</v>
      </c>
      <c r="L1220" s="2">
        <v>21</v>
      </c>
      <c r="M1220" s="2" t="str" cm="1">
        <f t="array" ref="M1220">_xlfn.IFS(L1220&lt;=15,"Low Fare",L1220&lt;=35,"Medium Fare",L1220&lt;=100,"High Fare",L1220&gt;=100,"Very High Fare")</f>
        <v>Medium Fare</v>
      </c>
      <c r="N1220" s="2">
        <v>1</v>
      </c>
      <c r="O1220" s="2">
        <v>0</v>
      </c>
      <c r="P1220">
        <f t="shared" si="77"/>
        <v>2</v>
      </c>
      <c r="Q1220" t="str">
        <f t="shared" si="78"/>
        <v>With Family</v>
      </c>
      <c r="R1220" t="str">
        <f t="shared" si="79"/>
        <v>No</v>
      </c>
      <c r="S1220" t="s">
        <v>13</v>
      </c>
    </row>
    <row r="1221" spans="1:19" x14ac:dyDescent="0.3">
      <c r="A1221" s="1" t="s">
        <v>908</v>
      </c>
      <c r="B1221" t="s">
        <v>1596</v>
      </c>
      <c r="C1221" t="s">
        <v>1716</v>
      </c>
      <c r="D1221" t="str">
        <f t="shared" si="76"/>
        <v>Male</v>
      </c>
      <c r="E1221" t="s">
        <v>9</v>
      </c>
      <c r="F1221" s="2">
        <v>29</v>
      </c>
      <c r="G1221" s="2" t="str" cm="1">
        <f t="array" ref="G1221">_xlfn.IFS(F1221&lt;=8,"Child",F1221&lt;=17,"Teen",F1221&lt;=35,"Adult",F1221&lt;=55,"Seniour Adult",F1221&gt;=55,"Old Age")</f>
        <v>Adult</v>
      </c>
      <c r="H1221" t="s">
        <v>18</v>
      </c>
      <c r="I1221" t="s">
        <v>11</v>
      </c>
      <c r="J1221" t="str" cm="1">
        <f t="array" ref="J1221">_xlfn.IFS(I1221="S","Southamptom",I1221="Q","Quentown",I1221="C","Cherbrug",I1221="B","Cabin")</f>
        <v>Southamptom</v>
      </c>
      <c r="K1221" t="s">
        <v>15</v>
      </c>
      <c r="L1221" s="2">
        <v>21</v>
      </c>
      <c r="M1221" s="2" t="str" cm="1">
        <f t="array" ref="M1221">_xlfn.IFS(L1221&lt;=15,"Low Fare",L1221&lt;=35,"Medium Fare",L1221&lt;=100,"High Fare",L1221&gt;=100,"Very High Fare")</f>
        <v>Medium Fare</v>
      </c>
      <c r="N1221" s="2">
        <v>1</v>
      </c>
      <c r="O1221" s="2">
        <v>0</v>
      </c>
      <c r="P1221">
        <f t="shared" si="77"/>
        <v>2</v>
      </c>
      <c r="Q1221" t="str">
        <f t="shared" si="78"/>
        <v>With Family</v>
      </c>
      <c r="R1221" t="str">
        <f t="shared" si="79"/>
        <v>No</v>
      </c>
      <c r="S1221" t="s">
        <v>13</v>
      </c>
    </row>
    <row r="1222" spans="1:19" x14ac:dyDescent="0.3">
      <c r="A1222" s="1" t="s">
        <v>909</v>
      </c>
      <c r="B1222" t="s">
        <v>2636</v>
      </c>
      <c r="C1222" t="s">
        <v>2637</v>
      </c>
      <c r="D1222" t="str">
        <f t="shared" si="76"/>
        <v>Male</v>
      </c>
      <c r="E1222" t="s">
        <v>9</v>
      </c>
      <c r="F1222" s="2">
        <v>39</v>
      </c>
      <c r="G1222" s="2" t="str" cm="1">
        <f t="array" ref="G1222">_xlfn.IFS(F1222&lt;=8,"Child",F1222&lt;=17,"Teen",F1222&lt;=35,"Adult",F1222&lt;=55,"Seniour Adult",F1222&gt;=55,"Old Age")</f>
        <v>Seniour Adult</v>
      </c>
      <c r="H1222" t="s">
        <v>25</v>
      </c>
      <c r="I1222" t="s">
        <v>19</v>
      </c>
      <c r="J1222" t="str" cm="1">
        <f t="array" ref="J1222">_xlfn.IFS(I1222="S","Southamptom",I1222="Q","Quentown",I1222="C","Cherbrug",I1222="B","Cabin")</f>
        <v>Cherbrug</v>
      </c>
      <c r="K1222" t="s">
        <v>68</v>
      </c>
      <c r="L1222" s="2">
        <v>27.140499999999999</v>
      </c>
      <c r="M1222" s="2" t="str" cm="1">
        <f t="array" ref="M1222">_xlfn.IFS(L1222&lt;=15,"Low Fare",L1222&lt;=35,"Medium Fare",L1222&lt;=100,"High Fare",L1222&gt;=100,"Very High Fare")</f>
        <v>Medium Fare</v>
      </c>
      <c r="N1222" s="2">
        <v>0</v>
      </c>
      <c r="O1222" s="2">
        <v>0</v>
      </c>
      <c r="P1222">
        <f t="shared" si="77"/>
        <v>1</v>
      </c>
      <c r="Q1222" t="str">
        <f t="shared" si="78"/>
        <v>Alone</v>
      </c>
      <c r="R1222" t="str">
        <f t="shared" si="79"/>
        <v>No</v>
      </c>
      <c r="S1222" t="s">
        <v>13</v>
      </c>
    </row>
    <row r="1223" spans="1:19" x14ac:dyDescent="0.3">
      <c r="A1223" s="1" t="s">
        <v>910</v>
      </c>
      <c r="B1223" t="s">
        <v>1612</v>
      </c>
      <c r="C1223" t="s">
        <v>2638</v>
      </c>
      <c r="D1223" t="str">
        <f t="shared" si="76"/>
        <v>Male</v>
      </c>
      <c r="E1223" t="s">
        <v>9</v>
      </c>
      <c r="F1223" s="2">
        <v>10</v>
      </c>
      <c r="G1223" s="2" t="str" cm="1">
        <f t="array" ref="G1223">_xlfn.IFS(F1223&lt;=8,"Child",F1223&lt;=17,"Teen",F1223&lt;=35,"Adult",F1223&lt;=55,"Seniour Adult",F1223&gt;=55,"Old Age")</f>
        <v>Teen</v>
      </c>
      <c r="H1223" t="s">
        <v>10</v>
      </c>
      <c r="I1223" t="s">
        <v>11</v>
      </c>
      <c r="J1223" t="str" cm="1">
        <f t="array" ref="J1223">_xlfn.IFS(I1223="S","Southamptom",I1223="Q","Quentown",I1223="C","Cherbrug",I1223="B","Cabin")</f>
        <v>Southamptom</v>
      </c>
      <c r="K1223" t="s">
        <v>15</v>
      </c>
      <c r="L1223" s="2">
        <v>14.1</v>
      </c>
      <c r="M1223" s="2" t="str" cm="1">
        <f t="array" ref="M1223">_xlfn.IFS(L1223&lt;=15,"Low Fare",L1223&lt;=35,"Medium Fare",L1223&lt;=100,"High Fare",L1223&gt;=100,"Very High Fare")</f>
        <v>Low Fare</v>
      </c>
      <c r="N1223" s="2">
        <v>1</v>
      </c>
      <c r="O1223" s="2">
        <v>1</v>
      </c>
      <c r="P1223">
        <f t="shared" si="77"/>
        <v>3</v>
      </c>
      <c r="Q1223" t="str">
        <f t="shared" si="78"/>
        <v>With Family</v>
      </c>
      <c r="R1223" t="str">
        <f t="shared" si="79"/>
        <v>No</v>
      </c>
      <c r="S1223" t="s">
        <v>13</v>
      </c>
    </row>
    <row r="1224" spans="1:19" x14ac:dyDescent="0.3">
      <c r="A1224" s="1" t="s">
        <v>910</v>
      </c>
      <c r="B1224" t="s">
        <v>1612</v>
      </c>
      <c r="C1224" t="s">
        <v>2639</v>
      </c>
      <c r="D1224" t="str">
        <f t="shared" si="76"/>
        <v>Male</v>
      </c>
      <c r="E1224" t="s">
        <v>9</v>
      </c>
      <c r="F1224" s="2">
        <v>9</v>
      </c>
      <c r="G1224" s="2" t="str" cm="1">
        <f t="array" ref="G1224">_xlfn.IFS(F1224&lt;=8,"Child",F1224&lt;=17,"Teen",F1224&lt;=35,"Adult",F1224&lt;=55,"Seniour Adult",F1224&gt;=55,"Old Age")</f>
        <v>Teen</v>
      </c>
      <c r="H1224" t="s">
        <v>10</v>
      </c>
      <c r="I1224" t="s">
        <v>11</v>
      </c>
      <c r="J1224" t="str" cm="1">
        <f t="array" ref="J1224">_xlfn.IFS(I1224="S","Southamptom",I1224="Q","Quentown",I1224="C","Cherbrug",I1224="B","Cabin")</f>
        <v>Southamptom</v>
      </c>
      <c r="K1224" t="s">
        <v>15</v>
      </c>
      <c r="L1224" s="2">
        <v>14.1</v>
      </c>
      <c r="M1224" s="2" t="str" cm="1">
        <f t="array" ref="M1224">_xlfn.IFS(L1224&lt;=15,"Low Fare",L1224&lt;=35,"Medium Fare",L1224&lt;=100,"High Fare",L1224&gt;=100,"Very High Fare")</f>
        <v>Low Fare</v>
      </c>
      <c r="N1224" s="2">
        <v>1</v>
      </c>
      <c r="O1224" s="2">
        <v>1</v>
      </c>
      <c r="P1224">
        <f t="shared" si="77"/>
        <v>3</v>
      </c>
      <c r="Q1224" t="str">
        <f t="shared" si="78"/>
        <v>With Family</v>
      </c>
      <c r="R1224" t="str">
        <f t="shared" si="79"/>
        <v>No</v>
      </c>
      <c r="S1224" t="s">
        <v>13</v>
      </c>
    </row>
    <row r="1225" spans="1:19" x14ac:dyDescent="0.3">
      <c r="A1225" s="1" t="s">
        <v>910</v>
      </c>
      <c r="B1225" t="s">
        <v>1596</v>
      </c>
      <c r="C1225" t="s">
        <v>2640</v>
      </c>
      <c r="D1225" t="str">
        <f t="shared" si="76"/>
        <v>Male</v>
      </c>
      <c r="E1225" t="s">
        <v>9</v>
      </c>
      <c r="F1225" s="2">
        <v>35</v>
      </c>
      <c r="G1225" s="2" t="str" cm="1">
        <f t="array" ref="G1225">_xlfn.IFS(F1225&lt;=8,"Child",F1225&lt;=17,"Teen",F1225&lt;=35,"Adult",F1225&lt;=55,"Seniour Adult",F1225&gt;=55,"Old Age")</f>
        <v>Adult</v>
      </c>
      <c r="H1225" t="s">
        <v>10</v>
      </c>
      <c r="I1225" t="s">
        <v>11</v>
      </c>
      <c r="J1225" t="str" cm="1">
        <f t="array" ref="J1225">_xlfn.IFS(I1225="S","Southamptom",I1225="Q","Quentown",I1225="C","Cherbrug",I1225="B","Cabin")</f>
        <v>Southamptom</v>
      </c>
      <c r="K1225" t="s">
        <v>15</v>
      </c>
      <c r="L1225" s="2">
        <v>14.1</v>
      </c>
      <c r="M1225" s="2" t="str" cm="1">
        <f t="array" ref="M1225">_xlfn.IFS(L1225&lt;=15,"Low Fare",L1225&lt;=35,"Medium Fare",L1225&lt;=100,"High Fare",L1225&gt;=100,"Very High Fare")</f>
        <v>Low Fare</v>
      </c>
      <c r="N1225" s="2">
        <v>0</v>
      </c>
      <c r="O1225" s="2">
        <v>2</v>
      </c>
      <c r="P1225">
        <f t="shared" si="77"/>
        <v>3</v>
      </c>
      <c r="Q1225" t="str">
        <f t="shared" si="78"/>
        <v>With Family</v>
      </c>
      <c r="R1225" t="str">
        <f t="shared" si="79"/>
        <v>No</v>
      </c>
      <c r="S1225" t="s">
        <v>13</v>
      </c>
    </row>
    <row r="1226" spans="1:19" x14ac:dyDescent="0.3">
      <c r="A1226" s="1" t="s">
        <v>911</v>
      </c>
      <c r="B1226" t="s">
        <v>1596</v>
      </c>
      <c r="C1226" t="s">
        <v>2641</v>
      </c>
      <c r="D1226" t="str">
        <f t="shared" si="76"/>
        <v>Male</v>
      </c>
      <c r="E1226" t="s">
        <v>9</v>
      </c>
      <c r="F1226" s="2">
        <v>28</v>
      </c>
      <c r="G1226" s="2" t="str" cm="1">
        <f t="array" ref="G1226">_xlfn.IFS(F1226&lt;=8,"Child",F1226&lt;=17,"Teen",F1226&lt;=35,"Adult",F1226&lt;=55,"Seniour Adult",F1226&gt;=55,"Old Age")</f>
        <v>Adult</v>
      </c>
      <c r="H1226" t="s">
        <v>10</v>
      </c>
      <c r="I1226" t="s">
        <v>11</v>
      </c>
      <c r="J1226" t="str" cm="1">
        <f t="array" ref="J1226">_xlfn.IFS(I1226="S","Southamptom",I1226="Q","Quentown",I1226="C","Cherbrug",I1226="B","Cabin")</f>
        <v>Southamptom</v>
      </c>
      <c r="K1226" t="s">
        <v>46</v>
      </c>
      <c r="L1226" s="2">
        <v>9.1</v>
      </c>
      <c r="M1226" s="2" t="str" cm="1">
        <f t="array" ref="M1226">_xlfn.IFS(L1226&lt;=15,"Low Fare",L1226&lt;=35,"Medium Fare",L1226&lt;=100,"High Fare",L1226&gt;=100,"Very High Fare")</f>
        <v>Low Fare</v>
      </c>
      <c r="N1226" s="2">
        <v>0</v>
      </c>
      <c r="O1226" s="2">
        <v>0</v>
      </c>
      <c r="P1226">
        <f t="shared" si="77"/>
        <v>1</v>
      </c>
      <c r="Q1226" t="str">
        <f t="shared" si="78"/>
        <v>Alone</v>
      </c>
      <c r="R1226" t="str">
        <f t="shared" si="79"/>
        <v>No</v>
      </c>
      <c r="S1226" t="s">
        <v>13</v>
      </c>
    </row>
    <row r="1227" spans="1:19" x14ac:dyDescent="0.3">
      <c r="A1227" s="1" t="s">
        <v>912</v>
      </c>
      <c r="B1227" t="s">
        <v>1596</v>
      </c>
      <c r="C1227" t="s">
        <v>2427</v>
      </c>
      <c r="D1227" t="str">
        <f t="shared" si="76"/>
        <v>Male</v>
      </c>
      <c r="E1227" t="s">
        <v>9</v>
      </c>
      <c r="F1227" s="2">
        <v>46</v>
      </c>
      <c r="G1227" s="2" t="str" cm="1">
        <f t="array" ref="G1227">_xlfn.IFS(F1227&lt;=8,"Child",F1227&lt;=17,"Teen",F1227&lt;=35,"Adult",F1227&lt;=55,"Seniour Adult",F1227&gt;=55,"Old Age")</f>
        <v>Seniour Adult</v>
      </c>
      <c r="H1227" t="s">
        <v>10</v>
      </c>
      <c r="I1227" t="s">
        <v>11</v>
      </c>
      <c r="J1227" t="str" cm="1">
        <f t="array" ref="J1227">_xlfn.IFS(I1227="S","Southamptom",I1227="Q","Quentown",I1227="C","Cherbrug",I1227="B","Cabin")</f>
        <v>Southamptom</v>
      </c>
      <c r="K1227" t="s">
        <v>46</v>
      </c>
      <c r="L1227" s="2">
        <v>9</v>
      </c>
      <c r="M1227" s="2" t="str" cm="1">
        <f t="array" ref="M1227">_xlfn.IFS(L1227&lt;=15,"Low Fare",L1227&lt;=35,"Medium Fare",L1227&lt;=100,"High Fare",L1227&gt;=100,"Very High Fare")</f>
        <v>Low Fare</v>
      </c>
      <c r="N1227" s="2">
        <v>0</v>
      </c>
      <c r="O1227" s="2">
        <v>0</v>
      </c>
      <c r="P1227">
        <f t="shared" si="77"/>
        <v>1</v>
      </c>
      <c r="Q1227" t="str">
        <f t="shared" si="78"/>
        <v>Alone</v>
      </c>
      <c r="R1227" t="str">
        <f t="shared" si="79"/>
        <v>No</v>
      </c>
      <c r="S1227" t="s">
        <v>13</v>
      </c>
    </row>
    <row r="1228" spans="1:19" x14ac:dyDescent="0.3">
      <c r="A1228" s="1" t="s">
        <v>913</v>
      </c>
      <c r="B1228" t="s">
        <v>1596</v>
      </c>
      <c r="C1228" t="s">
        <v>2642</v>
      </c>
      <c r="D1228" t="str">
        <f t="shared" si="76"/>
        <v>Male</v>
      </c>
      <c r="E1228" t="s">
        <v>9</v>
      </c>
      <c r="F1228" s="2">
        <v>61</v>
      </c>
      <c r="G1228" s="2" t="str" cm="1">
        <f t="array" ref="G1228">_xlfn.IFS(F1228&lt;=8,"Child",F1228&lt;=17,"Teen",F1228&lt;=35,"Adult",F1228&lt;=55,"Seniour Adult",F1228&gt;=55,"Old Age")</f>
        <v>Old Age</v>
      </c>
      <c r="H1228" t="s">
        <v>25</v>
      </c>
      <c r="I1228" t="s">
        <v>11</v>
      </c>
      <c r="J1228" t="str" cm="1">
        <f t="array" ref="J1228">_xlfn.IFS(I1228="S","Southamptom",I1228="Q","Quentown",I1228="C","Cherbrug",I1228="B","Cabin")</f>
        <v>Southamptom</v>
      </c>
      <c r="K1228" t="s">
        <v>12</v>
      </c>
      <c r="L1228" s="2">
        <v>33.1</v>
      </c>
      <c r="M1228" s="2" t="str" cm="1">
        <f t="array" ref="M1228">_xlfn.IFS(L1228&lt;=15,"Low Fare",L1228&lt;=35,"Medium Fare",L1228&lt;=100,"High Fare",L1228&gt;=100,"Very High Fare")</f>
        <v>Medium Fare</v>
      </c>
      <c r="N1228" s="2">
        <v>0</v>
      </c>
      <c r="O1228" s="2">
        <v>0</v>
      </c>
      <c r="P1228">
        <f t="shared" si="77"/>
        <v>1</v>
      </c>
      <c r="Q1228" t="str">
        <f t="shared" si="78"/>
        <v>Alone</v>
      </c>
      <c r="R1228" t="str">
        <f t="shared" si="79"/>
        <v>No</v>
      </c>
      <c r="S1228" t="s">
        <v>13</v>
      </c>
    </row>
    <row r="1229" spans="1:19" x14ac:dyDescent="0.3">
      <c r="A1229" s="1" t="s">
        <v>914</v>
      </c>
      <c r="B1229" t="s">
        <v>1602</v>
      </c>
      <c r="C1229" t="s">
        <v>2643</v>
      </c>
      <c r="D1229" t="str">
        <f t="shared" si="76"/>
        <v>Female</v>
      </c>
      <c r="E1229" t="s">
        <v>14</v>
      </c>
      <c r="F1229" s="2">
        <v>18</v>
      </c>
      <c r="G1229" s="2" t="str" cm="1">
        <f t="array" ref="G1229">_xlfn.IFS(F1229&lt;=8,"Child",F1229&lt;=17,"Teen",F1229&lt;=35,"Adult",F1229&lt;=55,"Seniour Adult",F1229&gt;=55,"Old Age")</f>
        <v>Adult</v>
      </c>
      <c r="H1229" t="s">
        <v>10</v>
      </c>
      <c r="I1229" t="s">
        <v>11</v>
      </c>
      <c r="J1229" t="str" cm="1">
        <f t="array" ref="J1229">_xlfn.IFS(I1229="S","Southamptom",I1229="Q","Quentown",I1229="C","Cherbrug",I1229="B","Cabin")</f>
        <v>Southamptom</v>
      </c>
      <c r="K1229" t="s">
        <v>46</v>
      </c>
      <c r="L1229" s="2">
        <v>18</v>
      </c>
      <c r="M1229" s="2" t="str" cm="1">
        <f t="array" ref="M1229">_xlfn.IFS(L1229&lt;=15,"Low Fare",L1229&lt;=35,"Medium Fare",L1229&lt;=100,"High Fare",L1229&gt;=100,"Very High Fare")</f>
        <v>Medium Fare</v>
      </c>
      <c r="N1229" s="2">
        <v>2</v>
      </c>
      <c r="O1229" s="2">
        <v>0</v>
      </c>
      <c r="P1229">
        <f t="shared" si="77"/>
        <v>3</v>
      </c>
      <c r="Q1229" t="str">
        <f t="shared" si="78"/>
        <v>With Family</v>
      </c>
      <c r="R1229" t="str">
        <f t="shared" si="79"/>
        <v>No</v>
      </c>
      <c r="S1229" t="s">
        <v>13</v>
      </c>
    </row>
    <row r="1230" spans="1:19" x14ac:dyDescent="0.3">
      <c r="A1230" s="1" t="s">
        <v>914</v>
      </c>
      <c r="B1230" t="s">
        <v>1596</v>
      </c>
      <c r="C1230" t="s">
        <v>2524</v>
      </c>
      <c r="D1230" t="str">
        <f t="shared" si="76"/>
        <v>Male</v>
      </c>
      <c r="E1230" t="s">
        <v>9</v>
      </c>
      <c r="F1230" s="2">
        <v>31</v>
      </c>
      <c r="G1230" s="2" t="str" cm="1">
        <f t="array" ref="G1230">_xlfn.IFS(F1230&lt;=8,"Child",F1230&lt;=17,"Teen",F1230&lt;=35,"Adult",F1230&lt;=55,"Seniour Adult",F1230&gt;=55,"Old Age")</f>
        <v>Adult</v>
      </c>
      <c r="H1230" t="s">
        <v>10</v>
      </c>
      <c r="I1230" t="s">
        <v>11</v>
      </c>
      <c r="J1230" t="str" cm="1">
        <f t="array" ref="J1230">_xlfn.IFS(I1230="S","Southamptom",I1230="Q","Quentown",I1230="C","Cherbrug",I1230="B","Cabin")</f>
        <v>Southamptom</v>
      </c>
      <c r="K1230" t="s">
        <v>46</v>
      </c>
      <c r="L1230" s="2">
        <v>18</v>
      </c>
      <c r="M1230" s="2" t="str" cm="1">
        <f t="array" ref="M1230">_xlfn.IFS(L1230&lt;=15,"Low Fare",L1230&lt;=35,"Medium Fare",L1230&lt;=100,"High Fare",L1230&gt;=100,"Very High Fare")</f>
        <v>Medium Fare</v>
      </c>
      <c r="N1230" s="2">
        <v>3</v>
      </c>
      <c r="O1230" s="2">
        <v>0</v>
      </c>
      <c r="P1230">
        <f t="shared" si="77"/>
        <v>4</v>
      </c>
      <c r="Q1230" t="str">
        <f t="shared" si="78"/>
        <v>With Family</v>
      </c>
      <c r="R1230" t="str">
        <f t="shared" si="79"/>
        <v>No</v>
      </c>
      <c r="S1230" t="s">
        <v>13</v>
      </c>
    </row>
    <row r="1231" spans="1:19" x14ac:dyDescent="0.3">
      <c r="A1231" s="1" t="s">
        <v>914</v>
      </c>
      <c r="B1231" t="s">
        <v>1596</v>
      </c>
      <c r="C1231" t="s">
        <v>2644</v>
      </c>
      <c r="D1231" t="str">
        <f t="shared" si="76"/>
        <v>Male</v>
      </c>
      <c r="E1231" t="s">
        <v>9</v>
      </c>
      <c r="F1231" s="2">
        <v>15</v>
      </c>
      <c r="G1231" s="2" t="str" cm="1">
        <f t="array" ref="G1231">_xlfn.IFS(F1231&lt;=8,"Child",F1231&lt;=17,"Teen",F1231&lt;=35,"Adult",F1231&lt;=55,"Seniour Adult",F1231&gt;=55,"Old Age")</f>
        <v>Teen</v>
      </c>
      <c r="H1231" t="s">
        <v>10</v>
      </c>
      <c r="I1231" t="s">
        <v>11</v>
      </c>
      <c r="J1231" t="str" cm="1">
        <f t="array" ref="J1231">_xlfn.IFS(I1231="S","Southamptom",I1231="Q","Quentown",I1231="C","Cherbrug",I1231="B","Cabin")</f>
        <v>Southamptom</v>
      </c>
      <c r="K1231" t="s">
        <v>46</v>
      </c>
      <c r="L1231" s="2">
        <v>18</v>
      </c>
      <c r="M1231" s="2" t="str" cm="1">
        <f t="array" ref="M1231">_xlfn.IFS(L1231&lt;=15,"Low Fare",L1231&lt;=35,"Medium Fare",L1231&lt;=100,"High Fare",L1231&gt;=100,"Very High Fare")</f>
        <v>Medium Fare</v>
      </c>
      <c r="N1231" s="2">
        <v>2</v>
      </c>
      <c r="O1231" s="2">
        <v>0</v>
      </c>
      <c r="P1231">
        <f t="shared" si="77"/>
        <v>3</v>
      </c>
      <c r="Q1231" t="str">
        <f t="shared" si="78"/>
        <v>With Family</v>
      </c>
      <c r="R1231" t="str">
        <f t="shared" si="79"/>
        <v>No</v>
      </c>
      <c r="S1231" t="s">
        <v>13</v>
      </c>
    </row>
    <row r="1232" spans="1:19" x14ac:dyDescent="0.3">
      <c r="A1232" s="1" t="s">
        <v>914</v>
      </c>
      <c r="B1232" t="s">
        <v>1600</v>
      </c>
      <c r="C1232" t="s">
        <v>2645</v>
      </c>
      <c r="D1232" t="str">
        <f t="shared" si="76"/>
        <v>Female</v>
      </c>
      <c r="E1232" t="s">
        <v>14</v>
      </c>
      <c r="F1232" s="2">
        <v>31</v>
      </c>
      <c r="G1232" s="2" t="str" cm="1">
        <f t="array" ref="G1232">_xlfn.IFS(F1232&lt;=8,"Child",F1232&lt;=17,"Teen",F1232&lt;=35,"Adult",F1232&lt;=55,"Seniour Adult",F1232&gt;=55,"Old Age")</f>
        <v>Adult</v>
      </c>
      <c r="H1232" t="s">
        <v>10</v>
      </c>
      <c r="I1232" t="s">
        <v>11</v>
      </c>
      <c r="J1232" t="str" cm="1">
        <f t="array" ref="J1232">_xlfn.IFS(I1232="S","Southamptom",I1232="Q","Quentown",I1232="C","Cherbrug",I1232="B","Cabin")</f>
        <v>Southamptom</v>
      </c>
      <c r="K1232" t="s">
        <v>46</v>
      </c>
      <c r="L1232" s="2">
        <v>18</v>
      </c>
      <c r="M1232" s="2" t="str" cm="1">
        <f t="array" ref="M1232">_xlfn.IFS(L1232&lt;=15,"Low Fare",L1232&lt;=35,"Medium Fare",L1232&lt;=100,"High Fare",L1232&gt;=100,"Very High Fare")</f>
        <v>Medium Fare</v>
      </c>
      <c r="N1232" s="2">
        <v>1</v>
      </c>
      <c r="O1232" s="2">
        <v>0</v>
      </c>
      <c r="P1232">
        <f t="shared" si="77"/>
        <v>2</v>
      </c>
      <c r="Q1232" t="str">
        <f t="shared" si="78"/>
        <v>With Family</v>
      </c>
      <c r="R1232" t="str">
        <f t="shared" si="79"/>
        <v>No</v>
      </c>
      <c r="S1232" t="s">
        <v>13</v>
      </c>
    </row>
    <row r="1233" spans="1:19" x14ac:dyDescent="0.3">
      <c r="A1233" s="1" t="s">
        <v>915</v>
      </c>
      <c r="B1233" t="s">
        <v>1596</v>
      </c>
      <c r="C1233" t="s">
        <v>2646</v>
      </c>
      <c r="D1233" t="str">
        <f t="shared" si="76"/>
        <v>Male</v>
      </c>
      <c r="E1233" t="s">
        <v>9</v>
      </c>
      <c r="F1233" s="2">
        <v>35</v>
      </c>
      <c r="G1233" s="2" t="str" cm="1">
        <f t="array" ref="G1233">_xlfn.IFS(F1233&lt;=8,"Child",F1233&lt;=17,"Teen",F1233&lt;=35,"Adult",F1233&lt;=55,"Seniour Adult",F1233&gt;=55,"Old Age")</f>
        <v>Adult</v>
      </c>
      <c r="H1233" t="s">
        <v>10</v>
      </c>
      <c r="I1233" t="s">
        <v>11</v>
      </c>
      <c r="J1233" t="str" cm="1">
        <f t="array" ref="J1233">_xlfn.IFS(I1233="S","Southamptom",I1233="Q","Quentown",I1233="C","Cherbrug",I1233="B","Cabin")</f>
        <v>Southamptom</v>
      </c>
      <c r="K1233" t="s">
        <v>46</v>
      </c>
      <c r="L1233" s="2">
        <v>9.1</v>
      </c>
      <c r="M1233" s="2" t="str" cm="1">
        <f t="array" ref="M1233">_xlfn.IFS(L1233&lt;=15,"Low Fare",L1233&lt;=35,"Medium Fare",L1233&lt;=100,"High Fare",L1233&gt;=100,"Very High Fare")</f>
        <v>Low Fare</v>
      </c>
      <c r="N1233" s="2">
        <v>0</v>
      </c>
      <c r="O1233" s="2">
        <v>0</v>
      </c>
      <c r="P1233">
        <f t="shared" si="77"/>
        <v>1</v>
      </c>
      <c r="Q1233" t="str">
        <f t="shared" si="78"/>
        <v>Alone</v>
      </c>
      <c r="R1233" t="str">
        <f t="shared" si="79"/>
        <v>No</v>
      </c>
      <c r="S1233" t="s">
        <v>13</v>
      </c>
    </row>
    <row r="1234" spans="1:19" x14ac:dyDescent="0.3">
      <c r="A1234" s="1" t="s">
        <v>916</v>
      </c>
      <c r="B1234" t="s">
        <v>1596</v>
      </c>
      <c r="C1234" t="s">
        <v>2647</v>
      </c>
      <c r="D1234" t="str">
        <f t="shared" si="76"/>
        <v>Male</v>
      </c>
      <c r="E1234" t="s">
        <v>9</v>
      </c>
      <c r="F1234" s="2">
        <v>28</v>
      </c>
      <c r="G1234" s="2" t="str" cm="1">
        <f t="array" ref="G1234">_xlfn.IFS(F1234&lt;=8,"Child",F1234&lt;=17,"Teen",F1234&lt;=35,"Adult",F1234&lt;=55,"Seniour Adult",F1234&gt;=55,"Old Age")</f>
        <v>Adult</v>
      </c>
      <c r="H1234" t="s">
        <v>10</v>
      </c>
      <c r="I1234" t="s">
        <v>11</v>
      </c>
      <c r="J1234" t="str" cm="1">
        <f t="array" ref="J1234">_xlfn.IFS(I1234="S","Southamptom",I1234="Q","Quentown",I1234="C","Cherbrug",I1234="B","Cabin")</f>
        <v>Southamptom</v>
      </c>
      <c r="K1234" t="s">
        <v>46</v>
      </c>
      <c r="L1234" s="2">
        <v>9.1</v>
      </c>
      <c r="M1234" s="2" t="str" cm="1">
        <f t="array" ref="M1234">_xlfn.IFS(L1234&lt;=15,"Low Fare",L1234&lt;=35,"Medium Fare",L1234&lt;=100,"High Fare",L1234&gt;=100,"Very High Fare")</f>
        <v>Low Fare</v>
      </c>
      <c r="N1234" s="2">
        <v>0</v>
      </c>
      <c r="O1234" s="2">
        <v>0</v>
      </c>
      <c r="P1234">
        <f t="shared" si="77"/>
        <v>1</v>
      </c>
      <c r="Q1234" t="str">
        <f t="shared" si="78"/>
        <v>Alone</v>
      </c>
      <c r="R1234" t="str">
        <f t="shared" si="79"/>
        <v>No</v>
      </c>
      <c r="S1234" t="s">
        <v>13</v>
      </c>
    </row>
    <row r="1235" spans="1:19" x14ac:dyDescent="0.3">
      <c r="A1235" s="1" t="s">
        <v>917</v>
      </c>
      <c r="B1235" t="s">
        <v>1602</v>
      </c>
      <c r="C1235" t="s">
        <v>2648</v>
      </c>
      <c r="D1235" t="str">
        <f t="shared" si="76"/>
        <v>Female</v>
      </c>
      <c r="E1235" t="s">
        <v>14</v>
      </c>
      <c r="F1235" s="2">
        <v>10</v>
      </c>
      <c r="G1235" s="2" t="str" cm="1">
        <f t="array" ref="G1235">_xlfn.IFS(F1235&lt;=8,"Child",F1235&lt;=17,"Teen",F1235&lt;=35,"Adult",F1235&lt;=55,"Seniour Adult",F1235&gt;=55,"Old Age")</f>
        <v>Teen</v>
      </c>
      <c r="H1235" t="s">
        <v>10</v>
      </c>
      <c r="I1235" t="s">
        <v>11</v>
      </c>
      <c r="J1235" t="str" cm="1">
        <f t="array" ref="J1235">_xlfn.IFS(I1235="S","Southamptom",I1235="Q","Quentown",I1235="C","Cherbrug",I1235="B","Cabin")</f>
        <v>Southamptom</v>
      </c>
      <c r="K1235" t="s">
        <v>46</v>
      </c>
      <c r="L1235" s="2">
        <v>24.03</v>
      </c>
      <c r="M1235" s="2" t="str" cm="1">
        <f t="array" ref="M1235">_xlfn.IFS(L1235&lt;=15,"Low Fare",L1235&lt;=35,"Medium Fare",L1235&lt;=100,"High Fare",L1235&gt;=100,"Very High Fare")</f>
        <v>Medium Fare</v>
      </c>
      <c r="N1235" s="2">
        <v>0</v>
      </c>
      <c r="O1235" s="2">
        <v>2</v>
      </c>
      <c r="P1235">
        <f t="shared" si="77"/>
        <v>3</v>
      </c>
      <c r="Q1235" t="str">
        <f t="shared" si="78"/>
        <v>With Family</v>
      </c>
      <c r="R1235" t="str">
        <f t="shared" si="79"/>
        <v>No</v>
      </c>
      <c r="S1235" t="s">
        <v>13</v>
      </c>
    </row>
    <row r="1236" spans="1:19" x14ac:dyDescent="0.3">
      <c r="A1236" s="1" t="s">
        <v>917</v>
      </c>
      <c r="B1236" t="s">
        <v>1596</v>
      </c>
      <c r="C1236" t="s">
        <v>2649</v>
      </c>
      <c r="D1236" t="str">
        <f t="shared" si="76"/>
        <v>Male</v>
      </c>
      <c r="E1236" t="s">
        <v>9</v>
      </c>
      <c r="F1236" s="2">
        <v>36</v>
      </c>
      <c r="G1236" s="2" t="str" cm="1">
        <f t="array" ref="G1236">_xlfn.IFS(F1236&lt;=8,"Child",F1236&lt;=17,"Teen",F1236&lt;=35,"Adult",F1236&lt;=55,"Seniour Adult",F1236&gt;=55,"Old Age")</f>
        <v>Seniour Adult</v>
      </c>
      <c r="H1236" t="s">
        <v>10</v>
      </c>
      <c r="I1236" t="s">
        <v>11</v>
      </c>
      <c r="J1236" t="str" cm="1">
        <f t="array" ref="J1236">_xlfn.IFS(I1236="S","Southamptom",I1236="Q","Quentown",I1236="C","Cherbrug",I1236="B","Cabin")</f>
        <v>Southamptom</v>
      </c>
      <c r="K1236" t="s">
        <v>46</v>
      </c>
      <c r="L1236" s="2">
        <v>24.03</v>
      </c>
      <c r="M1236" s="2" t="str" cm="1">
        <f t="array" ref="M1236">_xlfn.IFS(L1236&lt;=15,"Low Fare",L1236&lt;=35,"Medium Fare",L1236&lt;=100,"High Fare",L1236&gt;=100,"Very High Fare")</f>
        <v>Medium Fare</v>
      </c>
      <c r="N1236" s="2">
        <v>1</v>
      </c>
      <c r="O1236" s="2">
        <v>1</v>
      </c>
      <c r="P1236">
        <f t="shared" si="77"/>
        <v>3</v>
      </c>
      <c r="Q1236" t="str">
        <f t="shared" si="78"/>
        <v>With Family</v>
      </c>
      <c r="R1236" t="str">
        <f t="shared" si="79"/>
        <v>No</v>
      </c>
      <c r="S1236" t="s">
        <v>13</v>
      </c>
    </row>
    <row r="1237" spans="1:19" x14ac:dyDescent="0.3">
      <c r="A1237" s="1" t="s">
        <v>917</v>
      </c>
      <c r="B1237" t="s">
        <v>1600</v>
      </c>
      <c r="C1237" t="s">
        <v>2650</v>
      </c>
      <c r="D1237" t="str">
        <f t="shared" si="76"/>
        <v>Female</v>
      </c>
      <c r="E1237" t="s">
        <v>14</v>
      </c>
      <c r="F1237" s="2">
        <v>30</v>
      </c>
      <c r="G1237" s="2" t="str" cm="1">
        <f t="array" ref="G1237">_xlfn.IFS(F1237&lt;=8,"Child",F1237&lt;=17,"Teen",F1237&lt;=35,"Adult",F1237&lt;=55,"Seniour Adult",F1237&gt;=55,"Old Age")</f>
        <v>Adult</v>
      </c>
      <c r="H1237" t="s">
        <v>10</v>
      </c>
      <c r="I1237" t="s">
        <v>11</v>
      </c>
      <c r="J1237" t="str" cm="1">
        <f t="array" ref="J1237">_xlfn.IFS(I1237="S","Southamptom",I1237="Q","Quentown",I1237="C","Cherbrug",I1237="B","Cabin")</f>
        <v>Southamptom</v>
      </c>
      <c r="K1237" t="s">
        <v>46</v>
      </c>
      <c r="L1237" s="2">
        <v>24.03</v>
      </c>
      <c r="M1237" s="2" t="str" cm="1">
        <f t="array" ref="M1237">_xlfn.IFS(L1237&lt;=15,"Low Fare",L1237&lt;=35,"Medium Fare",L1237&lt;=100,"High Fare",L1237&gt;=100,"Very High Fare")</f>
        <v>Medium Fare</v>
      </c>
      <c r="N1237" s="2">
        <v>1</v>
      </c>
      <c r="O1237" s="2">
        <v>1</v>
      </c>
      <c r="P1237">
        <f t="shared" si="77"/>
        <v>3</v>
      </c>
      <c r="Q1237" t="str">
        <f t="shared" si="78"/>
        <v>With Family</v>
      </c>
      <c r="R1237" t="str">
        <f t="shared" si="79"/>
        <v>No</v>
      </c>
      <c r="S1237" t="s">
        <v>13</v>
      </c>
    </row>
    <row r="1238" spans="1:19" x14ac:dyDescent="0.3">
      <c r="A1238" s="1" t="s">
        <v>918</v>
      </c>
      <c r="B1238" t="s">
        <v>1596</v>
      </c>
      <c r="C1238" t="s">
        <v>2651</v>
      </c>
      <c r="D1238" t="str">
        <f t="shared" si="76"/>
        <v>Male</v>
      </c>
      <c r="E1238" t="s">
        <v>9</v>
      </c>
      <c r="F1238" s="2">
        <v>23</v>
      </c>
      <c r="G1238" s="2" t="str" cm="1">
        <f t="array" ref="G1238">_xlfn.IFS(F1238&lt;=8,"Child",F1238&lt;=17,"Teen",F1238&lt;=35,"Adult",F1238&lt;=55,"Seniour Adult",F1238&gt;=55,"Old Age")</f>
        <v>Adult</v>
      </c>
      <c r="H1238" t="s">
        <v>10</v>
      </c>
      <c r="I1238" t="s">
        <v>11</v>
      </c>
      <c r="J1238" t="str" cm="1">
        <f t="array" ref="J1238">_xlfn.IFS(I1238="S","Southamptom",I1238="Q","Quentown",I1238="C","Cherbrug",I1238="B","Cabin")</f>
        <v>Southamptom</v>
      </c>
      <c r="K1238" t="s">
        <v>46</v>
      </c>
      <c r="L1238" s="2">
        <v>9.1</v>
      </c>
      <c r="M1238" s="2" t="str" cm="1">
        <f t="array" ref="M1238">_xlfn.IFS(L1238&lt;=15,"Low Fare",L1238&lt;=35,"Medium Fare",L1238&lt;=100,"High Fare",L1238&gt;=100,"Very High Fare")</f>
        <v>Low Fare</v>
      </c>
      <c r="N1238" s="2">
        <v>0</v>
      </c>
      <c r="O1238" s="2">
        <v>0</v>
      </c>
      <c r="P1238">
        <f t="shared" si="77"/>
        <v>1</v>
      </c>
      <c r="Q1238" t="str">
        <f t="shared" si="78"/>
        <v>Alone</v>
      </c>
      <c r="R1238" t="str">
        <f t="shared" si="79"/>
        <v>No</v>
      </c>
      <c r="S1238" t="s">
        <v>13</v>
      </c>
    </row>
    <row r="1239" spans="1:19" x14ac:dyDescent="0.3">
      <c r="A1239" s="1" t="s">
        <v>919</v>
      </c>
      <c r="B1239" t="s">
        <v>1596</v>
      </c>
      <c r="C1239" t="s">
        <v>1824</v>
      </c>
      <c r="D1239" t="str">
        <f t="shared" si="76"/>
        <v>Male</v>
      </c>
      <c r="E1239" t="s">
        <v>9</v>
      </c>
      <c r="F1239" s="2">
        <v>22</v>
      </c>
      <c r="G1239" s="2" t="str" cm="1">
        <f t="array" ref="G1239">_xlfn.IFS(F1239&lt;=8,"Child",F1239&lt;=17,"Teen",F1239&lt;=35,"Adult",F1239&lt;=55,"Seniour Adult",F1239&gt;=55,"Old Age")</f>
        <v>Adult</v>
      </c>
      <c r="H1239" t="s">
        <v>10</v>
      </c>
      <c r="I1239" t="s">
        <v>19</v>
      </c>
      <c r="J1239" t="str" cm="1">
        <f t="array" ref="J1239">_xlfn.IFS(I1239="S","Southamptom",I1239="Q","Quentown",I1239="C","Cherbrug",I1239="B","Cabin")</f>
        <v>Cherbrug</v>
      </c>
      <c r="K1239" t="s">
        <v>58</v>
      </c>
      <c r="L1239" s="2">
        <v>7.0406000000000004</v>
      </c>
      <c r="M1239" s="2" t="str" cm="1">
        <f t="array" ref="M1239">_xlfn.IFS(L1239&lt;=15,"Low Fare",L1239&lt;=35,"Medium Fare",L1239&lt;=100,"High Fare",L1239&gt;=100,"Very High Fare")</f>
        <v>Low Fare</v>
      </c>
      <c r="N1239" s="2">
        <v>0</v>
      </c>
      <c r="O1239" s="2">
        <v>0</v>
      </c>
      <c r="P1239">
        <f t="shared" si="77"/>
        <v>1</v>
      </c>
      <c r="Q1239" t="str">
        <f t="shared" si="78"/>
        <v>Alone</v>
      </c>
      <c r="R1239" t="str">
        <f t="shared" si="79"/>
        <v>Yes</v>
      </c>
      <c r="S1239" t="s">
        <v>16</v>
      </c>
    </row>
    <row r="1240" spans="1:19" x14ac:dyDescent="0.3">
      <c r="A1240" s="1" t="s">
        <v>920</v>
      </c>
      <c r="B1240" t="s">
        <v>1596</v>
      </c>
      <c r="C1240" t="s">
        <v>1965</v>
      </c>
      <c r="D1240" t="str">
        <f t="shared" si="76"/>
        <v>Male</v>
      </c>
      <c r="E1240" t="s">
        <v>9</v>
      </c>
      <c r="F1240" s="2">
        <v>40</v>
      </c>
      <c r="G1240" s="2" t="str" cm="1">
        <f t="array" ref="G1240">_xlfn.IFS(F1240&lt;=8,"Child",F1240&lt;=17,"Teen",F1240&lt;=35,"Adult",F1240&lt;=55,"Seniour Adult",F1240&gt;=55,"Old Age")</f>
        <v>Seniour Adult</v>
      </c>
      <c r="H1240" t="s">
        <v>18</v>
      </c>
      <c r="I1240" t="s">
        <v>11</v>
      </c>
      <c r="J1240" t="str" cm="1">
        <f t="array" ref="J1240">_xlfn.IFS(I1240="S","Southamptom",I1240="Q","Quentown",I1240="C","Cherbrug",I1240="B","Cabin")</f>
        <v>Southamptom</v>
      </c>
      <c r="K1240" t="s">
        <v>12</v>
      </c>
      <c r="L1240" s="2">
        <v>13</v>
      </c>
      <c r="M1240" s="2" t="str" cm="1">
        <f t="array" ref="M1240">_xlfn.IFS(L1240&lt;=15,"Low Fare",L1240&lt;=35,"Medium Fare",L1240&lt;=100,"High Fare",L1240&gt;=100,"Very High Fare")</f>
        <v>Low Fare</v>
      </c>
      <c r="N1240" s="2">
        <v>0</v>
      </c>
      <c r="O1240" s="2">
        <v>0</v>
      </c>
      <c r="P1240">
        <f t="shared" si="77"/>
        <v>1</v>
      </c>
      <c r="Q1240" t="str">
        <f t="shared" si="78"/>
        <v>Alone</v>
      </c>
      <c r="R1240" t="str">
        <f t="shared" si="79"/>
        <v>No</v>
      </c>
      <c r="S1240" t="s">
        <v>13</v>
      </c>
    </row>
    <row r="1241" spans="1:19" x14ac:dyDescent="0.3">
      <c r="A1241" s="1" t="s">
        <v>921</v>
      </c>
      <c r="B1241" t="s">
        <v>1596</v>
      </c>
      <c r="C1241" t="s">
        <v>2652</v>
      </c>
      <c r="D1241" t="str">
        <f t="shared" si="76"/>
        <v>Male</v>
      </c>
      <c r="E1241" t="s">
        <v>9</v>
      </c>
      <c r="F1241" s="2">
        <v>20</v>
      </c>
      <c r="G1241" s="2" t="str" cm="1">
        <f t="array" ref="G1241">_xlfn.IFS(F1241&lt;=8,"Child",F1241&lt;=17,"Teen",F1241&lt;=35,"Adult",F1241&lt;=55,"Seniour Adult",F1241&gt;=55,"Old Age")</f>
        <v>Adult</v>
      </c>
      <c r="H1241" t="s">
        <v>10</v>
      </c>
      <c r="I1241" t="s">
        <v>11</v>
      </c>
      <c r="J1241" t="str" cm="1">
        <f t="array" ref="J1241">_xlfn.IFS(I1241="S","Southamptom",I1241="Q","Quentown",I1241="C","Cherbrug",I1241="B","Cabin")</f>
        <v>Southamptom</v>
      </c>
      <c r="K1241" t="s">
        <v>23</v>
      </c>
      <c r="L1241" s="2">
        <v>7.1700999999999997</v>
      </c>
      <c r="M1241" s="2" t="str" cm="1">
        <f t="array" ref="M1241">_xlfn.IFS(L1241&lt;=15,"Low Fare",L1241&lt;=35,"Medium Fare",L1241&lt;=100,"High Fare",L1241&gt;=100,"Very High Fare")</f>
        <v>Low Fare</v>
      </c>
      <c r="N1241" s="2">
        <v>0</v>
      </c>
      <c r="O1241" s="2">
        <v>0</v>
      </c>
      <c r="P1241">
        <f t="shared" si="77"/>
        <v>1</v>
      </c>
      <c r="Q1241" t="str">
        <f t="shared" si="78"/>
        <v>Alone</v>
      </c>
      <c r="R1241" t="str">
        <f t="shared" si="79"/>
        <v>No</v>
      </c>
      <c r="S1241" t="s">
        <v>13</v>
      </c>
    </row>
    <row r="1242" spans="1:19" x14ac:dyDescent="0.3">
      <c r="A1242" s="1" t="s">
        <v>922</v>
      </c>
      <c r="B1242" t="s">
        <v>1602</v>
      </c>
      <c r="C1242" t="s">
        <v>2653</v>
      </c>
      <c r="D1242" t="str">
        <f t="shared" si="76"/>
        <v>Female</v>
      </c>
      <c r="E1242" t="s">
        <v>14</v>
      </c>
      <c r="F1242" s="2">
        <v>14</v>
      </c>
      <c r="G1242" s="2" t="str" cm="1">
        <f t="array" ref="G1242">_xlfn.IFS(F1242&lt;=8,"Child",F1242&lt;=17,"Teen",F1242&lt;=35,"Adult",F1242&lt;=55,"Seniour Adult",F1242&gt;=55,"Old Age")</f>
        <v>Teen</v>
      </c>
      <c r="H1242" t="s">
        <v>10</v>
      </c>
      <c r="I1242" t="s">
        <v>11</v>
      </c>
      <c r="J1242" t="str" cm="1">
        <f t="array" ref="J1242">_xlfn.IFS(I1242="S","Southamptom",I1242="Q","Quentown",I1242="C","Cherbrug",I1242="B","Cabin")</f>
        <v>Southamptom</v>
      </c>
      <c r="K1242" t="s">
        <v>23</v>
      </c>
      <c r="L1242" s="2">
        <v>7.1700999999999997</v>
      </c>
      <c r="M1242" s="2" t="str" cm="1">
        <f t="array" ref="M1242">_xlfn.IFS(L1242&lt;=15,"Low Fare",L1242&lt;=35,"Medium Fare",L1242&lt;=100,"High Fare",L1242&gt;=100,"Very High Fare")</f>
        <v>Low Fare</v>
      </c>
      <c r="N1242" s="2">
        <v>0</v>
      </c>
      <c r="O1242" s="2">
        <v>0</v>
      </c>
      <c r="P1242">
        <f t="shared" si="77"/>
        <v>1</v>
      </c>
      <c r="Q1242" t="str">
        <f t="shared" si="78"/>
        <v>Alone</v>
      </c>
      <c r="R1242" t="str">
        <f t="shared" si="79"/>
        <v>No</v>
      </c>
      <c r="S1242" t="s">
        <v>13</v>
      </c>
    </row>
    <row r="1243" spans="1:19" x14ac:dyDescent="0.3">
      <c r="A1243" s="1" t="s">
        <v>923</v>
      </c>
      <c r="B1243" t="s">
        <v>1596</v>
      </c>
      <c r="C1243" t="s">
        <v>2654</v>
      </c>
      <c r="D1243" t="str">
        <f t="shared" si="76"/>
        <v>Male</v>
      </c>
      <c r="E1243" t="s">
        <v>9</v>
      </c>
      <c r="F1243" s="2">
        <v>21</v>
      </c>
      <c r="G1243" s="2" t="str" cm="1">
        <f t="array" ref="G1243">_xlfn.IFS(F1243&lt;=8,"Child",F1243&lt;=17,"Teen",F1243&lt;=35,"Adult",F1243&lt;=55,"Seniour Adult",F1243&gt;=55,"Old Age")</f>
        <v>Adult</v>
      </c>
      <c r="H1243" t="s">
        <v>10</v>
      </c>
      <c r="I1243" t="s">
        <v>11</v>
      </c>
      <c r="J1243" t="str" cm="1">
        <f t="array" ref="J1243">_xlfn.IFS(I1243="S","Southamptom",I1243="Q","Quentown",I1243="C","Cherbrug",I1243="B","Cabin")</f>
        <v>Southamptom</v>
      </c>
      <c r="K1243" t="s">
        <v>56</v>
      </c>
      <c r="L1243" s="2">
        <v>7.1711</v>
      </c>
      <c r="M1243" s="2" t="str" cm="1">
        <f t="array" ref="M1243">_xlfn.IFS(L1243&lt;=15,"Low Fare",L1243&lt;=35,"Medium Fare",L1243&lt;=100,"High Fare",L1243&gt;=100,"Very High Fare")</f>
        <v>Low Fare</v>
      </c>
      <c r="N1243" s="2">
        <v>0</v>
      </c>
      <c r="O1243" s="2">
        <v>0</v>
      </c>
      <c r="P1243">
        <f t="shared" si="77"/>
        <v>1</v>
      </c>
      <c r="Q1243" t="str">
        <f t="shared" si="78"/>
        <v>Alone</v>
      </c>
      <c r="R1243" t="str">
        <f t="shared" si="79"/>
        <v>No</v>
      </c>
      <c r="S1243" t="s">
        <v>13</v>
      </c>
    </row>
    <row r="1244" spans="1:19" x14ac:dyDescent="0.3">
      <c r="A1244" s="1" t="s">
        <v>924</v>
      </c>
      <c r="B1244" t="s">
        <v>1596</v>
      </c>
      <c r="C1244" t="s">
        <v>2655</v>
      </c>
      <c r="D1244" t="str">
        <f t="shared" si="76"/>
        <v>Male</v>
      </c>
      <c r="E1244" t="s">
        <v>9</v>
      </c>
      <c r="F1244" s="2">
        <v>22</v>
      </c>
      <c r="G1244" s="2" t="str" cm="1">
        <f t="array" ref="G1244">_xlfn.IFS(F1244&lt;=8,"Child",F1244&lt;=17,"Teen",F1244&lt;=35,"Adult",F1244&lt;=55,"Seniour Adult",F1244&gt;=55,"Old Age")</f>
        <v>Adult</v>
      </c>
      <c r="H1244" t="s">
        <v>10</v>
      </c>
      <c r="I1244" t="s">
        <v>11</v>
      </c>
      <c r="J1244" t="str" cm="1">
        <f t="array" ref="J1244">_xlfn.IFS(I1244="S","Southamptom",I1244="Q","Quentown",I1244="C","Cherbrug",I1244="B","Cabin")</f>
        <v>Southamptom</v>
      </c>
      <c r="K1244" t="s">
        <v>46</v>
      </c>
      <c r="L1244" s="2">
        <v>9</v>
      </c>
      <c r="M1244" s="2" t="str" cm="1">
        <f t="array" ref="M1244">_xlfn.IFS(L1244&lt;=15,"Low Fare",L1244&lt;=35,"Medium Fare",L1244&lt;=100,"High Fare",L1244&gt;=100,"Very High Fare")</f>
        <v>Low Fare</v>
      </c>
      <c r="N1244" s="2">
        <v>0</v>
      </c>
      <c r="O1244" s="2">
        <v>0</v>
      </c>
      <c r="P1244">
        <f t="shared" si="77"/>
        <v>1</v>
      </c>
      <c r="Q1244" t="str">
        <f t="shared" si="78"/>
        <v>Alone</v>
      </c>
      <c r="R1244" t="str">
        <f t="shared" si="79"/>
        <v>No</v>
      </c>
      <c r="S1244" t="s">
        <v>13</v>
      </c>
    </row>
    <row r="1245" spans="1:19" x14ac:dyDescent="0.3">
      <c r="A1245" s="1" t="s">
        <v>925</v>
      </c>
      <c r="B1245" t="s">
        <v>1596</v>
      </c>
      <c r="C1245" t="s">
        <v>2656</v>
      </c>
      <c r="D1245" t="str">
        <f t="shared" si="76"/>
        <v>Male</v>
      </c>
      <c r="E1245" t="s">
        <v>9</v>
      </c>
      <c r="F1245" s="2">
        <v>48</v>
      </c>
      <c r="G1245" s="2" t="str" cm="1">
        <f t="array" ref="G1245">_xlfn.IFS(F1245&lt;=8,"Child",F1245&lt;=17,"Teen",F1245&lt;=35,"Adult",F1245&lt;=55,"Seniour Adult",F1245&gt;=55,"Old Age")</f>
        <v>Seniour Adult</v>
      </c>
      <c r="H1245" t="s">
        <v>25</v>
      </c>
      <c r="I1245" t="s">
        <v>11</v>
      </c>
      <c r="J1245" t="str" cm="1">
        <f t="array" ref="J1245">_xlfn.IFS(I1245="S","Southamptom",I1245="Q","Quentown",I1245="C","Cherbrug",I1245="B","Cabin")</f>
        <v>Southamptom</v>
      </c>
      <c r="K1245" t="s">
        <v>12</v>
      </c>
      <c r="L1245" s="2">
        <v>34</v>
      </c>
      <c r="M1245" s="2" t="str" cm="1">
        <f t="array" ref="M1245">_xlfn.IFS(L1245&lt;=15,"Low Fare",L1245&lt;=35,"Medium Fare",L1245&lt;=100,"High Fare",L1245&gt;=100,"Very High Fare")</f>
        <v>Medium Fare</v>
      </c>
      <c r="N1245" s="2">
        <v>0</v>
      </c>
      <c r="O1245" s="2">
        <v>0</v>
      </c>
      <c r="P1245">
        <f t="shared" si="77"/>
        <v>1</v>
      </c>
      <c r="Q1245" t="str">
        <f t="shared" si="78"/>
        <v>Alone</v>
      </c>
      <c r="R1245" t="str">
        <f t="shared" si="79"/>
        <v>No</v>
      </c>
      <c r="S1245" t="s">
        <v>13</v>
      </c>
    </row>
    <row r="1246" spans="1:19" x14ac:dyDescent="0.3">
      <c r="A1246" s="1" t="s">
        <v>926</v>
      </c>
      <c r="B1246" t="s">
        <v>1602</v>
      </c>
      <c r="C1246" t="s">
        <v>2657</v>
      </c>
      <c r="D1246" t="str">
        <f t="shared" si="76"/>
        <v>Female</v>
      </c>
      <c r="E1246" t="s">
        <v>14</v>
      </c>
      <c r="F1246" s="2">
        <v>36</v>
      </c>
      <c r="G1246" s="2" t="str" cm="1">
        <f t="array" ref="G1246">_xlfn.IFS(F1246&lt;=8,"Child",F1246&lt;=17,"Teen",F1246&lt;=35,"Adult",F1246&lt;=55,"Seniour Adult",F1246&gt;=55,"Old Age")</f>
        <v>Seniour Adult</v>
      </c>
      <c r="H1246" t="s">
        <v>18</v>
      </c>
      <c r="I1246" t="s">
        <v>11</v>
      </c>
      <c r="J1246" t="str" cm="1">
        <f t="array" ref="J1246">_xlfn.IFS(I1246="S","Southamptom",I1246="Q","Quentown",I1246="C","Cherbrug",I1246="B","Cabin")</f>
        <v>Southamptom</v>
      </c>
      <c r="K1246" t="s">
        <v>15</v>
      </c>
      <c r="L1246" s="2">
        <v>21</v>
      </c>
      <c r="M1246" s="2" t="str" cm="1">
        <f t="array" ref="M1246">_xlfn.IFS(L1246&lt;=15,"Low Fare",L1246&lt;=35,"Medium Fare",L1246&lt;=100,"High Fare",L1246&gt;=100,"Very High Fare")</f>
        <v>Medium Fare</v>
      </c>
      <c r="N1246" s="2">
        <v>0</v>
      </c>
      <c r="O1246" s="2">
        <v>0</v>
      </c>
      <c r="P1246">
        <f t="shared" si="77"/>
        <v>1</v>
      </c>
      <c r="Q1246" t="str">
        <f t="shared" si="78"/>
        <v>Alone</v>
      </c>
      <c r="R1246" t="str">
        <f t="shared" si="79"/>
        <v>Yes</v>
      </c>
      <c r="S1246" t="s">
        <v>16</v>
      </c>
    </row>
    <row r="1247" spans="1:19" x14ac:dyDescent="0.3">
      <c r="A1247" s="1" t="s">
        <v>927</v>
      </c>
      <c r="B1247" t="s">
        <v>1602</v>
      </c>
      <c r="C1247" t="s">
        <v>2658</v>
      </c>
      <c r="D1247" t="str">
        <f t="shared" si="76"/>
        <v>Female</v>
      </c>
      <c r="E1247" t="s">
        <v>14</v>
      </c>
      <c r="F1247" s="2">
        <v>37</v>
      </c>
      <c r="G1247" s="2" t="str" cm="1">
        <f t="array" ref="G1247">_xlfn.IFS(F1247&lt;=8,"Child",F1247&lt;=17,"Teen",F1247&lt;=35,"Adult",F1247&lt;=55,"Seniour Adult",F1247&gt;=55,"Old Age")</f>
        <v>Seniour Adult</v>
      </c>
      <c r="H1247" t="s">
        <v>25</v>
      </c>
      <c r="I1247" t="s">
        <v>19</v>
      </c>
      <c r="J1247" t="str" cm="1">
        <f t="array" ref="J1247">_xlfn.IFS(I1247="S","Southamptom",I1247="Q","Quentown",I1247="C","Cherbrug",I1247="B","Cabin")</f>
        <v>Cherbrug</v>
      </c>
      <c r="K1247" t="s">
        <v>15</v>
      </c>
      <c r="L1247" s="2">
        <v>512.0607</v>
      </c>
      <c r="M1247" s="2" t="str" cm="1">
        <f t="array" ref="M1247">_xlfn.IFS(L1247&lt;=15,"Low Fare",L1247&lt;=35,"Medium Fare",L1247&lt;=100,"High Fare",L1247&gt;=100,"Very High Fare")</f>
        <v>Very High Fare</v>
      </c>
      <c r="N1247" s="2">
        <v>0</v>
      </c>
      <c r="O1247" s="2">
        <v>0</v>
      </c>
      <c r="P1247">
        <f t="shared" si="77"/>
        <v>1</v>
      </c>
      <c r="Q1247" t="str">
        <f t="shared" si="78"/>
        <v>Alone</v>
      </c>
      <c r="R1247" t="str">
        <f t="shared" si="79"/>
        <v>Yes</v>
      </c>
      <c r="S1247" t="s">
        <v>16</v>
      </c>
    </row>
    <row r="1248" spans="1:19" x14ac:dyDescent="0.3">
      <c r="A1248" s="1" t="s">
        <v>928</v>
      </c>
      <c r="B1248" t="s">
        <v>1596</v>
      </c>
      <c r="C1248" t="s">
        <v>2511</v>
      </c>
      <c r="D1248" t="str">
        <f t="shared" si="76"/>
        <v>Male</v>
      </c>
      <c r="E1248" t="s">
        <v>9</v>
      </c>
      <c r="F1248" s="2">
        <v>35</v>
      </c>
      <c r="G1248" s="2" t="str" cm="1">
        <f t="array" ref="G1248">_xlfn.IFS(F1248&lt;=8,"Child",F1248&lt;=17,"Teen",F1248&lt;=35,"Adult",F1248&lt;=55,"Seniour Adult",F1248&gt;=55,"Old Age")</f>
        <v>Adult</v>
      </c>
      <c r="H1248" t="s">
        <v>10</v>
      </c>
      <c r="I1248" t="s">
        <v>11</v>
      </c>
      <c r="J1248" t="str" cm="1">
        <f t="array" ref="J1248">_xlfn.IFS(I1248="S","Southamptom",I1248="Q","Quentown",I1248="C","Cherbrug",I1248="B","Cabin")</f>
        <v>Southamptom</v>
      </c>
      <c r="K1248" t="s">
        <v>15</v>
      </c>
      <c r="L1248" s="2">
        <v>8.01</v>
      </c>
      <c r="M1248" s="2" t="str" cm="1">
        <f t="array" ref="M1248">_xlfn.IFS(L1248&lt;=15,"Low Fare",L1248&lt;=35,"Medium Fare",L1248&lt;=100,"High Fare",L1248&gt;=100,"Very High Fare")</f>
        <v>Low Fare</v>
      </c>
      <c r="N1248" s="2">
        <v>0</v>
      </c>
      <c r="O1248" s="2">
        <v>0</v>
      </c>
      <c r="P1248">
        <f t="shared" si="77"/>
        <v>1</v>
      </c>
      <c r="Q1248" t="str">
        <f t="shared" si="78"/>
        <v>Alone</v>
      </c>
      <c r="R1248" t="str">
        <f t="shared" si="79"/>
        <v>No</v>
      </c>
      <c r="S1248" t="s">
        <v>13</v>
      </c>
    </row>
    <row r="1249" spans="1:19" x14ac:dyDescent="0.3">
      <c r="A1249" s="1" t="s">
        <v>928</v>
      </c>
      <c r="B1249" t="s">
        <v>1596</v>
      </c>
      <c r="C1249" t="s">
        <v>1731</v>
      </c>
      <c r="D1249" t="str">
        <f t="shared" si="76"/>
        <v>Male</v>
      </c>
      <c r="E1249" t="s">
        <v>9</v>
      </c>
      <c r="F1249" s="2">
        <v>47</v>
      </c>
      <c r="G1249" s="2" t="str" cm="1">
        <f t="array" ref="G1249">_xlfn.IFS(F1249&lt;=8,"Child",F1249&lt;=17,"Teen",F1249&lt;=35,"Adult",F1249&lt;=55,"Seniour Adult",F1249&gt;=55,"Old Age")</f>
        <v>Seniour Adult</v>
      </c>
      <c r="H1249" t="s">
        <v>18</v>
      </c>
      <c r="I1249" t="s">
        <v>11</v>
      </c>
      <c r="J1249" t="str" cm="1">
        <f t="array" ref="J1249">_xlfn.IFS(I1249="S","Southamptom",I1249="Q","Quentown",I1249="C","Cherbrug",I1249="B","Cabin")</f>
        <v>Southamptom</v>
      </c>
      <c r="K1249" t="s">
        <v>15</v>
      </c>
      <c r="L1249" s="2">
        <v>21</v>
      </c>
      <c r="M1249" s="2" t="str" cm="1">
        <f t="array" ref="M1249">_xlfn.IFS(L1249&lt;=15,"Low Fare",L1249&lt;=35,"Medium Fare",L1249&lt;=100,"High Fare",L1249&gt;=100,"Very High Fare")</f>
        <v>Medium Fare</v>
      </c>
      <c r="N1249" s="2">
        <v>1</v>
      </c>
      <c r="O1249" s="2">
        <v>0</v>
      </c>
      <c r="P1249">
        <f t="shared" si="77"/>
        <v>2</v>
      </c>
      <c r="Q1249" t="str">
        <f t="shared" si="78"/>
        <v>With Family</v>
      </c>
      <c r="R1249" t="str">
        <f t="shared" si="79"/>
        <v>No</v>
      </c>
      <c r="S1249" t="s">
        <v>13</v>
      </c>
    </row>
    <row r="1250" spans="1:19" x14ac:dyDescent="0.3">
      <c r="A1250" s="1" t="s">
        <v>928</v>
      </c>
      <c r="B1250" t="s">
        <v>1600</v>
      </c>
      <c r="C1250" t="s">
        <v>2659</v>
      </c>
      <c r="D1250" t="str">
        <f t="shared" si="76"/>
        <v>Female</v>
      </c>
      <c r="E1250" t="s">
        <v>14</v>
      </c>
      <c r="F1250" s="2">
        <v>32</v>
      </c>
      <c r="G1250" s="2" t="str" cm="1">
        <f t="array" ref="G1250">_xlfn.IFS(F1250&lt;=8,"Child",F1250&lt;=17,"Teen",F1250&lt;=35,"Adult",F1250&lt;=55,"Seniour Adult",F1250&gt;=55,"Old Age")</f>
        <v>Adult</v>
      </c>
      <c r="H1250" t="s">
        <v>18</v>
      </c>
      <c r="I1250" t="s">
        <v>11</v>
      </c>
      <c r="J1250" t="str" cm="1">
        <f t="array" ref="J1250">_xlfn.IFS(I1250="S","Southamptom",I1250="Q","Quentown",I1250="C","Cherbrug",I1250="B","Cabin")</f>
        <v>Southamptom</v>
      </c>
      <c r="K1250" t="s">
        <v>15</v>
      </c>
      <c r="L1250" s="2">
        <v>21</v>
      </c>
      <c r="M1250" s="2" t="str" cm="1">
        <f t="array" ref="M1250">_xlfn.IFS(L1250&lt;=15,"Low Fare",L1250&lt;=35,"Medium Fare",L1250&lt;=100,"High Fare",L1250&gt;=100,"Very High Fare")</f>
        <v>Medium Fare</v>
      </c>
      <c r="N1250" s="2">
        <v>0</v>
      </c>
      <c r="O1250" s="2">
        <v>0</v>
      </c>
      <c r="P1250">
        <f t="shared" si="77"/>
        <v>1</v>
      </c>
      <c r="Q1250" t="str">
        <f t="shared" si="78"/>
        <v>Alone</v>
      </c>
      <c r="R1250" t="str">
        <f t="shared" si="79"/>
        <v>Yes</v>
      </c>
      <c r="S1250" t="s">
        <v>16</v>
      </c>
    </row>
    <row r="1251" spans="1:19" x14ac:dyDescent="0.3">
      <c r="A1251" s="1" t="s">
        <v>928</v>
      </c>
      <c r="B1251" t="s">
        <v>1596</v>
      </c>
      <c r="C1251" t="s">
        <v>2660</v>
      </c>
      <c r="D1251" t="str">
        <f t="shared" si="76"/>
        <v>Male</v>
      </c>
      <c r="E1251" t="s">
        <v>9</v>
      </c>
      <c r="F1251" s="2">
        <v>23</v>
      </c>
      <c r="G1251" s="2" t="str" cm="1">
        <f t="array" ref="G1251">_xlfn.IFS(F1251&lt;=8,"Child",F1251&lt;=17,"Teen",F1251&lt;=35,"Adult",F1251&lt;=55,"Seniour Adult",F1251&gt;=55,"Old Age")</f>
        <v>Adult</v>
      </c>
      <c r="H1251" t="s">
        <v>18</v>
      </c>
      <c r="I1251" t="s">
        <v>11</v>
      </c>
      <c r="J1251" t="str" cm="1">
        <f t="array" ref="J1251">_xlfn.IFS(I1251="S","Southamptom",I1251="Q","Quentown",I1251="C","Cherbrug",I1251="B","Cabin")</f>
        <v>Southamptom</v>
      </c>
      <c r="K1251" t="s">
        <v>15</v>
      </c>
      <c r="L1251" s="2">
        <v>10.1</v>
      </c>
      <c r="M1251" s="2" t="str" cm="1">
        <f t="array" ref="M1251">_xlfn.IFS(L1251&lt;=15,"Low Fare",L1251&lt;=35,"Medium Fare",L1251&lt;=100,"High Fare",L1251&gt;=100,"Very High Fare")</f>
        <v>Low Fare</v>
      </c>
      <c r="N1251" s="2">
        <v>1</v>
      </c>
      <c r="O1251" s="2">
        <v>0</v>
      </c>
      <c r="P1251">
        <f t="shared" si="77"/>
        <v>2</v>
      </c>
      <c r="Q1251" t="str">
        <f t="shared" si="78"/>
        <v>With Family</v>
      </c>
      <c r="R1251" t="str">
        <f t="shared" si="79"/>
        <v>No</v>
      </c>
      <c r="S1251" t="s">
        <v>13</v>
      </c>
    </row>
    <row r="1252" spans="1:19" x14ac:dyDescent="0.3">
      <c r="A1252" s="1" t="s">
        <v>929</v>
      </c>
      <c r="B1252" t="s">
        <v>1596</v>
      </c>
      <c r="C1252" t="s">
        <v>2661</v>
      </c>
      <c r="D1252" t="str">
        <f t="shared" si="76"/>
        <v>Male</v>
      </c>
      <c r="E1252" t="s">
        <v>9</v>
      </c>
      <c r="F1252" s="2">
        <v>31</v>
      </c>
      <c r="G1252" s="2" t="str" cm="1">
        <f t="array" ref="G1252">_xlfn.IFS(F1252&lt;=8,"Child",F1252&lt;=17,"Teen",F1252&lt;=35,"Adult",F1252&lt;=55,"Seniour Adult",F1252&gt;=55,"Old Age")</f>
        <v>Adult</v>
      </c>
      <c r="H1252" t="s">
        <v>10</v>
      </c>
      <c r="I1252" t="s">
        <v>11</v>
      </c>
      <c r="J1252" t="str" cm="1">
        <f t="array" ref="J1252">_xlfn.IFS(I1252="S","Southamptom",I1252="Q","Quentown",I1252="C","Cherbrug",I1252="B","Cabin")</f>
        <v>Southamptom</v>
      </c>
      <c r="K1252" t="s">
        <v>15</v>
      </c>
      <c r="L1252" s="2">
        <v>7.11</v>
      </c>
      <c r="M1252" s="2" t="str" cm="1">
        <f t="array" ref="M1252">_xlfn.IFS(L1252&lt;=15,"Low Fare",L1252&lt;=35,"Medium Fare",L1252&lt;=100,"High Fare",L1252&gt;=100,"Very High Fare")</f>
        <v>Low Fare</v>
      </c>
      <c r="N1252" s="2">
        <v>0</v>
      </c>
      <c r="O1252" s="2">
        <v>0</v>
      </c>
      <c r="P1252">
        <f t="shared" si="77"/>
        <v>1</v>
      </c>
      <c r="Q1252" t="str">
        <f t="shared" si="78"/>
        <v>Alone</v>
      </c>
      <c r="R1252" t="str">
        <f t="shared" si="79"/>
        <v>No</v>
      </c>
      <c r="S1252" t="s">
        <v>13</v>
      </c>
    </row>
    <row r="1253" spans="1:19" x14ac:dyDescent="0.3">
      <c r="A1253" s="1" t="s">
        <v>929</v>
      </c>
      <c r="B1253" t="s">
        <v>1596</v>
      </c>
      <c r="C1253" t="s">
        <v>2662</v>
      </c>
      <c r="D1253" t="str">
        <f t="shared" si="76"/>
        <v>Male</v>
      </c>
      <c r="E1253" t="s">
        <v>9</v>
      </c>
      <c r="F1253" s="2">
        <v>63</v>
      </c>
      <c r="G1253" s="2" t="str" cm="1">
        <f t="array" ref="G1253">_xlfn.IFS(F1253&lt;=8,"Child",F1253&lt;=17,"Teen",F1253&lt;=35,"Adult",F1253&lt;=55,"Seniour Adult",F1253&gt;=55,"Old Age")</f>
        <v>Old Age</v>
      </c>
      <c r="H1253" t="s">
        <v>25</v>
      </c>
      <c r="I1253" t="s">
        <v>19</v>
      </c>
      <c r="J1253" t="str" cm="1">
        <f t="array" ref="J1253">_xlfn.IFS(I1253="S","Southamptom",I1253="Q","Quentown",I1253="C","Cherbrug",I1253="B","Cabin")</f>
        <v>Cherbrug</v>
      </c>
      <c r="K1253" t="s">
        <v>12</v>
      </c>
      <c r="L1253" s="2">
        <v>75.05</v>
      </c>
      <c r="M1253" s="2" t="str" cm="1">
        <f t="array" ref="M1253">_xlfn.IFS(L1253&lt;=15,"Low Fare",L1253&lt;=35,"Medium Fare",L1253&lt;=100,"High Fare",L1253&gt;=100,"Very High Fare")</f>
        <v>High Fare</v>
      </c>
      <c r="N1253" s="2">
        <v>1</v>
      </c>
      <c r="O1253" s="2">
        <v>0</v>
      </c>
      <c r="P1253">
        <f t="shared" si="77"/>
        <v>2</v>
      </c>
      <c r="Q1253" t="str">
        <f t="shared" si="78"/>
        <v>With Family</v>
      </c>
      <c r="R1253" t="str">
        <f t="shared" si="79"/>
        <v>No</v>
      </c>
      <c r="S1253" t="s">
        <v>13</v>
      </c>
    </row>
    <row r="1254" spans="1:19" x14ac:dyDescent="0.3">
      <c r="A1254" s="1" t="s">
        <v>929</v>
      </c>
      <c r="B1254" t="s">
        <v>1600</v>
      </c>
      <c r="C1254" t="s">
        <v>2663</v>
      </c>
      <c r="D1254" t="str">
        <f t="shared" si="76"/>
        <v>Female</v>
      </c>
      <c r="E1254" t="s">
        <v>14</v>
      </c>
      <c r="F1254" s="2">
        <v>60</v>
      </c>
      <c r="G1254" s="2" t="str" cm="1">
        <f t="array" ref="G1254">_xlfn.IFS(F1254&lt;=8,"Child",F1254&lt;=17,"Teen",F1254&lt;=35,"Adult",F1254&lt;=55,"Seniour Adult",F1254&gt;=55,"Old Age")</f>
        <v>Old Age</v>
      </c>
      <c r="H1254" t="s">
        <v>25</v>
      </c>
      <c r="I1254" t="s">
        <v>19</v>
      </c>
      <c r="J1254" t="str" cm="1">
        <f t="array" ref="J1254">_xlfn.IFS(I1254="S","Southamptom",I1254="Q","Quentown",I1254="C","Cherbrug",I1254="B","Cabin")</f>
        <v>Cherbrug</v>
      </c>
      <c r="K1254" t="s">
        <v>15</v>
      </c>
      <c r="L1254" s="2">
        <v>75.05</v>
      </c>
      <c r="M1254" s="2" t="str" cm="1">
        <f t="array" ref="M1254">_xlfn.IFS(L1254&lt;=15,"Low Fare",L1254&lt;=35,"Medium Fare",L1254&lt;=100,"High Fare",L1254&gt;=100,"Very High Fare")</f>
        <v>High Fare</v>
      </c>
      <c r="N1254" s="2">
        <v>1</v>
      </c>
      <c r="O1254" s="2">
        <v>0</v>
      </c>
      <c r="P1254">
        <f t="shared" si="77"/>
        <v>2</v>
      </c>
      <c r="Q1254" t="str">
        <f t="shared" si="78"/>
        <v>With Family</v>
      </c>
      <c r="R1254" t="str">
        <f t="shared" si="79"/>
        <v>Yes</v>
      </c>
      <c r="S1254" t="s">
        <v>16</v>
      </c>
    </row>
    <row r="1255" spans="1:19" x14ac:dyDescent="0.3">
      <c r="A1255" s="1" t="s">
        <v>930</v>
      </c>
      <c r="B1255" t="s">
        <v>1596</v>
      </c>
      <c r="C1255" t="s">
        <v>2664</v>
      </c>
      <c r="D1255" t="str">
        <f t="shared" si="76"/>
        <v>Male</v>
      </c>
      <c r="E1255" t="s">
        <v>9</v>
      </c>
      <c r="F1255" s="2">
        <v>19</v>
      </c>
      <c r="G1255" s="2" t="str" cm="1">
        <f t="array" ref="G1255">_xlfn.IFS(F1255&lt;=8,"Child",F1255&lt;=17,"Teen",F1255&lt;=35,"Adult",F1255&lt;=55,"Seniour Adult",F1255&gt;=55,"Old Age")</f>
        <v>Adult</v>
      </c>
      <c r="H1255" t="s">
        <v>18</v>
      </c>
      <c r="I1255" t="s">
        <v>28</v>
      </c>
      <c r="J1255" t="str" cm="1">
        <f t="array" ref="J1255">_xlfn.IFS(I1255="S","Southamptom",I1255="Q","Quentown",I1255="C","Cherbrug",I1255="B","Cabin")</f>
        <v>Cabin</v>
      </c>
      <c r="K1255" t="s">
        <v>29</v>
      </c>
      <c r="L1255" s="2">
        <v>33</v>
      </c>
      <c r="M1255" s="2" t="str" cm="1">
        <f t="array" ref="M1255">_xlfn.IFS(L1255&lt;=15,"Low Fare",L1255&lt;=35,"Medium Fare",L1255&lt;=100,"High Fare",L1255&gt;=100,"Very High Fare")</f>
        <v>Medium Fare</v>
      </c>
      <c r="N1255" s="2">
        <v>0</v>
      </c>
      <c r="O1255" s="2">
        <v>0</v>
      </c>
      <c r="P1255">
        <f t="shared" si="77"/>
        <v>1</v>
      </c>
      <c r="Q1255" t="str">
        <f t="shared" si="78"/>
        <v>Alone</v>
      </c>
      <c r="R1255" t="str">
        <f t="shared" si="79"/>
        <v>No</v>
      </c>
      <c r="S1255" t="s">
        <v>13</v>
      </c>
    </row>
    <row r="1256" spans="1:19" x14ac:dyDescent="0.3">
      <c r="A1256" s="1" t="s">
        <v>931</v>
      </c>
      <c r="B1256" t="s">
        <v>1602</v>
      </c>
      <c r="C1256" t="s">
        <v>2665</v>
      </c>
      <c r="D1256" t="str">
        <f t="shared" si="76"/>
        <v>Female</v>
      </c>
      <c r="E1256" t="s">
        <v>14</v>
      </c>
      <c r="F1256" s="2">
        <v>12</v>
      </c>
      <c r="G1256" s="2" t="str" cm="1">
        <f t="array" ref="G1256">_xlfn.IFS(F1256&lt;=8,"Child",F1256&lt;=17,"Teen",F1256&lt;=35,"Adult",F1256&lt;=55,"Seniour Adult",F1256&gt;=55,"Old Age")</f>
        <v>Teen</v>
      </c>
      <c r="H1256" t="s">
        <v>18</v>
      </c>
      <c r="I1256" t="s">
        <v>11</v>
      </c>
      <c r="J1256" t="str" cm="1">
        <f t="array" ref="J1256">_xlfn.IFS(I1256="S","Southamptom",I1256="Q","Quentown",I1256="C","Cherbrug",I1256="B","Cabin")</f>
        <v>Southamptom</v>
      </c>
      <c r="K1256" t="s">
        <v>43</v>
      </c>
      <c r="L1256" s="2">
        <v>15.15</v>
      </c>
      <c r="M1256" s="2" t="str" cm="1">
        <f t="array" ref="M1256">_xlfn.IFS(L1256&lt;=15,"Low Fare",L1256&lt;=35,"Medium Fare",L1256&lt;=100,"High Fare",L1256&gt;=100,"Very High Fare")</f>
        <v>Medium Fare</v>
      </c>
      <c r="N1256" s="2">
        <v>0</v>
      </c>
      <c r="O1256" s="2">
        <v>0</v>
      </c>
      <c r="P1256">
        <f t="shared" si="77"/>
        <v>1</v>
      </c>
      <c r="Q1256" t="str">
        <f t="shared" si="78"/>
        <v>Alone</v>
      </c>
      <c r="R1256" t="str">
        <f t="shared" si="79"/>
        <v>Yes</v>
      </c>
      <c r="S1256" t="s">
        <v>16</v>
      </c>
    </row>
    <row r="1257" spans="1:19" x14ac:dyDescent="0.3">
      <c r="A1257" s="1" t="s">
        <v>931</v>
      </c>
      <c r="B1257" t="s">
        <v>1600</v>
      </c>
      <c r="C1257" t="s">
        <v>1730</v>
      </c>
      <c r="D1257" t="str">
        <f t="shared" si="76"/>
        <v>Female</v>
      </c>
      <c r="E1257" t="s">
        <v>14</v>
      </c>
      <c r="F1257" s="2">
        <v>40</v>
      </c>
      <c r="G1257" s="2" t="str" cm="1">
        <f t="array" ref="G1257">_xlfn.IFS(F1257&lt;=8,"Child",F1257&lt;=17,"Teen",F1257&lt;=35,"Adult",F1257&lt;=55,"Seniour Adult",F1257&gt;=55,"Old Age")</f>
        <v>Seniour Adult</v>
      </c>
      <c r="H1257" t="s">
        <v>18</v>
      </c>
      <c r="I1257" t="s">
        <v>11</v>
      </c>
      <c r="J1257" t="str" cm="1">
        <f t="array" ref="J1257">_xlfn.IFS(I1257="S","Southamptom",I1257="Q","Quentown",I1257="C","Cherbrug",I1257="B","Cabin")</f>
        <v>Southamptom</v>
      </c>
      <c r="K1257" t="s">
        <v>43</v>
      </c>
      <c r="L1257" s="2">
        <v>15.15</v>
      </c>
      <c r="M1257" s="2" t="str" cm="1">
        <f t="array" ref="M1257">_xlfn.IFS(L1257&lt;=15,"Low Fare",L1257&lt;=35,"Medium Fare",L1257&lt;=100,"High Fare",L1257&gt;=100,"Very High Fare")</f>
        <v>Medium Fare</v>
      </c>
      <c r="N1257" s="2">
        <v>0</v>
      </c>
      <c r="O1257" s="2">
        <v>0</v>
      </c>
      <c r="P1257">
        <f t="shared" si="77"/>
        <v>1</v>
      </c>
      <c r="Q1257" t="str">
        <f t="shared" si="78"/>
        <v>Alone</v>
      </c>
      <c r="R1257" t="str">
        <f t="shared" si="79"/>
        <v>Yes</v>
      </c>
      <c r="S1257" t="s">
        <v>16</v>
      </c>
    </row>
    <row r="1258" spans="1:19" x14ac:dyDescent="0.3">
      <c r="A1258" s="1" t="s">
        <v>932</v>
      </c>
      <c r="B1258" t="s">
        <v>1596</v>
      </c>
      <c r="C1258" t="s">
        <v>2666</v>
      </c>
      <c r="D1258" t="str">
        <f t="shared" si="76"/>
        <v>Male</v>
      </c>
      <c r="E1258" t="s">
        <v>9</v>
      </c>
      <c r="F1258" s="2">
        <v>23</v>
      </c>
      <c r="G1258" s="2" t="str" cm="1">
        <f t="array" ref="G1258">_xlfn.IFS(F1258&lt;=8,"Child",F1258&lt;=17,"Teen",F1258&lt;=35,"Adult",F1258&lt;=55,"Seniour Adult",F1258&gt;=55,"Old Age")</f>
        <v>Adult</v>
      </c>
      <c r="H1258" t="s">
        <v>10</v>
      </c>
      <c r="I1258" t="s">
        <v>19</v>
      </c>
      <c r="J1258" t="str" cm="1">
        <f t="array" ref="J1258">_xlfn.IFS(I1258="S","Southamptom",I1258="Q","Quentown",I1258="C","Cherbrug",I1258="B","Cabin")</f>
        <v>Cherbrug</v>
      </c>
      <c r="K1258" t="s">
        <v>21</v>
      </c>
      <c r="L1258" s="2">
        <v>7.0406000000000004</v>
      </c>
      <c r="M1258" s="2" t="str" cm="1">
        <f t="array" ref="M1258">_xlfn.IFS(L1258&lt;=15,"Low Fare",L1258&lt;=35,"Medium Fare",L1258&lt;=100,"High Fare",L1258&gt;=100,"Very High Fare")</f>
        <v>Low Fare</v>
      </c>
      <c r="N1258" s="2">
        <v>0</v>
      </c>
      <c r="O1258" s="2">
        <v>0</v>
      </c>
      <c r="P1258">
        <f t="shared" si="77"/>
        <v>1</v>
      </c>
      <c r="Q1258" t="str">
        <f t="shared" si="78"/>
        <v>Alone</v>
      </c>
      <c r="R1258" t="str">
        <f t="shared" si="79"/>
        <v>No</v>
      </c>
      <c r="S1258" t="s">
        <v>13</v>
      </c>
    </row>
    <row r="1259" spans="1:19" x14ac:dyDescent="0.3">
      <c r="A1259" s="1" t="s">
        <v>933</v>
      </c>
      <c r="B1259" t="s">
        <v>1602</v>
      </c>
      <c r="C1259" t="s">
        <v>2667</v>
      </c>
      <c r="D1259" t="str">
        <f t="shared" si="76"/>
        <v>Female</v>
      </c>
      <c r="E1259" t="s">
        <v>14</v>
      </c>
      <c r="F1259" s="2">
        <v>37</v>
      </c>
      <c r="G1259" s="2" t="str" cm="1">
        <f t="array" ref="G1259">_xlfn.IFS(F1259&lt;=8,"Child",F1259&lt;=17,"Teen",F1259&lt;=35,"Adult",F1259&lt;=55,"Seniour Adult",F1259&gt;=55,"Old Age")</f>
        <v>Seniour Adult</v>
      </c>
      <c r="H1259" t="s">
        <v>18</v>
      </c>
      <c r="I1259" t="s">
        <v>11</v>
      </c>
      <c r="J1259" t="str" cm="1">
        <f t="array" ref="J1259">_xlfn.IFS(I1259="S","Southamptom",I1259="Q","Quentown",I1259="C","Cherbrug",I1259="B","Cabin")</f>
        <v>Southamptom</v>
      </c>
      <c r="K1259" t="s">
        <v>15</v>
      </c>
      <c r="L1259" s="2">
        <v>13</v>
      </c>
      <c r="M1259" s="2" t="str" cm="1">
        <f t="array" ref="M1259">_xlfn.IFS(L1259&lt;=15,"Low Fare",L1259&lt;=35,"Medium Fare",L1259&lt;=100,"High Fare",L1259&gt;=100,"Very High Fare")</f>
        <v>Low Fare</v>
      </c>
      <c r="N1259" s="2">
        <v>0</v>
      </c>
      <c r="O1259" s="2">
        <v>0</v>
      </c>
      <c r="P1259">
        <f t="shared" si="77"/>
        <v>1</v>
      </c>
      <c r="Q1259" t="str">
        <f t="shared" si="78"/>
        <v>Alone</v>
      </c>
      <c r="R1259" t="str">
        <f t="shared" si="79"/>
        <v>Yes</v>
      </c>
      <c r="S1259" t="s">
        <v>16</v>
      </c>
    </row>
    <row r="1260" spans="1:19" x14ac:dyDescent="0.3">
      <c r="A1260" s="1" t="s">
        <v>933</v>
      </c>
      <c r="B1260" t="s">
        <v>1596</v>
      </c>
      <c r="C1260" t="s">
        <v>1965</v>
      </c>
      <c r="D1260" t="str">
        <f t="shared" si="76"/>
        <v>Male</v>
      </c>
      <c r="E1260" t="s">
        <v>9</v>
      </c>
      <c r="F1260" s="2">
        <v>66</v>
      </c>
      <c r="G1260" s="2" t="str" cm="1">
        <f t="array" ref="G1260">_xlfn.IFS(F1260&lt;=8,"Child",F1260&lt;=17,"Teen",F1260&lt;=35,"Adult",F1260&lt;=55,"Seniour Adult",F1260&gt;=55,"Old Age")</f>
        <v>Old Age</v>
      </c>
      <c r="H1260" t="s">
        <v>10</v>
      </c>
      <c r="I1260" t="s">
        <v>11</v>
      </c>
      <c r="J1260" t="str" cm="1">
        <f t="array" ref="J1260">_xlfn.IFS(I1260="S","Southamptom",I1260="Q","Quentown",I1260="C","Cherbrug",I1260="B","Cabin")</f>
        <v>Southamptom</v>
      </c>
      <c r="K1260" t="s">
        <v>15</v>
      </c>
      <c r="L1260" s="2">
        <v>8.01</v>
      </c>
      <c r="M1260" s="2" t="str" cm="1">
        <f t="array" ref="M1260">_xlfn.IFS(L1260&lt;=15,"Low Fare",L1260&lt;=35,"Medium Fare",L1260&lt;=100,"High Fare",L1260&gt;=100,"Very High Fare")</f>
        <v>Low Fare</v>
      </c>
      <c r="N1260" s="2">
        <v>0</v>
      </c>
      <c r="O1260" s="2">
        <v>0</v>
      </c>
      <c r="P1260">
        <f t="shared" si="77"/>
        <v>1</v>
      </c>
      <c r="Q1260" t="str">
        <f t="shared" si="78"/>
        <v>Alone</v>
      </c>
      <c r="R1260" t="str">
        <f t="shared" si="79"/>
        <v>No</v>
      </c>
      <c r="S1260" t="s">
        <v>13</v>
      </c>
    </row>
    <row r="1261" spans="1:19" x14ac:dyDescent="0.3">
      <c r="A1261" s="1" t="s">
        <v>934</v>
      </c>
      <c r="B1261" t="s">
        <v>1664</v>
      </c>
      <c r="C1261" t="s">
        <v>1610</v>
      </c>
      <c r="D1261" t="str">
        <f t="shared" si="76"/>
        <v>Male</v>
      </c>
      <c r="E1261" t="s">
        <v>9</v>
      </c>
      <c r="F1261" s="2">
        <v>59</v>
      </c>
      <c r="G1261" s="2" t="str" cm="1">
        <f t="array" ref="G1261">_xlfn.IFS(F1261&lt;=8,"Child",F1261&lt;=17,"Teen",F1261&lt;=35,"Adult",F1261&lt;=55,"Seniour Adult",F1261&gt;=55,"Old Age")</f>
        <v>Old Age</v>
      </c>
      <c r="H1261" t="s">
        <v>25</v>
      </c>
      <c r="I1261" t="s">
        <v>11</v>
      </c>
      <c r="J1261" t="str" cm="1">
        <f t="array" ref="J1261">_xlfn.IFS(I1261="S","Southamptom",I1261="Q","Quentown",I1261="C","Cherbrug",I1261="B","Cabin")</f>
        <v>Southamptom</v>
      </c>
      <c r="K1261" t="s">
        <v>12</v>
      </c>
      <c r="L1261" s="2">
        <v>26.11</v>
      </c>
      <c r="M1261" s="2" t="str" cm="1">
        <f t="array" ref="M1261">_xlfn.IFS(L1261&lt;=15,"Low Fare",L1261&lt;=35,"Medium Fare",L1261&lt;=100,"High Fare",L1261&gt;=100,"Very High Fare")</f>
        <v>Medium Fare</v>
      </c>
      <c r="N1261" s="2">
        <v>0</v>
      </c>
      <c r="O1261" s="2">
        <v>0</v>
      </c>
      <c r="P1261">
        <f t="shared" si="77"/>
        <v>1</v>
      </c>
      <c r="Q1261" t="str">
        <f t="shared" si="78"/>
        <v>Alone</v>
      </c>
      <c r="R1261" t="str">
        <f t="shared" si="79"/>
        <v>No</v>
      </c>
      <c r="S1261" t="s">
        <v>13</v>
      </c>
    </row>
    <row r="1262" spans="1:19" x14ac:dyDescent="0.3">
      <c r="A1262" s="1" t="s">
        <v>935</v>
      </c>
      <c r="B1262" t="s">
        <v>1596</v>
      </c>
      <c r="C1262" t="s">
        <v>2668</v>
      </c>
      <c r="D1262" t="str">
        <f t="shared" si="76"/>
        <v>Male</v>
      </c>
      <c r="E1262" t="s">
        <v>9</v>
      </c>
      <c r="F1262" s="2">
        <v>37</v>
      </c>
      <c r="G1262" s="2" t="str" cm="1">
        <f t="array" ref="G1262">_xlfn.IFS(F1262&lt;=8,"Child",F1262&lt;=17,"Teen",F1262&lt;=35,"Adult",F1262&lt;=55,"Seniour Adult",F1262&gt;=55,"Old Age")</f>
        <v>Seniour Adult</v>
      </c>
      <c r="H1262" t="s">
        <v>18</v>
      </c>
      <c r="I1262" t="s">
        <v>11</v>
      </c>
      <c r="J1262" t="str" cm="1">
        <f t="array" ref="J1262">_xlfn.IFS(I1262="S","Southamptom",I1262="Q","Quentown",I1262="C","Cherbrug",I1262="B","Cabin")</f>
        <v>Southamptom</v>
      </c>
      <c r="K1262" t="s">
        <v>35</v>
      </c>
      <c r="L1262" s="2">
        <v>26</v>
      </c>
      <c r="M1262" s="2" t="str" cm="1">
        <f t="array" ref="M1262">_xlfn.IFS(L1262&lt;=15,"Low Fare",L1262&lt;=35,"Medium Fare",L1262&lt;=100,"High Fare",L1262&gt;=100,"Very High Fare")</f>
        <v>Medium Fare</v>
      </c>
      <c r="N1262" s="2">
        <v>1</v>
      </c>
      <c r="O1262" s="2">
        <v>0</v>
      </c>
      <c r="P1262">
        <f t="shared" si="77"/>
        <v>2</v>
      </c>
      <c r="Q1262" t="str">
        <f t="shared" si="78"/>
        <v>With Family</v>
      </c>
      <c r="R1262" t="str">
        <f t="shared" si="79"/>
        <v>No</v>
      </c>
      <c r="S1262" t="s">
        <v>13</v>
      </c>
    </row>
    <row r="1263" spans="1:19" x14ac:dyDescent="0.3">
      <c r="A1263" s="1" t="s">
        <v>935</v>
      </c>
      <c r="B1263" t="s">
        <v>1600</v>
      </c>
      <c r="C1263" t="s">
        <v>2669</v>
      </c>
      <c r="D1263" t="str">
        <f t="shared" si="76"/>
        <v>Female</v>
      </c>
      <c r="E1263" t="s">
        <v>14</v>
      </c>
      <c r="F1263" s="2">
        <v>37</v>
      </c>
      <c r="G1263" s="2" t="str" cm="1">
        <f t="array" ref="G1263">_xlfn.IFS(F1263&lt;=8,"Child",F1263&lt;=17,"Teen",F1263&lt;=35,"Adult",F1263&lt;=55,"Seniour Adult",F1263&gt;=55,"Old Age")</f>
        <v>Seniour Adult</v>
      </c>
      <c r="H1263" t="s">
        <v>18</v>
      </c>
      <c r="I1263" t="s">
        <v>11</v>
      </c>
      <c r="J1263" t="str" cm="1">
        <f t="array" ref="J1263">_xlfn.IFS(I1263="S","Southamptom",I1263="Q","Quentown",I1263="C","Cherbrug",I1263="B","Cabin")</f>
        <v>Southamptom</v>
      </c>
      <c r="K1263" t="s">
        <v>15</v>
      </c>
      <c r="L1263" s="2">
        <v>26</v>
      </c>
      <c r="M1263" s="2" t="str" cm="1">
        <f t="array" ref="M1263">_xlfn.IFS(L1263&lt;=15,"Low Fare",L1263&lt;=35,"Medium Fare",L1263&lt;=100,"High Fare",L1263&gt;=100,"Very High Fare")</f>
        <v>Medium Fare</v>
      </c>
      <c r="N1263" s="2">
        <v>1</v>
      </c>
      <c r="O1263" s="2">
        <v>0</v>
      </c>
      <c r="P1263">
        <f t="shared" si="77"/>
        <v>2</v>
      </c>
      <c r="Q1263" t="str">
        <f t="shared" si="78"/>
        <v>With Family</v>
      </c>
      <c r="R1263" t="str">
        <f t="shared" si="79"/>
        <v>Yes</v>
      </c>
      <c r="S1263" t="s">
        <v>16</v>
      </c>
    </row>
    <row r="1264" spans="1:19" x14ac:dyDescent="0.3">
      <c r="A1264" s="1" t="s">
        <v>936</v>
      </c>
      <c r="B1264" t="s">
        <v>1612</v>
      </c>
      <c r="C1264" t="s">
        <v>2670</v>
      </c>
      <c r="D1264" t="str">
        <f t="shared" si="76"/>
        <v>Male</v>
      </c>
      <c r="E1264" t="s">
        <v>9</v>
      </c>
      <c r="F1264" s="2">
        <v>2</v>
      </c>
      <c r="G1264" s="2" t="str" cm="1">
        <f t="array" ref="G1264">_xlfn.IFS(F1264&lt;=8,"Child",F1264&lt;=17,"Teen",F1264&lt;=35,"Adult",F1264&lt;=55,"Seniour Adult",F1264&gt;=55,"Old Age")</f>
        <v>Child</v>
      </c>
      <c r="H1264" t="s">
        <v>18</v>
      </c>
      <c r="I1264" t="s">
        <v>11</v>
      </c>
      <c r="J1264" t="str" cm="1">
        <f t="array" ref="J1264">_xlfn.IFS(I1264="S","Southamptom",I1264="Q","Quentown",I1264="C","Cherbrug",I1264="B","Cabin")</f>
        <v>Southamptom</v>
      </c>
      <c r="K1264" t="s">
        <v>15</v>
      </c>
      <c r="L1264" s="2">
        <v>23</v>
      </c>
      <c r="M1264" s="2" t="str" cm="1">
        <f t="array" ref="M1264">_xlfn.IFS(L1264&lt;=15,"Low Fare",L1264&lt;=35,"Medium Fare",L1264&lt;=100,"High Fare",L1264&gt;=100,"Very High Fare")</f>
        <v>Medium Fare</v>
      </c>
      <c r="N1264" s="2">
        <v>1</v>
      </c>
      <c r="O1264" s="2">
        <v>1</v>
      </c>
      <c r="P1264">
        <f t="shared" si="77"/>
        <v>3</v>
      </c>
      <c r="Q1264" t="str">
        <f t="shared" si="78"/>
        <v>With Family</v>
      </c>
      <c r="R1264" t="str">
        <f t="shared" si="79"/>
        <v>Yes</v>
      </c>
      <c r="S1264" t="s">
        <v>16</v>
      </c>
    </row>
    <row r="1265" spans="1:19" x14ac:dyDescent="0.3">
      <c r="A1265" s="1" t="s">
        <v>936</v>
      </c>
      <c r="B1265" t="s">
        <v>1602</v>
      </c>
      <c r="C1265" t="s">
        <v>2671</v>
      </c>
      <c r="D1265" t="str">
        <f t="shared" si="76"/>
        <v>Female</v>
      </c>
      <c r="E1265" t="s">
        <v>14</v>
      </c>
      <c r="F1265" s="2">
        <v>4</v>
      </c>
      <c r="G1265" s="2" t="str" cm="1">
        <f t="array" ref="G1265">_xlfn.IFS(F1265&lt;=8,"Child",F1265&lt;=17,"Teen",F1265&lt;=35,"Adult",F1265&lt;=55,"Seniour Adult",F1265&gt;=55,"Old Age")</f>
        <v>Child</v>
      </c>
      <c r="H1265" t="s">
        <v>18</v>
      </c>
      <c r="I1265" t="s">
        <v>11</v>
      </c>
      <c r="J1265" t="str" cm="1">
        <f t="array" ref="J1265">_xlfn.IFS(I1265="S","Southamptom",I1265="Q","Quentown",I1265="C","Cherbrug",I1265="B","Cabin")</f>
        <v>Southamptom</v>
      </c>
      <c r="K1265" t="s">
        <v>15</v>
      </c>
      <c r="L1265" s="2">
        <v>23</v>
      </c>
      <c r="M1265" s="2" t="str" cm="1">
        <f t="array" ref="M1265">_xlfn.IFS(L1265&lt;=15,"Low Fare",L1265&lt;=35,"Medium Fare",L1265&lt;=100,"High Fare",L1265&gt;=100,"Very High Fare")</f>
        <v>Medium Fare</v>
      </c>
      <c r="N1265" s="2">
        <v>1</v>
      </c>
      <c r="O1265" s="2">
        <v>1</v>
      </c>
      <c r="P1265">
        <f t="shared" si="77"/>
        <v>3</v>
      </c>
      <c r="Q1265" t="str">
        <f t="shared" si="78"/>
        <v>With Family</v>
      </c>
      <c r="R1265" t="str">
        <f t="shared" si="79"/>
        <v>Yes</v>
      </c>
      <c r="S1265" t="s">
        <v>16</v>
      </c>
    </row>
    <row r="1266" spans="1:19" x14ac:dyDescent="0.3">
      <c r="A1266" s="1" t="s">
        <v>936</v>
      </c>
      <c r="B1266" t="s">
        <v>1600</v>
      </c>
      <c r="C1266" t="s">
        <v>2672</v>
      </c>
      <c r="D1266" t="str">
        <f t="shared" si="76"/>
        <v>Female</v>
      </c>
      <c r="E1266" t="s">
        <v>14</v>
      </c>
      <c r="F1266" s="2">
        <v>29</v>
      </c>
      <c r="G1266" s="2" t="str" cm="1">
        <f t="array" ref="G1266">_xlfn.IFS(F1266&lt;=8,"Child",F1266&lt;=17,"Teen",F1266&lt;=35,"Adult",F1266&lt;=55,"Seniour Adult",F1266&gt;=55,"Old Age")</f>
        <v>Adult</v>
      </c>
      <c r="H1266" t="s">
        <v>18</v>
      </c>
      <c r="I1266" t="s">
        <v>11</v>
      </c>
      <c r="J1266" t="str" cm="1">
        <f t="array" ref="J1266">_xlfn.IFS(I1266="S","Southamptom",I1266="Q","Quentown",I1266="C","Cherbrug",I1266="B","Cabin")</f>
        <v>Southamptom</v>
      </c>
      <c r="K1266" t="s">
        <v>15</v>
      </c>
      <c r="L1266" s="2">
        <v>23</v>
      </c>
      <c r="M1266" s="2" t="str" cm="1">
        <f t="array" ref="M1266">_xlfn.IFS(L1266&lt;=15,"Low Fare",L1266&lt;=35,"Medium Fare",L1266&lt;=100,"High Fare",L1266&gt;=100,"Very High Fare")</f>
        <v>Medium Fare</v>
      </c>
      <c r="N1266" s="2">
        <v>0</v>
      </c>
      <c r="O1266" s="2">
        <v>2</v>
      </c>
      <c r="P1266">
        <f t="shared" si="77"/>
        <v>3</v>
      </c>
      <c r="Q1266" t="str">
        <f t="shared" si="78"/>
        <v>With Family</v>
      </c>
      <c r="R1266" t="str">
        <f t="shared" si="79"/>
        <v>Yes</v>
      </c>
      <c r="S1266" t="s">
        <v>16</v>
      </c>
    </row>
    <row r="1267" spans="1:19" x14ac:dyDescent="0.3">
      <c r="A1267" s="1" t="s">
        <v>937</v>
      </c>
      <c r="B1267" t="s">
        <v>1596</v>
      </c>
      <c r="C1267" t="s">
        <v>2156</v>
      </c>
      <c r="D1267" t="str">
        <f t="shared" si="76"/>
        <v>Male</v>
      </c>
      <c r="E1267" t="s">
        <v>9</v>
      </c>
      <c r="F1267" s="2">
        <v>27</v>
      </c>
      <c r="G1267" s="2" t="str" cm="1">
        <f t="array" ref="G1267">_xlfn.IFS(F1267&lt;=8,"Child",F1267&lt;=17,"Teen",F1267&lt;=35,"Adult",F1267&lt;=55,"Seniour Adult",F1267&gt;=55,"Old Age")</f>
        <v>Adult</v>
      </c>
      <c r="H1267" t="s">
        <v>10</v>
      </c>
      <c r="I1267" t="s">
        <v>11</v>
      </c>
      <c r="J1267" t="str" cm="1">
        <f t="array" ref="J1267">_xlfn.IFS(I1267="S","Southamptom",I1267="Q","Quentown",I1267="C","Cherbrug",I1267="B","Cabin")</f>
        <v>Southamptom</v>
      </c>
      <c r="K1267" t="s">
        <v>23</v>
      </c>
      <c r="L1267" s="2">
        <v>7.1510999999999996</v>
      </c>
      <c r="M1267" s="2" t="str" cm="1">
        <f t="array" ref="M1267">_xlfn.IFS(L1267&lt;=15,"Low Fare",L1267&lt;=35,"Medium Fare",L1267&lt;=100,"High Fare",L1267&gt;=100,"Very High Fare")</f>
        <v>Low Fare</v>
      </c>
      <c r="N1267" s="2">
        <v>0</v>
      </c>
      <c r="O1267" s="2">
        <v>0</v>
      </c>
      <c r="P1267">
        <f t="shared" si="77"/>
        <v>1</v>
      </c>
      <c r="Q1267" t="str">
        <f t="shared" si="78"/>
        <v>Alone</v>
      </c>
      <c r="R1267" t="str">
        <f t="shared" si="79"/>
        <v>Yes</v>
      </c>
      <c r="S1267" t="s">
        <v>16</v>
      </c>
    </row>
    <row r="1268" spans="1:19" x14ac:dyDescent="0.3">
      <c r="A1268" s="1" t="s">
        <v>938</v>
      </c>
      <c r="B1268" t="s">
        <v>1602</v>
      </c>
      <c r="C1268" t="s">
        <v>2673</v>
      </c>
      <c r="D1268" t="str">
        <f t="shared" si="76"/>
        <v>Female</v>
      </c>
      <c r="E1268" t="s">
        <v>14</v>
      </c>
      <c r="F1268" s="2">
        <v>0.83333333330000003</v>
      </c>
      <c r="G1268" s="2" t="str" cm="1">
        <f t="array" ref="G1268">_xlfn.IFS(F1268&lt;=8,"Child",F1268&lt;=17,"Teen",F1268&lt;=35,"Adult",F1268&lt;=55,"Seniour Adult",F1268&gt;=55,"Old Age")</f>
        <v>Child</v>
      </c>
      <c r="H1268" t="s">
        <v>18</v>
      </c>
      <c r="I1268" t="s">
        <v>11</v>
      </c>
      <c r="J1268" t="str" cm="1">
        <f t="array" ref="J1268">_xlfn.IFS(I1268="S","Southamptom",I1268="Q","Quentown",I1268="C","Cherbrug",I1268="B","Cabin")</f>
        <v>Southamptom</v>
      </c>
      <c r="K1268" t="s">
        <v>15</v>
      </c>
      <c r="L1268" s="2">
        <v>27.15</v>
      </c>
      <c r="M1268" s="2" t="str" cm="1">
        <f t="array" ref="M1268">_xlfn.IFS(L1268&lt;=15,"Low Fare",L1268&lt;=35,"Medium Fare",L1268&lt;=100,"High Fare",L1268&gt;=100,"Very High Fare")</f>
        <v>Medium Fare</v>
      </c>
      <c r="N1268" s="2">
        <v>1</v>
      </c>
      <c r="O1268" s="2">
        <v>2</v>
      </c>
      <c r="P1268">
        <f t="shared" si="77"/>
        <v>4</v>
      </c>
      <c r="Q1268" t="str">
        <f t="shared" si="78"/>
        <v>With Family</v>
      </c>
      <c r="R1268" t="str">
        <f t="shared" si="79"/>
        <v>Yes</v>
      </c>
      <c r="S1268" t="s">
        <v>16</v>
      </c>
    </row>
    <row r="1269" spans="1:19" x14ac:dyDescent="0.3">
      <c r="A1269" s="1" t="s">
        <v>938</v>
      </c>
      <c r="B1269" t="s">
        <v>1602</v>
      </c>
      <c r="C1269" t="s">
        <v>2674</v>
      </c>
      <c r="D1269" t="str">
        <f t="shared" si="76"/>
        <v>Female</v>
      </c>
      <c r="E1269" t="s">
        <v>14</v>
      </c>
      <c r="F1269" s="2">
        <v>4</v>
      </c>
      <c r="G1269" s="2" t="str" cm="1">
        <f t="array" ref="G1269">_xlfn.IFS(F1269&lt;=8,"Child",F1269&lt;=17,"Teen",F1269&lt;=35,"Adult",F1269&lt;=55,"Seniour Adult",F1269&gt;=55,"Old Age")</f>
        <v>Child</v>
      </c>
      <c r="H1269" t="s">
        <v>18</v>
      </c>
      <c r="I1269" t="s">
        <v>11</v>
      </c>
      <c r="J1269" t="str" cm="1">
        <f t="array" ref="J1269">_xlfn.IFS(I1269="S","Southamptom",I1269="Q","Quentown",I1269="C","Cherbrug",I1269="B","Cabin")</f>
        <v>Southamptom</v>
      </c>
      <c r="K1269" t="s">
        <v>15</v>
      </c>
      <c r="L1269" s="2">
        <v>27.15</v>
      </c>
      <c r="M1269" s="2" t="str" cm="1">
        <f t="array" ref="M1269">_xlfn.IFS(L1269&lt;=15,"Low Fare",L1269&lt;=35,"Medium Fare",L1269&lt;=100,"High Fare",L1269&gt;=100,"Very High Fare")</f>
        <v>Medium Fare</v>
      </c>
      <c r="N1269" s="2">
        <v>1</v>
      </c>
      <c r="O1269" s="2">
        <v>2</v>
      </c>
      <c r="P1269">
        <f t="shared" si="77"/>
        <v>4</v>
      </c>
      <c r="Q1269" t="str">
        <f t="shared" si="78"/>
        <v>With Family</v>
      </c>
      <c r="R1269" t="str">
        <f t="shared" si="79"/>
        <v>Yes</v>
      </c>
      <c r="S1269" t="s">
        <v>16</v>
      </c>
    </row>
    <row r="1270" spans="1:19" x14ac:dyDescent="0.3">
      <c r="A1270" s="1" t="s">
        <v>938</v>
      </c>
      <c r="B1270" t="s">
        <v>1596</v>
      </c>
      <c r="C1270" t="s">
        <v>2675</v>
      </c>
      <c r="D1270" t="str">
        <f t="shared" si="76"/>
        <v>Male</v>
      </c>
      <c r="E1270" t="s">
        <v>9</v>
      </c>
      <c r="F1270" s="2">
        <v>36</v>
      </c>
      <c r="G1270" s="2" t="str" cm="1">
        <f t="array" ref="G1270">_xlfn.IFS(F1270&lt;=8,"Child",F1270&lt;=17,"Teen",F1270&lt;=35,"Adult",F1270&lt;=55,"Seniour Adult",F1270&gt;=55,"Old Age")</f>
        <v>Seniour Adult</v>
      </c>
      <c r="H1270" t="s">
        <v>18</v>
      </c>
      <c r="I1270" t="s">
        <v>11</v>
      </c>
      <c r="J1270" t="str" cm="1">
        <f t="array" ref="J1270">_xlfn.IFS(I1270="S","Southamptom",I1270="Q","Quentown",I1270="C","Cherbrug",I1270="B","Cabin")</f>
        <v>Southamptom</v>
      </c>
      <c r="K1270" t="s">
        <v>15</v>
      </c>
      <c r="L1270" s="2">
        <v>27.15</v>
      </c>
      <c r="M1270" s="2" t="str" cm="1">
        <f t="array" ref="M1270">_xlfn.IFS(L1270&lt;=15,"Low Fare",L1270&lt;=35,"Medium Fare",L1270&lt;=100,"High Fare",L1270&gt;=100,"Very High Fare")</f>
        <v>Medium Fare</v>
      </c>
      <c r="N1270" s="2">
        <v>1</v>
      </c>
      <c r="O1270" s="2">
        <v>2</v>
      </c>
      <c r="P1270">
        <f t="shared" si="77"/>
        <v>4</v>
      </c>
      <c r="Q1270" t="str">
        <f t="shared" si="78"/>
        <v>With Family</v>
      </c>
      <c r="R1270" t="str">
        <f t="shared" si="79"/>
        <v>No</v>
      </c>
      <c r="S1270" t="s">
        <v>13</v>
      </c>
    </row>
    <row r="1271" spans="1:19" x14ac:dyDescent="0.3">
      <c r="A1271" s="1" t="s">
        <v>938</v>
      </c>
      <c r="B1271" t="s">
        <v>1600</v>
      </c>
      <c r="C1271" t="s">
        <v>2676</v>
      </c>
      <c r="D1271" t="str">
        <f t="shared" si="76"/>
        <v>Female</v>
      </c>
      <c r="E1271" t="s">
        <v>14</v>
      </c>
      <c r="F1271" s="2">
        <v>33</v>
      </c>
      <c r="G1271" s="2" t="str" cm="1">
        <f t="array" ref="G1271">_xlfn.IFS(F1271&lt;=8,"Child",F1271&lt;=17,"Teen",F1271&lt;=35,"Adult",F1271&lt;=55,"Seniour Adult",F1271&gt;=55,"Old Age")</f>
        <v>Adult</v>
      </c>
      <c r="H1271" t="s">
        <v>18</v>
      </c>
      <c r="I1271" t="s">
        <v>11</v>
      </c>
      <c r="J1271" t="str" cm="1">
        <f t="array" ref="J1271">_xlfn.IFS(I1271="S","Southamptom",I1271="Q","Quentown",I1271="C","Cherbrug",I1271="B","Cabin")</f>
        <v>Southamptom</v>
      </c>
      <c r="K1271" t="s">
        <v>15</v>
      </c>
      <c r="L1271" s="2">
        <v>27.15</v>
      </c>
      <c r="M1271" s="2" t="str" cm="1">
        <f t="array" ref="M1271">_xlfn.IFS(L1271&lt;=15,"Low Fare",L1271&lt;=35,"Medium Fare",L1271&lt;=100,"High Fare",L1271&gt;=100,"Very High Fare")</f>
        <v>Medium Fare</v>
      </c>
      <c r="N1271" s="2">
        <v>1</v>
      </c>
      <c r="O1271" s="2">
        <v>2</v>
      </c>
      <c r="P1271">
        <f t="shared" si="77"/>
        <v>4</v>
      </c>
      <c r="Q1271" t="str">
        <f t="shared" si="78"/>
        <v>With Family</v>
      </c>
      <c r="R1271" t="str">
        <f t="shared" si="79"/>
        <v>Yes</v>
      </c>
      <c r="S1271" t="s">
        <v>16</v>
      </c>
    </row>
    <row r="1272" spans="1:19" x14ac:dyDescent="0.3">
      <c r="A1272" s="1" t="s">
        <v>939</v>
      </c>
      <c r="B1272" t="s">
        <v>1596</v>
      </c>
      <c r="C1272" t="s">
        <v>2677</v>
      </c>
      <c r="D1272" t="str">
        <f t="shared" si="76"/>
        <v>Male</v>
      </c>
      <c r="E1272" t="s">
        <v>9</v>
      </c>
      <c r="F1272" s="2">
        <v>65</v>
      </c>
      <c r="G1272" s="2" t="str" cm="1">
        <f t="array" ref="G1272">_xlfn.IFS(F1272&lt;=8,"Child",F1272&lt;=17,"Teen",F1272&lt;=35,"Adult",F1272&lt;=55,"Seniour Adult",F1272&gt;=55,"Old Age")</f>
        <v>Old Age</v>
      </c>
      <c r="H1272" t="s">
        <v>18</v>
      </c>
      <c r="I1272" t="s">
        <v>11</v>
      </c>
      <c r="J1272" t="str" cm="1">
        <f t="array" ref="J1272">_xlfn.IFS(I1272="S","Southamptom",I1272="Q","Quentown",I1272="C","Cherbrug",I1272="B","Cabin")</f>
        <v>Southamptom</v>
      </c>
      <c r="K1272" t="s">
        <v>15</v>
      </c>
      <c r="L1272" s="2">
        <v>10.1</v>
      </c>
      <c r="M1272" s="2" t="str" cm="1">
        <f t="array" ref="M1272">_xlfn.IFS(L1272&lt;=15,"Low Fare",L1272&lt;=35,"Medium Fare",L1272&lt;=100,"High Fare",L1272&gt;=100,"Very High Fare")</f>
        <v>Low Fare</v>
      </c>
      <c r="N1272" s="2">
        <v>0</v>
      </c>
      <c r="O1272" s="2">
        <v>0</v>
      </c>
      <c r="P1272">
        <f t="shared" si="77"/>
        <v>1</v>
      </c>
      <c r="Q1272" t="str">
        <f t="shared" si="78"/>
        <v>Alone</v>
      </c>
      <c r="R1272" t="str">
        <f t="shared" si="79"/>
        <v>No</v>
      </c>
      <c r="S1272" t="s">
        <v>13</v>
      </c>
    </row>
    <row r="1273" spans="1:19" x14ac:dyDescent="0.3">
      <c r="A1273" s="1" t="s">
        <v>940</v>
      </c>
      <c r="B1273" t="s">
        <v>1596</v>
      </c>
      <c r="C1273" t="s">
        <v>2678</v>
      </c>
      <c r="D1273" t="str">
        <f t="shared" si="76"/>
        <v>Male</v>
      </c>
      <c r="E1273" t="s">
        <v>9</v>
      </c>
      <c r="F1273" s="2">
        <v>26</v>
      </c>
      <c r="G1273" s="2" t="str" cm="1">
        <f t="array" ref="G1273">_xlfn.IFS(F1273&lt;=8,"Child",F1273&lt;=17,"Teen",F1273&lt;=35,"Adult",F1273&lt;=55,"Seniour Adult",F1273&gt;=55,"Old Age")</f>
        <v>Adult</v>
      </c>
      <c r="H1273" t="s">
        <v>18</v>
      </c>
      <c r="I1273" t="s">
        <v>11</v>
      </c>
      <c r="J1273" t="str" cm="1">
        <f t="array" ref="J1273">_xlfn.IFS(I1273="S","Southamptom",I1273="Q","Quentown",I1273="C","Cherbrug",I1273="B","Cabin")</f>
        <v>Southamptom</v>
      </c>
      <c r="K1273" t="s">
        <v>15</v>
      </c>
      <c r="L1273" s="2">
        <v>12.1706</v>
      </c>
      <c r="M1273" s="2" t="str" cm="1">
        <f t="array" ref="M1273">_xlfn.IFS(L1273&lt;=15,"Low Fare",L1273&lt;=35,"Medium Fare",L1273&lt;=100,"High Fare",L1273&gt;=100,"Very High Fare")</f>
        <v>Low Fare</v>
      </c>
      <c r="N1273" s="2">
        <v>0</v>
      </c>
      <c r="O1273" s="2">
        <v>0</v>
      </c>
      <c r="P1273">
        <f t="shared" si="77"/>
        <v>1</v>
      </c>
      <c r="Q1273" t="str">
        <f t="shared" si="78"/>
        <v>Alone</v>
      </c>
      <c r="R1273" t="str">
        <f t="shared" si="79"/>
        <v>No</v>
      </c>
      <c r="S1273" t="s">
        <v>13</v>
      </c>
    </row>
    <row r="1274" spans="1:19" x14ac:dyDescent="0.3">
      <c r="A1274" s="1" t="s">
        <v>941</v>
      </c>
      <c r="B1274" t="s">
        <v>1596</v>
      </c>
      <c r="C1274" t="s">
        <v>2259</v>
      </c>
      <c r="D1274" t="str">
        <f t="shared" si="76"/>
        <v>Male</v>
      </c>
      <c r="E1274" t="s">
        <v>9</v>
      </c>
      <c r="F1274" s="2">
        <v>31</v>
      </c>
      <c r="G1274" s="2" t="str" cm="1">
        <f t="array" ref="G1274">_xlfn.IFS(F1274&lt;=8,"Child",F1274&lt;=17,"Teen",F1274&lt;=35,"Adult",F1274&lt;=55,"Seniour Adult",F1274&gt;=55,"Old Age")</f>
        <v>Adult</v>
      </c>
      <c r="H1274" t="s">
        <v>18</v>
      </c>
      <c r="I1274" t="s">
        <v>11</v>
      </c>
      <c r="J1274" t="str" cm="1">
        <f t="array" ref="J1274">_xlfn.IFS(I1274="S","Southamptom",I1274="Q","Quentown",I1274="C","Cherbrug",I1274="B","Cabin")</f>
        <v>Southamptom</v>
      </c>
      <c r="K1274" t="s">
        <v>15</v>
      </c>
      <c r="L1274" s="2">
        <v>13</v>
      </c>
      <c r="M1274" s="2" t="str" cm="1">
        <f t="array" ref="M1274">_xlfn.IFS(L1274&lt;=15,"Low Fare",L1274&lt;=35,"Medium Fare",L1274&lt;=100,"High Fare",L1274&gt;=100,"Very High Fare")</f>
        <v>Low Fare</v>
      </c>
      <c r="N1274" s="2">
        <v>0</v>
      </c>
      <c r="O1274" s="2">
        <v>0</v>
      </c>
      <c r="P1274">
        <f t="shared" si="77"/>
        <v>1</v>
      </c>
      <c r="Q1274" t="str">
        <f t="shared" si="78"/>
        <v>Alone</v>
      </c>
      <c r="R1274" t="str">
        <f t="shared" si="79"/>
        <v>Yes</v>
      </c>
      <c r="S1274" t="s">
        <v>16</v>
      </c>
    </row>
    <row r="1275" spans="1:19" x14ac:dyDescent="0.3">
      <c r="A1275" s="1" t="s">
        <v>942</v>
      </c>
      <c r="B1275" t="s">
        <v>1596</v>
      </c>
      <c r="C1275" t="s">
        <v>2679</v>
      </c>
      <c r="D1275" t="str">
        <f t="shared" si="76"/>
        <v>Male</v>
      </c>
      <c r="E1275" t="s">
        <v>9</v>
      </c>
      <c r="F1275" s="2">
        <v>54</v>
      </c>
      <c r="G1275" s="2" t="str" cm="1">
        <f t="array" ref="G1275">_xlfn.IFS(F1275&lt;=8,"Child",F1275&lt;=17,"Teen",F1275&lt;=35,"Adult",F1275&lt;=55,"Seniour Adult",F1275&gt;=55,"Old Age")</f>
        <v>Seniour Adult</v>
      </c>
      <c r="H1275" t="s">
        <v>25</v>
      </c>
      <c r="I1275" t="s">
        <v>11</v>
      </c>
      <c r="J1275" t="str" cm="1">
        <f t="array" ref="J1275">_xlfn.IFS(I1275="S","Southamptom",I1275="Q","Quentown",I1275="C","Cherbrug",I1275="B","Cabin")</f>
        <v>Southamptom</v>
      </c>
      <c r="K1275" t="s">
        <v>12</v>
      </c>
      <c r="L1275" s="2">
        <v>77.050899999999999</v>
      </c>
      <c r="M1275" s="2" t="str" cm="1">
        <f t="array" ref="M1275">_xlfn.IFS(L1275&lt;=15,"Low Fare",L1275&lt;=35,"Medium Fare",L1275&lt;=100,"High Fare",L1275&gt;=100,"Very High Fare")</f>
        <v>High Fare</v>
      </c>
      <c r="N1275" s="2">
        <v>0</v>
      </c>
      <c r="O1275" s="2">
        <v>1</v>
      </c>
      <c r="P1275">
        <f t="shared" si="77"/>
        <v>2</v>
      </c>
      <c r="Q1275" t="str">
        <f t="shared" si="78"/>
        <v>With Family</v>
      </c>
      <c r="R1275" t="str">
        <f t="shared" si="79"/>
        <v>No</v>
      </c>
      <c r="S1275" t="s">
        <v>13</v>
      </c>
    </row>
    <row r="1276" spans="1:19" x14ac:dyDescent="0.3">
      <c r="A1276" s="1" t="s">
        <v>942</v>
      </c>
      <c r="B1276" t="s">
        <v>1596</v>
      </c>
      <c r="C1276" t="s">
        <v>2680</v>
      </c>
      <c r="D1276" t="str">
        <f t="shared" si="76"/>
        <v>Male</v>
      </c>
      <c r="E1276" t="s">
        <v>9</v>
      </c>
      <c r="F1276" s="2">
        <v>21</v>
      </c>
      <c r="G1276" s="2" t="str" cm="1">
        <f t="array" ref="G1276">_xlfn.IFS(F1276&lt;=8,"Child",F1276&lt;=17,"Teen",F1276&lt;=35,"Adult",F1276&lt;=55,"Seniour Adult",F1276&gt;=55,"Old Age")</f>
        <v>Adult</v>
      </c>
      <c r="H1276" t="s">
        <v>25</v>
      </c>
      <c r="I1276" t="s">
        <v>11</v>
      </c>
      <c r="J1276" t="str" cm="1">
        <f t="array" ref="J1276">_xlfn.IFS(I1276="S","Southamptom",I1276="Q","Quentown",I1276="C","Cherbrug",I1276="B","Cabin")</f>
        <v>Southamptom</v>
      </c>
      <c r="K1276" t="s">
        <v>12</v>
      </c>
      <c r="L1276" s="2">
        <v>77.050899999999999</v>
      </c>
      <c r="M1276" s="2" t="str" cm="1">
        <f t="array" ref="M1276">_xlfn.IFS(L1276&lt;=15,"Low Fare",L1276&lt;=35,"Medium Fare",L1276&lt;=100,"High Fare",L1276&gt;=100,"Very High Fare")</f>
        <v>High Fare</v>
      </c>
      <c r="N1276" s="2">
        <v>0</v>
      </c>
      <c r="O1276" s="2">
        <v>1</v>
      </c>
      <c r="P1276">
        <f t="shared" si="77"/>
        <v>2</v>
      </c>
      <c r="Q1276" t="str">
        <f t="shared" si="78"/>
        <v>With Family</v>
      </c>
      <c r="R1276" t="str">
        <f t="shared" si="79"/>
        <v>No</v>
      </c>
      <c r="S1276" t="s">
        <v>13</v>
      </c>
    </row>
    <row r="1277" spans="1:19" x14ac:dyDescent="0.3">
      <c r="A1277" s="1" t="s">
        <v>942</v>
      </c>
      <c r="B1277" t="s">
        <v>1600</v>
      </c>
      <c r="C1277" t="s">
        <v>2681</v>
      </c>
      <c r="D1277" t="str">
        <f t="shared" si="76"/>
        <v>Female</v>
      </c>
      <c r="E1277" t="s">
        <v>14</v>
      </c>
      <c r="F1277" s="2">
        <v>55</v>
      </c>
      <c r="G1277" s="2" t="str" cm="1">
        <f t="array" ref="G1277">_xlfn.IFS(F1277&lt;=8,"Child",F1277&lt;=17,"Teen",F1277&lt;=35,"Adult",F1277&lt;=55,"Seniour Adult",F1277&gt;=55,"Old Age")</f>
        <v>Seniour Adult</v>
      </c>
      <c r="H1277" t="s">
        <v>25</v>
      </c>
      <c r="I1277" t="s">
        <v>19</v>
      </c>
      <c r="J1277" t="str" cm="1">
        <f t="array" ref="J1277">_xlfn.IFS(I1277="S","Southamptom",I1277="Q","Quentown",I1277="C","Cherbrug",I1277="B","Cabin")</f>
        <v>Cherbrug</v>
      </c>
      <c r="K1277" t="s">
        <v>15</v>
      </c>
      <c r="L1277" s="2">
        <v>135.1208</v>
      </c>
      <c r="M1277" s="2" t="str" cm="1">
        <f t="array" ref="M1277">_xlfn.IFS(L1277&lt;=15,"Low Fare",L1277&lt;=35,"Medium Fare",L1277&lt;=100,"High Fare",L1277&gt;=100,"Very High Fare")</f>
        <v>Very High Fare</v>
      </c>
      <c r="N1277" s="2">
        <v>0</v>
      </c>
      <c r="O1277" s="2">
        <v>0</v>
      </c>
      <c r="P1277">
        <f t="shared" si="77"/>
        <v>1</v>
      </c>
      <c r="Q1277" t="str">
        <f t="shared" si="78"/>
        <v>Alone</v>
      </c>
      <c r="R1277" t="str">
        <f t="shared" si="79"/>
        <v>Yes</v>
      </c>
      <c r="S1277" t="s">
        <v>16</v>
      </c>
    </row>
    <row r="1278" spans="1:19" x14ac:dyDescent="0.3">
      <c r="A1278" s="1" t="s">
        <v>943</v>
      </c>
      <c r="B1278" t="s">
        <v>2682</v>
      </c>
      <c r="C1278" t="s">
        <v>2683</v>
      </c>
      <c r="D1278" t="str">
        <f t="shared" si="76"/>
        <v>Male</v>
      </c>
      <c r="E1278" t="s">
        <v>9</v>
      </c>
      <c r="F1278" s="2">
        <v>57</v>
      </c>
      <c r="G1278" s="2" t="str" cm="1">
        <f t="array" ref="G1278">_xlfn.IFS(F1278&lt;=8,"Child",F1278&lt;=17,"Teen",F1278&lt;=35,"Adult",F1278&lt;=55,"Seniour Adult",F1278&gt;=55,"Old Age")</f>
        <v>Old Age</v>
      </c>
      <c r="H1278" t="s">
        <v>25</v>
      </c>
      <c r="I1278" t="s">
        <v>11</v>
      </c>
      <c r="J1278" t="str" cm="1">
        <f t="array" ref="J1278">_xlfn.IFS(I1278="S","Southamptom",I1278="Q","Quentown",I1278="C","Cherbrug",I1278="B","Cabin")</f>
        <v>Southamptom</v>
      </c>
      <c r="K1278" t="s">
        <v>12</v>
      </c>
      <c r="L1278" s="2">
        <v>164.1704</v>
      </c>
      <c r="M1278" s="2" t="str" cm="1">
        <f t="array" ref="M1278">_xlfn.IFS(L1278&lt;=15,"Low Fare",L1278&lt;=35,"Medium Fare",L1278&lt;=100,"High Fare",L1278&gt;=100,"Very High Fare")</f>
        <v>Very High Fare</v>
      </c>
      <c r="N1278" s="2">
        <v>1</v>
      </c>
      <c r="O1278" s="2">
        <v>1</v>
      </c>
      <c r="P1278">
        <f t="shared" si="77"/>
        <v>3</v>
      </c>
      <c r="Q1278" t="str">
        <f t="shared" si="78"/>
        <v>With Family</v>
      </c>
      <c r="R1278" t="str">
        <f t="shared" si="79"/>
        <v>No</v>
      </c>
      <c r="S1278" t="s">
        <v>13</v>
      </c>
    </row>
    <row r="1279" spans="1:19" x14ac:dyDescent="0.3">
      <c r="A1279" s="1" t="s">
        <v>943</v>
      </c>
      <c r="B1279" t="s">
        <v>1602</v>
      </c>
      <c r="C1279" t="s">
        <v>2684</v>
      </c>
      <c r="D1279" t="str">
        <f t="shared" si="76"/>
        <v>Female</v>
      </c>
      <c r="E1279" t="s">
        <v>14</v>
      </c>
      <c r="F1279" s="2">
        <v>31</v>
      </c>
      <c r="G1279" s="2" t="str" cm="1">
        <f t="array" ref="G1279">_xlfn.IFS(F1279&lt;=8,"Child",F1279&lt;=17,"Teen",F1279&lt;=35,"Adult",F1279&lt;=55,"Seniour Adult",F1279&gt;=55,"Old Age")</f>
        <v>Adult</v>
      </c>
      <c r="H1279" t="s">
        <v>25</v>
      </c>
      <c r="I1279" t="s">
        <v>11</v>
      </c>
      <c r="J1279" t="str" cm="1">
        <f t="array" ref="J1279">_xlfn.IFS(I1279="S","Southamptom",I1279="Q","Quentown",I1279="C","Cherbrug",I1279="B","Cabin")</f>
        <v>Southamptom</v>
      </c>
      <c r="K1279" t="s">
        <v>12</v>
      </c>
      <c r="L1279" s="2">
        <v>164.1704</v>
      </c>
      <c r="M1279" s="2" t="str" cm="1">
        <f t="array" ref="M1279">_xlfn.IFS(L1279&lt;=15,"Low Fare",L1279&lt;=35,"Medium Fare",L1279&lt;=100,"High Fare",L1279&gt;=100,"Very High Fare")</f>
        <v>Very High Fare</v>
      </c>
      <c r="N1279" s="2">
        <v>0</v>
      </c>
      <c r="O1279" s="2">
        <v>2</v>
      </c>
      <c r="P1279">
        <f t="shared" si="77"/>
        <v>3</v>
      </c>
      <c r="Q1279" t="str">
        <f t="shared" si="78"/>
        <v>With Family</v>
      </c>
      <c r="R1279" t="str">
        <f t="shared" si="79"/>
        <v>Yes</v>
      </c>
      <c r="S1279" t="s">
        <v>16</v>
      </c>
    </row>
    <row r="1280" spans="1:19" x14ac:dyDescent="0.3">
      <c r="A1280" s="1" t="s">
        <v>943</v>
      </c>
      <c r="B1280" t="s">
        <v>1600</v>
      </c>
      <c r="C1280" t="s">
        <v>2685</v>
      </c>
      <c r="D1280" t="str">
        <f t="shared" si="76"/>
        <v>Female</v>
      </c>
      <c r="E1280" t="s">
        <v>14</v>
      </c>
      <c r="F1280" s="2">
        <v>45</v>
      </c>
      <c r="G1280" s="2" t="str" cm="1">
        <f t="array" ref="G1280">_xlfn.IFS(F1280&lt;=8,"Child",F1280&lt;=17,"Teen",F1280&lt;=35,"Adult",F1280&lt;=55,"Seniour Adult",F1280&gt;=55,"Old Age")</f>
        <v>Seniour Adult</v>
      </c>
      <c r="H1280" t="s">
        <v>25</v>
      </c>
      <c r="I1280" t="s">
        <v>11</v>
      </c>
      <c r="J1280" t="str" cm="1">
        <f t="array" ref="J1280">_xlfn.IFS(I1280="S","Southamptom",I1280="Q","Quentown",I1280="C","Cherbrug",I1280="B","Cabin")</f>
        <v>Southamptom</v>
      </c>
      <c r="K1280" t="s">
        <v>12</v>
      </c>
      <c r="L1280" s="2">
        <v>164.1704</v>
      </c>
      <c r="M1280" s="2" t="str" cm="1">
        <f t="array" ref="M1280">_xlfn.IFS(L1280&lt;=15,"Low Fare",L1280&lt;=35,"Medium Fare",L1280&lt;=100,"High Fare",L1280&gt;=100,"Very High Fare")</f>
        <v>Very High Fare</v>
      </c>
      <c r="N1280" s="2">
        <v>1</v>
      </c>
      <c r="O1280" s="2">
        <v>1</v>
      </c>
      <c r="P1280">
        <f t="shared" si="77"/>
        <v>3</v>
      </c>
      <c r="Q1280" t="str">
        <f t="shared" si="78"/>
        <v>With Family</v>
      </c>
      <c r="R1280" t="str">
        <f t="shared" si="79"/>
        <v>Yes</v>
      </c>
      <c r="S1280" t="s">
        <v>16</v>
      </c>
    </row>
    <row r="1281" spans="1:19" x14ac:dyDescent="0.3">
      <c r="A1281" s="1" t="s">
        <v>944</v>
      </c>
      <c r="B1281" t="s">
        <v>1596</v>
      </c>
      <c r="C1281" t="s">
        <v>2686</v>
      </c>
      <c r="D1281" t="str">
        <f t="shared" si="76"/>
        <v>Male</v>
      </c>
      <c r="E1281" t="s">
        <v>9</v>
      </c>
      <c r="F1281" s="2">
        <v>51</v>
      </c>
      <c r="G1281" s="2" t="str" cm="1">
        <f t="array" ref="G1281">_xlfn.IFS(F1281&lt;=8,"Child",F1281&lt;=17,"Teen",F1281&lt;=35,"Adult",F1281&lt;=55,"Seniour Adult",F1281&gt;=55,"Old Age")</f>
        <v>Seniour Adult</v>
      </c>
      <c r="H1281" t="s">
        <v>10</v>
      </c>
      <c r="I1281" t="s">
        <v>11</v>
      </c>
      <c r="J1281" t="str" cm="1">
        <f t="array" ref="J1281">_xlfn.IFS(I1281="S","Southamptom",I1281="Q","Quentown",I1281="C","Cherbrug",I1281="B","Cabin")</f>
        <v>Southamptom</v>
      </c>
      <c r="K1281" t="s">
        <v>23</v>
      </c>
      <c r="L1281" s="2">
        <v>7.15</v>
      </c>
      <c r="M1281" s="2" t="str" cm="1">
        <f t="array" ref="M1281">_xlfn.IFS(L1281&lt;=15,"Low Fare",L1281&lt;=35,"Medium Fare",L1281&lt;=100,"High Fare",L1281&gt;=100,"Very High Fare")</f>
        <v>Low Fare</v>
      </c>
      <c r="N1281" s="2">
        <v>0</v>
      </c>
      <c r="O1281" s="2">
        <v>0</v>
      </c>
      <c r="P1281">
        <f t="shared" si="77"/>
        <v>1</v>
      </c>
      <c r="Q1281" t="str">
        <f t="shared" si="78"/>
        <v>Alone</v>
      </c>
      <c r="R1281" t="str">
        <f t="shared" si="79"/>
        <v>No</v>
      </c>
      <c r="S1281" t="s">
        <v>13</v>
      </c>
    </row>
    <row r="1282" spans="1:19" x14ac:dyDescent="0.3">
      <c r="A1282" s="1" t="s">
        <v>945</v>
      </c>
      <c r="B1282" t="s">
        <v>1596</v>
      </c>
      <c r="C1282" t="s">
        <v>2687</v>
      </c>
      <c r="D1282" t="str">
        <f t="shared" si="76"/>
        <v>Male</v>
      </c>
      <c r="E1282" t="s">
        <v>9</v>
      </c>
      <c r="F1282" s="2">
        <v>50</v>
      </c>
      <c r="G1282" s="2" t="str" cm="1">
        <f t="array" ref="G1282">_xlfn.IFS(F1282&lt;=8,"Child",F1282&lt;=17,"Teen",F1282&lt;=35,"Adult",F1282&lt;=55,"Seniour Adult",F1282&gt;=55,"Old Age")</f>
        <v>Seniour Adult</v>
      </c>
      <c r="H1282" t="s">
        <v>25</v>
      </c>
      <c r="I1282" t="s">
        <v>11</v>
      </c>
      <c r="J1282" t="str" cm="1">
        <f t="array" ref="J1282">_xlfn.IFS(I1282="S","Southamptom",I1282="Q","Quentown",I1282="C","Cherbrug",I1282="B","Cabin")</f>
        <v>Southamptom</v>
      </c>
      <c r="K1282" t="s">
        <v>12</v>
      </c>
      <c r="L1282" s="2">
        <v>211.1</v>
      </c>
      <c r="M1282" s="2" t="str" cm="1">
        <f t="array" ref="M1282">_xlfn.IFS(L1282&lt;=15,"Low Fare",L1282&lt;=35,"Medium Fare",L1282&lt;=100,"High Fare",L1282&gt;=100,"Very High Fare")</f>
        <v>Very High Fare</v>
      </c>
      <c r="N1282" s="2">
        <v>1</v>
      </c>
      <c r="O1282" s="2">
        <v>1</v>
      </c>
      <c r="P1282">
        <f t="shared" si="77"/>
        <v>3</v>
      </c>
      <c r="Q1282" t="str">
        <f t="shared" si="78"/>
        <v>With Family</v>
      </c>
      <c r="R1282" t="str">
        <f t="shared" si="79"/>
        <v>No</v>
      </c>
      <c r="S1282" t="s">
        <v>13</v>
      </c>
    </row>
    <row r="1283" spans="1:19" x14ac:dyDescent="0.3">
      <c r="A1283" s="1" t="s">
        <v>945</v>
      </c>
      <c r="B1283" t="s">
        <v>1596</v>
      </c>
      <c r="C1283" t="s">
        <v>2688</v>
      </c>
      <c r="D1283" t="str">
        <f t="shared" ref="D1283:D1346" si="80">PROPER(E1283)</f>
        <v>Male</v>
      </c>
      <c r="E1283" t="s">
        <v>9</v>
      </c>
      <c r="F1283" s="2">
        <v>27</v>
      </c>
      <c r="G1283" s="2" t="str" cm="1">
        <f t="array" ref="G1283">_xlfn.IFS(F1283&lt;=8,"Child",F1283&lt;=17,"Teen",F1283&lt;=35,"Adult",F1283&lt;=55,"Seniour Adult",F1283&gt;=55,"Old Age")</f>
        <v>Adult</v>
      </c>
      <c r="H1283" t="s">
        <v>25</v>
      </c>
      <c r="I1283" t="s">
        <v>11</v>
      </c>
      <c r="J1283" t="str" cm="1">
        <f t="array" ref="J1283">_xlfn.IFS(I1283="S","Southamptom",I1283="Q","Quentown",I1283="C","Cherbrug",I1283="B","Cabin")</f>
        <v>Southamptom</v>
      </c>
      <c r="K1283" t="s">
        <v>12</v>
      </c>
      <c r="L1283" s="2">
        <v>211.1</v>
      </c>
      <c r="M1283" s="2" t="str" cm="1">
        <f t="array" ref="M1283">_xlfn.IFS(L1283&lt;=15,"Low Fare",L1283&lt;=35,"Medium Fare",L1283&lt;=100,"High Fare",L1283&gt;=100,"Very High Fare")</f>
        <v>Very High Fare</v>
      </c>
      <c r="N1283" s="2">
        <v>0</v>
      </c>
      <c r="O1283" s="2">
        <v>2</v>
      </c>
      <c r="P1283">
        <f t="shared" ref="P1283:P1346" si="81">N1283+O1283+1</f>
        <v>3</v>
      </c>
      <c r="Q1283" t="str">
        <f t="shared" ref="Q1283:Q1346" si="82">IF(P1283=1,"Alone","With Family")</f>
        <v>With Family</v>
      </c>
      <c r="R1283" t="str">
        <f t="shared" ref="R1283:R1346" si="83">PROPER(S1283)</f>
        <v>No</v>
      </c>
      <c r="S1283" t="s">
        <v>13</v>
      </c>
    </row>
    <row r="1284" spans="1:19" x14ac:dyDescent="0.3">
      <c r="A1284" s="1" t="s">
        <v>945</v>
      </c>
      <c r="B1284" t="s">
        <v>1600</v>
      </c>
      <c r="C1284" t="s">
        <v>2689</v>
      </c>
      <c r="D1284" t="str">
        <f t="shared" si="80"/>
        <v>Female</v>
      </c>
      <c r="E1284" t="s">
        <v>14</v>
      </c>
      <c r="F1284" s="2">
        <v>50</v>
      </c>
      <c r="G1284" s="2" t="str" cm="1">
        <f t="array" ref="G1284">_xlfn.IFS(F1284&lt;=8,"Child",F1284&lt;=17,"Teen",F1284&lt;=35,"Adult",F1284&lt;=55,"Seniour Adult",F1284&gt;=55,"Old Age")</f>
        <v>Seniour Adult</v>
      </c>
      <c r="H1284" t="s">
        <v>25</v>
      </c>
      <c r="I1284" t="s">
        <v>11</v>
      </c>
      <c r="J1284" t="str" cm="1">
        <f t="array" ref="J1284">_xlfn.IFS(I1284="S","Southamptom",I1284="Q","Quentown",I1284="C","Cherbrug",I1284="B","Cabin")</f>
        <v>Southamptom</v>
      </c>
      <c r="K1284" t="s">
        <v>12</v>
      </c>
      <c r="L1284" s="2">
        <v>211.1</v>
      </c>
      <c r="M1284" s="2" t="str" cm="1">
        <f t="array" ref="M1284">_xlfn.IFS(L1284&lt;=15,"Low Fare",L1284&lt;=35,"Medium Fare",L1284&lt;=100,"High Fare",L1284&gt;=100,"Very High Fare")</f>
        <v>Very High Fare</v>
      </c>
      <c r="N1284" s="2">
        <v>1</v>
      </c>
      <c r="O1284" s="2">
        <v>1</v>
      </c>
      <c r="P1284">
        <f t="shared" si="81"/>
        <v>3</v>
      </c>
      <c r="Q1284" t="str">
        <f t="shared" si="82"/>
        <v>With Family</v>
      </c>
      <c r="R1284" t="str">
        <f t="shared" si="83"/>
        <v>Yes</v>
      </c>
      <c r="S1284" t="s">
        <v>16</v>
      </c>
    </row>
    <row r="1285" spans="1:19" x14ac:dyDescent="0.3">
      <c r="A1285" s="1" t="s">
        <v>946</v>
      </c>
      <c r="B1285" t="s">
        <v>1596</v>
      </c>
      <c r="C1285" t="s">
        <v>2148</v>
      </c>
      <c r="D1285" t="str">
        <f t="shared" si="80"/>
        <v>Male</v>
      </c>
      <c r="E1285" t="s">
        <v>9</v>
      </c>
      <c r="F1285" s="2">
        <v>18</v>
      </c>
      <c r="G1285" s="2" t="str" cm="1">
        <f t="array" ref="G1285">_xlfn.IFS(F1285&lt;=8,"Child",F1285&lt;=17,"Teen",F1285&lt;=35,"Adult",F1285&lt;=55,"Seniour Adult",F1285&gt;=55,"Old Age")</f>
        <v>Adult</v>
      </c>
      <c r="H1285" t="s">
        <v>10</v>
      </c>
      <c r="I1285" t="s">
        <v>11</v>
      </c>
      <c r="J1285" t="str" cm="1">
        <f t="array" ref="J1285">_xlfn.IFS(I1285="S","Southamptom",I1285="Q","Quentown",I1285="C","Cherbrug",I1285="B","Cabin")</f>
        <v>Southamptom</v>
      </c>
      <c r="K1285" t="s">
        <v>22</v>
      </c>
      <c r="L1285" s="2">
        <v>6.0911</v>
      </c>
      <c r="M1285" s="2" t="str" cm="1">
        <f t="array" ref="M1285">_xlfn.IFS(L1285&lt;=15,"Low Fare",L1285&lt;=35,"Medium Fare",L1285&lt;=100,"High Fare",L1285&gt;=100,"Very High Fare")</f>
        <v>Low Fare</v>
      </c>
      <c r="N1285" s="2">
        <v>1</v>
      </c>
      <c r="O1285" s="2">
        <v>0</v>
      </c>
      <c r="P1285">
        <f t="shared" si="81"/>
        <v>2</v>
      </c>
      <c r="Q1285" t="str">
        <f t="shared" si="82"/>
        <v>With Family</v>
      </c>
      <c r="R1285" t="str">
        <f t="shared" si="83"/>
        <v>No</v>
      </c>
      <c r="S1285" t="s">
        <v>13</v>
      </c>
    </row>
    <row r="1286" spans="1:19" x14ac:dyDescent="0.3">
      <c r="A1286" s="1" t="s">
        <v>946</v>
      </c>
      <c r="B1286" t="s">
        <v>1596</v>
      </c>
      <c r="C1286" t="s">
        <v>2151</v>
      </c>
      <c r="D1286" t="str">
        <f t="shared" si="80"/>
        <v>Male</v>
      </c>
      <c r="E1286" t="s">
        <v>9</v>
      </c>
      <c r="F1286" s="2">
        <v>21</v>
      </c>
      <c r="G1286" s="2" t="str" cm="1">
        <f t="array" ref="G1286">_xlfn.IFS(F1286&lt;=8,"Child",F1286&lt;=17,"Teen",F1286&lt;=35,"Adult",F1286&lt;=55,"Seniour Adult",F1286&gt;=55,"Old Age")</f>
        <v>Adult</v>
      </c>
      <c r="H1286" t="s">
        <v>10</v>
      </c>
      <c r="I1286" t="s">
        <v>11</v>
      </c>
      <c r="J1286" t="str" cm="1">
        <f t="array" ref="J1286">_xlfn.IFS(I1286="S","Southamptom",I1286="Q","Quentown",I1286="C","Cherbrug",I1286="B","Cabin")</f>
        <v>Southamptom</v>
      </c>
      <c r="K1286" t="s">
        <v>22</v>
      </c>
      <c r="L1286" s="2">
        <v>6.0911</v>
      </c>
      <c r="M1286" s="2" t="str" cm="1">
        <f t="array" ref="M1286">_xlfn.IFS(L1286&lt;=15,"Low Fare",L1286&lt;=35,"Medium Fare",L1286&lt;=100,"High Fare",L1286&gt;=100,"Very High Fare")</f>
        <v>Low Fare</v>
      </c>
      <c r="N1286" s="2">
        <v>1</v>
      </c>
      <c r="O1286" s="2">
        <v>0</v>
      </c>
      <c r="P1286">
        <f t="shared" si="81"/>
        <v>2</v>
      </c>
      <c r="Q1286" t="str">
        <f t="shared" si="82"/>
        <v>With Family</v>
      </c>
      <c r="R1286" t="str">
        <f t="shared" si="83"/>
        <v>No</v>
      </c>
      <c r="S1286" t="s">
        <v>13</v>
      </c>
    </row>
    <row r="1287" spans="1:19" x14ac:dyDescent="0.3">
      <c r="A1287" s="1" t="s">
        <v>947</v>
      </c>
      <c r="B1287" t="s">
        <v>1600</v>
      </c>
      <c r="C1287" t="s">
        <v>1720</v>
      </c>
      <c r="D1287" t="str">
        <f t="shared" si="80"/>
        <v>Female</v>
      </c>
      <c r="E1287" t="s">
        <v>14</v>
      </c>
      <c r="F1287" s="2">
        <v>47</v>
      </c>
      <c r="G1287" s="2" t="str" cm="1">
        <f t="array" ref="G1287">_xlfn.IFS(F1287&lt;=8,"Child",F1287&lt;=17,"Teen",F1287&lt;=35,"Adult",F1287&lt;=55,"Seniour Adult",F1287&gt;=55,"Old Age")</f>
        <v>Seniour Adult</v>
      </c>
      <c r="H1287" t="s">
        <v>10</v>
      </c>
      <c r="I1287" t="s">
        <v>11</v>
      </c>
      <c r="J1287" t="str" cm="1">
        <f t="array" ref="J1287">_xlfn.IFS(I1287="S","Southamptom",I1287="Q","Quentown",I1287="C","Cherbrug",I1287="B","Cabin")</f>
        <v>Southamptom</v>
      </c>
      <c r="K1287" t="s">
        <v>15</v>
      </c>
      <c r="L1287" s="2">
        <v>7</v>
      </c>
      <c r="M1287" s="2" t="str" cm="1">
        <f t="array" ref="M1287">_xlfn.IFS(L1287&lt;=15,"Low Fare",L1287&lt;=35,"Medium Fare",L1287&lt;=100,"High Fare",L1287&gt;=100,"Very High Fare")</f>
        <v>Low Fare</v>
      </c>
      <c r="N1287" s="2">
        <v>1</v>
      </c>
      <c r="O1287" s="2">
        <v>0</v>
      </c>
      <c r="P1287">
        <f t="shared" si="81"/>
        <v>2</v>
      </c>
      <c r="Q1287" t="str">
        <f t="shared" si="82"/>
        <v>With Family</v>
      </c>
      <c r="R1287" t="str">
        <f t="shared" si="83"/>
        <v>Yes</v>
      </c>
      <c r="S1287" t="s">
        <v>16</v>
      </c>
    </row>
    <row r="1288" spans="1:19" x14ac:dyDescent="0.3">
      <c r="A1288" s="1" t="s">
        <v>948</v>
      </c>
      <c r="B1288" t="s">
        <v>1600</v>
      </c>
      <c r="C1288" t="s">
        <v>2308</v>
      </c>
      <c r="D1288" t="str">
        <f t="shared" si="80"/>
        <v>Female</v>
      </c>
      <c r="E1288" t="s">
        <v>14</v>
      </c>
      <c r="F1288" s="2">
        <v>30</v>
      </c>
      <c r="G1288" s="2" t="str" cm="1">
        <f t="array" ref="G1288">_xlfn.IFS(F1288&lt;=8,"Child",F1288&lt;=17,"Teen",F1288&lt;=35,"Adult",F1288&lt;=55,"Seniour Adult",F1288&gt;=55,"Old Age")</f>
        <v>Adult</v>
      </c>
      <c r="H1288" t="s">
        <v>18</v>
      </c>
      <c r="I1288" t="s">
        <v>11</v>
      </c>
      <c r="J1288" t="str" cm="1">
        <f t="array" ref="J1288">_xlfn.IFS(I1288="S","Southamptom",I1288="Q","Quentown",I1288="C","Cherbrug",I1288="B","Cabin")</f>
        <v>Southamptom</v>
      </c>
      <c r="K1288" t="s">
        <v>15</v>
      </c>
      <c r="L1288" s="2">
        <v>26</v>
      </c>
      <c r="M1288" s="2" t="str" cm="1">
        <f t="array" ref="M1288">_xlfn.IFS(L1288&lt;=15,"Low Fare",L1288&lt;=35,"Medium Fare",L1288&lt;=100,"High Fare",L1288&gt;=100,"Very High Fare")</f>
        <v>Medium Fare</v>
      </c>
      <c r="N1288" s="2">
        <v>1</v>
      </c>
      <c r="O1288" s="2">
        <v>0</v>
      </c>
      <c r="P1288">
        <f t="shared" si="81"/>
        <v>2</v>
      </c>
      <c r="Q1288" t="str">
        <f t="shared" si="82"/>
        <v>With Family</v>
      </c>
      <c r="R1288" t="str">
        <f t="shared" si="83"/>
        <v>Yes</v>
      </c>
      <c r="S1288" t="s">
        <v>16</v>
      </c>
    </row>
    <row r="1289" spans="1:19" x14ac:dyDescent="0.3">
      <c r="A1289" s="1" t="s">
        <v>949</v>
      </c>
      <c r="B1289" t="s">
        <v>1602</v>
      </c>
      <c r="C1289" t="s">
        <v>2690</v>
      </c>
      <c r="D1289" t="str">
        <f t="shared" si="80"/>
        <v>Female</v>
      </c>
      <c r="E1289" t="s">
        <v>14</v>
      </c>
      <c r="F1289" s="2">
        <v>21</v>
      </c>
      <c r="G1289" s="2" t="str" cm="1">
        <f t="array" ref="G1289">_xlfn.IFS(F1289&lt;=8,"Child",F1289&lt;=17,"Teen",F1289&lt;=35,"Adult",F1289&lt;=55,"Seniour Adult",F1289&gt;=55,"Old Age")</f>
        <v>Adult</v>
      </c>
      <c r="H1289" t="s">
        <v>25</v>
      </c>
      <c r="I1289" t="s">
        <v>11</v>
      </c>
      <c r="J1289" t="str" cm="1">
        <f t="array" ref="J1289">_xlfn.IFS(I1289="S","Southamptom",I1289="Q","Quentown",I1289="C","Cherbrug",I1289="B","Cabin")</f>
        <v>Southamptom</v>
      </c>
      <c r="K1289" t="s">
        <v>12</v>
      </c>
      <c r="L1289" s="2">
        <v>26.11</v>
      </c>
      <c r="M1289" s="2" t="str" cm="1">
        <f t="array" ref="M1289">_xlfn.IFS(L1289&lt;=15,"Low Fare",L1289&lt;=35,"Medium Fare",L1289&lt;=100,"High Fare",L1289&gt;=100,"Very High Fare")</f>
        <v>Medium Fare</v>
      </c>
      <c r="N1289" s="2">
        <v>0</v>
      </c>
      <c r="O1289" s="2">
        <v>0</v>
      </c>
      <c r="P1289">
        <f t="shared" si="81"/>
        <v>1</v>
      </c>
      <c r="Q1289" t="str">
        <f t="shared" si="82"/>
        <v>Alone</v>
      </c>
      <c r="R1289" t="str">
        <f t="shared" si="83"/>
        <v>Yes</v>
      </c>
      <c r="S1289" t="s">
        <v>16</v>
      </c>
    </row>
    <row r="1290" spans="1:19" x14ac:dyDescent="0.3">
      <c r="A1290" s="1" t="s">
        <v>950</v>
      </c>
      <c r="B1290" t="s">
        <v>1596</v>
      </c>
      <c r="C1290" t="s">
        <v>2691</v>
      </c>
      <c r="D1290" t="str">
        <f t="shared" si="80"/>
        <v>Male</v>
      </c>
      <c r="E1290" t="s">
        <v>9</v>
      </c>
      <c r="F1290" s="2">
        <v>37</v>
      </c>
      <c r="G1290" s="2" t="str" cm="1">
        <f t="array" ref="G1290">_xlfn.IFS(F1290&lt;=8,"Child",F1290&lt;=17,"Teen",F1290&lt;=35,"Adult",F1290&lt;=55,"Seniour Adult",F1290&gt;=55,"Old Age")</f>
        <v>Seniour Adult</v>
      </c>
      <c r="H1290" t="s">
        <v>10</v>
      </c>
      <c r="I1290" t="s">
        <v>19</v>
      </c>
      <c r="J1290" t="str" cm="1">
        <f t="array" ref="J1290">_xlfn.IFS(I1290="S","Southamptom",I1290="Q","Quentown",I1290="C","Cherbrug",I1290="B","Cabin")</f>
        <v>Cherbrug</v>
      </c>
      <c r="K1290" t="s">
        <v>15</v>
      </c>
      <c r="L1290" s="2">
        <v>8.1402999999999999</v>
      </c>
      <c r="M1290" s="2" t="str" cm="1">
        <f t="array" ref="M1290">_xlfn.IFS(L1290&lt;=15,"Low Fare",L1290&lt;=35,"Medium Fare",L1290&lt;=100,"High Fare",L1290&gt;=100,"Very High Fare")</f>
        <v>Low Fare</v>
      </c>
      <c r="N1290" s="2">
        <v>0</v>
      </c>
      <c r="O1290" s="2">
        <v>0</v>
      </c>
      <c r="P1290">
        <f t="shared" si="81"/>
        <v>1</v>
      </c>
      <c r="Q1290" t="str">
        <f t="shared" si="82"/>
        <v>Alone</v>
      </c>
      <c r="R1290" t="str">
        <f t="shared" si="83"/>
        <v>No</v>
      </c>
      <c r="S1290" t="s">
        <v>13</v>
      </c>
    </row>
    <row r="1291" spans="1:19" x14ac:dyDescent="0.3">
      <c r="A1291" s="1" t="s">
        <v>951</v>
      </c>
      <c r="B1291" t="s">
        <v>1596</v>
      </c>
      <c r="C1291" t="s">
        <v>2692</v>
      </c>
      <c r="D1291" t="str">
        <f t="shared" si="80"/>
        <v>Male</v>
      </c>
      <c r="E1291" t="s">
        <v>9</v>
      </c>
      <c r="F1291" s="2">
        <v>21</v>
      </c>
      <c r="G1291" s="2" t="str" cm="1">
        <f t="array" ref="G1291">_xlfn.IFS(F1291&lt;=8,"Child",F1291&lt;=17,"Teen",F1291&lt;=35,"Adult",F1291&lt;=55,"Seniour Adult",F1291&gt;=55,"Old Age")</f>
        <v>Adult</v>
      </c>
      <c r="H1291" t="s">
        <v>10</v>
      </c>
      <c r="I1291" t="s">
        <v>11</v>
      </c>
      <c r="J1291" t="str" cm="1">
        <f t="array" ref="J1291">_xlfn.IFS(I1291="S","Southamptom",I1291="Q","Quentown",I1291="C","Cherbrug",I1291="B","Cabin")</f>
        <v>Southamptom</v>
      </c>
      <c r="K1291" t="s">
        <v>40</v>
      </c>
      <c r="L1291" s="2">
        <v>7.11</v>
      </c>
      <c r="M1291" s="2" t="str" cm="1">
        <f t="array" ref="M1291">_xlfn.IFS(L1291&lt;=15,"Low Fare",L1291&lt;=35,"Medium Fare",L1291&lt;=100,"High Fare",L1291&gt;=100,"Very High Fare")</f>
        <v>Low Fare</v>
      </c>
      <c r="N1291" s="2">
        <v>0</v>
      </c>
      <c r="O1291" s="2">
        <v>0</v>
      </c>
      <c r="P1291">
        <f t="shared" si="81"/>
        <v>1</v>
      </c>
      <c r="Q1291" t="str">
        <f t="shared" si="82"/>
        <v>Alone</v>
      </c>
      <c r="R1291" t="str">
        <f t="shared" si="83"/>
        <v>No</v>
      </c>
      <c r="S1291" t="s">
        <v>13</v>
      </c>
    </row>
    <row r="1292" spans="1:19" x14ac:dyDescent="0.3">
      <c r="A1292" s="1" t="s">
        <v>952</v>
      </c>
      <c r="B1292" t="s">
        <v>1596</v>
      </c>
      <c r="C1292" t="s">
        <v>2693</v>
      </c>
      <c r="D1292" t="str">
        <f t="shared" si="80"/>
        <v>Male</v>
      </c>
      <c r="E1292" t="s">
        <v>9</v>
      </c>
      <c r="F1292" s="2">
        <v>51</v>
      </c>
      <c r="G1292" s="2" t="str" cm="1">
        <f t="array" ref="G1292">_xlfn.IFS(F1292&lt;=8,"Child",F1292&lt;=17,"Teen",F1292&lt;=35,"Adult",F1292&lt;=55,"Seniour Adult",F1292&gt;=55,"Old Age")</f>
        <v>Seniour Adult</v>
      </c>
      <c r="H1292" t="s">
        <v>25</v>
      </c>
      <c r="I1292" t="s">
        <v>19</v>
      </c>
      <c r="J1292" t="str" cm="1">
        <f t="array" ref="J1292">_xlfn.IFS(I1292="S","Southamptom",I1292="Q","Quentown",I1292="C","Cherbrug",I1292="B","Cabin")</f>
        <v>Cherbrug</v>
      </c>
      <c r="K1292" t="s">
        <v>32</v>
      </c>
      <c r="L1292" s="2">
        <v>61.070700000000002</v>
      </c>
      <c r="M1292" s="2" t="str" cm="1">
        <f t="array" ref="M1292">_xlfn.IFS(L1292&lt;=15,"Low Fare",L1292&lt;=35,"Medium Fare",L1292&lt;=100,"High Fare",L1292&gt;=100,"Very High Fare")</f>
        <v>High Fare</v>
      </c>
      <c r="N1292" s="2">
        <v>0</v>
      </c>
      <c r="O1292" s="2">
        <v>1</v>
      </c>
      <c r="P1292">
        <f t="shared" si="81"/>
        <v>2</v>
      </c>
      <c r="Q1292" t="str">
        <f t="shared" si="82"/>
        <v>With Family</v>
      </c>
      <c r="R1292" t="str">
        <f t="shared" si="83"/>
        <v>No</v>
      </c>
      <c r="S1292" t="s">
        <v>13</v>
      </c>
    </row>
    <row r="1293" spans="1:19" x14ac:dyDescent="0.3">
      <c r="A1293" s="1" t="s">
        <v>952</v>
      </c>
      <c r="B1293" t="s">
        <v>1596</v>
      </c>
      <c r="C1293" t="s">
        <v>2694</v>
      </c>
      <c r="D1293" t="str">
        <f t="shared" si="80"/>
        <v>Male</v>
      </c>
      <c r="E1293" t="s">
        <v>9</v>
      </c>
      <c r="F1293" s="2">
        <v>23</v>
      </c>
      <c r="G1293" s="2" t="str" cm="1">
        <f t="array" ref="G1293">_xlfn.IFS(F1293&lt;=8,"Child",F1293&lt;=17,"Teen",F1293&lt;=35,"Adult",F1293&lt;=55,"Seniour Adult",F1293&gt;=55,"Old Age")</f>
        <v>Adult</v>
      </c>
      <c r="H1293" t="s">
        <v>18</v>
      </c>
      <c r="I1293" t="s">
        <v>11</v>
      </c>
      <c r="J1293" t="str" cm="1">
        <f t="array" ref="J1293">_xlfn.IFS(I1293="S","Southamptom",I1293="Q","Quentown",I1293="C","Cherbrug",I1293="B","Cabin")</f>
        <v>Southamptom</v>
      </c>
      <c r="K1293" t="s">
        <v>15</v>
      </c>
      <c r="L1293" s="2">
        <v>13</v>
      </c>
      <c r="M1293" s="2" t="str" cm="1">
        <f t="array" ref="M1293">_xlfn.IFS(L1293&lt;=15,"Low Fare",L1293&lt;=35,"Medium Fare",L1293&lt;=100,"High Fare",L1293&gt;=100,"Very High Fare")</f>
        <v>Low Fare</v>
      </c>
      <c r="N1293" s="2">
        <v>0</v>
      </c>
      <c r="O1293" s="2">
        <v>0</v>
      </c>
      <c r="P1293">
        <f t="shared" si="81"/>
        <v>1</v>
      </c>
      <c r="Q1293" t="str">
        <f t="shared" si="82"/>
        <v>Alone</v>
      </c>
      <c r="R1293" t="str">
        <f t="shared" si="83"/>
        <v>Yes</v>
      </c>
      <c r="S1293" t="s">
        <v>16</v>
      </c>
    </row>
    <row r="1294" spans="1:19" x14ac:dyDescent="0.3">
      <c r="A1294" s="1" t="s">
        <v>952</v>
      </c>
      <c r="B1294" t="s">
        <v>1596</v>
      </c>
      <c r="C1294" t="s">
        <v>2695</v>
      </c>
      <c r="D1294" t="str">
        <f t="shared" si="80"/>
        <v>Male</v>
      </c>
      <c r="E1294" t="s">
        <v>9</v>
      </c>
      <c r="F1294" s="2">
        <v>43</v>
      </c>
      <c r="G1294" s="2" t="str" cm="1">
        <f t="array" ref="G1294">_xlfn.IFS(F1294&lt;=8,"Child",F1294&lt;=17,"Teen",F1294&lt;=35,"Adult",F1294&lt;=55,"Seniour Adult",F1294&gt;=55,"Old Age")</f>
        <v>Seniour Adult</v>
      </c>
      <c r="H1294" t="s">
        <v>25</v>
      </c>
      <c r="I1294" t="s">
        <v>11</v>
      </c>
      <c r="J1294" t="str" cm="1">
        <f t="array" ref="J1294">_xlfn.IFS(I1294="S","Southamptom",I1294="Q","Quentown",I1294="C","Cherbrug",I1294="B","Cabin")</f>
        <v>Southamptom</v>
      </c>
      <c r="K1294" t="s">
        <v>12</v>
      </c>
      <c r="L1294" s="2">
        <v>35</v>
      </c>
      <c r="M1294" s="2" t="str" cm="1">
        <f t="array" ref="M1294">_xlfn.IFS(L1294&lt;=15,"Low Fare",L1294&lt;=35,"Medium Fare",L1294&lt;=100,"High Fare",L1294&gt;=100,"Very High Fare")</f>
        <v>Medium Fare</v>
      </c>
      <c r="N1294" s="2">
        <v>0</v>
      </c>
      <c r="O1294" s="2">
        <v>0</v>
      </c>
      <c r="P1294">
        <f t="shared" si="81"/>
        <v>1</v>
      </c>
      <c r="Q1294" t="str">
        <f t="shared" si="82"/>
        <v>Alone</v>
      </c>
      <c r="R1294" t="str">
        <f t="shared" si="83"/>
        <v>No</v>
      </c>
      <c r="S1294" t="s">
        <v>13</v>
      </c>
    </row>
    <row r="1295" spans="1:19" x14ac:dyDescent="0.3">
      <c r="A1295" s="1" t="s">
        <v>952</v>
      </c>
      <c r="B1295" t="s">
        <v>1596</v>
      </c>
      <c r="C1295" t="s">
        <v>2696</v>
      </c>
      <c r="D1295" t="str">
        <f t="shared" si="80"/>
        <v>Male</v>
      </c>
      <c r="E1295" t="s">
        <v>9</v>
      </c>
      <c r="F1295" s="2">
        <v>28</v>
      </c>
      <c r="G1295" s="2" t="str" cm="1">
        <f t="array" ref="G1295">_xlfn.IFS(F1295&lt;=8,"Child",F1295&lt;=17,"Teen",F1295&lt;=35,"Adult",F1295&lt;=55,"Seniour Adult",F1295&gt;=55,"Old Age")</f>
        <v>Adult</v>
      </c>
      <c r="H1295" t="s">
        <v>10</v>
      </c>
      <c r="I1295" t="s">
        <v>11</v>
      </c>
      <c r="J1295" t="str" cm="1">
        <f t="array" ref="J1295">_xlfn.IFS(I1295="S","Southamptom",I1295="Q","Quentown",I1295="C","Cherbrug",I1295="B","Cabin")</f>
        <v>Southamptom</v>
      </c>
      <c r="K1295" t="s">
        <v>15</v>
      </c>
      <c r="L1295" s="2">
        <v>8.01</v>
      </c>
      <c r="M1295" s="2" t="str" cm="1">
        <f t="array" ref="M1295">_xlfn.IFS(L1295&lt;=15,"Low Fare",L1295&lt;=35,"Medium Fare",L1295&lt;=100,"High Fare",L1295&gt;=100,"Very High Fare")</f>
        <v>Low Fare</v>
      </c>
      <c r="N1295" s="2">
        <v>0</v>
      </c>
      <c r="O1295" s="2">
        <v>0</v>
      </c>
      <c r="P1295">
        <f t="shared" si="81"/>
        <v>1</v>
      </c>
      <c r="Q1295" t="str">
        <f t="shared" si="82"/>
        <v>Alone</v>
      </c>
      <c r="R1295" t="str">
        <f t="shared" si="83"/>
        <v>No</v>
      </c>
      <c r="S1295" t="s">
        <v>13</v>
      </c>
    </row>
    <row r="1296" spans="1:19" x14ac:dyDescent="0.3">
      <c r="A1296" s="1" t="s">
        <v>952</v>
      </c>
      <c r="B1296" t="s">
        <v>1596</v>
      </c>
      <c r="C1296" t="s">
        <v>2697</v>
      </c>
      <c r="D1296" t="str">
        <f t="shared" si="80"/>
        <v>Male</v>
      </c>
      <c r="E1296" t="s">
        <v>9</v>
      </c>
      <c r="F1296" s="2">
        <v>28</v>
      </c>
      <c r="G1296" s="2" t="str" cm="1">
        <f t="array" ref="G1296">_xlfn.IFS(F1296&lt;=8,"Child",F1296&lt;=17,"Teen",F1296&lt;=35,"Adult",F1296&lt;=55,"Seniour Adult",F1296&gt;=55,"Old Age")</f>
        <v>Adult</v>
      </c>
      <c r="H1296" t="s">
        <v>10</v>
      </c>
      <c r="I1296" t="s">
        <v>11</v>
      </c>
      <c r="J1296" t="str" cm="1">
        <f t="array" ref="J1296">_xlfn.IFS(I1296="S","Southamptom",I1296="Q","Quentown",I1296="C","Cherbrug",I1296="B","Cabin")</f>
        <v>Southamptom</v>
      </c>
      <c r="K1296" t="s">
        <v>40</v>
      </c>
      <c r="L1296" s="2">
        <v>16.02</v>
      </c>
      <c r="M1296" s="2" t="str" cm="1">
        <f t="array" ref="M1296">_xlfn.IFS(L1296&lt;=15,"Low Fare",L1296&lt;=35,"Medium Fare",L1296&lt;=100,"High Fare",L1296&gt;=100,"Very High Fare")</f>
        <v>Medium Fare</v>
      </c>
      <c r="N1296" s="2">
        <v>0</v>
      </c>
      <c r="O1296" s="2">
        <v>0</v>
      </c>
      <c r="P1296">
        <f t="shared" si="81"/>
        <v>1</v>
      </c>
      <c r="Q1296" t="str">
        <f t="shared" si="82"/>
        <v>Alone</v>
      </c>
      <c r="R1296" t="str">
        <f t="shared" si="83"/>
        <v>No</v>
      </c>
      <c r="S1296" t="s">
        <v>13</v>
      </c>
    </row>
    <row r="1297" spans="1:19" x14ac:dyDescent="0.3">
      <c r="A1297" s="1" t="s">
        <v>952</v>
      </c>
      <c r="B1297" t="s">
        <v>1596</v>
      </c>
      <c r="C1297" t="s">
        <v>2698</v>
      </c>
      <c r="D1297" t="str">
        <f t="shared" si="80"/>
        <v>Male</v>
      </c>
      <c r="E1297" t="s">
        <v>9</v>
      </c>
      <c r="F1297" s="2">
        <v>21</v>
      </c>
      <c r="G1297" s="2" t="str" cm="1">
        <f t="array" ref="G1297">_xlfn.IFS(F1297&lt;=8,"Child",F1297&lt;=17,"Teen",F1297&lt;=35,"Adult",F1297&lt;=55,"Seniour Adult",F1297&gt;=55,"Old Age")</f>
        <v>Adult</v>
      </c>
      <c r="H1297" t="s">
        <v>25</v>
      </c>
      <c r="I1297" t="s">
        <v>19</v>
      </c>
      <c r="J1297" t="str" cm="1">
        <f t="array" ref="J1297">_xlfn.IFS(I1297="S","Southamptom",I1297="Q","Quentown",I1297="C","Cherbrug",I1297="B","Cabin")</f>
        <v>Cherbrug</v>
      </c>
      <c r="K1297" t="s">
        <v>32</v>
      </c>
      <c r="L1297" s="2">
        <v>61.070700000000002</v>
      </c>
      <c r="M1297" s="2" t="str" cm="1">
        <f t="array" ref="M1297">_xlfn.IFS(L1297&lt;=15,"Low Fare",L1297&lt;=35,"Medium Fare",L1297&lt;=100,"High Fare",L1297&gt;=100,"Very High Fare")</f>
        <v>High Fare</v>
      </c>
      <c r="N1297" s="2">
        <v>0</v>
      </c>
      <c r="O1297" s="2">
        <v>1</v>
      </c>
      <c r="P1297">
        <f t="shared" si="81"/>
        <v>2</v>
      </c>
      <c r="Q1297" t="str">
        <f t="shared" si="82"/>
        <v>With Family</v>
      </c>
      <c r="R1297" t="str">
        <f t="shared" si="83"/>
        <v>Yes</v>
      </c>
      <c r="S1297" t="s">
        <v>16</v>
      </c>
    </row>
    <row r="1298" spans="1:19" x14ac:dyDescent="0.3">
      <c r="A1298" s="1" t="s">
        <v>953</v>
      </c>
      <c r="B1298" t="s">
        <v>1602</v>
      </c>
      <c r="C1298" t="s">
        <v>2699</v>
      </c>
      <c r="D1298" t="str">
        <f t="shared" si="80"/>
        <v>Female</v>
      </c>
      <c r="E1298" t="s">
        <v>14</v>
      </c>
      <c r="F1298" s="2">
        <v>31</v>
      </c>
      <c r="G1298" s="2" t="str" cm="1">
        <f t="array" ref="G1298">_xlfn.IFS(F1298&lt;=8,"Child",F1298&lt;=17,"Teen",F1298&lt;=35,"Adult",F1298&lt;=55,"Seniour Adult",F1298&gt;=55,"Old Age")</f>
        <v>Adult</v>
      </c>
      <c r="H1298" t="s">
        <v>25</v>
      </c>
      <c r="I1298" t="s">
        <v>19</v>
      </c>
      <c r="J1298" t="str" cm="1">
        <f t="array" ref="J1298">_xlfn.IFS(I1298="S","Southamptom",I1298="Q","Quentown",I1298="C","Cherbrug",I1298="B","Cabin")</f>
        <v>Cherbrug</v>
      </c>
      <c r="K1298" t="s">
        <v>15</v>
      </c>
      <c r="L1298" s="2">
        <v>134.1</v>
      </c>
      <c r="M1298" s="2" t="str" cm="1">
        <f t="array" ref="M1298">_xlfn.IFS(L1298&lt;=15,"Low Fare",L1298&lt;=35,"Medium Fare",L1298&lt;=100,"High Fare",L1298&gt;=100,"Very High Fare")</f>
        <v>Very High Fare</v>
      </c>
      <c r="N1298" s="2">
        <v>0</v>
      </c>
      <c r="O1298" s="2">
        <v>0</v>
      </c>
      <c r="P1298">
        <f t="shared" si="81"/>
        <v>1</v>
      </c>
      <c r="Q1298" t="str">
        <f t="shared" si="82"/>
        <v>Alone</v>
      </c>
      <c r="R1298" t="str">
        <f t="shared" si="83"/>
        <v>Yes</v>
      </c>
      <c r="S1298" t="s">
        <v>16</v>
      </c>
    </row>
    <row r="1299" spans="1:19" x14ac:dyDescent="0.3">
      <c r="A1299" s="1" t="s">
        <v>954</v>
      </c>
      <c r="B1299" t="s">
        <v>1596</v>
      </c>
      <c r="C1299" t="s">
        <v>2700</v>
      </c>
      <c r="D1299" t="str">
        <f t="shared" si="80"/>
        <v>Male</v>
      </c>
      <c r="E1299" t="s">
        <v>9</v>
      </c>
      <c r="F1299" s="2">
        <v>21</v>
      </c>
      <c r="G1299" s="2" t="str" cm="1">
        <f t="array" ref="G1299">_xlfn.IFS(F1299&lt;=8,"Child",F1299&lt;=17,"Teen",F1299&lt;=35,"Adult",F1299&lt;=55,"Seniour Adult",F1299&gt;=55,"Old Age")</f>
        <v>Adult</v>
      </c>
      <c r="H1299" t="s">
        <v>10</v>
      </c>
      <c r="I1299" t="s">
        <v>11</v>
      </c>
      <c r="J1299" t="str" cm="1">
        <f t="array" ref="J1299">_xlfn.IFS(I1299="S","Southamptom",I1299="Q","Quentown",I1299="C","Cherbrug",I1299="B","Cabin")</f>
        <v>Southamptom</v>
      </c>
      <c r="K1299" t="s">
        <v>41</v>
      </c>
      <c r="L1299" s="2">
        <v>7.05</v>
      </c>
      <c r="M1299" s="2" t="str" cm="1">
        <f t="array" ref="M1299">_xlfn.IFS(L1299&lt;=15,"Low Fare",L1299&lt;=35,"Medium Fare",L1299&lt;=100,"High Fare",L1299&gt;=100,"Very High Fare")</f>
        <v>Low Fare</v>
      </c>
      <c r="N1299" s="2">
        <v>0</v>
      </c>
      <c r="O1299" s="2">
        <v>0</v>
      </c>
      <c r="P1299">
        <f t="shared" si="81"/>
        <v>1</v>
      </c>
      <c r="Q1299" t="str">
        <f t="shared" si="82"/>
        <v>Alone</v>
      </c>
      <c r="R1299" t="str">
        <f t="shared" si="83"/>
        <v>No</v>
      </c>
      <c r="S1299" t="s">
        <v>13</v>
      </c>
    </row>
    <row r="1300" spans="1:19" x14ac:dyDescent="0.3">
      <c r="A1300" s="1" t="s">
        <v>955</v>
      </c>
      <c r="B1300" t="s">
        <v>1596</v>
      </c>
      <c r="C1300" t="s">
        <v>1671</v>
      </c>
      <c r="D1300" t="str">
        <f t="shared" si="80"/>
        <v>Male</v>
      </c>
      <c r="E1300" t="s">
        <v>9</v>
      </c>
      <c r="F1300" s="2">
        <v>27</v>
      </c>
      <c r="G1300" s="2" t="str" cm="1">
        <f t="array" ref="G1300">_xlfn.IFS(F1300&lt;=8,"Child",F1300&lt;=17,"Teen",F1300&lt;=35,"Adult",F1300&lt;=55,"Seniour Adult",F1300&gt;=55,"Old Age")</f>
        <v>Adult</v>
      </c>
      <c r="H1300" t="s">
        <v>10</v>
      </c>
      <c r="I1300" t="s">
        <v>11</v>
      </c>
      <c r="J1300" t="str" cm="1">
        <f t="array" ref="J1300">_xlfn.IFS(I1300="S","Southamptom",I1300="Q","Quentown",I1300="C","Cherbrug",I1300="B","Cabin")</f>
        <v>Southamptom</v>
      </c>
      <c r="K1300" t="s">
        <v>32</v>
      </c>
      <c r="L1300" s="2">
        <v>8.1303000000000001</v>
      </c>
      <c r="M1300" s="2" t="str" cm="1">
        <f t="array" ref="M1300">_xlfn.IFS(L1300&lt;=15,"Low Fare",L1300&lt;=35,"Medium Fare",L1300&lt;=100,"High Fare",L1300&gt;=100,"Very High Fare")</f>
        <v>Low Fare</v>
      </c>
      <c r="N1300" s="2">
        <v>0</v>
      </c>
      <c r="O1300" s="2">
        <v>0</v>
      </c>
      <c r="P1300">
        <f t="shared" si="81"/>
        <v>1</v>
      </c>
      <c r="Q1300" t="str">
        <f t="shared" si="82"/>
        <v>Alone</v>
      </c>
      <c r="R1300" t="str">
        <f t="shared" si="83"/>
        <v>No</v>
      </c>
      <c r="S1300" t="s">
        <v>13</v>
      </c>
    </row>
    <row r="1301" spans="1:19" x14ac:dyDescent="0.3">
      <c r="A1301" s="1" t="s">
        <v>956</v>
      </c>
      <c r="B1301" t="s">
        <v>1596</v>
      </c>
      <c r="C1301" t="s">
        <v>2701</v>
      </c>
      <c r="D1301" t="str">
        <f t="shared" si="80"/>
        <v>Male</v>
      </c>
      <c r="E1301" t="s">
        <v>9</v>
      </c>
      <c r="F1301" s="2">
        <v>54</v>
      </c>
      <c r="G1301" s="2" t="str" cm="1">
        <f t="array" ref="G1301">_xlfn.IFS(F1301&lt;=8,"Child",F1301&lt;=17,"Teen",F1301&lt;=35,"Adult",F1301&lt;=55,"Seniour Adult",F1301&gt;=55,"Old Age")</f>
        <v>Seniour Adult</v>
      </c>
      <c r="H1301" t="s">
        <v>10</v>
      </c>
      <c r="I1301" t="s">
        <v>11</v>
      </c>
      <c r="J1301" t="str" cm="1">
        <f t="array" ref="J1301">_xlfn.IFS(I1301="S","Southamptom",I1301="Q","Quentown",I1301="C","Cherbrug",I1301="B","Cabin")</f>
        <v>Southamptom</v>
      </c>
      <c r="K1301" t="s">
        <v>15</v>
      </c>
      <c r="L1301" s="2">
        <v>7.05</v>
      </c>
      <c r="M1301" s="2" t="str" cm="1">
        <f t="array" ref="M1301">_xlfn.IFS(L1301&lt;=15,"Low Fare",L1301&lt;=35,"Medium Fare",L1301&lt;=100,"High Fare",L1301&gt;=100,"Very High Fare")</f>
        <v>Low Fare</v>
      </c>
      <c r="N1301" s="2">
        <v>0</v>
      </c>
      <c r="O1301" s="2">
        <v>0</v>
      </c>
      <c r="P1301">
        <f t="shared" si="81"/>
        <v>1</v>
      </c>
      <c r="Q1301" t="str">
        <f t="shared" si="82"/>
        <v>Alone</v>
      </c>
      <c r="R1301" t="str">
        <f t="shared" si="83"/>
        <v>No</v>
      </c>
      <c r="S1301" t="s">
        <v>13</v>
      </c>
    </row>
    <row r="1302" spans="1:19" x14ac:dyDescent="0.3">
      <c r="A1302" s="1" t="s">
        <v>957</v>
      </c>
      <c r="B1302" t="s">
        <v>1596</v>
      </c>
      <c r="C1302" t="s">
        <v>2702</v>
      </c>
      <c r="D1302" t="str">
        <f t="shared" si="80"/>
        <v>Male</v>
      </c>
      <c r="E1302" t="s">
        <v>9</v>
      </c>
      <c r="F1302" s="2">
        <v>36</v>
      </c>
      <c r="G1302" s="2" t="str" cm="1">
        <f t="array" ref="G1302">_xlfn.IFS(F1302&lt;=8,"Child",F1302&lt;=17,"Teen",F1302&lt;=35,"Adult",F1302&lt;=55,"Seniour Adult",F1302&gt;=55,"Old Age")</f>
        <v>Seniour Adult</v>
      </c>
      <c r="H1302" t="s">
        <v>10</v>
      </c>
      <c r="I1302" t="s">
        <v>11</v>
      </c>
      <c r="J1302" t="str" cm="1">
        <f t="array" ref="J1302">_xlfn.IFS(I1302="S","Southamptom",I1302="Q","Quentown",I1302="C","Cherbrug",I1302="B","Cabin")</f>
        <v>Southamptom</v>
      </c>
      <c r="K1302" t="s">
        <v>46</v>
      </c>
      <c r="L1302" s="2">
        <v>9.1</v>
      </c>
      <c r="M1302" s="2" t="str" cm="1">
        <f t="array" ref="M1302">_xlfn.IFS(L1302&lt;=15,"Low Fare",L1302&lt;=35,"Medium Fare",L1302&lt;=100,"High Fare",L1302&gt;=100,"Very High Fare")</f>
        <v>Low Fare</v>
      </c>
      <c r="N1302" s="2">
        <v>0</v>
      </c>
      <c r="O1302" s="2">
        <v>0</v>
      </c>
      <c r="P1302">
        <f t="shared" si="81"/>
        <v>1</v>
      </c>
      <c r="Q1302" t="str">
        <f t="shared" si="82"/>
        <v>Alone</v>
      </c>
      <c r="R1302" t="str">
        <f t="shared" si="83"/>
        <v>No</v>
      </c>
      <c r="S1302" t="s">
        <v>13</v>
      </c>
    </row>
    <row r="1303" spans="1:19" hidden="1" x14ac:dyDescent="0.3">
      <c r="A1303" s="1" t="s">
        <v>958</v>
      </c>
      <c r="B1303" t="s">
        <v>1596</v>
      </c>
      <c r="C1303" t="s">
        <v>2703</v>
      </c>
      <c r="D1303" t="str">
        <f t="shared" si="80"/>
        <v>Male</v>
      </c>
      <c r="E1303" t="s">
        <v>9</v>
      </c>
      <c r="F1303" s="2">
        <v>32</v>
      </c>
      <c r="G1303" s="2" t="str" cm="1">
        <f t="array" ref="G1303">_xlfn.IFS(F1303&lt;=8,"Child",F1303&lt;=17,"Teen",F1303&lt;=35,"Adult",F1303&lt;=55,"Seniour Adult",F1303&gt;=55,"Old Age")</f>
        <v>Adult</v>
      </c>
      <c r="H1303" t="s">
        <v>18</v>
      </c>
      <c r="I1303" t="s">
        <v>11</v>
      </c>
      <c r="J1303" t="str" cm="1">
        <f t="array" ref="J1303">_xlfn.IFS(I1303="S","Southamptom",I1303="Q","Quentown",I1303="C","Cherbrug",I1303="B","Cabin")</f>
        <v>Southamptom</v>
      </c>
      <c r="K1303" t="s">
        <v>15</v>
      </c>
      <c r="L1303" s="2">
        <v>33</v>
      </c>
      <c r="M1303" s="2" t="str" cm="1">
        <f t="array" ref="M1303">_xlfn.IFS(L1303&lt;=15,"Low Fare",L1303&lt;=35,"Medium Fare",L1303&lt;=100,"High Fare",L1303&gt;=100,"Very High Fare")</f>
        <v>Medium Fare</v>
      </c>
      <c r="N1303" s="2">
        <v>1</v>
      </c>
      <c r="O1303" s="2" t="s">
        <v>30</v>
      </c>
      <c r="P1303" t="e">
        <f t="shared" si="81"/>
        <v>#VALUE!</v>
      </c>
      <c r="Q1303" t="e">
        <f t="shared" si="82"/>
        <v>#VALUE!</v>
      </c>
      <c r="R1303" t="str">
        <f t="shared" si="83"/>
        <v>No</v>
      </c>
      <c r="S1303" t="s">
        <v>13</v>
      </c>
    </row>
    <row r="1304" spans="1:19" x14ac:dyDescent="0.3">
      <c r="A1304" s="1" t="s">
        <v>959</v>
      </c>
      <c r="B1304" t="s">
        <v>1596</v>
      </c>
      <c r="C1304" t="s">
        <v>2704</v>
      </c>
      <c r="D1304" t="str">
        <f t="shared" si="80"/>
        <v>Male</v>
      </c>
      <c r="E1304" t="s">
        <v>9</v>
      </c>
      <c r="F1304" s="2">
        <v>46</v>
      </c>
      <c r="G1304" s="2" t="str" cm="1">
        <f t="array" ref="G1304">_xlfn.IFS(F1304&lt;=8,"Child",F1304&lt;=17,"Teen",F1304&lt;=35,"Adult",F1304&lt;=55,"Seniour Adult",F1304&gt;=55,"Old Age")</f>
        <v>Seniour Adult</v>
      </c>
      <c r="H1304" t="s">
        <v>25</v>
      </c>
      <c r="I1304" t="s">
        <v>11</v>
      </c>
      <c r="J1304" t="str" cm="1">
        <f t="array" ref="J1304">_xlfn.IFS(I1304="S","Southamptom",I1304="Q","Quentown",I1304="C","Cherbrug",I1304="B","Cabin")</f>
        <v>Southamptom</v>
      </c>
      <c r="K1304" t="s">
        <v>15</v>
      </c>
      <c r="L1304" s="2">
        <v>35.1</v>
      </c>
      <c r="M1304" s="2" t="str" cm="1">
        <f t="array" ref="M1304">_xlfn.IFS(L1304&lt;=15,"Low Fare",L1304&lt;=35,"Medium Fare",L1304&lt;=100,"High Fare",L1304&gt;=100,"Very High Fare")</f>
        <v>High Fare</v>
      </c>
      <c r="N1304" s="2">
        <v>0</v>
      </c>
      <c r="O1304" s="2">
        <v>0</v>
      </c>
      <c r="P1304">
        <f t="shared" si="81"/>
        <v>1</v>
      </c>
      <c r="Q1304" t="str">
        <f t="shared" si="82"/>
        <v>Alone</v>
      </c>
      <c r="R1304" t="str">
        <f t="shared" si="83"/>
        <v>Yes</v>
      </c>
      <c r="S1304" t="s">
        <v>16</v>
      </c>
    </row>
    <row r="1305" spans="1:19" x14ac:dyDescent="0.3">
      <c r="A1305" s="1" t="s">
        <v>960</v>
      </c>
      <c r="B1305" t="s">
        <v>1602</v>
      </c>
      <c r="C1305" t="s">
        <v>2705</v>
      </c>
      <c r="D1305" t="str">
        <f t="shared" si="80"/>
        <v>Female</v>
      </c>
      <c r="E1305" t="s">
        <v>14</v>
      </c>
      <c r="F1305" s="2">
        <v>26</v>
      </c>
      <c r="G1305" s="2" t="str" cm="1">
        <f t="array" ref="G1305">_xlfn.IFS(F1305&lt;=8,"Child",F1305&lt;=17,"Teen",F1305&lt;=35,"Adult",F1305&lt;=55,"Seniour Adult",F1305&gt;=55,"Old Age")</f>
        <v>Adult</v>
      </c>
      <c r="H1305" t="s">
        <v>18</v>
      </c>
      <c r="I1305" t="s">
        <v>11</v>
      </c>
      <c r="J1305" t="str" cm="1">
        <f t="array" ref="J1305">_xlfn.IFS(I1305="S","Southamptom",I1305="Q","Quentown",I1305="C","Cherbrug",I1305="B","Cabin")</f>
        <v>Southamptom</v>
      </c>
      <c r="K1305" t="s">
        <v>15</v>
      </c>
      <c r="L1305" s="2">
        <v>13.1</v>
      </c>
      <c r="M1305" s="2" t="str" cm="1">
        <f t="array" ref="M1305">_xlfn.IFS(L1305&lt;=15,"Low Fare",L1305&lt;=35,"Medium Fare",L1305&lt;=100,"High Fare",L1305&gt;=100,"Very High Fare")</f>
        <v>Low Fare</v>
      </c>
      <c r="N1305" s="2">
        <v>0</v>
      </c>
      <c r="O1305" s="2">
        <v>0</v>
      </c>
      <c r="P1305">
        <f t="shared" si="81"/>
        <v>1</v>
      </c>
      <c r="Q1305" t="str">
        <f t="shared" si="82"/>
        <v>Alone</v>
      </c>
      <c r="R1305" t="str">
        <f t="shared" si="83"/>
        <v>Yes</v>
      </c>
      <c r="S1305" t="s">
        <v>16</v>
      </c>
    </row>
    <row r="1306" spans="1:19" x14ac:dyDescent="0.3">
      <c r="A1306" s="1" t="s">
        <v>960</v>
      </c>
      <c r="B1306" t="s">
        <v>1596</v>
      </c>
      <c r="C1306" t="s">
        <v>2038</v>
      </c>
      <c r="D1306" t="str">
        <f t="shared" si="80"/>
        <v>Male</v>
      </c>
      <c r="E1306" t="s">
        <v>9</v>
      </c>
      <c r="F1306" s="2">
        <v>62</v>
      </c>
      <c r="G1306" s="2" t="str" cm="1">
        <f t="array" ref="G1306">_xlfn.IFS(F1306&lt;=8,"Child",F1306&lt;=17,"Teen",F1306&lt;=35,"Adult",F1306&lt;=55,"Seniour Adult",F1306&gt;=55,"Old Age")</f>
        <v>Old Age</v>
      </c>
      <c r="H1306" t="s">
        <v>25</v>
      </c>
      <c r="I1306" t="s">
        <v>11</v>
      </c>
      <c r="J1306" t="str" cm="1">
        <f t="array" ref="J1306">_xlfn.IFS(I1306="S","Southamptom",I1306="Q","Quentown",I1306="C","Cherbrug",I1306="B","Cabin")</f>
        <v>Southamptom</v>
      </c>
      <c r="K1306" t="s">
        <v>26</v>
      </c>
      <c r="L1306" s="2">
        <v>26.11</v>
      </c>
      <c r="M1306" s="2" t="str" cm="1">
        <f t="array" ref="M1306">_xlfn.IFS(L1306&lt;=15,"Low Fare",L1306&lt;=35,"Medium Fare",L1306&lt;=100,"High Fare",L1306&gt;=100,"Very High Fare")</f>
        <v>Medium Fare</v>
      </c>
      <c r="N1306" s="2">
        <v>0</v>
      </c>
      <c r="O1306" s="2">
        <v>0</v>
      </c>
      <c r="P1306">
        <f t="shared" si="81"/>
        <v>1</v>
      </c>
      <c r="Q1306" t="str">
        <f t="shared" si="82"/>
        <v>Alone</v>
      </c>
      <c r="R1306" t="str">
        <f t="shared" si="83"/>
        <v>No</v>
      </c>
      <c r="S1306" t="s">
        <v>13</v>
      </c>
    </row>
    <row r="1307" spans="1:19" x14ac:dyDescent="0.3">
      <c r="A1307" s="1" t="s">
        <v>961</v>
      </c>
      <c r="B1307" t="s">
        <v>1596</v>
      </c>
      <c r="C1307" t="s">
        <v>2706</v>
      </c>
      <c r="D1307" t="str">
        <f t="shared" si="80"/>
        <v>Male</v>
      </c>
      <c r="E1307" t="s">
        <v>9</v>
      </c>
      <c r="F1307" s="2">
        <v>27</v>
      </c>
      <c r="G1307" s="2" t="str" cm="1">
        <f t="array" ref="G1307">_xlfn.IFS(F1307&lt;=8,"Child",F1307&lt;=17,"Teen",F1307&lt;=35,"Adult",F1307&lt;=55,"Seniour Adult",F1307&gt;=55,"Old Age")</f>
        <v>Adult</v>
      </c>
      <c r="H1307" t="s">
        <v>10</v>
      </c>
      <c r="I1307" t="s">
        <v>19</v>
      </c>
      <c r="J1307" t="str" cm="1">
        <f t="array" ref="J1307">_xlfn.IFS(I1307="S","Southamptom",I1307="Q","Quentown",I1307="C","Cherbrug",I1307="B","Cabin")</f>
        <v>Cherbrug</v>
      </c>
      <c r="K1307" t="s">
        <v>21</v>
      </c>
      <c r="L1307" s="2">
        <v>14.0901</v>
      </c>
      <c r="M1307" s="2" t="str" cm="1">
        <f t="array" ref="M1307">_xlfn.IFS(L1307&lt;=15,"Low Fare",L1307&lt;=35,"Medium Fare",L1307&lt;=100,"High Fare",L1307&gt;=100,"Very High Fare")</f>
        <v>Low Fare</v>
      </c>
      <c r="N1307" s="2">
        <v>1</v>
      </c>
      <c r="O1307" s="2">
        <v>0</v>
      </c>
      <c r="P1307">
        <f t="shared" si="81"/>
        <v>2</v>
      </c>
      <c r="Q1307" t="str">
        <f t="shared" si="82"/>
        <v>With Family</v>
      </c>
      <c r="R1307" t="str">
        <f t="shared" si="83"/>
        <v>No</v>
      </c>
      <c r="S1307" t="s">
        <v>13</v>
      </c>
    </row>
    <row r="1308" spans="1:19" x14ac:dyDescent="0.3">
      <c r="A1308" s="1" t="s">
        <v>962</v>
      </c>
      <c r="B1308" t="s">
        <v>1600</v>
      </c>
      <c r="C1308" t="s">
        <v>2707</v>
      </c>
      <c r="D1308" t="str">
        <f t="shared" si="80"/>
        <v>Female</v>
      </c>
      <c r="E1308" t="s">
        <v>14</v>
      </c>
      <c r="F1308" s="2">
        <v>15</v>
      </c>
      <c r="G1308" s="2" t="str" cm="1">
        <f t="array" ref="G1308">_xlfn.IFS(F1308&lt;=8,"Child",F1308&lt;=17,"Teen",F1308&lt;=35,"Adult",F1308&lt;=55,"Seniour Adult",F1308&gt;=55,"Old Age")</f>
        <v>Teen</v>
      </c>
      <c r="H1308" t="s">
        <v>10</v>
      </c>
      <c r="I1308" t="s">
        <v>19</v>
      </c>
      <c r="J1308" t="str" cm="1">
        <f t="array" ref="J1308">_xlfn.IFS(I1308="S","Southamptom",I1308="Q","Quentown",I1308="C","Cherbrug",I1308="B","Cabin")</f>
        <v>Cherbrug</v>
      </c>
      <c r="K1308" t="s">
        <v>21</v>
      </c>
      <c r="L1308" s="2">
        <v>14.0901</v>
      </c>
      <c r="M1308" s="2" t="str" cm="1">
        <f t="array" ref="M1308">_xlfn.IFS(L1308&lt;=15,"Low Fare",L1308&lt;=35,"Medium Fare",L1308&lt;=100,"High Fare",L1308&gt;=100,"Very High Fare")</f>
        <v>Low Fare</v>
      </c>
      <c r="N1308" s="2">
        <v>1</v>
      </c>
      <c r="O1308" s="2">
        <v>0</v>
      </c>
      <c r="P1308">
        <f t="shared" si="81"/>
        <v>2</v>
      </c>
      <c r="Q1308" t="str">
        <f t="shared" si="82"/>
        <v>With Family</v>
      </c>
      <c r="R1308" t="str">
        <f t="shared" si="83"/>
        <v>Yes</v>
      </c>
      <c r="S1308" t="s">
        <v>16</v>
      </c>
    </row>
    <row r="1309" spans="1:19" x14ac:dyDescent="0.3">
      <c r="A1309" s="1" t="s">
        <v>963</v>
      </c>
      <c r="B1309" t="s">
        <v>1602</v>
      </c>
      <c r="C1309" t="s">
        <v>2708</v>
      </c>
      <c r="D1309" t="str">
        <f t="shared" si="80"/>
        <v>Female</v>
      </c>
      <c r="E1309" t="s">
        <v>14</v>
      </c>
      <c r="F1309" s="2">
        <v>36</v>
      </c>
      <c r="G1309" s="2" t="str" cm="1">
        <f t="array" ref="G1309">_xlfn.IFS(F1309&lt;=8,"Child",F1309&lt;=17,"Teen",F1309&lt;=35,"Adult",F1309&lt;=55,"Seniour Adult",F1309&gt;=55,"Old Age")</f>
        <v>Seniour Adult</v>
      </c>
      <c r="H1309" t="s">
        <v>25</v>
      </c>
      <c r="I1309" t="s">
        <v>19</v>
      </c>
      <c r="J1309" t="str" cm="1">
        <f t="array" ref="J1309">_xlfn.IFS(I1309="S","Southamptom",I1309="Q","Quentown",I1309="C","Cherbrug",I1309="B","Cabin")</f>
        <v>Cherbrug</v>
      </c>
      <c r="K1309" t="s">
        <v>12</v>
      </c>
      <c r="L1309" s="2">
        <v>135.1208</v>
      </c>
      <c r="M1309" s="2" t="str" cm="1">
        <f t="array" ref="M1309">_xlfn.IFS(L1309&lt;=15,"Low Fare",L1309&lt;=35,"Medium Fare",L1309&lt;=100,"High Fare",L1309&gt;=100,"Very High Fare")</f>
        <v>Very High Fare</v>
      </c>
      <c r="N1309" s="2">
        <v>0</v>
      </c>
      <c r="O1309" s="2">
        <v>0</v>
      </c>
      <c r="P1309">
        <f t="shared" si="81"/>
        <v>1</v>
      </c>
      <c r="Q1309" t="str">
        <f t="shared" si="82"/>
        <v>Alone</v>
      </c>
      <c r="R1309" t="str">
        <f t="shared" si="83"/>
        <v>Yes</v>
      </c>
      <c r="S1309" t="s">
        <v>16</v>
      </c>
    </row>
    <row r="1310" spans="1:19" x14ac:dyDescent="0.3">
      <c r="A1310" s="1" t="s">
        <v>964</v>
      </c>
      <c r="B1310" t="s">
        <v>1596</v>
      </c>
      <c r="C1310" t="s">
        <v>2709</v>
      </c>
      <c r="D1310" t="str">
        <f t="shared" si="80"/>
        <v>Male</v>
      </c>
      <c r="E1310" t="s">
        <v>9</v>
      </c>
      <c r="F1310" s="2">
        <v>26</v>
      </c>
      <c r="G1310" s="2" t="str" cm="1">
        <f t="array" ref="G1310">_xlfn.IFS(F1310&lt;=8,"Child",F1310&lt;=17,"Teen",F1310&lt;=35,"Adult",F1310&lt;=55,"Seniour Adult",F1310&gt;=55,"Old Age")</f>
        <v>Adult</v>
      </c>
      <c r="H1310" t="s">
        <v>10</v>
      </c>
      <c r="I1310" t="s">
        <v>19</v>
      </c>
      <c r="J1310" t="str" cm="1">
        <f t="array" ref="J1310">_xlfn.IFS(I1310="S","Southamptom",I1310="Q","Quentown",I1310="C","Cherbrug",I1310="B","Cabin")</f>
        <v>Cherbrug</v>
      </c>
      <c r="K1310" t="s">
        <v>21</v>
      </c>
      <c r="L1310" s="2">
        <v>7.0406000000000004</v>
      </c>
      <c r="M1310" s="2" t="str" cm="1">
        <f t="array" ref="M1310">_xlfn.IFS(L1310&lt;=15,"Low Fare",L1310&lt;=35,"Medium Fare",L1310&lt;=100,"High Fare",L1310&gt;=100,"Very High Fare")</f>
        <v>Low Fare</v>
      </c>
      <c r="N1310" s="2">
        <v>0</v>
      </c>
      <c r="O1310" s="2">
        <v>0</v>
      </c>
      <c r="P1310">
        <f t="shared" si="81"/>
        <v>1</v>
      </c>
      <c r="Q1310" t="str">
        <f t="shared" si="82"/>
        <v>Alone</v>
      </c>
      <c r="R1310" t="str">
        <f t="shared" si="83"/>
        <v>No</v>
      </c>
      <c r="S1310" t="s">
        <v>13</v>
      </c>
    </row>
    <row r="1311" spans="1:19" x14ac:dyDescent="0.3">
      <c r="A1311" s="1" t="s">
        <v>965</v>
      </c>
      <c r="B1311" t="s">
        <v>1596</v>
      </c>
      <c r="C1311" t="s">
        <v>2709</v>
      </c>
      <c r="D1311" t="str">
        <f t="shared" si="80"/>
        <v>Male</v>
      </c>
      <c r="E1311" t="s">
        <v>9</v>
      </c>
      <c r="F1311" s="2">
        <v>45</v>
      </c>
      <c r="G1311" s="2" t="str" cm="1">
        <f t="array" ref="G1311">_xlfn.IFS(F1311&lt;=8,"Child",F1311&lt;=17,"Teen",F1311&lt;=35,"Adult",F1311&lt;=55,"Seniour Adult",F1311&gt;=55,"Old Age")</f>
        <v>Seniour Adult</v>
      </c>
      <c r="H1311" t="s">
        <v>10</v>
      </c>
      <c r="I1311" t="s">
        <v>19</v>
      </c>
      <c r="J1311" t="str" cm="1">
        <f t="array" ref="J1311">_xlfn.IFS(I1311="S","Southamptom",I1311="Q","Quentown",I1311="C","Cherbrug",I1311="B","Cabin")</f>
        <v>Cherbrug</v>
      </c>
      <c r="K1311" t="s">
        <v>21</v>
      </c>
      <c r="L1311" s="2">
        <v>7.0407000000000002</v>
      </c>
      <c r="M1311" s="2" t="str" cm="1">
        <f t="array" ref="M1311">_xlfn.IFS(L1311&lt;=15,"Low Fare",L1311&lt;=35,"Medium Fare",L1311&lt;=100,"High Fare",L1311&gt;=100,"Very High Fare")</f>
        <v>Low Fare</v>
      </c>
      <c r="N1311" s="2">
        <v>0</v>
      </c>
      <c r="O1311" s="2">
        <v>0</v>
      </c>
      <c r="P1311">
        <f t="shared" si="81"/>
        <v>1</v>
      </c>
      <c r="Q1311" t="str">
        <f t="shared" si="82"/>
        <v>Alone</v>
      </c>
      <c r="R1311" t="str">
        <f t="shared" si="83"/>
        <v>No</v>
      </c>
      <c r="S1311" t="s">
        <v>13</v>
      </c>
    </row>
    <row r="1312" spans="1:19" x14ac:dyDescent="0.3">
      <c r="A1312" s="1" t="s">
        <v>966</v>
      </c>
      <c r="B1312" t="s">
        <v>1600</v>
      </c>
      <c r="C1312" t="s">
        <v>2710</v>
      </c>
      <c r="D1312" t="str">
        <f t="shared" si="80"/>
        <v>Female</v>
      </c>
      <c r="E1312" t="s">
        <v>14</v>
      </c>
      <c r="F1312" s="2">
        <v>23</v>
      </c>
      <c r="G1312" s="2" t="str" cm="1">
        <f t="array" ref="G1312">_xlfn.IFS(F1312&lt;=8,"Child",F1312&lt;=17,"Teen",F1312&lt;=35,"Adult",F1312&lt;=55,"Seniour Adult",F1312&gt;=55,"Old Age")</f>
        <v>Adult</v>
      </c>
      <c r="H1312" t="s">
        <v>10</v>
      </c>
      <c r="I1312" t="s">
        <v>19</v>
      </c>
      <c r="J1312" t="str" cm="1">
        <f t="array" ref="J1312">_xlfn.IFS(I1312="S","Southamptom",I1312="Q","Quentown",I1312="C","Cherbrug",I1312="B","Cabin")</f>
        <v>Cherbrug</v>
      </c>
      <c r="K1312" t="s">
        <v>21</v>
      </c>
      <c r="L1312" s="2">
        <v>22.0702</v>
      </c>
      <c r="M1312" s="2" t="str" cm="1">
        <f t="array" ref="M1312">_xlfn.IFS(L1312&lt;=15,"Low Fare",L1312&lt;=35,"Medium Fare",L1312&lt;=100,"High Fare",L1312&gt;=100,"Very High Fare")</f>
        <v>Medium Fare</v>
      </c>
      <c r="N1312" s="2">
        <v>0</v>
      </c>
      <c r="O1312" s="2">
        <v>2</v>
      </c>
      <c r="P1312">
        <f t="shared" si="81"/>
        <v>3</v>
      </c>
      <c r="Q1312" t="str">
        <f t="shared" si="82"/>
        <v>With Family</v>
      </c>
      <c r="R1312" t="str">
        <f t="shared" si="83"/>
        <v>Yes</v>
      </c>
      <c r="S1312" t="s">
        <v>16</v>
      </c>
    </row>
    <row r="1313" spans="1:19" x14ac:dyDescent="0.3">
      <c r="A1313" s="1" t="s">
        <v>967</v>
      </c>
      <c r="B1313" t="s">
        <v>1602</v>
      </c>
      <c r="C1313" t="s">
        <v>2711</v>
      </c>
      <c r="D1313" t="str">
        <f t="shared" si="80"/>
        <v>Female</v>
      </c>
      <c r="E1313" t="s">
        <v>14</v>
      </c>
      <c r="F1313" s="2">
        <v>24</v>
      </c>
      <c r="G1313" s="2" t="str" cm="1">
        <f t="array" ref="G1313">_xlfn.IFS(F1313&lt;=8,"Child",F1313&lt;=17,"Teen",F1313&lt;=35,"Adult",F1313&lt;=55,"Seniour Adult",F1313&gt;=55,"Old Age")</f>
        <v>Adult</v>
      </c>
      <c r="H1313" t="s">
        <v>18</v>
      </c>
      <c r="I1313" t="s">
        <v>11</v>
      </c>
      <c r="J1313" t="str" cm="1">
        <f t="array" ref="J1313">_xlfn.IFS(I1313="S","Southamptom",I1313="Q","Quentown",I1313="C","Cherbrug",I1313="B","Cabin")</f>
        <v>Southamptom</v>
      </c>
      <c r="K1313" t="s">
        <v>20</v>
      </c>
      <c r="L1313" s="2">
        <v>13</v>
      </c>
      <c r="M1313" s="2" t="str" cm="1">
        <f t="array" ref="M1313">_xlfn.IFS(L1313&lt;=15,"Low Fare",L1313&lt;=35,"Medium Fare",L1313&lt;=100,"High Fare",L1313&gt;=100,"Very High Fare")</f>
        <v>Low Fare</v>
      </c>
      <c r="N1313" s="2">
        <v>0</v>
      </c>
      <c r="O1313" s="2">
        <v>0</v>
      </c>
      <c r="P1313">
        <f t="shared" si="81"/>
        <v>1</v>
      </c>
      <c r="Q1313" t="str">
        <f t="shared" si="82"/>
        <v>Alone</v>
      </c>
      <c r="R1313" t="str">
        <f t="shared" si="83"/>
        <v>No</v>
      </c>
      <c r="S1313" t="s">
        <v>13</v>
      </c>
    </row>
    <row r="1314" spans="1:19" x14ac:dyDescent="0.3">
      <c r="A1314" s="1" t="s">
        <v>968</v>
      </c>
      <c r="B1314" t="s">
        <v>1596</v>
      </c>
      <c r="C1314" t="s">
        <v>2712</v>
      </c>
      <c r="D1314" t="str">
        <f t="shared" si="80"/>
        <v>Male</v>
      </c>
      <c r="E1314" t="s">
        <v>9</v>
      </c>
      <c r="F1314" s="2">
        <v>22</v>
      </c>
      <c r="G1314" s="2" t="str" cm="1">
        <f t="array" ref="G1314">_xlfn.IFS(F1314&lt;=8,"Child",F1314&lt;=17,"Teen",F1314&lt;=35,"Adult",F1314&lt;=55,"Seniour Adult",F1314&gt;=55,"Old Age")</f>
        <v>Adult</v>
      </c>
      <c r="H1314" t="s">
        <v>10</v>
      </c>
      <c r="I1314" t="s">
        <v>19</v>
      </c>
      <c r="J1314" t="str" cm="1">
        <f t="array" ref="J1314">_xlfn.IFS(I1314="S","Southamptom",I1314="Q","Quentown",I1314="C","Cherbrug",I1314="B","Cabin")</f>
        <v>Cherbrug</v>
      </c>
      <c r="K1314" t="s">
        <v>58</v>
      </c>
      <c r="L1314" s="2">
        <v>7.0406000000000004</v>
      </c>
      <c r="M1314" s="2" t="str" cm="1">
        <f t="array" ref="M1314">_xlfn.IFS(L1314&lt;=15,"Low Fare",L1314&lt;=35,"Medium Fare",L1314&lt;=100,"High Fare",L1314&gt;=100,"Very High Fare")</f>
        <v>Low Fare</v>
      </c>
      <c r="N1314" s="2">
        <v>0</v>
      </c>
      <c r="O1314" s="2">
        <v>0</v>
      </c>
      <c r="P1314">
        <f t="shared" si="81"/>
        <v>1</v>
      </c>
      <c r="Q1314" t="str">
        <f t="shared" si="82"/>
        <v>Alone</v>
      </c>
      <c r="R1314" t="str">
        <f t="shared" si="83"/>
        <v>No</v>
      </c>
      <c r="S1314" t="s">
        <v>13</v>
      </c>
    </row>
    <row r="1315" spans="1:19" x14ac:dyDescent="0.3">
      <c r="A1315" s="1" t="s">
        <v>968</v>
      </c>
      <c r="B1315" t="s">
        <v>1596</v>
      </c>
      <c r="C1315" t="s">
        <v>2713</v>
      </c>
      <c r="D1315" t="str">
        <f t="shared" si="80"/>
        <v>Male</v>
      </c>
      <c r="E1315" t="s">
        <v>9</v>
      </c>
      <c r="F1315" s="2">
        <v>27</v>
      </c>
      <c r="G1315" s="2" t="str" cm="1">
        <f t="array" ref="G1315">_xlfn.IFS(F1315&lt;=8,"Child",F1315&lt;=17,"Teen",F1315&lt;=35,"Adult",F1315&lt;=55,"Seniour Adult",F1315&gt;=55,"Old Age")</f>
        <v>Adult</v>
      </c>
      <c r="H1315" t="s">
        <v>10</v>
      </c>
      <c r="I1315" t="s">
        <v>19</v>
      </c>
      <c r="J1315" t="str" cm="1">
        <f t="array" ref="J1315">_xlfn.IFS(I1315="S","Southamptom",I1315="Q","Quentown",I1315="C","Cherbrug",I1315="B","Cabin")</f>
        <v>Cherbrug</v>
      </c>
      <c r="K1315" t="s">
        <v>58</v>
      </c>
      <c r="L1315" s="2">
        <v>7.0406000000000004</v>
      </c>
      <c r="M1315" s="2" t="str" cm="1">
        <f t="array" ref="M1315">_xlfn.IFS(L1315&lt;=15,"Low Fare",L1315&lt;=35,"Medium Fare",L1315&lt;=100,"High Fare",L1315&gt;=100,"Very High Fare")</f>
        <v>Low Fare</v>
      </c>
      <c r="N1315" s="2">
        <v>0</v>
      </c>
      <c r="O1315" s="2">
        <v>0</v>
      </c>
      <c r="P1315">
        <f t="shared" si="81"/>
        <v>1</v>
      </c>
      <c r="Q1315" t="str">
        <f t="shared" si="82"/>
        <v>Alone</v>
      </c>
      <c r="R1315" t="str">
        <f t="shared" si="83"/>
        <v>No</v>
      </c>
      <c r="S1315" t="s">
        <v>13</v>
      </c>
    </row>
    <row r="1316" spans="1:19" x14ac:dyDescent="0.3">
      <c r="A1316" s="1" t="s">
        <v>969</v>
      </c>
      <c r="B1316" t="s">
        <v>1596</v>
      </c>
      <c r="C1316" t="s">
        <v>2195</v>
      </c>
      <c r="D1316" t="str">
        <f t="shared" si="80"/>
        <v>Male</v>
      </c>
      <c r="E1316" t="s">
        <v>9</v>
      </c>
      <c r="F1316" s="2">
        <v>25</v>
      </c>
      <c r="G1316" s="2" t="str" cm="1">
        <f t="array" ref="G1316">_xlfn.IFS(F1316&lt;=8,"Child",F1316&lt;=17,"Teen",F1316&lt;=35,"Adult",F1316&lt;=55,"Seniour Adult",F1316&gt;=55,"Old Age")</f>
        <v>Adult</v>
      </c>
      <c r="H1316" t="s">
        <v>10</v>
      </c>
      <c r="I1316" t="s">
        <v>19</v>
      </c>
      <c r="J1316" t="str" cm="1">
        <f t="array" ref="J1316">_xlfn.IFS(I1316="S","Southamptom",I1316="Q","Quentown",I1316="C","Cherbrug",I1316="B","Cabin")</f>
        <v>Cherbrug</v>
      </c>
      <c r="K1316" t="s">
        <v>21</v>
      </c>
      <c r="L1316" s="2">
        <v>7.0406000000000004</v>
      </c>
      <c r="M1316" s="2" t="str" cm="1">
        <f t="array" ref="M1316">_xlfn.IFS(L1316&lt;=15,"Low Fare",L1316&lt;=35,"Medium Fare",L1316&lt;=100,"High Fare",L1316&gt;=100,"Very High Fare")</f>
        <v>Low Fare</v>
      </c>
      <c r="N1316" s="2">
        <v>0</v>
      </c>
      <c r="O1316" s="2">
        <v>0</v>
      </c>
      <c r="P1316">
        <f t="shared" si="81"/>
        <v>1</v>
      </c>
      <c r="Q1316" t="str">
        <f t="shared" si="82"/>
        <v>Alone</v>
      </c>
      <c r="R1316" t="str">
        <f t="shared" si="83"/>
        <v>Yes</v>
      </c>
      <c r="S1316" t="s">
        <v>16</v>
      </c>
    </row>
    <row r="1317" spans="1:19" x14ac:dyDescent="0.3">
      <c r="A1317" s="1" t="s">
        <v>970</v>
      </c>
      <c r="B1317" t="s">
        <v>1596</v>
      </c>
      <c r="C1317" t="s">
        <v>2714</v>
      </c>
      <c r="D1317" t="str">
        <f t="shared" si="80"/>
        <v>Male</v>
      </c>
      <c r="E1317" t="s">
        <v>9</v>
      </c>
      <c r="F1317" s="2">
        <v>29</v>
      </c>
      <c r="G1317" s="2" t="str" cm="1">
        <f t="array" ref="G1317">_xlfn.IFS(F1317&lt;=8,"Child",F1317&lt;=17,"Teen",F1317&lt;=35,"Adult",F1317&lt;=55,"Seniour Adult",F1317&gt;=55,"Old Age")</f>
        <v>Adult</v>
      </c>
      <c r="H1317" t="s">
        <v>10</v>
      </c>
      <c r="I1317" t="s">
        <v>11</v>
      </c>
      <c r="J1317" t="str" cm="1">
        <f t="array" ref="J1317">_xlfn.IFS(I1317="S","Southamptom",I1317="Q","Quentown",I1317="C","Cherbrug",I1317="B","Cabin")</f>
        <v>Southamptom</v>
      </c>
      <c r="K1317" t="s">
        <v>64</v>
      </c>
      <c r="L1317" s="2">
        <v>7.1706000000000003</v>
      </c>
      <c r="M1317" s="2" t="str" cm="1">
        <f t="array" ref="M1317">_xlfn.IFS(L1317&lt;=15,"Low Fare",L1317&lt;=35,"Medium Fare",L1317&lt;=100,"High Fare",L1317&gt;=100,"Very High Fare")</f>
        <v>Low Fare</v>
      </c>
      <c r="N1317" s="2">
        <v>0</v>
      </c>
      <c r="O1317" s="2">
        <v>0</v>
      </c>
      <c r="P1317">
        <f t="shared" si="81"/>
        <v>1</v>
      </c>
      <c r="Q1317" t="str">
        <f t="shared" si="82"/>
        <v>Alone</v>
      </c>
      <c r="R1317" t="str">
        <f t="shared" si="83"/>
        <v>No</v>
      </c>
      <c r="S1317" t="s">
        <v>13</v>
      </c>
    </row>
    <row r="1318" spans="1:19" hidden="1" x14ac:dyDescent="0.3">
      <c r="A1318" s="1" t="s">
        <v>74</v>
      </c>
      <c r="B1318" t="s">
        <v>1596</v>
      </c>
      <c r="C1318" t="s">
        <v>2715</v>
      </c>
      <c r="D1318" t="str">
        <f t="shared" si="80"/>
        <v>Male</v>
      </c>
      <c r="E1318" t="s">
        <v>9</v>
      </c>
      <c r="F1318" s="2">
        <v>21</v>
      </c>
      <c r="G1318" s="2" t="str" cm="1">
        <f t="array" ref="G1318">_xlfn.IFS(F1318&lt;=8,"Child",F1318&lt;=17,"Teen",F1318&lt;=35,"Adult",F1318&lt;=55,"Seniour Adult",F1318&gt;=55,"Old Age")</f>
        <v>Adult</v>
      </c>
      <c r="H1318" t="s">
        <v>69</v>
      </c>
      <c r="I1318" t="s">
        <v>11</v>
      </c>
      <c r="J1318" t="str" cm="1">
        <f t="array" ref="J1318">_xlfn.IFS(I1318="S","Southamptom",I1318="Q","Quentown",I1318="C","Cherbrug",I1318="B","Cabin")</f>
        <v>Southamptom</v>
      </c>
      <c r="K1318" t="s">
        <v>15</v>
      </c>
      <c r="L1318" s="2">
        <v>33</v>
      </c>
      <c r="M1318" s="2" t="str" cm="1">
        <f t="array" ref="M1318">_xlfn.IFS(L1318&lt;=15,"Low Fare",L1318&lt;=35,"Medium Fare",L1318&lt;=100,"High Fare",L1318&gt;=100,"Very High Fare")</f>
        <v>Medium Fare</v>
      </c>
      <c r="N1318" s="2">
        <v>1</v>
      </c>
      <c r="O1318" s="2" t="s">
        <v>30</v>
      </c>
      <c r="P1318" t="e">
        <f t="shared" si="81"/>
        <v>#VALUE!</v>
      </c>
      <c r="Q1318" t="e">
        <f t="shared" si="82"/>
        <v>#VALUE!</v>
      </c>
      <c r="R1318" t="str">
        <f t="shared" si="83"/>
        <v>No</v>
      </c>
      <c r="S1318" t="s">
        <v>13</v>
      </c>
    </row>
    <row r="1319" spans="1:19" hidden="1" x14ac:dyDescent="0.3">
      <c r="A1319" s="1" t="s">
        <v>971</v>
      </c>
      <c r="B1319" t="s">
        <v>1596</v>
      </c>
      <c r="C1319" t="s">
        <v>1704</v>
      </c>
      <c r="D1319" t="str">
        <f t="shared" si="80"/>
        <v>Male</v>
      </c>
      <c r="E1319" t="s">
        <v>9</v>
      </c>
      <c r="F1319" s="2">
        <v>34</v>
      </c>
      <c r="G1319" s="2" t="str" cm="1">
        <f t="array" ref="G1319">_xlfn.IFS(F1319&lt;=8,"Child",F1319&lt;=17,"Teen",F1319&lt;=35,"Adult",F1319&lt;=55,"Seniour Adult",F1319&gt;=55,"Old Age")</f>
        <v>Adult</v>
      </c>
      <c r="H1319" t="s">
        <v>51</v>
      </c>
      <c r="I1319" t="s">
        <v>11</v>
      </c>
      <c r="J1319" t="str" cm="1">
        <f t="array" ref="J1319">_xlfn.IFS(I1319="S","Southamptom",I1319="Q","Quentown",I1319="C","Cherbrug",I1319="B","Cabin")</f>
        <v>Southamptom</v>
      </c>
      <c r="K1319" t="s">
        <v>15</v>
      </c>
      <c r="L1319" s="2">
        <v>33</v>
      </c>
      <c r="M1319" s="2" t="str" cm="1">
        <f t="array" ref="M1319">_xlfn.IFS(L1319&lt;=15,"Low Fare",L1319&lt;=35,"Medium Fare",L1319&lt;=100,"High Fare",L1319&gt;=100,"Very High Fare")</f>
        <v>Medium Fare</v>
      </c>
      <c r="N1319" s="2">
        <v>1</v>
      </c>
      <c r="O1319" s="2" t="s">
        <v>30</v>
      </c>
      <c r="P1319" t="e">
        <f t="shared" si="81"/>
        <v>#VALUE!</v>
      </c>
      <c r="Q1319" t="e">
        <f t="shared" si="82"/>
        <v>#VALUE!</v>
      </c>
      <c r="R1319" t="str">
        <f t="shared" si="83"/>
        <v>No</v>
      </c>
      <c r="S1319" t="s">
        <v>13</v>
      </c>
    </row>
    <row r="1320" spans="1:19" hidden="1" x14ac:dyDescent="0.3">
      <c r="A1320" s="1" t="s">
        <v>80</v>
      </c>
      <c r="B1320" t="s">
        <v>1596</v>
      </c>
      <c r="C1320" t="s">
        <v>2716</v>
      </c>
      <c r="D1320" t="str">
        <f t="shared" si="80"/>
        <v>Male</v>
      </c>
      <c r="E1320" t="s">
        <v>9</v>
      </c>
      <c r="F1320" s="2">
        <v>26</v>
      </c>
      <c r="G1320" s="2" t="str" cm="1">
        <f t="array" ref="G1320">_xlfn.IFS(F1320&lt;=8,"Child",F1320&lt;=17,"Teen",F1320&lt;=35,"Adult",F1320&lt;=55,"Seniour Adult",F1320&gt;=55,"Old Age")</f>
        <v>Adult</v>
      </c>
      <c r="H1320" t="s">
        <v>51</v>
      </c>
      <c r="I1320" t="s">
        <v>11</v>
      </c>
      <c r="J1320" t="str" cm="1">
        <f t="array" ref="J1320">_xlfn.IFS(I1320="S","Southamptom",I1320="Q","Quentown",I1320="C","Cherbrug",I1320="B","Cabin")</f>
        <v>Southamptom</v>
      </c>
      <c r="K1320" t="s">
        <v>15</v>
      </c>
      <c r="L1320" s="2">
        <v>33</v>
      </c>
      <c r="M1320" s="2" t="str" cm="1">
        <f t="array" ref="M1320">_xlfn.IFS(L1320&lt;=15,"Low Fare",L1320&lt;=35,"Medium Fare",L1320&lt;=100,"High Fare",L1320&gt;=100,"Very High Fare")</f>
        <v>Medium Fare</v>
      </c>
      <c r="N1320" s="2">
        <v>1</v>
      </c>
      <c r="O1320" s="2" t="s">
        <v>30</v>
      </c>
      <c r="P1320" t="e">
        <f t="shared" si="81"/>
        <v>#VALUE!</v>
      </c>
      <c r="Q1320" t="e">
        <f t="shared" si="82"/>
        <v>#VALUE!</v>
      </c>
      <c r="R1320" t="str">
        <f t="shared" si="83"/>
        <v>No</v>
      </c>
      <c r="S1320" t="s">
        <v>13</v>
      </c>
    </row>
    <row r="1321" spans="1:19" hidden="1" x14ac:dyDescent="0.3">
      <c r="A1321" s="1" t="s">
        <v>972</v>
      </c>
      <c r="B1321" t="s">
        <v>1596</v>
      </c>
      <c r="C1321" t="s">
        <v>2717</v>
      </c>
      <c r="D1321" t="str">
        <f t="shared" si="80"/>
        <v>Male</v>
      </c>
      <c r="E1321" t="s">
        <v>9</v>
      </c>
      <c r="F1321" s="2">
        <v>20</v>
      </c>
      <c r="G1321" s="2" t="str" cm="1">
        <f t="array" ref="G1321">_xlfn.IFS(F1321&lt;=8,"Child",F1321&lt;=17,"Teen",F1321&lt;=35,"Adult",F1321&lt;=55,"Seniour Adult",F1321&gt;=55,"Old Age")</f>
        <v>Adult</v>
      </c>
      <c r="H1321" t="s">
        <v>69</v>
      </c>
      <c r="I1321" t="s">
        <v>11</v>
      </c>
      <c r="J1321" t="str" cm="1">
        <f t="array" ref="J1321">_xlfn.IFS(I1321="S","Southamptom",I1321="Q","Quentown",I1321="C","Cherbrug",I1321="B","Cabin")</f>
        <v>Southamptom</v>
      </c>
      <c r="K1321" t="s">
        <v>33</v>
      </c>
      <c r="L1321" s="2">
        <v>33</v>
      </c>
      <c r="M1321" s="2" t="str" cm="1">
        <f t="array" ref="M1321">_xlfn.IFS(L1321&lt;=15,"Low Fare",L1321&lt;=35,"Medium Fare",L1321&lt;=100,"High Fare",L1321&gt;=100,"Very High Fare")</f>
        <v>Medium Fare</v>
      </c>
      <c r="N1321" s="2">
        <v>1</v>
      </c>
      <c r="O1321" s="2" t="s">
        <v>30</v>
      </c>
      <c r="P1321" t="e">
        <f t="shared" si="81"/>
        <v>#VALUE!</v>
      </c>
      <c r="Q1321" t="e">
        <f t="shared" si="82"/>
        <v>#VALUE!</v>
      </c>
      <c r="R1321" t="str">
        <f t="shared" si="83"/>
        <v>No</v>
      </c>
      <c r="S1321" t="s">
        <v>13</v>
      </c>
    </row>
    <row r="1322" spans="1:19" hidden="1" x14ac:dyDescent="0.3">
      <c r="A1322" s="1" t="s">
        <v>973</v>
      </c>
      <c r="B1322" t="s">
        <v>1596</v>
      </c>
      <c r="C1322" t="s">
        <v>2420</v>
      </c>
      <c r="D1322" t="str">
        <f t="shared" si="80"/>
        <v>Male</v>
      </c>
      <c r="E1322" t="s">
        <v>9</v>
      </c>
      <c r="F1322" s="2">
        <v>31</v>
      </c>
      <c r="G1322" s="2" t="str" cm="1">
        <f t="array" ref="G1322">_xlfn.IFS(F1322&lt;=8,"Child",F1322&lt;=17,"Teen",F1322&lt;=35,"Adult",F1322&lt;=55,"Seniour Adult",F1322&gt;=55,"Old Age")</f>
        <v>Adult</v>
      </c>
      <c r="H1322" t="s">
        <v>69</v>
      </c>
      <c r="I1322" t="s">
        <v>11</v>
      </c>
      <c r="J1322" t="str" cm="1">
        <f t="array" ref="J1322">_xlfn.IFS(I1322="S","Southamptom",I1322="Q","Quentown",I1322="C","Cherbrug",I1322="B","Cabin")</f>
        <v>Southamptom</v>
      </c>
      <c r="K1322" t="s">
        <v>15</v>
      </c>
      <c r="L1322" s="2">
        <v>33</v>
      </c>
      <c r="M1322" s="2" t="str" cm="1">
        <f t="array" ref="M1322">_xlfn.IFS(L1322&lt;=15,"Low Fare",L1322&lt;=35,"Medium Fare",L1322&lt;=100,"High Fare",L1322&gt;=100,"Very High Fare")</f>
        <v>Medium Fare</v>
      </c>
      <c r="N1322" s="2">
        <v>1</v>
      </c>
      <c r="O1322" s="2" t="s">
        <v>30</v>
      </c>
      <c r="P1322" t="e">
        <f t="shared" si="81"/>
        <v>#VALUE!</v>
      </c>
      <c r="Q1322" t="e">
        <f t="shared" si="82"/>
        <v>#VALUE!</v>
      </c>
      <c r="R1322" t="str">
        <f t="shared" si="83"/>
        <v>No</v>
      </c>
      <c r="S1322" t="s">
        <v>13</v>
      </c>
    </row>
    <row r="1323" spans="1:19" hidden="1" x14ac:dyDescent="0.3">
      <c r="A1323" s="1" t="s">
        <v>973</v>
      </c>
      <c r="B1323" t="s">
        <v>1596</v>
      </c>
      <c r="C1323" t="s">
        <v>2718</v>
      </c>
      <c r="D1323" t="str">
        <f t="shared" si="80"/>
        <v>Male</v>
      </c>
      <c r="E1323" t="s">
        <v>9</v>
      </c>
      <c r="F1323" s="2">
        <v>37</v>
      </c>
      <c r="G1323" s="2" t="str" cm="1">
        <f t="array" ref="G1323">_xlfn.IFS(F1323&lt;=8,"Child",F1323&lt;=17,"Teen",F1323&lt;=35,"Adult",F1323&lt;=55,"Seniour Adult",F1323&gt;=55,"Old Age")</f>
        <v>Seniour Adult</v>
      </c>
      <c r="H1323" t="s">
        <v>69</v>
      </c>
      <c r="I1323" t="s">
        <v>11</v>
      </c>
      <c r="J1323" t="str" cm="1">
        <f t="array" ref="J1323">_xlfn.IFS(I1323="S","Southamptom",I1323="Q","Quentown",I1323="C","Cherbrug",I1323="B","Cabin")</f>
        <v>Southamptom</v>
      </c>
      <c r="K1323" t="s">
        <v>15</v>
      </c>
      <c r="L1323" s="2">
        <v>33</v>
      </c>
      <c r="M1323" s="2" t="str" cm="1">
        <f t="array" ref="M1323">_xlfn.IFS(L1323&lt;=15,"Low Fare",L1323&lt;=35,"Medium Fare",L1323&lt;=100,"High Fare",L1323&gt;=100,"Very High Fare")</f>
        <v>Medium Fare</v>
      </c>
      <c r="N1323" s="2">
        <v>1</v>
      </c>
      <c r="O1323" s="2" t="s">
        <v>30</v>
      </c>
      <c r="P1323" t="e">
        <f t="shared" si="81"/>
        <v>#VALUE!</v>
      </c>
      <c r="Q1323" t="e">
        <f t="shared" si="82"/>
        <v>#VALUE!</v>
      </c>
      <c r="R1323" t="str">
        <f t="shared" si="83"/>
        <v>No</v>
      </c>
      <c r="S1323" t="s">
        <v>13</v>
      </c>
    </row>
    <row r="1324" spans="1:19" hidden="1" x14ac:dyDescent="0.3">
      <c r="A1324" s="1" t="s">
        <v>974</v>
      </c>
      <c r="B1324" t="s">
        <v>2719</v>
      </c>
      <c r="C1324" t="s">
        <v>2720</v>
      </c>
      <c r="D1324" t="str">
        <f t="shared" si="80"/>
        <v>Male</v>
      </c>
      <c r="E1324" t="s">
        <v>9</v>
      </c>
      <c r="F1324" s="2">
        <v>22</v>
      </c>
      <c r="G1324" s="2" t="str" cm="1">
        <f t="array" ref="G1324">_xlfn.IFS(F1324&lt;=8,"Child",F1324&lt;=17,"Teen",F1324&lt;=35,"Adult",F1324&lt;=55,"Seniour Adult",F1324&gt;=55,"Old Age")</f>
        <v>Adult</v>
      </c>
      <c r="H1324" t="s">
        <v>70</v>
      </c>
      <c r="I1324" t="s">
        <v>11</v>
      </c>
      <c r="J1324" t="str" cm="1">
        <f t="array" ref="J1324">_xlfn.IFS(I1324="S","Southamptom",I1324="Q","Quentown",I1324="C","Cherbrug",I1324="B","Cabin")</f>
        <v>Southamptom</v>
      </c>
      <c r="K1324" t="s">
        <v>15</v>
      </c>
      <c r="L1324" s="2">
        <v>33</v>
      </c>
      <c r="M1324" s="2" t="str" cm="1">
        <f t="array" ref="M1324">_xlfn.IFS(L1324&lt;=15,"Low Fare",L1324&lt;=35,"Medium Fare",L1324&lt;=100,"High Fare",L1324&gt;=100,"Very High Fare")</f>
        <v>Medium Fare</v>
      </c>
      <c r="N1324" s="2">
        <v>1</v>
      </c>
      <c r="O1324" s="2" t="s">
        <v>30</v>
      </c>
      <c r="P1324" t="e">
        <f t="shared" si="81"/>
        <v>#VALUE!</v>
      </c>
      <c r="Q1324" t="e">
        <f t="shared" si="82"/>
        <v>#VALUE!</v>
      </c>
      <c r="R1324" t="str">
        <f t="shared" si="83"/>
        <v>No</v>
      </c>
      <c r="S1324" t="s">
        <v>13</v>
      </c>
    </row>
    <row r="1325" spans="1:19" hidden="1" x14ac:dyDescent="0.3">
      <c r="A1325" s="1" t="s">
        <v>87</v>
      </c>
      <c r="B1325" t="s">
        <v>1596</v>
      </c>
      <c r="C1325" t="s">
        <v>2721</v>
      </c>
      <c r="D1325" t="str">
        <f t="shared" si="80"/>
        <v>Male</v>
      </c>
      <c r="E1325" t="s">
        <v>9</v>
      </c>
      <c r="F1325" s="2">
        <v>24</v>
      </c>
      <c r="G1325" s="2" t="str" cm="1">
        <f t="array" ref="G1325">_xlfn.IFS(F1325&lt;=8,"Child",F1325&lt;=17,"Teen",F1325&lt;=35,"Adult",F1325&lt;=55,"Seniour Adult",F1325&gt;=55,"Old Age")</f>
        <v>Adult</v>
      </c>
      <c r="H1325" t="s">
        <v>51</v>
      </c>
      <c r="I1325" t="s">
        <v>11</v>
      </c>
      <c r="J1325" t="str" cm="1">
        <f t="array" ref="J1325">_xlfn.IFS(I1325="S","Southamptom",I1325="Q","Quentown",I1325="C","Cherbrug",I1325="B","Cabin")</f>
        <v>Southamptom</v>
      </c>
      <c r="K1325" t="s">
        <v>15</v>
      </c>
      <c r="L1325" s="2">
        <v>33</v>
      </c>
      <c r="M1325" s="2" t="str" cm="1">
        <f t="array" ref="M1325">_xlfn.IFS(L1325&lt;=15,"Low Fare",L1325&lt;=35,"Medium Fare",L1325&lt;=100,"High Fare",L1325&gt;=100,"Very High Fare")</f>
        <v>Medium Fare</v>
      </c>
      <c r="N1325" s="2">
        <v>1</v>
      </c>
      <c r="O1325" s="2" t="s">
        <v>30</v>
      </c>
      <c r="P1325" t="e">
        <f t="shared" si="81"/>
        <v>#VALUE!</v>
      </c>
      <c r="Q1325" t="e">
        <f t="shared" si="82"/>
        <v>#VALUE!</v>
      </c>
      <c r="R1325" t="str">
        <f t="shared" si="83"/>
        <v>Yes</v>
      </c>
      <c r="S1325" t="s">
        <v>16</v>
      </c>
    </row>
    <row r="1326" spans="1:19" hidden="1" x14ac:dyDescent="0.3">
      <c r="A1326" s="1" t="s">
        <v>87</v>
      </c>
      <c r="B1326" t="s">
        <v>1596</v>
      </c>
      <c r="C1326" t="s">
        <v>2511</v>
      </c>
      <c r="D1326" t="str">
        <f t="shared" si="80"/>
        <v>Male</v>
      </c>
      <c r="E1326" t="s">
        <v>9</v>
      </c>
      <c r="F1326" s="2">
        <v>17</v>
      </c>
      <c r="G1326" s="2" t="str" cm="1">
        <f t="array" ref="G1326">_xlfn.IFS(F1326&lt;=8,"Child",F1326&lt;=17,"Teen",F1326&lt;=35,"Adult",F1326&lt;=55,"Seniour Adult",F1326&gt;=55,"Old Age")</f>
        <v>Teen</v>
      </c>
      <c r="H1326" t="s">
        <v>69</v>
      </c>
      <c r="I1326" t="s">
        <v>11</v>
      </c>
      <c r="J1326" t="str" cm="1">
        <f t="array" ref="J1326">_xlfn.IFS(I1326="S","Southamptom",I1326="Q","Quentown",I1326="C","Cherbrug",I1326="B","Cabin")</f>
        <v>Southamptom</v>
      </c>
      <c r="K1326" t="s">
        <v>15</v>
      </c>
      <c r="L1326" s="2">
        <v>33</v>
      </c>
      <c r="M1326" s="2" t="str" cm="1">
        <f t="array" ref="M1326">_xlfn.IFS(L1326&lt;=15,"Low Fare",L1326&lt;=35,"Medium Fare",L1326&lt;=100,"High Fare",L1326&gt;=100,"Very High Fare")</f>
        <v>Medium Fare</v>
      </c>
      <c r="N1326" s="2">
        <v>1</v>
      </c>
      <c r="O1326" s="2" t="s">
        <v>30</v>
      </c>
      <c r="P1326" t="e">
        <f t="shared" si="81"/>
        <v>#VALUE!</v>
      </c>
      <c r="Q1326" t="e">
        <f t="shared" si="82"/>
        <v>#VALUE!</v>
      </c>
      <c r="R1326" t="str">
        <f t="shared" si="83"/>
        <v>No</v>
      </c>
      <c r="S1326" t="s">
        <v>13</v>
      </c>
    </row>
    <row r="1327" spans="1:19" hidden="1" x14ac:dyDescent="0.3">
      <c r="A1327" s="1" t="s">
        <v>87</v>
      </c>
      <c r="B1327" t="s">
        <v>1596</v>
      </c>
      <c r="C1327" t="s">
        <v>2038</v>
      </c>
      <c r="D1327" t="str">
        <f t="shared" si="80"/>
        <v>Male</v>
      </c>
      <c r="E1327" t="s">
        <v>9</v>
      </c>
      <c r="F1327" s="2">
        <v>26</v>
      </c>
      <c r="G1327" s="2" t="str" cm="1">
        <f t="array" ref="G1327">_xlfn.IFS(F1327&lt;=8,"Child",F1327&lt;=17,"Teen",F1327&lt;=35,"Adult",F1327&lt;=55,"Seniour Adult",F1327&gt;=55,"Old Age")</f>
        <v>Adult</v>
      </c>
      <c r="H1327" t="s">
        <v>69</v>
      </c>
      <c r="I1327" t="s">
        <v>11</v>
      </c>
      <c r="J1327" t="str" cm="1">
        <f t="array" ref="J1327">_xlfn.IFS(I1327="S","Southamptom",I1327="Q","Quentown",I1327="C","Cherbrug",I1327="B","Cabin")</f>
        <v>Southamptom</v>
      </c>
      <c r="K1327" t="s">
        <v>15</v>
      </c>
      <c r="L1327" s="2">
        <v>33</v>
      </c>
      <c r="M1327" s="2" t="str" cm="1">
        <f t="array" ref="M1327">_xlfn.IFS(L1327&lt;=15,"Low Fare",L1327&lt;=35,"Medium Fare",L1327&lt;=100,"High Fare",L1327&gt;=100,"Very High Fare")</f>
        <v>Medium Fare</v>
      </c>
      <c r="N1327" s="2">
        <v>1</v>
      </c>
      <c r="O1327" s="2" t="s">
        <v>30</v>
      </c>
      <c r="P1327" t="e">
        <f t="shared" si="81"/>
        <v>#VALUE!</v>
      </c>
      <c r="Q1327" t="e">
        <f t="shared" si="82"/>
        <v>#VALUE!</v>
      </c>
      <c r="R1327" t="str">
        <f t="shared" si="83"/>
        <v>No</v>
      </c>
      <c r="S1327" t="s">
        <v>13</v>
      </c>
    </row>
    <row r="1328" spans="1:19" hidden="1" x14ac:dyDescent="0.3">
      <c r="A1328" s="1" t="s">
        <v>87</v>
      </c>
      <c r="B1328" t="s">
        <v>1596</v>
      </c>
      <c r="C1328" t="s">
        <v>1728</v>
      </c>
      <c r="D1328" t="str">
        <f t="shared" si="80"/>
        <v>Male</v>
      </c>
      <c r="E1328" t="s">
        <v>9</v>
      </c>
      <c r="F1328" s="2">
        <v>30</v>
      </c>
      <c r="G1328" s="2" t="str" cm="1">
        <f t="array" ref="G1328">_xlfn.IFS(F1328&lt;=8,"Child",F1328&lt;=17,"Teen",F1328&lt;=35,"Adult",F1328&lt;=55,"Seniour Adult",F1328&gt;=55,"Old Age")</f>
        <v>Adult</v>
      </c>
      <c r="H1328" t="s">
        <v>51</v>
      </c>
      <c r="I1328" t="s">
        <v>11</v>
      </c>
      <c r="J1328" t="str" cm="1">
        <f t="array" ref="J1328">_xlfn.IFS(I1328="S","Southamptom",I1328="Q","Quentown",I1328="C","Cherbrug",I1328="B","Cabin")</f>
        <v>Southamptom</v>
      </c>
      <c r="K1328" t="s">
        <v>15</v>
      </c>
      <c r="L1328" s="2">
        <v>33</v>
      </c>
      <c r="M1328" s="2" t="str" cm="1">
        <f t="array" ref="M1328">_xlfn.IFS(L1328&lt;=15,"Low Fare",L1328&lt;=35,"Medium Fare",L1328&lt;=100,"High Fare",L1328&gt;=100,"Very High Fare")</f>
        <v>Medium Fare</v>
      </c>
      <c r="N1328" s="2">
        <v>1</v>
      </c>
      <c r="O1328" s="2" t="s">
        <v>30</v>
      </c>
      <c r="P1328" t="e">
        <f t="shared" si="81"/>
        <v>#VALUE!</v>
      </c>
      <c r="Q1328" t="e">
        <f t="shared" si="82"/>
        <v>#VALUE!</v>
      </c>
      <c r="R1328" t="str">
        <f t="shared" si="83"/>
        <v>No</v>
      </c>
      <c r="S1328" t="s">
        <v>13</v>
      </c>
    </row>
    <row r="1329" spans="1:19" hidden="1" x14ac:dyDescent="0.3">
      <c r="A1329" s="1" t="s">
        <v>87</v>
      </c>
      <c r="B1329" t="s">
        <v>1596</v>
      </c>
      <c r="C1329" t="s">
        <v>2722</v>
      </c>
      <c r="D1329" t="str">
        <f t="shared" si="80"/>
        <v>Male</v>
      </c>
      <c r="E1329" t="s">
        <v>9</v>
      </c>
      <c r="F1329" s="2">
        <v>36</v>
      </c>
      <c r="G1329" s="2" t="str" cm="1">
        <f t="array" ref="G1329">_xlfn.IFS(F1329&lt;=8,"Child",F1329&lt;=17,"Teen",F1329&lt;=35,"Adult",F1329&lt;=55,"Seniour Adult",F1329&gt;=55,"Old Age")</f>
        <v>Seniour Adult</v>
      </c>
      <c r="H1329" t="s">
        <v>69</v>
      </c>
      <c r="I1329" t="s">
        <v>11</v>
      </c>
      <c r="J1329" t="str" cm="1">
        <f t="array" ref="J1329">_xlfn.IFS(I1329="S","Southamptom",I1329="Q","Quentown",I1329="C","Cherbrug",I1329="B","Cabin")</f>
        <v>Southamptom</v>
      </c>
      <c r="K1329" t="s">
        <v>15</v>
      </c>
      <c r="L1329" s="2">
        <v>33</v>
      </c>
      <c r="M1329" s="2" t="str" cm="1">
        <f t="array" ref="M1329">_xlfn.IFS(L1329&lt;=15,"Low Fare",L1329&lt;=35,"Medium Fare",L1329&lt;=100,"High Fare",L1329&gt;=100,"Very High Fare")</f>
        <v>Medium Fare</v>
      </c>
      <c r="N1329" s="2">
        <v>1</v>
      </c>
      <c r="O1329" s="2" t="s">
        <v>30</v>
      </c>
      <c r="P1329" t="e">
        <f t="shared" si="81"/>
        <v>#VALUE!</v>
      </c>
      <c r="Q1329" t="e">
        <f t="shared" si="82"/>
        <v>#VALUE!</v>
      </c>
      <c r="R1329" t="str">
        <f t="shared" si="83"/>
        <v>No</v>
      </c>
      <c r="S1329" t="s">
        <v>13</v>
      </c>
    </row>
    <row r="1330" spans="1:19" hidden="1" x14ac:dyDescent="0.3">
      <c r="A1330" s="1" t="s">
        <v>975</v>
      </c>
      <c r="B1330" t="s">
        <v>1596</v>
      </c>
      <c r="C1330" t="s">
        <v>2723</v>
      </c>
      <c r="D1330" t="str">
        <f t="shared" si="80"/>
        <v>Male</v>
      </c>
      <c r="E1330" t="s">
        <v>9</v>
      </c>
      <c r="F1330" s="2">
        <v>36</v>
      </c>
      <c r="G1330" s="2" t="str" cm="1">
        <f t="array" ref="G1330">_xlfn.IFS(F1330&lt;=8,"Child",F1330&lt;=17,"Teen",F1330&lt;=35,"Adult",F1330&lt;=55,"Seniour Adult",F1330&gt;=55,"Old Age")</f>
        <v>Seniour Adult</v>
      </c>
      <c r="H1330" t="s">
        <v>51</v>
      </c>
      <c r="I1330" t="s">
        <v>28</v>
      </c>
      <c r="J1330" t="str" cm="1">
        <f t="array" ref="J1330">_xlfn.IFS(I1330="S","Southamptom",I1330="Q","Quentown",I1330="C","Cherbrug",I1330="B","Cabin")</f>
        <v>Cabin</v>
      </c>
      <c r="K1330" t="s">
        <v>15</v>
      </c>
      <c r="L1330" s="2">
        <v>33</v>
      </c>
      <c r="M1330" s="2" t="str" cm="1">
        <f t="array" ref="M1330">_xlfn.IFS(L1330&lt;=15,"Low Fare",L1330&lt;=35,"Medium Fare",L1330&lt;=100,"High Fare",L1330&gt;=100,"Very High Fare")</f>
        <v>Medium Fare</v>
      </c>
      <c r="N1330" s="2">
        <v>1</v>
      </c>
      <c r="O1330" s="2" t="s">
        <v>30</v>
      </c>
      <c r="P1330" t="e">
        <f t="shared" si="81"/>
        <v>#VALUE!</v>
      </c>
      <c r="Q1330" t="e">
        <f t="shared" si="82"/>
        <v>#VALUE!</v>
      </c>
      <c r="R1330" t="str">
        <f t="shared" si="83"/>
        <v>No</v>
      </c>
      <c r="S1330" t="s">
        <v>13</v>
      </c>
    </row>
    <row r="1331" spans="1:19" hidden="1" x14ac:dyDescent="0.3">
      <c r="A1331" s="1" t="s">
        <v>975</v>
      </c>
      <c r="B1331" t="s">
        <v>1596</v>
      </c>
      <c r="C1331" t="s">
        <v>2724</v>
      </c>
      <c r="D1331" t="str">
        <f t="shared" si="80"/>
        <v>Male</v>
      </c>
      <c r="E1331" t="s">
        <v>9</v>
      </c>
      <c r="F1331" s="2">
        <v>41</v>
      </c>
      <c r="G1331" s="2" t="str" cm="1">
        <f t="array" ref="G1331">_xlfn.IFS(F1331&lt;=8,"Child",F1331&lt;=17,"Teen",F1331&lt;=35,"Adult",F1331&lt;=55,"Seniour Adult",F1331&gt;=55,"Old Age")</f>
        <v>Seniour Adult</v>
      </c>
      <c r="H1331" t="s">
        <v>69</v>
      </c>
      <c r="I1331" t="s">
        <v>28</v>
      </c>
      <c r="J1331" t="str" cm="1">
        <f t="array" ref="J1331">_xlfn.IFS(I1331="S","Southamptom",I1331="Q","Quentown",I1331="C","Cherbrug",I1331="B","Cabin")</f>
        <v>Cabin</v>
      </c>
      <c r="K1331" t="s">
        <v>15</v>
      </c>
      <c r="L1331" s="2">
        <v>33</v>
      </c>
      <c r="M1331" s="2" t="str" cm="1">
        <f t="array" ref="M1331">_xlfn.IFS(L1331&lt;=15,"Low Fare",L1331&lt;=35,"Medium Fare",L1331&lt;=100,"High Fare",L1331&gt;=100,"Very High Fare")</f>
        <v>Medium Fare</v>
      </c>
      <c r="N1331" s="2">
        <v>1</v>
      </c>
      <c r="O1331" s="2" t="s">
        <v>30</v>
      </c>
      <c r="P1331" t="e">
        <f t="shared" si="81"/>
        <v>#VALUE!</v>
      </c>
      <c r="Q1331" t="e">
        <f t="shared" si="82"/>
        <v>#VALUE!</v>
      </c>
      <c r="R1331" t="str">
        <f t="shared" si="83"/>
        <v>No</v>
      </c>
      <c r="S1331" t="s">
        <v>13</v>
      </c>
    </row>
    <row r="1332" spans="1:19" hidden="1" x14ac:dyDescent="0.3">
      <c r="A1332" s="1" t="s">
        <v>93</v>
      </c>
      <c r="B1332" t="s">
        <v>1596</v>
      </c>
      <c r="C1332" t="s">
        <v>1965</v>
      </c>
      <c r="D1332" t="str">
        <f t="shared" si="80"/>
        <v>Male</v>
      </c>
      <c r="E1332" t="s">
        <v>9</v>
      </c>
      <c r="F1332" s="2">
        <v>40</v>
      </c>
      <c r="G1332" s="2" t="str" cm="1">
        <f t="array" ref="G1332">_xlfn.IFS(F1332&lt;=8,"Child",F1332&lt;=17,"Teen",F1332&lt;=35,"Adult",F1332&lt;=55,"Seniour Adult",F1332&gt;=55,"Old Age")</f>
        <v>Seniour Adult</v>
      </c>
      <c r="H1332" t="s">
        <v>71</v>
      </c>
      <c r="I1332" t="s">
        <v>11</v>
      </c>
      <c r="J1332" t="str" cm="1">
        <f t="array" ref="J1332">_xlfn.IFS(I1332="S","Southamptom",I1332="Q","Quentown",I1332="C","Cherbrug",I1332="B","Cabin")</f>
        <v>Southamptom</v>
      </c>
      <c r="K1332" t="s">
        <v>15</v>
      </c>
      <c r="L1332" s="2">
        <v>33</v>
      </c>
      <c r="M1332" s="2" t="str" cm="1">
        <f t="array" ref="M1332">_xlfn.IFS(L1332&lt;=15,"Low Fare",L1332&lt;=35,"Medium Fare",L1332&lt;=100,"High Fare",L1332&gt;=100,"Very High Fare")</f>
        <v>Medium Fare</v>
      </c>
      <c r="N1332" s="2">
        <v>1</v>
      </c>
      <c r="O1332" s="2" t="s">
        <v>30</v>
      </c>
      <c r="P1332" t="e">
        <f t="shared" si="81"/>
        <v>#VALUE!</v>
      </c>
      <c r="Q1332" t="e">
        <f t="shared" si="82"/>
        <v>#VALUE!</v>
      </c>
      <c r="R1332" t="str">
        <f t="shared" si="83"/>
        <v>Yes</v>
      </c>
      <c r="S1332" t="s">
        <v>16</v>
      </c>
    </row>
    <row r="1333" spans="1:19" hidden="1" x14ac:dyDescent="0.3">
      <c r="A1333" s="1" t="s">
        <v>93</v>
      </c>
      <c r="B1333" t="s">
        <v>1596</v>
      </c>
      <c r="C1333" t="s">
        <v>2725</v>
      </c>
      <c r="D1333" t="str">
        <f t="shared" si="80"/>
        <v>Male</v>
      </c>
      <c r="E1333" t="s">
        <v>9</v>
      </c>
      <c r="F1333" s="2">
        <v>48</v>
      </c>
      <c r="G1333" s="2" t="str" cm="1">
        <f t="array" ref="G1333">_xlfn.IFS(F1333&lt;=8,"Child",F1333&lt;=17,"Teen",F1333&lt;=35,"Adult",F1333&lt;=55,"Seniour Adult",F1333&gt;=55,"Old Age")</f>
        <v>Seniour Adult</v>
      </c>
      <c r="H1333" t="s">
        <v>69</v>
      </c>
      <c r="I1333" t="s">
        <v>11</v>
      </c>
      <c r="J1333" t="str" cm="1">
        <f t="array" ref="J1333">_xlfn.IFS(I1333="S","Southamptom",I1333="Q","Quentown",I1333="C","Cherbrug",I1333="B","Cabin")</f>
        <v>Southamptom</v>
      </c>
      <c r="K1333" t="s">
        <v>15</v>
      </c>
      <c r="L1333" s="2">
        <v>33</v>
      </c>
      <c r="M1333" s="2" t="str" cm="1">
        <f t="array" ref="M1333">_xlfn.IFS(L1333&lt;=15,"Low Fare",L1333&lt;=35,"Medium Fare",L1333&lt;=100,"High Fare",L1333&gt;=100,"Very High Fare")</f>
        <v>Medium Fare</v>
      </c>
      <c r="N1333" s="2">
        <v>1</v>
      </c>
      <c r="O1333" s="2" t="s">
        <v>30</v>
      </c>
      <c r="P1333" t="e">
        <f t="shared" si="81"/>
        <v>#VALUE!</v>
      </c>
      <c r="Q1333" t="e">
        <f t="shared" si="82"/>
        <v>#VALUE!</v>
      </c>
      <c r="R1333" t="str">
        <f t="shared" si="83"/>
        <v>No</v>
      </c>
      <c r="S1333" t="s">
        <v>13</v>
      </c>
    </row>
    <row r="1334" spans="1:19" hidden="1" x14ac:dyDescent="0.3">
      <c r="A1334" s="1" t="s">
        <v>97</v>
      </c>
      <c r="B1334" t="s">
        <v>1596</v>
      </c>
      <c r="C1334" t="s">
        <v>1884</v>
      </c>
      <c r="D1334" t="str">
        <f t="shared" si="80"/>
        <v>Male</v>
      </c>
      <c r="E1334" t="s">
        <v>9</v>
      </c>
      <c r="F1334" s="2">
        <v>19</v>
      </c>
      <c r="G1334" s="2" t="str" cm="1">
        <f t="array" ref="G1334">_xlfn.IFS(F1334&lt;=8,"Child",F1334&lt;=17,"Teen",F1334&lt;=35,"Adult",F1334&lt;=55,"Seniour Adult",F1334&gt;=55,"Old Age")</f>
        <v>Adult</v>
      </c>
      <c r="H1334" t="s">
        <v>69</v>
      </c>
      <c r="I1334" t="s">
        <v>11</v>
      </c>
      <c r="J1334" t="str" cm="1">
        <f t="array" ref="J1334">_xlfn.IFS(I1334="S","Southamptom",I1334="Q","Quentown",I1334="C","Cherbrug",I1334="B","Cabin")</f>
        <v>Southamptom</v>
      </c>
      <c r="K1334" t="s">
        <v>15</v>
      </c>
      <c r="L1334" s="2">
        <v>33</v>
      </c>
      <c r="M1334" s="2" t="str" cm="1">
        <f t="array" ref="M1334">_xlfn.IFS(L1334&lt;=15,"Low Fare",L1334&lt;=35,"Medium Fare",L1334&lt;=100,"High Fare",L1334&gt;=100,"Very High Fare")</f>
        <v>Medium Fare</v>
      </c>
      <c r="N1334" s="2">
        <v>1</v>
      </c>
      <c r="O1334" s="2" t="s">
        <v>30</v>
      </c>
      <c r="P1334" t="e">
        <f t="shared" si="81"/>
        <v>#VALUE!</v>
      </c>
      <c r="Q1334" t="e">
        <f t="shared" si="82"/>
        <v>#VALUE!</v>
      </c>
      <c r="R1334" t="str">
        <f t="shared" si="83"/>
        <v>Yes</v>
      </c>
      <c r="S1334" t="s">
        <v>16</v>
      </c>
    </row>
    <row r="1335" spans="1:19" hidden="1" x14ac:dyDescent="0.3">
      <c r="A1335" s="1" t="s">
        <v>976</v>
      </c>
      <c r="B1335" t="s">
        <v>1596</v>
      </c>
      <c r="C1335" t="s">
        <v>2726</v>
      </c>
      <c r="D1335" t="str">
        <f t="shared" si="80"/>
        <v>Male</v>
      </c>
      <c r="E1335" t="s">
        <v>9</v>
      </c>
      <c r="F1335" s="2">
        <v>35</v>
      </c>
      <c r="G1335" s="2" t="str" cm="1">
        <f t="array" ref="G1335">_xlfn.IFS(F1335&lt;=8,"Child",F1335&lt;=17,"Teen",F1335&lt;=35,"Adult",F1335&lt;=55,"Seniour Adult",F1335&gt;=55,"Old Age")</f>
        <v>Adult</v>
      </c>
      <c r="H1335" t="s">
        <v>71</v>
      </c>
      <c r="I1335" t="s">
        <v>11</v>
      </c>
      <c r="J1335" t="str" cm="1">
        <f t="array" ref="J1335">_xlfn.IFS(I1335="S","Southamptom",I1335="Q","Quentown",I1335="C","Cherbrug",I1335="B","Cabin")</f>
        <v>Southamptom</v>
      </c>
      <c r="K1335" t="s">
        <v>15</v>
      </c>
      <c r="L1335" s="2">
        <v>33</v>
      </c>
      <c r="M1335" s="2" t="str" cm="1">
        <f t="array" ref="M1335">_xlfn.IFS(L1335&lt;=15,"Low Fare",L1335&lt;=35,"Medium Fare",L1335&lt;=100,"High Fare",L1335&gt;=100,"Very High Fare")</f>
        <v>Medium Fare</v>
      </c>
      <c r="N1335" s="2">
        <v>1</v>
      </c>
      <c r="O1335" s="2" t="s">
        <v>30</v>
      </c>
      <c r="P1335" t="e">
        <f t="shared" si="81"/>
        <v>#VALUE!</v>
      </c>
      <c r="Q1335" t="e">
        <f t="shared" si="82"/>
        <v>#VALUE!</v>
      </c>
      <c r="R1335" t="str">
        <f t="shared" si="83"/>
        <v>Yes</v>
      </c>
      <c r="S1335" t="s">
        <v>16</v>
      </c>
    </row>
    <row r="1336" spans="1:19" hidden="1" x14ac:dyDescent="0.3">
      <c r="A1336" s="1" t="s">
        <v>977</v>
      </c>
      <c r="B1336" t="s">
        <v>1596</v>
      </c>
      <c r="C1336" t="s">
        <v>2727</v>
      </c>
      <c r="D1336" t="str">
        <f t="shared" si="80"/>
        <v>Male</v>
      </c>
      <c r="E1336" t="s">
        <v>9</v>
      </c>
      <c r="F1336" s="2">
        <v>26</v>
      </c>
      <c r="G1336" s="2" t="str" cm="1">
        <f t="array" ref="G1336">_xlfn.IFS(F1336&lt;=8,"Child",F1336&lt;=17,"Teen",F1336&lt;=35,"Adult",F1336&lt;=55,"Seniour Adult",F1336&gt;=55,"Old Age")</f>
        <v>Adult</v>
      </c>
      <c r="H1336" t="s">
        <v>69</v>
      </c>
      <c r="I1336" t="s">
        <v>11</v>
      </c>
      <c r="J1336" t="str" cm="1">
        <f t="array" ref="J1336">_xlfn.IFS(I1336="S","Southamptom",I1336="Q","Quentown",I1336="C","Cherbrug",I1336="B","Cabin")</f>
        <v>Southamptom</v>
      </c>
      <c r="K1336" t="s">
        <v>15</v>
      </c>
      <c r="L1336" s="2">
        <v>33</v>
      </c>
      <c r="M1336" s="2" t="str" cm="1">
        <f t="array" ref="M1336">_xlfn.IFS(L1336&lt;=15,"Low Fare",L1336&lt;=35,"Medium Fare",L1336&lt;=100,"High Fare",L1336&gt;=100,"Very High Fare")</f>
        <v>Medium Fare</v>
      </c>
      <c r="N1336" s="2">
        <v>1</v>
      </c>
      <c r="O1336" s="2" t="s">
        <v>30</v>
      </c>
      <c r="P1336" t="e">
        <f t="shared" si="81"/>
        <v>#VALUE!</v>
      </c>
      <c r="Q1336" t="e">
        <f t="shared" si="82"/>
        <v>#VALUE!</v>
      </c>
      <c r="R1336" t="str">
        <f t="shared" si="83"/>
        <v>No</v>
      </c>
      <c r="S1336" t="s">
        <v>13</v>
      </c>
    </row>
    <row r="1337" spans="1:19" hidden="1" x14ac:dyDescent="0.3">
      <c r="A1337" s="1" t="s">
        <v>978</v>
      </c>
      <c r="B1337" t="s">
        <v>1596</v>
      </c>
      <c r="C1337" t="s">
        <v>2728</v>
      </c>
      <c r="D1337" t="str">
        <f t="shared" si="80"/>
        <v>Male</v>
      </c>
      <c r="E1337" t="s">
        <v>9</v>
      </c>
      <c r="F1337" s="2">
        <v>41</v>
      </c>
      <c r="G1337" s="2" t="str" cm="1">
        <f t="array" ref="G1337">_xlfn.IFS(F1337&lt;=8,"Child",F1337&lt;=17,"Teen",F1337&lt;=35,"Adult",F1337&lt;=55,"Seniour Adult",F1337&gt;=55,"Old Age")</f>
        <v>Seniour Adult</v>
      </c>
      <c r="H1337" t="s">
        <v>69</v>
      </c>
      <c r="I1337" t="s">
        <v>11</v>
      </c>
      <c r="J1337" t="str" cm="1">
        <f t="array" ref="J1337">_xlfn.IFS(I1337="S","Southamptom",I1337="Q","Quentown",I1337="C","Cherbrug",I1337="B","Cabin")</f>
        <v>Southamptom</v>
      </c>
      <c r="K1337" t="s">
        <v>37</v>
      </c>
      <c r="L1337" s="2">
        <v>33</v>
      </c>
      <c r="M1337" s="2" t="str" cm="1">
        <f t="array" ref="M1337">_xlfn.IFS(L1337&lt;=15,"Low Fare",L1337&lt;=35,"Medium Fare",L1337&lt;=100,"High Fare",L1337&gt;=100,"Very High Fare")</f>
        <v>Medium Fare</v>
      </c>
      <c r="N1337" s="2">
        <v>1</v>
      </c>
      <c r="O1337" s="2" t="s">
        <v>30</v>
      </c>
      <c r="P1337" t="e">
        <f t="shared" si="81"/>
        <v>#VALUE!</v>
      </c>
      <c r="Q1337" t="e">
        <f t="shared" si="82"/>
        <v>#VALUE!</v>
      </c>
      <c r="R1337" t="str">
        <f t="shared" si="83"/>
        <v>No</v>
      </c>
      <c r="S1337" t="s">
        <v>13</v>
      </c>
    </row>
    <row r="1338" spans="1:19" hidden="1" x14ac:dyDescent="0.3">
      <c r="A1338" s="1" t="s">
        <v>979</v>
      </c>
      <c r="B1338" t="s">
        <v>1596</v>
      </c>
      <c r="C1338" t="s">
        <v>2729</v>
      </c>
      <c r="D1338" t="str">
        <f t="shared" si="80"/>
        <v>Male</v>
      </c>
      <c r="E1338" t="s">
        <v>9</v>
      </c>
      <c r="F1338" s="2">
        <v>26</v>
      </c>
      <c r="G1338" s="2" t="str" cm="1">
        <f t="array" ref="G1338">_xlfn.IFS(F1338&lt;=8,"Child",F1338&lt;=17,"Teen",F1338&lt;=35,"Adult",F1338&lt;=55,"Seniour Adult",F1338&gt;=55,"Old Age")</f>
        <v>Adult</v>
      </c>
      <c r="H1338" t="s">
        <v>70</v>
      </c>
      <c r="I1338" t="s">
        <v>11</v>
      </c>
      <c r="J1338" t="str" cm="1">
        <f t="array" ref="J1338">_xlfn.IFS(I1338="S","Southamptom",I1338="Q","Quentown",I1338="C","Cherbrug",I1338="B","Cabin")</f>
        <v>Southamptom</v>
      </c>
      <c r="K1338" t="s">
        <v>15</v>
      </c>
      <c r="L1338" s="2">
        <v>33</v>
      </c>
      <c r="M1338" s="2" t="str" cm="1">
        <f t="array" ref="M1338">_xlfn.IFS(L1338&lt;=15,"Low Fare",L1338&lt;=35,"Medium Fare",L1338&lt;=100,"High Fare",L1338&gt;=100,"Very High Fare")</f>
        <v>Medium Fare</v>
      </c>
      <c r="N1338" s="2">
        <v>1</v>
      </c>
      <c r="O1338" s="2" t="s">
        <v>30</v>
      </c>
      <c r="P1338" t="e">
        <f t="shared" si="81"/>
        <v>#VALUE!</v>
      </c>
      <c r="Q1338" t="e">
        <f t="shared" si="82"/>
        <v>#VALUE!</v>
      </c>
      <c r="R1338" t="str">
        <f t="shared" si="83"/>
        <v>No</v>
      </c>
      <c r="S1338" t="s">
        <v>13</v>
      </c>
    </row>
    <row r="1339" spans="1:19" hidden="1" x14ac:dyDescent="0.3">
      <c r="A1339" s="1" t="s">
        <v>980</v>
      </c>
      <c r="B1339" t="s">
        <v>1596</v>
      </c>
      <c r="C1339" t="s">
        <v>2730</v>
      </c>
      <c r="D1339" t="str">
        <f t="shared" si="80"/>
        <v>Male</v>
      </c>
      <c r="E1339" t="s">
        <v>9</v>
      </c>
      <c r="F1339" s="2">
        <v>21</v>
      </c>
      <c r="G1339" s="2" t="str" cm="1">
        <f t="array" ref="G1339">_xlfn.IFS(F1339&lt;=8,"Child",F1339&lt;=17,"Teen",F1339&lt;=35,"Adult",F1339&lt;=55,"Seniour Adult",F1339&gt;=55,"Old Age")</f>
        <v>Adult</v>
      </c>
      <c r="H1339" t="s">
        <v>51</v>
      </c>
      <c r="I1339" t="s">
        <v>11</v>
      </c>
      <c r="J1339" t="str" cm="1">
        <f t="array" ref="J1339">_xlfn.IFS(I1339="S","Southamptom",I1339="Q","Quentown",I1339="C","Cherbrug",I1339="B","Cabin")</f>
        <v>Southamptom</v>
      </c>
      <c r="K1339" t="s">
        <v>15</v>
      </c>
      <c r="L1339" s="2">
        <v>33</v>
      </c>
      <c r="M1339" s="2" t="str" cm="1">
        <f t="array" ref="M1339">_xlfn.IFS(L1339&lt;=15,"Low Fare",L1339&lt;=35,"Medium Fare",L1339&lt;=100,"High Fare",L1339&gt;=100,"Very High Fare")</f>
        <v>Medium Fare</v>
      </c>
      <c r="N1339" s="2">
        <v>1</v>
      </c>
      <c r="O1339" s="2" t="s">
        <v>30</v>
      </c>
      <c r="P1339" t="e">
        <f t="shared" si="81"/>
        <v>#VALUE!</v>
      </c>
      <c r="Q1339" t="e">
        <f t="shared" si="82"/>
        <v>#VALUE!</v>
      </c>
      <c r="R1339" t="str">
        <f t="shared" si="83"/>
        <v>Yes</v>
      </c>
      <c r="S1339" t="s">
        <v>16</v>
      </c>
    </row>
    <row r="1340" spans="1:19" hidden="1" x14ac:dyDescent="0.3">
      <c r="A1340" s="1" t="s">
        <v>981</v>
      </c>
      <c r="B1340" t="s">
        <v>1596</v>
      </c>
      <c r="C1340" t="s">
        <v>2731</v>
      </c>
      <c r="D1340" t="str">
        <f t="shared" si="80"/>
        <v>Male</v>
      </c>
      <c r="E1340" t="s">
        <v>9</v>
      </c>
      <c r="F1340" s="2">
        <v>23</v>
      </c>
      <c r="G1340" s="2" t="str" cm="1">
        <f t="array" ref="G1340">_xlfn.IFS(F1340&lt;=8,"Child",F1340&lt;=17,"Teen",F1340&lt;=35,"Adult",F1340&lt;=55,"Seniour Adult",F1340&gt;=55,"Old Age")</f>
        <v>Adult</v>
      </c>
      <c r="H1340" t="s">
        <v>69</v>
      </c>
      <c r="I1340" t="s">
        <v>11</v>
      </c>
      <c r="J1340" t="str" cm="1">
        <f t="array" ref="J1340">_xlfn.IFS(I1340="S","Southamptom",I1340="Q","Quentown",I1340="C","Cherbrug",I1340="B","Cabin")</f>
        <v>Southamptom</v>
      </c>
      <c r="K1340" t="s">
        <v>15</v>
      </c>
      <c r="L1340" s="2">
        <v>33</v>
      </c>
      <c r="M1340" s="2" t="str" cm="1">
        <f t="array" ref="M1340">_xlfn.IFS(L1340&lt;=15,"Low Fare",L1340&lt;=35,"Medium Fare",L1340&lt;=100,"High Fare",L1340&gt;=100,"Very High Fare")</f>
        <v>Medium Fare</v>
      </c>
      <c r="N1340" s="2">
        <v>1</v>
      </c>
      <c r="O1340" s="2" t="s">
        <v>30</v>
      </c>
      <c r="P1340" t="e">
        <f t="shared" si="81"/>
        <v>#VALUE!</v>
      </c>
      <c r="Q1340" t="e">
        <f t="shared" si="82"/>
        <v>#VALUE!</v>
      </c>
      <c r="R1340" t="str">
        <f t="shared" si="83"/>
        <v>No</v>
      </c>
      <c r="S1340" t="s">
        <v>13</v>
      </c>
    </row>
    <row r="1341" spans="1:19" hidden="1" x14ac:dyDescent="0.3">
      <c r="A1341" s="1" t="s">
        <v>982</v>
      </c>
      <c r="B1341" t="s">
        <v>1596</v>
      </c>
      <c r="C1341" t="s">
        <v>2732</v>
      </c>
      <c r="D1341" t="str">
        <f t="shared" si="80"/>
        <v>Male</v>
      </c>
      <c r="E1341" t="s">
        <v>9</v>
      </c>
      <c r="F1341" s="2">
        <v>37</v>
      </c>
      <c r="G1341" s="2" t="str" cm="1">
        <f t="array" ref="G1341">_xlfn.IFS(F1341&lt;=8,"Child",F1341&lt;=17,"Teen",F1341&lt;=35,"Adult",F1341&lt;=55,"Seniour Adult",F1341&gt;=55,"Old Age")</f>
        <v>Seniour Adult</v>
      </c>
      <c r="H1341" t="s">
        <v>69</v>
      </c>
      <c r="I1341" t="s">
        <v>28</v>
      </c>
      <c r="J1341" t="str" cm="1">
        <f t="array" ref="J1341">_xlfn.IFS(I1341="S","Southamptom",I1341="Q","Quentown",I1341="C","Cherbrug",I1341="B","Cabin")</f>
        <v>Cabin</v>
      </c>
      <c r="K1341" t="s">
        <v>15</v>
      </c>
      <c r="L1341" s="2">
        <v>33</v>
      </c>
      <c r="M1341" s="2" t="str" cm="1">
        <f t="array" ref="M1341">_xlfn.IFS(L1341&lt;=15,"Low Fare",L1341&lt;=35,"Medium Fare",L1341&lt;=100,"High Fare",L1341&gt;=100,"Very High Fare")</f>
        <v>Medium Fare</v>
      </c>
      <c r="N1341" s="2">
        <v>1</v>
      </c>
      <c r="O1341" s="2" t="s">
        <v>30</v>
      </c>
      <c r="P1341" t="e">
        <f t="shared" si="81"/>
        <v>#VALUE!</v>
      </c>
      <c r="Q1341" t="e">
        <f t="shared" si="82"/>
        <v>#VALUE!</v>
      </c>
      <c r="R1341" t="str">
        <f t="shared" si="83"/>
        <v>No</v>
      </c>
      <c r="S1341" t="s">
        <v>13</v>
      </c>
    </row>
    <row r="1342" spans="1:19" hidden="1" x14ac:dyDescent="0.3">
      <c r="A1342" s="1" t="s">
        <v>983</v>
      </c>
      <c r="B1342" t="s">
        <v>1596</v>
      </c>
      <c r="C1342" t="s">
        <v>2733</v>
      </c>
      <c r="D1342" t="str">
        <f t="shared" si="80"/>
        <v>Male</v>
      </c>
      <c r="E1342" t="s">
        <v>9</v>
      </c>
      <c r="F1342" s="2">
        <v>28</v>
      </c>
      <c r="G1342" s="2" t="str" cm="1">
        <f t="array" ref="G1342">_xlfn.IFS(F1342&lt;=8,"Child",F1342&lt;=17,"Teen",F1342&lt;=35,"Adult",F1342&lt;=55,"Seniour Adult",F1342&gt;=55,"Old Age")</f>
        <v>Adult</v>
      </c>
      <c r="H1342" t="s">
        <v>69</v>
      </c>
      <c r="I1342" t="s">
        <v>11</v>
      </c>
      <c r="J1342" t="str" cm="1">
        <f t="array" ref="J1342">_xlfn.IFS(I1342="S","Southamptom",I1342="Q","Quentown",I1342="C","Cherbrug",I1342="B","Cabin")</f>
        <v>Southamptom</v>
      </c>
      <c r="K1342" t="s">
        <v>15</v>
      </c>
      <c r="L1342" s="2">
        <v>33</v>
      </c>
      <c r="M1342" s="2" t="str" cm="1">
        <f t="array" ref="M1342">_xlfn.IFS(L1342&lt;=15,"Low Fare",L1342&lt;=35,"Medium Fare",L1342&lt;=100,"High Fare",L1342&gt;=100,"Very High Fare")</f>
        <v>Medium Fare</v>
      </c>
      <c r="N1342" s="2">
        <v>1</v>
      </c>
      <c r="O1342" s="2" t="s">
        <v>30</v>
      </c>
      <c r="P1342" t="e">
        <f t="shared" si="81"/>
        <v>#VALUE!</v>
      </c>
      <c r="Q1342" t="e">
        <f t="shared" si="82"/>
        <v>#VALUE!</v>
      </c>
      <c r="R1342" t="str">
        <f t="shared" si="83"/>
        <v>Yes</v>
      </c>
      <c r="S1342" t="s">
        <v>16</v>
      </c>
    </row>
    <row r="1343" spans="1:19" hidden="1" x14ac:dyDescent="0.3">
      <c r="A1343" s="1" t="s">
        <v>984</v>
      </c>
      <c r="B1343" t="s">
        <v>1596</v>
      </c>
      <c r="C1343" t="s">
        <v>2677</v>
      </c>
      <c r="D1343" t="str">
        <f t="shared" si="80"/>
        <v>Male</v>
      </c>
      <c r="E1343" t="s">
        <v>9</v>
      </c>
      <c r="F1343" s="2">
        <v>33</v>
      </c>
      <c r="G1343" s="2" t="str" cm="1">
        <f t="array" ref="G1343">_xlfn.IFS(F1343&lt;=8,"Child",F1343&lt;=17,"Teen",F1343&lt;=35,"Adult",F1343&lt;=55,"Seniour Adult",F1343&gt;=55,"Old Age")</f>
        <v>Adult</v>
      </c>
      <c r="H1343" t="s">
        <v>69</v>
      </c>
      <c r="I1343" t="s">
        <v>11</v>
      </c>
      <c r="J1343" t="str" cm="1">
        <f t="array" ref="J1343">_xlfn.IFS(I1343="S","Southamptom",I1343="Q","Quentown",I1343="C","Cherbrug",I1343="B","Cabin")</f>
        <v>Southamptom</v>
      </c>
      <c r="K1343" t="s">
        <v>15</v>
      </c>
      <c r="L1343" s="2">
        <v>33</v>
      </c>
      <c r="M1343" s="2" t="str" cm="1">
        <f t="array" ref="M1343">_xlfn.IFS(L1343&lt;=15,"Low Fare",L1343&lt;=35,"Medium Fare",L1343&lt;=100,"High Fare",L1343&gt;=100,"Very High Fare")</f>
        <v>Medium Fare</v>
      </c>
      <c r="N1343" s="2">
        <v>1</v>
      </c>
      <c r="O1343" s="2" t="s">
        <v>30</v>
      </c>
      <c r="P1343" t="e">
        <f t="shared" si="81"/>
        <v>#VALUE!</v>
      </c>
      <c r="Q1343" t="e">
        <f t="shared" si="82"/>
        <v>#VALUE!</v>
      </c>
      <c r="R1343" t="str">
        <f t="shared" si="83"/>
        <v>No</v>
      </c>
      <c r="S1343" t="s">
        <v>13</v>
      </c>
    </row>
    <row r="1344" spans="1:19" hidden="1" x14ac:dyDescent="0.3">
      <c r="A1344" s="1" t="s">
        <v>119</v>
      </c>
      <c r="B1344" t="s">
        <v>1596</v>
      </c>
      <c r="C1344" t="s">
        <v>2734</v>
      </c>
      <c r="D1344" t="str">
        <f t="shared" si="80"/>
        <v>Male</v>
      </c>
      <c r="E1344" t="s">
        <v>9</v>
      </c>
      <c r="F1344" s="2">
        <v>36</v>
      </c>
      <c r="G1344" s="2" t="str" cm="1">
        <f t="array" ref="G1344">_xlfn.IFS(F1344&lt;=8,"Child",F1344&lt;=17,"Teen",F1344&lt;=35,"Adult",F1344&lt;=55,"Seniour Adult",F1344&gt;=55,"Old Age")</f>
        <v>Seniour Adult</v>
      </c>
      <c r="H1344" t="s">
        <v>69</v>
      </c>
      <c r="I1344" t="s">
        <v>28</v>
      </c>
      <c r="J1344" t="str" cm="1">
        <f t="array" ref="J1344">_xlfn.IFS(I1344="S","Southamptom",I1344="Q","Quentown",I1344="C","Cherbrug",I1344="B","Cabin")</f>
        <v>Cabin</v>
      </c>
      <c r="K1344" t="s">
        <v>15</v>
      </c>
      <c r="L1344" s="2">
        <v>33</v>
      </c>
      <c r="M1344" s="2" t="str" cm="1">
        <f t="array" ref="M1344">_xlfn.IFS(L1344&lt;=15,"Low Fare",L1344&lt;=35,"Medium Fare",L1344&lt;=100,"High Fare",L1344&gt;=100,"Very High Fare")</f>
        <v>Medium Fare</v>
      </c>
      <c r="N1344" s="2">
        <v>1</v>
      </c>
      <c r="O1344" s="2" t="s">
        <v>30</v>
      </c>
      <c r="P1344" t="e">
        <f t="shared" si="81"/>
        <v>#VALUE!</v>
      </c>
      <c r="Q1344" t="e">
        <f t="shared" si="82"/>
        <v>#VALUE!</v>
      </c>
      <c r="R1344" t="str">
        <f t="shared" si="83"/>
        <v>No</v>
      </c>
      <c r="S1344" t="s">
        <v>13</v>
      </c>
    </row>
    <row r="1345" spans="1:19" hidden="1" x14ac:dyDescent="0.3">
      <c r="A1345" s="1" t="s">
        <v>119</v>
      </c>
      <c r="B1345" t="s">
        <v>1596</v>
      </c>
      <c r="C1345" t="s">
        <v>2735</v>
      </c>
      <c r="D1345" t="str">
        <f t="shared" si="80"/>
        <v>Male</v>
      </c>
      <c r="E1345" t="s">
        <v>9</v>
      </c>
      <c r="F1345" s="2">
        <v>46</v>
      </c>
      <c r="G1345" s="2" t="str" cm="1">
        <f t="array" ref="G1345">_xlfn.IFS(F1345&lt;=8,"Child",F1345&lt;=17,"Teen",F1345&lt;=35,"Adult",F1345&lt;=55,"Seniour Adult",F1345&gt;=55,"Old Age")</f>
        <v>Seniour Adult</v>
      </c>
      <c r="H1345" t="s">
        <v>51</v>
      </c>
      <c r="I1345" t="s">
        <v>11</v>
      </c>
      <c r="J1345" t="str" cm="1">
        <f t="array" ref="J1345">_xlfn.IFS(I1345="S","Southamptom",I1345="Q","Quentown",I1345="C","Cherbrug",I1345="B","Cabin")</f>
        <v>Southamptom</v>
      </c>
      <c r="K1345" t="s">
        <v>40</v>
      </c>
      <c r="L1345" s="2">
        <v>33</v>
      </c>
      <c r="M1345" s="2" t="str" cm="1">
        <f t="array" ref="M1345">_xlfn.IFS(L1345&lt;=15,"Low Fare",L1345&lt;=35,"Medium Fare",L1345&lt;=100,"High Fare",L1345&gt;=100,"Very High Fare")</f>
        <v>Medium Fare</v>
      </c>
      <c r="N1345" s="2">
        <v>1</v>
      </c>
      <c r="O1345" s="2" t="s">
        <v>30</v>
      </c>
      <c r="P1345" t="e">
        <f t="shared" si="81"/>
        <v>#VALUE!</v>
      </c>
      <c r="Q1345" t="e">
        <f t="shared" si="82"/>
        <v>#VALUE!</v>
      </c>
      <c r="R1345" t="str">
        <f t="shared" si="83"/>
        <v>No</v>
      </c>
      <c r="S1345" t="s">
        <v>13</v>
      </c>
    </row>
    <row r="1346" spans="1:19" hidden="1" x14ac:dyDescent="0.3">
      <c r="A1346" s="1" t="s">
        <v>119</v>
      </c>
      <c r="B1346" t="s">
        <v>1596</v>
      </c>
      <c r="C1346" t="s">
        <v>2736</v>
      </c>
      <c r="D1346" t="str">
        <f t="shared" si="80"/>
        <v>Male</v>
      </c>
      <c r="E1346" t="s">
        <v>9</v>
      </c>
      <c r="F1346" s="2">
        <v>46</v>
      </c>
      <c r="G1346" s="2" t="str" cm="1">
        <f t="array" ref="G1346">_xlfn.IFS(F1346&lt;=8,"Child",F1346&lt;=17,"Teen",F1346&lt;=35,"Adult",F1346&lt;=55,"Seniour Adult",F1346&gt;=55,"Old Age")</f>
        <v>Seniour Adult</v>
      </c>
      <c r="H1346" t="s">
        <v>71</v>
      </c>
      <c r="I1346" t="s">
        <v>11</v>
      </c>
      <c r="J1346" t="str" cm="1">
        <f t="array" ref="J1346">_xlfn.IFS(I1346="S","Southamptom",I1346="Q","Quentown",I1346="C","Cherbrug",I1346="B","Cabin")</f>
        <v>Southamptom</v>
      </c>
      <c r="K1346" t="s">
        <v>15</v>
      </c>
      <c r="L1346" s="2">
        <v>33</v>
      </c>
      <c r="M1346" s="2" t="str" cm="1">
        <f t="array" ref="M1346">_xlfn.IFS(L1346&lt;=15,"Low Fare",L1346&lt;=35,"Medium Fare",L1346&lt;=100,"High Fare",L1346&gt;=100,"Very High Fare")</f>
        <v>Medium Fare</v>
      </c>
      <c r="N1346" s="2">
        <v>1</v>
      </c>
      <c r="O1346" s="2" t="s">
        <v>30</v>
      </c>
      <c r="P1346" t="e">
        <f t="shared" si="81"/>
        <v>#VALUE!</v>
      </c>
      <c r="Q1346" t="e">
        <f t="shared" si="82"/>
        <v>#VALUE!</v>
      </c>
      <c r="R1346" t="str">
        <f t="shared" si="83"/>
        <v>Yes</v>
      </c>
      <c r="S1346" t="s">
        <v>16</v>
      </c>
    </row>
    <row r="1347" spans="1:19" hidden="1" x14ac:dyDescent="0.3">
      <c r="A1347" s="1" t="s">
        <v>985</v>
      </c>
      <c r="B1347" t="s">
        <v>1596</v>
      </c>
      <c r="C1347" t="s">
        <v>1996</v>
      </c>
      <c r="D1347" t="str">
        <f t="shared" ref="D1347:D1410" si="84">PROPER(E1347)</f>
        <v>Male</v>
      </c>
      <c r="E1347" t="s">
        <v>9</v>
      </c>
      <c r="F1347" s="2">
        <v>24</v>
      </c>
      <c r="G1347" s="2" t="str" cm="1">
        <f t="array" ref="G1347">_xlfn.IFS(F1347&lt;=8,"Child",F1347&lt;=17,"Teen",F1347&lt;=35,"Adult",F1347&lt;=55,"Seniour Adult",F1347&gt;=55,"Old Age")</f>
        <v>Adult</v>
      </c>
      <c r="H1347" t="s">
        <v>51</v>
      </c>
      <c r="I1347" t="s">
        <v>11</v>
      </c>
      <c r="J1347" t="str" cm="1">
        <f t="array" ref="J1347">_xlfn.IFS(I1347="S","Southamptom",I1347="Q","Quentown",I1347="C","Cherbrug",I1347="B","Cabin")</f>
        <v>Southamptom</v>
      </c>
      <c r="K1347" t="s">
        <v>15</v>
      </c>
      <c r="L1347" s="2">
        <v>33</v>
      </c>
      <c r="M1347" s="2" t="str" cm="1">
        <f t="array" ref="M1347">_xlfn.IFS(L1347&lt;=15,"Low Fare",L1347&lt;=35,"Medium Fare",L1347&lt;=100,"High Fare",L1347&gt;=100,"Very High Fare")</f>
        <v>Medium Fare</v>
      </c>
      <c r="N1347" s="2">
        <v>1</v>
      </c>
      <c r="O1347" s="2" t="s">
        <v>30</v>
      </c>
      <c r="P1347" t="e">
        <f t="shared" ref="P1347:P1410" si="85">N1347+O1347+1</f>
        <v>#VALUE!</v>
      </c>
      <c r="Q1347" t="e">
        <f t="shared" ref="Q1347:Q1410" si="86">IF(P1347=1,"Alone","With Family")</f>
        <v>#VALUE!</v>
      </c>
      <c r="R1347" t="str">
        <f t="shared" ref="R1347:R1410" si="87">PROPER(S1347)</f>
        <v>No</v>
      </c>
      <c r="S1347" t="s">
        <v>13</v>
      </c>
    </row>
    <row r="1348" spans="1:19" hidden="1" x14ac:dyDescent="0.3">
      <c r="A1348" s="1" t="s">
        <v>986</v>
      </c>
      <c r="B1348" t="s">
        <v>1596</v>
      </c>
      <c r="C1348" t="s">
        <v>1681</v>
      </c>
      <c r="D1348" t="str">
        <f t="shared" si="84"/>
        <v>Male</v>
      </c>
      <c r="E1348" t="s">
        <v>9</v>
      </c>
      <c r="F1348" s="2">
        <v>19</v>
      </c>
      <c r="G1348" s="2" t="str" cm="1">
        <f t="array" ref="G1348">_xlfn.IFS(F1348&lt;=8,"Child",F1348&lt;=17,"Teen",F1348&lt;=35,"Adult",F1348&lt;=55,"Seniour Adult",F1348&gt;=55,"Old Age")</f>
        <v>Adult</v>
      </c>
      <c r="H1348" t="s">
        <v>69</v>
      </c>
      <c r="I1348" t="s">
        <v>11</v>
      </c>
      <c r="J1348" t="str" cm="1">
        <f t="array" ref="J1348">_xlfn.IFS(I1348="S","Southamptom",I1348="Q","Quentown",I1348="C","Cherbrug",I1348="B","Cabin")</f>
        <v>Southamptom</v>
      </c>
      <c r="K1348" t="s">
        <v>15</v>
      </c>
      <c r="L1348" s="2">
        <v>33</v>
      </c>
      <c r="M1348" s="2" t="str" cm="1">
        <f t="array" ref="M1348">_xlfn.IFS(L1348&lt;=15,"Low Fare",L1348&lt;=35,"Medium Fare",L1348&lt;=100,"High Fare",L1348&gt;=100,"Very High Fare")</f>
        <v>Medium Fare</v>
      </c>
      <c r="N1348" s="2">
        <v>1</v>
      </c>
      <c r="O1348" s="2" t="s">
        <v>30</v>
      </c>
      <c r="P1348" t="e">
        <f t="shared" si="85"/>
        <v>#VALUE!</v>
      </c>
      <c r="Q1348" t="e">
        <f t="shared" si="86"/>
        <v>#VALUE!</v>
      </c>
      <c r="R1348" t="str">
        <f t="shared" si="87"/>
        <v>Yes</v>
      </c>
      <c r="S1348" t="s">
        <v>16</v>
      </c>
    </row>
    <row r="1349" spans="1:19" hidden="1" x14ac:dyDescent="0.3">
      <c r="A1349" s="1" t="s">
        <v>987</v>
      </c>
      <c r="B1349" t="s">
        <v>2719</v>
      </c>
      <c r="C1349" t="s">
        <v>2737</v>
      </c>
      <c r="D1349" t="str">
        <f t="shared" si="84"/>
        <v>Male</v>
      </c>
      <c r="E1349" t="s">
        <v>9</v>
      </c>
      <c r="F1349" s="2">
        <v>24</v>
      </c>
      <c r="G1349" s="2" t="str" cm="1">
        <f t="array" ref="G1349">_xlfn.IFS(F1349&lt;=8,"Child",F1349&lt;=17,"Teen",F1349&lt;=35,"Adult",F1349&lt;=55,"Seniour Adult",F1349&gt;=55,"Old Age")</f>
        <v>Adult</v>
      </c>
      <c r="H1349" t="s">
        <v>70</v>
      </c>
      <c r="I1349" t="s">
        <v>11</v>
      </c>
      <c r="J1349" t="str" cm="1">
        <f t="array" ref="J1349">_xlfn.IFS(I1349="S","Southamptom",I1349="Q","Quentown",I1349="C","Cherbrug",I1349="B","Cabin")</f>
        <v>Southamptom</v>
      </c>
      <c r="K1349" t="s">
        <v>15</v>
      </c>
      <c r="L1349" s="2">
        <v>33</v>
      </c>
      <c r="M1349" s="2" t="str" cm="1">
        <f t="array" ref="M1349">_xlfn.IFS(L1349&lt;=15,"Low Fare",L1349&lt;=35,"Medium Fare",L1349&lt;=100,"High Fare",L1349&gt;=100,"Very High Fare")</f>
        <v>Medium Fare</v>
      </c>
      <c r="N1349" s="2">
        <v>1</v>
      </c>
      <c r="O1349" s="2" t="s">
        <v>30</v>
      </c>
      <c r="P1349" t="e">
        <f t="shared" si="85"/>
        <v>#VALUE!</v>
      </c>
      <c r="Q1349" t="e">
        <f t="shared" si="86"/>
        <v>#VALUE!</v>
      </c>
      <c r="R1349" t="str">
        <f t="shared" si="87"/>
        <v>No</v>
      </c>
      <c r="S1349" t="s">
        <v>13</v>
      </c>
    </row>
    <row r="1350" spans="1:19" hidden="1" x14ac:dyDescent="0.3">
      <c r="A1350" s="1" t="s">
        <v>988</v>
      </c>
      <c r="B1350" t="s">
        <v>1596</v>
      </c>
      <c r="C1350" t="s">
        <v>2194</v>
      </c>
      <c r="D1350" t="str">
        <f t="shared" si="84"/>
        <v>Male</v>
      </c>
      <c r="E1350" t="s">
        <v>9</v>
      </c>
      <c r="F1350" s="2">
        <v>34</v>
      </c>
      <c r="G1350" s="2" t="str" cm="1">
        <f t="array" ref="G1350">_xlfn.IFS(F1350&lt;=8,"Child",F1350&lt;=17,"Teen",F1350&lt;=35,"Adult",F1350&lt;=55,"Seniour Adult",F1350&gt;=55,"Old Age")</f>
        <v>Adult</v>
      </c>
      <c r="H1350" t="s">
        <v>51</v>
      </c>
      <c r="I1350" t="s">
        <v>11</v>
      </c>
      <c r="J1350" t="str" cm="1">
        <f t="array" ref="J1350">_xlfn.IFS(I1350="S","Southamptom",I1350="Q","Quentown",I1350="C","Cherbrug",I1350="B","Cabin")</f>
        <v>Southamptom</v>
      </c>
      <c r="K1350" t="s">
        <v>15</v>
      </c>
      <c r="L1350" s="2">
        <v>33</v>
      </c>
      <c r="M1350" s="2" t="str" cm="1">
        <f t="array" ref="M1350">_xlfn.IFS(L1350&lt;=15,"Low Fare",L1350&lt;=35,"Medium Fare",L1350&lt;=100,"High Fare",L1350&gt;=100,"Very High Fare")</f>
        <v>Medium Fare</v>
      </c>
      <c r="N1350" s="2">
        <v>1</v>
      </c>
      <c r="O1350" s="2" t="s">
        <v>30</v>
      </c>
      <c r="P1350" t="e">
        <f t="shared" si="85"/>
        <v>#VALUE!</v>
      </c>
      <c r="Q1350" t="e">
        <f t="shared" si="86"/>
        <v>#VALUE!</v>
      </c>
      <c r="R1350" t="str">
        <f t="shared" si="87"/>
        <v>No</v>
      </c>
      <c r="S1350" t="s">
        <v>13</v>
      </c>
    </row>
    <row r="1351" spans="1:19" hidden="1" x14ac:dyDescent="0.3">
      <c r="A1351" s="1" t="s">
        <v>989</v>
      </c>
      <c r="B1351" t="s">
        <v>1596</v>
      </c>
      <c r="C1351" t="s">
        <v>2738</v>
      </c>
      <c r="D1351" t="str">
        <f t="shared" si="84"/>
        <v>Male</v>
      </c>
      <c r="E1351" t="s">
        <v>9</v>
      </c>
      <c r="F1351" s="2">
        <v>19</v>
      </c>
      <c r="G1351" s="2" t="str" cm="1">
        <f t="array" ref="G1351">_xlfn.IFS(F1351&lt;=8,"Child",F1351&lt;=17,"Teen",F1351&lt;=35,"Adult",F1351&lt;=55,"Seniour Adult",F1351&gt;=55,"Old Age")</f>
        <v>Adult</v>
      </c>
      <c r="H1351" t="s">
        <v>69</v>
      </c>
      <c r="I1351" t="s">
        <v>11</v>
      </c>
      <c r="J1351" t="str" cm="1">
        <f t="array" ref="J1351">_xlfn.IFS(I1351="S","Southamptom",I1351="Q","Quentown",I1351="C","Cherbrug",I1351="B","Cabin")</f>
        <v>Southamptom</v>
      </c>
      <c r="K1351" t="s">
        <v>15</v>
      </c>
      <c r="L1351" s="2">
        <v>33</v>
      </c>
      <c r="M1351" s="2" t="str" cm="1">
        <f t="array" ref="M1351">_xlfn.IFS(L1351&lt;=15,"Low Fare",L1351&lt;=35,"Medium Fare",L1351&lt;=100,"High Fare",L1351&gt;=100,"Very High Fare")</f>
        <v>Medium Fare</v>
      </c>
      <c r="N1351" s="2">
        <v>1</v>
      </c>
      <c r="O1351" s="2" t="s">
        <v>30</v>
      </c>
      <c r="P1351" t="e">
        <f t="shared" si="85"/>
        <v>#VALUE!</v>
      </c>
      <c r="Q1351" t="e">
        <f t="shared" si="86"/>
        <v>#VALUE!</v>
      </c>
      <c r="R1351" t="str">
        <f t="shared" si="87"/>
        <v>No</v>
      </c>
      <c r="S1351" t="s">
        <v>13</v>
      </c>
    </row>
    <row r="1352" spans="1:19" hidden="1" x14ac:dyDescent="0.3">
      <c r="A1352" s="1" t="s">
        <v>989</v>
      </c>
      <c r="B1352" t="s">
        <v>1596</v>
      </c>
      <c r="C1352" t="s">
        <v>2739</v>
      </c>
      <c r="D1352" t="str">
        <f t="shared" si="84"/>
        <v>Male</v>
      </c>
      <c r="E1352" t="s">
        <v>9</v>
      </c>
      <c r="F1352" s="2">
        <v>41</v>
      </c>
      <c r="G1352" s="2" t="str" cm="1">
        <f t="array" ref="G1352">_xlfn.IFS(F1352&lt;=8,"Child",F1352&lt;=17,"Teen",F1352&lt;=35,"Adult",F1352&lt;=55,"Seniour Adult",F1352&gt;=55,"Old Age")</f>
        <v>Seniour Adult</v>
      </c>
      <c r="H1352" t="s">
        <v>69</v>
      </c>
      <c r="I1352" t="s">
        <v>11</v>
      </c>
      <c r="J1352" t="str" cm="1">
        <f t="array" ref="J1352">_xlfn.IFS(I1352="S","Southamptom",I1352="Q","Quentown",I1352="C","Cherbrug",I1352="B","Cabin")</f>
        <v>Southamptom</v>
      </c>
      <c r="K1352" t="s">
        <v>15</v>
      </c>
      <c r="L1352" s="2">
        <v>33</v>
      </c>
      <c r="M1352" s="2" t="str" cm="1">
        <f t="array" ref="M1352">_xlfn.IFS(L1352&lt;=15,"Low Fare",L1352&lt;=35,"Medium Fare",L1352&lt;=100,"High Fare",L1352&gt;=100,"Very High Fare")</f>
        <v>Medium Fare</v>
      </c>
      <c r="N1352" s="2">
        <v>1</v>
      </c>
      <c r="O1352" s="2" t="s">
        <v>30</v>
      </c>
      <c r="P1352" t="e">
        <f t="shared" si="85"/>
        <v>#VALUE!</v>
      </c>
      <c r="Q1352" t="e">
        <f t="shared" si="86"/>
        <v>#VALUE!</v>
      </c>
      <c r="R1352" t="str">
        <f t="shared" si="87"/>
        <v>No</v>
      </c>
      <c r="S1352" t="s">
        <v>13</v>
      </c>
    </row>
    <row r="1353" spans="1:19" hidden="1" x14ac:dyDescent="0.3">
      <c r="A1353" s="1" t="s">
        <v>989</v>
      </c>
      <c r="B1353" t="s">
        <v>1596</v>
      </c>
      <c r="C1353" t="s">
        <v>2740</v>
      </c>
      <c r="D1353" t="str">
        <f t="shared" si="84"/>
        <v>Male</v>
      </c>
      <c r="E1353" t="s">
        <v>9</v>
      </c>
      <c r="F1353" s="2">
        <v>42</v>
      </c>
      <c r="G1353" s="2" t="str" cm="1">
        <f t="array" ref="G1353">_xlfn.IFS(F1353&lt;=8,"Child",F1353&lt;=17,"Teen",F1353&lt;=35,"Adult",F1353&lt;=55,"Seniour Adult",F1353&gt;=55,"Old Age")</f>
        <v>Seniour Adult</v>
      </c>
      <c r="H1353" t="s">
        <v>69</v>
      </c>
      <c r="I1353" t="s">
        <v>28</v>
      </c>
      <c r="J1353" t="str" cm="1">
        <f t="array" ref="J1353">_xlfn.IFS(I1353="S","Southamptom",I1353="Q","Quentown",I1353="C","Cherbrug",I1353="B","Cabin")</f>
        <v>Cabin</v>
      </c>
      <c r="K1353" t="s">
        <v>15</v>
      </c>
      <c r="L1353" s="2">
        <v>33</v>
      </c>
      <c r="M1353" s="2" t="str" cm="1">
        <f t="array" ref="M1353">_xlfn.IFS(L1353&lt;=15,"Low Fare",L1353&lt;=35,"Medium Fare",L1353&lt;=100,"High Fare",L1353&gt;=100,"Very High Fare")</f>
        <v>Medium Fare</v>
      </c>
      <c r="N1353" s="2">
        <v>1</v>
      </c>
      <c r="O1353" s="2" t="s">
        <v>30</v>
      </c>
      <c r="P1353" t="e">
        <f t="shared" si="85"/>
        <v>#VALUE!</v>
      </c>
      <c r="Q1353" t="e">
        <f t="shared" si="86"/>
        <v>#VALUE!</v>
      </c>
      <c r="R1353" t="str">
        <f t="shared" si="87"/>
        <v>No</v>
      </c>
      <c r="S1353" t="s">
        <v>13</v>
      </c>
    </row>
    <row r="1354" spans="1:19" hidden="1" x14ac:dyDescent="0.3">
      <c r="A1354" s="1" t="s">
        <v>990</v>
      </c>
      <c r="B1354" t="s">
        <v>1596</v>
      </c>
      <c r="C1354" t="s">
        <v>2259</v>
      </c>
      <c r="D1354" t="str">
        <f t="shared" si="84"/>
        <v>Male</v>
      </c>
      <c r="E1354" t="s">
        <v>9</v>
      </c>
      <c r="F1354" s="2">
        <v>30</v>
      </c>
      <c r="G1354" s="2" t="str" cm="1">
        <f t="array" ref="G1354">_xlfn.IFS(F1354&lt;=8,"Child",F1354&lt;=17,"Teen",F1354&lt;=35,"Adult",F1354&lt;=55,"Seniour Adult",F1354&gt;=55,"Old Age")</f>
        <v>Adult</v>
      </c>
      <c r="H1354" t="s">
        <v>51</v>
      </c>
      <c r="I1354" t="s">
        <v>11</v>
      </c>
      <c r="J1354" t="str" cm="1">
        <f t="array" ref="J1354">_xlfn.IFS(I1354="S","Southamptom",I1354="Q","Quentown",I1354="C","Cherbrug",I1354="B","Cabin")</f>
        <v>Southamptom</v>
      </c>
      <c r="K1354" t="s">
        <v>15</v>
      </c>
      <c r="L1354" s="2">
        <v>33</v>
      </c>
      <c r="M1354" s="2" t="str" cm="1">
        <f t="array" ref="M1354">_xlfn.IFS(L1354&lt;=15,"Low Fare",L1354&lt;=35,"Medium Fare",L1354&lt;=100,"High Fare",L1354&gt;=100,"Very High Fare")</f>
        <v>Medium Fare</v>
      </c>
      <c r="N1354" s="2">
        <v>1</v>
      </c>
      <c r="O1354" s="2" t="s">
        <v>30</v>
      </c>
      <c r="P1354" t="e">
        <f t="shared" si="85"/>
        <v>#VALUE!</v>
      </c>
      <c r="Q1354" t="e">
        <f t="shared" si="86"/>
        <v>#VALUE!</v>
      </c>
      <c r="R1354" t="str">
        <f t="shared" si="87"/>
        <v>No</v>
      </c>
      <c r="S1354" t="s">
        <v>13</v>
      </c>
    </row>
    <row r="1355" spans="1:19" hidden="1" x14ac:dyDescent="0.3">
      <c r="A1355" s="1" t="s">
        <v>990</v>
      </c>
      <c r="B1355" t="s">
        <v>1596</v>
      </c>
      <c r="C1355" t="s">
        <v>2038</v>
      </c>
      <c r="D1355" t="str">
        <f t="shared" si="84"/>
        <v>Male</v>
      </c>
      <c r="E1355" t="s">
        <v>9</v>
      </c>
      <c r="F1355" s="2">
        <v>36</v>
      </c>
      <c r="G1355" s="2" t="str" cm="1">
        <f t="array" ref="G1355">_xlfn.IFS(F1355&lt;=8,"Child",F1355&lt;=17,"Teen",F1355&lt;=35,"Adult",F1355&lt;=55,"Seniour Adult",F1355&gt;=55,"Old Age")</f>
        <v>Seniour Adult</v>
      </c>
      <c r="H1355" t="s">
        <v>69</v>
      </c>
      <c r="I1355" t="s">
        <v>11</v>
      </c>
      <c r="J1355" t="str" cm="1">
        <f t="array" ref="J1355">_xlfn.IFS(I1355="S","Southamptom",I1355="Q","Quentown",I1355="C","Cherbrug",I1355="B","Cabin")</f>
        <v>Southamptom</v>
      </c>
      <c r="K1355" t="s">
        <v>15</v>
      </c>
      <c r="L1355" s="2">
        <v>33</v>
      </c>
      <c r="M1355" s="2" t="str" cm="1">
        <f t="array" ref="M1355">_xlfn.IFS(L1355&lt;=15,"Low Fare",L1355&lt;=35,"Medium Fare",L1355&lt;=100,"High Fare",L1355&gt;=100,"Very High Fare")</f>
        <v>Medium Fare</v>
      </c>
      <c r="N1355" s="2">
        <v>1</v>
      </c>
      <c r="O1355" s="2" t="s">
        <v>30</v>
      </c>
      <c r="P1355" t="e">
        <f t="shared" si="85"/>
        <v>#VALUE!</v>
      </c>
      <c r="Q1355" t="e">
        <f t="shared" si="86"/>
        <v>#VALUE!</v>
      </c>
      <c r="R1355" t="str">
        <f t="shared" si="87"/>
        <v>No</v>
      </c>
      <c r="S1355" t="s">
        <v>13</v>
      </c>
    </row>
    <row r="1356" spans="1:19" hidden="1" x14ac:dyDescent="0.3">
      <c r="A1356" s="1" t="s">
        <v>991</v>
      </c>
      <c r="B1356" t="s">
        <v>1596</v>
      </c>
      <c r="C1356" t="s">
        <v>2259</v>
      </c>
      <c r="D1356" t="str">
        <f t="shared" si="84"/>
        <v>Male</v>
      </c>
      <c r="E1356" t="s">
        <v>9</v>
      </c>
      <c r="F1356" s="2">
        <v>29</v>
      </c>
      <c r="G1356" s="2" t="str" cm="1">
        <f t="array" ref="G1356">_xlfn.IFS(F1356&lt;=8,"Child",F1356&lt;=17,"Teen",F1356&lt;=35,"Adult",F1356&lt;=55,"Seniour Adult",F1356&gt;=55,"Old Age")</f>
        <v>Adult</v>
      </c>
      <c r="H1356" t="s">
        <v>51</v>
      </c>
      <c r="I1356" t="s">
        <v>11</v>
      </c>
      <c r="J1356" t="str" cm="1">
        <f t="array" ref="J1356">_xlfn.IFS(I1356="S","Southamptom",I1356="Q","Quentown",I1356="C","Cherbrug",I1356="B","Cabin")</f>
        <v>Southamptom</v>
      </c>
      <c r="K1356" t="s">
        <v>15</v>
      </c>
      <c r="L1356" s="2">
        <v>33</v>
      </c>
      <c r="M1356" s="2" t="str" cm="1">
        <f t="array" ref="M1356">_xlfn.IFS(L1356&lt;=15,"Low Fare",L1356&lt;=35,"Medium Fare",L1356&lt;=100,"High Fare",L1356&gt;=100,"Very High Fare")</f>
        <v>Medium Fare</v>
      </c>
      <c r="N1356" s="2">
        <v>1</v>
      </c>
      <c r="O1356" s="2" t="s">
        <v>30</v>
      </c>
      <c r="P1356" t="e">
        <f t="shared" si="85"/>
        <v>#VALUE!</v>
      </c>
      <c r="Q1356" t="e">
        <f t="shared" si="86"/>
        <v>#VALUE!</v>
      </c>
      <c r="R1356" t="str">
        <f t="shared" si="87"/>
        <v>No</v>
      </c>
      <c r="S1356" t="s">
        <v>13</v>
      </c>
    </row>
    <row r="1357" spans="1:19" hidden="1" x14ac:dyDescent="0.3">
      <c r="A1357" s="1" t="s">
        <v>991</v>
      </c>
      <c r="B1357" t="s">
        <v>1596</v>
      </c>
      <c r="C1357" t="s">
        <v>2525</v>
      </c>
      <c r="D1357" t="str">
        <f t="shared" si="84"/>
        <v>Male</v>
      </c>
      <c r="E1357" t="s">
        <v>9</v>
      </c>
      <c r="F1357" s="2">
        <v>40</v>
      </c>
      <c r="G1357" s="2" t="str" cm="1">
        <f t="array" ref="G1357">_xlfn.IFS(F1357&lt;=8,"Child",F1357&lt;=17,"Teen",F1357&lt;=35,"Adult",F1357&lt;=55,"Seniour Adult",F1357&gt;=55,"Old Age")</f>
        <v>Seniour Adult</v>
      </c>
      <c r="H1357" t="s">
        <v>69</v>
      </c>
      <c r="I1357" t="s">
        <v>11</v>
      </c>
      <c r="J1357" t="str" cm="1">
        <f t="array" ref="J1357">_xlfn.IFS(I1357="S","Southamptom",I1357="Q","Quentown",I1357="C","Cherbrug",I1357="B","Cabin")</f>
        <v>Southamptom</v>
      </c>
      <c r="K1357" t="s">
        <v>15</v>
      </c>
      <c r="L1357" s="2">
        <v>33</v>
      </c>
      <c r="M1357" s="2" t="str" cm="1">
        <f t="array" ref="M1357">_xlfn.IFS(L1357&lt;=15,"Low Fare",L1357&lt;=35,"Medium Fare",L1357&lt;=100,"High Fare",L1357&gt;=100,"Very High Fare")</f>
        <v>Medium Fare</v>
      </c>
      <c r="N1357" s="2">
        <v>1</v>
      </c>
      <c r="O1357" s="2" t="s">
        <v>30</v>
      </c>
      <c r="P1357" t="e">
        <f t="shared" si="85"/>
        <v>#VALUE!</v>
      </c>
      <c r="Q1357" t="e">
        <f t="shared" si="86"/>
        <v>#VALUE!</v>
      </c>
      <c r="R1357" t="str">
        <f t="shared" si="87"/>
        <v>No</v>
      </c>
      <c r="S1357" t="s">
        <v>13</v>
      </c>
    </row>
    <row r="1358" spans="1:19" hidden="1" x14ac:dyDescent="0.3">
      <c r="A1358" s="1" t="s">
        <v>991</v>
      </c>
      <c r="B1358" t="s">
        <v>1596</v>
      </c>
      <c r="C1358" t="s">
        <v>1610</v>
      </c>
      <c r="D1358" t="str">
        <f t="shared" si="84"/>
        <v>Male</v>
      </c>
      <c r="E1358" t="s">
        <v>9</v>
      </c>
      <c r="F1358" s="2">
        <v>40</v>
      </c>
      <c r="G1358" s="2" t="str" cm="1">
        <f t="array" ref="G1358">_xlfn.IFS(F1358&lt;=8,"Child",F1358&lt;=17,"Teen",F1358&lt;=35,"Adult",F1358&lt;=55,"Seniour Adult",F1358&gt;=55,"Old Age")</f>
        <v>Seniour Adult</v>
      </c>
      <c r="H1358" t="s">
        <v>51</v>
      </c>
      <c r="I1358" t="s">
        <v>11</v>
      </c>
      <c r="J1358" t="str" cm="1">
        <f t="array" ref="J1358">_xlfn.IFS(I1358="S","Southamptom",I1358="Q","Quentown",I1358="C","Cherbrug",I1358="B","Cabin")</f>
        <v>Southamptom</v>
      </c>
      <c r="K1358" t="s">
        <v>15</v>
      </c>
      <c r="L1358" s="2">
        <v>33</v>
      </c>
      <c r="M1358" s="2" t="str" cm="1">
        <f t="array" ref="M1358">_xlfn.IFS(L1358&lt;=15,"Low Fare",L1358&lt;=35,"Medium Fare",L1358&lt;=100,"High Fare",L1358&gt;=100,"Very High Fare")</f>
        <v>Medium Fare</v>
      </c>
      <c r="N1358" s="2">
        <v>1</v>
      </c>
      <c r="O1358" s="2" t="s">
        <v>30</v>
      </c>
      <c r="P1358" t="e">
        <f t="shared" si="85"/>
        <v>#VALUE!</v>
      </c>
      <c r="Q1358" t="e">
        <f t="shared" si="86"/>
        <v>#VALUE!</v>
      </c>
      <c r="R1358" t="str">
        <f t="shared" si="87"/>
        <v>No</v>
      </c>
      <c r="S1358" t="s">
        <v>13</v>
      </c>
    </row>
    <row r="1359" spans="1:19" hidden="1" x14ac:dyDescent="0.3">
      <c r="A1359" s="1" t="s">
        <v>992</v>
      </c>
      <c r="B1359" t="s">
        <v>1596</v>
      </c>
      <c r="C1359" t="s">
        <v>1976</v>
      </c>
      <c r="D1359" t="str">
        <f t="shared" si="84"/>
        <v>Male</v>
      </c>
      <c r="E1359" t="s">
        <v>9</v>
      </c>
      <c r="F1359" s="2">
        <v>16</v>
      </c>
      <c r="G1359" s="2" t="str" cm="1">
        <f t="array" ref="G1359">_xlfn.IFS(F1359&lt;=8,"Child",F1359&lt;=17,"Teen",F1359&lt;=35,"Adult",F1359&lt;=55,"Seniour Adult",F1359&gt;=55,"Old Age")</f>
        <v>Teen</v>
      </c>
      <c r="H1359" t="s">
        <v>69</v>
      </c>
      <c r="I1359" t="s">
        <v>11</v>
      </c>
      <c r="J1359" t="str" cm="1">
        <f t="array" ref="J1359">_xlfn.IFS(I1359="S","Southamptom",I1359="Q","Quentown",I1359="C","Cherbrug",I1359="B","Cabin")</f>
        <v>Southamptom</v>
      </c>
      <c r="K1359" t="s">
        <v>15</v>
      </c>
      <c r="L1359" s="2">
        <v>33</v>
      </c>
      <c r="M1359" s="2" t="str" cm="1">
        <f t="array" ref="M1359">_xlfn.IFS(L1359&lt;=15,"Low Fare",L1359&lt;=35,"Medium Fare",L1359&lt;=100,"High Fare",L1359&gt;=100,"Very High Fare")</f>
        <v>Medium Fare</v>
      </c>
      <c r="N1359" s="2">
        <v>1</v>
      </c>
      <c r="O1359" s="2" t="s">
        <v>30</v>
      </c>
      <c r="P1359" t="e">
        <f t="shared" si="85"/>
        <v>#VALUE!</v>
      </c>
      <c r="Q1359" t="e">
        <f t="shared" si="86"/>
        <v>#VALUE!</v>
      </c>
      <c r="R1359" t="str">
        <f t="shared" si="87"/>
        <v>No</v>
      </c>
      <c r="S1359" t="s">
        <v>13</v>
      </c>
    </row>
    <row r="1360" spans="1:19" hidden="1" x14ac:dyDescent="0.3">
      <c r="A1360" s="1" t="s">
        <v>993</v>
      </c>
      <c r="B1360" t="s">
        <v>1596</v>
      </c>
      <c r="C1360" t="s">
        <v>2511</v>
      </c>
      <c r="D1360" t="str">
        <f t="shared" si="84"/>
        <v>Male</v>
      </c>
      <c r="E1360" t="s">
        <v>9</v>
      </c>
      <c r="F1360" s="2">
        <v>28</v>
      </c>
      <c r="G1360" s="2" t="str" cm="1">
        <f t="array" ref="G1360">_xlfn.IFS(F1360&lt;=8,"Child",F1360&lt;=17,"Teen",F1360&lt;=35,"Adult",F1360&lt;=55,"Seniour Adult",F1360&gt;=55,"Old Age")</f>
        <v>Adult</v>
      </c>
      <c r="H1360" t="s">
        <v>51</v>
      </c>
      <c r="I1360" t="s">
        <v>11</v>
      </c>
      <c r="J1360" t="str" cm="1">
        <f t="array" ref="J1360">_xlfn.IFS(I1360="S","Southamptom",I1360="Q","Quentown",I1360="C","Cherbrug",I1360="B","Cabin")</f>
        <v>Southamptom</v>
      </c>
      <c r="K1360" t="s">
        <v>15</v>
      </c>
      <c r="L1360" s="2">
        <v>33</v>
      </c>
      <c r="M1360" s="2" t="str" cm="1">
        <f t="array" ref="M1360">_xlfn.IFS(L1360&lt;=15,"Low Fare",L1360&lt;=35,"Medium Fare",L1360&lt;=100,"High Fare",L1360&gt;=100,"Very High Fare")</f>
        <v>Medium Fare</v>
      </c>
      <c r="N1360" s="2">
        <v>1</v>
      </c>
      <c r="O1360" s="2" t="s">
        <v>30</v>
      </c>
      <c r="P1360" t="e">
        <f t="shared" si="85"/>
        <v>#VALUE!</v>
      </c>
      <c r="Q1360" t="e">
        <f t="shared" si="86"/>
        <v>#VALUE!</v>
      </c>
      <c r="R1360" t="str">
        <f t="shared" si="87"/>
        <v>Yes</v>
      </c>
      <c r="S1360" t="s">
        <v>16</v>
      </c>
    </row>
    <row r="1361" spans="1:19" hidden="1" x14ac:dyDescent="0.3">
      <c r="A1361" s="1" t="s">
        <v>993</v>
      </c>
      <c r="B1361" t="s">
        <v>1596</v>
      </c>
      <c r="C1361" t="s">
        <v>2428</v>
      </c>
      <c r="D1361" t="str">
        <f t="shared" si="84"/>
        <v>Male</v>
      </c>
      <c r="E1361" t="s">
        <v>9</v>
      </c>
      <c r="F1361" s="2">
        <v>33</v>
      </c>
      <c r="G1361" s="2" t="str" cm="1">
        <f t="array" ref="G1361">_xlfn.IFS(F1361&lt;=8,"Child",F1361&lt;=17,"Teen",F1361&lt;=35,"Adult",F1361&lt;=55,"Seniour Adult",F1361&gt;=55,"Old Age")</f>
        <v>Adult</v>
      </c>
      <c r="H1361" t="s">
        <v>51</v>
      </c>
      <c r="I1361" t="s">
        <v>11</v>
      </c>
      <c r="J1361" t="str" cm="1">
        <f t="array" ref="J1361">_xlfn.IFS(I1361="S","Southamptom",I1361="Q","Quentown",I1361="C","Cherbrug",I1361="B","Cabin")</f>
        <v>Southamptom</v>
      </c>
      <c r="K1361" t="s">
        <v>15</v>
      </c>
      <c r="L1361" s="2">
        <v>33</v>
      </c>
      <c r="M1361" s="2" t="str" cm="1">
        <f t="array" ref="M1361">_xlfn.IFS(L1361&lt;=15,"Low Fare",L1361&lt;=35,"Medium Fare",L1361&lt;=100,"High Fare",L1361&gt;=100,"Very High Fare")</f>
        <v>Medium Fare</v>
      </c>
      <c r="N1361" s="2">
        <v>1</v>
      </c>
      <c r="O1361" s="2" t="s">
        <v>30</v>
      </c>
      <c r="P1361" t="e">
        <f t="shared" si="85"/>
        <v>#VALUE!</v>
      </c>
      <c r="Q1361" t="e">
        <f t="shared" si="86"/>
        <v>#VALUE!</v>
      </c>
      <c r="R1361" t="str">
        <f t="shared" si="87"/>
        <v>No</v>
      </c>
      <c r="S1361" t="s">
        <v>13</v>
      </c>
    </row>
    <row r="1362" spans="1:19" hidden="1" x14ac:dyDescent="0.3">
      <c r="A1362" s="1" t="s">
        <v>994</v>
      </c>
      <c r="B1362" t="s">
        <v>1596</v>
      </c>
      <c r="C1362" t="s">
        <v>2741</v>
      </c>
      <c r="D1362" t="str">
        <f t="shared" si="84"/>
        <v>Male</v>
      </c>
      <c r="E1362" t="s">
        <v>9</v>
      </c>
      <c r="F1362" s="2">
        <v>34</v>
      </c>
      <c r="G1362" s="2" t="str" cm="1">
        <f t="array" ref="G1362">_xlfn.IFS(F1362&lt;=8,"Child",F1362&lt;=17,"Teen",F1362&lt;=35,"Adult",F1362&lt;=55,"Seniour Adult",F1362&gt;=55,"Old Age")</f>
        <v>Adult</v>
      </c>
      <c r="H1362" t="s">
        <v>69</v>
      </c>
      <c r="I1362" t="s">
        <v>28</v>
      </c>
      <c r="J1362" t="str" cm="1">
        <f t="array" ref="J1362">_xlfn.IFS(I1362="S","Southamptom",I1362="Q","Quentown",I1362="C","Cherbrug",I1362="B","Cabin")</f>
        <v>Cabin</v>
      </c>
      <c r="K1362" t="s">
        <v>15</v>
      </c>
      <c r="L1362" s="2">
        <v>33</v>
      </c>
      <c r="M1362" s="2" t="str" cm="1">
        <f t="array" ref="M1362">_xlfn.IFS(L1362&lt;=15,"Low Fare",L1362&lt;=35,"Medium Fare",L1362&lt;=100,"High Fare",L1362&gt;=100,"Very High Fare")</f>
        <v>Medium Fare</v>
      </c>
      <c r="N1362" s="2">
        <v>1</v>
      </c>
      <c r="O1362" s="2" t="s">
        <v>30</v>
      </c>
      <c r="P1362" t="e">
        <f t="shared" si="85"/>
        <v>#VALUE!</v>
      </c>
      <c r="Q1362" t="e">
        <f t="shared" si="86"/>
        <v>#VALUE!</v>
      </c>
      <c r="R1362" t="str">
        <f t="shared" si="87"/>
        <v>No</v>
      </c>
      <c r="S1362" t="s">
        <v>13</v>
      </c>
    </row>
    <row r="1363" spans="1:19" hidden="1" x14ac:dyDescent="0.3">
      <c r="A1363" s="1" t="s">
        <v>995</v>
      </c>
      <c r="B1363" t="s">
        <v>1596</v>
      </c>
      <c r="C1363" t="s">
        <v>2742</v>
      </c>
      <c r="D1363" t="str">
        <f t="shared" si="84"/>
        <v>Male</v>
      </c>
      <c r="E1363" t="s">
        <v>9</v>
      </c>
      <c r="F1363" s="2">
        <v>36</v>
      </c>
      <c r="G1363" s="2" t="str" cm="1">
        <f t="array" ref="G1363">_xlfn.IFS(F1363&lt;=8,"Child",F1363&lt;=17,"Teen",F1363&lt;=35,"Adult",F1363&lt;=55,"Seniour Adult",F1363&gt;=55,"Old Age")</f>
        <v>Seniour Adult</v>
      </c>
      <c r="H1363" t="s">
        <v>69</v>
      </c>
      <c r="I1363" t="s">
        <v>11</v>
      </c>
      <c r="J1363" t="str" cm="1">
        <f t="array" ref="J1363">_xlfn.IFS(I1363="S","Southamptom",I1363="Q","Quentown",I1363="C","Cherbrug",I1363="B","Cabin")</f>
        <v>Southamptom</v>
      </c>
      <c r="K1363" t="s">
        <v>15</v>
      </c>
      <c r="L1363" s="2">
        <v>33</v>
      </c>
      <c r="M1363" s="2" t="str" cm="1">
        <f t="array" ref="M1363">_xlfn.IFS(L1363&lt;=15,"Low Fare",L1363&lt;=35,"Medium Fare",L1363&lt;=100,"High Fare",L1363&gt;=100,"Very High Fare")</f>
        <v>Medium Fare</v>
      </c>
      <c r="N1363" s="2">
        <v>1</v>
      </c>
      <c r="O1363" s="2" t="s">
        <v>30</v>
      </c>
      <c r="P1363" t="e">
        <f t="shared" si="85"/>
        <v>#VALUE!</v>
      </c>
      <c r="Q1363" t="e">
        <f t="shared" si="86"/>
        <v>#VALUE!</v>
      </c>
      <c r="R1363" t="str">
        <f t="shared" si="87"/>
        <v>No</v>
      </c>
      <c r="S1363" t="s">
        <v>13</v>
      </c>
    </row>
    <row r="1364" spans="1:19" hidden="1" x14ac:dyDescent="0.3">
      <c r="A1364" s="1" t="s">
        <v>996</v>
      </c>
      <c r="B1364" t="s">
        <v>1596</v>
      </c>
      <c r="C1364" t="s">
        <v>1619</v>
      </c>
      <c r="D1364" t="str">
        <f t="shared" si="84"/>
        <v>Male</v>
      </c>
      <c r="E1364" t="s">
        <v>9</v>
      </c>
      <c r="F1364" s="2">
        <v>32</v>
      </c>
      <c r="G1364" s="2" t="str" cm="1">
        <f t="array" ref="G1364">_xlfn.IFS(F1364&lt;=8,"Child",F1364&lt;=17,"Teen",F1364&lt;=35,"Adult",F1364&lt;=55,"Seniour Adult",F1364&gt;=55,"Old Age")</f>
        <v>Adult</v>
      </c>
      <c r="H1364" t="s">
        <v>69</v>
      </c>
      <c r="I1364" t="s">
        <v>11</v>
      </c>
      <c r="J1364" t="str" cm="1">
        <f t="array" ref="J1364">_xlfn.IFS(I1364="S","Southamptom",I1364="Q","Quentown",I1364="C","Cherbrug",I1364="B","Cabin")</f>
        <v>Southamptom</v>
      </c>
      <c r="K1364" t="s">
        <v>15</v>
      </c>
      <c r="L1364" s="2">
        <v>33</v>
      </c>
      <c r="M1364" s="2" t="str" cm="1">
        <f t="array" ref="M1364">_xlfn.IFS(L1364&lt;=15,"Low Fare",L1364&lt;=35,"Medium Fare",L1364&lt;=100,"High Fare",L1364&gt;=100,"Very High Fare")</f>
        <v>Medium Fare</v>
      </c>
      <c r="N1364" s="2">
        <v>1</v>
      </c>
      <c r="O1364" s="2" t="s">
        <v>30</v>
      </c>
      <c r="P1364" t="e">
        <f t="shared" si="85"/>
        <v>#VALUE!</v>
      </c>
      <c r="Q1364" t="e">
        <f t="shared" si="86"/>
        <v>#VALUE!</v>
      </c>
      <c r="R1364" t="str">
        <f t="shared" si="87"/>
        <v>No</v>
      </c>
      <c r="S1364" t="s">
        <v>13</v>
      </c>
    </row>
    <row r="1365" spans="1:19" hidden="1" x14ac:dyDescent="0.3">
      <c r="A1365" s="1" t="s">
        <v>129</v>
      </c>
      <c r="B1365" t="s">
        <v>1596</v>
      </c>
      <c r="C1365" t="s">
        <v>2743</v>
      </c>
      <c r="D1365" t="str">
        <f t="shared" si="84"/>
        <v>Male</v>
      </c>
      <c r="E1365" t="s">
        <v>9</v>
      </c>
      <c r="F1365" s="2">
        <v>26</v>
      </c>
      <c r="G1365" s="2" t="str" cm="1">
        <f t="array" ref="G1365">_xlfn.IFS(F1365&lt;=8,"Child",F1365&lt;=17,"Teen",F1365&lt;=35,"Adult",F1365&lt;=55,"Seniour Adult",F1365&gt;=55,"Old Age")</f>
        <v>Adult</v>
      </c>
      <c r="H1365" t="s">
        <v>69</v>
      </c>
      <c r="I1365" t="s">
        <v>11</v>
      </c>
      <c r="J1365" t="str" cm="1">
        <f t="array" ref="J1365">_xlfn.IFS(I1365="S","Southamptom",I1365="Q","Quentown",I1365="C","Cherbrug",I1365="B","Cabin")</f>
        <v>Southamptom</v>
      </c>
      <c r="K1365" t="s">
        <v>15</v>
      </c>
      <c r="L1365" s="2">
        <v>33</v>
      </c>
      <c r="M1365" s="2" t="str" cm="1">
        <f t="array" ref="M1365">_xlfn.IFS(L1365&lt;=15,"Low Fare",L1365&lt;=35,"Medium Fare",L1365&lt;=100,"High Fare",L1365&gt;=100,"Very High Fare")</f>
        <v>Medium Fare</v>
      </c>
      <c r="N1365" s="2">
        <v>1</v>
      </c>
      <c r="O1365" s="2" t="s">
        <v>30</v>
      </c>
      <c r="P1365" t="e">
        <f t="shared" si="85"/>
        <v>#VALUE!</v>
      </c>
      <c r="Q1365" t="e">
        <f t="shared" si="86"/>
        <v>#VALUE!</v>
      </c>
      <c r="R1365" t="str">
        <f t="shared" si="87"/>
        <v>No</v>
      </c>
      <c r="S1365" t="s">
        <v>13</v>
      </c>
    </row>
    <row r="1366" spans="1:19" hidden="1" x14ac:dyDescent="0.3">
      <c r="A1366" s="1" t="s">
        <v>997</v>
      </c>
      <c r="B1366" t="s">
        <v>2719</v>
      </c>
      <c r="C1366" t="s">
        <v>2744</v>
      </c>
      <c r="D1366" t="str">
        <f t="shared" si="84"/>
        <v>Male</v>
      </c>
      <c r="E1366" t="s">
        <v>9</v>
      </c>
      <c r="F1366" s="2">
        <v>27</v>
      </c>
      <c r="G1366" s="2" t="str" cm="1">
        <f t="array" ref="G1366">_xlfn.IFS(F1366&lt;=8,"Child",F1366&lt;=17,"Teen",F1366&lt;=35,"Adult",F1366&lt;=55,"Seniour Adult",F1366&gt;=55,"Old Age")</f>
        <v>Adult</v>
      </c>
      <c r="H1366" t="s">
        <v>70</v>
      </c>
      <c r="I1366" t="s">
        <v>11</v>
      </c>
      <c r="J1366" t="str" cm="1">
        <f t="array" ref="J1366">_xlfn.IFS(I1366="S","Southamptom",I1366="Q","Quentown",I1366="C","Cherbrug",I1366="B","Cabin")</f>
        <v>Southamptom</v>
      </c>
      <c r="K1366" t="s">
        <v>15</v>
      </c>
      <c r="L1366" s="2">
        <v>33</v>
      </c>
      <c r="M1366" s="2" t="str" cm="1">
        <f t="array" ref="M1366">_xlfn.IFS(L1366&lt;=15,"Low Fare",L1366&lt;=35,"Medium Fare",L1366&lt;=100,"High Fare",L1366&gt;=100,"Very High Fare")</f>
        <v>Medium Fare</v>
      </c>
      <c r="N1366" s="2">
        <v>1</v>
      </c>
      <c r="O1366" s="2" t="s">
        <v>30</v>
      </c>
      <c r="P1366" t="e">
        <f t="shared" si="85"/>
        <v>#VALUE!</v>
      </c>
      <c r="Q1366" t="e">
        <f t="shared" si="86"/>
        <v>#VALUE!</v>
      </c>
      <c r="R1366" t="str">
        <f t="shared" si="87"/>
        <v>No</v>
      </c>
      <c r="S1366" t="s">
        <v>13</v>
      </c>
    </row>
    <row r="1367" spans="1:19" hidden="1" x14ac:dyDescent="0.3">
      <c r="A1367" s="1" t="s">
        <v>134</v>
      </c>
      <c r="B1367" t="s">
        <v>1596</v>
      </c>
      <c r="C1367" t="s">
        <v>2745</v>
      </c>
      <c r="D1367" t="str">
        <f t="shared" si="84"/>
        <v>Male</v>
      </c>
      <c r="E1367" t="s">
        <v>9</v>
      </c>
      <c r="F1367" s="2">
        <v>53</v>
      </c>
      <c r="G1367" s="2" t="str" cm="1">
        <f t="array" ref="G1367">_xlfn.IFS(F1367&lt;=8,"Child",F1367&lt;=17,"Teen",F1367&lt;=35,"Adult",F1367&lt;=55,"Seniour Adult",F1367&gt;=55,"Old Age")</f>
        <v>Seniour Adult</v>
      </c>
      <c r="H1367" t="s">
        <v>69</v>
      </c>
      <c r="I1367" t="s">
        <v>11</v>
      </c>
      <c r="J1367" t="str" cm="1">
        <f t="array" ref="J1367">_xlfn.IFS(I1367="S","Southamptom",I1367="Q","Quentown",I1367="C","Cherbrug",I1367="B","Cabin")</f>
        <v>Southamptom</v>
      </c>
      <c r="K1367" t="s">
        <v>15</v>
      </c>
      <c r="L1367" s="2">
        <v>33</v>
      </c>
      <c r="M1367" s="2" t="str" cm="1">
        <f t="array" ref="M1367">_xlfn.IFS(L1367&lt;=15,"Low Fare",L1367&lt;=35,"Medium Fare",L1367&lt;=100,"High Fare",L1367&gt;=100,"Very High Fare")</f>
        <v>Medium Fare</v>
      </c>
      <c r="N1367" s="2">
        <v>1</v>
      </c>
      <c r="O1367" s="2" t="s">
        <v>30</v>
      </c>
      <c r="P1367" t="e">
        <f t="shared" si="85"/>
        <v>#VALUE!</v>
      </c>
      <c r="Q1367" t="e">
        <f t="shared" si="86"/>
        <v>#VALUE!</v>
      </c>
      <c r="R1367" t="str">
        <f t="shared" si="87"/>
        <v>No</v>
      </c>
      <c r="S1367" t="s">
        <v>13</v>
      </c>
    </row>
    <row r="1368" spans="1:19" hidden="1" x14ac:dyDescent="0.3">
      <c r="A1368" s="1" t="s">
        <v>134</v>
      </c>
      <c r="B1368" t="s">
        <v>1596</v>
      </c>
      <c r="C1368" t="s">
        <v>2746</v>
      </c>
      <c r="D1368" t="str">
        <f t="shared" si="84"/>
        <v>Male</v>
      </c>
      <c r="E1368" t="s">
        <v>9</v>
      </c>
      <c r="F1368" s="2">
        <v>55</v>
      </c>
      <c r="G1368" s="2" t="str" cm="1">
        <f t="array" ref="G1368">_xlfn.IFS(F1368&lt;=8,"Child",F1368&lt;=17,"Teen",F1368&lt;=35,"Adult",F1368&lt;=55,"Seniour Adult",F1368&gt;=55,"Old Age")</f>
        <v>Seniour Adult</v>
      </c>
      <c r="H1368" t="s">
        <v>69</v>
      </c>
      <c r="I1368" t="s">
        <v>11</v>
      </c>
      <c r="J1368" t="str" cm="1">
        <f t="array" ref="J1368">_xlfn.IFS(I1368="S","Southamptom",I1368="Q","Quentown",I1368="C","Cherbrug",I1368="B","Cabin")</f>
        <v>Southamptom</v>
      </c>
      <c r="K1368" t="s">
        <v>43</v>
      </c>
      <c r="L1368" s="2">
        <v>33</v>
      </c>
      <c r="M1368" s="2" t="str" cm="1">
        <f t="array" ref="M1368">_xlfn.IFS(L1368&lt;=15,"Low Fare",L1368&lt;=35,"Medium Fare",L1368&lt;=100,"High Fare",L1368&gt;=100,"Very High Fare")</f>
        <v>Medium Fare</v>
      </c>
      <c r="N1368" s="2">
        <v>1</v>
      </c>
      <c r="O1368" s="2" t="s">
        <v>30</v>
      </c>
      <c r="P1368" t="e">
        <f t="shared" si="85"/>
        <v>#VALUE!</v>
      </c>
      <c r="Q1368" t="e">
        <f t="shared" si="86"/>
        <v>#VALUE!</v>
      </c>
      <c r="R1368" t="str">
        <f t="shared" si="87"/>
        <v>No</v>
      </c>
      <c r="S1368" t="s">
        <v>13</v>
      </c>
    </row>
    <row r="1369" spans="1:19" hidden="1" x14ac:dyDescent="0.3">
      <c r="A1369" s="1" t="s">
        <v>998</v>
      </c>
      <c r="B1369" t="s">
        <v>2719</v>
      </c>
      <c r="C1369" t="s">
        <v>2747</v>
      </c>
      <c r="D1369" t="str">
        <f t="shared" si="84"/>
        <v>Male</v>
      </c>
      <c r="E1369" t="s">
        <v>9</v>
      </c>
      <c r="F1369" s="2">
        <v>33</v>
      </c>
      <c r="G1369" s="2" t="str" cm="1">
        <f t="array" ref="G1369">_xlfn.IFS(F1369&lt;=8,"Child",F1369&lt;=17,"Teen",F1369&lt;=35,"Adult",F1369&lt;=55,"Seniour Adult",F1369&gt;=55,"Old Age")</f>
        <v>Adult</v>
      </c>
      <c r="H1369" t="s">
        <v>70</v>
      </c>
      <c r="I1369" t="s">
        <v>11</v>
      </c>
      <c r="J1369" t="str" cm="1">
        <f t="array" ref="J1369">_xlfn.IFS(I1369="S","Southamptom",I1369="Q","Quentown",I1369="C","Cherbrug",I1369="B","Cabin")</f>
        <v>Southamptom</v>
      </c>
      <c r="K1369" t="s">
        <v>15</v>
      </c>
      <c r="L1369" s="2">
        <v>33</v>
      </c>
      <c r="M1369" s="2" t="str" cm="1">
        <f t="array" ref="M1369">_xlfn.IFS(L1369&lt;=15,"Low Fare",L1369&lt;=35,"Medium Fare",L1369&lt;=100,"High Fare",L1369&gt;=100,"Very High Fare")</f>
        <v>Medium Fare</v>
      </c>
      <c r="N1369" s="2">
        <v>1</v>
      </c>
      <c r="O1369" s="2" t="s">
        <v>30</v>
      </c>
      <c r="P1369" t="e">
        <f t="shared" si="85"/>
        <v>#VALUE!</v>
      </c>
      <c r="Q1369" t="e">
        <f t="shared" si="86"/>
        <v>#VALUE!</v>
      </c>
      <c r="R1369" t="str">
        <f t="shared" si="87"/>
        <v>No</v>
      </c>
      <c r="S1369" t="s">
        <v>13</v>
      </c>
    </row>
    <row r="1370" spans="1:19" hidden="1" x14ac:dyDescent="0.3">
      <c r="A1370" s="1" t="s">
        <v>136</v>
      </c>
      <c r="B1370" t="s">
        <v>1596</v>
      </c>
      <c r="C1370" t="s">
        <v>1795</v>
      </c>
      <c r="D1370" t="str">
        <f t="shared" si="84"/>
        <v>Male</v>
      </c>
      <c r="E1370" t="s">
        <v>9</v>
      </c>
      <c r="F1370" s="2">
        <v>35</v>
      </c>
      <c r="G1370" s="2" t="str" cm="1">
        <f t="array" ref="G1370">_xlfn.IFS(F1370&lt;=8,"Child",F1370&lt;=17,"Teen",F1370&lt;=35,"Adult",F1370&lt;=55,"Seniour Adult",F1370&gt;=55,"Old Age")</f>
        <v>Adult</v>
      </c>
      <c r="H1370" t="s">
        <v>51</v>
      </c>
      <c r="I1370" t="s">
        <v>28</v>
      </c>
      <c r="J1370" t="str" cm="1">
        <f t="array" ref="J1370">_xlfn.IFS(I1370="S","Southamptom",I1370="Q","Quentown",I1370="C","Cherbrug",I1370="B","Cabin")</f>
        <v>Cabin</v>
      </c>
      <c r="K1370" t="s">
        <v>29</v>
      </c>
      <c r="L1370" s="2">
        <v>33</v>
      </c>
      <c r="M1370" s="2" t="str" cm="1">
        <f t="array" ref="M1370">_xlfn.IFS(L1370&lt;=15,"Low Fare",L1370&lt;=35,"Medium Fare",L1370&lt;=100,"High Fare",L1370&gt;=100,"Very High Fare")</f>
        <v>Medium Fare</v>
      </c>
      <c r="N1370" s="2">
        <v>1</v>
      </c>
      <c r="O1370" s="2" t="s">
        <v>30</v>
      </c>
      <c r="P1370" t="e">
        <f t="shared" si="85"/>
        <v>#VALUE!</v>
      </c>
      <c r="Q1370" t="e">
        <f t="shared" si="86"/>
        <v>#VALUE!</v>
      </c>
      <c r="R1370" t="str">
        <f t="shared" si="87"/>
        <v>No</v>
      </c>
      <c r="S1370" t="s">
        <v>13</v>
      </c>
    </row>
    <row r="1371" spans="1:19" hidden="1" x14ac:dyDescent="0.3">
      <c r="A1371" s="1" t="s">
        <v>137</v>
      </c>
      <c r="B1371" t="s">
        <v>1596</v>
      </c>
      <c r="C1371" t="s">
        <v>2269</v>
      </c>
      <c r="D1371" t="str">
        <f t="shared" si="84"/>
        <v>Male</v>
      </c>
      <c r="E1371" t="s">
        <v>9</v>
      </c>
      <c r="F1371" s="2">
        <v>24</v>
      </c>
      <c r="G1371" s="2" t="str" cm="1">
        <f t="array" ref="G1371">_xlfn.IFS(F1371&lt;=8,"Child",F1371&lt;=17,"Teen",F1371&lt;=35,"Adult",F1371&lt;=55,"Seniour Adult",F1371&gt;=55,"Old Age")</f>
        <v>Adult</v>
      </c>
      <c r="H1371" t="s">
        <v>51</v>
      </c>
      <c r="I1371" t="s">
        <v>11</v>
      </c>
      <c r="J1371" t="str" cm="1">
        <f t="array" ref="J1371">_xlfn.IFS(I1371="S","Southamptom",I1371="Q","Quentown",I1371="C","Cherbrug",I1371="B","Cabin")</f>
        <v>Southamptom</v>
      </c>
      <c r="K1371" t="s">
        <v>15</v>
      </c>
      <c r="L1371" s="2">
        <v>33</v>
      </c>
      <c r="M1371" s="2" t="str" cm="1">
        <f t="array" ref="M1371">_xlfn.IFS(L1371&lt;=15,"Low Fare",L1371&lt;=35,"Medium Fare",L1371&lt;=100,"High Fare",L1371&gt;=100,"Very High Fare")</f>
        <v>Medium Fare</v>
      </c>
      <c r="N1371" s="2">
        <v>1</v>
      </c>
      <c r="O1371" s="2" t="s">
        <v>30</v>
      </c>
      <c r="P1371" t="e">
        <f t="shared" si="85"/>
        <v>#VALUE!</v>
      </c>
      <c r="Q1371" t="e">
        <f t="shared" si="86"/>
        <v>#VALUE!</v>
      </c>
      <c r="R1371" t="str">
        <f t="shared" si="87"/>
        <v>Yes</v>
      </c>
      <c r="S1371" t="s">
        <v>16</v>
      </c>
    </row>
    <row r="1372" spans="1:19" hidden="1" x14ac:dyDescent="0.3">
      <c r="A1372" s="1" t="s">
        <v>999</v>
      </c>
      <c r="B1372" t="s">
        <v>1596</v>
      </c>
      <c r="C1372" t="s">
        <v>2748</v>
      </c>
      <c r="D1372" t="str">
        <f t="shared" si="84"/>
        <v>Male</v>
      </c>
      <c r="E1372" t="s">
        <v>9</v>
      </c>
      <c r="F1372" s="2">
        <v>31</v>
      </c>
      <c r="G1372" s="2" t="str" cm="1">
        <f t="array" ref="G1372">_xlfn.IFS(F1372&lt;=8,"Child",F1372&lt;=17,"Teen",F1372&lt;=35,"Adult",F1372&lt;=55,"Seniour Adult",F1372&gt;=55,"Old Age")</f>
        <v>Adult</v>
      </c>
      <c r="H1372" t="s">
        <v>69</v>
      </c>
      <c r="I1372" t="s">
        <v>11</v>
      </c>
      <c r="J1372" t="str" cm="1">
        <f t="array" ref="J1372">_xlfn.IFS(I1372="S","Southamptom",I1372="Q","Quentown",I1372="C","Cherbrug",I1372="B","Cabin")</f>
        <v>Southamptom</v>
      </c>
      <c r="K1372" t="s">
        <v>15</v>
      </c>
      <c r="L1372" s="2">
        <v>33</v>
      </c>
      <c r="M1372" s="2" t="str" cm="1">
        <f t="array" ref="M1372">_xlfn.IFS(L1372&lt;=15,"Low Fare",L1372&lt;=35,"Medium Fare",L1372&lt;=100,"High Fare",L1372&gt;=100,"Very High Fare")</f>
        <v>Medium Fare</v>
      </c>
      <c r="N1372" s="2">
        <v>1</v>
      </c>
      <c r="O1372" s="2" t="s">
        <v>30</v>
      </c>
      <c r="P1372" t="e">
        <f t="shared" si="85"/>
        <v>#VALUE!</v>
      </c>
      <c r="Q1372" t="e">
        <f t="shared" si="86"/>
        <v>#VALUE!</v>
      </c>
      <c r="R1372" t="str">
        <f t="shared" si="87"/>
        <v>No</v>
      </c>
      <c r="S1372" t="s">
        <v>13</v>
      </c>
    </row>
    <row r="1373" spans="1:19" hidden="1" x14ac:dyDescent="0.3">
      <c r="A1373" s="1" t="s">
        <v>1000</v>
      </c>
      <c r="B1373" t="s">
        <v>1596</v>
      </c>
      <c r="C1373" t="s">
        <v>2749</v>
      </c>
      <c r="D1373" t="str">
        <f t="shared" si="84"/>
        <v>Male</v>
      </c>
      <c r="E1373" t="s">
        <v>9</v>
      </c>
      <c r="F1373" s="2">
        <v>35</v>
      </c>
      <c r="G1373" s="2" t="str" cm="1">
        <f t="array" ref="G1373">_xlfn.IFS(F1373&lt;=8,"Child",F1373&lt;=17,"Teen",F1373&lt;=35,"Adult",F1373&lt;=55,"Seniour Adult",F1373&gt;=55,"Old Age")</f>
        <v>Adult</v>
      </c>
      <c r="H1373" t="s">
        <v>69</v>
      </c>
      <c r="I1373" t="s">
        <v>11</v>
      </c>
      <c r="J1373" t="str" cm="1">
        <f t="array" ref="J1373">_xlfn.IFS(I1373="S","Southamptom",I1373="Q","Quentown",I1373="C","Cherbrug",I1373="B","Cabin")</f>
        <v>Southamptom</v>
      </c>
      <c r="K1373" t="s">
        <v>15</v>
      </c>
      <c r="L1373" s="2">
        <v>33</v>
      </c>
      <c r="M1373" s="2" t="str" cm="1">
        <f t="array" ref="M1373">_xlfn.IFS(L1373&lt;=15,"Low Fare",L1373&lt;=35,"Medium Fare",L1373&lt;=100,"High Fare",L1373&gt;=100,"Very High Fare")</f>
        <v>Medium Fare</v>
      </c>
      <c r="N1373" s="2">
        <v>1</v>
      </c>
      <c r="O1373" s="2" t="s">
        <v>30</v>
      </c>
      <c r="P1373" t="e">
        <f t="shared" si="85"/>
        <v>#VALUE!</v>
      </c>
      <c r="Q1373" t="e">
        <f t="shared" si="86"/>
        <v>#VALUE!</v>
      </c>
      <c r="R1373" t="str">
        <f t="shared" si="87"/>
        <v>No</v>
      </c>
      <c r="S1373" t="s">
        <v>13</v>
      </c>
    </row>
    <row r="1374" spans="1:19" hidden="1" x14ac:dyDescent="0.3">
      <c r="A1374" s="1" t="s">
        <v>1001</v>
      </c>
      <c r="B1374" t="s">
        <v>1596</v>
      </c>
      <c r="C1374" t="s">
        <v>1619</v>
      </c>
      <c r="D1374" t="str">
        <f t="shared" si="84"/>
        <v>Male</v>
      </c>
      <c r="E1374" t="s">
        <v>9</v>
      </c>
      <c r="F1374" s="2">
        <v>19</v>
      </c>
      <c r="G1374" s="2" t="str" cm="1">
        <f t="array" ref="G1374">_xlfn.IFS(F1374&lt;=8,"Child",F1374&lt;=17,"Teen",F1374&lt;=35,"Adult",F1374&lt;=55,"Seniour Adult",F1374&gt;=55,"Old Age")</f>
        <v>Adult</v>
      </c>
      <c r="H1374" t="s">
        <v>69</v>
      </c>
      <c r="I1374" t="s">
        <v>11</v>
      </c>
      <c r="J1374" t="str" cm="1">
        <f t="array" ref="J1374">_xlfn.IFS(I1374="S","Southamptom",I1374="Q","Quentown",I1374="C","Cherbrug",I1374="B","Cabin")</f>
        <v>Southamptom</v>
      </c>
      <c r="K1374" t="s">
        <v>15</v>
      </c>
      <c r="L1374" s="2">
        <v>33</v>
      </c>
      <c r="M1374" s="2" t="str" cm="1">
        <f t="array" ref="M1374">_xlfn.IFS(L1374&lt;=15,"Low Fare",L1374&lt;=35,"Medium Fare",L1374&lt;=100,"High Fare",L1374&gt;=100,"Very High Fare")</f>
        <v>Medium Fare</v>
      </c>
      <c r="N1374" s="2">
        <v>1</v>
      </c>
      <c r="O1374" s="2" t="s">
        <v>30</v>
      </c>
      <c r="P1374" t="e">
        <f t="shared" si="85"/>
        <v>#VALUE!</v>
      </c>
      <c r="Q1374" t="e">
        <f t="shared" si="86"/>
        <v>#VALUE!</v>
      </c>
      <c r="R1374" t="str">
        <f t="shared" si="87"/>
        <v>No</v>
      </c>
      <c r="S1374" t="s">
        <v>13</v>
      </c>
    </row>
    <row r="1375" spans="1:19" hidden="1" x14ac:dyDescent="0.3">
      <c r="A1375" s="1" t="s">
        <v>1002</v>
      </c>
      <c r="B1375" t="s">
        <v>1596</v>
      </c>
      <c r="C1375" t="s">
        <v>1795</v>
      </c>
      <c r="D1375" t="str">
        <f t="shared" si="84"/>
        <v>Male</v>
      </c>
      <c r="E1375" t="s">
        <v>9</v>
      </c>
      <c r="F1375" s="2">
        <v>51</v>
      </c>
      <c r="G1375" s="2" t="str" cm="1">
        <f t="array" ref="G1375">_xlfn.IFS(F1375&lt;=8,"Child",F1375&lt;=17,"Teen",F1375&lt;=35,"Adult",F1375&lt;=55,"Seniour Adult",F1375&gt;=55,"Old Age")</f>
        <v>Seniour Adult</v>
      </c>
      <c r="H1375" t="s">
        <v>51</v>
      </c>
      <c r="I1375" t="s">
        <v>28</v>
      </c>
      <c r="J1375" t="str" cm="1">
        <f t="array" ref="J1375">_xlfn.IFS(I1375="S","Southamptom",I1375="Q","Quentown",I1375="C","Cherbrug",I1375="B","Cabin")</f>
        <v>Cabin</v>
      </c>
      <c r="K1375" t="s">
        <v>15</v>
      </c>
      <c r="L1375" s="2">
        <v>33</v>
      </c>
      <c r="M1375" s="2" t="str" cm="1">
        <f t="array" ref="M1375">_xlfn.IFS(L1375&lt;=15,"Low Fare",L1375&lt;=35,"Medium Fare",L1375&lt;=100,"High Fare",L1375&gt;=100,"Very High Fare")</f>
        <v>Medium Fare</v>
      </c>
      <c r="N1375" s="2">
        <v>1</v>
      </c>
      <c r="O1375" s="2" t="s">
        <v>30</v>
      </c>
      <c r="P1375" t="e">
        <f t="shared" si="85"/>
        <v>#VALUE!</v>
      </c>
      <c r="Q1375" t="e">
        <f t="shared" si="86"/>
        <v>#VALUE!</v>
      </c>
      <c r="R1375" t="str">
        <f t="shared" si="87"/>
        <v>No</v>
      </c>
      <c r="S1375" t="s">
        <v>13</v>
      </c>
    </row>
    <row r="1376" spans="1:19" hidden="1" x14ac:dyDescent="0.3">
      <c r="A1376" s="1" t="s">
        <v>1003</v>
      </c>
      <c r="B1376" t="s">
        <v>1596</v>
      </c>
      <c r="C1376" t="s">
        <v>1945</v>
      </c>
      <c r="D1376" t="str">
        <f t="shared" si="84"/>
        <v>Male</v>
      </c>
      <c r="E1376" t="s">
        <v>9</v>
      </c>
      <c r="F1376" s="2">
        <v>24</v>
      </c>
      <c r="G1376" s="2" t="str" cm="1">
        <f t="array" ref="G1376">_xlfn.IFS(F1376&lt;=8,"Child",F1376&lt;=17,"Teen",F1376&lt;=35,"Adult",F1376&lt;=55,"Seniour Adult",F1376&gt;=55,"Old Age")</f>
        <v>Adult</v>
      </c>
      <c r="H1376" t="s">
        <v>51</v>
      </c>
      <c r="I1376" t="s">
        <v>11</v>
      </c>
      <c r="J1376" t="str" cm="1">
        <f t="array" ref="J1376">_xlfn.IFS(I1376="S","Southamptom",I1376="Q","Quentown",I1376="C","Cherbrug",I1376="B","Cabin")</f>
        <v>Southamptom</v>
      </c>
      <c r="K1376" t="s">
        <v>15</v>
      </c>
      <c r="L1376" s="2">
        <v>33</v>
      </c>
      <c r="M1376" s="2" t="str" cm="1">
        <f t="array" ref="M1376">_xlfn.IFS(L1376&lt;=15,"Low Fare",L1376&lt;=35,"Medium Fare",L1376&lt;=100,"High Fare",L1376&gt;=100,"Very High Fare")</f>
        <v>Medium Fare</v>
      </c>
      <c r="N1376" s="2">
        <v>1</v>
      </c>
      <c r="O1376" s="2" t="s">
        <v>30</v>
      </c>
      <c r="P1376" t="e">
        <f t="shared" si="85"/>
        <v>#VALUE!</v>
      </c>
      <c r="Q1376" t="e">
        <f t="shared" si="86"/>
        <v>#VALUE!</v>
      </c>
      <c r="R1376" t="str">
        <f t="shared" si="87"/>
        <v>No</v>
      </c>
      <c r="S1376" t="s">
        <v>13</v>
      </c>
    </row>
    <row r="1377" spans="1:19" hidden="1" x14ac:dyDescent="0.3">
      <c r="A1377" s="1" t="s">
        <v>1004</v>
      </c>
      <c r="B1377" t="s">
        <v>1596</v>
      </c>
      <c r="C1377" t="s">
        <v>2750</v>
      </c>
      <c r="D1377" t="str">
        <f t="shared" si="84"/>
        <v>Male</v>
      </c>
      <c r="E1377" t="s">
        <v>9</v>
      </c>
      <c r="F1377" s="2">
        <v>30</v>
      </c>
      <c r="G1377" s="2" t="str" cm="1">
        <f t="array" ref="G1377">_xlfn.IFS(F1377&lt;=8,"Child",F1377&lt;=17,"Teen",F1377&lt;=35,"Adult",F1377&lt;=55,"Seniour Adult",F1377&gt;=55,"Old Age")</f>
        <v>Adult</v>
      </c>
      <c r="H1377" t="s">
        <v>69</v>
      </c>
      <c r="I1377" t="s">
        <v>11</v>
      </c>
      <c r="J1377" t="str" cm="1">
        <f t="array" ref="J1377">_xlfn.IFS(I1377="S","Southamptom",I1377="Q","Quentown",I1377="C","Cherbrug",I1377="B","Cabin")</f>
        <v>Southamptom</v>
      </c>
      <c r="K1377" t="s">
        <v>15</v>
      </c>
      <c r="L1377" s="2">
        <v>33</v>
      </c>
      <c r="M1377" s="2" t="str" cm="1">
        <f t="array" ref="M1377">_xlfn.IFS(L1377&lt;=15,"Low Fare",L1377&lt;=35,"Medium Fare",L1377&lt;=100,"High Fare",L1377&gt;=100,"Very High Fare")</f>
        <v>Medium Fare</v>
      </c>
      <c r="N1377" s="2">
        <v>1</v>
      </c>
      <c r="O1377" s="2" t="s">
        <v>30</v>
      </c>
      <c r="P1377" t="e">
        <f t="shared" si="85"/>
        <v>#VALUE!</v>
      </c>
      <c r="Q1377" t="e">
        <f t="shared" si="86"/>
        <v>#VALUE!</v>
      </c>
      <c r="R1377" t="str">
        <f t="shared" si="87"/>
        <v>No</v>
      </c>
      <c r="S1377" t="s">
        <v>13</v>
      </c>
    </row>
    <row r="1378" spans="1:19" hidden="1" x14ac:dyDescent="0.3">
      <c r="A1378" s="1" t="s">
        <v>1005</v>
      </c>
      <c r="B1378" t="s">
        <v>1596</v>
      </c>
      <c r="C1378" t="s">
        <v>2751</v>
      </c>
      <c r="D1378" t="str">
        <f t="shared" si="84"/>
        <v>Male</v>
      </c>
      <c r="E1378" t="s">
        <v>9</v>
      </c>
      <c r="F1378" s="2">
        <v>30</v>
      </c>
      <c r="G1378" s="2" t="str" cm="1">
        <f t="array" ref="G1378">_xlfn.IFS(F1378&lt;=8,"Child",F1378&lt;=17,"Teen",F1378&lt;=35,"Adult",F1378&lt;=55,"Seniour Adult",F1378&gt;=55,"Old Age")</f>
        <v>Adult</v>
      </c>
      <c r="H1378" t="s">
        <v>51</v>
      </c>
      <c r="I1378" t="s">
        <v>11</v>
      </c>
      <c r="J1378" t="str" cm="1">
        <f t="array" ref="J1378">_xlfn.IFS(I1378="S","Southamptom",I1378="Q","Quentown",I1378="C","Cherbrug",I1378="B","Cabin")</f>
        <v>Southamptom</v>
      </c>
      <c r="K1378" t="s">
        <v>15</v>
      </c>
      <c r="L1378" s="2">
        <v>33</v>
      </c>
      <c r="M1378" s="2" t="str" cm="1">
        <f t="array" ref="M1378">_xlfn.IFS(L1378&lt;=15,"Low Fare",L1378&lt;=35,"Medium Fare",L1378&lt;=100,"High Fare",L1378&gt;=100,"Very High Fare")</f>
        <v>Medium Fare</v>
      </c>
      <c r="N1378" s="2">
        <v>1</v>
      </c>
      <c r="O1378" s="2" t="s">
        <v>30</v>
      </c>
      <c r="P1378" t="e">
        <f t="shared" si="85"/>
        <v>#VALUE!</v>
      </c>
      <c r="Q1378" t="e">
        <f t="shared" si="86"/>
        <v>#VALUE!</v>
      </c>
      <c r="R1378" t="str">
        <f t="shared" si="87"/>
        <v>No</v>
      </c>
      <c r="S1378" t="s">
        <v>13</v>
      </c>
    </row>
    <row r="1379" spans="1:19" hidden="1" x14ac:dyDescent="0.3">
      <c r="A1379" s="1" t="s">
        <v>1005</v>
      </c>
      <c r="B1379" t="s">
        <v>1600</v>
      </c>
      <c r="C1379" t="s">
        <v>2553</v>
      </c>
      <c r="D1379" t="str">
        <f t="shared" si="84"/>
        <v>Female</v>
      </c>
      <c r="E1379" t="s">
        <v>14</v>
      </c>
      <c r="F1379" s="2">
        <v>33</v>
      </c>
      <c r="G1379" s="2" t="str" cm="1">
        <f t="array" ref="G1379">_xlfn.IFS(F1379&lt;=8,"Child",F1379&lt;=17,"Teen",F1379&lt;=35,"Adult",F1379&lt;=55,"Seniour Adult",F1379&gt;=55,"Old Age")</f>
        <v>Adult</v>
      </c>
      <c r="H1379" t="s">
        <v>69</v>
      </c>
      <c r="I1379" t="s">
        <v>11</v>
      </c>
      <c r="J1379" t="str" cm="1">
        <f t="array" ref="J1379">_xlfn.IFS(I1379="S","Southamptom",I1379="Q","Quentown",I1379="C","Cherbrug",I1379="B","Cabin")</f>
        <v>Southamptom</v>
      </c>
      <c r="K1379" t="s">
        <v>15</v>
      </c>
      <c r="L1379" s="2">
        <v>33</v>
      </c>
      <c r="M1379" s="2" t="str" cm="1">
        <f t="array" ref="M1379">_xlfn.IFS(L1379&lt;=15,"Low Fare",L1379&lt;=35,"Medium Fare",L1379&lt;=100,"High Fare",L1379&gt;=100,"Very High Fare")</f>
        <v>Medium Fare</v>
      </c>
      <c r="N1379" s="2">
        <v>1</v>
      </c>
      <c r="O1379" s="2" t="s">
        <v>30</v>
      </c>
      <c r="P1379" t="e">
        <f t="shared" si="85"/>
        <v>#VALUE!</v>
      </c>
      <c r="Q1379" t="e">
        <f t="shared" si="86"/>
        <v>#VALUE!</v>
      </c>
      <c r="R1379" t="str">
        <f t="shared" si="87"/>
        <v>Yes</v>
      </c>
      <c r="S1379" t="s">
        <v>16</v>
      </c>
    </row>
    <row r="1380" spans="1:19" hidden="1" x14ac:dyDescent="0.3">
      <c r="A1380" s="1" t="s">
        <v>1006</v>
      </c>
      <c r="B1380" t="s">
        <v>1596</v>
      </c>
      <c r="C1380" t="s">
        <v>1700</v>
      </c>
      <c r="D1380" t="str">
        <f t="shared" si="84"/>
        <v>Male</v>
      </c>
      <c r="E1380" t="s">
        <v>9</v>
      </c>
      <c r="F1380" s="2">
        <v>47</v>
      </c>
      <c r="G1380" s="2" t="str" cm="1">
        <f t="array" ref="G1380">_xlfn.IFS(F1380&lt;=8,"Child",F1380&lt;=17,"Teen",F1380&lt;=35,"Adult",F1380&lt;=55,"Seniour Adult",F1380&gt;=55,"Old Age")</f>
        <v>Seniour Adult</v>
      </c>
      <c r="H1380" t="s">
        <v>51</v>
      </c>
      <c r="I1380" t="s">
        <v>11</v>
      </c>
      <c r="J1380" t="str" cm="1">
        <f t="array" ref="J1380">_xlfn.IFS(I1380="S","Southamptom",I1380="Q","Quentown",I1380="C","Cherbrug",I1380="B","Cabin")</f>
        <v>Southamptom</v>
      </c>
      <c r="K1380" t="s">
        <v>15</v>
      </c>
      <c r="L1380" s="2">
        <v>33</v>
      </c>
      <c r="M1380" s="2" t="str" cm="1">
        <f t="array" ref="M1380">_xlfn.IFS(L1380&lt;=15,"Low Fare",L1380&lt;=35,"Medium Fare",L1380&lt;=100,"High Fare",L1380&gt;=100,"Very High Fare")</f>
        <v>Medium Fare</v>
      </c>
      <c r="N1380" s="2">
        <v>1</v>
      </c>
      <c r="O1380" s="2" t="s">
        <v>30</v>
      </c>
      <c r="P1380" t="e">
        <f t="shared" si="85"/>
        <v>#VALUE!</v>
      </c>
      <c r="Q1380" t="e">
        <f t="shared" si="86"/>
        <v>#VALUE!</v>
      </c>
      <c r="R1380" t="str">
        <f t="shared" si="87"/>
        <v>No</v>
      </c>
      <c r="S1380" t="s">
        <v>13</v>
      </c>
    </row>
    <row r="1381" spans="1:19" hidden="1" x14ac:dyDescent="0.3">
      <c r="A1381" s="1" t="s">
        <v>1007</v>
      </c>
      <c r="B1381" t="s">
        <v>2719</v>
      </c>
      <c r="C1381" t="s">
        <v>2752</v>
      </c>
      <c r="D1381" t="str">
        <f t="shared" si="84"/>
        <v>Male</v>
      </c>
      <c r="E1381" t="s">
        <v>9</v>
      </c>
      <c r="F1381" s="2">
        <v>22</v>
      </c>
      <c r="G1381" s="2" t="str" cm="1">
        <f t="array" ref="G1381">_xlfn.IFS(F1381&lt;=8,"Child",F1381&lt;=17,"Teen",F1381&lt;=35,"Adult",F1381&lt;=55,"Seniour Adult",F1381&gt;=55,"Old Age")</f>
        <v>Adult</v>
      </c>
      <c r="H1381" t="s">
        <v>70</v>
      </c>
      <c r="I1381" t="s">
        <v>11</v>
      </c>
      <c r="J1381" t="str" cm="1">
        <f t="array" ref="J1381">_xlfn.IFS(I1381="S","Southamptom",I1381="Q","Quentown",I1381="C","Cherbrug",I1381="B","Cabin")</f>
        <v>Southamptom</v>
      </c>
      <c r="K1381" t="s">
        <v>15</v>
      </c>
      <c r="L1381" s="2">
        <v>33</v>
      </c>
      <c r="M1381" s="2" t="str" cm="1">
        <f t="array" ref="M1381">_xlfn.IFS(L1381&lt;=15,"Low Fare",L1381&lt;=35,"Medium Fare",L1381&lt;=100,"High Fare",L1381&gt;=100,"Very High Fare")</f>
        <v>Medium Fare</v>
      </c>
      <c r="N1381" s="2">
        <v>1</v>
      </c>
      <c r="O1381" s="2" t="s">
        <v>30</v>
      </c>
      <c r="P1381" t="e">
        <f t="shared" si="85"/>
        <v>#VALUE!</v>
      </c>
      <c r="Q1381" t="e">
        <f t="shared" si="86"/>
        <v>#VALUE!</v>
      </c>
      <c r="R1381" t="str">
        <f t="shared" si="87"/>
        <v>No</v>
      </c>
      <c r="S1381" t="s">
        <v>13</v>
      </c>
    </row>
    <row r="1382" spans="1:19" hidden="1" x14ac:dyDescent="0.3">
      <c r="A1382" s="1" t="s">
        <v>1008</v>
      </c>
      <c r="B1382" t="s">
        <v>1596</v>
      </c>
      <c r="C1382" t="s">
        <v>1700</v>
      </c>
      <c r="D1382" t="str">
        <f t="shared" si="84"/>
        <v>Male</v>
      </c>
      <c r="E1382" t="s">
        <v>9</v>
      </c>
      <c r="F1382" s="2">
        <v>31</v>
      </c>
      <c r="G1382" s="2" t="str" cm="1">
        <f t="array" ref="G1382">_xlfn.IFS(F1382&lt;=8,"Child",F1382&lt;=17,"Teen",F1382&lt;=35,"Adult",F1382&lt;=55,"Seniour Adult",F1382&gt;=55,"Old Age")</f>
        <v>Adult</v>
      </c>
      <c r="H1382" t="s">
        <v>69</v>
      </c>
      <c r="I1382" t="s">
        <v>11</v>
      </c>
      <c r="J1382" t="str" cm="1">
        <f t="array" ref="J1382">_xlfn.IFS(I1382="S","Southamptom",I1382="Q","Quentown",I1382="C","Cherbrug",I1382="B","Cabin")</f>
        <v>Southamptom</v>
      </c>
      <c r="K1382" t="s">
        <v>15</v>
      </c>
      <c r="L1382" s="2">
        <v>33</v>
      </c>
      <c r="M1382" s="2" t="str" cm="1">
        <f t="array" ref="M1382">_xlfn.IFS(L1382&lt;=15,"Low Fare",L1382&lt;=35,"Medium Fare",L1382&lt;=100,"High Fare",L1382&gt;=100,"Very High Fare")</f>
        <v>Medium Fare</v>
      </c>
      <c r="N1382" s="2">
        <v>1</v>
      </c>
      <c r="O1382" s="2" t="s">
        <v>30</v>
      </c>
      <c r="P1382" t="e">
        <f t="shared" si="85"/>
        <v>#VALUE!</v>
      </c>
      <c r="Q1382" t="e">
        <f t="shared" si="86"/>
        <v>#VALUE!</v>
      </c>
      <c r="R1382" t="str">
        <f t="shared" si="87"/>
        <v>No</v>
      </c>
      <c r="S1382" t="s">
        <v>13</v>
      </c>
    </row>
    <row r="1383" spans="1:19" hidden="1" x14ac:dyDescent="0.3">
      <c r="A1383" s="1" t="s">
        <v>1008</v>
      </c>
      <c r="B1383" t="s">
        <v>1596</v>
      </c>
      <c r="C1383" t="s">
        <v>2753</v>
      </c>
      <c r="D1383" t="str">
        <f t="shared" si="84"/>
        <v>Male</v>
      </c>
      <c r="E1383" t="s">
        <v>9</v>
      </c>
      <c r="F1383" s="2">
        <v>39</v>
      </c>
      <c r="G1383" s="2" t="str" cm="1">
        <f t="array" ref="G1383">_xlfn.IFS(F1383&lt;=8,"Child",F1383&lt;=17,"Teen",F1383&lt;=35,"Adult",F1383&lt;=55,"Seniour Adult",F1383&gt;=55,"Old Age")</f>
        <v>Seniour Adult</v>
      </c>
      <c r="H1383" t="s">
        <v>51</v>
      </c>
      <c r="I1383" t="s">
        <v>11</v>
      </c>
      <c r="J1383" t="str" cm="1">
        <f t="array" ref="J1383">_xlfn.IFS(I1383="S","Southamptom",I1383="Q","Quentown",I1383="C","Cherbrug",I1383="B","Cabin")</f>
        <v>Southamptom</v>
      </c>
      <c r="K1383" t="s">
        <v>15</v>
      </c>
      <c r="L1383" s="2">
        <v>33</v>
      </c>
      <c r="M1383" s="2" t="str" cm="1">
        <f t="array" ref="M1383">_xlfn.IFS(L1383&lt;=15,"Low Fare",L1383&lt;=35,"Medium Fare",L1383&lt;=100,"High Fare",L1383&gt;=100,"Very High Fare")</f>
        <v>Medium Fare</v>
      </c>
      <c r="N1383" s="2">
        <v>1</v>
      </c>
      <c r="O1383" s="2" t="s">
        <v>30</v>
      </c>
      <c r="P1383" t="e">
        <f t="shared" si="85"/>
        <v>#VALUE!</v>
      </c>
      <c r="Q1383" t="e">
        <f t="shared" si="86"/>
        <v>#VALUE!</v>
      </c>
      <c r="R1383" t="str">
        <f t="shared" si="87"/>
        <v>No</v>
      </c>
      <c r="S1383" t="s">
        <v>13</v>
      </c>
    </row>
    <row r="1384" spans="1:19" hidden="1" x14ac:dyDescent="0.3">
      <c r="A1384" s="1" t="s">
        <v>1009</v>
      </c>
      <c r="B1384" t="s">
        <v>1596</v>
      </c>
      <c r="C1384" t="s">
        <v>2754</v>
      </c>
      <c r="D1384" t="str">
        <f t="shared" si="84"/>
        <v>Male</v>
      </c>
      <c r="E1384" t="s">
        <v>9</v>
      </c>
      <c r="F1384" s="2">
        <v>40</v>
      </c>
      <c r="G1384" s="2" t="str" cm="1">
        <f t="array" ref="G1384">_xlfn.IFS(F1384&lt;=8,"Child",F1384&lt;=17,"Teen",F1384&lt;=35,"Adult",F1384&lt;=55,"Seniour Adult",F1384&gt;=55,"Old Age")</f>
        <v>Seniour Adult</v>
      </c>
      <c r="H1384" t="s">
        <v>69</v>
      </c>
      <c r="I1384" t="s">
        <v>28</v>
      </c>
      <c r="J1384" t="str" cm="1">
        <f t="array" ref="J1384">_xlfn.IFS(I1384="S","Southamptom",I1384="Q","Quentown",I1384="C","Cherbrug",I1384="B","Cabin")</f>
        <v>Cabin</v>
      </c>
      <c r="K1384" t="s">
        <v>15</v>
      </c>
      <c r="L1384" s="2">
        <v>33</v>
      </c>
      <c r="M1384" s="2" t="str" cm="1">
        <f t="array" ref="M1384">_xlfn.IFS(L1384&lt;=15,"Low Fare",L1384&lt;=35,"Medium Fare",L1384&lt;=100,"High Fare",L1384&gt;=100,"Very High Fare")</f>
        <v>Medium Fare</v>
      </c>
      <c r="N1384" s="2">
        <v>1</v>
      </c>
      <c r="O1384" s="2" t="s">
        <v>30</v>
      </c>
      <c r="P1384" t="e">
        <f t="shared" si="85"/>
        <v>#VALUE!</v>
      </c>
      <c r="Q1384" t="e">
        <f t="shared" si="86"/>
        <v>#VALUE!</v>
      </c>
      <c r="R1384" t="str">
        <f t="shared" si="87"/>
        <v>No</v>
      </c>
      <c r="S1384" t="s">
        <v>13</v>
      </c>
    </row>
    <row r="1385" spans="1:19" hidden="1" x14ac:dyDescent="0.3">
      <c r="A1385" s="1" t="s">
        <v>1010</v>
      </c>
      <c r="B1385" t="s">
        <v>1596</v>
      </c>
      <c r="C1385" t="s">
        <v>1824</v>
      </c>
      <c r="D1385" t="str">
        <f t="shared" si="84"/>
        <v>Male</v>
      </c>
      <c r="E1385" t="s">
        <v>9</v>
      </c>
      <c r="F1385" s="2">
        <v>26</v>
      </c>
      <c r="G1385" s="2" t="str" cm="1">
        <f t="array" ref="G1385">_xlfn.IFS(F1385&lt;=8,"Child",F1385&lt;=17,"Teen",F1385&lt;=35,"Adult",F1385&lt;=55,"Seniour Adult",F1385&gt;=55,"Old Age")</f>
        <v>Adult</v>
      </c>
      <c r="H1385" t="s">
        <v>70</v>
      </c>
      <c r="I1385" t="s">
        <v>11</v>
      </c>
      <c r="J1385" t="str" cm="1">
        <f t="array" ref="J1385">_xlfn.IFS(I1385="S","Southamptom",I1385="Q","Quentown",I1385="C","Cherbrug",I1385="B","Cabin")</f>
        <v>Southamptom</v>
      </c>
      <c r="K1385" t="s">
        <v>15</v>
      </c>
      <c r="L1385" s="2">
        <v>33</v>
      </c>
      <c r="M1385" s="2" t="str" cm="1">
        <f t="array" ref="M1385">_xlfn.IFS(L1385&lt;=15,"Low Fare",L1385&lt;=35,"Medium Fare",L1385&lt;=100,"High Fare",L1385&gt;=100,"Very High Fare")</f>
        <v>Medium Fare</v>
      </c>
      <c r="N1385" s="2">
        <v>1</v>
      </c>
      <c r="O1385" s="2" t="s">
        <v>30</v>
      </c>
      <c r="P1385" t="e">
        <f t="shared" si="85"/>
        <v>#VALUE!</v>
      </c>
      <c r="Q1385" t="e">
        <f t="shared" si="86"/>
        <v>#VALUE!</v>
      </c>
      <c r="R1385" t="str">
        <f t="shared" si="87"/>
        <v>No</v>
      </c>
      <c r="S1385" t="s">
        <v>13</v>
      </c>
    </row>
    <row r="1386" spans="1:19" hidden="1" x14ac:dyDescent="0.3">
      <c r="A1386" s="1" t="s">
        <v>1011</v>
      </c>
      <c r="B1386" t="s">
        <v>1596</v>
      </c>
      <c r="C1386" t="s">
        <v>2755</v>
      </c>
      <c r="D1386" t="str">
        <f t="shared" si="84"/>
        <v>Male</v>
      </c>
      <c r="E1386" t="s">
        <v>9</v>
      </c>
      <c r="F1386" s="2">
        <v>22</v>
      </c>
      <c r="G1386" s="2" t="str" cm="1">
        <f t="array" ref="G1386">_xlfn.IFS(F1386&lt;=8,"Child",F1386&lt;=17,"Teen",F1386&lt;=35,"Adult",F1386&lt;=55,"Seniour Adult",F1386&gt;=55,"Old Age")</f>
        <v>Adult</v>
      </c>
      <c r="H1386" t="s">
        <v>51</v>
      </c>
      <c r="I1386" t="s">
        <v>11</v>
      </c>
      <c r="J1386" t="str" cm="1">
        <f t="array" ref="J1386">_xlfn.IFS(I1386="S","Southamptom",I1386="Q","Quentown",I1386="C","Cherbrug",I1386="B","Cabin")</f>
        <v>Southamptom</v>
      </c>
      <c r="K1386" t="s">
        <v>15</v>
      </c>
      <c r="L1386" s="2">
        <v>33</v>
      </c>
      <c r="M1386" s="2" t="str" cm="1">
        <f t="array" ref="M1386">_xlfn.IFS(L1386&lt;=15,"Low Fare",L1386&lt;=35,"Medium Fare",L1386&lt;=100,"High Fare",L1386&gt;=100,"Very High Fare")</f>
        <v>Medium Fare</v>
      </c>
      <c r="N1386" s="2">
        <v>1</v>
      </c>
      <c r="O1386" s="2" t="s">
        <v>30</v>
      </c>
      <c r="P1386" t="e">
        <f t="shared" si="85"/>
        <v>#VALUE!</v>
      </c>
      <c r="Q1386" t="e">
        <f t="shared" si="86"/>
        <v>#VALUE!</v>
      </c>
      <c r="R1386" t="str">
        <f t="shared" si="87"/>
        <v>No</v>
      </c>
      <c r="S1386" t="s">
        <v>13</v>
      </c>
    </row>
    <row r="1387" spans="1:19" hidden="1" x14ac:dyDescent="0.3">
      <c r="A1387" s="1" t="s">
        <v>1012</v>
      </c>
      <c r="B1387" t="s">
        <v>1596</v>
      </c>
      <c r="C1387" t="s">
        <v>1846</v>
      </c>
      <c r="D1387" t="str">
        <f t="shared" si="84"/>
        <v>Male</v>
      </c>
      <c r="E1387" t="s">
        <v>9</v>
      </c>
      <c r="F1387" s="2">
        <v>31</v>
      </c>
      <c r="G1387" s="2" t="str" cm="1">
        <f t="array" ref="G1387">_xlfn.IFS(F1387&lt;=8,"Child",F1387&lt;=17,"Teen",F1387&lt;=35,"Adult",F1387&lt;=55,"Seniour Adult",F1387&gt;=55,"Old Age")</f>
        <v>Adult</v>
      </c>
      <c r="H1387" t="s">
        <v>51</v>
      </c>
      <c r="I1387" t="s">
        <v>11</v>
      </c>
      <c r="J1387" t="str" cm="1">
        <f t="array" ref="J1387">_xlfn.IFS(I1387="S","Southamptom",I1387="Q","Quentown",I1387="C","Cherbrug",I1387="B","Cabin")</f>
        <v>Southamptom</v>
      </c>
      <c r="K1387" t="s">
        <v>15</v>
      </c>
      <c r="L1387" s="2">
        <v>33</v>
      </c>
      <c r="M1387" s="2" t="str" cm="1">
        <f t="array" ref="M1387">_xlfn.IFS(L1387&lt;=15,"Low Fare",L1387&lt;=35,"Medium Fare",L1387&lt;=100,"High Fare",L1387&gt;=100,"Very High Fare")</f>
        <v>Medium Fare</v>
      </c>
      <c r="N1387" s="2">
        <v>1</v>
      </c>
      <c r="O1387" s="2" t="s">
        <v>30</v>
      </c>
      <c r="P1387" t="e">
        <f t="shared" si="85"/>
        <v>#VALUE!</v>
      </c>
      <c r="Q1387" t="e">
        <f t="shared" si="86"/>
        <v>#VALUE!</v>
      </c>
      <c r="R1387" t="str">
        <f t="shared" si="87"/>
        <v>No</v>
      </c>
      <c r="S1387" t="s">
        <v>13</v>
      </c>
    </row>
    <row r="1388" spans="1:19" hidden="1" x14ac:dyDescent="0.3">
      <c r="A1388" s="1" t="s">
        <v>1013</v>
      </c>
      <c r="B1388" t="s">
        <v>1596</v>
      </c>
      <c r="C1388" t="s">
        <v>2756</v>
      </c>
      <c r="D1388" t="str">
        <f t="shared" si="84"/>
        <v>Male</v>
      </c>
      <c r="E1388" t="s">
        <v>9</v>
      </c>
      <c r="F1388" s="2">
        <v>28</v>
      </c>
      <c r="G1388" s="2" t="str" cm="1">
        <f t="array" ref="G1388">_xlfn.IFS(F1388&lt;=8,"Child",F1388&lt;=17,"Teen",F1388&lt;=35,"Adult",F1388&lt;=55,"Seniour Adult",F1388&gt;=55,"Old Age")</f>
        <v>Adult</v>
      </c>
      <c r="H1388" t="s">
        <v>70</v>
      </c>
      <c r="I1388" t="s">
        <v>11</v>
      </c>
      <c r="J1388" t="str" cm="1">
        <f t="array" ref="J1388">_xlfn.IFS(I1388="S","Southamptom",I1388="Q","Quentown",I1388="C","Cherbrug",I1388="B","Cabin")</f>
        <v>Southamptom</v>
      </c>
      <c r="K1388" t="s">
        <v>15</v>
      </c>
      <c r="L1388" s="2">
        <v>33</v>
      </c>
      <c r="M1388" s="2" t="str" cm="1">
        <f t="array" ref="M1388">_xlfn.IFS(L1388&lt;=15,"Low Fare",L1388&lt;=35,"Medium Fare",L1388&lt;=100,"High Fare",L1388&gt;=100,"Very High Fare")</f>
        <v>Medium Fare</v>
      </c>
      <c r="N1388" s="2">
        <v>1</v>
      </c>
      <c r="O1388" s="2" t="s">
        <v>30</v>
      </c>
      <c r="P1388" t="e">
        <f t="shared" si="85"/>
        <v>#VALUE!</v>
      </c>
      <c r="Q1388" t="e">
        <f t="shared" si="86"/>
        <v>#VALUE!</v>
      </c>
      <c r="R1388" t="str">
        <f t="shared" si="87"/>
        <v>No</v>
      </c>
      <c r="S1388" t="s">
        <v>13</v>
      </c>
    </row>
    <row r="1389" spans="1:19" hidden="1" x14ac:dyDescent="0.3">
      <c r="A1389" s="1" t="s">
        <v>1014</v>
      </c>
      <c r="B1389" t="s">
        <v>1596</v>
      </c>
      <c r="C1389" t="s">
        <v>2757</v>
      </c>
      <c r="D1389" t="str">
        <f t="shared" si="84"/>
        <v>Male</v>
      </c>
      <c r="E1389" t="s">
        <v>9</v>
      </c>
      <c r="F1389" s="2">
        <v>20</v>
      </c>
      <c r="G1389" s="2" t="str" cm="1">
        <f t="array" ref="G1389">_xlfn.IFS(F1389&lt;=8,"Child",F1389&lt;=17,"Teen",F1389&lt;=35,"Adult",F1389&lt;=55,"Seniour Adult",F1389&gt;=55,"Old Age")</f>
        <v>Adult</v>
      </c>
      <c r="H1389" t="s">
        <v>51</v>
      </c>
      <c r="I1389" t="s">
        <v>11</v>
      </c>
      <c r="J1389" t="str" cm="1">
        <f t="array" ref="J1389">_xlfn.IFS(I1389="S","Southamptom",I1389="Q","Quentown",I1389="C","Cherbrug",I1389="B","Cabin")</f>
        <v>Southamptom</v>
      </c>
      <c r="K1389" t="s">
        <v>15</v>
      </c>
      <c r="L1389" s="2">
        <v>33</v>
      </c>
      <c r="M1389" s="2" t="str" cm="1">
        <f t="array" ref="M1389">_xlfn.IFS(L1389&lt;=15,"Low Fare",L1389&lt;=35,"Medium Fare",L1389&lt;=100,"High Fare",L1389&gt;=100,"Very High Fare")</f>
        <v>Medium Fare</v>
      </c>
      <c r="N1389" s="2">
        <v>1</v>
      </c>
      <c r="O1389" s="2" t="s">
        <v>30</v>
      </c>
      <c r="P1389" t="e">
        <f t="shared" si="85"/>
        <v>#VALUE!</v>
      </c>
      <c r="Q1389" t="e">
        <f t="shared" si="86"/>
        <v>#VALUE!</v>
      </c>
      <c r="R1389" t="str">
        <f t="shared" si="87"/>
        <v>No</v>
      </c>
      <c r="S1389" t="s">
        <v>13</v>
      </c>
    </row>
    <row r="1390" spans="1:19" hidden="1" x14ac:dyDescent="0.3">
      <c r="A1390" s="1" t="s">
        <v>1015</v>
      </c>
      <c r="B1390" t="s">
        <v>1596</v>
      </c>
      <c r="C1390" t="s">
        <v>1965</v>
      </c>
      <c r="D1390" t="str">
        <f t="shared" si="84"/>
        <v>Male</v>
      </c>
      <c r="E1390" t="s">
        <v>9</v>
      </c>
      <c r="F1390" s="2">
        <v>20</v>
      </c>
      <c r="G1390" s="2" t="str" cm="1">
        <f t="array" ref="G1390">_xlfn.IFS(F1390&lt;=8,"Child",F1390&lt;=17,"Teen",F1390&lt;=35,"Adult",F1390&lt;=55,"Seniour Adult",F1390&gt;=55,"Old Age")</f>
        <v>Adult</v>
      </c>
      <c r="H1390" t="s">
        <v>51</v>
      </c>
      <c r="I1390" t="s">
        <v>11</v>
      </c>
      <c r="J1390" t="str" cm="1">
        <f t="array" ref="J1390">_xlfn.IFS(I1390="S","Southamptom",I1390="Q","Quentown",I1390="C","Cherbrug",I1390="B","Cabin")</f>
        <v>Southamptom</v>
      </c>
      <c r="K1390" t="s">
        <v>15</v>
      </c>
      <c r="L1390" s="2">
        <v>33</v>
      </c>
      <c r="M1390" s="2" t="str" cm="1">
        <f t="array" ref="M1390">_xlfn.IFS(L1390&lt;=15,"Low Fare",L1390&lt;=35,"Medium Fare",L1390&lt;=100,"High Fare",L1390&gt;=100,"Very High Fare")</f>
        <v>Medium Fare</v>
      </c>
      <c r="N1390" s="2">
        <v>1</v>
      </c>
      <c r="O1390" s="2" t="s">
        <v>30</v>
      </c>
      <c r="P1390" t="e">
        <f t="shared" si="85"/>
        <v>#VALUE!</v>
      </c>
      <c r="Q1390" t="e">
        <f t="shared" si="86"/>
        <v>#VALUE!</v>
      </c>
      <c r="R1390" t="str">
        <f t="shared" si="87"/>
        <v>No</v>
      </c>
      <c r="S1390" t="s">
        <v>13</v>
      </c>
    </row>
    <row r="1391" spans="1:19" hidden="1" x14ac:dyDescent="0.3">
      <c r="A1391" s="1" t="s">
        <v>1016</v>
      </c>
      <c r="B1391" t="s">
        <v>1596</v>
      </c>
      <c r="C1391" t="s">
        <v>2758</v>
      </c>
      <c r="D1391" t="str">
        <f t="shared" si="84"/>
        <v>Male</v>
      </c>
      <c r="E1391" t="s">
        <v>9</v>
      </c>
      <c r="F1391" s="2">
        <v>20</v>
      </c>
      <c r="G1391" s="2" t="str" cm="1">
        <f t="array" ref="G1391">_xlfn.IFS(F1391&lt;=8,"Child",F1391&lt;=17,"Teen",F1391&lt;=35,"Adult",F1391&lt;=55,"Seniour Adult",F1391&gt;=55,"Old Age")</f>
        <v>Adult</v>
      </c>
      <c r="H1391" t="s">
        <v>51</v>
      </c>
      <c r="I1391" t="s">
        <v>11</v>
      </c>
      <c r="J1391" t="str" cm="1">
        <f t="array" ref="J1391">_xlfn.IFS(I1391="S","Southamptom",I1391="Q","Quentown",I1391="C","Cherbrug",I1391="B","Cabin")</f>
        <v>Southamptom</v>
      </c>
      <c r="K1391" t="s">
        <v>15</v>
      </c>
      <c r="L1391" s="2">
        <v>33</v>
      </c>
      <c r="M1391" s="2" t="str" cm="1">
        <f t="array" ref="M1391">_xlfn.IFS(L1391&lt;=15,"Low Fare",L1391&lt;=35,"Medium Fare",L1391&lt;=100,"High Fare",L1391&gt;=100,"Very High Fare")</f>
        <v>Medium Fare</v>
      </c>
      <c r="N1391" s="2">
        <v>1</v>
      </c>
      <c r="O1391" s="2" t="s">
        <v>30</v>
      </c>
      <c r="P1391" t="e">
        <f t="shared" si="85"/>
        <v>#VALUE!</v>
      </c>
      <c r="Q1391" t="e">
        <f t="shared" si="86"/>
        <v>#VALUE!</v>
      </c>
      <c r="R1391" t="str">
        <f t="shared" si="87"/>
        <v>Yes</v>
      </c>
      <c r="S1391" t="s">
        <v>16</v>
      </c>
    </row>
    <row r="1392" spans="1:19" hidden="1" x14ac:dyDescent="0.3">
      <c r="A1392" s="1" t="s">
        <v>153</v>
      </c>
      <c r="B1392" t="s">
        <v>1596</v>
      </c>
      <c r="C1392" t="s">
        <v>2759</v>
      </c>
      <c r="D1392" t="str">
        <f t="shared" si="84"/>
        <v>Male</v>
      </c>
      <c r="E1392" t="s">
        <v>9</v>
      </c>
      <c r="F1392" s="2">
        <v>34</v>
      </c>
      <c r="G1392" s="2" t="str" cm="1">
        <f t="array" ref="G1392">_xlfn.IFS(F1392&lt;=8,"Child",F1392&lt;=17,"Teen",F1392&lt;=35,"Adult",F1392&lt;=55,"Seniour Adult",F1392&gt;=55,"Old Age")</f>
        <v>Adult</v>
      </c>
      <c r="H1392" t="s">
        <v>69</v>
      </c>
      <c r="I1392" t="s">
        <v>28</v>
      </c>
      <c r="J1392" t="str" cm="1">
        <f t="array" ref="J1392">_xlfn.IFS(I1392="S","Southamptom",I1392="Q","Quentown",I1392="C","Cherbrug",I1392="B","Cabin")</f>
        <v>Cabin</v>
      </c>
      <c r="K1392" t="s">
        <v>15</v>
      </c>
      <c r="L1392" s="2">
        <v>33</v>
      </c>
      <c r="M1392" s="2" t="str" cm="1">
        <f t="array" ref="M1392">_xlfn.IFS(L1392&lt;=15,"Low Fare",L1392&lt;=35,"Medium Fare",L1392&lt;=100,"High Fare",L1392&gt;=100,"Very High Fare")</f>
        <v>Medium Fare</v>
      </c>
      <c r="N1392" s="2">
        <v>1</v>
      </c>
      <c r="O1392" s="2" t="s">
        <v>30</v>
      </c>
      <c r="P1392" t="e">
        <f t="shared" si="85"/>
        <v>#VALUE!</v>
      </c>
      <c r="Q1392" t="e">
        <f t="shared" si="86"/>
        <v>#VALUE!</v>
      </c>
      <c r="R1392" t="str">
        <f t="shared" si="87"/>
        <v>No</v>
      </c>
      <c r="S1392" t="s">
        <v>13</v>
      </c>
    </row>
    <row r="1393" spans="1:19" hidden="1" x14ac:dyDescent="0.3">
      <c r="A1393" s="1" t="s">
        <v>1017</v>
      </c>
      <c r="B1393" t="s">
        <v>1596</v>
      </c>
      <c r="C1393" t="s">
        <v>2420</v>
      </c>
      <c r="D1393" t="str">
        <f t="shared" si="84"/>
        <v>Male</v>
      </c>
      <c r="E1393" t="s">
        <v>9</v>
      </c>
      <c r="F1393" s="2">
        <v>23</v>
      </c>
      <c r="G1393" s="2" t="str" cm="1">
        <f t="array" ref="G1393">_xlfn.IFS(F1393&lt;=8,"Child",F1393&lt;=17,"Teen",F1393&lt;=35,"Adult",F1393&lt;=55,"Seniour Adult",F1393&gt;=55,"Old Age")</f>
        <v>Adult</v>
      </c>
      <c r="H1393" t="s">
        <v>51</v>
      </c>
      <c r="I1393" t="s">
        <v>11</v>
      </c>
      <c r="J1393" t="str" cm="1">
        <f t="array" ref="J1393">_xlfn.IFS(I1393="S","Southamptom",I1393="Q","Quentown",I1393="C","Cherbrug",I1393="B","Cabin")</f>
        <v>Southamptom</v>
      </c>
      <c r="K1393" t="s">
        <v>15</v>
      </c>
      <c r="L1393" s="2">
        <v>33</v>
      </c>
      <c r="M1393" s="2" t="str" cm="1">
        <f t="array" ref="M1393">_xlfn.IFS(L1393&lt;=15,"Low Fare",L1393&lt;=35,"Medium Fare",L1393&lt;=100,"High Fare",L1393&gt;=100,"Very High Fare")</f>
        <v>Medium Fare</v>
      </c>
      <c r="N1393" s="2">
        <v>1</v>
      </c>
      <c r="O1393" s="2" t="s">
        <v>30</v>
      </c>
      <c r="P1393" t="e">
        <f t="shared" si="85"/>
        <v>#VALUE!</v>
      </c>
      <c r="Q1393" t="e">
        <f t="shared" si="86"/>
        <v>#VALUE!</v>
      </c>
      <c r="R1393" t="str">
        <f t="shared" si="87"/>
        <v>No</v>
      </c>
      <c r="S1393" t="s">
        <v>13</v>
      </c>
    </row>
    <row r="1394" spans="1:19" hidden="1" x14ac:dyDescent="0.3">
      <c r="A1394" s="1" t="s">
        <v>1018</v>
      </c>
      <c r="B1394" t="s">
        <v>1596</v>
      </c>
      <c r="C1394" t="s">
        <v>2454</v>
      </c>
      <c r="D1394" t="str">
        <f t="shared" si="84"/>
        <v>Male</v>
      </c>
      <c r="E1394" t="s">
        <v>9</v>
      </c>
      <c r="F1394" s="2">
        <v>28</v>
      </c>
      <c r="G1394" s="2" t="str" cm="1">
        <f t="array" ref="G1394">_xlfn.IFS(F1394&lt;=8,"Child",F1394&lt;=17,"Teen",F1394&lt;=35,"Adult",F1394&lt;=55,"Seniour Adult",F1394&gt;=55,"Old Age")</f>
        <v>Adult</v>
      </c>
      <c r="H1394" t="s">
        <v>51</v>
      </c>
      <c r="I1394" t="s">
        <v>11</v>
      </c>
      <c r="J1394" t="str" cm="1">
        <f t="array" ref="J1394">_xlfn.IFS(I1394="S","Southamptom",I1394="Q","Quentown",I1394="C","Cherbrug",I1394="B","Cabin")</f>
        <v>Southamptom</v>
      </c>
      <c r="K1394" t="s">
        <v>15</v>
      </c>
      <c r="L1394" s="2">
        <v>33</v>
      </c>
      <c r="M1394" s="2" t="str" cm="1">
        <f t="array" ref="M1394">_xlfn.IFS(L1394&lt;=15,"Low Fare",L1394&lt;=35,"Medium Fare",L1394&lt;=100,"High Fare",L1394&gt;=100,"Very High Fare")</f>
        <v>Medium Fare</v>
      </c>
      <c r="N1394" s="2">
        <v>1</v>
      </c>
      <c r="O1394" s="2" t="s">
        <v>30</v>
      </c>
      <c r="P1394" t="e">
        <f t="shared" si="85"/>
        <v>#VALUE!</v>
      </c>
      <c r="Q1394" t="e">
        <f t="shared" si="86"/>
        <v>#VALUE!</v>
      </c>
      <c r="R1394" t="str">
        <f t="shared" si="87"/>
        <v>No</v>
      </c>
      <c r="S1394" t="s">
        <v>13</v>
      </c>
    </row>
    <row r="1395" spans="1:19" hidden="1" x14ac:dyDescent="0.3">
      <c r="A1395" s="1" t="s">
        <v>1018</v>
      </c>
      <c r="B1395" t="s">
        <v>1596</v>
      </c>
      <c r="C1395" t="s">
        <v>2760</v>
      </c>
      <c r="D1395" t="str">
        <f t="shared" si="84"/>
        <v>Male</v>
      </c>
      <c r="E1395" t="s">
        <v>9</v>
      </c>
      <c r="F1395" s="2">
        <v>41</v>
      </c>
      <c r="G1395" s="2" t="str" cm="1">
        <f t="array" ref="G1395">_xlfn.IFS(F1395&lt;=8,"Child",F1395&lt;=17,"Teen",F1395&lt;=35,"Adult",F1395&lt;=55,"Seniour Adult",F1395&gt;=55,"Old Age")</f>
        <v>Seniour Adult</v>
      </c>
      <c r="H1395" t="s">
        <v>51</v>
      </c>
      <c r="I1395" t="s">
        <v>11</v>
      </c>
      <c r="J1395" t="str" cm="1">
        <f t="array" ref="J1395">_xlfn.IFS(I1395="S","Southamptom",I1395="Q","Quentown",I1395="C","Cherbrug",I1395="B","Cabin")</f>
        <v>Southamptom</v>
      </c>
      <c r="K1395" t="s">
        <v>15</v>
      </c>
      <c r="L1395" s="2">
        <v>33</v>
      </c>
      <c r="M1395" s="2" t="str" cm="1">
        <f t="array" ref="M1395">_xlfn.IFS(L1395&lt;=15,"Low Fare",L1395&lt;=35,"Medium Fare",L1395&lt;=100,"High Fare",L1395&gt;=100,"Very High Fare")</f>
        <v>Medium Fare</v>
      </c>
      <c r="N1395" s="2">
        <v>1</v>
      </c>
      <c r="O1395" s="2" t="s">
        <v>30</v>
      </c>
      <c r="P1395" t="e">
        <f t="shared" si="85"/>
        <v>#VALUE!</v>
      </c>
      <c r="Q1395" t="e">
        <f t="shared" si="86"/>
        <v>#VALUE!</v>
      </c>
      <c r="R1395" t="str">
        <f t="shared" si="87"/>
        <v>No</v>
      </c>
      <c r="S1395" t="s">
        <v>13</v>
      </c>
    </row>
    <row r="1396" spans="1:19" hidden="1" x14ac:dyDescent="0.3">
      <c r="A1396" s="1" t="s">
        <v>1019</v>
      </c>
      <c r="B1396" t="s">
        <v>1596</v>
      </c>
      <c r="C1396" t="s">
        <v>2761</v>
      </c>
      <c r="D1396" t="str">
        <f t="shared" si="84"/>
        <v>Male</v>
      </c>
      <c r="E1396" t="s">
        <v>9</v>
      </c>
      <c r="F1396" s="2">
        <v>23</v>
      </c>
      <c r="G1396" s="2" t="str" cm="1">
        <f t="array" ref="G1396">_xlfn.IFS(F1396&lt;=8,"Child",F1396&lt;=17,"Teen",F1396&lt;=35,"Adult",F1396&lt;=55,"Seniour Adult",F1396&gt;=55,"Old Age")</f>
        <v>Adult</v>
      </c>
      <c r="H1396" t="s">
        <v>51</v>
      </c>
      <c r="I1396" t="s">
        <v>11</v>
      </c>
      <c r="J1396" t="str" cm="1">
        <f t="array" ref="J1396">_xlfn.IFS(I1396="S","Southamptom",I1396="Q","Quentown",I1396="C","Cherbrug",I1396="B","Cabin")</f>
        <v>Southamptom</v>
      </c>
      <c r="K1396" t="s">
        <v>15</v>
      </c>
      <c r="L1396" s="2">
        <v>33</v>
      </c>
      <c r="M1396" s="2" t="str" cm="1">
        <f t="array" ref="M1396">_xlfn.IFS(L1396&lt;=15,"Low Fare",L1396&lt;=35,"Medium Fare",L1396&lt;=100,"High Fare",L1396&gt;=100,"Very High Fare")</f>
        <v>Medium Fare</v>
      </c>
      <c r="N1396" s="2">
        <v>1</v>
      </c>
      <c r="O1396" s="2" t="s">
        <v>30</v>
      </c>
      <c r="P1396" t="e">
        <f t="shared" si="85"/>
        <v>#VALUE!</v>
      </c>
      <c r="Q1396" t="e">
        <f t="shared" si="86"/>
        <v>#VALUE!</v>
      </c>
      <c r="R1396" t="str">
        <f t="shared" si="87"/>
        <v>Yes</v>
      </c>
      <c r="S1396" t="s">
        <v>16</v>
      </c>
    </row>
    <row r="1397" spans="1:19" hidden="1" x14ac:dyDescent="0.3">
      <c r="A1397" s="1" t="s">
        <v>1019</v>
      </c>
      <c r="B1397" t="s">
        <v>1596</v>
      </c>
      <c r="C1397" t="s">
        <v>2762</v>
      </c>
      <c r="D1397" t="str">
        <f t="shared" si="84"/>
        <v>Male</v>
      </c>
      <c r="E1397" t="s">
        <v>9</v>
      </c>
      <c r="F1397" s="2">
        <v>26</v>
      </c>
      <c r="G1397" s="2" t="str" cm="1">
        <f t="array" ref="G1397">_xlfn.IFS(F1397&lt;=8,"Child",F1397&lt;=17,"Teen",F1397&lt;=35,"Adult",F1397&lt;=55,"Seniour Adult",F1397&gt;=55,"Old Age")</f>
        <v>Adult</v>
      </c>
      <c r="H1397" t="s">
        <v>51</v>
      </c>
      <c r="I1397" t="s">
        <v>28</v>
      </c>
      <c r="J1397" t="str" cm="1">
        <f t="array" ref="J1397">_xlfn.IFS(I1397="S","Southamptom",I1397="Q","Quentown",I1397="C","Cherbrug",I1397="B","Cabin")</f>
        <v>Cabin</v>
      </c>
      <c r="K1397" t="s">
        <v>15</v>
      </c>
      <c r="L1397" s="2">
        <v>33</v>
      </c>
      <c r="M1397" s="2" t="str" cm="1">
        <f t="array" ref="M1397">_xlfn.IFS(L1397&lt;=15,"Low Fare",L1397&lt;=35,"Medium Fare",L1397&lt;=100,"High Fare",L1397&gt;=100,"Very High Fare")</f>
        <v>Medium Fare</v>
      </c>
      <c r="N1397" s="2">
        <v>1</v>
      </c>
      <c r="O1397" s="2" t="s">
        <v>30</v>
      </c>
      <c r="P1397" t="e">
        <f t="shared" si="85"/>
        <v>#VALUE!</v>
      </c>
      <c r="Q1397" t="e">
        <f t="shared" si="86"/>
        <v>#VALUE!</v>
      </c>
      <c r="R1397" t="str">
        <f t="shared" si="87"/>
        <v>No</v>
      </c>
      <c r="S1397" t="s">
        <v>13</v>
      </c>
    </row>
    <row r="1398" spans="1:19" hidden="1" x14ac:dyDescent="0.3">
      <c r="A1398" s="1" t="s">
        <v>1019</v>
      </c>
      <c r="B1398" t="s">
        <v>1596</v>
      </c>
      <c r="C1398" t="s">
        <v>1857</v>
      </c>
      <c r="D1398" t="str">
        <f t="shared" si="84"/>
        <v>Male</v>
      </c>
      <c r="E1398" t="s">
        <v>9</v>
      </c>
      <c r="F1398" s="2">
        <v>37</v>
      </c>
      <c r="G1398" s="2" t="str" cm="1">
        <f t="array" ref="G1398">_xlfn.IFS(F1398&lt;=8,"Child",F1398&lt;=17,"Teen",F1398&lt;=35,"Adult",F1398&lt;=55,"Seniour Adult",F1398&gt;=55,"Old Age")</f>
        <v>Seniour Adult</v>
      </c>
      <c r="H1398" t="s">
        <v>51</v>
      </c>
      <c r="I1398" t="s">
        <v>11</v>
      </c>
      <c r="J1398" t="str" cm="1">
        <f t="array" ref="J1398">_xlfn.IFS(I1398="S","Southamptom",I1398="Q","Quentown",I1398="C","Cherbrug",I1398="B","Cabin")</f>
        <v>Southamptom</v>
      </c>
      <c r="K1398" t="s">
        <v>15</v>
      </c>
      <c r="L1398" s="2">
        <v>33</v>
      </c>
      <c r="M1398" s="2" t="str" cm="1">
        <f t="array" ref="M1398">_xlfn.IFS(L1398&lt;=15,"Low Fare",L1398&lt;=35,"Medium Fare",L1398&lt;=100,"High Fare",L1398&gt;=100,"Very High Fare")</f>
        <v>Medium Fare</v>
      </c>
      <c r="N1398" s="2">
        <v>1</v>
      </c>
      <c r="O1398" s="2" t="s">
        <v>30</v>
      </c>
      <c r="P1398" t="e">
        <f t="shared" si="85"/>
        <v>#VALUE!</v>
      </c>
      <c r="Q1398" t="e">
        <f t="shared" si="86"/>
        <v>#VALUE!</v>
      </c>
      <c r="R1398" t="str">
        <f t="shared" si="87"/>
        <v>No</v>
      </c>
      <c r="S1398" t="s">
        <v>13</v>
      </c>
    </row>
    <row r="1399" spans="1:19" hidden="1" x14ac:dyDescent="0.3">
      <c r="A1399" s="1" t="s">
        <v>1020</v>
      </c>
      <c r="B1399" t="s">
        <v>1596</v>
      </c>
      <c r="C1399" t="s">
        <v>1965</v>
      </c>
      <c r="D1399" t="str">
        <f t="shared" si="84"/>
        <v>Male</v>
      </c>
      <c r="E1399" t="s">
        <v>9</v>
      </c>
      <c r="F1399" s="2">
        <v>32</v>
      </c>
      <c r="G1399" s="2" t="str" cm="1">
        <f t="array" ref="G1399">_xlfn.IFS(F1399&lt;=8,"Child",F1399&lt;=17,"Teen",F1399&lt;=35,"Adult",F1399&lt;=55,"Seniour Adult",F1399&gt;=55,"Old Age")</f>
        <v>Adult</v>
      </c>
      <c r="H1399" t="s">
        <v>51</v>
      </c>
      <c r="I1399" t="s">
        <v>11</v>
      </c>
      <c r="J1399" t="str" cm="1">
        <f t="array" ref="J1399">_xlfn.IFS(I1399="S","Southamptom",I1399="Q","Quentown",I1399="C","Cherbrug",I1399="B","Cabin")</f>
        <v>Southamptom</v>
      </c>
      <c r="K1399" t="s">
        <v>29</v>
      </c>
      <c r="L1399" s="2">
        <v>33</v>
      </c>
      <c r="M1399" s="2" t="str" cm="1">
        <f t="array" ref="M1399">_xlfn.IFS(L1399&lt;=15,"Low Fare",L1399&lt;=35,"Medium Fare",L1399&lt;=100,"High Fare",L1399&gt;=100,"Very High Fare")</f>
        <v>Medium Fare</v>
      </c>
      <c r="N1399" s="2">
        <v>1</v>
      </c>
      <c r="O1399" s="2" t="s">
        <v>30</v>
      </c>
      <c r="P1399" t="e">
        <f t="shared" si="85"/>
        <v>#VALUE!</v>
      </c>
      <c r="Q1399" t="e">
        <f t="shared" si="86"/>
        <v>#VALUE!</v>
      </c>
      <c r="R1399" t="str">
        <f t="shared" si="87"/>
        <v>No</v>
      </c>
      <c r="S1399" t="s">
        <v>13</v>
      </c>
    </row>
    <row r="1400" spans="1:19" hidden="1" x14ac:dyDescent="0.3">
      <c r="A1400" s="1" t="s">
        <v>1021</v>
      </c>
      <c r="B1400" t="s">
        <v>1596</v>
      </c>
      <c r="C1400" t="s">
        <v>2763</v>
      </c>
      <c r="D1400" t="str">
        <f t="shared" si="84"/>
        <v>Male</v>
      </c>
      <c r="E1400" t="s">
        <v>9</v>
      </c>
      <c r="F1400" s="2">
        <v>22</v>
      </c>
      <c r="G1400" s="2" t="str" cm="1">
        <f t="array" ref="G1400">_xlfn.IFS(F1400&lt;=8,"Child",F1400&lt;=17,"Teen",F1400&lt;=35,"Adult",F1400&lt;=55,"Seniour Adult",F1400&gt;=55,"Old Age")</f>
        <v>Adult</v>
      </c>
      <c r="H1400" t="s">
        <v>51</v>
      </c>
      <c r="I1400" t="s">
        <v>11</v>
      </c>
      <c r="J1400" t="str" cm="1">
        <f t="array" ref="J1400">_xlfn.IFS(I1400="S","Southamptom",I1400="Q","Quentown",I1400="C","Cherbrug",I1400="B","Cabin")</f>
        <v>Southamptom</v>
      </c>
      <c r="K1400" t="s">
        <v>15</v>
      </c>
      <c r="L1400" s="2">
        <v>33</v>
      </c>
      <c r="M1400" s="2" t="str" cm="1">
        <f t="array" ref="M1400">_xlfn.IFS(L1400&lt;=15,"Low Fare",L1400&lt;=35,"Medium Fare",L1400&lt;=100,"High Fare",L1400&gt;=100,"Very High Fare")</f>
        <v>Medium Fare</v>
      </c>
      <c r="N1400" s="2">
        <v>1</v>
      </c>
      <c r="O1400" s="2" t="s">
        <v>30</v>
      </c>
      <c r="P1400" t="e">
        <f t="shared" si="85"/>
        <v>#VALUE!</v>
      </c>
      <c r="Q1400" t="e">
        <f t="shared" si="86"/>
        <v>#VALUE!</v>
      </c>
      <c r="R1400" t="str">
        <f t="shared" si="87"/>
        <v>No</v>
      </c>
      <c r="S1400" t="s">
        <v>13</v>
      </c>
    </row>
    <row r="1401" spans="1:19" hidden="1" x14ac:dyDescent="0.3">
      <c r="A1401" s="1" t="s">
        <v>1022</v>
      </c>
      <c r="B1401" t="s">
        <v>1600</v>
      </c>
      <c r="C1401" t="s">
        <v>2515</v>
      </c>
      <c r="D1401" t="str">
        <f t="shared" si="84"/>
        <v>Female</v>
      </c>
      <c r="E1401" t="s">
        <v>14</v>
      </c>
      <c r="F1401" s="2">
        <v>45</v>
      </c>
      <c r="G1401" s="2" t="str" cm="1">
        <f t="array" ref="G1401">_xlfn.IFS(F1401&lt;=8,"Child",F1401&lt;=17,"Teen",F1401&lt;=35,"Adult",F1401&lt;=55,"Seniour Adult",F1401&gt;=55,"Old Age")</f>
        <v>Seniour Adult</v>
      </c>
      <c r="H1401" t="s">
        <v>69</v>
      </c>
      <c r="I1401" t="s">
        <v>11</v>
      </c>
      <c r="J1401" t="str" cm="1">
        <f t="array" ref="J1401">_xlfn.IFS(I1401="S","Southamptom",I1401="Q","Quentown",I1401="C","Cherbrug",I1401="B","Cabin")</f>
        <v>Southamptom</v>
      </c>
      <c r="K1401" t="s">
        <v>32</v>
      </c>
      <c r="L1401" s="2">
        <v>33</v>
      </c>
      <c r="M1401" s="2" t="str" cm="1">
        <f t="array" ref="M1401">_xlfn.IFS(L1401&lt;=15,"Low Fare",L1401&lt;=35,"Medium Fare",L1401&lt;=100,"High Fare",L1401&gt;=100,"Very High Fare")</f>
        <v>Medium Fare</v>
      </c>
      <c r="N1401" s="2">
        <v>1</v>
      </c>
      <c r="O1401" s="2" t="s">
        <v>30</v>
      </c>
      <c r="P1401" t="e">
        <f t="shared" si="85"/>
        <v>#VALUE!</v>
      </c>
      <c r="Q1401" t="e">
        <f t="shared" si="86"/>
        <v>#VALUE!</v>
      </c>
      <c r="R1401" t="str">
        <f t="shared" si="87"/>
        <v>Yes</v>
      </c>
      <c r="S1401" t="s">
        <v>16</v>
      </c>
    </row>
    <row r="1402" spans="1:19" hidden="1" x14ac:dyDescent="0.3">
      <c r="A1402" s="1" t="s">
        <v>1023</v>
      </c>
      <c r="B1402" t="s">
        <v>1596</v>
      </c>
      <c r="C1402" t="s">
        <v>2649</v>
      </c>
      <c r="D1402" t="str">
        <f t="shared" si="84"/>
        <v>Male</v>
      </c>
      <c r="E1402" t="s">
        <v>9</v>
      </c>
      <c r="F1402" s="2">
        <v>26</v>
      </c>
      <c r="G1402" s="2" t="str" cm="1">
        <f t="array" ref="G1402">_xlfn.IFS(F1402&lt;=8,"Child",F1402&lt;=17,"Teen",F1402&lt;=35,"Adult",F1402&lt;=55,"Seniour Adult",F1402&gt;=55,"Old Age")</f>
        <v>Adult</v>
      </c>
      <c r="H1402" t="s">
        <v>70</v>
      </c>
      <c r="I1402" t="s">
        <v>11</v>
      </c>
      <c r="J1402" t="str" cm="1">
        <f t="array" ref="J1402">_xlfn.IFS(I1402="S","Southamptom",I1402="Q","Quentown",I1402="C","Cherbrug",I1402="B","Cabin")</f>
        <v>Southamptom</v>
      </c>
      <c r="K1402" t="s">
        <v>15</v>
      </c>
      <c r="L1402" s="2">
        <v>33</v>
      </c>
      <c r="M1402" s="2" t="str" cm="1">
        <f t="array" ref="M1402">_xlfn.IFS(L1402&lt;=15,"Low Fare",L1402&lt;=35,"Medium Fare",L1402&lt;=100,"High Fare",L1402&gt;=100,"Very High Fare")</f>
        <v>Medium Fare</v>
      </c>
      <c r="N1402" s="2">
        <v>1</v>
      </c>
      <c r="O1402" s="2" t="s">
        <v>30</v>
      </c>
      <c r="P1402" t="e">
        <f t="shared" si="85"/>
        <v>#VALUE!</v>
      </c>
      <c r="Q1402" t="e">
        <f t="shared" si="86"/>
        <v>#VALUE!</v>
      </c>
      <c r="R1402" t="str">
        <f t="shared" si="87"/>
        <v>No</v>
      </c>
      <c r="S1402" t="s">
        <v>13</v>
      </c>
    </row>
    <row r="1403" spans="1:19" hidden="1" x14ac:dyDescent="0.3">
      <c r="A1403" s="1" t="s">
        <v>1024</v>
      </c>
      <c r="B1403" t="s">
        <v>1596</v>
      </c>
      <c r="C1403" t="s">
        <v>2764</v>
      </c>
      <c r="D1403" t="str">
        <f t="shared" si="84"/>
        <v>Male</v>
      </c>
      <c r="E1403" t="s">
        <v>9</v>
      </c>
      <c r="F1403" s="2">
        <v>30</v>
      </c>
      <c r="G1403" s="2" t="str" cm="1">
        <f t="array" ref="G1403">_xlfn.IFS(F1403&lt;=8,"Child",F1403&lt;=17,"Teen",F1403&lt;=35,"Adult",F1403&lt;=55,"Seniour Adult",F1403&gt;=55,"Old Age")</f>
        <v>Adult</v>
      </c>
      <c r="H1403" t="s">
        <v>69</v>
      </c>
      <c r="I1403" t="s">
        <v>11</v>
      </c>
      <c r="J1403" t="str" cm="1">
        <f t="array" ref="J1403">_xlfn.IFS(I1403="S","Southamptom",I1403="Q","Quentown",I1403="C","Cherbrug",I1403="B","Cabin")</f>
        <v>Southamptom</v>
      </c>
      <c r="K1403" t="s">
        <v>15</v>
      </c>
      <c r="L1403" s="2">
        <v>33</v>
      </c>
      <c r="M1403" s="2" t="str" cm="1">
        <f t="array" ref="M1403">_xlfn.IFS(L1403&lt;=15,"Low Fare",L1403&lt;=35,"Medium Fare",L1403&lt;=100,"High Fare",L1403&gt;=100,"Very High Fare")</f>
        <v>Medium Fare</v>
      </c>
      <c r="N1403" s="2">
        <v>1</v>
      </c>
      <c r="O1403" s="2" t="s">
        <v>30</v>
      </c>
      <c r="P1403" t="e">
        <f t="shared" si="85"/>
        <v>#VALUE!</v>
      </c>
      <c r="Q1403" t="e">
        <f t="shared" si="86"/>
        <v>#VALUE!</v>
      </c>
      <c r="R1403" t="str">
        <f t="shared" si="87"/>
        <v>No</v>
      </c>
      <c r="S1403" t="s">
        <v>13</v>
      </c>
    </row>
    <row r="1404" spans="1:19" hidden="1" x14ac:dyDescent="0.3">
      <c r="A1404" s="1" t="s">
        <v>1025</v>
      </c>
      <c r="B1404" t="s">
        <v>1596</v>
      </c>
      <c r="C1404" t="s">
        <v>2765</v>
      </c>
      <c r="D1404" t="str">
        <f t="shared" si="84"/>
        <v>Male</v>
      </c>
      <c r="E1404" t="s">
        <v>9</v>
      </c>
      <c r="F1404" s="2">
        <v>43</v>
      </c>
      <c r="G1404" s="2" t="str" cm="1">
        <f t="array" ref="G1404">_xlfn.IFS(F1404&lt;=8,"Child",F1404&lt;=17,"Teen",F1404&lt;=35,"Adult",F1404&lt;=55,"Seniour Adult",F1404&gt;=55,"Old Age")</f>
        <v>Seniour Adult</v>
      </c>
      <c r="H1404" t="s">
        <v>70</v>
      </c>
      <c r="I1404" t="s">
        <v>11</v>
      </c>
      <c r="J1404" t="str" cm="1">
        <f t="array" ref="J1404">_xlfn.IFS(I1404="S","Southamptom",I1404="Q","Quentown",I1404="C","Cherbrug",I1404="B","Cabin")</f>
        <v>Southamptom</v>
      </c>
      <c r="K1404" t="s">
        <v>15</v>
      </c>
      <c r="L1404" s="2">
        <v>33</v>
      </c>
      <c r="M1404" s="2" t="str" cm="1">
        <f t="array" ref="M1404">_xlfn.IFS(L1404&lt;=15,"Low Fare",L1404&lt;=35,"Medium Fare",L1404&lt;=100,"High Fare",L1404&gt;=100,"Very High Fare")</f>
        <v>Medium Fare</v>
      </c>
      <c r="N1404" s="2">
        <v>1</v>
      </c>
      <c r="O1404" s="2" t="s">
        <v>30</v>
      </c>
      <c r="P1404" t="e">
        <f t="shared" si="85"/>
        <v>#VALUE!</v>
      </c>
      <c r="Q1404" t="e">
        <f t="shared" si="86"/>
        <v>#VALUE!</v>
      </c>
      <c r="R1404" t="str">
        <f t="shared" si="87"/>
        <v>No</v>
      </c>
      <c r="S1404" t="s">
        <v>13</v>
      </c>
    </row>
    <row r="1405" spans="1:19" hidden="1" x14ac:dyDescent="0.3">
      <c r="A1405" s="1" t="s">
        <v>1026</v>
      </c>
      <c r="B1405" t="s">
        <v>1596</v>
      </c>
      <c r="C1405" t="s">
        <v>2766</v>
      </c>
      <c r="D1405" t="str">
        <f t="shared" si="84"/>
        <v>Male</v>
      </c>
      <c r="E1405" t="s">
        <v>9</v>
      </c>
      <c r="F1405" s="2">
        <v>59</v>
      </c>
      <c r="G1405" s="2" t="str" cm="1">
        <f t="array" ref="G1405">_xlfn.IFS(F1405&lt;=8,"Child",F1405&lt;=17,"Teen",F1405&lt;=35,"Adult",F1405&lt;=55,"Seniour Adult",F1405&gt;=55,"Old Age")</f>
        <v>Old Age</v>
      </c>
      <c r="H1405" t="s">
        <v>69</v>
      </c>
      <c r="I1405" t="s">
        <v>11</v>
      </c>
      <c r="J1405" t="str" cm="1">
        <f t="array" ref="J1405">_xlfn.IFS(I1405="S","Southamptom",I1405="Q","Quentown",I1405="C","Cherbrug",I1405="B","Cabin")</f>
        <v>Southamptom</v>
      </c>
      <c r="K1405" t="s">
        <v>43</v>
      </c>
      <c r="L1405" s="2">
        <v>33</v>
      </c>
      <c r="M1405" s="2" t="str" cm="1">
        <f t="array" ref="M1405">_xlfn.IFS(L1405&lt;=15,"Low Fare",L1405&lt;=35,"Medium Fare",L1405&lt;=100,"High Fare",L1405&gt;=100,"Very High Fare")</f>
        <v>Medium Fare</v>
      </c>
      <c r="N1405" s="2">
        <v>1</v>
      </c>
      <c r="O1405" s="2" t="s">
        <v>30</v>
      </c>
      <c r="P1405" t="e">
        <f t="shared" si="85"/>
        <v>#VALUE!</v>
      </c>
      <c r="Q1405" t="e">
        <f t="shared" si="86"/>
        <v>#VALUE!</v>
      </c>
      <c r="R1405" t="str">
        <f t="shared" si="87"/>
        <v>No</v>
      </c>
      <c r="S1405" t="s">
        <v>13</v>
      </c>
    </row>
    <row r="1406" spans="1:19" hidden="1" x14ac:dyDescent="0.3">
      <c r="A1406" s="1" t="s">
        <v>1027</v>
      </c>
      <c r="B1406" t="s">
        <v>1596</v>
      </c>
      <c r="C1406" t="s">
        <v>2767</v>
      </c>
      <c r="D1406" t="str">
        <f t="shared" si="84"/>
        <v>Male</v>
      </c>
      <c r="E1406" t="s">
        <v>9</v>
      </c>
      <c r="F1406" s="2">
        <v>27</v>
      </c>
      <c r="G1406" s="2" t="str" cm="1">
        <f t="array" ref="G1406">_xlfn.IFS(F1406&lt;=8,"Child",F1406&lt;=17,"Teen",F1406&lt;=35,"Adult",F1406&lt;=55,"Seniour Adult",F1406&gt;=55,"Old Age")</f>
        <v>Adult</v>
      </c>
      <c r="H1406" t="s">
        <v>70</v>
      </c>
      <c r="I1406" t="s">
        <v>11</v>
      </c>
      <c r="J1406" t="str" cm="1">
        <f t="array" ref="J1406">_xlfn.IFS(I1406="S","Southamptom",I1406="Q","Quentown",I1406="C","Cherbrug",I1406="B","Cabin")</f>
        <v>Southamptom</v>
      </c>
      <c r="K1406" t="s">
        <v>15</v>
      </c>
      <c r="L1406" s="2">
        <v>33</v>
      </c>
      <c r="M1406" s="2" t="str" cm="1">
        <f t="array" ref="M1406">_xlfn.IFS(L1406&lt;=15,"Low Fare",L1406&lt;=35,"Medium Fare",L1406&lt;=100,"High Fare",L1406&gt;=100,"Very High Fare")</f>
        <v>Medium Fare</v>
      </c>
      <c r="N1406" s="2">
        <v>1</v>
      </c>
      <c r="O1406" s="2" t="s">
        <v>30</v>
      </c>
      <c r="P1406" t="e">
        <f t="shared" si="85"/>
        <v>#VALUE!</v>
      </c>
      <c r="Q1406" t="e">
        <f t="shared" si="86"/>
        <v>#VALUE!</v>
      </c>
      <c r="R1406" t="str">
        <f t="shared" si="87"/>
        <v>No</v>
      </c>
      <c r="S1406" t="s">
        <v>13</v>
      </c>
    </row>
    <row r="1407" spans="1:19" hidden="1" x14ac:dyDescent="0.3">
      <c r="A1407" s="1" t="s">
        <v>1028</v>
      </c>
      <c r="B1407" t="s">
        <v>1596</v>
      </c>
      <c r="C1407" t="s">
        <v>1716</v>
      </c>
      <c r="D1407" t="str">
        <f t="shared" si="84"/>
        <v>Male</v>
      </c>
      <c r="E1407" t="s">
        <v>9</v>
      </c>
      <c r="F1407" s="2">
        <v>40</v>
      </c>
      <c r="G1407" s="2" t="str" cm="1">
        <f t="array" ref="G1407">_xlfn.IFS(F1407&lt;=8,"Child",F1407&lt;=17,"Teen",F1407&lt;=35,"Adult",F1407&lt;=55,"Seniour Adult",F1407&gt;=55,"Old Age")</f>
        <v>Seniour Adult</v>
      </c>
      <c r="H1407" t="s">
        <v>69</v>
      </c>
      <c r="I1407" t="s">
        <v>28</v>
      </c>
      <c r="J1407" t="str" cm="1">
        <f t="array" ref="J1407">_xlfn.IFS(I1407="S","Southamptom",I1407="Q","Quentown",I1407="C","Cherbrug",I1407="B","Cabin")</f>
        <v>Cabin</v>
      </c>
      <c r="K1407" t="s">
        <v>15</v>
      </c>
      <c r="L1407" s="2">
        <v>33</v>
      </c>
      <c r="M1407" s="2" t="str" cm="1">
        <f t="array" ref="M1407">_xlfn.IFS(L1407&lt;=15,"Low Fare",L1407&lt;=35,"Medium Fare",L1407&lt;=100,"High Fare",L1407&gt;=100,"Very High Fare")</f>
        <v>Medium Fare</v>
      </c>
      <c r="N1407" s="2">
        <v>1</v>
      </c>
      <c r="O1407" s="2" t="s">
        <v>30</v>
      </c>
      <c r="P1407" t="e">
        <f t="shared" si="85"/>
        <v>#VALUE!</v>
      </c>
      <c r="Q1407" t="e">
        <f t="shared" si="86"/>
        <v>#VALUE!</v>
      </c>
      <c r="R1407" t="str">
        <f t="shared" si="87"/>
        <v>No</v>
      </c>
      <c r="S1407" t="s">
        <v>13</v>
      </c>
    </row>
    <row r="1408" spans="1:19" hidden="1" x14ac:dyDescent="0.3">
      <c r="A1408" s="1" t="s">
        <v>1029</v>
      </c>
      <c r="B1408" t="s">
        <v>1596</v>
      </c>
      <c r="C1408" t="s">
        <v>2768</v>
      </c>
      <c r="D1408" t="str">
        <f t="shared" si="84"/>
        <v>Male</v>
      </c>
      <c r="E1408" t="s">
        <v>9</v>
      </c>
      <c r="F1408" s="2">
        <v>38</v>
      </c>
      <c r="G1408" s="2" t="str" cm="1">
        <f t="array" ref="G1408">_xlfn.IFS(F1408&lt;=8,"Child",F1408&lt;=17,"Teen",F1408&lt;=35,"Adult",F1408&lt;=55,"Seniour Adult",F1408&gt;=55,"Old Age")</f>
        <v>Seniour Adult</v>
      </c>
      <c r="H1408" t="s">
        <v>69</v>
      </c>
      <c r="I1408" t="s">
        <v>11</v>
      </c>
      <c r="J1408" t="str" cm="1">
        <f t="array" ref="J1408">_xlfn.IFS(I1408="S","Southamptom",I1408="Q","Quentown",I1408="C","Cherbrug",I1408="B","Cabin")</f>
        <v>Southamptom</v>
      </c>
      <c r="K1408" t="s">
        <v>15</v>
      </c>
      <c r="L1408" s="2">
        <v>33</v>
      </c>
      <c r="M1408" s="2" t="str" cm="1">
        <f t="array" ref="M1408">_xlfn.IFS(L1408&lt;=15,"Low Fare",L1408&lt;=35,"Medium Fare",L1408&lt;=100,"High Fare",L1408&gt;=100,"Very High Fare")</f>
        <v>Medium Fare</v>
      </c>
      <c r="N1408" s="2">
        <v>1</v>
      </c>
      <c r="O1408" s="2" t="s">
        <v>30</v>
      </c>
      <c r="P1408" t="e">
        <f t="shared" si="85"/>
        <v>#VALUE!</v>
      </c>
      <c r="Q1408" t="e">
        <f t="shared" si="86"/>
        <v>#VALUE!</v>
      </c>
      <c r="R1408" t="str">
        <f t="shared" si="87"/>
        <v>No</v>
      </c>
      <c r="S1408" t="s">
        <v>13</v>
      </c>
    </row>
    <row r="1409" spans="1:19" hidden="1" x14ac:dyDescent="0.3">
      <c r="A1409" s="1" t="s">
        <v>1030</v>
      </c>
      <c r="B1409" t="s">
        <v>1596</v>
      </c>
      <c r="C1409" t="s">
        <v>1716</v>
      </c>
      <c r="D1409" t="str">
        <f t="shared" si="84"/>
        <v>Male</v>
      </c>
      <c r="E1409" t="s">
        <v>9</v>
      </c>
      <c r="F1409" s="2">
        <v>33</v>
      </c>
      <c r="G1409" s="2" t="str" cm="1">
        <f t="array" ref="G1409">_xlfn.IFS(F1409&lt;=8,"Child",F1409&lt;=17,"Teen",F1409&lt;=35,"Adult",F1409&lt;=55,"Seniour Adult",F1409&gt;=55,"Old Age")</f>
        <v>Adult</v>
      </c>
      <c r="H1409" t="s">
        <v>69</v>
      </c>
      <c r="I1409" t="s">
        <v>28</v>
      </c>
      <c r="J1409" t="str" cm="1">
        <f t="array" ref="J1409">_xlfn.IFS(I1409="S","Southamptom",I1409="Q","Quentown",I1409="C","Cherbrug",I1409="B","Cabin")</f>
        <v>Cabin</v>
      </c>
      <c r="K1409" t="s">
        <v>15</v>
      </c>
      <c r="L1409" s="2">
        <v>33</v>
      </c>
      <c r="M1409" s="2" t="str" cm="1">
        <f t="array" ref="M1409">_xlfn.IFS(L1409&lt;=15,"Low Fare",L1409&lt;=35,"Medium Fare",L1409&lt;=100,"High Fare",L1409&gt;=100,"Very High Fare")</f>
        <v>Medium Fare</v>
      </c>
      <c r="N1409" s="2">
        <v>1</v>
      </c>
      <c r="O1409" s="2" t="s">
        <v>30</v>
      </c>
      <c r="P1409" t="e">
        <f t="shared" si="85"/>
        <v>#VALUE!</v>
      </c>
      <c r="Q1409" t="e">
        <f t="shared" si="86"/>
        <v>#VALUE!</v>
      </c>
      <c r="R1409" t="str">
        <f t="shared" si="87"/>
        <v>No</v>
      </c>
      <c r="S1409" t="s">
        <v>13</v>
      </c>
    </row>
    <row r="1410" spans="1:19" hidden="1" x14ac:dyDescent="0.3">
      <c r="A1410" s="1" t="s">
        <v>1031</v>
      </c>
      <c r="B1410" t="s">
        <v>1596</v>
      </c>
      <c r="C1410" t="s">
        <v>1704</v>
      </c>
      <c r="D1410" t="str">
        <f t="shared" si="84"/>
        <v>Male</v>
      </c>
      <c r="E1410" t="s">
        <v>9</v>
      </c>
      <c r="F1410" s="2">
        <v>46</v>
      </c>
      <c r="G1410" s="2" t="str" cm="1">
        <f t="array" ref="G1410">_xlfn.IFS(F1410&lt;=8,"Child",F1410&lt;=17,"Teen",F1410&lt;=35,"Adult",F1410&lt;=55,"Seniour Adult",F1410&gt;=55,"Old Age")</f>
        <v>Seniour Adult</v>
      </c>
      <c r="H1410" t="s">
        <v>51</v>
      </c>
      <c r="I1410" t="s">
        <v>11</v>
      </c>
      <c r="J1410" t="str" cm="1">
        <f t="array" ref="J1410">_xlfn.IFS(I1410="S","Southamptom",I1410="Q","Quentown",I1410="C","Cherbrug",I1410="B","Cabin")</f>
        <v>Southamptom</v>
      </c>
      <c r="K1410" t="s">
        <v>15</v>
      </c>
      <c r="L1410" s="2">
        <v>33</v>
      </c>
      <c r="M1410" s="2" t="str" cm="1">
        <f t="array" ref="M1410">_xlfn.IFS(L1410&lt;=15,"Low Fare",L1410&lt;=35,"Medium Fare",L1410&lt;=100,"High Fare",L1410&gt;=100,"Very High Fare")</f>
        <v>Medium Fare</v>
      </c>
      <c r="N1410" s="2">
        <v>1</v>
      </c>
      <c r="O1410" s="2" t="s">
        <v>30</v>
      </c>
      <c r="P1410" t="e">
        <f t="shared" si="85"/>
        <v>#VALUE!</v>
      </c>
      <c r="Q1410" t="e">
        <f t="shared" si="86"/>
        <v>#VALUE!</v>
      </c>
      <c r="R1410" t="str">
        <f t="shared" si="87"/>
        <v>No</v>
      </c>
      <c r="S1410" t="s">
        <v>13</v>
      </c>
    </row>
    <row r="1411" spans="1:19" hidden="1" x14ac:dyDescent="0.3">
      <c r="A1411" s="1" t="s">
        <v>1032</v>
      </c>
      <c r="B1411" t="s">
        <v>1596</v>
      </c>
      <c r="C1411" t="s">
        <v>2769</v>
      </c>
      <c r="D1411" t="str">
        <f t="shared" ref="D1411:D1474" si="88">PROPER(E1411)</f>
        <v>Male</v>
      </c>
      <c r="E1411" t="s">
        <v>9</v>
      </c>
      <c r="F1411" s="2">
        <v>24</v>
      </c>
      <c r="G1411" s="2" t="str" cm="1">
        <f t="array" ref="G1411">_xlfn.IFS(F1411&lt;=8,"Child",F1411&lt;=17,"Teen",F1411&lt;=35,"Adult",F1411&lt;=55,"Seniour Adult",F1411&gt;=55,"Old Age")</f>
        <v>Adult</v>
      </c>
      <c r="H1411" t="s">
        <v>69</v>
      </c>
      <c r="I1411" t="s">
        <v>11</v>
      </c>
      <c r="J1411" t="str" cm="1">
        <f t="array" ref="J1411">_xlfn.IFS(I1411="S","Southamptom",I1411="Q","Quentown",I1411="C","Cherbrug",I1411="B","Cabin")</f>
        <v>Southamptom</v>
      </c>
      <c r="K1411" t="s">
        <v>15</v>
      </c>
      <c r="L1411" s="2">
        <v>33</v>
      </c>
      <c r="M1411" s="2" t="str" cm="1">
        <f t="array" ref="M1411">_xlfn.IFS(L1411&lt;=15,"Low Fare",L1411&lt;=35,"Medium Fare",L1411&lt;=100,"High Fare",L1411&gt;=100,"Very High Fare")</f>
        <v>Medium Fare</v>
      </c>
      <c r="N1411" s="2">
        <v>1</v>
      </c>
      <c r="O1411" s="2" t="s">
        <v>30</v>
      </c>
      <c r="P1411" t="e">
        <f t="shared" ref="P1411:P1474" si="89">N1411+O1411+1</f>
        <v>#VALUE!</v>
      </c>
      <c r="Q1411" t="e">
        <f t="shared" ref="Q1411:Q1474" si="90">IF(P1411=1,"Alone","With Family")</f>
        <v>#VALUE!</v>
      </c>
      <c r="R1411" t="str">
        <f t="shared" ref="R1411:R1474" si="91">PROPER(S1411)</f>
        <v>No</v>
      </c>
      <c r="S1411" t="s">
        <v>13</v>
      </c>
    </row>
    <row r="1412" spans="1:19" hidden="1" x14ac:dyDescent="0.3">
      <c r="A1412" s="1" t="s">
        <v>1033</v>
      </c>
      <c r="B1412" t="s">
        <v>1602</v>
      </c>
      <c r="C1412" t="s">
        <v>2770</v>
      </c>
      <c r="D1412" t="str">
        <f t="shared" si="88"/>
        <v>Female</v>
      </c>
      <c r="E1412" t="s">
        <v>14</v>
      </c>
      <c r="F1412" s="2">
        <v>31</v>
      </c>
      <c r="G1412" s="2" t="str" cm="1">
        <f t="array" ref="G1412">_xlfn.IFS(F1412&lt;=8,"Child",F1412&lt;=17,"Teen",F1412&lt;=35,"Adult",F1412&lt;=55,"Seniour Adult",F1412&gt;=55,"Old Age")</f>
        <v>Adult</v>
      </c>
      <c r="H1412" t="s">
        <v>70</v>
      </c>
      <c r="I1412" t="s">
        <v>11</v>
      </c>
      <c r="J1412" t="str" cm="1">
        <f t="array" ref="J1412">_xlfn.IFS(I1412="S","Southamptom",I1412="Q","Quentown",I1412="C","Cherbrug",I1412="B","Cabin")</f>
        <v>Southamptom</v>
      </c>
      <c r="K1412" t="s">
        <v>15</v>
      </c>
      <c r="L1412" s="2">
        <v>33</v>
      </c>
      <c r="M1412" s="2" t="str" cm="1">
        <f t="array" ref="M1412">_xlfn.IFS(L1412&lt;=15,"Low Fare",L1412&lt;=35,"Medium Fare",L1412&lt;=100,"High Fare",L1412&gt;=100,"Very High Fare")</f>
        <v>Medium Fare</v>
      </c>
      <c r="N1412" s="2">
        <v>1</v>
      </c>
      <c r="O1412" s="2" t="s">
        <v>30</v>
      </c>
      <c r="P1412" t="e">
        <f t="shared" si="89"/>
        <v>#VALUE!</v>
      </c>
      <c r="Q1412" t="e">
        <f t="shared" si="90"/>
        <v>#VALUE!</v>
      </c>
      <c r="R1412" t="str">
        <f t="shared" si="91"/>
        <v>Yes</v>
      </c>
      <c r="S1412" t="s">
        <v>16</v>
      </c>
    </row>
    <row r="1413" spans="1:19" hidden="1" x14ac:dyDescent="0.3">
      <c r="A1413" s="1" t="s">
        <v>1034</v>
      </c>
      <c r="B1413" t="s">
        <v>1596</v>
      </c>
      <c r="C1413" t="s">
        <v>2771</v>
      </c>
      <c r="D1413" t="str">
        <f t="shared" si="88"/>
        <v>Male</v>
      </c>
      <c r="E1413" t="s">
        <v>9</v>
      </c>
      <c r="F1413" s="2">
        <v>28</v>
      </c>
      <c r="G1413" s="2" t="str" cm="1">
        <f t="array" ref="G1413">_xlfn.IFS(F1413&lt;=8,"Child",F1413&lt;=17,"Teen",F1413&lt;=35,"Adult",F1413&lt;=55,"Seniour Adult",F1413&gt;=55,"Old Age")</f>
        <v>Adult</v>
      </c>
      <c r="H1413" t="s">
        <v>71</v>
      </c>
      <c r="I1413" t="s">
        <v>28</v>
      </c>
      <c r="J1413" t="str" cm="1">
        <f t="array" ref="J1413">_xlfn.IFS(I1413="S","Southamptom",I1413="Q","Quentown",I1413="C","Cherbrug",I1413="B","Cabin")</f>
        <v>Cabin</v>
      </c>
      <c r="K1413" t="s">
        <v>15</v>
      </c>
      <c r="L1413" s="2">
        <v>33</v>
      </c>
      <c r="M1413" s="2" t="str" cm="1">
        <f t="array" ref="M1413">_xlfn.IFS(L1413&lt;=15,"Low Fare",L1413&lt;=35,"Medium Fare",L1413&lt;=100,"High Fare",L1413&gt;=100,"Very High Fare")</f>
        <v>Medium Fare</v>
      </c>
      <c r="N1413" s="2">
        <v>1</v>
      </c>
      <c r="O1413" s="2" t="s">
        <v>30</v>
      </c>
      <c r="P1413" t="e">
        <f t="shared" si="89"/>
        <v>#VALUE!</v>
      </c>
      <c r="Q1413" t="e">
        <f t="shared" si="90"/>
        <v>#VALUE!</v>
      </c>
      <c r="R1413" t="str">
        <f t="shared" si="91"/>
        <v>Yes</v>
      </c>
      <c r="S1413" t="s">
        <v>16</v>
      </c>
    </row>
    <row r="1414" spans="1:19" hidden="1" x14ac:dyDescent="0.3">
      <c r="A1414" s="1" t="s">
        <v>1035</v>
      </c>
      <c r="B1414" t="s">
        <v>1596</v>
      </c>
      <c r="C1414" t="s">
        <v>1610</v>
      </c>
      <c r="D1414" t="str">
        <f t="shared" si="88"/>
        <v>Male</v>
      </c>
      <c r="E1414" t="s">
        <v>9</v>
      </c>
      <c r="F1414" s="2">
        <v>37</v>
      </c>
      <c r="G1414" s="2" t="str" cm="1">
        <f t="array" ref="G1414">_xlfn.IFS(F1414&lt;=8,"Child",F1414&lt;=17,"Teen",F1414&lt;=35,"Adult",F1414&lt;=55,"Seniour Adult",F1414&gt;=55,"Old Age")</f>
        <v>Seniour Adult</v>
      </c>
      <c r="H1414" t="s">
        <v>69</v>
      </c>
      <c r="I1414" t="s">
        <v>11</v>
      </c>
      <c r="J1414" t="str" cm="1">
        <f t="array" ref="J1414">_xlfn.IFS(I1414="S","Southamptom",I1414="Q","Quentown",I1414="C","Cherbrug",I1414="B","Cabin")</f>
        <v>Southamptom</v>
      </c>
      <c r="K1414" t="s">
        <v>15</v>
      </c>
      <c r="L1414" s="2">
        <v>33</v>
      </c>
      <c r="M1414" s="2" t="str" cm="1">
        <f t="array" ref="M1414">_xlfn.IFS(L1414&lt;=15,"Low Fare",L1414&lt;=35,"Medium Fare",L1414&lt;=100,"High Fare",L1414&gt;=100,"Very High Fare")</f>
        <v>Medium Fare</v>
      </c>
      <c r="N1414" s="2">
        <v>1</v>
      </c>
      <c r="O1414" s="2" t="s">
        <v>30</v>
      </c>
      <c r="P1414" t="e">
        <f t="shared" si="89"/>
        <v>#VALUE!</v>
      </c>
      <c r="Q1414" t="e">
        <f t="shared" si="90"/>
        <v>#VALUE!</v>
      </c>
      <c r="R1414" t="str">
        <f t="shared" si="91"/>
        <v>No</v>
      </c>
      <c r="S1414" t="s">
        <v>13</v>
      </c>
    </row>
    <row r="1415" spans="1:19" hidden="1" x14ac:dyDescent="0.3">
      <c r="A1415" s="1" t="s">
        <v>1036</v>
      </c>
      <c r="B1415" t="s">
        <v>1596</v>
      </c>
      <c r="C1415" t="s">
        <v>1822</v>
      </c>
      <c r="D1415" t="str">
        <f t="shared" si="88"/>
        <v>Male</v>
      </c>
      <c r="E1415" t="s">
        <v>9</v>
      </c>
      <c r="F1415" s="2">
        <v>36</v>
      </c>
      <c r="G1415" s="2" t="str" cm="1">
        <f t="array" ref="G1415">_xlfn.IFS(F1415&lt;=8,"Child",F1415&lt;=17,"Teen",F1415&lt;=35,"Adult",F1415&lt;=55,"Seniour Adult",F1415&gt;=55,"Old Age")</f>
        <v>Seniour Adult</v>
      </c>
      <c r="H1415" t="s">
        <v>69</v>
      </c>
      <c r="I1415" t="s">
        <v>28</v>
      </c>
      <c r="J1415" t="str" cm="1">
        <f t="array" ref="J1415">_xlfn.IFS(I1415="S","Southamptom",I1415="Q","Quentown",I1415="C","Cherbrug",I1415="B","Cabin")</f>
        <v>Cabin</v>
      </c>
      <c r="K1415" t="s">
        <v>15</v>
      </c>
      <c r="L1415" s="2">
        <v>33</v>
      </c>
      <c r="M1415" s="2" t="str" cm="1">
        <f t="array" ref="M1415">_xlfn.IFS(L1415&lt;=15,"Low Fare",L1415&lt;=35,"Medium Fare",L1415&lt;=100,"High Fare",L1415&gt;=100,"Very High Fare")</f>
        <v>Medium Fare</v>
      </c>
      <c r="N1415" s="2">
        <v>1</v>
      </c>
      <c r="O1415" s="2" t="s">
        <v>30</v>
      </c>
      <c r="P1415" t="e">
        <f t="shared" si="89"/>
        <v>#VALUE!</v>
      </c>
      <c r="Q1415" t="e">
        <f t="shared" si="90"/>
        <v>#VALUE!</v>
      </c>
      <c r="R1415" t="str">
        <f t="shared" si="91"/>
        <v>No</v>
      </c>
      <c r="S1415" t="s">
        <v>13</v>
      </c>
    </row>
    <row r="1416" spans="1:19" hidden="1" x14ac:dyDescent="0.3">
      <c r="A1416" s="1" t="s">
        <v>167</v>
      </c>
      <c r="B1416" t="s">
        <v>1596</v>
      </c>
      <c r="C1416" t="s">
        <v>2772</v>
      </c>
      <c r="D1416" t="str">
        <f t="shared" si="88"/>
        <v>Male</v>
      </c>
      <c r="E1416" t="s">
        <v>9</v>
      </c>
      <c r="F1416" s="2">
        <v>39</v>
      </c>
      <c r="G1416" s="2" t="str" cm="1">
        <f t="array" ref="G1416">_xlfn.IFS(F1416&lt;=8,"Child",F1416&lt;=17,"Teen",F1416&lt;=35,"Adult",F1416&lt;=55,"Seniour Adult",F1416&gt;=55,"Old Age")</f>
        <v>Seniour Adult</v>
      </c>
      <c r="H1416" t="s">
        <v>51</v>
      </c>
      <c r="I1416" t="s">
        <v>11</v>
      </c>
      <c r="J1416" t="str" cm="1">
        <f t="array" ref="J1416">_xlfn.IFS(I1416="S","Southamptom",I1416="Q","Quentown",I1416="C","Cherbrug",I1416="B","Cabin")</f>
        <v>Southamptom</v>
      </c>
      <c r="K1416" t="s">
        <v>15</v>
      </c>
      <c r="L1416" s="2">
        <v>33</v>
      </c>
      <c r="M1416" s="2" t="str" cm="1">
        <f t="array" ref="M1416">_xlfn.IFS(L1416&lt;=15,"Low Fare",L1416&lt;=35,"Medium Fare",L1416&lt;=100,"High Fare",L1416&gt;=100,"Very High Fare")</f>
        <v>Medium Fare</v>
      </c>
      <c r="N1416" s="2">
        <v>1</v>
      </c>
      <c r="O1416" s="2" t="s">
        <v>30</v>
      </c>
      <c r="P1416" t="e">
        <f t="shared" si="89"/>
        <v>#VALUE!</v>
      </c>
      <c r="Q1416" t="e">
        <f t="shared" si="90"/>
        <v>#VALUE!</v>
      </c>
      <c r="R1416" t="str">
        <f t="shared" si="91"/>
        <v>No</v>
      </c>
      <c r="S1416" t="s">
        <v>13</v>
      </c>
    </row>
    <row r="1417" spans="1:19" hidden="1" x14ac:dyDescent="0.3">
      <c r="A1417" s="1" t="s">
        <v>167</v>
      </c>
      <c r="B1417" t="s">
        <v>1596</v>
      </c>
      <c r="C1417" t="s">
        <v>2773</v>
      </c>
      <c r="D1417" t="str">
        <f t="shared" si="88"/>
        <v>Male</v>
      </c>
      <c r="E1417" t="s">
        <v>9</v>
      </c>
      <c r="F1417" s="2">
        <v>29</v>
      </c>
      <c r="G1417" s="2" t="str" cm="1">
        <f t="array" ref="G1417">_xlfn.IFS(F1417&lt;=8,"Child",F1417&lt;=17,"Teen",F1417&lt;=35,"Adult",F1417&lt;=55,"Seniour Adult",F1417&gt;=55,"Old Age")</f>
        <v>Adult</v>
      </c>
      <c r="H1417" t="s">
        <v>71</v>
      </c>
      <c r="I1417" t="s">
        <v>11</v>
      </c>
      <c r="J1417" t="str" cm="1">
        <f t="array" ref="J1417">_xlfn.IFS(I1417="S","Southamptom",I1417="Q","Quentown",I1417="C","Cherbrug",I1417="B","Cabin")</f>
        <v>Southamptom</v>
      </c>
      <c r="K1417" t="s">
        <v>15</v>
      </c>
      <c r="L1417" s="2">
        <v>33</v>
      </c>
      <c r="M1417" s="2" t="str" cm="1">
        <f t="array" ref="M1417">_xlfn.IFS(L1417&lt;=15,"Low Fare",L1417&lt;=35,"Medium Fare",L1417&lt;=100,"High Fare",L1417&gt;=100,"Very High Fare")</f>
        <v>Medium Fare</v>
      </c>
      <c r="N1417" s="2">
        <v>1</v>
      </c>
      <c r="O1417" s="2" t="s">
        <v>30</v>
      </c>
      <c r="P1417" t="e">
        <f t="shared" si="89"/>
        <v>#VALUE!</v>
      </c>
      <c r="Q1417" t="e">
        <f t="shared" si="90"/>
        <v>#VALUE!</v>
      </c>
      <c r="R1417" t="str">
        <f t="shared" si="91"/>
        <v>No</v>
      </c>
      <c r="S1417" t="s">
        <v>13</v>
      </c>
    </row>
    <row r="1418" spans="1:19" hidden="1" x14ac:dyDescent="0.3">
      <c r="A1418" s="1" t="s">
        <v>1037</v>
      </c>
      <c r="B1418" t="s">
        <v>1596</v>
      </c>
      <c r="C1418" t="s">
        <v>2774</v>
      </c>
      <c r="D1418" t="str">
        <f t="shared" si="88"/>
        <v>Male</v>
      </c>
      <c r="E1418" t="s">
        <v>9</v>
      </c>
      <c r="F1418" s="2">
        <v>43</v>
      </c>
      <c r="G1418" s="2" t="str" cm="1">
        <f t="array" ref="G1418">_xlfn.IFS(F1418&lt;=8,"Child",F1418&lt;=17,"Teen",F1418&lt;=35,"Adult",F1418&lt;=55,"Seniour Adult",F1418&gt;=55,"Old Age")</f>
        <v>Seniour Adult</v>
      </c>
      <c r="H1418" t="s">
        <v>69</v>
      </c>
      <c r="I1418" t="s">
        <v>11</v>
      </c>
      <c r="J1418" t="str" cm="1">
        <f t="array" ref="J1418">_xlfn.IFS(I1418="S","Southamptom",I1418="Q","Quentown",I1418="C","Cherbrug",I1418="B","Cabin")</f>
        <v>Southamptom</v>
      </c>
      <c r="K1418" t="s">
        <v>15</v>
      </c>
      <c r="L1418" s="2">
        <v>33</v>
      </c>
      <c r="M1418" s="2" t="str" cm="1">
        <f t="array" ref="M1418">_xlfn.IFS(L1418&lt;=15,"Low Fare",L1418&lt;=35,"Medium Fare",L1418&lt;=100,"High Fare",L1418&gt;=100,"Very High Fare")</f>
        <v>Medium Fare</v>
      </c>
      <c r="N1418" s="2">
        <v>1</v>
      </c>
      <c r="O1418" s="2" t="s">
        <v>30</v>
      </c>
      <c r="P1418" t="e">
        <f t="shared" si="89"/>
        <v>#VALUE!</v>
      </c>
      <c r="Q1418" t="e">
        <f t="shared" si="90"/>
        <v>#VALUE!</v>
      </c>
      <c r="R1418" t="str">
        <f t="shared" si="91"/>
        <v>No</v>
      </c>
      <c r="S1418" t="s">
        <v>13</v>
      </c>
    </row>
    <row r="1419" spans="1:19" hidden="1" x14ac:dyDescent="0.3">
      <c r="A1419" s="1" t="s">
        <v>1038</v>
      </c>
      <c r="B1419" t="s">
        <v>1596</v>
      </c>
      <c r="C1419" t="s">
        <v>1630</v>
      </c>
      <c r="D1419" t="str">
        <f t="shared" si="88"/>
        <v>Male</v>
      </c>
      <c r="E1419" t="s">
        <v>9</v>
      </c>
      <c r="F1419" s="2">
        <v>30</v>
      </c>
      <c r="G1419" s="2" t="str" cm="1">
        <f t="array" ref="G1419">_xlfn.IFS(F1419&lt;=8,"Child",F1419&lt;=17,"Teen",F1419&lt;=35,"Adult",F1419&lt;=55,"Seniour Adult",F1419&gt;=55,"Old Age")</f>
        <v>Adult</v>
      </c>
      <c r="H1419" t="s">
        <v>51</v>
      </c>
      <c r="I1419" t="s">
        <v>11</v>
      </c>
      <c r="J1419" t="str" cm="1">
        <f t="array" ref="J1419">_xlfn.IFS(I1419="S","Southamptom",I1419="Q","Quentown",I1419="C","Cherbrug",I1419="B","Cabin")</f>
        <v>Southamptom</v>
      </c>
      <c r="K1419" t="s">
        <v>15</v>
      </c>
      <c r="L1419" s="2">
        <v>33</v>
      </c>
      <c r="M1419" s="2" t="str" cm="1">
        <f t="array" ref="M1419">_xlfn.IFS(L1419&lt;=15,"Low Fare",L1419&lt;=35,"Medium Fare",L1419&lt;=100,"High Fare",L1419&gt;=100,"Very High Fare")</f>
        <v>Medium Fare</v>
      </c>
      <c r="N1419" s="2">
        <v>1</v>
      </c>
      <c r="O1419" s="2" t="s">
        <v>30</v>
      </c>
      <c r="P1419" t="e">
        <f t="shared" si="89"/>
        <v>#VALUE!</v>
      </c>
      <c r="Q1419" t="e">
        <f t="shared" si="90"/>
        <v>#VALUE!</v>
      </c>
      <c r="R1419" t="str">
        <f t="shared" si="91"/>
        <v>No</v>
      </c>
      <c r="S1419" t="s">
        <v>13</v>
      </c>
    </row>
    <row r="1420" spans="1:19" hidden="1" x14ac:dyDescent="0.3">
      <c r="A1420" s="1" t="s">
        <v>1039</v>
      </c>
      <c r="B1420" t="s">
        <v>1596</v>
      </c>
      <c r="C1420" t="s">
        <v>2120</v>
      </c>
      <c r="D1420" t="str">
        <f t="shared" si="88"/>
        <v>Male</v>
      </c>
      <c r="E1420" t="s">
        <v>9</v>
      </c>
      <c r="F1420" s="2">
        <v>52</v>
      </c>
      <c r="G1420" s="2" t="str" cm="1">
        <f t="array" ref="G1420">_xlfn.IFS(F1420&lt;=8,"Child",F1420&lt;=17,"Teen",F1420&lt;=35,"Adult",F1420&lt;=55,"Seniour Adult",F1420&gt;=55,"Old Age")</f>
        <v>Seniour Adult</v>
      </c>
      <c r="H1420" t="s">
        <v>69</v>
      </c>
      <c r="I1420" t="s">
        <v>28</v>
      </c>
      <c r="J1420" t="str" cm="1">
        <f t="array" ref="J1420">_xlfn.IFS(I1420="S","Southamptom",I1420="Q","Quentown",I1420="C","Cherbrug",I1420="B","Cabin")</f>
        <v>Cabin</v>
      </c>
      <c r="K1420" t="s">
        <v>15</v>
      </c>
      <c r="L1420" s="2">
        <v>33</v>
      </c>
      <c r="M1420" s="2" t="str" cm="1">
        <f t="array" ref="M1420">_xlfn.IFS(L1420&lt;=15,"Low Fare",L1420&lt;=35,"Medium Fare",L1420&lt;=100,"High Fare",L1420&gt;=100,"Very High Fare")</f>
        <v>Medium Fare</v>
      </c>
      <c r="N1420" s="2">
        <v>1</v>
      </c>
      <c r="O1420" s="2" t="s">
        <v>30</v>
      </c>
      <c r="P1420" t="e">
        <f t="shared" si="89"/>
        <v>#VALUE!</v>
      </c>
      <c r="Q1420" t="e">
        <f t="shared" si="90"/>
        <v>#VALUE!</v>
      </c>
      <c r="R1420" t="str">
        <f t="shared" si="91"/>
        <v>No</v>
      </c>
      <c r="S1420" t="s">
        <v>13</v>
      </c>
    </row>
    <row r="1421" spans="1:19" hidden="1" x14ac:dyDescent="0.3">
      <c r="A1421" s="1" t="s">
        <v>1040</v>
      </c>
      <c r="B1421" t="s">
        <v>1596</v>
      </c>
      <c r="C1421" t="s">
        <v>1671</v>
      </c>
      <c r="D1421" t="str">
        <f t="shared" si="88"/>
        <v>Male</v>
      </c>
      <c r="E1421" t="s">
        <v>9</v>
      </c>
      <c r="F1421" s="2">
        <v>34</v>
      </c>
      <c r="G1421" s="2" t="str" cm="1">
        <f t="array" ref="G1421">_xlfn.IFS(F1421&lt;=8,"Child",F1421&lt;=17,"Teen",F1421&lt;=35,"Adult",F1421&lt;=55,"Seniour Adult",F1421&gt;=55,"Old Age")</f>
        <v>Adult</v>
      </c>
      <c r="H1421" t="s">
        <v>51</v>
      </c>
      <c r="I1421" t="s">
        <v>11</v>
      </c>
      <c r="J1421" t="str" cm="1">
        <f t="array" ref="J1421">_xlfn.IFS(I1421="S","Southamptom",I1421="Q","Quentown",I1421="C","Cherbrug",I1421="B","Cabin")</f>
        <v>Southamptom</v>
      </c>
      <c r="K1421" t="s">
        <v>15</v>
      </c>
      <c r="L1421" s="2">
        <v>33</v>
      </c>
      <c r="M1421" s="2" t="str" cm="1">
        <f t="array" ref="M1421">_xlfn.IFS(L1421&lt;=15,"Low Fare",L1421&lt;=35,"Medium Fare",L1421&lt;=100,"High Fare",L1421&gt;=100,"Very High Fare")</f>
        <v>Medium Fare</v>
      </c>
      <c r="N1421" s="2">
        <v>1</v>
      </c>
      <c r="O1421" s="2" t="s">
        <v>30</v>
      </c>
      <c r="P1421" t="e">
        <f t="shared" si="89"/>
        <v>#VALUE!</v>
      </c>
      <c r="Q1421" t="e">
        <f t="shared" si="90"/>
        <v>#VALUE!</v>
      </c>
      <c r="R1421" t="str">
        <f t="shared" si="91"/>
        <v>No</v>
      </c>
      <c r="S1421" t="s">
        <v>13</v>
      </c>
    </row>
    <row r="1422" spans="1:19" hidden="1" x14ac:dyDescent="0.3">
      <c r="A1422" s="1" t="s">
        <v>1041</v>
      </c>
      <c r="B1422" t="s">
        <v>1596</v>
      </c>
      <c r="C1422" t="s">
        <v>2768</v>
      </c>
      <c r="D1422" t="str">
        <f t="shared" si="88"/>
        <v>Male</v>
      </c>
      <c r="E1422" t="s">
        <v>9</v>
      </c>
      <c r="F1422" s="2">
        <v>43</v>
      </c>
      <c r="G1422" s="2" t="str" cm="1">
        <f t="array" ref="G1422">_xlfn.IFS(F1422&lt;=8,"Child",F1422&lt;=17,"Teen",F1422&lt;=35,"Adult",F1422&lt;=55,"Seniour Adult",F1422&gt;=55,"Old Age")</f>
        <v>Seniour Adult</v>
      </c>
      <c r="H1422" t="s">
        <v>71</v>
      </c>
      <c r="I1422" t="s">
        <v>11</v>
      </c>
      <c r="J1422" t="str" cm="1">
        <f t="array" ref="J1422">_xlfn.IFS(I1422="S","Southamptom",I1422="Q","Quentown",I1422="C","Cherbrug",I1422="B","Cabin")</f>
        <v>Southamptom</v>
      </c>
      <c r="K1422" t="s">
        <v>15</v>
      </c>
      <c r="L1422" s="2">
        <v>33</v>
      </c>
      <c r="M1422" s="2" t="str" cm="1">
        <f t="array" ref="M1422">_xlfn.IFS(L1422&lt;=15,"Low Fare",L1422&lt;=35,"Medium Fare",L1422&lt;=100,"High Fare",L1422&gt;=100,"Very High Fare")</f>
        <v>Medium Fare</v>
      </c>
      <c r="N1422" s="2">
        <v>1</v>
      </c>
      <c r="O1422" s="2" t="s">
        <v>30</v>
      </c>
      <c r="P1422" t="e">
        <f t="shared" si="89"/>
        <v>#VALUE!</v>
      </c>
      <c r="Q1422" t="e">
        <f t="shared" si="90"/>
        <v>#VALUE!</v>
      </c>
      <c r="R1422" t="str">
        <f t="shared" si="91"/>
        <v>Yes</v>
      </c>
      <c r="S1422" t="s">
        <v>16</v>
      </c>
    </row>
    <row r="1423" spans="1:19" hidden="1" x14ac:dyDescent="0.3">
      <c r="A1423" s="1" t="s">
        <v>1042</v>
      </c>
      <c r="B1423" t="s">
        <v>1596</v>
      </c>
      <c r="C1423" t="s">
        <v>2775</v>
      </c>
      <c r="D1423" t="str">
        <f t="shared" si="88"/>
        <v>Male</v>
      </c>
      <c r="E1423" t="s">
        <v>9</v>
      </c>
      <c r="F1423" s="2">
        <v>22</v>
      </c>
      <c r="G1423" s="2" t="str" cm="1">
        <f t="array" ref="G1423">_xlfn.IFS(F1423&lt;=8,"Child",F1423&lt;=17,"Teen",F1423&lt;=35,"Adult",F1423&lt;=55,"Seniour Adult",F1423&gt;=55,"Old Age")</f>
        <v>Adult</v>
      </c>
      <c r="H1423" t="s">
        <v>69</v>
      </c>
      <c r="I1423" t="s">
        <v>28</v>
      </c>
      <c r="J1423" t="str" cm="1">
        <f t="array" ref="J1423">_xlfn.IFS(I1423="S","Southamptom",I1423="Q","Quentown",I1423="C","Cherbrug",I1423="B","Cabin")</f>
        <v>Cabin</v>
      </c>
      <c r="K1423" t="s">
        <v>15</v>
      </c>
      <c r="L1423" s="2">
        <v>33</v>
      </c>
      <c r="M1423" s="2" t="str" cm="1">
        <f t="array" ref="M1423">_xlfn.IFS(L1423&lt;=15,"Low Fare",L1423&lt;=35,"Medium Fare",L1423&lt;=100,"High Fare",L1423&gt;=100,"Very High Fare")</f>
        <v>Medium Fare</v>
      </c>
      <c r="N1423" s="2">
        <v>1</v>
      </c>
      <c r="O1423" s="2" t="s">
        <v>30</v>
      </c>
      <c r="P1423" t="e">
        <f t="shared" si="89"/>
        <v>#VALUE!</v>
      </c>
      <c r="Q1423" t="e">
        <f t="shared" si="90"/>
        <v>#VALUE!</v>
      </c>
      <c r="R1423" t="str">
        <f t="shared" si="91"/>
        <v>Yes</v>
      </c>
      <c r="S1423" t="s">
        <v>16</v>
      </c>
    </row>
    <row r="1424" spans="1:19" hidden="1" x14ac:dyDescent="0.3">
      <c r="A1424" s="1" t="s">
        <v>1043</v>
      </c>
      <c r="B1424" t="s">
        <v>1596</v>
      </c>
      <c r="C1424" t="s">
        <v>2776</v>
      </c>
      <c r="D1424" t="str">
        <f t="shared" si="88"/>
        <v>Male</v>
      </c>
      <c r="E1424" t="s">
        <v>9</v>
      </c>
      <c r="F1424" s="2">
        <v>42</v>
      </c>
      <c r="G1424" s="2" t="str" cm="1">
        <f t="array" ref="G1424">_xlfn.IFS(F1424&lt;=8,"Child",F1424&lt;=17,"Teen",F1424&lt;=35,"Adult",F1424&lt;=55,"Seniour Adult",F1424&gt;=55,"Old Age")</f>
        <v>Seniour Adult</v>
      </c>
      <c r="H1424" t="s">
        <v>71</v>
      </c>
      <c r="I1424" t="s">
        <v>28</v>
      </c>
      <c r="J1424" t="str" cm="1">
        <f t="array" ref="J1424">_xlfn.IFS(I1424="S","Southamptom",I1424="Q","Quentown",I1424="C","Cherbrug",I1424="B","Cabin")</f>
        <v>Cabin</v>
      </c>
      <c r="K1424" t="s">
        <v>15</v>
      </c>
      <c r="L1424" s="2">
        <v>33</v>
      </c>
      <c r="M1424" s="2" t="str" cm="1">
        <f t="array" ref="M1424">_xlfn.IFS(L1424&lt;=15,"Low Fare",L1424&lt;=35,"Medium Fare",L1424&lt;=100,"High Fare",L1424&gt;=100,"Very High Fare")</f>
        <v>Medium Fare</v>
      </c>
      <c r="N1424" s="2">
        <v>1</v>
      </c>
      <c r="O1424" s="2" t="s">
        <v>30</v>
      </c>
      <c r="P1424" t="e">
        <f t="shared" si="89"/>
        <v>#VALUE!</v>
      </c>
      <c r="Q1424" t="e">
        <f t="shared" si="90"/>
        <v>#VALUE!</v>
      </c>
      <c r="R1424" t="str">
        <f t="shared" si="91"/>
        <v>Yes</v>
      </c>
      <c r="S1424" t="s">
        <v>16</v>
      </c>
    </row>
    <row r="1425" spans="1:19" hidden="1" x14ac:dyDescent="0.3">
      <c r="A1425" s="1" t="s">
        <v>1044</v>
      </c>
      <c r="B1425" t="s">
        <v>1596</v>
      </c>
      <c r="C1425" t="s">
        <v>1630</v>
      </c>
      <c r="D1425" t="str">
        <f t="shared" si="88"/>
        <v>Male</v>
      </c>
      <c r="E1425" t="s">
        <v>9</v>
      </c>
      <c r="F1425" s="2">
        <v>38</v>
      </c>
      <c r="G1425" s="2" t="str" cm="1">
        <f t="array" ref="G1425">_xlfn.IFS(F1425&lt;=8,"Child",F1425&lt;=17,"Teen",F1425&lt;=35,"Adult",F1425&lt;=55,"Seniour Adult",F1425&gt;=55,"Old Age")</f>
        <v>Seniour Adult</v>
      </c>
      <c r="H1425" t="s">
        <v>69</v>
      </c>
      <c r="I1425" t="s">
        <v>11</v>
      </c>
      <c r="J1425" t="str" cm="1">
        <f t="array" ref="J1425">_xlfn.IFS(I1425="S","Southamptom",I1425="Q","Quentown",I1425="C","Cherbrug",I1425="B","Cabin")</f>
        <v>Southamptom</v>
      </c>
      <c r="K1425" t="s">
        <v>15</v>
      </c>
      <c r="L1425" s="2">
        <v>33</v>
      </c>
      <c r="M1425" s="2" t="str" cm="1">
        <f t="array" ref="M1425">_xlfn.IFS(L1425&lt;=15,"Low Fare",L1425&lt;=35,"Medium Fare",L1425&lt;=100,"High Fare",L1425&gt;=100,"Very High Fare")</f>
        <v>Medium Fare</v>
      </c>
      <c r="N1425" s="2">
        <v>1</v>
      </c>
      <c r="O1425" s="2" t="s">
        <v>30</v>
      </c>
      <c r="P1425" t="e">
        <f t="shared" si="89"/>
        <v>#VALUE!</v>
      </c>
      <c r="Q1425" t="e">
        <f t="shared" si="90"/>
        <v>#VALUE!</v>
      </c>
      <c r="R1425" t="str">
        <f t="shared" si="91"/>
        <v>No</v>
      </c>
      <c r="S1425" t="s">
        <v>13</v>
      </c>
    </row>
    <row r="1426" spans="1:19" hidden="1" x14ac:dyDescent="0.3">
      <c r="A1426" s="1" t="s">
        <v>1044</v>
      </c>
      <c r="B1426" t="s">
        <v>1596</v>
      </c>
      <c r="C1426" t="s">
        <v>2777</v>
      </c>
      <c r="D1426" t="str">
        <f t="shared" si="88"/>
        <v>Male</v>
      </c>
      <c r="E1426" t="s">
        <v>9</v>
      </c>
      <c r="F1426" s="2">
        <v>31</v>
      </c>
      <c r="G1426" s="2" t="str" cm="1">
        <f t="array" ref="G1426">_xlfn.IFS(F1426&lt;=8,"Child",F1426&lt;=17,"Teen",F1426&lt;=35,"Adult",F1426&lt;=55,"Seniour Adult",F1426&gt;=55,"Old Age")</f>
        <v>Adult</v>
      </c>
      <c r="H1426" t="s">
        <v>69</v>
      </c>
      <c r="I1426" t="s">
        <v>11</v>
      </c>
      <c r="J1426" t="str" cm="1">
        <f t="array" ref="J1426">_xlfn.IFS(I1426="S","Southamptom",I1426="Q","Quentown",I1426="C","Cherbrug",I1426="B","Cabin")</f>
        <v>Southamptom</v>
      </c>
      <c r="K1426" t="s">
        <v>15</v>
      </c>
      <c r="L1426" s="2">
        <v>33</v>
      </c>
      <c r="M1426" s="2" t="str" cm="1">
        <f t="array" ref="M1426">_xlfn.IFS(L1426&lt;=15,"Low Fare",L1426&lt;=35,"Medium Fare",L1426&lt;=100,"High Fare",L1426&gt;=100,"Very High Fare")</f>
        <v>Medium Fare</v>
      </c>
      <c r="N1426" s="2">
        <v>1</v>
      </c>
      <c r="O1426" s="2" t="s">
        <v>30</v>
      </c>
      <c r="P1426" t="e">
        <f t="shared" si="89"/>
        <v>#VALUE!</v>
      </c>
      <c r="Q1426" t="e">
        <f t="shared" si="90"/>
        <v>#VALUE!</v>
      </c>
      <c r="R1426" t="str">
        <f t="shared" si="91"/>
        <v>No</v>
      </c>
      <c r="S1426" t="s">
        <v>13</v>
      </c>
    </row>
    <row r="1427" spans="1:19" hidden="1" x14ac:dyDescent="0.3">
      <c r="A1427" s="1" t="s">
        <v>1045</v>
      </c>
      <c r="B1427" t="s">
        <v>1596</v>
      </c>
      <c r="C1427" t="s">
        <v>2778</v>
      </c>
      <c r="D1427" t="str">
        <f t="shared" si="88"/>
        <v>Male</v>
      </c>
      <c r="E1427" t="s">
        <v>9</v>
      </c>
      <c r="F1427" s="2">
        <v>28</v>
      </c>
      <c r="G1427" s="2" t="str" cm="1">
        <f t="array" ref="G1427">_xlfn.IFS(F1427&lt;=8,"Child",F1427&lt;=17,"Teen",F1427&lt;=35,"Adult",F1427&lt;=55,"Seniour Adult",F1427&gt;=55,"Old Age")</f>
        <v>Adult</v>
      </c>
      <c r="H1427" t="s">
        <v>69</v>
      </c>
      <c r="I1427" t="s">
        <v>11</v>
      </c>
      <c r="J1427" t="str" cm="1">
        <f t="array" ref="J1427">_xlfn.IFS(I1427="S","Southamptom",I1427="Q","Quentown",I1427="C","Cherbrug",I1427="B","Cabin")</f>
        <v>Southamptom</v>
      </c>
      <c r="K1427" t="s">
        <v>15</v>
      </c>
      <c r="L1427" s="2">
        <v>33</v>
      </c>
      <c r="M1427" s="2" t="str" cm="1">
        <f t="array" ref="M1427">_xlfn.IFS(L1427&lt;=15,"Low Fare",L1427&lt;=35,"Medium Fare",L1427&lt;=100,"High Fare",L1427&gt;=100,"Very High Fare")</f>
        <v>Medium Fare</v>
      </c>
      <c r="N1427" s="2">
        <v>1</v>
      </c>
      <c r="O1427" s="2" t="s">
        <v>30</v>
      </c>
      <c r="P1427" t="e">
        <f t="shared" si="89"/>
        <v>#VALUE!</v>
      </c>
      <c r="Q1427" t="e">
        <f t="shared" si="90"/>
        <v>#VALUE!</v>
      </c>
      <c r="R1427" t="str">
        <f t="shared" si="91"/>
        <v>No</v>
      </c>
      <c r="S1427" t="s">
        <v>13</v>
      </c>
    </row>
    <row r="1428" spans="1:19" hidden="1" x14ac:dyDescent="0.3">
      <c r="A1428" s="1" t="s">
        <v>1046</v>
      </c>
      <c r="B1428" t="s">
        <v>1596</v>
      </c>
      <c r="C1428" t="s">
        <v>2779</v>
      </c>
      <c r="D1428" t="str">
        <f t="shared" si="88"/>
        <v>Male</v>
      </c>
      <c r="E1428" t="s">
        <v>9</v>
      </c>
      <c r="F1428" s="2">
        <v>25</v>
      </c>
      <c r="G1428" s="2" t="str" cm="1">
        <f t="array" ref="G1428">_xlfn.IFS(F1428&lt;=8,"Child",F1428&lt;=17,"Teen",F1428&lt;=35,"Adult",F1428&lt;=55,"Seniour Adult",F1428&gt;=55,"Old Age")</f>
        <v>Adult</v>
      </c>
      <c r="H1428" t="s">
        <v>51</v>
      </c>
      <c r="I1428" t="s">
        <v>11</v>
      </c>
      <c r="J1428" t="str" cm="1">
        <f t="array" ref="J1428">_xlfn.IFS(I1428="S","Southamptom",I1428="Q","Quentown",I1428="C","Cherbrug",I1428="B","Cabin")</f>
        <v>Southamptom</v>
      </c>
      <c r="K1428" t="s">
        <v>15</v>
      </c>
      <c r="L1428" s="2">
        <v>33</v>
      </c>
      <c r="M1428" s="2" t="str" cm="1">
        <f t="array" ref="M1428">_xlfn.IFS(L1428&lt;=15,"Low Fare",L1428&lt;=35,"Medium Fare",L1428&lt;=100,"High Fare",L1428&gt;=100,"Very High Fare")</f>
        <v>Medium Fare</v>
      </c>
      <c r="N1428" s="2">
        <v>1</v>
      </c>
      <c r="O1428" s="2" t="s">
        <v>30</v>
      </c>
      <c r="P1428" t="e">
        <f t="shared" si="89"/>
        <v>#VALUE!</v>
      </c>
      <c r="Q1428" t="e">
        <f t="shared" si="90"/>
        <v>#VALUE!</v>
      </c>
      <c r="R1428" t="str">
        <f t="shared" si="91"/>
        <v>No</v>
      </c>
      <c r="S1428" t="s">
        <v>13</v>
      </c>
    </row>
    <row r="1429" spans="1:19" hidden="1" x14ac:dyDescent="0.3">
      <c r="A1429" s="1" t="s">
        <v>1047</v>
      </c>
      <c r="B1429" t="s">
        <v>1596</v>
      </c>
      <c r="C1429" t="s">
        <v>2780</v>
      </c>
      <c r="D1429" t="str">
        <f t="shared" si="88"/>
        <v>Male</v>
      </c>
      <c r="E1429" t="s">
        <v>9</v>
      </c>
      <c r="F1429" s="2">
        <v>31</v>
      </c>
      <c r="G1429" s="2" t="str" cm="1">
        <f t="array" ref="G1429">_xlfn.IFS(F1429&lt;=8,"Child",F1429&lt;=17,"Teen",F1429&lt;=35,"Adult",F1429&lt;=55,"Seniour Adult",F1429&gt;=55,"Old Age")</f>
        <v>Adult</v>
      </c>
      <c r="H1429" t="s">
        <v>69</v>
      </c>
      <c r="I1429" t="s">
        <v>11</v>
      </c>
      <c r="J1429" t="str" cm="1">
        <f t="array" ref="J1429">_xlfn.IFS(I1429="S","Southamptom",I1429="Q","Quentown",I1429="C","Cherbrug",I1429="B","Cabin")</f>
        <v>Southamptom</v>
      </c>
      <c r="K1429" t="s">
        <v>15</v>
      </c>
      <c r="L1429" s="2">
        <v>33</v>
      </c>
      <c r="M1429" s="2" t="str" cm="1">
        <f t="array" ref="M1429">_xlfn.IFS(L1429&lt;=15,"Low Fare",L1429&lt;=35,"Medium Fare",L1429&lt;=100,"High Fare",L1429&gt;=100,"Very High Fare")</f>
        <v>Medium Fare</v>
      </c>
      <c r="N1429" s="2">
        <v>1</v>
      </c>
      <c r="O1429" s="2" t="s">
        <v>30</v>
      </c>
      <c r="P1429" t="e">
        <f t="shared" si="89"/>
        <v>#VALUE!</v>
      </c>
      <c r="Q1429" t="e">
        <f t="shared" si="90"/>
        <v>#VALUE!</v>
      </c>
      <c r="R1429" t="str">
        <f t="shared" si="91"/>
        <v>No</v>
      </c>
      <c r="S1429" t="s">
        <v>13</v>
      </c>
    </row>
    <row r="1430" spans="1:19" hidden="1" x14ac:dyDescent="0.3">
      <c r="A1430" s="1" t="s">
        <v>1048</v>
      </c>
      <c r="B1430" t="s">
        <v>1596</v>
      </c>
      <c r="C1430" t="s">
        <v>2781</v>
      </c>
      <c r="D1430" t="str">
        <f t="shared" si="88"/>
        <v>Male</v>
      </c>
      <c r="E1430" t="s">
        <v>9</v>
      </c>
      <c r="F1430" s="2">
        <v>33</v>
      </c>
      <c r="G1430" s="2" t="str" cm="1">
        <f t="array" ref="G1430">_xlfn.IFS(F1430&lt;=8,"Child",F1430&lt;=17,"Teen",F1430&lt;=35,"Adult",F1430&lt;=55,"Seniour Adult",F1430&gt;=55,"Old Age")</f>
        <v>Adult</v>
      </c>
      <c r="H1430" t="s">
        <v>69</v>
      </c>
      <c r="I1430" t="s">
        <v>28</v>
      </c>
      <c r="J1430" t="str" cm="1">
        <f t="array" ref="J1430">_xlfn.IFS(I1430="S","Southamptom",I1430="Q","Quentown",I1430="C","Cherbrug",I1430="B","Cabin")</f>
        <v>Cabin</v>
      </c>
      <c r="K1430" t="s">
        <v>15</v>
      </c>
      <c r="L1430" s="2">
        <v>33</v>
      </c>
      <c r="M1430" s="2" t="str" cm="1">
        <f t="array" ref="M1430">_xlfn.IFS(L1430&lt;=15,"Low Fare",L1430&lt;=35,"Medium Fare",L1430&lt;=100,"High Fare",L1430&gt;=100,"Very High Fare")</f>
        <v>Medium Fare</v>
      </c>
      <c r="N1430" s="2">
        <v>1</v>
      </c>
      <c r="O1430" s="2" t="s">
        <v>30</v>
      </c>
      <c r="P1430" t="e">
        <f t="shared" si="89"/>
        <v>#VALUE!</v>
      </c>
      <c r="Q1430" t="e">
        <f t="shared" si="90"/>
        <v>#VALUE!</v>
      </c>
      <c r="R1430" t="str">
        <f t="shared" si="91"/>
        <v>No</v>
      </c>
      <c r="S1430" t="s">
        <v>13</v>
      </c>
    </row>
    <row r="1431" spans="1:19" hidden="1" x14ac:dyDescent="0.3">
      <c r="A1431" s="1" t="s">
        <v>179</v>
      </c>
      <c r="B1431" t="s">
        <v>1596</v>
      </c>
      <c r="C1431" t="s">
        <v>1700</v>
      </c>
      <c r="D1431" t="str">
        <f t="shared" si="88"/>
        <v>Male</v>
      </c>
      <c r="E1431" t="s">
        <v>9</v>
      </c>
      <c r="F1431" s="2">
        <v>34</v>
      </c>
      <c r="G1431" s="2" t="str" cm="1">
        <f t="array" ref="G1431">_xlfn.IFS(F1431&lt;=8,"Child",F1431&lt;=17,"Teen",F1431&lt;=35,"Adult",F1431&lt;=55,"Seniour Adult",F1431&gt;=55,"Old Age")</f>
        <v>Adult</v>
      </c>
      <c r="H1431" t="s">
        <v>69</v>
      </c>
      <c r="I1431" t="s">
        <v>28</v>
      </c>
      <c r="J1431" t="str" cm="1">
        <f t="array" ref="J1431">_xlfn.IFS(I1431="S","Southamptom",I1431="Q","Quentown",I1431="C","Cherbrug",I1431="B","Cabin")</f>
        <v>Cabin</v>
      </c>
      <c r="K1431" t="s">
        <v>40</v>
      </c>
      <c r="L1431" s="2">
        <v>33</v>
      </c>
      <c r="M1431" s="2" t="str" cm="1">
        <f t="array" ref="M1431">_xlfn.IFS(L1431&lt;=15,"Low Fare",L1431&lt;=35,"Medium Fare",L1431&lt;=100,"High Fare",L1431&gt;=100,"Very High Fare")</f>
        <v>Medium Fare</v>
      </c>
      <c r="N1431" s="2">
        <v>1</v>
      </c>
      <c r="O1431" s="2" t="s">
        <v>30</v>
      </c>
      <c r="P1431" t="e">
        <f t="shared" si="89"/>
        <v>#VALUE!</v>
      </c>
      <c r="Q1431" t="e">
        <f t="shared" si="90"/>
        <v>#VALUE!</v>
      </c>
      <c r="R1431" t="str">
        <f t="shared" si="91"/>
        <v>Yes</v>
      </c>
      <c r="S1431" t="s">
        <v>16</v>
      </c>
    </row>
    <row r="1432" spans="1:19" hidden="1" x14ac:dyDescent="0.3">
      <c r="A1432" s="1" t="s">
        <v>179</v>
      </c>
      <c r="B1432" t="s">
        <v>1596</v>
      </c>
      <c r="C1432" t="s">
        <v>1610</v>
      </c>
      <c r="D1432" t="str">
        <f t="shared" si="88"/>
        <v>Male</v>
      </c>
      <c r="E1432" t="s">
        <v>9</v>
      </c>
      <c r="F1432" s="2">
        <v>28</v>
      </c>
      <c r="G1432" s="2" t="str" cm="1">
        <f t="array" ref="G1432">_xlfn.IFS(F1432&lt;=8,"Child",F1432&lt;=17,"Teen",F1432&lt;=35,"Adult",F1432&lt;=55,"Seniour Adult",F1432&gt;=55,"Old Age")</f>
        <v>Adult</v>
      </c>
      <c r="H1432" t="s">
        <v>51</v>
      </c>
      <c r="I1432" t="s">
        <v>11</v>
      </c>
      <c r="J1432" t="str" cm="1">
        <f t="array" ref="J1432">_xlfn.IFS(I1432="S","Southamptom",I1432="Q","Quentown",I1432="C","Cherbrug",I1432="B","Cabin")</f>
        <v>Southamptom</v>
      </c>
      <c r="K1432" t="s">
        <v>40</v>
      </c>
      <c r="L1432" s="2">
        <v>33</v>
      </c>
      <c r="M1432" s="2" t="str" cm="1">
        <f t="array" ref="M1432">_xlfn.IFS(L1432&lt;=15,"Low Fare",L1432&lt;=35,"Medium Fare",L1432&lt;=100,"High Fare",L1432&gt;=100,"Very High Fare")</f>
        <v>Medium Fare</v>
      </c>
      <c r="N1432" s="2">
        <v>1</v>
      </c>
      <c r="O1432" s="2" t="s">
        <v>30</v>
      </c>
      <c r="P1432" t="e">
        <f t="shared" si="89"/>
        <v>#VALUE!</v>
      </c>
      <c r="Q1432" t="e">
        <f t="shared" si="90"/>
        <v>#VALUE!</v>
      </c>
      <c r="R1432" t="str">
        <f t="shared" si="91"/>
        <v>No</v>
      </c>
      <c r="S1432" t="s">
        <v>13</v>
      </c>
    </row>
    <row r="1433" spans="1:19" hidden="1" x14ac:dyDescent="0.3">
      <c r="A1433" s="1" t="s">
        <v>179</v>
      </c>
      <c r="B1433" t="s">
        <v>1596</v>
      </c>
      <c r="C1433" t="s">
        <v>2782</v>
      </c>
      <c r="D1433" t="str">
        <f t="shared" si="88"/>
        <v>Male</v>
      </c>
      <c r="E1433" t="s">
        <v>9</v>
      </c>
      <c r="F1433" s="2">
        <v>25</v>
      </c>
      <c r="G1433" s="2" t="str" cm="1">
        <f t="array" ref="G1433">_xlfn.IFS(F1433&lt;=8,"Child",F1433&lt;=17,"Teen",F1433&lt;=35,"Adult",F1433&lt;=55,"Seniour Adult",F1433&gt;=55,"Old Age")</f>
        <v>Adult</v>
      </c>
      <c r="H1433" t="s">
        <v>51</v>
      </c>
      <c r="I1433" t="s">
        <v>11</v>
      </c>
      <c r="J1433" t="str" cm="1">
        <f t="array" ref="J1433">_xlfn.IFS(I1433="S","Southamptom",I1433="Q","Quentown",I1433="C","Cherbrug",I1433="B","Cabin")</f>
        <v>Southamptom</v>
      </c>
      <c r="K1433" t="s">
        <v>15</v>
      </c>
      <c r="L1433" s="2">
        <v>33</v>
      </c>
      <c r="M1433" s="2" t="str" cm="1">
        <f t="array" ref="M1433">_xlfn.IFS(L1433&lt;=15,"Low Fare",L1433&lt;=35,"Medium Fare",L1433&lt;=100,"High Fare",L1433&gt;=100,"Very High Fare")</f>
        <v>Medium Fare</v>
      </c>
      <c r="N1433" s="2">
        <v>1</v>
      </c>
      <c r="O1433" s="2" t="s">
        <v>30</v>
      </c>
      <c r="P1433" t="e">
        <f t="shared" si="89"/>
        <v>#VALUE!</v>
      </c>
      <c r="Q1433" t="e">
        <f t="shared" si="90"/>
        <v>#VALUE!</v>
      </c>
      <c r="R1433" t="str">
        <f t="shared" si="91"/>
        <v>No</v>
      </c>
      <c r="S1433" t="s">
        <v>13</v>
      </c>
    </row>
    <row r="1434" spans="1:19" hidden="1" x14ac:dyDescent="0.3">
      <c r="A1434" s="1" t="s">
        <v>179</v>
      </c>
      <c r="B1434" t="s">
        <v>1596</v>
      </c>
      <c r="C1434" t="s">
        <v>2074</v>
      </c>
      <c r="D1434" t="str">
        <f t="shared" si="88"/>
        <v>Male</v>
      </c>
      <c r="E1434" t="s">
        <v>9</v>
      </c>
      <c r="F1434" s="2">
        <v>41</v>
      </c>
      <c r="G1434" s="2" t="str" cm="1">
        <f t="array" ref="G1434">_xlfn.IFS(F1434&lt;=8,"Child",F1434&lt;=17,"Teen",F1434&lt;=35,"Adult",F1434&lt;=55,"Seniour Adult",F1434&gt;=55,"Old Age")</f>
        <v>Seniour Adult</v>
      </c>
      <c r="H1434" t="s">
        <v>69</v>
      </c>
      <c r="I1434" t="s">
        <v>28</v>
      </c>
      <c r="J1434" t="str" cm="1">
        <f t="array" ref="J1434">_xlfn.IFS(I1434="S","Southamptom",I1434="Q","Quentown",I1434="C","Cherbrug",I1434="B","Cabin")</f>
        <v>Cabin</v>
      </c>
      <c r="K1434" t="s">
        <v>15</v>
      </c>
      <c r="L1434" s="2">
        <v>33</v>
      </c>
      <c r="M1434" s="2" t="str" cm="1">
        <f t="array" ref="M1434">_xlfn.IFS(L1434&lt;=15,"Low Fare",L1434&lt;=35,"Medium Fare",L1434&lt;=100,"High Fare",L1434&gt;=100,"Very High Fare")</f>
        <v>Medium Fare</v>
      </c>
      <c r="N1434" s="2">
        <v>1</v>
      </c>
      <c r="O1434" s="2" t="s">
        <v>30</v>
      </c>
      <c r="P1434" t="e">
        <f t="shared" si="89"/>
        <v>#VALUE!</v>
      </c>
      <c r="Q1434" t="e">
        <f t="shared" si="90"/>
        <v>#VALUE!</v>
      </c>
      <c r="R1434" t="str">
        <f t="shared" si="91"/>
        <v>No</v>
      </c>
      <c r="S1434" t="s">
        <v>13</v>
      </c>
    </row>
    <row r="1435" spans="1:19" hidden="1" x14ac:dyDescent="0.3">
      <c r="A1435" s="1" t="s">
        <v>181</v>
      </c>
      <c r="B1435" t="s">
        <v>1596</v>
      </c>
      <c r="C1435" t="s">
        <v>2783</v>
      </c>
      <c r="D1435" t="str">
        <f t="shared" si="88"/>
        <v>Male</v>
      </c>
      <c r="E1435" t="s">
        <v>9</v>
      </c>
      <c r="F1435" s="2">
        <v>34</v>
      </c>
      <c r="G1435" s="2" t="str" cm="1">
        <f t="array" ref="G1435">_xlfn.IFS(F1435&lt;=8,"Child",F1435&lt;=17,"Teen",F1435&lt;=35,"Adult",F1435&lt;=55,"Seniour Adult",F1435&gt;=55,"Old Age")</f>
        <v>Adult</v>
      </c>
      <c r="H1435" t="s">
        <v>69</v>
      </c>
      <c r="I1435" t="s">
        <v>11</v>
      </c>
      <c r="J1435" t="str" cm="1">
        <f t="array" ref="J1435">_xlfn.IFS(I1435="S","Southamptom",I1435="Q","Quentown",I1435="C","Cherbrug",I1435="B","Cabin")</f>
        <v>Southamptom</v>
      </c>
      <c r="K1435" t="s">
        <v>15</v>
      </c>
      <c r="L1435" s="2">
        <v>33</v>
      </c>
      <c r="M1435" s="2" t="str" cm="1">
        <f t="array" ref="M1435">_xlfn.IFS(L1435&lt;=15,"Low Fare",L1435&lt;=35,"Medium Fare",L1435&lt;=100,"High Fare",L1435&gt;=100,"Very High Fare")</f>
        <v>Medium Fare</v>
      </c>
      <c r="N1435" s="2">
        <v>1</v>
      </c>
      <c r="O1435" s="2" t="s">
        <v>30</v>
      </c>
      <c r="P1435" t="e">
        <f t="shared" si="89"/>
        <v>#VALUE!</v>
      </c>
      <c r="Q1435" t="e">
        <f t="shared" si="90"/>
        <v>#VALUE!</v>
      </c>
      <c r="R1435" t="str">
        <f t="shared" si="91"/>
        <v>No</v>
      </c>
      <c r="S1435" t="s">
        <v>13</v>
      </c>
    </row>
    <row r="1436" spans="1:19" hidden="1" x14ac:dyDescent="0.3">
      <c r="A1436" s="1" t="s">
        <v>1049</v>
      </c>
      <c r="B1436" t="s">
        <v>1596</v>
      </c>
      <c r="C1436" t="s">
        <v>2692</v>
      </c>
      <c r="D1436" t="str">
        <f t="shared" si="88"/>
        <v>Male</v>
      </c>
      <c r="E1436" t="s">
        <v>9</v>
      </c>
      <c r="F1436" s="2">
        <v>26</v>
      </c>
      <c r="G1436" s="2" t="str" cm="1">
        <f t="array" ref="G1436">_xlfn.IFS(F1436&lt;=8,"Child",F1436&lt;=17,"Teen",F1436&lt;=35,"Adult",F1436&lt;=55,"Seniour Adult",F1436&gt;=55,"Old Age")</f>
        <v>Adult</v>
      </c>
      <c r="H1436" t="s">
        <v>71</v>
      </c>
      <c r="I1436" t="s">
        <v>11</v>
      </c>
      <c r="J1436" t="str" cm="1">
        <f t="array" ref="J1436">_xlfn.IFS(I1436="S","Southamptom",I1436="Q","Quentown",I1436="C","Cherbrug",I1436="B","Cabin")</f>
        <v>Southamptom</v>
      </c>
      <c r="K1436" t="s">
        <v>15</v>
      </c>
      <c r="L1436" s="2">
        <v>33</v>
      </c>
      <c r="M1436" s="2" t="str" cm="1">
        <f t="array" ref="M1436">_xlfn.IFS(L1436&lt;=15,"Low Fare",L1436&lt;=35,"Medium Fare",L1436&lt;=100,"High Fare",L1436&gt;=100,"Very High Fare")</f>
        <v>Medium Fare</v>
      </c>
      <c r="N1436" s="2">
        <v>1</v>
      </c>
      <c r="O1436" s="2" t="s">
        <v>30</v>
      </c>
      <c r="P1436" t="e">
        <f t="shared" si="89"/>
        <v>#VALUE!</v>
      </c>
      <c r="Q1436" t="e">
        <f t="shared" si="90"/>
        <v>#VALUE!</v>
      </c>
      <c r="R1436" t="str">
        <f t="shared" si="91"/>
        <v>Yes</v>
      </c>
      <c r="S1436" t="s">
        <v>16</v>
      </c>
    </row>
    <row r="1437" spans="1:19" hidden="1" x14ac:dyDescent="0.3">
      <c r="A1437" s="1" t="s">
        <v>1050</v>
      </c>
      <c r="B1437" t="s">
        <v>1596</v>
      </c>
      <c r="C1437" t="s">
        <v>2785</v>
      </c>
      <c r="D1437" t="str">
        <f t="shared" si="88"/>
        <v>Male</v>
      </c>
      <c r="E1437" t="s">
        <v>9</v>
      </c>
      <c r="F1437" s="2">
        <v>22</v>
      </c>
      <c r="G1437" s="2" t="str" cm="1">
        <f t="array" ref="G1437">_xlfn.IFS(F1437&lt;=8,"Child",F1437&lt;=17,"Teen",F1437&lt;=35,"Adult",F1437&lt;=55,"Seniour Adult",F1437&gt;=55,"Old Age")</f>
        <v>Adult</v>
      </c>
      <c r="H1437" t="s">
        <v>69</v>
      </c>
      <c r="I1437" t="s">
        <v>11</v>
      </c>
      <c r="J1437" t="str" cm="1">
        <f t="array" ref="J1437">_xlfn.IFS(I1437="S","Southamptom",I1437="Q","Quentown",I1437="C","Cherbrug",I1437="B","Cabin")</f>
        <v>Southamptom</v>
      </c>
      <c r="K1437" t="s">
        <v>15</v>
      </c>
      <c r="L1437" s="2">
        <v>33</v>
      </c>
      <c r="M1437" s="2" t="str" cm="1">
        <f t="array" ref="M1437">_xlfn.IFS(L1437&lt;=15,"Low Fare",L1437&lt;=35,"Medium Fare",L1437&lt;=100,"High Fare",L1437&gt;=100,"Very High Fare")</f>
        <v>Medium Fare</v>
      </c>
      <c r="N1437" s="2">
        <v>1</v>
      </c>
      <c r="O1437" s="2" t="s">
        <v>30</v>
      </c>
      <c r="P1437" t="e">
        <f t="shared" si="89"/>
        <v>#VALUE!</v>
      </c>
      <c r="Q1437" t="e">
        <f t="shared" si="90"/>
        <v>#VALUE!</v>
      </c>
      <c r="R1437" t="str">
        <f t="shared" si="91"/>
        <v>No</v>
      </c>
      <c r="S1437" t="s">
        <v>13</v>
      </c>
    </row>
    <row r="1438" spans="1:19" hidden="1" x14ac:dyDescent="0.3">
      <c r="A1438" s="1" t="s">
        <v>1051</v>
      </c>
      <c r="B1438" t="s">
        <v>1596</v>
      </c>
      <c r="C1438" t="s">
        <v>2786</v>
      </c>
      <c r="D1438" t="str">
        <f t="shared" si="88"/>
        <v>Male</v>
      </c>
      <c r="E1438" t="s">
        <v>9</v>
      </c>
      <c r="F1438" s="2">
        <v>37</v>
      </c>
      <c r="G1438" s="2" t="str" cm="1">
        <f t="array" ref="G1438">_xlfn.IFS(F1438&lt;=8,"Child",F1438&lt;=17,"Teen",F1438&lt;=35,"Adult",F1438&lt;=55,"Seniour Adult",F1438&gt;=55,"Old Age")</f>
        <v>Seniour Adult</v>
      </c>
      <c r="H1438" t="s">
        <v>69</v>
      </c>
      <c r="I1438" t="s">
        <v>11</v>
      </c>
      <c r="J1438" t="str" cm="1">
        <f t="array" ref="J1438">_xlfn.IFS(I1438="S","Southamptom",I1438="Q","Quentown",I1438="C","Cherbrug",I1438="B","Cabin")</f>
        <v>Southamptom</v>
      </c>
      <c r="K1438" t="s">
        <v>15</v>
      </c>
      <c r="L1438" s="2">
        <v>33</v>
      </c>
      <c r="M1438" s="2" t="str" cm="1">
        <f t="array" ref="M1438">_xlfn.IFS(L1438&lt;=15,"Low Fare",L1438&lt;=35,"Medium Fare",L1438&lt;=100,"High Fare",L1438&gt;=100,"Very High Fare")</f>
        <v>Medium Fare</v>
      </c>
      <c r="N1438" s="2">
        <v>1</v>
      </c>
      <c r="O1438" s="2" t="s">
        <v>30</v>
      </c>
      <c r="P1438" t="e">
        <f t="shared" si="89"/>
        <v>#VALUE!</v>
      </c>
      <c r="Q1438" t="e">
        <f t="shared" si="90"/>
        <v>#VALUE!</v>
      </c>
      <c r="R1438" t="str">
        <f t="shared" si="91"/>
        <v>No</v>
      </c>
      <c r="S1438" t="s">
        <v>13</v>
      </c>
    </row>
    <row r="1439" spans="1:19" hidden="1" x14ac:dyDescent="0.3">
      <c r="A1439" s="1" t="s">
        <v>1052</v>
      </c>
      <c r="B1439" t="s">
        <v>1596</v>
      </c>
      <c r="C1439" t="s">
        <v>2787</v>
      </c>
      <c r="D1439" t="str">
        <f t="shared" si="88"/>
        <v>Male</v>
      </c>
      <c r="E1439" t="s">
        <v>9</v>
      </c>
      <c r="F1439" s="2">
        <v>21</v>
      </c>
      <c r="G1439" s="2" t="str" cm="1">
        <f t="array" ref="G1439">_xlfn.IFS(F1439&lt;=8,"Child",F1439&lt;=17,"Teen",F1439&lt;=35,"Adult",F1439&lt;=55,"Seniour Adult",F1439&gt;=55,"Old Age")</f>
        <v>Adult</v>
      </c>
      <c r="H1439" t="s">
        <v>69</v>
      </c>
      <c r="I1439" t="s">
        <v>28</v>
      </c>
      <c r="J1439" t="str" cm="1">
        <f t="array" ref="J1439">_xlfn.IFS(I1439="S","Southamptom",I1439="Q","Quentown",I1439="C","Cherbrug",I1439="B","Cabin")</f>
        <v>Cabin</v>
      </c>
      <c r="K1439" t="s">
        <v>15</v>
      </c>
      <c r="L1439" s="2">
        <v>33</v>
      </c>
      <c r="M1439" s="2" t="str" cm="1">
        <f t="array" ref="M1439">_xlfn.IFS(L1439&lt;=15,"Low Fare",L1439&lt;=35,"Medium Fare",L1439&lt;=100,"High Fare",L1439&gt;=100,"Very High Fare")</f>
        <v>Medium Fare</v>
      </c>
      <c r="N1439" s="2">
        <v>1</v>
      </c>
      <c r="O1439" s="2" t="s">
        <v>30</v>
      </c>
      <c r="P1439" t="e">
        <f t="shared" si="89"/>
        <v>#VALUE!</v>
      </c>
      <c r="Q1439" t="e">
        <f t="shared" si="90"/>
        <v>#VALUE!</v>
      </c>
      <c r="R1439" t="str">
        <f t="shared" si="91"/>
        <v>No</v>
      </c>
      <c r="S1439" t="s">
        <v>13</v>
      </c>
    </row>
    <row r="1440" spans="1:19" hidden="1" x14ac:dyDescent="0.3">
      <c r="A1440" s="1" t="s">
        <v>1053</v>
      </c>
      <c r="B1440" t="s">
        <v>1596</v>
      </c>
      <c r="C1440" t="s">
        <v>2259</v>
      </c>
      <c r="D1440" t="str">
        <f t="shared" si="88"/>
        <v>Male</v>
      </c>
      <c r="E1440" t="s">
        <v>9</v>
      </c>
      <c r="F1440" s="2">
        <v>18</v>
      </c>
      <c r="G1440" s="2" t="str" cm="1">
        <f t="array" ref="G1440">_xlfn.IFS(F1440&lt;=8,"Child",F1440&lt;=17,"Teen",F1440&lt;=35,"Adult",F1440&lt;=55,"Seniour Adult",F1440&gt;=55,"Old Age")</f>
        <v>Adult</v>
      </c>
      <c r="H1440" t="s">
        <v>69</v>
      </c>
      <c r="I1440" t="s">
        <v>11</v>
      </c>
      <c r="J1440" t="str" cm="1">
        <f t="array" ref="J1440">_xlfn.IFS(I1440="S","Southamptom",I1440="Q","Quentown",I1440="C","Cherbrug",I1440="B","Cabin")</f>
        <v>Southamptom</v>
      </c>
      <c r="K1440" t="s">
        <v>15</v>
      </c>
      <c r="L1440" s="2">
        <v>33</v>
      </c>
      <c r="M1440" s="2" t="str" cm="1">
        <f t="array" ref="M1440">_xlfn.IFS(L1440&lt;=15,"Low Fare",L1440&lt;=35,"Medium Fare",L1440&lt;=100,"High Fare",L1440&gt;=100,"Very High Fare")</f>
        <v>Medium Fare</v>
      </c>
      <c r="N1440" s="2">
        <v>1</v>
      </c>
      <c r="O1440" s="2" t="s">
        <v>30</v>
      </c>
      <c r="P1440" t="e">
        <f t="shared" si="89"/>
        <v>#VALUE!</v>
      </c>
      <c r="Q1440" t="e">
        <f t="shared" si="90"/>
        <v>#VALUE!</v>
      </c>
      <c r="R1440" t="str">
        <f t="shared" si="91"/>
        <v>Yes</v>
      </c>
      <c r="S1440" t="s">
        <v>16</v>
      </c>
    </row>
    <row r="1441" spans="1:19" hidden="1" x14ac:dyDescent="0.3">
      <c r="A1441" s="1" t="s">
        <v>184</v>
      </c>
      <c r="B1441" t="s">
        <v>1596</v>
      </c>
      <c r="C1441" t="s">
        <v>2788</v>
      </c>
      <c r="D1441" t="str">
        <f t="shared" si="88"/>
        <v>Male</v>
      </c>
      <c r="E1441" t="s">
        <v>9</v>
      </c>
      <c r="F1441" s="2">
        <v>30</v>
      </c>
      <c r="G1441" s="2" t="str" cm="1">
        <f t="array" ref="G1441">_xlfn.IFS(F1441&lt;=8,"Child",F1441&lt;=17,"Teen",F1441&lt;=35,"Adult",F1441&lt;=55,"Seniour Adult",F1441&gt;=55,"Old Age")</f>
        <v>Adult</v>
      </c>
      <c r="H1441" t="s">
        <v>69</v>
      </c>
      <c r="I1441" t="s">
        <v>28</v>
      </c>
      <c r="J1441" t="str" cm="1">
        <f t="array" ref="J1441">_xlfn.IFS(I1441="S","Southamptom",I1441="Q","Quentown",I1441="C","Cherbrug",I1441="B","Cabin")</f>
        <v>Cabin</v>
      </c>
      <c r="K1441" t="s">
        <v>15</v>
      </c>
      <c r="L1441" s="2">
        <v>33</v>
      </c>
      <c r="M1441" s="2" t="str" cm="1">
        <f t="array" ref="M1441">_xlfn.IFS(L1441&lt;=15,"Low Fare",L1441&lt;=35,"Medium Fare",L1441&lt;=100,"High Fare",L1441&gt;=100,"Very High Fare")</f>
        <v>Medium Fare</v>
      </c>
      <c r="N1441" s="2">
        <v>1</v>
      </c>
      <c r="O1441" s="2" t="s">
        <v>30</v>
      </c>
      <c r="P1441" t="e">
        <f t="shared" si="89"/>
        <v>#VALUE!</v>
      </c>
      <c r="Q1441" t="e">
        <f t="shared" si="90"/>
        <v>#VALUE!</v>
      </c>
      <c r="R1441" t="str">
        <f t="shared" si="91"/>
        <v>No</v>
      </c>
      <c r="S1441" t="s">
        <v>13</v>
      </c>
    </row>
    <row r="1442" spans="1:19" hidden="1" x14ac:dyDescent="0.3">
      <c r="A1442" s="1" t="s">
        <v>184</v>
      </c>
      <c r="B1442" t="s">
        <v>1596</v>
      </c>
      <c r="C1442" t="s">
        <v>1619</v>
      </c>
      <c r="D1442" t="str">
        <f t="shared" si="88"/>
        <v>Male</v>
      </c>
      <c r="E1442" t="s">
        <v>9</v>
      </c>
      <c r="F1442" s="2">
        <v>31</v>
      </c>
      <c r="G1442" s="2" t="str" cm="1">
        <f t="array" ref="G1442">_xlfn.IFS(F1442&lt;=8,"Child",F1442&lt;=17,"Teen",F1442&lt;=35,"Adult",F1442&lt;=55,"Seniour Adult",F1442&gt;=55,"Old Age")</f>
        <v>Adult</v>
      </c>
      <c r="H1442" t="s">
        <v>69</v>
      </c>
      <c r="I1442" t="s">
        <v>28</v>
      </c>
      <c r="J1442" t="str" cm="1">
        <f t="array" ref="J1442">_xlfn.IFS(I1442="S","Southamptom",I1442="Q","Quentown",I1442="C","Cherbrug",I1442="B","Cabin")</f>
        <v>Cabin</v>
      </c>
      <c r="K1442" t="s">
        <v>37</v>
      </c>
      <c r="L1442" s="2">
        <v>33</v>
      </c>
      <c r="M1442" s="2" t="str" cm="1">
        <f t="array" ref="M1442">_xlfn.IFS(L1442&lt;=15,"Low Fare",L1442&lt;=35,"Medium Fare",L1442&lt;=100,"High Fare",L1442&gt;=100,"Very High Fare")</f>
        <v>Medium Fare</v>
      </c>
      <c r="N1442" s="2">
        <v>1</v>
      </c>
      <c r="O1442" s="2" t="s">
        <v>30</v>
      </c>
      <c r="P1442" t="e">
        <f t="shared" si="89"/>
        <v>#VALUE!</v>
      </c>
      <c r="Q1442" t="e">
        <f t="shared" si="90"/>
        <v>#VALUE!</v>
      </c>
      <c r="R1442" t="str">
        <f t="shared" si="91"/>
        <v>Yes</v>
      </c>
      <c r="S1442" t="s">
        <v>16</v>
      </c>
    </row>
    <row r="1443" spans="1:19" hidden="1" x14ac:dyDescent="0.3">
      <c r="A1443" s="1" t="s">
        <v>1054</v>
      </c>
      <c r="B1443" t="s">
        <v>1596</v>
      </c>
      <c r="C1443" t="s">
        <v>2789</v>
      </c>
      <c r="D1443" t="str">
        <f t="shared" si="88"/>
        <v>Male</v>
      </c>
      <c r="E1443" t="s">
        <v>9</v>
      </c>
      <c r="F1443" s="2">
        <v>20</v>
      </c>
      <c r="G1443" s="2" t="str" cm="1">
        <f t="array" ref="G1443">_xlfn.IFS(F1443&lt;=8,"Child",F1443&lt;=17,"Teen",F1443&lt;=35,"Adult",F1443&lt;=55,"Seniour Adult",F1443&gt;=55,"Old Age")</f>
        <v>Adult</v>
      </c>
      <c r="H1443" t="s">
        <v>69</v>
      </c>
      <c r="I1443" t="s">
        <v>11</v>
      </c>
      <c r="J1443" t="str" cm="1">
        <f t="array" ref="J1443">_xlfn.IFS(I1443="S","Southamptom",I1443="Q","Quentown",I1443="C","Cherbrug",I1443="B","Cabin")</f>
        <v>Southamptom</v>
      </c>
      <c r="K1443" t="s">
        <v>15</v>
      </c>
      <c r="L1443" s="2">
        <v>33</v>
      </c>
      <c r="M1443" s="2" t="str" cm="1">
        <f t="array" ref="M1443">_xlfn.IFS(L1443&lt;=15,"Low Fare",L1443&lt;=35,"Medium Fare",L1443&lt;=100,"High Fare",L1443&gt;=100,"Very High Fare")</f>
        <v>Medium Fare</v>
      </c>
      <c r="N1443" s="2">
        <v>1</v>
      </c>
      <c r="O1443" s="2" t="s">
        <v>30</v>
      </c>
      <c r="P1443" t="e">
        <f t="shared" si="89"/>
        <v>#VALUE!</v>
      </c>
      <c r="Q1443" t="e">
        <f t="shared" si="90"/>
        <v>#VALUE!</v>
      </c>
      <c r="R1443" t="str">
        <f t="shared" si="91"/>
        <v>Yes</v>
      </c>
      <c r="S1443" t="s">
        <v>16</v>
      </c>
    </row>
    <row r="1444" spans="1:19" hidden="1" x14ac:dyDescent="0.3">
      <c r="A1444" s="1" t="s">
        <v>1055</v>
      </c>
      <c r="B1444" t="s">
        <v>1596</v>
      </c>
      <c r="C1444" t="s">
        <v>2790</v>
      </c>
      <c r="D1444" t="str">
        <f t="shared" si="88"/>
        <v>Male</v>
      </c>
      <c r="E1444" t="s">
        <v>9</v>
      </c>
      <c r="F1444" s="2">
        <v>29</v>
      </c>
      <c r="G1444" s="2" t="str" cm="1">
        <f t="array" ref="G1444">_xlfn.IFS(F1444&lt;=8,"Child",F1444&lt;=17,"Teen",F1444&lt;=35,"Adult",F1444&lt;=55,"Seniour Adult",F1444&gt;=55,"Old Age")</f>
        <v>Adult</v>
      </c>
      <c r="H1444" t="s">
        <v>69</v>
      </c>
      <c r="I1444" t="s">
        <v>11</v>
      </c>
      <c r="J1444" t="str" cm="1">
        <f t="array" ref="J1444">_xlfn.IFS(I1444="S","Southamptom",I1444="Q","Quentown",I1444="C","Cherbrug",I1444="B","Cabin")</f>
        <v>Southamptom</v>
      </c>
      <c r="K1444" t="s">
        <v>15</v>
      </c>
      <c r="L1444" s="2">
        <v>33</v>
      </c>
      <c r="M1444" s="2" t="str" cm="1">
        <f t="array" ref="M1444">_xlfn.IFS(L1444&lt;=15,"Low Fare",L1444&lt;=35,"Medium Fare",L1444&lt;=100,"High Fare",L1444&gt;=100,"Very High Fare")</f>
        <v>Medium Fare</v>
      </c>
      <c r="N1444" s="2">
        <v>1</v>
      </c>
      <c r="O1444" s="2" t="s">
        <v>30</v>
      </c>
      <c r="P1444" t="e">
        <f t="shared" si="89"/>
        <v>#VALUE!</v>
      </c>
      <c r="Q1444" t="e">
        <f t="shared" si="90"/>
        <v>#VALUE!</v>
      </c>
      <c r="R1444" t="str">
        <f t="shared" si="91"/>
        <v>No</v>
      </c>
      <c r="S1444" t="s">
        <v>13</v>
      </c>
    </row>
    <row r="1445" spans="1:19" hidden="1" x14ac:dyDescent="0.3">
      <c r="A1445" s="1" t="s">
        <v>1056</v>
      </c>
      <c r="B1445" t="s">
        <v>1596</v>
      </c>
      <c r="C1445" t="s">
        <v>2791</v>
      </c>
      <c r="D1445" t="str">
        <f t="shared" si="88"/>
        <v>Male</v>
      </c>
      <c r="E1445" t="s">
        <v>9</v>
      </c>
      <c r="F1445" s="2">
        <v>35</v>
      </c>
      <c r="G1445" s="2" t="str" cm="1">
        <f t="array" ref="G1445">_xlfn.IFS(F1445&lt;=8,"Child",F1445&lt;=17,"Teen",F1445&lt;=35,"Adult",F1445&lt;=55,"Seniour Adult",F1445&gt;=55,"Old Age")</f>
        <v>Adult</v>
      </c>
      <c r="H1445" t="s">
        <v>51</v>
      </c>
      <c r="I1445" t="s">
        <v>11</v>
      </c>
      <c r="J1445" t="str" cm="1">
        <f t="array" ref="J1445">_xlfn.IFS(I1445="S","Southamptom",I1445="Q","Quentown",I1445="C","Cherbrug",I1445="B","Cabin")</f>
        <v>Southamptom</v>
      </c>
      <c r="K1445" t="s">
        <v>15</v>
      </c>
      <c r="L1445" s="2">
        <v>33</v>
      </c>
      <c r="M1445" s="2" t="str" cm="1">
        <f t="array" ref="M1445">_xlfn.IFS(L1445&lt;=15,"Low Fare",L1445&lt;=35,"Medium Fare",L1445&lt;=100,"High Fare",L1445&gt;=100,"Very High Fare")</f>
        <v>Medium Fare</v>
      </c>
      <c r="N1445" s="2">
        <v>1</v>
      </c>
      <c r="O1445" s="2" t="s">
        <v>30</v>
      </c>
      <c r="P1445" t="e">
        <f t="shared" si="89"/>
        <v>#VALUE!</v>
      </c>
      <c r="Q1445" t="e">
        <f t="shared" si="90"/>
        <v>#VALUE!</v>
      </c>
      <c r="R1445" t="str">
        <f t="shared" si="91"/>
        <v>No</v>
      </c>
      <c r="S1445" t="s">
        <v>13</v>
      </c>
    </row>
    <row r="1446" spans="1:19" hidden="1" x14ac:dyDescent="0.3">
      <c r="A1446" s="1" t="s">
        <v>1057</v>
      </c>
      <c r="B1446" t="s">
        <v>1596</v>
      </c>
      <c r="C1446" t="s">
        <v>2692</v>
      </c>
      <c r="D1446" t="str">
        <f t="shared" si="88"/>
        <v>Male</v>
      </c>
      <c r="E1446" t="s">
        <v>9</v>
      </c>
      <c r="F1446" s="2">
        <v>35</v>
      </c>
      <c r="G1446" s="2" t="str" cm="1">
        <f t="array" ref="G1446">_xlfn.IFS(F1446&lt;=8,"Child",F1446&lt;=17,"Teen",F1446&lt;=35,"Adult",F1446&lt;=55,"Seniour Adult",F1446&gt;=55,"Old Age")</f>
        <v>Adult</v>
      </c>
      <c r="H1446" t="s">
        <v>51</v>
      </c>
      <c r="I1446" t="s">
        <v>11</v>
      </c>
      <c r="J1446" t="str" cm="1">
        <f t="array" ref="J1446">_xlfn.IFS(I1446="S","Southamptom",I1446="Q","Quentown",I1446="C","Cherbrug",I1446="B","Cabin")</f>
        <v>Southamptom</v>
      </c>
      <c r="K1446" t="s">
        <v>15</v>
      </c>
      <c r="L1446" s="2">
        <v>33</v>
      </c>
      <c r="M1446" s="2" t="str" cm="1">
        <f t="array" ref="M1446">_xlfn.IFS(L1446&lt;=15,"Low Fare",L1446&lt;=35,"Medium Fare",L1446&lt;=100,"High Fare",L1446&gt;=100,"Very High Fare")</f>
        <v>Medium Fare</v>
      </c>
      <c r="N1446" s="2">
        <v>1</v>
      </c>
      <c r="O1446" s="2" t="s">
        <v>30</v>
      </c>
      <c r="P1446" t="e">
        <f t="shared" si="89"/>
        <v>#VALUE!</v>
      </c>
      <c r="Q1446" t="e">
        <f t="shared" si="90"/>
        <v>#VALUE!</v>
      </c>
      <c r="R1446" t="str">
        <f t="shared" si="91"/>
        <v>No</v>
      </c>
      <c r="S1446" t="s">
        <v>13</v>
      </c>
    </row>
    <row r="1447" spans="1:19" hidden="1" x14ac:dyDescent="0.3">
      <c r="A1447" s="1" t="s">
        <v>1058</v>
      </c>
      <c r="B1447" t="s">
        <v>1596</v>
      </c>
      <c r="C1447" t="s">
        <v>1610</v>
      </c>
      <c r="D1447" t="str">
        <f t="shared" si="88"/>
        <v>Male</v>
      </c>
      <c r="E1447" t="s">
        <v>9</v>
      </c>
      <c r="F1447" s="2">
        <v>23</v>
      </c>
      <c r="G1447" s="2" t="str" cm="1">
        <f t="array" ref="G1447">_xlfn.IFS(F1447&lt;=8,"Child",F1447&lt;=17,"Teen",F1447&lt;=35,"Adult",F1447&lt;=55,"Seniour Adult",F1447&gt;=55,"Old Age")</f>
        <v>Adult</v>
      </c>
      <c r="H1447" t="s">
        <v>69</v>
      </c>
      <c r="I1447" t="s">
        <v>11</v>
      </c>
      <c r="J1447" t="str" cm="1">
        <f t="array" ref="J1447">_xlfn.IFS(I1447="S","Southamptom",I1447="Q","Quentown",I1447="C","Cherbrug",I1447="B","Cabin")</f>
        <v>Southamptom</v>
      </c>
      <c r="K1447" t="s">
        <v>15</v>
      </c>
      <c r="L1447" s="2">
        <v>33</v>
      </c>
      <c r="M1447" s="2" t="str" cm="1">
        <f t="array" ref="M1447">_xlfn.IFS(L1447&lt;=15,"Low Fare",L1447&lt;=35,"Medium Fare",L1447&lt;=100,"High Fare",L1447&gt;=100,"Very High Fare")</f>
        <v>Medium Fare</v>
      </c>
      <c r="N1447" s="2">
        <v>1</v>
      </c>
      <c r="O1447" s="2" t="s">
        <v>30</v>
      </c>
      <c r="P1447" t="e">
        <f t="shared" si="89"/>
        <v>#VALUE!</v>
      </c>
      <c r="Q1447" t="e">
        <f t="shared" si="90"/>
        <v>#VALUE!</v>
      </c>
      <c r="R1447" t="str">
        <f t="shared" si="91"/>
        <v>No</v>
      </c>
      <c r="S1447" t="s">
        <v>13</v>
      </c>
    </row>
    <row r="1448" spans="1:19" hidden="1" x14ac:dyDescent="0.3">
      <c r="A1448" s="1" t="s">
        <v>189</v>
      </c>
      <c r="B1448" t="s">
        <v>1596</v>
      </c>
      <c r="C1448" t="s">
        <v>2792</v>
      </c>
      <c r="D1448" t="str">
        <f t="shared" si="88"/>
        <v>Male</v>
      </c>
      <c r="E1448" t="s">
        <v>9</v>
      </c>
      <c r="F1448" s="2">
        <v>22</v>
      </c>
      <c r="G1448" s="2" t="str" cm="1">
        <f t="array" ref="G1448">_xlfn.IFS(F1448&lt;=8,"Child",F1448&lt;=17,"Teen",F1448&lt;=35,"Adult",F1448&lt;=55,"Seniour Adult",F1448&gt;=55,"Old Age")</f>
        <v>Adult</v>
      </c>
      <c r="H1448" t="s">
        <v>69</v>
      </c>
      <c r="I1448" t="s">
        <v>11</v>
      </c>
      <c r="J1448" t="str" cm="1">
        <f t="array" ref="J1448">_xlfn.IFS(I1448="S","Southamptom",I1448="Q","Quentown",I1448="C","Cherbrug",I1448="B","Cabin")</f>
        <v>Southamptom</v>
      </c>
      <c r="K1448" t="s">
        <v>15</v>
      </c>
      <c r="L1448" s="2">
        <v>33</v>
      </c>
      <c r="M1448" s="2" t="str" cm="1">
        <f t="array" ref="M1448">_xlfn.IFS(L1448&lt;=15,"Low Fare",L1448&lt;=35,"Medium Fare",L1448&lt;=100,"High Fare",L1448&gt;=100,"Very High Fare")</f>
        <v>Medium Fare</v>
      </c>
      <c r="N1448" s="2">
        <v>1</v>
      </c>
      <c r="O1448" s="2" t="s">
        <v>30</v>
      </c>
      <c r="P1448" t="e">
        <f t="shared" si="89"/>
        <v>#VALUE!</v>
      </c>
      <c r="Q1448" t="e">
        <f t="shared" si="90"/>
        <v>#VALUE!</v>
      </c>
      <c r="R1448" t="str">
        <f t="shared" si="91"/>
        <v>No</v>
      </c>
      <c r="S1448" t="s">
        <v>13</v>
      </c>
    </row>
    <row r="1449" spans="1:19" hidden="1" x14ac:dyDescent="0.3">
      <c r="A1449" s="1" t="s">
        <v>189</v>
      </c>
      <c r="B1449" t="s">
        <v>1596</v>
      </c>
      <c r="C1449" t="s">
        <v>1716</v>
      </c>
      <c r="D1449" t="str">
        <f t="shared" si="88"/>
        <v>Male</v>
      </c>
      <c r="E1449" t="s">
        <v>9</v>
      </c>
      <c r="F1449" s="2">
        <v>31</v>
      </c>
      <c r="G1449" s="2" t="str" cm="1">
        <f t="array" ref="G1449">_xlfn.IFS(F1449&lt;=8,"Child",F1449&lt;=17,"Teen",F1449&lt;=35,"Adult",F1449&lt;=55,"Seniour Adult",F1449&gt;=55,"Old Age")</f>
        <v>Adult</v>
      </c>
      <c r="H1449" t="s">
        <v>51</v>
      </c>
      <c r="I1449" t="s">
        <v>11</v>
      </c>
      <c r="J1449" t="str" cm="1">
        <f t="array" ref="J1449">_xlfn.IFS(I1449="S","Southamptom",I1449="Q","Quentown",I1449="C","Cherbrug",I1449="B","Cabin")</f>
        <v>Southamptom</v>
      </c>
      <c r="K1449" t="s">
        <v>15</v>
      </c>
      <c r="L1449" s="2">
        <v>33</v>
      </c>
      <c r="M1449" s="2" t="str" cm="1">
        <f t="array" ref="M1449">_xlfn.IFS(L1449&lt;=15,"Low Fare",L1449&lt;=35,"Medium Fare",L1449&lt;=100,"High Fare",L1449&gt;=100,"Very High Fare")</f>
        <v>Medium Fare</v>
      </c>
      <c r="N1449" s="2">
        <v>1</v>
      </c>
      <c r="O1449" s="2" t="s">
        <v>30</v>
      </c>
      <c r="P1449" t="e">
        <f t="shared" si="89"/>
        <v>#VALUE!</v>
      </c>
      <c r="Q1449" t="e">
        <f t="shared" si="90"/>
        <v>#VALUE!</v>
      </c>
      <c r="R1449" t="str">
        <f t="shared" si="91"/>
        <v>No</v>
      </c>
      <c r="S1449" t="s">
        <v>13</v>
      </c>
    </row>
    <row r="1450" spans="1:19" hidden="1" x14ac:dyDescent="0.3">
      <c r="A1450" s="1" t="s">
        <v>1059</v>
      </c>
      <c r="B1450" t="s">
        <v>1596</v>
      </c>
      <c r="C1450" t="s">
        <v>2793</v>
      </c>
      <c r="D1450" t="str">
        <f t="shared" si="88"/>
        <v>Male</v>
      </c>
      <c r="E1450" t="s">
        <v>9</v>
      </c>
      <c r="F1450" s="2">
        <v>45</v>
      </c>
      <c r="G1450" s="2" t="str" cm="1">
        <f t="array" ref="G1450">_xlfn.IFS(F1450&lt;=8,"Child",F1450&lt;=17,"Teen",F1450&lt;=35,"Adult",F1450&lt;=55,"Seniour Adult",F1450&gt;=55,"Old Age")</f>
        <v>Seniour Adult</v>
      </c>
      <c r="H1450" t="s">
        <v>69</v>
      </c>
      <c r="I1450" t="s">
        <v>11</v>
      </c>
      <c r="J1450" t="str" cm="1">
        <f t="array" ref="J1450">_xlfn.IFS(I1450="S","Southamptom",I1450="Q","Quentown",I1450="C","Cherbrug",I1450="B","Cabin")</f>
        <v>Southamptom</v>
      </c>
      <c r="K1450" t="s">
        <v>15</v>
      </c>
      <c r="L1450" s="2">
        <v>33</v>
      </c>
      <c r="M1450" s="2" t="str" cm="1">
        <f t="array" ref="M1450">_xlfn.IFS(L1450&lt;=15,"Low Fare",L1450&lt;=35,"Medium Fare",L1450&lt;=100,"High Fare",L1450&gt;=100,"Very High Fare")</f>
        <v>Medium Fare</v>
      </c>
      <c r="N1450" s="2">
        <v>1</v>
      </c>
      <c r="O1450" s="2" t="s">
        <v>30</v>
      </c>
      <c r="P1450" t="e">
        <f t="shared" si="89"/>
        <v>#VALUE!</v>
      </c>
      <c r="Q1450" t="e">
        <f t="shared" si="90"/>
        <v>#VALUE!</v>
      </c>
      <c r="R1450" t="str">
        <f t="shared" si="91"/>
        <v>No</v>
      </c>
      <c r="S1450" t="s">
        <v>13</v>
      </c>
    </row>
    <row r="1451" spans="1:19" hidden="1" x14ac:dyDescent="0.3">
      <c r="A1451" s="1" t="s">
        <v>1060</v>
      </c>
      <c r="B1451" t="s">
        <v>1596</v>
      </c>
      <c r="C1451" t="s">
        <v>2704</v>
      </c>
      <c r="D1451" t="str">
        <f t="shared" si="88"/>
        <v>Male</v>
      </c>
      <c r="E1451" t="s">
        <v>9</v>
      </c>
      <c r="F1451" s="2">
        <v>30</v>
      </c>
      <c r="G1451" s="2" t="str" cm="1">
        <f t="array" ref="G1451">_xlfn.IFS(F1451&lt;=8,"Child",F1451&lt;=17,"Teen",F1451&lt;=35,"Adult",F1451&lt;=55,"Seniour Adult",F1451&gt;=55,"Old Age")</f>
        <v>Adult</v>
      </c>
      <c r="H1451" t="s">
        <v>51</v>
      </c>
      <c r="I1451" t="s">
        <v>28</v>
      </c>
      <c r="J1451" t="str" cm="1">
        <f t="array" ref="J1451">_xlfn.IFS(I1451="S","Southamptom",I1451="Q","Quentown",I1451="C","Cherbrug",I1451="B","Cabin")</f>
        <v>Cabin</v>
      </c>
      <c r="K1451" t="s">
        <v>29</v>
      </c>
      <c r="L1451" s="2">
        <v>33</v>
      </c>
      <c r="M1451" s="2" t="str" cm="1">
        <f t="array" ref="M1451">_xlfn.IFS(L1451&lt;=15,"Low Fare",L1451&lt;=35,"Medium Fare",L1451&lt;=100,"High Fare",L1451&gt;=100,"Very High Fare")</f>
        <v>Medium Fare</v>
      </c>
      <c r="N1451" s="2">
        <v>1</v>
      </c>
      <c r="O1451" s="2" t="s">
        <v>30</v>
      </c>
      <c r="P1451" t="e">
        <f t="shared" si="89"/>
        <v>#VALUE!</v>
      </c>
      <c r="Q1451" t="e">
        <f t="shared" si="90"/>
        <v>#VALUE!</v>
      </c>
      <c r="R1451" t="str">
        <f t="shared" si="91"/>
        <v>No</v>
      </c>
      <c r="S1451" t="s">
        <v>13</v>
      </c>
    </row>
    <row r="1452" spans="1:19" hidden="1" x14ac:dyDescent="0.3">
      <c r="A1452" s="1" t="s">
        <v>198</v>
      </c>
      <c r="B1452" t="s">
        <v>1596</v>
      </c>
      <c r="C1452" t="s">
        <v>2794</v>
      </c>
      <c r="D1452" t="str">
        <f t="shared" si="88"/>
        <v>Male</v>
      </c>
      <c r="E1452" t="s">
        <v>9</v>
      </c>
      <c r="F1452" s="2">
        <v>25</v>
      </c>
      <c r="G1452" s="2" t="str" cm="1">
        <f t="array" ref="G1452">_xlfn.IFS(F1452&lt;=8,"Child",F1452&lt;=17,"Teen",F1452&lt;=35,"Adult",F1452&lt;=55,"Seniour Adult",F1452&gt;=55,"Old Age")</f>
        <v>Adult</v>
      </c>
      <c r="H1452" t="s">
        <v>69</v>
      </c>
      <c r="I1452" t="s">
        <v>11</v>
      </c>
      <c r="J1452" t="str" cm="1">
        <f t="array" ref="J1452">_xlfn.IFS(I1452="S","Southamptom",I1452="Q","Quentown",I1452="C","Cherbrug",I1452="B","Cabin")</f>
        <v>Southamptom</v>
      </c>
      <c r="K1452" t="s">
        <v>48</v>
      </c>
      <c r="L1452" s="2">
        <v>33</v>
      </c>
      <c r="M1452" s="2" t="str" cm="1">
        <f t="array" ref="M1452">_xlfn.IFS(L1452&lt;=15,"Low Fare",L1452&lt;=35,"Medium Fare",L1452&lt;=100,"High Fare",L1452&gt;=100,"Very High Fare")</f>
        <v>Medium Fare</v>
      </c>
      <c r="N1452" s="2">
        <v>1</v>
      </c>
      <c r="O1452" s="2" t="s">
        <v>30</v>
      </c>
      <c r="P1452" t="e">
        <f t="shared" si="89"/>
        <v>#VALUE!</v>
      </c>
      <c r="Q1452" t="e">
        <f t="shared" si="90"/>
        <v>#VALUE!</v>
      </c>
      <c r="R1452" t="str">
        <f t="shared" si="91"/>
        <v>No</v>
      </c>
      <c r="S1452" t="s">
        <v>13</v>
      </c>
    </row>
    <row r="1453" spans="1:19" hidden="1" x14ac:dyDescent="0.3">
      <c r="A1453" s="1" t="s">
        <v>1061</v>
      </c>
      <c r="B1453" t="s">
        <v>1596</v>
      </c>
      <c r="C1453" t="s">
        <v>1610</v>
      </c>
      <c r="D1453" t="str">
        <f t="shared" si="88"/>
        <v>Male</v>
      </c>
      <c r="E1453" t="s">
        <v>9</v>
      </c>
      <c r="F1453" s="2">
        <v>40</v>
      </c>
      <c r="G1453" s="2" t="str" cm="1">
        <f t="array" ref="G1453">_xlfn.IFS(F1453&lt;=8,"Child",F1453&lt;=17,"Teen",F1453&lt;=35,"Adult",F1453&lt;=55,"Seniour Adult",F1453&gt;=55,"Old Age")</f>
        <v>Seniour Adult</v>
      </c>
      <c r="H1453" t="s">
        <v>51</v>
      </c>
      <c r="I1453" t="s">
        <v>11</v>
      </c>
      <c r="J1453" t="str" cm="1">
        <f t="array" ref="J1453">_xlfn.IFS(I1453="S","Southamptom",I1453="Q","Quentown",I1453="C","Cherbrug",I1453="B","Cabin")</f>
        <v>Southamptom</v>
      </c>
      <c r="K1453" t="s">
        <v>15</v>
      </c>
      <c r="L1453" s="2">
        <v>33</v>
      </c>
      <c r="M1453" s="2" t="str" cm="1">
        <f t="array" ref="M1453">_xlfn.IFS(L1453&lt;=15,"Low Fare",L1453&lt;=35,"Medium Fare",L1453&lt;=100,"High Fare",L1453&gt;=100,"Very High Fare")</f>
        <v>Medium Fare</v>
      </c>
      <c r="N1453" s="2">
        <v>1</v>
      </c>
      <c r="O1453" s="2" t="s">
        <v>30</v>
      </c>
      <c r="P1453" t="e">
        <f t="shared" si="89"/>
        <v>#VALUE!</v>
      </c>
      <c r="Q1453" t="e">
        <f t="shared" si="90"/>
        <v>#VALUE!</v>
      </c>
      <c r="R1453" t="str">
        <f t="shared" si="91"/>
        <v>No</v>
      </c>
      <c r="S1453" t="s">
        <v>13</v>
      </c>
    </row>
    <row r="1454" spans="1:19" hidden="1" x14ac:dyDescent="0.3">
      <c r="A1454" s="1" t="s">
        <v>1062</v>
      </c>
      <c r="B1454" t="s">
        <v>1596</v>
      </c>
      <c r="C1454" t="s">
        <v>1619</v>
      </c>
      <c r="D1454" t="str">
        <f t="shared" si="88"/>
        <v>Male</v>
      </c>
      <c r="E1454" t="s">
        <v>9</v>
      </c>
      <c r="F1454" s="2">
        <v>31</v>
      </c>
      <c r="G1454" s="2" t="str" cm="1">
        <f t="array" ref="G1454">_xlfn.IFS(F1454&lt;=8,"Child",F1454&lt;=17,"Teen",F1454&lt;=35,"Adult",F1454&lt;=55,"Seniour Adult",F1454&gt;=55,"Old Age")</f>
        <v>Adult</v>
      </c>
      <c r="H1454" t="s">
        <v>69</v>
      </c>
      <c r="I1454" t="s">
        <v>11</v>
      </c>
      <c r="J1454" t="str" cm="1">
        <f t="array" ref="J1454">_xlfn.IFS(I1454="S","Southamptom",I1454="Q","Quentown",I1454="C","Cherbrug",I1454="B","Cabin")</f>
        <v>Southamptom</v>
      </c>
      <c r="K1454" t="s">
        <v>15</v>
      </c>
      <c r="L1454" s="2">
        <v>33</v>
      </c>
      <c r="M1454" s="2" t="str" cm="1">
        <f t="array" ref="M1454">_xlfn.IFS(L1454&lt;=15,"Low Fare",L1454&lt;=35,"Medium Fare",L1454&lt;=100,"High Fare",L1454&gt;=100,"Very High Fare")</f>
        <v>Medium Fare</v>
      </c>
      <c r="N1454" s="2">
        <v>1</v>
      </c>
      <c r="O1454" s="2" t="s">
        <v>30</v>
      </c>
      <c r="P1454" t="e">
        <f t="shared" si="89"/>
        <v>#VALUE!</v>
      </c>
      <c r="Q1454" t="e">
        <f t="shared" si="90"/>
        <v>#VALUE!</v>
      </c>
      <c r="R1454" t="str">
        <f t="shared" si="91"/>
        <v>No</v>
      </c>
      <c r="S1454" t="s">
        <v>13</v>
      </c>
    </row>
    <row r="1455" spans="1:19" hidden="1" x14ac:dyDescent="0.3">
      <c r="A1455" s="1" t="s">
        <v>208</v>
      </c>
      <c r="B1455" t="s">
        <v>1596</v>
      </c>
      <c r="C1455" t="s">
        <v>2795</v>
      </c>
      <c r="D1455" t="str">
        <f t="shared" si="88"/>
        <v>Male</v>
      </c>
      <c r="E1455" t="s">
        <v>9</v>
      </c>
      <c r="F1455" s="2">
        <v>27</v>
      </c>
      <c r="G1455" s="2" t="str" cm="1">
        <f t="array" ref="G1455">_xlfn.IFS(F1455&lt;=8,"Child",F1455&lt;=17,"Teen",F1455&lt;=35,"Adult",F1455&lt;=55,"Seniour Adult",F1455&gt;=55,"Old Age")</f>
        <v>Adult</v>
      </c>
      <c r="H1455" t="s">
        <v>51</v>
      </c>
      <c r="I1455" t="s">
        <v>11</v>
      </c>
      <c r="J1455" t="str" cm="1">
        <f t="array" ref="J1455">_xlfn.IFS(I1455="S","Southamptom",I1455="Q","Quentown",I1455="C","Cherbrug",I1455="B","Cabin")</f>
        <v>Southamptom</v>
      </c>
      <c r="K1455" t="s">
        <v>15</v>
      </c>
      <c r="L1455" s="2">
        <v>33</v>
      </c>
      <c r="M1455" s="2" t="str" cm="1">
        <f t="array" ref="M1455">_xlfn.IFS(L1455&lt;=15,"Low Fare",L1455&lt;=35,"Medium Fare",L1455&lt;=100,"High Fare",L1455&gt;=100,"Very High Fare")</f>
        <v>Medium Fare</v>
      </c>
      <c r="N1455" s="2">
        <v>1</v>
      </c>
      <c r="O1455" s="2" t="s">
        <v>30</v>
      </c>
      <c r="P1455" t="e">
        <f t="shared" si="89"/>
        <v>#VALUE!</v>
      </c>
      <c r="Q1455" t="e">
        <f t="shared" si="90"/>
        <v>#VALUE!</v>
      </c>
      <c r="R1455" t="str">
        <f t="shared" si="91"/>
        <v>No</v>
      </c>
      <c r="S1455" t="s">
        <v>13</v>
      </c>
    </row>
    <row r="1456" spans="1:19" hidden="1" x14ac:dyDescent="0.3">
      <c r="A1456" s="1" t="s">
        <v>1063</v>
      </c>
      <c r="B1456" t="s">
        <v>1596</v>
      </c>
      <c r="C1456" t="s">
        <v>2796</v>
      </c>
      <c r="D1456" t="str">
        <f t="shared" si="88"/>
        <v>Male</v>
      </c>
      <c r="E1456" t="s">
        <v>9</v>
      </c>
      <c r="F1456" s="2">
        <v>46</v>
      </c>
      <c r="G1456" s="2" t="str" cm="1">
        <f t="array" ref="G1456">_xlfn.IFS(F1456&lt;=8,"Child",F1456&lt;=17,"Teen",F1456&lt;=35,"Adult",F1456&lt;=55,"Seniour Adult",F1456&gt;=55,"Old Age")</f>
        <v>Seniour Adult</v>
      </c>
      <c r="H1456" t="s">
        <v>51</v>
      </c>
      <c r="I1456" t="s">
        <v>11</v>
      </c>
      <c r="J1456" t="str" cm="1">
        <f t="array" ref="J1456">_xlfn.IFS(I1456="S","Southamptom",I1456="Q","Quentown",I1456="C","Cherbrug",I1456="B","Cabin")</f>
        <v>Southamptom</v>
      </c>
      <c r="K1456" t="s">
        <v>15</v>
      </c>
      <c r="L1456" s="2">
        <v>33</v>
      </c>
      <c r="M1456" s="2" t="str" cm="1">
        <f t="array" ref="M1456">_xlfn.IFS(L1456&lt;=15,"Low Fare",L1456&lt;=35,"Medium Fare",L1456&lt;=100,"High Fare",L1456&gt;=100,"Very High Fare")</f>
        <v>Medium Fare</v>
      </c>
      <c r="N1456" s="2">
        <v>1</v>
      </c>
      <c r="O1456" s="2" t="s">
        <v>30</v>
      </c>
      <c r="P1456" t="e">
        <f t="shared" si="89"/>
        <v>#VALUE!</v>
      </c>
      <c r="Q1456" t="e">
        <f t="shared" si="90"/>
        <v>#VALUE!</v>
      </c>
      <c r="R1456" t="str">
        <f t="shared" si="91"/>
        <v>No</v>
      </c>
      <c r="S1456" t="s">
        <v>13</v>
      </c>
    </row>
    <row r="1457" spans="1:19" hidden="1" x14ac:dyDescent="0.3">
      <c r="A1457" s="1" t="s">
        <v>1064</v>
      </c>
      <c r="B1457" t="s">
        <v>1596</v>
      </c>
      <c r="C1457" t="s">
        <v>2793</v>
      </c>
      <c r="D1457" t="str">
        <f t="shared" si="88"/>
        <v>Male</v>
      </c>
      <c r="E1457" t="s">
        <v>9</v>
      </c>
      <c r="F1457" s="2">
        <v>33</v>
      </c>
      <c r="G1457" s="2" t="str" cm="1">
        <f t="array" ref="G1457">_xlfn.IFS(F1457&lt;=8,"Child",F1457&lt;=17,"Teen",F1457&lt;=35,"Adult",F1457&lt;=55,"Seniour Adult",F1457&gt;=55,"Old Age")</f>
        <v>Adult</v>
      </c>
      <c r="H1457" t="s">
        <v>69</v>
      </c>
      <c r="I1457" t="s">
        <v>28</v>
      </c>
      <c r="J1457" t="str" cm="1">
        <f t="array" ref="J1457">_xlfn.IFS(I1457="S","Southamptom",I1457="Q","Quentown",I1457="C","Cherbrug",I1457="B","Cabin")</f>
        <v>Cabin</v>
      </c>
      <c r="K1457" t="s">
        <v>15</v>
      </c>
      <c r="L1457" s="2">
        <v>33</v>
      </c>
      <c r="M1457" s="2" t="str" cm="1">
        <f t="array" ref="M1457">_xlfn.IFS(L1457&lt;=15,"Low Fare",L1457&lt;=35,"Medium Fare",L1457&lt;=100,"High Fare",L1457&gt;=100,"Very High Fare")</f>
        <v>Medium Fare</v>
      </c>
      <c r="N1457" s="2">
        <v>1</v>
      </c>
      <c r="O1457" s="2" t="s">
        <v>30</v>
      </c>
      <c r="P1457" t="e">
        <f t="shared" si="89"/>
        <v>#VALUE!</v>
      </c>
      <c r="Q1457" t="e">
        <f t="shared" si="90"/>
        <v>#VALUE!</v>
      </c>
      <c r="R1457" t="str">
        <f t="shared" si="91"/>
        <v>No</v>
      </c>
      <c r="S1457" t="s">
        <v>13</v>
      </c>
    </row>
    <row r="1458" spans="1:19" hidden="1" x14ac:dyDescent="0.3">
      <c r="A1458" s="1" t="s">
        <v>1065</v>
      </c>
      <c r="B1458" t="s">
        <v>2719</v>
      </c>
      <c r="C1458" t="s">
        <v>2797</v>
      </c>
      <c r="D1458" t="str">
        <f t="shared" si="88"/>
        <v>Male</v>
      </c>
      <c r="E1458" t="s">
        <v>9</v>
      </c>
      <c r="F1458" s="2">
        <v>32</v>
      </c>
      <c r="G1458" s="2" t="str" cm="1">
        <f t="array" ref="G1458">_xlfn.IFS(F1458&lt;=8,"Child",F1458&lt;=17,"Teen",F1458&lt;=35,"Adult",F1458&lt;=55,"Seniour Adult",F1458&gt;=55,"Old Age")</f>
        <v>Adult</v>
      </c>
      <c r="H1458" t="s">
        <v>70</v>
      </c>
      <c r="I1458" t="s">
        <v>11</v>
      </c>
      <c r="J1458" t="str" cm="1">
        <f t="array" ref="J1458">_xlfn.IFS(I1458="S","Southamptom",I1458="Q","Quentown",I1458="C","Cherbrug",I1458="B","Cabin")</f>
        <v>Southamptom</v>
      </c>
      <c r="K1458" t="s">
        <v>38</v>
      </c>
      <c r="L1458" s="2">
        <v>33</v>
      </c>
      <c r="M1458" s="2" t="str" cm="1">
        <f t="array" ref="M1458">_xlfn.IFS(L1458&lt;=15,"Low Fare",L1458&lt;=35,"Medium Fare",L1458&lt;=100,"High Fare",L1458&gt;=100,"Very High Fare")</f>
        <v>Medium Fare</v>
      </c>
      <c r="N1458" s="2">
        <v>1</v>
      </c>
      <c r="O1458" s="2" t="s">
        <v>30</v>
      </c>
      <c r="P1458" t="e">
        <f t="shared" si="89"/>
        <v>#VALUE!</v>
      </c>
      <c r="Q1458" t="e">
        <f t="shared" si="90"/>
        <v>#VALUE!</v>
      </c>
      <c r="R1458" t="str">
        <f t="shared" si="91"/>
        <v>No</v>
      </c>
      <c r="S1458" t="s">
        <v>13</v>
      </c>
    </row>
    <row r="1459" spans="1:19" hidden="1" x14ac:dyDescent="0.3">
      <c r="A1459" s="1" t="s">
        <v>1066</v>
      </c>
      <c r="B1459" t="s">
        <v>1596</v>
      </c>
      <c r="C1459" t="s">
        <v>1645</v>
      </c>
      <c r="D1459" t="str">
        <f t="shared" si="88"/>
        <v>Male</v>
      </c>
      <c r="E1459" t="s">
        <v>9</v>
      </c>
      <c r="F1459" s="2">
        <v>44</v>
      </c>
      <c r="G1459" s="2" t="str" cm="1">
        <f t="array" ref="G1459">_xlfn.IFS(F1459&lt;=8,"Child",F1459&lt;=17,"Teen",F1459&lt;=35,"Adult",F1459&lt;=55,"Seniour Adult",F1459&gt;=55,"Old Age")</f>
        <v>Seniour Adult</v>
      </c>
      <c r="H1459" t="s">
        <v>51</v>
      </c>
      <c r="I1459" t="s">
        <v>11</v>
      </c>
      <c r="J1459" t="str" cm="1">
        <f t="array" ref="J1459">_xlfn.IFS(I1459="S","Southamptom",I1459="Q","Quentown",I1459="C","Cherbrug",I1459="B","Cabin")</f>
        <v>Southamptom</v>
      </c>
      <c r="K1459" t="s">
        <v>15</v>
      </c>
      <c r="L1459" s="2">
        <v>33</v>
      </c>
      <c r="M1459" s="2" t="str" cm="1">
        <f t="array" ref="M1459">_xlfn.IFS(L1459&lt;=15,"Low Fare",L1459&lt;=35,"Medium Fare",L1459&lt;=100,"High Fare",L1459&gt;=100,"Very High Fare")</f>
        <v>Medium Fare</v>
      </c>
      <c r="N1459" s="2">
        <v>1</v>
      </c>
      <c r="O1459" s="2" t="s">
        <v>30</v>
      </c>
      <c r="P1459" t="e">
        <f t="shared" si="89"/>
        <v>#VALUE!</v>
      </c>
      <c r="Q1459" t="e">
        <f t="shared" si="90"/>
        <v>#VALUE!</v>
      </c>
      <c r="R1459" t="str">
        <f t="shared" si="91"/>
        <v>No</v>
      </c>
      <c r="S1459" t="s">
        <v>13</v>
      </c>
    </row>
    <row r="1460" spans="1:19" hidden="1" x14ac:dyDescent="0.3">
      <c r="A1460" s="1" t="s">
        <v>1067</v>
      </c>
      <c r="B1460" t="s">
        <v>1596</v>
      </c>
      <c r="C1460" t="s">
        <v>2259</v>
      </c>
      <c r="D1460" t="str">
        <f t="shared" si="88"/>
        <v>Male</v>
      </c>
      <c r="E1460" t="s">
        <v>9</v>
      </c>
      <c r="F1460" s="2">
        <v>34</v>
      </c>
      <c r="G1460" s="2" t="str" cm="1">
        <f t="array" ref="G1460">_xlfn.IFS(F1460&lt;=8,"Child",F1460&lt;=17,"Teen",F1460&lt;=35,"Adult",F1460&lt;=55,"Seniour Adult",F1460&gt;=55,"Old Age")</f>
        <v>Adult</v>
      </c>
      <c r="H1460" t="s">
        <v>69</v>
      </c>
      <c r="I1460" t="s">
        <v>11</v>
      </c>
      <c r="J1460" t="str" cm="1">
        <f t="array" ref="J1460">_xlfn.IFS(I1460="S","Southamptom",I1460="Q","Quentown",I1460="C","Cherbrug",I1460="B","Cabin")</f>
        <v>Southamptom</v>
      </c>
      <c r="K1460" t="s">
        <v>15</v>
      </c>
      <c r="L1460" s="2">
        <v>33</v>
      </c>
      <c r="M1460" s="2" t="str" cm="1">
        <f t="array" ref="M1460">_xlfn.IFS(L1460&lt;=15,"Low Fare",L1460&lt;=35,"Medium Fare",L1460&lt;=100,"High Fare",L1460&gt;=100,"Very High Fare")</f>
        <v>Medium Fare</v>
      </c>
      <c r="N1460" s="2">
        <v>1</v>
      </c>
      <c r="O1460" s="2" t="s">
        <v>30</v>
      </c>
      <c r="P1460" t="e">
        <f t="shared" si="89"/>
        <v>#VALUE!</v>
      </c>
      <c r="Q1460" t="e">
        <f t="shared" si="90"/>
        <v>#VALUE!</v>
      </c>
      <c r="R1460" t="str">
        <f t="shared" si="91"/>
        <v>No</v>
      </c>
      <c r="S1460" t="s">
        <v>13</v>
      </c>
    </row>
    <row r="1461" spans="1:19" hidden="1" x14ac:dyDescent="0.3">
      <c r="A1461" s="1" t="s">
        <v>1068</v>
      </c>
      <c r="B1461" t="s">
        <v>1596</v>
      </c>
      <c r="C1461" t="s">
        <v>1700</v>
      </c>
      <c r="D1461" t="str">
        <f t="shared" si="88"/>
        <v>Male</v>
      </c>
      <c r="E1461" t="s">
        <v>9</v>
      </c>
      <c r="F1461" s="2">
        <v>37</v>
      </c>
      <c r="G1461" s="2" t="str" cm="1">
        <f t="array" ref="G1461">_xlfn.IFS(F1461&lt;=8,"Child",F1461&lt;=17,"Teen",F1461&lt;=35,"Adult",F1461&lt;=55,"Seniour Adult",F1461&gt;=55,"Old Age")</f>
        <v>Seniour Adult</v>
      </c>
      <c r="H1461" t="s">
        <v>51</v>
      </c>
      <c r="I1461" t="s">
        <v>11</v>
      </c>
      <c r="J1461" t="str" cm="1">
        <f t="array" ref="J1461">_xlfn.IFS(I1461="S","Southamptom",I1461="Q","Quentown",I1461="C","Cherbrug",I1461="B","Cabin")</f>
        <v>Southamptom</v>
      </c>
      <c r="K1461" t="s">
        <v>15</v>
      </c>
      <c r="L1461" s="2">
        <v>33</v>
      </c>
      <c r="M1461" s="2" t="str" cm="1">
        <f t="array" ref="M1461">_xlfn.IFS(L1461&lt;=15,"Low Fare",L1461&lt;=35,"Medium Fare",L1461&lt;=100,"High Fare",L1461&gt;=100,"Very High Fare")</f>
        <v>Medium Fare</v>
      </c>
      <c r="N1461" s="2">
        <v>1</v>
      </c>
      <c r="O1461" s="2" t="s">
        <v>30</v>
      </c>
      <c r="P1461" t="e">
        <f t="shared" si="89"/>
        <v>#VALUE!</v>
      </c>
      <c r="Q1461" t="e">
        <f t="shared" si="90"/>
        <v>#VALUE!</v>
      </c>
      <c r="R1461" t="str">
        <f t="shared" si="91"/>
        <v>No</v>
      </c>
      <c r="S1461" t="s">
        <v>13</v>
      </c>
    </row>
    <row r="1462" spans="1:19" hidden="1" x14ac:dyDescent="0.3">
      <c r="A1462" s="1" t="s">
        <v>1069</v>
      </c>
      <c r="B1462" t="s">
        <v>1602</v>
      </c>
      <c r="C1462" t="s">
        <v>2798</v>
      </c>
      <c r="D1462" t="str">
        <f t="shared" si="88"/>
        <v>Female</v>
      </c>
      <c r="E1462" t="s">
        <v>14</v>
      </c>
      <c r="F1462" s="2">
        <v>33</v>
      </c>
      <c r="G1462" s="2" t="str" cm="1">
        <f t="array" ref="G1462">_xlfn.IFS(F1462&lt;=8,"Child",F1462&lt;=17,"Teen",F1462&lt;=35,"Adult",F1462&lt;=55,"Seniour Adult",F1462&gt;=55,"Old Age")</f>
        <v>Adult</v>
      </c>
      <c r="H1462" t="s">
        <v>69</v>
      </c>
      <c r="I1462" t="s">
        <v>11</v>
      </c>
      <c r="J1462" t="str" cm="1">
        <f t="array" ref="J1462">_xlfn.IFS(I1462="S","Southamptom",I1462="Q","Quentown",I1462="C","Cherbrug",I1462="B","Cabin")</f>
        <v>Southamptom</v>
      </c>
      <c r="K1462" t="s">
        <v>15</v>
      </c>
      <c r="L1462" s="2">
        <v>33</v>
      </c>
      <c r="M1462" s="2" t="str" cm="1">
        <f t="array" ref="M1462">_xlfn.IFS(L1462&lt;=15,"Low Fare",L1462&lt;=35,"Medium Fare",L1462&lt;=100,"High Fare",L1462&gt;=100,"Very High Fare")</f>
        <v>Medium Fare</v>
      </c>
      <c r="N1462" s="2">
        <v>1</v>
      </c>
      <c r="O1462" s="2" t="s">
        <v>30</v>
      </c>
      <c r="P1462" t="e">
        <f t="shared" si="89"/>
        <v>#VALUE!</v>
      </c>
      <c r="Q1462" t="e">
        <f t="shared" si="90"/>
        <v>#VALUE!</v>
      </c>
      <c r="R1462" t="str">
        <f t="shared" si="91"/>
        <v>Yes</v>
      </c>
      <c r="S1462" t="s">
        <v>16</v>
      </c>
    </row>
    <row r="1463" spans="1:19" hidden="1" x14ac:dyDescent="0.3">
      <c r="A1463" s="1" t="s">
        <v>1070</v>
      </c>
      <c r="B1463" t="s">
        <v>1596</v>
      </c>
      <c r="C1463" t="s">
        <v>2799</v>
      </c>
      <c r="D1463" t="str">
        <f t="shared" si="88"/>
        <v>Male</v>
      </c>
      <c r="E1463" t="s">
        <v>9</v>
      </c>
      <c r="F1463" s="2">
        <v>28</v>
      </c>
      <c r="G1463" s="2" t="str" cm="1">
        <f t="array" ref="G1463">_xlfn.IFS(F1463&lt;=8,"Child",F1463&lt;=17,"Teen",F1463&lt;=35,"Adult",F1463&lt;=55,"Seniour Adult",F1463&gt;=55,"Old Age")</f>
        <v>Adult</v>
      </c>
      <c r="H1463" t="s">
        <v>69</v>
      </c>
      <c r="I1463" t="s">
        <v>11</v>
      </c>
      <c r="J1463" t="str" cm="1">
        <f t="array" ref="J1463">_xlfn.IFS(I1463="S","Southamptom",I1463="Q","Quentown",I1463="C","Cherbrug",I1463="B","Cabin")</f>
        <v>Southamptom</v>
      </c>
      <c r="K1463" t="s">
        <v>15</v>
      </c>
      <c r="L1463" s="2">
        <v>33</v>
      </c>
      <c r="M1463" s="2" t="str" cm="1">
        <f t="array" ref="M1463">_xlfn.IFS(L1463&lt;=15,"Low Fare",L1463&lt;=35,"Medium Fare",L1463&lt;=100,"High Fare",L1463&gt;=100,"Very High Fare")</f>
        <v>Medium Fare</v>
      </c>
      <c r="N1463" s="2">
        <v>1</v>
      </c>
      <c r="O1463" s="2" t="s">
        <v>30</v>
      </c>
      <c r="P1463" t="e">
        <f t="shared" si="89"/>
        <v>#VALUE!</v>
      </c>
      <c r="Q1463" t="e">
        <f t="shared" si="90"/>
        <v>#VALUE!</v>
      </c>
      <c r="R1463" t="str">
        <f t="shared" si="91"/>
        <v>No</v>
      </c>
      <c r="S1463" t="s">
        <v>13</v>
      </c>
    </row>
    <row r="1464" spans="1:19" hidden="1" x14ac:dyDescent="0.3">
      <c r="A1464" s="1" t="s">
        <v>1071</v>
      </c>
      <c r="B1464" t="s">
        <v>1596</v>
      </c>
      <c r="C1464" t="s">
        <v>2120</v>
      </c>
      <c r="D1464" t="str">
        <f t="shared" si="88"/>
        <v>Male</v>
      </c>
      <c r="E1464" t="s">
        <v>9</v>
      </c>
      <c r="F1464" s="2">
        <v>22</v>
      </c>
      <c r="G1464" s="2" t="str" cm="1">
        <f t="array" ref="G1464">_xlfn.IFS(F1464&lt;=8,"Child",F1464&lt;=17,"Teen",F1464&lt;=35,"Adult",F1464&lt;=55,"Seniour Adult",F1464&gt;=55,"Old Age")</f>
        <v>Adult</v>
      </c>
      <c r="H1464" t="s">
        <v>51</v>
      </c>
      <c r="I1464" t="s">
        <v>11</v>
      </c>
      <c r="J1464" t="str" cm="1">
        <f t="array" ref="J1464">_xlfn.IFS(I1464="S","Southamptom",I1464="Q","Quentown",I1464="C","Cherbrug",I1464="B","Cabin")</f>
        <v>Southamptom</v>
      </c>
      <c r="K1464" t="s">
        <v>15</v>
      </c>
      <c r="L1464" s="2">
        <v>33</v>
      </c>
      <c r="M1464" s="2" t="str" cm="1">
        <f t="array" ref="M1464">_xlfn.IFS(L1464&lt;=15,"Low Fare",L1464&lt;=35,"Medium Fare",L1464&lt;=100,"High Fare",L1464&gt;=100,"Very High Fare")</f>
        <v>Medium Fare</v>
      </c>
      <c r="N1464" s="2">
        <v>1</v>
      </c>
      <c r="O1464" s="2" t="s">
        <v>30</v>
      </c>
      <c r="P1464" t="e">
        <f t="shared" si="89"/>
        <v>#VALUE!</v>
      </c>
      <c r="Q1464" t="e">
        <f t="shared" si="90"/>
        <v>#VALUE!</v>
      </c>
      <c r="R1464" t="str">
        <f t="shared" si="91"/>
        <v>Yes</v>
      </c>
      <c r="S1464" t="s">
        <v>16</v>
      </c>
    </row>
    <row r="1465" spans="1:19" hidden="1" x14ac:dyDescent="0.3">
      <c r="A1465" s="1" t="s">
        <v>1072</v>
      </c>
      <c r="B1465" t="s">
        <v>1596</v>
      </c>
      <c r="C1465" t="s">
        <v>2800</v>
      </c>
      <c r="D1465" t="str">
        <f t="shared" si="88"/>
        <v>Male</v>
      </c>
      <c r="E1465" t="s">
        <v>9</v>
      </c>
      <c r="F1465" s="2">
        <v>39</v>
      </c>
      <c r="G1465" s="2" t="str" cm="1">
        <f t="array" ref="G1465">_xlfn.IFS(F1465&lt;=8,"Child",F1465&lt;=17,"Teen",F1465&lt;=35,"Adult",F1465&lt;=55,"Seniour Adult",F1465&gt;=55,"Old Age")</f>
        <v>Seniour Adult</v>
      </c>
      <c r="H1465" t="s">
        <v>69</v>
      </c>
      <c r="I1465" t="s">
        <v>28</v>
      </c>
      <c r="J1465" t="str" cm="1">
        <f t="array" ref="J1465">_xlfn.IFS(I1465="S","Southamptom",I1465="Q","Quentown",I1465="C","Cherbrug",I1465="B","Cabin")</f>
        <v>Cabin</v>
      </c>
      <c r="K1465" t="s">
        <v>15</v>
      </c>
      <c r="L1465" s="2">
        <v>33</v>
      </c>
      <c r="M1465" s="2" t="str" cm="1">
        <f t="array" ref="M1465">_xlfn.IFS(L1465&lt;=15,"Low Fare",L1465&lt;=35,"Medium Fare",L1465&lt;=100,"High Fare",L1465&gt;=100,"Very High Fare")</f>
        <v>Medium Fare</v>
      </c>
      <c r="N1465" s="2">
        <v>1</v>
      </c>
      <c r="O1465" s="2" t="s">
        <v>30</v>
      </c>
      <c r="P1465" t="e">
        <f t="shared" si="89"/>
        <v>#VALUE!</v>
      </c>
      <c r="Q1465" t="e">
        <f t="shared" si="90"/>
        <v>#VALUE!</v>
      </c>
      <c r="R1465" t="str">
        <f t="shared" si="91"/>
        <v>No</v>
      </c>
      <c r="S1465" t="s">
        <v>13</v>
      </c>
    </row>
    <row r="1466" spans="1:19" hidden="1" x14ac:dyDescent="0.3">
      <c r="A1466" s="1" t="s">
        <v>1073</v>
      </c>
      <c r="B1466" t="s">
        <v>1596</v>
      </c>
      <c r="C1466" t="s">
        <v>2801</v>
      </c>
      <c r="D1466" t="str">
        <f t="shared" si="88"/>
        <v>Male</v>
      </c>
      <c r="E1466" t="s">
        <v>9</v>
      </c>
      <c r="F1466" s="2">
        <v>21</v>
      </c>
      <c r="G1466" s="2" t="str" cm="1">
        <f t="array" ref="G1466">_xlfn.IFS(F1466&lt;=8,"Child",F1466&lt;=17,"Teen",F1466&lt;=35,"Adult",F1466&lt;=55,"Seniour Adult",F1466&gt;=55,"Old Age")</f>
        <v>Adult</v>
      </c>
      <c r="H1466" t="s">
        <v>69</v>
      </c>
      <c r="I1466" t="s">
        <v>11</v>
      </c>
      <c r="J1466" t="str" cm="1">
        <f t="array" ref="J1466">_xlfn.IFS(I1466="S","Southamptom",I1466="Q","Quentown",I1466="C","Cherbrug",I1466="B","Cabin")</f>
        <v>Southamptom</v>
      </c>
      <c r="K1466" t="s">
        <v>15</v>
      </c>
      <c r="L1466" s="2">
        <v>33</v>
      </c>
      <c r="M1466" s="2" t="str" cm="1">
        <f t="array" ref="M1466">_xlfn.IFS(L1466&lt;=15,"Low Fare",L1466&lt;=35,"Medium Fare",L1466&lt;=100,"High Fare",L1466&gt;=100,"Very High Fare")</f>
        <v>Medium Fare</v>
      </c>
      <c r="N1466" s="2">
        <v>1</v>
      </c>
      <c r="O1466" s="2" t="s">
        <v>30</v>
      </c>
      <c r="P1466" t="e">
        <f t="shared" si="89"/>
        <v>#VALUE!</v>
      </c>
      <c r="Q1466" t="e">
        <f t="shared" si="90"/>
        <v>#VALUE!</v>
      </c>
      <c r="R1466" t="str">
        <f t="shared" si="91"/>
        <v>No</v>
      </c>
      <c r="S1466" t="s">
        <v>13</v>
      </c>
    </row>
    <row r="1467" spans="1:19" hidden="1" x14ac:dyDescent="0.3">
      <c r="A1467" s="1" t="s">
        <v>1074</v>
      </c>
      <c r="B1467" t="s">
        <v>1596</v>
      </c>
      <c r="C1467" t="s">
        <v>2802</v>
      </c>
      <c r="D1467" t="str">
        <f t="shared" si="88"/>
        <v>Male</v>
      </c>
      <c r="E1467" t="s">
        <v>9</v>
      </c>
      <c r="F1467" s="2">
        <v>25</v>
      </c>
      <c r="G1467" s="2" t="str" cm="1">
        <f t="array" ref="G1467">_xlfn.IFS(F1467&lt;=8,"Child",F1467&lt;=17,"Teen",F1467&lt;=35,"Adult",F1467&lt;=55,"Seniour Adult",F1467&gt;=55,"Old Age")</f>
        <v>Adult</v>
      </c>
      <c r="H1467" t="s">
        <v>70</v>
      </c>
      <c r="I1467" t="s">
        <v>11</v>
      </c>
      <c r="J1467" t="str" cm="1">
        <f t="array" ref="J1467">_xlfn.IFS(I1467="S","Southamptom",I1467="Q","Quentown",I1467="C","Cherbrug",I1467="B","Cabin")</f>
        <v>Southamptom</v>
      </c>
      <c r="K1467" t="s">
        <v>15</v>
      </c>
      <c r="L1467" s="2">
        <v>33</v>
      </c>
      <c r="M1467" s="2" t="str" cm="1">
        <f t="array" ref="M1467">_xlfn.IFS(L1467&lt;=15,"Low Fare",L1467&lt;=35,"Medium Fare",L1467&lt;=100,"High Fare",L1467&gt;=100,"Very High Fare")</f>
        <v>Medium Fare</v>
      </c>
      <c r="N1467" s="2">
        <v>1</v>
      </c>
      <c r="O1467" s="2" t="s">
        <v>30</v>
      </c>
      <c r="P1467" t="e">
        <f t="shared" si="89"/>
        <v>#VALUE!</v>
      </c>
      <c r="Q1467" t="e">
        <f t="shared" si="90"/>
        <v>#VALUE!</v>
      </c>
      <c r="R1467" t="str">
        <f t="shared" si="91"/>
        <v>No</v>
      </c>
      <c r="S1467" t="s">
        <v>13</v>
      </c>
    </row>
    <row r="1468" spans="1:19" hidden="1" x14ac:dyDescent="0.3">
      <c r="A1468" s="1" t="s">
        <v>217</v>
      </c>
      <c r="B1468" t="s">
        <v>1596</v>
      </c>
      <c r="C1468" t="s">
        <v>1967</v>
      </c>
      <c r="D1468" t="str">
        <f t="shared" si="88"/>
        <v>Male</v>
      </c>
      <c r="E1468" t="s">
        <v>9</v>
      </c>
      <c r="F1468" s="2">
        <v>32</v>
      </c>
      <c r="G1468" s="2" t="str" cm="1">
        <f t="array" ref="G1468">_xlfn.IFS(F1468&lt;=8,"Child",F1468&lt;=17,"Teen",F1468&lt;=35,"Adult",F1468&lt;=55,"Seniour Adult",F1468&gt;=55,"Old Age")</f>
        <v>Adult</v>
      </c>
      <c r="H1468" t="s">
        <v>69</v>
      </c>
      <c r="I1468" t="s">
        <v>11</v>
      </c>
      <c r="J1468" t="str" cm="1">
        <f t="array" ref="J1468">_xlfn.IFS(I1468="S","Southamptom",I1468="Q","Quentown",I1468="C","Cherbrug",I1468="B","Cabin")</f>
        <v>Southamptom</v>
      </c>
      <c r="K1468" t="s">
        <v>15</v>
      </c>
      <c r="L1468" s="2">
        <v>33</v>
      </c>
      <c r="M1468" s="2" t="str" cm="1">
        <f t="array" ref="M1468">_xlfn.IFS(L1468&lt;=15,"Low Fare",L1468&lt;=35,"Medium Fare",L1468&lt;=100,"High Fare",L1468&gt;=100,"Very High Fare")</f>
        <v>Medium Fare</v>
      </c>
      <c r="N1468" s="2">
        <v>1</v>
      </c>
      <c r="O1468" s="2" t="s">
        <v>30</v>
      </c>
      <c r="P1468" t="e">
        <f t="shared" si="89"/>
        <v>#VALUE!</v>
      </c>
      <c r="Q1468" t="e">
        <f t="shared" si="90"/>
        <v>#VALUE!</v>
      </c>
      <c r="R1468" t="str">
        <f t="shared" si="91"/>
        <v>Yes</v>
      </c>
      <c r="S1468" t="s">
        <v>16</v>
      </c>
    </row>
    <row r="1469" spans="1:19" hidden="1" x14ac:dyDescent="0.3">
      <c r="A1469" s="1" t="s">
        <v>1075</v>
      </c>
      <c r="B1469" t="s">
        <v>1596</v>
      </c>
      <c r="C1469" t="s">
        <v>1731</v>
      </c>
      <c r="D1469" t="str">
        <f t="shared" si="88"/>
        <v>Male</v>
      </c>
      <c r="E1469" t="s">
        <v>9</v>
      </c>
      <c r="F1469" s="2">
        <v>25</v>
      </c>
      <c r="G1469" s="2" t="str" cm="1">
        <f t="array" ref="G1469">_xlfn.IFS(F1469&lt;=8,"Child",F1469&lt;=17,"Teen",F1469&lt;=35,"Adult",F1469&lt;=55,"Seniour Adult",F1469&gt;=55,"Old Age")</f>
        <v>Adult</v>
      </c>
      <c r="H1469" t="s">
        <v>69</v>
      </c>
      <c r="I1469" t="s">
        <v>11</v>
      </c>
      <c r="J1469" t="str" cm="1">
        <f t="array" ref="J1469">_xlfn.IFS(I1469="S","Southamptom",I1469="Q","Quentown",I1469="C","Cherbrug",I1469="B","Cabin")</f>
        <v>Southamptom</v>
      </c>
      <c r="K1469" t="s">
        <v>15</v>
      </c>
      <c r="L1469" s="2">
        <v>33</v>
      </c>
      <c r="M1469" s="2" t="str" cm="1">
        <f t="array" ref="M1469">_xlfn.IFS(L1469&lt;=15,"Low Fare",L1469&lt;=35,"Medium Fare",L1469&lt;=100,"High Fare",L1469&gt;=100,"Very High Fare")</f>
        <v>Medium Fare</v>
      </c>
      <c r="N1469" s="2">
        <v>1</v>
      </c>
      <c r="O1469" s="2" t="s">
        <v>30</v>
      </c>
      <c r="P1469" t="e">
        <f t="shared" si="89"/>
        <v>#VALUE!</v>
      </c>
      <c r="Q1469" t="e">
        <f t="shared" si="90"/>
        <v>#VALUE!</v>
      </c>
      <c r="R1469" t="str">
        <f t="shared" si="91"/>
        <v>No</v>
      </c>
      <c r="S1469" t="s">
        <v>13</v>
      </c>
    </row>
    <row r="1470" spans="1:19" hidden="1" x14ac:dyDescent="0.3">
      <c r="A1470" s="1" t="s">
        <v>1076</v>
      </c>
      <c r="B1470" t="s">
        <v>1596</v>
      </c>
      <c r="C1470" t="s">
        <v>2803</v>
      </c>
      <c r="D1470" t="str">
        <f t="shared" si="88"/>
        <v>Male</v>
      </c>
      <c r="E1470" t="s">
        <v>9</v>
      </c>
      <c r="F1470" s="2">
        <v>25</v>
      </c>
      <c r="G1470" s="2" t="str" cm="1">
        <f t="array" ref="G1470">_xlfn.IFS(F1470&lt;=8,"Child",F1470&lt;=17,"Teen",F1470&lt;=35,"Adult",F1470&lt;=55,"Seniour Adult",F1470&gt;=55,"Old Age")</f>
        <v>Adult</v>
      </c>
      <c r="H1470" t="s">
        <v>51</v>
      </c>
      <c r="I1470" t="s">
        <v>11</v>
      </c>
      <c r="J1470" t="str" cm="1">
        <f t="array" ref="J1470">_xlfn.IFS(I1470="S","Southamptom",I1470="Q","Quentown",I1470="C","Cherbrug",I1470="B","Cabin")</f>
        <v>Southamptom</v>
      </c>
      <c r="K1470" t="s">
        <v>15</v>
      </c>
      <c r="L1470" s="2">
        <v>33</v>
      </c>
      <c r="M1470" s="2" t="str" cm="1">
        <f t="array" ref="M1470">_xlfn.IFS(L1470&lt;=15,"Low Fare",L1470&lt;=35,"Medium Fare",L1470&lt;=100,"High Fare",L1470&gt;=100,"Very High Fare")</f>
        <v>Medium Fare</v>
      </c>
      <c r="N1470" s="2">
        <v>1</v>
      </c>
      <c r="O1470" s="2" t="s">
        <v>30</v>
      </c>
      <c r="P1470" t="e">
        <f t="shared" si="89"/>
        <v>#VALUE!</v>
      </c>
      <c r="Q1470" t="e">
        <f t="shared" si="90"/>
        <v>#VALUE!</v>
      </c>
      <c r="R1470" t="str">
        <f t="shared" si="91"/>
        <v>No</v>
      </c>
      <c r="S1470" t="s">
        <v>13</v>
      </c>
    </row>
    <row r="1471" spans="1:19" hidden="1" x14ac:dyDescent="0.3">
      <c r="A1471" s="1" t="s">
        <v>1077</v>
      </c>
      <c r="B1471" t="s">
        <v>1596</v>
      </c>
      <c r="C1471" t="s">
        <v>2027</v>
      </c>
      <c r="D1471" t="str">
        <f t="shared" si="88"/>
        <v>Male</v>
      </c>
      <c r="E1471" t="s">
        <v>9</v>
      </c>
      <c r="F1471" s="2">
        <v>28</v>
      </c>
      <c r="G1471" s="2" t="str" cm="1">
        <f t="array" ref="G1471">_xlfn.IFS(F1471&lt;=8,"Child",F1471&lt;=17,"Teen",F1471&lt;=35,"Adult",F1471&lt;=55,"Seniour Adult",F1471&gt;=55,"Old Age")</f>
        <v>Adult</v>
      </c>
      <c r="H1471" t="s">
        <v>69</v>
      </c>
      <c r="I1471" t="s">
        <v>28</v>
      </c>
      <c r="J1471" t="str" cm="1">
        <f t="array" ref="J1471">_xlfn.IFS(I1471="S","Southamptom",I1471="Q","Quentown",I1471="C","Cherbrug",I1471="B","Cabin")</f>
        <v>Cabin</v>
      </c>
      <c r="K1471" t="s">
        <v>15</v>
      </c>
      <c r="L1471" s="2">
        <v>33</v>
      </c>
      <c r="M1471" s="2" t="str" cm="1">
        <f t="array" ref="M1471">_xlfn.IFS(L1471&lt;=15,"Low Fare",L1471&lt;=35,"Medium Fare",L1471&lt;=100,"High Fare",L1471&gt;=100,"Very High Fare")</f>
        <v>Medium Fare</v>
      </c>
      <c r="N1471" s="2">
        <v>1</v>
      </c>
      <c r="O1471" s="2" t="s">
        <v>30</v>
      </c>
      <c r="P1471" t="e">
        <f t="shared" si="89"/>
        <v>#VALUE!</v>
      </c>
      <c r="Q1471" t="e">
        <f t="shared" si="90"/>
        <v>#VALUE!</v>
      </c>
      <c r="R1471" t="str">
        <f t="shared" si="91"/>
        <v>No</v>
      </c>
      <c r="S1471" t="s">
        <v>13</v>
      </c>
    </row>
    <row r="1472" spans="1:19" hidden="1" x14ac:dyDescent="0.3">
      <c r="A1472" s="1" t="s">
        <v>1078</v>
      </c>
      <c r="B1472" t="s">
        <v>1596</v>
      </c>
      <c r="C1472" t="s">
        <v>2804</v>
      </c>
      <c r="D1472" t="str">
        <f t="shared" si="88"/>
        <v>Male</v>
      </c>
      <c r="E1472" t="s">
        <v>9</v>
      </c>
      <c r="F1472" s="2">
        <v>37</v>
      </c>
      <c r="G1472" s="2" t="str" cm="1">
        <f t="array" ref="G1472">_xlfn.IFS(F1472&lt;=8,"Child",F1472&lt;=17,"Teen",F1472&lt;=35,"Adult",F1472&lt;=55,"Seniour Adult",F1472&gt;=55,"Old Age")</f>
        <v>Seniour Adult</v>
      </c>
      <c r="H1472" t="s">
        <v>51</v>
      </c>
      <c r="I1472" t="s">
        <v>28</v>
      </c>
      <c r="J1472" t="str" cm="1">
        <f t="array" ref="J1472">_xlfn.IFS(I1472="S","Southamptom",I1472="Q","Quentown",I1472="C","Cherbrug",I1472="B","Cabin")</f>
        <v>Cabin</v>
      </c>
      <c r="K1472" t="s">
        <v>15</v>
      </c>
      <c r="L1472" s="2">
        <v>33</v>
      </c>
      <c r="M1472" s="2" t="str" cm="1">
        <f t="array" ref="M1472">_xlfn.IFS(L1472&lt;=15,"Low Fare",L1472&lt;=35,"Medium Fare",L1472&lt;=100,"High Fare",L1472&gt;=100,"Very High Fare")</f>
        <v>Medium Fare</v>
      </c>
      <c r="N1472" s="2">
        <v>1</v>
      </c>
      <c r="O1472" s="2" t="s">
        <v>30</v>
      </c>
      <c r="P1472" t="e">
        <f t="shared" si="89"/>
        <v>#VALUE!</v>
      </c>
      <c r="Q1472" t="e">
        <f t="shared" si="90"/>
        <v>#VALUE!</v>
      </c>
      <c r="R1472" t="str">
        <f t="shared" si="91"/>
        <v>No</v>
      </c>
      <c r="S1472" t="s">
        <v>13</v>
      </c>
    </row>
    <row r="1473" spans="1:19" hidden="1" x14ac:dyDescent="0.3">
      <c r="A1473" s="1" t="s">
        <v>1079</v>
      </c>
      <c r="B1473" t="s">
        <v>1596</v>
      </c>
      <c r="C1473" t="s">
        <v>2805</v>
      </c>
      <c r="D1473" t="str">
        <f t="shared" si="88"/>
        <v>Male</v>
      </c>
      <c r="E1473" t="s">
        <v>9</v>
      </c>
      <c r="F1473" s="2">
        <v>29</v>
      </c>
      <c r="G1473" s="2" t="str" cm="1">
        <f t="array" ref="G1473">_xlfn.IFS(F1473&lt;=8,"Child",F1473&lt;=17,"Teen",F1473&lt;=35,"Adult",F1473&lt;=55,"Seniour Adult",F1473&gt;=55,"Old Age")</f>
        <v>Adult</v>
      </c>
      <c r="H1473" t="s">
        <v>69</v>
      </c>
      <c r="I1473" t="s">
        <v>11</v>
      </c>
      <c r="J1473" t="str" cm="1">
        <f t="array" ref="J1473">_xlfn.IFS(I1473="S","Southamptom",I1473="Q","Quentown",I1473="C","Cherbrug",I1473="B","Cabin")</f>
        <v>Southamptom</v>
      </c>
      <c r="K1473" t="s">
        <v>15</v>
      </c>
      <c r="L1473" s="2">
        <v>33</v>
      </c>
      <c r="M1473" s="2" t="str" cm="1">
        <f t="array" ref="M1473">_xlfn.IFS(L1473&lt;=15,"Low Fare",L1473&lt;=35,"Medium Fare",L1473&lt;=100,"High Fare",L1473&gt;=100,"Very High Fare")</f>
        <v>Medium Fare</v>
      </c>
      <c r="N1473" s="2">
        <v>1</v>
      </c>
      <c r="O1473" s="2" t="s">
        <v>30</v>
      </c>
      <c r="P1473" t="e">
        <f t="shared" si="89"/>
        <v>#VALUE!</v>
      </c>
      <c r="Q1473" t="e">
        <f t="shared" si="90"/>
        <v>#VALUE!</v>
      </c>
      <c r="R1473" t="str">
        <f t="shared" si="91"/>
        <v>No</v>
      </c>
      <c r="S1473" t="s">
        <v>13</v>
      </c>
    </row>
    <row r="1474" spans="1:19" hidden="1" x14ac:dyDescent="0.3">
      <c r="A1474" s="1" t="s">
        <v>1079</v>
      </c>
      <c r="B1474" t="s">
        <v>1596</v>
      </c>
      <c r="C1474" t="s">
        <v>2120</v>
      </c>
      <c r="D1474" t="str">
        <f t="shared" si="88"/>
        <v>Male</v>
      </c>
      <c r="E1474" t="s">
        <v>9</v>
      </c>
      <c r="F1474" s="2">
        <v>50</v>
      </c>
      <c r="G1474" s="2" t="str" cm="1">
        <f t="array" ref="G1474">_xlfn.IFS(F1474&lt;=8,"Child",F1474&lt;=17,"Teen",F1474&lt;=35,"Adult",F1474&lt;=55,"Seniour Adult",F1474&gt;=55,"Old Age")</f>
        <v>Seniour Adult</v>
      </c>
      <c r="H1474" t="s">
        <v>69</v>
      </c>
      <c r="I1474" t="s">
        <v>11</v>
      </c>
      <c r="J1474" t="str" cm="1">
        <f t="array" ref="J1474">_xlfn.IFS(I1474="S","Southamptom",I1474="Q","Quentown",I1474="C","Cherbrug",I1474="B","Cabin")</f>
        <v>Southamptom</v>
      </c>
      <c r="K1474" t="s">
        <v>15</v>
      </c>
      <c r="L1474" s="2">
        <v>33</v>
      </c>
      <c r="M1474" s="2" t="str" cm="1">
        <f t="array" ref="M1474">_xlfn.IFS(L1474&lt;=15,"Low Fare",L1474&lt;=35,"Medium Fare",L1474&lt;=100,"High Fare",L1474&gt;=100,"Very High Fare")</f>
        <v>Medium Fare</v>
      </c>
      <c r="N1474" s="2">
        <v>1</v>
      </c>
      <c r="O1474" s="2" t="s">
        <v>30</v>
      </c>
      <c r="P1474" t="e">
        <f t="shared" si="89"/>
        <v>#VALUE!</v>
      </c>
      <c r="Q1474" t="e">
        <f t="shared" si="90"/>
        <v>#VALUE!</v>
      </c>
      <c r="R1474" t="str">
        <f t="shared" si="91"/>
        <v>No</v>
      </c>
      <c r="S1474" t="s">
        <v>13</v>
      </c>
    </row>
    <row r="1475" spans="1:19" hidden="1" x14ac:dyDescent="0.3">
      <c r="A1475" s="1" t="s">
        <v>1080</v>
      </c>
      <c r="B1475" t="s">
        <v>1596</v>
      </c>
      <c r="C1475" t="s">
        <v>1822</v>
      </c>
      <c r="D1475" t="str">
        <f t="shared" ref="D1475:D1538" si="92">PROPER(E1475)</f>
        <v>Male</v>
      </c>
      <c r="E1475" t="s">
        <v>9</v>
      </c>
      <c r="F1475" s="2">
        <v>25</v>
      </c>
      <c r="G1475" s="2" t="str" cm="1">
        <f t="array" ref="G1475">_xlfn.IFS(F1475&lt;=8,"Child",F1475&lt;=17,"Teen",F1475&lt;=35,"Adult",F1475&lt;=55,"Seniour Adult",F1475&gt;=55,"Old Age")</f>
        <v>Adult</v>
      </c>
      <c r="H1475" t="s">
        <v>51</v>
      </c>
      <c r="I1475" t="s">
        <v>11</v>
      </c>
      <c r="J1475" t="str" cm="1">
        <f t="array" ref="J1475">_xlfn.IFS(I1475="S","Southamptom",I1475="Q","Quentown",I1475="C","Cherbrug",I1475="B","Cabin")</f>
        <v>Southamptom</v>
      </c>
      <c r="K1475" t="s">
        <v>15</v>
      </c>
      <c r="L1475" s="2">
        <v>33</v>
      </c>
      <c r="M1475" s="2" t="str" cm="1">
        <f t="array" ref="M1475">_xlfn.IFS(L1475&lt;=15,"Low Fare",L1475&lt;=35,"Medium Fare",L1475&lt;=100,"High Fare",L1475&gt;=100,"Very High Fare")</f>
        <v>Medium Fare</v>
      </c>
      <c r="N1475" s="2">
        <v>1</v>
      </c>
      <c r="O1475" s="2" t="s">
        <v>30</v>
      </c>
      <c r="P1475" t="e">
        <f t="shared" ref="P1475:P1538" si="93">N1475+O1475+1</f>
        <v>#VALUE!</v>
      </c>
      <c r="Q1475" t="e">
        <f t="shared" ref="Q1475:Q1538" si="94">IF(P1475=1,"Alone","With Family")</f>
        <v>#VALUE!</v>
      </c>
      <c r="R1475" t="str">
        <f t="shared" ref="R1475:R1538" si="95">PROPER(S1475)</f>
        <v>No</v>
      </c>
      <c r="S1475" t="s">
        <v>13</v>
      </c>
    </row>
    <row r="1476" spans="1:19" hidden="1" x14ac:dyDescent="0.3">
      <c r="A1476" s="1" t="s">
        <v>1081</v>
      </c>
      <c r="B1476" t="s">
        <v>1596</v>
      </c>
      <c r="C1476" t="s">
        <v>2806</v>
      </c>
      <c r="D1476" t="str">
        <f t="shared" si="92"/>
        <v>Male</v>
      </c>
      <c r="E1476" t="s">
        <v>9</v>
      </c>
      <c r="F1476" s="2">
        <v>34</v>
      </c>
      <c r="G1476" s="2" t="str" cm="1">
        <f t="array" ref="G1476">_xlfn.IFS(F1476&lt;=8,"Child",F1476&lt;=17,"Teen",F1476&lt;=35,"Adult",F1476&lt;=55,"Seniour Adult",F1476&gt;=55,"Old Age")</f>
        <v>Adult</v>
      </c>
      <c r="H1476" t="s">
        <v>69</v>
      </c>
      <c r="I1476" t="s">
        <v>11</v>
      </c>
      <c r="J1476" t="str" cm="1">
        <f t="array" ref="J1476">_xlfn.IFS(I1476="S","Southamptom",I1476="Q","Quentown",I1476="C","Cherbrug",I1476="B","Cabin")</f>
        <v>Southamptom</v>
      </c>
      <c r="K1476" t="s">
        <v>15</v>
      </c>
      <c r="L1476" s="2">
        <v>33</v>
      </c>
      <c r="M1476" s="2" t="str" cm="1">
        <f t="array" ref="M1476">_xlfn.IFS(L1476&lt;=15,"Low Fare",L1476&lt;=35,"Medium Fare",L1476&lt;=100,"High Fare",L1476&gt;=100,"Very High Fare")</f>
        <v>Medium Fare</v>
      </c>
      <c r="N1476" s="2">
        <v>1</v>
      </c>
      <c r="O1476" s="2" t="s">
        <v>30</v>
      </c>
      <c r="P1476" t="e">
        <f t="shared" si="93"/>
        <v>#VALUE!</v>
      </c>
      <c r="Q1476" t="e">
        <f t="shared" si="94"/>
        <v>#VALUE!</v>
      </c>
      <c r="R1476" t="str">
        <f t="shared" si="95"/>
        <v>No</v>
      </c>
      <c r="S1476" t="s">
        <v>13</v>
      </c>
    </row>
    <row r="1477" spans="1:19" hidden="1" x14ac:dyDescent="0.3">
      <c r="A1477" s="1" t="s">
        <v>229</v>
      </c>
      <c r="B1477" t="s">
        <v>1596</v>
      </c>
      <c r="C1477" t="s">
        <v>1619</v>
      </c>
      <c r="D1477" t="str">
        <f t="shared" si="92"/>
        <v>Male</v>
      </c>
      <c r="E1477" t="s">
        <v>9</v>
      </c>
      <c r="F1477" s="2">
        <v>40</v>
      </c>
      <c r="G1477" s="2" t="str" cm="1">
        <f t="array" ref="G1477">_xlfn.IFS(F1477&lt;=8,"Child",F1477&lt;=17,"Teen",F1477&lt;=35,"Adult",F1477&lt;=55,"Seniour Adult",F1477&gt;=55,"Old Age")</f>
        <v>Seniour Adult</v>
      </c>
      <c r="H1477" t="s">
        <v>51</v>
      </c>
      <c r="I1477" t="s">
        <v>11</v>
      </c>
      <c r="J1477" t="str" cm="1">
        <f t="array" ref="J1477">_xlfn.IFS(I1477="S","Southamptom",I1477="Q","Quentown",I1477="C","Cherbrug",I1477="B","Cabin")</f>
        <v>Southamptom</v>
      </c>
      <c r="K1477" t="s">
        <v>37</v>
      </c>
      <c r="L1477" s="2">
        <v>33</v>
      </c>
      <c r="M1477" s="2" t="str" cm="1">
        <f t="array" ref="M1477">_xlfn.IFS(L1477&lt;=15,"Low Fare",L1477&lt;=35,"Medium Fare",L1477&lt;=100,"High Fare",L1477&gt;=100,"Very High Fare")</f>
        <v>Medium Fare</v>
      </c>
      <c r="N1477" s="2">
        <v>1</v>
      </c>
      <c r="O1477" s="2" t="s">
        <v>30</v>
      </c>
      <c r="P1477" t="e">
        <f t="shared" si="93"/>
        <v>#VALUE!</v>
      </c>
      <c r="Q1477" t="e">
        <f t="shared" si="94"/>
        <v>#VALUE!</v>
      </c>
      <c r="R1477" t="str">
        <f t="shared" si="95"/>
        <v>Yes</v>
      </c>
      <c r="S1477" t="s">
        <v>16</v>
      </c>
    </row>
    <row r="1478" spans="1:19" hidden="1" x14ac:dyDescent="0.3">
      <c r="A1478" s="1" t="s">
        <v>1082</v>
      </c>
      <c r="B1478" t="s">
        <v>1596</v>
      </c>
      <c r="C1478" t="s">
        <v>2525</v>
      </c>
      <c r="D1478" t="str">
        <f t="shared" si="92"/>
        <v>Male</v>
      </c>
      <c r="E1478" t="s">
        <v>9</v>
      </c>
      <c r="F1478" s="2">
        <v>33</v>
      </c>
      <c r="G1478" s="2" t="str" cm="1">
        <f t="array" ref="G1478">_xlfn.IFS(F1478&lt;=8,"Child",F1478&lt;=17,"Teen",F1478&lt;=35,"Adult",F1478&lt;=55,"Seniour Adult",F1478&gt;=55,"Old Age")</f>
        <v>Adult</v>
      </c>
      <c r="H1478" t="s">
        <v>71</v>
      </c>
      <c r="I1478" t="s">
        <v>11</v>
      </c>
      <c r="J1478" t="str" cm="1">
        <f t="array" ref="J1478">_xlfn.IFS(I1478="S","Southamptom",I1478="Q","Quentown",I1478="C","Cherbrug",I1478="B","Cabin")</f>
        <v>Southamptom</v>
      </c>
      <c r="K1478" t="s">
        <v>15</v>
      </c>
      <c r="L1478" s="2">
        <v>33</v>
      </c>
      <c r="M1478" s="2" t="str" cm="1">
        <f t="array" ref="M1478">_xlfn.IFS(L1478&lt;=15,"Low Fare",L1478&lt;=35,"Medium Fare",L1478&lt;=100,"High Fare",L1478&gt;=100,"Very High Fare")</f>
        <v>Medium Fare</v>
      </c>
      <c r="N1478" s="2">
        <v>1</v>
      </c>
      <c r="O1478" s="2" t="s">
        <v>30</v>
      </c>
      <c r="P1478" t="e">
        <f t="shared" si="93"/>
        <v>#VALUE!</v>
      </c>
      <c r="Q1478" t="e">
        <f t="shared" si="94"/>
        <v>#VALUE!</v>
      </c>
      <c r="R1478" t="str">
        <f t="shared" si="95"/>
        <v>Yes</v>
      </c>
      <c r="S1478" t="s">
        <v>16</v>
      </c>
    </row>
    <row r="1479" spans="1:19" hidden="1" x14ac:dyDescent="0.3">
      <c r="A1479" s="1" t="s">
        <v>1082</v>
      </c>
      <c r="B1479" t="s">
        <v>1596</v>
      </c>
      <c r="C1479" t="s">
        <v>2807</v>
      </c>
      <c r="D1479" t="str">
        <f t="shared" si="92"/>
        <v>Male</v>
      </c>
      <c r="E1479" t="s">
        <v>9</v>
      </c>
      <c r="F1479" s="2">
        <v>31</v>
      </c>
      <c r="G1479" s="2" t="str" cm="1">
        <f t="array" ref="G1479">_xlfn.IFS(F1479&lt;=8,"Child",F1479&lt;=17,"Teen",F1479&lt;=35,"Adult",F1479&lt;=55,"Seniour Adult",F1479&gt;=55,"Old Age")</f>
        <v>Adult</v>
      </c>
      <c r="H1479" t="s">
        <v>71</v>
      </c>
      <c r="I1479" t="s">
        <v>11</v>
      </c>
      <c r="J1479" t="str" cm="1">
        <f t="array" ref="J1479">_xlfn.IFS(I1479="S","Southamptom",I1479="Q","Quentown",I1479="C","Cherbrug",I1479="B","Cabin")</f>
        <v>Southamptom</v>
      </c>
      <c r="K1479" t="s">
        <v>15</v>
      </c>
      <c r="L1479" s="2">
        <v>33</v>
      </c>
      <c r="M1479" s="2" t="str" cm="1">
        <f t="array" ref="M1479">_xlfn.IFS(L1479&lt;=15,"Low Fare",L1479&lt;=35,"Medium Fare",L1479&lt;=100,"High Fare",L1479&gt;=100,"Very High Fare")</f>
        <v>Medium Fare</v>
      </c>
      <c r="N1479" s="2">
        <v>1</v>
      </c>
      <c r="O1479" s="2" t="s">
        <v>30</v>
      </c>
      <c r="P1479" t="e">
        <f t="shared" si="93"/>
        <v>#VALUE!</v>
      </c>
      <c r="Q1479" t="e">
        <f t="shared" si="94"/>
        <v>#VALUE!</v>
      </c>
      <c r="R1479" t="str">
        <f t="shared" si="95"/>
        <v>No</v>
      </c>
      <c r="S1479" t="s">
        <v>13</v>
      </c>
    </row>
    <row r="1480" spans="1:19" hidden="1" x14ac:dyDescent="0.3">
      <c r="A1480" s="1" t="s">
        <v>1083</v>
      </c>
      <c r="B1480" t="s">
        <v>1596</v>
      </c>
      <c r="C1480" t="s">
        <v>1630</v>
      </c>
      <c r="D1480" t="str">
        <f t="shared" si="92"/>
        <v>Male</v>
      </c>
      <c r="E1480" t="s">
        <v>9</v>
      </c>
      <c r="F1480" s="2">
        <v>22</v>
      </c>
      <c r="G1480" s="2" t="str" cm="1">
        <f t="array" ref="G1480">_xlfn.IFS(F1480&lt;=8,"Child",F1480&lt;=17,"Teen",F1480&lt;=35,"Adult",F1480&lt;=55,"Seniour Adult",F1480&gt;=55,"Old Age")</f>
        <v>Adult</v>
      </c>
      <c r="H1480" t="s">
        <v>51</v>
      </c>
      <c r="I1480" t="s">
        <v>11</v>
      </c>
      <c r="J1480" t="str" cm="1">
        <f t="array" ref="J1480">_xlfn.IFS(I1480="S","Southamptom",I1480="Q","Quentown",I1480="C","Cherbrug",I1480="B","Cabin")</f>
        <v>Southamptom</v>
      </c>
      <c r="K1480" t="s">
        <v>15</v>
      </c>
      <c r="L1480" s="2">
        <v>33</v>
      </c>
      <c r="M1480" s="2" t="str" cm="1">
        <f t="array" ref="M1480">_xlfn.IFS(L1480&lt;=15,"Low Fare",L1480&lt;=35,"Medium Fare",L1480&lt;=100,"High Fare",L1480&gt;=100,"Very High Fare")</f>
        <v>Medium Fare</v>
      </c>
      <c r="N1480" s="2">
        <v>1</v>
      </c>
      <c r="O1480" s="2" t="s">
        <v>30</v>
      </c>
      <c r="P1480" t="e">
        <f t="shared" si="93"/>
        <v>#VALUE!</v>
      </c>
      <c r="Q1480" t="e">
        <f t="shared" si="94"/>
        <v>#VALUE!</v>
      </c>
      <c r="R1480" t="str">
        <f t="shared" si="95"/>
        <v>No</v>
      </c>
      <c r="S1480" t="s">
        <v>13</v>
      </c>
    </row>
    <row r="1481" spans="1:19" hidden="1" x14ac:dyDescent="0.3">
      <c r="A1481" s="1" t="s">
        <v>1084</v>
      </c>
      <c r="B1481" t="s">
        <v>1596</v>
      </c>
      <c r="C1481" t="s">
        <v>2420</v>
      </c>
      <c r="D1481" t="str">
        <f t="shared" si="92"/>
        <v>Male</v>
      </c>
      <c r="E1481" t="s">
        <v>9</v>
      </c>
      <c r="F1481" s="2">
        <v>29</v>
      </c>
      <c r="G1481" s="2" t="str" cm="1">
        <f t="array" ref="G1481">_xlfn.IFS(F1481&lt;=8,"Child",F1481&lt;=17,"Teen",F1481&lt;=35,"Adult",F1481&lt;=55,"Seniour Adult",F1481&gt;=55,"Old Age")</f>
        <v>Adult</v>
      </c>
      <c r="H1481" t="s">
        <v>69</v>
      </c>
      <c r="I1481" t="s">
        <v>11</v>
      </c>
      <c r="J1481" t="str" cm="1">
        <f t="array" ref="J1481">_xlfn.IFS(I1481="S","Southamptom",I1481="Q","Quentown",I1481="C","Cherbrug",I1481="B","Cabin")</f>
        <v>Southamptom</v>
      </c>
      <c r="K1481" t="s">
        <v>15</v>
      </c>
      <c r="L1481" s="2">
        <v>33</v>
      </c>
      <c r="M1481" s="2" t="str" cm="1">
        <f t="array" ref="M1481">_xlfn.IFS(L1481&lt;=15,"Low Fare",L1481&lt;=35,"Medium Fare",L1481&lt;=100,"High Fare",L1481&gt;=100,"Very High Fare")</f>
        <v>Medium Fare</v>
      </c>
      <c r="N1481" s="2">
        <v>1</v>
      </c>
      <c r="O1481" s="2" t="s">
        <v>30</v>
      </c>
      <c r="P1481" t="e">
        <f t="shared" si="93"/>
        <v>#VALUE!</v>
      </c>
      <c r="Q1481" t="e">
        <f t="shared" si="94"/>
        <v>#VALUE!</v>
      </c>
      <c r="R1481" t="str">
        <f t="shared" si="95"/>
        <v>No</v>
      </c>
      <c r="S1481" t="s">
        <v>13</v>
      </c>
    </row>
    <row r="1482" spans="1:19" hidden="1" x14ac:dyDescent="0.3">
      <c r="A1482" s="1" t="s">
        <v>1084</v>
      </c>
      <c r="B1482" t="s">
        <v>1596</v>
      </c>
      <c r="C1482" t="s">
        <v>1610</v>
      </c>
      <c r="D1482" t="str">
        <f t="shared" si="92"/>
        <v>Male</v>
      </c>
      <c r="E1482" t="s">
        <v>9</v>
      </c>
      <c r="F1482" s="2">
        <v>58</v>
      </c>
      <c r="G1482" s="2" t="str" cm="1">
        <f t="array" ref="G1482">_xlfn.IFS(F1482&lt;=8,"Child",F1482&lt;=17,"Teen",F1482&lt;=35,"Adult",F1482&lt;=55,"Seniour Adult",F1482&gt;=55,"Old Age")</f>
        <v>Old Age</v>
      </c>
      <c r="H1482" t="s">
        <v>51</v>
      </c>
      <c r="I1482" t="s">
        <v>28</v>
      </c>
      <c r="J1482" t="str" cm="1">
        <f t="array" ref="J1482">_xlfn.IFS(I1482="S","Southamptom",I1482="Q","Quentown",I1482="C","Cherbrug",I1482="B","Cabin")</f>
        <v>Cabin</v>
      </c>
      <c r="K1482" t="s">
        <v>37</v>
      </c>
      <c r="L1482" s="2">
        <v>33</v>
      </c>
      <c r="M1482" s="2" t="str" cm="1">
        <f t="array" ref="M1482">_xlfn.IFS(L1482&lt;=15,"Low Fare",L1482&lt;=35,"Medium Fare",L1482&lt;=100,"High Fare",L1482&gt;=100,"Very High Fare")</f>
        <v>Medium Fare</v>
      </c>
      <c r="N1482" s="2">
        <v>1</v>
      </c>
      <c r="O1482" s="2" t="s">
        <v>30</v>
      </c>
      <c r="P1482" t="e">
        <f t="shared" si="93"/>
        <v>#VALUE!</v>
      </c>
      <c r="Q1482" t="e">
        <f t="shared" si="94"/>
        <v>#VALUE!</v>
      </c>
      <c r="R1482" t="str">
        <f t="shared" si="95"/>
        <v>No</v>
      </c>
      <c r="S1482" t="s">
        <v>13</v>
      </c>
    </row>
    <row r="1483" spans="1:19" hidden="1" x14ac:dyDescent="0.3">
      <c r="A1483" s="1" t="s">
        <v>1085</v>
      </c>
      <c r="B1483" t="s">
        <v>1596</v>
      </c>
      <c r="C1483" t="s">
        <v>2784</v>
      </c>
      <c r="D1483" t="str">
        <f t="shared" si="92"/>
        <v>Male</v>
      </c>
      <c r="E1483" t="s">
        <v>9</v>
      </c>
      <c r="F1483" s="2">
        <v>33</v>
      </c>
      <c r="G1483" s="2" t="str" cm="1">
        <f t="array" ref="G1483">_xlfn.IFS(F1483&lt;=8,"Child",F1483&lt;=17,"Teen",F1483&lt;=35,"Adult",F1483&lt;=55,"Seniour Adult",F1483&gt;=55,"Old Age")</f>
        <v>Adult</v>
      </c>
      <c r="H1483" t="s">
        <v>69</v>
      </c>
      <c r="I1483" t="s">
        <v>11</v>
      </c>
      <c r="J1483" t="str" cm="1">
        <f t="array" ref="J1483">_xlfn.IFS(I1483="S","Southamptom",I1483="Q","Quentown",I1483="C","Cherbrug",I1483="B","Cabin")</f>
        <v>Southamptom</v>
      </c>
      <c r="K1483" t="s">
        <v>15</v>
      </c>
      <c r="L1483" s="2">
        <v>33</v>
      </c>
      <c r="M1483" s="2" t="str" cm="1">
        <f t="array" ref="M1483">_xlfn.IFS(L1483&lt;=15,"Low Fare",L1483&lt;=35,"Medium Fare",L1483&lt;=100,"High Fare",L1483&gt;=100,"Very High Fare")</f>
        <v>Medium Fare</v>
      </c>
      <c r="N1483" s="2">
        <v>1</v>
      </c>
      <c r="O1483" s="2" t="s">
        <v>30</v>
      </c>
      <c r="P1483" t="e">
        <f t="shared" si="93"/>
        <v>#VALUE!</v>
      </c>
      <c r="Q1483" t="e">
        <f t="shared" si="94"/>
        <v>#VALUE!</v>
      </c>
      <c r="R1483" t="str">
        <f t="shared" si="95"/>
        <v>Yes</v>
      </c>
      <c r="S1483" t="s">
        <v>16</v>
      </c>
    </row>
    <row r="1484" spans="1:19" hidden="1" x14ac:dyDescent="0.3">
      <c r="A1484" s="1" t="s">
        <v>1086</v>
      </c>
      <c r="B1484" t="s">
        <v>1596</v>
      </c>
      <c r="C1484" t="s">
        <v>1610</v>
      </c>
      <c r="D1484" t="str">
        <f t="shared" si="92"/>
        <v>Male</v>
      </c>
      <c r="E1484" t="s">
        <v>9</v>
      </c>
      <c r="F1484" s="2">
        <v>17</v>
      </c>
      <c r="G1484" s="2" t="str" cm="1">
        <f t="array" ref="G1484">_xlfn.IFS(F1484&lt;=8,"Child",F1484&lt;=17,"Teen",F1484&lt;=35,"Adult",F1484&lt;=55,"Seniour Adult",F1484&gt;=55,"Old Age")</f>
        <v>Teen</v>
      </c>
      <c r="H1484" t="s">
        <v>69</v>
      </c>
      <c r="I1484" t="s">
        <v>11</v>
      </c>
      <c r="J1484" t="str" cm="1">
        <f t="array" ref="J1484">_xlfn.IFS(I1484="S","Southamptom",I1484="Q","Quentown",I1484="C","Cherbrug",I1484="B","Cabin")</f>
        <v>Southamptom</v>
      </c>
      <c r="K1484" t="s">
        <v>29</v>
      </c>
      <c r="L1484" s="2">
        <v>33</v>
      </c>
      <c r="M1484" s="2" t="str" cm="1">
        <f t="array" ref="M1484">_xlfn.IFS(L1484&lt;=15,"Low Fare",L1484&lt;=35,"Medium Fare",L1484&lt;=100,"High Fare",L1484&gt;=100,"Very High Fare")</f>
        <v>Medium Fare</v>
      </c>
      <c r="N1484" s="2">
        <v>1</v>
      </c>
      <c r="O1484" s="2" t="s">
        <v>30</v>
      </c>
      <c r="P1484" t="e">
        <f t="shared" si="93"/>
        <v>#VALUE!</v>
      </c>
      <c r="Q1484" t="e">
        <f t="shared" si="94"/>
        <v>#VALUE!</v>
      </c>
      <c r="R1484" t="str">
        <f t="shared" si="95"/>
        <v>Yes</v>
      </c>
      <c r="S1484" t="s">
        <v>16</v>
      </c>
    </row>
    <row r="1485" spans="1:19" hidden="1" x14ac:dyDescent="0.3">
      <c r="A1485" s="1" t="s">
        <v>1087</v>
      </c>
      <c r="B1485" t="s">
        <v>1596</v>
      </c>
      <c r="C1485" t="s">
        <v>2038</v>
      </c>
      <c r="D1485" t="str">
        <f t="shared" si="92"/>
        <v>Male</v>
      </c>
      <c r="E1485" t="s">
        <v>9</v>
      </c>
      <c r="F1485" s="2">
        <v>34</v>
      </c>
      <c r="G1485" s="2" t="str" cm="1">
        <f t="array" ref="G1485">_xlfn.IFS(F1485&lt;=8,"Child",F1485&lt;=17,"Teen",F1485&lt;=35,"Adult",F1485&lt;=55,"Seniour Adult",F1485&gt;=55,"Old Age")</f>
        <v>Adult</v>
      </c>
      <c r="H1485" t="s">
        <v>51</v>
      </c>
      <c r="I1485" t="s">
        <v>11</v>
      </c>
      <c r="J1485" t="str" cm="1">
        <f t="array" ref="J1485">_xlfn.IFS(I1485="S","Southamptom",I1485="Q","Quentown",I1485="C","Cherbrug",I1485="B","Cabin")</f>
        <v>Southamptom</v>
      </c>
      <c r="K1485" t="s">
        <v>15</v>
      </c>
      <c r="L1485" s="2">
        <v>33</v>
      </c>
      <c r="M1485" s="2" t="str" cm="1">
        <f t="array" ref="M1485">_xlfn.IFS(L1485&lt;=15,"Low Fare",L1485&lt;=35,"Medium Fare",L1485&lt;=100,"High Fare",L1485&gt;=100,"Very High Fare")</f>
        <v>Medium Fare</v>
      </c>
      <c r="N1485" s="2">
        <v>1</v>
      </c>
      <c r="O1485" s="2" t="s">
        <v>30</v>
      </c>
      <c r="P1485" t="e">
        <f t="shared" si="93"/>
        <v>#VALUE!</v>
      </c>
      <c r="Q1485" t="e">
        <f t="shared" si="94"/>
        <v>#VALUE!</v>
      </c>
      <c r="R1485" t="str">
        <f t="shared" si="95"/>
        <v>Yes</v>
      </c>
      <c r="S1485" t="s">
        <v>16</v>
      </c>
    </row>
    <row r="1486" spans="1:19" hidden="1" x14ac:dyDescent="0.3">
      <c r="A1486" s="1" t="s">
        <v>1088</v>
      </c>
      <c r="B1486" t="s">
        <v>1596</v>
      </c>
      <c r="C1486" t="s">
        <v>2808</v>
      </c>
      <c r="D1486" t="str">
        <f t="shared" si="92"/>
        <v>Male</v>
      </c>
      <c r="E1486" t="s">
        <v>9</v>
      </c>
      <c r="F1486" s="2">
        <v>25</v>
      </c>
      <c r="G1486" s="2" t="str" cm="1">
        <f t="array" ref="G1486">_xlfn.IFS(F1486&lt;=8,"Child",F1486&lt;=17,"Teen",F1486&lt;=35,"Adult",F1486&lt;=55,"Seniour Adult",F1486&gt;=55,"Old Age")</f>
        <v>Adult</v>
      </c>
      <c r="H1486" t="s">
        <v>69</v>
      </c>
      <c r="I1486" t="s">
        <v>28</v>
      </c>
      <c r="J1486" t="str" cm="1">
        <f t="array" ref="J1486">_xlfn.IFS(I1486="S","Southamptom",I1486="Q","Quentown",I1486="C","Cherbrug",I1486="B","Cabin")</f>
        <v>Cabin</v>
      </c>
      <c r="K1486" t="s">
        <v>15</v>
      </c>
      <c r="L1486" s="2">
        <v>33</v>
      </c>
      <c r="M1486" s="2" t="str" cm="1">
        <f t="array" ref="M1486">_xlfn.IFS(L1486&lt;=15,"Low Fare",L1486&lt;=35,"Medium Fare",L1486&lt;=100,"High Fare",L1486&gt;=100,"Very High Fare")</f>
        <v>Medium Fare</v>
      </c>
      <c r="N1486" s="2">
        <v>1</v>
      </c>
      <c r="O1486" s="2" t="s">
        <v>30</v>
      </c>
      <c r="P1486" t="e">
        <f t="shared" si="93"/>
        <v>#VALUE!</v>
      </c>
      <c r="Q1486" t="e">
        <f t="shared" si="94"/>
        <v>#VALUE!</v>
      </c>
      <c r="R1486" t="str">
        <f t="shared" si="95"/>
        <v>No</v>
      </c>
      <c r="S1486" t="s">
        <v>13</v>
      </c>
    </row>
    <row r="1487" spans="1:19" hidden="1" x14ac:dyDescent="0.3">
      <c r="A1487" s="1" t="s">
        <v>247</v>
      </c>
      <c r="B1487" t="s">
        <v>1596</v>
      </c>
      <c r="C1487" t="s">
        <v>2809</v>
      </c>
      <c r="D1487" t="str">
        <f t="shared" si="92"/>
        <v>Male</v>
      </c>
      <c r="E1487" t="s">
        <v>9</v>
      </c>
      <c r="F1487" s="2">
        <v>32</v>
      </c>
      <c r="G1487" s="2" t="str" cm="1">
        <f t="array" ref="G1487">_xlfn.IFS(F1487&lt;=8,"Child",F1487&lt;=17,"Teen",F1487&lt;=35,"Adult",F1487&lt;=55,"Seniour Adult",F1487&gt;=55,"Old Age")</f>
        <v>Adult</v>
      </c>
      <c r="H1487" t="s">
        <v>69</v>
      </c>
      <c r="I1487" t="s">
        <v>11</v>
      </c>
      <c r="J1487" t="str" cm="1">
        <f t="array" ref="J1487">_xlfn.IFS(I1487="S","Southamptom",I1487="Q","Quentown",I1487="C","Cherbrug",I1487="B","Cabin")</f>
        <v>Southamptom</v>
      </c>
      <c r="K1487" t="s">
        <v>15</v>
      </c>
      <c r="L1487" s="2">
        <v>33</v>
      </c>
      <c r="M1487" s="2" t="str" cm="1">
        <f t="array" ref="M1487">_xlfn.IFS(L1487&lt;=15,"Low Fare",L1487&lt;=35,"Medium Fare",L1487&lt;=100,"High Fare",L1487&gt;=100,"Very High Fare")</f>
        <v>Medium Fare</v>
      </c>
      <c r="N1487" s="2">
        <v>1</v>
      </c>
      <c r="O1487" s="2" t="s">
        <v>30</v>
      </c>
      <c r="P1487" t="e">
        <f t="shared" si="93"/>
        <v>#VALUE!</v>
      </c>
      <c r="Q1487" t="e">
        <f t="shared" si="94"/>
        <v>#VALUE!</v>
      </c>
      <c r="R1487" t="str">
        <f t="shared" si="95"/>
        <v>No</v>
      </c>
      <c r="S1487" t="s">
        <v>13</v>
      </c>
    </row>
    <row r="1488" spans="1:19" hidden="1" x14ac:dyDescent="0.3">
      <c r="A1488" s="1" t="s">
        <v>1089</v>
      </c>
      <c r="B1488" t="s">
        <v>1596</v>
      </c>
      <c r="C1488" t="s">
        <v>2810</v>
      </c>
      <c r="D1488" t="str">
        <f t="shared" si="92"/>
        <v>Male</v>
      </c>
      <c r="E1488" t="s">
        <v>9</v>
      </c>
      <c r="F1488" s="2">
        <v>45</v>
      </c>
      <c r="G1488" s="2" t="str" cm="1">
        <f t="array" ref="G1488">_xlfn.IFS(F1488&lt;=8,"Child",F1488&lt;=17,"Teen",F1488&lt;=35,"Adult",F1488&lt;=55,"Seniour Adult",F1488&gt;=55,"Old Age")</f>
        <v>Seniour Adult</v>
      </c>
      <c r="H1488" t="s">
        <v>69</v>
      </c>
      <c r="I1488" t="s">
        <v>11</v>
      </c>
      <c r="J1488" t="str" cm="1">
        <f t="array" ref="J1488">_xlfn.IFS(I1488="S","Southamptom",I1488="Q","Quentown",I1488="C","Cherbrug",I1488="B","Cabin")</f>
        <v>Southamptom</v>
      </c>
      <c r="K1488" t="s">
        <v>15</v>
      </c>
      <c r="L1488" s="2">
        <v>33</v>
      </c>
      <c r="M1488" s="2" t="str" cm="1">
        <f t="array" ref="M1488">_xlfn.IFS(L1488&lt;=15,"Low Fare",L1488&lt;=35,"Medium Fare",L1488&lt;=100,"High Fare",L1488&gt;=100,"Very High Fare")</f>
        <v>Medium Fare</v>
      </c>
      <c r="N1488" s="2">
        <v>1</v>
      </c>
      <c r="O1488" s="2" t="s">
        <v>30</v>
      </c>
      <c r="P1488" t="e">
        <f t="shared" si="93"/>
        <v>#VALUE!</v>
      </c>
      <c r="Q1488" t="e">
        <f t="shared" si="94"/>
        <v>#VALUE!</v>
      </c>
      <c r="R1488" t="str">
        <f t="shared" si="95"/>
        <v>No</v>
      </c>
      <c r="S1488" t="s">
        <v>13</v>
      </c>
    </row>
    <row r="1489" spans="1:19" hidden="1" x14ac:dyDescent="0.3">
      <c r="A1489" s="1" t="s">
        <v>1090</v>
      </c>
      <c r="B1489" t="s">
        <v>1596</v>
      </c>
      <c r="C1489" t="s">
        <v>1630</v>
      </c>
      <c r="D1489" t="str">
        <f t="shared" si="92"/>
        <v>Male</v>
      </c>
      <c r="E1489" t="s">
        <v>9</v>
      </c>
      <c r="F1489" s="2">
        <v>26</v>
      </c>
      <c r="G1489" s="2" t="str" cm="1">
        <f t="array" ref="G1489">_xlfn.IFS(F1489&lt;=8,"Child",F1489&lt;=17,"Teen",F1489&lt;=35,"Adult",F1489&lt;=55,"Seniour Adult",F1489&gt;=55,"Old Age")</f>
        <v>Adult</v>
      </c>
      <c r="H1489" t="s">
        <v>51</v>
      </c>
      <c r="I1489" t="s">
        <v>11</v>
      </c>
      <c r="J1489" t="str" cm="1">
        <f t="array" ref="J1489">_xlfn.IFS(I1489="S","Southamptom",I1489="Q","Quentown",I1489="C","Cherbrug",I1489="B","Cabin")</f>
        <v>Southamptom</v>
      </c>
      <c r="K1489" t="s">
        <v>15</v>
      </c>
      <c r="L1489" s="2">
        <v>33</v>
      </c>
      <c r="M1489" s="2" t="str" cm="1">
        <f t="array" ref="M1489">_xlfn.IFS(L1489&lt;=15,"Low Fare",L1489&lt;=35,"Medium Fare",L1489&lt;=100,"High Fare",L1489&gt;=100,"Very High Fare")</f>
        <v>Medium Fare</v>
      </c>
      <c r="N1489" s="2">
        <v>1</v>
      </c>
      <c r="O1489" s="2" t="s">
        <v>30</v>
      </c>
      <c r="P1489" t="e">
        <f t="shared" si="93"/>
        <v>#VALUE!</v>
      </c>
      <c r="Q1489" t="e">
        <f t="shared" si="94"/>
        <v>#VALUE!</v>
      </c>
      <c r="R1489" t="str">
        <f t="shared" si="95"/>
        <v>No</v>
      </c>
      <c r="S1489" t="s">
        <v>13</v>
      </c>
    </row>
    <row r="1490" spans="1:19" hidden="1" x14ac:dyDescent="0.3">
      <c r="A1490" s="1" t="s">
        <v>1090</v>
      </c>
      <c r="B1490" t="s">
        <v>1596</v>
      </c>
      <c r="C1490" t="s">
        <v>2793</v>
      </c>
      <c r="D1490" t="str">
        <f t="shared" si="92"/>
        <v>Male</v>
      </c>
      <c r="E1490" t="s">
        <v>9</v>
      </c>
      <c r="F1490" s="2">
        <v>26</v>
      </c>
      <c r="G1490" s="2" t="str" cm="1">
        <f t="array" ref="G1490">_xlfn.IFS(F1490&lt;=8,"Child",F1490&lt;=17,"Teen",F1490&lt;=35,"Adult",F1490&lt;=55,"Seniour Adult",F1490&gt;=55,"Old Age")</f>
        <v>Adult</v>
      </c>
      <c r="H1490" t="s">
        <v>51</v>
      </c>
      <c r="I1490" t="s">
        <v>11</v>
      </c>
      <c r="J1490" t="str" cm="1">
        <f t="array" ref="J1490">_xlfn.IFS(I1490="S","Southamptom",I1490="Q","Quentown",I1490="C","Cherbrug",I1490="B","Cabin")</f>
        <v>Southamptom</v>
      </c>
      <c r="K1490" t="s">
        <v>15</v>
      </c>
      <c r="L1490" s="2">
        <v>33</v>
      </c>
      <c r="M1490" s="2" t="str" cm="1">
        <f t="array" ref="M1490">_xlfn.IFS(L1490&lt;=15,"Low Fare",L1490&lt;=35,"Medium Fare",L1490&lt;=100,"High Fare",L1490&gt;=100,"Very High Fare")</f>
        <v>Medium Fare</v>
      </c>
      <c r="N1490" s="2">
        <v>1</v>
      </c>
      <c r="O1490" s="2" t="s">
        <v>30</v>
      </c>
      <c r="P1490" t="e">
        <f t="shared" si="93"/>
        <v>#VALUE!</v>
      </c>
      <c r="Q1490" t="e">
        <f t="shared" si="94"/>
        <v>#VALUE!</v>
      </c>
      <c r="R1490" t="str">
        <f t="shared" si="95"/>
        <v>No</v>
      </c>
      <c r="S1490" t="s">
        <v>13</v>
      </c>
    </row>
    <row r="1491" spans="1:19" hidden="1" x14ac:dyDescent="0.3">
      <c r="A1491" s="1" t="s">
        <v>1091</v>
      </c>
      <c r="B1491" t="s">
        <v>1596</v>
      </c>
      <c r="C1491" t="s">
        <v>2811</v>
      </c>
      <c r="D1491" t="str">
        <f t="shared" si="92"/>
        <v>Male</v>
      </c>
      <c r="E1491" t="s">
        <v>9</v>
      </c>
      <c r="F1491" s="2">
        <v>28</v>
      </c>
      <c r="G1491" s="2" t="str" cm="1">
        <f t="array" ref="G1491">_xlfn.IFS(F1491&lt;=8,"Child",F1491&lt;=17,"Teen",F1491&lt;=35,"Adult",F1491&lt;=55,"Seniour Adult",F1491&gt;=55,"Old Age")</f>
        <v>Adult</v>
      </c>
      <c r="H1491" t="s">
        <v>51</v>
      </c>
      <c r="I1491" t="s">
        <v>11</v>
      </c>
      <c r="J1491" t="str" cm="1">
        <f t="array" ref="J1491">_xlfn.IFS(I1491="S","Southamptom",I1491="Q","Quentown",I1491="C","Cherbrug",I1491="B","Cabin")</f>
        <v>Southamptom</v>
      </c>
      <c r="K1491" t="s">
        <v>15</v>
      </c>
      <c r="L1491" s="2">
        <v>33</v>
      </c>
      <c r="M1491" s="2" t="str" cm="1">
        <f t="array" ref="M1491">_xlfn.IFS(L1491&lt;=15,"Low Fare",L1491&lt;=35,"Medium Fare",L1491&lt;=100,"High Fare",L1491&gt;=100,"Very High Fare")</f>
        <v>Medium Fare</v>
      </c>
      <c r="N1491" s="2">
        <v>1</v>
      </c>
      <c r="O1491" s="2" t="s">
        <v>30</v>
      </c>
      <c r="P1491" t="e">
        <f t="shared" si="93"/>
        <v>#VALUE!</v>
      </c>
      <c r="Q1491" t="e">
        <f t="shared" si="94"/>
        <v>#VALUE!</v>
      </c>
      <c r="R1491" t="str">
        <f t="shared" si="95"/>
        <v>No</v>
      </c>
      <c r="S1491" t="s">
        <v>13</v>
      </c>
    </row>
    <row r="1492" spans="1:19" hidden="1" x14ac:dyDescent="0.3">
      <c r="A1492" s="1" t="s">
        <v>1092</v>
      </c>
      <c r="B1492" t="s">
        <v>1596</v>
      </c>
      <c r="C1492" t="s">
        <v>2812</v>
      </c>
      <c r="D1492" t="str">
        <f t="shared" si="92"/>
        <v>Male</v>
      </c>
      <c r="E1492" t="s">
        <v>9</v>
      </c>
      <c r="F1492" s="2">
        <v>27</v>
      </c>
      <c r="G1492" s="2" t="str" cm="1">
        <f t="array" ref="G1492">_xlfn.IFS(F1492&lt;=8,"Child",F1492&lt;=17,"Teen",F1492&lt;=35,"Adult",F1492&lt;=55,"Seniour Adult",F1492&gt;=55,"Old Age")</f>
        <v>Adult</v>
      </c>
      <c r="H1492" t="s">
        <v>69</v>
      </c>
      <c r="I1492" t="s">
        <v>11</v>
      </c>
      <c r="J1492" t="str" cm="1">
        <f t="array" ref="J1492">_xlfn.IFS(I1492="S","Southamptom",I1492="Q","Quentown",I1492="C","Cherbrug",I1492="B","Cabin")</f>
        <v>Southamptom</v>
      </c>
      <c r="K1492" t="s">
        <v>15</v>
      </c>
      <c r="L1492" s="2">
        <v>33</v>
      </c>
      <c r="M1492" s="2" t="str" cm="1">
        <f t="array" ref="M1492">_xlfn.IFS(L1492&lt;=15,"Low Fare",L1492&lt;=35,"Medium Fare",L1492&lt;=100,"High Fare",L1492&gt;=100,"Very High Fare")</f>
        <v>Medium Fare</v>
      </c>
      <c r="N1492" s="2">
        <v>1</v>
      </c>
      <c r="O1492" s="2" t="s">
        <v>30</v>
      </c>
      <c r="P1492" t="e">
        <f t="shared" si="93"/>
        <v>#VALUE!</v>
      </c>
      <c r="Q1492" t="e">
        <f t="shared" si="94"/>
        <v>#VALUE!</v>
      </c>
      <c r="R1492" t="str">
        <f t="shared" si="95"/>
        <v>No</v>
      </c>
      <c r="S1492" t="s">
        <v>13</v>
      </c>
    </row>
    <row r="1493" spans="1:19" hidden="1" x14ac:dyDescent="0.3">
      <c r="A1493" s="1" t="s">
        <v>1093</v>
      </c>
      <c r="B1493" t="s">
        <v>1596</v>
      </c>
      <c r="C1493" t="s">
        <v>2813</v>
      </c>
      <c r="D1493" t="str">
        <f t="shared" si="92"/>
        <v>Male</v>
      </c>
      <c r="E1493" t="s">
        <v>9</v>
      </c>
      <c r="F1493" s="2">
        <v>33</v>
      </c>
      <c r="G1493" s="2" t="str" cm="1">
        <f t="array" ref="G1493">_xlfn.IFS(F1493&lt;=8,"Child",F1493&lt;=17,"Teen",F1493&lt;=35,"Adult",F1493&lt;=55,"Seniour Adult",F1493&gt;=55,"Old Age")</f>
        <v>Adult</v>
      </c>
      <c r="H1493" t="s">
        <v>51</v>
      </c>
      <c r="I1493" t="s">
        <v>11</v>
      </c>
      <c r="J1493" t="str" cm="1">
        <f t="array" ref="J1493">_xlfn.IFS(I1493="S","Southamptom",I1493="Q","Quentown",I1493="C","Cherbrug",I1493="B","Cabin")</f>
        <v>Southamptom</v>
      </c>
      <c r="K1493" t="s">
        <v>15</v>
      </c>
      <c r="L1493" s="2">
        <v>33</v>
      </c>
      <c r="M1493" s="2" t="str" cm="1">
        <f t="array" ref="M1493">_xlfn.IFS(L1493&lt;=15,"Low Fare",L1493&lt;=35,"Medium Fare",L1493&lt;=100,"High Fare",L1493&gt;=100,"Very High Fare")</f>
        <v>Medium Fare</v>
      </c>
      <c r="N1493" s="2">
        <v>1</v>
      </c>
      <c r="O1493" s="2" t="s">
        <v>30</v>
      </c>
      <c r="P1493" t="e">
        <f t="shared" si="93"/>
        <v>#VALUE!</v>
      </c>
      <c r="Q1493" t="e">
        <f t="shared" si="94"/>
        <v>#VALUE!</v>
      </c>
      <c r="R1493" t="str">
        <f t="shared" si="95"/>
        <v>No</v>
      </c>
      <c r="S1493" t="s">
        <v>13</v>
      </c>
    </row>
    <row r="1494" spans="1:19" hidden="1" x14ac:dyDescent="0.3">
      <c r="A1494" s="1" t="s">
        <v>1094</v>
      </c>
      <c r="B1494" t="s">
        <v>1596</v>
      </c>
      <c r="C1494" t="s">
        <v>2814</v>
      </c>
      <c r="D1494" t="str">
        <f t="shared" si="92"/>
        <v>Male</v>
      </c>
      <c r="E1494" t="s">
        <v>9</v>
      </c>
      <c r="F1494" s="2">
        <v>19</v>
      </c>
      <c r="G1494" s="2" t="str" cm="1">
        <f t="array" ref="G1494">_xlfn.IFS(F1494&lt;=8,"Child",F1494&lt;=17,"Teen",F1494&lt;=35,"Adult",F1494&lt;=55,"Seniour Adult",F1494&gt;=55,"Old Age")</f>
        <v>Adult</v>
      </c>
      <c r="H1494" t="s">
        <v>70</v>
      </c>
      <c r="I1494" t="s">
        <v>11</v>
      </c>
      <c r="J1494" t="str" cm="1">
        <f t="array" ref="J1494">_xlfn.IFS(I1494="S","Southamptom",I1494="Q","Quentown",I1494="C","Cherbrug",I1494="B","Cabin")</f>
        <v>Southamptom</v>
      </c>
      <c r="K1494" t="s">
        <v>15</v>
      </c>
      <c r="L1494" s="2">
        <v>33</v>
      </c>
      <c r="M1494" s="2" t="str" cm="1">
        <f t="array" ref="M1494">_xlfn.IFS(L1494&lt;=15,"Low Fare",L1494&lt;=35,"Medium Fare",L1494&lt;=100,"High Fare",L1494&gt;=100,"Very High Fare")</f>
        <v>Medium Fare</v>
      </c>
      <c r="N1494" s="2">
        <v>1</v>
      </c>
      <c r="O1494" s="2" t="s">
        <v>30</v>
      </c>
      <c r="P1494" t="e">
        <f t="shared" si="93"/>
        <v>#VALUE!</v>
      </c>
      <c r="Q1494" t="e">
        <f t="shared" si="94"/>
        <v>#VALUE!</v>
      </c>
      <c r="R1494" t="str">
        <f t="shared" si="95"/>
        <v>No</v>
      </c>
      <c r="S1494" t="s">
        <v>13</v>
      </c>
    </row>
    <row r="1495" spans="1:19" hidden="1" x14ac:dyDescent="0.3">
      <c r="A1495" s="1" t="s">
        <v>1095</v>
      </c>
      <c r="B1495" t="s">
        <v>1596</v>
      </c>
      <c r="C1495" t="s">
        <v>2373</v>
      </c>
      <c r="D1495" t="str">
        <f t="shared" si="92"/>
        <v>Male</v>
      </c>
      <c r="E1495" t="s">
        <v>9</v>
      </c>
      <c r="F1495" s="2">
        <v>36</v>
      </c>
      <c r="G1495" s="2" t="str" cm="1">
        <f t="array" ref="G1495">_xlfn.IFS(F1495&lt;=8,"Child",F1495&lt;=17,"Teen",F1495&lt;=35,"Adult",F1495&lt;=55,"Seniour Adult",F1495&gt;=55,"Old Age")</f>
        <v>Seniour Adult</v>
      </c>
      <c r="H1495" t="s">
        <v>51</v>
      </c>
      <c r="I1495" t="s">
        <v>11</v>
      </c>
      <c r="J1495" t="str" cm="1">
        <f t="array" ref="J1495">_xlfn.IFS(I1495="S","Southamptom",I1495="Q","Quentown",I1495="C","Cherbrug",I1495="B","Cabin")</f>
        <v>Southamptom</v>
      </c>
      <c r="K1495" t="s">
        <v>15</v>
      </c>
      <c r="L1495" s="2">
        <v>33</v>
      </c>
      <c r="M1495" s="2" t="str" cm="1">
        <f t="array" ref="M1495">_xlfn.IFS(L1495&lt;=15,"Low Fare",L1495&lt;=35,"Medium Fare",L1495&lt;=100,"High Fare",L1495&gt;=100,"Very High Fare")</f>
        <v>Medium Fare</v>
      </c>
      <c r="N1495" s="2">
        <v>1</v>
      </c>
      <c r="O1495" s="2" t="s">
        <v>30</v>
      </c>
      <c r="P1495" t="e">
        <f t="shared" si="93"/>
        <v>#VALUE!</v>
      </c>
      <c r="Q1495" t="e">
        <f t="shared" si="94"/>
        <v>#VALUE!</v>
      </c>
      <c r="R1495" t="str">
        <f t="shared" si="95"/>
        <v>No</v>
      </c>
      <c r="S1495" t="s">
        <v>13</v>
      </c>
    </row>
    <row r="1496" spans="1:19" hidden="1" x14ac:dyDescent="0.3">
      <c r="A1496" s="1" t="s">
        <v>1096</v>
      </c>
      <c r="B1496" t="s">
        <v>1596</v>
      </c>
      <c r="C1496" t="s">
        <v>1945</v>
      </c>
      <c r="D1496" t="str">
        <f t="shared" si="92"/>
        <v>Male</v>
      </c>
      <c r="E1496" t="s">
        <v>9</v>
      </c>
      <c r="F1496" s="2">
        <v>28</v>
      </c>
      <c r="G1496" s="2" t="str" cm="1">
        <f t="array" ref="G1496">_xlfn.IFS(F1496&lt;=8,"Child",F1496&lt;=17,"Teen",F1496&lt;=35,"Adult",F1496&lt;=55,"Seniour Adult",F1496&gt;=55,"Old Age")</f>
        <v>Adult</v>
      </c>
      <c r="H1496" t="s">
        <v>71</v>
      </c>
      <c r="I1496" t="s">
        <v>11</v>
      </c>
      <c r="J1496" t="str" cm="1">
        <f t="array" ref="J1496">_xlfn.IFS(I1496="S","Southamptom",I1496="Q","Quentown",I1496="C","Cherbrug",I1496="B","Cabin")</f>
        <v>Southamptom</v>
      </c>
      <c r="K1496" t="s">
        <v>15</v>
      </c>
      <c r="L1496" s="2">
        <v>33</v>
      </c>
      <c r="M1496" s="2" t="str" cm="1">
        <f t="array" ref="M1496">_xlfn.IFS(L1496&lt;=15,"Low Fare",L1496&lt;=35,"Medium Fare",L1496&lt;=100,"High Fare",L1496&gt;=100,"Very High Fare")</f>
        <v>Medium Fare</v>
      </c>
      <c r="N1496" s="2">
        <v>1</v>
      </c>
      <c r="O1496" s="2" t="s">
        <v>30</v>
      </c>
      <c r="P1496" t="e">
        <f t="shared" si="93"/>
        <v>#VALUE!</v>
      </c>
      <c r="Q1496" t="e">
        <f t="shared" si="94"/>
        <v>#VALUE!</v>
      </c>
      <c r="R1496" t="str">
        <f t="shared" si="95"/>
        <v>No</v>
      </c>
      <c r="S1496" t="s">
        <v>13</v>
      </c>
    </row>
    <row r="1497" spans="1:19" hidden="1" x14ac:dyDescent="0.3">
      <c r="A1497" s="1" t="s">
        <v>1096</v>
      </c>
      <c r="B1497" t="s">
        <v>1596</v>
      </c>
      <c r="C1497" t="s">
        <v>2755</v>
      </c>
      <c r="D1497" t="str">
        <f t="shared" si="92"/>
        <v>Male</v>
      </c>
      <c r="E1497" t="s">
        <v>9</v>
      </c>
      <c r="F1497" s="2">
        <v>49</v>
      </c>
      <c r="G1497" s="2" t="str" cm="1">
        <f t="array" ref="G1497">_xlfn.IFS(F1497&lt;=8,"Child",F1497&lt;=17,"Teen",F1497&lt;=35,"Adult",F1497&lt;=55,"Seniour Adult",F1497&gt;=55,"Old Age")</f>
        <v>Seniour Adult</v>
      </c>
      <c r="H1497" t="s">
        <v>51</v>
      </c>
      <c r="I1497" t="s">
        <v>11</v>
      </c>
      <c r="J1497" t="str" cm="1">
        <f t="array" ref="J1497">_xlfn.IFS(I1497="S","Southamptom",I1497="Q","Quentown",I1497="C","Cherbrug",I1497="B","Cabin")</f>
        <v>Southamptom</v>
      </c>
      <c r="K1497" t="s">
        <v>15</v>
      </c>
      <c r="L1497" s="2">
        <v>33</v>
      </c>
      <c r="M1497" s="2" t="str" cm="1">
        <f t="array" ref="M1497">_xlfn.IFS(L1497&lt;=15,"Low Fare",L1497&lt;=35,"Medium Fare",L1497&lt;=100,"High Fare",L1497&gt;=100,"Very High Fare")</f>
        <v>Medium Fare</v>
      </c>
      <c r="N1497" s="2">
        <v>1</v>
      </c>
      <c r="O1497" s="2" t="s">
        <v>30</v>
      </c>
      <c r="P1497" t="e">
        <f t="shared" si="93"/>
        <v>#VALUE!</v>
      </c>
      <c r="Q1497" t="e">
        <f t="shared" si="94"/>
        <v>#VALUE!</v>
      </c>
      <c r="R1497" t="str">
        <f t="shared" si="95"/>
        <v>No</v>
      </c>
      <c r="S1497" t="s">
        <v>13</v>
      </c>
    </row>
    <row r="1498" spans="1:19" hidden="1" x14ac:dyDescent="0.3">
      <c r="A1498" s="1" t="s">
        <v>1097</v>
      </c>
      <c r="B1498" t="s">
        <v>1596</v>
      </c>
      <c r="C1498" t="s">
        <v>2815</v>
      </c>
      <c r="D1498" t="str">
        <f t="shared" si="92"/>
        <v>Male</v>
      </c>
      <c r="E1498" t="s">
        <v>9</v>
      </c>
      <c r="F1498" s="2">
        <v>30</v>
      </c>
      <c r="G1498" s="2" t="str" cm="1">
        <f t="array" ref="G1498">_xlfn.IFS(F1498&lt;=8,"Child",F1498&lt;=17,"Teen",F1498&lt;=35,"Adult",F1498&lt;=55,"Seniour Adult",F1498&gt;=55,"Old Age")</f>
        <v>Adult</v>
      </c>
      <c r="H1498" t="s">
        <v>51</v>
      </c>
      <c r="I1498" t="s">
        <v>11</v>
      </c>
      <c r="J1498" t="str" cm="1">
        <f t="array" ref="J1498">_xlfn.IFS(I1498="S","Southamptom",I1498="Q","Quentown",I1498="C","Cherbrug",I1498="B","Cabin")</f>
        <v>Southamptom</v>
      </c>
      <c r="K1498" t="s">
        <v>15</v>
      </c>
      <c r="L1498" s="2">
        <v>33</v>
      </c>
      <c r="M1498" s="2" t="str" cm="1">
        <f t="array" ref="M1498">_xlfn.IFS(L1498&lt;=15,"Low Fare",L1498&lt;=35,"Medium Fare",L1498&lt;=100,"High Fare",L1498&gt;=100,"Very High Fare")</f>
        <v>Medium Fare</v>
      </c>
      <c r="N1498" s="2">
        <v>1</v>
      </c>
      <c r="O1498" s="2" t="s">
        <v>30</v>
      </c>
      <c r="P1498" t="e">
        <f t="shared" si="93"/>
        <v>#VALUE!</v>
      </c>
      <c r="Q1498" t="e">
        <f t="shared" si="94"/>
        <v>#VALUE!</v>
      </c>
      <c r="R1498" t="str">
        <f t="shared" si="95"/>
        <v>Yes</v>
      </c>
      <c r="S1498" t="s">
        <v>16</v>
      </c>
    </row>
    <row r="1499" spans="1:19" hidden="1" x14ac:dyDescent="0.3">
      <c r="A1499" s="1" t="s">
        <v>1098</v>
      </c>
      <c r="B1499" t="s">
        <v>1596</v>
      </c>
      <c r="C1499" t="s">
        <v>2816</v>
      </c>
      <c r="D1499" t="str">
        <f t="shared" si="92"/>
        <v>Male</v>
      </c>
      <c r="E1499" t="s">
        <v>9</v>
      </c>
      <c r="F1499" s="2">
        <v>28</v>
      </c>
      <c r="G1499" s="2" t="str" cm="1">
        <f t="array" ref="G1499">_xlfn.IFS(F1499&lt;=8,"Child",F1499&lt;=17,"Teen",F1499&lt;=35,"Adult",F1499&lt;=55,"Seniour Adult",F1499&gt;=55,"Old Age")</f>
        <v>Adult</v>
      </c>
      <c r="H1499" t="s">
        <v>70</v>
      </c>
      <c r="I1499" t="s">
        <v>11</v>
      </c>
      <c r="J1499" t="str" cm="1">
        <f t="array" ref="J1499">_xlfn.IFS(I1499="S","Southamptom",I1499="Q","Quentown",I1499="C","Cherbrug",I1499="B","Cabin")</f>
        <v>Southamptom</v>
      </c>
      <c r="K1499" t="s">
        <v>20</v>
      </c>
      <c r="L1499" s="2">
        <v>33</v>
      </c>
      <c r="M1499" s="2" t="str" cm="1">
        <f t="array" ref="M1499">_xlfn.IFS(L1499&lt;=15,"Low Fare",L1499&lt;=35,"Medium Fare",L1499&lt;=100,"High Fare",L1499&gt;=100,"Very High Fare")</f>
        <v>Medium Fare</v>
      </c>
      <c r="N1499" s="2">
        <v>1</v>
      </c>
      <c r="O1499" s="2" t="s">
        <v>30</v>
      </c>
      <c r="P1499" t="e">
        <f t="shared" si="93"/>
        <v>#VALUE!</v>
      </c>
      <c r="Q1499" t="e">
        <f t="shared" si="94"/>
        <v>#VALUE!</v>
      </c>
      <c r="R1499" t="str">
        <f t="shared" si="95"/>
        <v>No</v>
      </c>
      <c r="S1499" t="s">
        <v>13</v>
      </c>
    </row>
    <row r="1500" spans="1:19" hidden="1" x14ac:dyDescent="0.3">
      <c r="A1500" s="1" t="s">
        <v>1099</v>
      </c>
      <c r="B1500" t="s">
        <v>1596</v>
      </c>
      <c r="C1500" t="s">
        <v>2817</v>
      </c>
      <c r="D1500" t="str">
        <f t="shared" si="92"/>
        <v>Male</v>
      </c>
      <c r="E1500" t="s">
        <v>9</v>
      </c>
      <c r="F1500" s="2">
        <v>30</v>
      </c>
      <c r="G1500" s="2" t="str" cm="1">
        <f t="array" ref="G1500">_xlfn.IFS(F1500&lt;=8,"Child",F1500&lt;=17,"Teen",F1500&lt;=35,"Adult",F1500&lt;=55,"Seniour Adult",F1500&gt;=55,"Old Age")</f>
        <v>Adult</v>
      </c>
      <c r="H1500" t="s">
        <v>69</v>
      </c>
      <c r="I1500" t="s">
        <v>11</v>
      </c>
      <c r="J1500" t="str" cm="1">
        <f t="array" ref="J1500">_xlfn.IFS(I1500="S","Southamptom",I1500="Q","Quentown",I1500="C","Cherbrug",I1500="B","Cabin")</f>
        <v>Southamptom</v>
      </c>
      <c r="K1500" t="s">
        <v>15</v>
      </c>
      <c r="L1500" s="2">
        <v>33</v>
      </c>
      <c r="M1500" s="2" t="str" cm="1">
        <f t="array" ref="M1500">_xlfn.IFS(L1500&lt;=15,"Low Fare",L1500&lt;=35,"Medium Fare",L1500&lt;=100,"High Fare",L1500&gt;=100,"Very High Fare")</f>
        <v>Medium Fare</v>
      </c>
      <c r="N1500" s="2">
        <v>1</v>
      </c>
      <c r="O1500" s="2" t="s">
        <v>30</v>
      </c>
      <c r="P1500" t="e">
        <f t="shared" si="93"/>
        <v>#VALUE!</v>
      </c>
      <c r="Q1500" t="e">
        <f t="shared" si="94"/>
        <v>#VALUE!</v>
      </c>
      <c r="R1500" t="str">
        <f t="shared" si="95"/>
        <v>No</v>
      </c>
      <c r="S1500" t="s">
        <v>13</v>
      </c>
    </row>
    <row r="1501" spans="1:19" hidden="1" x14ac:dyDescent="0.3">
      <c r="A1501" s="1" t="s">
        <v>1100</v>
      </c>
      <c r="B1501" t="s">
        <v>1596</v>
      </c>
      <c r="C1501" t="s">
        <v>2818</v>
      </c>
      <c r="D1501" t="str">
        <f t="shared" si="92"/>
        <v>Male</v>
      </c>
      <c r="E1501" t="s">
        <v>9</v>
      </c>
      <c r="F1501" s="2">
        <v>27</v>
      </c>
      <c r="G1501" s="2" t="str" cm="1">
        <f t="array" ref="G1501">_xlfn.IFS(F1501&lt;=8,"Child",F1501&lt;=17,"Teen",F1501&lt;=35,"Adult",F1501&lt;=55,"Seniour Adult",F1501&gt;=55,"Old Age")</f>
        <v>Adult</v>
      </c>
      <c r="H1501" t="s">
        <v>51</v>
      </c>
      <c r="I1501" t="s">
        <v>28</v>
      </c>
      <c r="J1501" t="str" cm="1">
        <f t="array" ref="J1501">_xlfn.IFS(I1501="S","Southamptom",I1501="Q","Quentown",I1501="C","Cherbrug",I1501="B","Cabin")</f>
        <v>Cabin</v>
      </c>
      <c r="K1501" t="s">
        <v>15</v>
      </c>
      <c r="L1501" s="2">
        <v>33</v>
      </c>
      <c r="M1501" s="2" t="str" cm="1">
        <f t="array" ref="M1501">_xlfn.IFS(L1501&lt;=15,"Low Fare",L1501&lt;=35,"Medium Fare",L1501&lt;=100,"High Fare",L1501&gt;=100,"Very High Fare")</f>
        <v>Medium Fare</v>
      </c>
      <c r="N1501" s="2">
        <v>1</v>
      </c>
      <c r="O1501" s="2" t="s">
        <v>30</v>
      </c>
      <c r="P1501" t="e">
        <f t="shared" si="93"/>
        <v>#VALUE!</v>
      </c>
      <c r="Q1501" t="e">
        <f t="shared" si="94"/>
        <v>#VALUE!</v>
      </c>
      <c r="R1501" t="str">
        <f t="shared" si="95"/>
        <v>No</v>
      </c>
      <c r="S1501" t="s">
        <v>13</v>
      </c>
    </row>
    <row r="1502" spans="1:19" hidden="1" x14ac:dyDescent="0.3">
      <c r="A1502" s="1" t="s">
        <v>1101</v>
      </c>
      <c r="B1502" t="s">
        <v>1596</v>
      </c>
      <c r="C1502" t="s">
        <v>1703</v>
      </c>
      <c r="D1502" t="str">
        <f t="shared" si="92"/>
        <v>Male</v>
      </c>
      <c r="E1502" t="s">
        <v>9</v>
      </c>
      <c r="F1502" s="2">
        <v>23</v>
      </c>
      <c r="G1502" s="2" t="str" cm="1">
        <f t="array" ref="G1502">_xlfn.IFS(F1502&lt;=8,"Child",F1502&lt;=17,"Teen",F1502&lt;=35,"Adult",F1502&lt;=55,"Seniour Adult",F1502&gt;=55,"Old Age")</f>
        <v>Adult</v>
      </c>
      <c r="H1502" t="s">
        <v>51</v>
      </c>
      <c r="I1502" t="s">
        <v>11</v>
      </c>
      <c r="J1502" t="str" cm="1">
        <f t="array" ref="J1502">_xlfn.IFS(I1502="S","Southamptom",I1502="Q","Quentown",I1502="C","Cherbrug",I1502="B","Cabin")</f>
        <v>Southamptom</v>
      </c>
      <c r="K1502" t="s">
        <v>15</v>
      </c>
      <c r="L1502" s="2">
        <v>33</v>
      </c>
      <c r="M1502" s="2" t="str" cm="1">
        <f t="array" ref="M1502">_xlfn.IFS(L1502&lt;=15,"Low Fare",L1502&lt;=35,"Medium Fare",L1502&lt;=100,"High Fare",L1502&gt;=100,"Very High Fare")</f>
        <v>Medium Fare</v>
      </c>
      <c r="N1502" s="2">
        <v>1</v>
      </c>
      <c r="O1502" s="2" t="s">
        <v>30</v>
      </c>
      <c r="P1502" t="e">
        <f t="shared" si="93"/>
        <v>#VALUE!</v>
      </c>
      <c r="Q1502" t="e">
        <f t="shared" si="94"/>
        <v>#VALUE!</v>
      </c>
      <c r="R1502" t="str">
        <f t="shared" si="95"/>
        <v>No</v>
      </c>
      <c r="S1502" t="s">
        <v>13</v>
      </c>
    </row>
    <row r="1503" spans="1:19" hidden="1" x14ac:dyDescent="0.3">
      <c r="A1503" s="1" t="s">
        <v>1102</v>
      </c>
      <c r="B1503" t="s">
        <v>1596</v>
      </c>
      <c r="C1503" t="s">
        <v>2819</v>
      </c>
      <c r="D1503" t="str">
        <f t="shared" si="92"/>
        <v>Male</v>
      </c>
      <c r="E1503" t="s">
        <v>9</v>
      </c>
      <c r="F1503" s="2">
        <v>20</v>
      </c>
      <c r="G1503" s="2" t="str" cm="1">
        <f t="array" ref="G1503">_xlfn.IFS(F1503&lt;=8,"Child",F1503&lt;=17,"Teen",F1503&lt;=35,"Adult",F1503&lt;=55,"Seniour Adult",F1503&gt;=55,"Old Age")</f>
        <v>Adult</v>
      </c>
      <c r="H1503" t="s">
        <v>69</v>
      </c>
      <c r="I1503" t="s">
        <v>11</v>
      </c>
      <c r="J1503" t="str" cm="1">
        <f t="array" ref="J1503">_xlfn.IFS(I1503="S","Southamptom",I1503="Q","Quentown",I1503="C","Cherbrug",I1503="B","Cabin")</f>
        <v>Southamptom</v>
      </c>
      <c r="K1503" t="s">
        <v>15</v>
      </c>
      <c r="L1503" s="2">
        <v>33</v>
      </c>
      <c r="M1503" s="2" t="str" cm="1">
        <f t="array" ref="M1503">_xlfn.IFS(L1503&lt;=15,"Low Fare",L1503&lt;=35,"Medium Fare",L1503&lt;=100,"High Fare",L1503&gt;=100,"Very High Fare")</f>
        <v>Medium Fare</v>
      </c>
      <c r="N1503" s="2">
        <v>1</v>
      </c>
      <c r="O1503" s="2" t="s">
        <v>30</v>
      </c>
      <c r="P1503" t="e">
        <f t="shared" si="93"/>
        <v>#VALUE!</v>
      </c>
      <c r="Q1503" t="e">
        <f t="shared" si="94"/>
        <v>#VALUE!</v>
      </c>
      <c r="R1503" t="str">
        <f t="shared" si="95"/>
        <v>Yes</v>
      </c>
      <c r="S1503" t="s">
        <v>16</v>
      </c>
    </row>
    <row r="1504" spans="1:19" hidden="1" x14ac:dyDescent="0.3">
      <c r="A1504" s="1" t="s">
        <v>1103</v>
      </c>
      <c r="B1504" t="s">
        <v>1596</v>
      </c>
      <c r="C1504" t="s">
        <v>2820</v>
      </c>
      <c r="D1504" t="str">
        <f t="shared" si="92"/>
        <v>Male</v>
      </c>
      <c r="E1504" t="s">
        <v>9</v>
      </c>
      <c r="F1504" s="2">
        <v>43</v>
      </c>
      <c r="G1504" s="2" t="str" cm="1">
        <f t="array" ref="G1504">_xlfn.IFS(F1504&lt;=8,"Child",F1504&lt;=17,"Teen",F1504&lt;=35,"Adult",F1504&lt;=55,"Seniour Adult",F1504&gt;=55,"Old Age")</f>
        <v>Seniour Adult</v>
      </c>
      <c r="H1504" t="s">
        <v>69</v>
      </c>
      <c r="I1504" t="s">
        <v>28</v>
      </c>
      <c r="J1504" t="str" cm="1">
        <f t="array" ref="J1504">_xlfn.IFS(I1504="S","Southamptom",I1504="Q","Quentown",I1504="C","Cherbrug",I1504="B","Cabin")</f>
        <v>Cabin</v>
      </c>
      <c r="K1504" t="s">
        <v>15</v>
      </c>
      <c r="L1504" s="2">
        <v>33</v>
      </c>
      <c r="M1504" s="2" t="str" cm="1">
        <f t="array" ref="M1504">_xlfn.IFS(L1504&lt;=15,"Low Fare",L1504&lt;=35,"Medium Fare",L1504&lt;=100,"High Fare",L1504&gt;=100,"Very High Fare")</f>
        <v>Medium Fare</v>
      </c>
      <c r="N1504" s="2">
        <v>1</v>
      </c>
      <c r="O1504" s="2" t="s">
        <v>30</v>
      </c>
      <c r="P1504" t="e">
        <f t="shared" si="93"/>
        <v>#VALUE!</v>
      </c>
      <c r="Q1504" t="e">
        <f t="shared" si="94"/>
        <v>#VALUE!</v>
      </c>
      <c r="R1504" t="str">
        <f t="shared" si="95"/>
        <v>Yes</v>
      </c>
      <c r="S1504" t="s">
        <v>16</v>
      </c>
    </row>
    <row r="1505" spans="1:19" hidden="1" x14ac:dyDescent="0.3">
      <c r="A1505" s="1" t="s">
        <v>1104</v>
      </c>
      <c r="B1505" t="s">
        <v>1596</v>
      </c>
      <c r="C1505" t="s">
        <v>2821</v>
      </c>
      <c r="D1505" t="str">
        <f t="shared" si="92"/>
        <v>Male</v>
      </c>
      <c r="E1505" t="s">
        <v>9</v>
      </c>
      <c r="F1505" s="2">
        <v>45</v>
      </c>
      <c r="G1505" s="2" t="str" cm="1">
        <f t="array" ref="G1505">_xlfn.IFS(F1505&lt;=8,"Child",F1505&lt;=17,"Teen",F1505&lt;=35,"Adult",F1505&lt;=55,"Seniour Adult",F1505&gt;=55,"Old Age")</f>
        <v>Seniour Adult</v>
      </c>
      <c r="H1505" t="s">
        <v>51</v>
      </c>
      <c r="I1505" t="s">
        <v>28</v>
      </c>
      <c r="J1505" t="str" cm="1">
        <f t="array" ref="J1505">_xlfn.IFS(I1505="S","Southamptom",I1505="Q","Quentown",I1505="C","Cherbrug",I1505="B","Cabin")</f>
        <v>Cabin</v>
      </c>
      <c r="K1505" t="s">
        <v>15</v>
      </c>
      <c r="L1505" s="2">
        <v>33</v>
      </c>
      <c r="M1505" s="2" t="str" cm="1">
        <f t="array" ref="M1505">_xlfn.IFS(L1505&lt;=15,"Low Fare",L1505&lt;=35,"Medium Fare",L1505&lt;=100,"High Fare",L1505&gt;=100,"Very High Fare")</f>
        <v>Medium Fare</v>
      </c>
      <c r="N1505" s="2">
        <v>1</v>
      </c>
      <c r="O1505" s="2" t="s">
        <v>30</v>
      </c>
      <c r="P1505" t="e">
        <f t="shared" si="93"/>
        <v>#VALUE!</v>
      </c>
      <c r="Q1505" t="e">
        <f t="shared" si="94"/>
        <v>#VALUE!</v>
      </c>
      <c r="R1505" t="str">
        <f t="shared" si="95"/>
        <v>No</v>
      </c>
      <c r="S1505" t="s">
        <v>13</v>
      </c>
    </row>
    <row r="1506" spans="1:19" hidden="1" x14ac:dyDescent="0.3">
      <c r="A1506" s="1" t="s">
        <v>1105</v>
      </c>
      <c r="B1506" t="s">
        <v>1596</v>
      </c>
      <c r="C1506" t="s">
        <v>1965</v>
      </c>
      <c r="D1506" t="str">
        <f t="shared" si="92"/>
        <v>Male</v>
      </c>
      <c r="E1506" t="s">
        <v>9</v>
      </c>
      <c r="F1506" s="2">
        <v>21</v>
      </c>
      <c r="G1506" s="2" t="str" cm="1">
        <f t="array" ref="G1506">_xlfn.IFS(F1506&lt;=8,"Child",F1506&lt;=17,"Teen",F1506&lt;=35,"Adult",F1506&lt;=55,"Seniour Adult",F1506&gt;=55,"Old Age")</f>
        <v>Adult</v>
      </c>
      <c r="H1506" t="s">
        <v>51</v>
      </c>
      <c r="I1506" t="s">
        <v>11</v>
      </c>
      <c r="J1506" t="str" cm="1">
        <f t="array" ref="J1506">_xlfn.IFS(I1506="S","Southamptom",I1506="Q","Quentown",I1506="C","Cherbrug",I1506="B","Cabin")</f>
        <v>Southamptom</v>
      </c>
      <c r="K1506" t="s">
        <v>15</v>
      </c>
      <c r="L1506" s="2">
        <v>33</v>
      </c>
      <c r="M1506" s="2" t="str" cm="1">
        <f t="array" ref="M1506">_xlfn.IFS(L1506&lt;=15,"Low Fare",L1506&lt;=35,"Medium Fare",L1506&lt;=100,"High Fare",L1506&gt;=100,"Very High Fare")</f>
        <v>Medium Fare</v>
      </c>
      <c r="N1506" s="2">
        <v>1</v>
      </c>
      <c r="O1506" s="2" t="s">
        <v>30</v>
      </c>
      <c r="P1506" t="e">
        <f t="shared" si="93"/>
        <v>#VALUE!</v>
      </c>
      <c r="Q1506" t="e">
        <f t="shared" si="94"/>
        <v>#VALUE!</v>
      </c>
      <c r="R1506" t="str">
        <f t="shared" si="95"/>
        <v>Yes</v>
      </c>
      <c r="S1506" t="s">
        <v>16</v>
      </c>
    </row>
    <row r="1507" spans="1:19" hidden="1" x14ac:dyDescent="0.3">
      <c r="A1507" s="1" t="s">
        <v>1106</v>
      </c>
      <c r="B1507" t="s">
        <v>1596</v>
      </c>
      <c r="C1507" t="s">
        <v>1619</v>
      </c>
      <c r="D1507" t="str">
        <f t="shared" si="92"/>
        <v>Male</v>
      </c>
      <c r="E1507" t="s">
        <v>9</v>
      </c>
      <c r="F1507" s="2">
        <v>33</v>
      </c>
      <c r="G1507" s="2" t="str" cm="1">
        <f t="array" ref="G1507">_xlfn.IFS(F1507&lt;=8,"Child",F1507&lt;=17,"Teen",F1507&lt;=35,"Adult",F1507&lt;=55,"Seniour Adult",F1507&gt;=55,"Old Age")</f>
        <v>Adult</v>
      </c>
      <c r="H1507" t="s">
        <v>69</v>
      </c>
      <c r="I1507" t="s">
        <v>11</v>
      </c>
      <c r="J1507" t="str" cm="1">
        <f t="array" ref="J1507">_xlfn.IFS(I1507="S","Southamptom",I1507="Q","Quentown",I1507="C","Cherbrug",I1507="B","Cabin")</f>
        <v>Southamptom</v>
      </c>
      <c r="K1507" t="s">
        <v>15</v>
      </c>
      <c r="L1507" s="2">
        <v>33</v>
      </c>
      <c r="M1507" s="2" t="str" cm="1">
        <f t="array" ref="M1507">_xlfn.IFS(L1507&lt;=15,"Low Fare",L1507&lt;=35,"Medium Fare",L1507&lt;=100,"High Fare",L1507&gt;=100,"Very High Fare")</f>
        <v>Medium Fare</v>
      </c>
      <c r="N1507" s="2">
        <v>1</v>
      </c>
      <c r="O1507" s="2" t="s">
        <v>30</v>
      </c>
      <c r="P1507" t="e">
        <f t="shared" si="93"/>
        <v>#VALUE!</v>
      </c>
      <c r="Q1507" t="e">
        <f t="shared" si="94"/>
        <v>#VALUE!</v>
      </c>
      <c r="R1507" t="str">
        <f t="shared" si="95"/>
        <v>No</v>
      </c>
      <c r="S1507" t="s">
        <v>13</v>
      </c>
    </row>
    <row r="1508" spans="1:19" hidden="1" x14ac:dyDescent="0.3">
      <c r="A1508" s="1" t="s">
        <v>1107</v>
      </c>
      <c r="B1508" t="s">
        <v>1596</v>
      </c>
      <c r="C1508" t="s">
        <v>2822</v>
      </c>
      <c r="D1508" t="str">
        <f t="shared" si="92"/>
        <v>Male</v>
      </c>
      <c r="E1508" t="s">
        <v>9</v>
      </c>
      <c r="F1508" s="2">
        <v>39</v>
      </c>
      <c r="G1508" s="2" t="str" cm="1">
        <f t="array" ref="G1508">_xlfn.IFS(F1508&lt;=8,"Child",F1508&lt;=17,"Teen",F1508&lt;=35,"Adult",F1508&lt;=55,"Seniour Adult",F1508&gt;=55,"Old Age")</f>
        <v>Seniour Adult</v>
      </c>
      <c r="H1508" t="s">
        <v>69</v>
      </c>
      <c r="I1508" t="s">
        <v>28</v>
      </c>
      <c r="J1508" t="str" cm="1">
        <f t="array" ref="J1508">_xlfn.IFS(I1508="S","Southamptom",I1508="Q","Quentown",I1508="C","Cherbrug",I1508="B","Cabin")</f>
        <v>Cabin</v>
      </c>
      <c r="K1508" t="s">
        <v>15</v>
      </c>
      <c r="L1508" s="2">
        <v>33</v>
      </c>
      <c r="M1508" s="2" t="str" cm="1">
        <f t="array" ref="M1508">_xlfn.IFS(L1508&lt;=15,"Low Fare",L1508&lt;=35,"Medium Fare",L1508&lt;=100,"High Fare",L1508&gt;=100,"Very High Fare")</f>
        <v>Medium Fare</v>
      </c>
      <c r="N1508" s="2">
        <v>1</v>
      </c>
      <c r="O1508" s="2" t="s">
        <v>30</v>
      </c>
      <c r="P1508" t="e">
        <f t="shared" si="93"/>
        <v>#VALUE!</v>
      </c>
      <c r="Q1508" t="e">
        <f t="shared" si="94"/>
        <v>#VALUE!</v>
      </c>
      <c r="R1508" t="str">
        <f t="shared" si="95"/>
        <v>No</v>
      </c>
      <c r="S1508" t="s">
        <v>13</v>
      </c>
    </row>
    <row r="1509" spans="1:19" hidden="1" x14ac:dyDescent="0.3">
      <c r="A1509" s="1" t="s">
        <v>1108</v>
      </c>
      <c r="B1509" t="s">
        <v>1596</v>
      </c>
      <c r="C1509" t="s">
        <v>2823</v>
      </c>
      <c r="D1509" t="str">
        <f t="shared" si="92"/>
        <v>Male</v>
      </c>
      <c r="E1509" t="s">
        <v>9</v>
      </c>
      <c r="F1509" s="2">
        <v>45</v>
      </c>
      <c r="G1509" s="2" t="str" cm="1">
        <f t="array" ref="G1509">_xlfn.IFS(F1509&lt;=8,"Child",F1509&lt;=17,"Teen",F1509&lt;=35,"Adult",F1509&lt;=55,"Seniour Adult",F1509&gt;=55,"Old Age")</f>
        <v>Seniour Adult</v>
      </c>
      <c r="H1509" t="s">
        <v>69</v>
      </c>
      <c r="I1509" t="s">
        <v>11</v>
      </c>
      <c r="J1509" t="str" cm="1">
        <f t="array" ref="J1509">_xlfn.IFS(I1509="S","Southamptom",I1509="Q","Quentown",I1509="C","Cherbrug",I1509="B","Cabin")</f>
        <v>Southamptom</v>
      </c>
      <c r="K1509" t="s">
        <v>15</v>
      </c>
      <c r="L1509" s="2">
        <v>33</v>
      </c>
      <c r="M1509" s="2" t="str" cm="1">
        <f t="array" ref="M1509">_xlfn.IFS(L1509&lt;=15,"Low Fare",L1509&lt;=35,"Medium Fare",L1509&lt;=100,"High Fare",L1509&gt;=100,"Very High Fare")</f>
        <v>Medium Fare</v>
      </c>
      <c r="N1509" s="2">
        <v>1</v>
      </c>
      <c r="O1509" s="2" t="s">
        <v>30</v>
      </c>
      <c r="P1509" t="e">
        <f t="shared" si="93"/>
        <v>#VALUE!</v>
      </c>
      <c r="Q1509" t="e">
        <f t="shared" si="94"/>
        <v>#VALUE!</v>
      </c>
      <c r="R1509" t="str">
        <f t="shared" si="95"/>
        <v>No</v>
      </c>
      <c r="S1509" t="s">
        <v>13</v>
      </c>
    </row>
    <row r="1510" spans="1:19" hidden="1" x14ac:dyDescent="0.3">
      <c r="A1510" s="1" t="s">
        <v>1109</v>
      </c>
      <c r="B1510" t="s">
        <v>1596</v>
      </c>
      <c r="C1510" t="s">
        <v>1754</v>
      </c>
      <c r="D1510" t="str">
        <f t="shared" si="92"/>
        <v>Male</v>
      </c>
      <c r="E1510" t="s">
        <v>9</v>
      </c>
      <c r="F1510" s="2">
        <v>44</v>
      </c>
      <c r="G1510" s="2" t="str" cm="1">
        <f t="array" ref="G1510">_xlfn.IFS(F1510&lt;=8,"Child",F1510&lt;=17,"Teen",F1510&lt;=35,"Adult",F1510&lt;=55,"Seniour Adult",F1510&gt;=55,"Old Age")</f>
        <v>Seniour Adult</v>
      </c>
      <c r="H1510" t="s">
        <v>51</v>
      </c>
      <c r="I1510" t="s">
        <v>11</v>
      </c>
      <c r="J1510" t="str" cm="1">
        <f t="array" ref="J1510">_xlfn.IFS(I1510="S","Southamptom",I1510="Q","Quentown",I1510="C","Cherbrug",I1510="B","Cabin")</f>
        <v>Southamptom</v>
      </c>
      <c r="K1510" t="s">
        <v>15</v>
      </c>
      <c r="L1510" s="2">
        <v>33</v>
      </c>
      <c r="M1510" s="2" t="str" cm="1">
        <f t="array" ref="M1510">_xlfn.IFS(L1510&lt;=15,"Low Fare",L1510&lt;=35,"Medium Fare",L1510&lt;=100,"High Fare",L1510&gt;=100,"Very High Fare")</f>
        <v>Medium Fare</v>
      </c>
      <c r="N1510" s="2">
        <v>1</v>
      </c>
      <c r="O1510" s="2" t="s">
        <v>30</v>
      </c>
      <c r="P1510" t="e">
        <f t="shared" si="93"/>
        <v>#VALUE!</v>
      </c>
      <c r="Q1510" t="e">
        <f t="shared" si="94"/>
        <v>#VALUE!</v>
      </c>
      <c r="R1510" t="str">
        <f t="shared" si="95"/>
        <v>No</v>
      </c>
      <c r="S1510" t="s">
        <v>13</v>
      </c>
    </row>
    <row r="1511" spans="1:19" hidden="1" x14ac:dyDescent="0.3">
      <c r="A1511" s="1" t="s">
        <v>1110</v>
      </c>
      <c r="B1511" t="s">
        <v>2719</v>
      </c>
      <c r="C1511" t="s">
        <v>1968</v>
      </c>
      <c r="D1511" t="str">
        <f t="shared" si="92"/>
        <v>Male</v>
      </c>
      <c r="E1511" t="s">
        <v>9</v>
      </c>
      <c r="F1511" s="2">
        <v>17</v>
      </c>
      <c r="G1511" s="2" t="str" cm="1">
        <f t="array" ref="G1511">_xlfn.IFS(F1511&lt;=8,"Child",F1511&lt;=17,"Teen",F1511&lt;=35,"Adult",F1511&lt;=55,"Seniour Adult",F1511&gt;=55,"Old Age")</f>
        <v>Teen</v>
      </c>
      <c r="H1511" t="s">
        <v>70</v>
      </c>
      <c r="I1511" t="s">
        <v>11</v>
      </c>
      <c r="J1511" t="str" cm="1">
        <f t="array" ref="J1511">_xlfn.IFS(I1511="S","Southamptom",I1511="Q","Quentown",I1511="C","Cherbrug",I1511="B","Cabin")</f>
        <v>Southamptom</v>
      </c>
      <c r="K1511" t="s">
        <v>15</v>
      </c>
      <c r="L1511" s="2">
        <v>33</v>
      </c>
      <c r="M1511" s="2" t="str" cm="1">
        <f t="array" ref="M1511">_xlfn.IFS(L1511&lt;=15,"Low Fare",L1511&lt;=35,"Medium Fare",L1511&lt;=100,"High Fare",L1511&gt;=100,"Very High Fare")</f>
        <v>Medium Fare</v>
      </c>
      <c r="N1511" s="2">
        <v>1</v>
      </c>
      <c r="O1511" s="2" t="s">
        <v>30</v>
      </c>
      <c r="P1511" t="e">
        <f t="shared" si="93"/>
        <v>#VALUE!</v>
      </c>
      <c r="Q1511" t="e">
        <f t="shared" si="94"/>
        <v>#VALUE!</v>
      </c>
      <c r="R1511" t="str">
        <f t="shared" si="95"/>
        <v>No</v>
      </c>
      <c r="S1511" t="s">
        <v>13</v>
      </c>
    </row>
    <row r="1512" spans="1:19" hidden="1" x14ac:dyDescent="0.3">
      <c r="A1512" s="1" t="s">
        <v>1111</v>
      </c>
      <c r="B1512" t="s">
        <v>1596</v>
      </c>
      <c r="C1512" t="s">
        <v>2603</v>
      </c>
      <c r="D1512" t="str">
        <f t="shared" si="92"/>
        <v>Male</v>
      </c>
      <c r="E1512" t="s">
        <v>9</v>
      </c>
      <c r="F1512" s="2">
        <v>30</v>
      </c>
      <c r="G1512" s="2" t="str" cm="1">
        <f t="array" ref="G1512">_xlfn.IFS(F1512&lt;=8,"Child",F1512&lt;=17,"Teen",F1512&lt;=35,"Adult",F1512&lt;=55,"Seniour Adult",F1512&gt;=55,"Old Age")</f>
        <v>Adult</v>
      </c>
      <c r="H1512" t="s">
        <v>69</v>
      </c>
      <c r="I1512" t="s">
        <v>11</v>
      </c>
      <c r="J1512" t="str" cm="1">
        <f t="array" ref="J1512">_xlfn.IFS(I1512="S","Southamptom",I1512="Q","Quentown",I1512="C","Cherbrug",I1512="B","Cabin")</f>
        <v>Southamptom</v>
      </c>
      <c r="K1512" t="s">
        <v>15</v>
      </c>
      <c r="L1512" s="2">
        <v>33</v>
      </c>
      <c r="M1512" s="2" t="str" cm="1">
        <f t="array" ref="M1512">_xlfn.IFS(L1512&lt;=15,"Low Fare",L1512&lt;=35,"Medium Fare",L1512&lt;=100,"High Fare",L1512&gt;=100,"Very High Fare")</f>
        <v>Medium Fare</v>
      </c>
      <c r="N1512" s="2">
        <v>1</v>
      </c>
      <c r="O1512" s="2" t="s">
        <v>30</v>
      </c>
      <c r="P1512" t="e">
        <f t="shared" si="93"/>
        <v>#VALUE!</v>
      </c>
      <c r="Q1512" t="e">
        <f t="shared" si="94"/>
        <v>#VALUE!</v>
      </c>
      <c r="R1512" t="str">
        <f t="shared" si="95"/>
        <v>Yes</v>
      </c>
      <c r="S1512" t="s">
        <v>16</v>
      </c>
    </row>
    <row r="1513" spans="1:19" hidden="1" x14ac:dyDescent="0.3">
      <c r="A1513" s="1" t="s">
        <v>1112</v>
      </c>
      <c r="B1513" t="s">
        <v>1596</v>
      </c>
      <c r="C1513" t="s">
        <v>2824</v>
      </c>
      <c r="D1513" t="str">
        <f t="shared" si="92"/>
        <v>Male</v>
      </c>
      <c r="E1513" t="s">
        <v>9</v>
      </c>
      <c r="F1513" s="2">
        <v>35</v>
      </c>
      <c r="G1513" s="2" t="str" cm="1">
        <f t="array" ref="G1513">_xlfn.IFS(F1513&lt;=8,"Child",F1513&lt;=17,"Teen",F1513&lt;=35,"Adult",F1513&lt;=55,"Seniour Adult",F1513&gt;=55,"Old Age")</f>
        <v>Adult</v>
      </c>
      <c r="H1513" t="s">
        <v>69</v>
      </c>
      <c r="I1513" t="s">
        <v>28</v>
      </c>
      <c r="J1513" t="str" cm="1">
        <f t="array" ref="J1513">_xlfn.IFS(I1513="S","Southamptom",I1513="Q","Quentown",I1513="C","Cherbrug",I1513="B","Cabin")</f>
        <v>Cabin</v>
      </c>
      <c r="K1513" t="s">
        <v>15</v>
      </c>
      <c r="L1513" s="2">
        <v>33</v>
      </c>
      <c r="M1513" s="2" t="str" cm="1">
        <f t="array" ref="M1513">_xlfn.IFS(L1513&lt;=15,"Low Fare",L1513&lt;=35,"Medium Fare",L1513&lt;=100,"High Fare",L1513&gt;=100,"Very High Fare")</f>
        <v>Medium Fare</v>
      </c>
      <c r="N1513" s="2">
        <v>1</v>
      </c>
      <c r="O1513" s="2" t="s">
        <v>30</v>
      </c>
      <c r="P1513" t="e">
        <f t="shared" si="93"/>
        <v>#VALUE!</v>
      </c>
      <c r="Q1513" t="e">
        <f t="shared" si="94"/>
        <v>#VALUE!</v>
      </c>
      <c r="R1513" t="str">
        <f t="shared" si="95"/>
        <v>No</v>
      </c>
      <c r="S1513" t="s">
        <v>13</v>
      </c>
    </row>
    <row r="1514" spans="1:19" hidden="1" x14ac:dyDescent="0.3">
      <c r="A1514" s="1" t="s">
        <v>1113</v>
      </c>
      <c r="B1514" t="s">
        <v>1596</v>
      </c>
      <c r="C1514" t="s">
        <v>2825</v>
      </c>
      <c r="D1514" t="str">
        <f t="shared" si="92"/>
        <v>Male</v>
      </c>
      <c r="E1514" t="s">
        <v>9</v>
      </c>
      <c r="F1514" s="2">
        <v>49</v>
      </c>
      <c r="G1514" s="2" t="str" cm="1">
        <f t="array" ref="G1514">_xlfn.IFS(F1514&lt;=8,"Child",F1514&lt;=17,"Teen",F1514&lt;=35,"Adult",F1514&lt;=55,"Seniour Adult",F1514&gt;=55,"Old Age")</f>
        <v>Seniour Adult</v>
      </c>
      <c r="H1514" t="s">
        <v>69</v>
      </c>
      <c r="I1514" t="s">
        <v>28</v>
      </c>
      <c r="J1514" t="str" cm="1">
        <f t="array" ref="J1514">_xlfn.IFS(I1514="S","Southamptom",I1514="Q","Quentown",I1514="C","Cherbrug",I1514="B","Cabin")</f>
        <v>Cabin</v>
      </c>
      <c r="K1514" t="s">
        <v>15</v>
      </c>
      <c r="L1514" s="2">
        <v>33</v>
      </c>
      <c r="M1514" s="2" t="str" cm="1">
        <f t="array" ref="M1514">_xlfn.IFS(L1514&lt;=15,"Low Fare",L1514&lt;=35,"Medium Fare",L1514&lt;=100,"High Fare",L1514&gt;=100,"Very High Fare")</f>
        <v>Medium Fare</v>
      </c>
      <c r="N1514" s="2">
        <v>1</v>
      </c>
      <c r="O1514" s="2" t="s">
        <v>30</v>
      </c>
      <c r="P1514" t="e">
        <f t="shared" si="93"/>
        <v>#VALUE!</v>
      </c>
      <c r="Q1514" t="e">
        <f t="shared" si="94"/>
        <v>#VALUE!</v>
      </c>
      <c r="R1514" t="str">
        <f t="shared" si="95"/>
        <v>Yes</v>
      </c>
      <c r="S1514" t="s">
        <v>16</v>
      </c>
    </row>
    <row r="1515" spans="1:19" hidden="1" x14ac:dyDescent="0.3">
      <c r="A1515" s="1" t="s">
        <v>263</v>
      </c>
      <c r="B1515" t="s">
        <v>1596</v>
      </c>
      <c r="C1515" t="s">
        <v>2826</v>
      </c>
      <c r="D1515" t="str">
        <f t="shared" si="92"/>
        <v>Male</v>
      </c>
      <c r="E1515" t="s">
        <v>9</v>
      </c>
      <c r="F1515" s="2">
        <v>38</v>
      </c>
      <c r="G1515" s="2" t="str" cm="1">
        <f t="array" ref="G1515">_xlfn.IFS(F1515&lt;=8,"Child",F1515&lt;=17,"Teen",F1515&lt;=35,"Adult",F1515&lt;=55,"Seniour Adult",F1515&gt;=55,"Old Age")</f>
        <v>Seniour Adult</v>
      </c>
      <c r="H1515" t="s">
        <v>69</v>
      </c>
      <c r="I1515" t="s">
        <v>28</v>
      </c>
      <c r="J1515" t="str" cm="1">
        <f t="array" ref="J1515">_xlfn.IFS(I1515="S","Southamptom",I1515="Q","Quentown",I1515="C","Cherbrug",I1515="B","Cabin")</f>
        <v>Cabin</v>
      </c>
      <c r="K1515" t="s">
        <v>43</v>
      </c>
      <c r="L1515" s="2">
        <v>33</v>
      </c>
      <c r="M1515" s="2" t="str" cm="1">
        <f t="array" ref="M1515">_xlfn.IFS(L1515&lt;=15,"Low Fare",L1515&lt;=35,"Medium Fare",L1515&lt;=100,"High Fare",L1515&gt;=100,"Very High Fare")</f>
        <v>Medium Fare</v>
      </c>
      <c r="N1515" s="2">
        <v>1</v>
      </c>
      <c r="O1515" s="2" t="s">
        <v>30</v>
      </c>
      <c r="P1515" t="e">
        <f t="shared" si="93"/>
        <v>#VALUE!</v>
      </c>
      <c r="Q1515" t="e">
        <f t="shared" si="94"/>
        <v>#VALUE!</v>
      </c>
      <c r="R1515" t="str">
        <f t="shared" si="95"/>
        <v>Yes</v>
      </c>
      <c r="S1515" t="s">
        <v>16</v>
      </c>
    </row>
    <row r="1516" spans="1:19" hidden="1" x14ac:dyDescent="0.3">
      <c r="A1516" s="1" t="s">
        <v>263</v>
      </c>
      <c r="B1516" t="s">
        <v>1596</v>
      </c>
      <c r="C1516" t="s">
        <v>2296</v>
      </c>
      <c r="D1516" t="str">
        <f t="shared" si="92"/>
        <v>Male</v>
      </c>
      <c r="E1516" t="s">
        <v>9</v>
      </c>
      <c r="F1516" s="2">
        <v>35</v>
      </c>
      <c r="G1516" s="2" t="str" cm="1">
        <f t="array" ref="G1516">_xlfn.IFS(F1516&lt;=8,"Child",F1516&lt;=17,"Teen",F1516&lt;=35,"Adult",F1516&lt;=55,"Seniour Adult",F1516&gt;=55,"Old Age")</f>
        <v>Adult</v>
      </c>
      <c r="H1516" t="s">
        <v>51</v>
      </c>
      <c r="I1516" t="s">
        <v>11</v>
      </c>
      <c r="J1516" t="str" cm="1">
        <f t="array" ref="J1516">_xlfn.IFS(I1516="S","Southamptom",I1516="Q","Quentown",I1516="C","Cherbrug",I1516="B","Cabin")</f>
        <v>Southamptom</v>
      </c>
      <c r="K1516" t="s">
        <v>15</v>
      </c>
      <c r="L1516" s="2">
        <v>33</v>
      </c>
      <c r="M1516" s="2" t="str" cm="1">
        <f t="array" ref="M1516">_xlfn.IFS(L1516&lt;=15,"Low Fare",L1516&lt;=35,"Medium Fare",L1516&lt;=100,"High Fare",L1516&gt;=100,"Very High Fare")</f>
        <v>Medium Fare</v>
      </c>
      <c r="N1516" s="2">
        <v>1</v>
      </c>
      <c r="O1516" s="2" t="s">
        <v>30</v>
      </c>
      <c r="P1516" t="e">
        <f t="shared" si="93"/>
        <v>#VALUE!</v>
      </c>
      <c r="Q1516" t="e">
        <f t="shared" si="94"/>
        <v>#VALUE!</v>
      </c>
      <c r="R1516" t="str">
        <f t="shared" si="95"/>
        <v>No</v>
      </c>
      <c r="S1516" t="s">
        <v>13</v>
      </c>
    </row>
    <row r="1517" spans="1:19" hidden="1" x14ac:dyDescent="0.3">
      <c r="A1517" s="1" t="s">
        <v>1114</v>
      </c>
      <c r="B1517" t="s">
        <v>1596</v>
      </c>
      <c r="C1517" t="s">
        <v>1976</v>
      </c>
      <c r="D1517" t="str">
        <f t="shared" si="92"/>
        <v>Male</v>
      </c>
      <c r="E1517" t="s">
        <v>9</v>
      </c>
      <c r="F1517" s="2">
        <v>26</v>
      </c>
      <c r="G1517" s="2" t="str" cm="1">
        <f t="array" ref="G1517">_xlfn.IFS(F1517&lt;=8,"Child",F1517&lt;=17,"Teen",F1517&lt;=35,"Adult",F1517&lt;=55,"Seniour Adult",F1517&gt;=55,"Old Age")</f>
        <v>Adult</v>
      </c>
      <c r="H1517" t="s">
        <v>51</v>
      </c>
      <c r="I1517" t="s">
        <v>11</v>
      </c>
      <c r="J1517" t="str" cm="1">
        <f t="array" ref="J1517">_xlfn.IFS(I1517="S","Southamptom",I1517="Q","Quentown",I1517="C","Cherbrug",I1517="B","Cabin")</f>
        <v>Southamptom</v>
      </c>
      <c r="K1517" t="s">
        <v>15</v>
      </c>
      <c r="L1517" s="2">
        <v>33</v>
      </c>
      <c r="M1517" s="2" t="str" cm="1">
        <f t="array" ref="M1517">_xlfn.IFS(L1517&lt;=15,"Low Fare",L1517&lt;=35,"Medium Fare",L1517&lt;=100,"High Fare",L1517&gt;=100,"Very High Fare")</f>
        <v>Medium Fare</v>
      </c>
      <c r="N1517" s="2">
        <v>1</v>
      </c>
      <c r="O1517" s="2" t="s">
        <v>30</v>
      </c>
      <c r="P1517" t="e">
        <f t="shared" si="93"/>
        <v>#VALUE!</v>
      </c>
      <c r="Q1517" t="e">
        <f t="shared" si="94"/>
        <v>#VALUE!</v>
      </c>
      <c r="R1517" t="str">
        <f t="shared" si="95"/>
        <v>No</v>
      </c>
      <c r="S1517" t="s">
        <v>13</v>
      </c>
    </row>
    <row r="1518" spans="1:19" hidden="1" x14ac:dyDescent="0.3">
      <c r="A1518" s="1" t="s">
        <v>271</v>
      </c>
      <c r="B1518" t="s">
        <v>1596</v>
      </c>
      <c r="C1518" t="s">
        <v>2827</v>
      </c>
      <c r="D1518" t="str">
        <f t="shared" si="92"/>
        <v>Male</v>
      </c>
      <c r="E1518" t="s">
        <v>9</v>
      </c>
      <c r="F1518" s="2">
        <v>18</v>
      </c>
      <c r="G1518" s="2" t="str" cm="1">
        <f t="array" ref="G1518">_xlfn.IFS(F1518&lt;=8,"Child",F1518&lt;=17,"Teen",F1518&lt;=35,"Adult",F1518&lt;=55,"Seniour Adult",F1518&gt;=55,"Old Age")</f>
        <v>Adult</v>
      </c>
      <c r="H1518" t="s">
        <v>69</v>
      </c>
      <c r="I1518" t="s">
        <v>11</v>
      </c>
      <c r="J1518" t="str" cm="1">
        <f t="array" ref="J1518">_xlfn.IFS(I1518="S","Southamptom",I1518="Q","Quentown",I1518="C","Cherbrug",I1518="B","Cabin")</f>
        <v>Southamptom</v>
      </c>
      <c r="K1518" t="s">
        <v>15</v>
      </c>
      <c r="L1518" s="2">
        <v>33</v>
      </c>
      <c r="M1518" s="2" t="str" cm="1">
        <f t="array" ref="M1518">_xlfn.IFS(L1518&lt;=15,"Low Fare",L1518&lt;=35,"Medium Fare",L1518&lt;=100,"High Fare",L1518&gt;=100,"Very High Fare")</f>
        <v>Medium Fare</v>
      </c>
      <c r="N1518" s="2">
        <v>1</v>
      </c>
      <c r="O1518" s="2" t="s">
        <v>30</v>
      </c>
      <c r="P1518" t="e">
        <f t="shared" si="93"/>
        <v>#VALUE!</v>
      </c>
      <c r="Q1518" t="e">
        <f t="shared" si="94"/>
        <v>#VALUE!</v>
      </c>
      <c r="R1518" t="str">
        <f t="shared" si="95"/>
        <v>Yes</v>
      </c>
      <c r="S1518" t="s">
        <v>16</v>
      </c>
    </row>
    <row r="1519" spans="1:19" hidden="1" x14ac:dyDescent="0.3">
      <c r="A1519" s="1" t="s">
        <v>1115</v>
      </c>
      <c r="B1519" t="s">
        <v>1596</v>
      </c>
      <c r="C1519" t="s">
        <v>2828</v>
      </c>
      <c r="D1519" t="str">
        <f t="shared" si="92"/>
        <v>Male</v>
      </c>
      <c r="E1519" t="s">
        <v>9</v>
      </c>
      <c r="F1519" s="2">
        <v>18</v>
      </c>
      <c r="G1519" s="2" t="str" cm="1">
        <f t="array" ref="G1519">_xlfn.IFS(F1519&lt;=8,"Child",F1519&lt;=17,"Teen",F1519&lt;=35,"Adult",F1519&lt;=55,"Seniour Adult",F1519&gt;=55,"Old Age")</f>
        <v>Adult</v>
      </c>
      <c r="H1519" t="s">
        <v>69</v>
      </c>
      <c r="I1519" t="s">
        <v>11</v>
      </c>
      <c r="J1519" t="str" cm="1">
        <f t="array" ref="J1519">_xlfn.IFS(I1519="S","Southamptom",I1519="Q","Quentown",I1519="C","Cherbrug",I1519="B","Cabin")</f>
        <v>Southamptom</v>
      </c>
      <c r="K1519" t="s">
        <v>15</v>
      </c>
      <c r="L1519" s="2">
        <v>33</v>
      </c>
      <c r="M1519" s="2" t="str" cm="1">
        <f t="array" ref="M1519">_xlfn.IFS(L1519&lt;=15,"Low Fare",L1519&lt;=35,"Medium Fare",L1519&lt;=100,"High Fare",L1519&gt;=100,"Very High Fare")</f>
        <v>Medium Fare</v>
      </c>
      <c r="N1519" s="2">
        <v>1</v>
      </c>
      <c r="O1519" s="2" t="s">
        <v>30</v>
      </c>
      <c r="P1519" t="e">
        <f t="shared" si="93"/>
        <v>#VALUE!</v>
      </c>
      <c r="Q1519" t="e">
        <f t="shared" si="94"/>
        <v>#VALUE!</v>
      </c>
      <c r="R1519" t="str">
        <f t="shared" si="95"/>
        <v>No</v>
      </c>
      <c r="S1519" t="s">
        <v>13</v>
      </c>
    </row>
    <row r="1520" spans="1:19" hidden="1" x14ac:dyDescent="0.3">
      <c r="A1520" s="1" t="s">
        <v>274</v>
      </c>
      <c r="B1520" t="s">
        <v>1596</v>
      </c>
      <c r="C1520" t="s">
        <v>2829</v>
      </c>
      <c r="D1520" t="str">
        <f t="shared" si="92"/>
        <v>Male</v>
      </c>
      <c r="E1520" t="s">
        <v>9</v>
      </c>
      <c r="F1520" s="2">
        <v>32</v>
      </c>
      <c r="G1520" s="2" t="str" cm="1">
        <f t="array" ref="G1520">_xlfn.IFS(F1520&lt;=8,"Child",F1520&lt;=17,"Teen",F1520&lt;=35,"Adult",F1520&lt;=55,"Seniour Adult",F1520&gt;=55,"Old Age")</f>
        <v>Adult</v>
      </c>
      <c r="H1520" t="s">
        <v>69</v>
      </c>
      <c r="I1520" t="s">
        <v>28</v>
      </c>
      <c r="J1520" t="str" cm="1">
        <f t="array" ref="J1520">_xlfn.IFS(I1520="S","Southamptom",I1520="Q","Quentown",I1520="C","Cherbrug",I1520="B","Cabin")</f>
        <v>Cabin</v>
      </c>
      <c r="K1520" t="s">
        <v>15</v>
      </c>
      <c r="L1520" s="2">
        <v>33</v>
      </c>
      <c r="M1520" s="2" t="str" cm="1">
        <f t="array" ref="M1520">_xlfn.IFS(L1520&lt;=15,"Low Fare",L1520&lt;=35,"Medium Fare",L1520&lt;=100,"High Fare",L1520&gt;=100,"Very High Fare")</f>
        <v>Medium Fare</v>
      </c>
      <c r="N1520" s="2">
        <v>1</v>
      </c>
      <c r="O1520" s="2" t="s">
        <v>30</v>
      </c>
      <c r="P1520" t="e">
        <f t="shared" si="93"/>
        <v>#VALUE!</v>
      </c>
      <c r="Q1520" t="e">
        <f t="shared" si="94"/>
        <v>#VALUE!</v>
      </c>
      <c r="R1520" t="str">
        <f t="shared" si="95"/>
        <v>No</v>
      </c>
      <c r="S1520" t="s">
        <v>13</v>
      </c>
    </row>
    <row r="1521" spans="1:19" hidden="1" x14ac:dyDescent="0.3">
      <c r="A1521" s="1" t="s">
        <v>274</v>
      </c>
      <c r="B1521" t="s">
        <v>1596</v>
      </c>
      <c r="C1521" t="s">
        <v>2830</v>
      </c>
      <c r="D1521" t="str">
        <f t="shared" si="92"/>
        <v>Male</v>
      </c>
      <c r="E1521" t="s">
        <v>9</v>
      </c>
      <c r="F1521" s="2">
        <v>26</v>
      </c>
      <c r="G1521" s="2" t="str" cm="1">
        <f t="array" ref="G1521">_xlfn.IFS(F1521&lt;=8,"Child",F1521&lt;=17,"Teen",F1521&lt;=35,"Adult",F1521&lt;=55,"Seniour Adult",F1521&gt;=55,"Old Age")</f>
        <v>Adult</v>
      </c>
      <c r="H1521" t="s">
        <v>69</v>
      </c>
      <c r="I1521" t="s">
        <v>28</v>
      </c>
      <c r="J1521" t="str" cm="1">
        <f t="array" ref="J1521">_xlfn.IFS(I1521="S","Southamptom",I1521="Q","Quentown",I1521="C","Cherbrug",I1521="B","Cabin")</f>
        <v>Cabin</v>
      </c>
      <c r="K1521" t="s">
        <v>40</v>
      </c>
      <c r="L1521" s="2">
        <v>33</v>
      </c>
      <c r="M1521" s="2" t="str" cm="1">
        <f t="array" ref="M1521">_xlfn.IFS(L1521&lt;=15,"Low Fare",L1521&lt;=35,"Medium Fare",L1521&lt;=100,"High Fare",L1521&gt;=100,"Very High Fare")</f>
        <v>Medium Fare</v>
      </c>
      <c r="N1521" s="2">
        <v>1</v>
      </c>
      <c r="O1521" s="2" t="s">
        <v>30</v>
      </c>
      <c r="P1521" t="e">
        <f t="shared" si="93"/>
        <v>#VALUE!</v>
      </c>
      <c r="Q1521" t="e">
        <f t="shared" si="94"/>
        <v>#VALUE!</v>
      </c>
      <c r="R1521" t="str">
        <f t="shared" si="95"/>
        <v>No</v>
      </c>
      <c r="S1521" t="s">
        <v>13</v>
      </c>
    </row>
    <row r="1522" spans="1:19" hidden="1" x14ac:dyDescent="0.3">
      <c r="A1522" s="1" t="s">
        <v>274</v>
      </c>
      <c r="B1522" t="s">
        <v>1596</v>
      </c>
      <c r="C1522" t="s">
        <v>1645</v>
      </c>
      <c r="D1522" t="str">
        <f t="shared" si="92"/>
        <v>Male</v>
      </c>
      <c r="E1522" t="s">
        <v>9</v>
      </c>
      <c r="F1522" s="2">
        <v>33</v>
      </c>
      <c r="G1522" s="2" t="str" cm="1">
        <f t="array" ref="G1522">_xlfn.IFS(F1522&lt;=8,"Child",F1522&lt;=17,"Teen",F1522&lt;=35,"Adult",F1522&lt;=55,"Seniour Adult",F1522&gt;=55,"Old Age")</f>
        <v>Adult</v>
      </c>
      <c r="H1522" t="s">
        <v>51</v>
      </c>
      <c r="I1522" t="s">
        <v>11</v>
      </c>
      <c r="J1522" t="str" cm="1">
        <f t="array" ref="J1522">_xlfn.IFS(I1522="S","Southamptom",I1522="Q","Quentown",I1522="C","Cherbrug",I1522="B","Cabin")</f>
        <v>Southamptom</v>
      </c>
      <c r="K1522" t="s">
        <v>15</v>
      </c>
      <c r="L1522" s="2">
        <v>33</v>
      </c>
      <c r="M1522" s="2" t="str" cm="1">
        <f t="array" ref="M1522">_xlfn.IFS(L1522&lt;=15,"Low Fare",L1522&lt;=35,"Medium Fare",L1522&lt;=100,"High Fare",L1522&gt;=100,"Very High Fare")</f>
        <v>Medium Fare</v>
      </c>
      <c r="N1522" s="2">
        <v>1</v>
      </c>
      <c r="O1522" s="2" t="s">
        <v>30</v>
      </c>
      <c r="P1522" t="e">
        <f t="shared" si="93"/>
        <v>#VALUE!</v>
      </c>
      <c r="Q1522" t="e">
        <f t="shared" si="94"/>
        <v>#VALUE!</v>
      </c>
      <c r="R1522" t="str">
        <f t="shared" si="95"/>
        <v>No</v>
      </c>
      <c r="S1522" t="s">
        <v>13</v>
      </c>
    </row>
    <row r="1523" spans="1:19" hidden="1" x14ac:dyDescent="0.3">
      <c r="A1523" s="1" t="s">
        <v>275</v>
      </c>
      <c r="B1523" t="s">
        <v>1596</v>
      </c>
      <c r="C1523" t="s">
        <v>1610</v>
      </c>
      <c r="D1523" t="str">
        <f t="shared" si="92"/>
        <v>Male</v>
      </c>
      <c r="E1523" t="s">
        <v>9</v>
      </c>
      <c r="F1523" s="2">
        <v>29</v>
      </c>
      <c r="G1523" s="2" t="str" cm="1">
        <f t="array" ref="G1523">_xlfn.IFS(F1523&lt;=8,"Child",F1523&lt;=17,"Teen",F1523&lt;=35,"Adult",F1523&lt;=55,"Seniour Adult",F1523&gt;=55,"Old Age")</f>
        <v>Adult</v>
      </c>
      <c r="H1523" t="s">
        <v>69</v>
      </c>
      <c r="I1523" t="s">
        <v>28</v>
      </c>
      <c r="J1523" t="str" cm="1">
        <f t="array" ref="J1523">_xlfn.IFS(I1523="S","Southamptom",I1523="Q","Quentown",I1523="C","Cherbrug",I1523="B","Cabin")</f>
        <v>Cabin</v>
      </c>
      <c r="K1523" t="s">
        <v>15</v>
      </c>
      <c r="L1523" s="2">
        <v>33</v>
      </c>
      <c r="M1523" s="2" t="str" cm="1">
        <f t="array" ref="M1523">_xlfn.IFS(L1523&lt;=15,"Low Fare",L1523&lt;=35,"Medium Fare",L1523&lt;=100,"High Fare",L1523&gt;=100,"Very High Fare")</f>
        <v>Medium Fare</v>
      </c>
      <c r="N1523" s="2">
        <v>1</v>
      </c>
      <c r="O1523" s="2" t="s">
        <v>30</v>
      </c>
      <c r="P1523" t="e">
        <f t="shared" si="93"/>
        <v>#VALUE!</v>
      </c>
      <c r="Q1523" t="e">
        <f t="shared" si="94"/>
        <v>#VALUE!</v>
      </c>
      <c r="R1523" t="str">
        <f t="shared" si="95"/>
        <v>No</v>
      </c>
      <c r="S1523" t="s">
        <v>13</v>
      </c>
    </row>
    <row r="1524" spans="1:19" hidden="1" x14ac:dyDescent="0.3">
      <c r="A1524" s="1" t="s">
        <v>275</v>
      </c>
      <c r="B1524" t="s">
        <v>1596</v>
      </c>
      <c r="C1524" t="s">
        <v>2831</v>
      </c>
      <c r="D1524" t="str">
        <f t="shared" si="92"/>
        <v>Male</v>
      </c>
      <c r="E1524" t="s">
        <v>9</v>
      </c>
      <c r="F1524" s="2">
        <v>39</v>
      </c>
      <c r="G1524" s="2" t="str" cm="1">
        <f t="array" ref="G1524">_xlfn.IFS(F1524&lt;=8,"Child",F1524&lt;=17,"Teen",F1524&lt;=35,"Adult",F1524&lt;=55,"Seniour Adult",F1524&gt;=55,"Old Age")</f>
        <v>Seniour Adult</v>
      </c>
      <c r="H1524" t="s">
        <v>71</v>
      </c>
      <c r="I1524" t="s">
        <v>11</v>
      </c>
      <c r="J1524" t="str" cm="1">
        <f t="array" ref="J1524">_xlfn.IFS(I1524="S","Southamptom",I1524="Q","Quentown",I1524="C","Cherbrug",I1524="B","Cabin")</f>
        <v>Southamptom</v>
      </c>
      <c r="K1524" t="s">
        <v>15</v>
      </c>
      <c r="L1524" s="2">
        <v>33</v>
      </c>
      <c r="M1524" s="2" t="str" cm="1">
        <f t="array" ref="M1524">_xlfn.IFS(L1524&lt;=15,"Low Fare",L1524&lt;=35,"Medium Fare",L1524&lt;=100,"High Fare",L1524&gt;=100,"Very High Fare")</f>
        <v>Medium Fare</v>
      </c>
      <c r="N1524" s="2">
        <v>1</v>
      </c>
      <c r="O1524" s="2" t="s">
        <v>30</v>
      </c>
      <c r="P1524" t="e">
        <f t="shared" si="93"/>
        <v>#VALUE!</v>
      </c>
      <c r="Q1524" t="e">
        <f t="shared" si="94"/>
        <v>#VALUE!</v>
      </c>
      <c r="R1524" t="str">
        <f t="shared" si="95"/>
        <v>No</v>
      </c>
      <c r="S1524" t="s">
        <v>13</v>
      </c>
    </row>
    <row r="1525" spans="1:19" hidden="1" x14ac:dyDescent="0.3">
      <c r="A1525" s="1" t="s">
        <v>1116</v>
      </c>
      <c r="B1525" t="s">
        <v>1596</v>
      </c>
      <c r="C1525" t="s">
        <v>1795</v>
      </c>
      <c r="D1525" t="str">
        <f t="shared" si="92"/>
        <v>Male</v>
      </c>
      <c r="E1525" t="s">
        <v>9</v>
      </c>
      <c r="F1525" s="2">
        <v>23</v>
      </c>
      <c r="G1525" s="2" t="str" cm="1">
        <f t="array" ref="G1525">_xlfn.IFS(F1525&lt;=8,"Child",F1525&lt;=17,"Teen",F1525&lt;=35,"Adult",F1525&lt;=55,"Seniour Adult",F1525&gt;=55,"Old Age")</f>
        <v>Adult</v>
      </c>
      <c r="H1525" t="s">
        <v>51</v>
      </c>
      <c r="I1525" t="s">
        <v>11</v>
      </c>
      <c r="J1525" t="str" cm="1">
        <f t="array" ref="J1525">_xlfn.IFS(I1525="S","Southamptom",I1525="Q","Quentown",I1525="C","Cherbrug",I1525="B","Cabin")</f>
        <v>Southamptom</v>
      </c>
      <c r="K1525" t="s">
        <v>15</v>
      </c>
      <c r="L1525" s="2">
        <v>33</v>
      </c>
      <c r="M1525" s="2" t="str" cm="1">
        <f t="array" ref="M1525">_xlfn.IFS(L1525&lt;=15,"Low Fare",L1525&lt;=35,"Medium Fare",L1525&lt;=100,"High Fare",L1525&gt;=100,"Very High Fare")</f>
        <v>Medium Fare</v>
      </c>
      <c r="N1525" s="2">
        <v>1</v>
      </c>
      <c r="O1525" s="2" t="s">
        <v>30</v>
      </c>
      <c r="P1525" t="e">
        <f t="shared" si="93"/>
        <v>#VALUE!</v>
      </c>
      <c r="Q1525" t="e">
        <f t="shared" si="94"/>
        <v>#VALUE!</v>
      </c>
      <c r="R1525" t="str">
        <f t="shared" si="95"/>
        <v>No</v>
      </c>
      <c r="S1525" t="s">
        <v>13</v>
      </c>
    </row>
    <row r="1526" spans="1:19" hidden="1" x14ac:dyDescent="0.3">
      <c r="A1526" s="1" t="s">
        <v>278</v>
      </c>
      <c r="B1526" t="s">
        <v>1596</v>
      </c>
      <c r="C1526" t="s">
        <v>2832</v>
      </c>
      <c r="D1526" t="str">
        <f t="shared" si="92"/>
        <v>Male</v>
      </c>
      <c r="E1526" t="s">
        <v>9</v>
      </c>
      <c r="F1526" s="2">
        <v>19</v>
      </c>
      <c r="G1526" s="2" t="str" cm="1">
        <f t="array" ref="G1526">_xlfn.IFS(F1526&lt;=8,"Child",F1526&lt;=17,"Teen",F1526&lt;=35,"Adult",F1526&lt;=55,"Seniour Adult",F1526&gt;=55,"Old Age")</f>
        <v>Adult</v>
      </c>
      <c r="H1526" t="s">
        <v>69</v>
      </c>
      <c r="I1526" t="s">
        <v>11</v>
      </c>
      <c r="J1526" t="str" cm="1">
        <f t="array" ref="J1526">_xlfn.IFS(I1526="S","Southamptom",I1526="Q","Quentown",I1526="C","Cherbrug",I1526="B","Cabin")</f>
        <v>Southamptom</v>
      </c>
      <c r="K1526" t="s">
        <v>15</v>
      </c>
      <c r="L1526" s="2">
        <v>33</v>
      </c>
      <c r="M1526" s="2" t="str" cm="1">
        <f t="array" ref="M1526">_xlfn.IFS(L1526&lt;=15,"Low Fare",L1526&lt;=35,"Medium Fare",L1526&lt;=100,"High Fare",L1526&gt;=100,"Very High Fare")</f>
        <v>Medium Fare</v>
      </c>
      <c r="N1526" s="2">
        <v>1</v>
      </c>
      <c r="O1526" s="2" t="s">
        <v>30</v>
      </c>
      <c r="P1526" t="e">
        <f t="shared" si="93"/>
        <v>#VALUE!</v>
      </c>
      <c r="Q1526" t="e">
        <f t="shared" si="94"/>
        <v>#VALUE!</v>
      </c>
      <c r="R1526" t="str">
        <f t="shared" si="95"/>
        <v>No</v>
      </c>
      <c r="S1526" t="s">
        <v>13</v>
      </c>
    </row>
    <row r="1527" spans="1:19" hidden="1" x14ac:dyDescent="0.3">
      <c r="A1527" s="1" t="s">
        <v>1117</v>
      </c>
      <c r="B1527" t="s">
        <v>1596</v>
      </c>
      <c r="C1527" t="s">
        <v>2833</v>
      </c>
      <c r="D1527" t="str">
        <f t="shared" si="92"/>
        <v>Male</v>
      </c>
      <c r="E1527" t="s">
        <v>9</v>
      </c>
      <c r="F1527" s="2">
        <v>18</v>
      </c>
      <c r="G1527" s="2" t="str" cm="1">
        <f t="array" ref="G1527">_xlfn.IFS(F1527&lt;=8,"Child",F1527&lt;=17,"Teen",F1527&lt;=35,"Adult",F1527&lt;=55,"Seniour Adult",F1527&gt;=55,"Old Age")</f>
        <v>Adult</v>
      </c>
      <c r="H1527" t="s">
        <v>70</v>
      </c>
      <c r="I1527" t="s">
        <v>11</v>
      </c>
      <c r="J1527" t="str" cm="1">
        <f t="array" ref="J1527">_xlfn.IFS(I1527="S","Southamptom",I1527="Q","Quentown",I1527="C","Cherbrug",I1527="B","Cabin")</f>
        <v>Southamptom</v>
      </c>
      <c r="K1527" t="s">
        <v>15</v>
      </c>
      <c r="L1527" s="2">
        <v>33</v>
      </c>
      <c r="M1527" s="2" t="str" cm="1">
        <f t="array" ref="M1527">_xlfn.IFS(L1527&lt;=15,"Low Fare",L1527&lt;=35,"Medium Fare",L1527&lt;=100,"High Fare",L1527&gt;=100,"Very High Fare")</f>
        <v>Medium Fare</v>
      </c>
      <c r="N1527" s="2">
        <v>1</v>
      </c>
      <c r="O1527" s="2" t="s">
        <v>30</v>
      </c>
      <c r="P1527" t="e">
        <f t="shared" si="93"/>
        <v>#VALUE!</v>
      </c>
      <c r="Q1527" t="e">
        <f t="shared" si="94"/>
        <v>#VALUE!</v>
      </c>
      <c r="R1527" t="str">
        <f t="shared" si="95"/>
        <v>No</v>
      </c>
      <c r="S1527" t="s">
        <v>13</v>
      </c>
    </row>
    <row r="1528" spans="1:19" hidden="1" x14ac:dyDescent="0.3">
      <c r="A1528" s="1" t="s">
        <v>1118</v>
      </c>
      <c r="B1528" t="s">
        <v>1596</v>
      </c>
      <c r="C1528" t="s">
        <v>2834</v>
      </c>
      <c r="D1528" t="str">
        <f t="shared" si="92"/>
        <v>Male</v>
      </c>
      <c r="E1528" t="s">
        <v>9</v>
      </c>
      <c r="F1528" s="2">
        <v>35</v>
      </c>
      <c r="G1528" s="2" t="str" cm="1">
        <f t="array" ref="G1528">_xlfn.IFS(F1528&lt;=8,"Child",F1528&lt;=17,"Teen",F1528&lt;=35,"Adult",F1528&lt;=55,"Seniour Adult",F1528&gt;=55,"Old Age")</f>
        <v>Adult</v>
      </c>
      <c r="H1528" t="s">
        <v>69</v>
      </c>
      <c r="I1528" t="s">
        <v>28</v>
      </c>
      <c r="J1528" t="str" cm="1">
        <f t="array" ref="J1528">_xlfn.IFS(I1528="S","Southamptom",I1528="Q","Quentown",I1528="C","Cherbrug",I1528="B","Cabin")</f>
        <v>Cabin</v>
      </c>
      <c r="K1528" t="s">
        <v>15</v>
      </c>
      <c r="L1528" s="2">
        <v>33</v>
      </c>
      <c r="M1528" s="2" t="str" cm="1">
        <f t="array" ref="M1528">_xlfn.IFS(L1528&lt;=15,"Low Fare",L1528&lt;=35,"Medium Fare",L1528&lt;=100,"High Fare",L1528&gt;=100,"Very High Fare")</f>
        <v>Medium Fare</v>
      </c>
      <c r="N1528" s="2">
        <v>1</v>
      </c>
      <c r="O1528" s="2" t="s">
        <v>30</v>
      </c>
      <c r="P1528" t="e">
        <f t="shared" si="93"/>
        <v>#VALUE!</v>
      </c>
      <c r="Q1528" t="e">
        <f t="shared" si="94"/>
        <v>#VALUE!</v>
      </c>
      <c r="R1528" t="str">
        <f t="shared" si="95"/>
        <v>No</v>
      </c>
      <c r="S1528" t="s">
        <v>13</v>
      </c>
    </row>
    <row r="1529" spans="1:19" hidden="1" x14ac:dyDescent="0.3">
      <c r="A1529" s="1" t="s">
        <v>1119</v>
      </c>
      <c r="B1529" t="s">
        <v>2719</v>
      </c>
      <c r="C1529" t="s">
        <v>2835</v>
      </c>
      <c r="D1529" t="str">
        <f t="shared" si="92"/>
        <v>Male</v>
      </c>
      <c r="E1529" t="s">
        <v>9</v>
      </c>
      <c r="F1529" s="2">
        <v>20</v>
      </c>
      <c r="G1529" s="2" t="str" cm="1">
        <f t="array" ref="G1529">_xlfn.IFS(F1529&lt;=8,"Child",F1529&lt;=17,"Teen",F1529&lt;=35,"Adult",F1529&lt;=55,"Seniour Adult",F1529&gt;=55,"Old Age")</f>
        <v>Adult</v>
      </c>
      <c r="H1529" t="s">
        <v>70</v>
      </c>
      <c r="I1529" t="s">
        <v>11</v>
      </c>
      <c r="J1529" t="str" cm="1">
        <f t="array" ref="J1529">_xlfn.IFS(I1529="S","Southamptom",I1529="Q","Quentown",I1529="C","Cherbrug",I1529="B","Cabin")</f>
        <v>Southamptom</v>
      </c>
      <c r="K1529" t="s">
        <v>15</v>
      </c>
      <c r="L1529" s="2">
        <v>33</v>
      </c>
      <c r="M1529" s="2" t="str" cm="1">
        <f t="array" ref="M1529">_xlfn.IFS(L1529&lt;=15,"Low Fare",L1529&lt;=35,"Medium Fare",L1529&lt;=100,"High Fare",L1529&gt;=100,"Very High Fare")</f>
        <v>Medium Fare</v>
      </c>
      <c r="N1529" s="2">
        <v>1</v>
      </c>
      <c r="O1529" s="2" t="s">
        <v>30</v>
      </c>
      <c r="P1529" t="e">
        <f t="shared" si="93"/>
        <v>#VALUE!</v>
      </c>
      <c r="Q1529" t="e">
        <f t="shared" si="94"/>
        <v>#VALUE!</v>
      </c>
      <c r="R1529" t="str">
        <f t="shared" si="95"/>
        <v>No</v>
      </c>
      <c r="S1529" t="s">
        <v>13</v>
      </c>
    </row>
    <row r="1530" spans="1:19" hidden="1" x14ac:dyDescent="0.3">
      <c r="A1530" s="1" t="s">
        <v>1120</v>
      </c>
      <c r="B1530" t="s">
        <v>1596</v>
      </c>
      <c r="C1530" t="s">
        <v>2836</v>
      </c>
      <c r="D1530" t="str">
        <f t="shared" si="92"/>
        <v>Male</v>
      </c>
      <c r="E1530" t="s">
        <v>9</v>
      </c>
      <c r="F1530" s="2">
        <v>29</v>
      </c>
      <c r="G1530" s="2" t="str" cm="1">
        <f t="array" ref="G1530">_xlfn.IFS(F1530&lt;=8,"Child",F1530&lt;=17,"Teen",F1530&lt;=35,"Adult",F1530&lt;=55,"Seniour Adult",F1530&gt;=55,"Old Age")</f>
        <v>Adult</v>
      </c>
      <c r="H1530" t="s">
        <v>69</v>
      </c>
      <c r="I1530" t="s">
        <v>28</v>
      </c>
      <c r="J1530" t="str" cm="1">
        <f t="array" ref="J1530">_xlfn.IFS(I1530="S","Southamptom",I1530="Q","Quentown",I1530="C","Cherbrug",I1530="B","Cabin")</f>
        <v>Cabin</v>
      </c>
      <c r="K1530" t="s">
        <v>15</v>
      </c>
      <c r="L1530" s="2">
        <v>33</v>
      </c>
      <c r="M1530" s="2" t="str" cm="1">
        <f t="array" ref="M1530">_xlfn.IFS(L1530&lt;=15,"Low Fare",L1530&lt;=35,"Medium Fare",L1530&lt;=100,"High Fare",L1530&gt;=100,"Very High Fare")</f>
        <v>Medium Fare</v>
      </c>
      <c r="N1530" s="2">
        <v>1</v>
      </c>
      <c r="O1530" s="2" t="s">
        <v>30</v>
      </c>
      <c r="P1530" t="e">
        <f t="shared" si="93"/>
        <v>#VALUE!</v>
      </c>
      <c r="Q1530" t="e">
        <f t="shared" si="94"/>
        <v>#VALUE!</v>
      </c>
      <c r="R1530" t="str">
        <f t="shared" si="95"/>
        <v>No</v>
      </c>
      <c r="S1530" t="s">
        <v>13</v>
      </c>
    </row>
    <row r="1531" spans="1:19" hidden="1" x14ac:dyDescent="0.3">
      <c r="A1531" s="1" t="s">
        <v>1121</v>
      </c>
      <c r="B1531" t="s">
        <v>1596</v>
      </c>
      <c r="C1531" t="s">
        <v>2837</v>
      </c>
      <c r="D1531" t="str">
        <f t="shared" si="92"/>
        <v>Male</v>
      </c>
      <c r="E1531" t="s">
        <v>9</v>
      </c>
      <c r="F1531" s="2">
        <v>38</v>
      </c>
      <c r="G1531" s="2" t="str" cm="1">
        <f t="array" ref="G1531">_xlfn.IFS(F1531&lt;=8,"Child",F1531&lt;=17,"Teen",F1531&lt;=35,"Adult",F1531&lt;=55,"Seniour Adult",F1531&gt;=55,"Old Age")</f>
        <v>Seniour Adult</v>
      </c>
      <c r="H1531" t="s">
        <v>69</v>
      </c>
      <c r="I1531" t="s">
        <v>11</v>
      </c>
      <c r="J1531" t="str" cm="1">
        <f t="array" ref="J1531">_xlfn.IFS(I1531="S","Southamptom",I1531="Q","Quentown",I1531="C","Cherbrug",I1531="B","Cabin")</f>
        <v>Southamptom</v>
      </c>
      <c r="K1531" t="s">
        <v>15</v>
      </c>
      <c r="L1531" s="2">
        <v>33</v>
      </c>
      <c r="M1531" s="2" t="str" cm="1">
        <f t="array" ref="M1531">_xlfn.IFS(L1531&lt;=15,"Low Fare",L1531&lt;=35,"Medium Fare",L1531&lt;=100,"High Fare",L1531&gt;=100,"Very High Fare")</f>
        <v>Medium Fare</v>
      </c>
      <c r="N1531" s="2">
        <v>1</v>
      </c>
      <c r="O1531" s="2" t="s">
        <v>30</v>
      </c>
      <c r="P1531" t="e">
        <f t="shared" si="93"/>
        <v>#VALUE!</v>
      </c>
      <c r="Q1531" t="e">
        <f t="shared" si="94"/>
        <v>#VALUE!</v>
      </c>
      <c r="R1531" t="str">
        <f t="shared" si="95"/>
        <v>No</v>
      </c>
      <c r="S1531" t="s">
        <v>13</v>
      </c>
    </row>
    <row r="1532" spans="1:19" hidden="1" x14ac:dyDescent="0.3">
      <c r="A1532" s="1" t="s">
        <v>1122</v>
      </c>
      <c r="B1532" t="s">
        <v>1596</v>
      </c>
      <c r="C1532" t="s">
        <v>2838</v>
      </c>
      <c r="D1532" t="str">
        <f t="shared" si="92"/>
        <v>Male</v>
      </c>
      <c r="E1532" t="s">
        <v>9</v>
      </c>
      <c r="F1532" s="2">
        <v>20</v>
      </c>
      <c r="G1532" s="2" t="str" cm="1">
        <f t="array" ref="G1532">_xlfn.IFS(F1532&lt;=8,"Child",F1532&lt;=17,"Teen",F1532&lt;=35,"Adult",F1532&lt;=55,"Seniour Adult",F1532&gt;=55,"Old Age")</f>
        <v>Adult</v>
      </c>
      <c r="H1532" t="s">
        <v>70</v>
      </c>
      <c r="I1532" t="s">
        <v>11</v>
      </c>
      <c r="J1532" t="str" cm="1">
        <f t="array" ref="J1532">_xlfn.IFS(I1532="S","Southamptom",I1532="Q","Quentown",I1532="C","Cherbrug",I1532="B","Cabin")</f>
        <v>Southamptom</v>
      </c>
      <c r="K1532" t="s">
        <v>15</v>
      </c>
      <c r="L1532" s="2">
        <v>33</v>
      </c>
      <c r="M1532" s="2" t="str" cm="1">
        <f t="array" ref="M1532">_xlfn.IFS(L1532&lt;=15,"Low Fare",L1532&lt;=35,"Medium Fare",L1532&lt;=100,"High Fare",L1532&gt;=100,"Very High Fare")</f>
        <v>Medium Fare</v>
      </c>
      <c r="N1532" s="2">
        <v>1</v>
      </c>
      <c r="O1532" s="2" t="s">
        <v>30</v>
      </c>
      <c r="P1532" t="e">
        <f t="shared" si="93"/>
        <v>#VALUE!</v>
      </c>
      <c r="Q1532" t="e">
        <f t="shared" si="94"/>
        <v>#VALUE!</v>
      </c>
      <c r="R1532" t="str">
        <f t="shared" si="95"/>
        <v>No</v>
      </c>
      <c r="S1532" t="s">
        <v>13</v>
      </c>
    </row>
    <row r="1533" spans="1:19" hidden="1" x14ac:dyDescent="0.3">
      <c r="A1533" s="1" t="s">
        <v>1123</v>
      </c>
      <c r="B1533" t="s">
        <v>1596</v>
      </c>
      <c r="C1533" t="s">
        <v>2194</v>
      </c>
      <c r="D1533" t="str">
        <f t="shared" si="92"/>
        <v>Male</v>
      </c>
      <c r="E1533" t="s">
        <v>9</v>
      </c>
      <c r="F1533" s="2">
        <v>27</v>
      </c>
      <c r="G1533" s="2" t="str" cm="1">
        <f t="array" ref="G1533">_xlfn.IFS(F1533&lt;=8,"Child",F1533&lt;=17,"Teen",F1533&lt;=35,"Adult",F1533&lt;=55,"Seniour Adult",F1533&gt;=55,"Old Age")</f>
        <v>Adult</v>
      </c>
      <c r="H1533" t="s">
        <v>51</v>
      </c>
      <c r="I1533" t="s">
        <v>11</v>
      </c>
      <c r="J1533" t="str" cm="1">
        <f t="array" ref="J1533">_xlfn.IFS(I1533="S","Southamptom",I1533="Q","Quentown",I1533="C","Cherbrug",I1533="B","Cabin")</f>
        <v>Southamptom</v>
      </c>
      <c r="K1533" t="s">
        <v>15</v>
      </c>
      <c r="L1533" s="2">
        <v>33</v>
      </c>
      <c r="M1533" s="2" t="str" cm="1">
        <f t="array" ref="M1533">_xlfn.IFS(L1533&lt;=15,"Low Fare",L1533&lt;=35,"Medium Fare",L1533&lt;=100,"High Fare",L1533&gt;=100,"Very High Fare")</f>
        <v>Medium Fare</v>
      </c>
      <c r="N1533" s="2">
        <v>1</v>
      </c>
      <c r="O1533" s="2" t="s">
        <v>30</v>
      </c>
      <c r="P1533" t="e">
        <f t="shared" si="93"/>
        <v>#VALUE!</v>
      </c>
      <c r="Q1533" t="e">
        <f t="shared" si="94"/>
        <v>#VALUE!</v>
      </c>
      <c r="R1533" t="str">
        <f t="shared" si="95"/>
        <v>Yes</v>
      </c>
      <c r="S1533" t="s">
        <v>16</v>
      </c>
    </row>
    <row r="1534" spans="1:19" hidden="1" x14ac:dyDescent="0.3">
      <c r="A1534" s="1" t="s">
        <v>1124</v>
      </c>
      <c r="B1534" t="s">
        <v>1596</v>
      </c>
      <c r="C1534" t="s">
        <v>1619</v>
      </c>
      <c r="D1534" t="str">
        <f t="shared" si="92"/>
        <v>Male</v>
      </c>
      <c r="E1534" t="s">
        <v>9</v>
      </c>
      <c r="F1534" s="2">
        <v>37</v>
      </c>
      <c r="G1534" s="2" t="str" cm="1">
        <f t="array" ref="G1534">_xlfn.IFS(F1534&lt;=8,"Child",F1534&lt;=17,"Teen",F1534&lt;=35,"Adult",F1534&lt;=55,"Seniour Adult",F1534&gt;=55,"Old Age")</f>
        <v>Seniour Adult</v>
      </c>
      <c r="H1534" t="s">
        <v>51</v>
      </c>
      <c r="I1534" t="s">
        <v>11</v>
      </c>
      <c r="J1534" t="str" cm="1">
        <f t="array" ref="J1534">_xlfn.IFS(I1534="S","Southamptom",I1534="Q","Quentown",I1534="C","Cherbrug",I1534="B","Cabin")</f>
        <v>Southamptom</v>
      </c>
      <c r="K1534" t="s">
        <v>15</v>
      </c>
      <c r="L1534" s="2">
        <v>33</v>
      </c>
      <c r="M1534" s="2" t="str" cm="1">
        <f t="array" ref="M1534">_xlfn.IFS(L1534&lt;=15,"Low Fare",L1534&lt;=35,"Medium Fare",L1534&lt;=100,"High Fare",L1534&gt;=100,"Very High Fare")</f>
        <v>Medium Fare</v>
      </c>
      <c r="N1534" s="2">
        <v>1</v>
      </c>
      <c r="O1534" s="2" t="s">
        <v>30</v>
      </c>
      <c r="P1534" t="e">
        <f t="shared" si="93"/>
        <v>#VALUE!</v>
      </c>
      <c r="Q1534" t="e">
        <f t="shared" si="94"/>
        <v>#VALUE!</v>
      </c>
      <c r="R1534" t="str">
        <f t="shared" si="95"/>
        <v>No</v>
      </c>
      <c r="S1534" t="s">
        <v>13</v>
      </c>
    </row>
    <row r="1535" spans="1:19" hidden="1" x14ac:dyDescent="0.3">
      <c r="A1535" s="1" t="s">
        <v>1125</v>
      </c>
      <c r="B1535" t="s">
        <v>1596</v>
      </c>
      <c r="C1535" t="s">
        <v>1610</v>
      </c>
      <c r="D1535" t="str">
        <f t="shared" si="92"/>
        <v>Male</v>
      </c>
      <c r="E1535" t="s">
        <v>9</v>
      </c>
      <c r="F1535" s="2">
        <v>30</v>
      </c>
      <c r="G1535" s="2" t="str" cm="1">
        <f t="array" ref="G1535">_xlfn.IFS(F1535&lt;=8,"Child",F1535&lt;=17,"Teen",F1535&lt;=35,"Adult",F1535&lt;=55,"Seniour Adult",F1535&gt;=55,"Old Age")</f>
        <v>Adult</v>
      </c>
      <c r="H1535" t="s">
        <v>51</v>
      </c>
      <c r="I1535" t="s">
        <v>11</v>
      </c>
      <c r="J1535" t="str" cm="1">
        <f t="array" ref="J1535">_xlfn.IFS(I1535="S","Southamptom",I1535="Q","Quentown",I1535="C","Cherbrug",I1535="B","Cabin")</f>
        <v>Southamptom</v>
      </c>
      <c r="K1535" t="s">
        <v>15</v>
      </c>
      <c r="L1535" s="2">
        <v>33</v>
      </c>
      <c r="M1535" s="2" t="str" cm="1">
        <f t="array" ref="M1535">_xlfn.IFS(L1535&lt;=15,"Low Fare",L1535&lt;=35,"Medium Fare",L1535&lt;=100,"High Fare",L1535&gt;=100,"Very High Fare")</f>
        <v>Medium Fare</v>
      </c>
      <c r="N1535" s="2">
        <v>1</v>
      </c>
      <c r="O1535" s="2" t="s">
        <v>30</v>
      </c>
      <c r="P1535" t="e">
        <f t="shared" si="93"/>
        <v>#VALUE!</v>
      </c>
      <c r="Q1535" t="e">
        <f t="shared" si="94"/>
        <v>#VALUE!</v>
      </c>
      <c r="R1535" t="str">
        <f t="shared" si="95"/>
        <v>Yes</v>
      </c>
      <c r="S1535" t="s">
        <v>16</v>
      </c>
    </row>
    <row r="1536" spans="1:19" hidden="1" x14ac:dyDescent="0.3">
      <c r="A1536" s="1" t="s">
        <v>1126</v>
      </c>
      <c r="B1536" t="s">
        <v>1596</v>
      </c>
      <c r="C1536" t="s">
        <v>2839</v>
      </c>
      <c r="D1536" t="str">
        <f t="shared" si="92"/>
        <v>Male</v>
      </c>
      <c r="E1536" t="s">
        <v>9</v>
      </c>
      <c r="F1536" s="2">
        <v>34</v>
      </c>
      <c r="G1536" s="2" t="str" cm="1">
        <f t="array" ref="G1536">_xlfn.IFS(F1536&lt;=8,"Child",F1536&lt;=17,"Teen",F1536&lt;=35,"Adult",F1536&lt;=55,"Seniour Adult",F1536&gt;=55,"Old Age")</f>
        <v>Adult</v>
      </c>
      <c r="H1536" t="s">
        <v>51</v>
      </c>
      <c r="I1536" t="s">
        <v>11</v>
      </c>
      <c r="J1536" t="str" cm="1">
        <f t="array" ref="J1536">_xlfn.IFS(I1536="S","Southamptom",I1536="Q","Quentown",I1536="C","Cherbrug",I1536="B","Cabin")</f>
        <v>Southamptom</v>
      </c>
      <c r="K1536" t="s">
        <v>15</v>
      </c>
      <c r="L1536" s="2">
        <v>33</v>
      </c>
      <c r="M1536" s="2" t="str" cm="1">
        <f t="array" ref="M1536">_xlfn.IFS(L1536&lt;=15,"Low Fare",L1536&lt;=35,"Medium Fare",L1536&lt;=100,"High Fare",L1536&gt;=100,"Very High Fare")</f>
        <v>Medium Fare</v>
      </c>
      <c r="N1536" s="2">
        <v>1</v>
      </c>
      <c r="O1536" s="2" t="s">
        <v>30</v>
      </c>
      <c r="P1536" t="e">
        <f t="shared" si="93"/>
        <v>#VALUE!</v>
      </c>
      <c r="Q1536" t="e">
        <f t="shared" si="94"/>
        <v>#VALUE!</v>
      </c>
      <c r="R1536" t="str">
        <f t="shared" si="95"/>
        <v>Yes</v>
      </c>
      <c r="S1536" t="s">
        <v>16</v>
      </c>
    </row>
    <row r="1537" spans="1:19" hidden="1" x14ac:dyDescent="0.3">
      <c r="A1537" s="1" t="s">
        <v>1127</v>
      </c>
      <c r="B1537" t="s">
        <v>1596</v>
      </c>
      <c r="C1537" t="s">
        <v>2840</v>
      </c>
      <c r="D1537" t="str">
        <f t="shared" si="92"/>
        <v>Male</v>
      </c>
      <c r="E1537" t="s">
        <v>9</v>
      </c>
      <c r="F1537" s="2">
        <v>49</v>
      </c>
      <c r="G1537" s="2" t="str" cm="1">
        <f t="array" ref="G1537">_xlfn.IFS(F1537&lt;=8,"Child",F1537&lt;=17,"Teen",F1537&lt;=35,"Adult",F1537&lt;=55,"Seniour Adult",F1537&gt;=55,"Old Age")</f>
        <v>Seniour Adult</v>
      </c>
      <c r="H1537" t="s">
        <v>69</v>
      </c>
      <c r="I1537" t="s">
        <v>11</v>
      </c>
      <c r="J1537" t="str" cm="1">
        <f t="array" ref="J1537">_xlfn.IFS(I1537="S","Southamptom",I1537="Q","Quentown",I1537="C","Cherbrug",I1537="B","Cabin")</f>
        <v>Southamptom</v>
      </c>
      <c r="K1537" t="s">
        <v>15</v>
      </c>
      <c r="L1537" s="2">
        <v>33</v>
      </c>
      <c r="M1537" s="2" t="str" cm="1">
        <f t="array" ref="M1537">_xlfn.IFS(L1537&lt;=15,"Low Fare",L1537&lt;=35,"Medium Fare",L1537&lt;=100,"High Fare",L1537&gt;=100,"Very High Fare")</f>
        <v>Medium Fare</v>
      </c>
      <c r="N1537" s="2">
        <v>1</v>
      </c>
      <c r="O1537" s="2" t="s">
        <v>30</v>
      </c>
      <c r="P1537" t="e">
        <f t="shared" si="93"/>
        <v>#VALUE!</v>
      </c>
      <c r="Q1537" t="e">
        <f t="shared" si="94"/>
        <v>#VALUE!</v>
      </c>
      <c r="R1537" t="str">
        <f t="shared" si="95"/>
        <v>No</v>
      </c>
      <c r="S1537" t="s">
        <v>13</v>
      </c>
    </row>
    <row r="1538" spans="1:19" hidden="1" x14ac:dyDescent="0.3">
      <c r="A1538" s="1" t="s">
        <v>1128</v>
      </c>
      <c r="B1538" t="s">
        <v>1596</v>
      </c>
      <c r="C1538" t="s">
        <v>2757</v>
      </c>
      <c r="D1538" t="str">
        <f t="shared" si="92"/>
        <v>Male</v>
      </c>
      <c r="E1538" t="s">
        <v>9</v>
      </c>
      <c r="F1538" s="2">
        <v>39</v>
      </c>
      <c r="G1538" s="2" t="str" cm="1">
        <f t="array" ref="G1538">_xlfn.IFS(F1538&lt;=8,"Child",F1538&lt;=17,"Teen",F1538&lt;=35,"Adult",F1538&lt;=55,"Seniour Adult",F1538&gt;=55,"Old Age")</f>
        <v>Seniour Adult</v>
      </c>
      <c r="H1538" t="s">
        <v>51</v>
      </c>
      <c r="I1538" t="s">
        <v>28</v>
      </c>
      <c r="J1538" t="str" cm="1">
        <f t="array" ref="J1538">_xlfn.IFS(I1538="S","Southamptom",I1538="Q","Quentown",I1538="C","Cherbrug",I1538="B","Cabin")</f>
        <v>Cabin</v>
      </c>
      <c r="K1538" t="s">
        <v>15</v>
      </c>
      <c r="L1538" s="2">
        <v>33</v>
      </c>
      <c r="M1538" s="2" t="str" cm="1">
        <f t="array" ref="M1538">_xlfn.IFS(L1538&lt;=15,"Low Fare",L1538&lt;=35,"Medium Fare",L1538&lt;=100,"High Fare",L1538&gt;=100,"Very High Fare")</f>
        <v>Medium Fare</v>
      </c>
      <c r="N1538" s="2">
        <v>1</v>
      </c>
      <c r="O1538" s="2" t="s">
        <v>30</v>
      </c>
      <c r="P1538" t="e">
        <f t="shared" si="93"/>
        <v>#VALUE!</v>
      </c>
      <c r="Q1538" t="e">
        <f t="shared" si="94"/>
        <v>#VALUE!</v>
      </c>
      <c r="R1538" t="str">
        <f t="shared" si="95"/>
        <v>No</v>
      </c>
      <c r="S1538" t="s">
        <v>13</v>
      </c>
    </row>
    <row r="1539" spans="1:19" hidden="1" x14ac:dyDescent="0.3">
      <c r="A1539" s="1" t="s">
        <v>1128</v>
      </c>
      <c r="B1539" t="s">
        <v>1596</v>
      </c>
      <c r="C1539" t="s">
        <v>2841</v>
      </c>
      <c r="D1539" t="str">
        <f t="shared" ref="D1539:D1602" si="96">PROPER(E1539)</f>
        <v>Male</v>
      </c>
      <c r="E1539" t="s">
        <v>9</v>
      </c>
      <c r="F1539" s="2">
        <v>44</v>
      </c>
      <c r="G1539" s="2" t="str" cm="1">
        <f t="array" ref="G1539">_xlfn.IFS(F1539&lt;=8,"Child",F1539&lt;=17,"Teen",F1539&lt;=35,"Adult",F1539&lt;=55,"Seniour Adult",F1539&gt;=55,"Old Age")</f>
        <v>Seniour Adult</v>
      </c>
      <c r="H1539" t="s">
        <v>69</v>
      </c>
      <c r="I1539" t="s">
        <v>28</v>
      </c>
      <c r="J1539" t="str" cm="1">
        <f t="array" ref="J1539">_xlfn.IFS(I1539="S","Southamptom",I1539="Q","Quentown",I1539="C","Cherbrug",I1539="B","Cabin")</f>
        <v>Cabin</v>
      </c>
      <c r="K1539" t="s">
        <v>15</v>
      </c>
      <c r="L1539" s="2">
        <v>33</v>
      </c>
      <c r="M1539" s="2" t="str" cm="1">
        <f t="array" ref="M1539">_xlfn.IFS(L1539&lt;=15,"Low Fare",L1539&lt;=35,"Medium Fare",L1539&lt;=100,"High Fare",L1539&gt;=100,"Very High Fare")</f>
        <v>Medium Fare</v>
      </c>
      <c r="N1539" s="2">
        <v>1</v>
      </c>
      <c r="O1539" s="2" t="s">
        <v>30</v>
      </c>
      <c r="P1539" t="e">
        <f t="shared" ref="P1539:P1602" si="97">N1539+O1539+1</f>
        <v>#VALUE!</v>
      </c>
      <c r="Q1539" t="e">
        <f t="shared" ref="Q1539:Q1602" si="98">IF(P1539=1,"Alone","With Family")</f>
        <v>#VALUE!</v>
      </c>
      <c r="R1539" t="str">
        <f t="shared" ref="R1539:R1602" si="99">PROPER(S1539)</f>
        <v>No</v>
      </c>
      <c r="S1539" t="s">
        <v>13</v>
      </c>
    </row>
    <row r="1540" spans="1:19" hidden="1" x14ac:dyDescent="0.3">
      <c r="A1540" s="1" t="s">
        <v>1129</v>
      </c>
      <c r="B1540" t="s">
        <v>1596</v>
      </c>
      <c r="C1540" t="s">
        <v>2842</v>
      </c>
      <c r="D1540" t="str">
        <f t="shared" si="96"/>
        <v>Male</v>
      </c>
      <c r="E1540" t="s">
        <v>9</v>
      </c>
      <c r="F1540" s="2">
        <v>27</v>
      </c>
      <c r="G1540" s="2" t="str" cm="1">
        <f t="array" ref="G1540">_xlfn.IFS(F1540&lt;=8,"Child",F1540&lt;=17,"Teen",F1540&lt;=35,"Adult",F1540&lt;=55,"Seniour Adult",F1540&gt;=55,"Old Age")</f>
        <v>Adult</v>
      </c>
      <c r="H1540" t="s">
        <v>51</v>
      </c>
      <c r="I1540" t="s">
        <v>11</v>
      </c>
      <c r="J1540" t="str" cm="1">
        <f t="array" ref="J1540">_xlfn.IFS(I1540="S","Southamptom",I1540="Q","Quentown",I1540="C","Cherbrug",I1540="B","Cabin")</f>
        <v>Southamptom</v>
      </c>
      <c r="K1540" t="s">
        <v>72</v>
      </c>
      <c r="L1540" s="2">
        <v>33</v>
      </c>
      <c r="M1540" s="2" t="str" cm="1">
        <f t="array" ref="M1540">_xlfn.IFS(L1540&lt;=15,"Low Fare",L1540&lt;=35,"Medium Fare",L1540&lt;=100,"High Fare",L1540&gt;=100,"Very High Fare")</f>
        <v>Medium Fare</v>
      </c>
      <c r="N1540" s="2">
        <v>1</v>
      </c>
      <c r="O1540" s="2" t="s">
        <v>30</v>
      </c>
      <c r="P1540" t="e">
        <f t="shared" si="97"/>
        <v>#VALUE!</v>
      </c>
      <c r="Q1540" t="e">
        <f t="shared" si="98"/>
        <v>#VALUE!</v>
      </c>
      <c r="R1540" t="str">
        <f t="shared" si="99"/>
        <v>No</v>
      </c>
      <c r="S1540" t="s">
        <v>13</v>
      </c>
    </row>
    <row r="1541" spans="1:19" hidden="1" x14ac:dyDescent="0.3">
      <c r="A1541" s="1" t="s">
        <v>1130</v>
      </c>
      <c r="B1541" t="s">
        <v>1596</v>
      </c>
      <c r="C1541" t="s">
        <v>2511</v>
      </c>
      <c r="D1541" t="str">
        <f t="shared" si="96"/>
        <v>Male</v>
      </c>
      <c r="E1541" t="s">
        <v>9</v>
      </c>
      <c r="F1541" s="2">
        <v>22</v>
      </c>
      <c r="G1541" s="2" t="str" cm="1">
        <f t="array" ref="G1541">_xlfn.IFS(F1541&lt;=8,"Child",F1541&lt;=17,"Teen",F1541&lt;=35,"Adult",F1541&lt;=55,"Seniour Adult",F1541&gt;=55,"Old Age")</f>
        <v>Adult</v>
      </c>
      <c r="H1541" t="s">
        <v>51</v>
      </c>
      <c r="I1541" t="s">
        <v>11</v>
      </c>
      <c r="J1541" t="str" cm="1">
        <f t="array" ref="J1541">_xlfn.IFS(I1541="S","Southamptom",I1541="Q","Quentown",I1541="C","Cherbrug",I1541="B","Cabin")</f>
        <v>Southamptom</v>
      </c>
      <c r="K1541" t="s">
        <v>15</v>
      </c>
      <c r="L1541" s="2">
        <v>33</v>
      </c>
      <c r="M1541" s="2" t="str" cm="1">
        <f t="array" ref="M1541">_xlfn.IFS(L1541&lt;=15,"Low Fare",L1541&lt;=35,"Medium Fare",L1541&lt;=100,"High Fare",L1541&gt;=100,"Very High Fare")</f>
        <v>Medium Fare</v>
      </c>
      <c r="N1541" s="2">
        <v>1</v>
      </c>
      <c r="O1541" s="2" t="s">
        <v>30</v>
      </c>
      <c r="P1541" t="e">
        <f t="shared" si="97"/>
        <v>#VALUE!</v>
      </c>
      <c r="Q1541" t="e">
        <f t="shared" si="98"/>
        <v>#VALUE!</v>
      </c>
      <c r="R1541" t="str">
        <f t="shared" si="99"/>
        <v>Yes</v>
      </c>
      <c r="S1541" t="s">
        <v>16</v>
      </c>
    </row>
    <row r="1542" spans="1:19" hidden="1" x14ac:dyDescent="0.3">
      <c r="A1542" s="1" t="s">
        <v>1131</v>
      </c>
      <c r="B1542" t="s">
        <v>1596</v>
      </c>
      <c r="C1542" t="s">
        <v>1795</v>
      </c>
      <c r="D1542" t="str">
        <f t="shared" si="96"/>
        <v>Male</v>
      </c>
      <c r="E1542" t="s">
        <v>9</v>
      </c>
      <c r="F1542" s="2">
        <v>39</v>
      </c>
      <c r="G1542" s="2" t="str" cm="1">
        <f t="array" ref="G1542">_xlfn.IFS(F1542&lt;=8,"Child",F1542&lt;=17,"Teen",F1542&lt;=35,"Adult",F1542&lt;=55,"Seniour Adult",F1542&gt;=55,"Old Age")</f>
        <v>Seniour Adult</v>
      </c>
      <c r="H1542" t="s">
        <v>69</v>
      </c>
      <c r="I1542" t="s">
        <v>28</v>
      </c>
      <c r="J1542" t="str" cm="1">
        <f t="array" ref="J1542">_xlfn.IFS(I1542="S","Southamptom",I1542="Q","Quentown",I1542="C","Cherbrug",I1542="B","Cabin")</f>
        <v>Cabin</v>
      </c>
      <c r="K1542" t="s">
        <v>15</v>
      </c>
      <c r="L1542" s="2">
        <v>33</v>
      </c>
      <c r="M1542" s="2" t="str" cm="1">
        <f t="array" ref="M1542">_xlfn.IFS(L1542&lt;=15,"Low Fare",L1542&lt;=35,"Medium Fare",L1542&lt;=100,"High Fare",L1542&gt;=100,"Very High Fare")</f>
        <v>Medium Fare</v>
      </c>
      <c r="N1542" s="2">
        <v>1</v>
      </c>
      <c r="O1542" s="2" t="s">
        <v>30</v>
      </c>
      <c r="P1542" t="e">
        <f t="shared" si="97"/>
        <v>#VALUE!</v>
      </c>
      <c r="Q1542" t="e">
        <f t="shared" si="98"/>
        <v>#VALUE!</v>
      </c>
      <c r="R1542" t="str">
        <f t="shared" si="99"/>
        <v>No</v>
      </c>
      <c r="S1542" t="s">
        <v>13</v>
      </c>
    </row>
    <row r="1543" spans="1:19" hidden="1" x14ac:dyDescent="0.3">
      <c r="A1543" s="1" t="s">
        <v>1132</v>
      </c>
      <c r="B1543" t="s">
        <v>2719</v>
      </c>
      <c r="C1543" t="s">
        <v>2843</v>
      </c>
      <c r="D1543" t="str">
        <f t="shared" si="96"/>
        <v>Male</v>
      </c>
      <c r="E1543" t="s">
        <v>9</v>
      </c>
      <c r="F1543" s="2">
        <v>17</v>
      </c>
      <c r="G1543" s="2" t="str" cm="1">
        <f t="array" ref="G1543">_xlfn.IFS(F1543&lt;=8,"Child",F1543&lt;=17,"Teen",F1543&lt;=35,"Adult",F1543&lt;=55,"Seniour Adult",F1543&gt;=55,"Old Age")</f>
        <v>Teen</v>
      </c>
      <c r="H1543" t="s">
        <v>70</v>
      </c>
      <c r="I1543" t="s">
        <v>11</v>
      </c>
      <c r="J1543" t="str" cm="1">
        <f t="array" ref="J1543">_xlfn.IFS(I1543="S","Southamptom",I1543="Q","Quentown",I1543="C","Cherbrug",I1543="B","Cabin")</f>
        <v>Southamptom</v>
      </c>
      <c r="K1543" t="s">
        <v>38</v>
      </c>
      <c r="L1543" s="2">
        <v>33</v>
      </c>
      <c r="M1543" s="2" t="str" cm="1">
        <f t="array" ref="M1543">_xlfn.IFS(L1543&lt;=15,"Low Fare",L1543&lt;=35,"Medium Fare",L1543&lt;=100,"High Fare",L1543&gt;=100,"Very High Fare")</f>
        <v>Medium Fare</v>
      </c>
      <c r="N1543" s="2">
        <v>1</v>
      </c>
      <c r="O1543" s="2" t="s">
        <v>30</v>
      </c>
      <c r="P1543" t="e">
        <f t="shared" si="97"/>
        <v>#VALUE!</v>
      </c>
      <c r="Q1543" t="e">
        <f t="shared" si="98"/>
        <v>#VALUE!</v>
      </c>
      <c r="R1543" t="str">
        <f t="shared" si="99"/>
        <v>No</v>
      </c>
      <c r="S1543" t="s">
        <v>13</v>
      </c>
    </row>
    <row r="1544" spans="1:19" hidden="1" x14ac:dyDescent="0.3">
      <c r="A1544" s="1" t="s">
        <v>1133</v>
      </c>
      <c r="B1544" t="s">
        <v>1596</v>
      </c>
      <c r="C1544" t="s">
        <v>2844</v>
      </c>
      <c r="D1544" t="str">
        <f t="shared" si="96"/>
        <v>Male</v>
      </c>
      <c r="E1544" t="s">
        <v>9</v>
      </c>
      <c r="F1544" s="2">
        <v>35</v>
      </c>
      <c r="G1544" s="2" t="str" cm="1">
        <f t="array" ref="G1544">_xlfn.IFS(F1544&lt;=8,"Child",F1544&lt;=17,"Teen",F1544&lt;=35,"Adult",F1544&lt;=55,"Seniour Adult",F1544&gt;=55,"Old Age")</f>
        <v>Adult</v>
      </c>
      <c r="H1544" t="s">
        <v>69</v>
      </c>
      <c r="I1544" t="s">
        <v>28</v>
      </c>
      <c r="J1544" t="str" cm="1">
        <f t="array" ref="J1544">_xlfn.IFS(I1544="S","Southamptom",I1544="Q","Quentown",I1544="C","Cherbrug",I1544="B","Cabin")</f>
        <v>Cabin</v>
      </c>
      <c r="K1544" t="s">
        <v>15</v>
      </c>
      <c r="L1544" s="2">
        <v>33</v>
      </c>
      <c r="M1544" s="2" t="str" cm="1">
        <f t="array" ref="M1544">_xlfn.IFS(L1544&lt;=15,"Low Fare",L1544&lt;=35,"Medium Fare",L1544&lt;=100,"High Fare",L1544&gt;=100,"Very High Fare")</f>
        <v>Medium Fare</v>
      </c>
      <c r="N1544" s="2">
        <v>1</v>
      </c>
      <c r="O1544" s="2" t="s">
        <v>30</v>
      </c>
      <c r="P1544" t="e">
        <f t="shared" si="97"/>
        <v>#VALUE!</v>
      </c>
      <c r="Q1544" t="e">
        <f t="shared" si="98"/>
        <v>#VALUE!</v>
      </c>
      <c r="R1544" t="str">
        <f t="shared" si="99"/>
        <v>No</v>
      </c>
      <c r="S1544" t="s">
        <v>13</v>
      </c>
    </row>
    <row r="1545" spans="1:19" hidden="1" x14ac:dyDescent="0.3">
      <c r="A1545" s="1" t="s">
        <v>1134</v>
      </c>
      <c r="B1545" t="s">
        <v>1596</v>
      </c>
      <c r="C1545" t="s">
        <v>2845</v>
      </c>
      <c r="D1545" t="str">
        <f t="shared" si="96"/>
        <v>Male</v>
      </c>
      <c r="E1545" t="s">
        <v>9</v>
      </c>
      <c r="F1545" s="2">
        <v>23</v>
      </c>
      <c r="G1545" s="2" t="str" cm="1">
        <f t="array" ref="G1545">_xlfn.IFS(F1545&lt;=8,"Child",F1545&lt;=17,"Teen",F1545&lt;=35,"Adult",F1545&lt;=55,"Seniour Adult",F1545&gt;=55,"Old Age")</f>
        <v>Adult</v>
      </c>
      <c r="H1545" t="s">
        <v>51</v>
      </c>
      <c r="I1545" t="s">
        <v>11</v>
      </c>
      <c r="J1545" t="str" cm="1">
        <f t="array" ref="J1545">_xlfn.IFS(I1545="S","Southamptom",I1545="Q","Quentown",I1545="C","Cherbrug",I1545="B","Cabin")</f>
        <v>Southamptom</v>
      </c>
      <c r="K1545" t="s">
        <v>15</v>
      </c>
      <c r="L1545" s="2">
        <v>33</v>
      </c>
      <c r="M1545" s="2" t="str" cm="1">
        <f t="array" ref="M1545">_xlfn.IFS(L1545&lt;=15,"Low Fare",L1545&lt;=35,"Medium Fare",L1545&lt;=100,"High Fare",L1545&gt;=100,"Very High Fare")</f>
        <v>Medium Fare</v>
      </c>
      <c r="N1545" s="2">
        <v>1</v>
      </c>
      <c r="O1545" s="2" t="s">
        <v>30</v>
      </c>
      <c r="P1545" t="e">
        <f t="shared" si="97"/>
        <v>#VALUE!</v>
      </c>
      <c r="Q1545" t="e">
        <f t="shared" si="98"/>
        <v>#VALUE!</v>
      </c>
      <c r="R1545" t="str">
        <f t="shared" si="99"/>
        <v>Yes</v>
      </c>
      <c r="S1545" t="s">
        <v>16</v>
      </c>
    </row>
    <row r="1546" spans="1:19" hidden="1" x14ac:dyDescent="0.3">
      <c r="A1546" s="1" t="s">
        <v>1135</v>
      </c>
      <c r="B1546" t="s">
        <v>1596</v>
      </c>
      <c r="C1546" t="s">
        <v>2846</v>
      </c>
      <c r="D1546" t="str">
        <f t="shared" si="96"/>
        <v>Male</v>
      </c>
      <c r="E1546" t="s">
        <v>9</v>
      </c>
      <c r="F1546" s="2">
        <v>20</v>
      </c>
      <c r="G1546" s="2" t="str" cm="1">
        <f t="array" ref="G1546">_xlfn.IFS(F1546&lt;=8,"Child",F1546&lt;=17,"Teen",F1546&lt;=35,"Adult",F1546&lt;=55,"Seniour Adult",F1546&gt;=55,"Old Age")</f>
        <v>Adult</v>
      </c>
      <c r="H1546" t="s">
        <v>70</v>
      </c>
      <c r="I1546" t="s">
        <v>11</v>
      </c>
      <c r="J1546" t="str" cm="1">
        <f t="array" ref="J1546">_xlfn.IFS(I1546="S","Southamptom",I1546="Q","Quentown",I1546="C","Cherbrug",I1546="B","Cabin")</f>
        <v>Southamptom</v>
      </c>
      <c r="K1546" t="s">
        <v>15</v>
      </c>
      <c r="L1546" s="2">
        <v>33</v>
      </c>
      <c r="M1546" s="2" t="str" cm="1">
        <f t="array" ref="M1546">_xlfn.IFS(L1546&lt;=15,"Low Fare",L1546&lt;=35,"Medium Fare",L1546&lt;=100,"High Fare",L1546&gt;=100,"Very High Fare")</f>
        <v>Medium Fare</v>
      </c>
      <c r="N1546" s="2">
        <v>1</v>
      </c>
      <c r="O1546" s="2" t="s">
        <v>30</v>
      </c>
      <c r="P1546" t="e">
        <f t="shared" si="97"/>
        <v>#VALUE!</v>
      </c>
      <c r="Q1546" t="e">
        <f t="shared" si="98"/>
        <v>#VALUE!</v>
      </c>
      <c r="R1546" t="str">
        <f t="shared" si="99"/>
        <v>No</v>
      </c>
      <c r="S1546" t="s">
        <v>13</v>
      </c>
    </row>
    <row r="1547" spans="1:19" hidden="1" x14ac:dyDescent="0.3">
      <c r="A1547" s="1" t="s">
        <v>1136</v>
      </c>
      <c r="B1547" t="s">
        <v>1596</v>
      </c>
      <c r="C1547" t="s">
        <v>2768</v>
      </c>
      <c r="D1547" t="str">
        <f t="shared" si="96"/>
        <v>Male</v>
      </c>
      <c r="E1547" t="s">
        <v>9</v>
      </c>
      <c r="F1547" s="2">
        <v>22</v>
      </c>
      <c r="G1547" s="2" t="str" cm="1">
        <f t="array" ref="G1547">_xlfn.IFS(F1547&lt;=8,"Child",F1547&lt;=17,"Teen",F1547&lt;=35,"Adult",F1547&lt;=55,"Seniour Adult",F1547&gt;=55,"Old Age")</f>
        <v>Adult</v>
      </c>
      <c r="H1547" t="s">
        <v>69</v>
      </c>
      <c r="I1547" t="s">
        <v>11</v>
      </c>
      <c r="J1547" t="str" cm="1">
        <f t="array" ref="J1547">_xlfn.IFS(I1547="S","Southamptom",I1547="Q","Quentown",I1547="C","Cherbrug",I1547="B","Cabin")</f>
        <v>Southamptom</v>
      </c>
      <c r="K1547" t="s">
        <v>15</v>
      </c>
      <c r="L1547" s="2">
        <v>33</v>
      </c>
      <c r="M1547" s="2" t="str" cm="1">
        <f t="array" ref="M1547">_xlfn.IFS(L1547&lt;=15,"Low Fare",L1547&lt;=35,"Medium Fare",L1547&lt;=100,"High Fare",L1547&gt;=100,"Very High Fare")</f>
        <v>Medium Fare</v>
      </c>
      <c r="N1547" s="2">
        <v>1</v>
      </c>
      <c r="O1547" s="2" t="s">
        <v>30</v>
      </c>
      <c r="P1547" t="e">
        <f t="shared" si="97"/>
        <v>#VALUE!</v>
      </c>
      <c r="Q1547" t="e">
        <f t="shared" si="98"/>
        <v>#VALUE!</v>
      </c>
      <c r="R1547" t="str">
        <f t="shared" si="99"/>
        <v>No</v>
      </c>
      <c r="S1547" t="s">
        <v>13</v>
      </c>
    </row>
    <row r="1548" spans="1:19" hidden="1" x14ac:dyDescent="0.3">
      <c r="A1548" s="1" t="s">
        <v>302</v>
      </c>
      <c r="B1548" t="s">
        <v>1596</v>
      </c>
      <c r="C1548" t="s">
        <v>2003</v>
      </c>
      <c r="D1548" t="str">
        <f t="shared" si="96"/>
        <v>Male</v>
      </c>
      <c r="E1548" t="s">
        <v>9</v>
      </c>
      <c r="F1548" s="2">
        <v>27</v>
      </c>
      <c r="G1548" s="2" t="str" cm="1">
        <f t="array" ref="G1548">_xlfn.IFS(F1548&lt;=8,"Child",F1548&lt;=17,"Teen",F1548&lt;=35,"Adult",F1548&lt;=55,"Seniour Adult",F1548&gt;=55,"Old Age")</f>
        <v>Adult</v>
      </c>
      <c r="H1548" t="s">
        <v>51</v>
      </c>
      <c r="I1548" t="s">
        <v>11</v>
      </c>
      <c r="J1548" t="str" cm="1">
        <f t="array" ref="J1548">_xlfn.IFS(I1548="S","Southamptom",I1548="Q","Quentown",I1548="C","Cherbrug",I1548="B","Cabin")</f>
        <v>Southamptom</v>
      </c>
      <c r="K1548" t="s">
        <v>15</v>
      </c>
      <c r="L1548" s="2">
        <v>33</v>
      </c>
      <c r="M1548" s="2" t="str" cm="1">
        <f t="array" ref="M1548">_xlfn.IFS(L1548&lt;=15,"Low Fare",L1548&lt;=35,"Medium Fare",L1548&lt;=100,"High Fare",L1548&gt;=100,"Very High Fare")</f>
        <v>Medium Fare</v>
      </c>
      <c r="N1548" s="2">
        <v>1</v>
      </c>
      <c r="O1548" s="2" t="s">
        <v>30</v>
      </c>
      <c r="P1548" t="e">
        <f t="shared" si="97"/>
        <v>#VALUE!</v>
      </c>
      <c r="Q1548" t="e">
        <f t="shared" si="98"/>
        <v>#VALUE!</v>
      </c>
      <c r="R1548" t="str">
        <f t="shared" si="99"/>
        <v>No</v>
      </c>
      <c r="S1548" t="s">
        <v>13</v>
      </c>
    </row>
    <row r="1549" spans="1:19" hidden="1" x14ac:dyDescent="0.3">
      <c r="A1549" s="1" t="s">
        <v>1137</v>
      </c>
      <c r="B1549" t="s">
        <v>1596</v>
      </c>
      <c r="C1549" t="s">
        <v>2847</v>
      </c>
      <c r="D1549" t="str">
        <f t="shared" si="96"/>
        <v>Male</v>
      </c>
      <c r="E1549" t="s">
        <v>9</v>
      </c>
      <c r="F1549" s="2">
        <v>36</v>
      </c>
      <c r="G1549" s="2" t="str" cm="1">
        <f t="array" ref="G1549">_xlfn.IFS(F1549&lt;=8,"Child",F1549&lt;=17,"Teen",F1549&lt;=35,"Adult",F1549&lt;=55,"Seniour Adult",F1549&gt;=55,"Old Age")</f>
        <v>Seniour Adult</v>
      </c>
      <c r="H1549" t="s">
        <v>51</v>
      </c>
      <c r="I1549" t="s">
        <v>28</v>
      </c>
      <c r="J1549" t="str" cm="1">
        <f t="array" ref="J1549">_xlfn.IFS(I1549="S","Southamptom",I1549="Q","Quentown",I1549="C","Cherbrug",I1549="B","Cabin")</f>
        <v>Cabin</v>
      </c>
      <c r="K1549" t="s">
        <v>37</v>
      </c>
      <c r="L1549" s="2">
        <v>33</v>
      </c>
      <c r="M1549" s="2" t="str" cm="1">
        <f t="array" ref="M1549">_xlfn.IFS(L1549&lt;=15,"Low Fare",L1549&lt;=35,"Medium Fare",L1549&lt;=100,"High Fare",L1549&gt;=100,"Very High Fare")</f>
        <v>Medium Fare</v>
      </c>
      <c r="N1549" s="2">
        <v>1</v>
      </c>
      <c r="O1549" s="2" t="s">
        <v>30</v>
      </c>
      <c r="P1549" t="e">
        <f t="shared" si="97"/>
        <v>#VALUE!</v>
      </c>
      <c r="Q1549" t="e">
        <f t="shared" si="98"/>
        <v>#VALUE!</v>
      </c>
      <c r="R1549" t="str">
        <f t="shared" si="99"/>
        <v>No</v>
      </c>
      <c r="S1549" t="s">
        <v>13</v>
      </c>
    </row>
    <row r="1550" spans="1:19" hidden="1" x14ac:dyDescent="0.3">
      <c r="A1550" s="1" t="s">
        <v>1138</v>
      </c>
      <c r="B1550" t="s">
        <v>1596</v>
      </c>
      <c r="C1550" t="s">
        <v>1619</v>
      </c>
      <c r="D1550" t="str">
        <f t="shared" si="96"/>
        <v>Male</v>
      </c>
      <c r="E1550" t="s">
        <v>9</v>
      </c>
      <c r="F1550" s="2">
        <v>48</v>
      </c>
      <c r="G1550" s="2" t="str" cm="1">
        <f t="array" ref="G1550">_xlfn.IFS(F1550&lt;=8,"Child",F1550&lt;=17,"Teen",F1550&lt;=35,"Adult",F1550&lt;=55,"Seniour Adult",F1550&gt;=55,"Old Age")</f>
        <v>Seniour Adult</v>
      </c>
      <c r="H1550" t="s">
        <v>69</v>
      </c>
      <c r="I1550" t="s">
        <v>11</v>
      </c>
      <c r="J1550" t="str" cm="1">
        <f t="array" ref="J1550">_xlfn.IFS(I1550="S","Southamptom",I1550="Q","Quentown",I1550="C","Cherbrug",I1550="B","Cabin")</f>
        <v>Southamptom</v>
      </c>
      <c r="K1550" t="s">
        <v>15</v>
      </c>
      <c r="L1550" s="2">
        <v>33</v>
      </c>
      <c r="M1550" s="2" t="str" cm="1">
        <f t="array" ref="M1550">_xlfn.IFS(L1550&lt;=15,"Low Fare",L1550&lt;=35,"Medium Fare",L1550&lt;=100,"High Fare",L1550&gt;=100,"Very High Fare")</f>
        <v>Medium Fare</v>
      </c>
      <c r="N1550" s="2">
        <v>1</v>
      </c>
      <c r="O1550" s="2" t="s">
        <v>30</v>
      </c>
      <c r="P1550" t="e">
        <f t="shared" si="97"/>
        <v>#VALUE!</v>
      </c>
      <c r="Q1550" t="e">
        <f t="shared" si="98"/>
        <v>#VALUE!</v>
      </c>
      <c r="R1550" t="str">
        <f t="shared" si="99"/>
        <v>No</v>
      </c>
      <c r="S1550" t="s">
        <v>13</v>
      </c>
    </row>
    <row r="1551" spans="1:19" hidden="1" x14ac:dyDescent="0.3">
      <c r="A1551" s="1" t="s">
        <v>1139</v>
      </c>
      <c r="B1551" t="s">
        <v>1596</v>
      </c>
      <c r="C1551" t="s">
        <v>1965</v>
      </c>
      <c r="D1551" t="str">
        <f t="shared" si="96"/>
        <v>Male</v>
      </c>
      <c r="E1551" t="s">
        <v>9</v>
      </c>
      <c r="F1551" s="2">
        <v>38</v>
      </c>
      <c r="G1551" s="2" t="str" cm="1">
        <f t="array" ref="G1551">_xlfn.IFS(F1551&lt;=8,"Child",F1551&lt;=17,"Teen",F1551&lt;=35,"Adult",F1551&lt;=55,"Seniour Adult",F1551&gt;=55,"Old Age")</f>
        <v>Seniour Adult</v>
      </c>
      <c r="H1551" t="s">
        <v>51</v>
      </c>
      <c r="I1551" t="s">
        <v>11</v>
      </c>
      <c r="J1551" t="str" cm="1">
        <f t="array" ref="J1551">_xlfn.IFS(I1551="S","Southamptom",I1551="Q","Quentown",I1551="C","Cherbrug",I1551="B","Cabin")</f>
        <v>Southamptom</v>
      </c>
      <c r="K1551" t="s">
        <v>15</v>
      </c>
      <c r="L1551" s="2">
        <v>33</v>
      </c>
      <c r="M1551" s="2" t="str" cm="1">
        <f t="array" ref="M1551">_xlfn.IFS(L1551&lt;=15,"Low Fare",L1551&lt;=35,"Medium Fare",L1551&lt;=100,"High Fare",L1551&gt;=100,"Very High Fare")</f>
        <v>Medium Fare</v>
      </c>
      <c r="N1551" s="2">
        <v>1</v>
      </c>
      <c r="O1551" s="2" t="s">
        <v>30</v>
      </c>
      <c r="P1551" t="e">
        <f t="shared" si="97"/>
        <v>#VALUE!</v>
      </c>
      <c r="Q1551" t="e">
        <f t="shared" si="98"/>
        <v>#VALUE!</v>
      </c>
      <c r="R1551" t="str">
        <f t="shared" si="99"/>
        <v>No</v>
      </c>
      <c r="S1551" t="s">
        <v>13</v>
      </c>
    </row>
    <row r="1552" spans="1:19" hidden="1" x14ac:dyDescent="0.3">
      <c r="A1552" s="1" t="s">
        <v>1140</v>
      </c>
      <c r="B1552" t="s">
        <v>1596</v>
      </c>
      <c r="C1552" t="s">
        <v>2848</v>
      </c>
      <c r="D1552" t="str">
        <f t="shared" si="96"/>
        <v>Male</v>
      </c>
      <c r="E1552" t="s">
        <v>9</v>
      </c>
      <c r="F1552" s="2">
        <v>24</v>
      </c>
      <c r="G1552" s="2" t="str" cm="1">
        <f t="array" ref="G1552">_xlfn.IFS(F1552&lt;=8,"Child",F1552&lt;=17,"Teen",F1552&lt;=35,"Adult",F1552&lt;=55,"Seniour Adult",F1552&gt;=55,"Old Age")</f>
        <v>Adult</v>
      </c>
      <c r="H1552" t="s">
        <v>51</v>
      </c>
      <c r="I1552" t="s">
        <v>28</v>
      </c>
      <c r="J1552" t="str" cm="1">
        <f t="array" ref="J1552">_xlfn.IFS(I1552="S","Southamptom",I1552="Q","Quentown",I1552="C","Cherbrug",I1552="B","Cabin")</f>
        <v>Cabin</v>
      </c>
      <c r="K1552" t="s">
        <v>39</v>
      </c>
      <c r="L1552" s="2">
        <v>33</v>
      </c>
      <c r="M1552" s="2" t="str" cm="1">
        <f t="array" ref="M1552">_xlfn.IFS(L1552&lt;=15,"Low Fare",L1552&lt;=35,"Medium Fare",L1552&lt;=100,"High Fare",L1552&gt;=100,"Very High Fare")</f>
        <v>Medium Fare</v>
      </c>
      <c r="N1552" s="2">
        <v>1</v>
      </c>
      <c r="O1552" s="2" t="s">
        <v>30</v>
      </c>
      <c r="P1552" t="e">
        <f t="shared" si="97"/>
        <v>#VALUE!</v>
      </c>
      <c r="Q1552" t="e">
        <f t="shared" si="98"/>
        <v>#VALUE!</v>
      </c>
      <c r="R1552" t="str">
        <f t="shared" si="99"/>
        <v>No</v>
      </c>
      <c r="S1552" t="s">
        <v>13</v>
      </c>
    </row>
    <row r="1553" spans="1:19" hidden="1" x14ac:dyDescent="0.3">
      <c r="A1553" s="1" t="s">
        <v>1140</v>
      </c>
      <c r="B1553" t="s">
        <v>1596</v>
      </c>
      <c r="C1553" t="s">
        <v>1621</v>
      </c>
      <c r="D1553" t="str">
        <f t="shared" si="96"/>
        <v>Male</v>
      </c>
      <c r="E1553" t="s">
        <v>9</v>
      </c>
      <c r="F1553" s="2">
        <v>33</v>
      </c>
      <c r="G1553" s="2" t="str" cm="1">
        <f t="array" ref="G1553">_xlfn.IFS(F1553&lt;=8,"Child",F1553&lt;=17,"Teen",F1553&lt;=35,"Adult",F1553&lt;=55,"Seniour Adult",F1553&gt;=55,"Old Age")</f>
        <v>Adult</v>
      </c>
      <c r="H1553" t="s">
        <v>69</v>
      </c>
      <c r="I1553" t="s">
        <v>11</v>
      </c>
      <c r="J1553" t="str" cm="1">
        <f t="array" ref="J1553">_xlfn.IFS(I1553="S","Southamptom",I1553="Q","Quentown",I1553="C","Cherbrug",I1553="B","Cabin")</f>
        <v>Southamptom</v>
      </c>
      <c r="K1553" t="s">
        <v>15</v>
      </c>
      <c r="L1553" s="2">
        <v>33</v>
      </c>
      <c r="M1553" s="2" t="str" cm="1">
        <f t="array" ref="M1553">_xlfn.IFS(L1553&lt;=15,"Low Fare",L1553&lt;=35,"Medium Fare",L1553&lt;=100,"High Fare",L1553&gt;=100,"Very High Fare")</f>
        <v>Medium Fare</v>
      </c>
      <c r="N1553" s="2">
        <v>1</v>
      </c>
      <c r="O1553" s="2" t="s">
        <v>30</v>
      </c>
      <c r="P1553" t="e">
        <f t="shared" si="97"/>
        <v>#VALUE!</v>
      </c>
      <c r="Q1553" t="e">
        <f t="shared" si="98"/>
        <v>#VALUE!</v>
      </c>
      <c r="R1553" t="str">
        <f t="shared" si="99"/>
        <v>No</v>
      </c>
      <c r="S1553" t="s">
        <v>13</v>
      </c>
    </row>
    <row r="1554" spans="1:19" hidden="1" x14ac:dyDescent="0.3">
      <c r="A1554" s="1" t="s">
        <v>1141</v>
      </c>
      <c r="B1554" t="s">
        <v>1596</v>
      </c>
      <c r="C1554" t="s">
        <v>1945</v>
      </c>
      <c r="D1554" t="str">
        <f t="shared" si="96"/>
        <v>Male</v>
      </c>
      <c r="E1554" t="s">
        <v>9</v>
      </c>
      <c r="F1554" s="2">
        <v>41</v>
      </c>
      <c r="G1554" s="2" t="str" cm="1">
        <f t="array" ref="G1554">_xlfn.IFS(F1554&lt;=8,"Child",F1554&lt;=17,"Teen",F1554&lt;=35,"Adult",F1554&lt;=55,"Seniour Adult",F1554&gt;=55,"Old Age")</f>
        <v>Seniour Adult</v>
      </c>
      <c r="H1554" t="s">
        <v>51</v>
      </c>
      <c r="I1554" t="s">
        <v>11</v>
      </c>
      <c r="J1554" t="str" cm="1">
        <f t="array" ref="J1554">_xlfn.IFS(I1554="S","Southamptom",I1554="Q","Quentown",I1554="C","Cherbrug",I1554="B","Cabin")</f>
        <v>Southamptom</v>
      </c>
      <c r="K1554" t="s">
        <v>15</v>
      </c>
      <c r="L1554" s="2">
        <v>33</v>
      </c>
      <c r="M1554" s="2" t="str" cm="1">
        <f t="array" ref="M1554">_xlfn.IFS(L1554&lt;=15,"Low Fare",L1554&lt;=35,"Medium Fare",L1554&lt;=100,"High Fare",L1554&gt;=100,"Very High Fare")</f>
        <v>Medium Fare</v>
      </c>
      <c r="N1554" s="2">
        <v>1</v>
      </c>
      <c r="O1554" s="2" t="s">
        <v>30</v>
      </c>
      <c r="P1554" t="e">
        <f t="shared" si="97"/>
        <v>#VALUE!</v>
      </c>
      <c r="Q1554" t="e">
        <f t="shared" si="98"/>
        <v>#VALUE!</v>
      </c>
      <c r="R1554" t="str">
        <f t="shared" si="99"/>
        <v>Yes</v>
      </c>
      <c r="S1554" t="s">
        <v>16</v>
      </c>
    </row>
    <row r="1555" spans="1:19" hidden="1" x14ac:dyDescent="0.3">
      <c r="A1555" s="1" t="s">
        <v>1142</v>
      </c>
      <c r="B1555" t="s">
        <v>1596</v>
      </c>
      <c r="C1555" t="s">
        <v>1898</v>
      </c>
      <c r="D1555" t="str">
        <f t="shared" si="96"/>
        <v>Male</v>
      </c>
      <c r="E1555" t="s">
        <v>9</v>
      </c>
      <c r="F1555" s="2">
        <v>22</v>
      </c>
      <c r="G1555" s="2" t="str" cm="1">
        <f t="array" ref="G1555">_xlfn.IFS(F1555&lt;=8,"Child",F1555&lt;=17,"Teen",F1555&lt;=35,"Adult",F1555&lt;=55,"Seniour Adult",F1555&gt;=55,"Old Age")</f>
        <v>Adult</v>
      </c>
      <c r="H1555" t="s">
        <v>51</v>
      </c>
      <c r="I1555" t="s">
        <v>11</v>
      </c>
      <c r="J1555" t="str" cm="1">
        <f t="array" ref="J1555">_xlfn.IFS(I1555="S","Southamptom",I1555="Q","Quentown",I1555="C","Cherbrug",I1555="B","Cabin")</f>
        <v>Southamptom</v>
      </c>
      <c r="K1555" t="s">
        <v>15</v>
      </c>
      <c r="L1555" s="2">
        <v>33</v>
      </c>
      <c r="M1555" s="2" t="str" cm="1">
        <f t="array" ref="M1555">_xlfn.IFS(L1555&lt;=15,"Low Fare",L1555&lt;=35,"Medium Fare",L1555&lt;=100,"High Fare",L1555&gt;=100,"Very High Fare")</f>
        <v>Medium Fare</v>
      </c>
      <c r="N1555" s="2">
        <v>1</v>
      </c>
      <c r="O1555" s="2" t="s">
        <v>30</v>
      </c>
      <c r="P1555" t="e">
        <f t="shared" si="97"/>
        <v>#VALUE!</v>
      </c>
      <c r="Q1555" t="e">
        <f t="shared" si="98"/>
        <v>#VALUE!</v>
      </c>
      <c r="R1555" t="str">
        <f t="shared" si="99"/>
        <v>No</v>
      </c>
      <c r="S1555" t="s">
        <v>13</v>
      </c>
    </row>
    <row r="1556" spans="1:19" hidden="1" x14ac:dyDescent="0.3">
      <c r="A1556" s="1" t="s">
        <v>1143</v>
      </c>
      <c r="B1556" t="s">
        <v>1596</v>
      </c>
      <c r="C1556" t="s">
        <v>2259</v>
      </c>
      <c r="D1556" t="str">
        <f t="shared" si="96"/>
        <v>Male</v>
      </c>
      <c r="E1556" t="s">
        <v>9</v>
      </c>
      <c r="F1556" s="2">
        <v>44</v>
      </c>
      <c r="G1556" s="2" t="str" cm="1">
        <f t="array" ref="G1556">_xlfn.IFS(F1556&lt;=8,"Child",F1556&lt;=17,"Teen",F1556&lt;=35,"Adult",F1556&lt;=55,"Seniour Adult",F1556&gt;=55,"Old Age")</f>
        <v>Seniour Adult</v>
      </c>
      <c r="H1556" t="s">
        <v>51</v>
      </c>
      <c r="I1556" t="s">
        <v>11</v>
      </c>
      <c r="J1556" t="str" cm="1">
        <f t="array" ref="J1556">_xlfn.IFS(I1556="S","Southamptom",I1556="Q","Quentown",I1556="C","Cherbrug",I1556="B","Cabin")</f>
        <v>Southamptom</v>
      </c>
      <c r="K1556" t="s">
        <v>15</v>
      </c>
      <c r="L1556" s="2">
        <v>33</v>
      </c>
      <c r="M1556" s="2" t="str" cm="1">
        <f t="array" ref="M1556">_xlfn.IFS(L1556&lt;=15,"Low Fare",L1556&lt;=35,"Medium Fare",L1556&lt;=100,"High Fare",L1556&gt;=100,"Very High Fare")</f>
        <v>Medium Fare</v>
      </c>
      <c r="N1556" s="2">
        <v>1</v>
      </c>
      <c r="O1556" s="2" t="s">
        <v>30</v>
      </c>
      <c r="P1556" t="e">
        <f t="shared" si="97"/>
        <v>#VALUE!</v>
      </c>
      <c r="Q1556" t="e">
        <f t="shared" si="98"/>
        <v>#VALUE!</v>
      </c>
      <c r="R1556" t="str">
        <f t="shared" si="99"/>
        <v>No</v>
      </c>
      <c r="S1556" t="s">
        <v>13</v>
      </c>
    </row>
    <row r="1557" spans="1:19" hidden="1" x14ac:dyDescent="0.3">
      <c r="A1557" s="1" t="s">
        <v>1144</v>
      </c>
      <c r="B1557" t="s">
        <v>1596</v>
      </c>
      <c r="C1557" t="s">
        <v>2849</v>
      </c>
      <c r="D1557" t="str">
        <f t="shared" si="96"/>
        <v>Male</v>
      </c>
      <c r="E1557" t="s">
        <v>9</v>
      </c>
      <c r="F1557" s="2">
        <v>23</v>
      </c>
      <c r="G1557" s="2" t="str" cm="1">
        <f t="array" ref="G1557">_xlfn.IFS(F1557&lt;=8,"Child",F1557&lt;=17,"Teen",F1557&lt;=35,"Adult",F1557&lt;=55,"Seniour Adult",F1557&gt;=55,"Old Age")</f>
        <v>Adult</v>
      </c>
      <c r="H1557" t="s">
        <v>69</v>
      </c>
      <c r="I1557" t="s">
        <v>11</v>
      </c>
      <c r="J1557" t="str" cm="1">
        <f t="array" ref="J1557">_xlfn.IFS(I1557="S","Southamptom",I1557="Q","Quentown",I1557="C","Cherbrug",I1557="B","Cabin")</f>
        <v>Southamptom</v>
      </c>
      <c r="K1557" t="s">
        <v>15</v>
      </c>
      <c r="L1557" s="2">
        <v>33</v>
      </c>
      <c r="M1557" s="2" t="str" cm="1">
        <f t="array" ref="M1557">_xlfn.IFS(L1557&lt;=15,"Low Fare",L1557&lt;=35,"Medium Fare",L1557&lt;=100,"High Fare",L1557&gt;=100,"Very High Fare")</f>
        <v>Medium Fare</v>
      </c>
      <c r="N1557" s="2">
        <v>1</v>
      </c>
      <c r="O1557" s="2" t="s">
        <v>30</v>
      </c>
      <c r="P1557" t="e">
        <f t="shared" si="97"/>
        <v>#VALUE!</v>
      </c>
      <c r="Q1557" t="e">
        <f t="shared" si="98"/>
        <v>#VALUE!</v>
      </c>
      <c r="R1557" t="str">
        <f t="shared" si="99"/>
        <v>No</v>
      </c>
      <c r="S1557" t="s">
        <v>13</v>
      </c>
    </row>
    <row r="1558" spans="1:19" hidden="1" x14ac:dyDescent="0.3">
      <c r="A1558" s="1" t="s">
        <v>1145</v>
      </c>
      <c r="B1558" t="s">
        <v>1596</v>
      </c>
      <c r="C1558" t="s">
        <v>2850</v>
      </c>
      <c r="D1558" t="str">
        <f t="shared" si="96"/>
        <v>Male</v>
      </c>
      <c r="E1558" t="s">
        <v>9</v>
      </c>
      <c r="F1558" s="2">
        <v>23</v>
      </c>
      <c r="G1558" s="2" t="str" cm="1">
        <f t="array" ref="G1558">_xlfn.IFS(F1558&lt;=8,"Child",F1558&lt;=17,"Teen",F1558&lt;=35,"Adult",F1558&lt;=55,"Seniour Adult",F1558&gt;=55,"Old Age")</f>
        <v>Adult</v>
      </c>
      <c r="H1558" t="s">
        <v>69</v>
      </c>
      <c r="I1558" t="s">
        <v>11</v>
      </c>
      <c r="J1558" t="str" cm="1">
        <f t="array" ref="J1558">_xlfn.IFS(I1558="S","Southamptom",I1558="Q","Quentown",I1558="C","Cherbrug",I1558="B","Cabin")</f>
        <v>Southamptom</v>
      </c>
      <c r="K1558" t="s">
        <v>15</v>
      </c>
      <c r="L1558" s="2">
        <v>33</v>
      </c>
      <c r="M1558" s="2" t="str" cm="1">
        <f t="array" ref="M1558">_xlfn.IFS(L1558&lt;=15,"Low Fare",L1558&lt;=35,"Medium Fare",L1558&lt;=100,"High Fare",L1558&gt;=100,"Very High Fare")</f>
        <v>Medium Fare</v>
      </c>
      <c r="N1558" s="2">
        <v>1</v>
      </c>
      <c r="O1558" s="2" t="s">
        <v>30</v>
      </c>
      <c r="P1558" t="e">
        <f t="shared" si="97"/>
        <v>#VALUE!</v>
      </c>
      <c r="Q1558" t="e">
        <f t="shared" si="98"/>
        <v>#VALUE!</v>
      </c>
      <c r="R1558" t="str">
        <f t="shared" si="99"/>
        <v>No</v>
      </c>
      <c r="S1558" t="s">
        <v>13</v>
      </c>
    </row>
    <row r="1559" spans="1:19" hidden="1" x14ac:dyDescent="0.3">
      <c r="A1559" s="1" t="s">
        <v>1146</v>
      </c>
      <c r="B1559" t="s">
        <v>1596</v>
      </c>
      <c r="C1559" t="s">
        <v>2428</v>
      </c>
      <c r="D1559" t="str">
        <f t="shared" si="96"/>
        <v>Male</v>
      </c>
      <c r="E1559" t="s">
        <v>9</v>
      </c>
      <c r="F1559" s="2">
        <v>39</v>
      </c>
      <c r="G1559" s="2" t="str" cm="1">
        <f t="array" ref="G1559">_xlfn.IFS(F1559&lt;=8,"Child",F1559&lt;=17,"Teen",F1559&lt;=35,"Adult",F1559&lt;=55,"Seniour Adult",F1559&gt;=55,"Old Age")</f>
        <v>Seniour Adult</v>
      </c>
      <c r="H1559" t="s">
        <v>69</v>
      </c>
      <c r="I1559" t="s">
        <v>11</v>
      </c>
      <c r="J1559" t="str" cm="1">
        <f t="array" ref="J1559">_xlfn.IFS(I1559="S","Southamptom",I1559="Q","Quentown",I1559="C","Cherbrug",I1559="B","Cabin")</f>
        <v>Southamptom</v>
      </c>
      <c r="K1559" t="s">
        <v>15</v>
      </c>
      <c r="L1559" s="2">
        <v>33</v>
      </c>
      <c r="M1559" s="2" t="str" cm="1">
        <f t="array" ref="M1559">_xlfn.IFS(L1559&lt;=15,"Low Fare",L1559&lt;=35,"Medium Fare",L1559&lt;=100,"High Fare",L1559&gt;=100,"Very High Fare")</f>
        <v>Medium Fare</v>
      </c>
      <c r="N1559" s="2">
        <v>1</v>
      </c>
      <c r="O1559" s="2" t="s">
        <v>30</v>
      </c>
      <c r="P1559" t="e">
        <f t="shared" si="97"/>
        <v>#VALUE!</v>
      </c>
      <c r="Q1559" t="e">
        <f t="shared" si="98"/>
        <v>#VALUE!</v>
      </c>
      <c r="R1559" t="str">
        <f t="shared" si="99"/>
        <v>No</v>
      </c>
      <c r="S1559" t="s">
        <v>13</v>
      </c>
    </row>
    <row r="1560" spans="1:19" hidden="1" x14ac:dyDescent="0.3">
      <c r="A1560" s="1" t="s">
        <v>1147</v>
      </c>
      <c r="B1560" t="s">
        <v>1596</v>
      </c>
      <c r="C1560" t="s">
        <v>2851</v>
      </c>
      <c r="D1560" t="str">
        <f t="shared" si="96"/>
        <v>Male</v>
      </c>
      <c r="E1560" t="s">
        <v>9</v>
      </c>
      <c r="F1560" s="2">
        <v>39</v>
      </c>
      <c r="G1560" s="2" t="str" cm="1">
        <f t="array" ref="G1560">_xlfn.IFS(F1560&lt;=8,"Child",F1560&lt;=17,"Teen",F1560&lt;=35,"Adult",F1560&lt;=55,"Seniour Adult",F1560&gt;=55,"Old Age")</f>
        <v>Seniour Adult</v>
      </c>
      <c r="H1560" t="s">
        <v>69</v>
      </c>
      <c r="I1560" t="s">
        <v>11</v>
      </c>
      <c r="J1560" t="str" cm="1">
        <f t="array" ref="J1560">_xlfn.IFS(I1560="S","Southamptom",I1560="Q","Quentown",I1560="C","Cherbrug",I1560="B","Cabin")</f>
        <v>Southamptom</v>
      </c>
      <c r="K1560" t="s">
        <v>40</v>
      </c>
      <c r="L1560" s="2">
        <v>33</v>
      </c>
      <c r="M1560" s="2" t="str" cm="1">
        <f t="array" ref="M1560">_xlfn.IFS(L1560&lt;=15,"Low Fare",L1560&lt;=35,"Medium Fare",L1560&lt;=100,"High Fare",L1560&gt;=100,"Very High Fare")</f>
        <v>Medium Fare</v>
      </c>
      <c r="N1560" s="2">
        <v>1</v>
      </c>
      <c r="O1560" s="2" t="s">
        <v>30</v>
      </c>
      <c r="P1560" t="e">
        <f t="shared" si="97"/>
        <v>#VALUE!</v>
      </c>
      <c r="Q1560" t="e">
        <f t="shared" si="98"/>
        <v>#VALUE!</v>
      </c>
      <c r="R1560" t="str">
        <f t="shared" si="99"/>
        <v>No</v>
      </c>
      <c r="S1560" t="s">
        <v>13</v>
      </c>
    </row>
    <row r="1561" spans="1:19" hidden="1" x14ac:dyDescent="0.3">
      <c r="A1561" s="1" t="s">
        <v>1148</v>
      </c>
      <c r="B1561" t="s">
        <v>1596</v>
      </c>
      <c r="C1561" t="s">
        <v>1621</v>
      </c>
      <c r="D1561" t="str">
        <f t="shared" si="96"/>
        <v>Male</v>
      </c>
      <c r="E1561" t="s">
        <v>9</v>
      </c>
      <c r="F1561" s="2">
        <v>48</v>
      </c>
      <c r="G1561" s="2" t="str" cm="1">
        <f t="array" ref="G1561">_xlfn.IFS(F1561&lt;=8,"Child",F1561&lt;=17,"Teen",F1561&lt;=35,"Adult",F1561&lt;=55,"Seniour Adult",F1561&gt;=55,"Old Age")</f>
        <v>Seniour Adult</v>
      </c>
      <c r="H1561" t="s">
        <v>69</v>
      </c>
      <c r="I1561" t="s">
        <v>11</v>
      </c>
      <c r="J1561" t="str" cm="1">
        <f t="array" ref="J1561">_xlfn.IFS(I1561="S","Southamptom",I1561="Q","Quentown",I1561="C","Cherbrug",I1561="B","Cabin")</f>
        <v>Southamptom</v>
      </c>
      <c r="K1561" t="s">
        <v>15</v>
      </c>
      <c r="L1561" s="2">
        <v>33</v>
      </c>
      <c r="M1561" s="2" t="str" cm="1">
        <f t="array" ref="M1561">_xlfn.IFS(L1561&lt;=15,"Low Fare",L1561&lt;=35,"Medium Fare",L1561&lt;=100,"High Fare",L1561&gt;=100,"Very High Fare")</f>
        <v>Medium Fare</v>
      </c>
      <c r="N1561" s="2">
        <v>1</v>
      </c>
      <c r="O1561" s="2" t="s">
        <v>30</v>
      </c>
      <c r="P1561" t="e">
        <f t="shared" si="97"/>
        <v>#VALUE!</v>
      </c>
      <c r="Q1561" t="e">
        <f t="shared" si="98"/>
        <v>#VALUE!</v>
      </c>
      <c r="R1561" t="str">
        <f t="shared" si="99"/>
        <v>No</v>
      </c>
      <c r="S1561" t="s">
        <v>13</v>
      </c>
    </row>
    <row r="1562" spans="1:19" hidden="1" x14ac:dyDescent="0.3">
      <c r="A1562" s="1" t="s">
        <v>1149</v>
      </c>
      <c r="B1562" t="s">
        <v>1596</v>
      </c>
      <c r="C1562" t="s">
        <v>2852</v>
      </c>
      <c r="D1562" t="str">
        <f t="shared" si="96"/>
        <v>Male</v>
      </c>
      <c r="E1562" t="s">
        <v>9</v>
      </c>
      <c r="F1562" s="2">
        <v>23</v>
      </c>
      <c r="G1562" s="2" t="str" cm="1">
        <f t="array" ref="G1562">_xlfn.IFS(F1562&lt;=8,"Child",F1562&lt;=17,"Teen",F1562&lt;=35,"Adult",F1562&lt;=55,"Seniour Adult",F1562&gt;=55,"Old Age")</f>
        <v>Adult</v>
      </c>
      <c r="H1562" t="s">
        <v>51</v>
      </c>
      <c r="I1562" t="s">
        <v>11</v>
      </c>
      <c r="J1562" t="str" cm="1">
        <f t="array" ref="J1562">_xlfn.IFS(I1562="S","Southamptom",I1562="Q","Quentown",I1562="C","Cherbrug",I1562="B","Cabin")</f>
        <v>Southamptom</v>
      </c>
      <c r="K1562" t="s">
        <v>15</v>
      </c>
      <c r="L1562" s="2">
        <v>33</v>
      </c>
      <c r="M1562" s="2" t="str" cm="1">
        <f t="array" ref="M1562">_xlfn.IFS(L1562&lt;=15,"Low Fare",L1562&lt;=35,"Medium Fare",L1562&lt;=100,"High Fare",L1562&gt;=100,"Very High Fare")</f>
        <v>Medium Fare</v>
      </c>
      <c r="N1562" s="2">
        <v>1</v>
      </c>
      <c r="O1562" s="2" t="s">
        <v>30</v>
      </c>
      <c r="P1562" t="e">
        <f t="shared" si="97"/>
        <v>#VALUE!</v>
      </c>
      <c r="Q1562" t="e">
        <f t="shared" si="98"/>
        <v>#VALUE!</v>
      </c>
      <c r="R1562" t="str">
        <f t="shared" si="99"/>
        <v>No</v>
      </c>
      <c r="S1562" t="s">
        <v>13</v>
      </c>
    </row>
    <row r="1563" spans="1:19" hidden="1" x14ac:dyDescent="0.3">
      <c r="A1563" s="1" t="s">
        <v>1150</v>
      </c>
      <c r="B1563" t="s">
        <v>1596</v>
      </c>
      <c r="C1563" t="s">
        <v>2853</v>
      </c>
      <c r="D1563" t="str">
        <f t="shared" si="96"/>
        <v>Male</v>
      </c>
      <c r="E1563" t="s">
        <v>9</v>
      </c>
      <c r="F1563" s="2">
        <v>29</v>
      </c>
      <c r="G1563" s="2" t="str" cm="1">
        <f t="array" ref="G1563">_xlfn.IFS(F1563&lt;=8,"Child",F1563&lt;=17,"Teen",F1563&lt;=35,"Adult",F1563&lt;=55,"Seniour Adult",F1563&gt;=55,"Old Age")</f>
        <v>Adult</v>
      </c>
      <c r="H1563" t="s">
        <v>69</v>
      </c>
      <c r="I1563" t="s">
        <v>11</v>
      </c>
      <c r="J1563" t="str" cm="1">
        <f t="array" ref="J1563">_xlfn.IFS(I1563="S","Southamptom",I1563="Q","Quentown",I1563="C","Cherbrug",I1563="B","Cabin")</f>
        <v>Southamptom</v>
      </c>
      <c r="K1563" t="s">
        <v>15</v>
      </c>
      <c r="L1563" s="2">
        <v>33</v>
      </c>
      <c r="M1563" s="2" t="str" cm="1">
        <f t="array" ref="M1563">_xlfn.IFS(L1563&lt;=15,"Low Fare",L1563&lt;=35,"Medium Fare",L1563&lt;=100,"High Fare",L1563&gt;=100,"Very High Fare")</f>
        <v>Medium Fare</v>
      </c>
      <c r="N1563" s="2">
        <v>1</v>
      </c>
      <c r="O1563" s="2" t="s">
        <v>30</v>
      </c>
      <c r="P1563" t="e">
        <f t="shared" si="97"/>
        <v>#VALUE!</v>
      </c>
      <c r="Q1563" t="e">
        <f t="shared" si="98"/>
        <v>#VALUE!</v>
      </c>
      <c r="R1563" t="str">
        <f t="shared" si="99"/>
        <v>Yes</v>
      </c>
      <c r="S1563" t="s">
        <v>16</v>
      </c>
    </row>
    <row r="1564" spans="1:19" hidden="1" x14ac:dyDescent="0.3">
      <c r="A1564" s="1" t="s">
        <v>1151</v>
      </c>
      <c r="B1564" t="s">
        <v>1596</v>
      </c>
      <c r="C1564" t="s">
        <v>2069</v>
      </c>
      <c r="D1564" t="str">
        <f t="shared" si="96"/>
        <v>Male</v>
      </c>
      <c r="E1564" t="s">
        <v>9</v>
      </c>
      <c r="F1564" s="2">
        <v>34</v>
      </c>
      <c r="G1564" s="2" t="str" cm="1">
        <f t="array" ref="G1564">_xlfn.IFS(F1564&lt;=8,"Child",F1564&lt;=17,"Teen",F1564&lt;=35,"Adult",F1564&lt;=55,"Seniour Adult",F1564&gt;=55,"Old Age")</f>
        <v>Adult</v>
      </c>
      <c r="H1564" t="s">
        <v>69</v>
      </c>
      <c r="I1564" t="s">
        <v>11</v>
      </c>
      <c r="J1564" t="str" cm="1">
        <f t="array" ref="J1564">_xlfn.IFS(I1564="S","Southamptom",I1564="Q","Quentown",I1564="C","Cherbrug",I1564="B","Cabin")</f>
        <v>Southamptom</v>
      </c>
      <c r="K1564" t="s">
        <v>15</v>
      </c>
      <c r="L1564" s="2">
        <v>33</v>
      </c>
      <c r="M1564" s="2" t="str" cm="1">
        <f t="array" ref="M1564">_xlfn.IFS(L1564&lt;=15,"Low Fare",L1564&lt;=35,"Medium Fare",L1564&lt;=100,"High Fare",L1564&gt;=100,"Very High Fare")</f>
        <v>Medium Fare</v>
      </c>
      <c r="N1564" s="2">
        <v>1</v>
      </c>
      <c r="O1564" s="2" t="s">
        <v>30</v>
      </c>
      <c r="P1564" t="e">
        <f t="shared" si="97"/>
        <v>#VALUE!</v>
      </c>
      <c r="Q1564" t="e">
        <f t="shared" si="98"/>
        <v>#VALUE!</v>
      </c>
      <c r="R1564" t="str">
        <f t="shared" si="99"/>
        <v>No</v>
      </c>
      <c r="S1564" t="s">
        <v>13</v>
      </c>
    </row>
    <row r="1565" spans="1:19" hidden="1" x14ac:dyDescent="0.3">
      <c r="A1565" s="1" t="s">
        <v>1152</v>
      </c>
      <c r="B1565" t="s">
        <v>1596</v>
      </c>
      <c r="C1565" t="s">
        <v>2854</v>
      </c>
      <c r="D1565" t="str">
        <f t="shared" si="96"/>
        <v>Male</v>
      </c>
      <c r="E1565" t="s">
        <v>9</v>
      </c>
      <c r="F1565" s="2">
        <v>18</v>
      </c>
      <c r="G1565" s="2" t="str" cm="1">
        <f t="array" ref="G1565">_xlfn.IFS(F1565&lt;=8,"Child",F1565&lt;=17,"Teen",F1565&lt;=35,"Adult",F1565&lt;=55,"Seniour Adult",F1565&gt;=55,"Old Age")</f>
        <v>Adult</v>
      </c>
      <c r="H1565" t="s">
        <v>51</v>
      </c>
      <c r="I1565" t="s">
        <v>28</v>
      </c>
      <c r="J1565" t="str" cm="1">
        <f t="array" ref="J1565">_xlfn.IFS(I1565="S","Southamptom",I1565="Q","Quentown",I1565="C","Cherbrug",I1565="B","Cabin")</f>
        <v>Cabin</v>
      </c>
      <c r="K1565" t="s">
        <v>29</v>
      </c>
      <c r="L1565" s="2">
        <v>33</v>
      </c>
      <c r="M1565" s="2" t="str" cm="1">
        <f t="array" ref="M1565">_xlfn.IFS(L1565&lt;=15,"Low Fare",L1565&lt;=35,"Medium Fare",L1565&lt;=100,"High Fare",L1565&gt;=100,"Very High Fare")</f>
        <v>Medium Fare</v>
      </c>
      <c r="N1565" s="2">
        <v>1</v>
      </c>
      <c r="O1565" s="2" t="s">
        <v>30</v>
      </c>
      <c r="P1565" t="e">
        <f t="shared" si="97"/>
        <v>#VALUE!</v>
      </c>
      <c r="Q1565" t="e">
        <f t="shared" si="98"/>
        <v>#VALUE!</v>
      </c>
      <c r="R1565" t="str">
        <f t="shared" si="99"/>
        <v>No</v>
      </c>
      <c r="S1565" t="s">
        <v>13</v>
      </c>
    </row>
    <row r="1566" spans="1:19" hidden="1" x14ac:dyDescent="0.3">
      <c r="A1566" s="1" t="s">
        <v>1153</v>
      </c>
      <c r="B1566" t="s">
        <v>1596</v>
      </c>
      <c r="C1566" t="s">
        <v>2330</v>
      </c>
      <c r="D1566" t="str">
        <f t="shared" si="96"/>
        <v>Male</v>
      </c>
      <c r="E1566" t="s">
        <v>9</v>
      </c>
      <c r="F1566" s="2">
        <v>43</v>
      </c>
      <c r="G1566" s="2" t="str" cm="1">
        <f t="array" ref="G1566">_xlfn.IFS(F1566&lt;=8,"Child",F1566&lt;=17,"Teen",F1566&lt;=35,"Adult",F1566&lt;=55,"Seniour Adult",F1566&gt;=55,"Old Age")</f>
        <v>Seniour Adult</v>
      </c>
      <c r="H1566" t="s">
        <v>69</v>
      </c>
      <c r="I1566" t="s">
        <v>28</v>
      </c>
      <c r="J1566" t="str" cm="1">
        <f t="array" ref="J1566">_xlfn.IFS(I1566="S","Southamptom",I1566="Q","Quentown",I1566="C","Cherbrug",I1566="B","Cabin")</f>
        <v>Cabin</v>
      </c>
      <c r="K1566" t="s">
        <v>15</v>
      </c>
      <c r="L1566" s="2">
        <v>33</v>
      </c>
      <c r="M1566" s="2" t="str" cm="1">
        <f t="array" ref="M1566">_xlfn.IFS(L1566&lt;=15,"Low Fare",L1566&lt;=35,"Medium Fare",L1566&lt;=100,"High Fare",L1566&gt;=100,"Very High Fare")</f>
        <v>Medium Fare</v>
      </c>
      <c r="N1566" s="2">
        <v>1</v>
      </c>
      <c r="O1566" s="2" t="s">
        <v>30</v>
      </c>
      <c r="P1566" t="e">
        <f t="shared" si="97"/>
        <v>#VALUE!</v>
      </c>
      <c r="Q1566" t="e">
        <f t="shared" si="98"/>
        <v>#VALUE!</v>
      </c>
      <c r="R1566" t="str">
        <f t="shared" si="99"/>
        <v>Yes</v>
      </c>
      <c r="S1566" t="s">
        <v>16</v>
      </c>
    </row>
    <row r="1567" spans="1:19" hidden="1" x14ac:dyDescent="0.3">
      <c r="A1567" s="1" t="s">
        <v>328</v>
      </c>
      <c r="B1567" t="s">
        <v>1596</v>
      </c>
      <c r="C1567" t="s">
        <v>2855</v>
      </c>
      <c r="D1567" t="str">
        <f t="shared" si="96"/>
        <v>Male</v>
      </c>
      <c r="E1567" t="s">
        <v>9</v>
      </c>
      <c r="F1567" s="2">
        <v>25</v>
      </c>
      <c r="G1567" s="2" t="str" cm="1">
        <f t="array" ref="G1567">_xlfn.IFS(F1567&lt;=8,"Child",F1567&lt;=17,"Teen",F1567&lt;=35,"Adult",F1567&lt;=55,"Seniour Adult",F1567&gt;=55,"Old Age")</f>
        <v>Adult</v>
      </c>
      <c r="H1567" t="s">
        <v>71</v>
      </c>
      <c r="I1567" t="s">
        <v>11</v>
      </c>
      <c r="J1567" t="str" cm="1">
        <f t="array" ref="J1567">_xlfn.IFS(I1567="S","Southamptom",I1567="Q","Quentown",I1567="C","Cherbrug",I1567="B","Cabin")</f>
        <v>Southamptom</v>
      </c>
      <c r="K1567" t="s">
        <v>15</v>
      </c>
      <c r="L1567" s="2">
        <v>33</v>
      </c>
      <c r="M1567" s="2" t="str" cm="1">
        <f t="array" ref="M1567">_xlfn.IFS(L1567&lt;=15,"Low Fare",L1567&lt;=35,"Medium Fare",L1567&lt;=100,"High Fare",L1567&gt;=100,"Very High Fare")</f>
        <v>Medium Fare</v>
      </c>
      <c r="N1567" s="2">
        <v>1</v>
      </c>
      <c r="O1567" s="2" t="s">
        <v>30</v>
      </c>
      <c r="P1567" t="e">
        <f t="shared" si="97"/>
        <v>#VALUE!</v>
      </c>
      <c r="Q1567" t="e">
        <f t="shared" si="98"/>
        <v>#VALUE!</v>
      </c>
      <c r="R1567" t="str">
        <f t="shared" si="99"/>
        <v>Yes</v>
      </c>
      <c r="S1567" t="s">
        <v>16</v>
      </c>
    </row>
    <row r="1568" spans="1:19" hidden="1" x14ac:dyDescent="0.3">
      <c r="A1568" s="1" t="s">
        <v>328</v>
      </c>
      <c r="B1568" t="s">
        <v>1596</v>
      </c>
      <c r="C1568" t="s">
        <v>2856</v>
      </c>
      <c r="D1568" t="str">
        <f t="shared" si="96"/>
        <v>Male</v>
      </c>
      <c r="E1568" t="s">
        <v>9</v>
      </c>
      <c r="F1568" s="2">
        <v>27</v>
      </c>
      <c r="G1568" s="2" t="str" cm="1">
        <f t="array" ref="G1568">_xlfn.IFS(F1568&lt;=8,"Child",F1568&lt;=17,"Teen",F1568&lt;=35,"Adult",F1568&lt;=55,"Seniour Adult",F1568&gt;=55,"Old Age")</f>
        <v>Adult</v>
      </c>
      <c r="H1568" t="s">
        <v>71</v>
      </c>
      <c r="I1568" t="s">
        <v>11</v>
      </c>
      <c r="J1568" t="str" cm="1">
        <f t="array" ref="J1568">_xlfn.IFS(I1568="S","Southamptom",I1568="Q","Quentown",I1568="C","Cherbrug",I1568="B","Cabin")</f>
        <v>Southamptom</v>
      </c>
      <c r="K1568" t="s">
        <v>15</v>
      </c>
      <c r="L1568" s="2">
        <v>33</v>
      </c>
      <c r="M1568" s="2" t="str" cm="1">
        <f t="array" ref="M1568">_xlfn.IFS(L1568&lt;=15,"Low Fare",L1568&lt;=35,"Medium Fare",L1568&lt;=100,"High Fare",L1568&gt;=100,"Very High Fare")</f>
        <v>Medium Fare</v>
      </c>
      <c r="N1568" s="2">
        <v>1</v>
      </c>
      <c r="O1568" s="2" t="s">
        <v>30</v>
      </c>
      <c r="P1568" t="e">
        <f t="shared" si="97"/>
        <v>#VALUE!</v>
      </c>
      <c r="Q1568" t="e">
        <f t="shared" si="98"/>
        <v>#VALUE!</v>
      </c>
      <c r="R1568" t="str">
        <f t="shared" si="99"/>
        <v>Yes</v>
      </c>
      <c r="S1568" t="s">
        <v>16</v>
      </c>
    </row>
    <row r="1569" spans="1:19" hidden="1" x14ac:dyDescent="0.3">
      <c r="A1569" s="1" t="s">
        <v>328</v>
      </c>
      <c r="B1569" t="s">
        <v>1596</v>
      </c>
      <c r="C1569" t="s">
        <v>2857</v>
      </c>
      <c r="D1569" t="str">
        <f t="shared" si="96"/>
        <v>Male</v>
      </c>
      <c r="E1569" t="s">
        <v>9</v>
      </c>
      <c r="F1569" s="2">
        <v>27</v>
      </c>
      <c r="G1569" s="2" t="str" cm="1">
        <f t="array" ref="G1569">_xlfn.IFS(F1569&lt;=8,"Child",F1569&lt;=17,"Teen",F1569&lt;=35,"Adult",F1569&lt;=55,"Seniour Adult",F1569&gt;=55,"Old Age")</f>
        <v>Adult</v>
      </c>
      <c r="H1569" t="s">
        <v>69</v>
      </c>
      <c r="I1569" t="s">
        <v>28</v>
      </c>
      <c r="J1569" t="str" cm="1">
        <f t="array" ref="J1569">_xlfn.IFS(I1569="S","Southamptom",I1569="Q","Quentown",I1569="C","Cherbrug",I1569="B","Cabin")</f>
        <v>Cabin</v>
      </c>
      <c r="K1569" t="s">
        <v>15</v>
      </c>
      <c r="L1569" s="2">
        <v>33</v>
      </c>
      <c r="M1569" s="2" t="str" cm="1">
        <f t="array" ref="M1569">_xlfn.IFS(L1569&lt;=15,"Low Fare",L1569&lt;=35,"Medium Fare",L1569&lt;=100,"High Fare",L1569&gt;=100,"Very High Fare")</f>
        <v>Medium Fare</v>
      </c>
      <c r="N1569" s="2">
        <v>1</v>
      </c>
      <c r="O1569" s="2" t="s">
        <v>30</v>
      </c>
      <c r="P1569" t="e">
        <f t="shared" si="97"/>
        <v>#VALUE!</v>
      </c>
      <c r="Q1569" t="e">
        <f t="shared" si="98"/>
        <v>#VALUE!</v>
      </c>
      <c r="R1569" t="str">
        <f t="shared" si="99"/>
        <v>No</v>
      </c>
      <c r="S1569" t="s">
        <v>13</v>
      </c>
    </row>
    <row r="1570" spans="1:19" hidden="1" x14ac:dyDescent="0.3">
      <c r="A1570" s="1" t="s">
        <v>328</v>
      </c>
      <c r="B1570" t="s">
        <v>1596</v>
      </c>
      <c r="C1570" t="s">
        <v>1704</v>
      </c>
      <c r="D1570" t="str">
        <f t="shared" si="96"/>
        <v>Male</v>
      </c>
      <c r="E1570" t="s">
        <v>9</v>
      </c>
      <c r="F1570" s="2">
        <v>33</v>
      </c>
      <c r="G1570" s="2" t="str" cm="1">
        <f t="array" ref="G1570">_xlfn.IFS(F1570&lt;=8,"Child",F1570&lt;=17,"Teen",F1570&lt;=35,"Adult",F1570&lt;=55,"Seniour Adult",F1570&gt;=55,"Old Age")</f>
        <v>Adult</v>
      </c>
      <c r="H1570" t="s">
        <v>51</v>
      </c>
      <c r="I1570" t="s">
        <v>11</v>
      </c>
      <c r="J1570" t="str" cm="1">
        <f t="array" ref="J1570">_xlfn.IFS(I1570="S","Southamptom",I1570="Q","Quentown",I1570="C","Cherbrug",I1570="B","Cabin")</f>
        <v>Southamptom</v>
      </c>
      <c r="K1570" t="s">
        <v>15</v>
      </c>
      <c r="L1570" s="2">
        <v>33</v>
      </c>
      <c r="M1570" s="2" t="str" cm="1">
        <f t="array" ref="M1570">_xlfn.IFS(L1570&lt;=15,"Low Fare",L1570&lt;=35,"Medium Fare",L1570&lt;=100,"High Fare",L1570&gt;=100,"Very High Fare")</f>
        <v>Medium Fare</v>
      </c>
      <c r="N1570" s="2">
        <v>1</v>
      </c>
      <c r="O1570" s="2" t="s">
        <v>30</v>
      </c>
      <c r="P1570" t="e">
        <f t="shared" si="97"/>
        <v>#VALUE!</v>
      </c>
      <c r="Q1570" t="e">
        <f t="shared" si="98"/>
        <v>#VALUE!</v>
      </c>
      <c r="R1570" t="str">
        <f t="shared" si="99"/>
        <v>No</v>
      </c>
      <c r="S1570" t="s">
        <v>13</v>
      </c>
    </row>
    <row r="1571" spans="1:19" hidden="1" x14ac:dyDescent="0.3">
      <c r="A1571" s="1" t="s">
        <v>1154</v>
      </c>
      <c r="B1571" t="s">
        <v>1596</v>
      </c>
      <c r="C1571" t="s">
        <v>2858</v>
      </c>
      <c r="D1571" t="str">
        <f t="shared" si="96"/>
        <v>Male</v>
      </c>
      <c r="E1571" t="s">
        <v>9</v>
      </c>
      <c r="F1571" s="2">
        <v>38</v>
      </c>
      <c r="G1571" s="2" t="str" cm="1">
        <f t="array" ref="G1571">_xlfn.IFS(F1571&lt;=8,"Child",F1571&lt;=17,"Teen",F1571&lt;=35,"Adult",F1571&lt;=55,"Seniour Adult",F1571&gt;=55,"Old Age")</f>
        <v>Seniour Adult</v>
      </c>
      <c r="H1571" t="s">
        <v>69</v>
      </c>
      <c r="I1571" t="s">
        <v>28</v>
      </c>
      <c r="J1571" t="str" cm="1">
        <f t="array" ref="J1571">_xlfn.IFS(I1571="S","Southamptom",I1571="Q","Quentown",I1571="C","Cherbrug",I1571="B","Cabin")</f>
        <v>Cabin</v>
      </c>
      <c r="K1571" t="s">
        <v>15</v>
      </c>
      <c r="L1571" s="2">
        <v>33</v>
      </c>
      <c r="M1571" s="2" t="str" cm="1">
        <f t="array" ref="M1571">_xlfn.IFS(L1571&lt;=15,"Low Fare",L1571&lt;=35,"Medium Fare",L1571&lt;=100,"High Fare",L1571&gt;=100,"Very High Fare")</f>
        <v>Medium Fare</v>
      </c>
      <c r="N1571" s="2">
        <v>1</v>
      </c>
      <c r="O1571" s="2" t="s">
        <v>30</v>
      </c>
      <c r="P1571" t="e">
        <f t="shared" si="97"/>
        <v>#VALUE!</v>
      </c>
      <c r="Q1571" t="e">
        <f t="shared" si="98"/>
        <v>#VALUE!</v>
      </c>
      <c r="R1571" t="str">
        <f t="shared" si="99"/>
        <v>No</v>
      </c>
      <c r="S1571" t="s">
        <v>13</v>
      </c>
    </row>
    <row r="1572" spans="1:19" hidden="1" x14ac:dyDescent="0.3">
      <c r="A1572" s="1" t="s">
        <v>1155</v>
      </c>
      <c r="B1572" t="s">
        <v>1596</v>
      </c>
      <c r="C1572" t="s">
        <v>2859</v>
      </c>
      <c r="D1572" t="str">
        <f t="shared" si="96"/>
        <v>Male</v>
      </c>
      <c r="E1572" t="s">
        <v>9</v>
      </c>
      <c r="F1572" s="2">
        <v>22</v>
      </c>
      <c r="G1572" s="2" t="str" cm="1">
        <f t="array" ref="G1572">_xlfn.IFS(F1572&lt;=8,"Child",F1572&lt;=17,"Teen",F1572&lt;=35,"Adult",F1572&lt;=55,"Seniour Adult",F1572&gt;=55,"Old Age")</f>
        <v>Adult</v>
      </c>
      <c r="H1572" t="s">
        <v>69</v>
      </c>
      <c r="I1572" t="s">
        <v>28</v>
      </c>
      <c r="J1572" t="str" cm="1">
        <f t="array" ref="J1572">_xlfn.IFS(I1572="S","Southamptom",I1572="Q","Quentown",I1572="C","Cherbrug",I1572="B","Cabin")</f>
        <v>Cabin</v>
      </c>
      <c r="K1572" t="s">
        <v>15</v>
      </c>
      <c r="L1572" s="2">
        <v>33</v>
      </c>
      <c r="M1572" s="2" t="str" cm="1">
        <f t="array" ref="M1572">_xlfn.IFS(L1572&lt;=15,"Low Fare",L1572&lt;=35,"Medium Fare",L1572&lt;=100,"High Fare",L1572&gt;=100,"Very High Fare")</f>
        <v>Medium Fare</v>
      </c>
      <c r="N1572" s="2">
        <v>1</v>
      </c>
      <c r="O1572" s="2" t="s">
        <v>30</v>
      </c>
      <c r="P1572" t="e">
        <f t="shared" si="97"/>
        <v>#VALUE!</v>
      </c>
      <c r="Q1572" t="e">
        <f t="shared" si="98"/>
        <v>#VALUE!</v>
      </c>
      <c r="R1572" t="str">
        <f t="shared" si="99"/>
        <v>No</v>
      </c>
      <c r="S1572" t="s">
        <v>13</v>
      </c>
    </row>
    <row r="1573" spans="1:19" hidden="1" x14ac:dyDescent="0.3">
      <c r="A1573" s="1" t="s">
        <v>1156</v>
      </c>
      <c r="B1573" t="s">
        <v>1596</v>
      </c>
      <c r="C1573" t="s">
        <v>2094</v>
      </c>
      <c r="D1573" t="str">
        <f t="shared" si="96"/>
        <v>Male</v>
      </c>
      <c r="E1573" t="s">
        <v>9</v>
      </c>
      <c r="F1573" s="2">
        <v>39</v>
      </c>
      <c r="G1573" s="2" t="str" cm="1">
        <f t="array" ref="G1573">_xlfn.IFS(F1573&lt;=8,"Child",F1573&lt;=17,"Teen",F1573&lt;=35,"Adult",F1573&lt;=55,"Seniour Adult",F1573&gt;=55,"Old Age")</f>
        <v>Seniour Adult</v>
      </c>
      <c r="H1573" t="s">
        <v>51</v>
      </c>
      <c r="I1573" t="s">
        <v>28</v>
      </c>
      <c r="J1573" t="str" cm="1">
        <f t="array" ref="J1573">_xlfn.IFS(I1573="S","Southamptom",I1573="Q","Quentown",I1573="C","Cherbrug",I1573="B","Cabin")</f>
        <v>Cabin</v>
      </c>
      <c r="K1573" t="s">
        <v>15</v>
      </c>
      <c r="L1573" s="2">
        <v>33</v>
      </c>
      <c r="M1573" s="2" t="str" cm="1">
        <f t="array" ref="M1573">_xlfn.IFS(L1573&lt;=15,"Low Fare",L1573&lt;=35,"Medium Fare",L1573&lt;=100,"High Fare",L1573&gt;=100,"Very High Fare")</f>
        <v>Medium Fare</v>
      </c>
      <c r="N1573" s="2">
        <v>1</v>
      </c>
      <c r="O1573" s="2" t="s">
        <v>30</v>
      </c>
      <c r="P1573" t="e">
        <f t="shared" si="97"/>
        <v>#VALUE!</v>
      </c>
      <c r="Q1573" t="e">
        <f t="shared" si="98"/>
        <v>#VALUE!</v>
      </c>
      <c r="R1573" t="str">
        <f t="shared" si="99"/>
        <v>No</v>
      </c>
      <c r="S1573" t="s">
        <v>13</v>
      </c>
    </row>
    <row r="1574" spans="1:19" hidden="1" x14ac:dyDescent="0.3">
      <c r="A1574" s="1" t="s">
        <v>1157</v>
      </c>
      <c r="B1574" t="s">
        <v>1596</v>
      </c>
      <c r="C1574" t="s">
        <v>2860</v>
      </c>
      <c r="D1574" t="str">
        <f t="shared" si="96"/>
        <v>Male</v>
      </c>
      <c r="E1574" t="s">
        <v>9</v>
      </c>
      <c r="F1574" s="2">
        <v>37</v>
      </c>
      <c r="G1574" s="2" t="str" cm="1">
        <f t="array" ref="G1574">_xlfn.IFS(F1574&lt;=8,"Child",F1574&lt;=17,"Teen",F1574&lt;=35,"Adult",F1574&lt;=55,"Seniour Adult",F1574&gt;=55,"Old Age")</f>
        <v>Seniour Adult</v>
      </c>
      <c r="H1574" t="s">
        <v>69</v>
      </c>
      <c r="I1574" t="s">
        <v>28</v>
      </c>
      <c r="J1574" t="str" cm="1">
        <f t="array" ref="J1574">_xlfn.IFS(I1574="S","Southamptom",I1574="Q","Quentown",I1574="C","Cherbrug",I1574="B","Cabin")</f>
        <v>Cabin</v>
      </c>
      <c r="K1574" t="s">
        <v>15</v>
      </c>
      <c r="L1574" s="2">
        <v>33</v>
      </c>
      <c r="M1574" s="2" t="str" cm="1">
        <f t="array" ref="M1574">_xlfn.IFS(L1574&lt;=15,"Low Fare",L1574&lt;=35,"Medium Fare",L1574&lt;=100,"High Fare",L1574&gt;=100,"Very High Fare")</f>
        <v>Medium Fare</v>
      </c>
      <c r="N1574" s="2">
        <v>1</v>
      </c>
      <c r="O1574" s="2" t="s">
        <v>30</v>
      </c>
      <c r="P1574" t="e">
        <f t="shared" si="97"/>
        <v>#VALUE!</v>
      </c>
      <c r="Q1574" t="e">
        <f t="shared" si="98"/>
        <v>#VALUE!</v>
      </c>
      <c r="R1574" t="str">
        <f t="shared" si="99"/>
        <v>Yes</v>
      </c>
      <c r="S1574" t="s">
        <v>16</v>
      </c>
    </row>
    <row r="1575" spans="1:19" hidden="1" x14ac:dyDescent="0.3">
      <c r="A1575" s="1" t="s">
        <v>1158</v>
      </c>
      <c r="B1575" t="s">
        <v>1596</v>
      </c>
      <c r="C1575" t="s">
        <v>2295</v>
      </c>
      <c r="D1575" t="str">
        <f t="shared" si="96"/>
        <v>Male</v>
      </c>
      <c r="E1575" t="s">
        <v>9</v>
      </c>
      <c r="F1575" s="2">
        <v>30</v>
      </c>
      <c r="G1575" s="2" t="str" cm="1">
        <f t="array" ref="G1575">_xlfn.IFS(F1575&lt;=8,"Child",F1575&lt;=17,"Teen",F1575&lt;=35,"Adult",F1575&lt;=55,"Seniour Adult",F1575&gt;=55,"Old Age")</f>
        <v>Adult</v>
      </c>
      <c r="H1575" t="s">
        <v>51</v>
      </c>
      <c r="I1575" t="s">
        <v>11</v>
      </c>
      <c r="J1575" t="str" cm="1">
        <f t="array" ref="J1575">_xlfn.IFS(I1575="S","Southamptom",I1575="Q","Quentown",I1575="C","Cherbrug",I1575="B","Cabin")</f>
        <v>Southamptom</v>
      </c>
      <c r="K1575" t="s">
        <v>15</v>
      </c>
      <c r="L1575" s="2">
        <v>33</v>
      </c>
      <c r="M1575" s="2" t="str" cm="1">
        <f t="array" ref="M1575">_xlfn.IFS(L1575&lt;=15,"Low Fare",L1575&lt;=35,"Medium Fare",L1575&lt;=100,"High Fare",L1575&gt;=100,"Very High Fare")</f>
        <v>Medium Fare</v>
      </c>
      <c r="N1575" s="2">
        <v>1</v>
      </c>
      <c r="O1575" s="2" t="s">
        <v>30</v>
      </c>
      <c r="P1575" t="e">
        <f t="shared" si="97"/>
        <v>#VALUE!</v>
      </c>
      <c r="Q1575" t="e">
        <f t="shared" si="98"/>
        <v>#VALUE!</v>
      </c>
      <c r="R1575" t="str">
        <f t="shared" si="99"/>
        <v>No</v>
      </c>
      <c r="S1575" t="s">
        <v>13</v>
      </c>
    </row>
    <row r="1576" spans="1:19" hidden="1" x14ac:dyDescent="0.3">
      <c r="A1576" s="1" t="s">
        <v>1159</v>
      </c>
      <c r="B1576" t="s">
        <v>1596</v>
      </c>
      <c r="C1576" t="s">
        <v>1898</v>
      </c>
      <c r="D1576" t="str">
        <f t="shared" si="96"/>
        <v>Male</v>
      </c>
      <c r="E1576" t="s">
        <v>9</v>
      </c>
      <c r="F1576" s="2">
        <v>29</v>
      </c>
      <c r="G1576" s="2" t="str" cm="1">
        <f t="array" ref="G1576">_xlfn.IFS(F1576&lt;=8,"Child",F1576&lt;=17,"Teen",F1576&lt;=35,"Adult",F1576&lt;=55,"Seniour Adult",F1576&gt;=55,"Old Age")</f>
        <v>Adult</v>
      </c>
      <c r="H1576" t="s">
        <v>69</v>
      </c>
      <c r="I1576" t="s">
        <v>28</v>
      </c>
      <c r="J1576" t="str" cm="1">
        <f t="array" ref="J1576">_xlfn.IFS(I1576="S","Southamptom",I1576="Q","Quentown",I1576="C","Cherbrug",I1576="B","Cabin")</f>
        <v>Cabin</v>
      </c>
      <c r="K1576" t="s">
        <v>15</v>
      </c>
      <c r="L1576" s="2">
        <v>33</v>
      </c>
      <c r="M1576" s="2" t="str" cm="1">
        <f t="array" ref="M1576">_xlfn.IFS(L1576&lt;=15,"Low Fare",L1576&lt;=35,"Medium Fare",L1576&lt;=100,"High Fare",L1576&gt;=100,"Very High Fare")</f>
        <v>Medium Fare</v>
      </c>
      <c r="N1576" s="2">
        <v>1</v>
      </c>
      <c r="O1576" s="2" t="s">
        <v>30</v>
      </c>
      <c r="P1576" t="e">
        <f t="shared" si="97"/>
        <v>#VALUE!</v>
      </c>
      <c r="Q1576" t="e">
        <f t="shared" si="98"/>
        <v>#VALUE!</v>
      </c>
      <c r="R1576" t="str">
        <f t="shared" si="99"/>
        <v>No</v>
      </c>
      <c r="S1576" t="s">
        <v>13</v>
      </c>
    </row>
    <row r="1577" spans="1:19" hidden="1" x14ac:dyDescent="0.3">
      <c r="A1577" s="1" t="s">
        <v>1160</v>
      </c>
      <c r="B1577" t="s">
        <v>1596</v>
      </c>
      <c r="C1577" t="s">
        <v>2269</v>
      </c>
      <c r="D1577" t="str">
        <f t="shared" si="96"/>
        <v>Male</v>
      </c>
      <c r="E1577" t="s">
        <v>9</v>
      </c>
      <c r="F1577" s="2">
        <v>42</v>
      </c>
      <c r="G1577" s="2" t="str" cm="1">
        <f t="array" ref="G1577">_xlfn.IFS(F1577&lt;=8,"Child",F1577&lt;=17,"Teen",F1577&lt;=35,"Adult",F1577&lt;=55,"Seniour Adult",F1577&gt;=55,"Old Age")</f>
        <v>Seniour Adult</v>
      </c>
      <c r="H1577" t="s">
        <v>69</v>
      </c>
      <c r="I1577" t="s">
        <v>11</v>
      </c>
      <c r="J1577" t="str" cm="1">
        <f t="array" ref="J1577">_xlfn.IFS(I1577="S","Southamptom",I1577="Q","Quentown",I1577="C","Cherbrug",I1577="B","Cabin")</f>
        <v>Southamptom</v>
      </c>
      <c r="K1577" t="s">
        <v>15</v>
      </c>
      <c r="L1577" s="2">
        <v>33</v>
      </c>
      <c r="M1577" s="2" t="str" cm="1">
        <f t="array" ref="M1577">_xlfn.IFS(L1577&lt;=15,"Low Fare",L1577&lt;=35,"Medium Fare",L1577&lt;=100,"High Fare",L1577&gt;=100,"Very High Fare")</f>
        <v>Medium Fare</v>
      </c>
      <c r="N1577" s="2">
        <v>1</v>
      </c>
      <c r="O1577" s="2" t="s">
        <v>30</v>
      </c>
      <c r="P1577" t="e">
        <f t="shared" si="97"/>
        <v>#VALUE!</v>
      </c>
      <c r="Q1577" t="e">
        <f t="shared" si="98"/>
        <v>#VALUE!</v>
      </c>
      <c r="R1577" t="str">
        <f t="shared" si="99"/>
        <v>No</v>
      </c>
      <c r="S1577" t="s">
        <v>13</v>
      </c>
    </row>
    <row r="1578" spans="1:19" hidden="1" x14ac:dyDescent="0.3">
      <c r="A1578" s="1" t="s">
        <v>1161</v>
      </c>
      <c r="B1578" t="s">
        <v>1596</v>
      </c>
      <c r="C1578" t="s">
        <v>2861</v>
      </c>
      <c r="D1578" t="str">
        <f t="shared" si="96"/>
        <v>Male</v>
      </c>
      <c r="E1578" t="s">
        <v>9</v>
      </c>
      <c r="F1578" s="2">
        <v>33</v>
      </c>
      <c r="G1578" s="2" t="str" cm="1">
        <f t="array" ref="G1578">_xlfn.IFS(F1578&lt;=8,"Child",F1578&lt;=17,"Teen",F1578&lt;=35,"Adult",F1578&lt;=55,"Seniour Adult",F1578&gt;=55,"Old Age")</f>
        <v>Adult</v>
      </c>
      <c r="H1578" t="s">
        <v>51</v>
      </c>
      <c r="I1578" t="s">
        <v>11</v>
      </c>
      <c r="J1578" t="str" cm="1">
        <f t="array" ref="J1578">_xlfn.IFS(I1578="S","Southamptom",I1578="Q","Quentown",I1578="C","Cherbrug",I1578="B","Cabin")</f>
        <v>Southamptom</v>
      </c>
      <c r="K1578" t="s">
        <v>15</v>
      </c>
      <c r="L1578" s="2">
        <v>33</v>
      </c>
      <c r="M1578" s="2" t="str" cm="1">
        <f t="array" ref="M1578">_xlfn.IFS(L1578&lt;=15,"Low Fare",L1578&lt;=35,"Medium Fare",L1578&lt;=100,"High Fare",L1578&gt;=100,"Very High Fare")</f>
        <v>Medium Fare</v>
      </c>
      <c r="N1578" s="2">
        <v>1</v>
      </c>
      <c r="O1578" s="2" t="s">
        <v>30</v>
      </c>
      <c r="P1578" t="e">
        <f t="shared" si="97"/>
        <v>#VALUE!</v>
      </c>
      <c r="Q1578" t="e">
        <f t="shared" si="98"/>
        <v>#VALUE!</v>
      </c>
      <c r="R1578" t="str">
        <f t="shared" si="99"/>
        <v>No</v>
      </c>
      <c r="S1578" t="s">
        <v>13</v>
      </c>
    </row>
    <row r="1579" spans="1:19" hidden="1" x14ac:dyDescent="0.3">
      <c r="A1579" s="1" t="s">
        <v>1162</v>
      </c>
      <c r="B1579" t="s">
        <v>1596</v>
      </c>
      <c r="C1579" t="s">
        <v>1619</v>
      </c>
      <c r="D1579" t="str">
        <f t="shared" si="96"/>
        <v>Male</v>
      </c>
      <c r="E1579" t="s">
        <v>9</v>
      </c>
      <c r="F1579" s="2">
        <v>39</v>
      </c>
      <c r="G1579" s="2" t="str" cm="1">
        <f t="array" ref="G1579">_xlfn.IFS(F1579&lt;=8,"Child",F1579&lt;=17,"Teen",F1579&lt;=35,"Adult",F1579&lt;=55,"Seniour Adult",F1579&gt;=55,"Old Age")</f>
        <v>Seniour Adult</v>
      </c>
      <c r="H1579" t="s">
        <v>51</v>
      </c>
      <c r="I1579" t="s">
        <v>11</v>
      </c>
      <c r="J1579" t="str" cm="1">
        <f t="array" ref="J1579">_xlfn.IFS(I1579="S","Southamptom",I1579="Q","Quentown",I1579="C","Cherbrug",I1579="B","Cabin")</f>
        <v>Southamptom</v>
      </c>
      <c r="K1579" t="s">
        <v>15</v>
      </c>
      <c r="L1579" s="2">
        <v>33</v>
      </c>
      <c r="M1579" s="2" t="str" cm="1">
        <f t="array" ref="M1579">_xlfn.IFS(L1579&lt;=15,"Low Fare",L1579&lt;=35,"Medium Fare",L1579&lt;=100,"High Fare",L1579&gt;=100,"Very High Fare")</f>
        <v>Medium Fare</v>
      </c>
      <c r="N1579" s="2">
        <v>1</v>
      </c>
      <c r="O1579" s="2" t="s">
        <v>30</v>
      </c>
      <c r="P1579" t="e">
        <f t="shared" si="97"/>
        <v>#VALUE!</v>
      </c>
      <c r="Q1579" t="e">
        <f t="shared" si="98"/>
        <v>#VALUE!</v>
      </c>
      <c r="R1579" t="str">
        <f t="shared" si="99"/>
        <v>No</v>
      </c>
      <c r="S1579" t="s">
        <v>13</v>
      </c>
    </row>
    <row r="1580" spans="1:19" hidden="1" x14ac:dyDescent="0.3">
      <c r="A1580" s="1" t="s">
        <v>1163</v>
      </c>
      <c r="B1580" t="s">
        <v>2719</v>
      </c>
      <c r="C1580" t="s">
        <v>2862</v>
      </c>
      <c r="D1580" t="str">
        <f t="shared" si="96"/>
        <v>Male</v>
      </c>
      <c r="E1580" t="s">
        <v>9</v>
      </c>
      <c r="F1580" s="2">
        <v>30</v>
      </c>
      <c r="G1580" s="2" t="str" cm="1">
        <f t="array" ref="G1580">_xlfn.IFS(F1580&lt;=8,"Child",F1580&lt;=17,"Teen",F1580&lt;=35,"Adult",F1580&lt;=55,"Seniour Adult",F1580&gt;=55,"Old Age")</f>
        <v>Adult</v>
      </c>
      <c r="H1580" t="s">
        <v>70</v>
      </c>
      <c r="I1580" t="s">
        <v>11</v>
      </c>
      <c r="J1580" t="str" cm="1">
        <f t="array" ref="J1580">_xlfn.IFS(I1580="S","Southamptom",I1580="Q","Quentown",I1580="C","Cherbrug",I1580="B","Cabin")</f>
        <v>Southamptom</v>
      </c>
      <c r="K1580" t="s">
        <v>15</v>
      </c>
      <c r="L1580" s="2">
        <v>33</v>
      </c>
      <c r="M1580" s="2" t="str" cm="1">
        <f t="array" ref="M1580">_xlfn.IFS(L1580&lt;=15,"Low Fare",L1580&lt;=35,"Medium Fare",L1580&lt;=100,"High Fare",L1580&gt;=100,"Very High Fare")</f>
        <v>Medium Fare</v>
      </c>
      <c r="N1580" s="2">
        <v>1</v>
      </c>
      <c r="O1580" s="2" t="s">
        <v>30</v>
      </c>
      <c r="P1580" t="e">
        <f t="shared" si="97"/>
        <v>#VALUE!</v>
      </c>
      <c r="Q1580" t="e">
        <f t="shared" si="98"/>
        <v>#VALUE!</v>
      </c>
      <c r="R1580" t="str">
        <f t="shared" si="99"/>
        <v>No</v>
      </c>
      <c r="S1580" t="s">
        <v>13</v>
      </c>
    </row>
    <row r="1581" spans="1:19" hidden="1" x14ac:dyDescent="0.3">
      <c r="A1581" s="1" t="s">
        <v>1164</v>
      </c>
      <c r="B1581" t="s">
        <v>1596</v>
      </c>
      <c r="C1581" t="s">
        <v>2863</v>
      </c>
      <c r="D1581" t="str">
        <f t="shared" si="96"/>
        <v>Male</v>
      </c>
      <c r="E1581" t="s">
        <v>9</v>
      </c>
      <c r="F1581" s="2">
        <v>19</v>
      </c>
      <c r="G1581" s="2" t="str" cm="1">
        <f t="array" ref="G1581">_xlfn.IFS(F1581&lt;=8,"Child",F1581&lt;=17,"Teen",F1581&lt;=35,"Adult",F1581&lt;=55,"Seniour Adult",F1581&gt;=55,"Old Age")</f>
        <v>Adult</v>
      </c>
      <c r="H1581" t="s">
        <v>69</v>
      </c>
      <c r="I1581" t="s">
        <v>11</v>
      </c>
      <c r="J1581" t="str" cm="1">
        <f t="array" ref="J1581">_xlfn.IFS(I1581="S","Southamptom",I1581="Q","Quentown",I1581="C","Cherbrug",I1581="B","Cabin")</f>
        <v>Southamptom</v>
      </c>
      <c r="K1581" t="s">
        <v>15</v>
      </c>
      <c r="L1581" s="2">
        <v>33</v>
      </c>
      <c r="M1581" s="2" t="str" cm="1">
        <f t="array" ref="M1581">_xlfn.IFS(L1581&lt;=15,"Low Fare",L1581&lt;=35,"Medium Fare",L1581&lt;=100,"High Fare",L1581&gt;=100,"Very High Fare")</f>
        <v>Medium Fare</v>
      </c>
      <c r="N1581" s="2">
        <v>1</v>
      </c>
      <c r="O1581" s="2" t="s">
        <v>30</v>
      </c>
      <c r="P1581" t="e">
        <f t="shared" si="97"/>
        <v>#VALUE!</v>
      </c>
      <c r="Q1581" t="e">
        <f t="shared" si="98"/>
        <v>#VALUE!</v>
      </c>
      <c r="R1581" t="str">
        <f t="shared" si="99"/>
        <v>No</v>
      </c>
      <c r="S1581" t="s">
        <v>13</v>
      </c>
    </row>
    <row r="1582" spans="1:19" hidden="1" x14ac:dyDescent="0.3">
      <c r="A1582" s="1" t="s">
        <v>1165</v>
      </c>
      <c r="B1582" t="s">
        <v>2719</v>
      </c>
      <c r="C1582" t="s">
        <v>2864</v>
      </c>
      <c r="D1582" t="str">
        <f t="shared" si="96"/>
        <v>Male</v>
      </c>
      <c r="E1582" t="s">
        <v>9</v>
      </c>
      <c r="F1582" s="2">
        <v>23</v>
      </c>
      <c r="G1582" s="2" t="str" cm="1">
        <f t="array" ref="G1582">_xlfn.IFS(F1582&lt;=8,"Child",F1582&lt;=17,"Teen",F1582&lt;=35,"Adult",F1582&lt;=55,"Seniour Adult",F1582&gt;=55,"Old Age")</f>
        <v>Adult</v>
      </c>
      <c r="H1582" t="s">
        <v>70</v>
      </c>
      <c r="I1582" t="s">
        <v>11</v>
      </c>
      <c r="J1582" t="str" cm="1">
        <f t="array" ref="J1582">_xlfn.IFS(I1582="S","Southamptom",I1582="Q","Quentown",I1582="C","Cherbrug",I1582="B","Cabin")</f>
        <v>Southamptom</v>
      </c>
      <c r="K1582" t="s">
        <v>15</v>
      </c>
      <c r="L1582" s="2">
        <v>33</v>
      </c>
      <c r="M1582" s="2" t="str" cm="1">
        <f t="array" ref="M1582">_xlfn.IFS(L1582&lt;=15,"Low Fare",L1582&lt;=35,"Medium Fare",L1582&lt;=100,"High Fare",L1582&gt;=100,"Very High Fare")</f>
        <v>Medium Fare</v>
      </c>
      <c r="N1582" s="2">
        <v>1</v>
      </c>
      <c r="O1582" s="2" t="s">
        <v>30</v>
      </c>
      <c r="P1582" t="e">
        <f t="shared" si="97"/>
        <v>#VALUE!</v>
      </c>
      <c r="Q1582" t="e">
        <f t="shared" si="98"/>
        <v>#VALUE!</v>
      </c>
      <c r="R1582" t="str">
        <f t="shared" si="99"/>
        <v>No</v>
      </c>
      <c r="S1582" t="s">
        <v>13</v>
      </c>
    </row>
    <row r="1583" spans="1:19" hidden="1" x14ac:dyDescent="0.3">
      <c r="A1583" s="1" t="s">
        <v>1166</v>
      </c>
      <c r="B1583" t="s">
        <v>1596</v>
      </c>
      <c r="C1583" t="s">
        <v>2865</v>
      </c>
      <c r="D1583" t="str">
        <f t="shared" si="96"/>
        <v>Male</v>
      </c>
      <c r="E1583" t="s">
        <v>9</v>
      </c>
      <c r="F1583" s="2">
        <v>21</v>
      </c>
      <c r="G1583" s="2" t="str" cm="1">
        <f t="array" ref="G1583">_xlfn.IFS(F1583&lt;=8,"Child",F1583&lt;=17,"Teen",F1583&lt;=35,"Adult",F1583&lt;=55,"Seniour Adult",F1583&gt;=55,"Old Age")</f>
        <v>Adult</v>
      </c>
      <c r="H1583" t="s">
        <v>51</v>
      </c>
      <c r="I1583" t="s">
        <v>11</v>
      </c>
      <c r="J1583" t="str" cm="1">
        <f t="array" ref="J1583">_xlfn.IFS(I1583="S","Southamptom",I1583="Q","Quentown",I1583="C","Cherbrug",I1583="B","Cabin")</f>
        <v>Southamptom</v>
      </c>
      <c r="K1583" t="s">
        <v>15</v>
      </c>
      <c r="L1583" s="2">
        <v>33</v>
      </c>
      <c r="M1583" s="2" t="str" cm="1">
        <f t="array" ref="M1583">_xlfn.IFS(L1583&lt;=15,"Low Fare",L1583&lt;=35,"Medium Fare",L1583&lt;=100,"High Fare",L1583&gt;=100,"Very High Fare")</f>
        <v>Medium Fare</v>
      </c>
      <c r="N1583" s="2">
        <v>1</v>
      </c>
      <c r="O1583" s="2" t="s">
        <v>30</v>
      </c>
      <c r="P1583" t="e">
        <f t="shared" si="97"/>
        <v>#VALUE!</v>
      </c>
      <c r="Q1583" t="e">
        <f t="shared" si="98"/>
        <v>#VALUE!</v>
      </c>
      <c r="R1583" t="str">
        <f t="shared" si="99"/>
        <v>Yes</v>
      </c>
      <c r="S1583" t="s">
        <v>16</v>
      </c>
    </row>
    <row r="1584" spans="1:19" hidden="1" x14ac:dyDescent="0.3">
      <c r="A1584" s="1" t="s">
        <v>1166</v>
      </c>
      <c r="B1584" t="s">
        <v>1596</v>
      </c>
      <c r="C1584" t="s">
        <v>2866</v>
      </c>
      <c r="D1584" t="str">
        <f t="shared" si="96"/>
        <v>Male</v>
      </c>
      <c r="E1584" t="s">
        <v>9</v>
      </c>
      <c r="F1584" s="2">
        <v>29</v>
      </c>
      <c r="G1584" s="2" t="str" cm="1">
        <f t="array" ref="G1584">_xlfn.IFS(F1584&lt;=8,"Child",F1584&lt;=17,"Teen",F1584&lt;=35,"Adult",F1584&lt;=55,"Seniour Adult",F1584&gt;=55,"Old Age")</f>
        <v>Adult</v>
      </c>
      <c r="H1584" t="s">
        <v>51</v>
      </c>
      <c r="I1584" t="s">
        <v>28</v>
      </c>
      <c r="J1584" t="str" cm="1">
        <f t="array" ref="J1584">_xlfn.IFS(I1584="S","Southamptom",I1584="Q","Quentown",I1584="C","Cherbrug",I1584="B","Cabin")</f>
        <v>Cabin</v>
      </c>
      <c r="K1584" t="s">
        <v>15</v>
      </c>
      <c r="L1584" s="2">
        <v>33</v>
      </c>
      <c r="M1584" s="2" t="str" cm="1">
        <f t="array" ref="M1584">_xlfn.IFS(L1584&lt;=15,"Low Fare",L1584&lt;=35,"Medium Fare",L1584&lt;=100,"High Fare",L1584&gt;=100,"Very High Fare")</f>
        <v>Medium Fare</v>
      </c>
      <c r="N1584" s="2">
        <v>1</v>
      </c>
      <c r="O1584" s="2" t="s">
        <v>30</v>
      </c>
      <c r="P1584" t="e">
        <f t="shared" si="97"/>
        <v>#VALUE!</v>
      </c>
      <c r="Q1584" t="e">
        <f t="shared" si="98"/>
        <v>#VALUE!</v>
      </c>
      <c r="R1584" t="str">
        <f t="shared" si="99"/>
        <v>No</v>
      </c>
      <c r="S1584" t="s">
        <v>13</v>
      </c>
    </row>
    <row r="1585" spans="1:19" hidden="1" x14ac:dyDescent="0.3">
      <c r="A1585" s="1" t="s">
        <v>1167</v>
      </c>
      <c r="B1585" t="s">
        <v>1596</v>
      </c>
      <c r="C1585" t="s">
        <v>1700</v>
      </c>
      <c r="D1585" t="str">
        <f t="shared" si="96"/>
        <v>Male</v>
      </c>
      <c r="E1585" t="s">
        <v>9</v>
      </c>
      <c r="F1585" s="2">
        <v>52</v>
      </c>
      <c r="G1585" s="2" t="str" cm="1">
        <f t="array" ref="G1585">_xlfn.IFS(F1585&lt;=8,"Child",F1585&lt;=17,"Teen",F1585&lt;=35,"Adult",F1585&lt;=55,"Seniour Adult",F1585&gt;=55,"Old Age")</f>
        <v>Seniour Adult</v>
      </c>
      <c r="H1585" t="s">
        <v>51</v>
      </c>
      <c r="I1585" t="s">
        <v>11</v>
      </c>
      <c r="J1585" t="str" cm="1">
        <f t="array" ref="J1585">_xlfn.IFS(I1585="S","Southamptom",I1585="Q","Quentown",I1585="C","Cherbrug",I1585="B","Cabin")</f>
        <v>Southamptom</v>
      </c>
      <c r="K1585" t="s">
        <v>15</v>
      </c>
      <c r="L1585" s="2">
        <v>33</v>
      </c>
      <c r="M1585" s="2" t="str" cm="1">
        <f t="array" ref="M1585">_xlfn.IFS(L1585&lt;=15,"Low Fare",L1585&lt;=35,"Medium Fare",L1585&lt;=100,"High Fare",L1585&gt;=100,"Very High Fare")</f>
        <v>Medium Fare</v>
      </c>
      <c r="N1585" s="2">
        <v>1</v>
      </c>
      <c r="O1585" s="2" t="s">
        <v>30</v>
      </c>
      <c r="P1585" t="e">
        <f t="shared" si="97"/>
        <v>#VALUE!</v>
      </c>
      <c r="Q1585" t="e">
        <f t="shared" si="98"/>
        <v>#VALUE!</v>
      </c>
      <c r="R1585" t="str">
        <f t="shared" si="99"/>
        <v>Yes</v>
      </c>
      <c r="S1585" t="s">
        <v>16</v>
      </c>
    </row>
    <row r="1586" spans="1:19" hidden="1" x14ac:dyDescent="0.3">
      <c r="A1586" s="1" t="s">
        <v>1168</v>
      </c>
      <c r="B1586" t="s">
        <v>1596</v>
      </c>
      <c r="C1586" t="s">
        <v>2511</v>
      </c>
      <c r="D1586" t="str">
        <f t="shared" si="96"/>
        <v>Male</v>
      </c>
      <c r="E1586" t="s">
        <v>9</v>
      </c>
      <c r="F1586" s="2">
        <v>24</v>
      </c>
      <c r="G1586" s="2" t="str" cm="1">
        <f t="array" ref="G1586">_xlfn.IFS(F1586&lt;=8,"Child",F1586&lt;=17,"Teen",F1586&lt;=35,"Adult",F1586&lt;=55,"Seniour Adult",F1586&gt;=55,"Old Age")</f>
        <v>Adult</v>
      </c>
      <c r="H1586" t="s">
        <v>71</v>
      </c>
      <c r="I1586" t="s">
        <v>28</v>
      </c>
      <c r="J1586" t="str" cm="1">
        <f t="array" ref="J1586">_xlfn.IFS(I1586="S","Southamptom",I1586="Q","Quentown",I1586="C","Cherbrug",I1586="B","Cabin")</f>
        <v>Cabin</v>
      </c>
      <c r="K1586" t="s">
        <v>15</v>
      </c>
      <c r="L1586" s="2">
        <v>33</v>
      </c>
      <c r="M1586" s="2" t="str" cm="1">
        <f t="array" ref="M1586">_xlfn.IFS(L1586&lt;=15,"Low Fare",L1586&lt;=35,"Medium Fare",L1586&lt;=100,"High Fare",L1586&gt;=100,"Very High Fare")</f>
        <v>Medium Fare</v>
      </c>
      <c r="N1586" s="2">
        <v>1</v>
      </c>
      <c r="O1586" s="2" t="s">
        <v>30</v>
      </c>
      <c r="P1586" t="e">
        <f t="shared" si="97"/>
        <v>#VALUE!</v>
      </c>
      <c r="Q1586" t="e">
        <f t="shared" si="98"/>
        <v>#VALUE!</v>
      </c>
      <c r="R1586" t="str">
        <f t="shared" si="99"/>
        <v>Yes</v>
      </c>
      <c r="S1586" t="s">
        <v>16</v>
      </c>
    </row>
    <row r="1587" spans="1:19" hidden="1" x14ac:dyDescent="0.3">
      <c r="A1587" s="1" t="s">
        <v>1169</v>
      </c>
      <c r="B1587" t="s">
        <v>1596</v>
      </c>
      <c r="C1587" t="s">
        <v>1903</v>
      </c>
      <c r="D1587" t="str">
        <f t="shared" si="96"/>
        <v>Male</v>
      </c>
      <c r="E1587" t="s">
        <v>9</v>
      </c>
      <c r="F1587" s="2">
        <v>26</v>
      </c>
      <c r="G1587" s="2" t="str" cm="1">
        <f t="array" ref="G1587">_xlfn.IFS(F1587&lt;=8,"Child",F1587&lt;=17,"Teen",F1587&lt;=35,"Adult",F1587&lt;=55,"Seniour Adult",F1587&gt;=55,"Old Age")</f>
        <v>Adult</v>
      </c>
      <c r="H1587" t="s">
        <v>69</v>
      </c>
      <c r="I1587" t="s">
        <v>28</v>
      </c>
      <c r="J1587" t="str" cm="1">
        <f t="array" ref="J1587">_xlfn.IFS(I1587="S","Southamptom",I1587="Q","Quentown",I1587="C","Cherbrug",I1587="B","Cabin")</f>
        <v>Cabin</v>
      </c>
      <c r="K1587" t="s">
        <v>15</v>
      </c>
      <c r="L1587" s="2">
        <v>33</v>
      </c>
      <c r="M1587" s="2" t="str" cm="1">
        <f t="array" ref="M1587">_xlfn.IFS(L1587&lt;=15,"Low Fare",L1587&lt;=35,"Medium Fare",L1587&lt;=100,"High Fare",L1587&gt;=100,"Very High Fare")</f>
        <v>Medium Fare</v>
      </c>
      <c r="N1587" s="2">
        <v>1</v>
      </c>
      <c r="O1587" s="2" t="s">
        <v>30</v>
      </c>
      <c r="P1587" t="e">
        <f t="shared" si="97"/>
        <v>#VALUE!</v>
      </c>
      <c r="Q1587" t="e">
        <f t="shared" si="98"/>
        <v>#VALUE!</v>
      </c>
      <c r="R1587" t="str">
        <f t="shared" si="99"/>
        <v>No</v>
      </c>
      <c r="S1587" t="s">
        <v>13</v>
      </c>
    </row>
    <row r="1588" spans="1:19" hidden="1" x14ac:dyDescent="0.3">
      <c r="A1588" s="1" t="s">
        <v>341</v>
      </c>
      <c r="B1588" t="s">
        <v>1596</v>
      </c>
      <c r="C1588" t="s">
        <v>1610</v>
      </c>
      <c r="D1588" t="str">
        <f t="shared" si="96"/>
        <v>Male</v>
      </c>
      <c r="E1588" t="s">
        <v>9</v>
      </c>
      <c r="F1588" s="2">
        <v>46</v>
      </c>
      <c r="G1588" s="2" t="str" cm="1">
        <f t="array" ref="G1588">_xlfn.IFS(F1588&lt;=8,"Child",F1588&lt;=17,"Teen",F1588&lt;=35,"Adult",F1588&lt;=55,"Seniour Adult",F1588&gt;=55,"Old Age")</f>
        <v>Seniour Adult</v>
      </c>
      <c r="H1588" t="s">
        <v>71</v>
      </c>
      <c r="I1588" t="s">
        <v>28</v>
      </c>
      <c r="J1588" t="str" cm="1">
        <f t="array" ref="J1588">_xlfn.IFS(I1588="S","Southamptom",I1588="Q","Quentown",I1588="C","Cherbrug",I1588="B","Cabin")</f>
        <v>Cabin</v>
      </c>
      <c r="K1588" t="s">
        <v>37</v>
      </c>
      <c r="L1588" s="2">
        <v>33</v>
      </c>
      <c r="M1588" s="2" t="str" cm="1">
        <f t="array" ref="M1588">_xlfn.IFS(L1588&lt;=15,"Low Fare",L1588&lt;=35,"Medium Fare",L1588&lt;=100,"High Fare",L1588&gt;=100,"Very High Fare")</f>
        <v>Medium Fare</v>
      </c>
      <c r="N1588" s="2">
        <v>1</v>
      </c>
      <c r="O1588" s="2" t="s">
        <v>30</v>
      </c>
      <c r="P1588" t="e">
        <f t="shared" si="97"/>
        <v>#VALUE!</v>
      </c>
      <c r="Q1588" t="e">
        <f t="shared" si="98"/>
        <v>#VALUE!</v>
      </c>
      <c r="R1588" t="str">
        <f t="shared" si="99"/>
        <v>Yes</v>
      </c>
      <c r="S1588" t="s">
        <v>16</v>
      </c>
    </row>
    <row r="1589" spans="1:19" hidden="1" x14ac:dyDescent="0.3">
      <c r="A1589" s="1" t="s">
        <v>341</v>
      </c>
      <c r="B1589" t="s">
        <v>1596</v>
      </c>
      <c r="C1589" t="s">
        <v>2867</v>
      </c>
      <c r="D1589" t="str">
        <f t="shared" si="96"/>
        <v>Male</v>
      </c>
      <c r="E1589" t="s">
        <v>9</v>
      </c>
      <c r="F1589" s="2">
        <v>22</v>
      </c>
      <c r="G1589" s="2" t="str" cm="1">
        <f t="array" ref="G1589">_xlfn.IFS(F1589&lt;=8,"Child",F1589&lt;=17,"Teen",F1589&lt;=35,"Adult",F1589&lt;=55,"Seniour Adult",F1589&gt;=55,"Old Age")</f>
        <v>Adult</v>
      </c>
      <c r="H1589" t="s">
        <v>69</v>
      </c>
      <c r="I1589" t="s">
        <v>11</v>
      </c>
      <c r="J1589" t="str" cm="1">
        <f t="array" ref="J1589">_xlfn.IFS(I1589="S","Southamptom",I1589="Q","Quentown",I1589="C","Cherbrug",I1589="B","Cabin")</f>
        <v>Southamptom</v>
      </c>
      <c r="K1589" t="s">
        <v>40</v>
      </c>
      <c r="L1589" s="2">
        <v>33</v>
      </c>
      <c r="M1589" s="2" t="str" cm="1">
        <f t="array" ref="M1589">_xlfn.IFS(L1589&lt;=15,"Low Fare",L1589&lt;=35,"Medium Fare",L1589&lt;=100,"High Fare",L1589&gt;=100,"Very High Fare")</f>
        <v>Medium Fare</v>
      </c>
      <c r="N1589" s="2">
        <v>1</v>
      </c>
      <c r="O1589" s="2" t="s">
        <v>30</v>
      </c>
      <c r="P1589" t="e">
        <f t="shared" si="97"/>
        <v>#VALUE!</v>
      </c>
      <c r="Q1589" t="e">
        <f t="shared" si="98"/>
        <v>#VALUE!</v>
      </c>
      <c r="R1589" t="str">
        <f t="shared" si="99"/>
        <v>Yes</v>
      </c>
      <c r="S1589" t="s">
        <v>16</v>
      </c>
    </row>
    <row r="1590" spans="1:19" hidden="1" x14ac:dyDescent="0.3">
      <c r="A1590" s="1" t="s">
        <v>343</v>
      </c>
      <c r="B1590" t="s">
        <v>1596</v>
      </c>
      <c r="C1590" t="s">
        <v>1794</v>
      </c>
      <c r="D1590" t="str">
        <f t="shared" si="96"/>
        <v>Male</v>
      </c>
      <c r="E1590" t="s">
        <v>9</v>
      </c>
      <c r="F1590" s="2">
        <v>33</v>
      </c>
      <c r="G1590" s="2" t="str" cm="1">
        <f t="array" ref="G1590">_xlfn.IFS(F1590&lt;=8,"Child",F1590&lt;=17,"Teen",F1590&lt;=35,"Adult",F1590&lt;=55,"Seniour Adult",F1590&gt;=55,"Old Age")</f>
        <v>Adult</v>
      </c>
      <c r="H1590" t="s">
        <v>69</v>
      </c>
      <c r="I1590" t="s">
        <v>11</v>
      </c>
      <c r="J1590" t="str" cm="1">
        <f t="array" ref="J1590">_xlfn.IFS(I1590="S","Southamptom",I1590="Q","Quentown",I1590="C","Cherbrug",I1590="B","Cabin")</f>
        <v>Southamptom</v>
      </c>
      <c r="K1590" t="s">
        <v>15</v>
      </c>
      <c r="L1590" s="2">
        <v>33</v>
      </c>
      <c r="M1590" s="2" t="str" cm="1">
        <f t="array" ref="M1590">_xlfn.IFS(L1590&lt;=15,"Low Fare",L1590&lt;=35,"Medium Fare",L1590&lt;=100,"High Fare",L1590&gt;=100,"Very High Fare")</f>
        <v>Medium Fare</v>
      </c>
      <c r="N1590" s="2">
        <v>1</v>
      </c>
      <c r="O1590" s="2" t="s">
        <v>30</v>
      </c>
      <c r="P1590" t="e">
        <f t="shared" si="97"/>
        <v>#VALUE!</v>
      </c>
      <c r="Q1590" t="e">
        <f t="shared" si="98"/>
        <v>#VALUE!</v>
      </c>
      <c r="R1590" t="str">
        <f t="shared" si="99"/>
        <v>No</v>
      </c>
      <c r="S1590" t="s">
        <v>13</v>
      </c>
    </row>
    <row r="1591" spans="1:19" hidden="1" x14ac:dyDescent="0.3">
      <c r="A1591" s="1" t="s">
        <v>343</v>
      </c>
      <c r="B1591" t="s">
        <v>1596</v>
      </c>
      <c r="C1591" t="s">
        <v>2414</v>
      </c>
      <c r="D1591" t="str">
        <f t="shared" si="96"/>
        <v>Male</v>
      </c>
      <c r="E1591" t="s">
        <v>9</v>
      </c>
      <c r="F1591" s="2">
        <v>44</v>
      </c>
      <c r="G1591" s="2" t="str" cm="1">
        <f t="array" ref="G1591">_xlfn.IFS(F1591&lt;=8,"Child",F1591&lt;=17,"Teen",F1591&lt;=35,"Adult",F1591&lt;=55,"Seniour Adult",F1591&gt;=55,"Old Age")</f>
        <v>Seniour Adult</v>
      </c>
      <c r="H1591" t="s">
        <v>69</v>
      </c>
      <c r="I1591" t="s">
        <v>11</v>
      </c>
      <c r="J1591" t="str" cm="1">
        <f t="array" ref="J1591">_xlfn.IFS(I1591="S","Southamptom",I1591="Q","Quentown",I1591="C","Cherbrug",I1591="B","Cabin")</f>
        <v>Southamptom</v>
      </c>
      <c r="K1591" t="s">
        <v>15</v>
      </c>
      <c r="L1591" s="2">
        <v>33</v>
      </c>
      <c r="M1591" s="2" t="str" cm="1">
        <f t="array" ref="M1591">_xlfn.IFS(L1591&lt;=15,"Low Fare",L1591&lt;=35,"Medium Fare",L1591&lt;=100,"High Fare",L1591&gt;=100,"Very High Fare")</f>
        <v>Medium Fare</v>
      </c>
      <c r="N1591" s="2">
        <v>1</v>
      </c>
      <c r="O1591" s="2" t="s">
        <v>30</v>
      </c>
      <c r="P1591" t="e">
        <f t="shared" si="97"/>
        <v>#VALUE!</v>
      </c>
      <c r="Q1591" t="e">
        <f t="shared" si="98"/>
        <v>#VALUE!</v>
      </c>
      <c r="R1591" t="str">
        <f t="shared" si="99"/>
        <v>No</v>
      </c>
      <c r="S1591" t="s">
        <v>13</v>
      </c>
    </row>
    <row r="1592" spans="1:19" hidden="1" x14ac:dyDescent="0.3">
      <c r="A1592" s="1" t="s">
        <v>343</v>
      </c>
      <c r="B1592" t="s">
        <v>1596</v>
      </c>
      <c r="C1592" t="s">
        <v>2783</v>
      </c>
      <c r="D1592" t="str">
        <f t="shared" si="96"/>
        <v>Male</v>
      </c>
      <c r="E1592" t="s">
        <v>9</v>
      </c>
      <c r="F1592" s="2">
        <v>22</v>
      </c>
      <c r="G1592" s="2" t="str" cm="1">
        <f t="array" ref="G1592">_xlfn.IFS(F1592&lt;=8,"Child",F1592&lt;=17,"Teen",F1592&lt;=35,"Adult",F1592&lt;=55,"Seniour Adult",F1592&gt;=55,"Old Age")</f>
        <v>Adult</v>
      </c>
      <c r="H1592" t="s">
        <v>51</v>
      </c>
      <c r="I1592" t="s">
        <v>11</v>
      </c>
      <c r="J1592" t="str" cm="1">
        <f t="array" ref="J1592">_xlfn.IFS(I1592="S","Southamptom",I1592="Q","Quentown",I1592="C","Cherbrug",I1592="B","Cabin")</f>
        <v>Southamptom</v>
      </c>
      <c r="K1592" t="s">
        <v>15</v>
      </c>
      <c r="L1592" s="2">
        <v>33</v>
      </c>
      <c r="M1592" s="2" t="str" cm="1">
        <f t="array" ref="M1592">_xlfn.IFS(L1592&lt;=15,"Low Fare",L1592&lt;=35,"Medium Fare",L1592&lt;=100,"High Fare",L1592&gt;=100,"Very High Fare")</f>
        <v>Medium Fare</v>
      </c>
      <c r="N1592" s="2">
        <v>1</v>
      </c>
      <c r="O1592" s="2" t="s">
        <v>30</v>
      </c>
      <c r="P1592" t="e">
        <f t="shared" si="97"/>
        <v>#VALUE!</v>
      </c>
      <c r="Q1592" t="e">
        <f t="shared" si="98"/>
        <v>#VALUE!</v>
      </c>
      <c r="R1592" t="str">
        <f t="shared" si="99"/>
        <v>No</v>
      </c>
      <c r="S1592" t="s">
        <v>13</v>
      </c>
    </row>
    <row r="1593" spans="1:19" hidden="1" x14ac:dyDescent="0.3">
      <c r="A1593" s="1" t="s">
        <v>343</v>
      </c>
      <c r="B1593" t="s">
        <v>1596</v>
      </c>
      <c r="C1593" t="s">
        <v>1645</v>
      </c>
      <c r="D1593" t="str">
        <f t="shared" si="96"/>
        <v>Male</v>
      </c>
      <c r="E1593" t="s">
        <v>9</v>
      </c>
      <c r="F1593" s="2">
        <v>33</v>
      </c>
      <c r="G1593" s="2" t="str" cm="1">
        <f t="array" ref="G1593">_xlfn.IFS(F1593&lt;=8,"Child",F1593&lt;=17,"Teen",F1593&lt;=35,"Adult",F1593&lt;=55,"Seniour Adult",F1593&gt;=55,"Old Age")</f>
        <v>Adult</v>
      </c>
      <c r="H1593" t="s">
        <v>51</v>
      </c>
      <c r="I1593" t="s">
        <v>11</v>
      </c>
      <c r="J1593" t="str" cm="1">
        <f t="array" ref="J1593">_xlfn.IFS(I1593="S","Southamptom",I1593="Q","Quentown",I1593="C","Cherbrug",I1593="B","Cabin")</f>
        <v>Southamptom</v>
      </c>
      <c r="K1593" t="s">
        <v>15</v>
      </c>
      <c r="L1593" s="2">
        <v>33</v>
      </c>
      <c r="M1593" s="2" t="str" cm="1">
        <f t="array" ref="M1593">_xlfn.IFS(L1593&lt;=15,"Low Fare",L1593&lt;=35,"Medium Fare",L1593&lt;=100,"High Fare",L1593&gt;=100,"Very High Fare")</f>
        <v>Medium Fare</v>
      </c>
      <c r="N1593" s="2">
        <v>1</v>
      </c>
      <c r="O1593" s="2" t="s">
        <v>30</v>
      </c>
      <c r="P1593" t="e">
        <f t="shared" si="97"/>
        <v>#VALUE!</v>
      </c>
      <c r="Q1593" t="e">
        <f t="shared" si="98"/>
        <v>#VALUE!</v>
      </c>
      <c r="R1593" t="str">
        <f t="shared" si="99"/>
        <v>No</v>
      </c>
      <c r="S1593" t="s">
        <v>13</v>
      </c>
    </row>
    <row r="1594" spans="1:19" hidden="1" x14ac:dyDescent="0.3">
      <c r="A1594" s="1" t="s">
        <v>1170</v>
      </c>
      <c r="B1594" t="s">
        <v>1596</v>
      </c>
      <c r="C1594" t="s">
        <v>1965</v>
      </c>
      <c r="D1594" t="str">
        <f t="shared" si="96"/>
        <v>Male</v>
      </c>
      <c r="E1594" t="s">
        <v>9</v>
      </c>
      <c r="F1594" s="2">
        <v>27</v>
      </c>
      <c r="G1594" s="2" t="str" cm="1">
        <f t="array" ref="G1594">_xlfn.IFS(F1594&lt;=8,"Child",F1594&lt;=17,"Teen",F1594&lt;=35,"Adult",F1594&lt;=55,"Seniour Adult",F1594&gt;=55,"Old Age")</f>
        <v>Adult</v>
      </c>
      <c r="H1594" t="s">
        <v>71</v>
      </c>
      <c r="I1594" t="s">
        <v>11</v>
      </c>
      <c r="J1594" t="str" cm="1">
        <f t="array" ref="J1594">_xlfn.IFS(I1594="S","Southamptom",I1594="Q","Quentown",I1594="C","Cherbrug",I1594="B","Cabin")</f>
        <v>Southamptom</v>
      </c>
      <c r="K1594" t="s">
        <v>15</v>
      </c>
      <c r="L1594" s="2">
        <v>33</v>
      </c>
      <c r="M1594" s="2" t="str" cm="1">
        <f t="array" ref="M1594">_xlfn.IFS(L1594&lt;=15,"Low Fare",L1594&lt;=35,"Medium Fare",L1594&lt;=100,"High Fare",L1594&gt;=100,"Very High Fare")</f>
        <v>Medium Fare</v>
      </c>
      <c r="N1594" s="2">
        <v>1</v>
      </c>
      <c r="O1594" s="2" t="s">
        <v>30</v>
      </c>
      <c r="P1594" t="e">
        <f t="shared" si="97"/>
        <v>#VALUE!</v>
      </c>
      <c r="Q1594" t="e">
        <f t="shared" si="98"/>
        <v>#VALUE!</v>
      </c>
      <c r="R1594" t="str">
        <f t="shared" si="99"/>
        <v>Yes</v>
      </c>
      <c r="S1594" t="s">
        <v>16</v>
      </c>
    </row>
    <row r="1595" spans="1:19" hidden="1" x14ac:dyDescent="0.3">
      <c r="A1595" s="1" t="s">
        <v>1171</v>
      </c>
      <c r="B1595" t="s">
        <v>1596</v>
      </c>
      <c r="C1595" t="s">
        <v>2868</v>
      </c>
      <c r="D1595" t="str">
        <f t="shared" si="96"/>
        <v>Male</v>
      </c>
      <c r="E1595" t="s">
        <v>9</v>
      </c>
      <c r="F1595" s="2">
        <v>37</v>
      </c>
      <c r="G1595" s="2" t="str" cm="1">
        <f t="array" ref="G1595">_xlfn.IFS(F1595&lt;=8,"Child",F1595&lt;=17,"Teen",F1595&lt;=35,"Adult",F1595&lt;=55,"Seniour Adult",F1595&gt;=55,"Old Age")</f>
        <v>Seniour Adult</v>
      </c>
      <c r="H1595" t="s">
        <v>51</v>
      </c>
      <c r="I1595" t="s">
        <v>28</v>
      </c>
      <c r="J1595" t="str" cm="1">
        <f t="array" ref="J1595">_xlfn.IFS(I1595="S","Southamptom",I1595="Q","Quentown",I1595="C","Cherbrug",I1595="B","Cabin")</f>
        <v>Cabin</v>
      </c>
      <c r="K1595" t="s">
        <v>15</v>
      </c>
      <c r="L1595" s="2">
        <v>33</v>
      </c>
      <c r="M1595" s="2" t="str" cm="1">
        <f t="array" ref="M1595">_xlfn.IFS(L1595&lt;=15,"Low Fare",L1595&lt;=35,"Medium Fare",L1595&lt;=100,"High Fare",L1595&gt;=100,"Very High Fare")</f>
        <v>Medium Fare</v>
      </c>
      <c r="N1595" s="2">
        <v>1</v>
      </c>
      <c r="O1595" s="2" t="s">
        <v>30</v>
      </c>
      <c r="P1595" t="e">
        <f t="shared" si="97"/>
        <v>#VALUE!</v>
      </c>
      <c r="Q1595" t="e">
        <f t="shared" si="98"/>
        <v>#VALUE!</v>
      </c>
      <c r="R1595" t="str">
        <f t="shared" si="99"/>
        <v>No</v>
      </c>
      <c r="S1595" t="s">
        <v>13</v>
      </c>
    </row>
    <row r="1596" spans="1:19" hidden="1" x14ac:dyDescent="0.3">
      <c r="A1596" s="1" t="s">
        <v>346</v>
      </c>
      <c r="B1596" t="s">
        <v>1596</v>
      </c>
      <c r="C1596" t="s">
        <v>1704</v>
      </c>
      <c r="D1596" t="str">
        <f t="shared" si="96"/>
        <v>Male</v>
      </c>
      <c r="E1596" t="s">
        <v>9</v>
      </c>
      <c r="F1596" s="2">
        <v>27</v>
      </c>
      <c r="G1596" s="2" t="str" cm="1">
        <f t="array" ref="G1596">_xlfn.IFS(F1596&lt;=8,"Child",F1596&lt;=17,"Teen",F1596&lt;=35,"Adult",F1596&lt;=55,"Seniour Adult",F1596&gt;=55,"Old Age")</f>
        <v>Adult</v>
      </c>
      <c r="H1596" t="s">
        <v>69</v>
      </c>
      <c r="I1596" t="s">
        <v>11</v>
      </c>
      <c r="J1596" t="str" cm="1">
        <f t="array" ref="J1596">_xlfn.IFS(I1596="S","Southamptom",I1596="Q","Quentown",I1596="C","Cherbrug",I1596="B","Cabin")</f>
        <v>Southamptom</v>
      </c>
      <c r="K1596" t="s">
        <v>15</v>
      </c>
      <c r="L1596" s="2">
        <v>33</v>
      </c>
      <c r="M1596" s="2" t="str" cm="1">
        <f t="array" ref="M1596">_xlfn.IFS(L1596&lt;=15,"Low Fare",L1596&lt;=35,"Medium Fare",L1596&lt;=100,"High Fare",L1596&gt;=100,"Very High Fare")</f>
        <v>Medium Fare</v>
      </c>
      <c r="N1596" s="2">
        <v>1</v>
      </c>
      <c r="O1596" s="2" t="s">
        <v>30</v>
      </c>
      <c r="P1596" t="e">
        <f t="shared" si="97"/>
        <v>#VALUE!</v>
      </c>
      <c r="Q1596" t="e">
        <f t="shared" si="98"/>
        <v>#VALUE!</v>
      </c>
      <c r="R1596" t="str">
        <f t="shared" si="99"/>
        <v>No</v>
      </c>
      <c r="S1596" t="s">
        <v>13</v>
      </c>
    </row>
    <row r="1597" spans="1:19" hidden="1" x14ac:dyDescent="0.3">
      <c r="A1597" s="1" t="s">
        <v>348</v>
      </c>
      <c r="B1597" t="s">
        <v>1596</v>
      </c>
      <c r="C1597" t="s">
        <v>2869</v>
      </c>
      <c r="D1597" t="str">
        <f t="shared" si="96"/>
        <v>Male</v>
      </c>
      <c r="E1597" t="s">
        <v>9</v>
      </c>
      <c r="F1597" s="2">
        <v>28</v>
      </c>
      <c r="G1597" s="2" t="str" cm="1">
        <f t="array" ref="G1597">_xlfn.IFS(F1597&lt;=8,"Child",F1597&lt;=17,"Teen",F1597&lt;=35,"Adult",F1597&lt;=55,"Seniour Adult",F1597&gt;=55,"Old Age")</f>
        <v>Adult</v>
      </c>
      <c r="H1597" t="s">
        <v>69</v>
      </c>
      <c r="I1597" t="s">
        <v>11</v>
      </c>
      <c r="J1597" t="str" cm="1">
        <f t="array" ref="J1597">_xlfn.IFS(I1597="S","Southamptom",I1597="Q","Quentown",I1597="C","Cherbrug",I1597="B","Cabin")</f>
        <v>Southamptom</v>
      </c>
      <c r="K1597" t="s">
        <v>15</v>
      </c>
      <c r="L1597" s="2">
        <v>33</v>
      </c>
      <c r="M1597" s="2" t="str" cm="1">
        <f t="array" ref="M1597">_xlfn.IFS(L1597&lt;=15,"Low Fare",L1597&lt;=35,"Medium Fare",L1597&lt;=100,"High Fare",L1597&gt;=100,"Very High Fare")</f>
        <v>Medium Fare</v>
      </c>
      <c r="N1597" s="2">
        <v>1</v>
      </c>
      <c r="O1597" s="2" t="s">
        <v>30</v>
      </c>
      <c r="P1597" t="e">
        <f t="shared" si="97"/>
        <v>#VALUE!</v>
      </c>
      <c r="Q1597" t="e">
        <f t="shared" si="98"/>
        <v>#VALUE!</v>
      </c>
      <c r="R1597" t="str">
        <f t="shared" si="99"/>
        <v>No</v>
      </c>
      <c r="S1597" t="s">
        <v>13</v>
      </c>
    </row>
    <row r="1598" spans="1:19" hidden="1" x14ac:dyDescent="0.3">
      <c r="A1598" s="1" t="s">
        <v>1172</v>
      </c>
      <c r="B1598" t="s">
        <v>1596</v>
      </c>
      <c r="C1598" t="s">
        <v>2779</v>
      </c>
      <c r="D1598" t="str">
        <f t="shared" si="96"/>
        <v>Male</v>
      </c>
      <c r="E1598" t="s">
        <v>9</v>
      </c>
      <c r="F1598" s="2">
        <v>30</v>
      </c>
      <c r="G1598" s="2" t="str" cm="1">
        <f t="array" ref="G1598">_xlfn.IFS(F1598&lt;=8,"Child",F1598&lt;=17,"Teen",F1598&lt;=35,"Adult",F1598&lt;=55,"Seniour Adult",F1598&gt;=55,"Old Age")</f>
        <v>Adult</v>
      </c>
      <c r="H1598" t="s">
        <v>51</v>
      </c>
      <c r="I1598" t="s">
        <v>11</v>
      </c>
      <c r="J1598" t="str" cm="1">
        <f t="array" ref="J1598">_xlfn.IFS(I1598="S","Southamptom",I1598="Q","Quentown",I1598="C","Cherbrug",I1598="B","Cabin")</f>
        <v>Southamptom</v>
      </c>
      <c r="K1598" t="s">
        <v>15</v>
      </c>
      <c r="L1598" s="2">
        <v>33</v>
      </c>
      <c r="M1598" s="2" t="str" cm="1">
        <f t="array" ref="M1598">_xlfn.IFS(L1598&lt;=15,"Low Fare",L1598&lt;=35,"Medium Fare",L1598&lt;=100,"High Fare",L1598&gt;=100,"Very High Fare")</f>
        <v>Medium Fare</v>
      </c>
      <c r="N1598" s="2">
        <v>1</v>
      </c>
      <c r="O1598" s="2" t="s">
        <v>30</v>
      </c>
      <c r="P1598" t="e">
        <f t="shared" si="97"/>
        <v>#VALUE!</v>
      </c>
      <c r="Q1598" t="e">
        <f t="shared" si="98"/>
        <v>#VALUE!</v>
      </c>
      <c r="R1598" t="str">
        <f t="shared" si="99"/>
        <v>No</v>
      </c>
      <c r="S1598" t="s">
        <v>13</v>
      </c>
    </row>
    <row r="1599" spans="1:19" hidden="1" x14ac:dyDescent="0.3">
      <c r="A1599" s="1" t="s">
        <v>1172</v>
      </c>
      <c r="B1599" t="s">
        <v>1596</v>
      </c>
      <c r="C1599" t="s">
        <v>1965</v>
      </c>
      <c r="D1599" t="str">
        <f t="shared" si="96"/>
        <v>Male</v>
      </c>
      <c r="E1599" t="s">
        <v>9</v>
      </c>
      <c r="F1599" s="2">
        <v>30</v>
      </c>
      <c r="G1599" s="2" t="str" cm="1">
        <f t="array" ref="G1599">_xlfn.IFS(F1599&lt;=8,"Child",F1599&lt;=17,"Teen",F1599&lt;=35,"Adult",F1599&lt;=55,"Seniour Adult",F1599&gt;=55,"Old Age")</f>
        <v>Adult</v>
      </c>
      <c r="H1599" t="s">
        <v>51</v>
      </c>
      <c r="I1599" t="s">
        <v>28</v>
      </c>
      <c r="J1599" t="str" cm="1">
        <f t="array" ref="J1599">_xlfn.IFS(I1599="S","Southamptom",I1599="Q","Quentown",I1599="C","Cherbrug",I1599="B","Cabin")</f>
        <v>Cabin</v>
      </c>
      <c r="K1599" t="s">
        <v>43</v>
      </c>
      <c r="L1599" s="2">
        <v>33</v>
      </c>
      <c r="M1599" s="2" t="str" cm="1">
        <f t="array" ref="M1599">_xlfn.IFS(L1599&lt;=15,"Low Fare",L1599&lt;=35,"Medium Fare",L1599&lt;=100,"High Fare",L1599&gt;=100,"Very High Fare")</f>
        <v>Medium Fare</v>
      </c>
      <c r="N1599" s="2">
        <v>1</v>
      </c>
      <c r="O1599" s="2" t="s">
        <v>30</v>
      </c>
      <c r="P1599" t="e">
        <f t="shared" si="97"/>
        <v>#VALUE!</v>
      </c>
      <c r="Q1599" t="e">
        <f t="shared" si="98"/>
        <v>#VALUE!</v>
      </c>
      <c r="R1599" t="str">
        <f t="shared" si="99"/>
        <v>No</v>
      </c>
      <c r="S1599" t="s">
        <v>13</v>
      </c>
    </row>
    <row r="1600" spans="1:19" hidden="1" x14ac:dyDescent="0.3">
      <c r="A1600" s="1" t="s">
        <v>1173</v>
      </c>
      <c r="B1600" t="s">
        <v>1596</v>
      </c>
      <c r="C1600" t="s">
        <v>2870</v>
      </c>
      <c r="D1600" t="str">
        <f t="shared" si="96"/>
        <v>Male</v>
      </c>
      <c r="E1600" t="s">
        <v>9</v>
      </c>
      <c r="F1600" s="2">
        <v>21</v>
      </c>
      <c r="G1600" s="2" t="str" cm="1">
        <f t="array" ref="G1600">_xlfn.IFS(F1600&lt;=8,"Child",F1600&lt;=17,"Teen",F1600&lt;=35,"Adult",F1600&lt;=55,"Seniour Adult",F1600&gt;=55,"Old Age")</f>
        <v>Adult</v>
      </c>
      <c r="H1600" t="s">
        <v>51</v>
      </c>
      <c r="I1600" t="s">
        <v>11</v>
      </c>
      <c r="J1600" t="str" cm="1">
        <f t="array" ref="J1600">_xlfn.IFS(I1600="S","Southamptom",I1600="Q","Quentown",I1600="C","Cherbrug",I1600="B","Cabin")</f>
        <v>Southamptom</v>
      </c>
      <c r="K1600" t="s">
        <v>15</v>
      </c>
      <c r="L1600" s="2">
        <v>33</v>
      </c>
      <c r="M1600" s="2" t="str" cm="1">
        <f t="array" ref="M1600">_xlfn.IFS(L1600&lt;=15,"Low Fare",L1600&lt;=35,"Medium Fare",L1600&lt;=100,"High Fare",L1600&gt;=100,"Very High Fare")</f>
        <v>Medium Fare</v>
      </c>
      <c r="N1600" s="2">
        <v>1</v>
      </c>
      <c r="O1600" s="2" t="s">
        <v>30</v>
      </c>
      <c r="P1600" t="e">
        <f t="shared" si="97"/>
        <v>#VALUE!</v>
      </c>
      <c r="Q1600" t="e">
        <f t="shared" si="98"/>
        <v>#VALUE!</v>
      </c>
      <c r="R1600" t="str">
        <f t="shared" si="99"/>
        <v>Yes</v>
      </c>
      <c r="S1600" t="s">
        <v>16</v>
      </c>
    </row>
    <row r="1601" spans="1:19" hidden="1" x14ac:dyDescent="0.3">
      <c r="A1601" s="1" t="s">
        <v>1174</v>
      </c>
      <c r="B1601" t="s">
        <v>1596</v>
      </c>
      <c r="C1601" t="s">
        <v>2871</v>
      </c>
      <c r="D1601" t="str">
        <f t="shared" si="96"/>
        <v>Male</v>
      </c>
      <c r="E1601" t="s">
        <v>9</v>
      </c>
      <c r="F1601" s="2">
        <v>45</v>
      </c>
      <c r="G1601" s="2" t="str" cm="1">
        <f t="array" ref="G1601">_xlfn.IFS(F1601&lt;=8,"Child",F1601&lt;=17,"Teen",F1601&lt;=35,"Adult",F1601&lt;=55,"Seniour Adult",F1601&gt;=55,"Old Age")</f>
        <v>Seniour Adult</v>
      </c>
      <c r="H1601" t="s">
        <v>69</v>
      </c>
      <c r="I1601" t="s">
        <v>28</v>
      </c>
      <c r="J1601" t="str" cm="1">
        <f t="array" ref="J1601">_xlfn.IFS(I1601="S","Southamptom",I1601="Q","Quentown",I1601="C","Cherbrug",I1601="B","Cabin")</f>
        <v>Cabin</v>
      </c>
      <c r="K1601" t="s">
        <v>15</v>
      </c>
      <c r="L1601" s="2">
        <v>33</v>
      </c>
      <c r="M1601" s="2" t="str" cm="1">
        <f t="array" ref="M1601">_xlfn.IFS(L1601&lt;=15,"Low Fare",L1601&lt;=35,"Medium Fare",L1601&lt;=100,"High Fare",L1601&gt;=100,"Very High Fare")</f>
        <v>Medium Fare</v>
      </c>
      <c r="N1601" s="2">
        <v>1</v>
      </c>
      <c r="O1601" s="2" t="s">
        <v>30</v>
      </c>
      <c r="P1601" t="e">
        <f t="shared" si="97"/>
        <v>#VALUE!</v>
      </c>
      <c r="Q1601" t="e">
        <f t="shared" si="98"/>
        <v>#VALUE!</v>
      </c>
      <c r="R1601" t="str">
        <f t="shared" si="99"/>
        <v>No</v>
      </c>
      <c r="S1601" t="s">
        <v>13</v>
      </c>
    </row>
    <row r="1602" spans="1:19" hidden="1" x14ac:dyDescent="0.3">
      <c r="A1602" s="1" t="s">
        <v>1175</v>
      </c>
      <c r="B1602" t="s">
        <v>1596</v>
      </c>
      <c r="C1602" t="s">
        <v>2872</v>
      </c>
      <c r="D1602" t="str">
        <f t="shared" si="96"/>
        <v>Male</v>
      </c>
      <c r="E1602" t="s">
        <v>9</v>
      </c>
      <c r="F1602" s="2">
        <v>29</v>
      </c>
      <c r="G1602" s="2" t="str" cm="1">
        <f t="array" ref="G1602">_xlfn.IFS(F1602&lt;=8,"Child",F1602&lt;=17,"Teen",F1602&lt;=35,"Adult",F1602&lt;=55,"Seniour Adult",F1602&gt;=55,"Old Age")</f>
        <v>Adult</v>
      </c>
      <c r="H1602" t="s">
        <v>51</v>
      </c>
      <c r="I1602" t="s">
        <v>11</v>
      </c>
      <c r="J1602" t="str" cm="1">
        <f t="array" ref="J1602">_xlfn.IFS(I1602="S","Southamptom",I1602="Q","Quentown",I1602="C","Cherbrug",I1602="B","Cabin")</f>
        <v>Southamptom</v>
      </c>
      <c r="K1602" t="s">
        <v>15</v>
      </c>
      <c r="L1602" s="2">
        <v>33</v>
      </c>
      <c r="M1602" s="2" t="str" cm="1">
        <f t="array" ref="M1602">_xlfn.IFS(L1602&lt;=15,"Low Fare",L1602&lt;=35,"Medium Fare",L1602&lt;=100,"High Fare",L1602&gt;=100,"Very High Fare")</f>
        <v>Medium Fare</v>
      </c>
      <c r="N1602" s="2">
        <v>1</v>
      </c>
      <c r="O1602" s="2" t="s">
        <v>30</v>
      </c>
      <c r="P1602" t="e">
        <f t="shared" si="97"/>
        <v>#VALUE!</v>
      </c>
      <c r="Q1602" t="e">
        <f t="shared" si="98"/>
        <v>#VALUE!</v>
      </c>
      <c r="R1602" t="str">
        <f t="shared" si="99"/>
        <v>Yes</v>
      </c>
      <c r="S1602" t="s">
        <v>16</v>
      </c>
    </row>
    <row r="1603" spans="1:19" hidden="1" x14ac:dyDescent="0.3">
      <c r="A1603" s="1" t="s">
        <v>1176</v>
      </c>
      <c r="B1603" t="s">
        <v>2719</v>
      </c>
      <c r="C1603" t="s">
        <v>2873</v>
      </c>
      <c r="D1603" t="str">
        <f t="shared" ref="D1603:D1666" si="100">PROPER(E1603)</f>
        <v>Male</v>
      </c>
      <c r="E1603" t="s">
        <v>9</v>
      </c>
      <c r="F1603" s="2">
        <v>37</v>
      </c>
      <c r="G1603" s="2" t="str" cm="1">
        <f t="array" ref="G1603">_xlfn.IFS(F1603&lt;=8,"Child",F1603&lt;=17,"Teen",F1603&lt;=35,"Adult",F1603&lt;=55,"Seniour Adult",F1603&gt;=55,"Old Age")</f>
        <v>Seniour Adult</v>
      </c>
      <c r="H1603" t="s">
        <v>70</v>
      </c>
      <c r="I1603" t="s">
        <v>11</v>
      </c>
      <c r="J1603" t="str" cm="1">
        <f t="array" ref="J1603">_xlfn.IFS(I1603="S","Southamptom",I1603="Q","Quentown",I1603="C","Cherbrug",I1603="B","Cabin")</f>
        <v>Southamptom</v>
      </c>
      <c r="K1603" t="s">
        <v>15</v>
      </c>
      <c r="L1603" s="2">
        <v>33</v>
      </c>
      <c r="M1603" s="2" t="str" cm="1">
        <f t="array" ref="M1603">_xlfn.IFS(L1603&lt;=15,"Low Fare",L1603&lt;=35,"Medium Fare",L1603&lt;=100,"High Fare",L1603&gt;=100,"Very High Fare")</f>
        <v>Medium Fare</v>
      </c>
      <c r="N1603" s="2">
        <v>1</v>
      </c>
      <c r="O1603" s="2" t="s">
        <v>30</v>
      </c>
      <c r="P1603" t="e">
        <f t="shared" ref="P1603:P1666" si="101">N1603+O1603+1</f>
        <v>#VALUE!</v>
      </c>
      <c r="Q1603" t="e">
        <f t="shared" ref="Q1603:Q1666" si="102">IF(P1603=1,"Alone","With Family")</f>
        <v>#VALUE!</v>
      </c>
      <c r="R1603" t="str">
        <f t="shared" ref="R1603:R1666" si="103">PROPER(S1603)</f>
        <v>No</v>
      </c>
      <c r="S1603" t="s">
        <v>13</v>
      </c>
    </row>
    <row r="1604" spans="1:19" hidden="1" x14ac:dyDescent="0.3">
      <c r="A1604" s="1" t="s">
        <v>1177</v>
      </c>
      <c r="B1604" t="s">
        <v>1596</v>
      </c>
      <c r="C1604" t="s">
        <v>2874</v>
      </c>
      <c r="D1604" t="str">
        <f t="shared" si="100"/>
        <v>Male</v>
      </c>
      <c r="E1604" t="s">
        <v>9</v>
      </c>
      <c r="F1604" s="2">
        <v>32</v>
      </c>
      <c r="G1604" s="2" t="str" cm="1">
        <f t="array" ref="G1604">_xlfn.IFS(F1604&lt;=8,"Child",F1604&lt;=17,"Teen",F1604&lt;=35,"Adult",F1604&lt;=55,"Seniour Adult",F1604&gt;=55,"Old Age")</f>
        <v>Adult</v>
      </c>
      <c r="H1604" t="s">
        <v>69</v>
      </c>
      <c r="I1604" t="s">
        <v>11</v>
      </c>
      <c r="J1604" t="str" cm="1">
        <f t="array" ref="J1604">_xlfn.IFS(I1604="S","Southamptom",I1604="Q","Quentown",I1604="C","Cherbrug",I1604="B","Cabin")</f>
        <v>Southamptom</v>
      </c>
      <c r="K1604" t="s">
        <v>15</v>
      </c>
      <c r="L1604" s="2">
        <v>33</v>
      </c>
      <c r="M1604" s="2" t="str" cm="1">
        <f t="array" ref="M1604">_xlfn.IFS(L1604&lt;=15,"Low Fare",L1604&lt;=35,"Medium Fare",L1604&lt;=100,"High Fare",L1604&gt;=100,"Very High Fare")</f>
        <v>Medium Fare</v>
      </c>
      <c r="N1604" s="2">
        <v>1</v>
      </c>
      <c r="O1604" s="2" t="s">
        <v>30</v>
      </c>
      <c r="P1604" t="e">
        <f t="shared" si="101"/>
        <v>#VALUE!</v>
      </c>
      <c r="Q1604" t="e">
        <f t="shared" si="102"/>
        <v>#VALUE!</v>
      </c>
      <c r="R1604" t="str">
        <f t="shared" si="103"/>
        <v>No</v>
      </c>
      <c r="S1604" t="s">
        <v>13</v>
      </c>
    </row>
    <row r="1605" spans="1:19" hidden="1" x14ac:dyDescent="0.3">
      <c r="A1605" s="1" t="s">
        <v>1178</v>
      </c>
      <c r="B1605" t="s">
        <v>1596</v>
      </c>
      <c r="C1605" t="s">
        <v>2875</v>
      </c>
      <c r="D1605" t="str">
        <f t="shared" si="100"/>
        <v>Male</v>
      </c>
      <c r="E1605" t="s">
        <v>9</v>
      </c>
      <c r="F1605" s="2">
        <v>26</v>
      </c>
      <c r="G1605" s="2" t="str" cm="1">
        <f t="array" ref="G1605">_xlfn.IFS(F1605&lt;=8,"Child",F1605&lt;=17,"Teen",F1605&lt;=35,"Adult",F1605&lt;=55,"Seniour Adult",F1605&gt;=55,"Old Age")</f>
        <v>Adult</v>
      </c>
      <c r="H1605" t="s">
        <v>51</v>
      </c>
      <c r="I1605" t="s">
        <v>11</v>
      </c>
      <c r="J1605" t="str" cm="1">
        <f t="array" ref="J1605">_xlfn.IFS(I1605="S","Southamptom",I1605="Q","Quentown",I1605="C","Cherbrug",I1605="B","Cabin")</f>
        <v>Southamptom</v>
      </c>
      <c r="K1605" t="s">
        <v>15</v>
      </c>
      <c r="L1605" s="2">
        <v>33</v>
      </c>
      <c r="M1605" s="2" t="str" cm="1">
        <f t="array" ref="M1605">_xlfn.IFS(L1605&lt;=15,"Low Fare",L1605&lt;=35,"Medium Fare",L1605&lt;=100,"High Fare",L1605&gt;=100,"Very High Fare")</f>
        <v>Medium Fare</v>
      </c>
      <c r="N1605" s="2">
        <v>1</v>
      </c>
      <c r="O1605" s="2" t="s">
        <v>30</v>
      </c>
      <c r="P1605" t="e">
        <f t="shared" si="101"/>
        <v>#VALUE!</v>
      </c>
      <c r="Q1605" t="e">
        <f t="shared" si="102"/>
        <v>#VALUE!</v>
      </c>
      <c r="R1605" t="str">
        <f t="shared" si="103"/>
        <v>No</v>
      </c>
      <c r="S1605" t="s">
        <v>13</v>
      </c>
    </row>
    <row r="1606" spans="1:19" hidden="1" x14ac:dyDescent="0.3">
      <c r="A1606" s="1" t="s">
        <v>1179</v>
      </c>
      <c r="B1606" t="s">
        <v>1596</v>
      </c>
      <c r="C1606" t="s">
        <v>2876</v>
      </c>
      <c r="D1606" t="str">
        <f t="shared" si="100"/>
        <v>Male</v>
      </c>
      <c r="E1606" t="s">
        <v>9</v>
      </c>
      <c r="F1606" s="2">
        <v>36</v>
      </c>
      <c r="G1606" s="2" t="str" cm="1">
        <f t="array" ref="G1606">_xlfn.IFS(F1606&lt;=8,"Child",F1606&lt;=17,"Teen",F1606&lt;=35,"Adult",F1606&lt;=55,"Seniour Adult",F1606&gt;=55,"Old Age")</f>
        <v>Seniour Adult</v>
      </c>
      <c r="H1606" t="s">
        <v>69</v>
      </c>
      <c r="I1606" t="s">
        <v>11</v>
      </c>
      <c r="J1606" t="str" cm="1">
        <f t="array" ref="J1606">_xlfn.IFS(I1606="S","Southamptom",I1606="Q","Quentown",I1606="C","Cherbrug",I1606="B","Cabin")</f>
        <v>Southamptom</v>
      </c>
      <c r="K1606" t="s">
        <v>15</v>
      </c>
      <c r="L1606" s="2">
        <v>33</v>
      </c>
      <c r="M1606" s="2" t="str" cm="1">
        <f t="array" ref="M1606">_xlfn.IFS(L1606&lt;=15,"Low Fare",L1606&lt;=35,"Medium Fare",L1606&lt;=100,"High Fare",L1606&gt;=100,"Very High Fare")</f>
        <v>Medium Fare</v>
      </c>
      <c r="N1606" s="2">
        <v>1</v>
      </c>
      <c r="O1606" s="2" t="s">
        <v>30</v>
      </c>
      <c r="P1606" t="e">
        <f t="shared" si="101"/>
        <v>#VALUE!</v>
      </c>
      <c r="Q1606" t="e">
        <f t="shared" si="102"/>
        <v>#VALUE!</v>
      </c>
      <c r="R1606" t="str">
        <f t="shared" si="103"/>
        <v>Yes</v>
      </c>
      <c r="S1606" t="s">
        <v>16</v>
      </c>
    </row>
    <row r="1607" spans="1:19" hidden="1" x14ac:dyDescent="0.3">
      <c r="A1607" s="1" t="s">
        <v>1180</v>
      </c>
      <c r="B1607" t="s">
        <v>2719</v>
      </c>
      <c r="C1607" t="s">
        <v>2877</v>
      </c>
      <c r="D1607" t="str">
        <f t="shared" si="100"/>
        <v>Male</v>
      </c>
      <c r="E1607" t="s">
        <v>9</v>
      </c>
      <c r="F1607" s="2">
        <v>31</v>
      </c>
      <c r="G1607" s="2" t="str" cm="1">
        <f t="array" ref="G1607">_xlfn.IFS(F1607&lt;=8,"Child",F1607&lt;=17,"Teen",F1607&lt;=35,"Adult",F1607&lt;=55,"Seniour Adult",F1607&gt;=55,"Old Age")</f>
        <v>Adult</v>
      </c>
      <c r="H1607" t="s">
        <v>70</v>
      </c>
      <c r="I1607" t="s">
        <v>11</v>
      </c>
      <c r="J1607" t="str" cm="1">
        <f t="array" ref="J1607">_xlfn.IFS(I1607="S","Southamptom",I1607="Q","Quentown",I1607="C","Cherbrug",I1607="B","Cabin")</f>
        <v>Southamptom</v>
      </c>
      <c r="K1607" t="s">
        <v>15</v>
      </c>
      <c r="L1607" s="2">
        <v>33</v>
      </c>
      <c r="M1607" s="2" t="str" cm="1">
        <f t="array" ref="M1607">_xlfn.IFS(L1607&lt;=15,"Low Fare",L1607&lt;=35,"Medium Fare",L1607&lt;=100,"High Fare",L1607&gt;=100,"Very High Fare")</f>
        <v>Medium Fare</v>
      </c>
      <c r="N1607" s="2">
        <v>1</v>
      </c>
      <c r="O1607" s="2" t="s">
        <v>30</v>
      </c>
      <c r="P1607" t="e">
        <f t="shared" si="101"/>
        <v>#VALUE!</v>
      </c>
      <c r="Q1607" t="e">
        <f t="shared" si="102"/>
        <v>#VALUE!</v>
      </c>
      <c r="R1607" t="str">
        <f t="shared" si="103"/>
        <v>No</v>
      </c>
      <c r="S1607" t="s">
        <v>13</v>
      </c>
    </row>
    <row r="1608" spans="1:19" hidden="1" x14ac:dyDescent="0.3">
      <c r="A1608" s="1" t="s">
        <v>371</v>
      </c>
      <c r="B1608" t="s">
        <v>1596</v>
      </c>
      <c r="C1608" t="s">
        <v>2878</v>
      </c>
      <c r="D1608" t="str">
        <f t="shared" si="100"/>
        <v>Male</v>
      </c>
      <c r="E1608" t="s">
        <v>9</v>
      </c>
      <c r="F1608" s="2">
        <v>32</v>
      </c>
      <c r="G1608" s="2" t="str" cm="1">
        <f t="array" ref="G1608">_xlfn.IFS(F1608&lt;=8,"Child",F1608&lt;=17,"Teen",F1608&lt;=35,"Adult",F1608&lt;=55,"Seniour Adult",F1608&gt;=55,"Old Age")</f>
        <v>Adult</v>
      </c>
      <c r="H1608" t="s">
        <v>69</v>
      </c>
      <c r="I1608" t="s">
        <v>11</v>
      </c>
      <c r="J1608" t="str" cm="1">
        <f t="array" ref="J1608">_xlfn.IFS(I1608="S","Southamptom",I1608="Q","Quentown",I1608="C","Cherbrug",I1608="B","Cabin")</f>
        <v>Southamptom</v>
      </c>
      <c r="K1608" t="s">
        <v>15</v>
      </c>
      <c r="L1608" s="2">
        <v>33</v>
      </c>
      <c r="M1608" s="2" t="str" cm="1">
        <f t="array" ref="M1608">_xlfn.IFS(L1608&lt;=15,"Low Fare",L1608&lt;=35,"Medium Fare",L1608&lt;=100,"High Fare",L1608&gt;=100,"Very High Fare")</f>
        <v>Medium Fare</v>
      </c>
      <c r="N1608" s="2">
        <v>1</v>
      </c>
      <c r="O1608" s="2" t="s">
        <v>30</v>
      </c>
      <c r="P1608" t="e">
        <f t="shared" si="101"/>
        <v>#VALUE!</v>
      </c>
      <c r="Q1608" t="e">
        <f t="shared" si="102"/>
        <v>#VALUE!</v>
      </c>
      <c r="R1608" t="str">
        <f t="shared" si="103"/>
        <v>No</v>
      </c>
      <c r="S1608" t="s">
        <v>13</v>
      </c>
    </row>
    <row r="1609" spans="1:19" hidden="1" x14ac:dyDescent="0.3">
      <c r="A1609" s="1" t="s">
        <v>374</v>
      </c>
      <c r="B1609" t="s">
        <v>1596</v>
      </c>
      <c r="C1609" t="s">
        <v>2879</v>
      </c>
      <c r="D1609" t="str">
        <f t="shared" si="100"/>
        <v>Male</v>
      </c>
      <c r="E1609" t="s">
        <v>9</v>
      </c>
      <c r="F1609" s="2">
        <v>38</v>
      </c>
      <c r="G1609" s="2" t="str" cm="1">
        <f t="array" ref="G1609">_xlfn.IFS(F1609&lt;=8,"Child",F1609&lt;=17,"Teen",F1609&lt;=35,"Adult",F1609&lt;=55,"Seniour Adult",F1609&gt;=55,"Old Age")</f>
        <v>Seniour Adult</v>
      </c>
      <c r="H1609" t="s">
        <v>69</v>
      </c>
      <c r="I1609" t="s">
        <v>28</v>
      </c>
      <c r="J1609" t="str" cm="1">
        <f t="array" ref="J1609">_xlfn.IFS(I1609="S","Southamptom",I1609="Q","Quentown",I1609="C","Cherbrug",I1609="B","Cabin")</f>
        <v>Cabin</v>
      </c>
      <c r="K1609" t="s">
        <v>15</v>
      </c>
      <c r="L1609" s="2">
        <v>33</v>
      </c>
      <c r="M1609" s="2" t="str" cm="1">
        <f t="array" ref="M1609">_xlfn.IFS(L1609&lt;=15,"Low Fare",L1609&lt;=35,"Medium Fare",L1609&lt;=100,"High Fare",L1609&gt;=100,"Very High Fare")</f>
        <v>Medium Fare</v>
      </c>
      <c r="N1609" s="2">
        <v>1</v>
      </c>
      <c r="O1609" s="2" t="s">
        <v>30</v>
      </c>
      <c r="P1609" t="e">
        <f t="shared" si="101"/>
        <v>#VALUE!</v>
      </c>
      <c r="Q1609" t="e">
        <f t="shared" si="102"/>
        <v>#VALUE!</v>
      </c>
      <c r="R1609" t="str">
        <f t="shared" si="103"/>
        <v>No</v>
      </c>
      <c r="S1609" t="s">
        <v>13</v>
      </c>
    </row>
    <row r="1610" spans="1:19" hidden="1" x14ac:dyDescent="0.3">
      <c r="A1610" s="1" t="s">
        <v>374</v>
      </c>
      <c r="B1610" t="s">
        <v>1596</v>
      </c>
      <c r="C1610" t="s">
        <v>1792</v>
      </c>
      <c r="D1610" t="str">
        <f t="shared" si="100"/>
        <v>Male</v>
      </c>
      <c r="E1610" t="s">
        <v>9</v>
      </c>
      <c r="F1610" s="2">
        <v>38</v>
      </c>
      <c r="G1610" s="2" t="str" cm="1">
        <f t="array" ref="G1610">_xlfn.IFS(F1610&lt;=8,"Child",F1610&lt;=17,"Teen",F1610&lt;=35,"Adult",F1610&lt;=55,"Seniour Adult",F1610&gt;=55,"Old Age")</f>
        <v>Seniour Adult</v>
      </c>
      <c r="H1610" t="s">
        <v>69</v>
      </c>
      <c r="I1610" t="s">
        <v>11</v>
      </c>
      <c r="J1610" t="str" cm="1">
        <f t="array" ref="J1610">_xlfn.IFS(I1610="S","Southamptom",I1610="Q","Quentown",I1610="C","Cherbrug",I1610="B","Cabin")</f>
        <v>Southamptom</v>
      </c>
      <c r="K1610" t="s">
        <v>15</v>
      </c>
      <c r="L1610" s="2">
        <v>33</v>
      </c>
      <c r="M1610" s="2" t="str" cm="1">
        <f t="array" ref="M1610">_xlfn.IFS(L1610&lt;=15,"Low Fare",L1610&lt;=35,"Medium Fare",L1610&lt;=100,"High Fare",L1610&gt;=100,"Very High Fare")</f>
        <v>Medium Fare</v>
      </c>
      <c r="N1610" s="2">
        <v>1</v>
      </c>
      <c r="O1610" s="2" t="s">
        <v>30</v>
      </c>
      <c r="P1610" t="e">
        <f t="shared" si="101"/>
        <v>#VALUE!</v>
      </c>
      <c r="Q1610" t="e">
        <f t="shared" si="102"/>
        <v>#VALUE!</v>
      </c>
      <c r="R1610" t="str">
        <f t="shared" si="103"/>
        <v>No</v>
      </c>
      <c r="S1610" t="s">
        <v>13</v>
      </c>
    </row>
    <row r="1611" spans="1:19" hidden="1" x14ac:dyDescent="0.3">
      <c r="A1611" s="1" t="s">
        <v>1181</v>
      </c>
      <c r="B1611" t="s">
        <v>1596</v>
      </c>
      <c r="C1611" t="s">
        <v>2880</v>
      </c>
      <c r="D1611" t="str">
        <f t="shared" si="100"/>
        <v>Male</v>
      </c>
      <c r="E1611" t="s">
        <v>9</v>
      </c>
      <c r="F1611" s="2">
        <v>61</v>
      </c>
      <c r="G1611" s="2" t="str" cm="1">
        <f t="array" ref="G1611">_xlfn.IFS(F1611&lt;=8,"Child",F1611&lt;=17,"Teen",F1611&lt;=35,"Adult",F1611&lt;=55,"Seniour Adult",F1611&gt;=55,"Old Age")</f>
        <v>Old Age</v>
      </c>
      <c r="H1611" t="s">
        <v>51</v>
      </c>
      <c r="I1611" t="s">
        <v>11</v>
      </c>
      <c r="J1611" t="str" cm="1">
        <f t="array" ref="J1611">_xlfn.IFS(I1611="S","Southamptom",I1611="Q","Quentown",I1611="C","Cherbrug",I1611="B","Cabin")</f>
        <v>Southamptom</v>
      </c>
      <c r="K1611" t="s">
        <v>15</v>
      </c>
      <c r="L1611" s="2">
        <v>33</v>
      </c>
      <c r="M1611" s="2" t="str" cm="1">
        <f t="array" ref="M1611">_xlfn.IFS(L1611&lt;=15,"Low Fare",L1611&lt;=35,"Medium Fare",L1611&lt;=100,"High Fare",L1611&gt;=100,"Very High Fare")</f>
        <v>Medium Fare</v>
      </c>
      <c r="N1611" s="2">
        <v>1</v>
      </c>
      <c r="O1611" s="2" t="s">
        <v>30</v>
      </c>
      <c r="P1611" t="e">
        <f t="shared" si="101"/>
        <v>#VALUE!</v>
      </c>
      <c r="Q1611" t="e">
        <f t="shared" si="102"/>
        <v>#VALUE!</v>
      </c>
      <c r="R1611" t="str">
        <f t="shared" si="103"/>
        <v>Yes</v>
      </c>
      <c r="S1611" t="s">
        <v>16</v>
      </c>
    </row>
    <row r="1612" spans="1:19" hidden="1" x14ac:dyDescent="0.3">
      <c r="A1612" s="1" t="s">
        <v>1182</v>
      </c>
      <c r="B1612" t="s">
        <v>1596</v>
      </c>
      <c r="C1612" t="s">
        <v>2525</v>
      </c>
      <c r="D1612" t="str">
        <f t="shared" si="100"/>
        <v>Male</v>
      </c>
      <c r="E1612" t="s">
        <v>9</v>
      </c>
      <c r="F1612" s="2">
        <v>36</v>
      </c>
      <c r="G1612" s="2" t="str" cm="1">
        <f t="array" ref="G1612">_xlfn.IFS(F1612&lt;=8,"Child",F1612&lt;=17,"Teen",F1612&lt;=35,"Adult",F1612&lt;=55,"Seniour Adult",F1612&gt;=55,"Old Age")</f>
        <v>Seniour Adult</v>
      </c>
      <c r="H1612" t="s">
        <v>51</v>
      </c>
      <c r="I1612" t="s">
        <v>11</v>
      </c>
      <c r="J1612" t="str" cm="1">
        <f t="array" ref="J1612">_xlfn.IFS(I1612="S","Southamptom",I1612="Q","Quentown",I1612="C","Cherbrug",I1612="B","Cabin")</f>
        <v>Southamptom</v>
      </c>
      <c r="K1612" t="s">
        <v>15</v>
      </c>
      <c r="L1612" s="2">
        <v>33</v>
      </c>
      <c r="M1612" s="2" t="str" cm="1">
        <f t="array" ref="M1612">_xlfn.IFS(L1612&lt;=15,"Low Fare",L1612&lt;=35,"Medium Fare",L1612&lt;=100,"High Fare",L1612&gt;=100,"Very High Fare")</f>
        <v>Medium Fare</v>
      </c>
      <c r="N1612" s="2">
        <v>1</v>
      </c>
      <c r="O1612" s="2" t="s">
        <v>30</v>
      </c>
      <c r="P1612" t="e">
        <f t="shared" si="101"/>
        <v>#VALUE!</v>
      </c>
      <c r="Q1612" t="e">
        <f t="shared" si="102"/>
        <v>#VALUE!</v>
      </c>
      <c r="R1612" t="str">
        <f t="shared" si="103"/>
        <v>No</v>
      </c>
      <c r="S1612" t="s">
        <v>13</v>
      </c>
    </row>
    <row r="1613" spans="1:19" hidden="1" x14ac:dyDescent="0.3">
      <c r="A1613" s="1" t="s">
        <v>1183</v>
      </c>
      <c r="B1613" t="s">
        <v>1596</v>
      </c>
      <c r="C1613" t="s">
        <v>2881</v>
      </c>
      <c r="D1613" t="str">
        <f t="shared" si="100"/>
        <v>Male</v>
      </c>
      <c r="E1613" t="s">
        <v>9</v>
      </c>
      <c r="F1613" s="2">
        <v>32</v>
      </c>
      <c r="G1613" s="2" t="str" cm="1">
        <f t="array" ref="G1613">_xlfn.IFS(F1613&lt;=8,"Child",F1613&lt;=17,"Teen",F1613&lt;=35,"Adult",F1613&lt;=55,"Seniour Adult",F1613&gt;=55,"Old Age")</f>
        <v>Adult</v>
      </c>
      <c r="H1613" t="s">
        <v>51</v>
      </c>
      <c r="I1613" t="s">
        <v>11</v>
      </c>
      <c r="J1613" t="str" cm="1">
        <f t="array" ref="J1613">_xlfn.IFS(I1613="S","Southamptom",I1613="Q","Quentown",I1613="C","Cherbrug",I1613="B","Cabin")</f>
        <v>Southamptom</v>
      </c>
      <c r="K1613" t="s">
        <v>15</v>
      </c>
      <c r="L1613" s="2">
        <v>33</v>
      </c>
      <c r="M1613" s="2" t="str" cm="1">
        <f t="array" ref="M1613">_xlfn.IFS(L1613&lt;=15,"Low Fare",L1613&lt;=35,"Medium Fare",L1613&lt;=100,"High Fare",L1613&gt;=100,"Very High Fare")</f>
        <v>Medium Fare</v>
      </c>
      <c r="N1613" s="2">
        <v>1</v>
      </c>
      <c r="O1613" s="2" t="s">
        <v>30</v>
      </c>
      <c r="P1613" t="e">
        <f t="shared" si="101"/>
        <v>#VALUE!</v>
      </c>
      <c r="Q1613" t="e">
        <f t="shared" si="102"/>
        <v>#VALUE!</v>
      </c>
      <c r="R1613" t="str">
        <f t="shared" si="103"/>
        <v>No</v>
      </c>
      <c r="S1613" t="s">
        <v>13</v>
      </c>
    </row>
    <row r="1614" spans="1:19" hidden="1" x14ac:dyDescent="0.3">
      <c r="A1614" s="1" t="s">
        <v>1184</v>
      </c>
      <c r="B1614" t="s">
        <v>1600</v>
      </c>
      <c r="C1614" t="s">
        <v>2883</v>
      </c>
      <c r="D1614" t="str">
        <f t="shared" si="100"/>
        <v>Female</v>
      </c>
      <c r="E1614" t="s">
        <v>14</v>
      </c>
      <c r="F1614" s="2">
        <v>45</v>
      </c>
      <c r="G1614" s="2" t="str" cm="1">
        <f t="array" ref="G1614">_xlfn.IFS(F1614&lt;=8,"Child",F1614&lt;=17,"Teen",F1614&lt;=35,"Adult",F1614&lt;=55,"Seniour Adult",F1614&gt;=55,"Old Age")</f>
        <v>Seniour Adult</v>
      </c>
      <c r="H1614" t="s">
        <v>69</v>
      </c>
      <c r="I1614" t="s">
        <v>11</v>
      </c>
      <c r="J1614" t="str" cm="1">
        <f t="array" ref="J1614">_xlfn.IFS(I1614="S","Southamptom",I1614="Q","Quentown",I1614="C","Cherbrug",I1614="B","Cabin")</f>
        <v>Southamptom</v>
      </c>
      <c r="K1614" t="s">
        <v>15</v>
      </c>
      <c r="L1614" s="2">
        <v>33</v>
      </c>
      <c r="M1614" s="2" t="str" cm="1">
        <f t="array" ref="M1614">_xlfn.IFS(L1614&lt;=15,"Low Fare",L1614&lt;=35,"Medium Fare",L1614&lt;=100,"High Fare",L1614&gt;=100,"Very High Fare")</f>
        <v>Medium Fare</v>
      </c>
      <c r="N1614" s="2">
        <v>1</v>
      </c>
      <c r="O1614" s="2" t="s">
        <v>30</v>
      </c>
      <c r="P1614" t="e">
        <f t="shared" si="101"/>
        <v>#VALUE!</v>
      </c>
      <c r="Q1614" t="e">
        <f t="shared" si="102"/>
        <v>#VALUE!</v>
      </c>
      <c r="R1614" t="str">
        <f t="shared" si="103"/>
        <v>Yes</v>
      </c>
      <c r="S1614" t="s">
        <v>16</v>
      </c>
    </row>
    <row r="1615" spans="1:19" hidden="1" x14ac:dyDescent="0.3">
      <c r="A1615" s="1" t="s">
        <v>1185</v>
      </c>
      <c r="B1615" t="s">
        <v>1596</v>
      </c>
      <c r="C1615" t="s">
        <v>2884</v>
      </c>
      <c r="D1615" t="str">
        <f t="shared" si="100"/>
        <v>Male</v>
      </c>
      <c r="E1615" t="s">
        <v>9</v>
      </c>
      <c r="F1615" s="2">
        <v>28</v>
      </c>
      <c r="G1615" s="2" t="str" cm="1">
        <f t="array" ref="G1615">_xlfn.IFS(F1615&lt;=8,"Child",F1615&lt;=17,"Teen",F1615&lt;=35,"Adult",F1615&lt;=55,"Seniour Adult",F1615&gt;=55,"Old Age")</f>
        <v>Adult</v>
      </c>
      <c r="H1615" t="s">
        <v>69</v>
      </c>
      <c r="I1615" t="s">
        <v>11</v>
      </c>
      <c r="J1615" t="str" cm="1">
        <f t="array" ref="J1615">_xlfn.IFS(I1615="S","Southamptom",I1615="Q","Quentown",I1615="C","Cherbrug",I1615="B","Cabin")</f>
        <v>Southamptom</v>
      </c>
      <c r="K1615" t="s">
        <v>15</v>
      </c>
      <c r="L1615" s="2">
        <v>33</v>
      </c>
      <c r="M1615" s="2" t="str" cm="1">
        <f t="array" ref="M1615">_xlfn.IFS(L1615&lt;=15,"Low Fare",L1615&lt;=35,"Medium Fare",L1615&lt;=100,"High Fare",L1615&gt;=100,"Very High Fare")</f>
        <v>Medium Fare</v>
      </c>
      <c r="N1615" s="2">
        <v>1</v>
      </c>
      <c r="O1615" s="2" t="s">
        <v>30</v>
      </c>
      <c r="P1615" t="e">
        <f t="shared" si="101"/>
        <v>#VALUE!</v>
      </c>
      <c r="Q1615" t="e">
        <f t="shared" si="102"/>
        <v>#VALUE!</v>
      </c>
      <c r="R1615" t="str">
        <f t="shared" si="103"/>
        <v>No</v>
      </c>
      <c r="S1615" t="s">
        <v>13</v>
      </c>
    </row>
    <row r="1616" spans="1:19" hidden="1" x14ac:dyDescent="0.3">
      <c r="A1616" s="1" t="s">
        <v>1186</v>
      </c>
      <c r="B1616" t="s">
        <v>1596</v>
      </c>
      <c r="C1616" t="s">
        <v>2779</v>
      </c>
      <c r="D1616" t="str">
        <f t="shared" si="100"/>
        <v>Male</v>
      </c>
      <c r="E1616" t="s">
        <v>9</v>
      </c>
      <c r="F1616" s="2">
        <v>29</v>
      </c>
      <c r="G1616" s="2" t="str" cm="1">
        <f t="array" ref="G1616">_xlfn.IFS(F1616&lt;=8,"Child",F1616&lt;=17,"Teen",F1616&lt;=35,"Adult",F1616&lt;=55,"Seniour Adult",F1616&gt;=55,"Old Age")</f>
        <v>Adult</v>
      </c>
      <c r="H1616" t="s">
        <v>51</v>
      </c>
      <c r="I1616" t="s">
        <v>11</v>
      </c>
      <c r="J1616" t="str" cm="1">
        <f t="array" ref="J1616">_xlfn.IFS(I1616="S","Southamptom",I1616="Q","Quentown",I1616="C","Cherbrug",I1616="B","Cabin")</f>
        <v>Southamptom</v>
      </c>
      <c r="K1616" t="s">
        <v>15</v>
      </c>
      <c r="L1616" s="2">
        <v>33</v>
      </c>
      <c r="M1616" s="2" t="str" cm="1">
        <f t="array" ref="M1616">_xlfn.IFS(L1616&lt;=15,"Low Fare",L1616&lt;=35,"Medium Fare",L1616&lt;=100,"High Fare",L1616&gt;=100,"Very High Fare")</f>
        <v>Medium Fare</v>
      </c>
      <c r="N1616" s="2">
        <v>1</v>
      </c>
      <c r="O1616" s="2" t="s">
        <v>30</v>
      </c>
      <c r="P1616" t="e">
        <f t="shared" si="101"/>
        <v>#VALUE!</v>
      </c>
      <c r="Q1616" t="e">
        <f t="shared" si="102"/>
        <v>#VALUE!</v>
      </c>
      <c r="R1616" t="str">
        <f t="shared" si="103"/>
        <v>No</v>
      </c>
      <c r="S1616" t="s">
        <v>13</v>
      </c>
    </row>
    <row r="1617" spans="1:19" hidden="1" x14ac:dyDescent="0.3">
      <c r="A1617" s="1" t="s">
        <v>1187</v>
      </c>
      <c r="B1617" t="s">
        <v>1596</v>
      </c>
      <c r="C1617" t="s">
        <v>1945</v>
      </c>
      <c r="D1617" t="str">
        <f t="shared" si="100"/>
        <v>Male</v>
      </c>
      <c r="E1617" t="s">
        <v>9</v>
      </c>
      <c r="F1617" s="2">
        <v>41</v>
      </c>
      <c r="G1617" s="2" t="str" cm="1">
        <f t="array" ref="G1617">_xlfn.IFS(F1617&lt;=8,"Child",F1617&lt;=17,"Teen",F1617&lt;=35,"Adult",F1617&lt;=55,"Seniour Adult",F1617&gt;=55,"Old Age")</f>
        <v>Seniour Adult</v>
      </c>
      <c r="H1617" t="s">
        <v>51</v>
      </c>
      <c r="I1617" t="s">
        <v>11</v>
      </c>
      <c r="J1617" t="str" cm="1">
        <f t="array" ref="J1617">_xlfn.IFS(I1617="S","Southamptom",I1617="Q","Quentown",I1617="C","Cherbrug",I1617="B","Cabin")</f>
        <v>Southamptom</v>
      </c>
      <c r="K1617" t="s">
        <v>15</v>
      </c>
      <c r="L1617" s="2">
        <v>33</v>
      </c>
      <c r="M1617" s="2" t="str" cm="1">
        <f t="array" ref="M1617">_xlfn.IFS(L1617&lt;=15,"Low Fare",L1617&lt;=35,"Medium Fare",L1617&lt;=100,"High Fare",L1617&gt;=100,"Very High Fare")</f>
        <v>Medium Fare</v>
      </c>
      <c r="N1617" s="2">
        <v>1</v>
      </c>
      <c r="O1617" s="2" t="s">
        <v>30</v>
      </c>
      <c r="P1617" t="e">
        <f t="shared" si="101"/>
        <v>#VALUE!</v>
      </c>
      <c r="Q1617" t="e">
        <f t="shared" si="102"/>
        <v>#VALUE!</v>
      </c>
      <c r="R1617" t="str">
        <f t="shared" si="103"/>
        <v>No</v>
      </c>
      <c r="S1617" t="s">
        <v>13</v>
      </c>
    </row>
    <row r="1618" spans="1:19" hidden="1" x14ac:dyDescent="0.3">
      <c r="A1618" s="1" t="s">
        <v>1188</v>
      </c>
      <c r="B1618" t="s">
        <v>1596</v>
      </c>
      <c r="C1618" t="s">
        <v>1898</v>
      </c>
      <c r="D1618" t="str">
        <f t="shared" si="100"/>
        <v>Male</v>
      </c>
      <c r="E1618" t="s">
        <v>9</v>
      </c>
      <c r="F1618" s="2">
        <v>40</v>
      </c>
      <c r="G1618" s="2" t="str" cm="1">
        <f t="array" ref="G1618">_xlfn.IFS(F1618&lt;=8,"Child",F1618&lt;=17,"Teen",F1618&lt;=35,"Adult",F1618&lt;=55,"Seniour Adult",F1618&gt;=55,"Old Age")</f>
        <v>Seniour Adult</v>
      </c>
      <c r="H1618" t="s">
        <v>69</v>
      </c>
      <c r="I1618" t="s">
        <v>28</v>
      </c>
      <c r="J1618" t="str" cm="1">
        <f t="array" ref="J1618">_xlfn.IFS(I1618="S","Southamptom",I1618="Q","Quentown",I1618="C","Cherbrug",I1618="B","Cabin")</f>
        <v>Cabin</v>
      </c>
      <c r="K1618" t="s">
        <v>15</v>
      </c>
      <c r="L1618" s="2">
        <v>33</v>
      </c>
      <c r="M1618" s="2" t="str" cm="1">
        <f t="array" ref="M1618">_xlfn.IFS(L1618&lt;=15,"Low Fare",L1618&lt;=35,"Medium Fare",L1618&lt;=100,"High Fare",L1618&gt;=100,"Very High Fare")</f>
        <v>Medium Fare</v>
      </c>
      <c r="N1618" s="2">
        <v>1</v>
      </c>
      <c r="O1618" s="2" t="s">
        <v>30</v>
      </c>
      <c r="P1618" t="e">
        <f t="shared" si="101"/>
        <v>#VALUE!</v>
      </c>
      <c r="Q1618" t="e">
        <f t="shared" si="102"/>
        <v>#VALUE!</v>
      </c>
      <c r="R1618" t="str">
        <f t="shared" si="103"/>
        <v>No</v>
      </c>
      <c r="S1618" t="s">
        <v>13</v>
      </c>
    </row>
    <row r="1619" spans="1:19" hidden="1" x14ac:dyDescent="0.3">
      <c r="A1619" s="1" t="s">
        <v>1189</v>
      </c>
      <c r="B1619" t="s">
        <v>1596</v>
      </c>
      <c r="C1619" t="s">
        <v>2885</v>
      </c>
      <c r="D1619" t="str">
        <f t="shared" si="100"/>
        <v>Male</v>
      </c>
      <c r="E1619" t="s">
        <v>9</v>
      </c>
      <c r="F1619" s="2">
        <v>22</v>
      </c>
      <c r="G1619" s="2" t="str" cm="1">
        <f t="array" ref="G1619">_xlfn.IFS(F1619&lt;=8,"Child",F1619&lt;=17,"Teen",F1619&lt;=35,"Adult",F1619&lt;=55,"Seniour Adult",F1619&gt;=55,"Old Age")</f>
        <v>Adult</v>
      </c>
      <c r="H1619" t="s">
        <v>51</v>
      </c>
      <c r="I1619" t="s">
        <v>11</v>
      </c>
      <c r="J1619" t="str" cm="1">
        <f t="array" ref="J1619">_xlfn.IFS(I1619="S","Southamptom",I1619="Q","Quentown",I1619="C","Cherbrug",I1619="B","Cabin")</f>
        <v>Southamptom</v>
      </c>
      <c r="K1619" t="s">
        <v>15</v>
      </c>
      <c r="L1619" s="2">
        <v>33</v>
      </c>
      <c r="M1619" s="2" t="str" cm="1">
        <f t="array" ref="M1619">_xlfn.IFS(L1619&lt;=15,"Low Fare",L1619&lt;=35,"Medium Fare",L1619&lt;=100,"High Fare",L1619&gt;=100,"Very High Fare")</f>
        <v>Medium Fare</v>
      </c>
      <c r="N1619" s="2">
        <v>1</v>
      </c>
      <c r="O1619" s="2" t="s">
        <v>30</v>
      </c>
      <c r="P1619" t="e">
        <f t="shared" si="101"/>
        <v>#VALUE!</v>
      </c>
      <c r="Q1619" t="e">
        <f t="shared" si="102"/>
        <v>#VALUE!</v>
      </c>
      <c r="R1619" t="str">
        <f t="shared" si="103"/>
        <v>No</v>
      </c>
      <c r="S1619" t="s">
        <v>13</v>
      </c>
    </row>
    <row r="1620" spans="1:19" hidden="1" x14ac:dyDescent="0.3">
      <c r="A1620" s="1" t="s">
        <v>1189</v>
      </c>
      <c r="B1620" t="s">
        <v>1596</v>
      </c>
      <c r="C1620" t="s">
        <v>2886</v>
      </c>
      <c r="D1620" t="str">
        <f t="shared" si="100"/>
        <v>Male</v>
      </c>
      <c r="E1620" t="s">
        <v>9</v>
      </c>
      <c r="F1620" s="2">
        <v>26</v>
      </c>
      <c r="G1620" s="2" t="str" cm="1">
        <f t="array" ref="G1620">_xlfn.IFS(F1620&lt;=8,"Child",F1620&lt;=17,"Teen",F1620&lt;=35,"Adult",F1620&lt;=55,"Seniour Adult",F1620&gt;=55,"Old Age")</f>
        <v>Adult</v>
      </c>
      <c r="H1620" t="s">
        <v>51</v>
      </c>
      <c r="I1620" t="s">
        <v>11</v>
      </c>
      <c r="J1620" t="str" cm="1">
        <f t="array" ref="J1620">_xlfn.IFS(I1620="S","Southamptom",I1620="Q","Quentown",I1620="C","Cherbrug",I1620="B","Cabin")</f>
        <v>Southamptom</v>
      </c>
      <c r="K1620" t="s">
        <v>15</v>
      </c>
      <c r="L1620" s="2">
        <v>33</v>
      </c>
      <c r="M1620" s="2" t="str" cm="1">
        <f t="array" ref="M1620">_xlfn.IFS(L1620&lt;=15,"Low Fare",L1620&lt;=35,"Medium Fare",L1620&lt;=100,"High Fare",L1620&gt;=100,"Very High Fare")</f>
        <v>Medium Fare</v>
      </c>
      <c r="N1620" s="2">
        <v>1</v>
      </c>
      <c r="O1620" s="2" t="s">
        <v>30</v>
      </c>
      <c r="P1620" t="e">
        <f t="shared" si="101"/>
        <v>#VALUE!</v>
      </c>
      <c r="Q1620" t="e">
        <f t="shared" si="102"/>
        <v>#VALUE!</v>
      </c>
      <c r="R1620" t="str">
        <f t="shared" si="103"/>
        <v>No</v>
      </c>
      <c r="S1620" t="s">
        <v>13</v>
      </c>
    </row>
    <row r="1621" spans="1:19" hidden="1" x14ac:dyDescent="0.3">
      <c r="A1621" s="1" t="s">
        <v>1190</v>
      </c>
      <c r="B1621" t="s">
        <v>1596</v>
      </c>
      <c r="C1621" t="s">
        <v>2726</v>
      </c>
      <c r="D1621" t="str">
        <f t="shared" si="100"/>
        <v>Male</v>
      </c>
      <c r="E1621" t="s">
        <v>9</v>
      </c>
      <c r="F1621" s="2">
        <v>22</v>
      </c>
      <c r="G1621" s="2" t="str" cm="1">
        <f t="array" ref="G1621">_xlfn.IFS(F1621&lt;=8,"Child",F1621&lt;=17,"Teen",F1621&lt;=35,"Adult",F1621&lt;=55,"Seniour Adult",F1621&gt;=55,"Old Age")</f>
        <v>Adult</v>
      </c>
      <c r="H1621" t="s">
        <v>51</v>
      </c>
      <c r="I1621" t="s">
        <v>11</v>
      </c>
      <c r="J1621" t="str" cm="1">
        <f t="array" ref="J1621">_xlfn.IFS(I1621="S","Southamptom",I1621="Q","Quentown",I1621="C","Cherbrug",I1621="B","Cabin")</f>
        <v>Southamptom</v>
      </c>
      <c r="K1621" t="s">
        <v>15</v>
      </c>
      <c r="L1621" s="2">
        <v>33</v>
      </c>
      <c r="M1621" s="2" t="str" cm="1">
        <f t="array" ref="M1621">_xlfn.IFS(L1621&lt;=15,"Low Fare",L1621&lt;=35,"Medium Fare",L1621&lt;=100,"High Fare",L1621&gt;=100,"Very High Fare")</f>
        <v>Medium Fare</v>
      </c>
      <c r="N1621" s="2">
        <v>1</v>
      </c>
      <c r="O1621" s="2" t="s">
        <v>30</v>
      </c>
      <c r="P1621" t="e">
        <f t="shared" si="101"/>
        <v>#VALUE!</v>
      </c>
      <c r="Q1621" t="e">
        <f t="shared" si="102"/>
        <v>#VALUE!</v>
      </c>
      <c r="R1621" t="str">
        <f t="shared" si="103"/>
        <v>No</v>
      </c>
      <c r="S1621" t="s">
        <v>13</v>
      </c>
    </row>
    <row r="1622" spans="1:19" hidden="1" x14ac:dyDescent="0.3">
      <c r="A1622" s="1" t="s">
        <v>383</v>
      </c>
      <c r="B1622" t="s">
        <v>1596</v>
      </c>
      <c r="C1622" t="s">
        <v>2887</v>
      </c>
      <c r="D1622" t="str">
        <f t="shared" si="100"/>
        <v>Male</v>
      </c>
      <c r="E1622" t="s">
        <v>9</v>
      </c>
      <c r="F1622" s="2">
        <v>28</v>
      </c>
      <c r="G1622" s="2" t="str" cm="1">
        <f t="array" ref="G1622">_xlfn.IFS(F1622&lt;=8,"Child",F1622&lt;=17,"Teen",F1622&lt;=35,"Adult",F1622&lt;=55,"Seniour Adult",F1622&gt;=55,"Old Age")</f>
        <v>Adult</v>
      </c>
      <c r="H1622" t="s">
        <v>51</v>
      </c>
      <c r="I1622" t="s">
        <v>28</v>
      </c>
      <c r="J1622" t="str" cm="1">
        <f t="array" ref="J1622">_xlfn.IFS(I1622="S","Southamptom",I1622="Q","Quentown",I1622="C","Cherbrug",I1622="B","Cabin")</f>
        <v>Cabin</v>
      </c>
      <c r="K1622" t="s">
        <v>29</v>
      </c>
      <c r="L1622" s="2">
        <v>33</v>
      </c>
      <c r="M1622" s="2" t="str" cm="1">
        <f t="array" ref="M1622">_xlfn.IFS(L1622&lt;=15,"Low Fare",L1622&lt;=35,"Medium Fare",L1622&lt;=100,"High Fare",L1622&gt;=100,"Very High Fare")</f>
        <v>Medium Fare</v>
      </c>
      <c r="N1622" s="2">
        <v>1</v>
      </c>
      <c r="O1622" s="2" t="s">
        <v>30</v>
      </c>
      <c r="P1622" t="e">
        <f t="shared" si="101"/>
        <v>#VALUE!</v>
      </c>
      <c r="Q1622" t="e">
        <f t="shared" si="102"/>
        <v>#VALUE!</v>
      </c>
      <c r="R1622" t="str">
        <f t="shared" si="103"/>
        <v>Yes</v>
      </c>
      <c r="S1622" t="s">
        <v>16</v>
      </c>
    </row>
    <row r="1623" spans="1:19" hidden="1" x14ac:dyDescent="0.3">
      <c r="A1623" s="1" t="s">
        <v>1191</v>
      </c>
      <c r="B1623" t="s">
        <v>1596</v>
      </c>
      <c r="C1623" t="s">
        <v>1824</v>
      </c>
      <c r="D1623" t="str">
        <f t="shared" si="100"/>
        <v>Male</v>
      </c>
      <c r="E1623" t="s">
        <v>9</v>
      </c>
      <c r="F1623" s="2">
        <v>43</v>
      </c>
      <c r="G1623" s="2" t="str" cm="1">
        <f t="array" ref="G1623">_xlfn.IFS(F1623&lt;=8,"Child",F1623&lt;=17,"Teen",F1623&lt;=35,"Adult",F1623&lt;=55,"Seniour Adult",F1623&gt;=55,"Old Age")</f>
        <v>Seniour Adult</v>
      </c>
      <c r="H1623" t="s">
        <v>51</v>
      </c>
      <c r="I1623" t="s">
        <v>11</v>
      </c>
      <c r="J1623" t="str" cm="1">
        <f t="array" ref="J1623">_xlfn.IFS(I1623="S","Southamptom",I1623="Q","Quentown",I1623="C","Cherbrug",I1623="B","Cabin")</f>
        <v>Southamptom</v>
      </c>
      <c r="K1623" t="s">
        <v>15</v>
      </c>
      <c r="L1623" s="2">
        <v>33</v>
      </c>
      <c r="M1623" s="2" t="str" cm="1">
        <f t="array" ref="M1623">_xlfn.IFS(L1623&lt;=15,"Low Fare",L1623&lt;=35,"Medium Fare",L1623&lt;=100,"High Fare",L1623&gt;=100,"Very High Fare")</f>
        <v>Medium Fare</v>
      </c>
      <c r="N1623" s="2">
        <v>1</v>
      </c>
      <c r="O1623" s="2" t="s">
        <v>30</v>
      </c>
      <c r="P1623" t="e">
        <f t="shared" si="101"/>
        <v>#VALUE!</v>
      </c>
      <c r="Q1623" t="e">
        <f t="shared" si="102"/>
        <v>#VALUE!</v>
      </c>
      <c r="R1623" t="str">
        <f t="shared" si="103"/>
        <v>No</v>
      </c>
      <c r="S1623" t="s">
        <v>13</v>
      </c>
    </row>
    <row r="1624" spans="1:19" hidden="1" x14ac:dyDescent="0.3">
      <c r="A1624" s="1" t="s">
        <v>1192</v>
      </c>
      <c r="B1624" t="s">
        <v>1602</v>
      </c>
      <c r="C1624" t="s">
        <v>1734</v>
      </c>
      <c r="D1624" t="str">
        <f t="shared" si="100"/>
        <v>Female</v>
      </c>
      <c r="E1624" t="s">
        <v>14</v>
      </c>
      <c r="F1624" s="2">
        <v>45</v>
      </c>
      <c r="G1624" s="2" t="str" cm="1">
        <f t="array" ref="G1624">_xlfn.IFS(F1624&lt;=8,"Child",F1624&lt;=17,"Teen",F1624&lt;=35,"Adult",F1624&lt;=55,"Seniour Adult",F1624&gt;=55,"Old Age")</f>
        <v>Seniour Adult</v>
      </c>
      <c r="H1624" t="s">
        <v>69</v>
      </c>
      <c r="I1624" t="s">
        <v>11</v>
      </c>
      <c r="J1624" t="str" cm="1">
        <f t="array" ref="J1624">_xlfn.IFS(I1624="S","Southamptom",I1624="Q","Quentown",I1624="C","Cherbrug",I1624="B","Cabin")</f>
        <v>Southamptom</v>
      </c>
      <c r="K1624" t="s">
        <v>15</v>
      </c>
      <c r="L1624" s="2">
        <v>33</v>
      </c>
      <c r="M1624" s="2" t="str" cm="1">
        <f t="array" ref="M1624">_xlfn.IFS(L1624&lt;=15,"Low Fare",L1624&lt;=35,"Medium Fare",L1624&lt;=100,"High Fare",L1624&gt;=100,"Very High Fare")</f>
        <v>Medium Fare</v>
      </c>
      <c r="N1624" s="2">
        <v>1</v>
      </c>
      <c r="O1624" s="2" t="s">
        <v>30</v>
      </c>
      <c r="P1624" t="e">
        <f t="shared" si="101"/>
        <v>#VALUE!</v>
      </c>
      <c r="Q1624" t="e">
        <f t="shared" si="102"/>
        <v>#VALUE!</v>
      </c>
      <c r="R1624" t="str">
        <f t="shared" si="103"/>
        <v>Yes</v>
      </c>
      <c r="S1624" t="s">
        <v>16</v>
      </c>
    </row>
    <row r="1625" spans="1:19" hidden="1" x14ac:dyDescent="0.3">
      <c r="A1625" s="1" t="s">
        <v>1193</v>
      </c>
      <c r="B1625" t="s">
        <v>1596</v>
      </c>
      <c r="C1625" t="s">
        <v>2888</v>
      </c>
      <c r="D1625" t="str">
        <f t="shared" si="100"/>
        <v>Male</v>
      </c>
      <c r="E1625" t="s">
        <v>9</v>
      </c>
      <c r="F1625" s="2">
        <v>24</v>
      </c>
      <c r="G1625" s="2" t="str" cm="1">
        <f t="array" ref="G1625">_xlfn.IFS(F1625&lt;=8,"Child",F1625&lt;=17,"Teen",F1625&lt;=35,"Adult",F1625&lt;=55,"Seniour Adult",F1625&gt;=55,"Old Age")</f>
        <v>Adult</v>
      </c>
      <c r="H1625" t="s">
        <v>70</v>
      </c>
      <c r="I1625" t="s">
        <v>11</v>
      </c>
      <c r="J1625" t="str" cm="1">
        <f t="array" ref="J1625">_xlfn.IFS(I1625="S","Southamptom",I1625="Q","Quentown",I1625="C","Cherbrug",I1625="B","Cabin")</f>
        <v>Southamptom</v>
      </c>
      <c r="K1625" t="s">
        <v>15</v>
      </c>
      <c r="L1625" s="2">
        <v>33</v>
      </c>
      <c r="M1625" s="2" t="str" cm="1">
        <f t="array" ref="M1625">_xlfn.IFS(L1625&lt;=15,"Low Fare",L1625&lt;=35,"Medium Fare",L1625&lt;=100,"High Fare",L1625&gt;=100,"Very High Fare")</f>
        <v>Medium Fare</v>
      </c>
      <c r="N1625" s="2">
        <v>1</v>
      </c>
      <c r="O1625" s="2" t="s">
        <v>30</v>
      </c>
      <c r="P1625" t="e">
        <f t="shared" si="101"/>
        <v>#VALUE!</v>
      </c>
      <c r="Q1625" t="e">
        <f t="shared" si="102"/>
        <v>#VALUE!</v>
      </c>
      <c r="R1625" t="str">
        <f t="shared" si="103"/>
        <v>No</v>
      </c>
      <c r="S1625" t="s">
        <v>13</v>
      </c>
    </row>
    <row r="1626" spans="1:19" hidden="1" x14ac:dyDescent="0.3">
      <c r="A1626" s="1" t="s">
        <v>1194</v>
      </c>
      <c r="B1626" t="s">
        <v>1596</v>
      </c>
      <c r="C1626" t="s">
        <v>2038</v>
      </c>
      <c r="D1626" t="str">
        <f t="shared" si="100"/>
        <v>Male</v>
      </c>
      <c r="E1626" t="s">
        <v>9</v>
      </c>
      <c r="F1626" s="2">
        <v>24</v>
      </c>
      <c r="G1626" s="2" t="str" cm="1">
        <f t="array" ref="G1626">_xlfn.IFS(F1626&lt;=8,"Child",F1626&lt;=17,"Teen",F1626&lt;=35,"Adult",F1626&lt;=55,"Seniour Adult",F1626&gt;=55,"Old Age")</f>
        <v>Adult</v>
      </c>
      <c r="H1626" t="s">
        <v>51</v>
      </c>
      <c r="I1626" t="s">
        <v>11</v>
      </c>
      <c r="J1626" t="str" cm="1">
        <f t="array" ref="J1626">_xlfn.IFS(I1626="S","Southamptom",I1626="Q","Quentown",I1626="C","Cherbrug",I1626="B","Cabin")</f>
        <v>Southamptom</v>
      </c>
      <c r="K1626" t="s">
        <v>15</v>
      </c>
      <c r="L1626" s="2">
        <v>33</v>
      </c>
      <c r="M1626" s="2" t="str" cm="1">
        <f t="array" ref="M1626">_xlfn.IFS(L1626&lt;=15,"Low Fare",L1626&lt;=35,"Medium Fare",L1626&lt;=100,"High Fare",L1626&gt;=100,"Very High Fare")</f>
        <v>Medium Fare</v>
      </c>
      <c r="N1626" s="2">
        <v>1</v>
      </c>
      <c r="O1626" s="2" t="s">
        <v>30</v>
      </c>
      <c r="P1626" t="e">
        <f t="shared" si="101"/>
        <v>#VALUE!</v>
      </c>
      <c r="Q1626" t="e">
        <f t="shared" si="102"/>
        <v>#VALUE!</v>
      </c>
      <c r="R1626" t="str">
        <f t="shared" si="103"/>
        <v>No</v>
      </c>
      <c r="S1626" t="s">
        <v>13</v>
      </c>
    </row>
    <row r="1627" spans="1:19" hidden="1" x14ac:dyDescent="0.3">
      <c r="A1627" s="1" t="s">
        <v>1195</v>
      </c>
      <c r="B1627" t="s">
        <v>1596</v>
      </c>
      <c r="C1627" t="s">
        <v>2889</v>
      </c>
      <c r="D1627" t="str">
        <f t="shared" si="100"/>
        <v>Male</v>
      </c>
      <c r="E1627" t="s">
        <v>9</v>
      </c>
      <c r="F1627" s="2">
        <v>30</v>
      </c>
      <c r="G1627" s="2" t="str" cm="1">
        <f t="array" ref="G1627">_xlfn.IFS(F1627&lt;=8,"Child",F1627&lt;=17,"Teen",F1627&lt;=35,"Adult",F1627&lt;=55,"Seniour Adult",F1627&gt;=55,"Old Age")</f>
        <v>Adult</v>
      </c>
      <c r="H1627" t="s">
        <v>69</v>
      </c>
      <c r="I1627" t="s">
        <v>11</v>
      </c>
      <c r="J1627" t="str" cm="1">
        <f t="array" ref="J1627">_xlfn.IFS(I1627="S","Southamptom",I1627="Q","Quentown",I1627="C","Cherbrug",I1627="B","Cabin")</f>
        <v>Southamptom</v>
      </c>
      <c r="K1627" t="s">
        <v>15</v>
      </c>
      <c r="L1627" s="2">
        <v>33</v>
      </c>
      <c r="M1627" s="2" t="str" cm="1">
        <f t="array" ref="M1627">_xlfn.IFS(L1627&lt;=15,"Low Fare",L1627&lt;=35,"Medium Fare",L1627&lt;=100,"High Fare",L1627&gt;=100,"Very High Fare")</f>
        <v>Medium Fare</v>
      </c>
      <c r="N1627" s="2">
        <v>1</v>
      </c>
      <c r="O1627" s="2" t="s">
        <v>30</v>
      </c>
      <c r="P1627" t="e">
        <f t="shared" si="101"/>
        <v>#VALUE!</v>
      </c>
      <c r="Q1627" t="e">
        <f t="shared" si="102"/>
        <v>#VALUE!</v>
      </c>
      <c r="R1627" t="str">
        <f t="shared" si="103"/>
        <v>No</v>
      </c>
      <c r="S1627" t="s">
        <v>13</v>
      </c>
    </row>
    <row r="1628" spans="1:19" hidden="1" x14ac:dyDescent="0.3">
      <c r="A1628" s="1" t="s">
        <v>1196</v>
      </c>
      <c r="B1628" t="s">
        <v>1596</v>
      </c>
      <c r="C1628" t="s">
        <v>2890</v>
      </c>
      <c r="D1628" t="str">
        <f t="shared" si="100"/>
        <v>Male</v>
      </c>
      <c r="E1628" t="s">
        <v>9</v>
      </c>
      <c r="F1628" s="2">
        <v>29</v>
      </c>
      <c r="G1628" s="2" t="str" cm="1">
        <f t="array" ref="G1628">_xlfn.IFS(F1628&lt;=8,"Child",F1628&lt;=17,"Teen",F1628&lt;=35,"Adult",F1628&lt;=55,"Seniour Adult",F1628&gt;=55,"Old Age")</f>
        <v>Adult</v>
      </c>
      <c r="H1628" t="s">
        <v>69</v>
      </c>
      <c r="I1628" t="s">
        <v>11</v>
      </c>
      <c r="J1628" t="str" cm="1">
        <f t="array" ref="J1628">_xlfn.IFS(I1628="S","Southamptom",I1628="Q","Quentown",I1628="C","Cherbrug",I1628="B","Cabin")</f>
        <v>Southamptom</v>
      </c>
      <c r="K1628" t="s">
        <v>15</v>
      </c>
      <c r="L1628" s="2">
        <v>33</v>
      </c>
      <c r="M1628" s="2" t="str" cm="1">
        <f t="array" ref="M1628">_xlfn.IFS(L1628&lt;=15,"Low Fare",L1628&lt;=35,"Medium Fare",L1628&lt;=100,"High Fare",L1628&gt;=100,"Very High Fare")</f>
        <v>Medium Fare</v>
      </c>
      <c r="N1628" s="2">
        <v>1</v>
      </c>
      <c r="O1628" s="2" t="s">
        <v>30</v>
      </c>
      <c r="P1628" t="e">
        <f t="shared" si="101"/>
        <v>#VALUE!</v>
      </c>
      <c r="Q1628" t="e">
        <f t="shared" si="102"/>
        <v>#VALUE!</v>
      </c>
      <c r="R1628" t="str">
        <f t="shared" si="103"/>
        <v>Yes</v>
      </c>
      <c r="S1628" t="s">
        <v>16</v>
      </c>
    </row>
    <row r="1629" spans="1:19" hidden="1" x14ac:dyDescent="0.3">
      <c r="A1629" s="1" t="s">
        <v>1197</v>
      </c>
      <c r="B1629" t="s">
        <v>1596</v>
      </c>
      <c r="C1629" t="s">
        <v>2891</v>
      </c>
      <c r="D1629" t="str">
        <f t="shared" si="100"/>
        <v>Male</v>
      </c>
      <c r="E1629" t="s">
        <v>9</v>
      </c>
      <c r="F1629" s="2">
        <v>37</v>
      </c>
      <c r="G1629" s="2" t="str" cm="1">
        <f t="array" ref="G1629">_xlfn.IFS(F1629&lt;=8,"Child",F1629&lt;=17,"Teen",F1629&lt;=35,"Adult",F1629&lt;=55,"Seniour Adult",F1629&gt;=55,"Old Age")</f>
        <v>Seniour Adult</v>
      </c>
      <c r="H1629" t="s">
        <v>69</v>
      </c>
      <c r="I1629" t="s">
        <v>11</v>
      </c>
      <c r="J1629" t="str" cm="1">
        <f t="array" ref="J1629">_xlfn.IFS(I1629="S","Southamptom",I1629="Q","Quentown",I1629="C","Cherbrug",I1629="B","Cabin")</f>
        <v>Southamptom</v>
      </c>
      <c r="K1629" t="s">
        <v>12</v>
      </c>
      <c r="L1629" s="2">
        <v>33</v>
      </c>
      <c r="M1629" s="2" t="str" cm="1">
        <f t="array" ref="M1629">_xlfn.IFS(L1629&lt;=15,"Low Fare",L1629&lt;=35,"Medium Fare",L1629&lt;=100,"High Fare",L1629&gt;=100,"Very High Fare")</f>
        <v>Medium Fare</v>
      </c>
      <c r="N1629" s="2">
        <v>1</v>
      </c>
      <c r="O1629" s="2" t="s">
        <v>30</v>
      </c>
      <c r="P1629" t="e">
        <f t="shared" si="101"/>
        <v>#VALUE!</v>
      </c>
      <c r="Q1629" t="e">
        <f t="shared" si="102"/>
        <v>#VALUE!</v>
      </c>
      <c r="R1629" t="str">
        <f t="shared" si="103"/>
        <v>No</v>
      </c>
      <c r="S1629" t="s">
        <v>13</v>
      </c>
    </row>
    <row r="1630" spans="1:19" hidden="1" x14ac:dyDescent="0.3">
      <c r="A1630" s="1" t="s">
        <v>1198</v>
      </c>
      <c r="B1630" t="s">
        <v>1596</v>
      </c>
      <c r="C1630" t="s">
        <v>1610</v>
      </c>
      <c r="D1630" t="str">
        <f t="shared" si="100"/>
        <v>Male</v>
      </c>
      <c r="E1630" t="s">
        <v>9</v>
      </c>
      <c r="F1630" s="2">
        <v>35</v>
      </c>
      <c r="G1630" s="2" t="str" cm="1">
        <f t="array" ref="G1630">_xlfn.IFS(F1630&lt;=8,"Child",F1630&lt;=17,"Teen",F1630&lt;=35,"Adult",F1630&lt;=55,"Seniour Adult",F1630&gt;=55,"Old Age")</f>
        <v>Adult</v>
      </c>
      <c r="H1630" t="s">
        <v>51</v>
      </c>
      <c r="I1630" t="s">
        <v>28</v>
      </c>
      <c r="J1630" t="str" cm="1">
        <f t="array" ref="J1630">_xlfn.IFS(I1630="S","Southamptom",I1630="Q","Quentown",I1630="C","Cherbrug",I1630="B","Cabin")</f>
        <v>Cabin</v>
      </c>
      <c r="K1630" t="s">
        <v>29</v>
      </c>
      <c r="L1630" s="2">
        <v>33</v>
      </c>
      <c r="M1630" s="2" t="str" cm="1">
        <f t="array" ref="M1630">_xlfn.IFS(L1630&lt;=15,"Low Fare",L1630&lt;=35,"Medium Fare",L1630&lt;=100,"High Fare",L1630&gt;=100,"Very High Fare")</f>
        <v>Medium Fare</v>
      </c>
      <c r="N1630" s="2">
        <v>1</v>
      </c>
      <c r="O1630" s="2" t="s">
        <v>30</v>
      </c>
      <c r="P1630" t="e">
        <f t="shared" si="101"/>
        <v>#VALUE!</v>
      </c>
      <c r="Q1630" t="e">
        <f t="shared" si="102"/>
        <v>#VALUE!</v>
      </c>
      <c r="R1630" t="str">
        <f t="shared" si="103"/>
        <v>Yes</v>
      </c>
      <c r="S1630" t="s">
        <v>16</v>
      </c>
    </row>
    <row r="1631" spans="1:19" hidden="1" x14ac:dyDescent="0.3">
      <c r="A1631" s="1" t="s">
        <v>1199</v>
      </c>
      <c r="B1631" t="s">
        <v>1596</v>
      </c>
      <c r="C1631" t="s">
        <v>1671</v>
      </c>
      <c r="D1631" t="str">
        <f t="shared" si="100"/>
        <v>Male</v>
      </c>
      <c r="E1631" t="s">
        <v>9</v>
      </c>
      <c r="F1631" s="2">
        <v>31</v>
      </c>
      <c r="G1631" s="2" t="str" cm="1">
        <f t="array" ref="G1631">_xlfn.IFS(F1631&lt;=8,"Child",F1631&lt;=17,"Teen",F1631&lt;=35,"Adult",F1631&lt;=55,"Seniour Adult",F1631&gt;=55,"Old Age")</f>
        <v>Adult</v>
      </c>
      <c r="H1631" t="s">
        <v>71</v>
      </c>
      <c r="I1631" t="s">
        <v>28</v>
      </c>
      <c r="J1631" t="str" cm="1">
        <f t="array" ref="J1631">_xlfn.IFS(I1631="S","Southamptom",I1631="Q","Quentown",I1631="C","Cherbrug",I1631="B","Cabin")</f>
        <v>Cabin</v>
      </c>
      <c r="K1631" t="s">
        <v>15</v>
      </c>
      <c r="L1631" s="2">
        <v>33</v>
      </c>
      <c r="M1631" s="2" t="str" cm="1">
        <f t="array" ref="M1631">_xlfn.IFS(L1631&lt;=15,"Low Fare",L1631&lt;=35,"Medium Fare",L1631&lt;=100,"High Fare",L1631&gt;=100,"Very High Fare")</f>
        <v>Medium Fare</v>
      </c>
      <c r="N1631" s="2">
        <v>1</v>
      </c>
      <c r="O1631" s="2" t="s">
        <v>30</v>
      </c>
      <c r="P1631" t="e">
        <f t="shared" si="101"/>
        <v>#VALUE!</v>
      </c>
      <c r="Q1631" t="e">
        <f t="shared" si="102"/>
        <v>#VALUE!</v>
      </c>
      <c r="R1631" t="str">
        <f t="shared" si="103"/>
        <v>Yes</v>
      </c>
      <c r="S1631" t="s">
        <v>16</v>
      </c>
    </row>
    <row r="1632" spans="1:19" hidden="1" x14ac:dyDescent="0.3">
      <c r="A1632" s="1" t="s">
        <v>1200</v>
      </c>
      <c r="B1632" t="s">
        <v>1596</v>
      </c>
      <c r="C1632" t="s">
        <v>2892</v>
      </c>
      <c r="D1632" t="str">
        <f t="shared" si="100"/>
        <v>Male</v>
      </c>
      <c r="E1632" t="s">
        <v>9</v>
      </c>
      <c r="F1632" s="2">
        <v>22</v>
      </c>
      <c r="G1632" s="2" t="str" cm="1">
        <f t="array" ref="G1632">_xlfn.IFS(F1632&lt;=8,"Child",F1632&lt;=17,"Teen",F1632&lt;=35,"Adult",F1632&lt;=55,"Seniour Adult",F1632&gt;=55,"Old Age")</f>
        <v>Adult</v>
      </c>
      <c r="H1632" t="s">
        <v>69</v>
      </c>
      <c r="I1632" t="s">
        <v>11</v>
      </c>
      <c r="J1632" t="str" cm="1">
        <f t="array" ref="J1632">_xlfn.IFS(I1632="S","Southamptom",I1632="Q","Quentown",I1632="C","Cherbrug",I1632="B","Cabin")</f>
        <v>Southamptom</v>
      </c>
      <c r="K1632" t="s">
        <v>15</v>
      </c>
      <c r="L1632" s="2">
        <v>33</v>
      </c>
      <c r="M1632" s="2" t="str" cm="1">
        <f t="array" ref="M1632">_xlfn.IFS(L1632&lt;=15,"Low Fare",L1632&lt;=35,"Medium Fare",L1632&lt;=100,"High Fare",L1632&gt;=100,"Very High Fare")</f>
        <v>Medium Fare</v>
      </c>
      <c r="N1632" s="2">
        <v>1</v>
      </c>
      <c r="O1632" s="2" t="s">
        <v>30</v>
      </c>
      <c r="P1632" t="e">
        <f t="shared" si="101"/>
        <v>#VALUE!</v>
      </c>
      <c r="Q1632" t="e">
        <f t="shared" si="102"/>
        <v>#VALUE!</v>
      </c>
      <c r="R1632" t="str">
        <f t="shared" si="103"/>
        <v>Yes</v>
      </c>
      <c r="S1632" t="s">
        <v>16</v>
      </c>
    </row>
    <row r="1633" spans="1:19" hidden="1" x14ac:dyDescent="0.3">
      <c r="A1633" s="1" t="s">
        <v>1201</v>
      </c>
      <c r="B1633" t="s">
        <v>1596</v>
      </c>
      <c r="C1633" t="s">
        <v>2804</v>
      </c>
      <c r="D1633" t="str">
        <f t="shared" si="100"/>
        <v>Male</v>
      </c>
      <c r="E1633" t="s">
        <v>9</v>
      </c>
      <c r="F1633" s="2">
        <v>23</v>
      </c>
      <c r="G1633" s="2" t="str" cm="1">
        <f t="array" ref="G1633">_xlfn.IFS(F1633&lt;=8,"Child",F1633&lt;=17,"Teen",F1633&lt;=35,"Adult",F1633&lt;=55,"Seniour Adult",F1633&gt;=55,"Old Age")</f>
        <v>Adult</v>
      </c>
      <c r="H1633" t="s">
        <v>51</v>
      </c>
      <c r="I1633" t="s">
        <v>11</v>
      </c>
      <c r="J1633" t="str" cm="1">
        <f t="array" ref="J1633">_xlfn.IFS(I1633="S","Southamptom",I1633="Q","Quentown",I1633="C","Cherbrug",I1633="B","Cabin")</f>
        <v>Southamptom</v>
      </c>
      <c r="K1633" t="s">
        <v>15</v>
      </c>
      <c r="L1633" s="2">
        <v>33</v>
      </c>
      <c r="M1633" s="2" t="str" cm="1">
        <f t="array" ref="M1633">_xlfn.IFS(L1633&lt;=15,"Low Fare",L1633&lt;=35,"Medium Fare",L1633&lt;=100,"High Fare",L1633&gt;=100,"Very High Fare")</f>
        <v>Medium Fare</v>
      </c>
      <c r="N1633" s="2">
        <v>1</v>
      </c>
      <c r="O1633" s="2" t="s">
        <v>30</v>
      </c>
      <c r="P1633" t="e">
        <f t="shared" si="101"/>
        <v>#VALUE!</v>
      </c>
      <c r="Q1633" t="e">
        <f t="shared" si="102"/>
        <v>#VALUE!</v>
      </c>
      <c r="R1633" t="str">
        <f t="shared" si="103"/>
        <v>No</v>
      </c>
      <c r="S1633" t="s">
        <v>13</v>
      </c>
    </row>
    <row r="1634" spans="1:19" hidden="1" x14ac:dyDescent="0.3">
      <c r="A1634" s="1" t="s">
        <v>1202</v>
      </c>
      <c r="B1634" t="s">
        <v>1596</v>
      </c>
      <c r="C1634" t="s">
        <v>2893</v>
      </c>
      <c r="D1634" t="str">
        <f t="shared" si="100"/>
        <v>Male</v>
      </c>
      <c r="E1634" t="s">
        <v>9</v>
      </c>
      <c r="F1634" s="2">
        <v>41</v>
      </c>
      <c r="G1634" s="2" t="str" cm="1">
        <f t="array" ref="G1634">_xlfn.IFS(F1634&lt;=8,"Child",F1634&lt;=17,"Teen",F1634&lt;=35,"Adult",F1634&lt;=55,"Seniour Adult",F1634&gt;=55,"Old Age")</f>
        <v>Seniour Adult</v>
      </c>
      <c r="H1634" t="s">
        <v>69</v>
      </c>
      <c r="I1634" t="s">
        <v>11</v>
      </c>
      <c r="J1634" t="str" cm="1">
        <f t="array" ref="J1634">_xlfn.IFS(I1634="S","Southamptom",I1634="Q","Quentown",I1634="C","Cherbrug",I1634="B","Cabin")</f>
        <v>Southamptom</v>
      </c>
      <c r="K1634" t="s">
        <v>15</v>
      </c>
      <c r="L1634" s="2">
        <v>33</v>
      </c>
      <c r="M1634" s="2" t="str" cm="1">
        <f t="array" ref="M1634">_xlfn.IFS(L1634&lt;=15,"Low Fare",L1634&lt;=35,"Medium Fare",L1634&lt;=100,"High Fare",L1634&gt;=100,"Very High Fare")</f>
        <v>Medium Fare</v>
      </c>
      <c r="N1634" s="2">
        <v>1</v>
      </c>
      <c r="O1634" s="2" t="s">
        <v>30</v>
      </c>
      <c r="P1634" t="e">
        <f t="shared" si="101"/>
        <v>#VALUE!</v>
      </c>
      <c r="Q1634" t="e">
        <f t="shared" si="102"/>
        <v>#VALUE!</v>
      </c>
      <c r="R1634" t="str">
        <f t="shared" si="103"/>
        <v>No</v>
      </c>
      <c r="S1634" t="s">
        <v>13</v>
      </c>
    </row>
    <row r="1635" spans="1:19" hidden="1" x14ac:dyDescent="0.3">
      <c r="A1635" s="1" t="s">
        <v>1202</v>
      </c>
      <c r="B1635" t="s">
        <v>1596</v>
      </c>
      <c r="C1635" t="s">
        <v>2779</v>
      </c>
      <c r="D1635" t="str">
        <f t="shared" si="100"/>
        <v>Male</v>
      </c>
      <c r="E1635" t="s">
        <v>9</v>
      </c>
      <c r="F1635" s="2">
        <v>32</v>
      </c>
      <c r="G1635" s="2" t="str" cm="1">
        <f t="array" ref="G1635">_xlfn.IFS(F1635&lt;=8,"Child",F1635&lt;=17,"Teen",F1635&lt;=35,"Adult",F1635&lt;=55,"Seniour Adult",F1635&gt;=55,"Old Age")</f>
        <v>Adult</v>
      </c>
      <c r="H1635" t="s">
        <v>51</v>
      </c>
      <c r="I1635" t="s">
        <v>11</v>
      </c>
      <c r="J1635" t="str" cm="1">
        <f t="array" ref="J1635">_xlfn.IFS(I1635="S","Southamptom",I1635="Q","Quentown",I1635="C","Cherbrug",I1635="B","Cabin")</f>
        <v>Southamptom</v>
      </c>
      <c r="K1635" t="s">
        <v>15</v>
      </c>
      <c r="L1635" s="2">
        <v>33</v>
      </c>
      <c r="M1635" s="2" t="str" cm="1">
        <f t="array" ref="M1635">_xlfn.IFS(L1635&lt;=15,"Low Fare",L1635&lt;=35,"Medium Fare",L1635&lt;=100,"High Fare",L1635&gt;=100,"Very High Fare")</f>
        <v>Medium Fare</v>
      </c>
      <c r="N1635" s="2">
        <v>1</v>
      </c>
      <c r="O1635" s="2" t="s">
        <v>30</v>
      </c>
      <c r="P1635" t="e">
        <f t="shared" si="101"/>
        <v>#VALUE!</v>
      </c>
      <c r="Q1635" t="e">
        <f t="shared" si="102"/>
        <v>#VALUE!</v>
      </c>
      <c r="R1635" t="str">
        <f t="shared" si="103"/>
        <v>No</v>
      </c>
      <c r="S1635" t="s">
        <v>13</v>
      </c>
    </row>
    <row r="1636" spans="1:19" hidden="1" x14ac:dyDescent="0.3">
      <c r="A1636" s="1" t="s">
        <v>1203</v>
      </c>
      <c r="B1636" t="s">
        <v>1596</v>
      </c>
      <c r="C1636" t="s">
        <v>2894</v>
      </c>
      <c r="D1636" t="str">
        <f t="shared" si="100"/>
        <v>Male</v>
      </c>
      <c r="E1636" t="s">
        <v>9</v>
      </c>
      <c r="F1636" s="2">
        <v>47</v>
      </c>
      <c r="G1636" s="2" t="str" cm="1">
        <f t="array" ref="G1636">_xlfn.IFS(F1636&lt;=8,"Child",F1636&lt;=17,"Teen",F1636&lt;=35,"Adult",F1636&lt;=55,"Seniour Adult",F1636&gt;=55,"Old Age")</f>
        <v>Seniour Adult</v>
      </c>
      <c r="H1636" t="s">
        <v>69</v>
      </c>
      <c r="I1636" t="s">
        <v>11</v>
      </c>
      <c r="J1636" t="str" cm="1">
        <f t="array" ref="J1636">_xlfn.IFS(I1636="S","Southamptom",I1636="Q","Quentown",I1636="C","Cherbrug",I1636="B","Cabin")</f>
        <v>Southamptom</v>
      </c>
      <c r="K1636" t="s">
        <v>15</v>
      </c>
      <c r="L1636" s="2">
        <v>33</v>
      </c>
      <c r="M1636" s="2" t="str" cm="1">
        <f t="array" ref="M1636">_xlfn.IFS(L1636&lt;=15,"Low Fare",L1636&lt;=35,"Medium Fare",L1636&lt;=100,"High Fare",L1636&gt;=100,"Very High Fare")</f>
        <v>Medium Fare</v>
      </c>
      <c r="N1636" s="2">
        <v>1</v>
      </c>
      <c r="O1636" s="2" t="s">
        <v>30</v>
      </c>
      <c r="P1636" t="e">
        <f t="shared" si="101"/>
        <v>#VALUE!</v>
      </c>
      <c r="Q1636" t="e">
        <f t="shared" si="102"/>
        <v>#VALUE!</v>
      </c>
      <c r="R1636" t="str">
        <f t="shared" si="103"/>
        <v>No</v>
      </c>
      <c r="S1636" t="s">
        <v>13</v>
      </c>
    </row>
    <row r="1637" spans="1:19" hidden="1" x14ac:dyDescent="0.3">
      <c r="A1637" s="1" t="s">
        <v>1204</v>
      </c>
      <c r="B1637" t="s">
        <v>1596</v>
      </c>
      <c r="C1637" t="s">
        <v>1794</v>
      </c>
      <c r="D1637" t="str">
        <f t="shared" si="100"/>
        <v>Male</v>
      </c>
      <c r="E1637" t="s">
        <v>9</v>
      </c>
      <c r="F1637" s="2">
        <v>25</v>
      </c>
      <c r="G1637" s="2" t="str" cm="1">
        <f t="array" ref="G1637">_xlfn.IFS(F1637&lt;=8,"Child",F1637&lt;=17,"Teen",F1637&lt;=35,"Adult",F1637&lt;=55,"Seniour Adult",F1637&gt;=55,"Old Age")</f>
        <v>Adult</v>
      </c>
      <c r="H1637" t="s">
        <v>69</v>
      </c>
      <c r="I1637" t="s">
        <v>28</v>
      </c>
      <c r="J1637" t="str" cm="1">
        <f t="array" ref="J1637">_xlfn.IFS(I1637="S","Southamptom",I1637="Q","Quentown",I1637="C","Cherbrug",I1637="B","Cabin")</f>
        <v>Cabin</v>
      </c>
      <c r="K1637" t="s">
        <v>15</v>
      </c>
      <c r="L1637" s="2">
        <v>33</v>
      </c>
      <c r="M1637" s="2" t="str" cm="1">
        <f t="array" ref="M1637">_xlfn.IFS(L1637&lt;=15,"Low Fare",L1637&lt;=35,"Medium Fare",L1637&lt;=100,"High Fare",L1637&gt;=100,"Very High Fare")</f>
        <v>Medium Fare</v>
      </c>
      <c r="N1637" s="2">
        <v>1</v>
      </c>
      <c r="O1637" s="2" t="s">
        <v>30</v>
      </c>
      <c r="P1637" t="e">
        <f t="shared" si="101"/>
        <v>#VALUE!</v>
      </c>
      <c r="Q1637" t="e">
        <f t="shared" si="102"/>
        <v>#VALUE!</v>
      </c>
      <c r="R1637" t="str">
        <f t="shared" si="103"/>
        <v>No</v>
      </c>
      <c r="S1637" t="s">
        <v>13</v>
      </c>
    </row>
    <row r="1638" spans="1:19" hidden="1" x14ac:dyDescent="0.3">
      <c r="A1638" s="1" t="s">
        <v>1205</v>
      </c>
      <c r="B1638" t="s">
        <v>1596</v>
      </c>
      <c r="C1638" t="s">
        <v>2296</v>
      </c>
      <c r="D1638" t="str">
        <f t="shared" si="100"/>
        <v>Male</v>
      </c>
      <c r="E1638" t="s">
        <v>9</v>
      </c>
      <c r="F1638" s="2">
        <v>54</v>
      </c>
      <c r="G1638" s="2" t="str" cm="1">
        <f t="array" ref="G1638">_xlfn.IFS(F1638&lt;=8,"Child",F1638&lt;=17,"Teen",F1638&lt;=35,"Adult",F1638&lt;=55,"Seniour Adult",F1638&gt;=55,"Old Age")</f>
        <v>Seniour Adult</v>
      </c>
      <c r="H1638" t="s">
        <v>51</v>
      </c>
      <c r="I1638" t="s">
        <v>11</v>
      </c>
      <c r="J1638" t="str" cm="1">
        <f t="array" ref="J1638">_xlfn.IFS(I1638="S","Southamptom",I1638="Q","Quentown",I1638="C","Cherbrug",I1638="B","Cabin")</f>
        <v>Southamptom</v>
      </c>
      <c r="K1638" t="s">
        <v>37</v>
      </c>
      <c r="L1638" s="2">
        <v>33</v>
      </c>
      <c r="M1638" s="2" t="str" cm="1">
        <f t="array" ref="M1638">_xlfn.IFS(L1638&lt;=15,"Low Fare",L1638&lt;=35,"Medium Fare",L1638&lt;=100,"High Fare",L1638&gt;=100,"Very High Fare")</f>
        <v>Medium Fare</v>
      </c>
      <c r="N1638" s="2">
        <v>1</v>
      </c>
      <c r="O1638" s="2" t="s">
        <v>30</v>
      </c>
      <c r="P1638" t="e">
        <f t="shared" si="101"/>
        <v>#VALUE!</v>
      </c>
      <c r="Q1638" t="e">
        <f t="shared" si="102"/>
        <v>#VALUE!</v>
      </c>
      <c r="R1638" t="str">
        <f t="shared" si="103"/>
        <v>No</v>
      </c>
      <c r="S1638" t="s">
        <v>13</v>
      </c>
    </row>
    <row r="1639" spans="1:19" hidden="1" x14ac:dyDescent="0.3">
      <c r="A1639" s="1" t="s">
        <v>1206</v>
      </c>
      <c r="B1639" t="s">
        <v>1596</v>
      </c>
      <c r="C1639" t="s">
        <v>2038</v>
      </c>
      <c r="D1639" t="str">
        <f t="shared" si="100"/>
        <v>Male</v>
      </c>
      <c r="E1639" t="s">
        <v>9</v>
      </c>
      <c r="F1639" s="2">
        <v>30</v>
      </c>
      <c r="G1639" s="2" t="str" cm="1">
        <f t="array" ref="G1639">_xlfn.IFS(F1639&lt;=8,"Child",F1639&lt;=17,"Teen",F1639&lt;=35,"Adult",F1639&lt;=55,"Seniour Adult",F1639&gt;=55,"Old Age")</f>
        <v>Adult</v>
      </c>
      <c r="H1639" t="s">
        <v>51</v>
      </c>
      <c r="I1639" t="s">
        <v>11</v>
      </c>
      <c r="J1639" t="str" cm="1">
        <f t="array" ref="J1639">_xlfn.IFS(I1639="S","Southamptom",I1639="Q","Quentown",I1639="C","Cherbrug",I1639="B","Cabin")</f>
        <v>Southamptom</v>
      </c>
      <c r="K1639" t="s">
        <v>15</v>
      </c>
      <c r="L1639" s="2">
        <v>33</v>
      </c>
      <c r="M1639" s="2" t="str" cm="1">
        <f t="array" ref="M1639">_xlfn.IFS(L1639&lt;=15,"Low Fare",L1639&lt;=35,"Medium Fare",L1639&lt;=100,"High Fare",L1639&gt;=100,"Very High Fare")</f>
        <v>Medium Fare</v>
      </c>
      <c r="N1639" s="2">
        <v>1</v>
      </c>
      <c r="O1639" s="2" t="s">
        <v>30</v>
      </c>
      <c r="P1639" t="e">
        <f t="shared" si="101"/>
        <v>#VALUE!</v>
      </c>
      <c r="Q1639" t="e">
        <f t="shared" si="102"/>
        <v>#VALUE!</v>
      </c>
      <c r="R1639" t="str">
        <f t="shared" si="103"/>
        <v>No</v>
      </c>
      <c r="S1639" t="s">
        <v>13</v>
      </c>
    </row>
    <row r="1640" spans="1:19" hidden="1" x14ac:dyDescent="0.3">
      <c r="A1640" s="1" t="s">
        <v>401</v>
      </c>
      <c r="B1640" t="s">
        <v>1596</v>
      </c>
      <c r="C1640" t="s">
        <v>1619</v>
      </c>
      <c r="D1640" t="str">
        <f t="shared" si="100"/>
        <v>Male</v>
      </c>
      <c r="E1640" t="s">
        <v>9</v>
      </c>
      <c r="F1640" s="2">
        <v>39</v>
      </c>
      <c r="G1640" s="2" t="str" cm="1">
        <f t="array" ref="G1640">_xlfn.IFS(F1640&lt;=8,"Child",F1640&lt;=17,"Teen",F1640&lt;=35,"Adult",F1640&lt;=55,"Seniour Adult",F1640&gt;=55,"Old Age")</f>
        <v>Seniour Adult</v>
      </c>
      <c r="H1640" t="s">
        <v>71</v>
      </c>
      <c r="I1640" t="s">
        <v>11</v>
      </c>
      <c r="J1640" t="str" cm="1">
        <f t="array" ref="J1640">_xlfn.IFS(I1640="S","Southamptom",I1640="Q","Quentown",I1640="C","Cherbrug",I1640="B","Cabin")</f>
        <v>Southamptom</v>
      </c>
      <c r="K1640" t="s">
        <v>15</v>
      </c>
      <c r="L1640" s="2">
        <v>33</v>
      </c>
      <c r="M1640" s="2" t="str" cm="1">
        <f t="array" ref="M1640">_xlfn.IFS(L1640&lt;=15,"Low Fare",L1640&lt;=35,"Medium Fare",L1640&lt;=100,"High Fare",L1640&gt;=100,"Very High Fare")</f>
        <v>Medium Fare</v>
      </c>
      <c r="N1640" s="2">
        <v>1</v>
      </c>
      <c r="O1640" s="2" t="s">
        <v>30</v>
      </c>
      <c r="P1640" t="e">
        <f t="shared" si="101"/>
        <v>#VALUE!</v>
      </c>
      <c r="Q1640" t="e">
        <f t="shared" si="102"/>
        <v>#VALUE!</v>
      </c>
      <c r="R1640" t="str">
        <f t="shared" si="103"/>
        <v>Yes</v>
      </c>
      <c r="S1640" t="s">
        <v>16</v>
      </c>
    </row>
    <row r="1641" spans="1:19" hidden="1" x14ac:dyDescent="0.3">
      <c r="A1641" s="1" t="s">
        <v>1207</v>
      </c>
      <c r="B1641" t="s">
        <v>1596</v>
      </c>
      <c r="C1641" t="s">
        <v>1811</v>
      </c>
      <c r="D1641" t="str">
        <f t="shared" si="100"/>
        <v>Male</v>
      </c>
      <c r="E1641" t="s">
        <v>9</v>
      </c>
      <c r="F1641" s="2">
        <v>21</v>
      </c>
      <c r="G1641" s="2" t="str" cm="1">
        <f t="array" ref="G1641">_xlfn.IFS(F1641&lt;=8,"Child",F1641&lt;=17,"Teen",F1641&lt;=35,"Adult",F1641&lt;=55,"Seniour Adult",F1641&gt;=55,"Old Age")</f>
        <v>Adult</v>
      </c>
      <c r="H1641" t="s">
        <v>69</v>
      </c>
      <c r="I1641" t="s">
        <v>11</v>
      </c>
      <c r="J1641" t="str" cm="1">
        <f t="array" ref="J1641">_xlfn.IFS(I1641="S","Southamptom",I1641="Q","Quentown",I1641="C","Cherbrug",I1641="B","Cabin")</f>
        <v>Southamptom</v>
      </c>
      <c r="K1641" t="s">
        <v>15</v>
      </c>
      <c r="L1641" s="2">
        <v>33</v>
      </c>
      <c r="M1641" s="2" t="str" cm="1">
        <f t="array" ref="M1641">_xlfn.IFS(L1641&lt;=15,"Low Fare",L1641&lt;=35,"Medium Fare",L1641&lt;=100,"High Fare",L1641&gt;=100,"Very High Fare")</f>
        <v>Medium Fare</v>
      </c>
      <c r="N1641" s="2">
        <v>1</v>
      </c>
      <c r="O1641" s="2" t="s">
        <v>30</v>
      </c>
      <c r="P1641" t="e">
        <f t="shared" si="101"/>
        <v>#VALUE!</v>
      </c>
      <c r="Q1641" t="e">
        <f t="shared" si="102"/>
        <v>#VALUE!</v>
      </c>
      <c r="R1641" t="str">
        <f t="shared" si="103"/>
        <v>No</v>
      </c>
      <c r="S1641" t="s">
        <v>13</v>
      </c>
    </row>
    <row r="1642" spans="1:19" hidden="1" x14ac:dyDescent="0.3">
      <c r="A1642" s="1" t="s">
        <v>1208</v>
      </c>
      <c r="B1642" t="s">
        <v>1596</v>
      </c>
      <c r="C1642" t="s">
        <v>2050</v>
      </c>
      <c r="D1642" t="str">
        <f t="shared" si="100"/>
        <v>Male</v>
      </c>
      <c r="E1642" t="s">
        <v>9</v>
      </c>
      <c r="F1642" s="2">
        <v>21</v>
      </c>
      <c r="G1642" s="2" t="str" cm="1">
        <f t="array" ref="G1642">_xlfn.IFS(F1642&lt;=8,"Child",F1642&lt;=17,"Teen",F1642&lt;=35,"Adult",F1642&lt;=55,"Seniour Adult",F1642&gt;=55,"Old Age")</f>
        <v>Adult</v>
      </c>
      <c r="H1642" t="s">
        <v>69</v>
      </c>
      <c r="I1642" t="s">
        <v>11</v>
      </c>
      <c r="J1642" t="str" cm="1">
        <f t="array" ref="J1642">_xlfn.IFS(I1642="S","Southamptom",I1642="Q","Quentown",I1642="C","Cherbrug",I1642="B","Cabin")</f>
        <v>Southamptom</v>
      </c>
      <c r="K1642" t="s">
        <v>15</v>
      </c>
      <c r="L1642" s="2">
        <v>33</v>
      </c>
      <c r="M1642" s="2" t="str" cm="1">
        <f t="array" ref="M1642">_xlfn.IFS(L1642&lt;=15,"Low Fare",L1642&lt;=35,"Medium Fare",L1642&lt;=100,"High Fare",L1642&gt;=100,"Very High Fare")</f>
        <v>Medium Fare</v>
      </c>
      <c r="N1642" s="2">
        <v>1</v>
      </c>
      <c r="O1642" s="2" t="s">
        <v>30</v>
      </c>
      <c r="P1642" t="e">
        <f t="shared" si="101"/>
        <v>#VALUE!</v>
      </c>
      <c r="Q1642" t="e">
        <f t="shared" si="102"/>
        <v>#VALUE!</v>
      </c>
      <c r="R1642" t="str">
        <f t="shared" si="103"/>
        <v>Yes</v>
      </c>
      <c r="S1642" t="s">
        <v>16</v>
      </c>
    </row>
    <row r="1643" spans="1:19" hidden="1" x14ac:dyDescent="0.3">
      <c r="A1643" s="1" t="s">
        <v>1209</v>
      </c>
      <c r="B1643" t="s">
        <v>1596</v>
      </c>
      <c r="C1643" t="s">
        <v>1610</v>
      </c>
      <c r="D1643" t="str">
        <f t="shared" si="100"/>
        <v>Male</v>
      </c>
      <c r="E1643" t="s">
        <v>9</v>
      </c>
      <c r="F1643" s="2">
        <v>40</v>
      </c>
      <c r="G1643" s="2" t="str" cm="1">
        <f t="array" ref="G1643">_xlfn.IFS(F1643&lt;=8,"Child",F1643&lt;=17,"Teen",F1643&lt;=35,"Adult",F1643&lt;=55,"Seniour Adult",F1643&gt;=55,"Old Age")</f>
        <v>Seniour Adult</v>
      </c>
      <c r="H1643" t="s">
        <v>69</v>
      </c>
      <c r="I1643" t="s">
        <v>28</v>
      </c>
      <c r="J1643" t="str" cm="1">
        <f t="array" ref="J1643">_xlfn.IFS(I1643="S","Southamptom",I1643="Q","Quentown",I1643="C","Cherbrug",I1643="B","Cabin")</f>
        <v>Cabin</v>
      </c>
      <c r="K1643" t="s">
        <v>15</v>
      </c>
      <c r="L1643" s="2">
        <v>33</v>
      </c>
      <c r="M1643" s="2" t="str" cm="1">
        <f t="array" ref="M1643">_xlfn.IFS(L1643&lt;=15,"Low Fare",L1643&lt;=35,"Medium Fare",L1643&lt;=100,"High Fare",L1643&gt;=100,"Very High Fare")</f>
        <v>Medium Fare</v>
      </c>
      <c r="N1643" s="2">
        <v>1</v>
      </c>
      <c r="O1643" s="2" t="s">
        <v>30</v>
      </c>
      <c r="P1643" t="e">
        <f t="shared" si="101"/>
        <v>#VALUE!</v>
      </c>
      <c r="Q1643" t="e">
        <f t="shared" si="102"/>
        <v>#VALUE!</v>
      </c>
      <c r="R1643" t="str">
        <f t="shared" si="103"/>
        <v>Yes</v>
      </c>
      <c r="S1643" t="s">
        <v>16</v>
      </c>
    </row>
    <row r="1644" spans="1:19" hidden="1" x14ac:dyDescent="0.3">
      <c r="A1644" s="1" t="s">
        <v>406</v>
      </c>
      <c r="B1644" t="s">
        <v>1596</v>
      </c>
      <c r="C1644" t="s">
        <v>2895</v>
      </c>
      <c r="D1644" t="str">
        <f t="shared" si="100"/>
        <v>Male</v>
      </c>
      <c r="E1644" t="s">
        <v>9</v>
      </c>
      <c r="F1644" s="2">
        <v>24</v>
      </c>
      <c r="G1644" s="2" t="str" cm="1">
        <f t="array" ref="G1644">_xlfn.IFS(F1644&lt;=8,"Child",F1644&lt;=17,"Teen",F1644&lt;=35,"Adult",F1644&lt;=55,"Seniour Adult",F1644&gt;=55,"Old Age")</f>
        <v>Adult</v>
      </c>
      <c r="H1644" t="s">
        <v>51</v>
      </c>
      <c r="I1644" t="s">
        <v>11</v>
      </c>
      <c r="J1644" t="str" cm="1">
        <f t="array" ref="J1644">_xlfn.IFS(I1644="S","Southamptom",I1644="Q","Quentown",I1644="C","Cherbrug",I1644="B","Cabin")</f>
        <v>Southamptom</v>
      </c>
      <c r="K1644" t="s">
        <v>15</v>
      </c>
      <c r="L1644" s="2">
        <v>33</v>
      </c>
      <c r="M1644" s="2" t="str" cm="1">
        <f t="array" ref="M1644">_xlfn.IFS(L1644&lt;=15,"Low Fare",L1644&lt;=35,"Medium Fare",L1644&lt;=100,"High Fare",L1644&gt;=100,"Very High Fare")</f>
        <v>Medium Fare</v>
      </c>
      <c r="N1644" s="2">
        <v>1</v>
      </c>
      <c r="O1644" s="2" t="s">
        <v>30</v>
      </c>
      <c r="P1644" t="e">
        <f t="shared" si="101"/>
        <v>#VALUE!</v>
      </c>
      <c r="Q1644" t="e">
        <f t="shared" si="102"/>
        <v>#VALUE!</v>
      </c>
      <c r="R1644" t="str">
        <f t="shared" si="103"/>
        <v>No</v>
      </c>
      <c r="S1644" t="s">
        <v>13</v>
      </c>
    </row>
    <row r="1645" spans="1:19" hidden="1" x14ac:dyDescent="0.3">
      <c r="A1645" s="1" t="s">
        <v>406</v>
      </c>
      <c r="B1645" t="s">
        <v>1596</v>
      </c>
      <c r="C1645" t="s">
        <v>2661</v>
      </c>
      <c r="D1645" t="str">
        <f t="shared" si="100"/>
        <v>Male</v>
      </c>
      <c r="E1645" t="s">
        <v>9</v>
      </c>
      <c r="F1645" s="2">
        <v>19</v>
      </c>
      <c r="G1645" s="2" t="str" cm="1">
        <f t="array" ref="G1645">_xlfn.IFS(F1645&lt;=8,"Child",F1645&lt;=17,"Teen",F1645&lt;=35,"Adult",F1645&lt;=55,"Seniour Adult",F1645&gt;=55,"Old Age")</f>
        <v>Adult</v>
      </c>
      <c r="H1645" t="s">
        <v>69</v>
      </c>
      <c r="I1645" t="s">
        <v>11</v>
      </c>
      <c r="J1645" t="str" cm="1">
        <f t="array" ref="J1645">_xlfn.IFS(I1645="S","Southamptom",I1645="Q","Quentown",I1645="C","Cherbrug",I1645="B","Cabin")</f>
        <v>Southamptom</v>
      </c>
      <c r="K1645" t="s">
        <v>15</v>
      </c>
      <c r="L1645" s="2">
        <v>33</v>
      </c>
      <c r="M1645" s="2" t="str" cm="1">
        <f t="array" ref="M1645">_xlfn.IFS(L1645&lt;=15,"Low Fare",L1645&lt;=35,"Medium Fare",L1645&lt;=100,"High Fare",L1645&gt;=100,"Very High Fare")</f>
        <v>Medium Fare</v>
      </c>
      <c r="N1645" s="2">
        <v>1</v>
      </c>
      <c r="O1645" s="2" t="s">
        <v>30</v>
      </c>
      <c r="P1645" t="e">
        <f t="shared" si="101"/>
        <v>#VALUE!</v>
      </c>
      <c r="Q1645" t="e">
        <f t="shared" si="102"/>
        <v>#VALUE!</v>
      </c>
      <c r="R1645" t="str">
        <f t="shared" si="103"/>
        <v>No</v>
      </c>
      <c r="S1645" t="s">
        <v>13</v>
      </c>
    </row>
    <row r="1646" spans="1:19" hidden="1" x14ac:dyDescent="0.3">
      <c r="A1646" s="1" t="s">
        <v>406</v>
      </c>
      <c r="B1646" t="s">
        <v>1596</v>
      </c>
      <c r="C1646" t="s">
        <v>2896</v>
      </c>
      <c r="D1646" t="str">
        <f t="shared" si="100"/>
        <v>Male</v>
      </c>
      <c r="E1646" t="s">
        <v>9</v>
      </c>
      <c r="F1646" s="2">
        <v>17</v>
      </c>
      <c r="G1646" s="2" t="str" cm="1">
        <f t="array" ref="G1646">_xlfn.IFS(F1646&lt;=8,"Child",F1646&lt;=17,"Teen",F1646&lt;=35,"Adult",F1646&lt;=55,"Seniour Adult",F1646&gt;=55,"Old Age")</f>
        <v>Teen</v>
      </c>
      <c r="H1646" t="s">
        <v>69</v>
      </c>
      <c r="I1646" t="s">
        <v>11</v>
      </c>
      <c r="J1646" t="str" cm="1">
        <f t="array" ref="J1646">_xlfn.IFS(I1646="S","Southamptom",I1646="Q","Quentown",I1646="C","Cherbrug",I1646="B","Cabin")</f>
        <v>Southamptom</v>
      </c>
      <c r="K1646" t="s">
        <v>15</v>
      </c>
      <c r="L1646" s="2">
        <v>33</v>
      </c>
      <c r="M1646" s="2" t="str" cm="1">
        <f t="array" ref="M1646">_xlfn.IFS(L1646&lt;=15,"Low Fare",L1646&lt;=35,"Medium Fare",L1646&lt;=100,"High Fare",L1646&gt;=100,"Very High Fare")</f>
        <v>Medium Fare</v>
      </c>
      <c r="N1646" s="2">
        <v>1</v>
      </c>
      <c r="O1646" s="2" t="s">
        <v>30</v>
      </c>
      <c r="P1646" t="e">
        <f t="shared" si="101"/>
        <v>#VALUE!</v>
      </c>
      <c r="Q1646" t="e">
        <f t="shared" si="102"/>
        <v>#VALUE!</v>
      </c>
      <c r="R1646" t="str">
        <f t="shared" si="103"/>
        <v>No</v>
      </c>
      <c r="S1646" t="s">
        <v>13</v>
      </c>
    </row>
    <row r="1647" spans="1:19" hidden="1" x14ac:dyDescent="0.3">
      <c r="A1647" s="1" t="s">
        <v>406</v>
      </c>
      <c r="B1647" t="s">
        <v>1596</v>
      </c>
      <c r="C1647" t="s">
        <v>2692</v>
      </c>
      <c r="D1647" t="str">
        <f t="shared" si="100"/>
        <v>Male</v>
      </c>
      <c r="E1647" t="s">
        <v>9</v>
      </c>
      <c r="F1647" s="2">
        <v>29</v>
      </c>
      <c r="G1647" s="2" t="str" cm="1">
        <f t="array" ref="G1647">_xlfn.IFS(F1647&lt;=8,"Child",F1647&lt;=17,"Teen",F1647&lt;=35,"Adult",F1647&lt;=55,"Seniour Adult",F1647&gt;=55,"Old Age")</f>
        <v>Adult</v>
      </c>
      <c r="H1647" t="s">
        <v>51</v>
      </c>
      <c r="I1647" t="s">
        <v>11</v>
      </c>
      <c r="J1647" t="str" cm="1">
        <f t="array" ref="J1647">_xlfn.IFS(I1647="S","Southamptom",I1647="Q","Quentown",I1647="C","Cherbrug",I1647="B","Cabin")</f>
        <v>Southamptom</v>
      </c>
      <c r="K1647" t="s">
        <v>15</v>
      </c>
      <c r="L1647" s="2">
        <v>33</v>
      </c>
      <c r="M1647" s="2" t="str" cm="1">
        <f t="array" ref="M1647">_xlfn.IFS(L1647&lt;=15,"Low Fare",L1647&lt;=35,"Medium Fare",L1647&lt;=100,"High Fare",L1647&gt;=100,"Very High Fare")</f>
        <v>Medium Fare</v>
      </c>
      <c r="N1647" s="2">
        <v>1</v>
      </c>
      <c r="O1647" s="2" t="s">
        <v>30</v>
      </c>
      <c r="P1647" t="e">
        <f t="shared" si="101"/>
        <v>#VALUE!</v>
      </c>
      <c r="Q1647" t="e">
        <f t="shared" si="102"/>
        <v>#VALUE!</v>
      </c>
      <c r="R1647" t="str">
        <f t="shared" si="103"/>
        <v>No</v>
      </c>
      <c r="S1647" t="s">
        <v>13</v>
      </c>
    </row>
    <row r="1648" spans="1:19" hidden="1" x14ac:dyDescent="0.3">
      <c r="A1648" s="1" t="s">
        <v>406</v>
      </c>
      <c r="B1648" t="s">
        <v>1596</v>
      </c>
      <c r="C1648" t="s">
        <v>2897</v>
      </c>
      <c r="D1648" t="str">
        <f t="shared" si="100"/>
        <v>Male</v>
      </c>
      <c r="E1648" t="s">
        <v>9</v>
      </c>
      <c r="F1648" s="2">
        <v>17</v>
      </c>
      <c r="G1648" s="2" t="str" cm="1">
        <f t="array" ref="G1648">_xlfn.IFS(F1648&lt;=8,"Child",F1648&lt;=17,"Teen",F1648&lt;=35,"Adult",F1648&lt;=55,"Seniour Adult",F1648&gt;=55,"Old Age")</f>
        <v>Teen</v>
      </c>
      <c r="H1648" t="s">
        <v>69</v>
      </c>
      <c r="I1648" t="s">
        <v>11</v>
      </c>
      <c r="J1648" t="str" cm="1">
        <f t="array" ref="J1648">_xlfn.IFS(I1648="S","Southamptom",I1648="Q","Quentown",I1648="C","Cherbrug",I1648="B","Cabin")</f>
        <v>Southamptom</v>
      </c>
      <c r="K1648" t="s">
        <v>15</v>
      </c>
      <c r="L1648" s="2">
        <v>33</v>
      </c>
      <c r="M1648" s="2" t="str" cm="1">
        <f t="array" ref="M1648">_xlfn.IFS(L1648&lt;=15,"Low Fare",L1648&lt;=35,"Medium Fare",L1648&lt;=100,"High Fare",L1648&gt;=100,"Very High Fare")</f>
        <v>Medium Fare</v>
      </c>
      <c r="N1648" s="2">
        <v>1</v>
      </c>
      <c r="O1648" s="2" t="s">
        <v>30</v>
      </c>
      <c r="P1648" t="e">
        <f t="shared" si="101"/>
        <v>#VALUE!</v>
      </c>
      <c r="Q1648" t="e">
        <f t="shared" si="102"/>
        <v>#VALUE!</v>
      </c>
      <c r="R1648" t="str">
        <f t="shared" si="103"/>
        <v>No</v>
      </c>
      <c r="S1648" t="s">
        <v>13</v>
      </c>
    </row>
    <row r="1649" spans="1:19" hidden="1" x14ac:dyDescent="0.3">
      <c r="A1649" s="1" t="s">
        <v>406</v>
      </c>
      <c r="B1649" t="s">
        <v>1596</v>
      </c>
      <c r="C1649" t="s">
        <v>2511</v>
      </c>
      <c r="D1649" t="str">
        <f t="shared" si="100"/>
        <v>Male</v>
      </c>
      <c r="E1649" t="s">
        <v>9</v>
      </c>
      <c r="F1649" s="2">
        <v>39</v>
      </c>
      <c r="G1649" s="2" t="str" cm="1">
        <f t="array" ref="G1649">_xlfn.IFS(F1649&lt;=8,"Child",F1649&lt;=17,"Teen",F1649&lt;=35,"Adult",F1649&lt;=55,"Seniour Adult",F1649&gt;=55,"Old Age")</f>
        <v>Seniour Adult</v>
      </c>
      <c r="H1649" t="s">
        <v>51</v>
      </c>
      <c r="I1649" t="s">
        <v>11</v>
      </c>
      <c r="J1649" t="str" cm="1">
        <f t="array" ref="J1649">_xlfn.IFS(I1649="S","Southamptom",I1649="Q","Quentown",I1649="C","Cherbrug",I1649="B","Cabin")</f>
        <v>Southamptom</v>
      </c>
      <c r="K1649" t="s">
        <v>15</v>
      </c>
      <c r="L1649" s="2">
        <v>33</v>
      </c>
      <c r="M1649" s="2" t="str" cm="1">
        <f t="array" ref="M1649">_xlfn.IFS(L1649&lt;=15,"Low Fare",L1649&lt;=35,"Medium Fare",L1649&lt;=100,"High Fare",L1649&gt;=100,"Very High Fare")</f>
        <v>Medium Fare</v>
      </c>
      <c r="N1649" s="2">
        <v>1</v>
      </c>
      <c r="O1649" s="2" t="s">
        <v>30</v>
      </c>
      <c r="P1649" t="e">
        <f t="shared" si="101"/>
        <v>#VALUE!</v>
      </c>
      <c r="Q1649" t="e">
        <f t="shared" si="102"/>
        <v>#VALUE!</v>
      </c>
      <c r="R1649" t="str">
        <f t="shared" si="103"/>
        <v>Yes</v>
      </c>
      <c r="S1649" t="s">
        <v>16</v>
      </c>
    </row>
    <row r="1650" spans="1:19" hidden="1" x14ac:dyDescent="0.3">
      <c r="A1650" s="1" t="s">
        <v>407</v>
      </c>
      <c r="B1650" t="s">
        <v>1596</v>
      </c>
      <c r="C1650" t="s">
        <v>2898</v>
      </c>
      <c r="D1650" t="str">
        <f t="shared" si="100"/>
        <v>Male</v>
      </c>
      <c r="E1650" t="s">
        <v>9</v>
      </c>
      <c r="F1650" s="2">
        <v>40</v>
      </c>
      <c r="G1650" s="2" t="str" cm="1">
        <f t="array" ref="G1650">_xlfn.IFS(F1650&lt;=8,"Child",F1650&lt;=17,"Teen",F1650&lt;=35,"Adult",F1650&lt;=55,"Seniour Adult",F1650&gt;=55,"Old Age")</f>
        <v>Seniour Adult</v>
      </c>
      <c r="H1650" t="s">
        <v>69</v>
      </c>
      <c r="I1650" t="s">
        <v>11</v>
      </c>
      <c r="J1650" t="str" cm="1">
        <f t="array" ref="J1650">_xlfn.IFS(I1650="S","Southamptom",I1650="Q","Quentown",I1650="C","Cherbrug",I1650="B","Cabin")</f>
        <v>Southamptom</v>
      </c>
      <c r="K1650" t="s">
        <v>15</v>
      </c>
      <c r="L1650" s="2">
        <v>33</v>
      </c>
      <c r="M1650" s="2" t="str" cm="1">
        <f t="array" ref="M1650">_xlfn.IFS(L1650&lt;=15,"Low Fare",L1650&lt;=35,"Medium Fare",L1650&lt;=100,"High Fare",L1650&gt;=100,"Very High Fare")</f>
        <v>Medium Fare</v>
      </c>
      <c r="N1650" s="2">
        <v>1</v>
      </c>
      <c r="O1650" s="2" t="s">
        <v>30</v>
      </c>
      <c r="P1650" t="e">
        <f t="shared" si="101"/>
        <v>#VALUE!</v>
      </c>
      <c r="Q1650" t="e">
        <f t="shared" si="102"/>
        <v>#VALUE!</v>
      </c>
      <c r="R1650" t="str">
        <f t="shared" si="103"/>
        <v>Yes</v>
      </c>
      <c r="S1650" t="s">
        <v>16</v>
      </c>
    </row>
    <row r="1651" spans="1:19" hidden="1" x14ac:dyDescent="0.3">
      <c r="A1651" s="1" t="s">
        <v>407</v>
      </c>
      <c r="B1651" t="s">
        <v>1596</v>
      </c>
      <c r="C1651" t="s">
        <v>2899</v>
      </c>
      <c r="D1651" t="str">
        <f t="shared" si="100"/>
        <v>Male</v>
      </c>
      <c r="E1651" t="s">
        <v>9</v>
      </c>
      <c r="F1651" s="2">
        <v>38</v>
      </c>
      <c r="G1651" s="2" t="str" cm="1">
        <f t="array" ref="G1651">_xlfn.IFS(F1651&lt;=8,"Child",F1651&lt;=17,"Teen",F1651&lt;=35,"Adult",F1651&lt;=55,"Seniour Adult",F1651&gt;=55,"Old Age")</f>
        <v>Seniour Adult</v>
      </c>
      <c r="H1651" t="s">
        <v>51</v>
      </c>
      <c r="I1651" t="s">
        <v>28</v>
      </c>
      <c r="J1651" t="str" cm="1">
        <f t="array" ref="J1651">_xlfn.IFS(I1651="S","Southamptom",I1651="Q","Quentown",I1651="C","Cherbrug",I1651="B","Cabin")</f>
        <v>Cabin</v>
      </c>
      <c r="K1651" t="s">
        <v>15</v>
      </c>
      <c r="L1651" s="2">
        <v>33</v>
      </c>
      <c r="M1651" s="2" t="str" cm="1">
        <f t="array" ref="M1651">_xlfn.IFS(L1651&lt;=15,"Low Fare",L1651&lt;=35,"Medium Fare",L1651&lt;=100,"High Fare",L1651&gt;=100,"Very High Fare")</f>
        <v>Medium Fare</v>
      </c>
      <c r="N1651" s="2">
        <v>1</v>
      </c>
      <c r="O1651" s="2" t="s">
        <v>30</v>
      </c>
      <c r="P1651" t="e">
        <f t="shared" si="101"/>
        <v>#VALUE!</v>
      </c>
      <c r="Q1651" t="e">
        <f t="shared" si="102"/>
        <v>#VALUE!</v>
      </c>
      <c r="R1651" t="str">
        <f t="shared" si="103"/>
        <v>No</v>
      </c>
      <c r="S1651" t="s">
        <v>13</v>
      </c>
    </row>
    <row r="1652" spans="1:19" hidden="1" x14ac:dyDescent="0.3">
      <c r="A1652" s="1" t="s">
        <v>409</v>
      </c>
      <c r="B1652" t="s">
        <v>1596</v>
      </c>
      <c r="C1652" t="s">
        <v>1965</v>
      </c>
      <c r="D1652" t="str">
        <f t="shared" si="100"/>
        <v>Male</v>
      </c>
      <c r="E1652" t="s">
        <v>9</v>
      </c>
      <c r="F1652" s="2">
        <v>54</v>
      </c>
      <c r="G1652" s="2" t="str" cm="1">
        <f t="array" ref="G1652">_xlfn.IFS(F1652&lt;=8,"Child",F1652&lt;=17,"Teen",F1652&lt;=35,"Adult",F1652&lt;=55,"Seniour Adult",F1652&gt;=55,"Old Age")</f>
        <v>Seniour Adult</v>
      </c>
      <c r="H1652" t="s">
        <v>51</v>
      </c>
      <c r="I1652" t="s">
        <v>11</v>
      </c>
      <c r="J1652" t="str" cm="1">
        <f t="array" ref="J1652">_xlfn.IFS(I1652="S","Southamptom",I1652="Q","Quentown",I1652="C","Cherbrug",I1652="B","Cabin")</f>
        <v>Southamptom</v>
      </c>
      <c r="K1652" t="s">
        <v>15</v>
      </c>
      <c r="L1652" s="2">
        <v>33</v>
      </c>
      <c r="M1652" s="2" t="str" cm="1">
        <f t="array" ref="M1652">_xlfn.IFS(L1652&lt;=15,"Low Fare",L1652&lt;=35,"Medium Fare",L1652&lt;=100,"High Fare",L1652&gt;=100,"Very High Fare")</f>
        <v>Medium Fare</v>
      </c>
      <c r="N1652" s="2">
        <v>1</v>
      </c>
      <c r="O1652" s="2" t="s">
        <v>30</v>
      </c>
      <c r="P1652" t="e">
        <f t="shared" si="101"/>
        <v>#VALUE!</v>
      </c>
      <c r="Q1652" t="e">
        <f t="shared" si="102"/>
        <v>#VALUE!</v>
      </c>
      <c r="R1652" t="str">
        <f t="shared" si="103"/>
        <v>No</v>
      </c>
      <c r="S1652" t="s">
        <v>13</v>
      </c>
    </row>
    <row r="1653" spans="1:19" hidden="1" x14ac:dyDescent="0.3">
      <c r="A1653" s="1" t="s">
        <v>409</v>
      </c>
      <c r="B1653" t="s">
        <v>1596</v>
      </c>
      <c r="C1653" t="s">
        <v>2273</v>
      </c>
      <c r="D1653" t="str">
        <f t="shared" si="100"/>
        <v>Male</v>
      </c>
      <c r="E1653" t="s">
        <v>9</v>
      </c>
      <c r="F1653" s="2">
        <v>32</v>
      </c>
      <c r="G1653" s="2" t="str" cm="1">
        <f t="array" ref="G1653">_xlfn.IFS(F1653&lt;=8,"Child",F1653&lt;=17,"Teen",F1653&lt;=35,"Adult",F1653&lt;=55,"Seniour Adult",F1653&gt;=55,"Old Age")</f>
        <v>Adult</v>
      </c>
      <c r="H1653" t="s">
        <v>69</v>
      </c>
      <c r="I1653" t="s">
        <v>11</v>
      </c>
      <c r="J1653" t="str" cm="1">
        <f t="array" ref="J1653">_xlfn.IFS(I1653="S","Southamptom",I1653="Q","Quentown",I1653="C","Cherbrug",I1653="B","Cabin")</f>
        <v>Southamptom</v>
      </c>
      <c r="K1653" t="s">
        <v>15</v>
      </c>
      <c r="L1653" s="2">
        <v>33</v>
      </c>
      <c r="M1653" s="2" t="str" cm="1">
        <f t="array" ref="M1653">_xlfn.IFS(L1653&lt;=15,"Low Fare",L1653&lt;=35,"Medium Fare",L1653&lt;=100,"High Fare",L1653&gt;=100,"Very High Fare")</f>
        <v>Medium Fare</v>
      </c>
      <c r="N1653" s="2">
        <v>1</v>
      </c>
      <c r="O1653" s="2" t="s">
        <v>30</v>
      </c>
      <c r="P1653" t="e">
        <f t="shared" si="101"/>
        <v>#VALUE!</v>
      </c>
      <c r="Q1653" t="e">
        <f t="shared" si="102"/>
        <v>#VALUE!</v>
      </c>
      <c r="R1653" t="str">
        <f t="shared" si="103"/>
        <v>Yes</v>
      </c>
      <c r="S1653" t="s">
        <v>16</v>
      </c>
    </row>
    <row r="1654" spans="1:19" hidden="1" x14ac:dyDescent="0.3">
      <c r="A1654" s="1" t="s">
        <v>1210</v>
      </c>
      <c r="B1654" t="s">
        <v>1596</v>
      </c>
      <c r="C1654" t="s">
        <v>2900</v>
      </c>
      <c r="D1654" t="str">
        <f t="shared" si="100"/>
        <v>Male</v>
      </c>
      <c r="E1654" t="s">
        <v>9</v>
      </c>
      <c r="F1654" s="2">
        <v>21</v>
      </c>
      <c r="G1654" s="2" t="str" cm="1">
        <f t="array" ref="G1654">_xlfn.IFS(F1654&lt;=8,"Child",F1654&lt;=17,"Teen",F1654&lt;=35,"Adult",F1654&lt;=55,"Seniour Adult",F1654&gt;=55,"Old Age")</f>
        <v>Adult</v>
      </c>
      <c r="H1654" t="s">
        <v>69</v>
      </c>
      <c r="I1654" t="s">
        <v>11</v>
      </c>
      <c r="J1654" t="str" cm="1">
        <f t="array" ref="J1654">_xlfn.IFS(I1654="S","Southamptom",I1654="Q","Quentown",I1654="C","Cherbrug",I1654="B","Cabin")</f>
        <v>Southamptom</v>
      </c>
      <c r="K1654" t="s">
        <v>15</v>
      </c>
      <c r="L1654" s="2">
        <v>33</v>
      </c>
      <c r="M1654" s="2" t="str" cm="1">
        <f t="array" ref="M1654">_xlfn.IFS(L1654&lt;=15,"Low Fare",L1654&lt;=35,"Medium Fare",L1654&lt;=100,"High Fare",L1654&gt;=100,"Very High Fare")</f>
        <v>Medium Fare</v>
      </c>
      <c r="N1654" s="2">
        <v>1</v>
      </c>
      <c r="O1654" s="2" t="s">
        <v>30</v>
      </c>
      <c r="P1654" t="e">
        <f t="shared" si="101"/>
        <v>#VALUE!</v>
      </c>
      <c r="Q1654" t="e">
        <f t="shared" si="102"/>
        <v>#VALUE!</v>
      </c>
      <c r="R1654" t="str">
        <f t="shared" si="103"/>
        <v>Yes</v>
      </c>
      <c r="S1654" t="s">
        <v>16</v>
      </c>
    </row>
    <row r="1655" spans="1:19" hidden="1" x14ac:dyDescent="0.3">
      <c r="A1655" s="1" t="s">
        <v>1211</v>
      </c>
      <c r="B1655" t="s">
        <v>1596</v>
      </c>
      <c r="C1655" t="s">
        <v>2901</v>
      </c>
      <c r="D1655" t="str">
        <f t="shared" si="100"/>
        <v>Male</v>
      </c>
      <c r="E1655" t="s">
        <v>9</v>
      </c>
      <c r="F1655" s="2">
        <v>34</v>
      </c>
      <c r="G1655" s="2" t="str" cm="1">
        <f t="array" ref="G1655">_xlfn.IFS(F1655&lt;=8,"Child",F1655&lt;=17,"Teen",F1655&lt;=35,"Adult",F1655&lt;=55,"Seniour Adult",F1655&gt;=55,"Old Age")</f>
        <v>Adult</v>
      </c>
      <c r="H1655" t="s">
        <v>51</v>
      </c>
      <c r="I1655" t="s">
        <v>28</v>
      </c>
      <c r="J1655" t="str" cm="1">
        <f t="array" ref="J1655">_xlfn.IFS(I1655="S","Southamptom",I1655="Q","Quentown",I1655="C","Cherbrug",I1655="B","Cabin")</f>
        <v>Cabin</v>
      </c>
      <c r="K1655" t="s">
        <v>29</v>
      </c>
      <c r="L1655" s="2">
        <v>33</v>
      </c>
      <c r="M1655" s="2" t="str" cm="1">
        <f t="array" ref="M1655">_xlfn.IFS(L1655&lt;=15,"Low Fare",L1655&lt;=35,"Medium Fare",L1655&lt;=100,"High Fare",L1655&gt;=100,"Very High Fare")</f>
        <v>Medium Fare</v>
      </c>
      <c r="N1655" s="2">
        <v>1</v>
      </c>
      <c r="O1655" s="2" t="s">
        <v>30</v>
      </c>
      <c r="P1655" t="e">
        <f t="shared" si="101"/>
        <v>#VALUE!</v>
      </c>
      <c r="Q1655" t="e">
        <f t="shared" si="102"/>
        <v>#VALUE!</v>
      </c>
      <c r="R1655" t="str">
        <f t="shared" si="103"/>
        <v>No</v>
      </c>
      <c r="S1655" t="s">
        <v>13</v>
      </c>
    </row>
    <row r="1656" spans="1:19" hidden="1" x14ac:dyDescent="0.3">
      <c r="A1656" s="1" t="s">
        <v>1212</v>
      </c>
      <c r="B1656" t="s">
        <v>1596</v>
      </c>
      <c r="C1656" t="s">
        <v>2704</v>
      </c>
      <c r="D1656" t="str">
        <f t="shared" si="100"/>
        <v>Male</v>
      </c>
      <c r="E1656" t="s">
        <v>9</v>
      </c>
      <c r="F1656" s="2">
        <v>23</v>
      </c>
      <c r="G1656" s="2" t="str" cm="1">
        <f t="array" ref="G1656">_xlfn.IFS(F1656&lt;=8,"Child",F1656&lt;=17,"Teen",F1656&lt;=35,"Adult",F1656&lt;=55,"Seniour Adult",F1656&gt;=55,"Old Age")</f>
        <v>Adult</v>
      </c>
      <c r="H1656" t="s">
        <v>69</v>
      </c>
      <c r="I1656" t="s">
        <v>11</v>
      </c>
      <c r="J1656" t="str" cm="1">
        <f t="array" ref="J1656">_xlfn.IFS(I1656="S","Southamptom",I1656="Q","Quentown",I1656="C","Cherbrug",I1656="B","Cabin")</f>
        <v>Southamptom</v>
      </c>
      <c r="K1656" t="s">
        <v>15</v>
      </c>
      <c r="L1656" s="2">
        <v>33</v>
      </c>
      <c r="M1656" s="2" t="str" cm="1">
        <f t="array" ref="M1656">_xlfn.IFS(L1656&lt;=15,"Low Fare",L1656&lt;=35,"Medium Fare",L1656&lt;=100,"High Fare",L1656&gt;=100,"Very High Fare")</f>
        <v>Medium Fare</v>
      </c>
      <c r="N1656" s="2">
        <v>1</v>
      </c>
      <c r="O1656" s="2" t="s">
        <v>30</v>
      </c>
      <c r="P1656" t="e">
        <f t="shared" si="101"/>
        <v>#VALUE!</v>
      </c>
      <c r="Q1656" t="e">
        <f t="shared" si="102"/>
        <v>#VALUE!</v>
      </c>
      <c r="R1656" t="str">
        <f t="shared" si="103"/>
        <v>No</v>
      </c>
      <c r="S1656" t="s">
        <v>13</v>
      </c>
    </row>
    <row r="1657" spans="1:19" hidden="1" x14ac:dyDescent="0.3">
      <c r="A1657" s="1" t="s">
        <v>1213</v>
      </c>
      <c r="B1657" t="s">
        <v>1596</v>
      </c>
      <c r="C1657" t="s">
        <v>1965</v>
      </c>
      <c r="D1657" t="str">
        <f t="shared" si="100"/>
        <v>Male</v>
      </c>
      <c r="E1657" t="s">
        <v>9</v>
      </c>
      <c r="F1657" s="2">
        <v>52</v>
      </c>
      <c r="G1657" s="2" t="str" cm="1">
        <f t="array" ref="G1657">_xlfn.IFS(F1657&lt;=8,"Child",F1657&lt;=17,"Teen",F1657&lt;=35,"Adult",F1657&lt;=55,"Seniour Adult",F1657&gt;=55,"Old Age")</f>
        <v>Seniour Adult</v>
      </c>
      <c r="H1657" t="s">
        <v>69</v>
      </c>
      <c r="I1657" t="s">
        <v>11</v>
      </c>
      <c r="J1657" t="str" cm="1">
        <f t="array" ref="J1657">_xlfn.IFS(I1657="S","Southamptom",I1657="Q","Quentown",I1657="C","Cherbrug",I1657="B","Cabin")</f>
        <v>Southamptom</v>
      </c>
      <c r="K1657" t="s">
        <v>15</v>
      </c>
      <c r="L1657" s="2">
        <v>33</v>
      </c>
      <c r="M1657" s="2" t="str" cm="1">
        <f t="array" ref="M1657">_xlfn.IFS(L1657&lt;=15,"Low Fare",L1657&lt;=35,"Medium Fare",L1657&lt;=100,"High Fare",L1657&gt;=100,"Very High Fare")</f>
        <v>Medium Fare</v>
      </c>
      <c r="N1657" s="2">
        <v>1</v>
      </c>
      <c r="O1657" s="2" t="s">
        <v>30</v>
      </c>
      <c r="P1657" t="e">
        <f t="shared" si="101"/>
        <v>#VALUE!</v>
      </c>
      <c r="Q1657" t="e">
        <f t="shared" si="102"/>
        <v>#VALUE!</v>
      </c>
      <c r="R1657" t="str">
        <f t="shared" si="103"/>
        <v>No</v>
      </c>
      <c r="S1657" t="s">
        <v>13</v>
      </c>
    </row>
    <row r="1658" spans="1:19" hidden="1" x14ac:dyDescent="0.3">
      <c r="A1658" s="1" t="s">
        <v>1213</v>
      </c>
      <c r="B1658" t="s">
        <v>1596</v>
      </c>
      <c r="C1658" t="s">
        <v>2902</v>
      </c>
      <c r="D1658" t="str">
        <f t="shared" si="100"/>
        <v>Male</v>
      </c>
      <c r="E1658" t="s">
        <v>9</v>
      </c>
      <c r="F1658" s="2">
        <v>43</v>
      </c>
      <c r="G1658" s="2" t="str" cm="1">
        <f t="array" ref="G1658">_xlfn.IFS(F1658&lt;=8,"Child",F1658&lt;=17,"Teen",F1658&lt;=35,"Adult",F1658&lt;=55,"Seniour Adult",F1658&gt;=55,"Old Age")</f>
        <v>Seniour Adult</v>
      </c>
      <c r="H1658" t="s">
        <v>69</v>
      </c>
      <c r="I1658" t="s">
        <v>11</v>
      </c>
      <c r="J1658" t="str" cm="1">
        <f t="array" ref="J1658">_xlfn.IFS(I1658="S","Southamptom",I1658="Q","Quentown",I1658="C","Cherbrug",I1658="B","Cabin")</f>
        <v>Southamptom</v>
      </c>
      <c r="K1658" t="s">
        <v>15</v>
      </c>
      <c r="L1658" s="2">
        <v>33</v>
      </c>
      <c r="M1658" s="2" t="str" cm="1">
        <f t="array" ref="M1658">_xlfn.IFS(L1658&lt;=15,"Low Fare",L1658&lt;=35,"Medium Fare",L1658&lt;=100,"High Fare",L1658&gt;=100,"Very High Fare")</f>
        <v>Medium Fare</v>
      </c>
      <c r="N1658" s="2">
        <v>1</v>
      </c>
      <c r="O1658" s="2" t="s">
        <v>30</v>
      </c>
      <c r="P1658" t="e">
        <f t="shared" si="101"/>
        <v>#VALUE!</v>
      </c>
      <c r="Q1658" t="e">
        <f t="shared" si="102"/>
        <v>#VALUE!</v>
      </c>
      <c r="R1658" t="str">
        <f t="shared" si="103"/>
        <v>No</v>
      </c>
      <c r="S1658" t="s">
        <v>13</v>
      </c>
    </row>
    <row r="1659" spans="1:19" hidden="1" x14ac:dyDescent="0.3">
      <c r="A1659" s="1" t="s">
        <v>1214</v>
      </c>
      <c r="B1659" t="s">
        <v>1596</v>
      </c>
      <c r="C1659" t="s">
        <v>1976</v>
      </c>
      <c r="D1659" t="str">
        <f t="shared" si="100"/>
        <v>Male</v>
      </c>
      <c r="E1659" t="s">
        <v>9</v>
      </c>
      <c r="F1659" s="2">
        <v>45</v>
      </c>
      <c r="G1659" s="2" t="str" cm="1">
        <f t="array" ref="G1659">_xlfn.IFS(F1659&lt;=8,"Child",F1659&lt;=17,"Teen",F1659&lt;=35,"Adult",F1659&lt;=55,"Seniour Adult",F1659&gt;=55,"Old Age")</f>
        <v>Seniour Adult</v>
      </c>
      <c r="H1659" t="s">
        <v>69</v>
      </c>
      <c r="I1659" t="s">
        <v>28</v>
      </c>
      <c r="J1659" t="str" cm="1">
        <f t="array" ref="J1659">_xlfn.IFS(I1659="S","Southamptom",I1659="Q","Quentown",I1659="C","Cherbrug",I1659="B","Cabin")</f>
        <v>Cabin</v>
      </c>
      <c r="K1659" t="s">
        <v>15</v>
      </c>
      <c r="L1659" s="2">
        <v>33</v>
      </c>
      <c r="M1659" s="2" t="str" cm="1">
        <f t="array" ref="M1659">_xlfn.IFS(L1659&lt;=15,"Low Fare",L1659&lt;=35,"Medium Fare",L1659&lt;=100,"High Fare",L1659&gt;=100,"Very High Fare")</f>
        <v>Medium Fare</v>
      </c>
      <c r="N1659" s="2">
        <v>1</v>
      </c>
      <c r="O1659" s="2" t="s">
        <v>30</v>
      </c>
      <c r="P1659" t="e">
        <f t="shared" si="101"/>
        <v>#VALUE!</v>
      </c>
      <c r="Q1659" t="e">
        <f t="shared" si="102"/>
        <v>#VALUE!</v>
      </c>
      <c r="R1659" t="str">
        <f t="shared" si="103"/>
        <v>No</v>
      </c>
      <c r="S1659" t="s">
        <v>13</v>
      </c>
    </row>
    <row r="1660" spans="1:19" hidden="1" x14ac:dyDescent="0.3">
      <c r="A1660" s="1" t="s">
        <v>413</v>
      </c>
      <c r="B1660" t="s">
        <v>1596</v>
      </c>
      <c r="C1660" t="s">
        <v>2373</v>
      </c>
      <c r="D1660" t="str">
        <f t="shared" si="100"/>
        <v>Male</v>
      </c>
      <c r="E1660" t="s">
        <v>9</v>
      </c>
      <c r="F1660" s="2">
        <v>24</v>
      </c>
      <c r="G1660" s="2" t="str" cm="1">
        <f t="array" ref="G1660">_xlfn.IFS(F1660&lt;=8,"Child",F1660&lt;=17,"Teen",F1660&lt;=35,"Adult",F1660&lt;=55,"Seniour Adult",F1660&gt;=55,"Old Age")</f>
        <v>Adult</v>
      </c>
      <c r="H1660" t="s">
        <v>51</v>
      </c>
      <c r="I1660" t="s">
        <v>11</v>
      </c>
      <c r="J1660" t="str" cm="1">
        <f t="array" ref="J1660">_xlfn.IFS(I1660="S","Southamptom",I1660="Q","Quentown",I1660="C","Cherbrug",I1660="B","Cabin")</f>
        <v>Southamptom</v>
      </c>
      <c r="K1660" t="s">
        <v>15</v>
      </c>
      <c r="L1660" s="2">
        <v>33</v>
      </c>
      <c r="M1660" s="2" t="str" cm="1">
        <f t="array" ref="M1660">_xlfn.IFS(L1660&lt;=15,"Low Fare",L1660&lt;=35,"Medium Fare",L1660&lt;=100,"High Fare",L1660&gt;=100,"Very High Fare")</f>
        <v>Medium Fare</v>
      </c>
      <c r="N1660" s="2">
        <v>1</v>
      </c>
      <c r="O1660" s="2" t="s">
        <v>30</v>
      </c>
      <c r="P1660" t="e">
        <f t="shared" si="101"/>
        <v>#VALUE!</v>
      </c>
      <c r="Q1660" t="e">
        <f t="shared" si="102"/>
        <v>#VALUE!</v>
      </c>
      <c r="R1660" t="str">
        <f t="shared" si="103"/>
        <v>No</v>
      </c>
      <c r="S1660" t="s">
        <v>13</v>
      </c>
    </row>
    <row r="1661" spans="1:19" hidden="1" x14ac:dyDescent="0.3">
      <c r="A1661" s="1" t="s">
        <v>1215</v>
      </c>
      <c r="B1661" t="s">
        <v>1596</v>
      </c>
      <c r="C1661" t="s">
        <v>1616</v>
      </c>
      <c r="D1661" t="str">
        <f t="shared" si="100"/>
        <v>Male</v>
      </c>
      <c r="E1661" t="s">
        <v>9</v>
      </c>
      <c r="F1661" s="2">
        <v>22</v>
      </c>
      <c r="G1661" s="2" t="str" cm="1">
        <f t="array" ref="G1661">_xlfn.IFS(F1661&lt;=8,"Child",F1661&lt;=17,"Teen",F1661&lt;=35,"Adult",F1661&lt;=55,"Seniour Adult",F1661&gt;=55,"Old Age")</f>
        <v>Adult</v>
      </c>
      <c r="H1661" t="s">
        <v>51</v>
      </c>
      <c r="I1661" t="s">
        <v>11</v>
      </c>
      <c r="J1661" t="str" cm="1">
        <f t="array" ref="J1661">_xlfn.IFS(I1661="S","Southamptom",I1661="Q","Quentown",I1661="C","Cherbrug",I1661="B","Cabin")</f>
        <v>Southamptom</v>
      </c>
      <c r="K1661" t="s">
        <v>15</v>
      </c>
      <c r="L1661" s="2">
        <v>33</v>
      </c>
      <c r="M1661" s="2" t="str" cm="1">
        <f t="array" ref="M1661">_xlfn.IFS(L1661&lt;=15,"Low Fare",L1661&lt;=35,"Medium Fare",L1661&lt;=100,"High Fare",L1661&gt;=100,"Very High Fare")</f>
        <v>Medium Fare</v>
      </c>
      <c r="N1661" s="2">
        <v>1</v>
      </c>
      <c r="O1661" s="2" t="s">
        <v>30</v>
      </c>
      <c r="P1661" t="e">
        <f t="shared" si="101"/>
        <v>#VALUE!</v>
      </c>
      <c r="Q1661" t="e">
        <f t="shared" si="102"/>
        <v>#VALUE!</v>
      </c>
      <c r="R1661" t="str">
        <f t="shared" si="103"/>
        <v>Yes</v>
      </c>
      <c r="S1661" t="s">
        <v>16</v>
      </c>
    </row>
    <row r="1662" spans="1:19" hidden="1" x14ac:dyDescent="0.3">
      <c r="A1662" s="1" t="s">
        <v>1216</v>
      </c>
      <c r="B1662" t="s">
        <v>1596</v>
      </c>
      <c r="C1662" t="s">
        <v>2903</v>
      </c>
      <c r="D1662" t="str">
        <f t="shared" si="100"/>
        <v>Male</v>
      </c>
      <c r="E1662" t="s">
        <v>9</v>
      </c>
      <c r="F1662" s="2">
        <v>30</v>
      </c>
      <c r="G1662" s="2" t="str" cm="1">
        <f t="array" ref="G1662">_xlfn.IFS(F1662&lt;=8,"Child",F1662&lt;=17,"Teen",F1662&lt;=35,"Adult",F1662&lt;=55,"Seniour Adult",F1662&gt;=55,"Old Age")</f>
        <v>Adult</v>
      </c>
      <c r="H1662" t="s">
        <v>69</v>
      </c>
      <c r="I1662" t="s">
        <v>11</v>
      </c>
      <c r="J1662" t="str" cm="1">
        <f t="array" ref="J1662">_xlfn.IFS(I1662="S","Southamptom",I1662="Q","Quentown",I1662="C","Cherbrug",I1662="B","Cabin")</f>
        <v>Southamptom</v>
      </c>
      <c r="K1662" t="s">
        <v>15</v>
      </c>
      <c r="L1662" s="2">
        <v>33</v>
      </c>
      <c r="M1662" s="2" t="str" cm="1">
        <f t="array" ref="M1662">_xlfn.IFS(L1662&lt;=15,"Low Fare",L1662&lt;=35,"Medium Fare",L1662&lt;=100,"High Fare",L1662&gt;=100,"Very High Fare")</f>
        <v>Medium Fare</v>
      </c>
      <c r="N1662" s="2">
        <v>1</v>
      </c>
      <c r="O1662" s="2" t="s">
        <v>30</v>
      </c>
      <c r="P1662" t="e">
        <f t="shared" si="101"/>
        <v>#VALUE!</v>
      </c>
      <c r="Q1662" t="e">
        <f t="shared" si="102"/>
        <v>#VALUE!</v>
      </c>
      <c r="R1662" t="str">
        <f t="shared" si="103"/>
        <v>No</v>
      </c>
      <c r="S1662" t="s">
        <v>13</v>
      </c>
    </row>
    <row r="1663" spans="1:19" hidden="1" x14ac:dyDescent="0.3">
      <c r="A1663" s="1" t="s">
        <v>1217</v>
      </c>
      <c r="B1663" t="s">
        <v>1596</v>
      </c>
      <c r="C1663" t="s">
        <v>2904</v>
      </c>
      <c r="D1663" t="str">
        <f t="shared" si="100"/>
        <v>Male</v>
      </c>
      <c r="E1663" t="s">
        <v>9</v>
      </c>
      <c r="F1663" s="2">
        <v>43</v>
      </c>
      <c r="G1663" s="2" t="str" cm="1">
        <f t="array" ref="G1663">_xlfn.IFS(F1663&lt;=8,"Child",F1663&lt;=17,"Teen",F1663&lt;=35,"Adult",F1663&lt;=55,"Seniour Adult",F1663&gt;=55,"Old Age")</f>
        <v>Seniour Adult</v>
      </c>
      <c r="H1663" t="s">
        <v>71</v>
      </c>
      <c r="I1663" t="s">
        <v>28</v>
      </c>
      <c r="J1663" t="str" cm="1">
        <f t="array" ref="J1663">_xlfn.IFS(I1663="S","Southamptom",I1663="Q","Quentown",I1663="C","Cherbrug",I1663="B","Cabin")</f>
        <v>Cabin</v>
      </c>
      <c r="K1663" t="s">
        <v>15</v>
      </c>
      <c r="L1663" s="2">
        <v>33</v>
      </c>
      <c r="M1663" s="2" t="str" cm="1">
        <f t="array" ref="M1663">_xlfn.IFS(L1663&lt;=15,"Low Fare",L1663&lt;=35,"Medium Fare",L1663&lt;=100,"High Fare",L1663&gt;=100,"Very High Fare")</f>
        <v>Medium Fare</v>
      </c>
      <c r="N1663" s="2">
        <v>1</v>
      </c>
      <c r="O1663" s="2" t="s">
        <v>30</v>
      </c>
      <c r="P1663" t="e">
        <f t="shared" si="101"/>
        <v>#VALUE!</v>
      </c>
      <c r="Q1663" t="e">
        <f t="shared" si="102"/>
        <v>#VALUE!</v>
      </c>
      <c r="R1663" t="str">
        <f t="shared" si="103"/>
        <v>Yes</v>
      </c>
      <c r="S1663" t="s">
        <v>16</v>
      </c>
    </row>
    <row r="1664" spans="1:19" hidden="1" x14ac:dyDescent="0.3">
      <c r="A1664" s="1" t="s">
        <v>1218</v>
      </c>
      <c r="B1664" t="s">
        <v>1596</v>
      </c>
      <c r="C1664" t="s">
        <v>2905</v>
      </c>
      <c r="D1664" t="str">
        <f t="shared" si="100"/>
        <v>Male</v>
      </c>
      <c r="E1664" t="s">
        <v>9</v>
      </c>
      <c r="F1664" s="2">
        <v>28</v>
      </c>
      <c r="G1664" s="2" t="str" cm="1">
        <f t="array" ref="G1664">_xlfn.IFS(F1664&lt;=8,"Child",F1664&lt;=17,"Teen",F1664&lt;=35,"Adult",F1664&lt;=55,"Seniour Adult",F1664&gt;=55,"Old Age")</f>
        <v>Adult</v>
      </c>
      <c r="H1664" t="s">
        <v>51</v>
      </c>
      <c r="I1664" t="s">
        <v>11</v>
      </c>
      <c r="J1664" t="str" cm="1">
        <f t="array" ref="J1664">_xlfn.IFS(I1664="S","Southamptom",I1664="Q","Quentown",I1664="C","Cherbrug",I1664="B","Cabin")</f>
        <v>Southamptom</v>
      </c>
      <c r="K1664" t="s">
        <v>15</v>
      </c>
      <c r="L1664" s="2">
        <v>33</v>
      </c>
      <c r="M1664" s="2" t="str" cm="1">
        <f t="array" ref="M1664">_xlfn.IFS(L1664&lt;=15,"Low Fare",L1664&lt;=35,"Medium Fare",L1664&lt;=100,"High Fare",L1664&gt;=100,"Very High Fare")</f>
        <v>Medium Fare</v>
      </c>
      <c r="N1664" s="2">
        <v>1</v>
      </c>
      <c r="O1664" s="2" t="s">
        <v>30</v>
      </c>
      <c r="P1664" t="e">
        <f t="shared" si="101"/>
        <v>#VALUE!</v>
      </c>
      <c r="Q1664" t="e">
        <f t="shared" si="102"/>
        <v>#VALUE!</v>
      </c>
      <c r="R1664" t="str">
        <f t="shared" si="103"/>
        <v>Yes</v>
      </c>
      <c r="S1664" t="s">
        <v>16</v>
      </c>
    </row>
    <row r="1665" spans="1:19" hidden="1" x14ac:dyDescent="0.3">
      <c r="A1665" s="1" t="s">
        <v>1219</v>
      </c>
      <c r="B1665" t="s">
        <v>1596</v>
      </c>
      <c r="C1665" t="s">
        <v>2906</v>
      </c>
      <c r="D1665" t="str">
        <f t="shared" si="100"/>
        <v>Male</v>
      </c>
      <c r="E1665" t="s">
        <v>9</v>
      </c>
      <c r="F1665" s="2">
        <v>40</v>
      </c>
      <c r="G1665" s="2" t="str" cm="1">
        <f t="array" ref="G1665">_xlfn.IFS(F1665&lt;=8,"Child",F1665&lt;=17,"Teen",F1665&lt;=35,"Adult",F1665&lt;=55,"Seniour Adult",F1665&gt;=55,"Old Age")</f>
        <v>Seniour Adult</v>
      </c>
      <c r="H1665" t="s">
        <v>69</v>
      </c>
      <c r="I1665" t="s">
        <v>28</v>
      </c>
      <c r="J1665" t="str" cm="1">
        <f t="array" ref="J1665">_xlfn.IFS(I1665="S","Southamptom",I1665="Q","Quentown",I1665="C","Cherbrug",I1665="B","Cabin")</f>
        <v>Cabin</v>
      </c>
      <c r="K1665" t="s">
        <v>15</v>
      </c>
      <c r="L1665" s="2">
        <v>33</v>
      </c>
      <c r="M1665" s="2" t="str" cm="1">
        <f t="array" ref="M1665">_xlfn.IFS(L1665&lt;=15,"Low Fare",L1665&lt;=35,"Medium Fare",L1665&lt;=100,"High Fare",L1665&gt;=100,"Very High Fare")</f>
        <v>Medium Fare</v>
      </c>
      <c r="N1665" s="2">
        <v>1</v>
      </c>
      <c r="O1665" s="2" t="s">
        <v>30</v>
      </c>
      <c r="P1665" t="e">
        <f t="shared" si="101"/>
        <v>#VALUE!</v>
      </c>
      <c r="Q1665" t="e">
        <f t="shared" si="102"/>
        <v>#VALUE!</v>
      </c>
      <c r="R1665" t="str">
        <f t="shared" si="103"/>
        <v>No</v>
      </c>
      <c r="S1665" t="s">
        <v>13</v>
      </c>
    </row>
    <row r="1666" spans="1:19" hidden="1" x14ac:dyDescent="0.3">
      <c r="A1666" s="1" t="s">
        <v>1220</v>
      </c>
      <c r="B1666" t="s">
        <v>1596</v>
      </c>
      <c r="C1666" t="s">
        <v>2907</v>
      </c>
      <c r="D1666" t="str">
        <f t="shared" si="100"/>
        <v>Male</v>
      </c>
      <c r="E1666" t="s">
        <v>9</v>
      </c>
      <c r="F1666" s="2">
        <v>26</v>
      </c>
      <c r="G1666" s="2" t="str" cm="1">
        <f t="array" ref="G1666">_xlfn.IFS(F1666&lt;=8,"Child",F1666&lt;=17,"Teen",F1666&lt;=35,"Adult",F1666&lt;=55,"Seniour Adult",F1666&gt;=55,"Old Age")</f>
        <v>Adult</v>
      </c>
      <c r="H1666" t="s">
        <v>69</v>
      </c>
      <c r="I1666" t="s">
        <v>11</v>
      </c>
      <c r="J1666" t="str" cm="1">
        <f t="array" ref="J1666">_xlfn.IFS(I1666="S","Southamptom",I1666="Q","Quentown",I1666="C","Cherbrug",I1666="B","Cabin")</f>
        <v>Southamptom</v>
      </c>
      <c r="K1666" t="s">
        <v>15</v>
      </c>
      <c r="L1666" s="2">
        <v>33</v>
      </c>
      <c r="M1666" s="2" t="str" cm="1">
        <f t="array" ref="M1666">_xlfn.IFS(L1666&lt;=15,"Low Fare",L1666&lt;=35,"Medium Fare",L1666&lt;=100,"High Fare",L1666&gt;=100,"Very High Fare")</f>
        <v>Medium Fare</v>
      </c>
      <c r="N1666" s="2">
        <v>1</v>
      </c>
      <c r="O1666" s="2" t="s">
        <v>30</v>
      </c>
      <c r="P1666" t="e">
        <f t="shared" si="101"/>
        <v>#VALUE!</v>
      </c>
      <c r="Q1666" t="e">
        <f t="shared" si="102"/>
        <v>#VALUE!</v>
      </c>
      <c r="R1666" t="str">
        <f t="shared" si="103"/>
        <v>No</v>
      </c>
      <c r="S1666" t="s">
        <v>13</v>
      </c>
    </row>
    <row r="1667" spans="1:19" hidden="1" x14ac:dyDescent="0.3">
      <c r="A1667" s="1" t="s">
        <v>1221</v>
      </c>
      <c r="B1667" t="s">
        <v>1596</v>
      </c>
      <c r="C1667" t="s">
        <v>1822</v>
      </c>
      <c r="D1667" t="str">
        <f t="shared" ref="D1667:D1730" si="104">PROPER(E1667)</f>
        <v>Male</v>
      </c>
      <c r="E1667" t="s">
        <v>9</v>
      </c>
      <c r="F1667" s="2">
        <v>33</v>
      </c>
      <c r="G1667" s="2" t="str" cm="1">
        <f t="array" ref="G1667">_xlfn.IFS(F1667&lt;=8,"Child",F1667&lt;=17,"Teen",F1667&lt;=35,"Adult",F1667&lt;=55,"Seniour Adult",F1667&gt;=55,"Old Age")</f>
        <v>Adult</v>
      </c>
      <c r="H1667" t="s">
        <v>51</v>
      </c>
      <c r="I1667" t="s">
        <v>28</v>
      </c>
      <c r="J1667" t="str" cm="1">
        <f t="array" ref="J1667">_xlfn.IFS(I1667="S","Southamptom",I1667="Q","Quentown",I1667="C","Cherbrug",I1667="B","Cabin")</f>
        <v>Cabin</v>
      </c>
      <c r="K1667" t="s">
        <v>15</v>
      </c>
      <c r="L1667" s="2">
        <v>33</v>
      </c>
      <c r="M1667" s="2" t="str" cm="1">
        <f t="array" ref="M1667">_xlfn.IFS(L1667&lt;=15,"Low Fare",L1667&lt;=35,"Medium Fare",L1667&lt;=100,"High Fare",L1667&gt;=100,"Very High Fare")</f>
        <v>Medium Fare</v>
      </c>
      <c r="N1667" s="2">
        <v>1</v>
      </c>
      <c r="O1667" s="2" t="s">
        <v>30</v>
      </c>
      <c r="P1667" t="e">
        <f t="shared" ref="P1667:P1730" si="105">N1667+O1667+1</f>
        <v>#VALUE!</v>
      </c>
      <c r="Q1667" t="e">
        <f t="shared" ref="Q1667:Q1730" si="106">IF(P1667=1,"Alone","With Family")</f>
        <v>#VALUE!</v>
      </c>
      <c r="R1667" t="str">
        <f t="shared" ref="R1667:R1730" si="107">PROPER(S1667)</f>
        <v>No</v>
      </c>
      <c r="S1667" t="s">
        <v>13</v>
      </c>
    </row>
    <row r="1668" spans="1:19" hidden="1" x14ac:dyDescent="0.3">
      <c r="A1668" s="1" t="s">
        <v>1222</v>
      </c>
      <c r="B1668" t="s">
        <v>1596</v>
      </c>
      <c r="C1668" t="s">
        <v>1965</v>
      </c>
      <c r="D1668" t="str">
        <f t="shared" si="104"/>
        <v>Male</v>
      </c>
      <c r="E1668" t="s">
        <v>9</v>
      </c>
      <c r="F1668" s="2">
        <v>45</v>
      </c>
      <c r="G1668" s="2" t="str" cm="1">
        <f t="array" ref="G1668">_xlfn.IFS(F1668&lt;=8,"Child",F1668&lt;=17,"Teen",F1668&lt;=35,"Adult",F1668&lt;=55,"Seniour Adult",F1668&gt;=55,"Old Age")</f>
        <v>Seniour Adult</v>
      </c>
      <c r="H1668" t="s">
        <v>51</v>
      </c>
      <c r="I1668" t="s">
        <v>11</v>
      </c>
      <c r="J1668" t="str" cm="1">
        <f t="array" ref="J1668">_xlfn.IFS(I1668="S","Southamptom",I1668="Q","Quentown",I1668="C","Cherbrug",I1668="B","Cabin")</f>
        <v>Southamptom</v>
      </c>
      <c r="K1668" t="s">
        <v>15</v>
      </c>
      <c r="L1668" s="2">
        <v>33</v>
      </c>
      <c r="M1668" s="2" t="str" cm="1">
        <f t="array" ref="M1668">_xlfn.IFS(L1668&lt;=15,"Low Fare",L1668&lt;=35,"Medium Fare",L1668&lt;=100,"High Fare",L1668&gt;=100,"Very High Fare")</f>
        <v>Medium Fare</v>
      </c>
      <c r="N1668" s="2">
        <v>1</v>
      </c>
      <c r="O1668" s="2" t="s">
        <v>30</v>
      </c>
      <c r="P1668" t="e">
        <f t="shared" si="105"/>
        <v>#VALUE!</v>
      </c>
      <c r="Q1668" t="e">
        <f t="shared" si="106"/>
        <v>#VALUE!</v>
      </c>
      <c r="R1668" t="str">
        <f t="shared" si="107"/>
        <v>No</v>
      </c>
      <c r="S1668" t="s">
        <v>13</v>
      </c>
    </row>
    <row r="1669" spans="1:19" hidden="1" x14ac:dyDescent="0.3">
      <c r="A1669" s="1" t="s">
        <v>1223</v>
      </c>
      <c r="B1669" t="s">
        <v>1596</v>
      </c>
      <c r="C1669" t="s">
        <v>1645</v>
      </c>
      <c r="D1669" t="str">
        <f t="shared" si="104"/>
        <v>Male</v>
      </c>
      <c r="E1669" t="s">
        <v>9</v>
      </c>
      <c r="F1669" s="2">
        <v>37</v>
      </c>
      <c r="G1669" s="2" t="str" cm="1">
        <f t="array" ref="G1669">_xlfn.IFS(F1669&lt;=8,"Child",F1669&lt;=17,"Teen",F1669&lt;=35,"Adult",F1669&lt;=55,"Seniour Adult",F1669&gt;=55,"Old Age")</f>
        <v>Seniour Adult</v>
      </c>
      <c r="H1669" t="s">
        <v>69</v>
      </c>
      <c r="I1669" t="s">
        <v>28</v>
      </c>
      <c r="J1669" t="str" cm="1">
        <f t="array" ref="J1669">_xlfn.IFS(I1669="S","Southamptom",I1669="Q","Quentown",I1669="C","Cherbrug",I1669="B","Cabin")</f>
        <v>Cabin</v>
      </c>
      <c r="K1669" t="s">
        <v>15</v>
      </c>
      <c r="L1669" s="2">
        <v>33</v>
      </c>
      <c r="M1669" s="2" t="str" cm="1">
        <f t="array" ref="M1669">_xlfn.IFS(L1669&lt;=15,"Low Fare",L1669&lt;=35,"Medium Fare",L1669&lt;=100,"High Fare",L1669&gt;=100,"Very High Fare")</f>
        <v>Medium Fare</v>
      </c>
      <c r="N1669" s="2">
        <v>1</v>
      </c>
      <c r="O1669" s="2" t="s">
        <v>30</v>
      </c>
      <c r="P1669" t="e">
        <f t="shared" si="105"/>
        <v>#VALUE!</v>
      </c>
      <c r="Q1669" t="e">
        <f t="shared" si="106"/>
        <v>#VALUE!</v>
      </c>
      <c r="R1669" t="str">
        <f t="shared" si="107"/>
        <v>No</v>
      </c>
      <c r="S1669" t="s">
        <v>13</v>
      </c>
    </row>
    <row r="1670" spans="1:19" hidden="1" x14ac:dyDescent="0.3">
      <c r="A1670" s="1" t="s">
        <v>1224</v>
      </c>
      <c r="B1670" t="s">
        <v>1596</v>
      </c>
      <c r="C1670" t="s">
        <v>2208</v>
      </c>
      <c r="D1670" t="str">
        <f t="shared" si="104"/>
        <v>Male</v>
      </c>
      <c r="E1670" t="s">
        <v>9</v>
      </c>
      <c r="F1670" s="2">
        <v>29</v>
      </c>
      <c r="G1670" s="2" t="str" cm="1">
        <f t="array" ref="G1670">_xlfn.IFS(F1670&lt;=8,"Child",F1670&lt;=17,"Teen",F1670&lt;=35,"Adult",F1670&lt;=55,"Seniour Adult",F1670&gt;=55,"Old Age")</f>
        <v>Adult</v>
      </c>
      <c r="H1670" t="s">
        <v>71</v>
      </c>
      <c r="I1670" t="s">
        <v>11</v>
      </c>
      <c r="J1670" t="str" cm="1">
        <f t="array" ref="J1670">_xlfn.IFS(I1670="S","Southamptom",I1670="Q","Quentown",I1670="C","Cherbrug",I1670="B","Cabin")</f>
        <v>Southamptom</v>
      </c>
      <c r="K1670" t="s">
        <v>15</v>
      </c>
      <c r="L1670" s="2">
        <v>33</v>
      </c>
      <c r="M1670" s="2" t="str" cm="1">
        <f t="array" ref="M1670">_xlfn.IFS(L1670&lt;=15,"Low Fare",L1670&lt;=35,"Medium Fare",L1670&lt;=100,"High Fare",L1670&gt;=100,"Very High Fare")</f>
        <v>Medium Fare</v>
      </c>
      <c r="N1670" s="2">
        <v>1</v>
      </c>
      <c r="O1670" s="2" t="s">
        <v>30</v>
      </c>
      <c r="P1670" t="e">
        <f t="shared" si="105"/>
        <v>#VALUE!</v>
      </c>
      <c r="Q1670" t="e">
        <f t="shared" si="106"/>
        <v>#VALUE!</v>
      </c>
      <c r="R1670" t="str">
        <f t="shared" si="107"/>
        <v>Yes</v>
      </c>
      <c r="S1670" t="s">
        <v>16</v>
      </c>
    </row>
    <row r="1671" spans="1:19" hidden="1" x14ac:dyDescent="0.3">
      <c r="A1671" s="1" t="s">
        <v>1225</v>
      </c>
      <c r="B1671" t="s">
        <v>1596</v>
      </c>
      <c r="C1671" t="s">
        <v>2783</v>
      </c>
      <c r="D1671" t="str">
        <f t="shared" si="104"/>
        <v>Male</v>
      </c>
      <c r="E1671" t="s">
        <v>9</v>
      </c>
      <c r="F1671" s="2">
        <v>36</v>
      </c>
      <c r="G1671" s="2" t="str" cm="1">
        <f t="array" ref="G1671">_xlfn.IFS(F1671&lt;=8,"Child",F1671&lt;=17,"Teen",F1671&lt;=35,"Adult",F1671&lt;=55,"Seniour Adult",F1671&gt;=55,"Old Age")</f>
        <v>Seniour Adult</v>
      </c>
      <c r="H1671" t="s">
        <v>69</v>
      </c>
      <c r="I1671" t="s">
        <v>11</v>
      </c>
      <c r="J1671" t="str" cm="1">
        <f t="array" ref="J1671">_xlfn.IFS(I1671="S","Southamptom",I1671="Q","Quentown",I1671="C","Cherbrug",I1671="B","Cabin")</f>
        <v>Southamptom</v>
      </c>
      <c r="K1671" t="s">
        <v>15</v>
      </c>
      <c r="L1671" s="2">
        <v>33</v>
      </c>
      <c r="M1671" s="2" t="str" cm="1">
        <f t="array" ref="M1671">_xlfn.IFS(L1671&lt;=15,"Low Fare",L1671&lt;=35,"Medium Fare",L1671&lt;=100,"High Fare",L1671&gt;=100,"Very High Fare")</f>
        <v>Medium Fare</v>
      </c>
      <c r="N1671" s="2">
        <v>1</v>
      </c>
      <c r="O1671" s="2" t="s">
        <v>30</v>
      </c>
      <c r="P1671" t="e">
        <f t="shared" si="105"/>
        <v>#VALUE!</v>
      </c>
      <c r="Q1671" t="e">
        <f t="shared" si="106"/>
        <v>#VALUE!</v>
      </c>
      <c r="R1671" t="str">
        <f t="shared" si="107"/>
        <v>No</v>
      </c>
      <c r="S1671" t="s">
        <v>13</v>
      </c>
    </row>
    <row r="1672" spans="1:19" hidden="1" x14ac:dyDescent="0.3">
      <c r="A1672" s="1" t="s">
        <v>1225</v>
      </c>
      <c r="B1672" t="s">
        <v>1596</v>
      </c>
      <c r="C1672" t="s">
        <v>1965</v>
      </c>
      <c r="D1672" t="str">
        <f t="shared" si="104"/>
        <v>Male</v>
      </c>
      <c r="E1672" t="s">
        <v>9</v>
      </c>
      <c r="F1672" s="2">
        <v>25</v>
      </c>
      <c r="G1672" s="2" t="str" cm="1">
        <f t="array" ref="G1672">_xlfn.IFS(F1672&lt;=8,"Child",F1672&lt;=17,"Teen",F1672&lt;=35,"Adult",F1672&lt;=55,"Seniour Adult",F1672&gt;=55,"Old Age")</f>
        <v>Adult</v>
      </c>
      <c r="H1672" t="s">
        <v>51</v>
      </c>
      <c r="I1672" t="s">
        <v>11</v>
      </c>
      <c r="J1672" t="str" cm="1">
        <f t="array" ref="J1672">_xlfn.IFS(I1672="S","Southamptom",I1672="Q","Quentown",I1672="C","Cherbrug",I1672="B","Cabin")</f>
        <v>Southamptom</v>
      </c>
      <c r="K1672" t="s">
        <v>15</v>
      </c>
      <c r="L1672" s="2">
        <v>33</v>
      </c>
      <c r="M1672" s="2" t="str" cm="1">
        <f t="array" ref="M1672">_xlfn.IFS(L1672&lt;=15,"Low Fare",L1672&lt;=35,"Medium Fare",L1672&lt;=100,"High Fare",L1672&gt;=100,"Very High Fare")</f>
        <v>Medium Fare</v>
      </c>
      <c r="N1672" s="2">
        <v>1</v>
      </c>
      <c r="O1672" s="2" t="s">
        <v>30</v>
      </c>
      <c r="P1672" t="e">
        <f t="shared" si="105"/>
        <v>#VALUE!</v>
      </c>
      <c r="Q1672" t="e">
        <f t="shared" si="106"/>
        <v>#VALUE!</v>
      </c>
      <c r="R1672" t="str">
        <f t="shared" si="107"/>
        <v>No</v>
      </c>
      <c r="S1672" t="s">
        <v>13</v>
      </c>
    </row>
    <row r="1673" spans="1:19" hidden="1" x14ac:dyDescent="0.3">
      <c r="A1673" s="1" t="s">
        <v>1225</v>
      </c>
      <c r="B1673" t="s">
        <v>1596</v>
      </c>
      <c r="C1673" t="s">
        <v>2908</v>
      </c>
      <c r="D1673" t="str">
        <f t="shared" si="104"/>
        <v>Male</v>
      </c>
      <c r="E1673" t="s">
        <v>9</v>
      </c>
      <c r="F1673" s="2">
        <v>43</v>
      </c>
      <c r="G1673" s="2" t="str" cm="1">
        <f t="array" ref="G1673">_xlfn.IFS(F1673&lt;=8,"Child",F1673&lt;=17,"Teen",F1673&lt;=35,"Adult",F1673&lt;=55,"Seniour Adult",F1673&gt;=55,"Old Age")</f>
        <v>Seniour Adult</v>
      </c>
      <c r="H1673" t="s">
        <v>69</v>
      </c>
      <c r="I1673" t="s">
        <v>28</v>
      </c>
      <c r="J1673" t="str" cm="1">
        <f t="array" ref="J1673">_xlfn.IFS(I1673="S","Southamptom",I1673="Q","Quentown",I1673="C","Cherbrug",I1673="B","Cabin")</f>
        <v>Cabin</v>
      </c>
      <c r="K1673" t="s">
        <v>15</v>
      </c>
      <c r="L1673" s="2">
        <v>33</v>
      </c>
      <c r="M1673" s="2" t="str" cm="1">
        <f t="array" ref="M1673">_xlfn.IFS(L1673&lt;=15,"Low Fare",L1673&lt;=35,"Medium Fare",L1673&lt;=100,"High Fare",L1673&gt;=100,"Very High Fare")</f>
        <v>Medium Fare</v>
      </c>
      <c r="N1673" s="2">
        <v>1</v>
      </c>
      <c r="O1673" s="2" t="s">
        <v>30</v>
      </c>
      <c r="P1673" t="e">
        <f t="shared" si="105"/>
        <v>#VALUE!</v>
      </c>
      <c r="Q1673" t="e">
        <f t="shared" si="106"/>
        <v>#VALUE!</v>
      </c>
      <c r="R1673" t="str">
        <f t="shared" si="107"/>
        <v>No</v>
      </c>
      <c r="S1673" t="s">
        <v>13</v>
      </c>
    </row>
    <row r="1674" spans="1:19" hidden="1" x14ac:dyDescent="0.3">
      <c r="A1674" s="1" t="s">
        <v>1226</v>
      </c>
      <c r="B1674" t="s">
        <v>1596</v>
      </c>
      <c r="C1674" t="s">
        <v>2909</v>
      </c>
      <c r="D1674" t="str">
        <f t="shared" si="104"/>
        <v>Male</v>
      </c>
      <c r="E1674" t="s">
        <v>9</v>
      </c>
      <c r="F1674" s="2">
        <v>40</v>
      </c>
      <c r="G1674" s="2" t="str" cm="1">
        <f t="array" ref="G1674">_xlfn.IFS(F1674&lt;=8,"Child",F1674&lt;=17,"Teen",F1674&lt;=35,"Adult",F1674&lt;=55,"Seniour Adult",F1674&gt;=55,"Old Age")</f>
        <v>Seniour Adult</v>
      </c>
      <c r="H1674" t="s">
        <v>69</v>
      </c>
      <c r="I1674" t="s">
        <v>11</v>
      </c>
      <c r="J1674" t="str" cm="1">
        <f t="array" ref="J1674">_xlfn.IFS(I1674="S","Southamptom",I1674="Q","Quentown",I1674="C","Cherbrug",I1674="B","Cabin")</f>
        <v>Southamptom</v>
      </c>
      <c r="K1674" t="s">
        <v>15</v>
      </c>
      <c r="L1674" s="2">
        <v>33</v>
      </c>
      <c r="M1674" s="2" t="str" cm="1">
        <f t="array" ref="M1674">_xlfn.IFS(L1674&lt;=15,"Low Fare",L1674&lt;=35,"Medium Fare",L1674&lt;=100,"High Fare",L1674&gt;=100,"Very High Fare")</f>
        <v>Medium Fare</v>
      </c>
      <c r="N1674" s="2">
        <v>1</v>
      </c>
      <c r="O1674" s="2" t="s">
        <v>30</v>
      </c>
      <c r="P1674" t="e">
        <f t="shared" si="105"/>
        <v>#VALUE!</v>
      </c>
      <c r="Q1674" t="e">
        <f t="shared" si="106"/>
        <v>#VALUE!</v>
      </c>
      <c r="R1674" t="str">
        <f t="shared" si="107"/>
        <v>No</v>
      </c>
      <c r="S1674" t="s">
        <v>13</v>
      </c>
    </row>
    <row r="1675" spans="1:19" hidden="1" x14ac:dyDescent="0.3">
      <c r="A1675" s="1" t="s">
        <v>1227</v>
      </c>
      <c r="B1675" t="s">
        <v>1596</v>
      </c>
      <c r="C1675" t="s">
        <v>2094</v>
      </c>
      <c r="D1675" t="str">
        <f t="shared" si="104"/>
        <v>Male</v>
      </c>
      <c r="E1675" t="s">
        <v>9</v>
      </c>
      <c r="F1675" s="2">
        <v>36</v>
      </c>
      <c r="G1675" s="2" t="str" cm="1">
        <f t="array" ref="G1675">_xlfn.IFS(F1675&lt;=8,"Child",F1675&lt;=17,"Teen",F1675&lt;=35,"Adult",F1675&lt;=55,"Seniour Adult",F1675&gt;=55,"Old Age")</f>
        <v>Seniour Adult</v>
      </c>
      <c r="H1675" t="s">
        <v>69</v>
      </c>
      <c r="I1675" t="s">
        <v>11</v>
      </c>
      <c r="J1675" t="str" cm="1">
        <f t="array" ref="J1675">_xlfn.IFS(I1675="S","Southamptom",I1675="Q","Quentown",I1675="C","Cherbrug",I1675="B","Cabin")</f>
        <v>Southamptom</v>
      </c>
      <c r="K1675" t="s">
        <v>15</v>
      </c>
      <c r="L1675" s="2">
        <v>33</v>
      </c>
      <c r="M1675" s="2" t="str" cm="1">
        <f t="array" ref="M1675">_xlfn.IFS(L1675&lt;=15,"Low Fare",L1675&lt;=35,"Medium Fare",L1675&lt;=100,"High Fare",L1675&gt;=100,"Very High Fare")</f>
        <v>Medium Fare</v>
      </c>
      <c r="N1675" s="2">
        <v>1</v>
      </c>
      <c r="O1675" s="2" t="s">
        <v>30</v>
      </c>
      <c r="P1675" t="e">
        <f t="shared" si="105"/>
        <v>#VALUE!</v>
      </c>
      <c r="Q1675" t="e">
        <f t="shared" si="106"/>
        <v>#VALUE!</v>
      </c>
      <c r="R1675" t="str">
        <f t="shared" si="107"/>
        <v>No</v>
      </c>
      <c r="S1675" t="s">
        <v>13</v>
      </c>
    </row>
    <row r="1676" spans="1:19" hidden="1" x14ac:dyDescent="0.3">
      <c r="A1676" s="1" t="s">
        <v>1228</v>
      </c>
      <c r="B1676" t="s">
        <v>1596</v>
      </c>
      <c r="C1676" t="s">
        <v>2910</v>
      </c>
      <c r="D1676" t="str">
        <f t="shared" si="104"/>
        <v>Male</v>
      </c>
      <c r="E1676" t="s">
        <v>9</v>
      </c>
      <c r="F1676" s="2">
        <v>31</v>
      </c>
      <c r="G1676" s="2" t="str" cm="1">
        <f t="array" ref="G1676">_xlfn.IFS(F1676&lt;=8,"Child",F1676&lt;=17,"Teen",F1676&lt;=35,"Adult",F1676&lt;=55,"Seniour Adult",F1676&gt;=55,"Old Age")</f>
        <v>Adult</v>
      </c>
      <c r="H1676" t="s">
        <v>51</v>
      </c>
      <c r="I1676" t="s">
        <v>11</v>
      </c>
      <c r="J1676" t="str" cm="1">
        <f t="array" ref="J1676">_xlfn.IFS(I1676="S","Southamptom",I1676="Q","Quentown",I1676="C","Cherbrug",I1676="B","Cabin")</f>
        <v>Southamptom</v>
      </c>
      <c r="K1676" t="s">
        <v>15</v>
      </c>
      <c r="L1676" s="2">
        <v>33</v>
      </c>
      <c r="M1676" s="2" t="str" cm="1">
        <f t="array" ref="M1676">_xlfn.IFS(L1676&lt;=15,"Low Fare",L1676&lt;=35,"Medium Fare",L1676&lt;=100,"High Fare",L1676&gt;=100,"Very High Fare")</f>
        <v>Medium Fare</v>
      </c>
      <c r="N1676" s="2">
        <v>1</v>
      </c>
      <c r="O1676" s="2" t="s">
        <v>30</v>
      </c>
      <c r="P1676" t="e">
        <f t="shared" si="105"/>
        <v>#VALUE!</v>
      </c>
      <c r="Q1676" t="e">
        <f t="shared" si="106"/>
        <v>#VALUE!</v>
      </c>
      <c r="R1676" t="str">
        <f t="shared" si="107"/>
        <v>No</v>
      </c>
      <c r="S1676" t="s">
        <v>13</v>
      </c>
    </row>
    <row r="1677" spans="1:19" hidden="1" x14ac:dyDescent="0.3">
      <c r="A1677" s="1" t="s">
        <v>1229</v>
      </c>
      <c r="B1677" t="s">
        <v>1596</v>
      </c>
      <c r="C1677" t="s">
        <v>2911</v>
      </c>
      <c r="D1677" t="str">
        <f t="shared" si="104"/>
        <v>Male</v>
      </c>
      <c r="E1677" t="s">
        <v>9</v>
      </c>
      <c r="F1677" s="2">
        <v>25</v>
      </c>
      <c r="G1677" s="2" t="str" cm="1">
        <f t="array" ref="G1677">_xlfn.IFS(F1677&lt;=8,"Child",F1677&lt;=17,"Teen",F1677&lt;=35,"Adult",F1677&lt;=55,"Seniour Adult",F1677&gt;=55,"Old Age")</f>
        <v>Adult</v>
      </c>
      <c r="H1677" t="s">
        <v>69</v>
      </c>
      <c r="I1677" t="s">
        <v>11</v>
      </c>
      <c r="J1677" t="str" cm="1">
        <f t="array" ref="J1677">_xlfn.IFS(I1677="S","Southamptom",I1677="Q","Quentown",I1677="C","Cherbrug",I1677="B","Cabin")</f>
        <v>Southamptom</v>
      </c>
      <c r="K1677" t="s">
        <v>15</v>
      </c>
      <c r="L1677" s="2">
        <v>33</v>
      </c>
      <c r="M1677" s="2" t="str" cm="1">
        <f t="array" ref="M1677">_xlfn.IFS(L1677&lt;=15,"Low Fare",L1677&lt;=35,"Medium Fare",L1677&lt;=100,"High Fare",L1677&gt;=100,"Very High Fare")</f>
        <v>Medium Fare</v>
      </c>
      <c r="N1677" s="2">
        <v>1</v>
      </c>
      <c r="O1677" s="2" t="s">
        <v>30</v>
      </c>
      <c r="P1677" t="e">
        <f t="shared" si="105"/>
        <v>#VALUE!</v>
      </c>
      <c r="Q1677" t="e">
        <f t="shared" si="106"/>
        <v>#VALUE!</v>
      </c>
      <c r="R1677" t="str">
        <f t="shared" si="107"/>
        <v>No</v>
      </c>
      <c r="S1677" t="s">
        <v>13</v>
      </c>
    </row>
    <row r="1678" spans="1:19" hidden="1" x14ac:dyDescent="0.3">
      <c r="A1678" s="1" t="s">
        <v>1230</v>
      </c>
      <c r="B1678" t="s">
        <v>1596</v>
      </c>
      <c r="C1678" t="s">
        <v>2912</v>
      </c>
      <c r="D1678" t="str">
        <f t="shared" si="104"/>
        <v>Male</v>
      </c>
      <c r="E1678" t="s">
        <v>9</v>
      </c>
      <c r="F1678" s="2">
        <v>19</v>
      </c>
      <c r="G1678" s="2" t="str" cm="1">
        <f t="array" ref="G1678">_xlfn.IFS(F1678&lt;=8,"Child",F1678&lt;=17,"Teen",F1678&lt;=35,"Adult",F1678&lt;=55,"Seniour Adult",F1678&gt;=55,"Old Age")</f>
        <v>Adult</v>
      </c>
      <c r="H1678" t="s">
        <v>69</v>
      </c>
      <c r="I1678" t="s">
        <v>28</v>
      </c>
      <c r="J1678" t="str" cm="1">
        <f t="array" ref="J1678">_xlfn.IFS(I1678="S","Southamptom",I1678="Q","Quentown",I1678="C","Cherbrug",I1678="B","Cabin")</f>
        <v>Cabin</v>
      </c>
      <c r="K1678" t="s">
        <v>15</v>
      </c>
      <c r="L1678" s="2">
        <v>33</v>
      </c>
      <c r="M1678" s="2" t="str" cm="1">
        <f t="array" ref="M1678">_xlfn.IFS(L1678&lt;=15,"Low Fare",L1678&lt;=35,"Medium Fare",L1678&lt;=100,"High Fare",L1678&gt;=100,"Very High Fare")</f>
        <v>Medium Fare</v>
      </c>
      <c r="N1678" s="2">
        <v>1</v>
      </c>
      <c r="O1678" s="2" t="s">
        <v>30</v>
      </c>
      <c r="P1678" t="e">
        <f t="shared" si="105"/>
        <v>#VALUE!</v>
      </c>
      <c r="Q1678" t="e">
        <f t="shared" si="106"/>
        <v>#VALUE!</v>
      </c>
      <c r="R1678" t="str">
        <f t="shared" si="107"/>
        <v>No</v>
      </c>
      <c r="S1678" t="s">
        <v>13</v>
      </c>
    </row>
    <row r="1679" spans="1:19" hidden="1" x14ac:dyDescent="0.3">
      <c r="A1679" s="1" t="s">
        <v>1231</v>
      </c>
      <c r="B1679" t="s">
        <v>1596</v>
      </c>
      <c r="C1679" t="s">
        <v>2913</v>
      </c>
      <c r="D1679" t="str">
        <f t="shared" si="104"/>
        <v>Male</v>
      </c>
      <c r="E1679" t="s">
        <v>9</v>
      </c>
      <c r="F1679" s="2">
        <v>29</v>
      </c>
      <c r="G1679" s="2" t="str" cm="1">
        <f t="array" ref="G1679">_xlfn.IFS(F1679&lt;=8,"Child",F1679&lt;=17,"Teen",F1679&lt;=35,"Adult",F1679&lt;=55,"Seniour Adult",F1679&gt;=55,"Old Age")</f>
        <v>Adult</v>
      </c>
      <c r="H1679" t="s">
        <v>51</v>
      </c>
      <c r="I1679" t="s">
        <v>28</v>
      </c>
      <c r="J1679" t="str" cm="1">
        <f t="array" ref="J1679">_xlfn.IFS(I1679="S","Southamptom",I1679="Q","Quentown",I1679="C","Cherbrug",I1679="B","Cabin")</f>
        <v>Cabin</v>
      </c>
      <c r="K1679" t="s">
        <v>15</v>
      </c>
      <c r="L1679" s="2">
        <v>33</v>
      </c>
      <c r="M1679" s="2" t="str" cm="1">
        <f t="array" ref="M1679">_xlfn.IFS(L1679&lt;=15,"Low Fare",L1679&lt;=35,"Medium Fare",L1679&lt;=100,"High Fare",L1679&gt;=100,"Very High Fare")</f>
        <v>Medium Fare</v>
      </c>
      <c r="N1679" s="2">
        <v>1</v>
      </c>
      <c r="O1679" s="2" t="s">
        <v>30</v>
      </c>
      <c r="P1679" t="e">
        <f t="shared" si="105"/>
        <v>#VALUE!</v>
      </c>
      <c r="Q1679" t="e">
        <f t="shared" si="106"/>
        <v>#VALUE!</v>
      </c>
      <c r="R1679" t="str">
        <f t="shared" si="107"/>
        <v>No</v>
      </c>
      <c r="S1679" t="s">
        <v>13</v>
      </c>
    </row>
    <row r="1680" spans="1:19" hidden="1" x14ac:dyDescent="0.3">
      <c r="A1680" s="1" t="s">
        <v>433</v>
      </c>
      <c r="B1680" t="s">
        <v>1596</v>
      </c>
      <c r="C1680" t="s">
        <v>2882</v>
      </c>
      <c r="D1680" t="str">
        <f t="shared" si="104"/>
        <v>Male</v>
      </c>
      <c r="E1680" t="s">
        <v>9</v>
      </c>
      <c r="F1680" s="2">
        <v>26</v>
      </c>
      <c r="G1680" s="2" t="str" cm="1">
        <f t="array" ref="G1680">_xlfn.IFS(F1680&lt;=8,"Child",F1680&lt;=17,"Teen",F1680&lt;=35,"Adult",F1680&lt;=55,"Seniour Adult",F1680&gt;=55,"Old Age")</f>
        <v>Adult</v>
      </c>
      <c r="H1680" t="s">
        <v>51</v>
      </c>
      <c r="I1680" t="s">
        <v>11</v>
      </c>
      <c r="J1680" t="str" cm="1">
        <f t="array" ref="J1680">_xlfn.IFS(I1680="S","Southamptom",I1680="Q","Quentown",I1680="C","Cherbrug",I1680="B","Cabin")</f>
        <v>Southamptom</v>
      </c>
      <c r="K1680" t="s">
        <v>15</v>
      </c>
      <c r="L1680" s="2">
        <v>33</v>
      </c>
      <c r="M1680" s="2" t="str" cm="1">
        <f t="array" ref="M1680">_xlfn.IFS(L1680&lt;=15,"Low Fare",L1680&lt;=35,"Medium Fare",L1680&lt;=100,"High Fare",L1680&gt;=100,"Very High Fare")</f>
        <v>Medium Fare</v>
      </c>
      <c r="N1680" s="2">
        <v>1</v>
      </c>
      <c r="O1680" s="2" t="s">
        <v>30</v>
      </c>
      <c r="P1680" t="e">
        <f t="shared" si="105"/>
        <v>#VALUE!</v>
      </c>
      <c r="Q1680" t="e">
        <f t="shared" si="106"/>
        <v>#VALUE!</v>
      </c>
      <c r="R1680" t="str">
        <f t="shared" si="107"/>
        <v>No</v>
      </c>
      <c r="S1680" t="s">
        <v>13</v>
      </c>
    </row>
    <row r="1681" spans="1:19" hidden="1" x14ac:dyDescent="0.3">
      <c r="A1681" s="1" t="s">
        <v>1232</v>
      </c>
      <c r="B1681" t="s">
        <v>1596</v>
      </c>
      <c r="C1681" t="s">
        <v>2914</v>
      </c>
      <c r="D1681" t="str">
        <f t="shared" si="104"/>
        <v>Male</v>
      </c>
      <c r="E1681" t="s">
        <v>9</v>
      </c>
      <c r="F1681" s="2">
        <v>46</v>
      </c>
      <c r="G1681" s="2" t="str" cm="1">
        <f t="array" ref="G1681">_xlfn.IFS(F1681&lt;=8,"Child",F1681&lt;=17,"Teen",F1681&lt;=35,"Adult",F1681&lt;=55,"Seniour Adult",F1681&gt;=55,"Old Age")</f>
        <v>Seniour Adult</v>
      </c>
      <c r="H1681" t="s">
        <v>51</v>
      </c>
      <c r="I1681" t="s">
        <v>28</v>
      </c>
      <c r="J1681" t="str" cm="1">
        <f t="array" ref="J1681">_xlfn.IFS(I1681="S","Southamptom",I1681="Q","Quentown",I1681="C","Cherbrug",I1681="B","Cabin")</f>
        <v>Cabin</v>
      </c>
      <c r="K1681" t="s">
        <v>15</v>
      </c>
      <c r="L1681" s="2">
        <v>33</v>
      </c>
      <c r="M1681" s="2" t="str" cm="1">
        <f t="array" ref="M1681">_xlfn.IFS(L1681&lt;=15,"Low Fare",L1681&lt;=35,"Medium Fare",L1681&lt;=100,"High Fare",L1681&gt;=100,"Very High Fare")</f>
        <v>Medium Fare</v>
      </c>
      <c r="N1681" s="2">
        <v>1</v>
      </c>
      <c r="O1681" s="2" t="s">
        <v>30</v>
      </c>
      <c r="P1681" t="e">
        <f t="shared" si="105"/>
        <v>#VALUE!</v>
      </c>
      <c r="Q1681" t="e">
        <f t="shared" si="106"/>
        <v>#VALUE!</v>
      </c>
      <c r="R1681" t="str">
        <f t="shared" si="107"/>
        <v>No</v>
      </c>
      <c r="S1681" t="s">
        <v>13</v>
      </c>
    </row>
    <row r="1682" spans="1:19" hidden="1" x14ac:dyDescent="0.3">
      <c r="A1682" s="1" t="s">
        <v>1233</v>
      </c>
      <c r="B1682" t="s">
        <v>1596</v>
      </c>
      <c r="C1682" t="s">
        <v>2661</v>
      </c>
      <c r="D1682" t="str">
        <f t="shared" si="104"/>
        <v>Male</v>
      </c>
      <c r="E1682" t="s">
        <v>9</v>
      </c>
      <c r="F1682" s="2">
        <v>43</v>
      </c>
      <c r="G1682" s="2" t="str" cm="1">
        <f t="array" ref="G1682">_xlfn.IFS(F1682&lt;=8,"Child",F1682&lt;=17,"Teen",F1682&lt;=35,"Adult",F1682&lt;=55,"Seniour Adult",F1682&gt;=55,"Old Age")</f>
        <v>Seniour Adult</v>
      </c>
      <c r="H1682" t="s">
        <v>69</v>
      </c>
      <c r="I1682" t="s">
        <v>11</v>
      </c>
      <c r="J1682" t="str" cm="1">
        <f t="array" ref="J1682">_xlfn.IFS(I1682="S","Southamptom",I1682="Q","Quentown",I1682="C","Cherbrug",I1682="B","Cabin")</f>
        <v>Southamptom</v>
      </c>
      <c r="K1682" t="s">
        <v>15</v>
      </c>
      <c r="L1682" s="2">
        <v>33</v>
      </c>
      <c r="M1682" s="2" t="str" cm="1">
        <f t="array" ref="M1682">_xlfn.IFS(L1682&lt;=15,"Low Fare",L1682&lt;=35,"Medium Fare",L1682&lt;=100,"High Fare",L1682&gt;=100,"Very High Fare")</f>
        <v>Medium Fare</v>
      </c>
      <c r="N1682" s="2">
        <v>1</v>
      </c>
      <c r="O1682" s="2" t="s">
        <v>30</v>
      </c>
      <c r="P1682" t="e">
        <f t="shared" si="105"/>
        <v>#VALUE!</v>
      </c>
      <c r="Q1682" t="e">
        <f t="shared" si="106"/>
        <v>#VALUE!</v>
      </c>
      <c r="R1682" t="str">
        <f t="shared" si="107"/>
        <v>No</v>
      </c>
      <c r="S1682" t="s">
        <v>13</v>
      </c>
    </row>
    <row r="1683" spans="1:19" hidden="1" x14ac:dyDescent="0.3">
      <c r="A1683" s="1" t="s">
        <v>1233</v>
      </c>
      <c r="B1683" t="s">
        <v>1596</v>
      </c>
      <c r="C1683" t="s">
        <v>2751</v>
      </c>
      <c r="D1683" t="str">
        <f t="shared" si="104"/>
        <v>Male</v>
      </c>
      <c r="E1683" t="s">
        <v>9</v>
      </c>
      <c r="F1683" s="2">
        <v>29</v>
      </c>
      <c r="G1683" s="2" t="str" cm="1">
        <f t="array" ref="G1683">_xlfn.IFS(F1683&lt;=8,"Child",F1683&lt;=17,"Teen",F1683&lt;=35,"Adult",F1683&lt;=55,"Seniour Adult",F1683&gt;=55,"Old Age")</f>
        <v>Adult</v>
      </c>
      <c r="H1683" t="s">
        <v>71</v>
      </c>
      <c r="I1683" t="s">
        <v>28</v>
      </c>
      <c r="J1683" t="str" cm="1">
        <f t="array" ref="J1683">_xlfn.IFS(I1683="S","Southamptom",I1683="Q","Quentown",I1683="C","Cherbrug",I1683="B","Cabin")</f>
        <v>Cabin</v>
      </c>
      <c r="K1683" t="s">
        <v>15</v>
      </c>
      <c r="L1683" s="2">
        <v>33</v>
      </c>
      <c r="M1683" s="2" t="str" cm="1">
        <f t="array" ref="M1683">_xlfn.IFS(L1683&lt;=15,"Low Fare",L1683&lt;=35,"Medium Fare",L1683&lt;=100,"High Fare",L1683&gt;=100,"Very High Fare")</f>
        <v>Medium Fare</v>
      </c>
      <c r="N1683" s="2">
        <v>1</v>
      </c>
      <c r="O1683" s="2" t="s">
        <v>30</v>
      </c>
      <c r="P1683" t="e">
        <f t="shared" si="105"/>
        <v>#VALUE!</v>
      </c>
      <c r="Q1683" t="e">
        <f t="shared" si="106"/>
        <v>#VALUE!</v>
      </c>
      <c r="R1683" t="str">
        <f t="shared" si="107"/>
        <v>Yes</v>
      </c>
      <c r="S1683" t="s">
        <v>16</v>
      </c>
    </row>
    <row r="1684" spans="1:19" hidden="1" x14ac:dyDescent="0.3">
      <c r="A1684" s="1" t="s">
        <v>1234</v>
      </c>
      <c r="B1684" t="s">
        <v>1596</v>
      </c>
      <c r="C1684" t="s">
        <v>2784</v>
      </c>
      <c r="D1684" t="str">
        <f t="shared" si="104"/>
        <v>Male</v>
      </c>
      <c r="E1684" t="s">
        <v>9</v>
      </c>
      <c r="F1684" s="2">
        <v>22</v>
      </c>
      <c r="G1684" s="2" t="str" cm="1">
        <f t="array" ref="G1684">_xlfn.IFS(F1684&lt;=8,"Child",F1684&lt;=17,"Teen",F1684&lt;=35,"Adult",F1684&lt;=55,"Seniour Adult",F1684&gt;=55,"Old Age")</f>
        <v>Adult</v>
      </c>
      <c r="H1684" t="s">
        <v>69</v>
      </c>
      <c r="I1684" t="s">
        <v>11</v>
      </c>
      <c r="J1684" t="str" cm="1">
        <f t="array" ref="J1684">_xlfn.IFS(I1684="S","Southamptom",I1684="Q","Quentown",I1684="C","Cherbrug",I1684="B","Cabin")</f>
        <v>Southamptom</v>
      </c>
      <c r="K1684" t="s">
        <v>15</v>
      </c>
      <c r="L1684" s="2">
        <v>33</v>
      </c>
      <c r="M1684" s="2" t="str" cm="1">
        <f t="array" ref="M1684">_xlfn.IFS(L1684&lt;=15,"Low Fare",L1684&lt;=35,"Medium Fare",L1684&lt;=100,"High Fare",L1684&gt;=100,"Very High Fare")</f>
        <v>Medium Fare</v>
      </c>
      <c r="N1684" s="2">
        <v>1</v>
      </c>
      <c r="O1684" s="2" t="s">
        <v>30</v>
      </c>
      <c r="P1684" t="e">
        <f t="shared" si="105"/>
        <v>#VALUE!</v>
      </c>
      <c r="Q1684" t="e">
        <f t="shared" si="106"/>
        <v>#VALUE!</v>
      </c>
      <c r="R1684" t="str">
        <f t="shared" si="107"/>
        <v>No</v>
      </c>
      <c r="S1684" t="s">
        <v>13</v>
      </c>
    </row>
    <row r="1685" spans="1:19" hidden="1" x14ac:dyDescent="0.3">
      <c r="A1685" s="1" t="s">
        <v>1235</v>
      </c>
      <c r="B1685" t="s">
        <v>1596</v>
      </c>
      <c r="C1685" t="s">
        <v>1645</v>
      </c>
      <c r="D1685" t="str">
        <f t="shared" si="104"/>
        <v>Male</v>
      </c>
      <c r="E1685" t="s">
        <v>9</v>
      </c>
      <c r="F1685" s="2">
        <v>28</v>
      </c>
      <c r="G1685" s="2" t="str" cm="1">
        <f t="array" ref="G1685">_xlfn.IFS(F1685&lt;=8,"Child",F1685&lt;=17,"Teen",F1685&lt;=35,"Adult",F1685&lt;=55,"Seniour Adult",F1685&gt;=55,"Old Age")</f>
        <v>Adult</v>
      </c>
      <c r="H1685" t="s">
        <v>69</v>
      </c>
      <c r="I1685" t="s">
        <v>28</v>
      </c>
      <c r="J1685" t="str" cm="1">
        <f t="array" ref="J1685">_xlfn.IFS(I1685="S","Southamptom",I1685="Q","Quentown",I1685="C","Cherbrug",I1685="B","Cabin")</f>
        <v>Cabin</v>
      </c>
      <c r="K1685" t="s">
        <v>15</v>
      </c>
      <c r="L1685" s="2">
        <v>33</v>
      </c>
      <c r="M1685" s="2" t="str" cm="1">
        <f t="array" ref="M1685">_xlfn.IFS(L1685&lt;=15,"Low Fare",L1685&lt;=35,"Medium Fare",L1685&lt;=100,"High Fare",L1685&gt;=100,"Very High Fare")</f>
        <v>Medium Fare</v>
      </c>
      <c r="N1685" s="2">
        <v>1</v>
      </c>
      <c r="O1685" s="2" t="s">
        <v>30</v>
      </c>
      <c r="P1685" t="e">
        <f t="shared" si="105"/>
        <v>#VALUE!</v>
      </c>
      <c r="Q1685" t="e">
        <f t="shared" si="106"/>
        <v>#VALUE!</v>
      </c>
      <c r="R1685" t="str">
        <f t="shared" si="107"/>
        <v>No</v>
      </c>
      <c r="S1685" t="s">
        <v>13</v>
      </c>
    </row>
    <row r="1686" spans="1:19" hidden="1" x14ac:dyDescent="0.3">
      <c r="A1686" s="1" t="s">
        <v>1236</v>
      </c>
      <c r="B1686" t="s">
        <v>1596</v>
      </c>
      <c r="C1686" t="s">
        <v>2915</v>
      </c>
      <c r="D1686" t="str">
        <f t="shared" si="104"/>
        <v>Male</v>
      </c>
      <c r="E1686" t="s">
        <v>9</v>
      </c>
      <c r="F1686" s="2">
        <v>24</v>
      </c>
      <c r="G1686" s="2" t="str" cm="1">
        <f t="array" ref="G1686">_xlfn.IFS(F1686&lt;=8,"Child",F1686&lt;=17,"Teen",F1686&lt;=35,"Adult",F1686&lt;=55,"Seniour Adult",F1686&gt;=55,"Old Age")</f>
        <v>Adult</v>
      </c>
      <c r="H1686" t="s">
        <v>69</v>
      </c>
      <c r="I1686" t="s">
        <v>11</v>
      </c>
      <c r="J1686" t="str" cm="1">
        <f t="array" ref="J1686">_xlfn.IFS(I1686="S","Southamptom",I1686="Q","Quentown",I1686="C","Cherbrug",I1686="B","Cabin")</f>
        <v>Southamptom</v>
      </c>
      <c r="K1686" t="s">
        <v>15</v>
      </c>
      <c r="L1686" s="2">
        <v>33</v>
      </c>
      <c r="M1686" s="2" t="str" cm="1">
        <f t="array" ref="M1686">_xlfn.IFS(L1686&lt;=15,"Low Fare",L1686&lt;=35,"Medium Fare",L1686&lt;=100,"High Fare",L1686&gt;=100,"Very High Fare")</f>
        <v>Medium Fare</v>
      </c>
      <c r="N1686" s="2">
        <v>1</v>
      </c>
      <c r="O1686" s="2" t="s">
        <v>30</v>
      </c>
      <c r="P1686" t="e">
        <f t="shared" si="105"/>
        <v>#VALUE!</v>
      </c>
      <c r="Q1686" t="e">
        <f t="shared" si="106"/>
        <v>#VALUE!</v>
      </c>
      <c r="R1686" t="str">
        <f t="shared" si="107"/>
        <v>No</v>
      </c>
      <c r="S1686" t="s">
        <v>13</v>
      </c>
    </row>
    <row r="1687" spans="1:19" hidden="1" x14ac:dyDescent="0.3">
      <c r="A1687" s="1" t="s">
        <v>1237</v>
      </c>
      <c r="B1687" t="s">
        <v>1596</v>
      </c>
      <c r="C1687" t="s">
        <v>1630</v>
      </c>
      <c r="D1687" t="str">
        <f t="shared" si="104"/>
        <v>Male</v>
      </c>
      <c r="E1687" t="s">
        <v>9</v>
      </c>
      <c r="F1687" s="2">
        <v>29</v>
      </c>
      <c r="G1687" s="2" t="str" cm="1">
        <f t="array" ref="G1687">_xlfn.IFS(F1687&lt;=8,"Child",F1687&lt;=17,"Teen",F1687&lt;=35,"Adult",F1687&lt;=55,"Seniour Adult",F1687&gt;=55,"Old Age")</f>
        <v>Adult</v>
      </c>
      <c r="H1687" t="s">
        <v>71</v>
      </c>
      <c r="I1687" t="s">
        <v>28</v>
      </c>
      <c r="J1687" t="str" cm="1">
        <f t="array" ref="J1687">_xlfn.IFS(I1687="S","Southamptom",I1687="Q","Quentown",I1687="C","Cherbrug",I1687="B","Cabin")</f>
        <v>Cabin</v>
      </c>
      <c r="K1687" t="s">
        <v>15</v>
      </c>
      <c r="L1687" s="2">
        <v>33</v>
      </c>
      <c r="M1687" s="2" t="str" cm="1">
        <f t="array" ref="M1687">_xlfn.IFS(L1687&lt;=15,"Low Fare",L1687&lt;=35,"Medium Fare",L1687&lt;=100,"High Fare",L1687&gt;=100,"Very High Fare")</f>
        <v>Medium Fare</v>
      </c>
      <c r="N1687" s="2">
        <v>1</v>
      </c>
      <c r="O1687" s="2" t="s">
        <v>30</v>
      </c>
      <c r="P1687" t="e">
        <f t="shared" si="105"/>
        <v>#VALUE!</v>
      </c>
      <c r="Q1687" t="e">
        <f t="shared" si="106"/>
        <v>#VALUE!</v>
      </c>
      <c r="R1687" t="str">
        <f t="shared" si="107"/>
        <v>No</v>
      </c>
      <c r="S1687" t="s">
        <v>13</v>
      </c>
    </row>
    <row r="1688" spans="1:19" hidden="1" x14ac:dyDescent="0.3">
      <c r="A1688" s="1" t="s">
        <v>1238</v>
      </c>
      <c r="B1688" t="s">
        <v>1596</v>
      </c>
      <c r="C1688" t="s">
        <v>2916</v>
      </c>
      <c r="D1688" t="str">
        <f t="shared" si="104"/>
        <v>Male</v>
      </c>
      <c r="E1688" t="s">
        <v>9</v>
      </c>
      <c r="F1688" s="2">
        <v>29</v>
      </c>
      <c r="G1688" s="2" t="str" cm="1">
        <f t="array" ref="G1688">_xlfn.IFS(F1688&lt;=8,"Child",F1688&lt;=17,"Teen",F1688&lt;=35,"Adult",F1688&lt;=55,"Seniour Adult",F1688&gt;=55,"Old Age")</f>
        <v>Adult</v>
      </c>
      <c r="H1688" t="s">
        <v>51</v>
      </c>
      <c r="I1688" t="s">
        <v>11</v>
      </c>
      <c r="J1688" t="str" cm="1">
        <f t="array" ref="J1688">_xlfn.IFS(I1688="S","Southamptom",I1688="Q","Quentown",I1688="C","Cherbrug",I1688="B","Cabin")</f>
        <v>Southamptom</v>
      </c>
      <c r="K1688" t="s">
        <v>15</v>
      </c>
      <c r="L1688" s="2">
        <v>33</v>
      </c>
      <c r="M1688" s="2" t="str" cm="1">
        <f t="array" ref="M1688">_xlfn.IFS(L1688&lt;=15,"Low Fare",L1688&lt;=35,"Medium Fare",L1688&lt;=100,"High Fare",L1688&gt;=100,"Very High Fare")</f>
        <v>Medium Fare</v>
      </c>
      <c r="N1688" s="2">
        <v>1</v>
      </c>
      <c r="O1688" s="2" t="s">
        <v>30</v>
      </c>
      <c r="P1688" t="e">
        <f t="shared" si="105"/>
        <v>#VALUE!</v>
      </c>
      <c r="Q1688" t="e">
        <f t="shared" si="106"/>
        <v>#VALUE!</v>
      </c>
      <c r="R1688" t="str">
        <f t="shared" si="107"/>
        <v>No</v>
      </c>
      <c r="S1688" t="s">
        <v>13</v>
      </c>
    </row>
    <row r="1689" spans="1:19" hidden="1" x14ac:dyDescent="0.3">
      <c r="A1689" s="1" t="s">
        <v>1239</v>
      </c>
      <c r="B1689" t="s">
        <v>1596</v>
      </c>
      <c r="C1689" t="s">
        <v>2428</v>
      </c>
      <c r="D1689" t="str">
        <f t="shared" si="104"/>
        <v>Male</v>
      </c>
      <c r="E1689" t="s">
        <v>9</v>
      </c>
      <c r="F1689" s="2">
        <v>15</v>
      </c>
      <c r="G1689" s="2" t="str" cm="1">
        <f t="array" ref="G1689">_xlfn.IFS(F1689&lt;=8,"Child",F1689&lt;=17,"Teen",F1689&lt;=35,"Adult",F1689&lt;=55,"Seniour Adult",F1689&gt;=55,"Old Age")</f>
        <v>Teen</v>
      </c>
      <c r="H1689" t="s">
        <v>69</v>
      </c>
      <c r="I1689" t="s">
        <v>11</v>
      </c>
      <c r="J1689" t="str" cm="1">
        <f t="array" ref="J1689">_xlfn.IFS(I1689="S","Southamptom",I1689="Q","Quentown",I1689="C","Cherbrug",I1689="B","Cabin")</f>
        <v>Southamptom</v>
      </c>
      <c r="K1689" t="s">
        <v>15</v>
      </c>
      <c r="L1689" s="2">
        <v>33</v>
      </c>
      <c r="M1689" s="2" t="str" cm="1">
        <f t="array" ref="M1689">_xlfn.IFS(L1689&lt;=15,"Low Fare",L1689&lt;=35,"Medium Fare",L1689&lt;=100,"High Fare",L1689&gt;=100,"Very High Fare")</f>
        <v>Medium Fare</v>
      </c>
      <c r="N1689" s="2">
        <v>1</v>
      </c>
      <c r="O1689" s="2" t="s">
        <v>30</v>
      </c>
      <c r="P1689" t="e">
        <f t="shared" si="105"/>
        <v>#VALUE!</v>
      </c>
      <c r="Q1689" t="e">
        <f t="shared" si="106"/>
        <v>#VALUE!</v>
      </c>
      <c r="R1689" t="str">
        <f t="shared" si="107"/>
        <v>No</v>
      </c>
      <c r="S1689" t="s">
        <v>13</v>
      </c>
    </row>
    <row r="1690" spans="1:19" hidden="1" x14ac:dyDescent="0.3">
      <c r="A1690" s="1" t="s">
        <v>1239</v>
      </c>
      <c r="B1690" t="s">
        <v>1596</v>
      </c>
      <c r="C1690" t="s">
        <v>2716</v>
      </c>
      <c r="D1690" t="str">
        <f t="shared" si="104"/>
        <v>Male</v>
      </c>
      <c r="E1690" t="s">
        <v>9</v>
      </c>
      <c r="F1690" s="2">
        <v>40</v>
      </c>
      <c r="G1690" s="2" t="str" cm="1">
        <f t="array" ref="G1690">_xlfn.IFS(F1690&lt;=8,"Child",F1690&lt;=17,"Teen",F1690&lt;=35,"Adult",F1690&lt;=55,"Seniour Adult",F1690&gt;=55,"Old Age")</f>
        <v>Seniour Adult</v>
      </c>
      <c r="H1690" t="s">
        <v>71</v>
      </c>
      <c r="I1690" t="s">
        <v>11</v>
      </c>
      <c r="J1690" t="str" cm="1">
        <f t="array" ref="J1690">_xlfn.IFS(I1690="S","Southamptom",I1690="Q","Quentown",I1690="C","Cherbrug",I1690="B","Cabin")</f>
        <v>Southamptom</v>
      </c>
      <c r="K1690" t="s">
        <v>15</v>
      </c>
      <c r="L1690" s="2">
        <v>33</v>
      </c>
      <c r="M1690" s="2" t="str" cm="1">
        <f t="array" ref="M1690">_xlfn.IFS(L1690&lt;=15,"Low Fare",L1690&lt;=35,"Medium Fare",L1690&lt;=100,"High Fare",L1690&gt;=100,"Very High Fare")</f>
        <v>Medium Fare</v>
      </c>
      <c r="N1690" s="2">
        <v>1</v>
      </c>
      <c r="O1690" s="2" t="s">
        <v>30</v>
      </c>
      <c r="P1690" t="e">
        <f t="shared" si="105"/>
        <v>#VALUE!</v>
      </c>
      <c r="Q1690" t="e">
        <f t="shared" si="106"/>
        <v>#VALUE!</v>
      </c>
      <c r="R1690" t="str">
        <f t="shared" si="107"/>
        <v>Yes</v>
      </c>
      <c r="S1690" t="s">
        <v>16</v>
      </c>
    </row>
    <row r="1691" spans="1:19" hidden="1" x14ac:dyDescent="0.3">
      <c r="A1691" s="1" t="s">
        <v>1240</v>
      </c>
      <c r="B1691" t="s">
        <v>1596</v>
      </c>
      <c r="C1691" t="s">
        <v>2917</v>
      </c>
      <c r="D1691" t="str">
        <f t="shared" si="104"/>
        <v>Male</v>
      </c>
      <c r="E1691" t="s">
        <v>9</v>
      </c>
      <c r="F1691" s="2">
        <v>33</v>
      </c>
      <c r="G1691" s="2" t="str" cm="1">
        <f t="array" ref="G1691">_xlfn.IFS(F1691&lt;=8,"Child",F1691&lt;=17,"Teen",F1691&lt;=35,"Adult",F1691&lt;=55,"Seniour Adult",F1691&gt;=55,"Old Age")</f>
        <v>Adult</v>
      </c>
      <c r="H1691" t="s">
        <v>71</v>
      </c>
      <c r="I1691" t="s">
        <v>11</v>
      </c>
      <c r="J1691" t="str" cm="1">
        <f t="array" ref="J1691">_xlfn.IFS(I1691="S","Southamptom",I1691="Q","Quentown",I1691="C","Cherbrug",I1691="B","Cabin")</f>
        <v>Southamptom</v>
      </c>
      <c r="K1691" t="s">
        <v>15</v>
      </c>
      <c r="L1691" s="2">
        <v>33</v>
      </c>
      <c r="M1691" s="2" t="str" cm="1">
        <f t="array" ref="M1691">_xlfn.IFS(L1691&lt;=15,"Low Fare",L1691&lt;=35,"Medium Fare",L1691&lt;=100,"High Fare",L1691&gt;=100,"Very High Fare")</f>
        <v>Medium Fare</v>
      </c>
      <c r="N1691" s="2">
        <v>1</v>
      </c>
      <c r="O1691" s="2" t="s">
        <v>30</v>
      </c>
      <c r="P1691" t="e">
        <f t="shared" si="105"/>
        <v>#VALUE!</v>
      </c>
      <c r="Q1691" t="e">
        <f t="shared" si="106"/>
        <v>#VALUE!</v>
      </c>
      <c r="R1691" t="str">
        <f t="shared" si="107"/>
        <v>Yes</v>
      </c>
      <c r="S1691" t="s">
        <v>16</v>
      </c>
    </row>
    <row r="1692" spans="1:19" hidden="1" x14ac:dyDescent="0.3">
      <c r="A1692" s="1" t="s">
        <v>1241</v>
      </c>
      <c r="B1692" t="s">
        <v>1596</v>
      </c>
      <c r="C1692" t="s">
        <v>2567</v>
      </c>
      <c r="D1692" t="str">
        <f t="shared" si="104"/>
        <v>Male</v>
      </c>
      <c r="E1692" t="s">
        <v>9</v>
      </c>
      <c r="F1692" s="2">
        <v>23</v>
      </c>
      <c r="G1692" s="2" t="str" cm="1">
        <f t="array" ref="G1692">_xlfn.IFS(F1692&lt;=8,"Child",F1692&lt;=17,"Teen",F1692&lt;=35,"Adult",F1692&lt;=55,"Seniour Adult",F1692&gt;=55,"Old Age")</f>
        <v>Adult</v>
      </c>
      <c r="H1692" t="s">
        <v>51</v>
      </c>
      <c r="I1692" t="s">
        <v>11</v>
      </c>
      <c r="J1692" t="str" cm="1">
        <f t="array" ref="J1692">_xlfn.IFS(I1692="S","Southamptom",I1692="Q","Quentown",I1692="C","Cherbrug",I1692="B","Cabin")</f>
        <v>Southamptom</v>
      </c>
      <c r="K1692" t="s">
        <v>15</v>
      </c>
      <c r="L1692" s="2">
        <v>33</v>
      </c>
      <c r="M1692" s="2" t="str" cm="1">
        <f t="array" ref="M1692">_xlfn.IFS(L1692&lt;=15,"Low Fare",L1692&lt;=35,"Medium Fare",L1692&lt;=100,"High Fare",L1692&gt;=100,"Very High Fare")</f>
        <v>Medium Fare</v>
      </c>
      <c r="N1692" s="2">
        <v>1</v>
      </c>
      <c r="O1692" s="2" t="s">
        <v>30</v>
      </c>
      <c r="P1692" t="e">
        <f t="shared" si="105"/>
        <v>#VALUE!</v>
      </c>
      <c r="Q1692" t="e">
        <f t="shared" si="106"/>
        <v>#VALUE!</v>
      </c>
      <c r="R1692" t="str">
        <f t="shared" si="107"/>
        <v>No</v>
      </c>
      <c r="S1692" t="s">
        <v>13</v>
      </c>
    </row>
    <row r="1693" spans="1:19" hidden="1" x14ac:dyDescent="0.3">
      <c r="A1693" s="1" t="s">
        <v>1242</v>
      </c>
      <c r="B1693" t="s">
        <v>1596</v>
      </c>
      <c r="C1693" t="s">
        <v>2918</v>
      </c>
      <c r="D1693" t="str">
        <f t="shared" si="104"/>
        <v>Male</v>
      </c>
      <c r="E1693" t="s">
        <v>9</v>
      </c>
      <c r="F1693" s="2">
        <v>36</v>
      </c>
      <c r="G1693" s="2" t="str" cm="1">
        <f t="array" ref="G1693">_xlfn.IFS(F1693&lt;=8,"Child",F1693&lt;=17,"Teen",F1693&lt;=35,"Adult",F1693&lt;=55,"Seniour Adult",F1693&gt;=55,"Old Age")</f>
        <v>Seniour Adult</v>
      </c>
      <c r="H1693" t="s">
        <v>51</v>
      </c>
      <c r="I1693" t="s">
        <v>28</v>
      </c>
      <c r="J1693" t="str" cm="1">
        <f t="array" ref="J1693">_xlfn.IFS(I1693="S","Southamptom",I1693="Q","Quentown",I1693="C","Cherbrug",I1693="B","Cabin")</f>
        <v>Cabin</v>
      </c>
      <c r="K1693" t="s">
        <v>15</v>
      </c>
      <c r="L1693" s="2">
        <v>33</v>
      </c>
      <c r="M1693" s="2" t="str" cm="1">
        <f t="array" ref="M1693">_xlfn.IFS(L1693&lt;=15,"Low Fare",L1693&lt;=35,"Medium Fare",L1693&lt;=100,"High Fare",L1693&gt;=100,"Very High Fare")</f>
        <v>Medium Fare</v>
      </c>
      <c r="N1693" s="2">
        <v>1</v>
      </c>
      <c r="O1693" s="2" t="s">
        <v>30</v>
      </c>
      <c r="P1693" t="e">
        <f t="shared" si="105"/>
        <v>#VALUE!</v>
      </c>
      <c r="Q1693" t="e">
        <f t="shared" si="106"/>
        <v>#VALUE!</v>
      </c>
      <c r="R1693" t="str">
        <f t="shared" si="107"/>
        <v>No</v>
      </c>
      <c r="S1693" t="s">
        <v>13</v>
      </c>
    </row>
    <row r="1694" spans="1:19" hidden="1" x14ac:dyDescent="0.3">
      <c r="A1694" s="1" t="s">
        <v>1243</v>
      </c>
      <c r="B1694" t="s">
        <v>1596</v>
      </c>
      <c r="C1694" t="s">
        <v>1716</v>
      </c>
      <c r="D1694" t="str">
        <f t="shared" si="104"/>
        <v>Male</v>
      </c>
      <c r="E1694" t="s">
        <v>9</v>
      </c>
      <c r="F1694" s="2">
        <v>38</v>
      </c>
      <c r="G1694" s="2" t="str" cm="1">
        <f t="array" ref="G1694">_xlfn.IFS(F1694&lt;=8,"Child",F1694&lt;=17,"Teen",F1694&lt;=35,"Adult",F1694&lt;=55,"Seniour Adult",F1694&gt;=55,"Old Age")</f>
        <v>Seniour Adult</v>
      </c>
      <c r="H1694" t="s">
        <v>69</v>
      </c>
      <c r="I1694" t="s">
        <v>28</v>
      </c>
      <c r="J1694" t="str" cm="1">
        <f t="array" ref="J1694">_xlfn.IFS(I1694="S","Southamptom",I1694="Q","Quentown",I1694="C","Cherbrug",I1694="B","Cabin")</f>
        <v>Cabin</v>
      </c>
      <c r="K1694" t="s">
        <v>15</v>
      </c>
      <c r="L1694" s="2">
        <v>33</v>
      </c>
      <c r="M1694" s="2" t="str" cm="1">
        <f t="array" ref="M1694">_xlfn.IFS(L1694&lt;=15,"Low Fare",L1694&lt;=35,"Medium Fare",L1694&lt;=100,"High Fare",L1694&gt;=100,"Very High Fare")</f>
        <v>Medium Fare</v>
      </c>
      <c r="N1694" s="2">
        <v>1</v>
      </c>
      <c r="O1694" s="2" t="s">
        <v>30</v>
      </c>
      <c r="P1694" t="e">
        <f t="shared" si="105"/>
        <v>#VALUE!</v>
      </c>
      <c r="Q1694" t="e">
        <f t="shared" si="106"/>
        <v>#VALUE!</v>
      </c>
      <c r="R1694" t="str">
        <f t="shared" si="107"/>
        <v>No</v>
      </c>
      <c r="S1694" t="s">
        <v>13</v>
      </c>
    </row>
    <row r="1695" spans="1:19" hidden="1" x14ac:dyDescent="0.3">
      <c r="A1695" s="1" t="s">
        <v>1244</v>
      </c>
      <c r="B1695" t="s">
        <v>1596</v>
      </c>
      <c r="C1695" t="s">
        <v>2919</v>
      </c>
      <c r="D1695" t="str">
        <f t="shared" si="104"/>
        <v>Male</v>
      </c>
      <c r="E1695" t="s">
        <v>9</v>
      </c>
      <c r="F1695" s="2">
        <v>31</v>
      </c>
      <c r="G1695" s="2" t="str" cm="1">
        <f t="array" ref="G1695">_xlfn.IFS(F1695&lt;=8,"Child",F1695&lt;=17,"Teen",F1695&lt;=35,"Adult",F1695&lt;=55,"Seniour Adult",F1695&gt;=55,"Old Age")</f>
        <v>Adult</v>
      </c>
      <c r="H1695" t="s">
        <v>69</v>
      </c>
      <c r="I1695" t="s">
        <v>28</v>
      </c>
      <c r="J1695" t="str" cm="1">
        <f t="array" ref="J1695">_xlfn.IFS(I1695="S","Southamptom",I1695="Q","Quentown",I1695="C","Cherbrug",I1695="B","Cabin")</f>
        <v>Cabin</v>
      </c>
      <c r="K1695" t="s">
        <v>15</v>
      </c>
      <c r="L1695" s="2">
        <v>33</v>
      </c>
      <c r="M1695" s="2" t="str" cm="1">
        <f t="array" ref="M1695">_xlfn.IFS(L1695&lt;=15,"Low Fare",L1695&lt;=35,"Medium Fare",L1695&lt;=100,"High Fare",L1695&gt;=100,"Very High Fare")</f>
        <v>Medium Fare</v>
      </c>
      <c r="N1695" s="2">
        <v>1</v>
      </c>
      <c r="O1695" s="2" t="s">
        <v>30</v>
      </c>
      <c r="P1695" t="e">
        <f t="shared" si="105"/>
        <v>#VALUE!</v>
      </c>
      <c r="Q1695" t="e">
        <f t="shared" si="106"/>
        <v>#VALUE!</v>
      </c>
      <c r="R1695" t="str">
        <f t="shared" si="107"/>
        <v>No</v>
      </c>
      <c r="S1695" t="s">
        <v>13</v>
      </c>
    </row>
    <row r="1696" spans="1:19" hidden="1" x14ac:dyDescent="0.3">
      <c r="A1696" s="1" t="s">
        <v>1245</v>
      </c>
      <c r="B1696" t="s">
        <v>1596</v>
      </c>
      <c r="C1696" t="s">
        <v>1704</v>
      </c>
      <c r="D1696" t="str">
        <f t="shared" si="104"/>
        <v>Male</v>
      </c>
      <c r="E1696" t="s">
        <v>9</v>
      </c>
      <c r="F1696" s="2">
        <v>34</v>
      </c>
      <c r="G1696" s="2" t="str" cm="1">
        <f t="array" ref="G1696">_xlfn.IFS(F1696&lt;=8,"Child",F1696&lt;=17,"Teen",F1696&lt;=35,"Adult",F1696&lt;=55,"Seniour Adult",F1696&gt;=55,"Old Age")</f>
        <v>Adult</v>
      </c>
      <c r="H1696" t="s">
        <v>69</v>
      </c>
      <c r="I1696" t="s">
        <v>11</v>
      </c>
      <c r="J1696" t="str" cm="1">
        <f t="array" ref="J1696">_xlfn.IFS(I1696="S","Southamptom",I1696="Q","Quentown",I1696="C","Cherbrug",I1696="B","Cabin")</f>
        <v>Southamptom</v>
      </c>
      <c r="K1696" t="s">
        <v>15</v>
      </c>
      <c r="L1696" s="2">
        <v>33</v>
      </c>
      <c r="M1696" s="2" t="str" cm="1">
        <f t="array" ref="M1696">_xlfn.IFS(L1696&lt;=15,"Low Fare",L1696&lt;=35,"Medium Fare",L1696&lt;=100,"High Fare",L1696&gt;=100,"Very High Fare")</f>
        <v>Medium Fare</v>
      </c>
      <c r="N1696" s="2">
        <v>1</v>
      </c>
      <c r="O1696" s="2" t="s">
        <v>30</v>
      </c>
      <c r="P1696" t="e">
        <f t="shared" si="105"/>
        <v>#VALUE!</v>
      </c>
      <c r="Q1696" t="e">
        <f t="shared" si="106"/>
        <v>#VALUE!</v>
      </c>
      <c r="R1696" t="str">
        <f t="shared" si="107"/>
        <v>No</v>
      </c>
      <c r="S1696" t="s">
        <v>13</v>
      </c>
    </row>
    <row r="1697" spans="1:19" hidden="1" x14ac:dyDescent="0.3">
      <c r="A1697" s="1" t="s">
        <v>1246</v>
      </c>
      <c r="B1697" t="s">
        <v>1596</v>
      </c>
      <c r="C1697" t="s">
        <v>2525</v>
      </c>
      <c r="D1697" t="str">
        <f t="shared" si="104"/>
        <v>Male</v>
      </c>
      <c r="E1697" t="s">
        <v>9</v>
      </c>
      <c r="F1697" s="2">
        <v>18</v>
      </c>
      <c r="G1697" s="2" t="str" cm="1">
        <f t="array" ref="G1697">_xlfn.IFS(F1697&lt;=8,"Child",F1697&lt;=17,"Teen",F1697&lt;=35,"Adult",F1697&lt;=55,"Seniour Adult",F1697&gt;=55,"Old Age")</f>
        <v>Adult</v>
      </c>
      <c r="H1697" t="s">
        <v>69</v>
      </c>
      <c r="I1697" t="s">
        <v>11</v>
      </c>
      <c r="J1697" t="str" cm="1">
        <f t="array" ref="J1697">_xlfn.IFS(I1697="S","Southamptom",I1697="Q","Quentown",I1697="C","Cherbrug",I1697="B","Cabin")</f>
        <v>Southamptom</v>
      </c>
      <c r="K1697" t="s">
        <v>15</v>
      </c>
      <c r="L1697" s="2">
        <v>33</v>
      </c>
      <c r="M1697" s="2" t="str" cm="1">
        <f t="array" ref="M1697">_xlfn.IFS(L1697&lt;=15,"Low Fare",L1697&lt;=35,"Medium Fare",L1697&lt;=100,"High Fare",L1697&gt;=100,"Very High Fare")</f>
        <v>Medium Fare</v>
      </c>
      <c r="N1697" s="2">
        <v>1</v>
      </c>
      <c r="O1697" s="2" t="s">
        <v>30</v>
      </c>
      <c r="P1697" t="e">
        <f t="shared" si="105"/>
        <v>#VALUE!</v>
      </c>
      <c r="Q1697" t="e">
        <f t="shared" si="106"/>
        <v>#VALUE!</v>
      </c>
      <c r="R1697" t="str">
        <f t="shared" si="107"/>
        <v>No</v>
      </c>
      <c r="S1697" t="s">
        <v>13</v>
      </c>
    </row>
    <row r="1698" spans="1:19" hidden="1" x14ac:dyDescent="0.3">
      <c r="A1698" s="1" t="s">
        <v>1247</v>
      </c>
      <c r="B1698" t="s">
        <v>1596</v>
      </c>
      <c r="C1698" t="s">
        <v>2920</v>
      </c>
      <c r="D1698" t="str">
        <f t="shared" si="104"/>
        <v>Male</v>
      </c>
      <c r="E1698" t="s">
        <v>9</v>
      </c>
      <c r="F1698" s="2">
        <v>32</v>
      </c>
      <c r="G1698" s="2" t="str" cm="1">
        <f t="array" ref="G1698">_xlfn.IFS(F1698&lt;=8,"Child",F1698&lt;=17,"Teen",F1698&lt;=35,"Adult",F1698&lt;=55,"Seniour Adult",F1698&gt;=55,"Old Age")</f>
        <v>Adult</v>
      </c>
      <c r="H1698" t="s">
        <v>69</v>
      </c>
      <c r="I1698" t="s">
        <v>11</v>
      </c>
      <c r="J1698" t="str" cm="1">
        <f t="array" ref="J1698">_xlfn.IFS(I1698="S","Southamptom",I1698="Q","Quentown",I1698="C","Cherbrug",I1698="B","Cabin")</f>
        <v>Southamptom</v>
      </c>
      <c r="K1698" t="s">
        <v>15</v>
      </c>
      <c r="L1698" s="2">
        <v>33</v>
      </c>
      <c r="M1698" s="2" t="str" cm="1">
        <f t="array" ref="M1698">_xlfn.IFS(L1698&lt;=15,"Low Fare",L1698&lt;=35,"Medium Fare",L1698&lt;=100,"High Fare",L1698&gt;=100,"Very High Fare")</f>
        <v>Medium Fare</v>
      </c>
      <c r="N1698" s="2">
        <v>1</v>
      </c>
      <c r="O1698" s="2" t="s">
        <v>30</v>
      </c>
      <c r="P1698" t="e">
        <f t="shared" si="105"/>
        <v>#VALUE!</v>
      </c>
      <c r="Q1698" t="e">
        <f t="shared" si="106"/>
        <v>#VALUE!</v>
      </c>
      <c r="R1698" t="str">
        <f t="shared" si="107"/>
        <v>No</v>
      </c>
      <c r="S1698" t="s">
        <v>13</v>
      </c>
    </row>
    <row r="1699" spans="1:19" hidden="1" x14ac:dyDescent="0.3">
      <c r="A1699" s="1" t="s">
        <v>1247</v>
      </c>
      <c r="B1699" t="s">
        <v>1596</v>
      </c>
      <c r="C1699" t="s">
        <v>2915</v>
      </c>
      <c r="D1699" t="str">
        <f t="shared" si="104"/>
        <v>Male</v>
      </c>
      <c r="E1699" t="s">
        <v>9</v>
      </c>
      <c r="F1699" s="2">
        <v>53</v>
      </c>
      <c r="G1699" s="2" t="str" cm="1">
        <f t="array" ref="G1699">_xlfn.IFS(F1699&lt;=8,"Child",F1699&lt;=17,"Teen",F1699&lt;=35,"Adult",F1699&lt;=55,"Seniour Adult",F1699&gt;=55,"Old Age")</f>
        <v>Seniour Adult</v>
      </c>
      <c r="H1699" t="s">
        <v>71</v>
      </c>
      <c r="I1699" t="s">
        <v>11</v>
      </c>
      <c r="J1699" t="str" cm="1">
        <f t="array" ref="J1699">_xlfn.IFS(I1699="S","Southamptom",I1699="Q","Quentown",I1699="C","Cherbrug",I1699="B","Cabin")</f>
        <v>Southamptom</v>
      </c>
      <c r="K1699" t="s">
        <v>15</v>
      </c>
      <c r="L1699" s="2">
        <v>33</v>
      </c>
      <c r="M1699" s="2" t="str" cm="1">
        <f t="array" ref="M1699">_xlfn.IFS(L1699&lt;=15,"Low Fare",L1699&lt;=35,"Medium Fare",L1699&lt;=100,"High Fare",L1699&gt;=100,"Very High Fare")</f>
        <v>Medium Fare</v>
      </c>
      <c r="N1699" s="2">
        <v>1</v>
      </c>
      <c r="O1699" s="2" t="s">
        <v>30</v>
      </c>
      <c r="P1699" t="e">
        <f t="shared" si="105"/>
        <v>#VALUE!</v>
      </c>
      <c r="Q1699" t="e">
        <f t="shared" si="106"/>
        <v>#VALUE!</v>
      </c>
      <c r="R1699" t="str">
        <f t="shared" si="107"/>
        <v>Yes</v>
      </c>
      <c r="S1699" t="s">
        <v>16</v>
      </c>
    </row>
    <row r="1700" spans="1:19" hidden="1" x14ac:dyDescent="0.3">
      <c r="A1700" s="1" t="s">
        <v>448</v>
      </c>
      <c r="B1700" t="s">
        <v>1596</v>
      </c>
      <c r="C1700" t="s">
        <v>2921</v>
      </c>
      <c r="D1700" t="str">
        <f t="shared" si="104"/>
        <v>Male</v>
      </c>
      <c r="E1700" t="s">
        <v>9</v>
      </c>
      <c r="F1700" s="2">
        <v>23</v>
      </c>
      <c r="G1700" s="2" t="str" cm="1">
        <f t="array" ref="G1700">_xlfn.IFS(F1700&lt;=8,"Child",F1700&lt;=17,"Teen",F1700&lt;=35,"Adult",F1700&lt;=55,"Seniour Adult",F1700&gt;=55,"Old Age")</f>
        <v>Adult</v>
      </c>
      <c r="H1700" t="s">
        <v>51</v>
      </c>
      <c r="I1700" t="s">
        <v>11</v>
      </c>
      <c r="J1700" t="str" cm="1">
        <f t="array" ref="J1700">_xlfn.IFS(I1700="S","Southamptom",I1700="Q","Quentown",I1700="C","Cherbrug",I1700="B","Cabin")</f>
        <v>Southamptom</v>
      </c>
      <c r="K1700" t="s">
        <v>15</v>
      </c>
      <c r="L1700" s="2">
        <v>33</v>
      </c>
      <c r="M1700" s="2" t="str" cm="1">
        <f t="array" ref="M1700">_xlfn.IFS(L1700&lt;=15,"Low Fare",L1700&lt;=35,"Medium Fare",L1700&lt;=100,"High Fare",L1700&gt;=100,"Very High Fare")</f>
        <v>Medium Fare</v>
      </c>
      <c r="N1700" s="2">
        <v>1</v>
      </c>
      <c r="O1700" s="2" t="s">
        <v>30</v>
      </c>
      <c r="P1700" t="e">
        <f t="shared" si="105"/>
        <v>#VALUE!</v>
      </c>
      <c r="Q1700" t="e">
        <f t="shared" si="106"/>
        <v>#VALUE!</v>
      </c>
      <c r="R1700" t="str">
        <f t="shared" si="107"/>
        <v>Yes</v>
      </c>
      <c r="S1700" t="s">
        <v>16</v>
      </c>
    </row>
    <row r="1701" spans="1:19" hidden="1" x14ac:dyDescent="0.3">
      <c r="A1701" s="1" t="s">
        <v>448</v>
      </c>
      <c r="B1701" t="s">
        <v>1596</v>
      </c>
      <c r="C1701" t="s">
        <v>2922</v>
      </c>
      <c r="D1701" t="str">
        <f t="shared" si="104"/>
        <v>Male</v>
      </c>
      <c r="E1701" t="s">
        <v>9</v>
      </c>
      <c r="F1701" s="2">
        <v>27</v>
      </c>
      <c r="G1701" s="2" t="str" cm="1">
        <f t="array" ref="G1701">_xlfn.IFS(F1701&lt;=8,"Child",F1701&lt;=17,"Teen",F1701&lt;=35,"Adult",F1701&lt;=55,"Seniour Adult",F1701&gt;=55,"Old Age")</f>
        <v>Adult</v>
      </c>
      <c r="H1701" t="s">
        <v>51</v>
      </c>
      <c r="I1701" t="s">
        <v>11</v>
      </c>
      <c r="J1701" t="str" cm="1">
        <f t="array" ref="J1701">_xlfn.IFS(I1701="S","Southamptom",I1701="Q","Quentown",I1701="C","Cherbrug",I1701="B","Cabin")</f>
        <v>Southamptom</v>
      </c>
      <c r="K1701" t="s">
        <v>15</v>
      </c>
      <c r="L1701" s="2">
        <v>33</v>
      </c>
      <c r="M1701" s="2" t="str" cm="1">
        <f t="array" ref="M1701">_xlfn.IFS(L1701&lt;=15,"Low Fare",L1701&lt;=35,"Medium Fare",L1701&lt;=100,"High Fare",L1701&gt;=100,"Very High Fare")</f>
        <v>Medium Fare</v>
      </c>
      <c r="N1701" s="2">
        <v>1</v>
      </c>
      <c r="O1701" s="2" t="s">
        <v>30</v>
      </c>
      <c r="P1701" t="e">
        <f t="shared" si="105"/>
        <v>#VALUE!</v>
      </c>
      <c r="Q1701" t="e">
        <f t="shared" si="106"/>
        <v>#VALUE!</v>
      </c>
      <c r="R1701" t="str">
        <f t="shared" si="107"/>
        <v>No</v>
      </c>
      <c r="S1701" t="s">
        <v>13</v>
      </c>
    </row>
    <row r="1702" spans="1:19" hidden="1" x14ac:dyDescent="0.3">
      <c r="A1702" s="1" t="s">
        <v>1248</v>
      </c>
      <c r="B1702" t="s">
        <v>1596</v>
      </c>
      <c r="C1702" t="s">
        <v>2923</v>
      </c>
      <c r="D1702" t="str">
        <f t="shared" si="104"/>
        <v>Male</v>
      </c>
      <c r="E1702" t="s">
        <v>9</v>
      </c>
      <c r="F1702" s="2">
        <v>41</v>
      </c>
      <c r="G1702" s="2" t="str" cm="1">
        <f t="array" ref="G1702">_xlfn.IFS(F1702&lt;=8,"Child",F1702&lt;=17,"Teen",F1702&lt;=35,"Adult",F1702&lt;=55,"Seniour Adult",F1702&gt;=55,"Old Age")</f>
        <v>Seniour Adult</v>
      </c>
      <c r="H1702" t="s">
        <v>51</v>
      </c>
      <c r="I1702" t="s">
        <v>11</v>
      </c>
      <c r="J1702" t="str" cm="1">
        <f t="array" ref="J1702">_xlfn.IFS(I1702="S","Southamptom",I1702="Q","Quentown",I1702="C","Cherbrug",I1702="B","Cabin")</f>
        <v>Southamptom</v>
      </c>
      <c r="K1702" t="s">
        <v>15</v>
      </c>
      <c r="L1702" s="2">
        <v>33</v>
      </c>
      <c r="M1702" s="2" t="str" cm="1">
        <f t="array" ref="M1702">_xlfn.IFS(L1702&lt;=15,"Low Fare",L1702&lt;=35,"Medium Fare",L1702&lt;=100,"High Fare",L1702&gt;=100,"Very High Fare")</f>
        <v>Medium Fare</v>
      </c>
      <c r="N1702" s="2">
        <v>1</v>
      </c>
      <c r="O1702" s="2" t="s">
        <v>30</v>
      </c>
      <c r="P1702" t="e">
        <f t="shared" si="105"/>
        <v>#VALUE!</v>
      </c>
      <c r="Q1702" t="e">
        <f t="shared" si="106"/>
        <v>#VALUE!</v>
      </c>
      <c r="R1702" t="str">
        <f t="shared" si="107"/>
        <v>No</v>
      </c>
      <c r="S1702" t="s">
        <v>13</v>
      </c>
    </row>
    <row r="1703" spans="1:19" hidden="1" x14ac:dyDescent="0.3">
      <c r="A1703" s="1" t="s">
        <v>1248</v>
      </c>
      <c r="B1703" t="s">
        <v>1596</v>
      </c>
      <c r="C1703" t="s">
        <v>2069</v>
      </c>
      <c r="D1703" t="str">
        <f t="shared" si="104"/>
        <v>Male</v>
      </c>
      <c r="E1703" t="s">
        <v>9</v>
      </c>
      <c r="F1703" s="2">
        <v>23</v>
      </c>
      <c r="G1703" s="2" t="str" cm="1">
        <f t="array" ref="G1703">_xlfn.IFS(F1703&lt;=8,"Child",F1703&lt;=17,"Teen",F1703&lt;=35,"Adult",F1703&lt;=55,"Seniour Adult",F1703&gt;=55,"Old Age")</f>
        <v>Adult</v>
      </c>
      <c r="H1703" t="s">
        <v>51</v>
      </c>
      <c r="I1703" t="s">
        <v>11</v>
      </c>
      <c r="J1703" t="str" cm="1">
        <f t="array" ref="J1703">_xlfn.IFS(I1703="S","Southamptom",I1703="Q","Quentown",I1703="C","Cherbrug",I1703="B","Cabin")</f>
        <v>Southamptom</v>
      </c>
      <c r="K1703" t="s">
        <v>15</v>
      </c>
      <c r="L1703" s="2">
        <v>33</v>
      </c>
      <c r="M1703" s="2" t="str" cm="1">
        <f t="array" ref="M1703">_xlfn.IFS(L1703&lt;=15,"Low Fare",L1703&lt;=35,"Medium Fare",L1703&lt;=100,"High Fare",L1703&gt;=100,"Very High Fare")</f>
        <v>Medium Fare</v>
      </c>
      <c r="N1703" s="2">
        <v>1</v>
      </c>
      <c r="O1703" s="2" t="s">
        <v>30</v>
      </c>
      <c r="P1703" t="e">
        <f t="shared" si="105"/>
        <v>#VALUE!</v>
      </c>
      <c r="Q1703" t="e">
        <f t="shared" si="106"/>
        <v>#VALUE!</v>
      </c>
      <c r="R1703" t="str">
        <f t="shared" si="107"/>
        <v>Yes</v>
      </c>
      <c r="S1703" t="s">
        <v>16</v>
      </c>
    </row>
    <row r="1704" spans="1:19" hidden="1" x14ac:dyDescent="0.3">
      <c r="A1704" s="1" t="s">
        <v>1249</v>
      </c>
      <c r="B1704" t="s">
        <v>1596</v>
      </c>
      <c r="C1704" t="s">
        <v>1965</v>
      </c>
      <c r="D1704" t="str">
        <f t="shared" si="104"/>
        <v>Male</v>
      </c>
      <c r="E1704" t="s">
        <v>9</v>
      </c>
      <c r="F1704" s="2">
        <v>31</v>
      </c>
      <c r="G1704" s="2" t="str" cm="1">
        <f t="array" ref="G1704">_xlfn.IFS(F1704&lt;=8,"Child",F1704&lt;=17,"Teen",F1704&lt;=35,"Adult",F1704&lt;=55,"Seniour Adult",F1704&gt;=55,"Old Age")</f>
        <v>Adult</v>
      </c>
      <c r="H1704" t="s">
        <v>69</v>
      </c>
      <c r="I1704" t="s">
        <v>11</v>
      </c>
      <c r="J1704" t="str" cm="1">
        <f t="array" ref="J1704">_xlfn.IFS(I1704="S","Southamptom",I1704="Q","Quentown",I1704="C","Cherbrug",I1704="B","Cabin")</f>
        <v>Southamptom</v>
      </c>
      <c r="K1704" t="s">
        <v>15</v>
      </c>
      <c r="L1704" s="2">
        <v>33</v>
      </c>
      <c r="M1704" s="2" t="str" cm="1">
        <f t="array" ref="M1704">_xlfn.IFS(L1704&lt;=15,"Low Fare",L1704&lt;=35,"Medium Fare",L1704&lt;=100,"High Fare",L1704&gt;=100,"Very High Fare")</f>
        <v>Medium Fare</v>
      </c>
      <c r="N1704" s="2">
        <v>1</v>
      </c>
      <c r="O1704" s="2" t="s">
        <v>30</v>
      </c>
      <c r="P1704" t="e">
        <f t="shared" si="105"/>
        <v>#VALUE!</v>
      </c>
      <c r="Q1704" t="e">
        <f t="shared" si="106"/>
        <v>#VALUE!</v>
      </c>
      <c r="R1704" t="str">
        <f t="shared" si="107"/>
        <v>No</v>
      </c>
      <c r="S1704" t="s">
        <v>13</v>
      </c>
    </row>
    <row r="1705" spans="1:19" hidden="1" x14ac:dyDescent="0.3">
      <c r="A1705" s="1" t="s">
        <v>1249</v>
      </c>
      <c r="B1705" t="s">
        <v>1596</v>
      </c>
      <c r="C1705" t="s">
        <v>2261</v>
      </c>
      <c r="D1705" t="str">
        <f t="shared" si="104"/>
        <v>Male</v>
      </c>
      <c r="E1705" t="s">
        <v>9</v>
      </c>
      <c r="F1705" s="2">
        <v>28</v>
      </c>
      <c r="G1705" s="2" t="str" cm="1">
        <f t="array" ref="G1705">_xlfn.IFS(F1705&lt;=8,"Child",F1705&lt;=17,"Teen",F1705&lt;=35,"Adult",F1705&lt;=55,"Seniour Adult",F1705&gt;=55,"Old Age")</f>
        <v>Adult</v>
      </c>
      <c r="H1705" t="s">
        <v>71</v>
      </c>
      <c r="I1705" t="s">
        <v>28</v>
      </c>
      <c r="J1705" t="str" cm="1">
        <f t="array" ref="J1705">_xlfn.IFS(I1705="S","Southamptom",I1705="Q","Quentown",I1705="C","Cherbrug",I1705="B","Cabin")</f>
        <v>Cabin</v>
      </c>
      <c r="K1705" t="s">
        <v>15</v>
      </c>
      <c r="L1705" s="2">
        <v>33</v>
      </c>
      <c r="M1705" s="2" t="str" cm="1">
        <f t="array" ref="M1705">_xlfn.IFS(L1705&lt;=15,"Low Fare",L1705&lt;=35,"Medium Fare",L1705&lt;=100,"High Fare",L1705&gt;=100,"Very High Fare")</f>
        <v>Medium Fare</v>
      </c>
      <c r="N1705" s="2">
        <v>1</v>
      </c>
      <c r="O1705" s="2" t="s">
        <v>30</v>
      </c>
      <c r="P1705" t="e">
        <f t="shared" si="105"/>
        <v>#VALUE!</v>
      </c>
      <c r="Q1705" t="e">
        <f t="shared" si="106"/>
        <v>#VALUE!</v>
      </c>
      <c r="R1705" t="str">
        <f t="shared" si="107"/>
        <v>No</v>
      </c>
      <c r="S1705" t="s">
        <v>13</v>
      </c>
    </row>
    <row r="1706" spans="1:19" hidden="1" x14ac:dyDescent="0.3">
      <c r="A1706" s="1" t="s">
        <v>1250</v>
      </c>
      <c r="B1706" t="s">
        <v>1596</v>
      </c>
      <c r="C1706" t="s">
        <v>2924</v>
      </c>
      <c r="D1706" t="str">
        <f t="shared" si="104"/>
        <v>Male</v>
      </c>
      <c r="E1706" t="s">
        <v>9</v>
      </c>
      <c r="F1706" s="2">
        <v>19</v>
      </c>
      <c r="G1706" s="2" t="str" cm="1">
        <f t="array" ref="G1706">_xlfn.IFS(F1706&lt;=8,"Child",F1706&lt;=17,"Teen",F1706&lt;=35,"Adult",F1706&lt;=55,"Seniour Adult",F1706&gt;=55,"Old Age")</f>
        <v>Adult</v>
      </c>
      <c r="H1706" t="s">
        <v>69</v>
      </c>
      <c r="I1706" t="s">
        <v>11</v>
      </c>
      <c r="J1706" t="str" cm="1">
        <f t="array" ref="J1706">_xlfn.IFS(I1706="S","Southamptom",I1706="Q","Quentown",I1706="C","Cherbrug",I1706="B","Cabin")</f>
        <v>Southamptom</v>
      </c>
      <c r="K1706" t="s">
        <v>15</v>
      </c>
      <c r="L1706" s="2">
        <v>33</v>
      </c>
      <c r="M1706" s="2" t="str" cm="1">
        <f t="array" ref="M1706">_xlfn.IFS(L1706&lt;=15,"Low Fare",L1706&lt;=35,"Medium Fare",L1706&lt;=100,"High Fare",L1706&gt;=100,"Very High Fare")</f>
        <v>Medium Fare</v>
      </c>
      <c r="N1706" s="2">
        <v>1</v>
      </c>
      <c r="O1706" s="2" t="s">
        <v>30</v>
      </c>
      <c r="P1706" t="e">
        <f t="shared" si="105"/>
        <v>#VALUE!</v>
      </c>
      <c r="Q1706" t="e">
        <f t="shared" si="106"/>
        <v>#VALUE!</v>
      </c>
      <c r="R1706" t="str">
        <f t="shared" si="107"/>
        <v>Yes</v>
      </c>
      <c r="S1706" t="s">
        <v>16</v>
      </c>
    </row>
    <row r="1707" spans="1:19" hidden="1" x14ac:dyDescent="0.3">
      <c r="A1707" s="1" t="s">
        <v>1251</v>
      </c>
      <c r="B1707" t="s">
        <v>1596</v>
      </c>
      <c r="C1707" t="s">
        <v>2925</v>
      </c>
      <c r="D1707" t="str">
        <f t="shared" si="104"/>
        <v>Male</v>
      </c>
      <c r="E1707" t="s">
        <v>9</v>
      </c>
      <c r="F1707" s="2">
        <v>31</v>
      </c>
      <c r="G1707" s="2" t="str" cm="1">
        <f t="array" ref="G1707">_xlfn.IFS(F1707&lt;=8,"Child",F1707&lt;=17,"Teen",F1707&lt;=35,"Adult",F1707&lt;=55,"Seniour Adult",F1707&gt;=55,"Old Age")</f>
        <v>Adult</v>
      </c>
      <c r="H1707" t="s">
        <v>69</v>
      </c>
      <c r="I1707" t="s">
        <v>11</v>
      </c>
      <c r="J1707" t="str" cm="1">
        <f t="array" ref="J1707">_xlfn.IFS(I1707="S","Southamptom",I1707="Q","Quentown",I1707="C","Cherbrug",I1707="B","Cabin")</f>
        <v>Southamptom</v>
      </c>
      <c r="K1707" t="s">
        <v>15</v>
      </c>
      <c r="L1707" s="2">
        <v>33</v>
      </c>
      <c r="M1707" s="2" t="str" cm="1">
        <f t="array" ref="M1707">_xlfn.IFS(L1707&lt;=15,"Low Fare",L1707&lt;=35,"Medium Fare",L1707&lt;=100,"High Fare",L1707&gt;=100,"Very High Fare")</f>
        <v>Medium Fare</v>
      </c>
      <c r="N1707" s="2">
        <v>1</v>
      </c>
      <c r="O1707" s="2" t="s">
        <v>30</v>
      </c>
      <c r="P1707" t="e">
        <f t="shared" si="105"/>
        <v>#VALUE!</v>
      </c>
      <c r="Q1707" t="e">
        <f t="shared" si="106"/>
        <v>#VALUE!</v>
      </c>
      <c r="R1707" t="str">
        <f t="shared" si="107"/>
        <v>No</v>
      </c>
      <c r="S1707" t="s">
        <v>13</v>
      </c>
    </row>
    <row r="1708" spans="1:19" hidden="1" x14ac:dyDescent="0.3">
      <c r="A1708" s="1" t="s">
        <v>1252</v>
      </c>
      <c r="B1708" t="s">
        <v>1596</v>
      </c>
      <c r="C1708" t="s">
        <v>2038</v>
      </c>
      <c r="D1708" t="str">
        <f t="shared" si="104"/>
        <v>Male</v>
      </c>
      <c r="E1708" t="s">
        <v>9</v>
      </c>
      <c r="F1708" s="2">
        <v>19</v>
      </c>
      <c r="G1708" s="2" t="str" cm="1">
        <f t="array" ref="G1708">_xlfn.IFS(F1708&lt;=8,"Child",F1708&lt;=17,"Teen",F1708&lt;=35,"Adult",F1708&lt;=55,"Seniour Adult",F1708&gt;=55,"Old Age")</f>
        <v>Adult</v>
      </c>
      <c r="H1708" t="s">
        <v>51</v>
      </c>
      <c r="I1708" t="s">
        <v>11</v>
      </c>
      <c r="J1708" t="str" cm="1">
        <f t="array" ref="J1708">_xlfn.IFS(I1708="S","Southamptom",I1708="Q","Quentown",I1708="C","Cherbrug",I1708="B","Cabin")</f>
        <v>Southamptom</v>
      </c>
      <c r="K1708" t="s">
        <v>15</v>
      </c>
      <c r="L1708" s="2">
        <v>33</v>
      </c>
      <c r="M1708" s="2" t="str" cm="1">
        <f t="array" ref="M1708">_xlfn.IFS(L1708&lt;=15,"Low Fare",L1708&lt;=35,"Medium Fare",L1708&lt;=100,"High Fare",L1708&gt;=100,"Very High Fare")</f>
        <v>Medium Fare</v>
      </c>
      <c r="N1708" s="2">
        <v>1</v>
      </c>
      <c r="O1708" s="2" t="s">
        <v>30</v>
      </c>
      <c r="P1708" t="e">
        <f t="shared" si="105"/>
        <v>#VALUE!</v>
      </c>
      <c r="Q1708" t="e">
        <f t="shared" si="106"/>
        <v>#VALUE!</v>
      </c>
      <c r="R1708" t="str">
        <f t="shared" si="107"/>
        <v>No</v>
      </c>
      <c r="S1708" t="s">
        <v>13</v>
      </c>
    </row>
    <row r="1709" spans="1:19" hidden="1" x14ac:dyDescent="0.3">
      <c r="A1709" s="1" t="s">
        <v>1253</v>
      </c>
      <c r="B1709" t="s">
        <v>1596</v>
      </c>
      <c r="C1709" t="s">
        <v>1728</v>
      </c>
      <c r="D1709" t="str">
        <f t="shared" si="104"/>
        <v>Male</v>
      </c>
      <c r="E1709" t="s">
        <v>9</v>
      </c>
      <c r="F1709" s="2">
        <v>21</v>
      </c>
      <c r="G1709" s="2" t="str" cm="1">
        <f t="array" ref="G1709">_xlfn.IFS(F1709&lt;=8,"Child",F1709&lt;=17,"Teen",F1709&lt;=35,"Adult",F1709&lt;=55,"Seniour Adult",F1709&gt;=55,"Old Age")</f>
        <v>Adult</v>
      </c>
      <c r="H1709" t="s">
        <v>69</v>
      </c>
      <c r="I1709" t="s">
        <v>11</v>
      </c>
      <c r="J1709" t="str" cm="1">
        <f t="array" ref="J1709">_xlfn.IFS(I1709="S","Southamptom",I1709="Q","Quentown",I1709="C","Cherbrug",I1709="B","Cabin")</f>
        <v>Southamptom</v>
      </c>
      <c r="K1709" t="s">
        <v>15</v>
      </c>
      <c r="L1709" s="2">
        <v>33</v>
      </c>
      <c r="M1709" s="2" t="str" cm="1">
        <f t="array" ref="M1709">_xlfn.IFS(L1709&lt;=15,"Low Fare",L1709&lt;=35,"Medium Fare",L1709&lt;=100,"High Fare",L1709&gt;=100,"Very High Fare")</f>
        <v>Medium Fare</v>
      </c>
      <c r="N1709" s="2">
        <v>1</v>
      </c>
      <c r="O1709" s="2" t="s">
        <v>30</v>
      </c>
      <c r="P1709" t="e">
        <f t="shared" si="105"/>
        <v>#VALUE!</v>
      </c>
      <c r="Q1709" t="e">
        <f t="shared" si="106"/>
        <v>#VALUE!</v>
      </c>
      <c r="R1709" t="str">
        <f t="shared" si="107"/>
        <v>No</v>
      </c>
      <c r="S1709" t="s">
        <v>13</v>
      </c>
    </row>
    <row r="1710" spans="1:19" hidden="1" x14ac:dyDescent="0.3">
      <c r="A1710" s="1" t="s">
        <v>1254</v>
      </c>
      <c r="B1710" t="s">
        <v>1596</v>
      </c>
      <c r="C1710" t="s">
        <v>1810</v>
      </c>
      <c r="D1710" t="str">
        <f t="shared" si="104"/>
        <v>Male</v>
      </c>
      <c r="E1710" t="s">
        <v>9</v>
      </c>
      <c r="F1710" s="2">
        <v>20</v>
      </c>
      <c r="G1710" s="2" t="str" cm="1">
        <f t="array" ref="G1710">_xlfn.IFS(F1710&lt;=8,"Child",F1710&lt;=17,"Teen",F1710&lt;=35,"Adult",F1710&lt;=55,"Seniour Adult",F1710&gt;=55,"Old Age")</f>
        <v>Adult</v>
      </c>
      <c r="H1710" t="s">
        <v>69</v>
      </c>
      <c r="I1710" t="s">
        <v>11</v>
      </c>
      <c r="J1710" t="str" cm="1">
        <f t="array" ref="J1710">_xlfn.IFS(I1710="S","Southamptom",I1710="Q","Quentown",I1710="C","Cherbrug",I1710="B","Cabin")</f>
        <v>Southamptom</v>
      </c>
      <c r="K1710" t="s">
        <v>15</v>
      </c>
      <c r="L1710" s="2">
        <v>33</v>
      </c>
      <c r="M1710" s="2" t="str" cm="1">
        <f t="array" ref="M1710">_xlfn.IFS(L1710&lt;=15,"Low Fare",L1710&lt;=35,"Medium Fare",L1710&lt;=100,"High Fare",L1710&gt;=100,"Very High Fare")</f>
        <v>Medium Fare</v>
      </c>
      <c r="N1710" s="2">
        <v>1</v>
      </c>
      <c r="O1710" s="2" t="s">
        <v>30</v>
      </c>
      <c r="P1710" t="e">
        <f t="shared" si="105"/>
        <v>#VALUE!</v>
      </c>
      <c r="Q1710" t="e">
        <f t="shared" si="106"/>
        <v>#VALUE!</v>
      </c>
      <c r="R1710" t="str">
        <f t="shared" si="107"/>
        <v>No</v>
      </c>
      <c r="S1710" t="s">
        <v>13</v>
      </c>
    </row>
    <row r="1711" spans="1:19" hidden="1" x14ac:dyDescent="0.3">
      <c r="A1711" s="1" t="s">
        <v>1255</v>
      </c>
      <c r="B1711" t="s">
        <v>1596</v>
      </c>
      <c r="C1711" t="s">
        <v>2773</v>
      </c>
      <c r="D1711" t="str">
        <f t="shared" si="104"/>
        <v>Male</v>
      </c>
      <c r="E1711" t="s">
        <v>9</v>
      </c>
      <c r="F1711" s="2">
        <v>33</v>
      </c>
      <c r="G1711" s="2" t="str" cm="1">
        <f t="array" ref="G1711">_xlfn.IFS(F1711&lt;=8,"Child",F1711&lt;=17,"Teen",F1711&lt;=35,"Adult",F1711&lt;=55,"Seniour Adult",F1711&gt;=55,"Old Age")</f>
        <v>Adult</v>
      </c>
      <c r="H1711" t="s">
        <v>51</v>
      </c>
      <c r="I1711" t="s">
        <v>11</v>
      </c>
      <c r="J1711" t="str" cm="1">
        <f t="array" ref="J1711">_xlfn.IFS(I1711="S","Southamptom",I1711="Q","Quentown",I1711="C","Cherbrug",I1711="B","Cabin")</f>
        <v>Southamptom</v>
      </c>
      <c r="K1711" t="s">
        <v>15</v>
      </c>
      <c r="L1711" s="2">
        <v>33</v>
      </c>
      <c r="M1711" s="2" t="str" cm="1">
        <f t="array" ref="M1711">_xlfn.IFS(L1711&lt;=15,"Low Fare",L1711&lt;=35,"Medium Fare",L1711&lt;=100,"High Fare",L1711&gt;=100,"Very High Fare")</f>
        <v>Medium Fare</v>
      </c>
      <c r="N1711" s="2">
        <v>1</v>
      </c>
      <c r="O1711" s="2" t="s">
        <v>30</v>
      </c>
      <c r="P1711" t="e">
        <f t="shared" si="105"/>
        <v>#VALUE!</v>
      </c>
      <c r="Q1711" t="e">
        <f t="shared" si="106"/>
        <v>#VALUE!</v>
      </c>
      <c r="R1711" t="str">
        <f t="shared" si="107"/>
        <v>No</v>
      </c>
      <c r="S1711" t="s">
        <v>13</v>
      </c>
    </row>
    <row r="1712" spans="1:19" hidden="1" x14ac:dyDescent="0.3">
      <c r="A1712" s="1" t="s">
        <v>1256</v>
      </c>
      <c r="B1712" t="s">
        <v>1596</v>
      </c>
      <c r="C1712" t="s">
        <v>1822</v>
      </c>
      <c r="D1712" t="str">
        <f t="shared" si="104"/>
        <v>Male</v>
      </c>
      <c r="E1712" t="s">
        <v>9</v>
      </c>
      <c r="F1712" s="2">
        <v>30</v>
      </c>
      <c r="G1712" s="2" t="str" cm="1">
        <f t="array" ref="G1712">_xlfn.IFS(F1712&lt;=8,"Child",F1712&lt;=17,"Teen",F1712&lt;=35,"Adult",F1712&lt;=55,"Seniour Adult",F1712&gt;=55,"Old Age")</f>
        <v>Adult</v>
      </c>
      <c r="H1712" t="s">
        <v>51</v>
      </c>
      <c r="I1712" t="s">
        <v>11</v>
      </c>
      <c r="J1712" t="str" cm="1">
        <f t="array" ref="J1712">_xlfn.IFS(I1712="S","Southamptom",I1712="Q","Quentown",I1712="C","Cherbrug",I1712="B","Cabin")</f>
        <v>Southamptom</v>
      </c>
      <c r="K1712" t="s">
        <v>15</v>
      </c>
      <c r="L1712" s="2">
        <v>33</v>
      </c>
      <c r="M1712" s="2" t="str" cm="1">
        <f t="array" ref="M1712">_xlfn.IFS(L1712&lt;=15,"Low Fare",L1712&lt;=35,"Medium Fare",L1712&lt;=100,"High Fare",L1712&gt;=100,"Very High Fare")</f>
        <v>Medium Fare</v>
      </c>
      <c r="N1712" s="2">
        <v>1</v>
      </c>
      <c r="O1712" s="2" t="s">
        <v>30</v>
      </c>
      <c r="P1712" t="e">
        <f t="shared" si="105"/>
        <v>#VALUE!</v>
      </c>
      <c r="Q1712" t="e">
        <f t="shared" si="106"/>
        <v>#VALUE!</v>
      </c>
      <c r="R1712" t="str">
        <f t="shared" si="107"/>
        <v>No</v>
      </c>
      <c r="S1712" t="s">
        <v>13</v>
      </c>
    </row>
    <row r="1713" spans="1:19" hidden="1" x14ac:dyDescent="0.3">
      <c r="A1713" s="1" t="s">
        <v>1257</v>
      </c>
      <c r="B1713" t="s">
        <v>1596</v>
      </c>
      <c r="C1713" t="s">
        <v>2926</v>
      </c>
      <c r="D1713" t="str">
        <f t="shared" si="104"/>
        <v>Male</v>
      </c>
      <c r="E1713" t="s">
        <v>9</v>
      </c>
      <c r="F1713" s="2">
        <v>22</v>
      </c>
      <c r="G1713" s="2" t="str" cm="1">
        <f t="array" ref="G1713">_xlfn.IFS(F1713&lt;=8,"Child",F1713&lt;=17,"Teen",F1713&lt;=35,"Adult",F1713&lt;=55,"Seniour Adult",F1713&gt;=55,"Old Age")</f>
        <v>Adult</v>
      </c>
      <c r="H1713" t="s">
        <v>69</v>
      </c>
      <c r="I1713" t="s">
        <v>28</v>
      </c>
      <c r="J1713" t="str" cm="1">
        <f t="array" ref="J1713">_xlfn.IFS(I1713="S","Southamptom",I1713="Q","Quentown",I1713="C","Cherbrug",I1713="B","Cabin")</f>
        <v>Cabin</v>
      </c>
      <c r="K1713" t="s">
        <v>15</v>
      </c>
      <c r="L1713" s="2">
        <v>33</v>
      </c>
      <c r="M1713" s="2" t="str" cm="1">
        <f t="array" ref="M1713">_xlfn.IFS(L1713&lt;=15,"Low Fare",L1713&lt;=35,"Medium Fare",L1713&lt;=100,"High Fare",L1713&gt;=100,"Very High Fare")</f>
        <v>Medium Fare</v>
      </c>
      <c r="N1713" s="2">
        <v>1</v>
      </c>
      <c r="O1713" s="2" t="s">
        <v>30</v>
      </c>
      <c r="P1713" t="e">
        <f t="shared" si="105"/>
        <v>#VALUE!</v>
      </c>
      <c r="Q1713" t="e">
        <f t="shared" si="106"/>
        <v>#VALUE!</v>
      </c>
      <c r="R1713" t="str">
        <f t="shared" si="107"/>
        <v>No</v>
      </c>
      <c r="S1713" t="s">
        <v>13</v>
      </c>
    </row>
    <row r="1714" spans="1:19" hidden="1" x14ac:dyDescent="0.3">
      <c r="A1714" s="1" t="s">
        <v>1258</v>
      </c>
      <c r="B1714" t="s">
        <v>1596</v>
      </c>
      <c r="C1714" t="s">
        <v>1795</v>
      </c>
      <c r="D1714" t="str">
        <f t="shared" si="104"/>
        <v>Male</v>
      </c>
      <c r="E1714" t="s">
        <v>9</v>
      </c>
      <c r="F1714" s="2">
        <v>59</v>
      </c>
      <c r="G1714" s="2" t="str" cm="1">
        <f t="array" ref="G1714">_xlfn.IFS(F1714&lt;=8,"Child",F1714&lt;=17,"Teen",F1714&lt;=35,"Adult",F1714&lt;=55,"Seniour Adult",F1714&gt;=55,"Old Age")</f>
        <v>Old Age</v>
      </c>
      <c r="H1714" t="s">
        <v>51</v>
      </c>
      <c r="I1714" t="s">
        <v>11</v>
      </c>
      <c r="J1714" t="str" cm="1">
        <f t="array" ref="J1714">_xlfn.IFS(I1714="S","Southamptom",I1714="Q","Quentown",I1714="C","Cherbrug",I1714="B","Cabin")</f>
        <v>Southamptom</v>
      </c>
      <c r="K1714" t="s">
        <v>15</v>
      </c>
      <c r="L1714" s="2">
        <v>33</v>
      </c>
      <c r="M1714" s="2" t="str" cm="1">
        <f t="array" ref="M1714">_xlfn.IFS(L1714&lt;=15,"Low Fare",L1714&lt;=35,"Medium Fare",L1714&lt;=100,"High Fare",L1714&gt;=100,"Very High Fare")</f>
        <v>Medium Fare</v>
      </c>
      <c r="N1714" s="2">
        <v>1</v>
      </c>
      <c r="O1714" s="2" t="s">
        <v>30</v>
      </c>
      <c r="P1714" t="e">
        <f t="shared" si="105"/>
        <v>#VALUE!</v>
      </c>
      <c r="Q1714" t="e">
        <f t="shared" si="106"/>
        <v>#VALUE!</v>
      </c>
      <c r="R1714" t="str">
        <f t="shared" si="107"/>
        <v>No</v>
      </c>
      <c r="S1714" t="s">
        <v>13</v>
      </c>
    </row>
    <row r="1715" spans="1:19" hidden="1" x14ac:dyDescent="0.3">
      <c r="A1715" s="1" t="s">
        <v>1259</v>
      </c>
      <c r="B1715" t="s">
        <v>1596</v>
      </c>
      <c r="C1715" t="s">
        <v>2927</v>
      </c>
      <c r="D1715" t="str">
        <f t="shared" si="104"/>
        <v>Male</v>
      </c>
      <c r="E1715" t="s">
        <v>9</v>
      </c>
      <c r="F1715" s="2">
        <v>38</v>
      </c>
      <c r="G1715" s="2" t="str" cm="1">
        <f t="array" ref="G1715">_xlfn.IFS(F1715&lt;=8,"Child",F1715&lt;=17,"Teen",F1715&lt;=35,"Adult",F1715&lt;=55,"Seniour Adult",F1715&gt;=55,"Old Age")</f>
        <v>Seniour Adult</v>
      </c>
      <c r="H1715" t="s">
        <v>70</v>
      </c>
      <c r="I1715" t="s">
        <v>11</v>
      </c>
      <c r="J1715" t="str" cm="1">
        <f t="array" ref="J1715">_xlfn.IFS(I1715="S","Southamptom",I1715="Q","Quentown",I1715="C","Cherbrug",I1715="B","Cabin")</f>
        <v>Southamptom</v>
      </c>
      <c r="K1715" t="s">
        <v>20</v>
      </c>
      <c r="L1715" s="2">
        <v>33</v>
      </c>
      <c r="M1715" s="2" t="str" cm="1">
        <f t="array" ref="M1715">_xlfn.IFS(L1715&lt;=15,"Low Fare",L1715&lt;=35,"Medium Fare",L1715&lt;=100,"High Fare",L1715&gt;=100,"Very High Fare")</f>
        <v>Medium Fare</v>
      </c>
      <c r="N1715" s="2">
        <v>1</v>
      </c>
      <c r="O1715" s="2" t="s">
        <v>30</v>
      </c>
      <c r="P1715" t="e">
        <f t="shared" si="105"/>
        <v>#VALUE!</v>
      </c>
      <c r="Q1715" t="e">
        <f t="shared" si="106"/>
        <v>#VALUE!</v>
      </c>
      <c r="R1715" t="str">
        <f t="shared" si="107"/>
        <v>No</v>
      </c>
      <c r="S1715" t="s">
        <v>13</v>
      </c>
    </row>
    <row r="1716" spans="1:19" hidden="1" x14ac:dyDescent="0.3">
      <c r="A1716" s="1" t="s">
        <v>1260</v>
      </c>
      <c r="B1716" t="s">
        <v>1596</v>
      </c>
      <c r="C1716" t="s">
        <v>1645</v>
      </c>
      <c r="D1716" t="str">
        <f t="shared" si="104"/>
        <v>Male</v>
      </c>
      <c r="E1716" t="s">
        <v>9</v>
      </c>
      <c r="F1716" s="2">
        <v>27</v>
      </c>
      <c r="G1716" s="2" t="str" cm="1">
        <f t="array" ref="G1716">_xlfn.IFS(F1716&lt;=8,"Child",F1716&lt;=17,"Teen",F1716&lt;=35,"Adult",F1716&lt;=55,"Seniour Adult",F1716&gt;=55,"Old Age")</f>
        <v>Adult</v>
      </c>
      <c r="H1716" t="s">
        <v>51</v>
      </c>
      <c r="I1716" t="s">
        <v>11</v>
      </c>
      <c r="J1716" t="str" cm="1">
        <f t="array" ref="J1716">_xlfn.IFS(I1716="S","Southamptom",I1716="Q","Quentown",I1716="C","Cherbrug",I1716="B","Cabin")</f>
        <v>Southamptom</v>
      </c>
      <c r="K1716" t="s">
        <v>40</v>
      </c>
      <c r="L1716" s="2">
        <v>33</v>
      </c>
      <c r="M1716" s="2" t="str" cm="1">
        <f t="array" ref="M1716">_xlfn.IFS(L1716&lt;=15,"Low Fare",L1716&lt;=35,"Medium Fare",L1716&lt;=100,"High Fare",L1716&gt;=100,"Very High Fare")</f>
        <v>Medium Fare</v>
      </c>
      <c r="N1716" s="2">
        <v>1</v>
      </c>
      <c r="O1716" s="2" t="s">
        <v>30</v>
      </c>
      <c r="P1716" t="e">
        <f t="shared" si="105"/>
        <v>#VALUE!</v>
      </c>
      <c r="Q1716" t="e">
        <f t="shared" si="106"/>
        <v>#VALUE!</v>
      </c>
      <c r="R1716" t="str">
        <f t="shared" si="107"/>
        <v>No</v>
      </c>
      <c r="S1716" t="s">
        <v>13</v>
      </c>
    </row>
    <row r="1717" spans="1:19" hidden="1" x14ac:dyDescent="0.3">
      <c r="A1717" s="1" t="s">
        <v>1261</v>
      </c>
      <c r="B1717" t="s">
        <v>1596</v>
      </c>
      <c r="C1717" t="s">
        <v>2928</v>
      </c>
      <c r="D1717" t="str">
        <f t="shared" si="104"/>
        <v>Male</v>
      </c>
      <c r="E1717" t="s">
        <v>9</v>
      </c>
      <c r="F1717" s="2">
        <v>35</v>
      </c>
      <c r="G1717" s="2" t="str" cm="1">
        <f t="array" ref="G1717">_xlfn.IFS(F1717&lt;=8,"Child",F1717&lt;=17,"Teen",F1717&lt;=35,"Adult",F1717&lt;=55,"Seniour Adult",F1717&gt;=55,"Old Age")</f>
        <v>Adult</v>
      </c>
      <c r="H1717" t="s">
        <v>69</v>
      </c>
      <c r="I1717" t="s">
        <v>28</v>
      </c>
      <c r="J1717" t="str" cm="1">
        <f t="array" ref="J1717">_xlfn.IFS(I1717="S","Southamptom",I1717="Q","Quentown",I1717="C","Cherbrug",I1717="B","Cabin")</f>
        <v>Cabin</v>
      </c>
      <c r="K1717" t="s">
        <v>15</v>
      </c>
      <c r="L1717" s="2">
        <v>33</v>
      </c>
      <c r="M1717" s="2" t="str" cm="1">
        <f t="array" ref="M1717">_xlfn.IFS(L1717&lt;=15,"Low Fare",L1717&lt;=35,"Medium Fare",L1717&lt;=100,"High Fare",L1717&gt;=100,"Very High Fare")</f>
        <v>Medium Fare</v>
      </c>
      <c r="N1717" s="2">
        <v>1</v>
      </c>
      <c r="O1717" s="2" t="s">
        <v>30</v>
      </c>
      <c r="P1717" t="e">
        <f t="shared" si="105"/>
        <v>#VALUE!</v>
      </c>
      <c r="Q1717" t="e">
        <f t="shared" si="106"/>
        <v>#VALUE!</v>
      </c>
      <c r="R1717" t="str">
        <f t="shared" si="107"/>
        <v>No</v>
      </c>
      <c r="S1717" t="s">
        <v>13</v>
      </c>
    </row>
    <row r="1718" spans="1:19" hidden="1" x14ac:dyDescent="0.3">
      <c r="A1718" s="1" t="s">
        <v>1262</v>
      </c>
      <c r="B1718" t="s">
        <v>1596</v>
      </c>
      <c r="C1718" t="s">
        <v>2929</v>
      </c>
      <c r="D1718" t="str">
        <f t="shared" si="104"/>
        <v>Male</v>
      </c>
      <c r="E1718" t="s">
        <v>9</v>
      </c>
      <c r="F1718" s="2">
        <v>29</v>
      </c>
      <c r="G1718" s="2" t="str" cm="1">
        <f t="array" ref="G1718">_xlfn.IFS(F1718&lt;=8,"Child",F1718&lt;=17,"Teen",F1718&lt;=35,"Adult",F1718&lt;=55,"Seniour Adult",F1718&gt;=55,"Old Age")</f>
        <v>Adult</v>
      </c>
      <c r="H1718" t="s">
        <v>70</v>
      </c>
      <c r="I1718" t="s">
        <v>11</v>
      </c>
      <c r="J1718" t="str" cm="1">
        <f t="array" ref="J1718">_xlfn.IFS(I1718="S","Southamptom",I1718="Q","Quentown",I1718="C","Cherbrug",I1718="B","Cabin")</f>
        <v>Southamptom</v>
      </c>
      <c r="K1718" t="s">
        <v>15</v>
      </c>
      <c r="L1718" s="2">
        <v>33</v>
      </c>
      <c r="M1718" s="2" t="str" cm="1">
        <f t="array" ref="M1718">_xlfn.IFS(L1718&lt;=15,"Low Fare",L1718&lt;=35,"Medium Fare",L1718&lt;=100,"High Fare",L1718&gt;=100,"Very High Fare")</f>
        <v>Medium Fare</v>
      </c>
      <c r="N1718" s="2">
        <v>1</v>
      </c>
      <c r="O1718" s="2" t="s">
        <v>30</v>
      </c>
      <c r="P1718" t="e">
        <f t="shared" si="105"/>
        <v>#VALUE!</v>
      </c>
      <c r="Q1718" t="e">
        <f t="shared" si="106"/>
        <v>#VALUE!</v>
      </c>
      <c r="R1718" t="str">
        <f t="shared" si="107"/>
        <v>No</v>
      </c>
      <c r="S1718" t="s">
        <v>13</v>
      </c>
    </row>
    <row r="1719" spans="1:19" hidden="1" x14ac:dyDescent="0.3">
      <c r="A1719" s="1" t="s">
        <v>1263</v>
      </c>
      <c r="B1719" t="s">
        <v>1596</v>
      </c>
      <c r="C1719" t="s">
        <v>1754</v>
      </c>
      <c r="D1719" t="str">
        <f t="shared" si="104"/>
        <v>Male</v>
      </c>
      <c r="E1719" t="s">
        <v>9</v>
      </c>
      <c r="F1719" s="2">
        <v>28</v>
      </c>
      <c r="G1719" s="2" t="str" cm="1">
        <f t="array" ref="G1719">_xlfn.IFS(F1719&lt;=8,"Child",F1719&lt;=17,"Teen",F1719&lt;=35,"Adult",F1719&lt;=55,"Seniour Adult",F1719&gt;=55,"Old Age")</f>
        <v>Adult</v>
      </c>
      <c r="H1719" t="s">
        <v>70</v>
      </c>
      <c r="I1719" t="s">
        <v>11</v>
      </c>
      <c r="J1719" t="str" cm="1">
        <f t="array" ref="J1719">_xlfn.IFS(I1719="S","Southamptom",I1719="Q","Quentown",I1719="C","Cherbrug",I1719="B","Cabin")</f>
        <v>Southamptom</v>
      </c>
      <c r="K1719" t="s">
        <v>15</v>
      </c>
      <c r="L1719" s="2">
        <v>33</v>
      </c>
      <c r="M1719" s="2" t="str" cm="1">
        <f t="array" ref="M1719">_xlfn.IFS(L1719&lt;=15,"Low Fare",L1719&lt;=35,"Medium Fare",L1719&lt;=100,"High Fare",L1719&gt;=100,"Very High Fare")</f>
        <v>Medium Fare</v>
      </c>
      <c r="N1719" s="2">
        <v>1</v>
      </c>
      <c r="O1719" s="2" t="s">
        <v>30</v>
      </c>
      <c r="P1719" t="e">
        <f t="shared" si="105"/>
        <v>#VALUE!</v>
      </c>
      <c r="Q1719" t="e">
        <f t="shared" si="106"/>
        <v>#VALUE!</v>
      </c>
      <c r="R1719" t="str">
        <f t="shared" si="107"/>
        <v>No</v>
      </c>
      <c r="S1719" t="s">
        <v>13</v>
      </c>
    </row>
    <row r="1720" spans="1:19" hidden="1" x14ac:dyDescent="0.3">
      <c r="A1720" s="1" t="s">
        <v>1264</v>
      </c>
      <c r="B1720" t="s">
        <v>1596</v>
      </c>
      <c r="C1720" t="s">
        <v>2930</v>
      </c>
      <c r="D1720" t="str">
        <f t="shared" si="104"/>
        <v>Male</v>
      </c>
      <c r="E1720" t="s">
        <v>9</v>
      </c>
      <c r="F1720" s="2">
        <v>55</v>
      </c>
      <c r="G1720" s="2" t="str" cm="1">
        <f t="array" ref="G1720">_xlfn.IFS(F1720&lt;=8,"Child",F1720&lt;=17,"Teen",F1720&lt;=35,"Adult",F1720&lt;=55,"Seniour Adult",F1720&gt;=55,"Old Age")</f>
        <v>Seniour Adult</v>
      </c>
      <c r="H1720" t="s">
        <v>69</v>
      </c>
      <c r="I1720" t="s">
        <v>28</v>
      </c>
      <c r="J1720" t="str" cm="1">
        <f t="array" ref="J1720">_xlfn.IFS(I1720="S","Southamptom",I1720="Q","Quentown",I1720="C","Cherbrug",I1720="B","Cabin")</f>
        <v>Cabin</v>
      </c>
      <c r="K1720" t="s">
        <v>15</v>
      </c>
      <c r="L1720" s="2">
        <v>33</v>
      </c>
      <c r="M1720" s="2" t="str" cm="1">
        <f t="array" ref="M1720">_xlfn.IFS(L1720&lt;=15,"Low Fare",L1720&lt;=35,"Medium Fare",L1720&lt;=100,"High Fare",L1720&gt;=100,"Very High Fare")</f>
        <v>Medium Fare</v>
      </c>
      <c r="N1720" s="2">
        <v>1</v>
      </c>
      <c r="O1720" s="2" t="s">
        <v>30</v>
      </c>
      <c r="P1720" t="e">
        <f t="shared" si="105"/>
        <v>#VALUE!</v>
      </c>
      <c r="Q1720" t="e">
        <f t="shared" si="106"/>
        <v>#VALUE!</v>
      </c>
      <c r="R1720" t="str">
        <f t="shared" si="107"/>
        <v>No</v>
      </c>
      <c r="S1720" t="s">
        <v>13</v>
      </c>
    </row>
    <row r="1721" spans="1:19" hidden="1" x14ac:dyDescent="0.3">
      <c r="A1721" s="1" t="s">
        <v>467</v>
      </c>
      <c r="B1721" t="s">
        <v>1596</v>
      </c>
      <c r="C1721" t="s">
        <v>2931</v>
      </c>
      <c r="D1721" t="str">
        <f t="shared" si="104"/>
        <v>Male</v>
      </c>
      <c r="E1721" t="s">
        <v>9</v>
      </c>
      <c r="F1721" s="2">
        <v>25</v>
      </c>
      <c r="G1721" s="2" t="str" cm="1">
        <f t="array" ref="G1721">_xlfn.IFS(F1721&lt;=8,"Child",F1721&lt;=17,"Teen",F1721&lt;=35,"Adult",F1721&lt;=55,"Seniour Adult",F1721&gt;=55,"Old Age")</f>
        <v>Adult</v>
      </c>
      <c r="H1721" t="s">
        <v>69</v>
      </c>
      <c r="I1721" t="s">
        <v>11</v>
      </c>
      <c r="J1721" t="str" cm="1">
        <f t="array" ref="J1721">_xlfn.IFS(I1721="S","Southamptom",I1721="Q","Quentown",I1721="C","Cherbrug",I1721="B","Cabin")</f>
        <v>Southamptom</v>
      </c>
      <c r="K1721" t="s">
        <v>15</v>
      </c>
      <c r="L1721" s="2">
        <v>33</v>
      </c>
      <c r="M1721" s="2" t="str" cm="1">
        <f t="array" ref="M1721">_xlfn.IFS(L1721&lt;=15,"Low Fare",L1721&lt;=35,"Medium Fare",L1721&lt;=100,"High Fare",L1721&gt;=100,"Very High Fare")</f>
        <v>Medium Fare</v>
      </c>
      <c r="N1721" s="2">
        <v>1</v>
      </c>
      <c r="O1721" s="2" t="s">
        <v>30</v>
      </c>
      <c r="P1721" t="e">
        <f t="shared" si="105"/>
        <v>#VALUE!</v>
      </c>
      <c r="Q1721" t="e">
        <f t="shared" si="106"/>
        <v>#VALUE!</v>
      </c>
      <c r="R1721" t="str">
        <f t="shared" si="107"/>
        <v>No</v>
      </c>
      <c r="S1721" t="s">
        <v>13</v>
      </c>
    </row>
    <row r="1722" spans="1:19" hidden="1" x14ac:dyDescent="0.3">
      <c r="A1722" s="1" t="s">
        <v>1265</v>
      </c>
      <c r="B1722" t="s">
        <v>1602</v>
      </c>
      <c r="C1722" t="s">
        <v>2932</v>
      </c>
      <c r="D1722" t="str">
        <f t="shared" si="104"/>
        <v>Female</v>
      </c>
      <c r="E1722" t="s">
        <v>14</v>
      </c>
      <c r="F1722" s="2">
        <v>24</v>
      </c>
      <c r="G1722" s="2" t="str" cm="1">
        <f t="array" ref="G1722">_xlfn.IFS(F1722&lt;=8,"Child",F1722&lt;=17,"Teen",F1722&lt;=35,"Adult",F1722&lt;=55,"Seniour Adult",F1722&gt;=55,"Old Age")</f>
        <v>Adult</v>
      </c>
      <c r="H1722" t="s">
        <v>69</v>
      </c>
      <c r="I1722" t="s">
        <v>11</v>
      </c>
      <c r="J1722" t="str" cm="1">
        <f t="array" ref="J1722">_xlfn.IFS(I1722="S","Southamptom",I1722="Q","Quentown",I1722="C","Cherbrug",I1722="B","Cabin")</f>
        <v>Southamptom</v>
      </c>
      <c r="K1722" t="s">
        <v>15</v>
      </c>
      <c r="L1722" s="2">
        <v>33</v>
      </c>
      <c r="M1722" s="2" t="str" cm="1">
        <f t="array" ref="M1722">_xlfn.IFS(L1722&lt;=15,"Low Fare",L1722&lt;=35,"Medium Fare",L1722&lt;=100,"High Fare",L1722&gt;=100,"Very High Fare")</f>
        <v>Medium Fare</v>
      </c>
      <c r="N1722" s="2">
        <v>1</v>
      </c>
      <c r="O1722" s="2" t="s">
        <v>30</v>
      </c>
      <c r="P1722" t="e">
        <f t="shared" si="105"/>
        <v>#VALUE!</v>
      </c>
      <c r="Q1722" t="e">
        <f t="shared" si="106"/>
        <v>#VALUE!</v>
      </c>
      <c r="R1722" t="str">
        <f t="shared" si="107"/>
        <v>Yes</v>
      </c>
      <c r="S1722" t="s">
        <v>16</v>
      </c>
    </row>
    <row r="1723" spans="1:19" hidden="1" x14ac:dyDescent="0.3">
      <c r="A1723" s="1" t="s">
        <v>1266</v>
      </c>
      <c r="B1723" t="s">
        <v>1596</v>
      </c>
      <c r="C1723" t="s">
        <v>2933</v>
      </c>
      <c r="D1723" t="str">
        <f t="shared" si="104"/>
        <v>Male</v>
      </c>
      <c r="E1723" t="s">
        <v>9</v>
      </c>
      <c r="F1723" s="2">
        <v>23</v>
      </c>
      <c r="G1723" s="2" t="str" cm="1">
        <f t="array" ref="G1723">_xlfn.IFS(F1723&lt;=8,"Child",F1723&lt;=17,"Teen",F1723&lt;=35,"Adult",F1723&lt;=55,"Seniour Adult",F1723&gt;=55,"Old Age")</f>
        <v>Adult</v>
      </c>
      <c r="H1723" t="s">
        <v>71</v>
      </c>
      <c r="I1723" t="s">
        <v>28</v>
      </c>
      <c r="J1723" t="str" cm="1">
        <f t="array" ref="J1723">_xlfn.IFS(I1723="S","Southamptom",I1723="Q","Quentown",I1723="C","Cherbrug",I1723="B","Cabin")</f>
        <v>Cabin</v>
      </c>
      <c r="K1723" t="s">
        <v>15</v>
      </c>
      <c r="L1723" s="2">
        <v>33</v>
      </c>
      <c r="M1723" s="2" t="str" cm="1">
        <f t="array" ref="M1723">_xlfn.IFS(L1723&lt;=15,"Low Fare",L1723&lt;=35,"Medium Fare",L1723&lt;=100,"High Fare",L1723&gt;=100,"Very High Fare")</f>
        <v>Medium Fare</v>
      </c>
      <c r="N1723" s="2">
        <v>1</v>
      </c>
      <c r="O1723" s="2" t="s">
        <v>30</v>
      </c>
      <c r="P1723" t="e">
        <f t="shared" si="105"/>
        <v>#VALUE!</v>
      </c>
      <c r="Q1723" t="e">
        <f t="shared" si="106"/>
        <v>#VALUE!</v>
      </c>
      <c r="R1723" t="str">
        <f t="shared" si="107"/>
        <v>Yes</v>
      </c>
      <c r="S1723" t="s">
        <v>16</v>
      </c>
    </row>
    <row r="1724" spans="1:19" hidden="1" x14ac:dyDescent="0.3">
      <c r="A1724" s="1" t="s">
        <v>1267</v>
      </c>
      <c r="B1724" t="s">
        <v>1596</v>
      </c>
      <c r="C1724" t="s">
        <v>2934</v>
      </c>
      <c r="D1724" t="str">
        <f t="shared" si="104"/>
        <v>Male</v>
      </c>
      <c r="E1724" t="s">
        <v>9</v>
      </c>
      <c r="F1724" s="2">
        <v>38</v>
      </c>
      <c r="G1724" s="2" t="str" cm="1">
        <f t="array" ref="G1724">_xlfn.IFS(F1724&lt;=8,"Child",F1724&lt;=17,"Teen",F1724&lt;=35,"Adult",F1724&lt;=55,"Seniour Adult",F1724&gt;=55,"Old Age")</f>
        <v>Seniour Adult</v>
      </c>
      <c r="H1724" t="s">
        <v>51</v>
      </c>
      <c r="I1724" t="s">
        <v>11</v>
      </c>
      <c r="J1724" t="str" cm="1">
        <f t="array" ref="J1724">_xlfn.IFS(I1724="S","Southamptom",I1724="Q","Quentown",I1724="C","Cherbrug",I1724="B","Cabin")</f>
        <v>Southamptom</v>
      </c>
      <c r="K1724" t="s">
        <v>15</v>
      </c>
      <c r="L1724" s="2">
        <v>33</v>
      </c>
      <c r="M1724" s="2" t="str" cm="1">
        <f t="array" ref="M1724">_xlfn.IFS(L1724&lt;=15,"Low Fare",L1724&lt;=35,"Medium Fare",L1724&lt;=100,"High Fare",L1724&gt;=100,"Very High Fare")</f>
        <v>Medium Fare</v>
      </c>
      <c r="N1724" s="2">
        <v>1</v>
      </c>
      <c r="O1724" s="2" t="s">
        <v>30</v>
      </c>
      <c r="P1724" t="e">
        <f t="shared" si="105"/>
        <v>#VALUE!</v>
      </c>
      <c r="Q1724" t="e">
        <f t="shared" si="106"/>
        <v>#VALUE!</v>
      </c>
      <c r="R1724" t="str">
        <f t="shared" si="107"/>
        <v>No</v>
      </c>
      <c r="S1724" t="s">
        <v>13</v>
      </c>
    </row>
    <row r="1725" spans="1:19" hidden="1" x14ac:dyDescent="0.3">
      <c r="A1725" s="1" t="s">
        <v>475</v>
      </c>
      <c r="B1725" t="s">
        <v>1596</v>
      </c>
      <c r="C1725" t="s">
        <v>1965</v>
      </c>
      <c r="D1725" t="str">
        <f t="shared" si="104"/>
        <v>Male</v>
      </c>
      <c r="E1725" t="s">
        <v>9</v>
      </c>
      <c r="F1725" s="2">
        <v>41</v>
      </c>
      <c r="G1725" s="2" t="str" cm="1">
        <f t="array" ref="G1725">_xlfn.IFS(F1725&lt;=8,"Child",F1725&lt;=17,"Teen",F1725&lt;=35,"Adult",F1725&lt;=55,"Seniour Adult",F1725&gt;=55,"Old Age")</f>
        <v>Seniour Adult</v>
      </c>
      <c r="H1725" t="s">
        <v>69</v>
      </c>
      <c r="I1725" t="s">
        <v>28</v>
      </c>
      <c r="J1725" t="str" cm="1">
        <f t="array" ref="J1725">_xlfn.IFS(I1725="S","Southamptom",I1725="Q","Quentown",I1725="C","Cherbrug",I1725="B","Cabin")</f>
        <v>Cabin</v>
      </c>
      <c r="K1725" t="s">
        <v>15</v>
      </c>
      <c r="L1725" s="2">
        <v>33</v>
      </c>
      <c r="M1725" s="2" t="str" cm="1">
        <f t="array" ref="M1725">_xlfn.IFS(L1725&lt;=15,"Low Fare",L1725&lt;=35,"Medium Fare",L1725&lt;=100,"High Fare",L1725&gt;=100,"Very High Fare")</f>
        <v>Medium Fare</v>
      </c>
      <c r="N1725" s="2">
        <v>1</v>
      </c>
      <c r="O1725" s="2" t="s">
        <v>30</v>
      </c>
      <c r="P1725" t="e">
        <f t="shared" si="105"/>
        <v>#VALUE!</v>
      </c>
      <c r="Q1725" t="e">
        <f t="shared" si="106"/>
        <v>#VALUE!</v>
      </c>
      <c r="R1725" t="str">
        <f t="shared" si="107"/>
        <v>Yes</v>
      </c>
      <c r="S1725" t="s">
        <v>16</v>
      </c>
    </row>
    <row r="1726" spans="1:19" hidden="1" x14ac:dyDescent="0.3">
      <c r="A1726" s="1" t="s">
        <v>476</v>
      </c>
      <c r="B1726" t="s">
        <v>1596</v>
      </c>
      <c r="C1726" t="s">
        <v>2935</v>
      </c>
      <c r="D1726" t="str">
        <f t="shared" si="104"/>
        <v>Male</v>
      </c>
      <c r="E1726" t="s">
        <v>9</v>
      </c>
      <c r="F1726" s="2">
        <v>17</v>
      </c>
      <c r="G1726" s="2" t="str" cm="1">
        <f t="array" ref="G1726">_xlfn.IFS(F1726&lt;=8,"Child",F1726&lt;=17,"Teen",F1726&lt;=35,"Adult",F1726&lt;=55,"Seniour Adult",F1726&gt;=55,"Old Age")</f>
        <v>Teen</v>
      </c>
      <c r="H1726" t="s">
        <v>69</v>
      </c>
      <c r="I1726" t="s">
        <v>11</v>
      </c>
      <c r="J1726" t="str" cm="1">
        <f t="array" ref="J1726">_xlfn.IFS(I1726="S","Southamptom",I1726="Q","Quentown",I1726="C","Cherbrug",I1726="B","Cabin")</f>
        <v>Southamptom</v>
      </c>
      <c r="K1726" t="s">
        <v>15</v>
      </c>
      <c r="L1726" s="2">
        <v>33</v>
      </c>
      <c r="M1726" s="2" t="str" cm="1">
        <f t="array" ref="M1726">_xlfn.IFS(L1726&lt;=15,"Low Fare",L1726&lt;=35,"Medium Fare",L1726&lt;=100,"High Fare",L1726&gt;=100,"Very High Fare")</f>
        <v>Medium Fare</v>
      </c>
      <c r="N1726" s="2">
        <v>1</v>
      </c>
      <c r="O1726" s="2" t="s">
        <v>30</v>
      </c>
      <c r="P1726" t="e">
        <f t="shared" si="105"/>
        <v>#VALUE!</v>
      </c>
      <c r="Q1726" t="e">
        <f t="shared" si="106"/>
        <v>#VALUE!</v>
      </c>
      <c r="R1726" t="str">
        <f t="shared" si="107"/>
        <v>No</v>
      </c>
      <c r="S1726" t="s">
        <v>13</v>
      </c>
    </row>
    <row r="1727" spans="1:19" hidden="1" x14ac:dyDescent="0.3">
      <c r="A1727" s="1" t="s">
        <v>476</v>
      </c>
      <c r="B1727" t="s">
        <v>1596</v>
      </c>
      <c r="C1727" t="s">
        <v>2361</v>
      </c>
      <c r="D1727" t="str">
        <f t="shared" si="104"/>
        <v>Male</v>
      </c>
      <c r="E1727" t="s">
        <v>9</v>
      </c>
      <c r="F1727" s="2">
        <v>37</v>
      </c>
      <c r="G1727" s="2" t="str" cm="1">
        <f t="array" ref="G1727">_xlfn.IFS(F1727&lt;=8,"Child",F1727&lt;=17,"Teen",F1727&lt;=35,"Adult",F1727&lt;=55,"Seniour Adult",F1727&gt;=55,"Old Age")</f>
        <v>Seniour Adult</v>
      </c>
      <c r="H1727" t="s">
        <v>69</v>
      </c>
      <c r="I1727" t="s">
        <v>11</v>
      </c>
      <c r="J1727" t="str" cm="1">
        <f t="array" ref="J1727">_xlfn.IFS(I1727="S","Southamptom",I1727="Q","Quentown",I1727="C","Cherbrug",I1727="B","Cabin")</f>
        <v>Southamptom</v>
      </c>
      <c r="K1727" t="s">
        <v>15</v>
      </c>
      <c r="L1727" s="2">
        <v>33</v>
      </c>
      <c r="M1727" s="2" t="str" cm="1">
        <f t="array" ref="M1727">_xlfn.IFS(L1727&lt;=15,"Low Fare",L1727&lt;=35,"Medium Fare",L1727&lt;=100,"High Fare",L1727&gt;=100,"Very High Fare")</f>
        <v>Medium Fare</v>
      </c>
      <c r="N1727" s="2">
        <v>1</v>
      </c>
      <c r="O1727" s="2" t="s">
        <v>30</v>
      </c>
      <c r="P1727" t="e">
        <f t="shared" si="105"/>
        <v>#VALUE!</v>
      </c>
      <c r="Q1727" t="e">
        <f t="shared" si="106"/>
        <v>#VALUE!</v>
      </c>
      <c r="R1727" t="str">
        <f t="shared" si="107"/>
        <v>No</v>
      </c>
      <c r="S1727" t="s">
        <v>13</v>
      </c>
    </row>
    <row r="1728" spans="1:19" hidden="1" x14ac:dyDescent="0.3">
      <c r="A1728" s="1" t="s">
        <v>476</v>
      </c>
      <c r="B1728" t="s">
        <v>1596</v>
      </c>
      <c r="C1728" t="s">
        <v>2936</v>
      </c>
      <c r="D1728" t="str">
        <f t="shared" si="104"/>
        <v>Male</v>
      </c>
      <c r="E1728" t="s">
        <v>9</v>
      </c>
      <c r="F1728" s="2">
        <v>29</v>
      </c>
      <c r="G1728" s="2" t="str" cm="1">
        <f t="array" ref="G1728">_xlfn.IFS(F1728&lt;=8,"Child",F1728&lt;=17,"Teen",F1728&lt;=35,"Adult",F1728&lt;=55,"Seniour Adult",F1728&gt;=55,"Old Age")</f>
        <v>Adult</v>
      </c>
      <c r="H1728" t="s">
        <v>69</v>
      </c>
      <c r="I1728" t="s">
        <v>11</v>
      </c>
      <c r="J1728" t="str" cm="1">
        <f t="array" ref="J1728">_xlfn.IFS(I1728="S","Southamptom",I1728="Q","Quentown",I1728="C","Cherbrug",I1728="B","Cabin")</f>
        <v>Southamptom</v>
      </c>
      <c r="K1728" t="s">
        <v>15</v>
      </c>
      <c r="L1728" s="2">
        <v>33</v>
      </c>
      <c r="M1728" s="2" t="str" cm="1">
        <f t="array" ref="M1728">_xlfn.IFS(L1728&lt;=15,"Low Fare",L1728&lt;=35,"Medium Fare",L1728&lt;=100,"High Fare",L1728&gt;=100,"Very High Fare")</f>
        <v>Medium Fare</v>
      </c>
      <c r="N1728" s="2">
        <v>1</v>
      </c>
      <c r="O1728" s="2" t="s">
        <v>30</v>
      </c>
      <c r="P1728" t="e">
        <f t="shared" si="105"/>
        <v>#VALUE!</v>
      </c>
      <c r="Q1728" t="e">
        <f t="shared" si="106"/>
        <v>#VALUE!</v>
      </c>
      <c r="R1728" t="str">
        <f t="shared" si="107"/>
        <v>No</v>
      </c>
      <c r="S1728" t="s">
        <v>13</v>
      </c>
    </row>
    <row r="1729" spans="1:19" hidden="1" x14ac:dyDescent="0.3">
      <c r="A1729" s="1" t="s">
        <v>476</v>
      </c>
      <c r="B1729" t="s">
        <v>1596</v>
      </c>
      <c r="C1729" t="s">
        <v>2937</v>
      </c>
      <c r="D1729" t="str">
        <f t="shared" si="104"/>
        <v>Male</v>
      </c>
      <c r="E1729" t="s">
        <v>9</v>
      </c>
      <c r="F1729" s="2">
        <v>32</v>
      </c>
      <c r="G1729" s="2" t="str" cm="1">
        <f t="array" ref="G1729">_xlfn.IFS(F1729&lt;=8,"Child",F1729&lt;=17,"Teen",F1729&lt;=35,"Adult",F1729&lt;=55,"Seniour Adult",F1729&gt;=55,"Old Age")</f>
        <v>Adult</v>
      </c>
      <c r="H1729" t="s">
        <v>71</v>
      </c>
      <c r="I1729" t="s">
        <v>11</v>
      </c>
      <c r="J1729" t="str" cm="1">
        <f t="array" ref="J1729">_xlfn.IFS(I1729="S","Southamptom",I1729="Q","Quentown",I1729="C","Cherbrug",I1729="B","Cabin")</f>
        <v>Southamptom</v>
      </c>
      <c r="K1729" t="s">
        <v>15</v>
      </c>
      <c r="L1729" s="2">
        <v>33</v>
      </c>
      <c r="M1729" s="2" t="str" cm="1">
        <f t="array" ref="M1729">_xlfn.IFS(L1729&lt;=15,"Low Fare",L1729&lt;=35,"Medium Fare",L1729&lt;=100,"High Fare",L1729&gt;=100,"Very High Fare")</f>
        <v>Medium Fare</v>
      </c>
      <c r="N1729" s="2">
        <v>1</v>
      </c>
      <c r="O1729" s="2" t="s">
        <v>30</v>
      </c>
      <c r="P1729" t="e">
        <f t="shared" si="105"/>
        <v>#VALUE!</v>
      </c>
      <c r="Q1729" t="e">
        <f t="shared" si="106"/>
        <v>#VALUE!</v>
      </c>
      <c r="R1729" t="str">
        <f t="shared" si="107"/>
        <v>Yes</v>
      </c>
      <c r="S1729" t="s">
        <v>16</v>
      </c>
    </row>
    <row r="1730" spans="1:19" hidden="1" x14ac:dyDescent="0.3">
      <c r="A1730" s="1" t="s">
        <v>476</v>
      </c>
      <c r="B1730" t="s">
        <v>1596</v>
      </c>
      <c r="C1730" t="s">
        <v>2938</v>
      </c>
      <c r="D1730" t="str">
        <f t="shared" si="104"/>
        <v>Male</v>
      </c>
      <c r="E1730" t="s">
        <v>9</v>
      </c>
      <c r="F1730" s="2">
        <v>21</v>
      </c>
      <c r="G1730" s="2" t="str" cm="1">
        <f t="array" ref="G1730">_xlfn.IFS(F1730&lt;=8,"Child",F1730&lt;=17,"Teen",F1730&lt;=35,"Adult",F1730&lt;=55,"Seniour Adult",F1730&gt;=55,"Old Age")</f>
        <v>Adult</v>
      </c>
      <c r="H1730" t="s">
        <v>69</v>
      </c>
      <c r="I1730" t="s">
        <v>11</v>
      </c>
      <c r="J1730" t="str" cm="1">
        <f t="array" ref="J1730">_xlfn.IFS(I1730="S","Southamptom",I1730="Q","Quentown",I1730="C","Cherbrug",I1730="B","Cabin")</f>
        <v>Southamptom</v>
      </c>
      <c r="K1730" t="s">
        <v>15</v>
      </c>
      <c r="L1730" s="2">
        <v>33</v>
      </c>
      <c r="M1730" s="2" t="str" cm="1">
        <f t="array" ref="M1730">_xlfn.IFS(L1730&lt;=15,"Low Fare",L1730&lt;=35,"Medium Fare",L1730&lt;=100,"High Fare",L1730&gt;=100,"Very High Fare")</f>
        <v>Medium Fare</v>
      </c>
      <c r="N1730" s="2">
        <v>1</v>
      </c>
      <c r="O1730" s="2" t="s">
        <v>30</v>
      </c>
      <c r="P1730" t="e">
        <f t="shared" si="105"/>
        <v>#VALUE!</v>
      </c>
      <c r="Q1730" t="e">
        <f t="shared" si="106"/>
        <v>#VALUE!</v>
      </c>
      <c r="R1730" t="str">
        <f t="shared" si="107"/>
        <v>No</v>
      </c>
      <c r="S1730" t="s">
        <v>13</v>
      </c>
    </row>
    <row r="1731" spans="1:19" hidden="1" x14ac:dyDescent="0.3">
      <c r="A1731" s="1" t="s">
        <v>1268</v>
      </c>
      <c r="B1731" t="s">
        <v>1596</v>
      </c>
      <c r="C1731" t="s">
        <v>2939</v>
      </c>
      <c r="D1731" t="str">
        <f t="shared" ref="D1731:D1794" si="108">PROPER(E1731)</f>
        <v>Male</v>
      </c>
      <c r="E1731" t="s">
        <v>9</v>
      </c>
      <c r="F1731" s="2">
        <v>24</v>
      </c>
      <c r="G1731" s="2" t="str" cm="1">
        <f t="array" ref="G1731">_xlfn.IFS(F1731&lt;=8,"Child",F1731&lt;=17,"Teen",F1731&lt;=35,"Adult",F1731&lt;=55,"Seniour Adult",F1731&gt;=55,"Old Age")</f>
        <v>Adult</v>
      </c>
      <c r="H1731" t="s">
        <v>70</v>
      </c>
      <c r="I1731" t="s">
        <v>11</v>
      </c>
      <c r="J1731" t="str" cm="1">
        <f t="array" ref="J1731">_xlfn.IFS(I1731="S","Southamptom",I1731="Q","Quentown",I1731="C","Cherbrug",I1731="B","Cabin")</f>
        <v>Southamptom</v>
      </c>
      <c r="K1731" t="s">
        <v>15</v>
      </c>
      <c r="L1731" s="2">
        <v>33</v>
      </c>
      <c r="M1731" s="2" t="str" cm="1">
        <f t="array" ref="M1731">_xlfn.IFS(L1731&lt;=15,"Low Fare",L1731&lt;=35,"Medium Fare",L1731&lt;=100,"High Fare",L1731&gt;=100,"Very High Fare")</f>
        <v>Medium Fare</v>
      </c>
      <c r="N1731" s="2">
        <v>1</v>
      </c>
      <c r="O1731" s="2" t="s">
        <v>30</v>
      </c>
      <c r="P1731" t="e">
        <f t="shared" ref="P1731:P1794" si="109">N1731+O1731+1</f>
        <v>#VALUE!</v>
      </c>
      <c r="Q1731" t="e">
        <f t="shared" ref="Q1731:Q1794" si="110">IF(P1731=1,"Alone","With Family")</f>
        <v>#VALUE!</v>
      </c>
      <c r="R1731" t="str">
        <f t="shared" ref="R1731:R1794" si="111">PROPER(S1731)</f>
        <v>No</v>
      </c>
      <c r="S1731" t="s">
        <v>13</v>
      </c>
    </row>
    <row r="1732" spans="1:19" hidden="1" x14ac:dyDescent="0.3">
      <c r="A1732" s="1" t="s">
        <v>1269</v>
      </c>
      <c r="B1732" t="s">
        <v>1596</v>
      </c>
      <c r="C1732" t="s">
        <v>2923</v>
      </c>
      <c r="D1732" t="str">
        <f t="shared" si="108"/>
        <v>Male</v>
      </c>
      <c r="E1732" t="s">
        <v>9</v>
      </c>
      <c r="F1732" s="2">
        <v>32</v>
      </c>
      <c r="G1732" s="2" t="str" cm="1">
        <f t="array" ref="G1732">_xlfn.IFS(F1732&lt;=8,"Child",F1732&lt;=17,"Teen",F1732&lt;=35,"Adult",F1732&lt;=55,"Seniour Adult",F1732&gt;=55,"Old Age")</f>
        <v>Adult</v>
      </c>
      <c r="H1732" t="s">
        <v>69</v>
      </c>
      <c r="I1732" t="s">
        <v>28</v>
      </c>
      <c r="J1732" t="str" cm="1">
        <f t="array" ref="J1732">_xlfn.IFS(I1732="S","Southamptom",I1732="Q","Quentown",I1732="C","Cherbrug",I1732="B","Cabin")</f>
        <v>Cabin</v>
      </c>
      <c r="K1732" t="s">
        <v>15</v>
      </c>
      <c r="L1732" s="2">
        <v>33</v>
      </c>
      <c r="M1732" s="2" t="str" cm="1">
        <f t="array" ref="M1732">_xlfn.IFS(L1732&lt;=15,"Low Fare",L1732&lt;=35,"Medium Fare",L1732&lt;=100,"High Fare",L1732&gt;=100,"Very High Fare")</f>
        <v>Medium Fare</v>
      </c>
      <c r="N1732" s="2">
        <v>1</v>
      </c>
      <c r="O1732" s="2" t="s">
        <v>30</v>
      </c>
      <c r="P1732" t="e">
        <f t="shared" si="109"/>
        <v>#VALUE!</v>
      </c>
      <c r="Q1732" t="e">
        <f t="shared" si="110"/>
        <v>#VALUE!</v>
      </c>
      <c r="R1732" t="str">
        <f t="shared" si="111"/>
        <v>Yes</v>
      </c>
      <c r="S1732" t="s">
        <v>16</v>
      </c>
    </row>
    <row r="1733" spans="1:19" hidden="1" x14ac:dyDescent="0.3">
      <c r="A1733" s="1" t="s">
        <v>1270</v>
      </c>
      <c r="B1733" t="s">
        <v>1596</v>
      </c>
      <c r="C1733" t="s">
        <v>1884</v>
      </c>
      <c r="D1733" t="str">
        <f t="shared" si="108"/>
        <v>Male</v>
      </c>
      <c r="E1733" t="s">
        <v>9</v>
      </c>
      <c r="F1733" s="2">
        <v>31</v>
      </c>
      <c r="G1733" s="2" t="str" cm="1">
        <f t="array" ref="G1733">_xlfn.IFS(F1733&lt;=8,"Child",F1733&lt;=17,"Teen",F1733&lt;=35,"Adult",F1733&lt;=55,"Seniour Adult",F1733&gt;=55,"Old Age")</f>
        <v>Adult</v>
      </c>
      <c r="H1733" t="s">
        <v>51</v>
      </c>
      <c r="I1733" t="s">
        <v>11</v>
      </c>
      <c r="J1733" t="str" cm="1">
        <f t="array" ref="J1733">_xlfn.IFS(I1733="S","Southamptom",I1733="Q","Quentown",I1733="C","Cherbrug",I1733="B","Cabin")</f>
        <v>Southamptom</v>
      </c>
      <c r="K1733" t="s">
        <v>15</v>
      </c>
      <c r="L1733" s="2">
        <v>33</v>
      </c>
      <c r="M1733" s="2" t="str" cm="1">
        <f t="array" ref="M1733">_xlfn.IFS(L1733&lt;=15,"Low Fare",L1733&lt;=35,"Medium Fare",L1733&lt;=100,"High Fare",L1733&gt;=100,"Very High Fare")</f>
        <v>Medium Fare</v>
      </c>
      <c r="N1733" s="2">
        <v>1</v>
      </c>
      <c r="O1733" s="2" t="s">
        <v>30</v>
      </c>
      <c r="P1733" t="e">
        <f t="shared" si="109"/>
        <v>#VALUE!</v>
      </c>
      <c r="Q1733" t="e">
        <f t="shared" si="110"/>
        <v>#VALUE!</v>
      </c>
      <c r="R1733" t="str">
        <f t="shared" si="111"/>
        <v>Yes</v>
      </c>
      <c r="S1733" t="s">
        <v>16</v>
      </c>
    </row>
    <row r="1734" spans="1:19" hidden="1" x14ac:dyDescent="0.3">
      <c r="A1734" s="1" t="s">
        <v>1271</v>
      </c>
      <c r="B1734" t="s">
        <v>1596</v>
      </c>
      <c r="C1734" t="s">
        <v>1703</v>
      </c>
      <c r="D1734" t="str">
        <f t="shared" si="108"/>
        <v>Male</v>
      </c>
      <c r="E1734" t="s">
        <v>9</v>
      </c>
      <c r="F1734" s="2">
        <v>38</v>
      </c>
      <c r="G1734" s="2" t="str" cm="1">
        <f t="array" ref="G1734">_xlfn.IFS(F1734&lt;=8,"Child",F1734&lt;=17,"Teen",F1734&lt;=35,"Adult",F1734&lt;=55,"Seniour Adult",F1734&gt;=55,"Old Age")</f>
        <v>Seniour Adult</v>
      </c>
      <c r="H1734" t="s">
        <v>51</v>
      </c>
      <c r="I1734" t="s">
        <v>11</v>
      </c>
      <c r="J1734" t="str" cm="1">
        <f t="array" ref="J1734">_xlfn.IFS(I1734="S","Southamptom",I1734="Q","Quentown",I1734="C","Cherbrug",I1734="B","Cabin")</f>
        <v>Southamptom</v>
      </c>
      <c r="K1734" t="s">
        <v>15</v>
      </c>
      <c r="L1734" s="2">
        <v>33</v>
      </c>
      <c r="M1734" s="2" t="str" cm="1">
        <f t="array" ref="M1734">_xlfn.IFS(L1734&lt;=15,"Low Fare",L1734&lt;=35,"Medium Fare",L1734&lt;=100,"High Fare",L1734&gt;=100,"Very High Fare")</f>
        <v>Medium Fare</v>
      </c>
      <c r="N1734" s="2">
        <v>1</v>
      </c>
      <c r="O1734" s="2" t="s">
        <v>30</v>
      </c>
      <c r="P1734" t="e">
        <f t="shared" si="109"/>
        <v>#VALUE!</v>
      </c>
      <c r="Q1734" t="e">
        <f t="shared" si="110"/>
        <v>#VALUE!</v>
      </c>
      <c r="R1734" t="str">
        <f t="shared" si="111"/>
        <v>No</v>
      </c>
      <c r="S1734" t="s">
        <v>13</v>
      </c>
    </row>
    <row r="1735" spans="1:19" hidden="1" x14ac:dyDescent="0.3">
      <c r="A1735" s="1" t="s">
        <v>1272</v>
      </c>
      <c r="B1735" t="s">
        <v>1596</v>
      </c>
      <c r="C1735" t="s">
        <v>2940</v>
      </c>
      <c r="D1735" t="str">
        <f t="shared" si="108"/>
        <v>Male</v>
      </c>
      <c r="E1735" t="s">
        <v>9</v>
      </c>
      <c r="F1735" s="2">
        <v>30</v>
      </c>
      <c r="G1735" s="2" t="str" cm="1">
        <f t="array" ref="G1735">_xlfn.IFS(F1735&lt;=8,"Child",F1735&lt;=17,"Teen",F1735&lt;=35,"Adult",F1735&lt;=55,"Seniour Adult",F1735&gt;=55,"Old Age")</f>
        <v>Adult</v>
      </c>
      <c r="H1735" t="s">
        <v>51</v>
      </c>
      <c r="I1735" t="s">
        <v>11</v>
      </c>
      <c r="J1735" t="str" cm="1">
        <f t="array" ref="J1735">_xlfn.IFS(I1735="S","Southamptom",I1735="Q","Quentown",I1735="C","Cherbrug",I1735="B","Cabin")</f>
        <v>Southamptom</v>
      </c>
      <c r="K1735" t="s">
        <v>15</v>
      </c>
      <c r="L1735" s="2">
        <v>33</v>
      </c>
      <c r="M1735" s="2" t="str" cm="1">
        <f t="array" ref="M1735">_xlfn.IFS(L1735&lt;=15,"Low Fare",L1735&lt;=35,"Medium Fare",L1735&lt;=100,"High Fare",L1735&gt;=100,"Very High Fare")</f>
        <v>Medium Fare</v>
      </c>
      <c r="N1735" s="2">
        <v>1</v>
      </c>
      <c r="O1735" s="2" t="s">
        <v>30</v>
      </c>
      <c r="P1735" t="e">
        <f t="shared" si="109"/>
        <v>#VALUE!</v>
      </c>
      <c r="Q1735" t="e">
        <f t="shared" si="110"/>
        <v>#VALUE!</v>
      </c>
      <c r="R1735" t="str">
        <f t="shared" si="111"/>
        <v>No</v>
      </c>
      <c r="S1735" t="s">
        <v>13</v>
      </c>
    </row>
    <row r="1736" spans="1:19" hidden="1" x14ac:dyDescent="0.3">
      <c r="A1736" s="1" t="s">
        <v>1273</v>
      </c>
      <c r="B1736" t="s">
        <v>1596</v>
      </c>
      <c r="C1736" t="s">
        <v>2941</v>
      </c>
      <c r="D1736" t="str">
        <f t="shared" si="108"/>
        <v>Male</v>
      </c>
      <c r="E1736" t="s">
        <v>9</v>
      </c>
      <c r="F1736" s="2">
        <v>40</v>
      </c>
      <c r="G1736" s="2" t="str" cm="1">
        <f t="array" ref="G1736">_xlfn.IFS(F1736&lt;=8,"Child",F1736&lt;=17,"Teen",F1736&lt;=35,"Adult",F1736&lt;=55,"Seniour Adult",F1736&gt;=55,"Old Age")</f>
        <v>Seniour Adult</v>
      </c>
      <c r="H1736" t="s">
        <v>51</v>
      </c>
      <c r="I1736" t="s">
        <v>11</v>
      </c>
      <c r="J1736" t="str" cm="1">
        <f t="array" ref="J1736">_xlfn.IFS(I1736="S","Southamptom",I1736="Q","Quentown",I1736="C","Cherbrug",I1736="B","Cabin")</f>
        <v>Southamptom</v>
      </c>
      <c r="K1736" t="s">
        <v>15</v>
      </c>
      <c r="L1736" s="2">
        <v>33</v>
      </c>
      <c r="M1736" s="2" t="str" cm="1">
        <f t="array" ref="M1736">_xlfn.IFS(L1736&lt;=15,"Low Fare",L1736&lt;=35,"Medium Fare",L1736&lt;=100,"High Fare",L1736&gt;=100,"Very High Fare")</f>
        <v>Medium Fare</v>
      </c>
      <c r="N1736" s="2">
        <v>1</v>
      </c>
      <c r="O1736" s="2" t="s">
        <v>30</v>
      </c>
      <c r="P1736" t="e">
        <f t="shared" si="109"/>
        <v>#VALUE!</v>
      </c>
      <c r="Q1736" t="e">
        <f t="shared" si="110"/>
        <v>#VALUE!</v>
      </c>
      <c r="R1736" t="str">
        <f t="shared" si="111"/>
        <v>Yes</v>
      </c>
      <c r="S1736" t="s">
        <v>16</v>
      </c>
    </row>
    <row r="1737" spans="1:19" hidden="1" x14ac:dyDescent="0.3">
      <c r="A1737" s="1" t="s">
        <v>1274</v>
      </c>
      <c r="B1737" t="s">
        <v>1596</v>
      </c>
      <c r="C1737" t="s">
        <v>1821</v>
      </c>
      <c r="D1737" t="str">
        <f t="shared" si="108"/>
        <v>Male</v>
      </c>
      <c r="E1737" t="s">
        <v>9</v>
      </c>
      <c r="F1737" s="2">
        <v>44</v>
      </c>
      <c r="G1737" s="2" t="str" cm="1">
        <f t="array" ref="G1737">_xlfn.IFS(F1737&lt;=8,"Child",F1737&lt;=17,"Teen",F1737&lt;=35,"Adult",F1737&lt;=55,"Seniour Adult",F1737&gt;=55,"Old Age")</f>
        <v>Seniour Adult</v>
      </c>
      <c r="H1737" t="s">
        <v>51</v>
      </c>
      <c r="I1737" t="s">
        <v>11</v>
      </c>
      <c r="J1737" t="str" cm="1">
        <f t="array" ref="J1737">_xlfn.IFS(I1737="S","Southamptom",I1737="Q","Quentown",I1737="C","Cherbrug",I1737="B","Cabin")</f>
        <v>Southamptom</v>
      </c>
      <c r="K1737" t="s">
        <v>15</v>
      </c>
      <c r="L1737" s="2">
        <v>33</v>
      </c>
      <c r="M1737" s="2" t="str" cm="1">
        <f t="array" ref="M1737">_xlfn.IFS(L1737&lt;=15,"Low Fare",L1737&lt;=35,"Medium Fare",L1737&lt;=100,"High Fare",L1737&gt;=100,"Very High Fare")</f>
        <v>Medium Fare</v>
      </c>
      <c r="N1737" s="2">
        <v>1</v>
      </c>
      <c r="O1737" s="2" t="s">
        <v>30</v>
      </c>
      <c r="P1737" t="e">
        <f t="shared" si="109"/>
        <v>#VALUE!</v>
      </c>
      <c r="Q1737" t="e">
        <f t="shared" si="110"/>
        <v>#VALUE!</v>
      </c>
      <c r="R1737" t="str">
        <f t="shared" si="111"/>
        <v>No</v>
      </c>
      <c r="S1737" t="s">
        <v>13</v>
      </c>
    </row>
    <row r="1738" spans="1:19" hidden="1" x14ac:dyDescent="0.3">
      <c r="A1738" s="1" t="s">
        <v>1274</v>
      </c>
      <c r="B1738" t="s">
        <v>1596</v>
      </c>
      <c r="C1738" t="s">
        <v>2034</v>
      </c>
      <c r="D1738" t="str">
        <f t="shared" si="108"/>
        <v>Male</v>
      </c>
      <c r="E1738" t="s">
        <v>9</v>
      </c>
      <c r="F1738" s="2">
        <v>25</v>
      </c>
      <c r="G1738" s="2" t="str" cm="1">
        <f t="array" ref="G1738">_xlfn.IFS(F1738&lt;=8,"Child",F1738&lt;=17,"Teen",F1738&lt;=35,"Adult",F1738&lt;=55,"Seniour Adult",F1738&gt;=55,"Old Age")</f>
        <v>Adult</v>
      </c>
      <c r="H1738" t="s">
        <v>51</v>
      </c>
      <c r="I1738" t="s">
        <v>11</v>
      </c>
      <c r="J1738" t="str" cm="1">
        <f t="array" ref="J1738">_xlfn.IFS(I1738="S","Southamptom",I1738="Q","Quentown",I1738="C","Cherbrug",I1738="B","Cabin")</f>
        <v>Southamptom</v>
      </c>
      <c r="K1738" t="s">
        <v>15</v>
      </c>
      <c r="L1738" s="2">
        <v>33</v>
      </c>
      <c r="M1738" s="2" t="str" cm="1">
        <f t="array" ref="M1738">_xlfn.IFS(L1738&lt;=15,"Low Fare",L1738&lt;=35,"Medium Fare",L1738&lt;=100,"High Fare",L1738&gt;=100,"Very High Fare")</f>
        <v>Medium Fare</v>
      </c>
      <c r="N1738" s="2">
        <v>1</v>
      </c>
      <c r="O1738" s="2" t="s">
        <v>30</v>
      </c>
      <c r="P1738" t="e">
        <f t="shared" si="109"/>
        <v>#VALUE!</v>
      </c>
      <c r="Q1738" t="e">
        <f t="shared" si="110"/>
        <v>#VALUE!</v>
      </c>
      <c r="R1738" t="str">
        <f t="shared" si="111"/>
        <v>No</v>
      </c>
      <c r="S1738" t="s">
        <v>13</v>
      </c>
    </row>
    <row r="1739" spans="1:19" hidden="1" x14ac:dyDescent="0.3">
      <c r="A1739" s="1" t="s">
        <v>1275</v>
      </c>
      <c r="B1739" t="s">
        <v>1596</v>
      </c>
      <c r="C1739" t="s">
        <v>2942</v>
      </c>
      <c r="D1739" t="str">
        <f t="shared" si="108"/>
        <v>Male</v>
      </c>
      <c r="E1739" t="s">
        <v>9</v>
      </c>
      <c r="F1739" s="2">
        <v>30</v>
      </c>
      <c r="G1739" s="2" t="str" cm="1">
        <f t="array" ref="G1739">_xlfn.IFS(F1739&lt;=8,"Child",F1739&lt;=17,"Teen",F1739&lt;=35,"Adult",F1739&lt;=55,"Seniour Adult",F1739&gt;=55,"Old Age")</f>
        <v>Adult</v>
      </c>
      <c r="H1739" t="s">
        <v>69</v>
      </c>
      <c r="I1739" t="s">
        <v>11</v>
      </c>
      <c r="J1739" t="str" cm="1">
        <f t="array" ref="J1739">_xlfn.IFS(I1739="S","Southamptom",I1739="Q","Quentown",I1739="C","Cherbrug",I1739="B","Cabin")</f>
        <v>Southamptom</v>
      </c>
      <c r="K1739" t="s">
        <v>15</v>
      </c>
      <c r="L1739" s="2">
        <v>33</v>
      </c>
      <c r="M1739" s="2" t="str" cm="1">
        <f t="array" ref="M1739">_xlfn.IFS(L1739&lt;=15,"Low Fare",L1739&lt;=35,"Medium Fare",L1739&lt;=100,"High Fare",L1739&gt;=100,"Very High Fare")</f>
        <v>Medium Fare</v>
      </c>
      <c r="N1739" s="2">
        <v>1</v>
      </c>
      <c r="O1739" s="2" t="s">
        <v>30</v>
      </c>
      <c r="P1739" t="e">
        <f t="shared" si="109"/>
        <v>#VALUE!</v>
      </c>
      <c r="Q1739" t="e">
        <f t="shared" si="110"/>
        <v>#VALUE!</v>
      </c>
      <c r="R1739" t="str">
        <f t="shared" si="111"/>
        <v>Yes</v>
      </c>
      <c r="S1739" t="s">
        <v>16</v>
      </c>
    </row>
    <row r="1740" spans="1:19" hidden="1" x14ac:dyDescent="0.3">
      <c r="A1740" s="1" t="s">
        <v>1276</v>
      </c>
      <c r="B1740" t="s">
        <v>1596</v>
      </c>
      <c r="C1740" t="s">
        <v>1645</v>
      </c>
      <c r="D1740" t="str">
        <f t="shared" si="108"/>
        <v>Male</v>
      </c>
      <c r="E1740" t="s">
        <v>9</v>
      </c>
      <c r="F1740" s="2">
        <v>18</v>
      </c>
      <c r="G1740" s="2" t="str" cm="1">
        <f t="array" ref="G1740">_xlfn.IFS(F1740&lt;=8,"Child",F1740&lt;=17,"Teen",F1740&lt;=35,"Adult",F1740&lt;=55,"Seniour Adult",F1740&gt;=55,"Old Age")</f>
        <v>Adult</v>
      </c>
      <c r="H1740" t="s">
        <v>69</v>
      </c>
      <c r="I1740" t="s">
        <v>11</v>
      </c>
      <c r="J1740" t="str" cm="1">
        <f t="array" ref="J1740">_xlfn.IFS(I1740="S","Southamptom",I1740="Q","Quentown",I1740="C","Cherbrug",I1740="B","Cabin")</f>
        <v>Southamptom</v>
      </c>
      <c r="K1740" t="s">
        <v>15</v>
      </c>
      <c r="L1740" s="2">
        <v>33</v>
      </c>
      <c r="M1740" s="2" t="str" cm="1">
        <f t="array" ref="M1740">_xlfn.IFS(L1740&lt;=15,"Low Fare",L1740&lt;=35,"Medium Fare",L1740&lt;=100,"High Fare",L1740&gt;=100,"Very High Fare")</f>
        <v>Medium Fare</v>
      </c>
      <c r="N1740" s="2">
        <v>1</v>
      </c>
      <c r="O1740" s="2" t="s">
        <v>30</v>
      </c>
      <c r="P1740" t="e">
        <f t="shared" si="109"/>
        <v>#VALUE!</v>
      </c>
      <c r="Q1740" t="e">
        <f t="shared" si="110"/>
        <v>#VALUE!</v>
      </c>
      <c r="R1740" t="str">
        <f t="shared" si="111"/>
        <v>No</v>
      </c>
      <c r="S1740" t="s">
        <v>13</v>
      </c>
    </row>
    <row r="1741" spans="1:19" hidden="1" x14ac:dyDescent="0.3">
      <c r="A1741" s="1" t="s">
        <v>494</v>
      </c>
      <c r="B1741" t="s">
        <v>1596</v>
      </c>
      <c r="C1741" t="s">
        <v>1619</v>
      </c>
      <c r="D1741" t="str">
        <f t="shared" si="108"/>
        <v>Male</v>
      </c>
      <c r="E1741" t="s">
        <v>9</v>
      </c>
      <c r="F1741" s="2">
        <v>23</v>
      </c>
      <c r="G1741" s="2" t="str" cm="1">
        <f t="array" ref="G1741">_xlfn.IFS(F1741&lt;=8,"Child",F1741&lt;=17,"Teen",F1741&lt;=35,"Adult",F1741&lt;=55,"Seniour Adult",F1741&gt;=55,"Old Age")</f>
        <v>Adult</v>
      </c>
      <c r="H1741" t="s">
        <v>51</v>
      </c>
      <c r="I1741" t="s">
        <v>28</v>
      </c>
      <c r="J1741" t="str" cm="1">
        <f t="array" ref="J1741">_xlfn.IFS(I1741="S","Southamptom",I1741="Q","Quentown",I1741="C","Cherbrug",I1741="B","Cabin")</f>
        <v>Cabin</v>
      </c>
      <c r="K1741" t="s">
        <v>43</v>
      </c>
      <c r="L1741" s="2">
        <v>33</v>
      </c>
      <c r="M1741" s="2" t="str" cm="1">
        <f t="array" ref="M1741">_xlfn.IFS(L1741&lt;=15,"Low Fare",L1741&lt;=35,"Medium Fare",L1741&lt;=100,"High Fare",L1741&gt;=100,"Very High Fare")</f>
        <v>Medium Fare</v>
      </c>
      <c r="N1741" s="2">
        <v>1</v>
      </c>
      <c r="O1741" s="2" t="s">
        <v>30</v>
      </c>
      <c r="P1741" t="e">
        <f t="shared" si="109"/>
        <v>#VALUE!</v>
      </c>
      <c r="Q1741" t="e">
        <f t="shared" si="110"/>
        <v>#VALUE!</v>
      </c>
      <c r="R1741" t="str">
        <f t="shared" si="111"/>
        <v>No</v>
      </c>
      <c r="S1741" t="s">
        <v>13</v>
      </c>
    </row>
    <row r="1742" spans="1:19" hidden="1" x14ac:dyDescent="0.3">
      <c r="A1742" s="1" t="s">
        <v>1277</v>
      </c>
      <c r="B1742" t="s">
        <v>1596</v>
      </c>
      <c r="C1742" t="s">
        <v>2038</v>
      </c>
      <c r="D1742" t="str">
        <f t="shared" si="108"/>
        <v>Male</v>
      </c>
      <c r="E1742" t="s">
        <v>9</v>
      </c>
      <c r="F1742" s="2">
        <v>22</v>
      </c>
      <c r="G1742" s="2" t="str" cm="1">
        <f t="array" ref="G1742">_xlfn.IFS(F1742&lt;=8,"Child",F1742&lt;=17,"Teen",F1742&lt;=35,"Adult",F1742&lt;=55,"Seniour Adult",F1742&gt;=55,"Old Age")</f>
        <v>Adult</v>
      </c>
      <c r="H1742" t="s">
        <v>51</v>
      </c>
      <c r="I1742" t="s">
        <v>11</v>
      </c>
      <c r="J1742" t="str" cm="1">
        <f t="array" ref="J1742">_xlfn.IFS(I1742="S","Southamptom",I1742="Q","Quentown",I1742="C","Cherbrug",I1742="B","Cabin")</f>
        <v>Southamptom</v>
      </c>
      <c r="K1742" t="s">
        <v>15</v>
      </c>
      <c r="L1742" s="2">
        <v>33</v>
      </c>
      <c r="M1742" s="2" t="str" cm="1">
        <f t="array" ref="M1742">_xlfn.IFS(L1742&lt;=15,"Low Fare",L1742&lt;=35,"Medium Fare",L1742&lt;=100,"High Fare",L1742&gt;=100,"Very High Fare")</f>
        <v>Medium Fare</v>
      </c>
      <c r="N1742" s="2">
        <v>1</v>
      </c>
      <c r="O1742" s="2" t="s">
        <v>30</v>
      </c>
      <c r="P1742" t="e">
        <f t="shared" si="109"/>
        <v>#VALUE!</v>
      </c>
      <c r="Q1742" t="e">
        <f t="shared" si="110"/>
        <v>#VALUE!</v>
      </c>
      <c r="R1742" t="str">
        <f t="shared" si="111"/>
        <v>Yes</v>
      </c>
      <c r="S1742" t="s">
        <v>16</v>
      </c>
    </row>
    <row r="1743" spans="1:19" hidden="1" x14ac:dyDescent="0.3">
      <c r="A1743" s="1" t="s">
        <v>1278</v>
      </c>
      <c r="B1743" t="s">
        <v>1596</v>
      </c>
      <c r="C1743" t="s">
        <v>2943</v>
      </c>
      <c r="D1743" t="str">
        <f t="shared" si="108"/>
        <v>Male</v>
      </c>
      <c r="E1743" t="s">
        <v>9</v>
      </c>
      <c r="F1743" s="2">
        <v>43</v>
      </c>
      <c r="G1743" s="2" t="str" cm="1">
        <f t="array" ref="G1743">_xlfn.IFS(F1743&lt;=8,"Child",F1743&lt;=17,"Teen",F1743&lt;=35,"Adult",F1743&lt;=55,"Seniour Adult",F1743&gt;=55,"Old Age")</f>
        <v>Seniour Adult</v>
      </c>
      <c r="H1743" t="s">
        <v>51</v>
      </c>
      <c r="I1743" t="s">
        <v>28</v>
      </c>
      <c r="J1743" t="str" cm="1">
        <f t="array" ref="J1743">_xlfn.IFS(I1743="S","Southamptom",I1743="Q","Quentown",I1743="C","Cherbrug",I1743="B","Cabin")</f>
        <v>Cabin</v>
      </c>
      <c r="K1743" t="s">
        <v>15</v>
      </c>
      <c r="L1743" s="2">
        <v>33</v>
      </c>
      <c r="M1743" s="2" t="str" cm="1">
        <f t="array" ref="M1743">_xlfn.IFS(L1743&lt;=15,"Low Fare",L1743&lt;=35,"Medium Fare",L1743&lt;=100,"High Fare",L1743&gt;=100,"Very High Fare")</f>
        <v>Medium Fare</v>
      </c>
      <c r="N1743" s="2">
        <v>1</v>
      </c>
      <c r="O1743" s="2" t="s">
        <v>30</v>
      </c>
      <c r="P1743" t="e">
        <f t="shared" si="109"/>
        <v>#VALUE!</v>
      </c>
      <c r="Q1743" t="e">
        <f t="shared" si="110"/>
        <v>#VALUE!</v>
      </c>
      <c r="R1743" t="str">
        <f t="shared" si="111"/>
        <v>No</v>
      </c>
      <c r="S1743" t="s">
        <v>13</v>
      </c>
    </row>
    <row r="1744" spans="1:19" hidden="1" x14ac:dyDescent="0.3">
      <c r="A1744" s="1" t="s">
        <v>1279</v>
      </c>
      <c r="B1744" t="s">
        <v>1596</v>
      </c>
      <c r="C1744" t="s">
        <v>2525</v>
      </c>
      <c r="D1744" t="str">
        <f t="shared" si="108"/>
        <v>Male</v>
      </c>
      <c r="E1744" t="s">
        <v>9</v>
      </c>
      <c r="F1744" s="2">
        <v>37</v>
      </c>
      <c r="G1744" s="2" t="str" cm="1">
        <f t="array" ref="G1744">_xlfn.IFS(F1744&lt;=8,"Child",F1744&lt;=17,"Teen",F1744&lt;=35,"Adult",F1744&lt;=55,"Seniour Adult",F1744&gt;=55,"Old Age")</f>
        <v>Seniour Adult</v>
      </c>
      <c r="H1744" t="s">
        <v>51</v>
      </c>
      <c r="I1744" t="s">
        <v>11</v>
      </c>
      <c r="J1744" t="str" cm="1">
        <f t="array" ref="J1744">_xlfn.IFS(I1744="S","Southamptom",I1744="Q","Quentown",I1744="C","Cherbrug",I1744="B","Cabin")</f>
        <v>Southamptom</v>
      </c>
      <c r="K1744" t="s">
        <v>15</v>
      </c>
      <c r="L1744" s="2">
        <v>33</v>
      </c>
      <c r="M1744" s="2" t="str" cm="1">
        <f t="array" ref="M1744">_xlfn.IFS(L1744&lt;=15,"Low Fare",L1744&lt;=35,"Medium Fare",L1744&lt;=100,"High Fare",L1744&gt;=100,"Very High Fare")</f>
        <v>Medium Fare</v>
      </c>
      <c r="N1744" s="2">
        <v>1</v>
      </c>
      <c r="O1744" s="2" t="s">
        <v>30</v>
      </c>
      <c r="P1744" t="e">
        <f t="shared" si="109"/>
        <v>#VALUE!</v>
      </c>
      <c r="Q1744" t="e">
        <f t="shared" si="110"/>
        <v>#VALUE!</v>
      </c>
      <c r="R1744" t="str">
        <f t="shared" si="111"/>
        <v>No</v>
      </c>
      <c r="S1744" t="s">
        <v>13</v>
      </c>
    </row>
    <row r="1745" spans="1:19" hidden="1" x14ac:dyDescent="0.3">
      <c r="A1745" s="1" t="s">
        <v>1280</v>
      </c>
      <c r="B1745" t="s">
        <v>1596</v>
      </c>
      <c r="C1745" t="s">
        <v>2259</v>
      </c>
      <c r="D1745" t="str">
        <f t="shared" si="108"/>
        <v>Male</v>
      </c>
      <c r="E1745" t="s">
        <v>9</v>
      </c>
      <c r="F1745" s="2">
        <v>30</v>
      </c>
      <c r="G1745" s="2" t="str" cm="1">
        <f t="array" ref="G1745">_xlfn.IFS(F1745&lt;=8,"Child",F1745&lt;=17,"Teen",F1745&lt;=35,"Adult",F1745&lt;=55,"Seniour Adult",F1745&gt;=55,"Old Age")</f>
        <v>Adult</v>
      </c>
      <c r="H1745" t="s">
        <v>69</v>
      </c>
      <c r="I1745" t="s">
        <v>11</v>
      </c>
      <c r="J1745" t="str" cm="1">
        <f t="array" ref="J1745">_xlfn.IFS(I1745="S","Southamptom",I1745="Q","Quentown",I1745="C","Cherbrug",I1745="B","Cabin")</f>
        <v>Southamptom</v>
      </c>
      <c r="K1745" t="s">
        <v>15</v>
      </c>
      <c r="L1745" s="2">
        <v>33</v>
      </c>
      <c r="M1745" s="2" t="str" cm="1">
        <f t="array" ref="M1745">_xlfn.IFS(L1745&lt;=15,"Low Fare",L1745&lt;=35,"Medium Fare",L1745&lt;=100,"High Fare",L1745&gt;=100,"Very High Fare")</f>
        <v>Medium Fare</v>
      </c>
      <c r="N1745" s="2">
        <v>1</v>
      </c>
      <c r="O1745" s="2" t="s">
        <v>30</v>
      </c>
      <c r="P1745" t="e">
        <f t="shared" si="109"/>
        <v>#VALUE!</v>
      </c>
      <c r="Q1745" t="e">
        <f t="shared" si="110"/>
        <v>#VALUE!</v>
      </c>
      <c r="R1745" t="str">
        <f t="shared" si="111"/>
        <v>No</v>
      </c>
      <c r="S1745" t="s">
        <v>13</v>
      </c>
    </row>
    <row r="1746" spans="1:19" hidden="1" x14ac:dyDescent="0.3">
      <c r="A1746" s="1" t="s">
        <v>1281</v>
      </c>
      <c r="B1746" t="s">
        <v>1596</v>
      </c>
      <c r="C1746" t="s">
        <v>2156</v>
      </c>
      <c r="D1746" t="str">
        <f t="shared" si="108"/>
        <v>Male</v>
      </c>
      <c r="E1746" t="s">
        <v>9</v>
      </c>
      <c r="F1746" s="2">
        <v>44</v>
      </c>
      <c r="G1746" s="2" t="str" cm="1">
        <f t="array" ref="G1746">_xlfn.IFS(F1746&lt;=8,"Child",F1746&lt;=17,"Teen",F1746&lt;=35,"Adult",F1746&lt;=55,"Seniour Adult",F1746&gt;=55,"Old Age")</f>
        <v>Seniour Adult</v>
      </c>
      <c r="H1746" t="s">
        <v>51</v>
      </c>
      <c r="I1746" t="s">
        <v>28</v>
      </c>
      <c r="J1746" t="str" cm="1">
        <f t="array" ref="J1746">_xlfn.IFS(I1746="S","Southamptom",I1746="Q","Quentown",I1746="C","Cherbrug",I1746="B","Cabin")</f>
        <v>Cabin</v>
      </c>
      <c r="K1746" t="s">
        <v>15</v>
      </c>
      <c r="L1746" s="2">
        <v>33</v>
      </c>
      <c r="M1746" s="2" t="str" cm="1">
        <f t="array" ref="M1746">_xlfn.IFS(L1746&lt;=15,"Low Fare",L1746&lt;=35,"Medium Fare",L1746&lt;=100,"High Fare",L1746&gt;=100,"Very High Fare")</f>
        <v>Medium Fare</v>
      </c>
      <c r="N1746" s="2">
        <v>1</v>
      </c>
      <c r="O1746" s="2" t="s">
        <v>30</v>
      </c>
      <c r="P1746" t="e">
        <f t="shared" si="109"/>
        <v>#VALUE!</v>
      </c>
      <c r="Q1746" t="e">
        <f t="shared" si="110"/>
        <v>#VALUE!</v>
      </c>
      <c r="R1746" t="str">
        <f t="shared" si="111"/>
        <v>No</v>
      </c>
      <c r="S1746" t="s">
        <v>13</v>
      </c>
    </row>
    <row r="1747" spans="1:19" hidden="1" x14ac:dyDescent="0.3">
      <c r="A1747" s="1" t="s">
        <v>1282</v>
      </c>
      <c r="B1747" t="s">
        <v>1596</v>
      </c>
      <c r="C1747" t="s">
        <v>1704</v>
      </c>
      <c r="D1747" t="str">
        <f t="shared" si="108"/>
        <v>Male</v>
      </c>
      <c r="E1747" t="s">
        <v>9</v>
      </c>
      <c r="F1747" s="2">
        <v>28</v>
      </c>
      <c r="G1747" s="2" t="str" cm="1">
        <f t="array" ref="G1747">_xlfn.IFS(F1747&lt;=8,"Child",F1747&lt;=17,"Teen",F1747&lt;=35,"Adult",F1747&lt;=55,"Seniour Adult",F1747&gt;=55,"Old Age")</f>
        <v>Adult</v>
      </c>
      <c r="H1747" t="s">
        <v>69</v>
      </c>
      <c r="I1747" t="s">
        <v>11</v>
      </c>
      <c r="J1747" t="str" cm="1">
        <f t="array" ref="J1747">_xlfn.IFS(I1747="S","Southamptom",I1747="Q","Quentown",I1747="C","Cherbrug",I1747="B","Cabin")</f>
        <v>Southamptom</v>
      </c>
      <c r="K1747" t="s">
        <v>15</v>
      </c>
      <c r="L1747" s="2">
        <v>33</v>
      </c>
      <c r="M1747" s="2" t="str" cm="1">
        <f t="array" ref="M1747">_xlfn.IFS(L1747&lt;=15,"Low Fare",L1747&lt;=35,"Medium Fare",L1747&lt;=100,"High Fare",L1747&gt;=100,"Very High Fare")</f>
        <v>Medium Fare</v>
      </c>
      <c r="N1747" s="2">
        <v>1</v>
      </c>
      <c r="O1747" s="2" t="s">
        <v>30</v>
      </c>
      <c r="P1747" t="e">
        <f t="shared" si="109"/>
        <v>#VALUE!</v>
      </c>
      <c r="Q1747" t="e">
        <f t="shared" si="110"/>
        <v>#VALUE!</v>
      </c>
      <c r="R1747" t="str">
        <f t="shared" si="111"/>
        <v>No</v>
      </c>
      <c r="S1747" t="s">
        <v>13</v>
      </c>
    </row>
    <row r="1748" spans="1:19" hidden="1" x14ac:dyDescent="0.3">
      <c r="A1748" s="1" t="s">
        <v>1283</v>
      </c>
      <c r="B1748" t="s">
        <v>1596</v>
      </c>
      <c r="C1748" t="s">
        <v>2944</v>
      </c>
      <c r="D1748" t="str">
        <f t="shared" si="108"/>
        <v>Male</v>
      </c>
      <c r="E1748" t="s">
        <v>9</v>
      </c>
      <c r="F1748" s="2">
        <v>26</v>
      </c>
      <c r="G1748" s="2" t="str" cm="1">
        <f t="array" ref="G1748">_xlfn.IFS(F1748&lt;=8,"Child",F1748&lt;=17,"Teen",F1748&lt;=35,"Adult",F1748&lt;=55,"Seniour Adult",F1748&gt;=55,"Old Age")</f>
        <v>Adult</v>
      </c>
      <c r="H1748" t="s">
        <v>51</v>
      </c>
      <c r="I1748" t="s">
        <v>11</v>
      </c>
      <c r="J1748" t="str" cm="1">
        <f t="array" ref="J1748">_xlfn.IFS(I1748="S","Southamptom",I1748="Q","Quentown",I1748="C","Cherbrug",I1748="B","Cabin")</f>
        <v>Southamptom</v>
      </c>
      <c r="K1748" t="s">
        <v>43</v>
      </c>
      <c r="L1748" s="2">
        <v>33</v>
      </c>
      <c r="M1748" s="2" t="str" cm="1">
        <f t="array" ref="M1748">_xlfn.IFS(L1748&lt;=15,"Low Fare",L1748&lt;=35,"Medium Fare",L1748&lt;=100,"High Fare",L1748&gt;=100,"Very High Fare")</f>
        <v>Medium Fare</v>
      </c>
      <c r="N1748" s="2">
        <v>1</v>
      </c>
      <c r="O1748" s="2" t="s">
        <v>30</v>
      </c>
      <c r="P1748" t="e">
        <f t="shared" si="109"/>
        <v>#VALUE!</v>
      </c>
      <c r="Q1748" t="e">
        <f t="shared" si="110"/>
        <v>#VALUE!</v>
      </c>
      <c r="R1748" t="str">
        <f t="shared" si="111"/>
        <v>No</v>
      </c>
      <c r="S1748" t="s">
        <v>13</v>
      </c>
    </row>
    <row r="1749" spans="1:19" hidden="1" x14ac:dyDescent="0.3">
      <c r="A1749" s="1" t="s">
        <v>1284</v>
      </c>
      <c r="B1749" t="s">
        <v>1596</v>
      </c>
      <c r="C1749" t="s">
        <v>1728</v>
      </c>
      <c r="D1749" t="str">
        <f t="shared" si="108"/>
        <v>Male</v>
      </c>
      <c r="E1749" t="s">
        <v>9</v>
      </c>
      <c r="F1749" s="2">
        <v>36</v>
      </c>
      <c r="G1749" s="2" t="str" cm="1">
        <f t="array" ref="G1749">_xlfn.IFS(F1749&lt;=8,"Child",F1749&lt;=17,"Teen",F1749&lt;=35,"Adult",F1749&lt;=55,"Seniour Adult",F1749&gt;=55,"Old Age")</f>
        <v>Seniour Adult</v>
      </c>
      <c r="H1749" t="s">
        <v>69</v>
      </c>
      <c r="I1749" t="s">
        <v>28</v>
      </c>
      <c r="J1749" t="str" cm="1">
        <f t="array" ref="J1749">_xlfn.IFS(I1749="S","Southamptom",I1749="Q","Quentown",I1749="C","Cherbrug",I1749="B","Cabin")</f>
        <v>Cabin</v>
      </c>
      <c r="K1749" t="s">
        <v>15</v>
      </c>
      <c r="L1749" s="2">
        <v>33</v>
      </c>
      <c r="M1749" s="2" t="str" cm="1">
        <f t="array" ref="M1749">_xlfn.IFS(L1749&lt;=15,"Low Fare",L1749&lt;=35,"Medium Fare",L1749&lt;=100,"High Fare",L1749&gt;=100,"Very High Fare")</f>
        <v>Medium Fare</v>
      </c>
      <c r="N1749" s="2">
        <v>1</v>
      </c>
      <c r="O1749" s="2" t="s">
        <v>30</v>
      </c>
      <c r="P1749" t="e">
        <f t="shared" si="109"/>
        <v>#VALUE!</v>
      </c>
      <c r="Q1749" t="e">
        <f t="shared" si="110"/>
        <v>#VALUE!</v>
      </c>
      <c r="R1749" t="str">
        <f t="shared" si="111"/>
        <v>No</v>
      </c>
      <c r="S1749" t="s">
        <v>13</v>
      </c>
    </row>
    <row r="1750" spans="1:19" hidden="1" x14ac:dyDescent="0.3">
      <c r="A1750" s="1" t="s">
        <v>1285</v>
      </c>
      <c r="B1750" t="s">
        <v>1596</v>
      </c>
      <c r="C1750" t="s">
        <v>2945</v>
      </c>
      <c r="D1750" t="str">
        <f t="shared" si="108"/>
        <v>Male</v>
      </c>
      <c r="E1750" t="s">
        <v>9</v>
      </c>
      <c r="F1750" s="2">
        <v>34</v>
      </c>
      <c r="G1750" s="2" t="str" cm="1">
        <f t="array" ref="G1750">_xlfn.IFS(F1750&lt;=8,"Child",F1750&lt;=17,"Teen",F1750&lt;=35,"Adult",F1750&lt;=55,"Seniour Adult",F1750&gt;=55,"Old Age")</f>
        <v>Adult</v>
      </c>
      <c r="H1750" t="s">
        <v>69</v>
      </c>
      <c r="I1750" t="s">
        <v>11</v>
      </c>
      <c r="J1750" t="str" cm="1">
        <f t="array" ref="J1750">_xlfn.IFS(I1750="S","Southamptom",I1750="Q","Quentown",I1750="C","Cherbrug",I1750="B","Cabin")</f>
        <v>Southamptom</v>
      </c>
      <c r="K1750" t="s">
        <v>37</v>
      </c>
      <c r="L1750" s="2">
        <v>33</v>
      </c>
      <c r="M1750" s="2" t="str" cm="1">
        <f t="array" ref="M1750">_xlfn.IFS(L1750&lt;=15,"Low Fare",L1750&lt;=35,"Medium Fare",L1750&lt;=100,"High Fare",L1750&gt;=100,"Very High Fare")</f>
        <v>Medium Fare</v>
      </c>
      <c r="N1750" s="2">
        <v>1</v>
      </c>
      <c r="O1750" s="2" t="s">
        <v>30</v>
      </c>
      <c r="P1750" t="e">
        <f t="shared" si="109"/>
        <v>#VALUE!</v>
      </c>
      <c r="Q1750" t="e">
        <f t="shared" si="110"/>
        <v>#VALUE!</v>
      </c>
      <c r="R1750" t="str">
        <f t="shared" si="111"/>
        <v>No</v>
      </c>
      <c r="S1750" t="s">
        <v>13</v>
      </c>
    </row>
    <row r="1751" spans="1:19" hidden="1" x14ac:dyDescent="0.3">
      <c r="A1751" s="1" t="s">
        <v>1285</v>
      </c>
      <c r="B1751" t="s">
        <v>1596</v>
      </c>
      <c r="C1751" t="s">
        <v>2638</v>
      </c>
      <c r="D1751" t="str">
        <f t="shared" si="108"/>
        <v>Male</v>
      </c>
      <c r="E1751" t="s">
        <v>9</v>
      </c>
      <c r="F1751" s="2">
        <v>35</v>
      </c>
      <c r="G1751" s="2" t="str" cm="1">
        <f t="array" ref="G1751">_xlfn.IFS(F1751&lt;=8,"Child",F1751&lt;=17,"Teen",F1751&lt;=35,"Adult",F1751&lt;=55,"Seniour Adult",F1751&gt;=55,"Old Age")</f>
        <v>Adult</v>
      </c>
      <c r="H1751" t="s">
        <v>69</v>
      </c>
      <c r="I1751" t="s">
        <v>11</v>
      </c>
      <c r="J1751" t="str" cm="1">
        <f t="array" ref="J1751">_xlfn.IFS(I1751="S","Southamptom",I1751="Q","Quentown",I1751="C","Cherbrug",I1751="B","Cabin")</f>
        <v>Southamptom</v>
      </c>
      <c r="K1751" t="s">
        <v>15</v>
      </c>
      <c r="L1751" s="2">
        <v>33</v>
      </c>
      <c r="M1751" s="2" t="str" cm="1">
        <f t="array" ref="M1751">_xlfn.IFS(L1751&lt;=15,"Low Fare",L1751&lt;=35,"Medium Fare",L1751&lt;=100,"High Fare",L1751&gt;=100,"Very High Fare")</f>
        <v>Medium Fare</v>
      </c>
      <c r="N1751" s="2">
        <v>1</v>
      </c>
      <c r="O1751" s="2" t="s">
        <v>30</v>
      </c>
      <c r="P1751" t="e">
        <f t="shared" si="109"/>
        <v>#VALUE!</v>
      </c>
      <c r="Q1751" t="e">
        <f t="shared" si="110"/>
        <v>#VALUE!</v>
      </c>
      <c r="R1751" t="str">
        <f t="shared" si="111"/>
        <v>No</v>
      </c>
      <c r="S1751" t="s">
        <v>13</v>
      </c>
    </row>
    <row r="1752" spans="1:19" hidden="1" x14ac:dyDescent="0.3">
      <c r="A1752" s="1" t="s">
        <v>1286</v>
      </c>
      <c r="B1752" t="s">
        <v>1596</v>
      </c>
      <c r="C1752" t="s">
        <v>2946</v>
      </c>
      <c r="D1752" t="str">
        <f t="shared" si="108"/>
        <v>Male</v>
      </c>
      <c r="E1752" t="s">
        <v>9</v>
      </c>
      <c r="F1752" s="2">
        <v>18</v>
      </c>
      <c r="G1752" s="2" t="str" cm="1">
        <f t="array" ref="G1752">_xlfn.IFS(F1752&lt;=8,"Child",F1752&lt;=17,"Teen",F1752&lt;=35,"Adult",F1752&lt;=55,"Seniour Adult",F1752&gt;=55,"Old Age")</f>
        <v>Adult</v>
      </c>
      <c r="H1752" t="s">
        <v>69</v>
      </c>
      <c r="I1752" t="s">
        <v>11</v>
      </c>
      <c r="J1752" t="str" cm="1">
        <f t="array" ref="J1752">_xlfn.IFS(I1752="S","Southamptom",I1752="Q","Quentown",I1752="C","Cherbrug",I1752="B","Cabin")</f>
        <v>Southamptom</v>
      </c>
      <c r="K1752" t="s">
        <v>15</v>
      </c>
      <c r="L1752" s="2">
        <v>33</v>
      </c>
      <c r="M1752" s="2" t="str" cm="1">
        <f t="array" ref="M1752">_xlfn.IFS(L1752&lt;=15,"Low Fare",L1752&lt;=35,"Medium Fare",L1752&lt;=100,"High Fare",L1752&gt;=100,"Very High Fare")</f>
        <v>Medium Fare</v>
      </c>
      <c r="N1752" s="2">
        <v>1</v>
      </c>
      <c r="O1752" s="2" t="s">
        <v>30</v>
      </c>
      <c r="P1752" t="e">
        <f t="shared" si="109"/>
        <v>#VALUE!</v>
      </c>
      <c r="Q1752" t="e">
        <f t="shared" si="110"/>
        <v>#VALUE!</v>
      </c>
      <c r="R1752" t="str">
        <f t="shared" si="111"/>
        <v>No</v>
      </c>
      <c r="S1752" t="s">
        <v>13</v>
      </c>
    </row>
    <row r="1753" spans="1:19" hidden="1" x14ac:dyDescent="0.3">
      <c r="A1753" s="1" t="s">
        <v>1286</v>
      </c>
      <c r="B1753" t="s">
        <v>1596</v>
      </c>
      <c r="C1753" t="s">
        <v>2947</v>
      </c>
      <c r="D1753" t="str">
        <f t="shared" si="108"/>
        <v>Male</v>
      </c>
      <c r="E1753" t="s">
        <v>9</v>
      </c>
      <c r="F1753" s="2">
        <v>28</v>
      </c>
      <c r="G1753" s="2" t="str" cm="1">
        <f t="array" ref="G1753">_xlfn.IFS(F1753&lt;=8,"Child",F1753&lt;=17,"Teen",F1753&lt;=35,"Adult",F1753&lt;=55,"Seniour Adult",F1753&gt;=55,"Old Age")</f>
        <v>Adult</v>
      </c>
      <c r="H1753" t="s">
        <v>69</v>
      </c>
      <c r="I1753" t="s">
        <v>11</v>
      </c>
      <c r="J1753" t="str" cm="1">
        <f t="array" ref="J1753">_xlfn.IFS(I1753="S","Southamptom",I1753="Q","Quentown",I1753="C","Cherbrug",I1753="B","Cabin")</f>
        <v>Southamptom</v>
      </c>
      <c r="K1753" t="s">
        <v>37</v>
      </c>
      <c r="L1753" s="2">
        <v>33</v>
      </c>
      <c r="M1753" s="2" t="str" cm="1">
        <f t="array" ref="M1753">_xlfn.IFS(L1753&lt;=15,"Low Fare",L1753&lt;=35,"Medium Fare",L1753&lt;=100,"High Fare",L1753&gt;=100,"Very High Fare")</f>
        <v>Medium Fare</v>
      </c>
      <c r="N1753" s="2">
        <v>1</v>
      </c>
      <c r="O1753" s="2" t="s">
        <v>30</v>
      </c>
      <c r="P1753" t="e">
        <f t="shared" si="109"/>
        <v>#VALUE!</v>
      </c>
      <c r="Q1753" t="e">
        <f t="shared" si="110"/>
        <v>#VALUE!</v>
      </c>
      <c r="R1753" t="str">
        <f t="shared" si="111"/>
        <v>No</v>
      </c>
      <c r="S1753" t="s">
        <v>13</v>
      </c>
    </row>
    <row r="1754" spans="1:19" hidden="1" x14ac:dyDescent="0.3">
      <c r="A1754" s="1" t="s">
        <v>1286</v>
      </c>
      <c r="B1754" t="s">
        <v>1596</v>
      </c>
      <c r="C1754" t="s">
        <v>2948</v>
      </c>
      <c r="D1754" t="str">
        <f t="shared" si="108"/>
        <v>Male</v>
      </c>
      <c r="E1754" t="s">
        <v>9</v>
      </c>
      <c r="F1754" s="2">
        <v>20</v>
      </c>
      <c r="G1754" s="2" t="str" cm="1">
        <f t="array" ref="G1754">_xlfn.IFS(F1754&lt;=8,"Child",F1754&lt;=17,"Teen",F1754&lt;=35,"Adult",F1754&lt;=55,"Seniour Adult",F1754&gt;=55,"Old Age")</f>
        <v>Adult</v>
      </c>
      <c r="H1754" t="s">
        <v>69</v>
      </c>
      <c r="I1754" t="s">
        <v>11</v>
      </c>
      <c r="J1754" t="str" cm="1">
        <f t="array" ref="J1754">_xlfn.IFS(I1754="S","Southamptom",I1754="Q","Quentown",I1754="C","Cherbrug",I1754="B","Cabin")</f>
        <v>Southamptom</v>
      </c>
      <c r="K1754" t="s">
        <v>15</v>
      </c>
      <c r="L1754" s="2">
        <v>33</v>
      </c>
      <c r="M1754" s="2" t="str" cm="1">
        <f t="array" ref="M1754">_xlfn.IFS(L1754&lt;=15,"Low Fare",L1754&lt;=35,"Medium Fare",L1754&lt;=100,"High Fare",L1754&gt;=100,"Very High Fare")</f>
        <v>Medium Fare</v>
      </c>
      <c r="N1754" s="2">
        <v>1</v>
      </c>
      <c r="O1754" s="2" t="s">
        <v>30</v>
      </c>
      <c r="P1754" t="e">
        <f t="shared" si="109"/>
        <v>#VALUE!</v>
      </c>
      <c r="Q1754" t="e">
        <f t="shared" si="110"/>
        <v>#VALUE!</v>
      </c>
      <c r="R1754" t="str">
        <f t="shared" si="111"/>
        <v>No</v>
      </c>
      <c r="S1754" t="s">
        <v>13</v>
      </c>
    </row>
    <row r="1755" spans="1:19" hidden="1" x14ac:dyDescent="0.3">
      <c r="A1755" s="1" t="s">
        <v>1286</v>
      </c>
      <c r="B1755" t="s">
        <v>1596</v>
      </c>
      <c r="C1755" t="s">
        <v>2949</v>
      </c>
      <c r="D1755" t="str">
        <f t="shared" si="108"/>
        <v>Male</v>
      </c>
      <c r="E1755" t="s">
        <v>9</v>
      </c>
      <c r="F1755" s="2">
        <v>42</v>
      </c>
      <c r="G1755" s="2" t="str" cm="1">
        <f t="array" ref="G1755">_xlfn.IFS(F1755&lt;=8,"Child",F1755&lt;=17,"Teen",F1755&lt;=35,"Adult",F1755&lt;=55,"Seniour Adult",F1755&gt;=55,"Old Age")</f>
        <v>Seniour Adult</v>
      </c>
      <c r="H1755" t="s">
        <v>71</v>
      </c>
      <c r="I1755" t="s">
        <v>11</v>
      </c>
      <c r="J1755" t="str" cm="1">
        <f t="array" ref="J1755">_xlfn.IFS(I1755="S","Southamptom",I1755="Q","Quentown",I1755="C","Cherbrug",I1755="B","Cabin")</f>
        <v>Southamptom</v>
      </c>
      <c r="K1755" t="s">
        <v>15</v>
      </c>
      <c r="L1755" s="2">
        <v>33</v>
      </c>
      <c r="M1755" s="2" t="str" cm="1">
        <f t="array" ref="M1755">_xlfn.IFS(L1755&lt;=15,"Low Fare",L1755&lt;=35,"Medium Fare",L1755&lt;=100,"High Fare",L1755&gt;=100,"Very High Fare")</f>
        <v>Medium Fare</v>
      </c>
      <c r="N1755" s="2">
        <v>1</v>
      </c>
      <c r="O1755" s="2" t="s">
        <v>30</v>
      </c>
      <c r="P1755" t="e">
        <f t="shared" si="109"/>
        <v>#VALUE!</v>
      </c>
      <c r="Q1755" t="e">
        <f t="shared" si="110"/>
        <v>#VALUE!</v>
      </c>
      <c r="R1755" t="str">
        <f t="shared" si="111"/>
        <v>No</v>
      </c>
      <c r="S1755" t="s">
        <v>13</v>
      </c>
    </row>
    <row r="1756" spans="1:19" hidden="1" x14ac:dyDescent="0.3">
      <c r="A1756" s="1" t="s">
        <v>1287</v>
      </c>
      <c r="B1756" t="s">
        <v>1596</v>
      </c>
      <c r="C1756" t="s">
        <v>2950</v>
      </c>
      <c r="D1756" t="str">
        <f t="shared" si="108"/>
        <v>Male</v>
      </c>
      <c r="E1756" t="s">
        <v>9</v>
      </c>
      <c r="F1756" s="2">
        <v>48</v>
      </c>
      <c r="G1756" s="2" t="str" cm="1">
        <f t="array" ref="G1756">_xlfn.IFS(F1756&lt;=8,"Child",F1756&lt;=17,"Teen",F1756&lt;=35,"Adult",F1756&lt;=55,"Seniour Adult",F1756&gt;=55,"Old Age")</f>
        <v>Seniour Adult</v>
      </c>
      <c r="H1756" t="s">
        <v>69</v>
      </c>
      <c r="I1756" t="s">
        <v>11</v>
      </c>
      <c r="J1756" t="str" cm="1">
        <f t="array" ref="J1756">_xlfn.IFS(I1756="S","Southamptom",I1756="Q","Quentown",I1756="C","Cherbrug",I1756="B","Cabin")</f>
        <v>Southamptom</v>
      </c>
      <c r="K1756" t="s">
        <v>15</v>
      </c>
      <c r="L1756" s="2">
        <v>33</v>
      </c>
      <c r="M1756" s="2" t="str" cm="1">
        <f t="array" ref="M1756">_xlfn.IFS(L1756&lt;=15,"Low Fare",L1756&lt;=35,"Medium Fare",L1756&lt;=100,"High Fare",L1756&gt;=100,"Very High Fare")</f>
        <v>Medium Fare</v>
      </c>
      <c r="N1756" s="2">
        <v>1</v>
      </c>
      <c r="O1756" s="2" t="s">
        <v>30</v>
      </c>
      <c r="P1756" t="e">
        <f t="shared" si="109"/>
        <v>#VALUE!</v>
      </c>
      <c r="Q1756" t="e">
        <f t="shared" si="110"/>
        <v>#VALUE!</v>
      </c>
      <c r="R1756" t="str">
        <f t="shared" si="111"/>
        <v>No</v>
      </c>
      <c r="S1756" t="s">
        <v>13</v>
      </c>
    </row>
    <row r="1757" spans="1:19" hidden="1" x14ac:dyDescent="0.3">
      <c r="A1757" s="1" t="s">
        <v>1288</v>
      </c>
      <c r="B1757" t="s">
        <v>1596</v>
      </c>
      <c r="C1757" t="s">
        <v>2951</v>
      </c>
      <c r="D1757" t="str">
        <f t="shared" si="108"/>
        <v>Male</v>
      </c>
      <c r="E1757" t="s">
        <v>9</v>
      </c>
      <c r="F1757" s="2">
        <v>30</v>
      </c>
      <c r="G1757" s="2" t="str" cm="1">
        <f t="array" ref="G1757">_xlfn.IFS(F1757&lt;=8,"Child",F1757&lt;=17,"Teen",F1757&lt;=35,"Adult",F1757&lt;=55,"Seniour Adult",F1757&gt;=55,"Old Age")</f>
        <v>Adult</v>
      </c>
      <c r="H1757" t="s">
        <v>51</v>
      </c>
      <c r="I1757" t="s">
        <v>11</v>
      </c>
      <c r="J1757" t="str" cm="1">
        <f t="array" ref="J1757">_xlfn.IFS(I1757="S","Southamptom",I1757="Q","Quentown",I1757="C","Cherbrug",I1757="B","Cabin")</f>
        <v>Southamptom</v>
      </c>
      <c r="K1757" t="s">
        <v>15</v>
      </c>
      <c r="L1757" s="2">
        <v>33</v>
      </c>
      <c r="M1757" s="2" t="str" cm="1">
        <f t="array" ref="M1757">_xlfn.IFS(L1757&lt;=15,"Low Fare",L1757&lt;=35,"Medium Fare",L1757&lt;=100,"High Fare",L1757&gt;=100,"Very High Fare")</f>
        <v>Medium Fare</v>
      </c>
      <c r="N1757" s="2">
        <v>1</v>
      </c>
      <c r="O1757" s="2" t="s">
        <v>30</v>
      </c>
      <c r="P1757" t="e">
        <f t="shared" si="109"/>
        <v>#VALUE!</v>
      </c>
      <c r="Q1757" t="e">
        <f t="shared" si="110"/>
        <v>#VALUE!</v>
      </c>
      <c r="R1757" t="str">
        <f t="shared" si="111"/>
        <v>No</v>
      </c>
      <c r="S1757" t="s">
        <v>13</v>
      </c>
    </row>
    <row r="1758" spans="1:19" hidden="1" x14ac:dyDescent="0.3">
      <c r="A1758" s="1" t="s">
        <v>1289</v>
      </c>
      <c r="B1758" t="s">
        <v>1596</v>
      </c>
      <c r="C1758" t="s">
        <v>2952</v>
      </c>
      <c r="D1758" t="str">
        <f t="shared" si="108"/>
        <v>Male</v>
      </c>
      <c r="E1758" t="s">
        <v>9</v>
      </c>
      <c r="F1758" s="2">
        <v>36</v>
      </c>
      <c r="G1758" s="2" t="str" cm="1">
        <f t="array" ref="G1758">_xlfn.IFS(F1758&lt;=8,"Child",F1758&lt;=17,"Teen",F1758&lt;=35,"Adult",F1758&lt;=55,"Seniour Adult",F1758&gt;=55,"Old Age")</f>
        <v>Seniour Adult</v>
      </c>
      <c r="H1758" t="s">
        <v>69</v>
      </c>
      <c r="I1758" t="s">
        <v>11</v>
      </c>
      <c r="J1758" t="str" cm="1">
        <f t="array" ref="J1758">_xlfn.IFS(I1758="S","Southamptom",I1758="Q","Quentown",I1758="C","Cherbrug",I1758="B","Cabin")</f>
        <v>Southamptom</v>
      </c>
      <c r="K1758" t="s">
        <v>15</v>
      </c>
      <c r="L1758" s="2">
        <v>33</v>
      </c>
      <c r="M1758" s="2" t="str" cm="1">
        <f t="array" ref="M1758">_xlfn.IFS(L1758&lt;=15,"Low Fare",L1758&lt;=35,"Medium Fare",L1758&lt;=100,"High Fare",L1758&gt;=100,"Very High Fare")</f>
        <v>Medium Fare</v>
      </c>
      <c r="N1758" s="2">
        <v>1</v>
      </c>
      <c r="O1758" s="2" t="s">
        <v>30</v>
      </c>
      <c r="P1758" t="e">
        <f t="shared" si="109"/>
        <v>#VALUE!</v>
      </c>
      <c r="Q1758" t="e">
        <f t="shared" si="110"/>
        <v>#VALUE!</v>
      </c>
      <c r="R1758" t="str">
        <f t="shared" si="111"/>
        <v>No</v>
      </c>
      <c r="S1758" t="s">
        <v>13</v>
      </c>
    </row>
    <row r="1759" spans="1:19" hidden="1" x14ac:dyDescent="0.3">
      <c r="A1759" s="1" t="s">
        <v>1290</v>
      </c>
      <c r="B1759" t="s">
        <v>1596</v>
      </c>
      <c r="C1759" t="s">
        <v>1965</v>
      </c>
      <c r="D1759" t="str">
        <f t="shared" si="108"/>
        <v>Male</v>
      </c>
      <c r="E1759" t="s">
        <v>9</v>
      </c>
      <c r="F1759" s="2">
        <v>43</v>
      </c>
      <c r="G1759" s="2" t="str" cm="1">
        <f t="array" ref="G1759">_xlfn.IFS(F1759&lt;=8,"Child",F1759&lt;=17,"Teen",F1759&lt;=35,"Adult",F1759&lt;=55,"Seniour Adult",F1759&gt;=55,"Old Age")</f>
        <v>Seniour Adult</v>
      </c>
      <c r="H1759" t="s">
        <v>51</v>
      </c>
      <c r="I1759" t="s">
        <v>11</v>
      </c>
      <c r="J1759" t="str" cm="1">
        <f t="array" ref="J1759">_xlfn.IFS(I1759="S","Southamptom",I1759="Q","Quentown",I1759="C","Cherbrug",I1759="B","Cabin")</f>
        <v>Southamptom</v>
      </c>
      <c r="K1759" t="s">
        <v>15</v>
      </c>
      <c r="L1759" s="2">
        <v>33</v>
      </c>
      <c r="M1759" s="2" t="str" cm="1">
        <f t="array" ref="M1759">_xlfn.IFS(L1759&lt;=15,"Low Fare",L1759&lt;=35,"Medium Fare",L1759&lt;=100,"High Fare",L1759&gt;=100,"Very High Fare")</f>
        <v>Medium Fare</v>
      </c>
      <c r="N1759" s="2">
        <v>1</v>
      </c>
      <c r="O1759" s="2" t="s">
        <v>30</v>
      </c>
      <c r="P1759" t="e">
        <f t="shared" si="109"/>
        <v>#VALUE!</v>
      </c>
      <c r="Q1759" t="e">
        <f t="shared" si="110"/>
        <v>#VALUE!</v>
      </c>
      <c r="R1759" t="str">
        <f t="shared" si="111"/>
        <v>No</v>
      </c>
      <c r="S1759" t="s">
        <v>13</v>
      </c>
    </row>
    <row r="1760" spans="1:19" hidden="1" x14ac:dyDescent="0.3">
      <c r="A1760" s="1" t="s">
        <v>1291</v>
      </c>
      <c r="B1760" t="s">
        <v>1596</v>
      </c>
      <c r="C1760" t="s">
        <v>2953</v>
      </c>
      <c r="D1760" t="str">
        <f t="shared" si="108"/>
        <v>Male</v>
      </c>
      <c r="E1760" t="s">
        <v>9</v>
      </c>
      <c r="F1760" s="2">
        <v>31</v>
      </c>
      <c r="G1760" s="2" t="str" cm="1">
        <f t="array" ref="G1760">_xlfn.IFS(F1760&lt;=8,"Child",F1760&lt;=17,"Teen",F1760&lt;=35,"Adult",F1760&lt;=55,"Seniour Adult",F1760&gt;=55,"Old Age")</f>
        <v>Adult</v>
      </c>
      <c r="H1760" t="s">
        <v>69</v>
      </c>
      <c r="I1760" t="s">
        <v>11</v>
      </c>
      <c r="J1760" t="str" cm="1">
        <f t="array" ref="J1760">_xlfn.IFS(I1760="S","Southamptom",I1760="Q","Quentown",I1760="C","Cherbrug",I1760="B","Cabin")</f>
        <v>Southamptom</v>
      </c>
      <c r="K1760" t="s">
        <v>15</v>
      </c>
      <c r="L1760" s="2">
        <v>33</v>
      </c>
      <c r="M1760" s="2" t="str" cm="1">
        <f t="array" ref="M1760">_xlfn.IFS(L1760&lt;=15,"Low Fare",L1760&lt;=35,"Medium Fare",L1760&lt;=100,"High Fare",L1760&gt;=100,"Very High Fare")</f>
        <v>Medium Fare</v>
      </c>
      <c r="N1760" s="2">
        <v>1</v>
      </c>
      <c r="O1760" s="2" t="s">
        <v>30</v>
      </c>
      <c r="P1760" t="e">
        <f t="shared" si="109"/>
        <v>#VALUE!</v>
      </c>
      <c r="Q1760" t="e">
        <f t="shared" si="110"/>
        <v>#VALUE!</v>
      </c>
      <c r="R1760" t="str">
        <f t="shared" si="111"/>
        <v>No</v>
      </c>
      <c r="S1760" t="s">
        <v>13</v>
      </c>
    </row>
    <row r="1761" spans="1:19" hidden="1" x14ac:dyDescent="0.3">
      <c r="A1761" s="1" t="s">
        <v>1292</v>
      </c>
      <c r="B1761" t="s">
        <v>1596</v>
      </c>
      <c r="C1761" t="s">
        <v>2800</v>
      </c>
      <c r="D1761" t="str">
        <f t="shared" si="108"/>
        <v>Male</v>
      </c>
      <c r="E1761" t="s">
        <v>9</v>
      </c>
      <c r="F1761" s="2">
        <v>33</v>
      </c>
      <c r="G1761" s="2" t="str" cm="1">
        <f t="array" ref="G1761">_xlfn.IFS(F1761&lt;=8,"Child",F1761&lt;=17,"Teen",F1761&lt;=35,"Adult",F1761&lt;=55,"Seniour Adult",F1761&gt;=55,"Old Age")</f>
        <v>Adult</v>
      </c>
      <c r="H1761" t="s">
        <v>69</v>
      </c>
      <c r="I1761" t="s">
        <v>11</v>
      </c>
      <c r="J1761" t="str" cm="1">
        <f t="array" ref="J1761">_xlfn.IFS(I1761="S","Southamptom",I1761="Q","Quentown",I1761="C","Cherbrug",I1761="B","Cabin")</f>
        <v>Southamptom</v>
      </c>
      <c r="K1761" t="s">
        <v>15</v>
      </c>
      <c r="L1761" s="2">
        <v>33</v>
      </c>
      <c r="M1761" s="2" t="str" cm="1">
        <f t="array" ref="M1761">_xlfn.IFS(L1761&lt;=15,"Low Fare",L1761&lt;=35,"Medium Fare",L1761&lt;=100,"High Fare",L1761&gt;=100,"Very High Fare")</f>
        <v>Medium Fare</v>
      </c>
      <c r="N1761" s="2">
        <v>1</v>
      </c>
      <c r="O1761" s="2" t="s">
        <v>30</v>
      </c>
      <c r="P1761" t="e">
        <f t="shared" si="109"/>
        <v>#VALUE!</v>
      </c>
      <c r="Q1761" t="e">
        <f t="shared" si="110"/>
        <v>#VALUE!</v>
      </c>
      <c r="R1761" t="str">
        <f t="shared" si="111"/>
        <v>No</v>
      </c>
      <c r="S1761" t="s">
        <v>13</v>
      </c>
    </row>
    <row r="1762" spans="1:19" hidden="1" x14ac:dyDescent="0.3">
      <c r="A1762" s="1" t="s">
        <v>507</v>
      </c>
      <c r="B1762" t="s">
        <v>1596</v>
      </c>
      <c r="C1762" t="s">
        <v>2038</v>
      </c>
      <c r="D1762" t="str">
        <f t="shared" si="108"/>
        <v>Male</v>
      </c>
      <c r="E1762" t="s">
        <v>9</v>
      </c>
      <c r="F1762" s="2">
        <v>49</v>
      </c>
      <c r="G1762" s="2" t="str" cm="1">
        <f t="array" ref="G1762">_xlfn.IFS(F1762&lt;=8,"Child",F1762&lt;=17,"Teen",F1762&lt;=35,"Adult",F1762&lt;=55,"Seniour Adult",F1762&gt;=55,"Old Age")</f>
        <v>Seniour Adult</v>
      </c>
      <c r="H1762" t="s">
        <v>69</v>
      </c>
      <c r="I1762" t="s">
        <v>11</v>
      </c>
      <c r="J1762" t="str" cm="1">
        <f t="array" ref="J1762">_xlfn.IFS(I1762="S","Southamptom",I1762="Q","Quentown",I1762="C","Cherbrug",I1762="B","Cabin")</f>
        <v>Southamptom</v>
      </c>
      <c r="K1762" t="s">
        <v>15</v>
      </c>
      <c r="L1762" s="2">
        <v>33</v>
      </c>
      <c r="M1762" s="2" t="str" cm="1">
        <f t="array" ref="M1762">_xlfn.IFS(L1762&lt;=15,"Low Fare",L1762&lt;=35,"Medium Fare",L1762&lt;=100,"High Fare",L1762&gt;=100,"Very High Fare")</f>
        <v>Medium Fare</v>
      </c>
      <c r="N1762" s="2">
        <v>1</v>
      </c>
      <c r="O1762" s="2" t="s">
        <v>30</v>
      </c>
      <c r="P1762" t="e">
        <f t="shared" si="109"/>
        <v>#VALUE!</v>
      </c>
      <c r="Q1762" t="e">
        <f t="shared" si="110"/>
        <v>#VALUE!</v>
      </c>
      <c r="R1762" t="str">
        <f t="shared" si="111"/>
        <v>Yes</v>
      </c>
      <c r="S1762" t="s">
        <v>16</v>
      </c>
    </row>
    <row r="1763" spans="1:19" hidden="1" x14ac:dyDescent="0.3">
      <c r="A1763" s="1" t="s">
        <v>507</v>
      </c>
      <c r="B1763" t="s">
        <v>1596</v>
      </c>
      <c r="C1763" t="s">
        <v>2954</v>
      </c>
      <c r="D1763" t="str">
        <f t="shared" si="108"/>
        <v>Male</v>
      </c>
      <c r="E1763" t="s">
        <v>9</v>
      </c>
      <c r="F1763" s="2">
        <v>21</v>
      </c>
      <c r="G1763" s="2" t="str" cm="1">
        <f t="array" ref="G1763">_xlfn.IFS(F1763&lt;=8,"Child",F1763&lt;=17,"Teen",F1763&lt;=35,"Adult",F1763&lt;=55,"Seniour Adult",F1763&gt;=55,"Old Age")</f>
        <v>Adult</v>
      </c>
      <c r="H1763" t="s">
        <v>69</v>
      </c>
      <c r="I1763" t="s">
        <v>11</v>
      </c>
      <c r="J1763" t="str" cm="1">
        <f t="array" ref="J1763">_xlfn.IFS(I1763="S","Southamptom",I1763="Q","Quentown",I1763="C","Cherbrug",I1763="B","Cabin")</f>
        <v>Southamptom</v>
      </c>
      <c r="K1763" t="s">
        <v>15</v>
      </c>
      <c r="L1763" s="2">
        <v>33</v>
      </c>
      <c r="M1763" s="2" t="str" cm="1">
        <f t="array" ref="M1763">_xlfn.IFS(L1763&lt;=15,"Low Fare",L1763&lt;=35,"Medium Fare",L1763&lt;=100,"High Fare",L1763&gt;=100,"Very High Fare")</f>
        <v>Medium Fare</v>
      </c>
      <c r="N1763" s="2">
        <v>1</v>
      </c>
      <c r="O1763" s="2" t="s">
        <v>30</v>
      </c>
      <c r="P1763" t="e">
        <f t="shared" si="109"/>
        <v>#VALUE!</v>
      </c>
      <c r="Q1763" t="e">
        <f t="shared" si="110"/>
        <v>#VALUE!</v>
      </c>
      <c r="R1763" t="str">
        <f t="shared" si="111"/>
        <v>No</v>
      </c>
      <c r="S1763" t="s">
        <v>13</v>
      </c>
    </row>
    <row r="1764" spans="1:19" hidden="1" x14ac:dyDescent="0.3">
      <c r="A1764" s="1" t="s">
        <v>1293</v>
      </c>
      <c r="B1764" t="s">
        <v>1596</v>
      </c>
      <c r="C1764" t="s">
        <v>1645</v>
      </c>
      <c r="D1764" t="str">
        <f t="shared" si="108"/>
        <v>Male</v>
      </c>
      <c r="E1764" t="s">
        <v>9</v>
      </c>
      <c r="F1764" s="2">
        <v>43</v>
      </c>
      <c r="G1764" s="2" t="str" cm="1">
        <f t="array" ref="G1764">_xlfn.IFS(F1764&lt;=8,"Child",F1764&lt;=17,"Teen",F1764&lt;=35,"Adult",F1764&lt;=55,"Seniour Adult",F1764&gt;=55,"Old Age")</f>
        <v>Seniour Adult</v>
      </c>
      <c r="H1764" t="s">
        <v>51</v>
      </c>
      <c r="I1764" t="s">
        <v>11</v>
      </c>
      <c r="J1764" t="str" cm="1">
        <f t="array" ref="J1764">_xlfn.IFS(I1764="S","Southamptom",I1764="Q","Quentown",I1764="C","Cherbrug",I1764="B","Cabin")</f>
        <v>Southamptom</v>
      </c>
      <c r="K1764" t="s">
        <v>15</v>
      </c>
      <c r="L1764" s="2">
        <v>33</v>
      </c>
      <c r="M1764" s="2" t="str" cm="1">
        <f t="array" ref="M1764">_xlfn.IFS(L1764&lt;=15,"Low Fare",L1764&lt;=35,"Medium Fare",L1764&lt;=100,"High Fare",L1764&gt;=100,"Very High Fare")</f>
        <v>Medium Fare</v>
      </c>
      <c r="N1764" s="2">
        <v>1</v>
      </c>
      <c r="O1764" s="2" t="s">
        <v>30</v>
      </c>
      <c r="P1764" t="e">
        <f t="shared" si="109"/>
        <v>#VALUE!</v>
      </c>
      <c r="Q1764" t="e">
        <f t="shared" si="110"/>
        <v>#VALUE!</v>
      </c>
      <c r="R1764" t="str">
        <f t="shared" si="111"/>
        <v>Yes</v>
      </c>
      <c r="S1764" t="s">
        <v>16</v>
      </c>
    </row>
    <row r="1765" spans="1:19" hidden="1" x14ac:dyDescent="0.3">
      <c r="A1765" s="1" t="s">
        <v>1294</v>
      </c>
      <c r="B1765" t="s">
        <v>1596</v>
      </c>
      <c r="C1765" t="s">
        <v>2955</v>
      </c>
      <c r="D1765" t="str">
        <f t="shared" si="108"/>
        <v>Male</v>
      </c>
      <c r="E1765" t="s">
        <v>9</v>
      </c>
      <c r="F1765" s="2">
        <v>20</v>
      </c>
      <c r="G1765" s="2" t="str" cm="1">
        <f t="array" ref="G1765">_xlfn.IFS(F1765&lt;=8,"Child",F1765&lt;=17,"Teen",F1765&lt;=35,"Adult",F1765&lt;=55,"Seniour Adult",F1765&gt;=55,"Old Age")</f>
        <v>Adult</v>
      </c>
      <c r="H1765" t="s">
        <v>69</v>
      </c>
      <c r="I1765" t="s">
        <v>11</v>
      </c>
      <c r="J1765" t="str" cm="1">
        <f t="array" ref="J1765">_xlfn.IFS(I1765="S","Southamptom",I1765="Q","Quentown",I1765="C","Cherbrug",I1765="B","Cabin")</f>
        <v>Southamptom</v>
      </c>
      <c r="K1765" t="s">
        <v>15</v>
      </c>
      <c r="L1765" s="2">
        <v>33</v>
      </c>
      <c r="M1765" s="2" t="str" cm="1">
        <f t="array" ref="M1765">_xlfn.IFS(L1765&lt;=15,"Low Fare",L1765&lt;=35,"Medium Fare",L1765&lt;=100,"High Fare",L1765&gt;=100,"Very High Fare")</f>
        <v>Medium Fare</v>
      </c>
      <c r="N1765" s="2">
        <v>1</v>
      </c>
      <c r="O1765" s="2" t="s">
        <v>30</v>
      </c>
      <c r="P1765" t="e">
        <f t="shared" si="109"/>
        <v>#VALUE!</v>
      </c>
      <c r="Q1765" t="e">
        <f t="shared" si="110"/>
        <v>#VALUE!</v>
      </c>
      <c r="R1765" t="str">
        <f t="shared" si="111"/>
        <v>No</v>
      </c>
      <c r="S1765" t="s">
        <v>13</v>
      </c>
    </row>
    <row r="1766" spans="1:19" hidden="1" x14ac:dyDescent="0.3">
      <c r="A1766" s="1" t="s">
        <v>1295</v>
      </c>
      <c r="B1766" t="s">
        <v>1596</v>
      </c>
      <c r="C1766" t="s">
        <v>2773</v>
      </c>
      <c r="D1766" t="str">
        <f t="shared" si="108"/>
        <v>Male</v>
      </c>
      <c r="E1766" t="s">
        <v>9</v>
      </c>
      <c r="F1766" s="2">
        <v>41</v>
      </c>
      <c r="G1766" s="2" t="str" cm="1">
        <f t="array" ref="G1766">_xlfn.IFS(F1766&lt;=8,"Child",F1766&lt;=17,"Teen",F1766&lt;=35,"Adult",F1766&lt;=55,"Seniour Adult",F1766&gt;=55,"Old Age")</f>
        <v>Seniour Adult</v>
      </c>
      <c r="H1766" t="s">
        <v>51</v>
      </c>
      <c r="I1766" t="s">
        <v>11</v>
      </c>
      <c r="J1766" t="str" cm="1">
        <f t="array" ref="J1766">_xlfn.IFS(I1766="S","Southamptom",I1766="Q","Quentown",I1766="C","Cherbrug",I1766="B","Cabin")</f>
        <v>Southamptom</v>
      </c>
      <c r="K1766" t="s">
        <v>15</v>
      </c>
      <c r="L1766" s="2">
        <v>33</v>
      </c>
      <c r="M1766" s="2" t="str" cm="1">
        <f t="array" ref="M1766">_xlfn.IFS(L1766&lt;=15,"Low Fare",L1766&lt;=35,"Medium Fare",L1766&lt;=100,"High Fare",L1766&gt;=100,"Very High Fare")</f>
        <v>Medium Fare</v>
      </c>
      <c r="N1766" s="2">
        <v>1</v>
      </c>
      <c r="O1766" s="2" t="s">
        <v>30</v>
      </c>
      <c r="P1766" t="e">
        <f t="shared" si="109"/>
        <v>#VALUE!</v>
      </c>
      <c r="Q1766" t="e">
        <f t="shared" si="110"/>
        <v>#VALUE!</v>
      </c>
      <c r="R1766" t="str">
        <f t="shared" si="111"/>
        <v>No</v>
      </c>
      <c r="S1766" t="s">
        <v>13</v>
      </c>
    </row>
    <row r="1767" spans="1:19" hidden="1" x14ac:dyDescent="0.3">
      <c r="A1767" s="1" t="s">
        <v>1296</v>
      </c>
      <c r="B1767" t="s">
        <v>1596</v>
      </c>
      <c r="C1767" t="s">
        <v>1619</v>
      </c>
      <c r="D1767" t="str">
        <f t="shared" si="108"/>
        <v>Male</v>
      </c>
      <c r="E1767" t="s">
        <v>9</v>
      </c>
      <c r="F1767" s="2">
        <v>46</v>
      </c>
      <c r="G1767" s="2" t="str" cm="1">
        <f t="array" ref="G1767">_xlfn.IFS(F1767&lt;=8,"Child",F1767&lt;=17,"Teen",F1767&lt;=35,"Adult",F1767&lt;=55,"Seniour Adult",F1767&gt;=55,"Old Age")</f>
        <v>Seniour Adult</v>
      </c>
      <c r="H1767" t="s">
        <v>69</v>
      </c>
      <c r="I1767" t="s">
        <v>28</v>
      </c>
      <c r="J1767" t="str" cm="1">
        <f t="array" ref="J1767">_xlfn.IFS(I1767="S","Southamptom",I1767="Q","Quentown",I1767="C","Cherbrug",I1767="B","Cabin")</f>
        <v>Cabin</v>
      </c>
      <c r="K1767" t="s">
        <v>15</v>
      </c>
      <c r="L1767" s="2">
        <v>33</v>
      </c>
      <c r="M1767" s="2" t="str" cm="1">
        <f t="array" ref="M1767">_xlfn.IFS(L1767&lt;=15,"Low Fare",L1767&lt;=35,"Medium Fare",L1767&lt;=100,"High Fare",L1767&gt;=100,"Very High Fare")</f>
        <v>Medium Fare</v>
      </c>
      <c r="N1767" s="2">
        <v>1</v>
      </c>
      <c r="O1767" s="2" t="s">
        <v>30</v>
      </c>
      <c r="P1767" t="e">
        <f t="shared" si="109"/>
        <v>#VALUE!</v>
      </c>
      <c r="Q1767" t="e">
        <f t="shared" si="110"/>
        <v>#VALUE!</v>
      </c>
      <c r="R1767" t="str">
        <f t="shared" si="111"/>
        <v>No</v>
      </c>
      <c r="S1767" t="s">
        <v>13</v>
      </c>
    </row>
    <row r="1768" spans="1:19" hidden="1" x14ac:dyDescent="0.3">
      <c r="A1768" s="1" t="s">
        <v>520</v>
      </c>
      <c r="B1768" t="s">
        <v>1596</v>
      </c>
      <c r="C1768" t="s">
        <v>2420</v>
      </c>
      <c r="D1768" t="str">
        <f t="shared" si="108"/>
        <v>Male</v>
      </c>
      <c r="E1768" t="s">
        <v>9</v>
      </c>
      <c r="F1768" s="2">
        <v>34</v>
      </c>
      <c r="G1768" s="2" t="str" cm="1">
        <f t="array" ref="G1768">_xlfn.IFS(F1768&lt;=8,"Child",F1768&lt;=17,"Teen",F1768&lt;=35,"Adult",F1768&lt;=55,"Seniour Adult",F1768&gt;=55,"Old Age")</f>
        <v>Adult</v>
      </c>
      <c r="H1768" t="s">
        <v>69</v>
      </c>
      <c r="I1768" t="s">
        <v>11</v>
      </c>
      <c r="J1768" t="str" cm="1">
        <f t="array" ref="J1768">_xlfn.IFS(I1768="S","Southamptom",I1768="Q","Quentown",I1768="C","Cherbrug",I1768="B","Cabin")</f>
        <v>Southamptom</v>
      </c>
      <c r="K1768" t="s">
        <v>15</v>
      </c>
      <c r="L1768" s="2">
        <v>33</v>
      </c>
      <c r="M1768" s="2" t="str" cm="1">
        <f t="array" ref="M1768">_xlfn.IFS(L1768&lt;=15,"Low Fare",L1768&lt;=35,"Medium Fare",L1768&lt;=100,"High Fare",L1768&gt;=100,"Very High Fare")</f>
        <v>Medium Fare</v>
      </c>
      <c r="N1768" s="2">
        <v>1</v>
      </c>
      <c r="O1768" s="2" t="s">
        <v>30</v>
      </c>
      <c r="P1768" t="e">
        <f t="shared" si="109"/>
        <v>#VALUE!</v>
      </c>
      <c r="Q1768" t="e">
        <f t="shared" si="110"/>
        <v>#VALUE!</v>
      </c>
      <c r="R1768" t="str">
        <f t="shared" si="111"/>
        <v>No</v>
      </c>
      <c r="S1768" t="s">
        <v>13</v>
      </c>
    </row>
    <row r="1769" spans="1:19" hidden="1" x14ac:dyDescent="0.3">
      <c r="A1769" s="1" t="s">
        <v>1297</v>
      </c>
      <c r="B1769" t="s">
        <v>1596</v>
      </c>
      <c r="C1769" t="s">
        <v>2185</v>
      </c>
      <c r="D1769" t="str">
        <f t="shared" si="108"/>
        <v>Male</v>
      </c>
      <c r="E1769" t="s">
        <v>9</v>
      </c>
      <c r="F1769" s="2">
        <v>55</v>
      </c>
      <c r="G1769" s="2" t="str" cm="1">
        <f t="array" ref="G1769">_xlfn.IFS(F1769&lt;=8,"Child",F1769&lt;=17,"Teen",F1769&lt;=35,"Adult",F1769&lt;=55,"Seniour Adult",F1769&gt;=55,"Old Age")</f>
        <v>Seniour Adult</v>
      </c>
      <c r="H1769" t="s">
        <v>69</v>
      </c>
      <c r="I1769" t="s">
        <v>28</v>
      </c>
      <c r="J1769" t="str" cm="1">
        <f t="array" ref="J1769">_xlfn.IFS(I1769="S","Southamptom",I1769="Q","Quentown",I1769="C","Cherbrug",I1769="B","Cabin")</f>
        <v>Cabin</v>
      </c>
      <c r="K1769" t="s">
        <v>15</v>
      </c>
      <c r="L1769" s="2">
        <v>33</v>
      </c>
      <c r="M1769" s="2" t="str" cm="1">
        <f t="array" ref="M1769">_xlfn.IFS(L1769&lt;=15,"Low Fare",L1769&lt;=35,"Medium Fare",L1769&lt;=100,"High Fare",L1769&gt;=100,"Very High Fare")</f>
        <v>Medium Fare</v>
      </c>
      <c r="N1769" s="2">
        <v>1</v>
      </c>
      <c r="O1769" s="2" t="s">
        <v>30</v>
      </c>
      <c r="P1769" t="e">
        <f t="shared" si="109"/>
        <v>#VALUE!</v>
      </c>
      <c r="Q1769" t="e">
        <f t="shared" si="110"/>
        <v>#VALUE!</v>
      </c>
      <c r="R1769" t="str">
        <f t="shared" si="111"/>
        <v>No</v>
      </c>
      <c r="S1769" t="s">
        <v>13</v>
      </c>
    </row>
    <row r="1770" spans="1:19" hidden="1" x14ac:dyDescent="0.3">
      <c r="A1770" s="1" t="s">
        <v>1298</v>
      </c>
      <c r="B1770" t="s">
        <v>1602</v>
      </c>
      <c r="C1770" t="s">
        <v>1730</v>
      </c>
      <c r="D1770" t="str">
        <f t="shared" si="108"/>
        <v>Female</v>
      </c>
      <c r="E1770" t="s">
        <v>14</v>
      </c>
      <c r="F1770" s="2">
        <v>40</v>
      </c>
      <c r="G1770" s="2" t="str" cm="1">
        <f t="array" ref="G1770">_xlfn.IFS(F1770&lt;=8,"Child",F1770&lt;=17,"Teen",F1770&lt;=35,"Adult",F1770&lt;=55,"Seniour Adult",F1770&gt;=55,"Old Age")</f>
        <v>Seniour Adult</v>
      </c>
      <c r="H1770" t="s">
        <v>69</v>
      </c>
      <c r="I1770" t="s">
        <v>11</v>
      </c>
      <c r="J1770" t="str" cm="1">
        <f t="array" ref="J1770">_xlfn.IFS(I1770="S","Southamptom",I1770="Q","Quentown",I1770="C","Cherbrug",I1770="B","Cabin")</f>
        <v>Southamptom</v>
      </c>
      <c r="K1770" t="s">
        <v>15</v>
      </c>
      <c r="L1770" s="2">
        <v>33</v>
      </c>
      <c r="M1770" s="2" t="str" cm="1">
        <f t="array" ref="M1770">_xlfn.IFS(L1770&lt;=15,"Low Fare",L1770&lt;=35,"Medium Fare",L1770&lt;=100,"High Fare",L1770&gt;=100,"Very High Fare")</f>
        <v>Medium Fare</v>
      </c>
      <c r="N1770" s="2">
        <v>1</v>
      </c>
      <c r="O1770" s="2" t="s">
        <v>30</v>
      </c>
      <c r="P1770" t="e">
        <f t="shared" si="109"/>
        <v>#VALUE!</v>
      </c>
      <c r="Q1770" t="e">
        <f t="shared" si="110"/>
        <v>#VALUE!</v>
      </c>
      <c r="R1770" t="str">
        <f t="shared" si="111"/>
        <v>Yes</v>
      </c>
      <c r="S1770" t="s">
        <v>16</v>
      </c>
    </row>
    <row r="1771" spans="1:19" hidden="1" x14ac:dyDescent="0.3">
      <c r="A1771" s="1" t="s">
        <v>1299</v>
      </c>
      <c r="B1771" t="s">
        <v>1596</v>
      </c>
      <c r="C1771" t="s">
        <v>1976</v>
      </c>
      <c r="D1771" t="str">
        <f t="shared" si="108"/>
        <v>Male</v>
      </c>
      <c r="E1771" t="s">
        <v>9</v>
      </c>
      <c r="F1771" s="2">
        <v>36</v>
      </c>
      <c r="G1771" s="2" t="str" cm="1">
        <f t="array" ref="G1771">_xlfn.IFS(F1771&lt;=8,"Child",F1771&lt;=17,"Teen",F1771&lt;=35,"Adult",F1771&lt;=55,"Seniour Adult",F1771&gt;=55,"Old Age")</f>
        <v>Seniour Adult</v>
      </c>
      <c r="H1771" t="s">
        <v>69</v>
      </c>
      <c r="I1771" t="s">
        <v>28</v>
      </c>
      <c r="J1771" t="str" cm="1">
        <f t="array" ref="J1771">_xlfn.IFS(I1771="S","Southamptom",I1771="Q","Quentown",I1771="C","Cherbrug",I1771="B","Cabin")</f>
        <v>Cabin</v>
      </c>
      <c r="K1771" t="s">
        <v>15</v>
      </c>
      <c r="L1771" s="2">
        <v>33</v>
      </c>
      <c r="M1771" s="2" t="str" cm="1">
        <f t="array" ref="M1771">_xlfn.IFS(L1771&lt;=15,"Low Fare",L1771&lt;=35,"Medium Fare",L1771&lt;=100,"High Fare",L1771&gt;=100,"Very High Fare")</f>
        <v>Medium Fare</v>
      </c>
      <c r="N1771" s="2">
        <v>1</v>
      </c>
      <c r="O1771" s="2" t="s">
        <v>30</v>
      </c>
      <c r="P1771" t="e">
        <f t="shared" si="109"/>
        <v>#VALUE!</v>
      </c>
      <c r="Q1771" t="e">
        <f t="shared" si="110"/>
        <v>#VALUE!</v>
      </c>
      <c r="R1771" t="str">
        <f t="shared" si="111"/>
        <v>No</v>
      </c>
      <c r="S1771" t="s">
        <v>13</v>
      </c>
    </row>
    <row r="1772" spans="1:19" hidden="1" x14ac:dyDescent="0.3">
      <c r="A1772" s="1" t="s">
        <v>524</v>
      </c>
      <c r="B1772" t="s">
        <v>1596</v>
      </c>
      <c r="C1772" t="s">
        <v>2032</v>
      </c>
      <c r="D1772" t="str">
        <f t="shared" si="108"/>
        <v>Male</v>
      </c>
      <c r="E1772" t="s">
        <v>9</v>
      </c>
      <c r="F1772" s="2">
        <v>22</v>
      </c>
      <c r="G1772" s="2" t="str" cm="1">
        <f t="array" ref="G1772">_xlfn.IFS(F1772&lt;=8,"Child",F1772&lt;=17,"Teen",F1772&lt;=35,"Adult",F1772&lt;=55,"Seniour Adult",F1772&gt;=55,"Old Age")</f>
        <v>Adult</v>
      </c>
      <c r="H1772" t="s">
        <v>69</v>
      </c>
      <c r="I1772" t="s">
        <v>11</v>
      </c>
      <c r="J1772" t="str" cm="1">
        <f t="array" ref="J1772">_xlfn.IFS(I1772="S","Southamptom",I1772="Q","Quentown",I1772="C","Cherbrug",I1772="B","Cabin")</f>
        <v>Southamptom</v>
      </c>
      <c r="K1772" t="s">
        <v>15</v>
      </c>
      <c r="L1772" s="2">
        <v>33</v>
      </c>
      <c r="M1772" s="2" t="str" cm="1">
        <f t="array" ref="M1772">_xlfn.IFS(L1772&lt;=15,"Low Fare",L1772&lt;=35,"Medium Fare",L1772&lt;=100,"High Fare",L1772&gt;=100,"Very High Fare")</f>
        <v>Medium Fare</v>
      </c>
      <c r="N1772" s="2">
        <v>1</v>
      </c>
      <c r="O1772" s="2" t="s">
        <v>30</v>
      </c>
      <c r="P1772" t="e">
        <f t="shared" si="109"/>
        <v>#VALUE!</v>
      </c>
      <c r="Q1772" t="e">
        <f t="shared" si="110"/>
        <v>#VALUE!</v>
      </c>
      <c r="R1772" t="str">
        <f t="shared" si="111"/>
        <v>No</v>
      </c>
      <c r="S1772" t="s">
        <v>13</v>
      </c>
    </row>
    <row r="1773" spans="1:19" hidden="1" x14ac:dyDescent="0.3">
      <c r="A1773" s="1" t="s">
        <v>1300</v>
      </c>
      <c r="B1773" t="s">
        <v>1600</v>
      </c>
      <c r="C1773" t="s">
        <v>2956</v>
      </c>
      <c r="D1773" t="str">
        <f t="shared" si="108"/>
        <v>Female</v>
      </c>
      <c r="E1773" t="s">
        <v>14</v>
      </c>
      <c r="F1773" s="2">
        <v>50</v>
      </c>
      <c r="G1773" s="2" t="str" cm="1">
        <f t="array" ref="G1773">_xlfn.IFS(F1773&lt;=8,"Child",F1773&lt;=17,"Teen",F1773&lt;=35,"Adult",F1773&lt;=55,"Seniour Adult",F1773&gt;=55,"Old Age")</f>
        <v>Seniour Adult</v>
      </c>
      <c r="H1773" t="s">
        <v>69</v>
      </c>
      <c r="I1773" t="s">
        <v>11</v>
      </c>
      <c r="J1773" t="str" cm="1">
        <f t="array" ref="J1773">_xlfn.IFS(I1773="S","Southamptom",I1773="Q","Quentown",I1773="C","Cherbrug",I1773="B","Cabin")</f>
        <v>Southamptom</v>
      </c>
      <c r="K1773" t="s">
        <v>15</v>
      </c>
      <c r="L1773" s="2">
        <v>33</v>
      </c>
      <c r="M1773" s="2" t="str" cm="1">
        <f t="array" ref="M1773">_xlfn.IFS(L1773&lt;=15,"Low Fare",L1773&lt;=35,"Medium Fare",L1773&lt;=100,"High Fare",L1773&gt;=100,"Very High Fare")</f>
        <v>Medium Fare</v>
      </c>
      <c r="N1773" s="2">
        <v>1</v>
      </c>
      <c r="O1773" s="2" t="s">
        <v>30</v>
      </c>
      <c r="P1773" t="e">
        <f t="shared" si="109"/>
        <v>#VALUE!</v>
      </c>
      <c r="Q1773" t="e">
        <f t="shared" si="110"/>
        <v>#VALUE!</v>
      </c>
      <c r="R1773" t="str">
        <f t="shared" si="111"/>
        <v>Yes</v>
      </c>
      <c r="S1773" t="s">
        <v>16</v>
      </c>
    </row>
    <row r="1774" spans="1:19" hidden="1" x14ac:dyDescent="0.3">
      <c r="A1774" s="1" t="s">
        <v>1301</v>
      </c>
      <c r="B1774" t="s">
        <v>1596</v>
      </c>
      <c r="C1774" t="s">
        <v>2783</v>
      </c>
      <c r="D1774" t="str">
        <f t="shared" si="108"/>
        <v>Male</v>
      </c>
      <c r="E1774" t="s">
        <v>9</v>
      </c>
      <c r="F1774" s="2">
        <v>18</v>
      </c>
      <c r="G1774" s="2" t="str" cm="1">
        <f t="array" ref="G1774">_xlfn.IFS(F1774&lt;=8,"Child",F1774&lt;=17,"Teen",F1774&lt;=35,"Adult",F1774&lt;=55,"Seniour Adult",F1774&gt;=55,"Old Age")</f>
        <v>Adult</v>
      </c>
      <c r="H1774" t="s">
        <v>51</v>
      </c>
      <c r="I1774" t="s">
        <v>11</v>
      </c>
      <c r="J1774" t="str" cm="1">
        <f t="array" ref="J1774">_xlfn.IFS(I1774="S","Southamptom",I1774="Q","Quentown",I1774="C","Cherbrug",I1774="B","Cabin")</f>
        <v>Southamptom</v>
      </c>
      <c r="K1774" t="s">
        <v>15</v>
      </c>
      <c r="L1774" s="2">
        <v>33</v>
      </c>
      <c r="M1774" s="2" t="str" cm="1">
        <f t="array" ref="M1774">_xlfn.IFS(L1774&lt;=15,"Low Fare",L1774&lt;=35,"Medium Fare",L1774&lt;=100,"High Fare",L1774&gt;=100,"Very High Fare")</f>
        <v>Medium Fare</v>
      </c>
      <c r="N1774" s="2">
        <v>1</v>
      </c>
      <c r="O1774" s="2" t="s">
        <v>30</v>
      </c>
      <c r="P1774" t="e">
        <f t="shared" si="109"/>
        <v>#VALUE!</v>
      </c>
      <c r="Q1774" t="e">
        <f t="shared" si="110"/>
        <v>#VALUE!</v>
      </c>
      <c r="R1774" t="str">
        <f t="shared" si="111"/>
        <v>No</v>
      </c>
      <c r="S1774" t="s">
        <v>13</v>
      </c>
    </row>
    <row r="1775" spans="1:19" hidden="1" x14ac:dyDescent="0.3">
      <c r="A1775" s="1" t="s">
        <v>1301</v>
      </c>
      <c r="B1775" t="s">
        <v>1596</v>
      </c>
      <c r="C1775" t="s">
        <v>2957</v>
      </c>
      <c r="D1775" t="str">
        <f t="shared" si="108"/>
        <v>Male</v>
      </c>
      <c r="E1775" t="s">
        <v>9</v>
      </c>
      <c r="F1775" s="2">
        <v>29</v>
      </c>
      <c r="G1775" s="2" t="str" cm="1">
        <f t="array" ref="G1775">_xlfn.IFS(F1775&lt;=8,"Child",F1775&lt;=17,"Teen",F1775&lt;=35,"Adult",F1775&lt;=55,"Seniour Adult",F1775&gt;=55,"Old Age")</f>
        <v>Adult</v>
      </c>
      <c r="H1775" t="s">
        <v>69</v>
      </c>
      <c r="I1775" t="s">
        <v>11</v>
      </c>
      <c r="J1775" t="str" cm="1">
        <f t="array" ref="J1775">_xlfn.IFS(I1775="S","Southamptom",I1775="Q","Quentown",I1775="C","Cherbrug",I1775="B","Cabin")</f>
        <v>Southamptom</v>
      </c>
      <c r="K1775" t="s">
        <v>15</v>
      </c>
      <c r="L1775" s="2">
        <v>33</v>
      </c>
      <c r="M1775" s="2" t="str" cm="1">
        <f t="array" ref="M1775">_xlfn.IFS(L1775&lt;=15,"Low Fare",L1775&lt;=35,"Medium Fare",L1775&lt;=100,"High Fare",L1775&gt;=100,"Very High Fare")</f>
        <v>Medium Fare</v>
      </c>
      <c r="N1775" s="2">
        <v>1</v>
      </c>
      <c r="O1775" s="2" t="s">
        <v>30</v>
      </c>
      <c r="P1775" t="e">
        <f t="shared" si="109"/>
        <v>#VALUE!</v>
      </c>
      <c r="Q1775" t="e">
        <f t="shared" si="110"/>
        <v>#VALUE!</v>
      </c>
      <c r="R1775" t="str">
        <f t="shared" si="111"/>
        <v>Yes</v>
      </c>
      <c r="S1775" t="s">
        <v>16</v>
      </c>
    </row>
    <row r="1776" spans="1:19" hidden="1" x14ac:dyDescent="0.3">
      <c r="A1776" s="1" t="s">
        <v>1301</v>
      </c>
      <c r="B1776" t="s">
        <v>1596</v>
      </c>
      <c r="C1776" t="s">
        <v>2958</v>
      </c>
      <c r="D1776" t="str">
        <f t="shared" si="108"/>
        <v>Male</v>
      </c>
      <c r="E1776" t="s">
        <v>9</v>
      </c>
      <c r="F1776" s="2">
        <v>41</v>
      </c>
      <c r="G1776" s="2" t="str" cm="1">
        <f t="array" ref="G1776">_xlfn.IFS(F1776&lt;=8,"Child",F1776&lt;=17,"Teen",F1776&lt;=35,"Adult",F1776&lt;=55,"Seniour Adult",F1776&gt;=55,"Old Age")</f>
        <v>Seniour Adult</v>
      </c>
      <c r="H1776" t="s">
        <v>71</v>
      </c>
      <c r="I1776" t="s">
        <v>11</v>
      </c>
      <c r="J1776" t="str" cm="1">
        <f t="array" ref="J1776">_xlfn.IFS(I1776="S","Southamptom",I1776="Q","Quentown",I1776="C","Cherbrug",I1776="B","Cabin")</f>
        <v>Southamptom</v>
      </c>
      <c r="K1776" t="s">
        <v>15</v>
      </c>
      <c r="L1776" s="2">
        <v>33</v>
      </c>
      <c r="M1776" s="2" t="str" cm="1">
        <f t="array" ref="M1776">_xlfn.IFS(L1776&lt;=15,"Low Fare",L1776&lt;=35,"Medium Fare",L1776&lt;=100,"High Fare",L1776&gt;=100,"Very High Fare")</f>
        <v>Medium Fare</v>
      </c>
      <c r="N1776" s="2">
        <v>1</v>
      </c>
      <c r="O1776" s="2" t="s">
        <v>30</v>
      </c>
      <c r="P1776" t="e">
        <f t="shared" si="109"/>
        <v>#VALUE!</v>
      </c>
      <c r="Q1776" t="e">
        <f t="shared" si="110"/>
        <v>#VALUE!</v>
      </c>
      <c r="R1776" t="str">
        <f t="shared" si="111"/>
        <v>Yes</v>
      </c>
      <c r="S1776" t="s">
        <v>16</v>
      </c>
    </row>
    <row r="1777" spans="1:19" hidden="1" x14ac:dyDescent="0.3">
      <c r="A1777" s="1" t="s">
        <v>525</v>
      </c>
      <c r="B1777" t="s">
        <v>1596</v>
      </c>
      <c r="C1777" t="s">
        <v>2959</v>
      </c>
      <c r="D1777" t="str">
        <f t="shared" si="108"/>
        <v>Male</v>
      </c>
      <c r="E1777" t="s">
        <v>9</v>
      </c>
      <c r="F1777" s="2">
        <v>35</v>
      </c>
      <c r="G1777" s="2" t="str" cm="1">
        <f t="array" ref="G1777">_xlfn.IFS(F1777&lt;=8,"Child",F1777&lt;=17,"Teen",F1777&lt;=35,"Adult",F1777&lt;=55,"Seniour Adult",F1777&gt;=55,"Old Age")</f>
        <v>Adult</v>
      </c>
      <c r="H1777" t="s">
        <v>69</v>
      </c>
      <c r="I1777" t="s">
        <v>11</v>
      </c>
      <c r="J1777" t="str" cm="1">
        <f t="array" ref="J1777">_xlfn.IFS(I1777="S","Southamptom",I1777="Q","Quentown",I1777="C","Cherbrug",I1777="B","Cabin")</f>
        <v>Southamptom</v>
      </c>
      <c r="K1777" t="s">
        <v>15</v>
      </c>
      <c r="L1777" s="2">
        <v>33</v>
      </c>
      <c r="M1777" s="2" t="str" cm="1">
        <f t="array" ref="M1777">_xlfn.IFS(L1777&lt;=15,"Low Fare",L1777&lt;=35,"Medium Fare",L1777&lt;=100,"High Fare",L1777&gt;=100,"Very High Fare")</f>
        <v>Medium Fare</v>
      </c>
      <c r="N1777" s="2">
        <v>1</v>
      </c>
      <c r="O1777" s="2" t="s">
        <v>30</v>
      </c>
      <c r="P1777" t="e">
        <f t="shared" si="109"/>
        <v>#VALUE!</v>
      </c>
      <c r="Q1777" t="e">
        <f t="shared" si="110"/>
        <v>#VALUE!</v>
      </c>
      <c r="R1777" t="str">
        <f t="shared" si="111"/>
        <v>No</v>
      </c>
      <c r="S1777" t="s">
        <v>13</v>
      </c>
    </row>
    <row r="1778" spans="1:19" hidden="1" x14ac:dyDescent="0.3">
      <c r="A1778" s="1" t="s">
        <v>1302</v>
      </c>
      <c r="B1778" t="s">
        <v>1596</v>
      </c>
      <c r="C1778" t="s">
        <v>2504</v>
      </c>
      <c r="D1778" t="str">
        <f t="shared" si="108"/>
        <v>Male</v>
      </c>
      <c r="E1778" t="s">
        <v>9</v>
      </c>
      <c r="F1778" s="2">
        <v>25</v>
      </c>
      <c r="G1778" s="2" t="str" cm="1">
        <f t="array" ref="G1778">_xlfn.IFS(F1778&lt;=8,"Child",F1778&lt;=17,"Teen",F1778&lt;=35,"Adult",F1778&lt;=55,"Seniour Adult",F1778&gt;=55,"Old Age")</f>
        <v>Adult</v>
      </c>
      <c r="H1778" t="s">
        <v>69</v>
      </c>
      <c r="I1778" t="s">
        <v>28</v>
      </c>
      <c r="J1778" t="str" cm="1">
        <f t="array" ref="J1778">_xlfn.IFS(I1778="S","Southamptom",I1778="Q","Quentown",I1778="C","Cherbrug",I1778="B","Cabin")</f>
        <v>Cabin</v>
      </c>
      <c r="K1778" t="s">
        <v>12</v>
      </c>
      <c r="L1778" s="2">
        <v>33</v>
      </c>
      <c r="M1778" s="2" t="str" cm="1">
        <f t="array" ref="M1778">_xlfn.IFS(L1778&lt;=15,"Low Fare",L1778&lt;=35,"Medium Fare",L1778&lt;=100,"High Fare",L1778&gt;=100,"Very High Fare")</f>
        <v>Medium Fare</v>
      </c>
      <c r="N1778" s="2">
        <v>1</v>
      </c>
      <c r="O1778" s="2" t="s">
        <v>30</v>
      </c>
      <c r="P1778" t="e">
        <f t="shared" si="109"/>
        <v>#VALUE!</v>
      </c>
      <c r="Q1778" t="e">
        <f t="shared" si="110"/>
        <v>#VALUE!</v>
      </c>
      <c r="R1778" t="str">
        <f t="shared" si="111"/>
        <v>No</v>
      </c>
      <c r="S1778" t="s">
        <v>13</v>
      </c>
    </row>
    <row r="1779" spans="1:19" hidden="1" x14ac:dyDescent="0.3">
      <c r="A1779" s="1" t="s">
        <v>1303</v>
      </c>
      <c r="B1779" t="s">
        <v>1596</v>
      </c>
      <c r="C1779" t="s">
        <v>2751</v>
      </c>
      <c r="D1779" t="str">
        <f t="shared" si="108"/>
        <v>Male</v>
      </c>
      <c r="E1779" t="s">
        <v>9</v>
      </c>
      <c r="F1779" s="2">
        <v>26</v>
      </c>
      <c r="G1779" s="2" t="str" cm="1">
        <f t="array" ref="G1779">_xlfn.IFS(F1779&lt;=8,"Child",F1779&lt;=17,"Teen",F1779&lt;=35,"Adult",F1779&lt;=55,"Seniour Adult",F1779&gt;=55,"Old Age")</f>
        <v>Adult</v>
      </c>
      <c r="H1779" t="s">
        <v>69</v>
      </c>
      <c r="I1779" t="s">
        <v>28</v>
      </c>
      <c r="J1779" t="str" cm="1">
        <f t="array" ref="J1779">_xlfn.IFS(I1779="S","Southamptom",I1779="Q","Quentown",I1779="C","Cherbrug",I1779="B","Cabin")</f>
        <v>Cabin</v>
      </c>
      <c r="K1779" t="s">
        <v>15</v>
      </c>
      <c r="L1779" s="2">
        <v>33</v>
      </c>
      <c r="M1779" s="2" t="str" cm="1">
        <f t="array" ref="M1779">_xlfn.IFS(L1779&lt;=15,"Low Fare",L1779&lt;=35,"Medium Fare",L1779&lt;=100,"High Fare",L1779&gt;=100,"Very High Fare")</f>
        <v>Medium Fare</v>
      </c>
      <c r="N1779" s="2">
        <v>1</v>
      </c>
      <c r="O1779" s="2" t="s">
        <v>30</v>
      </c>
      <c r="P1779" t="e">
        <f t="shared" si="109"/>
        <v>#VALUE!</v>
      </c>
      <c r="Q1779" t="e">
        <f t="shared" si="110"/>
        <v>#VALUE!</v>
      </c>
      <c r="R1779" t="str">
        <f t="shared" si="111"/>
        <v>No</v>
      </c>
      <c r="S1779" t="s">
        <v>13</v>
      </c>
    </row>
    <row r="1780" spans="1:19" hidden="1" x14ac:dyDescent="0.3">
      <c r="A1780" s="1" t="s">
        <v>1304</v>
      </c>
      <c r="B1780" t="s">
        <v>1596</v>
      </c>
      <c r="C1780" t="s">
        <v>2960</v>
      </c>
      <c r="D1780" t="str">
        <f t="shared" si="108"/>
        <v>Male</v>
      </c>
      <c r="E1780" t="s">
        <v>9</v>
      </c>
      <c r="F1780" s="2">
        <v>27</v>
      </c>
      <c r="G1780" s="2" t="str" cm="1">
        <f t="array" ref="G1780">_xlfn.IFS(F1780&lt;=8,"Child",F1780&lt;=17,"Teen",F1780&lt;=35,"Adult",F1780&lt;=55,"Seniour Adult",F1780&gt;=55,"Old Age")</f>
        <v>Adult</v>
      </c>
      <c r="H1780" t="s">
        <v>69</v>
      </c>
      <c r="I1780" t="s">
        <v>11</v>
      </c>
      <c r="J1780" t="str" cm="1">
        <f t="array" ref="J1780">_xlfn.IFS(I1780="S","Southamptom",I1780="Q","Quentown",I1780="C","Cherbrug",I1780="B","Cabin")</f>
        <v>Southamptom</v>
      </c>
      <c r="K1780" t="s">
        <v>15</v>
      </c>
      <c r="L1780" s="2">
        <v>33</v>
      </c>
      <c r="M1780" s="2" t="str" cm="1">
        <f t="array" ref="M1780">_xlfn.IFS(L1780&lt;=15,"Low Fare",L1780&lt;=35,"Medium Fare",L1780&lt;=100,"High Fare",L1780&gt;=100,"Very High Fare")</f>
        <v>Medium Fare</v>
      </c>
      <c r="N1780" s="2">
        <v>1</v>
      </c>
      <c r="O1780" s="2" t="s">
        <v>30</v>
      </c>
      <c r="P1780" t="e">
        <f t="shared" si="109"/>
        <v>#VALUE!</v>
      </c>
      <c r="Q1780" t="e">
        <f t="shared" si="110"/>
        <v>#VALUE!</v>
      </c>
      <c r="R1780" t="str">
        <f t="shared" si="111"/>
        <v>Yes</v>
      </c>
      <c r="S1780" t="s">
        <v>16</v>
      </c>
    </row>
    <row r="1781" spans="1:19" hidden="1" x14ac:dyDescent="0.3">
      <c r="A1781" s="1" t="s">
        <v>1305</v>
      </c>
      <c r="B1781" t="s">
        <v>1596</v>
      </c>
      <c r="C1781" t="s">
        <v>1884</v>
      </c>
      <c r="D1781" t="str">
        <f t="shared" si="108"/>
        <v>Male</v>
      </c>
      <c r="E1781" t="s">
        <v>9</v>
      </c>
      <c r="F1781" s="2">
        <v>24</v>
      </c>
      <c r="G1781" s="2" t="str" cm="1">
        <f t="array" ref="G1781">_xlfn.IFS(F1781&lt;=8,"Child",F1781&lt;=17,"Teen",F1781&lt;=35,"Adult",F1781&lt;=55,"Seniour Adult",F1781&gt;=55,"Old Age")</f>
        <v>Adult</v>
      </c>
      <c r="H1781" t="s">
        <v>69</v>
      </c>
      <c r="I1781" t="s">
        <v>11</v>
      </c>
      <c r="J1781" t="str" cm="1">
        <f t="array" ref="J1781">_xlfn.IFS(I1781="S","Southamptom",I1781="Q","Quentown",I1781="C","Cherbrug",I1781="B","Cabin")</f>
        <v>Southamptom</v>
      </c>
      <c r="K1781" t="s">
        <v>15</v>
      </c>
      <c r="L1781" s="2">
        <v>33</v>
      </c>
      <c r="M1781" s="2" t="str" cm="1">
        <f t="array" ref="M1781">_xlfn.IFS(L1781&lt;=15,"Low Fare",L1781&lt;=35,"Medium Fare",L1781&lt;=100,"High Fare",L1781&gt;=100,"Very High Fare")</f>
        <v>Medium Fare</v>
      </c>
      <c r="N1781" s="2">
        <v>1</v>
      </c>
      <c r="O1781" s="2" t="s">
        <v>30</v>
      </c>
      <c r="P1781" t="e">
        <f t="shared" si="109"/>
        <v>#VALUE!</v>
      </c>
      <c r="Q1781" t="e">
        <f t="shared" si="110"/>
        <v>#VALUE!</v>
      </c>
      <c r="R1781" t="str">
        <f t="shared" si="111"/>
        <v>No</v>
      </c>
      <c r="S1781" t="s">
        <v>13</v>
      </c>
    </row>
    <row r="1782" spans="1:19" hidden="1" x14ac:dyDescent="0.3">
      <c r="A1782" s="1" t="s">
        <v>1305</v>
      </c>
      <c r="B1782" t="s">
        <v>1596</v>
      </c>
      <c r="C1782" t="s">
        <v>2961</v>
      </c>
      <c r="D1782" t="str">
        <f t="shared" si="108"/>
        <v>Male</v>
      </c>
      <c r="E1782" t="s">
        <v>9</v>
      </c>
      <c r="F1782" s="2">
        <v>20</v>
      </c>
      <c r="G1782" s="2" t="str" cm="1">
        <f t="array" ref="G1782">_xlfn.IFS(F1782&lt;=8,"Child",F1782&lt;=17,"Teen",F1782&lt;=35,"Adult",F1782&lt;=55,"Seniour Adult",F1782&gt;=55,"Old Age")</f>
        <v>Adult</v>
      </c>
      <c r="H1782" t="s">
        <v>51</v>
      </c>
      <c r="I1782" t="s">
        <v>11</v>
      </c>
      <c r="J1782" t="str" cm="1">
        <f t="array" ref="J1782">_xlfn.IFS(I1782="S","Southamptom",I1782="Q","Quentown",I1782="C","Cherbrug",I1782="B","Cabin")</f>
        <v>Southamptom</v>
      </c>
      <c r="K1782" t="s">
        <v>15</v>
      </c>
      <c r="L1782" s="2">
        <v>33</v>
      </c>
      <c r="M1782" s="2" t="str" cm="1">
        <f t="array" ref="M1782">_xlfn.IFS(L1782&lt;=15,"Low Fare",L1782&lt;=35,"Medium Fare",L1782&lt;=100,"High Fare",L1782&gt;=100,"Very High Fare")</f>
        <v>Medium Fare</v>
      </c>
      <c r="N1782" s="2">
        <v>1</v>
      </c>
      <c r="O1782" s="2" t="s">
        <v>30</v>
      </c>
      <c r="P1782" t="e">
        <f t="shared" si="109"/>
        <v>#VALUE!</v>
      </c>
      <c r="Q1782" t="e">
        <f t="shared" si="110"/>
        <v>#VALUE!</v>
      </c>
      <c r="R1782" t="str">
        <f t="shared" si="111"/>
        <v>No</v>
      </c>
      <c r="S1782" t="s">
        <v>13</v>
      </c>
    </row>
    <row r="1783" spans="1:19" hidden="1" x14ac:dyDescent="0.3">
      <c r="A1783" s="1" t="s">
        <v>1305</v>
      </c>
      <c r="B1783" t="s">
        <v>1596</v>
      </c>
      <c r="C1783" t="s">
        <v>2882</v>
      </c>
      <c r="D1783" t="str">
        <f t="shared" si="108"/>
        <v>Male</v>
      </c>
      <c r="E1783" t="s">
        <v>9</v>
      </c>
      <c r="F1783" s="2">
        <v>47</v>
      </c>
      <c r="G1783" s="2" t="str" cm="1">
        <f t="array" ref="G1783">_xlfn.IFS(F1783&lt;=8,"Child",F1783&lt;=17,"Teen",F1783&lt;=35,"Adult",F1783&lt;=55,"Seniour Adult",F1783&gt;=55,"Old Age")</f>
        <v>Seniour Adult</v>
      </c>
      <c r="H1783" t="s">
        <v>51</v>
      </c>
      <c r="I1783" t="s">
        <v>11</v>
      </c>
      <c r="J1783" t="str" cm="1">
        <f t="array" ref="J1783">_xlfn.IFS(I1783="S","Southamptom",I1783="Q","Quentown",I1783="C","Cherbrug",I1783="B","Cabin")</f>
        <v>Southamptom</v>
      </c>
      <c r="K1783" t="s">
        <v>15</v>
      </c>
      <c r="L1783" s="2">
        <v>33</v>
      </c>
      <c r="M1783" s="2" t="str" cm="1">
        <f t="array" ref="M1783">_xlfn.IFS(L1783&lt;=15,"Low Fare",L1783&lt;=35,"Medium Fare",L1783&lt;=100,"High Fare",L1783&gt;=100,"Very High Fare")</f>
        <v>Medium Fare</v>
      </c>
      <c r="N1783" s="2">
        <v>1</v>
      </c>
      <c r="O1783" s="2" t="s">
        <v>30</v>
      </c>
      <c r="P1783" t="e">
        <f t="shared" si="109"/>
        <v>#VALUE!</v>
      </c>
      <c r="Q1783" t="e">
        <f t="shared" si="110"/>
        <v>#VALUE!</v>
      </c>
      <c r="R1783" t="str">
        <f t="shared" si="111"/>
        <v>No</v>
      </c>
      <c r="S1783" t="s">
        <v>13</v>
      </c>
    </row>
    <row r="1784" spans="1:19" hidden="1" x14ac:dyDescent="0.3">
      <c r="A1784" s="1" t="s">
        <v>1306</v>
      </c>
      <c r="B1784" t="s">
        <v>1596</v>
      </c>
      <c r="C1784" t="s">
        <v>2962</v>
      </c>
      <c r="D1784" t="str">
        <f t="shared" si="108"/>
        <v>Male</v>
      </c>
      <c r="E1784" t="s">
        <v>9</v>
      </c>
      <c r="F1784" s="2">
        <v>38</v>
      </c>
      <c r="G1784" s="2" t="str" cm="1">
        <f t="array" ref="G1784">_xlfn.IFS(F1784&lt;=8,"Child",F1784&lt;=17,"Teen",F1784&lt;=35,"Adult",F1784&lt;=55,"Seniour Adult",F1784&gt;=55,"Old Age")</f>
        <v>Seniour Adult</v>
      </c>
      <c r="H1784" t="s">
        <v>71</v>
      </c>
      <c r="I1784" t="s">
        <v>28</v>
      </c>
      <c r="J1784" t="str" cm="1">
        <f t="array" ref="J1784">_xlfn.IFS(I1784="S","Southamptom",I1784="Q","Quentown",I1784="C","Cherbrug",I1784="B","Cabin")</f>
        <v>Cabin</v>
      </c>
      <c r="K1784" t="s">
        <v>15</v>
      </c>
      <c r="L1784" s="2">
        <v>33</v>
      </c>
      <c r="M1784" s="2" t="str" cm="1">
        <f t="array" ref="M1784">_xlfn.IFS(L1784&lt;=15,"Low Fare",L1784&lt;=35,"Medium Fare",L1784&lt;=100,"High Fare",L1784&gt;=100,"Very High Fare")</f>
        <v>Medium Fare</v>
      </c>
      <c r="N1784" s="2">
        <v>1</v>
      </c>
      <c r="O1784" s="2" t="s">
        <v>30</v>
      </c>
      <c r="P1784" t="e">
        <f t="shared" si="109"/>
        <v>#VALUE!</v>
      </c>
      <c r="Q1784" t="e">
        <f t="shared" si="110"/>
        <v>#VALUE!</v>
      </c>
      <c r="R1784" t="str">
        <f t="shared" si="111"/>
        <v>Yes</v>
      </c>
      <c r="S1784" t="s">
        <v>16</v>
      </c>
    </row>
    <row r="1785" spans="1:19" hidden="1" x14ac:dyDescent="0.3">
      <c r="A1785" s="1" t="s">
        <v>1307</v>
      </c>
      <c r="B1785" t="s">
        <v>1596</v>
      </c>
      <c r="C1785" t="s">
        <v>2963</v>
      </c>
      <c r="D1785" t="str">
        <f t="shared" si="108"/>
        <v>Male</v>
      </c>
      <c r="E1785" t="s">
        <v>9</v>
      </c>
      <c r="F1785" s="2">
        <v>30</v>
      </c>
      <c r="G1785" s="2" t="str" cm="1">
        <f t="array" ref="G1785">_xlfn.IFS(F1785&lt;=8,"Child",F1785&lt;=17,"Teen",F1785&lt;=35,"Adult",F1785&lt;=55,"Seniour Adult",F1785&gt;=55,"Old Age")</f>
        <v>Adult</v>
      </c>
      <c r="H1785" t="s">
        <v>51</v>
      </c>
      <c r="I1785" t="s">
        <v>11</v>
      </c>
      <c r="J1785" t="str" cm="1">
        <f t="array" ref="J1785">_xlfn.IFS(I1785="S","Southamptom",I1785="Q","Quentown",I1785="C","Cherbrug",I1785="B","Cabin")</f>
        <v>Southamptom</v>
      </c>
      <c r="K1785" t="s">
        <v>15</v>
      </c>
      <c r="L1785" s="2">
        <v>33</v>
      </c>
      <c r="M1785" s="2" t="str" cm="1">
        <f t="array" ref="M1785">_xlfn.IFS(L1785&lt;=15,"Low Fare",L1785&lt;=35,"Medium Fare",L1785&lt;=100,"High Fare",L1785&gt;=100,"Very High Fare")</f>
        <v>Medium Fare</v>
      </c>
      <c r="N1785" s="2">
        <v>1</v>
      </c>
      <c r="O1785" s="2" t="s">
        <v>30</v>
      </c>
      <c r="P1785" t="e">
        <f t="shared" si="109"/>
        <v>#VALUE!</v>
      </c>
      <c r="Q1785" t="e">
        <f t="shared" si="110"/>
        <v>#VALUE!</v>
      </c>
      <c r="R1785" t="str">
        <f t="shared" si="111"/>
        <v>Yes</v>
      </c>
      <c r="S1785" t="s">
        <v>16</v>
      </c>
    </row>
    <row r="1786" spans="1:19" hidden="1" x14ac:dyDescent="0.3">
      <c r="A1786" s="1" t="s">
        <v>1308</v>
      </c>
      <c r="B1786" t="s">
        <v>1596</v>
      </c>
      <c r="C1786" t="s">
        <v>2964</v>
      </c>
      <c r="D1786" t="str">
        <f t="shared" si="108"/>
        <v>Male</v>
      </c>
      <c r="E1786" t="s">
        <v>9</v>
      </c>
      <c r="F1786" s="2">
        <v>40</v>
      </c>
      <c r="G1786" s="2" t="str" cm="1">
        <f t="array" ref="G1786">_xlfn.IFS(F1786&lt;=8,"Child",F1786&lt;=17,"Teen",F1786&lt;=35,"Adult",F1786&lt;=55,"Seniour Adult",F1786&gt;=55,"Old Age")</f>
        <v>Seniour Adult</v>
      </c>
      <c r="H1786" t="s">
        <v>69</v>
      </c>
      <c r="I1786" t="s">
        <v>28</v>
      </c>
      <c r="J1786" t="str" cm="1">
        <f t="array" ref="J1786">_xlfn.IFS(I1786="S","Southamptom",I1786="Q","Quentown",I1786="C","Cherbrug",I1786="B","Cabin")</f>
        <v>Cabin</v>
      </c>
      <c r="K1786" t="s">
        <v>15</v>
      </c>
      <c r="L1786" s="2">
        <v>33</v>
      </c>
      <c r="M1786" s="2" t="str" cm="1">
        <f t="array" ref="M1786">_xlfn.IFS(L1786&lt;=15,"Low Fare",L1786&lt;=35,"Medium Fare",L1786&lt;=100,"High Fare",L1786&gt;=100,"Very High Fare")</f>
        <v>Medium Fare</v>
      </c>
      <c r="N1786" s="2">
        <v>1</v>
      </c>
      <c r="O1786" s="2" t="s">
        <v>30</v>
      </c>
      <c r="P1786" t="e">
        <f t="shared" si="109"/>
        <v>#VALUE!</v>
      </c>
      <c r="Q1786" t="e">
        <f t="shared" si="110"/>
        <v>#VALUE!</v>
      </c>
      <c r="R1786" t="str">
        <f t="shared" si="111"/>
        <v>Yes</v>
      </c>
      <c r="S1786" t="s">
        <v>16</v>
      </c>
    </row>
    <row r="1787" spans="1:19" hidden="1" x14ac:dyDescent="0.3">
      <c r="A1787" s="1" t="s">
        <v>1309</v>
      </c>
      <c r="B1787" t="s">
        <v>1596</v>
      </c>
      <c r="C1787" t="s">
        <v>2920</v>
      </c>
      <c r="D1787" t="str">
        <f t="shared" si="108"/>
        <v>Male</v>
      </c>
      <c r="E1787" t="s">
        <v>9</v>
      </c>
      <c r="F1787" s="2">
        <v>41</v>
      </c>
      <c r="G1787" s="2" t="str" cm="1">
        <f t="array" ref="G1787">_xlfn.IFS(F1787&lt;=8,"Child",F1787&lt;=17,"Teen",F1787&lt;=35,"Adult",F1787&lt;=55,"Seniour Adult",F1787&gt;=55,"Old Age")</f>
        <v>Seniour Adult</v>
      </c>
      <c r="H1787" t="s">
        <v>69</v>
      </c>
      <c r="I1787" t="s">
        <v>28</v>
      </c>
      <c r="J1787" t="str" cm="1">
        <f t="array" ref="J1787">_xlfn.IFS(I1787="S","Southamptom",I1787="Q","Quentown",I1787="C","Cherbrug",I1787="B","Cabin")</f>
        <v>Cabin</v>
      </c>
      <c r="K1787" t="s">
        <v>15</v>
      </c>
      <c r="L1787" s="2">
        <v>33</v>
      </c>
      <c r="M1787" s="2" t="str" cm="1">
        <f t="array" ref="M1787">_xlfn.IFS(L1787&lt;=15,"Low Fare",L1787&lt;=35,"Medium Fare",L1787&lt;=100,"High Fare",L1787&gt;=100,"Very High Fare")</f>
        <v>Medium Fare</v>
      </c>
      <c r="N1787" s="2">
        <v>1</v>
      </c>
      <c r="O1787" s="2" t="s">
        <v>30</v>
      </c>
      <c r="P1787" t="e">
        <f t="shared" si="109"/>
        <v>#VALUE!</v>
      </c>
      <c r="Q1787" t="e">
        <f t="shared" si="110"/>
        <v>#VALUE!</v>
      </c>
      <c r="R1787" t="str">
        <f t="shared" si="111"/>
        <v>No</v>
      </c>
      <c r="S1787" t="s">
        <v>13</v>
      </c>
    </row>
    <row r="1788" spans="1:19" hidden="1" x14ac:dyDescent="0.3">
      <c r="A1788" s="1" t="s">
        <v>1309</v>
      </c>
      <c r="B1788" t="s">
        <v>1596</v>
      </c>
      <c r="C1788" t="s">
        <v>1619</v>
      </c>
      <c r="D1788" t="str">
        <f t="shared" si="108"/>
        <v>Male</v>
      </c>
      <c r="E1788" t="s">
        <v>9</v>
      </c>
      <c r="F1788" s="2">
        <v>29</v>
      </c>
      <c r="G1788" s="2" t="str" cm="1">
        <f t="array" ref="G1788">_xlfn.IFS(F1788&lt;=8,"Child",F1788&lt;=17,"Teen",F1788&lt;=35,"Adult",F1788&lt;=55,"Seniour Adult",F1788&gt;=55,"Old Age")</f>
        <v>Adult</v>
      </c>
      <c r="H1788" t="s">
        <v>51</v>
      </c>
      <c r="I1788" t="s">
        <v>11</v>
      </c>
      <c r="J1788" t="str" cm="1">
        <f t="array" ref="J1788">_xlfn.IFS(I1788="S","Southamptom",I1788="Q","Quentown",I1788="C","Cherbrug",I1788="B","Cabin")</f>
        <v>Southamptom</v>
      </c>
      <c r="K1788" t="s">
        <v>15</v>
      </c>
      <c r="L1788" s="2">
        <v>33</v>
      </c>
      <c r="M1788" s="2" t="str" cm="1">
        <f t="array" ref="M1788">_xlfn.IFS(L1788&lt;=15,"Low Fare",L1788&lt;=35,"Medium Fare",L1788&lt;=100,"High Fare",L1788&gt;=100,"Very High Fare")</f>
        <v>Medium Fare</v>
      </c>
      <c r="N1788" s="2">
        <v>1</v>
      </c>
      <c r="O1788" s="2" t="s">
        <v>30</v>
      </c>
      <c r="P1788" t="e">
        <f t="shared" si="109"/>
        <v>#VALUE!</v>
      </c>
      <c r="Q1788" t="e">
        <f t="shared" si="110"/>
        <v>#VALUE!</v>
      </c>
      <c r="R1788" t="str">
        <f t="shared" si="111"/>
        <v>No</v>
      </c>
      <c r="S1788" t="s">
        <v>13</v>
      </c>
    </row>
    <row r="1789" spans="1:19" hidden="1" x14ac:dyDescent="0.3">
      <c r="A1789" s="1" t="s">
        <v>1310</v>
      </c>
      <c r="B1789" t="s">
        <v>1596</v>
      </c>
      <c r="C1789" t="s">
        <v>2965</v>
      </c>
      <c r="D1789" t="str">
        <f t="shared" si="108"/>
        <v>Male</v>
      </c>
      <c r="E1789" t="s">
        <v>9</v>
      </c>
      <c r="F1789" s="2">
        <v>33</v>
      </c>
      <c r="G1789" s="2" t="str" cm="1">
        <f t="array" ref="G1789">_xlfn.IFS(F1789&lt;=8,"Child",F1789&lt;=17,"Teen",F1789&lt;=35,"Adult",F1789&lt;=55,"Seniour Adult",F1789&gt;=55,"Old Age")</f>
        <v>Adult</v>
      </c>
      <c r="H1789" t="s">
        <v>69</v>
      </c>
      <c r="I1789" t="s">
        <v>11</v>
      </c>
      <c r="J1789" t="str" cm="1">
        <f t="array" ref="J1789">_xlfn.IFS(I1789="S","Southamptom",I1789="Q","Quentown",I1789="C","Cherbrug",I1789="B","Cabin")</f>
        <v>Southamptom</v>
      </c>
      <c r="K1789" t="s">
        <v>15</v>
      </c>
      <c r="L1789" s="2">
        <v>33</v>
      </c>
      <c r="M1789" s="2" t="str" cm="1">
        <f t="array" ref="M1789">_xlfn.IFS(L1789&lt;=15,"Low Fare",L1789&lt;=35,"Medium Fare",L1789&lt;=100,"High Fare",L1789&gt;=100,"Very High Fare")</f>
        <v>Medium Fare</v>
      </c>
      <c r="N1789" s="2">
        <v>1</v>
      </c>
      <c r="O1789" s="2" t="s">
        <v>30</v>
      </c>
      <c r="P1789" t="e">
        <f t="shared" si="109"/>
        <v>#VALUE!</v>
      </c>
      <c r="Q1789" t="e">
        <f t="shared" si="110"/>
        <v>#VALUE!</v>
      </c>
      <c r="R1789" t="str">
        <f t="shared" si="111"/>
        <v>No</v>
      </c>
      <c r="S1789" t="s">
        <v>13</v>
      </c>
    </row>
    <row r="1790" spans="1:19" hidden="1" x14ac:dyDescent="0.3">
      <c r="A1790" s="1" t="s">
        <v>553</v>
      </c>
      <c r="B1790" t="s">
        <v>1596</v>
      </c>
      <c r="C1790" t="s">
        <v>1945</v>
      </c>
      <c r="D1790" t="str">
        <f t="shared" si="108"/>
        <v>Male</v>
      </c>
      <c r="E1790" t="s">
        <v>9</v>
      </c>
      <c r="F1790" s="2">
        <v>31</v>
      </c>
      <c r="G1790" s="2" t="str" cm="1">
        <f t="array" ref="G1790">_xlfn.IFS(F1790&lt;=8,"Child",F1790&lt;=17,"Teen",F1790&lt;=35,"Adult",F1790&lt;=55,"Seniour Adult",F1790&gt;=55,"Old Age")</f>
        <v>Adult</v>
      </c>
      <c r="H1790" t="s">
        <v>51</v>
      </c>
      <c r="I1790" t="s">
        <v>11</v>
      </c>
      <c r="J1790" t="str" cm="1">
        <f t="array" ref="J1790">_xlfn.IFS(I1790="S","Southamptom",I1790="Q","Quentown",I1790="C","Cherbrug",I1790="B","Cabin")</f>
        <v>Southamptom</v>
      </c>
      <c r="K1790" t="s">
        <v>15</v>
      </c>
      <c r="L1790" s="2">
        <v>33</v>
      </c>
      <c r="M1790" s="2" t="str" cm="1">
        <f t="array" ref="M1790">_xlfn.IFS(L1790&lt;=15,"Low Fare",L1790&lt;=35,"Medium Fare",L1790&lt;=100,"High Fare",L1790&gt;=100,"Very High Fare")</f>
        <v>Medium Fare</v>
      </c>
      <c r="N1790" s="2">
        <v>1</v>
      </c>
      <c r="O1790" s="2" t="s">
        <v>30</v>
      </c>
      <c r="P1790" t="e">
        <f t="shared" si="109"/>
        <v>#VALUE!</v>
      </c>
      <c r="Q1790" t="e">
        <f t="shared" si="110"/>
        <v>#VALUE!</v>
      </c>
      <c r="R1790" t="str">
        <f t="shared" si="111"/>
        <v>No</v>
      </c>
      <c r="S1790" t="s">
        <v>13</v>
      </c>
    </row>
    <row r="1791" spans="1:19" hidden="1" x14ac:dyDescent="0.3">
      <c r="A1791" s="1" t="s">
        <v>553</v>
      </c>
      <c r="B1791" t="s">
        <v>1596</v>
      </c>
      <c r="C1791" t="s">
        <v>1619</v>
      </c>
      <c r="D1791" t="str">
        <f t="shared" si="108"/>
        <v>Male</v>
      </c>
      <c r="E1791" t="s">
        <v>9</v>
      </c>
      <c r="F1791" s="2">
        <v>36</v>
      </c>
      <c r="G1791" s="2" t="str" cm="1">
        <f t="array" ref="G1791">_xlfn.IFS(F1791&lt;=8,"Child",F1791&lt;=17,"Teen",F1791&lt;=35,"Adult",F1791&lt;=55,"Seniour Adult",F1791&gt;=55,"Old Age")</f>
        <v>Seniour Adult</v>
      </c>
      <c r="H1791" t="s">
        <v>51</v>
      </c>
      <c r="I1791" t="s">
        <v>11</v>
      </c>
      <c r="J1791" t="str" cm="1">
        <f t="array" ref="J1791">_xlfn.IFS(I1791="S","Southamptom",I1791="Q","Quentown",I1791="C","Cherbrug",I1791="B","Cabin")</f>
        <v>Southamptom</v>
      </c>
      <c r="K1791" t="s">
        <v>15</v>
      </c>
      <c r="L1791" s="2">
        <v>33</v>
      </c>
      <c r="M1791" s="2" t="str" cm="1">
        <f t="array" ref="M1791">_xlfn.IFS(L1791&lt;=15,"Low Fare",L1791&lt;=35,"Medium Fare",L1791&lt;=100,"High Fare",L1791&gt;=100,"Very High Fare")</f>
        <v>Medium Fare</v>
      </c>
      <c r="N1791" s="2">
        <v>1</v>
      </c>
      <c r="O1791" s="2" t="s">
        <v>30</v>
      </c>
      <c r="P1791" t="e">
        <f t="shared" si="109"/>
        <v>#VALUE!</v>
      </c>
      <c r="Q1791" t="e">
        <f t="shared" si="110"/>
        <v>#VALUE!</v>
      </c>
      <c r="R1791" t="str">
        <f t="shared" si="111"/>
        <v>No</v>
      </c>
      <c r="S1791" t="s">
        <v>13</v>
      </c>
    </row>
    <row r="1792" spans="1:19" hidden="1" x14ac:dyDescent="0.3">
      <c r="A1792" s="1" t="s">
        <v>1311</v>
      </c>
      <c r="B1792" t="s">
        <v>1596</v>
      </c>
      <c r="C1792" t="s">
        <v>2966</v>
      </c>
      <c r="D1792" t="str">
        <f t="shared" si="108"/>
        <v>Male</v>
      </c>
      <c r="E1792" t="s">
        <v>9</v>
      </c>
      <c r="F1792" s="2">
        <v>20</v>
      </c>
      <c r="G1792" s="2" t="str" cm="1">
        <f t="array" ref="G1792">_xlfn.IFS(F1792&lt;=8,"Child",F1792&lt;=17,"Teen",F1792&lt;=35,"Adult",F1792&lt;=55,"Seniour Adult",F1792&gt;=55,"Old Age")</f>
        <v>Adult</v>
      </c>
      <c r="H1792" t="s">
        <v>69</v>
      </c>
      <c r="I1792" t="s">
        <v>11</v>
      </c>
      <c r="J1792" t="str" cm="1">
        <f t="array" ref="J1792">_xlfn.IFS(I1792="S","Southamptom",I1792="Q","Quentown",I1792="C","Cherbrug",I1792="B","Cabin")</f>
        <v>Southamptom</v>
      </c>
      <c r="K1792" t="s">
        <v>15</v>
      </c>
      <c r="L1792" s="2">
        <v>33</v>
      </c>
      <c r="M1792" s="2" t="str" cm="1">
        <f t="array" ref="M1792">_xlfn.IFS(L1792&lt;=15,"Low Fare",L1792&lt;=35,"Medium Fare",L1792&lt;=100,"High Fare",L1792&gt;=100,"Very High Fare")</f>
        <v>Medium Fare</v>
      </c>
      <c r="N1792" s="2">
        <v>1</v>
      </c>
      <c r="O1792" s="2" t="s">
        <v>30</v>
      </c>
      <c r="P1792" t="e">
        <f t="shared" si="109"/>
        <v>#VALUE!</v>
      </c>
      <c r="Q1792" t="e">
        <f t="shared" si="110"/>
        <v>#VALUE!</v>
      </c>
      <c r="R1792" t="str">
        <f t="shared" si="111"/>
        <v>No</v>
      </c>
      <c r="S1792" t="s">
        <v>13</v>
      </c>
    </row>
    <row r="1793" spans="1:19" hidden="1" x14ac:dyDescent="0.3">
      <c r="A1793" s="1" t="s">
        <v>556</v>
      </c>
      <c r="B1793" t="s">
        <v>1596</v>
      </c>
      <c r="C1793" t="s">
        <v>1610</v>
      </c>
      <c r="D1793" t="str">
        <f t="shared" si="108"/>
        <v>Male</v>
      </c>
      <c r="E1793" t="s">
        <v>9</v>
      </c>
      <c r="F1793" s="2">
        <v>37</v>
      </c>
      <c r="G1793" s="2" t="str" cm="1">
        <f t="array" ref="G1793">_xlfn.IFS(F1793&lt;=8,"Child",F1793&lt;=17,"Teen",F1793&lt;=35,"Adult",F1793&lt;=55,"Seniour Adult",F1793&gt;=55,"Old Age")</f>
        <v>Seniour Adult</v>
      </c>
      <c r="H1793" t="s">
        <v>69</v>
      </c>
      <c r="I1793" t="s">
        <v>11</v>
      </c>
      <c r="J1793" t="str" cm="1">
        <f t="array" ref="J1793">_xlfn.IFS(I1793="S","Southamptom",I1793="Q","Quentown",I1793="C","Cherbrug",I1793="B","Cabin")</f>
        <v>Southamptom</v>
      </c>
      <c r="K1793" t="s">
        <v>15</v>
      </c>
      <c r="L1793" s="2">
        <v>33</v>
      </c>
      <c r="M1793" s="2" t="str" cm="1">
        <f t="array" ref="M1793">_xlfn.IFS(L1793&lt;=15,"Low Fare",L1793&lt;=35,"Medium Fare",L1793&lt;=100,"High Fare",L1793&gt;=100,"Very High Fare")</f>
        <v>Medium Fare</v>
      </c>
      <c r="N1793" s="2">
        <v>1</v>
      </c>
      <c r="O1793" s="2" t="s">
        <v>30</v>
      </c>
      <c r="P1793" t="e">
        <f t="shared" si="109"/>
        <v>#VALUE!</v>
      </c>
      <c r="Q1793" t="e">
        <f t="shared" si="110"/>
        <v>#VALUE!</v>
      </c>
      <c r="R1793" t="str">
        <f t="shared" si="111"/>
        <v>No</v>
      </c>
      <c r="S1793" t="s">
        <v>13</v>
      </c>
    </row>
    <row r="1794" spans="1:19" hidden="1" x14ac:dyDescent="0.3">
      <c r="A1794" s="1" t="s">
        <v>1312</v>
      </c>
      <c r="B1794" t="s">
        <v>1596</v>
      </c>
      <c r="C1794" t="s">
        <v>2967</v>
      </c>
      <c r="D1794" t="str">
        <f t="shared" si="108"/>
        <v>Male</v>
      </c>
      <c r="E1794" t="s">
        <v>9</v>
      </c>
      <c r="F1794" s="2">
        <v>29</v>
      </c>
      <c r="G1794" s="2" t="str" cm="1">
        <f t="array" ref="G1794">_xlfn.IFS(F1794&lt;=8,"Child",F1794&lt;=17,"Teen",F1794&lt;=35,"Adult",F1794&lt;=55,"Seniour Adult",F1794&gt;=55,"Old Age")</f>
        <v>Adult</v>
      </c>
      <c r="H1794" t="s">
        <v>71</v>
      </c>
      <c r="I1794" t="s">
        <v>28</v>
      </c>
      <c r="J1794" t="str" cm="1">
        <f t="array" ref="J1794">_xlfn.IFS(I1794="S","Southamptom",I1794="Q","Quentown",I1794="C","Cherbrug",I1794="B","Cabin")</f>
        <v>Cabin</v>
      </c>
      <c r="K1794" t="s">
        <v>40</v>
      </c>
      <c r="L1794" s="2">
        <v>33</v>
      </c>
      <c r="M1794" s="2" t="str" cm="1">
        <f t="array" ref="M1794">_xlfn.IFS(L1794&lt;=15,"Low Fare",L1794&lt;=35,"Medium Fare",L1794&lt;=100,"High Fare",L1794&gt;=100,"Very High Fare")</f>
        <v>Medium Fare</v>
      </c>
      <c r="N1794" s="2">
        <v>1</v>
      </c>
      <c r="O1794" s="2" t="s">
        <v>30</v>
      </c>
      <c r="P1794" t="e">
        <f t="shared" si="109"/>
        <v>#VALUE!</v>
      </c>
      <c r="Q1794" t="e">
        <f t="shared" si="110"/>
        <v>#VALUE!</v>
      </c>
      <c r="R1794" t="str">
        <f t="shared" si="111"/>
        <v>Yes</v>
      </c>
      <c r="S1794" t="s">
        <v>16</v>
      </c>
    </row>
    <row r="1795" spans="1:19" hidden="1" x14ac:dyDescent="0.3">
      <c r="A1795" s="1" t="s">
        <v>1313</v>
      </c>
      <c r="B1795" t="s">
        <v>1596</v>
      </c>
      <c r="C1795" t="s">
        <v>2254</v>
      </c>
      <c r="D1795" t="str">
        <f t="shared" ref="D1795:D1858" si="112">PROPER(E1795)</f>
        <v>Male</v>
      </c>
      <c r="E1795" t="s">
        <v>9</v>
      </c>
      <c r="F1795" s="2">
        <v>25</v>
      </c>
      <c r="G1795" s="2" t="str" cm="1">
        <f t="array" ref="G1795">_xlfn.IFS(F1795&lt;=8,"Child",F1795&lt;=17,"Teen",F1795&lt;=35,"Adult",F1795&lt;=55,"Seniour Adult",F1795&gt;=55,"Old Age")</f>
        <v>Adult</v>
      </c>
      <c r="H1795" t="s">
        <v>71</v>
      </c>
      <c r="I1795" t="s">
        <v>11</v>
      </c>
      <c r="J1795" t="str" cm="1">
        <f t="array" ref="J1795">_xlfn.IFS(I1795="S","Southamptom",I1795="Q","Quentown",I1795="C","Cherbrug",I1795="B","Cabin")</f>
        <v>Southamptom</v>
      </c>
      <c r="K1795" t="s">
        <v>15</v>
      </c>
      <c r="L1795" s="2">
        <v>33</v>
      </c>
      <c r="M1795" s="2" t="str" cm="1">
        <f t="array" ref="M1795">_xlfn.IFS(L1795&lt;=15,"Low Fare",L1795&lt;=35,"Medium Fare",L1795&lt;=100,"High Fare",L1795&gt;=100,"Very High Fare")</f>
        <v>Medium Fare</v>
      </c>
      <c r="N1795" s="2">
        <v>1</v>
      </c>
      <c r="O1795" s="2" t="s">
        <v>30</v>
      </c>
      <c r="P1795" t="e">
        <f t="shared" ref="P1795:P1858" si="113">N1795+O1795+1</f>
        <v>#VALUE!</v>
      </c>
      <c r="Q1795" t="e">
        <f t="shared" ref="Q1795:Q1858" si="114">IF(P1795=1,"Alone","With Family")</f>
        <v>#VALUE!</v>
      </c>
      <c r="R1795" t="str">
        <f t="shared" ref="R1795:R1858" si="115">PROPER(S1795)</f>
        <v>Yes</v>
      </c>
      <c r="S1795" t="s">
        <v>16</v>
      </c>
    </row>
    <row r="1796" spans="1:19" hidden="1" x14ac:dyDescent="0.3">
      <c r="A1796" s="1" t="s">
        <v>1313</v>
      </c>
      <c r="B1796" t="s">
        <v>1596</v>
      </c>
      <c r="C1796" t="s">
        <v>2968</v>
      </c>
      <c r="D1796" t="str">
        <f t="shared" si="112"/>
        <v>Male</v>
      </c>
      <c r="E1796" t="s">
        <v>9</v>
      </c>
      <c r="F1796" s="2">
        <v>31</v>
      </c>
      <c r="G1796" s="2" t="str" cm="1">
        <f t="array" ref="G1796">_xlfn.IFS(F1796&lt;=8,"Child",F1796&lt;=17,"Teen",F1796&lt;=35,"Adult",F1796&lt;=55,"Seniour Adult",F1796&gt;=55,"Old Age")</f>
        <v>Adult</v>
      </c>
      <c r="H1796" t="s">
        <v>69</v>
      </c>
      <c r="I1796" t="s">
        <v>28</v>
      </c>
      <c r="J1796" t="str" cm="1">
        <f t="array" ref="J1796">_xlfn.IFS(I1796="S","Southamptom",I1796="Q","Quentown",I1796="C","Cherbrug",I1796="B","Cabin")</f>
        <v>Cabin</v>
      </c>
      <c r="K1796" t="s">
        <v>15</v>
      </c>
      <c r="L1796" s="2">
        <v>33</v>
      </c>
      <c r="M1796" s="2" t="str" cm="1">
        <f t="array" ref="M1796">_xlfn.IFS(L1796&lt;=15,"Low Fare",L1796&lt;=35,"Medium Fare",L1796&lt;=100,"High Fare",L1796&gt;=100,"Very High Fare")</f>
        <v>Medium Fare</v>
      </c>
      <c r="N1796" s="2">
        <v>1</v>
      </c>
      <c r="O1796" s="2" t="s">
        <v>30</v>
      </c>
      <c r="P1796" t="e">
        <f t="shared" si="113"/>
        <v>#VALUE!</v>
      </c>
      <c r="Q1796" t="e">
        <f t="shared" si="114"/>
        <v>#VALUE!</v>
      </c>
      <c r="R1796" t="str">
        <f t="shared" si="115"/>
        <v>Yes</v>
      </c>
      <c r="S1796" t="s">
        <v>16</v>
      </c>
    </row>
    <row r="1797" spans="1:19" hidden="1" x14ac:dyDescent="0.3">
      <c r="A1797" s="1" t="s">
        <v>1314</v>
      </c>
      <c r="B1797" t="s">
        <v>1596</v>
      </c>
      <c r="C1797" t="s">
        <v>2259</v>
      </c>
      <c r="D1797" t="str">
        <f t="shared" si="112"/>
        <v>Male</v>
      </c>
      <c r="E1797" t="s">
        <v>9</v>
      </c>
      <c r="F1797" s="2">
        <v>45</v>
      </c>
      <c r="G1797" s="2" t="str" cm="1">
        <f t="array" ref="G1797">_xlfn.IFS(F1797&lt;=8,"Child",F1797&lt;=17,"Teen",F1797&lt;=35,"Adult",F1797&lt;=55,"Seniour Adult",F1797&gt;=55,"Old Age")</f>
        <v>Seniour Adult</v>
      </c>
      <c r="H1797" t="s">
        <v>69</v>
      </c>
      <c r="I1797" t="s">
        <v>11</v>
      </c>
      <c r="J1797" t="str" cm="1">
        <f t="array" ref="J1797">_xlfn.IFS(I1797="S","Southamptom",I1797="Q","Quentown",I1797="C","Cherbrug",I1797="B","Cabin")</f>
        <v>Southamptom</v>
      </c>
      <c r="K1797" t="s">
        <v>15</v>
      </c>
      <c r="L1797" s="2">
        <v>33</v>
      </c>
      <c r="M1797" s="2" t="str" cm="1">
        <f t="array" ref="M1797">_xlfn.IFS(L1797&lt;=15,"Low Fare",L1797&lt;=35,"Medium Fare",L1797&lt;=100,"High Fare",L1797&gt;=100,"Very High Fare")</f>
        <v>Medium Fare</v>
      </c>
      <c r="N1797" s="2">
        <v>1</v>
      </c>
      <c r="O1797" s="2" t="s">
        <v>30</v>
      </c>
      <c r="P1797" t="e">
        <f t="shared" si="113"/>
        <v>#VALUE!</v>
      </c>
      <c r="Q1797" t="e">
        <f t="shared" si="114"/>
        <v>#VALUE!</v>
      </c>
      <c r="R1797" t="str">
        <f t="shared" si="115"/>
        <v>No</v>
      </c>
      <c r="S1797" t="s">
        <v>13</v>
      </c>
    </row>
    <row r="1798" spans="1:19" hidden="1" x14ac:dyDescent="0.3">
      <c r="A1798" s="1" t="s">
        <v>1315</v>
      </c>
      <c r="B1798" t="s">
        <v>1596</v>
      </c>
      <c r="C1798" t="s">
        <v>1621</v>
      </c>
      <c r="D1798" t="str">
        <f t="shared" si="112"/>
        <v>Male</v>
      </c>
      <c r="E1798" t="s">
        <v>9</v>
      </c>
      <c r="F1798" s="2">
        <v>26</v>
      </c>
      <c r="G1798" s="2" t="str" cm="1">
        <f t="array" ref="G1798">_xlfn.IFS(F1798&lt;=8,"Child",F1798&lt;=17,"Teen",F1798&lt;=35,"Adult",F1798&lt;=55,"Seniour Adult",F1798&gt;=55,"Old Age")</f>
        <v>Adult</v>
      </c>
      <c r="H1798" t="s">
        <v>71</v>
      </c>
      <c r="I1798" t="s">
        <v>11</v>
      </c>
      <c r="J1798" t="str" cm="1">
        <f t="array" ref="J1798">_xlfn.IFS(I1798="S","Southamptom",I1798="Q","Quentown",I1798="C","Cherbrug",I1798="B","Cabin")</f>
        <v>Southamptom</v>
      </c>
      <c r="K1798" t="s">
        <v>37</v>
      </c>
      <c r="L1798" s="2">
        <v>33</v>
      </c>
      <c r="M1798" s="2" t="str" cm="1">
        <f t="array" ref="M1798">_xlfn.IFS(L1798&lt;=15,"Low Fare",L1798&lt;=35,"Medium Fare",L1798&lt;=100,"High Fare",L1798&gt;=100,"Very High Fare")</f>
        <v>Medium Fare</v>
      </c>
      <c r="N1798" s="2">
        <v>1</v>
      </c>
      <c r="O1798" s="2" t="s">
        <v>30</v>
      </c>
      <c r="P1798" t="e">
        <f t="shared" si="113"/>
        <v>#VALUE!</v>
      </c>
      <c r="Q1798" t="e">
        <f t="shared" si="114"/>
        <v>#VALUE!</v>
      </c>
      <c r="R1798" t="str">
        <f t="shared" si="115"/>
        <v>No</v>
      </c>
      <c r="S1798" t="s">
        <v>13</v>
      </c>
    </row>
    <row r="1799" spans="1:19" hidden="1" x14ac:dyDescent="0.3">
      <c r="A1799" s="1" t="s">
        <v>1316</v>
      </c>
      <c r="B1799" t="s">
        <v>1596</v>
      </c>
      <c r="C1799" t="s">
        <v>2969</v>
      </c>
      <c r="D1799" t="str">
        <f t="shared" si="112"/>
        <v>Male</v>
      </c>
      <c r="E1799" t="s">
        <v>9</v>
      </c>
      <c r="F1799" s="2">
        <v>24</v>
      </c>
      <c r="G1799" s="2" t="str" cm="1">
        <f t="array" ref="G1799">_xlfn.IFS(F1799&lt;=8,"Child",F1799&lt;=17,"Teen",F1799&lt;=35,"Adult",F1799&lt;=55,"Seniour Adult",F1799&gt;=55,"Old Age")</f>
        <v>Adult</v>
      </c>
      <c r="H1799" t="s">
        <v>69</v>
      </c>
      <c r="I1799" t="s">
        <v>11</v>
      </c>
      <c r="J1799" t="str" cm="1">
        <f t="array" ref="J1799">_xlfn.IFS(I1799="S","Southamptom",I1799="Q","Quentown",I1799="C","Cherbrug",I1799="B","Cabin")</f>
        <v>Southamptom</v>
      </c>
      <c r="K1799" t="s">
        <v>15</v>
      </c>
      <c r="L1799" s="2">
        <v>33</v>
      </c>
      <c r="M1799" s="2" t="str" cm="1">
        <f t="array" ref="M1799">_xlfn.IFS(L1799&lt;=15,"Low Fare",L1799&lt;=35,"Medium Fare",L1799&lt;=100,"High Fare",L1799&gt;=100,"Very High Fare")</f>
        <v>Medium Fare</v>
      </c>
      <c r="N1799" s="2">
        <v>1</v>
      </c>
      <c r="O1799" s="2" t="s">
        <v>30</v>
      </c>
      <c r="P1799" t="e">
        <f t="shared" si="113"/>
        <v>#VALUE!</v>
      </c>
      <c r="Q1799" t="e">
        <f t="shared" si="114"/>
        <v>#VALUE!</v>
      </c>
      <c r="R1799" t="str">
        <f t="shared" si="115"/>
        <v>No</v>
      </c>
      <c r="S1799" t="s">
        <v>13</v>
      </c>
    </row>
    <row r="1800" spans="1:19" hidden="1" x14ac:dyDescent="0.3">
      <c r="A1800" s="1" t="s">
        <v>1317</v>
      </c>
      <c r="B1800" t="s">
        <v>1596</v>
      </c>
      <c r="C1800" t="s">
        <v>2269</v>
      </c>
      <c r="D1800" t="str">
        <f t="shared" si="112"/>
        <v>Male</v>
      </c>
      <c r="E1800" t="s">
        <v>9</v>
      </c>
      <c r="F1800" s="2">
        <v>34</v>
      </c>
      <c r="G1800" s="2" t="str" cm="1">
        <f t="array" ref="G1800">_xlfn.IFS(F1800&lt;=8,"Child",F1800&lt;=17,"Teen",F1800&lt;=35,"Adult",F1800&lt;=55,"Seniour Adult",F1800&gt;=55,"Old Age")</f>
        <v>Adult</v>
      </c>
      <c r="H1800" t="s">
        <v>69</v>
      </c>
      <c r="I1800" t="s">
        <v>11</v>
      </c>
      <c r="J1800" t="str" cm="1">
        <f t="array" ref="J1800">_xlfn.IFS(I1800="S","Southamptom",I1800="Q","Quentown",I1800="C","Cherbrug",I1800="B","Cabin")</f>
        <v>Southamptom</v>
      </c>
      <c r="K1800" t="s">
        <v>15</v>
      </c>
      <c r="L1800" s="2">
        <v>33</v>
      </c>
      <c r="M1800" s="2" t="str" cm="1">
        <f t="array" ref="M1800">_xlfn.IFS(L1800&lt;=15,"Low Fare",L1800&lt;=35,"Medium Fare",L1800&lt;=100,"High Fare",L1800&gt;=100,"Very High Fare")</f>
        <v>Medium Fare</v>
      </c>
      <c r="N1800" s="2">
        <v>1</v>
      </c>
      <c r="O1800" s="2" t="s">
        <v>30</v>
      </c>
      <c r="P1800" t="e">
        <f t="shared" si="113"/>
        <v>#VALUE!</v>
      </c>
      <c r="Q1800" t="e">
        <f t="shared" si="114"/>
        <v>#VALUE!</v>
      </c>
      <c r="R1800" t="str">
        <f t="shared" si="115"/>
        <v>No</v>
      </c>
      <c r="S1800" t="s">
        <v>13</v>
      </c>
    </row>
    <row r="1801" spans="1:19" hidden="1" x14ac:dyDescent="0.3">
      <c r="A1801" s="1" t="s">
        <v>1318</v>
      </c>
      <c r="B1801" t="s">
        <v>1596</v>
      </c>
      <c r="C1801" t="s">
        <v>2970</v>
      </c>
      <c r="D1801" t="str">
        <f t="shared" si="112"/>
        <v>Male</v>
      </c>
      <c r="E1801" t="s">
        <v>9</v>
      </c>
      <c r="F1801" s="2">
        <v>32</v>
      </c>
      <c r="G1801" s="2" t="str" cm="1">
        <f t="array" ref="G1801">_xlfn.IFS(F1801&lt;=8,"Child",F1801&lt;=17,"Teen",F1801&lt;=35,"Adult",F1801&lt;=55,"Seniour Adult",F1801&gt;=55,"Old Age")</f>
        <v>Adult</v>
      </c>
      <c r="H1801" t="s">
        <v>51</v>
      </c>
      <c r="I1801" t="s">
        <v>28</v>
      </c>
      <c r="J1801" t="str" cm="1">
        <f t="array" ref="J1801">_xlfn.IFS(I1801="S","Southamptom",I1801="Q","Quentown",I1801="C","Cherbrug",I1801="B","Cabin")</f>
        <v>Cabin</v>
      </c>
      <c r="K1801" t="s">
        <v>43</v>
      </c>
      <c r="L1801" s="2">
        <v>33</v>
      </c>
      <c r="M1801" s="2" t="str" cm="1">
        <f t="array" ref="M1801">_xlfn.IFS(L1801&lt;=15,"Low Fare",L1801&lt;=35,"Medium Fare",L1801&lt;=100,"High Fare",L1801&gt;=100,"Very High Fare")</f>
        <v>Medium Fare</v>
      </c>
      <c r="N1801" s="2">
        <v>1</v>
      </c>
      <c r="O1801" s="2" t="s">
        <v>30</v>
      </c>
      <c r="P1801" t="e">
        <f t="shared" si="113"/>
        <v>#VALUE!</v>
      </c>
      <c r="Q1801" t="e">
        <f t="shared" si="114"/>
        <v>#VALUE!</v>
      </c>
      <c r="R1801" t="str">
        <f t="shared" si="115"/>
        <v>No</v>
      </c>
      <c r="S1801" t="s">
        <v>13</v>
      </c>
    </row>
    <row r="1802" spans="1:19" hidden="1" x14ac:dyDescent="0.3">
      <c r="A1802" s="1" t="s">
        <v>1319</v>
      </c>
      <c r="B1802" t="s">
        <v>1596</v>
      </c>
      <c r="C1802" t="s">
        <v>2971</v>
      </c>
      <c r="D1802" t="str">
        <f t="shared" si="112"/>
        <v>Male</v>
      </c>
      <c r="E1802" t="s">
        <v>9</v>
      </c>
      <c r="F1802" s="2">
        <v>36</v>
      </c>
      <c r="G1802" s="2" t="str" cm="1">
        <f t="array" ref="G1802">_xlfn.IFS(F1802&lt;=8,"Child",F1802&lt;=17,"Teen",F1802&lt;=35,"Adult",F1802&lt;=55,"Seniour Adult",F1802&gt;=55,"Old Age")</f>
        <v>Seniour Adult</v>
      </c>
      <c r="H1802" t="s">
        <v>69</v>
      </c>
      <c r="I1802" t="s">
        <v>28</v>
      </c>
      <c r="J1802" t="str" cm="1">
        <f t="array" ref="J1802">_xlfn.IFS(I1802="S","Southamptom",I1802="Q","Quentown",I1802="C","Cherbrug",I1802="B","Cabin")</f>
        <v>Cabin</v>
      </c>
      <c r="K1802" t="s">
        <v>15</v>
      </c>
      <c r="L1802" s="2">
        <v>33</v>
      </c>
      <c r="M1802" s="2" t="str" cm="1">
        <f t="array" ref="M1802">_xlfn.IFS(L1802&lt;=15,"Low Fare",L1802&lt;=35,"Medium Fare",L1802&lt;=100,"High Fare",L1802&gt;=100,"Very High Fare")</f>
        <v>Medium Fare</v>
      </c>
      <c r="N1802" s="2">
        <v>1</v>
      </c>
      <c r="O1802" s="2" t="s">
        <v>30</v>
      </c>
      <c r="P1802" t="e">
        <f t="shared" si="113"/>
        <v>#VALUE!</v>
      </c>
      <c r="Q1802" t="e">
        <f t="shared" si="114"/>
        <v>#VALUE!</v>
      </c>
      <c r="R1802" t="str">
        <f t="shared" si="115"/>
        <v>No</v>
      </c>
      <c r="S1802" t="s">
        <v>13</v>
      </c>
    </row>
    <row r="1803" spans="1:19" hidden="1" x14ac:dyDescent="0.3">
      <c r="A1803" s="1" t="s">
        <v>1319</v>
      </c>
      <c r="B1803" t="s">
        <v>1596</v>
      </c>
      <c r="C1803" t="s">
        <v>1955</v>
      </c>
      <c r="D1803" t="str">
        <f t="shared" si="112"/>
        <v>Male</v>
      </c>
      <c r="E1803" t="s">
        <v>9</v>
      </c>
      <c r="F1803" s="2">
        <v>32</v>
      </c>
      <c r="G1803" s="2" t="str" cm="1">
        <f t="array" ref="G1803">_xlfn.IFS(F1803&lt;=8,"Child",F1803&lt;=17,"Teen",F1803&lt;=35,"Adult",F1803&lt;=55,"Seniour Adult",F1803&gt;=55,"Old Age")</f>
        <v>Adult</v>
      </c>
      <c r="H1803" t="s">
        <v>51</v>
      </c>
      <c r="I1803" t="s">
        <v>11</v>
      </c>
      <c r="J1803" t="str" cm="1">
        <f t="array" ref="J1803">_xlfn.IFS(I1803="S","Southamptom",I1803="Q","Quentown",I1803="C","Cherbrug",I1803="B","Cabin")</f>
        <v>Southamptom</v>
      </c>
      <c r="K1803" t="s">
        <v>15</v>
      </c>
      <c r="L1803" s="2">
        <v>33</v>
      </c>
      <c r="M1803" s="2" t="str" cm="1">
        <f t="array" ref="M1803">_xlfn.IFS(L1803&lt;=15,"Low Fare",L1803&lt;=35,"Medium Fare",L1803&lt;=100,"High Fare",L1803&gt;=100,"Very High Fare")</f>
        <v>Medium Fare</v>
      </c>
      <c r="N1803" s="2">
        <v>1</v>
      </c>
      <c r="O1803" s="2" t="s">
        <v>30</v>
      </c>
      <c r="P1803" t="e">
        <f t="shared" si="113"/>
        <v>#VALUE!</v>
      </c>
      <c r="Q1803" t="e">
        <f t="shared" si="114"/>
        <v>#VALUE!</v>
      </c>
      <c r="R1803" t="str">
        <f t="shared" si="115"/>
        <v>Yes</v>
      </c>
      <c r="S1803" t="s">
        <v>16</v>
      </c>
    </row>
    <row r="1804" spans="1:19" hidden="1" x14ac:dyDescent="0.3">
      <c r="A1804" s="1" t="s">
        <v>1320</v>
      </c>
      <c r="B1804" t="s">
        <v>1596</v>
      </c>
      <c r="C1804" t="s">
        <v>2972</v>
      </c>
      <c r="D1804" t="str">
        <f t="shared" si="112"/>
        <v>Male</v>
      </c>
      <c r="E1804" t="s">
        <v>9</v>
      </c>
      <c r="F1804" s="2">
        <v>40</v>
      </c>
      <c r="G1804" s="2" t="str" cm="1">
        <f t="array" ref="G1804">_xlfn.IFS(F1804&lt;=8,"Child",F1804&lt;=17,"Teen",F1804&lt;=35,"Adult",F1804&lt;=55,"Seniour Adult",F1804&gt;=55,"Old Age")</f>
        <v>Seniour Adult</v>
      </c>
      <c r="H1804" t="s">
        <v>69</v>
      </c>
      <c r="I1804" t="s">
        <v>11</v>
      </c>
      <c r="J1804" t="str" cm="1">
        <f t="array" ref="J1804">_xlfn.IFS(I1804="S","Southamptom",I1804="Q","Quentown",I1804="C","Cherbrug",I1804="B","Cabin")</f>
        <v>Southamptom</v>
      </c>
      <c r="K1804" t="s">
        <v>15</v>
      </c>
      <c r="L1804" s="2">
        <v>33</v>
      </c>
      <c r="M1804" s="2" t="str" cm="1">
        <f t="array" ref="M1804">_xlfn.IFS(L1804&lt;=15,"Low Fare",L1804&lt;=35,"Medium Fare",L1804&lt;=100,"High Fare",L1804&gt;=100,"Very High Fare")</f>
        <v>Medium Fare</v>
      </c>
      <c r="N1804" s="2">
        <v>1</v>
      </c>
      <c r="O1804" s="2" t="s">
        <v>30</v>
      </c>
      <c r="P1804" t="e">
        <f t="shared" si="113"/>
        <v>#VALUE!</v>
      </c>
      <c r="Q1804" t="e">
        <f t="shared" si="114"/>
        <v>#VALUE!</v>
      </c>
      <c r="R1804" t="str">
        <f t="shared" si="115"/>
        <v>No</v>
      </c>
      <c r="S1804" t="s">
        <v>13</v>
      </c>
    </row>
    <row r="1805" spans="1:19" hidden="1" x14ac:dyDescent="0.3">
      <c r="A1805" s="1" t="s">
        <v>1321</v>
      </c>
      <c r="B1805" t="s">
        <v>1596</v>
      </c>
      <c r="C1805" t="s">
        <v>2973</v>
      </c>
      <c r="D1805" t="str">
        <f t="shared" si="112"/>
        <v>Male</v>
      </c>
      <c r="E1805" t="s">
        <v>9</v>
      </c>
      <c r="F1805" s="2">
        <v>50</v>
      </c>
      <c r="G1805" s="2" t="str" cm="1">
        <f t="array" ref="G1805">_xlfn.IFS(F1805&lt;=8,"Child",F1805&lt;=17,"Teen",F1805&lt;=35,"Adult",F1805&lt;=55,"Seniour Adult",F1805&gt;=55,"Old Age")</f>
        <v>Seniour Adult</v>
      </c>
      <c r="H1805" t="s">
        <v>69</v>
      </c>
      <c r="I1805" t="s">
        <v>11</v>
      </c>
      <c r="J1805" t="str" cm="1">
        <f t="array" ref="J1805">_xlfn.IFS(I1805="S","Southamptom",I1805="Q","Quentown",I1805="C","Cherbrug",I1805="B","Cabin")</f>
        <v>Southamptom</v>
      </c>
      <c r="K1805" t="s">
        <v>12</v>
      </c>
      <c r="L1805" s="2">
        <v>33</v>
      </c>
      <c r="M1805" s="2" t="str" cm="1">
        <f t="array" ref="M1805">_xlfn.IFS(L1805&lt;=15,"Low Fare",L1805&lt;=35,"Medium Fare",L1805&lt;=100,"High Fare",L1805&gt;=100,"Very High Fare")</f>
        <v>Medium Fare</v>
      </c>
      <c r="N1805" s="2">
        <v>1</v>
      </c>
      <c r="O1805" s="2" t="s">
        <v>30</v>
      </c>
      <c r="P1805" t="e">
        <f t="shared" si="113"/>
        <v>#VALUE!</v>
      </c>
      <c r="Q1805" t="e">
        <f t="shared" si="114"/>
        <v>#VALUE!</v>
      </c>
      <c r="R1805" t="str">
        <f t="shared" si="115"/>
        <v>No</v>
      </c>
      <c r="S1805" t="s">
        <v>13</v>
      </c>
    </row>
    <row r="1806" spans="1:19" hidden="1" x14ac:dyDescent="0.3">
      <c r="A1806" s="1" t="s">
        <v>1322</v>
      </c>
      <c r="B1806" t="s">
        <v>1596</v>
      </c>
      <c r="C1806" t="s">
        <v>2512</v>
      </c>
      <c r="D1806" t="str">
        <f t="shared" si="112"/>
        <v>Male</v>
      </c>
      <c r="E1806" t="s">
        <v>9</v>
      </c>
      <c r="F1806" s="2">
        <v>27</v>
      </c>
      <c r="G1806" s="2" t="str" cm="1">
        <f t="array" ref="G1806">_xlfn.IFS(F1806&lt;=8,"Child",F1806&lt;=17,"Teen",F1806&lt;=35,"Adult",F1806&lt;=55,"Seniour Adult",F1806&gt;=55,"Old Age")</f>
        <v>Adult</v>
      </c>
      <c r="H1806" t="s">
        <v>51</v>
      </c>
      <c r="I1806" t="s">
        <v>11</v>
      </c>
      <c r="J1806" t="str" cm="1">
        <f t="array" ref="J1806">_xlfn.IFS(I1806="S","Southamptom",I1806="Q","Quentown",I1806="C","Cherbrug",I1806="B","Cabin")</f>
        <v>Southamptom</v>
      </c>
      <c r="K1806" t="s">
        <v>15</v>
      </c>
      <c r="L1806" s="2">
        <v>33</v>
      </c>
      <c r="M1806" s="2" t="str" cm="1">
        <f t="array" ref="M1806">_xlfn.IFS(L1806&lt;=15,"Low Fare",L1806&lt;=35,"Medium Fare",L1806&lt;=100,"High Fare",L1806&gt;=100,"Very High Fare")</f>
        <v>Medium Fare</v>
      </c>
      <c r="N1806" s="2">
        <v>1</v>
      </c>
      <c r="O1806" s="2" t="s">
        <v>30</v>
      </c>
      <c r="P1806" t="e">
        <f t="shared" si="113"/>
        <v>#VALUE!</v>
      </c>
      <c r="Q1806" t="e">
        <f t="shared" si="114"/>
        <v>#VALUE!</v>
      </c>
      <c r="R1806" t="str">
        <f t="shared" si="115"/>
        <v>No</v>
      </c>
      <c r="S1806" t="s">
        <v>13</v>
      </c>
    </row>
    <row r="1807" spans="1:19" hidden="1" x14ac:dyDescent="0.3">
      <c r="A1807" s="1" t="s">
        <v>1323</v>
      </c>
      <c r="B1807" t="s">
        <v>1596</v>
      </c>
      <c r="C1807" t="s">
        <v>1965</v>
      </c>
      <c r="D1807" t="str">
        <f t="shared" si="112"/>
        <v>Male</v>
      </c>
      <c r="E1807" t="s">
        <v>9</v>
      </c>
      <c r="F1807" s="2">
        <v>27</v>
      </c>
      <c r="G1807" s="2" t="str" cm="1">
        <f t="array" ref="G1807">_xlfn.IFS(F1807&lt;=8,"Child",F1807&lt;=17,"Teen",F1807&lt;=35,"Adult",F1807&lt;=55,"Seniour Adult",F1807&gt;=55,"Old Age")</f>
        <v>Adult</v>
      </c>
      <c r="H1807" t="s">
        <v>69</v>
      </c>
      <c r="I1807" t="s">
        <v>11</v>
      </c>
      <c r="J1807" t="str" cm="1">
        <f t="array" ref="J1807">_xlfn.IFS(I1807="S","Southamptom",I1807="Q","Quentown",I1807="C","Cherbrug",I1807="B","Cabin")</f>
        <v>Southamptom</v>
      </c>
      <c r="K1807" t="s">
        <v>43</v>
      </c>
      <c r="L1807" s="2">
        <v>33</v>
      </c>
      <c r="M1807" s="2" t="str" cm="1">
        <f t="array" ref="M1807">_xlfn.IFS(L1807&lt;=15,"Low Fare",L1807&lt;=35,"Medium Fare",L1807&lt;=100,"High Fare",L1807&gt;=100,"Very High Fare")</f>
        <v>Medium Fare</v>
      </c>
      <c r="N1807" s="2">
        <v>1</v>
      </c>
      <c r="O1807" s="2" t="s">
        <v>30</v>
      </c>
      <c r="P1807" t="e">
        <f t="shared" si="113"/>
        <v>#VALUE!</v>
      </c>
      <c r="Q1807" t="e">
        <f t="shared" si="114"/>
        <v>#VALUE!</v>
      </c>
      <c r="R1807" t="str">
        <f t="shared" si="115"/>
        <v>No</v>
      </c>
      <c r="S1807" t="s">
        <v>13</v>
      </c>
    </row>
    <row r="1808" spans="1:19" hidden="1" x14ac:dyDescent="0.3">
      <c r="A1808" s="1" t="s">
        <v>1324</v>
      </c>
      <c r="B1808" t="s">
        <v>1596</v>
      </c>
      <c r="C1808" t="s">
        <v>2974</v>
      </c>
      <c r="D1808" t="str">
        <f t="shared" si="112"/>
        <v>Male</v>
      </c>
      <c r="E1808" t="s">
        <v>9</v>
      </c>
      <c r="F1808" s="2">
        <v>21</v>
      </c>
      <c r="G1808" s="2" t="str" cm="1">
        <f t="array" ref="G1808">_xlfn.IFS(F1808&lt;=8,"Child",F1808&lt;=17,"Teen",F1808&lt;=35,"Adult",F1808&lt;=55,"Seniour Adult",F1808&gt;=55,"Old Age")</f>
        <v>Adult</v>
      </c>
      <c r="H1808" t="s">
        <v>69</v>
      </c>
      <c r="I1808" t="s">
        <v>11</v>
      </c>
      <c r="J1808" t="str" cm="1">
        <f t="array" ref="J1808">_xlfn.IFS(I1808="S","Southamptom",I1808="Q","Quentown",I1808="C","Cherbrug",I1808="B","Cabin")</f>
        <v>Southamptom</v>
      </c>
      <c r="K1808" t="s">
        <v>15</v>
      </c>
      <c r="L1808" s="2">
        <v>33</v>
      </c>
      <c r="M1808" s="2" t="str" cm="1">
        <f t="array" ref="M1808">_xlfn.IFS(L1808&lt;=15,"Low Fare",L1808&lt;=35,"Medium Fare",L1808&lt;=100,"High Fare",L1808&gt;=100,"Very High Fare")</f>
        <v>Medium Fare</v>
      </c>
      <c r="N1808" s="2">
        <v>1</v>
      </c>
      <c r="O1808" s="2" t="s">
        <v>30</v>
      </c>
      <c r="P1808" t="e">
        <f t="shared" si="113"/>
        <v>#VALUE!</v>
      </c>
      <c r="Q1808" t="e">
        <f t="shared" si="114"/>
        <v>#VALUE!</v>
      </c>
      <c r="R1808" t="str">
        <f t="shared" si="115"/>
        <v>No</v>
      </c>
      <c r="S1808" t="s">
        <v>13</v>
      </c>
    </row>
    <row r="1809" spans="1:19" hidden="1" x14ac:dyDescent="0.3">
      <c r="A1809" s="1" t="s">
        <v>1325</v>
      </c>
      <c r="B1809" t="s">
        <v>1602</v>
      </c>
      <c r="C1809" t="s">
        <v>2975</v>
      </c>
      <c r="D1809" t="str">
        <f t="shared" si="112"/>
        <v>Female</v>
      </c>
      <c r="E1809" t="s">
        <v>14</v>
      </c>
      <c r="F1809" s="2">
        <v>28</v>
      </c>
      <c r="G1809" s="2" t="str" cm="1">
        <f t="array" ref="G1809">_xlfn.IFS(F1809&lt;=8,"Child",F1809&lt;=17,"Teen",F1809&lt;=35,"Adult",F1809&lt;=55,"Seniour Adult",F1809&gt;=55,"Old Age")</f>
        <v>Adult</v>
      </c>
      <c r="H1809" t="s">
        <v>69</v>
      </c>
      <c r="I1809" t="s">
        <v>11</v>
      </c>
      <c r="J1809" t="str" cm="1">
        <f t="array" ref="J1809">_xlfn.IFS(I1809="S","Southamptom",I1809="Q","Quentown",I1809="C","Cherbrug",I1809="B","Cabin")</f>
        <v>Southamptom</v>
      </c>
      <c r="K1809" t="s">
        <v>15</v>
      </c>
      <c r="L1809" s="2">
        <v>33</v>
      </c>
      <c r="M1809" s="2" t="str" cm="1">
        <f t="array" ref="M1809">_xlfn.IFS(L1809&lt;=15,"Low Fare",L1809&lt;=35,"Medium Fare",L1809&lt;=100,"High Fare",L1809&gt;=100,"Very High Fare")</f>
        <v>Medium Fare</v>
      </c>
      <c r="N1809" s="2">
        <v>1</v>
      </c>
      <c r="O1809" s="2" t="s">
        <v>30</v>
      </c>
      <c r="P1809" t="e">
        <f t="shared" si="113"/>
        <v>#VALUE!</v>
      </c>
      <c r="Q1809" t="e">
        <f t="shared" si="114"/>
        <v>#VALUE!</v>
      </c>
      <c r="R1809" t="str">
        <f t="shared" si="115"/>
        <v>Yes</v>
      </c>
      <c r="S1809" t="s">
        <v>16</v>
      </c>
    </row>
    <row r="1810" spans="1:19" hidden="1" x14ac:dyDescent="0.3">
      <c r="A1810" s="1" t="s">
        <v>1326</v>
      </c>
      <c r="B1810" t="s">
        <v>1596</v>
      </c>
      <c r="C1810" t="s">
        <v>2525</v>
      </c>
      <c r="D1810" t="str">
        <f t="shared" si="112"/>
        <v>Male</v>
      </c>
      <c r="E1810" t="s">
        <v>9</v>
      </c>
      <c r="F1810" s="2">
        <v>40</v>
      </c>
      <c r="G1810" s="2" t="str" cm="1">
        <f t="array" ref="G1810">_xlfn.IFS(F1810&lt;=8,"Child",F1810&lt;=17,"Teen",F1810&lt;=35,"Adult",F1810&lt;=55,"Seniour Adult",F1810&gt;=55,"Old Age")</f>
        <v>Seniour Adult</v>
      </c>
      <c r="H1810" t="s">
        <v>51</v>
      </c>
      <c r="I1810" t="s">
        <v>11</v>
      </c>
      <c r="J1810" t="str" cm="1">
        <f t="array" ref="J1810">_xlfn.IFS(I1810="S","Southamptom",I1810="Q","Quentown",I1810="C","Cherbrug",I1810="B","Cabin")</f>
        <v>Southamptom</v>
      </c>
      <c r="K1810" t="s">
        <v>15</v>
      </c>
      <c r="L1810" s="2">
        <v>33</v>
      </c>
      <c r="M1810" s="2" t="str" cm="1">
        <f t="array" ref="M1810">_xlfn.IFS(L1810&lt;=15,"Low Fare",L1810&lt;=35,"Medium Fare",L1810&lt;=100,"High Fare",L1810&gt;=100,"Very High Fare")</f>
        <v>Medium Fare</v>
      </c>
      <c r="N1810" s="2">
        <v>1</v>
      </c>
      <c r="O1810" s="2" t="s">
        <v>30</v>
      </c>
      <c r="P1810" t="e">
        <f t="shared" si="113"/>
        <v>#VALUE!</v>
      </c>
      <c r="Q1810" t="e">
        <f t="shared" si="114"/>
        <v>#VALUE!</v>
      </c>
      <c r="R1810" t="str">
        <f t="shared" si="115"/>
        <v>No</v>
      </c>
      <c r="S1810" t="s">
        <v>13</v>
      </c>
    </row>
    <row r="1811" spans="1:19" hidden="1" x14ac:dyDescent="0.3">
      <c r="A1811" s="1" t="s">
        <v>1327</v>
      </c>
      <c r="B1811" t="s">
        <v>1602</v>
      </c>
      <c r="C1811" t="s">
        <v>2976</v>
      </c>
      <c r="D1811" t="str">
        <f t="shared" si="112"/>
        <v>Female</v>
      </c>
      <c r="E1811" t="s">
        <v>14</v>
      </c>
      <c r="F1811" s="2">
        <v>20</v>
      </c>
      <c r="G1811" s="2" t="str" cm="1">
        <f t="array" ref="G1811">_xlfn.IFS(F1811&lt;=8,"Child",F1811&lt;=17,"Teen",F1811&lt;=35,"Adult",F1811&lt;=55,"Seniour Adult",F1811&gt;=55,"Old Age")</f>
        <v>Adult</v>
      </c>
      <c r="H1811" t="s">
        <v>70</v>
      </c>
      <c r="I1811" t="s">
        <v>11</v>
      </c>
      <c r="J1811" t="str" cm="1">
        <f t="array" ref="J1811">_xlfn.IFS(I1811="S","Southamptom",I1811="Q","Quentown",I1811="C","Cherbrug",I1811="B","Cabin")</f>
        <v>Southamptom</v>
      </c>
      <c r="K1811" t="s">
        <v>15</v>
      </c>
      <c r="L1811" s="2">
        <v>33</v>
      </c>
      <c r="M1811" s="2" t="str" cm="1">
        <f t="array" ref="M1811">_xlfn.IFS(L1811&lt;=15,"Low Fare",L1811&lt;=35,"Medium Fare",L1811&lt;=100,"High Fare",L1811&gt;=100,"Very High Fare")</f>
        <v>Medium Fare</v>
      </c>
      <c r="N1811" s="2">
        <v>1</v>
      </c>
      <c r="O1811" s="2" t="s">
        <v>30</v>
      </c>
      <c r="P1811" t="e">
        <f t="shared" si="113"/>
        <v>#VALUE!</v>
      </c>
      <c r="Q1811" t="e">
        <f t="shared" si="114"/>
        <v>#VALUE!</v>
      </c>
      <c r="R1811" t="str">
        <f t="shared" si="115"/>
        <v>Yes</v>
      </c>
      <c r="S1811" t="s">
        <v>16</v>
      </c>
    </row>
    <row r="1812" spans="1:19" hidden="1" x14ac:dyDescent="0.3">
      <c r="A1812" s="1" t="s">
        <v>1327</v>
      </c>
      <c r="B1812" t="s">
        <v>1600</v>
      </c>
      <c r="C1812" t="s">
        <v>2977</v>
      </c>
      <c r="D1812" t="str">
        <f t="shared" si="112"/>
        <v>Female</v>
      </c>
      <c r="E1812" t="s">
        <v>14</v>
      </c>
      <c r="F1812" s="2">
        <v>39</v>
      </c>
      <c r="G1812" s="2" t="str" cm="1">
        <f t="array" ref="G1812">_xlfn.IFS(F1812&lt;=8,"Child",F1812&lt;=17,"Teen",F1812&lt;=35,"Adult",F1812&lt;=55,"Seniour Adult",F1812&gt;=55,"Old Age")</f>
        <v>Seniour Adult</v>
      </c>
      <c r="H1812" t="s">
        <v>69</v>
      </c>
      <c r="I1812" t="s">
        <v>11</v>
      </c>
      <c r="J1812" t="str" cm="1">
        <f t="array" ref="J1812">_xlfn.IFS(I1812="S","Southamptom",I1812="Q","Quentown",I1812="C","Cherbrug",I1812="B","Cabin")</f>
        <v>Southamptom</v>
      </c>
      <c r="K1812" t="s">
        <v>33</v>
      </c>
      <c r="L1812" s="2">
        <v>33</v>
      </c>
      <c r="M1812" s="2" t="str" cm="1">
        <f t="array" ref="M1812">_xlfn.IFS(L1812&lt;=15,"Low Fare",L1812&lt;=35,"Medium Fare",L1812&lt;=100,"High Fare",L1812&gt;=100,"Very High Fare")</f>
        <v>Medium Fare</v>
      </c>
      <c r="N1812" s="2">
        <v>1</v>
      </c>
      <c r="O1812" s="2" t="s">
        <v>30</v>
      </c>
      <c r="P1812" t="e">
        <f t="shared" si="113"/>
        <v>#VALUE!</v>
      </c>
      <c r="Q1812" t="e">
        <f t="shared" si="114"/>
        <v>#VALUE!</v>
      </c>
      <c r="R1812" t="str">
        <f t="shared" si="115"/>
        <v>Yes</v>
      </c>
      <c r="S1812" t="s">
        <v>16</v>
      </c>
    </row>
    <row r="1813" spans="1:19" hidden="1" x14ac:dyDescent="0.3">
      <c r="A1813" s="1" t="s">
        <v>1328</v>
      </c>
      <c r="B1813" t="s">
        <v>1596</v>
      </c>
      <c r="C1813" t="s">
        <v>2978</v>
      </c>
      <c r="D1813" t="str">
        <f t="shared" si="112"/>
        <v>Male</v>
      </c>
      <c r="E1813" t="s">
        <v>9</v>
      </c>
      <c r="F1813" s="2">
        <v>25</v>
      </c>
      <c r="G1813" s="2" t="str" cm="1">
        <f t="array" ref="G1813">_xlfn.IFS(F1813&lt;=8,"Child",F1813&lt;=17,"Teen",F1813&lt;=35,"Adult",F1813&lt;=55,"Seniour Adult",F1813&gt;=55,"Old Age")</f>
        <v>Adult</v>
      </c>
      <c r="H1813" t="s">
        <v>51</v>
      </c>
      <c r="I1813" t="s">
        <v>11</v>
      </c>
      <c r="J1813" t="str" cm="1">
        <f t="array" ref="J1813">_xlfn.IFS(I1813="S","Southamptom",I1813="Q","Quentown",I1813="C","Cherbrug",I1813="B","Cabin")</f>
        <v>Southamptom</v>
      </c>
      <c r="K1813" t="s">
        <v>15</v>
      </c>
      <c r="L1813" s="2">
        <v>33</v>
      </c>
      <c r="M1813" s="2" t="str" cm="1">
        <f t="array" ref="M1813">_xlfn.IFS(L1813&lt;=15,"Low Fare",L1813&lt;=35,"Medium Fare",L1813&lt;=100,"High Fare",L1813&gt;=100,"Very High Fare")</f>
        <v>Medium Fare</v>
      </c>
      <c r="N1813" s="2">
        <v>1</v>
      </c>
      <c r="O1813" s="2" t="s">
        <v>30</v>
      </c>
      <c r="P1813" t="e">
        <f t="shared" si="113"/>
        <v>#VALUE!</v>
      </c>
      <c r="Q1813" t="e">
        <f t="shared" si="114"/>
        <v>#VALUE!</v>
      </c>
      <c r="R1813" t="str">
        <f t="shared" si="115"/>
        <v>No</v>
      </c>
      <c r="S1813" t="s">
        <v>13</v>
      </c>
    </row>
    <row r="1814" spans="1:19" hidden="1" x14ac:dyDescent="0.3">
      <c r="A1814" s="1" t="s">
        <v>1329</v>
      </c>
      <c r="B1814" t="s">
        <v>1596</v>
      </c>
      <c r="C1814" t="s">
        <v>2979</v>
      </c>
      <c r="D1814" t="str">
        <f t="shared" si="112"/>
        <v>Male</v>
      </c>
      <c r="E1814" t="s">
        <v>9</v>
      </c>
      <c r="F1814" s="2">
        <v>32</v>
      </c>
      <c r="G1814" s="2" t="str" cm="1">
        <f t="array" ref="G1814">_xlfn.IFS(F1814&lt;=8,"Child",F1814&lt;=17,"Teen",F1814&lt;=35,"Adult",F1814&lt;=55,"Seniour Adult",F1814&gt;=55,"Old Age")</f>
        <v>Adult</v>
      </c>
      <c r="H1814" t="s">
        <v>51</v>
      </c>
      <c r="I1814" t="s">
        <v>11</v>
      </c>
      <c r="J1814" t="str" cm="1">
        <f t="array" ref="J1814">_xlfn.IFS(I1814="S","Southamptom",I1814="Q","Quentown",I1814="C","Cherbrug",I1814="B","Cabin")</f>
        <v>Southamptom</v>
      </c>
      <c r="K1814" t="s">
        <v>15</v>
      </c>
      <c r="L1814" s="2">
        <v>33</v>
      </c>
      <c r="M1814" s="2" t="str" cm="1">
        <f t="array" ref="M1814">_xlfn.IFS(L1814&lt;=15,"Low Fare",L1814&lt;=35,"Medium Fare",L1814&lt;=100,"High Fare",L1814&gt;=100,"Very High Fare")</f>
        <v>Medium Fare</v>
      </c>
      <c r="N1814" s="2">
        <v>1</v>
      </c>
      <c r="O1814" s="2" t="s">
        <v>30</v>
      </c>
      <c r="P1814" t="e">
        <f t="shared" si="113"/>
        <v>#VALUE!</v>
      </c>
      <c r="Q1814" t="e">
        <f t="shared" si="114"/>
        <v>#VALUE!</v>
      </c>
      <c r="R1814" t="str">
        <f t="shared" si="115"/>
        <v>Yes</v>
      </c>
      <c r="S1814" t="s">
        <v>16</v>
      </c>
    </row>
    <row r="1815" spans="1:19" hidden="1" x14ac:dyDescent="0.3">
      <c r="A1815" s="1" t="s">
        <v>1329</v>
      </c>
      <c r="B1815" t="s">
        <v>1596</v>
      </c>
      <c r="C1815" t="s">
        <v>2779</v>
      </c>
      <c r="D1815" t="str">
        <f t="shared" si="112"/>
        <v>Male</v>
      </c>
      <c r="E1815" t="s">
        <v>9</v>
      </c>
      <c r="F1815" s="2">
        <v>39</v>
      </c>
      <c r="G1815" s="2" t="str" cm="1">
        <f t="array" ref="G1815">_xlfn.IFS(F1815&lt;=8,"Child",F1815&lt;=17,"Teen",F1815&lt;=35,"Adult",F1815&lt;=55,"Seniour Adult",F1815&gt;=55,"Old Age")</f>
        <v>Seniour Adult</v>
      </c>
      <c r="H1815" t="s">
        <v>51</v>
      </c>
      <c r="I1815" t="s">
        <v>11</v>
      </c>
      <c r="J1815" t="str" cm="1">
        <f t="array" ref="J1815">_xlfn.IFS(I1815="S","Southamptom",I1815="Q","Quentown",I1815="C","Cherbrug",I1815="B","Cabin")</f>
        <v>Southamptom</v>
      </c>
      <c r="K1815" t="s">
        <v>15</v>
      </c>
      <c r="L1815" s="2">
        <v>33</v>
      </c>
      <c r="M1815" s="2" t="str" cm="1">
        <f t="array" ref="M1815">_xlfn.IFS(L1815&lt;=15,"Low Fare",L1815&lt;=35,"Medium Fare",L1815&lt;=100,"High Fare",L1815&gt;=100,"Very High Fare")</f>
        <v>Medium Fare</v>
      </c>
      <c r="N1815" s="2">
        <v>1</v>
      </c>
      <c r="O1815" s="2" t="s">
        <v>30</v>
      </c>
      <c r="P1815" t="e">
        <f t="shared" si="113"/>
        <v>#VALUE!</v>
      </c>
      <c r="Q1815" t="e">
        <f t="shared" si="114"/>
        <v>#VALUE!</v>
      </c>
      <c r="R1815" t="str">
        <f t="shared" si="115"/>
        <v>No</v>
      </c>
      <c r="S1815" t="s">
        <v>13</v>
      </c>
    </row>
    <row r="1816" spans="1:19" hidden="1" x14ac:dyDescent="0.3">
      <c r="A1816" s="1" t="s">
        <v>1330</v>
      </c>
      <c r="B1816" t="s">
        <v>1596</v>
      </c>
      <c r="C1816" t="s">
        <v>1824</v>
      </c>
      <c r="D1816" t="str">
        <f t="shared" si="112"/>
        <v>Male</v>
      </c>
      <c r="E1816" t="s">
        <v>9</v>
      </c>
      <c r="F1816" s="2">
        <v>30</v>
      </c>
      <c r="G1816" s="2" t="str" cm="1">
        <f t="array" ref="G1816">_xlfn.IFS(F1816&lt;=8,"Child",F1816&lt;=17,"Teen",F1816&lt;=35,"Adult",F1816&lt;=55,"Seniour Adult",F1816&gt;=55,"Old Age")</f>
        <v>Adult</v>
      </c>
      <c r="H1816" t="s">
        <v>71</v>
      </c>
      <c r="I1816" t="s">
        <v>11</v>
      </c>
      <c r="J1816" t="str" cm="1">
        <f t="array" ref="J1816">_xlfn.IFS(I1816="S","Southamptom",I1816="Q","Quentown",I1816="C","Cherbrug",I1816="B","Cabin")</f>
        <v>Southamptom</v>
      </c>
      <c r="K1816" t="s">
        <v>15</v>
      </c>
      <c r="L1816" s="2">
        <v>33</v>
      </c>
      <c r="M1816" s="2" t="str" cm="1">
        <f t="array" ref="M1816">_xlfn.IFS(L1816&lt;=15,"Low Fare",L1816&lt;=35,"Medium Fare",L1816&lt;=100,"High Fare",L1816&gt;=100,"Very High Fare")</f>
        <v>Medium Fare</v>
      </c>
      <c r="N1816" s="2">
        <v>1</v>
      </c>
      <c r="O1816" s="2" t="s">
        <v>30</v>
      </c>
      <c r="P1816" t="e">
        <f t="shared" si="113"/>
        <v>#VALUE!</v>
      </c>
      <c r="Q1816" t="e">
        <f t="shared" si="114"/>
        <v>#VALUE!</v>
      </c>
      <c r="R1816" t="str">
        <f t="shared" si="115"/>
        <v>No</v>
      </c>
      <c r="S1816" t="s">
        <v>13</v>
      </c>
    </row>
    <row r="1817" spans="1:19" hidden="1" x14ac:dyDescent="0.3">
      <c r="A1817" s="1" t="s">
        <v>1331</v>
      </c>
      <c r="B1817" t="s">
        <v>1596</v>
      </c>
      <c r="C1817" t="s">
        <v>2980</v>
      </c>
      <c r="D1817" t="str">
        <f t="shared" si="112"/>
        <v>Male</v>
      </c>
      <c r="E1817" t="s">
        <v>9</v>
      </c>
      <c r="F1817" s="2">
        <v>29</v>
      </c>
      <c r="G1817" s="2" t="str" cm="1">
        <f t="array" ref="G1817">_xlfn.IFS(F1817&lt;=8,"Child",F1817&lt;=17,"Teen",F1817&lt;=35,"Adult",F1817&lt;=55,"Seniour Adult",F1817&gt;=55,"Old Age")</f>
        <v>Adult</v>
      </c>
      <c r="H1817" t="s">
        <v>71</v>
      </c>
      <c r="I1817" t="s">
        <v>11</v>
      </c>
      <c r="J1817" t="str" cm="1">
        <f t="array" ref="J1817">_xlfn.IFS(I1817="S","Southamptom",I1817="Q","Quentown",I1817="C","Cherbrug",I1817="B","Cabin")</f>
        <v>Southamptom</v>
      </c>
      <c r="K1817" t="s">
        <v>40</v>
      </c>
      <c r="L1817" s="2">
        <v>33</v>
      </c>
      <c r="M1817" s="2" t="str" cm="1">
        <f t="array" ref="M1817">_xlfn.IFS(L1817&lt;=15,"Low Fare",L1817&lt;=35,"Medium Fare",L1817&lt;=100,"High Fare",L1817&gt;=100,"Very High Fare")</f>
        <v>Medium Fare</v>
      </c>
      <c r="N1817" s="2">
        <v>1</v>
      </c>
      <c r="O1817" s="2" t="s">
        <v>30</v>
      </c>
      <c r="P1817" t="e">
        <f t="shared" si="113"/>
        <v>#VALUE!</v>
      </c>
      <c r="Q1817" t="e">
        <f t="shared" si="114"/>
        <v>#VALUE!</v>
      </c>
      <c r="R1817" t="str">
        <f t="shared" si="115"/>
        <v>No</v>
      </c>
      <c r="S1817" t="s">
        <v>13</v>
      </c>
    </row>
    <row r="1818" spans="1:19" hidden="1" x14ac:dyDescent="0.3">
      <c r="A1818" s="1" t="s">
        <v>1332</v>
      </c>
      <c r="B1818" t="s">
        <v>2719</v>
      </c>
      <c r="C1818" t="s">
        <v>2981</v>
      </c>
      <c r="D1818" t="str">
        <f t="shared" si="112"/>
        <v>Male</v>
      </c>
      <c r="E1818" t="s">
        <v>9</v>
      </c>
      <c r="F1818" s="2">
        <v>20</v>
      </c>
      <c r="G1818" s="2" t="str" cm="1">
        <f t="array" ref="G1818">_xlfn.IFS(F1818&lt;=8,"Child",F1818&lt;=17,"Teen",F1818&lt;=35,"Adult",F1818&lt;=55,"Seniour Adult",F1818&gt;=55,"Old Age")</f>
        <v>Adult</v>
      </c>
      <c r="H1818" t="s">
        <v>70</v>
      </c>
      <c r="I1818" t="s">
        <v>11</v>
      </c>
      <c r="J1818" t="str" cm="1">
        <f t="array" ref="J1818">_xlfn.IFS(I1818="S","Southamptom",I1818="Q","Quentown",I1818="C","Cherbrug",I1818="B","Cabin")</f>
        <v>Southamptom</v>
      </c>
      <c r="K1818" t="s">
        <v>15</v>
      </c>
      <c r="L1818" s="2">
        <v>33</v>
      </c>
      <c r="M1818" s="2" t="str" cm="1">
        <f t="array" ref="M1818">_xlfn.IFS(L1818&lt;=15,"Low Fare",L1818&lt;=35,"Medium Fare",L1818&lt;=100,"High Fare",L1818&gt;=100,"Very High Fare")</f>
        <v>Medium Fare</v>
      </c>
      <c r="N1818" s="2">
        <v>1</v>
      </c>
      <c r="O1818" s="2" t="s">
        <v>30</v>
      </c>
      <c r="P1818" t="e">
        <f t="shared" si="113"/>
        <v>#VALUE!</v>
      </c>
      <c r="Q1818" t="e">
        <f t="shared" si="114"/>
        <v>#VALUE!</v>
      </c>
      <c r="R1818" t="str">
        <f t="shared" si="115"/>
        <v>No</v>
      </c>
      <c r="S1818" t="s">
        <v>13</v>
      </c>
    </row>
    <row r="1819" spans="1:19" hidden="1" x14ac:dyDescent="0.3">
      <c r="A1819" s="1" t="s">
        <v>1333</v>
      </c>
      <c r="B1819" t="s">
        <v>1596</v>
      </c>
      <c r="C1819" t="s">
        <v>2982</v>
      </c>
      <c r="D1819" t="str">
        <f t="shared" si="112"/>
        <v>Male</v>
      </c>
      <c r="E1819" t="s">
        <v>9</v>
      </c>
      <c r="F1819" s="2">
        <v>25</v>
      </c>
      <c r="G1819" s="2" t="str" cm="1">
        <f t="array" ref="G1819">_xlfn.IFS(F1819&lt;=8,"Child",F1819&lt;=17,"Teen",F1819&lt;=35,"Adult",F1819&lt;=55,"Seniour Adult",F1819&gt;=55,"Old Age")</f>
        <v>Adult</v>
      </c>
      <c r="H1819" t="s">
        <v>70</v>
      </c>
      <c r="I1819" t="s">
        <v>11</v>
      </c>
      <c r="J1819" t="str" cm="1">
        <f t="array" ref="J1819">_xlfn.IFS(I1819="S","Southamptom",I1819="Q","Quentown",I1819="C","Cherbrug",I1819="B","Cabin")</f>
        <v>Southamptom</v>
      </c>
      <c r="K1819" t="s">
        <v>15</v>
      </c>
      <c r="L1819" s="2">
        <v>33</v>
      </c>
      <c r="M1819" s="2" t="str" cm="1">
        <f t="array" ref="M1819">_xlfn.IFS(L1819&lt;=15,"Low Fare",L1819&lt;=35,"Medium Fare",L1819&lt;=100,"High Fare",L1819&gt;=100,"Very High Fare")</f>
        <v>Medium Fare</v>
      </c>
      <c r="N1819" s="2">
        <v>1</v>
      </c>
      <c r="O1819" s="2" t="s">
        <v>30</v>
      </c>
      <c r="P1819" t="e">
        <f t="shared" si="113"/>
        <v>#VALUE!</v>
      </c>
      <c r="Q1819" t="e">
        <f t="shared" si="114"/>
        <v>#VALUE!</v>
      </c>
      <c r="R1819" t="str">
        <f t="shared" si="115"/>
        <v>Yes</v>
      </c>
      <c r="S1819" t="s">
        <v>16</v>
      </c>
    </row>
    <row r="1820" spans="1:19" hidden="1" x14ac:dyDescent="0.3">
      <c r="A1820" s="1" t="s">
        <v>1334</v>
      </c>
      <c r="B1820" t="s">
        <v>1596</v>
      </c>
      <c r="C1820" t="s">
        <v>1610</v>
      </c>
      <c r="D1820" t="str">
        <f t="shared" si="112"/>
        <v>Male</v>
      </c>
      <c r="E1820" t="s">
        <v>9</v>
      </c>
      <c r="F1820" s="2">
        <v>30</v>
      </c>
      <c r="G1820" s="2" t="str" cm="1">
        <f t="array" ref="G1820">_xlfn.IFS(F1820&lt;=8,"Child",F1820&lt;=17,"Teen",F1820&lt;=35,"Adult",F1820&lt;=55,"Seniour Adult",F1820&gt;=55,"Old Age")</f>
        <v>Adult</v>
      </c>
      <c r="H1820" t="s">
        <v>71</v>
      </c>
      <c r="I1820" t="s">
        <v>28</v>
      </c>
      <c r="J1820" t="str" cm="1">
        <f t="array" ref="J1820">_xlfn.IFS(I1820="S","Southamptom",I1820="Q","Quentown",I1820="C","Cherbrug",I1820="B","Cabin")</f>
        <v>Cabin</v>
      </c>
      <c r="K1820" t="s">
        <v>15</v>
      </c>
      <c r="L1820" s="2">
        <v>33</v>
      </c>
      <c r="M1820" s="2" t="str" cm="1">
        <f t="array" ref="M1820">_xlfn.IFS(L1820&lt;=15,"Low Fare",L1820&lt;=35,"Medium Fare",L1820&lt;=100,"High Fare",L1820&gt;=100,"Very High Fare")</f>
        <v>Medium Fare</v>
      </c>
      <c r="N1820" s="2">
        <v>1</v>
      </c>
      <c r="O1820" s="2" t="s">
        <v>30</v>
      </c>
      <c r="P1820" t="e">
        <f t="shared" si="113"/>
        <v>#VALUE!</v>
      </c>
      <c r="Q1820" t="e">
        <f t="shared" si="114"/>
        <v>#VALUE!</v>
      </c>
      <c r="R1820" t="str">
        <f t="shared" si="115"/>
        <v>No</v>
      </c>
      <c r="S1820" t="s">
        <v>13</v>
      </c>
    </row>
    <row r="1821" spans="1:19" hidden="1" x14ac:dyDescent="0.3">
      <c r="A1821" s="1" t="s">
        <v>1335</v>
      </c>
      <c r="B1821" t="s">
        <v>1596</v>
      </c>
      <c r="C1821" t="s">
        <v>2741</v>
      </c>
      <c r="D1821" t="str">
        <f t="shared" si="112"/>
        <v>Male</v>
      </c>
      <c r="E1821" t="s">
        <v>9</v>
      </c>
      <c r="F1821" s="2">
        <v>22</v>
      </c>
      <c r="G1821" s="2" t="str" cm="1">
        <f t="array" ref="G1821">_xlfn.IFS(F1821&lt;=8,"Child",F1821&lt;=17,"Teen",F1821&lt;=35,"Adult",F1821&lt;=55,"Seniour Adult",F1821&gt;=55,"Old Age")</f>
        <v>Adult</v>
      </c>
      <c r="H1821" t="s">
        <v>51</v>
      </c>
      <c r="I1821" t="s">
        <v>11</v>
      </c>
      <c r="J1821" t="str" cm="1">
        <f t="array" ref="J1821">_xlfn.IFS(I1821="S","Southamptom",I1821="Q","Quentown",I1821="C","Cherbrug",I1821="B","Cabin")</f>
        <v>Southamptom</v>
      </c>
      <c r="K1821" t="s">
        <v>15</v>
      </c>
      <c r="L1821" s="2">
        <v>33</v>
      </c>
      <c r="M1821" s="2" t="str" cm="1">
        <f t="array" ref="M1821">_xlfn.IFS(L1821&lt;=15,"Low Fare",L1821&lt;=35,"Medium Fare",L1821&lt;=100,"High Fare",L1821&gt;=100,"Very High Fare")</f>
        <v>Medium Fare</v>
      </c>
      <c r="N1821" s="2">
        <v>1</v>
      </c>
      <c r="O1821" s="2" t="s">
        <v>30</v>
      </c>
      <c r="P1821" t="e">
        <f t="shared" si="113"/>
        <v>#VALUE!</v>
      </c>
      <c r="Q1821" t="e">
        <f t="shared" si="114"/>
        <v>#VALUE!</v>
      </c>
      <c r="R1821" t="str">
        <f t="shared" si="115"/>
        <v>No</v>
      </c>
      <c r="S1821" t="s">
        <v>13</v>
      </c>
    </row>
    <row r="1822" spans="1:19" hidden="1" x14ac:dyDescent="0.3">
      <c r="A1822" s="1" t="s">
        <v>1336</v>
      </c>
      <c r="B1822" t="s">
        <v>1596</v>
      </c>
      <c r="C1822" t="s">
        <v>2983</v>
      </c>
      <c r="D1822" t="str">
        <f t="shared" si="112"/>
        <v>Male</v>
      </c>
      <c r="E1822" t="s">
        <v>9</v>
      </c>
      <c r="F1822" s="2">
        <v>31</v>
      </c>
      <c r="G1822" s="2" t="str" cm="1">
        <f t="array" ref="G1822">_xlfn.IFS(F1822&lt;=8,"Child",F1822&lt;=17,"Teen",F1822&lt;=35,"Adult",F1822&lt;=55,"Seniour Adult",F1822&gt;=55,"Old Age")</f>
        <v>Adult</v>
      </c>
      <c r="H1822" t="s">
        <v>69</v>
      </c>
      <c r="I1822" t="s">
        <v>28</v>
      </c>
      <c r="J1822" t="str" cm="1">
        <f t="array" ref="J1822">_xlfn.IFS(I1822="S","Southamptom",I1822="Q","Quentown",I1822="C","Cherbrug",I1822="B","Cabin")</f>
        <v>Cabin</v>
      </c>
      <c r="K1822" t="s">
        <v>15</v>
      </c>
      <c r="L1822" s="2">
        <v>33</v>
      </c>
      <c r="M1822" s="2" t="str" cm="1">
        <f t="array" ref="M1822">_xlfn.IFS(L1822&lt;=15,"Low Fare",L1822&lt;=35,"Medium Fare",L1822&lt;=100,"High Fare",L1822&gt;=100,"Very High Fare")</f>
        <v>Medium Fare</v>
      </c>
      <c r="N1822" s="2">
        <v>1</v>
      </c>
      <c r="O1822" s="2" t="s">
        <v>30</v>
      </c>
      <c r="P1822" t="e">
        <f t="shared" si="113"/>
        <v>#VALUE!</v>
      </c>
      <c r="Q1822" t="e">
        <f t="shared" si="114"/>
        <v>#VALUE!</v>
      </c>
      <c r="R1822" t="str">
        <f t="shared" si="115"/>
        <v>Yes</v>
      </c>
      <c r="S1822" t="s">
        <v>16</v>
      </c>
    </row>
    <row r="1823" spans="1:19" hidden="1" x14ac:dyDescent="0.3">
      <c r="A1823" s="1" t="s">
        <v>1337</v>
      </c>
      <c r="B1823" t="s">
        <v>1596</v>
      </c>
      <c r="C1823" t="s">
        <v>2984</v>
      </c>
      <c r="D1823" t="str">
        <f t="shared" si="112"/>
        <v>Male</v>
      </c>
      <c r="E1823" t="s">
        <v>9</v>
      </c>
      <c r="F1823" s="2">
        <v>28</v>
      </c>
      <c r="G1823" s="2" t="str" cm="1">
        <f t="array" ref="G1823">_xlfn.IFS(F1823&lt;=8,"Child",F1823&lt;=17,"Teen",F1823&lt;=35,"Adult",F1823&lt;=55,"Seniour Adult",F1823&gt;=55,"Old Age")</f>
        <v>Adult</v>
      </c>
      <c r="H1823" t="s">
        <v>51</v>
      </c>
      <c r="I1823" t="s">
        <v>11</v>
      </c>
      <c r="J1823" t="str" cm="1">
        <f t="array" ref="J1823">_xlfn.IFS(I1823="S","Southamptom",I1823="Q","Quentown",I1823="C","Cherbrug",I1823="B","Cabin")</f>
        <v>Southamptom</v>
      </c>
      <c r="K1823" t="s">
        <v>15</v>
      </c>
      <c r="L1823" s="2">
        <v>33</v>
      </c>
      <c r="M1823" s="2" t="str" cm="1">
        <f t="array" ref="M1823">_xlfn.IFS(L1823&lt;=15,"Low Fare",L1823&lt;=35,"Medium Fare",L1823&lt;=100,"High Fare",L1823&gt;=100,"Very High Fare")</f>
        <v>Medium Fare</v>
      </c>
      <c r="N1823" s="2">
        <v>1</v>
      </c>
      <c r="O1823" s="2" t="s">
        <v>30</v>
      </c>
      <c r="P1823" t="e">
        <f t="shared" si="113"/>
        <v>#VALUE!</v>
      </c>
      <c r="Q1823" t="e">
        <f t="shared" si="114"/>
        <v>#VALUE!</v>
      </c>
      <c r="R1823" t="str">
        <f t="shared" si="115"/>
        <v>No</v>
      </c>
      <c r="S1823" t="s">
        <v>13</v>
      </c>
    </row>
    <row r="1824" spans="1:19" hidden="1" x14ac:dyDescent="0.3">
      <c r="A1824" s="1" t="s">
        <v>1338</v>
      </c>
      <c r="B1824" t="s">
        <v>1596</v>
      </c>
      <c r="C1824" t="s">
        <v>2373</v>
      </c>
      <c r="D1824" t="str">
        <f t="shared" si="112"/>
        <v>Male</v>
      </c>
      <c r="E1824" t="s">
        <v>9</v>
      </c>
      <c r="F1824" s="2">
        <v>53</v>
      </c>
      <c r="G1824" s="2" t="str" cm="1">
        <f t="array" ref="G1824">_xlfn.IFS(F1824&lt;=8,"Child",F1824&lt;=17,"Teen",F1824&lt;=35,"Adult",F1824&lt;=55,"Seniour Adult",F1824&gt;=55,"Old Age")</f>
        <v>Seniour Adult</v>
      </c>
      <c r="H1824" t="s">
        <v>69</v>
      </c>
      <c r="I1824" t="s">
        <v>28</v>
      </c>
      <c r="J1824" t="str" cm="1">
        <f t="array" ref="J1824">_xlfn.IFS(I1824="S","Southamptom",I1824="Q","Quentown",I1824="C","Cherbrug",I1824="B","Cabin")</f>
        <v>Cabin</v>
      </c>
      <c r="K1824" t="s">
        <v>15</v>
      </c>
      <c r="L1824" s="2">
        <v>33</v>
      </c>
      <c r="M1824" s="2" t="str" cm="1">
        <f t="array" ref="M1824">_xlfn.IFS(L1824&lt;=15,"Low Fare",L1824&lt;=35,"Medium Fare",L1824&lt;=100,"High Fare",L1824&gt;=100,"Very High Fare")</f>
        <v>Medium Fare</v>
      </c>
      <c r="N1824" s="2">
        <v>1</v>
      </c>
      <c r="O1824" s="2" t="s">
        <v>30</v>
      </c>
      <c r="P1824" t="e">
        <f t="shared" si="113"/>
        <v>#VALUE!</v>
      </c>
      <c r="Q1824" t="e">
        <f t="shared" si="114"/>
        <v>#VALUE!</v>
      </c>
      <c r="R1824" t="str">
        <f t="shared" si="115"/>
        <v>No</v>
      </c>
      <c r="S1824" t="s">
        <v>13</v>
      </c>
    </row>
    <row r="1825" spans="1:19" hidden="1" x14ac:dyDescent="0.3">
      <c r="A1825" s="1" t="s">
        <v>1339</v>
      </c>
      <c r="B1825" t="s">
        <v>1596</v>
      </c>
      <c r="C1825" t="s">
        <v>2985</v>
      </c>
      <c r="D1825" t="str">
        <f t="shared" si="112"/>
        <v>Male</v>
      </c>
      <c r="E1825" t="s">
        <v>9</v>
      </c>
      <c r="F1825" s="2">
        <v>25</v>
      </c>
      <c r="G1825" s="2" t="str" cm="1">
        <f t="array" ref="G1825">_xlfn.IFS(F1825&lt;=8,"Child",F1825&lt;=17,"Teen",F1825&lt;=35,"Adult",F1825&lt;=55,"Seniour Adult",F1825&gt;=55,"Old Age")</f>
        <v>Adult</v>
      </c>
      <c r="H1825" t="s">
        <v>51</v>
      </c>
      <c r="I1825" t="s">
        <v>11</v>
      </c>
      <c r="J1825" t="str" cm="1">
        <f t="array" ref="J1825">_xlfn.IFS(I1825="S","Southamptom",I1825="Q","Quentown",I1825="C","Cherbrug",I1825="B","Cabin")</f>
        <v>Southamptom</v>
      </c>
      <c r="K1825" t="s">
        <v>15</v>
      </c>
      <c r="L1825" s="2">
        <v>33</v>
      </c>
      <c r="M1825" s="2" t="str" cm="1">
        <f t="array" ref="M1825">_xlfn.IFS(L1825&lt;=15,"Low Fare",L1825&lt;=35,"Medium Fare",L1825&lt;=100,"High Fare",L1825&gt;=100,"Very High Fare")</f>
        <v>Medium Fare</v>
      </c>
      <c r="N1825" s="2">
        <v>1</v>
      </c>
      <c r="O1825" s="2" t="s">
        <v>30</v>
      </c>
      <c r="P1825" t="e">
        <f t="shared" si="113"/>
        <v>#VALUE!</v>
      </c>
      <c r="Q1825" t="e">
        <f t="shared" si="114"/>
        <v>#VALUE!</v>
      </c>
      <c r="R1825" t="str">
        <f t="shared" si="115"/>
        <v>Yes</v>
      </c>
      <c r="S1825" t="s">
        <v>16</v>
      </c>
    </row>
    <row r="1826" spans="1:19" hidden="1" x14ac:dyDescent="0.3">
      <c r="A1826" s="1" t="s">
        <v>1340</v>
      </c>
      <c r="B1826" t="s">
        <v>1596</v>
      </c>
      <c r="C1826" t="s">
        <v>2839</v>
      </c>
      <c r="D1826" t="str">
        <f t="shared" si="112"/>
        <v>Male</v>
      </c>
      <c r="E1826" t="s">
        <v>9</v>
      </c>
      <c r="F1826" s="2">
        <v>38</v>
      </c>
      <c r="G1826" s="2" t="str" cm="1">
        <f t="array" ref="G1826">_xlfn.IFS(F1826&lt;=8,"Child",F1826&lt;=17,"Teen",F1826&lt;=35,"Adult",F1826&lt;=55,"Seniour Adult",F1826&gt;=55,"Old Age")</f>
        <v>Seniour Adult</v>
      </c>
      <c r="H1826" t="s">
        <v>51</v>
      </c>
      <c r="I1826" t="s">
        <v>11</v>
      </c>
      <c r="J1826" t="str" cm="1">
        <f t="array" ref="J1826">_xlfn.IFS(I1826="S","Southamptom",I1826="Q","Quentown",I1826="C","Cherbrug",I1826="B","Cabin")</f>
        <v>Southamptom</v>
      </c>
      <c r="K1826" t="s">
        <v>15</v>
      </c>
      <c r="L1826" s="2">
        <v>33</v>
      </c>
      <c r="M1826" s="2" t="str" cm="1">
        <f t="array" ref="M1826">_xlfn.IFS(L1826&lt;=15,"Low Fare",L1826&lt;=35,"Medium Fare",L1826&lt;=100,"High Fare",L1826&gt;=100,"Very High Fare")</f>
        <v>Medium Fare</v>
      </c>
      <c r="N1826" s="2">
        <v>1</v>
      </c>
      <c r="O1826" s="2" t="s">
        <v>30</v>
      </c>
      <c r="P1826" t="e">
        <f t="shared" si="113"/>
        <v>#VALUE!</v>
      </c>
      <c r="Q1826" t="e">
        <f t="shared" si="114"/>
        <v>#VALUE!</v>
      </c>
      <c r="R1826" t="str">
        <f t="shared" si="115"/>
        <v>No</v>
      </c>
      <c r="S1826" t="s">
        <v>13</v>
      </c>
    </row>
    <row r="1827" spans="1:19" hidden="1" x14ac:dyDescent="0.3">
      <c r="A1827" s="1" t="s">
        <v>1341</v>
      </c>
      <c r="B1827" t="s">
        <v>1596</v>
      </c>
      <c r="C1827" t="s">
        <v>1619</v>
      </c>
      <c r="D1827" t="str">
        <f t="shared" si="112"/>
        <v>Male</v>
      </c>
      <c r="E1827" t="s">
        <v>9</v>
      </c>
      <c r="F1827" s="2">
        <v>23</v>
      </c>
      <c r="G1827" s="2" t="str" cm="1">
        <f t="array" ref="G1827">_xlfn.IFS(F1827&lt;=8,"Child",F1827&lt;=17,"Teen",F1827&lt;=35,"Adult",F1827&lt;=55,"Seniour Adult",F1827&gt;=55,"Old Age")</f>
        <v>Adult</v>
      </c>
      <c r="H1827" t="s">
        <v>51</v>
      </c>
      <c r="I1827" t="s">
        <v>11</v>
      </c>
      <c r="J1827" t="str" cm="1">
        <f t="array" ref="J1827">_xlfn.IFS(I1827="S","Southamptom",I1827="Q","Quentown",I1827="C","Cherbrug",I1827="B","Cabin")</f>
        <v>Southamptom</v>
      </c>
      <c r="K1827" t="s">
        <v>15</v>
      </c>
      <c r="L1827" s="2">
        <v>33</v>
      </c>
      <c r="M1827" s="2" t="str" cm="1">
        <f t="array" ref="M1827">_xlfn.IFS(L1827&lt;=15,"Low Fare",L1827&lt;=35,"Medium Fare",L1827&lt;=100,"High Fare",L1827&gt;=100,"Very High Fare")</f>
        <v>Medium Fare</v>
      </c>
      <c r="N1827" s="2">
        <v>1</v>
      </c>
      <c r="O1827" s="2" t="s">
        <v>30</v>
      </c>
      <c r="P1827" t="e">
        <f t="shared" si="113"/>
        <v>#VALUE!</v>
      </c>
      <c r="Q1827" t="e">
        <f t="shared" si="114"/>
        <v>#VALUE!</v>
      </c>
      <c r="R1827" t="str">
        <f t="shared" si="115"/>
        <v>No</v>
      </c>
      <c r="S1827" t="s">
        <v>13</v>
      </c>
    </row>
    <row r="1828" spans="1:19" hidden="1" x14ac:dyDescent="0.3">
      <c r="A1828" s="1" t="s">
        <v>592</v>
      </c>
      <c r="B1828" t="s">
        <v>1596</v>
      </c>
      <c r="C1828" t="s">
        <v>1685</v>
      </c>
      <c r="D1828" t="str">
        <f t="shared" si="112"/>
        <v>Male</v>
      </c>
      <c r="E1828" t="s">
        <v>9</v>
      </c>
      <c r="F1828" s="2">
        <v>38</v>
      </c>
      <c r="G1828" s="2" t="str" cm="1">
        <f t="array" ref="G1828">_xlfn.IFS(F1828&lt;=8,"Child",F1828&lt;=17,"Teen",F1828&lt;=35,"Adult",F1828&lt;=55,"Seniour Adult",F1828&gt;=55,"Old Age")</f>
        <v>Seniour Adult</v>
      </c>
      <c r="H1828" t="s">
        <v>69</v>
      </c>
      <c r="I1828" t="s">
        <v>11</v>
      </c>
      <c r="J1828" t="str" cm="1">
        <f t="array" ref="J1828">_xlfn.IFS(I1828="S","Southamptom",I1828="Q","Quentown",I1828="C","Cherbrug",I1828="B","Cabin")</f>
        <v>Southamptom</v>
      </c>
      <c r="K1828" t="s">
        <v>15</v>
      </c>
      <c r="L1828" s="2">
        <v>33</v>
      </c>
      <c r="M1828" s="2" t="str" cm="1">
        <f t="array" ref="M1828">_xlfn.IFS(L1828&lt;=15,"Low Fare",L1828&lt;=35,"Medium Fare",L1828&lt;=100,"High Fare",L1828&gt;=100,"Very High Fare")</f>
        <v>Medium Fare</v>
      </c>
      <c r="N1828" s="2">
        <v>1</v>
      </c>
      <c r="O1828" s="2" t="s">
        <v>30</v>
      </c>
      <c r="P1828" t="e">
        <f t="shared" si="113"/>
        <v>#VALUE!</v>
      </c>
      <c r="Q1828" t="e">
        <f t="shared" si="114"/>
        <v>#VALUE!</v>
      </c>
      <c r="R1828" t="str">
        <f t="shared" si="115"/>
        <v>No</v>
      </c>
      <c r="S1828" t="s">
        <v>13</v>
      </c>
    </row>
    <row r="1829" spans="1:19" hidden="1" x14ac:dyDescent="0.3">
      <c r="A1829" s="1" t="s">
        <v>592</v>
      </c>
      <c r="B1829" t="s">
        <v>1596</v>
      </c>
      <c r="C1829" t="s">
        <v>1619</v>
      </c>
      <c r="D1829" t="str">
        <f t="shared" si="112"/>
        <v>Male</v>
      </c>
      <c r="E1829" t="s">
        <v>9</v>
      </c>
      <c r="F1829" s="2">
        <v>47</v>
      </c>
      <c r="G1829" s="2" t="str" cm="1">
        <f t="array" ref="G1829">_xlfn.IFS(F1829&lt;=8,"Child",F1829&lt;=17,"Teen",F1829&lt;=35,"Adult",F1829&lt;=55,"Seniour Adult",F1829&gt;=55,"Old Age")</f>
        <v>Seniour Adult</v>
      </c>
      <c r="H1829" t="s">
        <v>71</v>
      </c>
      <c r="I1829" t="s">
        <v>11</v>
      </c>
      <c r="J1829" t="str" cm="1">
        <f t="array" ref="J1829">_xlfn.IFS(I1829="S","Southamptom",I1829="Q","Quentown",I1829="C","Cherbrug",I1829="B","Cabin")</f>
        <v>Southamptom</v>
      </c>
      <c r="K1829" t="s">
        <v>37</v>
      </c>
      <c r="L1829" s="2">
        <v>33</v>
      </c>
      <c r="M1829" s="2" t="str" cm="1">
        <f t="array" ref="M1829">_xlfn.IFS(L1829&lt;=15,"Low Fare",L1829&lt;=35,"Medium Fare",L1829&lt;=100,"High Fare",L1829&gt;=100,"Very High Fare")</f>
        <v>Medium Fare</v>
      </c>
      <c r="N1829" s="2">
        <v>1</v>
      </c>
      <c r="O1829" s="2" t="s">
        <v>30</v>
      </c>
      <c r="P1829" t="e">
        <f t="shared" si="113"/>
        <v>#VALUE!</v>
      </c>
      <c r="Q1829" t="e">
        <f t="shared" si="114"/>
        <v>#VALUE!</v>
      </c>
      <c r="R1829" t="str">
        <f t="shared" si="115"/>
        <v>Yes</v>
      </c>
      <c r="S1829" t="s">
        <v>16</v>
      </c>
    </row>
    <row r="1830" spans="1:19" hidden="1" x14ac:dyDescent="0.3">
      <c r="A1830" s="1" t="s">
        <v>1342</v>
      </c>
      <c r="B1830" t="s">
        <v>1596</v>
      </c>
      <c r="C1830" t="s">
        <v>2882</v>
      </c>
      <c r="D1830" t="str">
        <f t="shared" si="112"/>
        <v>Male</v>
      </c>
      <c r="E1830" t="s">
        <v>9</v>
      </c>
      <c r="F1830" s="2">
        <v>38</v>
      </c>
      <c r="G1830" s="2" t="str" cm="1">
        <f t="array" ref="G1830">_xlfn.IFS(F1830&lt;=8,"Child",F1830&lt;=17,"Teen",F1830&lt;=35,"Adult",F1830&lt;=55,"Seniour Adult",F1830&gt;=55,"Old Age")</f>
        <v>Seniour Adult</v>
      </c>
      <c r="H1830" t="s">
        <v>51</v>
      </c>
      <c r="I1830" t="s">
        <v>11</v>
      </c>
      <c r="J1830" t="str" cm="1">
        <f t="array" ref="J1830">_xlfn.IFS(I1830="S","Southamptom",I1830="Q","Quentown",I1830="C","Cherbrug",I1830="B","Cabin")</f>
        <v>Southamptom</v>
      </c>
      <c r="K1830" t="s">
        <v>15</v>
      </c>
      <c r="L1830" s="2">
        <v>33</v>
      </c>
      <c r="M1830" s="2" t="str" cm="1">
        <f t="array" ref="M1830">_xlfn.IFS(L1830&lt;=15,"Low Fare",L1830&lt;=35,"Medium Fare",L1830&lt;=100,"High Fare",L1830&gt;=100,"Very High Fare")</f>
        <v>Medium Fare</v>
      </c>
      <c r="N1830" s="2">
        <v>1</v>
      </c>
      <c r="O1830" s="2" t="s">
        <v>30</v>
      </c>
      <c r="P1830" t="e">
        <f t="shared" si="113"/>
        <v>#VALUE!</v>
      </c>
      <c r="Q1830" t="e">
        <f t="shared" si="114"/>
        <v>#VALUE!</v>
      </c>
      <c r="R1830" t="str">
        <f t="shared" si="115"/>
        <v>No</v>
      </c>
      <c r="S1830" t="s">
        <v>13</v>
      </c>
    </row>
    <row r="1831" spans="1:19" hidden="1" x14ac:dyDescent="0.3">
      <c r="A1831" s="1" t="s">
        <v>1343</v>
      </c>
      <c r="B1831" t="s">
        <v>1596</v>
      </c>
      <c r="C1831" t="s">
        <v>2986</v>
      </c>
      <c r="D1831" t="str">
        <f t="shared" si="112"/>
        <v>Male</v>
      </c>
      <c r="E1831" t="s">
        <v>9</v>
      </c>
      <c r="F1831" s="2">
        <v>36</v>
      </c>
      <c r="G1831" s="2" t="str" cm="1">
        <f t="array" ref="G1831">_xlfn.IFS(F1831&lt;=8,"Child",F1831&lt;=17,"Teen",F1831&lt;=35,"Adult",F1831&lt;=55,"Seniour Adult",F1831&gt;=55,"Old Age")</f>
        <v>Seniour Adult</v>
      </c>
      <c r="H1831" t="s">
        <v>69</v>
      </c>
      <c r="I1831" t="s">
        <v>28</v>
      </c>
      <c r="J1831" t="str" cm="1">
        <f t="array" ref="J1831">_xlfn.IFS(I1831="S","Southamptom",I1831="Q","Quentown",I1831="C","Cherbrug",I1831="B","Cabin")</f>
        <v>Cabin</v>
      </c>
      <c r="K1831" t="s">
        <v>43</v>
      </c>
      <c r="L1831" s="2">
        <v>33</v>
      </c>
      <c r="M1831" s="2" t="str" cm="1">
        <f t="array" ref="M1831">_xlfn.IFS(L1831&lt;=15,"Low Fare",L1831&lt;=35,"Medium Fare",L1831&lt;=100,"High Fare",L1831&gt;=100,"Very High Fare")</f>
        <v>Medium Fare</v>
      </c>
      <c r="N1831" s="2">
        <v>1</v>
      </c>
      <c r="O1831" s="2" t="s">
        <v>30</v>
      </c>
      <c r="P1831" t="e">
        <f t="shared" si="113"/>
        <v>#VALUE!</v>
      </c>
      <c r="Q1831" t="e">
        <f t="shared" si="114"/>
        <v>#VALUE!</v>
      </c>
      <c r="R1831" t="str">
        <f t="shared" si="115"/>
        <v>No</v>
      </c>
      <c r="S1831" t="s">
        <v>13</v>
      </c>
    </row>
    <row r="1832" spans="1:19" hidden="1" x14ac:dyDescent="0.3">
      <c r="A1832" s="1" t="s">
        <v>1344</v>
      </c>
      <c r="B1832" t="s">
        <v>1596</v>
      </c>
      <c r="C1832" t="s">
        <v>2987</v>
      </c>
      <c r="D1832" t="str">
        <f t="shared" si="112"/>
        <v>Male</v>
      </c>
      <c r="E1832" t="s">
        <v>9</v>
      </c>
      <c r="F1832" s="2">
        <v>37</v>
      </c>
      <c r="G1832" s="2" t="str" cm="1">
        <f t="array" ref="G1832">_xlfn.IFS(F1832&lt;=8,"Child",F1832&lt;=17,"Teen",F1832&lt;=35,"Adult",F1832&lt;=55,"Seniour Adult",F1832&gt;=55,"Old Age")</f>
        <v>Seniour Adult</v>
      </c>
      <c r="H1832" t="s">
        <v>69</v>
      </c>
      <c r="I1832" t="s">
        <v>11</v>
      </c>
      <c r="J1832" t="str" cm="1">
        <f t="array" ref="J1832">_xlfn.IFS(I1832="S","Southamptom",I1832="Q","Quentown",I1832="C","Cherbrug",I1832="B","Cabin")</f>
        <v>Southamptom</v>
      </c>
      <c r="K1832" t="s">
        <v>15</v>
      </c>
      <c r="L1832" s="2">
        <v>33</v>
      </c>
      <c r="M1832" s="2" t="str" cm="1">
        <f t="array" ref="M1832">_xlfn.IFS(L1832&lt;=15,"Low Fare",L1832&lt;=35,"Medium Fare",L1832&lt;=100,"High Fare",L1832&gt;=100,"Very High Fare")</f>
        <v>Medium Fare</v>
      </c>
      <c r="N1832" s="2">
        <v>1</v>
      </c>
      <c r="O1832" s="2" t="s">
        <v>30</v>
      </c>
      <c r="P1832" t="e">
        <f t="shared" si="113"/>
        <v>#VALUE!</v>
      </c>
      <c r="Q1832" t="e">
        <f t="shared" si="114"/>
        <v>#VALUE!</v>
      </c>
      <c r="R1832" t="str">
        <f t="shared" si="115"/>
        <v>No</v>
      </c>
      <c r="S1832" t="s">
        <v>13</v>
      </c>
    </row>
    <row r="1833" spans="1:19" hidden="1" x14ac:dyDescent="0.3">
      <c r="A1833" s="1" t="s">
        <v>1345</v>
      </c>
      <c r="B1833" t="s">
        <v>1596</v>
      </c>
      <c r="C1833" t="s">
        <v>1965</v>
      </c>
      <c r="D1833" t="str">
        <f t="shared" si="112"/>
        <v>Male</v>
      </c>
      <c r="E1833" t="s">
        <v>9</v>
      </c>
      <c r="F1833" s="2">
        <v>29</v>
      </c>
      <c r="G1833" s="2" t="str" cm="1">
        <f t="array" ref="G1833">_xlfn.IFS(F1833&lt;=8,"Child",F1833&lt;=17,"Teen",F1833&lt;=35,"Adult",F1833&lt;=55,"Seniour Adult",F1833&gt;=55,"Old Age")</f>
        <v>Adult</v>
      </c>
      <c r="H1833" t="s">
        <v>51</v>
      </c>
      <c r="I1833" t="s">
        <v>11</v>
      </c>
      <c r="J1833" t="str" cm="1">
        <f t="array" ref="J1833">_xlfn.IFS(I1833="S","Southamptom",I1833="Q","Quentown",I1833="C","Cherbrug",I1833="B","Cabin")</f>
        <v>Southamptom</v>
      </c>
      <c r="K1833" t="s">
        <v>15</v>
      </c>
      <c r="L1833" s="2">
        <v>33</v>
      </c>
      <c r="M1833" s="2" t="str" cm="1">
        <f t="array" ref="M1833">_xlfn.IFS(L1833&lt;=15,"Low Fare",L1833&lt;=35,"Medium Fare",L1833&lt;=100,"High Fare",L1833&gt;=100,"Very High Fare")</f>
        <v>Medium Fare</v>
      </c>
      <c r="N1833" s="2">
        <v>1</v>
      </c>
      <c r="O1833" s="2" t="s">
        <v>30</v>
      </c>
      <c r="P1833" t="e">
        <f t="shared" si="113"/>
        <v>#VALUE!</v>
      </c>
      <c r="Q1833" t="e">
        <f t="shared" si="114"/>
        <v>#VALUE!</v>
      </c>
      <c r="R1833" t="str">
        <f t="shared" si="115"/>
        <v>Yes</v>
      </c>
      <c r="S1833" t="s">
        <v>16</v>
      </c>
    </row>
    <row r="1834" spans="1:19" hidden="1" x14ac:dyDescent="0.3">
      <c r="A1834" s="1" t="s">
        <v>1346</v>
      </c>
      <c r="B1834" t="s">
        <v>1596</v>
      </c>
      <c r="C1834" t="s">
        <v>2988</v>
      </c>
      <c r="D1834" t="str">
        <f t="shared" si="112"/>
        <v>Male</v>
      </c>
      <c r="E1834" t="s">
        <v>9</v>
      </c>
      <c r="F1834" s="2">
        <v>34</v>
      </c>
      <c r="G1834" s="2" t="str" cm="1">
        <f t="array" ref="G1834">_xlfn.IFS(F1834&lt;=8,"Child",F1834&lt;=17,"Teen",F1834&lt;=35,"Adult",F1834&lt;=55,"Seniour Adult",F1834&gt;=55,"Old Age")</f>
        <v>Adult</v>
      </c>
      <c r="H1834" t="s">
        <v>51</v>
      </c>
      <c r="I1834" t="s">
        <v>11</v>
      </c>
      <c r="J1834" t="str" cm="1">
        <f t="array" ref="J1834">_xlfn.IFS(I1834="S","Southamptom",I1834="Q","Quentown",I1834="C","Cherbrug",I1834="B","Cabin")</f>
        <v>Southamptom</v>
      </c>
      <c r="K1834" t="s">
        <v>15</v>
      </c>
      <c r="L1834" s="2">
        <v>33</v>
      </c>
      <c r="M1834" s="2" t="str" cm="1">
        <f t="array" ref="M1834">_xlfn.IFS(L1834&lt;=15,"Low Fare",L1834&lt;=35,"Medium Fare",L1834&lt;=100,"High Fare",L1834&gt;=100,"Very High Fare")</f>
        <v>Medium Fare</v>
      </c>
      <c r="N1834" s="2">
        <v>1</v>
      </c>
      <c r="O1834" s="2" t="s">
        <v>30</v>
      </c>
      <c r="P1834" t="e">
        <f t="shared" si="113"/>
        <v>#VALUE!</v>
      </c>
      <c r="Q1834" t="e">
        <f t="shared" si="114"/>
        <v>#VALUE!</v>
      </c>
      <c r="R1834" t="str">
        <f t="shared" si="115"/>
        <v>No</v>
      </c>
      <c r="S1834" t="s">
        <v>13</v>
      </c>
    </row>
    <row r="1835" spans="1:19" hidden="1" x14ac:dyDescent="0.3">
      <c r="A1835" s="1" t="s">
        <v>1347</v>
      </c>
      <c r="B1835" t="s">
        <v>1596</v>
      </c>
      <c r="C1835" t="s">
        <v>2989</v>
      </c>
      <c r="D1835" t="str">
        <f t="shared" si="112"/>
        <v>Male</v>
      </c>
      <c r="E1835" t="s">
        <v>9</v>
      </c>
      <c r="F1835" s="2">
        <v>30</v>
      </c>
      <c r="G1835" s="2" t="str" cm="1">
        <f t="array" ref="G1835">_xlfn.IFS(F1835&lt;=8,"Child",F1835&lt;=17,"Teen",F1835&lt;=35,"Adult",F1835&lt;=55,"Seniour Adult",F1835&gt;=55,"Old Age")</f>
        <v>Adult</v>
      </c>
      <c r="H1835" t="s">
        <v>51</v>
      </c>
      <c r="I1835" t="s">
        <v>11</v>
      </c>
      <c r="J1835" t="str" cm="1">
        <f t="array" ref="J1835">_xlfn.IFS(I1835="S","Southamptom",I1835="Q","Quentown",I1835="C","Cherbrug",I1835="B","Cabin")</f>
        <v>Southamptom</v>
      </c>
      <c r="K1835" t="s">
        <v>15</v>
      </c>
      <c r="L1835" s="2">
        <v>33</v>
      </c>
      <c r="M1835" s="2" t="str" cm="1">
        <f t="array" ref="M1835">_xlfn.IFS(L1835&lt;=15,"Low Fare",L1835&lt;=35,"Medium Fare",L1835&lt;=100,"High Fare",L1835&gt;=100,"Very High Fare")</f>
        <v>Medium Fare</v>
      </c>
      <c r="N1835" s="2">
        <v>1</v>
      </c>
      <c r="O1835" s="2" t="s">
        <v>30</v>
      </c>
      <c r="P1835" t="e">
        <f t="shared" si="113"/>
        <v>#VALUE!</v>
      </c>
      <c r="Q1835" t="e">
        <f t="shared" si="114"/>
        <v>#VALUE!</v>
      </c>
      <c r="R1835" t="str">
        <f t="shared" si="115"/>
        <v>No</v>
      </c>
      <c r="S1835" t="s">
        <v>13</v>
      </c>
    </row>
    <row r="1836" spans="1:19" hidden="1" x14ac:dyDescent="0.3">
      <c r="A1836" s="1" t="s">
        <v>599</v>
      </c>
      <c r="B1836" t="s">
        <v>1596</v>
      </c>
      <c r="C1836" t="s">
        <v>2990</v>
      </c>
      <c r="D1836" t="str">
        <f t="shared" si="112"/>
        <v>Male</v>
      </c>
      <c r="E1836" t="s">
        <v>9</v>
      </c>
      <c r="F1836" s="2">
        <v>36</v>
      </c>
      <c r="G1836" s="2" t="str" cm="1">
        <f t="array" ref="G1836">_xlfn.IFS(F1836&lt;=8,"Child",F1836&lt;=17,"Teen",F1836&lt;=35,"Adult",F1836&lt;=55,"Seniour Adult",F1836&gt;=55,"Old Age")</f>
        <v>Seniour Adult</v>
      </c>
      <c r="H1836" t="s">
        <v>71</v>
      </c>
      <c r="I1836" t="s">
        <v>11</v>
      </c>
      <c r="J1836" t="str" cm="1">
        <f t="array" ref="J1836">_xlfn.IFS(I1836="S","Southamptom",I1836="Q","Quentown",I1836="C","Cherbrug",I1836="B","Cabin")</f>
        <v>Southamptom</v>
      </c>
      <c r="K1836" t="s">
        <v>37</v>
      </c>
      <c r="L1836" s="2">
        <v>33</v>
      </c>
      <c r="M1836" s="2" t="str" cm="1">
        <f t="array" ref="M1836">_xlfn.IFS(L1836&lt;=15,"Low Fare",L1836&lt;=35,"Medium Fare",L1836&lt;=100,"High Fare",L1836&gt;=100,"Very High Fare")</f>
        <v>Medium Fare</v>
      </c>
      <c r="N1836" s="2">
        <v>1</v>
      </c>
      <c r="O1836" s="2" t="s">
        <v>30</v>
      </c>
      <c r="P1836" t="e">
        <f t="shared" si="113"/>
        <v>#VALUE!</v>
      </c>
      <c r="Q1836" t="e">
        <f t="shared" si="114"/>
        <v>#VALUE!</v>
      </c>
      <c r="R1836" t="str">
        <f t="shared" si="115"/>
        <v>Yes</v>
      </c>
      <c r="S1836" t="s">
        <v>16</v>
      </c>
    </row>
    <row r="1837" spans="1:19" hidden="1" x14ac:dyDescent="0.3">
      <c r="A1837" s="1" t="s">
        <v>1348</v>
      </c>
      <c r="B1837" t="s">
        <v>1596</v>
      </c>
      <c r="C1837" t="s">
        <v>1965</v>
      </c>
      <c r="D1837" t="str">
        <f t="shared" si="112"/>
        <v>Male</v>
      </c>
      <c r="E1837" t="s">
        <v>9</v>
      </c>
      <c r="F1837" s="2">
        <v>17</v>
      </c>
      <c r="G1837" s="2" t="str" cm="1">
        <f t="array" ref="G1837">_xlfn.IFS(F1837&lt;=8,"Child",F1837&lt;=17,"Teen",F1837&lt;=35,"Adult",F1837&lt;=55,"Seniour Adult",F1837&gt;=55,"Old Age")</f>
        <v>Teen</v>
      </c>
      <c r="H1837" t="s">
        <v>69</v>
      </c>
      <c r="I1837" t="s">
        <v>11</v>
      </c>
      <c r="J1837" t="str" cm="1">
        <f t="array" ref="J1837">_xlfn.IFS(I1837="S","Southamptom",I1837="Q","Quentown",I1837="C","Cherbrug",I1837="B","Cabin")</f>
        <v>Southamptom</v>
      </c>
      <c r="K1837" t="s">
        <v>15</v>
      </c>
      <c r="L1837" s="2">
        <v>33</v>
      </c>
      <c r="M1837" s="2" t="str" cm="1">
        <f t="array" ref="M1837">_xlfn.IFS(L1837&lt;=15,"Low Fare",L1837&lt;=35,"Medium Fare",L1837&lt;=100,"High Fare",L1837&gt;=100,"Very High Fare")</f>
        <v>Medium Fare</v>
      </c>
      <c r="N1837" s="2">
        <v>1</v>
      </c>
      <c r="O1837" s="2" t="s">
        <v>30</v>
      </c>
      <c r="P1837" t="e">
        <f t="shared" si="113"/>
        <v>#VALUE!</v>
      </c>
      <c r="Q1837" t="e">
        <f t="shared" si="114"/>
        <v>#VALUE!</v>
      </c>
      <c r="R1837" t="str">
        <f t="shared" si="115"/>
        <v>No</v>
      </c>
      <c r="S1837" t="s">
        <v>13</v>
      </c>
    </row>
    <row r="1838" spans="1:19" hidden="1" x14ac:dyDescent="0.3">
      <c r="A1838" s="1" t="s">
        <v>1349</v>
      </c>
      <c r="B1838" t="s">
        <v>1596</v>
      </c>
      <c r="C1838" t="s">
        <v>1645</v>
      </c>
      <c r="D1838" t="str">
        <f t="shared" si="112"/>
        <v>Male</v>
      </c>
      <c r="E1838" t="s">
        <v>9</v>
      </c>
      <c r="F1838" s="2">
        <v>38</v>
      </c>
      <c r="G1838" s="2" t="str" cm="1">
        <f t="array" ref="G1838">_xlfn.IFS(F1838&lt;=8,"Child",F1838&lt;=17,"Teen",F1838&lt;=35,"Adult",F1838&lt;=55,"Seniour Adult",F1838&gt;=55,"Old Age")</f>
        <v>Seniour Adult</v>
      </c>
      <c r="H1838" t="s">
        <v>51</v>
      </c>
      <c r="I1838" t="s">
        <v>11</v>
      </c>
      <c r="J1838" t="str" cm="1">
        <f t="array" ref="J1838">_xlfn.IFS(I1838="S","Southamptom",I1838="Q","Quentown",I1838="C","Cherbrug",I1838="B","Cabin")</f>
        <v>Southamptom</v>
      </c>
      <c r="K1838" t="s">
        <v>15</v>
      </c>
      <c r="L1838" s="2">
        <v>33</v>
      </c>
      <c r="M1838" s="2" t="str" cm="1">
        <f t="array" ref="M1838">_xlfn.IFS(L1838&lt;=15,"Low Fare",L1838&lt;=35,"Medium Fare",L1838&lt;=100,"High Fare",L1838&gt;=100,"Very High Fare")</f>
        <v>Medium Fare</v>
      </c>
      <c r="N1838" s="2">
        <v>1</v>
      </c>
      <c r="O1838" s="2" t="s">
        <v>30</v>
      </c>
      <c r="P1838" t="e">
        <f t="shared" si="113"/>
        <v>#VALUE!</v>
      </c>
      <c r="Q1838" t="e">
        <f t="shared" si="114"/>
        <v>#VALUE!</v>
      </c>
      <c r="R1838" t="str">
        <f t="shared" si="115"/>
        <v>No</v>
      </c>
      <c r="S1838" t="s">
        <v>13</v>
      </c>
    </row>
    <row r="1839" spans="1:19" hidden="1" x14ac:dyDescent="0.3">
      <c r="A1839" s="1" t="s">
        <v>1350</v>
      </c>
      <c r="B1839" t="s">
        <v>1596</v>
      </c>
      <c r="C1839" t="s">
        <v>1619</v>
      </c>
      <c r="D1839" t="str">
        <f t="shared" si="112"/>
        <v>Male</v>
      </c>
      <c r="E1839" t="s">
        <v>9</v>
      </c>
      <c r="F1839" s="2">
        <v>21</v>
      </c>
      <c r="G1839" s="2" t="str" cm="1">
        <f t="array" ref="G1839">_xlfn.IFS(F1839&lt;=8,"Child",F1839&lt;=17,"Teen",F1839&lt;=35,"Adult",F1839&lt;=55,"Seniour Adult",F1839&gt;=55,"Old Age")</f>
        <v>Adult</v>
      </c>
      <c r="H1839" t="s">
        <v>51</v>
      </c>
      <c r="I1839" t="s">
        <v>11</v>
      </c>
      <c r="J1839" t="str" cm="1">
        <f t="array" ref="J1839">_xlfn.IFS(I1839="S","Southamptom",I1839="Q","Quentown",I1839="C","Cherbrug",I1839="B","Cabin")</f>
        <v>Southamptom</v>
      </c>
      <c r="K1839" t="s">
        <v>15</v>
      </c>
      <c r="L1839" s="2">
        <v>33</v>
      </c>
      <c r="M1839" s="2" t="str" cm="1">
        <f t="array" ref="M1839">_xlfn.IFS(L1839&lt;=15,"Low Fare",L1839&lt;=35,"Medium Fare",L1839&lt;=100,"High Fare",L1839&gt;=100,"Very High Fare")</f>
        <v>Medium Fare</v>
      </c>
      <c r="N1839" s="2">
        <v>1</v>
      </c>
      <c r="O1839" s="2" t="s">
        <v>30</v>
      </c>
      <c r="P1839" t="e">
        <f t="shared" si="113"/>
        <v>#VALUE!</v>
      </c>
      <c r="Q1839" t="e">
        <f t="shared" si="114"/>
        <v>#VALUE!</v>
      </c>
      <c r="R1839" t="str">
        <f t="shared" si="115"/>
        <v>Yes</v>
      </c>
      <c r="S1839" t="s">
        <v>16</v>
      </c>
    </row>
    <row r="1840" spans="1:19" hidden="1" x14ac:dyDescent="0.3">
      <c r="A1840" s="1" t="s">
        <v>1351</v>
      </c>
      <c r="B1840" t="s">
        <v>1596</v>
      </c>
      <c r="C1840" t="s">
        <v>2991</v>
      </c>
      <c r="D1840" t="str">
        <f t="shared" si="112"/>
        <v>Male</v>
      </c>
      <c r="E1840" t="s">
        <v>9</v>
      </c>
      <c r="F1840" s="2">
        <v>30</v>
      </c>
      <c r="G1840" s="2" t="str" cm="1">
        <f t="array" ref="G1840">_xlfn.IFS(F1840&lt;=8,"Child",F1840&lt;=17,"Teen",F1840&lt;=35,"Adult",F1840&lt;=55,"Seniour Adult",F1840&gt;=55,"Old Age")</f>
        <v>Adult</v>
      </c>
      <c r="H1840" t="s">
        <v>69</v>
      </c>
      <c r="I1840" t="s">
        <v>28</v>
      </c>
      <c r="J1840" t="str" cm="1">
        <f t="array" ref="J1840">_xlfn.IFS(I1840="S","Southamptom",I1840="Q","Quentown",I1840="C","Cherbrug",I1840="B","Cabin")</f>
        <v>Cabin</v>
      </c>
      <c r="K1840" t="s">
        <v>15</v>
      </c>
      <c r="L1840" s="2">
        <v>33</v>
      </c>
      <c r="M1840" s="2" t="str" cm="1">
        <f t="array" ref="M1840">_xlfn.IFS(L1840&lt;=15,"Low Fare",L1840&lt;=35,"Medium Fare",L1840&lt;=100,"High Fare",L1840&gt;=100,"Very High Fare")</f>
        <v>Medium Fare</v>
      </c>
      <c r="N1840" s="2">
        <v>1</v>
      </c>
      <c r="O1840" s="2" t="s">
        <v>30</v>
      </c>
      <c r="P1840" t="e">
        <f t="shared" si="113"/>
        <v>#VALUE!</v>
      </c>
      <c r="Q1840" t="e">
        <f t="shared" si="114"/>
        <v>#VALUE!</v>
      </c>
      <c r="R1840" t="str">
        <f t="shared" si="115"/>
        <v>Yes</v>
      </c>
      <c r="S1840" t="s">
        <v>16</v>
      </c>
    </row>
    <row r="1841" spans="1:19" hidden="1" x14ac:dyDescent="0.3">
      <c r="A1841" s="1" t="s">
        <v>1352</v>
      </c>
      <c r="B1841" t="s">
        <v>1600</v>
      </c>
      <c r="C1841" t="s">
        <v>2992</v>
      </c>
      <c r="D1841" t="str">
        <f t="shared" si="112"/>
        <v>Female</v>
      </c>
      <c r="E1841" t="s">
        <v>14</v>
      </c>
      <c r="F1841" s="2">
        <v>40</v>
      </c>
      <c r="G1841" s="2" t="str" cm="1">
        <f t="array" ref="G1841">_xlfn.IFS(F1841&lt;=8,"Child",F1841&lt;=17,"Teen",F1841&lt;=35,"Adult",F1841&lt;=55,"Seniour Adult",F1841&gt;=55,"Old Age")</f>
        <v>Seniour Adult</v>
      </c>
      <c r="H1841" t="s">
        <v>69</v>
      </c>
      <c r="I1841" t="s">
        <v>11</v>
      </c>
      <c r="J1841" t="str" cm="1">
        <f t="array" ref="J1841">_xlfn.IFS(I1841="S","Southamptom",I1841="Q","Quentown",I1841="C","Cherbrug",I1841="B","Cabin")</f>
        <v>Southamptom</v>
      </c>
      <c r="K1841" t="s">
        <v>15</v>
      </c>
      <c r="L1841" s="2">
        <v>33</v>
      </c>
      <c r="M1841" s="2" t="str" cm="1">
        <f t="array" ref="M1841">_xlfn.IFS(L1841&lt;=15,"Low Fare",L1841&lt;=35,"Medium Fare",L1841&lt;=100,"High Fare",L1841&gt;=100,"Very High Fare")</f>
        <v>Medium Fare</v>
      </c>
      <c r="N1841" s="2">
        <v>1</v>
      </c>
      <c r="O1841" s="2" t="s">
        <v>30</v>
      </c>
      <c r="P1841" t="e">
        <f t="shared" si="113"/>
        <v>#VALUE!</v>
      </c>
      <c r="Q1841" t="e">
        <f t="shared" si="114"/>
        <v>#VALUE!</v>
      </c>
      <c r="R1841" t="str">
        <f t="shared" si="115"/>
        <v>Yes</v>
      </c>
      <c r="S1841" t="s">
        <v>16</v>
      </c>
    </row>
    <row r="1842" spans="1:19" hidden="1" x14ac:dyDescent="0.3">
      <c r="A1842" s="1" t="s">
        <v>1353</v>
      </c>
      <c r="B1842" t="s">
        <v>1596</v>
      </c>
      <c r="C1842" t="s">
        <v>1976</v>
      </c>
      <c r="D1842" t="str">
        <f t="shared" si="112"/>
        <v>Male</v>
      </c>
      <c r="E1842" t="s">
        <v>9</v>
      </c>
      <c r="F1842" s="2">
        <v>23</v>
      </c>
      <c r="G1842" s="2" t="str" cm="1">
        <f t="array" ref="G1842">_xlfn.IFS(F1842&lt;=8,"Child",F1842&lt;=17,"Teen",F1842&lt;=35,"Adult",F1842&lt;=55,"Seniour Adult",F1842&gt;=55,"Old Age")</f>
        <v>Adult</v>
      </c>
      <c r="H1842" t="s">
        <v>69</v>
      </c>
      <c r="I1842" t="s">
        <v>28</v>
      </c>
      <c r="J1842" t="str" cm="1">
        <f t="array" ref="J1842">_xlfn.IFS(I1842="S","Southamptom",I1842="Q","Quentown",I1842="C","Cherbrug",I1842="B","Cabin")</f>
        <v>Cabin</v>
      </c>
      <c r="K1842" t="s">
        <v>15</v>
      </c>
      <c r="L1842" s="2">
        <v>33</v>
      </c>
      <c r="M1842" s="2" t="str" cm="1">
        <f t="array" ref="M1842">_xlfn.IFS(L1842&lt;=15,"Low Fare",L1842&lt;=35,"Medium Fare",L1842&lt;=100,"High Fare",L1842&gt;=100,"Very High Fare")</f>
        <v>Medium Fare</v>
      </c>
      <c r="N1842" s="2">
        <v>1</v>
      </c>
      <c r="O1842" s="2" t="s">
        <v>30</v>
      </c>
      <c r="P1842" t="e">
        <f t="shared" si="113"/>
        <v>#VALUE!</v>
      </c>
      <c r="Q1842" t="e">
        <f t="shared" si="114"/>
        <v>#VALUE!</v>
      </c>
      <c r="R1842" t="str">
        <f t="shared" si="115"/>
        <v>Yes</v>
      </c>
      <c r="S1842" t="s">
        <v>16</v>
      </c>
    </row>
    <row r="1843" spans="1:19" hidden="1" x14ac:dyDescent="0.3">
      <c r="A1843" s="1" t="s">
        <v>1353</v>
      </c>
      <c r="B1843" t="s">
        <v>1596</v>
      </c>
      <c r="C1843" t="s">
        <v>2993</v>
      </c>
      <c r="D1843" t="str">
        <f t="shared" si="112"/>
        <v>Male</v>
      </c>
      <c r="E1843" t="s">
        <v>9</v>
      </c>
      <c r="F1843" s="2">
        <v>21</v>
      </c>
      <c r="G1843" s="2" t="str" cm="1">
        <f t="array" ref="G1843">_xlfn.IFS(F1843&lt;=8,"Child",F1843&lt;=17,"Teen",F1843&lt;=35,"Adult",F1843&lt;=55,"Seniour Adult",F1843&gt;=55,"Old Age")</f>
        <v>Adult</v>
      </c>
      <c r="H1843" t="s">
        <v>69</v>
      </c>
      <c r="I1843" t="s">
        <v>28</v>
      </c>
      <c r="J1843" t="str" cm="1">
        <f t="array" ref="J1843">_xlfn.IFS(I1843="S","Southamptom",I1843="Q","Quentown",I1843="C","Cherbrug",I1843="B","Cabin")</f>
        <v>Cabin</v>
      </c>
      <c r="K1843" t="s">
        <v>15</v>
      </c>
      <c r="L1843" s="2">
        <v>33</v>
      </c>
      <c r="M1843" s="2" t="str" cm="1">
        <f t="array" ref="M1843">_xlfn.IFS(L1843&lt;=15,"Low Fare",L1843&lt;=35,"Medium Fare",L1843&lt;=100,"High Fare",L1843&gt;=100,"Very High Fare")</f>
        <v>Medium Fare</v>
      </c>
      <c r="N1843" s="2">
        <v>1</v>
      </c>
      <c r="O1843" s="2" t="s">
        <v>30</v>
      </c>
      <c r="P1843" t="e">
        <f t="shared" si="113"/>
        <v>#VALUE!</v>
      </c>
      <c r="Q1843" t="e">
        <f t="shared" si="114"/>
        <v>#VALUE!</v>
      </c>
      <c r="R1843" t="str">
        <f t="shared" si="115"/>
        <v>No</v>
      </c>
      <c r="S1843" t="s">
        <v>13</v>
      </c>
    </row>
    <row r="1844" spans="1:19" hidden="1" x14ac:dyDescent="0.3">
      <c r="A1844" s="1" t="s">
        <v>1354</v>
      </c>
      <c r="B1844" t="s">
        <v>1596</v>
      </c>
      <c r="C1844" t="s">
        <v>2994</v>
      </c>
      <c r="D1844" t="str">
        <f t="shared" si="112"/>
        <v>Male</v>
      </c>
      <c r="E1844" t="s">
        <v>9</v>
      </c>
      <c r="F1844" s="2">
        <v>36</v>
      </c>
      <c r="G1844" s="2" t="str" cm="1">
        <f t="array" ref="G1844">_xlfn.IFS(F1844&lt;=8,"Child",F1844&lt;=17,"Teen",F1844&lt;=35,"Adult",F1844&lt;=55,"Seniour Adult",F1844&gt;=55,"Old Age")</f>
        <v>Seniour Adult</v>
      </c>
      <c r="H1844" t="s">
        <v>69</v>
      </c>
      <c r="I1844" t="s">
        <v>28</v>
      </c>
      <c r="J1844" t="str" cm="1">
        <f t="array" ref="J1844">_xlfn.IFS(I1844="S","Southamptom",I1844="Q","Quentown",I1844="C","Cherbrug",I1844="B","Cabin")</f>
        <v>Cabin</v>
      </c>
      <c r="K1844" t="s">
        <v>15</v>
      </c>
      <c r="L1844" s="2">
        <v>33</v>
      </c>
      <c r="M1844" s="2" t="str" cm="1">
        <f t="array" ref="M1844">_xlfn.IFS(L1844&lt;=15,"Low Fare",L1844&lt;=35,"Medium Fare",L1844&lt;=100,"High Fare",L1844&gt;=100,"Very High Fare")</f>
        <v>Medium Fare</v>
      </c>
      <c r="N1844" s="2">
        <v>1</v>
      </c>
      <c r="O1844" s="2" t="s">
        <v>30</v>
      </c>
      <c r="P1844" t="e">
        <f t="shared" si="113"/>
        <v>#VALUE!</v>
      </c>
      <c r="Q1844" t="e">
        <f t="shared" si="114"/>
        <v>#VALUE!</v>
      </c>
      <c r="R1844" t="str">
        <f t="shared" si="115"/>
        <v>No</v>
      </c>
      <c r="S1844" t="s">
        <v>13</v>
      </c>
    </row>
    <row r="1845" spans="1:19" hidden="1" x14ac:dyDescent="0.3">
      <c r="A1845" s="1" t="s">
        <v>1355</v>
      </c>
      <c r="B1845" t="s">
        <v>1596</v>
      </c>
      <c r="C1845" t="s">
        <v>1619</v>
      </c>
      <c r="D1845" t="str">
        <f t="shared" si="112"/>
        <v>Male</v>
      </c>
      <c r="E1845" t="s">
        <v>9</v>
      </c>
      <c r="F1845" s="2">
        <v>44</v>
      </c>
      <c r="G1845" s="2" t="str" cm="1">
        <f t="array" ref="G1845">_xlfn.IFS(F1845&lt;=8,"Child",F1845&lt;=17,"Teen",F1845&lt;=35,"Adult",F1845&lt;=55,"Seniour Adult",F1845&gt;=55,"Old Age")</f>
        <v>Seniour Adult</v>
      </c>
      <c r="H1845" t="s">
        <v>69</v>
      </c>
      <c r="I1845" t="s">
        <v>28</v>
      </c>
      <c r="J1845" t="str" cm="1">
        <f t="array" ref="J1845">_xlfn.IFS(I1845="S","Southamptom",I1845="Q","Quentown",I1845="C","Cherbrug",I1845="B","Cabin")</f>
        <v>Cabin</v>
      </c>
      <c r="K1845" t="s">
        <v>15</v>
      </c>
      <c r="L1845" s="2">
        <v>33</v>
      </c>
      <c r="M1845" s="2" t="str" cm="1">
        <f t="array" ref="M1845">_xlfn.IFS(L1845&lt;=15,"Low Fare",L1845&lt;=35,"Medium Fare",L1845&lt;=100,"High Fare",L1845&gt;=100,"Very High Fare")</f>
        <v>Medium Fare</v>
      </c>
      <c r="N1845" s="2">
        <v>1</v>
      </c>
      <c r="O1845" s="2" t="s">
        <v>30</v>
      </c>
      <c r="P1845" t="e">
        <f t="shared" si="113"/>
        <v>#VALUE!</v>
      </c>
      <c r="Q1845" t="e">
        <f t="shared" si="114"/>
        <v>#VALUE!</v>
      </c>
      <c r="R1845" t="str">
        <f t="shared" si="115"/>
        <v>No</v>
      </c>
      <c r="S1845" t="s">
        <v>13</v>
      </c>
    </row>
    <row r="1846" spans="1:19" hidden="1" x14ac:dyDescent="0.3">
      <c r="A1846" s="1" t="s">
        <v>1356</v>
      </c>
      <c r="B1846" t="s">
        <v>1596</v>
      </c>
      <c r="C1846" t="s">
        <v>1619</v>
      </c>
      <c r="D1846" t="str">
        <f t="shared" si="112"/>
        <v>Male</v>
      </c>
      <c r="E1846" t="s">
        <v>9</v>
      </c>
      <c r="F1846" s="2">
        <v>26</v>
      </c>
      <c r="G1846" s="2" t="str" cm="1">
        <f t="array" ref="G1846">_xlfn.IFS(F1846&lt;=8,"Child",F1846&lt;=17,"Teen",F1846&lt;=35,"Adult",F1846&lt;=55,"Seniour Adult",F1846&gt;=55,"Old Age")</f>
        <v>Adult</v>
      </c>
      <c r="H1846" t="s">
        <v>51</v>
      </c>
      <c r="I1846" t="s">
        <v>28</v>
      </c>
      <c r="J1846" t="str" cm="1">
        <f t="array" ref="J1846">_xlfn.IFS(I1846="S","Southamptom",I1846="Q","Quentown",I1846="C","Cherbrug",I1846="B","Cabin")</f>
        <v>Cabin</v>
      </c>
      <c r="K1846" t="s">
        <v>29</v>
      </c>
      <c r="L1846" s="2">
        <v>33</v>
      </c>
      <c r="M1846" s="2" t="str" cm="1">
        <f t="array" ref="M1846">_xlfn.IFS(L1846&lt;=15,"Low Fare",L1846&lt;=35,"Medium Fare",L1846&lt;=100,"High Fare",L1846&gt;=100,"Very High Fare")</f>
        <v>Medium Fare</v>
      </c>
      <c r="N1846" s="2">
        <v>1</v>
      </c>
      <c r="O1846" s="2" t="s">
        <v>30</v>
      </c>
      <c r="P1846" t="e">
        <f t="shared" si="113"/>
        <v>#VALUE!</v>
      </c>
      <c r="Q1846" t="e">
        <f t="shared" si="114"/>
        <v>#VALUE!</v>
      </c>
      <c r="R1846" t="str">
        <f t="shared" si="115"/>
        <v>No</v>
      </c>
      <c r="S1846" t="s">
        <v>13</v>
      </c>
    </row>
    <row r="1847" spans="1:19" hidden="1" x14ac:dyDescent="0.3">
      <c r="A1847" s="1" t="s">
        <v>1357</v>
      </c>
      <c r="B1847" t="s">
        <v>1596</v>
      </c>
      <c r="C1847" t="s">
        <v>2995</v>
      </c>
      <c r="D1847" t="str">
        <f t="shared" si="112"/>
        <v>Male</v>
      </c>
      <c r="E1847" t="s">
        <v>9</v>
      </c>
      <c r="F1847" s="2">
        <v>32</v>
      </c>
      <c r="G1847" s="2" t="str" cm="1">
        <f t="array" ref="G1847">_xlfn.IFS(F1847&lt;=8,"Child",F1847&lt;=17,"Teen",F1847&lt;=35,"Adult",F1847&lt;=55,"Seniour Adult",F1847&gt;=55,"Old Age")</f>
        <v>Adult</v>
      </c>
      <c r="H1847" t="s">
        <v>51</v>
      </c>
      <c r="I1847" t="s">
        <v>11</v>
      </c>
      <c r="J1847" t="str" cm="1">
        <f t="array" ref="J1847">_xlfn.IFS(I1847="S","Southamptom",I1847="Q","Quentown",I1847="C","Cherbrug",I1847="B","Cabin")</f>
        <v>Southamptom</v>
      </c>
      <c r="K1847" t="s">
        <v>15</v>
      </c>
      <c r="L1847" s="2">
        <v>33</v>
      </c>
      <c r="M1847" s="2" t="str" cm="1">
        <f t="array" ref="M1847">_xlfn.IFS(L1847&lt;=15,"Low Fare",L1847&lt;=35,"Medium Fare",L1847&lt;=100,"High Fare",L1847&gt;=100,"Very High Fare")</f>
        <v>Medium Fare</v>
      </c>
      <c r="N1847" s="2">
        <v>1</v>
      </c>
      <c r="O1847" s="2" t="s">
        <v>30</v>
      </c>
      <c r="P1847" t="e">
        <f t="shared" si="113"/>
        <v>#VALUE!</v>
      </c>
      <c r="Q1847" t="e">
        <f t="shared" si="114"/>
        <v>#VALUE!</v>
      </c>
      <c r="R1847" t="str">
        <f t="shared" si="115"/>
        <v>No</v>
      </c>
      <c r="S1847" t="s">
        <v>13</v>
      </c>
    </row>
    <row r="1848" spans="1:19" hidden="1" x14ac:dyDescent="0.3">
      <c r="A1848" s="1" t="s">
        <v>1358</v>
      </c>
      <c r="B1848" t="s">
        <v>1596</v>
      </c>
      <c r="C1848" t="s">
        <v>1619</v>
      </c>
      <c r="D1848" t="str">
        <f t="shared" si="112"/>
        <v>Male</v>
      </c>
      <c r="E1848" t="s">
        <v>9</v>
      </c>
      <c r="F1848" s="2">
        <v>22</v>
      </c>
      <c r="G1848" s="2" t="str" cm="1">
        <f t="array" ref="G1848">_xlfn.IFS(F1848&lt;=8,"Child",F1848&lt;=17,"Teen",F1848&lt;=35,"Adult",F1848&lt;=55,"Seniour Adult",F1848&gt;=55,"Old Age")</f>
        <v>Adult</v>
      </c>
      <c r="H1848" t="s">
        <v>51</v>
      </c>
      <c r="I1848" t="s">
        <v>28</v>
      </c>
      <c r="J1848" t="str" cm="1">
        <f t="array" ref="J1848">_xlfn.IFS(I1848="S","Southamptom",I1848="Q","Quentown",I1848="C","Cherbrug",I1848="B","Cabin")</f>
        <v>Cabin</v>
      </c>
      <c r="K1848" t="s">
        <v>29</v>
      </c>
      <c r="L1848" s="2">
        <v>33</v>
      </c>
      <c r="M1848" s="2" t="str" cm="1">
        <f t="array" ref="M1848">_xlfn.IFS(L1848&lt;=15,"Low Fare",L1848&lt;=35,"Medium Fare",L1848&lt;=100,"High Fare",L1848&gt;=100,"Very High Fare")</f>
        <v>Medium Fare</v>
      </c>
      <c r="N1848" s="2">
        <v>1</v>
      </c>
      <c r="O1848" s="2" t="s">
        <v>30</v>
      </c>
      <c r="P1848" t="e">
        <f t="shared" si="113"/>
        <v>#VALUE!</v>
      </c>
      <c r="Q1848" t="e">
        <f t="shared" si="114"/>
        <v>#VALUE!</v>
      </c>
      <c r="R1848" t="str">
        <f t="shared" si="115"/>
        <v>No</v>
      </c>
      <c r="S1848" t="s">
        <v>13</v>
      </c>
    </row>
    <row r="1849" spans="1:19" hidden="1" x14ac:dyDescent="0.3">
      <c r="A1849" s="1" t="s">
        <v>1359</v>
      </c>
      <c r="B1849" t="s">
        <v>1596</v>
      </c>
      <c r="C1849" t="s">
        <v>1976</v>
      </c>
      <c r="D1849" t="str">
        <f t="shared" si="112"/>
        <v>Male</v>
      </c>
      <c r="E1849" t="s">
        <v>9</v>
      </c>
      <c r="F1849" s="2">
        <v>34</v>
      </c>
      <c r="G1849" s="2" t="str" cm="1">
        <f t="array" ref="G1849">_xlfn.IFS(F1849&lt;=8,"Child",F1849&lt;=17,"Teen",F1849&lt;=35,"Adult",F1849&lt;=55,"Seniour Adult",F1849&gt;=55,"Old Age")</f>
        <v>Adult</v>
      </c>
      <c r="H1849" t="s">
        <v>69</v>
      </c>
      <c r="I1849" t="s">
        <v>11</v>
      </c>
      <c r="J1849" t="str" cm="1">
        <f t="array" ref="J1849">_xlfn.IFS(I1849="S","Southamptom",I1849="Q","Quentown",I1849="C","Cherbrug",I1849="B","Cabin")</f>
        <v>Southamptom</v>
      </c>
      <c r="K1849" t="s">
        <v>15</v>
      </c>
      <c r="L1849" s="2">
        <v>33</v>
      </c>
      <c r="M1849" s="2" t="str" cm="1">
        <f t="array" ref="M1849">_xlfn.IFS(L1849&lt;=15,"Low Fare",L1849&lt;=35,"Medium Fare",L1849&lt;=100,"High Fare",L1849&gt;=100,"Very High Fare")</f>
        <v>Medium Fare</v>
      </c>
      <c r="N1849" s="2">
        <v>1</v>
      </c>
      <c r="O1849" s="2" t="s">
        <v>30</v>
      </c>
      <c r="P1849" t="e">
        <f t="shared" si="113"/>
        <v>#VALUE!</v>
      </c>
      <c r="Q1849" t="e">
        <f t="shared" si="114"/>
        <v>#VALUE!</v>
      </c>
      <c r="R1849" t="str">
        <f t="shared" si="115"/>
        <v>No</v>
      </c>
      <c r="S1849" t="s">
        <v>13</v>
      </c>
    </row>
    <row r="1850" spans="1:19" hidden="1" x14ac:dyDescent="0.3">
      <c r="A1850" s="1" t="s">
        <v>1360</v>
      </c>
      <c r="B1850" t="s">
        <v>1596</v>
      </c>
      <c r="C1850" t="s">
        <v>2996</v>
      </c>
      <c r="D1850" t="str">
        <f t="shared" si="112"/>
        <v>Male</v>
      </c>
      <c r="E1850" t="s">
        <v>9</v>
      </c>
      <c r="F1850" s="2">
        <v>27</v>
      </c>
      <c r="G1850" s="2" t="str" cm="1">
        <f t="array" ref="G1850">_xlfn.IFS(F1850&lt;=8,"Child",F1850&lt;=17,"Teen",F1850&lt;=35,"Adult",F1850&lt;=55,"Seniour Adult",F1850&gt;=55,"Old Age")</f>
        <v>Adult</v>
      </c>
      <c r="H1850" t="s">
        <v>51</v>
      </c>
      <c r="I1850" t="s">
        <v>28</v>
      </c>
      <c r="J1850" t="str" cm="1">
        <f t="array" ref="J1850">_xlfn.IFS(I1850="S","Southamptom",I1850="Q","Quentown",I1850="C","Cherbrug",I1850="B","Cabin")</f>
        <v>Cabin</v>
      </c>
      <c r="K1850" t="s">
        <v>37</v>
      </c>
      <c r="L1850" s="2">
        <v>33</v>
      </c>
      <c r="M1850" s="2" t="str" cm="1">
        <f t="array" ref="M1850">_xlfn.IFS(L1850&lt;=15,"Low Fare",L1850&lt;=35,"Medium Fare",L1850&lt;=100,"High Fare",L1850&gt;=100,"Very High Fare")</f>
        <v>Medium Fare</v>
      </c>
      <c r="N1850" s="2">
        <v>1</v>
      </c>
      <c r="O1850" s="2" t="s">
        <v>30</v>
      </c>
      <c r="P1850" t="e">
        <f t="shared" si="113"/>
        <v>#VALUE!</v>
      </c>
      <c r="Q1850" t="e">
        <f t="shared" si="114"/>
        <v>#VALUE!</v>
      </c>
      <c r="R1850" t="str">
        <f t="shared" si="115"/>
        <v>No</v>
      </c>
      <c r="S1850" t="s">
        <v>13</v>
      </c>
    </row>
    <row r="1851" spans="1:19" hidden="1" x14ac:dyDescent="0.3">
      <c r="A1851" s="1" t="s">
        <v>1360</v>
      </c>
      <c r="B1851" t="s">
        <v>1596</v>
      </c>
      <c r="C1851" t="s">
        <v>2997</v>
      </c>
      <c r="D1851" t="str">
        <f t="shared" si="112"/>
        <v>Male</v>
      </c>
      <c r="E1851" t="s">
        <v>9</v>
      </c>
      <c r="F1851" s="2">
        <v>28</v>
      </c>
      <c r="G1851" s="2" t="str" cm="1">
        <f t="array" ref="G1851">_xlfn.IFS(F1851&lt;=8,"Child",F1851&lt;=17,"Teen",F1851&lt;=35,"Adult",F1851&lt;=55,"Seniour Adult",F1851&gt;=55,"Old Age")</f>
        <v>Adult</v>
      </c>
      <c r="H1851" t="s">
        <v>69</v>
      </c>
      <c r="I1851" t="s">
        <v>11</v>
      </c>
      <c r="J1851" t="str" cm="1">
        <f t="array" ref="J1851">_xlfn.IFS(I1851="S","Southamptom",I1851="Q","Quentown",I1851="C","Cherbrug",I1851="B","Cabin")</f>
        <v>Southamptom</v>
      </c>
      <c r="K1851" t="s">
        <v>15</v>
      </c>
      <c r="L1851" s="2">
        <v>33</v>
      </c>
      <c r="M1851" s="2" t="str" cm="1">
        <f t="array" ref="M1851">_xlfn.IFS(L1851&lt;=15,"Low Fare",L1851&lt;=35,"Medium Fare",L1851&lt;=100,"High Fare",L1851&gt;=100,"Very High Fare")</f>
        <v>Medium Fare</v>
      </c>
      <c r="N1851" s="2">
        <v>1</v>
      </c>
      <c r="O1851" s="2" t="s">
        <v>30</v>
      </c>
      <c r="P1851" t="e">
        <f t="shared" si="113"/>
        <v>#VALUE!</v>
      </c>
      <c r="Q1851" t="e">
        <f t="shared" si="114"/>
        <v>#VALUE!</v>
      </c>
      <c r="R1851" t="str">
        <f t="shared" si="115"/>
        <v>No</v>
      </c>
      <c r="S1851" t="s">
        <v>13</v>
      </c>
    </row>
    <row r="1852" spans="1:19" hidden="1" x14ac:dyDescent="0.3">
      <c r="A1852" s="1" t="s">
        <v>1361</v>
      </c>
      <c r="B1852" t="s">
        <v>1596</v>
      </c>
      <c r="C1852" t="s">
        <v>2038</v>
      </c>
      <c r="D1852" t="str">
        <f t="shared" si="112"/>
        <v>Male</v>
      </c>
      <c r="E1852" t="s">
        <v>9</v>
      </c>
      <c r="F1852" s="2">
        <v>28</v>
      </c>
      <c r="G1852" s="2" t="str" cm="1">
        <f t="array" ref="G1852">_xlfn.IFS(F1852&lt;=8,"Child",F1852&lt;=17,"Teen",F1852&lt;=35,"Adult",F1852&lt;=55,"Seniour Adult",F1852&gt;=55,"Old Age")</f>
        <v>Adult</v>
      </c>
      <c r="H1852" t="s">
        <v>51</v>
      </c>
      <c r="I1852" t="s">
        <v>11</v>
      </c>
      <c r="J1852" t="str" cm="1">
        <f t="array" ref="J1852">_xlfn.IFS(I1852="S","Southamptom",I1852="Q","Quentown",I1852="C","Cherbrug",I1852="B","Cabin")</f>
        <v>Southamptom</v>
      </c>
      <c r="K1852" t="s">
        <v>15</v>
      </c>
      <c r="L1852" s="2">
        <v>33</v>
      </c>
      <c r="M1852" s="2" t="str" cm="1">
        <f t="array" ref="M1852">_xlfn.IFS(L1852&lt;=15,"Low Fare",L1852&lt;=35,"Medium Fare",L1852&lt;=100,"High Fare",L1852&gt;=100,"Very High Fare")</f>
        <v>Medium Fare</v>
      </c>
      <c r="N1852" s="2">
        <v>1</v>
      </c>
      <c r="O1852" s="2" t="s">
        <v>30</v>
      </c>
      <c r="P1852" t="e">
        <f t="shared" si="113"/>
        <v>#VALUE!</v>
      </c>
      <c r="Q1852" t="e">
        <f t="shared" si="114"/>
        <v>#VALUE!</v>
      </c>
      <c r="R1852" t="str">
        <f t="shared" si="115"/>
        <v>No</v>
      </c>
      <c r="S1852" t="s">
        <v>13</v>
      </c>
    </row>
    <row r="1853" spans="1:19" hidden="1" x14ac:dyDescent="0.3">
      <c r="A1853" s="1" t="s">
        <v>1362</v>
      </c>
      <c r="B1853" t="s">
        <v>1596</v>
      </c>
      <c r="C1853" t="s">
        <v>2208</v>
      </c>
      <c r="D1853" t="str">
        <f t="shared" si="112"/>
        <v>Male</v>
      </c>
      <c r="E1853" t="s">
        <v>9</v>
      </c>
      <c r="F1853" s="2">
        <v>26</v>
      </c>
      <c r="G1853" s="2" t="str" cm="1">
        <f t="array" ref="G1853">_xlfn.IFS(F1853&lt;=8,"Child",F1853&lt;=17,"Teen",F1853&lt;=35,"Adult",F1853&lt;=55,"Seniour Adult",F1853&gt;=55,"Old Age")</f>
        <v>Adult</v>
      </c>
      <c r="H1853" t="s">
        <v>51</v>
      </c>
      <c r="I1853" t="s">
        <v>28</v>
      </c>
      <c r="J1853" t="str" cm="1">
        <f t="array" ref="J1853">_xlfn.IFS(I1853="S","Southamptom",I1853="Q","Quentown",I1853="C","Cherbrug",I1853="B","Cabin")</f>
        <v>Cabin</v>
      </c>
      <c r="K1853" t="s">
        <v>43</v>
      </c>
      <c r="L1853" s="2">
        <v>33</v>
      </c>
      <c r="M1853" s="2" t="str" cm="1">
        <f t="array" ref="M1853">_xlfn.IFS(L1853&lt;=15,"Low Fare",L1853&lt;=35,"Medium Fare",L1853&lt;=100,"High Fare",L1853&gt;=100,"Very High Fare")</f>
        <v>Medium Fare</v>
      </c>
      <c r="N1853" s="2">
        <v>1</v>
      </c>
      <c r="O1853" s="2" t="s">
        <v>30</v>
      </c>
      <c r="P1853" t="e">
        <f t="shared" si="113"/>
        <v>#VALUE!</v>
      </c>
      <c r="Q1853" t="e">
        <f t="shared" si="114"/>
        <v>#VALUE!</v>
      </c>
      <c r="R1853" t="str">
        <f t="shared" si="115"/>
        <v>No</v>
      </c>
      <c r="S1853" t="s">
        <v>13</v>
      </c>
    </row>
    <row r="1854" spans="1:19" hidden="1" x14ac:dyDescent="0.3">
      <c r="A1854" s="1" t="s">
        <v>1362</v>
      </c>
      <c r="B1854" t="s">
        <v>1596</v>
      </c>
      <c r="C1854" t="s">
        <v>1645</v>
      </c>
      <c r="D1854" t="str">
        <f t="shared" si="112"/>
        <v>Male</v>
      </c>
      <c r="E1854" t="s">
        <v>9</v>
      </c>
      <c r="F1854" s="2">
        <v>32</v>
      </c>
      <c r="G1854" s="2" t="str" cm="1">
        <f t="array" ref="G1854">_xlfn.IFS(F1854&lt;=8,"Child",F1854&lt;=17,"Teen",F1854&lt;=35,"Adult",F1854&lt;=55,"Seniour Adult",F1854&gt;=55,"Old Age")</f>
        <v>Adult</v>
      </c>
      <c r="H1854" t="s">
        <v>51</v>
      </c>
      <c r="I1854" t="s">
        <v>28</v>
      </c>
      <c r="J1854" t="str" cm="1">
        <f t="array" ref="J1854">_xlfn.IFS(I1854="S","Southamptom",I1854="Q","Quentown",I1854="C","Cherbrug",I1854="B","Cabin")</f>
        <v>Cabin</v>
      </c>
      <c r="K1854" t="s">
        <v>29</v>
      </c>
      <c r="L1854" s="2">
        <v>33</v>
      </c>
      <c r="M1854" s="2" t="str" cm="1">
        <f t="array" ref="M1854">_xlfn.IFS(L1854&lt;=15,"Low Fare",L1854&lt;=35,"Medium Fare",L1854&lt;=100,"High Fare",L1854&gt;=100,"Very High Fare")</f>
        <v>Medium Fare</v>
      </c>
      <c r="N1854" s="2">
        <v>1</v>
      </c>
      <c r="O1854" s="2" t="s">
        <v>30</v>
      </c>
      <c r="P1854" t="e">
        <f t="shared" si="113"/>
        <v>#VALUE!</v>
      </c>
      <c r="Q1854" t="e">
        <f t="shared" si="114"/>
        <v>#VALUE!</v>
      </c>
      <c r="R1854" t="str">
        <f t="shared" si="115"/>
        <v>No</v>
      </c>
      <c r="S1854" t="s">
        <v>13</v>
      </c>
    </row>
    <row r="1855" spans="1:19" hidden="1" x14ac:dyDescent="0.3">
      <c r="A1855" s="1" t="s">
        <v>1363</v>
      </c>
      <c r="B1855" t="s">
        <v>1596</v>
      </c>
      <c r="C1855" t="s">
        <v>2078</v>
      </c>
      <c r="D1855" t="str">
        <f t="shared" si="112"/>
        <v>Male</v>
      </c>
      <c r="E1855" t="s">
        <v>9</v>
      </c>
      <c r="F1855" s="2">
        <v>51</v>
      </c>
      <c r="G1855" s="2" t="str" cm="1">
        <f t="array" ref="G1855">_xlfn.IFS(F1855&lt;=8,"Child",F1855&lt;=17,"Teen",F1855&lt;=35,"Adult",F1855&lt;=55,"Seniour Adult",F1855&gt;=55,"Old Age")</f>
        <v>Seniour Adult</v>
      </c>
      <c r="H1855" t="s">
        <v>69</v>
      </c>
      <c r="I1855" t="s">
        <v>11</v>
      </c>
      <c r="J1855" t="str" cm="1">
        <f t="array" ref="J1855">_xlfn.IFS(I1855="S","Southamptom",I1855="Q","Quentown",I1855="C","Cherbrug",I1855="B","Cabin")</f>
        <v>Southamptom</v>
      </c>
      <c r="K1855" t="s">
        <v>15</v>
      </c>
      <c r="L1855" s="2">
        <v>33</v>
      </c>
      <c r="M1855" s="2" t="str" cm="1">
        <f t="array" ref="M1855">_xlfn.IFS(L1855&lt;=15,"Low Fare",L1855&lt;=35,"Medium Fare",L1855&lt;=100,"High Fare",L1855&gt;=100,"Very High Fare")</f>
        <v>Medium Fare</v>
      </c>
      <c r="N1855" s="2">
        <v>1</v>
      </c>
      <c r="O1855" s="2" t="s">
        <v>30</v>
      </c>
      <c r="P1855" t="e">
        <f t="shared" si="113"/>
        <v>#VALUE!</v>
      </c>
      <c r="Q1855" t="e">
        <f t="shared" si="114"/>
        <v>#VALUE!</v>
      </c>
      <c r="R1855" t="str">
        <f t="shared" si="115"/>
        <v>Yes</v>
      </c>
      <c r="S1855" t="s">
        <v>16</v>
      </c>
    </row>
    <row r="1856" spans="1:19" hidden="1" x14ac:dyDescent="0.3">
      <c r="A1856" s="1" t="s">
        <v>1364</v>
      </c>
      <c r="B1856" t="s">
        <v>1596</v>
      </c>
      <c r="C1856" t="s">
        <v>1619</v>
      </c>
      <c r="D1856" t="str">
        <f t="shared" si="112"/>
        <v>Male</v>
      </c>
      <c r="E1856" t="s">
        <v>9</v>
      </c>
      <c r="F1856" s="2">
        <v>46</v>
      </c>
      <c r="G1856" s="2" t="str" cm="1">
        <f t="array" ref="G1856">_xlfn.IFS(F1856&lt;=8,"Child",F1856&lt;=17,"Teen",F1856&lt;=35,"Adult",F1856&lt;=55,"Seniour Adult",F1856&gt;=55,"Old Age")</f>
        <v>Seniour Adult</v>
      </c>
      <c r="H1856" t="s">
        <v>51</v>
      </c>
      <c r="I1856" t="s">
        <v>11</v>
      </c>
      <c r="J1856" t="str" cm="1">
        <f t="array" ref="J1856">_xlfn.IFS(I1856="S","Southamptom",I1856="Q","Quentown",I1856="C","Cherbrug",I1856="B","Cabin")</f>
        <v>Southamptom</v>
      </c>
      <c r="K1856" t="s">
        <v>15</v>
      </c>
      <c r="L1856" s="2">
        <v>33</v>
      </c>
      <c r="M1856" s="2" t="str" cm="1">
        <f t="array" ref="M1856">_xlfn.IFS(L1856&lt;=15,"Low Fare",L1856&lt;=35,"Medium Fare",L1856&lt;=100,"High Fare",L1856&gt;=100,"Very High Fare")</f>
        <v>Medium Fare</v>
      </c>
      <c r="N1856" s="2">
        <v>1</v>
      </c>
      <c r="O1856" s="2" t="s">
        <v>30</v>
      </c>
      <c r="P1856" t="e">
        <f t="shared" si="113"/>
        <v>#VALUE!</v>
      </c>
      <c r="Q1856" t="e">
        <f t="shared" si="114"/>
        <v>#VALUE!</v>
      </c>
      <c r="R1856" t="str">
        <f t="shared" si="115"/>
        <v>No</v>
      </c>
      <c r="S1856" t="s">
        <v>13</v>
      </c>
    </row>
    <row r="1857" spans="1:19" hidden="1" x14ac:dyDescent="0.3">
      <c r="A1857" s="1" t="s">
        <v>1365</v>
      </c>
      <c r="B1857" t="s">
        <v>1596</v>
      </c>
      <c r="C1857" t="s">
        <v>2998</v>
      </c>
      <c r="D1857" t="str">
        <f t="shared" si="112"/>
        <v>Male</v>
      </c>
      <c r="E1857" t="s">
        <v>9</v>
      </c>
      <c r="F1857" s="2">
        <v>53</v>
      </c>
      <c r="G1857" s="2" t="str" cm="1">
        <f t="array" ref="G1857">_xlfn.IFS(F1857&lt;=8,"Child",F1857&lt;=17,"Teen",F1857&lt;=35,"Adult",F1857&lt;=55,"Seniour Adult",F1857&gt;=55,"Old Age")</f>
        <v>Seniour Adult</v>
      </c>
      <c r="H1857" t="s">
        <v>69</v>
      </c>
      <c r="I1857" t="s">
        <v>28</v>
      </c>
      <c r="J1857" t="str" cm="1">
        <f t="array" ref="J1857">_xlfn.IFS(I1857="S","Southamptom",I1857="Q","Quentown",I1857="C","Cherbrug",I1857="B","Cabin")</f>
        <v>Cabin</v>
      </c>
      <c r="K1857" t="s">
        <v>21</v>
      </c>
      <c r="L1857" s="2">
        <v>33</v>
      </c>
      <c r="M1857" s="2" t="str" cm="1">
        <f t="array" ref="M1857">_xlfn.IFS(L1857&lt;=15,"Low Fare",L1857&lt;=35,"Medium Fare",L1857&lt;=100,"High Fare",L1857&gt;=100,"Very High Fare")</f>
        <v>Medium Fare</v>
      </c>
      <c r="N1857" s="2">
        <v>1</v>
      </c>
      <c r="O1857" s="2" t="s">
        <v>30</v>
      </c>
      <c r="P1857" t="e">
        <f t="shared" si="113"/>
        <v>#VALUE!</v>
      </c>
      <c r="Q1857" t="e">
        <f t="shared" si="114"/>
        <v>#VALUE!</v>
      </c>
      <c r="R1857" t="str">
        <f t="shared" si="115"/>
        <v>No</v>
      </c>
      <c r="S1857" t="s">
        <v>13</v>
      </c>
    </row>
    <row r="1858" spans="1:19" hidden="1" x14ac:dyDescent="0.3">
      <c r="A1858" s="1" t="s">
        <v>622</v>
      </c>
      <c r="B1858" t="s">
        <v>1596</v>
      </c>
      <c r="C1858" t="s">
        <v>2999</v>
      </c>
      <c r="D1858" t="str">
        <f t="shared" si="112"/>
        <v>Male</v>
      </c>
      <c r="E1858" t="s">
        <v>9</v>
      </c>
      <c r="F1858" s="2">
        <v>19</v>
      </c>
      <c r="G1858" s="2" t="str" cm="1">
        <f t="array" ref="G1858">_xlfn.IFS(F1858&lt;=8,"Child",F1858&lt;=17,"Teen",F1858&lt;=35,"Adult",F1858&lt;=55,"Seniour Adult",F1858&gt;=55,"Old Age")</f>
        <v>Adult</v>
      </c>
      <c r="H1858" t="s">
        <v>51</v>
      </c>
      <c r="I1858" t="s">
        <v>11</v>
      </c>
      <c r="J1858" t="str" cm="1">
        <f t="array" ref="J1858">_xlfn.IFS(I1858="S","Southamptom",I1858="Q","Quentown",I1858="C","Cherbrug",I1858="B","Cabin")</f>
        <v>Southamptom</v>
      </c>
      <c r="K1858" t="s">
        <v>15</v>
      </c>
      <c r="L1858" s="2">
        <v>33</v>
      </c>
      <c r="M1858" s="2" t="str" cm="1">
        <f t="array" ref="M1858">_xlfn.IFS(L1858&lt;=15,"Low Fare",L1858&lt;=35,"Medium Fare",L1858&lt;=100,"High Fare",L1858&gt;=100,"Very High Fare")</f>
        <v>Medium Fare</v>
      </c>
      <c r="N1858" s="2">
        <v>1</v>
      </c>
      <c r="O1858" s="2" t="s">
        <v>30</v>
      </c>
      <c r="P1858" t="e">
        <f t="shared" si="113"/>
        <v>#VALUE!</v>
      </c>
      <c r="Q1858" t="e">
        <f t="shared" si="114"/>
        <v>#VALUE!</v>
      </c>
      <c r="R1858" t="str">
        <f t="shared" si="115"/>
        <v>No</v>
      </c>
      <c r="S1858" t="s">
        <v>13</v>
      </c>
    </row>
    <row r="1859" spans="1:19" hidden="1" x14ac:dyDescent="0.3">
      <c r="A1859" s="1" t="s">
        <v>1366</v>
      </c>
      <c r="B1859" t="s">
        <v>2400</v>
      </c>
      <c r="C1859" t="s">
        <v>3000</v>
      </c>
      <c r="D1859" t="str">
        <f t="shared" ref="D1859:D1922" si="116">PROPER(E1859)</f>
        <v>Male</v>
      </c>
      <c r="E1859" t="s">
        <v>9</v>
      </c>
      <c r="F1859" s="2">
        <v>20</v>
      </c>
      <c r="G1859" s="2" t="str" cm="1">
        <f t="array" ref="G1859">_xlfn.IFS(F1859&lt;=8,"Child",F1859&lt;=17,"Teen",F1859&lt;=35,"Adult",F1859&lt;=55,"Seniour Adult",F1859&gt;=55,"Old Age")</f>
        <v>Adult</v>
      </c>
      <c r="H1859" t="s">
        <v>70</v>
      </c>
      <c r="I1859" t="s">
        <v>11</v>
      </c>
      <c r="J1859" t="str" cm="1">
        <f t="array" ref="J1859">_xlfn.IFS(I1859="S","Southamptom",I1859="Q","Quentown",I1859="C","Cherbrug",I1859="B","Cabin")</f>
        <v>Southamptom</v>
      </c>
      <c r="K1859" t="s">
        <v>50</v>
      </c>
      <c r="L1859" s="2">
        <v>33</v>
      </c>
      <c r="M1859" s="2" t="str" cm="1">
        <f t="array" ref="M1859">_xlfn.IFS(L1859&lt;=15,"Low Fare",L1859&lt;=35,"Medium Fare",L1859&lt;=100,"High Fare",L1859&gt;=100,"Very High Fare")</f>
        <v>Medium Fare</v>
      </c>
      <c r="N1859" s="2">
        <v>1</v>
      </c>
      <c r="O1859" s="2" t="s">
        <v>30</v>
      </c>
      <c r="P1859" t="e">
        <f t="shared" ref="P1859:P1922" si="117">N1859+O1859+1</f>
        <v>#VALUE!</v>
      </c>
      <c r="Q1859" t="e">
        <f t="shared" ref="Q1859:Q1922" si="118">IF(P1859=1,"Alone","With Family")</f>
        <v>#VALUE!</v>
      </c>
      <c r="R1859" t="str">
        <f t="shared" ref="R1859:R1922" si="119">PROPER(S1859)</f>
        <v>No</v>
      </c>
      <c r="S1859" t="s">
        <v>13</v>
      </c>
    </row>
    <row r="1860" spans="1:19" hidden="1" x14ac:dyDescent="0.3">
      <c r="A1860" s="1" t="s">
        <v>1367</v>
      </c>
      <c r="B1860" t="s">
        <v>2719</v>
      </c>
      <c r="C1860" t="s">
        <v>2744</v>
      </c>
      <c r="D1860" t="str">
        <f t="shared" si="116"/>
        <v>Male</v>
      </c>
      <c r="E1860" t="s">
        <v>9</v>
      </c>
      <c r="F1860" s="2">
        <v>23</v>
      </c>
      <c r="G1860" s="2" t="str" cm="1">
        <f t="array" ref="G1860">_xlfn.IFS(F1860&lt;=8,"Child",F1860&lt;=17,"Teen",F1860&lt;=35,"Adult",F1860&lt;=55,"Seniour Adult",F1860&gt;=55,"Old Age")</f>
        <v>Adult</v>
      </c>
      <c r="H1860" t="s">
        <v>70</v>
      </c>
      <c r="I1860" t="s">
        <v>11</v>
      </c>
      <c r="J1860" t="str" cm="1">
        <f t="array" ref="J1860">_xlfn.IFS(I1860="S","Southamptom",I1860="Q","Quentown",I1860="C","Cherbrug",I1860="B","Cabin")</f>
        <v>Southamptom</v>
      </c>
      <c r="K1860" t="s">
        <v>15</v>
      </c>
      <c r="L1860" s="2">
        <v>33</v>
      </c>
      <c r="M1860" s="2" t="str" cm="1">
        <f t="array" ref="M1860">_xlfn.IFS(L1860&lt;=15,"Low Fare",L1860&lt;=35,"Medium Fare",L1860&lt;=100,"High Fare",L1860&gt;=100,"Very High Fare")</f>
        <v>Medium Fare</v>
      </c>
      <c r="N1860" s="2">
        <v>1</v>
      </c>
      <c r="O1860" s="2" t="s">
        <v>30</v>
      </c>
      <c r="P1860" t="e">
        <f t="shared" si="117"/>
        <v>#VALUE!</v>
      </c>
      <c r="Q1860" t="e">
        <f t="shared" si="118"/>
        <v>#VALUE!</v>
      </c>
      <c r="R1860" t="str">
        <f t="shared" si="119"/>
        <v>No</v>
      </c>
      <c r="S1860" t="s">
        <v>13</v>
      </c>
    </row>
    <row r="1861" spans="1:19" hidden="1" x14ac:dyDescent="0.3">
      <c r="A1861" s="1" t="s">
        <v>1368</v>
      </c>
      <c r="B1861" t="s">
        <v>1596</v>
      </c>
      <c r="C1861" t="s">
        <v>3001</v>
      </c>
      <c r="D1861" t="str">
        <f t="shared" si="116"/>
        <v>Male</v>
      </c>
      <c r="E1861" t="s">
        <v>9</v>
      </c>
      <c r="F1861" s="2">
        <v>24</v>
      </c>
      <c r="G1861" s="2" t="str" cm="1">
        <f t="array" ref="G1861">_xlfn.IFS(F1861&lt;=8,"Child",F1861&lt;=17,"Teen",F1861&lt;=35,"Adult",F1861&lt;=55,"Seniour Adult",F1861&gt;=55,"Old Age")</f>
        <v>Adult</v>
      </c>
      <c r="H1861" t="s">
        <v>71</v>
      </c>
      <c r="I1861" t="s">
        <v>28</v>
      </c>
      <c r="J1861" t="str" cm="1">
        <f t="array" ref="J1861">_xlfn.IFS(I1861="S","Southamptom",I1861="Q","Quentown",I1861="C","Cherbrug",I1861="B","Cabin")</f>
        <v>Cabin</v>
      </c>
      <c r="K1861" t="s">
        <v>15</v>
      </c>
      <c r="L1861" s="2">
        <v>33</v>
      </c>
      <c r="M1861" s="2" t="str" cm="1">
        <f t="array" ref="M1861">_xlfn.IFS(L1861&lt;=15,"Low Fare",L1861&lt;=35,"Medium Fare",L1861&lt;=100,"High Fare",L1861&gt;=100,"Very High Fare")</f>
        <v>Medium Fare</v>
      </c>
      <c r="N1861" s="2">
        <v>1</v>
      </c>
      <c r="O1861" s="2" t="s">
        <v>30</v>
      </c>
      <c r="P1861" t="e">
        <f t="shared" si="117"/>
        <v>#VALUE!</v>
      </c>
      <c r="Q1861" t="e">
        <f t="shared" si="118"/>
        <v>#VALUE!</v>
      </c>
      <c r="R1861" t="str">
        <f t="shared" si="119"/>
        <v>No</v>
      </c>
      <c r="S1861" t="s">
        <v>13</v>
      </c>
    </row>
    <row r="1862" spans="1:19" hidden="1" x14ac:dyDescent="0.3">
      <c r="A1862" s="1" t="s">
        <v>629</v>
      </c>
      <c r="B1862" t="s">
        <v>1596</v>
      </c>
      <c r="C1862" t="s">
        <v>3002</v>
      </c>
      <c r="D1862" t="str">
        <f t="shared" si="116"/>
        <v>Male</v>
      </c>
      <c r="E1862" t="s">
        <v>9</v>
      </c>
      <c r="F1862" s="2">
        <v>39</v>
      </c>
      <c r="G1862" s="2" t="str" cm="1">
        <f t="array" ref="G1862">_xlfn.IFS(F1862&lt;=8,"Child",F1862&lt;=17,"Teen",F1862&lt;=35,"Adult",F1862&lt;=55,"Seniour Adult",F1862&gt;=55,"Old Age")</f>
        <v>Seniour Adult</v>
      </c>
      <c r="H1862" t="s">
        <v>69</v>
      </c>
      <c r="I1862" t="s">
        <v>11</v>
      </c>
      <c r="J1862" t="str" cm="1">
        <f t="array" ref="J1862">_xlfn.IFS(I1862="S","Southamptom",I1862="Q","Quentown",I1862="C","Cherbrug",I1862="B","Cabin")</f>
        <v>Southamptom</v>
      </c>
      <c r="K1862" t="s">
        <v>15</v>
      </c>
      <c r="L1862" s="2">
        <v>33</v>
      </c>
      <c r="M1862" s="2" t="str" cm="1">
        <f t="array" ref="M1862">_xlfn.IFS(L1862&lt;=15,"Low Fare",L1862&lt;=35,"Medium Fare",L1862&lt;=100,"High Fare",L1862&gt;=100,"Very High Fare")</f>
        <v>Medium Fare</v>
      </c>
      <c r="N1862" s="2">
        <v>1</v>
      </c>
      <c r="O1862" s="2" t="s">
        <v>30</v>
      </c>
      <c r="P1862" t="e">
        <f t="shared" si="117"/>
        <v>#VALUE!</v>
      </c>
      <c r="Q1862" t="e">
        <f t="shared" si="118"/>
        <v>#VALUE!</v>
      </c>
      <c r="R1862" t="str">
        <f t="shared" si="119"/>
        <v>No</v>
      </c>
      <c r="S1862" t="s">
        <v>13</v>
      </c>
    </row>
    <row r="1863" spans="1:19" hidden="1" x14ac:dyDescent="0.3">
      <c r="A1863" s="1" t="s">
        <v>629</v>
      </c>
      <c r="B1863" t="s">
        <v>1596</v>
      </c>
      <c r="C1863" t="s">
        <v>2751</v>
      </c>
      <c r="D1863" t="str">
        <f t="shared" si="116"/>
        <v>Male</v>
      </c>
      <c r="E1863" t="s">
        <v>9</v>
      </c>
      <c r="F1863" s="2">
        <v>32</v>
      </c>
      <c r="G1863" s="2" t="str" cm="1">
        <f t="array" ref="G1863">_xlfn.IFS(F1863&lt;=8,"Child",F1863&lt;=17,"Teen",F1863&lt;=35,"Adult",F1863&lt;=55,"Seniour Adult",F1863&gt;=55,"Old Age")</f>
        <v>Adult</v>
      </c>
      <c r="H1863" t="s">
        <v>71</v>
      </c>
      <c r="I1863" t="s">
        <v>11</v>
      </c>
      <c r="J1863" t="str" cm="1">
        <f t="array" ref="J1863">_xlfn.IFS(I1863="S","Southamptom",I1863="Q","Quentown",I1863="C","Cherbrug",I1863="B","Cabin")</f>
        <v>Southamptom</v>
      </c>
      <c r="K1863" t="s">
        <v>15</v>
      </c>
      <c r="L1863" s="2">
        <v>33</v>
      </c>
      <c r="M1863" s="2" t="str" cm="1">
        <f t="array" ref="M1863">_xlfn.IFS(L1863&lt;=15,"Low Fare",L1863&lt;=35,"Medium Fare",L1863&lt;=100,"High Fare",L1863&gt;=100,"Very High Fare")</f>
        <v>Medium Fare</v>
      </c>
      <c r="N1863" s="2">
        <v>1</v>
      </c>
      <c r="O1863" s="2" t="s">
        <v>30</v>
      </c>
      <c r="P1863" t="e">
        <f t="shared" si="117"/>
        <v>#VALUE!</v>
      </c>
      <c r="Q1863" t="e">
        <f t="shared" si="118"/>
        <v>#VALUE!</v>
      </c>
      <c r="R1863" t="str">
        <f t="shared" si="119"/>
        <v>Yes</v>
      </c>
      <c r="S1863" t="s">
        <v>16</v>
      </c>
    </row>
    <row r="1864" spans="1:19" hidden="1" x14ac:dyDescent="0.3">
      <c r="A1864" s="1" t="s">
        <v>629</v>
      </c>
      <c r="B1864" t="s">
        <v>1596</v>
      </c>
      <c r="C1864" t="s">
        <v>2218</v>
      </c>
      <c r="D1864" t="str">
        <f t="shared" si="116"/>
        <v>Male</v>
      </c>
      <c r="E1864" t="s">
        <v>9</v>
      </c>
      <c r="F1864" s="2">
        <v>29</v>
      </c>
      <c r="G1864" s="2" t="str" cm="1">
        <f t="array" ref="G1864">_xlfn.IFS(F1864&lt;=8,"Child",F1864&lt;=17,"Teen",F1864&lt;=35,"Adult",F1864&lt;=55,"Seniour Adult",F1864&gt;=55,"Old Age")</f>
        <v>Adult</v>
      </c>
      <c r="H1864" t="s">
        <v>51</v>
      </c>
      <c r="I1864" t="s">
        <v>11</v>
      </c>
      <c r="J1864" t="str" cm="1">
        <f t="array" ref="J1864">_xlfn.IFS(I1864="S","Southamptom",I1864="Q","Quentown",I1864="C","Cherbrug",I1864="B","Cabin")</f>
        <v>Southamptom</v>
      </c>
      <c r="K1864" t="s">
        <v>15</v>
      </c>
      <c r="L1864" s="2">
        <v>33</v>
      </c>
      <c r="M1864" s="2" t="str" cm="1">
        <f t="array" ref="M1864">_xlfn.IFS(L1864&lt;=15,"Low Fare",L1864&lt;=35,"Medium Fare",L1864&lt;=100,"High Fare",L1864&gt;=100,"Very High Fare")</f>
        <v>Medium Fare</v>
      </c>
      <c r="N1864" s="2">
        <v>1</v>
      </c>
      <c r="O1864" s="2" t="s">
        <v>30</v>
      </c>
      <c r="P1864" t="e">
        <f t="shared" si="117"/>
        <v>#VALUE!</v>
      </c>
      <c r="Q1864" t="e">
        <f t="shared" si="118"/>
        <v>#VALUE!</v>
      </c>
      <c r="R1864" t="str">
        <f t="shared" si="119"/>
        <v>Yes</v>
      </c>
      <c r="S1864" t="s">
        <v>16</v>
      </c>
    </row>
    <row r="1865" spans="1:19" hidden="1" x14ac:dyDescent="0.3">
      <c r="A1865" s="1" t="s">
        <v>629</v>
      </c>
      <c r="B1865" t="s">
        <v>1596</v>
      </c>
      <c r="C1865" t="s">
        <v>2014</v>
      </c>
      <c r="D1865" t="str">
        <f t="shared" si="116"/>
        <v>Male</v>
      </c>
      <c r="E1865" t="s">
        <v>9</v>
      </c>
      <c r="F1865" s="2">
        <v>22</v>
      </c>
      <c r="G1865" s="2" t="str" cm="1">
        <f t="array" ref="G1865">_xlfn.IFS(F1865&lt;=8,"Child",F1865&lt;=17,"Teen",F1865&lt;=35,"Adult",F1865&lt;=55,"Seniour Adult",F1865&gt;=55,"Old Age")</f>
        <v>Adult</v>
      </c>
      <c r="H1865" t="s">
        <v>51</v>
      </c>
      <c r="I1865" t="s">
        <v>11</v>
      </c>
      <c r="J1865" t="str" cm="1">
        <f t="array" ref="J1865">_xlfn.IFS(I1865="S","Southamptom",I1865="Q","Quentown",I1865="C","Cherbrug",I1865="B","Cabin")</f>
        <v>Southamptom</v>
      </c>
      <c r="K1865" t="s">
        <v>15</v>
      </c>
      <c r="L1865" s="2">
        <v>33</v>
      </c>
      <c r="M1865" s="2" t="str" cm="1">
        <f t="array" ref="M1865">_xlfn.IFS(L1865&lt;=15,"Low Fare",L1865&lt;=35,"Medium Fare",L1865&lt;=100,"High Fare",L1865&gt;=100,"Very High Fare")</f>
        <v>Medium Fare</v>
      </c>
      <c r="N1865" s="2">
        <v>1</v>
      </c>
      <c r="O1865" s="2" t="s">
        <v>30</v>
      </c>
      <c r="P1865" t="e">
        <f t="shared" si="117"/>
        <v>#VALUE!</v>
      </c>
      <c r="Q1865" t="e">
        <f t="shared" si="118"/>
        <v>#VALUE!</v>
      </c>
      <c r="R1865" t="str">
        <f t="shared" si="119"/>
        <v>No</v>
      </c>
      <c r="S1865" t="s">
        <v>13</v>
      </c>
    </row>
    <row r="1866" spans="1:19" hidden="1" x14ac:dyDescent="0.3">
      <c r="A1866" s="1" t="s">
        <v>1369</v>
      </c>
      <c r="B1866" t="s">
        <v>1596</v>
      </c>
      <c r="C1866" t="s">
        <v>2493</v>
      </c>
      <c r="D1866" t="str">
        <f t="shared" si="116"/>
        <v>Male</v>
      </c>
      <c r="E1866" t="s">
        <v>9</v>
      </c>
      <c r="F1866" s="2">
        <v>44</v>
      </c>
      <c r="G1866" s="2" t="str" cm="1">
        <f t="array" ref="G1866">_xlfn.IFS(F1866&lt;=8,"Child",F1866&lt;=17,"Teen",F1866&lt;=35,"Adult",F1866&lt;=55,"Seniour Adult",F1866&gt;=55,"Old Age")</f>
        <v>Seniour Adult</v>
      </c>
      <c r="H1866" t="s">
        <v>51</v>
      </c>
      <c r="I1866" t="s">
        <v>11</v>
      </c>
      <c r="J1866" t="str" cm="1">
        <f t="array" ref="J1866">_xlfn.IFS(I1866="S","Southamptom",I1866="Q","Quentown",I1866="C","Cherbrug",I1866="B","Cabin")</f>
        <v>Southamptom</v>
      </c>
      <c r="K1866" t="s">
        <v>15</v>
      </c>
      <c r="L1866" s="2">
        <v>33</v>
      </c>
      <c r="M1866" s="2" t="str" cm="1">
        <f t="array" ref="M1866">_xlfn.IFS(L1866&lt;=15,"Low Fare",L1866&lt;=35,"Medium Fare",L1866&lt;=100,"High Fare",L1866&gt;=100,"Very High Fare")</f>
        <v>Medium Fare</v>
      </c>
      <c r="N1866" s="2">
        <v>1</v>
      </c>
      <c r="O1866" s="2" t="s">
        <v>30</v>
      </c>
      <c r="P1866" t="e">
        <f t="shared" si="117"/>
        <v>#VALUE!</v>
      </c>
      <c r="Q1866" t="e">
        <f t="shared" si="118"/>
        <v>#VALUE!</v>
      </c>
      <c r="R1866" t="str">
        <f t="shared" si="119"/>
        <v>No</v>
      </c>
      <c r="S1866" t="s">
        <v>13</v>
      </c>
    </row>
    <row r="1867" spans="1:19" hidden="1" x14ac:dyDescent="0.3">
      <c r="A1867" s="1" t="s">
        <v>1370</v>
      </c>
      <c r="B1867" t="s">
        <v>1596</v>
      </c>
      <c r="C1867" t="s">
        <v>2732</v>
      </c>
      <c r="D1867" t="str">
        <f t="shared" si="116"/>
        <v>Male</v>
      </c>
      <c r="E1867" t="s">
        <v>9</v>
      </c>
      <c r="F1867" s="2">
        <v>42</v>
      </c>
      <c r="G1867" s="2" t="str" cm="1">
        <f t="array" ref="G1867">_xlfn.IFS(F1867&lt;=8,"Child",F1867&lt;=17,"Teen",F1867&lt;=35,"Adult",F1867&lt;=55,"Seniour Adult",F1867&gt;=55,"Old Age")</f>
        <v>Seniour Adult</v>
      </c>
      <c r="H1867" t="s">
        <v>69</v>
      </c>
      <c r="I1867" t="s">
        <v>11</v>
      </c>
      <c r="J1867" t="str" cm="1">
        <f t="array" ref="J1867">_xlfn.IFS(I1867="S","Southamptom",I1867="Q","Quentown",I1867="C","Cherbrug",I1867="B","Cabin")</f>
        <v>Southamptom</v>
      </c>
      <c r="K1867" t="s">
        <v>15</v>
      </c>
      <c r="L1867" s="2">
        <v>33</v>
      </c>
      <c r="M1867" s="2" t="str" cm="1">
        <f t="array" ref="M1867">_xlfn.IFS(L1867&lt;=15,"Low Fare",L1867&lt;=35,"Medium Fare",L1867&lt;=100,"High Fare",L1867&gt;=100,"Very High Fare")</f>
        <v>Medium Fare</v>
      </c>
      <c r="N1867" s="2">
        <v>1</v>
      </c>
      <c r="O1867" s="2" t="s">
        <v>30</v>
      </c>
      <c r="P1867" t="e">
        <f t="shared" si="117"/>
        <v>#VALUE!</v>
      </c>
      <c r="Q1867" t="e">
        <f t="shared" si="118"/>
        <v>#VALUE!</v>
      </c>
      <c r="R1867" t="str">
        <f t="shared" si="119"/>
        <v>No</v>
      </c>
      <c r="S1867" t="s">
        <v>13</v>
      </c>
    </row>
    <row r="1868" spans="1:19" hidden="1" x14ac:dyDescent="0.3">
      <c r="A1868" s="1" t="s">
        <v>1371</v>
      </c>
      <c r="B1868" t="s">
        <v>1596</v>
      </c>
      <c r="C1868" t="s">
        <v>3003</v>
      </c>
      <c r="D1868" t="str">
        <f t="shared" si="116"/>
        <v>Male</v>
      </c>
      <c r="E1868" t="s">
        <v>9</v>
      </c>
      <c r="F1868" s="2">
        <v>27</v>
      </c>
      <c r="G1868" s="2" t="str" cm="1">
        <f t="array" ref="G1868">_xlfn.IFS(F1868&lt;=8,"Child",F1868&lt;=17,"Teen",F1868&lt;=35,"Adult",F1868&lt;=55,"Seniour Adult",F1868&gt;=55,"Old Age")</f>
        <v>Adult</v>
      </c>
      <c r="H1868" t="s">
        <v>51</v>
      </c>
      <c r="I1868" t="s">
        <v>11</v>
      </c>
      <c r="J1868" t="str" cm="1">
        <f t="array" ref="J1868">_xlfn.IFS(I1868="S","Southamptom",I1868="Q","Quentown",I1868="C","Cherbrug",I1868="B","Cabin")</f>
        <v>Southamptom</v>
      </c>
      <c r="K1868" t="s">
        <v>15</v>
      </c>
      <c r="L1868" s="2">
        <v>33</v>
      </c>
      <c r="M1868" s="2" t="str" cm="1">
        <f t="array" ref="M1868">_xlfn.IFS(L1868&lt;=15,"Low Fare",L1868&lt;=35,"Medium Fare",L1868&lt;=100,"High Fare",L1868&gt;=100,"Very High Fare")</f>
        <v>Medium Fare</v>
      </c>
      <c r="N1868" s="2">
        <v>1</v>
      </c>
      <c r="O1868" s="2" t="s">
        <v>30</v>
      </c>
      <c r="P1868" t="e">
        <f t="shared" si="117"/>
        <v>#VALUE!</v>
      </c>
      <c r="Q1868" t="e">
        <f t="shared" si="118"/>
        <v>#VALUE!</v>
      </c>
      <c r="R1868" t="str">
        <f t="shared" si="119"/>
        <v>No</v>
      </c>
      <c r="S1868" t="s">
        <v>13</v>
      </c>
    </row>
    <row r="1869" spans="1:19" hidden="1" x14ac:dyDescent="0.3">
      <c r="A1869" s="1" t="s">
        <v>1371</v>
      </c>
      <c r="B1869" t="s">
        <v>1596</v>
      </c>
      <c r="C1869" t="s">
        <v>3004</v>
      </c>
      <c r="D1869" t="str">
        <f t="shared" si="116"/>
        <v>Male</v>
      </c>
      <c r="E1869" t="s">
        <v>9</v>
      </c>
      <c r="F1869" s="2">
        <v>26</v>
      </c>
      <c r="G1869" s="2" t="str" cm="1">
        <f t="array" ref="G1869">_xlfn.IFS(F1869&lt;=8,"Child",F1869&lt;=17,"Teen",F1869&lt;=35,"Adult",F1869&lt;=55,"Seniour Adult",F1869&gt;=55,"Old Age")</f>
        <v>Adult</v>
      </c>
      <c r="H1869" t="s">
        <v>51</v>
      </c>
      <c r="I1869" t="s">
        <v>11</v>
      </c>
      <c r="J1869" t="str" cm="1">
        <f t="array" ref="J1869">_xlfn.IFS(I1869="S","Southamptom",I1869="Q","Quentown",I1869="C","Cherbrug",I1869="B","Cabin")</f>
        <v>Southamptom</v>
      </c>
      <c r="K1869" t="s">
        <v>15</v>
      </c>
      <c r="L1869" s="2">
        <v>33</v>
      </c>
      <c r="M1869" s="2" t="str" cm="1">
        <f t="array" ref="M1869">_xlfn.IFS(L1869&lt;=15,"Low Fare",L1869&lt;=35,"Medium Fare",L1869&lt;=100,"High Fare",L1869&gt;=100,"Very High Fare")</f>
        <v>Medium Fare</v>
      </c>
      <c r="N1869" s="2">
        <v>1</v>
      </c>
      <c r="O1869" s="2" t="s">
        <v>30</v>
      </c>
      <c r="P1869" t="e">
        <f t="shared" si="117"/>
        <v>#VALUE!</v>
      </c>
      <c r="Q1869" t="e">
        <f t="shared" si="118"/>
        <v>#VALUE!</v>
      </c>
      <c r="R1869" t="str">
        <f t="shared" si="119"/>
        <v>No</v>
      </c>
      <c r="S1869" t="s">
        <v>13</v>
      </c>
    </row>
    <row r="1870" spans="1:19" hidden="1" x14ac:dyDescent="0.3">
      <c r="A1870" s="1" t="s">
        <v>1372</v>
      </c>
      <c r="B1870" t="s">
        <v>1596</v>
      </c>
      <c r="C1870" t="s">
        <v>1976</v>
      </c>
      <c r="D1870" t="str">
        <f t="shared" si="116"/>
        <v>Male</v>
      </c>
      <c r="E1870" t="s">
        <v>9</v>
      </c>
      <c r="F1870" s="2">
        <v>30</v>
      </c>
      <c r="G1870" s="2" t="str" cm="1">
        <f t="array" ref="G1870">_xlfn.IFS(F1870&lt;=8,"Child",F1870&lt;=17,"Teen",F1870&lt;=35,"Adult",F1870&lt;=55,"Seniour Adult",F1870&gt;=55,"Old Age")</f>
        <v>Adult</v>
      </c>
      <c r="H1870" t="s">
        <v>51</v>
      </c>
      <c r="I1870" t="s">
        <v>11</v>
      </c>
      <c r="J1870" t="str" cm="1">
        <f t="array" ref="J1870">_xlfn.IFS(I1870="S","Southamptom",I1870="Q","Quentown",I1870="C","Cherbrug",I1870="B","Cabin")</f>
        <v>Southamptom</v>
      </c>
      <c r="K1870" t="s">
        <v>15</v>
      </c>
      <c r="L1870" s="2">
        <v>33</v>
      </c>
      <c r="M1870" s="2" t="str" cm="1">
        <f t="array" ref="M1870">_xlfn.IFS(L1870&lt;=15,"Low Fare",L1870&lt;=35,"Medium Fare",L1870&lt;=100,"High Fare",L1870&gt;=100,"Very High Fare")</f>
        <v>Medium Fare</v>
      </c>
      <c r="N1870" s="2">
        <v>1</v>
      </c>
      <c r="O1870" s="2" t="s">
        <v>30</v>
      </c>
      <c r="P1870" t="e">
        <f t="shared" si="117"/>
        <v>#VALUE!</v>
      </c>
      <c r="Q1870" t="e">
        <f t="shared" si="118"/>
        <v>#VALUE!</v>
      </c>
      <c r="R1870" t="str">
        <f t="shared" si="119"/>
        <v>No</v>
      </c>
      <c r="S1870" t="s">
        <v>13</v>
      </c>
    </row>
    <row r="1871" spans="1:19" hidden="1" x14ac:dyDescent="0.3">
      <c r="A1871" s="1" t="s">
        <v>1372</v>
      </c>
      <c r="B1871" t="s">
        <v>1596</v>
      </c>
      <c r="C1871" t="s">
        <v>3005</v>
      </c>
      <c r="D1871" t="str">
        <f t="shared" si="116"/>
        <v>Male</v>
      </c>
      <c r="E1871" t="s">
        <v>9</v>
      </c>
      <c r="F1871" s="2">
        <v>28</v>
      </c>
      <c r="G1871" s="2" t="str" cm="1">
        <f t="array" ref="G1871">_xlfn.IFS(F1871&lt;=8,"Child",F1871&lt;=17,"Teen",F1871&lt;=35,"Adult",F1871&lt;=55,"Seniour Adult",F1871&gt;=55,"Old Age")</f>
        <v>Adult</v>
      </c>
      <c r="H1871" t="s">
        <v>69</v>
      </c>
      <c r="I1871" t="s">
        <v>28</v>
      </c>
      <c r="J1871" t="str" cm="1">
        <f t="array" ref="J1871">_xlfn.IFS(I1871="S","Southamptom",I1871="Q","Quentown",I1871="C","Cherbrug",I1871="B","Cabin")</f>
        <v>Cabin</v>
      </c>
      <c r="K1871" t="s">
        <v>15</v>
      </c>
      <c r="L1871" s="2">
        <v>33</v>
      </c>
      <c r="M1871" s="2" t="str" cm="1">
        <f t="array" ref="M1871">_xlfn.IFS(L1871&lt;=15,"Low Fare",L1871&lt;=35,"Medium Fare",L1871&lt;=100,"High Fare",L1871&gt;=100,"Very High Fare")</f>
        <v>Medium Fare</v>
      </c>
      <c r="N1871" s="2">
        <v>1</v>
      </c>
      <c r="O1871" s="2" t="s">
        <v>30</v>
      </c>
      <c r="P1871" t="e">
        <f t="shared" si="117"/>
        <v>#VALUE!</v>
      </c>
      <c r="Q1871" t="e">
        <f t="shared" si="118"/>
        <v>#VALUE!</v>
      </c>
      <c r="R1871" t="str">
        <f t="shared" si="119"/>
        <v>Yes</v>
      </c>
      <c r="S1871" t="s">
        <v>16</v>
      </c>
    </row>
    <row r="1872" spans="1:19" hidden="1" x14ac:dyDescent="0.3">
      <c r="A1872" s="1" t="s">
        <v>1372</v>
      </c>
      <c r="B1872" t="s">
        <v>1596</v>
      </c>
      <c r="C1872" t="s">
        <v>2094</v>
      </c>
      <c r="D1872" t="str">
        <f t="shared" si="116"/>
        <v>Male</v>
      </c>
      <c r="E1872" t="s">
        <v>9</v>
      </c>
      <c r="F1872" s="2">
        <v>23</v>
      </c>
      <c r="G1872" s="2" t="str" cm="1">
        <f t="array" ref="G1872">_xlfn.IFS(F1872&lt;=8,"Child",F1872&lt;=17,"Teen",F1872&lt;=35,"Adult",F1872&lt;=55,"Seniour Adult",F1872&gt;=55,"Old Age")</f>
        <v>Adult</v>
      </c>
      <c r="H1872" t="s">
        <v>51</v>
      </c>
      <c r="I1872" t="s">
        <v>11</v>
      </c>
      <c r="J1872" t="str" cm="1">
        <f t="array" ref="J1872">_xlfn.IFS(I1872="S","Southamptom",I1872="Q","Quentown",I1872="C","Cherbrug",I1872="B","Cabin")</f>
        <v>Southamptom</v>
      </c>
      <c r="K1872" t="s">
        <v>15</v>
      </c>
      <c r="L1872" s="2">
        <v>33</v>
      </c>
      <c r="M1872" s="2" t="str" cm="1">
        <f t="array" ref="M1872">_xlfn.IFS(L1872&lt;=15,"Low Fare",L1872&lt;=35,"Medium Fare",L1872&lt;=100,"High Fare",L1872&gt;=100,"Very High Fare")</f>
        <v>Medium Fare</v>
      </c>
      <c r="N1872" s="2">
        <v>1</v>
      </c>
      <c r="O1872" s="2" t="s">
        <v>30</v>
      </c>
      <c r="P1872" t="e">
        <f t="shared" si="117"/>
        <v>#VALUE!</v>
      </c>
      <c r="Q1872" t="e">
        <f t="shared" si="118"/>
        <v>#VALUE!</v>
      </c>
      <c r="R1872" t="str">
        <f t="shared" si="119"/>
        <v>No</v>
      </c>
      <c r="S1872" t="s">
        <v>13</v>
      </c>
    </row>
    <row r="1873" spans="1:19" hidden="1" x14ac:dyDescent="0.3">
      <c r="A1873" s="1" t="s">
        <v>635</v>
      </c>
      <c r="B1873" t="s">
        <v>1596</v>
      </c>
      <c r="C1873" t="s">
        <v>1619</v>
      </c>
      <c r="D1873" t="str">
        <f t="shared" si="116"/>
        <v>Male</v>
      </c>
      <c r="E1873" t="s">
        <v>9</v>
      </c>
      <c r="F1873" s="2">
        <v>36</v>
      </c>
      <c r="G1873" s="2" t="str" cm="1">
        <f t="array" ref="G1873">_xlfn.IFS(F1873&lt;=8,"Child",F1873&lt;=17,"Teen",F1873&lt;=35,"Adult",F1873&lt;=55,"Seniour Adult",F1873&gt;=55,"Old Age")</f>
        <v>Seniour Adult</v>
      </c>
      <c r="H1873" t="s">
        <v>69</v>
      </c>
      <c r="I1873" t="s">
        <v>28</v>
      </c>
      <c r="J1873" t="str" cm="1">
        <f t="array" ref="J1873">_xlfn.IFS(I1873="S","Southamptom",I1873="Q","Quentown",I1873="C","Cherbrug",I1873="B","Cabin")</f>
        <v>Cabin</v>
      </c>
      <c r="K1873" t="s">
        <v>15</v>
      </c>
      <c r="L1873" s="2">
        <v>33</v>
      </c>
      <c r="M1873" s="2" t="str" cm="1">
        <f t="array" ref="M1873">_xlfn.IFS(L1873&lt;=15,"Low Fare",L1873&lt;=35,"Medium Fare",L1873&lt;=100,"High Fare",L1873&gt;=100,"Very High Fare")</f>
        <v>Medium Fare</v>
      </c>
      <c r="N1873" s="2">
        <v>1</v>
      </c>
      <c r="O1873" s="2" t="s">
        <v>30</v>
      </c>
      <c r="P1873" t="e">
        <f t="shared" si="117"/>
        <v>#VALUE!</v>
      </c>
      <c r="Q1873" t="e">
        <f t="shared" si="118"/>
        <v>#VALUE!</v>
      </c>
      <c r="R1873" t="str">
        <f t="shared" si="119"/>
        <v>No</v>
      </c>
      <c r="S1873" t="s">
        <v>13</v>
      </c>
    </row>
    <row r="1874" spans="1:19" hidden="1" x14ac:dyDescent="0.3">
      <c r="A1874" s="1" t="s">
        <v>1373</v>
      </c>
      <c r="B1874" t="s">
        <v>1596</v>
      </c>
      <c r="C1874" t="s">
        <v>3006</v>
      </c>
      <c r="D1874" t="str">
        <f t="shared" si="116"/>
        <v>Male</v>
      </c>
      <c r="E1874" t="s">
        <v>9</v>
      </c>
      <c r="F1874" s="2">
        <v>24</v>
      </c>
      <c r="G1874" s="2" t="str" cm="1">
        <f t="array" ref="G1874">_xlfn.IFS(F1874&lt;=8,"Child",F1874&lt;=17,"Teen",F1874&lt;=35,"Adult",F1874&lt;=55,"Seniour Adult",F1874&gt;=55,"Old Age")</f>
        <v>Adult</v>
      </c>
      <c r="H1874" t="s">
        <v>51</v>
      </c>
      <c r="I1874" t="s">
        <v>28</v>
      </c>
      <c r="J1874" t="str" cm="1">
        <f t="array" ref="J1874">_xlfn.IFS(I1874="S","Southamptom",I1874="Q","Quentown",I1874="C","Cherbrug",I1874="B","Cabin")</f>
        <v>Cabin</v>
      </c>
      <c r="K1874" t="s">
        <v>43</v>
      </c>
      <c r="L1874" s="2">
        <v>33</v>
      </c>
      <c r="M1874" s="2" t="str" cm="1">
        <f t="array" ref="M1874">_xlfn.IFS(L1874&lt;=15,"Low Fare",L1874&lt;=35,"Medium Fare",L1874&lt;=100,"High Fare",L1874&gt;=100,"Very High Fare")</f>
        <v>Medium Fare</v>
      </c>
      <c r="N1874" s="2">
        <v>1</v>
      </c>
      <c r="O1874" s="2" t="s">
        <v>30</v>
      </c>
      <c r="P1874" t="e">
        <f t="shared" si="117"/>
        <v>#VALUE!</v>
      </c>
      <c r="Q1874" t="e">
        <f t="shared" si="118"/>
        <v>#VALUE!</v>
      </c>
      <c r="R1874" t="str">
        <f t="shared" si="119"/>
        <v>No</v>
      </c>
      <c r="S1874" t="s">
        <v>13</v>
      </c>
    </row>
    <row r="1875" spans="1:19" hidden="1" x14ac:dyDescent="0.3">
      <c r="A1875" s="1" t="s">
        <v>1374</v>
      </c>
      <c r="B1875" t="s">
        <v>1596</v>
      </c>
      <c r="C1875" t="s">
        <v>3007</v>
      </c>
      <c r="D1875" t="str">
        <f t="shared" si="116"/>
        <v>Male</v>
      </c>
      <c r="E1875" t="s">
        <v>9</v>
      </c>
      <c r="F1875" s="2">
        <v>37</v>
      </c>
      <c r="G1875" s="2" t="str" cm="1">
        <f t="array" ref="G1875">_xlfn.IFS(F1875&lt;=8,"Child",F1875&lt;=17,"Teen",F1875&lt;=35,"Adult",F1875&lt;=55,"Seniour Adult",F1875&gt;=55,"Old Age")</f>
        <v>Seniour Adult</v>
      </c>
      <c r="H1875" t="s">
        <v>69</v>
      </c>
      <c r="I1875" t="s">
        <v>11</v>
      </c>
      <c r="J1875" t="str" cm="1">
        <f t="array" ref="J1875">_xlfn.IFS(I1875="S","Southamptom",I1875="Q","Quentown",I1875="C","Cherbrug",I1875="B","Cabin")</f>
        <v>Southamptom</v>
      </c>
      <c r="K1875" t="s">
        <v>15</v>
      </c>
      <c r="L1875" s="2">
        <v>33</v>
      </c>
      <c r="M1875" s="2" t="str" cm="1">
        <f t="array" ref="M1875">_xlfn.IFS(L1875&lt;=15,"Low Fare",L1875&lt;=35,"Medium Fare",L1875&lt;=100,"High Fare",L1875&gt;=100,"Very High Fare")</f>
        <v>Medium Fare</v>
      </c>
      <c r="N1875" s="2">
        <v>1</v>
      </c>
      <c r="O1875" s="2" t="s">
        <v>30</v>
      </c>
      <c r="P1875" t="e">
        <f t="shared" si="117"/>
        <v>#VALUE!</v>
      </c>
      <c r="Q1875" t="e">
        <f t="shared" si="118"/>
        <v>#VALUE!</v>
      </c>
      <c r="R1875" t="str">
        <f t="shared" si="119"/>
        <v>No</v>
      </c>
      <c r="S1875" t="s">
        <v>13</v>
      </c>
    </row>
    <row r="1876" spans="1:19" hidden="1" x14ac:dyDescent="0.3">
      <c r="A1876" s="1" t="s">
        <v>640</v>
      </c>
      <c r="B1876" t="s">
        <v>1596</v>
      </c>
      <c r="C1876" t="s">
        <v>1645</v>
      </c>
      <c r="D1876" t="str">
        <f t="shared" si="116"/>
        <v>Male</v>
      </c>
      <c r="E1876" t="s">
        <v>9</v>
      </c>
      <c r="F1876" s="2">
        <v>20</v>
      </c>
      <c r="G1876" s="2" t="str" cm="1">
        <f t="array" ref="G1876">_xlfn.IFS(F1876&lt;=8,"Child",F1876&lt;=17,"Teen",F1876&lt;=35,"Adult",F1876&lt;=55,"Seniour Adult",F1876&gt;=55,"Old Age")</f>
        <v>Adult</v>
      </c>
      <c r="H1876" t="s">
        <v>69</v>
      </c>
      <c r="I1876" t="s">
        <v>11</v>
      </c>
      <c r="J1876" t="str" cm="1">
        <f t="array" ref="J1876">_xlfn.IFS(I1876="S","Southamptom",I1876="Q","Quentown",I1876="C","Cherbrug",I1876="B","Cabin")</f>
        <v>Southamptom</v>
      </c>
      <c r="K1876" t="s">
        <v>43</v>
      </c>
      <c r="L1876" s="2">
        <v>33</v>
      </c>
      <c r="M1876" s="2" t="str" cm="1">
        <f t="array" ref="M1876">_xlfn.IFS(L1876&lt;=15,"Low Fare",L1876&lt;=35,"Medium Fare",L1876&lt;=100,"High Fare",L1876&gt;=100,"Very High Fare")</f>
        <v>Medium Fare</v>
      </c>
      <c r="N1876" s="2">
        <v>1</v>
      </c>
      <c r="O1876" s="2" t="s">
        <v>30</v>
      </c>
      <c r="P1876" t="e">
        <f t="shared" si="117"/>
        <v>#VALUE!</v>
      </c>
      <c r="Q1876" t="e">
        <f t="shared" si="118"/>
        <v>#VALUE!</v>
      </c>
      <c r="R1876" t="str">
        <f t="shared" si="119"/>
        <v>No</v>
      </c>
      <c r="S1876" t="s">
        <v>13</v>
      </c>
    </row>
    <row r="1877" spans="1:19" hidden="1" x14ac:dyDescent="0.3">
      <c r="A1877" s="1" t="s">
        <v>1375</v>
      </c>
      <c r="B1877" t="s">
        <v>1596</v>
      </c>
      <c r="C1877" t="s">
        <v>3008</v>
      </c>
      <c r="D1877" t="str">
        <f t="shared" si="116"/>
        <v>Male</v>
      </c>
      <c r="E1877" t="s">
        <v>9</v>
      </c>
      <c r="F1877" s="2">
        <v>39</v>
      </c>
      <c r="G1877" s="2" t="str" cm="1">
        <f t="array" ref="G1877">_xlfn.IFS(F1877&lt;=8,"Child",F1877&lt;=17,"Teen",F1877&lt;=35,"Adult",F1877&lt;=55,"Seniour Adult",F1877&gt;=55,"Old Age")</f>
        <v>Seniour Adult</v>
      </c>
      <c r="H1877" t="s">
        <v>71</v>
      </c>
      <c r="I1877" t="s">
        <v>28</v>
      </c>
      <c r="J1877" t="str" cm="1">
        <f t="array" ref="J1877">_xlfn.IFS(I1877="S","Southamptom",I1877="Q","Quentown",I1877="C","Cherbrug",I1877="B","Cabin")</f>
        <v>Cabin</v>
      </c>
      <c r="K1877" t="s">
        <v>43</v>
      </c>
      <c r="L1877" s="2">
        <v>33</v>
      </c>
      <c r="M1877" s="2" t="str" cm="1">
        <f t="array" ref="M1877">_xlfn.IFS(L1877&lt;=15,"Low Fare",L1877&lt;=35,"Medium Fare",L1877&lt;=100,"High Fare",L1877&gt;=100,"Very High Fare")</f>
        <v>Medium Fare</v>
      </c>
      <c r="N1877" s="2">
        <v>1</v>
      </c>
      <c r="O1877" s="2" t="s">
        <v>30</v>
      </c>
      <c r="P1877" t="e">
        <f t="shared" si="117"/>
        <v>#VALUE!</v>
      </c>
      <c r="Q1877" t="e">
        <f t="shared" si="118"/>
        <v>#VALUE!</v>
      </c>
      <c r="R1877" t="str">
        <f t="shared" si="119"/>
        <v>No</v>
      </c>
      <c r="S1877" t="s">
        <v>13</v>
      </c>
    </row>
    <row r="1878" spans="1:19" hidden="1" x14ac:dyDescent="0.3">
      <c r="A1878" s="1" t="s">
        <v>1376</v>
      </c>
      <c r="B1878" t="s">
        <v>2719</v>
      </c>
      <c r="C1878" t="s">
        <v>3009</v>
      </c>
      <c r="D1878" t="str">
        <f t="shared" si="116"/>
        <v>Male</v>
      </c>
      <c r="E1878" t="s">
        <v>9</v>
      </c>
      <c r="F1878" s="2">
        <v>42</v>
      </c>
      <c r="G1878" s="2" t="str" cm="1">
        <f t="array" ref="G1878">_xlfn.IFS(F1878&lt;=8,"Child",F1878&lt;=17,"Teen",F1878&lt;=35,"Adult",F1878&lt;=55,"Seniour Adult",F1878&gt;=55,"Old Age")</f>
        <v>Seniour Adult</v>
      </c>
      <c r="H1878" t="s">
        <v>70</v>
      </c>
      <c r="I1878" t="s">
        <v>11</v>
      </c>
      <c r="J1878" t="str" cm="1">
        <f t="array" ref="J1878">_xlfn.IFS(I1878="S","Southamptom",I1878="Q","Quentown",I1878="C","Cherbrug",I1878="B","Cabin")</f>
        <v>Southamptom</v>
      </c>
      <c r="K1878" t="s">
        <v>38</v>
      </c>
      <c r="L1878" s="2">
        <v>33</v>
      </c>
      <c r="M1878" s="2" t="str" cm="1">
        <f t="array" ref="M1878">_xlfn.IFS(L1878&lt;=15,"Low Fare",L1878&lt;=35,"Medium Fare",L1878&lt;=100,"High Fare",L1878&gt;=100,"Very High Fare")</f>
        <v>Medium Fare</v>
      </c>
      <c r="N1878" s="2">
        <v>1</v>
      </c>
      <c r="O1878" s="2" t="s">
        <v>30</v>
      </c>
      <c r="P1878" t="e">
        <f t="shared" si="117"/>
        <v>#VALUE!</v>
      </c>
      <c r="Q1878" t="e">
        <f t="shared" si="118"/>
        <v>#VALUE!</v>
      </c>
      <c r="R1878" t="str">
        <f t="shared" si="119"/>
        <v>No</v>
      </c>
      <c r="S1878" t="s">
        <v>13</v>
      </c>
    </row>
    <row r="1879" spans="1:19" hidden="1" x14ac:dyDescent="0.3">
      <c r="A1879" s="1" t="s">
        <v>1377</v>
      </c>
      <c r="B1879" t="s">
        <v>1596</v>
      </c>
      <c r="C1879" t="s">
        <v>3010</v>
      </c>
      <c r="D1879" t="str">
        <f t="shared" si="116"/>
        <v>Male</v>
      </c>
      <c r="E1879" t="s">
        <v>9</v>
      </c>
      <c r="F1879" s="2">
        <v>26</v>
      </c>
      <c r="G1879" s="2" t="str" cm="1">
        <f t="array" ref="G1879">_xlfn.IFS(F1879&lt;=8,"Child",F1879&lt;=17,"Teen",F1879&lt;=35,"Adult",F1879&lt;=55,"Seniour Adult",F1879&gt;=55,"Old Age")</f>
        <v>Adult</v>
      </c>
      <c r="H1879" t="s">
        <v>69</v>
      </c>
      <c r="I1879" t="s">
        <v>11</v>
      </c>
      <c r="J1879" t="str" cm="1">
        <f t="array" ref="J1879">_xlfn.IFS(I1879="S","Southamptom",I1879="Q","Quentown",I1879="C","Cherbrug",I1879="B","Cabin")</f>
        <v>Southamptom</v>
      </c>
      <c r="K1879" t="s">
        <v>15</v>
      </c>
      <c r="L1879" s="2">
        <v>33</v>
      </c>
      <c r="M1879" s="2" t="str" cm="1">
        <f t="array" ref="M1879">_xlfn.IFS(L1879&lt;=15,"Low Fare",L1879&lt;=35,"Medium Fare",L1879&lt;=100,"High Fare",L1879&gt;=100,"Very High Fare")</f>
        <v>Medium Fare</v>
      </c>
      <c r="N1879" s="2">
        <v>1</v>
      </c>
      <c r="O1879" s="2" t="s">
        <v>30</v>
      </c>
      <c r="P1879" t="e">
        <f t="shared" si="117"/>
        <v>#VALUE!</v>
      </c>
      <c r="Q1879" t="e">
        <f t="shared" si="118"/>
        <v>#VALUE!</v>
      </c>
      <c r="R1879" t="str">
        <f t="shared" si="119"/>
        <v>Yes</v>
      </c>
      <c r="S1879" t="s">
        <v>16</v>
      </c>
    </row>
    <row r="1880" spans="1:19" hidden="1" x14ac:dyDescent="0.3">
      <c r="A1880" s="1" t="s">
        <v>1378</v>
      </c>
      <c r="B1880" t="s">
        <v>1596</v>
      </c>
      <c r="C1880" t="s">
        <v>3011</v>
      </c>
      <c r="D1880" t="str">
        <f t="shared" si="116"/>
        <v>Male</v>
      </c>
      <c r="E1880" t="s">
        <v>9</v>
      </c>
      <c r="F1880" s="2">
        <v>30</v>
      </c>
      <c r="G1880" s="2" t="str" cm="1">
        <f t="array" ref="G1880">_xlfn.IFS(F1880&lt;=8,"Child",F1880&lt;=17,"Teen",F1880&lt;=35,"Adult",F1880&lt;=55,"Seniour Adult",F1880&gt;=55,"Old Age")</f>
        <v>Adult</v>
      </c>
      <c r="H1880" t="s">
        <v>51</v>
      </c>
      <c r="I1880" t="s">
        <v>11</v>
      </c>
      <c r="J1880" t="str" cm="1">
        <f t="array" ref="J1880">_xlfn.IFS(I1880="S","Southamptom",I1880="Q","Quentown",I1880="C","Cherbrug",I1880="B","Cabin")</f>
        <v>Southamptom</v>
      </c>
      <c r="K1880" t="s">
        <v>15</v>
      </c>
      <c r="L1880" s="2">
        <v>33</v>
      </c>
      <c r="M1880" s="2" t="str" cm="1">
        <f t="array" ref="M1880">_xlfn.IFS(L1880&lt;=15,"Low Fare",L1880&lt;=35,"Medium Fare",L1880&lt;=100,"High Fare",L1880&gt;=100,"Very High Fare")</f>
        <v>Medium Fare</v>
      </c>
      <c r="N1880" s="2">
        <v>1</v>
      </c>
      <c r="O1880" s="2" t="s">
        <v>30</v>
      </c>
      <c r="P1880" t="e">
        <f t="shared" si="117"/>
        <v>#VALUE!</v>
      </c>
      <c r="Q1880" t="e">
        <f t="shared" si="118"/>
        <v>#VALUE!</v>
      </c>
      <c r="R1880" t="str">
        <f t="shared" si="119"/>
        <v>No</v>
      </c>
      <c r="S1880" t="s">
        <v>13</v>
      </c>
    </row>
    <row r="1881" spans="1:19" hidden="1" x14ac:dyDescent="0.3">
      <c r="A1881" s="1" t="s">
        <v>1379</v>
      </c>
      <c r="B1881" t="s">
        <v>1596</v>
      </c>
      <c r="C1881" t="s">
        <v>2801</v>
      </c>
      <c r="D1881" t="str">
        <f t="shared" si="116"/>
        <v>Male</v>
      </c>
      <c r="E1881" t="s">
        <v>9</v>
      </c>
      <c r="F1881" s="2">
        <v>33</v>
      </c>
      <c r="G1881" s="2" t="str" cm="1">
        <f t="array" ref="G1881">_xlfn.IFS(F1881&lt;=8,"Child",F1881&lt;=17,"Teen",F1881&lt;=35,"Adult",F1881&lt;=55,"Seniour Adult",F1881&gt;=55,"Old Age")</f>
        <v>Adult</v>
      </c>
      <c r="H1881" t="s">
        <v>51</v>
      </c>
      <c r="I1881" t="s">
        <v>11</v>
      </c>
      <c r="J1881" t="str" cm="1">
        <f t="array" ref="J1881">_xlfn.IFS(I1881="S","Southamptom",I1881="Q","Quentown",I1881="C","Cherbrug",I1881="B","Cabin")</f>
        <v>Southamptom</v>
      </c>
      <c r="K1881" t="s">
        <v>15</v>
      </c>
      <c r="L1881" s="2">
        <v>33</v>
      </c>
      <c r="M1881" s="2" t="str" cm="1">
        <f t="array" ref="M1881">_xlfn.IFS(L1881&lt;=15,"Low Fare",L1881&lt;=35,"Medium Fare",L1881&lt;=100,"High Fare",L1881&gt;=100,"Very High Fare")</f>
        <v>Medium Fare</v>
      </c>
      <c r="N1881" s="2">
        <v>1</v>
      </c>
      <c r="O1881" s="2" t="s">
        <v>30</v>
      </c>
      <c r="P1881" t="e">
        <f t="shared" si="117"/>
        <v>#VALUE!</v>
      </c>
      <c r="Q1881" t="e">
        <f t="shared" si="118"/>
        <v>#VALUE!</v>
      </c>
      <c r="R1881" t="str">
        <f t="shared" si="119"/>
        <v>No</v>
      </c>
      <c r="S1881" t="s">
        <v>13</v>
      </c>
    </row>
    <row r="1882" spans="1:19" hidden="1" x14ac:dyDescent="0.3">
      <c r="A1882" s="1" t="s">
        <v>663</v>
      </c>
      <c r="B1882" t="s">
        <v>1596</v>
      </c>
      <c r="C1882" t="s">
        <v>2915</v>
      </c>
      <c r="D1882" t="str">
        <f t="shared" si="116"/>
        <v>Male</v>
      </c>
      <c r="E1882" t="s">
        <v>9</v>
      </c>
      <c r="F1882" s="2">
        <v>39</v>
      </c>
      <c r="G1882" s="2" t="str" cm="1">
        <f t="array" ref="G1882">_xlfn.IFS(F1882&lt;=8,"Child",F1882&lt;=17,"Teen",F1882&lt;=35,"Adult",F1882&lt;=55,"Seniour Adult",F1882&gt;=55,"Old Age")</f>
        <v>Seniour Adult</v>
      </c>
      <c r="H1882" t="s">
        <v>69</v>
      </c>
      <c r="I1882" t="s">
        <v>11</v>
      </c>
      <c r="J1882" t="str" cm="1">
        <f t="array" ref="J1882">_xlfn.IFS(I1882="S","Southamptom",I1882="Q","Quentown",I1882="C","Cherbrug",I1882="B","Cabin")</f>
        <v>Southamptom</v>
      </c>
      <c r="K1882" t="s">
        <v>15</v>
      </c>
      <c r="L1882" s="2">
        <v>33</v>
      </c>
      <c r="M1882" s="2" t="str" cm="1">
        <f t="array" ref="M1882">_xlfn.IFS(L1882&lt;=15,"Low Fare",L1882&lt;=35,"Medium Fare",L1882&lt;=100,"High Fare",L1882&gt;=100,"Very High Fare")</f>
        <v>Medium Fare</v>
      </c>
      <c r="N1882" s="2">
        <v>1</v>
      </c>
      <c r="O1882" s="2" t="s">
        <v>30</v>
      </c>
      <c r="P1882" t="e">
        <f t="shared" si="117"/>
        <v>#VALUE!</v>
      </c>
      <c r="Q1882" t="e">
        <f t="shared" si="118"/>
        <v>#VALUE!</v>
      </c>
      <c r="R1882" t="str">
        <f t="shared" si="119"/>
        <v>No</v>
      </c>
      <c r="S1882" t="s">
        <v>13</v>
      </c>
    </row>
    <row r="1883" spans="1:19" hidden="1" x14ac:dyDescent="0.3">
      <c r="A1883" s="1" t="s">
        <v>1380</v>
      </c>
      <c r="B1883" t="s">
        <v>1596</v>
      </c>
      <c r="C1883" t="s">
        <v>3012</v>
      </c>
      <c r="D1883" t="str">
        <f t="shared" si="116"/>
        <v>Male</v>
      </c>
      <c r="E1883" t="s">
        <v>9</v>
      </c>
      <c r="F1883" s="2">
        <v>48</v>
      </c>
      <c r="G1883" s="2" t="str" cm="1">
        <f t="array" ref="G1883">_xlfn.IFS(F1883&lt;=8,"Child",F1883&lt;=17,"Teen",F1883&lt;=35,"Adult",F1883&lt;=55,"Seniour Adult",F1883&gt;=55,"Old Age")</f>
        <v>Seniour Adult</v>
      </c>
      <c r="H1883" t="s">
        <v>71</v>
      </c>
      <c r="I1883" t="s">
        <v>28</v>
      </c>
      <c r="J1883" t="str" cm="1">
        <f t="array" ref="J1883">_xlfn.IFS(I1883="S","Southamptom",I1883="Q","Quentown",I1883="C","Cherbrug",I1883="B","Cabin")</f>
        <v>Cabin</v>
      </c>
      <c r="K1883" t="s">
        <v>48</v>
      </c>
      <c r="L1883" s="2">
        <v>33</v>
      </c>
      <c r="M1883" s="2" t="str" cm="1">
        <f t="array" ref="M1883">_xlfn.IFS(L1883&lt;=15,"Low Fare",L1883&lt;=35,"Medium Fare",L1883&lt;=100,"High Fare",L1883&gt;=100,"Very High Fare")</f>
        <v>Medium Fare</v>
      </c>
      <c r="N1883" s="2">
        <v>1</v>
      </c>
      <c r="O1883" s="2" t="s">
        <v>30</v>
      </c>
      <c r="P1883" t="e">
        <f t="shared" si="117"/>
        <v>#VALUE!</v>
      </c>
      <c r="Q1883" t="e">
        <f t="shared" si="118"/>
        <v>#VALUE!</v>
      </c>
      <c r="R1883" t="str">
        <f t="shared" si="119"/>
        <v>No</v>
      </c>
      <c r="S1883" t="s">
        <v>13</v>
      </c>
    </row>
    <row r="1884" spans="1:19" hidden="1" x14ac:dyDescent="0.3">
      <c r="A1884" s="1" t="s">
        <v>1380</v>
      </c>
      <c r="B1884" t="s">
        <v>1596</v>
      </c>
      <c r="C1884" t="s">
        <v>1976</v>
      </c>
      <c r="D1884" t="str">
        <f t="shared" si="116"/>
        <v>Male</v>
      </c>
      <c r="E1884" t="s">
        <v>9</v>
      </c>
      <c r="F1884" s="2">
        <v>46</v>
      </c>
      <c r="G1884" s="2" t="str" cm="1">
        <f t="array" ref="G1884">_xlfn.IFS(F1884&lt;=8,"Child",F1884&lt;=17,"Teen",F1884&lt;=35,"Adult",F1884&lt;=55,"Seniour Adult",F1884&gt;=55,"Old Age")</f>
        <v>Seniour Adult</v>
      </c>
      <c r="H1884" t="s">
        <v>69</v>
      </c>
      <c r="I1884" t="s">
        <v>11</v>
      </c>
      <c r="J1884" t="str" cm="1">
        <f t="array" ref="J1884">_xlfn.IFS(I1884="S","Southamptom",I1884="Q","Quentown",I1884="C","Cherbrug",I1884="B","Cabin")</f>
        <v>Southamptom</v>
      </c>
      <c r="K1884" t="s">
        <v>15</v>
      </c>
      <c r="L1884" s="2">
        <v>33</v>
      </c>
      <c r="M1884" s="2" t="str" cm="1">
        <f t="array" ref="M1884">_xlfn.IFS(L1884&lt;=15,"Low Fare",L1884&lt;=35,"Medium Fare",L1884&lt;=100,"High Fare",L1884&gt;=100,"Very High Fare")</f>
        <v>Medium Fare</v>
      </c>
      <c r="N1884" s="2">
        <v>1</v>
      </c>
      <c r="O1884" s="2" t="s">
        <v>30</v>
      </c>
      <c r="P1884" t="e">
        <f t="shared" si="117"/>
        <v>#VALUE!</v>
      </c>
      <c r="Q1884" t="e">
        <f t="shared" si="118"/>
        <v>#VALUE!</v>
      </c>
      <c r="R1884" t="str">
        <f t="shared" si="119"/>
        <v>No</v>
      </c>
      <c r="S1884" t="s">
        <v>13</v>
      </c>
    </row>
    <row r="1885" spans="1:19" hidden="1" x14ac:dyDescent="0.3">
      <c r="A1885" s="1" t="s">
        <v>1380</v>
      </c>
      <c r="B1885" t="s">
        <v>1596</v>
      </c>
      <c r="C1885" t="s">
        <v>3013</v>
      </c>
      <c r="D1885" t="str">
        <f t="shared" si="116"/>
        <v>Male</v>
      </c>
      <c r="E1885" t="s">
        <v>9</v>
      </c>
      <c r="F1885" s="2">
        <v>35</v>
      </c>
      <c r="G1885" s="2" t="str" cm="1">
        <f t="array" ref="G1885">_xlfn.IFS(F1885&lt;=8,"Child",F1885&lt;=17,"Teen",F1885&lt;=35,"Adult",F1885&lt;=55,"Seniour Adult",F1885&gt;=55,"Old Age")</f>
        <v>Adult</v>
      </c>
      <c r="H1885" t="s">
        <v>69</v>
      </c>
      <c r="I1885" t="s">
        <v>11</v>
      </c>
      <c r="J1885" t="str" cm="1">
        <f t="array" ref="J1885">_xlfn.IFS(I1885="S","Southamptom",I1885="Q","Quentown",I1885="C","Cherbrug",I1885="B","Cabin")</f>
        <v>Southamptom</v>
      </c>
      <c r="K1885" t="s">
        <v>15</v>
      </c>
      <c r="L1885" s="2">
        <v>33</v>
      </c>
      <c r="M1885" s="2" t="str" cm="1">
        <f t="array" ref="M1885">_xlfn.IFS(L1885&lt;=15,"Low Fare",L1885&lt;=35,"Medium Fare",L1885&lt;=100,"High Fare",L1885&gt;=100,"Very High Fare")</f>
        <v>Medium Fare</v>
      </c>
      <c r="N1885" s="2">
        <v>1</v>
      </c>
      <c r="O1885" s="2" t="s">
        <v>30</v>
      </c>
      <c r="P1885" t="e">
        <f t="shared" si="117"/>
        <v>#VALUE!</v>
      </c>
      <c r="Q1885" t="e">
        <f t="shared" si="118"/>
        <v>#VALUE!</v>
      </c>
      <c r="R1885" t="str">
        <f t="shared" si="119"/>
        <v>Yes</v>
      </c>
      <c r="S1885" t="s">
        <v>16</v>
      </c>
    </row>
    <row r="1886" spans="1:19" hidden="1" x14ac:dyDescent="0.3">
      <c r="A1886" s="1" t="s">
        <v>1381</v>
      </c>
      <c r="B1886" t="s">
        <v>1596</v>
      </c>
      <c r="C1886" t="s">
        <v>3014</v>
      </c>
      <c r="D1886" t="str">
        <f t="shared" si="116"/>
        <v>Male</v>
      </c>
      <c r="E1886" t="s">
        <v>9</v>
      </c>
      <c r="F1886" s="2">
        <v>30</v>
      </c>
      <c r="G1886" s="2" t="str" cm="1">
        <f t="array" ref="G1886">_xlfn.IFS(F1886&lt;=8,"Child",F1886&lt;=17,"Teen",F1886&lt;=35,"Adult",F1886&lt;=55,"Seniour Adult",F1886&gt;=55,"Old Age")</f>
        <v>Adult</v>
      </c>
      <c r="H1886" t="s">
        <v>51</v>
      </c>
      <c r="I1886" t="s">
        <v>11</v>
      </c>
      <c r="J1886" t="str" cm="1">
        <f t="array" ref="J1886">_xlfn.IFS(I1886="S","Southamptom",I1886="Q","Quentown",I1886="C","Cherbrug",I1886="B","Cabin")</f>
        <v>Southamptom</v>
      </c>
      <c r="K1886" t="s">
        <v>43</v>
      </c>
      <c r="L1886" s="2">
        <v>33</v>
      </c>
      <c r="M1886" s="2" t="str" cm="1">
        <f t="array" ref="M1886">_xlfn.IFS(L1886&lt;=15,"Low Fare",L1886&lt;=35,"Medium Fare",L1886&lt;=100,"High Fare",L1886&gt;=100,"Very High Fare")</f>
        <v>Medium Fare</v>
      </c>
      <c r="N1886" s="2">
        <v>1</v>
      </c>
      <c r="O1886" s="2" t="s">
        <v>30</v>
      </c>
      <c r="P1886" t="e">
        <f t="shared" si="117"/>
        <v>#VALUE!</v>
      </c>
      <c r="Q1886" t="e">
        <f t="shared" si="118"/>
        <v>#VALUE!</v>
      </c>
      <c r="R1886" t="str">
        <f t="shared" si="119"/>
        <v>No</v>
      </c>
      <c r="S1886" t="s">
        <v>13</v>
      </c>
    </row>
    <row r="1887" spans="1:19" hidden="1" x14ac:dyDescent="0.3">
      <c r="A1887" s="1" t="s">
        <v>1382</v>
      </c>
      <c r="B1887" t="s">
        <v>1596</v>
      </c>
      <c r="C1887" t="s">
        <v>3015</v>
      </c>
      <c r="D1887" t="str">
        <f t="shared" si="116"/>
        <v>Male</v>
      </c>
      <c r="E1887" t="s">
        <v>9</v>
      </c>
      <c r="F1887" s="2">
        <v>42</v>
      </c>
      <c r="G1887" s="2" t="str" cm="1">
        <f t="array" ref="G1887">_xlfn.IFS(F1887&lt;=8,"Child",F1887&lt;=17,"Teen",F1887&lt;=35,"Adult",F1887&lt;=55,"Seniour Adult",F1887&gt;=55,"Old Age")</f>
        <v>Seniour Adult</v>
      </c>
      <c r="H1887" t="s">
        <v>51</v>
      </c>
      <c r="I1887" t="s">
        <v>11</v>
      </c>
      <c r="J1887" t="str" cm="1">
        <f t="array" ref="J1887">_xlfn.IFS(I1887="S","Southamptom",I1887="Q","Quentown",I1887="C","Cherbrug",I1887="B","Cabin")</f>
        <v>Southamptom</v>
      </c>
      <c r="K1887" t="s">
        <v>15</v>
      </c>
      <c r="L1887" s="2">
        <v>33</v>
      </c>
      <c r="M1887" s="2" t="str" cm="1">
        <f t="array" ref="M1887">_xlfn.IFS(L1887&lt;=15,"Low Fare",L1887&lt;=35,"Medium Fare",L1887&lt;=100,"High Fare",L1887&gt;=100,"Very High Fare")</f>
        <v>Medium Fare</v>
      </c>
      <c r="N1887" s="2">
        <v>1</v>
      </c>
      <c r="O1887" s="2" t="s">
        <v>30</v>
      </c>
      <c r="P1887" t="e">
        <f t="shared" si="117"/>
        <v>#VALUE!</v>
      </c>
      <c r="Q1887" t="e">
        <f t="shared" si="118"/>
        <v>#VALUE!</v>
      </c>
      <c r="R1887" t="str">
        <f t="shared" si="119"/>
        <v>No</v>
      </c>
      <c r="S1887" t="s">
        <v>13</v>
      </c>
    </row>
    <row r="1888" spans="1:19" hidden="1" x14ac:dyDescent="0.3">
      <c r="A1888" s="1" t="s">
        <v>1383</v>
      </c>
      <c r="B1888" t="s">
        <v>1596</v>
      </c>
      <c r="C1888" t="s">
        <v>1965</v>
      </c>
      <c r="D1888" t="str">
        <f t="shared" si="116"/>
        <v>Male</v>
      </c>
      <c r="E1888" t="s">
        <v>9</v>
      </c>
      <c r="F1888" s="2">
        <v>22</v>
      </c>
      <c r="G1888" s="2" t="str" cm="1">
        <f t="array" ref="G1888">_xlfn.IFS(F1888&lt;=8,"Child",F1888&lt;=17,"Teen",F1888&lt;=35,"Adult",F1888&lt;=55,"Seniour Adult",F1888&gt;=55,"Old Age")</f>
        <v>Adult</v>
      </c>
      <c r="H1888" t="s">
        <v>51</v>
      </c>
      <c r="I1888" t="s">
        <v>11</v>
      </c>
      <c r="J1888" t="str" cm="1">
        <f t="array" ref="J1888">_xlfn.IFS(I1888="S","Southamptom",I1888="Q","Quentown",I1888="C","Cherbrug",I1888="B","Cabin")</f>
        <v>Southamptom</v>
      </c>
      <c r="K1888" t="s">
        <v>15</v>
      </c>
      <c r="L1888" s="2">
        <v>33</v>
      </c>
      <c r="M1888" s="2" t="str" cm="1">
        <f t="array" ref="M1888">_xlfn.IFS(L1888&lt;=15,"Low Fare",L1888&lt;=35,"Medium Fare",L1888&lt;=100,"High Fare",L1888&gt;=100,"Very High Fare")</f>
        <v>Medium Fare</v>
      </c>
      <c r="N1888" s="2">
        <v>1</v>
      </c>
      <c r="O1888" s="2" t="s">
        <v>30</v>
      </c>
      <c r="P1888" t="e">
        <f t="shared" si="117"/>
        <v>#VALUE!</v>
      </c>
      <c r="Q1888" t="e">
        <f t="shared" si="118"/>
        <v>#VALUE!</v>
      </c>
      <c r="R1888" t="str">
        <f t="shared" si="119"/>
        <v>No</v>
      </c>
      <c r="S1888" t="s">
        <v>13</v>
      </c>
    </row>
    <row r="1889" spans="1:19" hidden="1" x14ac:dyDescent="0.3">
      <c r="A1889" s="1" t="s">
        <v>1384</v>
      </c>
      <c r="B1889" t="s">
        <v>1596</v>
      </c>
      <c r="C1889" t="s">
        <v>3016</v>
      </c>
      <c r="D1889" t="str">
        <f t="shared" si="116"/>
        <v>Male</v>
      </c>
      <c r="E1889" t="s">
        <v>9</v>
      </c>
      <c r="F1889" s="2">
        <v>21</v>
      </c>
      <c r="G1889" s="2" t="str" cm="1">
        <f t="array" ref="G1889">_xlfn.IFS(F1889&lt;=8,"Child",F1889&lt;=17,"Teen",F1889&lt;=35,"Adult",F1889&lt;=55,"Seniour Adult",F1889&gt;=55,"Old Age")</f>
        <v>Adult</v>
      </c>
      <c r="H1889" t="s">
        <v>51</v>
      </c>
      <c r="I1889" t="s">
        <v>11</v>
      </c>
      <c r="J1889" t="str" cm="1">
        <f t="array" ref="J1889">_xlfn.IFS(I1889="S","Southamptom",I1889="Q","Quentown",I1889="C","Cherbrug",I1889="B","Cabin")</f>
        <v>Southamptom</v>
      </c>
      <c r="K1889" t="s">
        <v>15</v>
      </c>
      <c r="L1889" s="2">
        <v>33</v>
      </c>
      <c r="M1889" s="2" t="str" cm="1">
        <f t="array" ref="M1889">_xlfn.IFS(L1889&lt;=15,"Low Fare",L1889&lt;=35,"Medium Fare",L1889&lt;=100,"High Fare",L1889&gt;=100,"Very High Fare")</f>
        <v>Medium Fare</v>
      </c>
      <c r="N1889" s="2">
        <v>1</v>
      </c>
      <c r="O1889" s="2" t="s">
        <v>30</v>
      </c>
      <c r="P1889" t="e">
        <f t="shared" si="117"/>
        <v>#VALUE!</v>
      </c>
      <c r="Q1889" t="e">
        <f t="shared" si="118"/>
        <v>#VALUE!</v>
      </c>
      <c r="R1889" t="str">
        <f t="shared" si="119"/>
        <v>No</v>
      </c>
      <c r="S1889" t="s">
        <v>13</v>
      </c>
    </row>
    <row r="1890" spans="1:19" hidden="1" x14ac:dyDescent="0.3">
      <c r="A1890" s="1" t="s">
        <v>1384</v>
      </c>
      <c r="B1890" t="s">
        <v>1596</v>
      </c>
      <c r="C1890" t="s">
        <v>1728</v>
      </c>
      <c r="D1890" t="str">
        <f t="shared" si="116"/>
        <v>Male</v>
      </c>
      <c r="E1890" t="s">
        <v>9</v>
      </c>
      <c r="F1890" s="2">
        <v>30</v>
      </c>
      <c r="G1890" s="2" t="str" cm="1">
        <f t="array" ref="G1890">_xlfn.IFS(F1890&lt;=8,"Child",F1890&lt;=17,"Teen",F1890&lt;=35,"Adult",F1890&lt;=55,"Seniour Adult",F1890&gt;=55,"Old Age")</f>
        <v>Adult</v>
      </c>
      <c r="H1890" t="s">
        <v>51</v>
      </c>
      <c r="I1890" t="s">
        <v>11</v>
      </c>
      <c r="J1890" t="str" cm="1">
        <f t="array" ref="J1890">_xlfn.IFS(I1890="S","Southamptom",I1890="Q","Quentown",I1890="C","Cherbrug",I1890="B","Cabin")</f>
        <v>Southamptom</v>
      </c>
      <c r="K1890" t="s">
        <v>15</v>
      </c>
      <c r="L1890" s="2">
        <v>33</v>
      </c>
      <c r="M1890" s="2" t="str" cm="1">
        <f t="array" ref="M1890">_xlfn.IFS(L1890&lt;=15,"Low Fare",L1890&lt;=35,"Medium Fare",L1890&lt;=100,"High Fare",L1890&gt;=100,"Very High Fare")</f>
        <v>Medium Fare</v>
      </c>
      <c r="N1890" s="2">
        <v>1</v>
      </c>
      <c r="O1890" s="2" t="s">
        <v>30</v>
      </c>
      <c r="P1890" t="e">
        <f t="shared" si="117"/>
        <v>#VALUE!</v>
      </c>
      <c r="Q1890" t="e">
        <f t="shared" si="118"/>
        <v>#VALUE!</v>
      </c>
      <c r="R1890" t="str">
        <f t="shared" si="119"/>
        <v>Yes</v>
      </c>
      <c r="S1890" t="s">
        <v>16</v>
      </c>
    </row>
    <row r="1891" spans="1:19" hidden="1" x14ac:dyDescent="0.3">
      <c r="A1891" s="1" t="s">
        <v>1385</v>
      </c>
      <c r="B1891" t="s">
        <v>1596</v>
      </c>
      <c r="C1891" t="s">
        <v>1619</v>
      </c>
      <c r="D1891" t="str">
        <f t="shared" si="116"/>
        <v>Male</v>
      </c>
      <c r="E1891" t="s">
        <v>9</v>
      </c>
      <c r="F1891" s="2">
        <v>30</v>
      </c>
      <c r="G1891" s="2" t="str" cm="1">
        <f t="array" ref="G1891">_xlfn.IFS(F1891&lt;=8,"Child",F1891&lt;=17,"Teen",F1891&lt;=35,"Adult",F1891&lt;=55,"Seniour Adult",F1891&gt;=55,"Old Age")</f>
        <v>Adult</v>
      </c>
      <c r="H1891" t="s">
        <v>51</v>
      </c>
      <c r="I1891" t="s">
        <v>11</v>
      </c>
      <c r="J1891" t="str" cm="1">
        <f t="array" ref="J1891">_xlfn.IFS(I1891="S","Southamptom",I1891="Q","Quentown",I1891="C","Cherbrug",I1891="B","Cabin")</f>
        <v>Southamptom</v>
      </c>
      <c r="K1891" t="s">
        <v>15</v>
      </c>
      <c r="L1891" s="2">
        <v>33</v>
      </c>
      <c r="M1891" s="2" t="str" cm="1">
        <f t="array" ref="M1891">_xlfn.IFS(L1891&lt;=15,"Low Fare",L1891&lt;=35,"Medium Fare",L1891&lt;=100,"High Fare",L1891&gt;=100,"Very High Fare")</f>
        <v>Medium Fare</v>
      </c>
      <c r="N1891" s="2">
        <v>1</v>
      </c>
      <c r="O1891" s="2" t="s">
        <v>30</v>
      </c>
      <c r="P1891" t="e">
        <f t="shared" si="117"/>
        <v>#VALUE!</v>
      </c>
      <c r="Q1891" t="e">
        <f t="shared" si="118"/>
        <v>#VALUE!</v>
      </c>
      <c r="R1891" t="str">
        <f t="shared" si="119"/>
        <v>Yes</v>
      </c>
      <c r="S1891" t="s">
        <v>16</v>
      </c>
    </row>
    <row r="1892" spans="1:19" hidden="1" x14ac:dyDescent="0.3">
      <c r="A1892" s="1" t="s">
        <v>680</v>
      </c>
      <c r="B1892" t="s">
        <v>1596</v>
      </c>
      <c r="C1892" t="s">
        <v>1610</v>
      </c>
      <c r="D1892" t="str">
        <f t="shared" si="116"/>
        <v>Male</v>
      </c>
      <c r="E1892" t="s">
        <v>9</v>
      </c>
      <c r="F1892" s="2">
        <v>29</v>
      </c>
      <c r="G1892" s="2" t="str" cm="1">
        <f t="array" ref="G1892">_xlfn.IFS(F1892&lt;=8,"Child",F1892&lt;=17,"Teen",F1892&lt;=35,"Adult",F1892&lt;=55,"Seniour Adult",F1892&gt;=55,"Old Age")</f>
        <v>Adult</v>
      </c>
      <c r="H1892" t="s">
        <v>51</v>
      </c>
      <c r="I1892" t="s">
        <v>11</v>
      </c>
      <c r="J1892" t="str" cm="1">
        <f t="array" ref="J1892">_xlfn.IFS(I1892="S","Southamptom",I1892="Q","Quentown",I1892="C","Cherbrug",I1892="B","Cabin")</f>
        <v>Southamptom</v>
      </c>
      <c r="K1892" t="s">
        <v>15</v>
      </c>
      <c r="L1892" s="2">
        <v>33</v>
      </c>
      <c r="M1892" s="2" t="str" cm="1">
        <f t="array" ref="M1892">_xlfn.IFS(L1892&lt;=15,"Low Fare",L1892&lt;=35,"Medium Fare",L1892&lt;=100,"High Fare",L1892&gt;=100,"Very High Fare")</f>
        <v>Medium Fare</v>
      </c>
      <c r="N1892" s="2">
        <v>1</v>
      </c>
      <c r="O1892" s="2" t="s">
        <v>30</v>
      </c>
      <c r="P1892" t="e">
        <f t="shared" si="117"/>
        <v>#VALUE!</v>
      </c>
      <c r="Q1892" t="e">
        <f t="shared" si="118"/>
        <v>#VALUE!</v>
      </c>
      <c r="R1892" t="str">
        <f t="shared" si="119"/>
        <v>Yes</v>
      </c>
      <c r="S1892" t="s">
        <v>16</v>
      </c>
    </row>
    <row r="1893" spans="1:19" hidden="1" x14ac:dyDescent="0.3">
      <c r="A1893" s="1" t="s">
        <v>680</v>
      </c>
      <c r="B1893" t="s">
        <v>1596</v>
      </c>
      <c r="C1893" t="s">
        <v>3017</v>
      </c>
      <c r="D1893" t="str">
        <f t="shared" si="116"/>
        <v>Male</v>
      </c>
      <c r="E1893" t="s">
        <v>9</v>
      </c>
      <c r="F1893" s="2">
        <v>44</v>
      </c>
      <c r="G1893" s="2" t="str" cm="1">
        <f t="array" ref="G1893">_xlfn.IFS(F1893&lt;=8,"Child",F1893&lt;=17,"Teen",F1893&lt;=35,"Adult",F1893&lt;=55,"Seniour Adult",F1893&gt;=55,"Old Age")</f>
        <v>Seniour Adult</v>
      </c>
      <c r="H1893" t="s">
        <v>69</v>
      </c>
      <c r="I1893" t="s">
        <v>28</v>
      </c>
      <c r="J1893" t="str" cm="1">
        <f t="array" ref="J1893">_xlfn.IFS(I1893="S","Southamptom",I1893="Q","Quentown",I1893="C","Cherbrug",I1893="B","Cabin")</f>
        <v>Cabin</v>
      </c>
      <c r="K1893" t="s">
        <v>15</v>
      </c>
      <c r="L1893" s="2">
        <v>33</v>
      </c>
      <c r="M1893" s="2" t="str" cm="1">
        <f t="array" ref="M1893">_xlfn.IFS(L1893&lt;=15,"Low Fare",L1893&lt;=35,"Medium Fare",L1893&lt;=100,"High Fare",L1893&gt;=100,"Very High Fare")</f>
        <v>Medium Fare</v>
      </c>
      <c r="N1893" s="2">
        <v>1</v>
      </c>
      <c r="O1893" s="2" t="s">
        <v>30</v>
      </c>
      <c r="P1893" t="e">
        <f t="shared" si="117"/>
        <v>#VALUE!</v>
      </c>
      <c r="Q1893" t="e">
        <f t="shared" si="118"/>
        <v>#VALUE!</v>
      </c>
      <c r="R1893" t="str">
        <f t="shared" si="119"/>
        <v>No</v>
      </c>
      <c r="S1893" t="s">
        <v>13</v>
      </c>
    </row>
    <row r="1894" spans="1:19" hidden="1" x14ac:dyDescent="0.3">
      <c r="A1894" s="1" t="s">
        <v>1386</v>
      </c>
      <c r="B1894" t="s">
        <v>1596</v>
      </c>
      <c r="C1894" t="s">
        <v>2259</v>
      </c>
      <c r="D1894" t="str">
        <f t="shared" si="116"/>
        <v>Male</v>
      </c>
      <c r="E1894" t="s">
        <v>9</v>
      </c>
      <c r="F1894" s="2">
        <v>31</v>
      </c>
      <c r="G1894" s="2" t="str" cm="1">
        <f t="array" ref="G1894">_xlfn.IFS(F1894&lt;=8,"Child",F1894&lt;=17,"Teen",F1894&lt;=35,"Adult",F1894&lt;=55,"Seniour Adult",F1894&gt;=55,"Old Age")</f>
        <v>Adult</v>
      </c>
      <c r="H1894" t="s">
        <v>51</v>
      </c>
      <c r="I1894" t="s">
        <v>11</v>
      </c>
      <c r="J1894" t="str" cm="1">
        <f t="array" ref="J1894">_xlfn.IFS(I1894="S","Southamptom",I1894="Q","Quentown",I1894="C","Cherbrug",I1894="B","Cabin")</f>
        <v>Southamptom</v>
      </c>
      <c r="K1894" t="s">
        <v>15</v>
      </c>
      <c r="L1894" s="2">
        <v>33</v>
      </c>
      <c r="M1894" s="2" t="str" cm="1">
        <f t="array" ref="M1894">_xlfn.IFS(L1894&lt;=15,"Low Fare",L1894&lt;=35,"Medium Fare",L1894&lt;=100,"High Fare",L1894&gt;=100,"Very High Fare")</f>
        <v>Medium Fare</v>
      </c>
      <c r="N1894" s="2">
        <v>1</v>
      </c>
      <c r="O1894" s="2" t="s">
        <v>30</v>
      </c>
      <c r="P1894" t="e">
        <f t="shared" si="117"/>
        <v>#VALUE!</v>
      </c>
      <c r="Q1894" t="e">
        <f t="shared" si="118"/>
        <v>#VALUE!</v>
      </c>
      <c r="R1894" t="str">
        <f t="shared" si="119"/>
        <v>No</v>
      </c>
      <c r="S1894" t="s">
        <v>13</v>
      </c>
    </row>
    <row r="1895" spans="1:19" hidden="1" x14ac:dyDescent="0.3">
      <c r="A1895" s="1" t="s">
        <v>1386</v>
      </c>
      <c r="B1895" t="s">
        <v>1596</v>
      </c>
      <c r="C1895" t="s">
        <v>3018</v>
      </c>
      <c r="D1895" t="str">
        <f t="shared" si="116"/>
        <v>Male</v>
      </c>
      <c r="E1895" t="s">
        <v>9</v>
      </c>
      <c r="F1895" s="2">
        <v>27</v>
      </c>
      <c r="G1895" s="2" t="str" cm="1">
        <f t="array" ref="G1895">_xlfn.IFS(F1895&lt;=8,"Child",F1895&lt;=17,"Teen",F1895&lt;=35,"Adult",F1895&lt;=55,"Seniour Adult",F1895&gt;=55,"Old Age")</f>
        <v>Adult</v>
      </c>
      <c r="H1895" t="s">
        <v>69</v>
      </c>
      <c r="I1895" t="s">
        <v>11</v>
      </c>
      <c r="J1895" t="str" cm="1">
        <f t="array" ref="J1895">_xlfn.IFS(I1895="S","Southamptom",I1895="Q","Quentown",I1895="C","Cherbrug",I1895="B","Cabin")</f>
        <v>Southamptom</v>
      </c>
      <c r="K1895" t="s">
        <v>15</v>
      </c>
      <c r="L1895" s="2">
        <v>33</v>
      </c>
      <c r="M1895" s="2" t="str" cm="1">
        <f t="array" ref="M1895">_xlfn.IFS(L1895&lt;=15,"Low Fare",L1895&lt;=35,"Medium Fare",L1895&lt;=100,"High Fare",L1895&gt;=100,"Very High Fare")</f>
        <v>Medium Fare</v>
      </c>
      <c r="N1895" s="2">
        <v>1</v>
      </c>
      <c r="O1895" s="2" t="s">
        <v>30</v>
      </c>
      <c r="P1895" t="e">
        <f t="shared" si="117"/>
        <v>#VALUE!</v>
      </c>
      <c r="Q1895" t="e">
        <f t="shared" si="118"/>
        <v>#VALUE!</v>
      </c>
      <c r="R1895" t="str">
        <f t="shared" si="119"/>
        <v>No</v>
      </c>
      <c r="S1895" t="s">
        <v>13</v>
      </c>
    </row>
    <row r="1896" spans="1:19" hidden="1" x14ac:dyDescent="0.3">
      <c r="A1896" s="1" t="s">
        <v>1387</v>
      </c>
      <c r="B1896" t="s">
        <v>1596</v>
      </c>
      <c r="C1896" t="s">
        <v>2783</v>
      </c>
      <c r="D1896" t="str">
        <f t="shared" si="116"/>
        <v>Male</v>
      </c>
      <c r="E1896" t="s">
        <v>9</v>
      </c>
      <c r="F1896" s="2">
        <v>32</v>
      </c>
      <c r="G1896" s="2" t="str" cm="1">
        <f t="array" ref="G1896">_xlfn.IFS(F1896&lt;=8,"Child",F1896&lt;=17,"Teen",F1896&lt;=35,"Adult",F1896&lt;=55,"Seniour Adult",F1896&gt;=55,"Old Age")</f>
        <v>Adult</v>
      </c>
      <c r="H1896" t="s">
        <v>51</v>
      </c>
      <c r="I1896" t="s">
        <v>11</v>
      </c>
      <c r="J1896" t="str" cm="1">
        <f t="array" ref="J1896">_xlfn.IFS(I1896="S","Southamptom",I1896="Q","Quentown",I1896="C","Cherbrug",I1896="B","Cabin")</f>
        <v>Southamptom</v>
      </c>
      <c r="K1896" t="s">
        <v>15</v>
      </c>
      <c r="L1896" s="2">
        <v>33</v>
      </c>
      <c r="M1896" s="2" t="str" cm="1">
        <f t="array" ref="M1896">_xlfn.IFS(L1896&lt;=15,"Low Fare",L1896&lt;=35,"Medium Fare",L1896&lt;=100,"High Fare",L1896&gt;=100,"Very High Fare")</f>
        <v>Medium Fare</v>
      </c>
      <c r="N1896" s="2">
        <v>1</v>
      </c>
      <c r="O1896" s="2" t="s">
        <v>30</v>
      </c>
      <c r="P1896" t="e">
        <f t="shared" si="117"/>
        <v>#VALUE!</v>
      </c>
      <c r="Q1896" t="e">
        <f t="shared" si="118"/>
        <v>#VALUE!</v>
      </c>
      <c r="R1896" t="str">
        <f t="shared" si="119"/>
        <v>Yes</v>
      </c>
      <c r="S1896" t="s">
        <v>16</v>
      </c>
    </row>
    <row r="1897" spans="1:19" hidden="1" x14ac:dyDescent="0.3">
      <c r="A1897" s="1" t="s">
        <v>1388</v>
      </c>
      <c r="B1897" t="s">
        <v>1596</v>
      </c>
      <c r="C1897" t="s">
        <v>1811</v>
      </c>
      <c r="D1897" t="str">
        <f t="shared" si="116"/>
        <v>Male</v>
      </c>
      <c r="E1897" t="s">
        <v>9</v>
      </c>
      <c r="F1897" s="2">
        <v>27</v>
      </c>
      <c r="G1897" s="2" t="str" cm="1">
        <f t="array" ref="G1897">_xlfn.IFS(F1897&lt;=8,"Child",F1897&lt;=17,"Teen",F1897&lt;=35,"Adult",F1897&lt;=55,"Seniour Adult",F1897&gt;=55,"Old Age")</f>
        <v>Adult</v>
      </c>
      <c r="H1897" t="s">
        <v>71</v>
      </c>
      <c r="I1897" t="s">
        <v>28</v>
      </c>
      <c r="J1897" t="str" cm="1">
        <f t="array" ref="J1897">_xlfn.IFS(I1897="S","Southamptom",I1897="Q","Quentown",I1897="C","Cherbrug",I1897="B","Cabin")</f>
        <v>Cabin</v>
      </c>
      <c r="K1897" t="s">
        <v>33</v>
      </c>
      <c r="L1897" s="2">
        <v>33</v>
      </c>
      <c r="M1897" s="2" t="str" cm="1">
        <f t="array" ref="M1897">_xlfn.IFS(L1897&lt;=15,"Low Fare",L1897&lt;=35,"Medium Fare",L1897&lt;=100,"High Fare",L1897&gt;=100,"Very High Fare")</f>
        <v>Medium Fare</v>
      </c>
      <c r="N1897" s="2">
        <v>1</v>
      </c>
      <c r="O1897" s="2" t="s">
        <v>30</v>
      </c>
      <c r="P1897" t="e">
        <f t="shared" si="117"/>
        <v>#VALUE!</v>
      </c>
      <c r="Q1897" t="e">
        <f t="shared" si="118"/>
        <v>#VALUE!</v>
      </c>
      <c r="R1897" t="str">
        <f t="shared" si="119"/>
        <v>Yes</v>
      </c>
      <c r="S1897" t="s">
        <v>16</v>
      </c>
    </row>
    <row r="1898" spans="1:19" hidden="1" x14ac:dyDescent="0.3">
      <c r="A1898" s="1" t="s">
        <v>1389</v>
      </c>
      <c r="B1898" t="s">
        <v>1749</v>
      </c>
      <c r="C1898" t="s">
        <v>3019</v>
      </c>
      <c r="D1898" t="str">
        <f t="shared" si="116"/>
        <v>Male</v>
      </c>
      <c r="E1898" t="s">
        <v>9</v>
      </c>
      <c r="F1898" s="2">
        <v>63</v>
      </c>
      <c r="G1898" s="2" t="str" cm="1">
        <f t="array" ref="G1898">_xlfn.IFS(F1898&lt;=8,"Child",F1898&lt;=17,"Teen",F1898&lt;=35,"Adult",F1898&lt;=55,"Seniour Adult",F1898&gt;=55,"Old Age")</f>
        <v>Old Age</v>
      </c>
      <c r="H1898" t="s">
        <v>71</v>
      </c>
      <c r="I1898" t="s">
        <v>28</v>
      </c>
      <c r="J1898" t="str" cm="1">
        <f t="array" ref="J1898">_xlfn.IFS(I1898="S","Southamptom",I1898="Q","Quentown",I1898="C","Cherbrug",I1898="B","Cabin")</f>
        <v>Cabin</v>
      </c>
      <c r="K1898" t="s">
        <v>15</v>
      </c>
      <c r="L1898" s="2">
        <v>33</v>
      </c>
      <c r="M1898" s="2" t="str" cm="1">
        <f t="array" ref="M1898">_xlfn.IFS(L1898&lt;=15,"Low Fare",L1898&lt;=35,"Medium Fare",L1898&lt;=100,"High Fare",L1898&gt;=100,"Very High Fare")</f>
        <v>Medium Fare</v>
      </c>
      <c r="N1898" s="2">
        <v>1</v>
      </c>
      <c r="O1898" s="2" t="s">
        <v>30</v>
      </c>
      <c r="P1898" t="e">
        <f t="shared" si="117"/>
        <v>#VALUE!</v>
      </c>
      <c r="Q1898" t="e">
        <f t="shared" si="118"/>
        <v>#VALUE!</v>
      </c>
      <c r="R1898" t="str">
        <f t="shared" si="119"/>
        <v>No</v>
      </c>
      <c r="S1898" t="s">
        <v>13</v>
      </c>
    </row>
    <row r="1899" spans="1:19" hidden="1" x14ac:dyDescent="0.3">
      <c r="A1899" s="1" t="s">
        <v>1390</v>
      </c>
      <c r="B1899" t="s">
        <v>1596</v>
      </c>
      <c r="C1899" t="s">
        <v>3020</v>
      </c>
      <c r="D1899" t="str">
        <f t="shared" si="116"/>
        <v>Male</v>
      </c>
      <c r="E1899" t="s">
        <v>9</v>
      </c>
      <c r="F1899" s="2">
        <v>31</v>
      </c>
      <c r="G1899" s="2" t="str" cm="1">
        <f t="array" ref="G1899">_xlfn.IFS(F1899&lt;=8,"Child",F1899&lt;=17,"Teen",F1899&lt;=35,"Adult",F1899&lt;=55,"Seniour Adult",F1899&gt;=55,"Old Age")</f>
        <v>Adult</v>
      </c>
      <c r="H1899" t="s">
        <v>69</v>
      </c>
      <c r="I1899" t="s">
        <v>11</v>
      </c>
      <c r="J1899" t="str" cm="1">
        <f t="array" ref="J1899">_xlfn.IFS(I1899="S","Southamptom",I1899="Q","Quentown",I1899="C","Cherbrug",I1899="B","Cabin")</f>
        <v>Southamptom</v>
      </c>
      <c r="K1899" t="s">
        <v>15</v>
      </c>
      <c r="L1899" s="2">
        <v>33</v>
      </c>
      <c r="M1899" s="2" t="str" cm="1">
        <f t="array" ref="M1899">_xlfn.IFS(L1899&lt;=15,"Low Fare",L1899&lt;=35,"Medium Fare",L1899&lt;=100,"High Fare",L1899&gt;=100,"Very High Fare")</f>
        <v>Medium Fare</v>
      </c>
      <c r="N1899" s="2">
        <v>1</v>
      </c>
      <c r="O1899" s="2" t="s">
        <v>30</v>
      </c>
      <c r="P1899" t="e">
        <f t="shared" si="117"/>
        <v>#VALUE!</v>
      </c>
      <c r="Q1899" t="e">
        <f t="shared" si="118"/>
        <v>#VALUE!</v>
      </c>
      <c r="R1899" t="str">
        <f t="shared" si="119"/>
        <v>No</v>
      </c>
      <c r="S1899" t="s">
        <v>13</v>
      </c>
    </row>
    <row r="1900" spans="1:19" hidden="1" x14ac:dyDescent="0.3">
      <c r="A1900" s="1" t="s">
        <v>1391</v>
      </c>
      <c r="B1900" t="s">
        <v>1596</v>
      </c>
      <c r="C1900" t="s">
        <v>1965</v>
      </c>
      <c r="D1900" t="str">
        <f t="shared" si="116"/>
        <v>Male</v>
      </c>
      <c r="E1900" t="s">
        <v>9</v>
      </c>
      <c r="F1900" s="2">
        <v>39</v>
      </c>
      <c r="G1900" s="2" t="str" cm="1">
        <f t="array" ref="G1900">_xlfn.IFS(F1900&lt;=8,"Child",F1900&lt;=17,"Teen",F1900&lt;=35,"Adult",F1900&lt;=55,"Seniour Adult",F1900&gt;=55,"Old Age")</f>
        <v>Seniour Adult</v>
      </c>
      <c r="H1900" t="s">
        <v>69</v>
      </c>
      <c r="I1900" t="s">
        <v>11</v>
      </c>
      <c r="J1900" t="str" cm="1">
        <f t="array" ref="J1900">_xlfn.IFS(I1900="S","Southamptom",I1900="Q","Quentown",I1900="C","Cherbrug",I1900="B","Cabin")</f>
        <v>Southamptom</v>
      </c>
      <c r="K1900" t="s">
        <v>43</v>
      </c>
      <c r="L1900" s="2">
        <v>33</v>
      </c>
      <c r="M1900" s="2" t="str" cm="1">
        <f t="array" ref="M1900">_xlfn.IFS(L1900&lt;=15,"Low Fare",L1900&lt;=35,"Medium Fare",L1900&lt;=100,"High Fare",L1900&gt;=100,"Very High Fare")</f>
        <v>Medium Fare</v>
      </c>
      <c r="N1900" s="2">
        <v>1</v>
      </c>
      <c r="O1900" s="2" t="s">
        <v>30</v>
      </c>
      <c r="P1900" t="e">
        <f t="shared" si="117"/>
        <v>#VALUE!</v>
      </c>
      <c r="Q1900" t="e">
        <f t="shared" si="118"/>
        <v>#VALUE!</v>
      </c>
      <c r="R1900" t="str">
        <f t="shared" si="119"/>
        <v>No</v>
      </c>
      <c r="S1900" t="s">
        <v>13</v>
      </c>
    </row>
    <row r="1901" spans="1:19" hidden="1" x14ac:dyDescent="0.3">
      <c r="A1901" s="1" t="s">
        <v>1392</v>
      </c>
      <c r="B1901" t="s">
        <v>1596</v>
      </c>
      <c r="C1901" t="s">
        <v>2094</v>
      </c>
      <c r="D1901" t="str">
        <f t="shared" si="116"/>
        <v>Male</v>
      </c>
      <c r="E1901" t="s">
        <v>9</v>
      </c>
      <c r="F1901" s="2">
        <v>32</v>
      </c>
      <c r="G1901" s="2" t="str" cm="1">
        <f t="array" ref="G1901">_xlfn.IFS(F1901&lt;=8,"Child",F1901&lt;=17,"Teen",F1901&lt;=35,"Adult",F1901&lt;=55,"Seniour Adult",F1901&gt;=55,"Old Age")</f>
        <v>Adult</v>
      </c>
      <c r="H1901" t="s">
        <v>69</v>
      </c>
      <c r="I1901" t="s">
        <v>28</v>
      </c>
      <c r="J1901" t="str" cm="1">
        <f t="array" ref="J1901">_xlfn.IFS(I1901="S","Southamptom",I1901="Q","Quentown",I1901="C","Cherbrug",I1901="B","Cabin")</f>
        <v>Cabin</v>
      </c>
      <c r="K1901" t="s">
        <v>15</v>
      </c>
      <c r="L1901" s="2">
        <v>33</v>
      </c>
      <c r="M1901" s="2" t="str" cm="1">
        <f t="array" ref="M1901">_xlfn.IFS(L1901&lt;=15,"Low Fare",L1901&lt;=35,"Medium Fare",L1901&lt;=100,"High Fare",L1901&gt;=100,"Very High Fare")</f>
        <v>Medium Fare</v>
      </c>
      <c r="N1901" s="2">
        <v>1</v>
      </c>
      <c r="O1901" s="2" t="s">
        <v>30</v>
      </c>
      <c r="P1901" t="e">
        <f t="shared" si="117"/>
        <v>#VALUE!</v>
      </c>
      <c r="Q1901" t="e">
        <f t="shared" si="118"/>
        <v>#VALUE!</v>
      </c>
      <c r="R1901" t="str">
        <f t="shared" si="119"/>
        <v>No</v>
      </c>
      <c r="S1901" t="s">
        <v>13</v>
      </c>
    </row>
    <row r="1902" spans="1:19" hidden="1" x14ac:dyDescent="0.3">
      <c r="A1902" s="1" t="s">
        <v>1393</v>
      </c>
      <c r="B1902" t="s">
        <v>1596</v>
      </c>
      <c r="C1902" t="s">
        <v>1945</v>
      </c>
      <c r="D1902" t="str">
        <f t="shared" si="116"/>
        <v>Male</v>
      </c>
      <c r="E1902" t="s">
        <v>9</v>
      </c>
      <c r="F1902" s="2">
        <v>27</v>
      </c>
      <c r="G1902" s="2" t="str" cm="1">
        <f t="array" ref="G1902">_xlfn.IFS(F1902&lt;=8,"Child",F1902&lt;=17,"Teen",F1902&lt;=35,"Adult",F1902&lt;=55,"Seniour Adult",F1902&gt;=55,"Old Age")</f>
        <v>Adult</v>
      </c>
      <c r="H1902" t="s">
        <v>71</v>
      </c>
      <c r="I1902" t="s">
        <v>11</v>
      </c>
      <c r="J1902" t="str" cm="1">
        <f t="array" ref="J1902">_xlfn.IFS(I1902="S","Southamptom",I1902="Q","Quentown",I1902="C","Cherbrug",I1902="B","Cabin")</f>
        <v>Southamptom</v>
      </c>
      <c r="K1902" t="s">
        <v>15</v>
      </c>
      <c r="L1902" s="2">
        <v>33</v>
      </c>
      <c r="M1902" s="2" t="str" cm="1">
        <f t="array" ref="M1902">_xlfn.IFS(L1902&lt;=15,"Low Fare",L1902&lt;=35,"Medium Fare",L1902&lt;=100,"High Fare",L1902&gt;=100,"Very High Fare")</f>
        <v>Medium Fare</v>
      </c>
      <c r="N1902" s="2">
        <v>1</v>
      </c>
      <c r="O1902" s="2" t="s">
        <v>30</v>
      </c>
      <c r="P1902" t="e">
        <f t="shared" si="117"/>
        <v>#VALUE!</v>
      </c>
      <c r="Q1902" t="e">
        <f t="shared" si="118"/>
        <v>#VALUE!</v>
      </c>
      <c r="R1902" t="str">
        <f t="shared" si="119"/>
        <v>Yes</v>
      </c>
      <c r="S1902" t="s">
        <v>16</v>
      </c>
    </row>
    <row r="1903" spans="1:19" hidden="1" x14ac:dyDescent="0.3">
      <c r="A1903" s="1" t="s">
        <v>1394</v>
      </c>
      <c r="B1903" t="s">
        <v>1596</v>
      </c>
      <c r="C1903" t="s">
        <v>3021</v>
      </c>
      <c r="D1903" t="str">
        <f t="shared" si="116"/>
        <v>Male</v>
      </c>
      <c r="E1903" t="s">
        <v>9</v>
      </c>
      <c r="F1903" s="2">
        <v>36</v>
      </c>
      <c r="G1903" s="2" t="str" cm="1">
        <f t="array" ref="G1903">_xlfn.IFS(F1903&lt;=8,"Child",F1903&lt;=17,"Teen",F1903&lt;=35,"Adult",F1903&lt;=55,"Seniour Adult",F1903&gt;=55,"Old Age")</f>
        <v>Seniour Adult</v>
      </c>
      <c r="H1903" t="s">
        <v>51</v>
      </c>
      <c r="I1903" t="s">
        <v>11</v>
      </c>
      <c r="J1903" t="str" cm="1">
        <f t="array" ref="J1903">_xlfn.IFS(I1903="S","Southamptom",I1903="Q","Quentown",I1903="C","Cherbrug",I1903="B","Cabin")</f>
        <v>Southamptom</v>
      </c>
      <c r="K1903" t="s">
        <v>15</v>
      </c>
      <c r="L1903" s="2">
        <v>33</v>
      </c>
      <c r="M1903" s="2" t="str" cm="1">
        <f t="array" ref="M1903">_xlfn.IFS(L1903&lt;=15,"Low Fare",L1903&lt;=35,"Medium Fare",L1903&lt;=100,"High Fare",L1903&gt;=100,"Very High Fare")</f>
        <v>Medium Fare</v>
      </c>
      <c r="N1903" s="2">
        <v>1</v>
      </c>
      <c r="O1903" s="2" t="s">
        <v>30</v>
      </c>
      <c r="P1903" t="e">
        <f t="shared" si="117"/>
        <v>#VALUE!</v>
      </c>
      <c r="Q1903" t="e">
        <f t="shared" si="118"/>
        <v>#VALUE!</v>
      </c>
      <c r="R1903" t="str">
        <f t="shared" si="119"/>
        <v>Yes</v>
      </c>
      <c r="S1903" t="s">
        <v>16</v>
      </c>
    </row>
    <row r="1904" spans="1:19" hidden="1" x14ac:dyDescent="0.3">
      <c r="A1904" s="1" t="s">
        <v>1395</v>
      </c>
      <c r="B1904" t="s">
        <v>1596</v>
      </c>
      <c r="C1904" t="s">
        <v>2090</v>
      </c>
      <c r="D1904" t="str">
        <f t="shared" si="116"/>
        <v>Male</v>
      </c>
      <c r="E1904" t="s">
        <v>9</v>
      </c>
      <c r="F1904" s="2">
        <v>43</v>
      </c>
      <c r="G1904" s="2" t="str" cm="1">
        <f t="array" ref="G1904">_xlfn.IFS(F1904&lt;=8,"Child",F1904&lt;=17,"Teen",F1904&lt;=35,"Adult",F1904&lt;=55,"Seniour Adult",F1904&gt;=55,"Old Age")</f>
        <v>Seniour Adult</v>
      </c>
      <c r="H1904" t="s">
        <v>69</v>
      </c>
      <c r="I1904" t="s">
        <v>11</v>
      </c>
      <c r="J1904" t="str" cm="1">
        <f t="array" ref="J1904">_xlfn.IFS(I1904="S","Southamptom",I1904="Q","Quentown",I1904="C","Cherbrug",I1904="B","Cabin")</f>
        <v>Southamptom</v>
      </c>
      <c r="K1904" t="s">
        <v>40</v>
      </c>
      <c r="L1904" s="2">
        <v>33</v>
      </c>
      <c r="M1904" s="2" t="str" cm="1">
        <f t="array" ref="M1904">_xlfn.IFS(L1904&lt;=15,"Low Fare",L1904&lt;=35,"Medium Fare",L1904&lt;=100,"High Fare",L1904&gt;=100,"Very High Fare")</f>
        <v>Medium Fare</v>
      </c>
      <c r="N1904" s="2">
        <v>1</v>
      </c>
      <c r="O1904" s="2" t="s">
        <v>30</v>
      </c>
      <c r="P1904" t="e">
        <f t="shared" si="117"/>
        <v>#VALUE!</v>
      </c>
      <c r="Q1904" t="e">
        <f t="shared" si="118"/>
        <v>#VALUE!</v>
      </c>
      <c r="R1904" t="str">
        <f t="shared" si="119"/>
        <v>No</v>
      </c>
      <c r="S1904" t="s">
        <v>13</v>
      </c>
    </row>
    <row r="1905" spans="1:19" hidden="1" x14ac:dyDescent="0.3">
      <c r="A1905" s="1" t="s">
        <v>1396</v>
      </c>
      <c r="B1905" t="s">
        <v>1596</v>
      </c>
      <c r="C1905" t="s">
        <v>3022</v>
      </c>
      <c r="D1905" t="str">
        <f t="shared" si="116"/>
        <v>Male</v>
      </c>
      <c r="E1905" t="s">
        <v>9</v>
      </c>
      <c r="F1905" s="2">
        <v>17</v>
      </c>
      <c r="G1905" s="2" t="str" cm="1">
        <f t="array" ref="G1905">_xlfn.IFS(F1905&lt;=8,"Child",F1905&lt;=17,"Teen",F1905&lt;=35,"Adult",F1905&lt;=55,"Seniour Adult",F1905&gt;=55,"Old Age")</f>
        <v>Teen</v>
      </c>
      <c r="H1905" t="s">
        <v>69</v>
      </c>
      <c r="I1905" t="s">
        <v>11</v>
      </c>
      <c r="J1905" t="str" cm="1">
        <f t="array" ref="J1905">_xlfn.IFS(I1905="S","Southamptom",I1905="Q","Quentown",I1905="C","Cherbrug",I1905="B","Cabin")</f>
        <v>Southamptom</v>
      </c>
      <c r="K1905" t="s">
        <v>15</v>
      </c>
      <c r="L1905" s="2">
        <v>33</v>
      </c>
      <c r="M1905" s="2" t="str" cm="1">
        <f t="array" ref="M1905">_xlfn.IFS(L1905&lt;=15,"Low Fare",L1905&lt;=35,"Medium Fare",L1905&lt;=100,"High Fare",L1905&gt;=100,"Very High Fare")</f>
        <v>Medium Fare</v>
      </c>
      <c r="N1905" s="2">
        <v>1</v>
      </c>
      <c r="O1905" s="2" t="s">
        <v>30</v>
      </c>
      <c r="P1905" t="e">
        <f t="shared" si="117"/>
        <v>#VALUE!</v>
      </c>
      <c r="Q1905" t="e">
        <f t="shared" si="118"/>
        <v>#VALUE!</v>
      </c>
      <c r="R1905" t="str">
        <f t="shared" si="119"/>
        <v>No</v>
      </c>
      <c r="S1905" t="s">
        <v>13</v>
      </c>
    </row>
    <row r="1906" spans="1:19" hidden="1" x14ac:dyDescent="0.3">
      <c r="A1906" s="1" t="s">
        <v>1397</v>
      </c>
      <c r="B1906" t="s">
        <v>2719</v>
      </c>
      <c r="C1906" t="s">
        <v>3023</v>
      </c>
      <c r="D1906" t="str">
        <f t="shared" si="116"/>
        <v>Male</v>
      </c>
      <c r="E1906" t="s">
        <v>9</v>
      </c>
      <c r="F1906" s="2">
        <v>19</v>
      </c>
      <c r="G1906" s="2" t="str" cm="1">
        <f t="array" ref="G1906">_xlfn.IFS(F1906&lt;=8,"Child",F1906&lt;=17,"Teen",F1906&lt;=35,"Adult",F1906&lt;=55,"Seniour Adult",F1906&gt;=55,"Old Age")</f>
        <v>Adult</v>
      </c>
      <c r="H1906" t="s">
        <v>70</v>
      </c>
      <c r="I1906" t="s">
        <v>11</v>
      </c>
      <c r="J1906" t="str" cm="1">
        <f t="array" ref="J1906">_xlfn.IFS(I1906="S","Southamptom",I1906="Q","Quentown",I1906="C","Cherbrug",I1906="B","Cabin")</f>
        <v>Southamptom</v>
      </c>
      <c r="K1906" t="s">
        <v>15</v>
      </c>
      <c r="L1906" s="2">
        <v>33</v>
      </c>
      <c r="M1906" s="2" t="str" cm="1">
        <f t="array" ref="M1906">_xlfn.IFS(L1906&lt;=15,"Low Fare",L1906&lt;=35,"Medium Fare",L1906&lt;=100,"High Fare",L1906&gt;=100,"Very High Fare")</f>
        <v>Medium Fare</v>
      </c>
      <c r="N1906" s="2">
        <v>1</v>
      </c>
      <c r="O1906" s="2" t="s">
        <v>30</v>
      </c>
      <c r="P1906" t="e">
        <f t="shared" si="117"/>
        <v>#VALUE!</v>
      </c>
      <c r="Q1906" t="e">
        <f t="shared" si="118"/>
        <v>#VALUE!</v>
      </c>
      <c r="R1906" t="str">
        <f t="shared" si="119"/>
        <v>No</v>
      </c>
      <c r="S1906" t="s">
        <v>13</v>
      </c>
    </row>
    <row r="1907" spans="1:19" hidden="1" x14ac:dyDescent="0.3">
      <c r="A1907" s="1" t="s">
        <v>1398</v>
      </c>
      <c r="B1907" t="s">
        <v>1596</v>
      </c>
      <c r="C1907" t="s">
        <v>3024</v>
      </c>
      <c r="D1907" t="str">
        <f t="shared" si="116"/>
        <v>Male</v>
      </c>
      <c r="E1907" t="s">
        <v>9</v>
      </c>
      <c r="F1907" s="2">
        <v>32</v>
      </c>
      <c r="G1907" s="2" t="str" cm="1">
        <f t="array" ref="G1907">_xlfn.IFS(F1907&lt;=8,"Child",F1907&lt;=17,"Teen",F1907&lt;=35,"Adult",F1907&lt;=55,"Seniour Adult",F1907&gt;=55,"Old Age")</f>
        <v>Adult</v>
      </c>
      <c r="H1907" t="s">
        <v>51</v>
      </c>
      <c r="I1907" t="s">
        <v>11</v>
      </c>
      <c r="J1907" t="str" cm="1">
        <f t="array" ref="J1907">_xlfn.IFS(I1907="S","Southamptom",I1907="Q","Quentown",I1907="C","Cherbrug",I1907="B","Cabin")</f>
        <v>Southamptom</v>
      </c>
      <c r="K1907" t="s">
        <v>15</v>
      </c>
      <c r="L1907" s="2">
        <v>33</v>
      </c>
      <c r="M1907" s="2" t="str" cm="1">
        <f t="array" ref="M1907">_xlfn.IFS(L1907&lt;=15,"Low Fare",L1907&lt;=35,"Medium Fare",L1907&lt;=100,"High Fare",L1907&gt;=100,"Very High Fare")</f>
        <v>Medium Fare</v>
      </c>
      <c r="N1907" s="2">
        <v>1</v>
      </c>
      <c r="O1907" s="2" t="s">
        <v>30</v>
      </c>
      <c r="P1907" t="e">
        <f t="shared" si="117"/>
        <v>#VALUE!</v>
      </c>
      <c r="Q1907" t="e">
        <f t="shared" si="118"/>
        <v>#VALUE!</v>
      </c>
      <c r="R1907" t="str">
        <f t="shared" si="119"/>
        <v>No</v>
      </c>
      <c r="S1907" t="s">
        <v>13</v>
      </c>
    </row>
    <row r="1908" spans="1:19" hidden="1" x14ac:dyDescent="0.3">
      <c r="A1908" s="1" t="s">
        <v>1399</v>
      </c>
      <c r="B1908" t="s">
        <v>1596</v>
      </c>
      <c r="C1908" t="s">
        <v>2259</v>
      </c>
      <c r="D1908" t="str">
        <f t="shared" si="116"/>
        <v>Male</v>
      </c>
      <c r="E1908" t="s">
        <v>9</v>
      </c>
      <c r="F1908" s="2">
        <v>32</v>
      </c>
      <c r="G1908" s="2" t="str" cm="1">
        <f t="array" ref="G1908">_xlfn.IFS(F1908&lt;=8,"Child",F1908&lt;=17,"Teen",F1908&lt;=35,"Adult",F1908&lt;=55,"Seniour Adult",F1908&gt;=55,"Old Age")</f>
        <v>Adult</v>
      </c>
      <c r="H1908" t="s">
        <v>51</v>
      </c>
      <c r="I1908" t="s">
        <v>11</v>
      </c>
      <c r="J1908" t="str" cm="1">
        <f t="array" ref="J1908">_xlfn.IFS(I1908="S","Southamptom",I1908="Q","Quentown",I1908="C","Cherbrug",I1908="B","Cabin")</f>
        <v>Southamptom</v>
      </c>
      <c r="K1908" t="s">
        <v>15</v>
      </c>
      <c r="L1908" s="2">
        <v>33</v>
      </c>
      <c r="M1908" s="2" t="str" cm="1">
        <f t="array" ref="M1908">_xlfn.IFS(L1908&lt;=15,"Low Fare",L1908&lt;=35,"Medium Fare",L1908&lt;=100,"High Fare",L1908&gt;=100,"Very High Fare")</f>
        <v>Medium Fare</v>
      </c>
      <c r="N1908" s="2">
        <v>1</v>
      </c>
      <c r="O1908" s="2" t="s">
        <v>30</v>
      </c>
      <c r="P1908" t="e">
        <f t="shared" si="117"/>
        <v>#VALUE!</v>
      </c>
      <c r="Q1908" t="e">
        <f t="shared" si="118"/>
        <v>#VALUE!</v>
      </c>
      <c r="R1908" t="str">
        <f t="shared" si="119"/>
        <v>No</v>
      </c>
      <c r="S1908" t="s">
        <v>13</v>
      </c>
    </row>
    <row r="1909" spans="1:19" hidden="1" x14ac:dyDescent="0.3">
      <c r="A1909" s="1" t="s">
        <v>1399</v>
      </c>
      <c r="B1909" t="s">
        <v>1596</v>
      </c>
      <c r="C1909" t="s">
        <v>1945</v>
      </c>
      <c r="D1909" t="str">
        <f t="shared" si="116"/>
        <v>Male</v>
      </c>
      <c r="E1909" t="s">
        <v>9</v>
      </c>
      <c r="F1909" s="2">
        <v>29</v>
      </c>
      <c r="G1909" s="2" t="str" cm="1">
        <f t="array" ref="G1909">_xlfn.IFS(F1909&lt;=8,"Child",F1909&lt;=17,"Teen",F1909&lt;=35,"Adult",F1909&lt;=55,"Seniour Adult",F1909&gt;=55,"Old Age")</f>
        <v>Adult</v>
      </c>
      <c r="H1909" t="s">
        <v>51</v>
      </c>
      <c r="I1909" t="s">
        <v>11</v>
      </c>
      <c r="J1909" t="str" cm="1">
        <f t="array" ref="J1909">_xlfn.IFS(I1909="S","Southamptom",I1909="Q","Quentown",I1909="C","Cherbrug",I1909="B","Cabin")</f>
        <v>Southamptom</v>
      </c>
      <c r="K1909" t="s">
        <v>15</v>
      </c>
      <c r="L1909" s="2">
        <v>33</v>
      </c>
      <c r="M1909" s="2" t="str" cm="1">
        <f t="array" ref="M1909">_xlfn.IFS(L1909&lt;=15,"Low Fare",L1909&lt;=35,"Medium Fare",L1909&lt;=100,"High Fare",L1909&gt;=100,"Very High Fare")</f>
        <v>Medium Fare</v>
      </c>
      <c r="N1909" s="2">
        <v>1</v>
      </c>
      <c r="O1909" s="2" t="s">
        <v>30</v>
      </c>
      <c r="P1909" t="e">
        <f t="shared" si="117"/>
        <v>#VALUE!</v>
      </c>
      <c r="Q1909" t="e">
        <f t="shared" si="118"/>
        <v>#VALUE!</v>
      </c>
      <c r="R1909" t="str">
        <f t="shared" si="119"/>
        <v>No</v>
      </c>
      <c r="S1909" t="s">
        <v>13</v>
      </c>
    </row>
    <row r="1910" spans="1:19" hidden="1" x14ac:dyDescent="0.3">
      <c r="A1910" s="1" t="s">
        <v>1400</v>
      </c>
      <c r="B1910" t="s">
        <v>1596</v>
      </c>
      <c r="C1910" t="s">
        <v>3025</v>
      </c>
      <c r="D1910" t="str">
        <f t="shared" si="116"/>
        <v>Male</v>
      </c>
      <c r="E1910" t="s">
        <v>9</v>
      </c>
      <c r="F1910" s="2">
        <v>29</v>
      </c>
      <c r="G1910" s="2" t="str" cm="1">
        <f t="array" ref="G1910">_xlfn.IFS(F1910&lt;=8,"Child",F1910&lt;=17,"Teen",F1910&lt;=35,"Adult",F1910&lt;=55,"Seniour Adult",F1910&gt;=55,"Old Age")</f>
        <v>Adult</v>
      </c>
      <c r="H1910" t="s">
        <v>69</v>
      </c>
      <c r="I1910" t="s">
        <v>11</v>
      </c>
      <c r="J1910" t="str" cm="1">
        <f t="array" ref="J1910">_xlfn.IFS(I1910="S","Southamptom",I1910="Q","Quentown",I1910="C","Cherbrug",I1910="B","Cabin")</f>
        <v>Southamptom</v>
      </c>
      <c r="K1910" t="s">
        <v>15</v>
      </c>
      <c r="L1910" s="2">
        <v>33</v>
      </c>
      <c r="M1910" s="2" t="str" cm="1">
        <f t="array" ref="M1910">_xlfn.IFS(L1910&lt;=15,"Low Fare",L1910&lt;=35,"Medium Fare",L1910&lt;=100,"High Fare",L1910&gt;=100,"Very High Fare")</f>
        <v>Medium Fare</v>
      </c>
      <c r="N1910" s="2">
        <v>1</v>
      </c>
      <c r="O1910" s="2" t="s">
        <v>30</v>
      </c>
      <c r="P1910" t="e">
        <f t="shared" si="117"/>
        <v>#VALUE!</v>
      </c>
      <c r="Q1910" t="e">
        <f t="shared" si="118"/>
        <v>#VALUE!</v>
      </c>
      <c r="R1910" t="str">
        <f t="shared" si="119"/>
        <v>No</v>
      </c>
      <c r="S1910" t="s">
        <v>13</v>
      </c>
    </row>
    <row r="1911" spans="1:19" hidden="1" x14ac:dyDescent="0.3">
      <c r="A1911" s="1" t="s">
        <v>1401</v>
      </c>
      <c r="B1911" t="s">
        <v>1596</v>
      </c>
      <c r="C1911" t="s">
        <v>3026</v>
      </c>
      <c r="D1911" t="str">
        <f t="shared" si="116"/>
        <v>Male</v>
      </c>
      <c r="E1911" t="s">
        <v>9</v>
      </c>
      <c r="F1911" s="2">
        <v>45</v>
      </c>
      <c r="G1911" s="2" t="str" cm="1">
        <f t="array" ref="G1911">_xlfn.IFS(F1911&lt;=8,"Child",F1911&lt;=17,"Teen",F1911&lt;=35,"Adult",F1911&lt;=55,"Seniour Adult",F1911&gt;=55,"Old Age")</f>
        <v>Seniour Adult</v>
      </c>
      <c r="H1911" t="s">
        <v>51</v>
      </c>
      <c r="I1911" t="s">
        <v>28</v>
      </c>
      <c r="J1911" t="str" cm="1">
        <f t="array" ref="J1911">_xlfn.IFS(I1911="S","Southamptom",I1911="Q","Quentown",I1911="C","Cherbrug",I1911="B","Cabin")</f>
        <v>Cabin</v>
      </c>
      <c r="K1911" t="s">
        <v>15</v>
      </c>
      <c r="L1911" s="2">
        <v>33</v>
      </c>
      <c r="M1911" s="2" t="str" cm="1">
        <f t="array" ref="M1911">_xlfn.IFS(L1911&lt;=15,"Low Fare",L1911&lt;=35,"Medium Fare",L1911&lt;=100,"High Fare",L1911&gt;=100,"Very High Fare")</f>
        <v>Medium Fare</v>
      </c>
      <c r="N1911" s="2">
        <v>1</v>
      </c>
      <c r="O1911" s="2" t="s">
        <v>30</v>
      </c>
      <c r="P1911" t="e">
        <f t="shared" si="117"/>
        <v>#VALUE!</v>
      </c>
      <c r="Q1911" t="e">
        <f t="shared" si="118"/>
        <v>#VALUE!</v>
      </c>
      <c r="R1911" t="str">
        <f t="shared" si="119"/>
        <v>No</v>
      </c>
      <c r="S1911" t="s">
        <v>13</v>
      </c>
    </row>
    <row r="1912" spans="1:19" hidden="1" x14ac:dyDescent="0.3">
      <c r="A1912" s="1" t="s">
        <v>1402</v>
      </c>
      <c r="B1912" t="s">
        <v>1596</v>
      </c>
      <c r="C1912" t="s">
        <v>1700</v>
      </c>
      <c r="D1912" t="str">
        <f t="shared" si="116"/>
        <v>Male</v>
      </c>
      <c r="E1912" t="s">
        <v>9</v>
      </c>
      <c r="F1912" s="2">
        <v>37</v>
      </c>
      <c r="G1912" s="2" t="str" cm="1">
        <f t="array" ref="G1912">_xlfn.IFS(F1912&lt;=8,"Child",F1912&lt;=17,"Teen",F1912&lt;=35,"Adult",F1912&lt;=55,"Seniour Adult",F1912&gt;=55,"Old Age")</f>
        <v>Seniour Adult</v>
      </c>
      <c r="H1912" t="s">
        <v>69</v>
      </c>
      <c r="I1912" t="s">
        <v>11</v>
      </c>
      <c r="J1912" t="str" cm="1">
        <f t="array" ref="J1912">_xlfn.IFS(I1912="S","Southamptom",I1912="Q","Quentown",I1912="C","Cherbrug",I1912="B","Cabin")</f>
        <v>Southamptom</v>
      </c>
      <c r="K1912" t="s">
        <v>15</v>
      </c>
      <c r="L1912" s="2">
        <v>33</v>
      </c>
      <c r="M1912" s="2" t="str" cm="1">
        <f t="array" ref="M1912">_xlfn.IFS(L1912&lt;=15,"Low Fare",L1912&lt;=35,"Medium Fare",L1912&lt;=100,"High Fare",L1912&gt;=100,"Very High Fare")</f>
        <v>Medium Fare</v>
      </c>
      <c r="N1912" s="2">
        <v>1</v>
      </c>
      <c r="O1912" s="2" t="s">
        <v>30</v>
      </c>
      <c r="P1912" t="e">
        <f t="shared" si="117"/>
        <v>#VALUE!</v>
      </c>
      <c r="Q1912" t="e">
        <f t="shared" si="118"/>
        <v>#VALUE!</v>
      </c>
      <c r="R1912" t="str">
        <f t="shared" si="119"/>
        <v>No</v>
      </c>
      <c r="S1912" t="s">
        <v>13</v>
      </c>
    </row>
    <row r="1913" spans="1:19" hidden="1" x14ac:dyDescent="0.3">
      <c r="A1913" s="1" t="s">
        <v>1402</v>
      </c>
      <c r="B1913" t="s">
        <v>1596</v>
      </c>
      <c r="C1913" t="s">
        <v>3027</v>
      </c>
      <c r="D1913" t="str">
        <f t="shared" si="116"/>
        <v>Male</v>
      </c>
      <c r="E1913" t="s">
        <v>9</v>
      </c>
      <c r="F1913" s="2">
        <v>27</v>
      </c>
      <c r="G1913" s="2" t="str" cm="1">
        <f t="array" ref="G1913">_xlfn.IFS(F1913&lt;=8,"Child",F1913&lt;=17,"Teen",F1913&lt;=35,"Adult",F1913&lt;=55,"Seniour Adult",F1913&gt;=55,"Old Age")</f>
        <v>Adult</v>
      </c>
      <c r="H1913" t="s">
        <v>51</v>
      </c>
      <c r="I1913" t="s">
        <v>28</v>
      </c>
      <c r="J1913" t="str" cm="1">
        <f t="array" ref="J1913">_xlfn.IFS(I1913="S","Southamptom",I1913="Q","Quentown",I1913="C","Cherbrug",I1913="B","Cabin")</f>
        <v>Cabin</v>
      </c>
      <c r="K1913" t="s">
        <v>15</v>
      </c>
      <c r="L1913" s="2">
        <v>33</v>
      </c>
      <c r="M1913" s="2" t="str" cm="1">
        <f t="array" ref="M1913">_xlfn.IFS(L1913&lt;=15,"Low Fare",L1913&lt;=35,"Medium Fare",L1913&lt;=100,"High Fare",L1913&gt;=100,"Very High Fare")</f>
        <v>Medium Fare</v>
      </c>
      <c r="N1913" s="2">
        <v>1</v>
      </c>
      <c r="O1913" s="2" t="s">
        <v>30</v>
      </c>
      <c r="P1913" t="e">
        <f t="shared" si="117"/>
        <v>#VALUE!</v>
      </c>
      <c r="Q1913" t="e">
        <f t="shared" si="118"/>
        <v>#VALUE!</v>
      </c>
      <c r="R1913" t="str">
        <f t="shared" si="119"/>
        <v>No</v>
      </c>
      <c r="S1913" t="s">
        <v>13</v>
      </c>
    </row>
    <row r="1914" spans="1:19" hidden="1" x14ac:dyDescent="0.3">
      <c r="A1914" s="1" t="s">
        <v>1402</v>
      </c>
      <c r="B1914" t="s">
        <v>1596</v>
      </c>
      <c r="C1914" t="s">
        <v>2493</v>
      </c>
      <c r="D1914" t="str">
        <f t="shared" si="116"/>
        <v>Male</v>
      </c>
      <c r="E1914" t="s">
        <v>9</v>
      </c>
      <c r="F1914" s="2">
        <v>18</v>
      </c>
      <c r="G1914" s="2" t="str" cm="1">
        <f t="array" ref="G1914">_xlfn.IFS(F1914&lt;=8,"Child",F1914&lt;=17,"Teen",F1914&lt;=35,"Adult",F1914&lt;=55,"Seniour Adult",F1914&gt;=55,"Old Age")</f>
        <v>Adult</v>
      </c>
      <c r="H1914" t="s">
        <v>69</v>
      </c>
      <c r="I1914" t="s">
        <v>11</v>
      </c>
      <c r="J1914" t="str" cm="1">
        <f t="array" ref="J1914">_xlfn.IFS(I1914="S","Southamptom",I1914="Q","Quentown",I1914="C","Cherbrug",I1914="B","Cabin")</f>
        <v>Southamptom</v>
      </c>
      <c r="K1914" t="s">
        <v>15</v>
      </c>
      <c r="L1914" s="2">
        <v>33</v>
      </c>
      <c r="M1914" s="2" t="str" cm="1">
        <f t="array" ref="M1914">_xlfn.IFS(L1914&lt;=15,"Low Fare",L1914&lt;=35,"Medium Fare",L1914&lt;=100,"High Fare",L1914&gt;=100,"Very High Fare")</f>
        <v>Medium Fare</v>
      </c>
      <c r="N1914" s="2">
        <v>1</v>
      </c>
      <c r="O1914" s="2" t="s">
        <v>30</v>
      </c>
      <c r="P1914" t="e">
        <f t="shared" si="117"/>
        <v>#VALUE!</v>
      </c>
      <c r="Q1914" t="e">
        <f t="shared" si="118"/>
        <v>#VALUE!</v>
      </c>
      <c r="R1914" t="str">
        <f t="shared" si="119"/>
        <v>No</v>
      </c>
      <c r="S1914" t="s">
        <v>13</v>
      </c>
    </row>
    <row r="1915" spans="1:19" hidden="1" x14ac:dyDescent="0.3">
      <c r="A1915" s="1" t="s">
        <v>1403</v>
      </c>
      <c r="B1915" t="s">
        <v>1596</v>
      </c>
      <c r="C1915" t="s">
        <v>3028</v>
      </c>
      <c r="D1915" t="str">
        <f t="shared" si="116"/>
        <v>Male</v>
      </c>
      <c r="E1915" t="s">
        <v>9</v>
      </c>
      <c r="F1915" s="2">
        <v>45</v>
      </c>
      <c r="G1915" s="2" t="str" cm="1">
        <f t="array" ref="G1915">_xlfn.IFS(F1915&lt;=8,"Child",F1915&lt;=17,"Teen",F1915&lt;=35,"Adult",F1915&lt;=55,"Seniour Adult",F1915&gt;=55,"Old Age")</f>
        <v>Seniour Adult</v>
      </c>
      <c r="H1915" t="s">
        <v>71</v>
      </c>
      <c r="I1915" t="s">
        <v>11</v>
      </c>
      <c r="J1915" t="str" cm="1">
        <f t="array" ref="J1915">_xlfn.IFS(I1915="S","Southamptom",I1915="Q","Quentown",I1915="C","Cherbrug",I1915="B","Cabin")</f>
        <v>Southamptom</v>
      </c>
      <c r="K1915" t="s">
        <v>15</v>
      </c>
      <c r="L1915" s="2">
        <v>33</v>
      </c>
      <c r="M1915" s="2" t="str" cm="1">
        <f t="array" ref="M1915">_xlfn.IFS(L1915&lt;=15,"Low Fare",L1915&lt;=35,"Medium Fare",L1915&lt;=100,"High Fare",L1915&gt;=100,"Very High Fare")</f>
        <v>Medium Fare</v>
      </c>
      <c r="N1915" s="2">
        <v>1</v>
      </c>
      <c r="O1915" s="2" t="s">
        <v>30</v>
      </c>
      <c r="P1915" t="e">
        <f t="shared" si="117"/>
        <v>#VALUE!</v>
      </c>
      <c r="Q1915" t="e">
        <f t="shared" si="118"/>
        <v>#VALUE!</v>
      </c>
      <c r="R1915" t="str">
        <f t="shared" si="119"/>
        <v>Yes</v>
      </c>
      <c r="S1915" t="s">
        <v>16</v>
      </c>
    </row>
    <row r="1916" spans="1:19" hidden="1" x14ac:dyDescent="0.3">
      <c r="A1916" s="1" t="s">
        <v>714</v>
      </c>
      <c r="B1916" t="s">
        <v>1596</v>
      </c>
      <c r="C1916" t="s">
        <v>2875</v>
      </c>
      <c r="D1916" t="str">
        <f t="shared" si="116"/>
        <v>Male</v>
      </c>
      <c r="E1916" t="s">
        <v>9</v>
      </c>
      <c r="F1916" s="2">
        <v>24</v>
      </c>
      <c r="G1916" s="2" t="str" cm="1">
        <f t="array" ref="G1916">_xlfn.IFS(F1916&lt;=8,"Child",F1916&lt;=17,"Teen",F1916&lt;=35,"Adult",F1916&lt;=55,"Seniour Adult",F1916&gt;=55,"Old Age")</f>
        <v>Adult</v>
      </c>
      <c r="H1916" t="s">
        <v>69</v>
      </c>
      <c r="I1916" t="s">
        <v>11</v>
      </c>
      <c r="J1916" t="str" cm="1">
        <f t="array" ref="J1916">_xlfn.IFS(I1916="S","Southamptom",I1916="Q","Quentown",I1916="C","Cherbrug",I1916="B","Cabin")</f>
        <v>Southamptom</v>
      </c>
      <c r="K1916" t="s">
        <v>15</v>
      </c>
      <c r="L1916" s="2">
        <v>33</v>
      </c>
      <c r="M1916" s="2" t="str" cm="1">
        <f t="array" ref="M1916">_xlfn.IFS(L1916&lt;=15,"Low Fare",L1916&lt;=35,"Medium Fare",L1916&lt;=100,"High Fare",L1916&gt;=100,"Very High Fare")</f>
        <v>Medium Fare</v>
      </c>
      <c r="N1916" s="2">
        <v>1</v>
      </c>
      <c r="O1916" s="2" t="s">
        <v>30</v>
      </c>
      <c r="P1916" t="e">
        <f t="shared" si="117"/>
        <v>#VALUE!</v>
      </c>
      <c r="Q1916" t="e">
        <f t="shared" si="118"/>
        <v>#VALUE!</v>
      </c>
      <c r="R1916" t="str">
        <f t="shared" si="119"/>
        <v>No</v>
      </c>
      <c r="S1916" t="s">
        <v>13</v>
      </c>
    </row>
    <row r="1917" spans="1:19" hidden="1" x14ac:dyDescent="0.3">
      <c r="A1917" s="1" t="s">
        <v>714</v>
      </c>
      <c r="B1917" t="s">
        <v>1596</v>
      </c>
      <c r="C1917" t="s">
        <v>1610</v>
      </c>
      <c r="D1917" t="str">
        <f t="shared" si="116"/>
        <v>Male</v>
      </c>
      <c r="E1917" t="s">
        <v>9</v>
      </c>
      <c r="F1917" s="2">
        <v>28</v>
      </c>
      <c r="G1917" s="2" t="str" cm="1">
        <f t="array" ref="G1917">_xlfn.IFS(F1917&lt;=8,"Child",F1917&lt;=17,"Teen",F1917&lt;=35,"Adult",F1917&lt;=55,"Seniour Adult",F1917&gt;=55,"Old Age")</f>
        <v>Adult</v>
      </c>
      <c r="H1917" t="s">
        <v>51</v>
      </c>
      <c r="I1917" t="s">
        <v>11</v>
      </c>
      <c r="J1917" t="str" cm="1">
        <f t="array" ref="J1917">_xlfn.IFS(I1917="S","Southamptom",I1917="Q","Quentown",I1917="C","Cherbrug",I1917="B","Cabin")</f>
        <v>Southamptom</v>
      </c>
      <c r="K1917" t="s">
        <v>15</v>
      </c>
      <c r="L1917" s="2">
        <v>33</v>
      </c>
      <c r="M1917" s="2" t="str" cm="1">
        <f t="array" ref="M1917">_xlfn.IFS(L1917&lt;=15,"Low Fare",L1917&lt;=35,"Medium Fare",L1917&lt;=100,"High Fare",L1917&gt;=100,"Very High Fare")</f>
        <v>Medium Fare</v>
      </c>
      <c r="N1917" s="2">
        <v>1</v>
      </c>
      <c r="O1917" s="2" t="s">
        <v>30</v>
      </c>
      <c r="P1917" t="e">
        <f t="shared" si="117"/>
        <v>#VALUE!</v>
      </c>
      <c r="Q1917" t="e">
        <f t="shared" si="118"/>
        <v>#VALUE!</v>
      </c>
      <c r="R1917" t="str">
        <f t="shared" si="119"/>
        <v>Yes</v>
      </c>
      <c r="S1917" t="s">
        <v>16</v>
      </c>
    </row>
    <row r="1918" spans="1:19" hidden="1" x14ac:dyDescent="0.3">
      <c r="A1918" s="1" t="s">
        <v>1404</v>
      </c>
      <c r="B1918" t="s">
        <v>1596</v>
      </c>
      <c r="C1918" t="s">
        <v>3029</v>
      </c>
      <c r="D1918" t="str">
        <f t="shared" si="116"/>
        <v>Male</v>
      </c>
      <c r="E1918" t="s">
        <v>9</v>
      </c>
      <c r="F1918" s="2">
        <v>25</v>
      </c>
      <c r="G1918" s="2" t="str" cm="1">
        <f t="array" ref="G1918">_xlfn.IFS(F1918&lt;=8,"Child",F1918&lt;=17,"Teen",F1918&lt;=35,"Adult",F1918&lt;=55,"Seniour Adult",F1918&gt;=55,"Old Age")</f>
        <v>Adult</v>
      </c>
      <c r="H1918" t="s">
        <v>69</v>
      </c>
      <c r="I1918" t="s">
        <v>11</v>
      </c>
      <c r="J1918" t="str" cm="1">
        <f t="array" ref="J1918">_xlfn.IFS(I1918="S","Southamptom",I1918="Q","Quentown",I1918="C","Cherbrug",I1918="B","Cabin")</f>
        <v>Southamptom</v>
      </c>
      <c r="K1918" t="s">
        <v>15</v>
      </c>
      <c r="L1918" s="2">
        <v>33</v>
      </c>
      <c r="M1918" s="2" t="str" cm="1">
        <f t="array" ref="M1918">_xlfn.IFS(L1918&lt;=15,"Low Fare",L1918&lt;=35,"Medium Fare",L1918&lt;=100,"High Fare",L1918&gt;=100,"Very High Fare")</f>
        <v>Medium Fare</v>
      </c>
      <c r="N1918" s="2">
        <v>1</v>
      </c>
      <c r="O1918" s="2" t="s">
        <v>30</v>
      </c>
      <c r="P1918" t="e">
        <f t="shared" si="117"/>
        <v>#VALUE!</v>
      </c>
      <c r="Q1918" t="e">
        <f t="shared" si="118"/>
        <v>#VALUE!</v>
      </c>
      <c r="R1918" t="str">
        <f t="shared" si="119"/>
        <v>Yes</v>
      </c>
      <c r="S1918" t="s">
        <v>16</v>
      </c>
    </row>
    <row r="1919" spans="1:19" hidden="1" x14ac:dyDescent="0.3">
      <c r="A1919" s="1" t="s">
        <v>1405</v>
      </c>
      <c r="B1919" t="s">
        <v>2719</v>
      </c>
      <c r="C1919" t="s">
        <v>3030</v>
      </c>
      <c r="D1919" t="str">
        <f t="shared" si="116"/>
        <v>Male</v>
      </c>
      <c r="E1919" t="s">
        <v>9</v>
      </c>
      <c r="F1919" s="2">
        <v>21</v>
      </c>
      <c r="G1919" s="2" t="str" cm="1">
        <f t="array" ref="G1919">_xlfn.IFS(F1919&lt;=8,"Child",F1919&lt;=17,"Teen",F1919&lt;=35,"Adult",F1919&lt;=55,"Seniour Adult",F1919&gt;=55,"Old Age")</f>
        <v>Adult</v>
      </c>
      <c r="H1919" t="s">
        <v>70</v>
      </c>
      <c r="I1919" t="s">
        <v>11</v>
      </c>
      <c r="J1919" t="str" cm="1">
        <f t="array" ref="J1919">_xlfn.IFS(I1919="S","Southamptom",I1919="Q","Quentown",I1919="C","Cherbrug",I1919="B","Cabin")</f>
        <v>Southamptom</v>
      </c>
      <c r="K1919" t="s">
        <v>15</v>
      </c>
      <c r="L1919" s="2">
        <v>33</v>
      </c>
      <c r="M1919" s="2" t="str" cm="1">
        <f t="array" ref="M1919">_xlfn.IFS(L1919&lt;=15,"Low Fare",L1919&lt;=35,"Medium Fare",L1919&lt;=100,"High Fare",L1919&gt;=100,"Very High Fare")</f>
        <v>Medium Fare</v>
      </c>
      <c r="N1919" s="2">
        <v>1</v>
      </c>
      <c r="O1919" s="2" t="s">
        <v>30</v>
      </c>
      <c r="P1919" t="e">
        <f t="shared" si="117"/>
        <v>#VALUE!</v>
      </c>
      <c r="Q1919" t="e">
        <f t="shared" si="118"/>
        <v>#VALUE!</v>
      </c>
      <c r="R1919" t="str">
        <f t="shared" si="119"/>
        <v>No</v>
      </c>
      <c r="S1919" t="s">
        <v>13</v>
      </c>
    </row>
    <row r="1920" spans="1:19" hidden="1" x14ac:dyDescent="0.3">
      <c r="A1920" s="1" t="s">
        <v>1406</v>
      </c>
      <c r="B1920" t="s">
        <v>1596</v>
      </c>
      <c r="C1920" t="s">
        <v>2038</v>
      </c>
      <c r="D1920" t="str">
        <f t="shared" si="116"/>
        <v>Male</v>
      </c>
      <c r="E1920" t="s">
        <v>9</v>
      </c>
      <c r="F1920" s="2">
        <v>39</v>
      </c>
      <c r="G1920" s="2" t="str" cm="1">
        <f t="array" ref="G1920">_xlfn.IFS(F1920&lt;=8,"Child",F1920&lt;=17,"Teen",F1920&lt;=35,"Adult",F1920&lt;=55,"Seniour Adult",F1920&gt;=55,"Old Age")</f>
        <v>Seniour Adult</v>
      </c>
      <c r="H1920" t="s">
        <v>51</v>
      </c>
      <c r="I1920" t="s">
        <v>11</v>
      </c>
      <c r="J1920" t="str" cm="1">
        <f t="array" ref="J1920">_xlfn.IFS(I1920="S","Southamptom",I1920="Q","Quentown",I1920="C","Cherbrug",I1920="B","Cabin")</f>
        <v>Southamptom</v>
      </c>
      <c r="K1920" t="s">
        <v>15</v>
      </c>
      <c r="L1920" s="2">
        <v>33</v>
      </c>
      <c r="M1920" s="2" t="str" cm="1">
        <f t="array" ref="M1920">_xlfn.IFS(L1920&lt;=15,"Low Fare",L1920&lt;=35,"Medium Fare",L1920&lt;=100,"High Fare",L1920&gt;=100,"Very High Fare")</f>
        <v>Medium Fare</v>
      </c>
      <c r="N1920" s="2">
        <v>1</v>
      </c>
      <c r="O1920" s="2" t="s">
        <v>30</v>
      </c>
      <c r="P1920" t="e">
        <f t="shared" si="117"/>
        <v>#VALUE!</v>
      </c>
      <c r="Q1920" t="e">
        <f t="shared" si="118"/>
        <v>#VALUE!</v>
      </c>
      <c r="R1920" t="str">
        <f t="shared" si="119"/>
        <v>Yes</v>
      </c>
      <c r="S1920" t="s">
        <v>16</v>
      </c>
    </row>
    <row r="1921" spans="1:19" hidden="1" x14ac:dyDescent="0.3">
      <c r="A1921" s="1" t="s">
        <v>1407</v>
      </c>
      <c r="B1921" t="s">
        <v>1596</v>
      </c>
      <c r="C1921" t="s">
        <v>3031</v>
      </c>
      <c r="D1921" t="str">
        <f t="shared" si="116"/>
        <v>Male</v>
      </c>
      <c r="E1921" t="s">
        <v>9</v>
      </c>
      <c r="F1921" s="2">
        <v>34</v>
      </c>
      <c r="G1921" s="2" t="str" cm="1">
        <f t="array" ref="G1921">_xlfn.IFS(F1921&lt;=8,"Child",F1921&lt;=17,"Teen",F1921&lt;=35,"Adult",F1921&lt;=55,"Seniour Adult",F1921&gt;=55,"Old Age")</f>
        <v>Adult</v>
      </c>
      <c r="H1921" t="s">
        <v>69</v>
      </c>
      <c r="I1921" t="s">
        <v>11</v>
      </c>
      <c r="J1921" t="str" cm="1">
        <f t="array" ref="J1921">_xlfn.IFS(I1921="S","Southamptom",I1921="Q","Quentown",I1921="C","Cherbrug",I1921="B","Cabin")</f>
        <v>Southamptom</v>
      </c>
      <c r="K1921" t="s">
        <v>15</v>
      </c>
      <c r="L1921" s="2">
        <v>33</v>
      </c>
      <c r="M1921" s="2" t="str" cm="1">
        <f t="array" ref="M1921">_xlfn.IFS(L1921&lt;=15,"Low Fare",L1921&lt;=35,"Medium Fare",L1921&lt;=100,"High Fare",L1921&gt;=100,"Very High Fare")</f>
        <v>Medium Fare</v>
      </c>
      <c r="N1921" s="2">
        <v>1</v>
      </c>
      <c r="O1921" s="2" t="s">
        <v>30</v>
      </c>
      <c r="P1921" t="e">
        <f t="shared" si="117"/>
        <v>#VALUE!</v>
      </c>
      <c r="Q1921" t="e">
        <f t="shared" si="118"/>
        <v>#VALUE!</v>
      </c>
      <c r="R1921" t="str">
        <f t="shared" si="119"/>
        <v>No</v>
      </c>
      <c r="S1921" t="s">
        <v>13</v>
      </c>
    </row>
    <row r="1922" spans="1:19" hidden="1" x14ac:dyDescent="0.3">
      <c r="A1922" s="1" t="s">
        <v>1408</v>
      </c>
      <c r="B1922" t="s">
        <v>1596</v>
      </c>
      <c r="C1922" t="s">
        <v>3032</v>
      </c>
      <c r="D1922" t="str">
        <f t="shared" si="116"/>
        <v>Male</v>
      </c>
      <c r="E1922" t="s">
        <v>9</v>
      </c>
      <c r="F1922" s="2">
        <v>31</v>
      </c>
      <c r="G1922" s="2" t="str" cm="1">
        <f t="array" ref="G1922">_xlfn.IFS(F1922&lt;=8,"Child",F1922&lt;=17,"Teen",F1922&lt;=35,"Adult",F1922&lt;=55,"Seniour Adult",F1922&gt;=55,"Old Age")</f>
        <v>Adult</v>
      </c>
      <c r="H1922" t="s">
        <v>69</v>
      </c>
      <c r="I1922" t="s">
        <v>11</v>
      </c>
      <c r="J1922" t="str" cm="1">
        <f t="array" ref="J1922">_xlfn.IFS(I1922="S","Southamptom",I1922="Q","Quentown",I1922="C","Cherbrug",I1922="B","Cabin")</f>
        <v>Southamptom</v>
      </c>
      <c r="K1922" t="s">
        <v>15</v>
      </c>
      <c r="L1922" s="2">
        <v>33</v>
      </c>
      <c r="M1922" s="2" t="str" cm="1">
        <f t="array" ref="M1922">_xlfn.IFS(L1922&lt;=15,"Low Fare",L1922&lt;=35,"Medium Fare",L1922&lt;=100,"High Fare",L1922&gt;=100,"Very High Fare")</f>
        <v>Medium Fare</v>
      </c>
      <c r="N1922" s="2">
        <v>1</v>
      </c>
      <c r="O1922" s="2" t="s">
        <v>30</v>
      </c>
      <c r="P1922" t="e">
        <f t="shared" si="117"/>
        <v>#VALUE!</v>
      </c>
      <c r="Q1922" t="e">
        <f t="shared" si="118"/>
        <v>#VALUE!</v>
      </c>
      <c r="R1922" t="str">
        <f t="shared" si="119"/>
        <v>No</v>
      </c>
      <c r="S1922" t="s">
        <v>13</v>
      </c>
    </row>
    <row r="1923" spans="1:19" hidden="1" x14ac:dyDescent="0.3">
      <c r="A1923" s="1" t="s">
        <v>1409</v>
      </c>
      <c r="B1923" t="s">
        <v>1596</v>
      </c>
      <c r="C1923" t="s">
        <v>3033</v>
      </c>
      <c r="D1923" t="str">
        <f t="shared" ref="D1923:D1986" si="120">PROPER(E1923)</f>
        <v>Male</v>
      </c>
      <c r="E1923" t="s">
        <v>9</v>
      </c>
      <c r="F1923" s="2">
        <v>49</v>
      </c>
      <c r="G1923" s="2" t="str" cm="1">
        <f t="array" ref="G1923">_xlfn.IFS(F1923&lt;=8,"Child",F1923&lt;=17,"Teen",F1923&lt;=35,"Adult",F1923&lt;=55,"Seniour Adult",F1923&gt;=55,"Old Age")</f>
        <v>Seniour Adult</v>
      </c>
      <c r="H1923" t="s">
        <v>69</v>
      </c>
      <c r="I1923" t="s">
        <v>28</v>
      </c>
      <c r="J1923" t="str" cm="1">
        <f t="array" ref="J1923">_xlfn.IFS(I1923="S","Southamptom",I1923="Q","Quentown",I1923="C","Cherbrug",I1923="B","Cabin")</f>
        <v>Cabin</v>
      </c>
      <c r="K1923" t="s">
        <v>15</v>
      </c>
      <c r="L1923" s="2">
        <v>33</v>
      </c>
      <c r="M1923" s="2" t="str" cm="1">
        <f t="array" ref="M1923">_xlfn.IFS(L1923&lt;=15,"Low Fare",L1923&lt;=35,"Medium Fare",L1923&lt;=100,"High Fare",L1923&gt;=100,"Very High Fare")</f>
        <v>Medium Fare</v>
      </c>
      <c r="N1923" s="2">
        <v>1</v>
      </c>
      <c r="O1923" s="2" t="s">
        <v>30</v>
      </c>
      <c r="P1923" t="e">
        <f t="shared" ref="P1923:P1986" si="121">N1923+O1923+1</f>
        <v>#VALUE!</v>
      </c>
      <c r="Q1923" t="e">
        <f t="shared" ref="Q1923:Q1986" si="122">IF(P1923=1,"Alone","With Family")</f>
        <v>#VALUE!</v>
      </c>
      <c r="R1923" t="str">
        <f t="shared" ref="R1923:R1986" si="123">PROPER(S1923)</f>
        <v>No</v>
      </c>
      <c r="S1923" t="s">
        <v>13</v>
      </c>
    </row>
    <row r="1924" spans="1:19" hidden="1" x14ac:dyDescent="0.3">
      <c r="A1924" s="1" t="s">
        <v>1410</v>
      </c>
      <c r="B1924" t="s">
        <v>2719</v>
      </c>
      <c r="C1924" t="s">
        <v>3034</v>
      </c>
      <c r="D1924" t="str">
        <f t="shared" si="120"/>
        <v>Male</v>
      </c>
      <c r="E1924" t="s">
        <v>9</v>
      </c>
      <c r="F1924" s="2">
        <v>20</v>
      </c>
      <c r="G1924" s="2" t="str" cm="1">
        <f t="array" ref="G1924">_xlfn.IFS(F1924&lt;=8,"Child",F1924&lt;=17,"Teen",F1924&lt;=35,"Adult",F1924&lt;=55,"Seniour Adult",F1924&gt;=55,"Old Age")</f>
        <v>Adult</v>
      </c>
      <c r="H1924" t="s">
        <v>70</v>
      </c>
      <c r="I1924" t="s">
        <v>11</v>
      </c>
      <c r="J1924" t="str" cm="1">
        <f t="array" ref="J1924">_xlfn.IFS(I1924="S","Southamptom",I1924="Q","Quentown",I1924="C","Cherbrug",I1924="B","Cabin")</f>
        <v>Southamptom</v>
      </c>
      <c r="K1924" t="s">
        <v>15</v>
      </c>
      <c r="L1924" s="2">
        <v>33</v>
      </c>
      <c r="M1924" s="2" t="str" cm="1">
        <f t="array" ref="M1924">_xlfn.IFS(L1924&lt;=15,"Low Fare",L1924&lt;=35,"Medium Fare",L1924&lt;=100,"High Fare",L1924&gt;=100,"Very High Fare")</f>
        <v>Medium Fare</v>
      </c>
      <c r="N1924" s="2">
        <v>1</v>
      </c>
      <c r="O1924" s="2" t="s">
        <v>30</v>
      </c>
      <c r="P1924" t="e">
        <f t="shared" si="121"/>
        <v>#VALUE!</v>
      </c>
      <c r="Q1924" t="e">
        <f t="shared" si="122"/>
        <v>#VALUE!</v>
      </c>
      <c r="R1924" t="str">
        <f t="shared" si="123"/>
        <v>No</v>
      </c>
      <c r="S1924" t="s">
        <v>13</v>
      </c>
    </row>
    <row r="1925" spans="1:19" hidden="1" x14ac:dyDescent="0.3">
      <c r="A1925" s="1" t="s">
        <v>1410</v>
      </c>
      <c r="B1925" t="s">
        <v>2719</v>
      </c>
      <c r="C1925" t="s">
        <v>1910</v>
      </c>
      <c r="D1925" t="str">
        <f t="shared" si="120"/>
        <v>Male</v>
      </c>
      <c r="E1925" t="s">
        <v>9</v>
      </c>
      <c r="F1925" s="2">
        <v>17</v>
      </c>
      <c r="G1925" s="2" t="str" cm="1">
        <f t="array" ref="G1925">_xlfn.IFS(F1925&lt;=8,"Child",F1925&lt;=17,"Teen",F1925&lt;=35,"Adult",F1925&lt;=55,"Seniour Adult",F1925&gt;=55,"Old Age")</f>
        <v>Teen</v>
      </c>
      <c r="H1925" t="s">
        <v>70</v>
      </c>
      <c r="I1925" t="s">
        <v>11</v>
      </c>
      <c r="J1925" t="str" cm="1">
        <f t="array" ref="J1925">_xlfn.IFS(I1925="S","Southamptom",I1925="Q","Quentown",I1925="C","Cherbrug",I1925="B","Cabin")</f>
        <v>Southamptom</v>
      </c>
      <c r="K1925" t="s">
        <v>15</v>
      </c>
      <c r="L1925" s="2">
        <v>33</v>
      </c>
      <c r="M1925" s="2" t="str" cm="1">
        <f t="array" ref="M1925">_xlfn.IFS(L1925&lt;=15,"Low Fare",L1925&lt;=35,"Medium Fare",L1925&lt;=100,"High Fare",L1925&gt;=100,"Very High Fare")</f>
        <v>Medium Fare</v>
      </c>
      <c r="N1925" s="2">
        <v>1</v>
      </c>
      <c r="O1925" s="2" t="s">
        <v>30</v>
      </c>
      <c r="P1925" t="e">
        <f t="shared" si="121"/>
        <v>#VALUE!</v>
      </c>
      <c r="Q1925" t="e">
        <f t="shared" si="122"/>
        <v>#VALUE!</v>
      </c>
      <c r="R1925" t="str">
        <f t="shared" si="123"/>
        <v>No</v>
      </c>
      <c r="S1925" t="s">
        <v>13</v>
      </c>
    </row>
    <row r="1926" spans="1:19" hidden="1" x14ac:dyDescent="0.3">
      <c r="A1926" s="1" t="s">
        <v>1411</v>
      </c>
      <c r="B1926" t="s">
        <v>1596</v>
      </c>
      <c r="C1926" t="s">
        <v>3035</v>
      </c>
      <c r="D1926" t="str">
        <f t="shared" si="120"/>
        <v>Male</v>
      </c>
      <c r="E1926" t="s">
        <v>9</v>
      </c>
      <c r="F1926" s="2">
        <v>22</v>
      </c>
      <c r="G1926" s="2" t="str" cm="1">
        <f t="array" ref="G1926">_xlfn.IFS(F1926&lt;=8,"Child",F1926&lt;=17,"Teen",F1926&lt;=35,"Adult",F1926&lt;=55,"Seniour Adult",F1926&gt;=55,"Old Age")</f>
        <v>Adult</v>
      </c>
      <c r="H1926" t="s">
        <v>69</v>
      </c>
      <c r="I1926" t="s">
        <v>11</v>
      </c>
      <c r="J1926" t="str" cm="1">
        <f t="array" ref="J1926">_xlfn.IFS(I1926="S","Southamptom",I1926="Q","Quentown",I1926="C","Cherbrug",I1926="B","Cabin")</f>
        <v>Southamptom</v>
      </c>
      <c r="K1926" t="s">
        <v>15</v>
      </c>
      <c r="L1926" s="2">
        <v>33</v>
      </c>
      <c r="M1926" s="2" t="str" cm="1">
        <f t="array" ref="M1926">_xlfn.IFS(L1926&lt;=15,"Low Fare",L1926&lt;=35,"Medium Fare",L1926&lt;=100,"High Fare",L1926&gt;=100,"Very High Fare")</f>
        <v>Medium Fare</v>
      </c>
      <c r="N1926" s="2">
        <v>1</v>
      </c>
      <c r="O1926" s="2" t="s">
        <v>30</v>
      </c>
      <c r="P1926" t="e">
        <f t="shared" si="121"/>
        <v>#VALUE!</v>
      </c>
      <c r="Q1926" t="e">
        <f t="shared" si="122"/>
        <v>#VALUE!</v>
      </c>
      <c r="R1926" t="str">
        <f t="shared" si="123"/>
        <v>No</v>
      </c>
      <c r="S1926" t="s">
        <v>13</v>
      </c>
    </row>
    <row r="1927" spans="1:19" hidden="1" x14ac:dyDescent="0.3">
      <c r="A1927" s="1" t="s">
        <v>1412</v>
      </c>
      <c r="B1927" t="s">
        <v>1596</v>
      </c>
      <c r="C1927" t="s">
        <v>2639</v>
      </c>
      <c r="D1927" t="str">
        <f t="shared" si="120"/>
        <v>Male</v>
      </c>
      <c r="E1927" t="s">
        <v>9</v>
      </c>
      <c r="F1927" s="2">
        <v>37</v>
      </c>
      <c r="G1927" s="2" t="str" cm="1">
        <f t="array" ref="G1927">_xlfn.IFS(F1927&lt;=8,"Child",F1927&lt;=17,"Teen",F1927&lt;=35,"Adult",F1927&lt;=55,"Seniour Adult",F1927&gt;=55,"Old Age")</f>
        <v>Seniour Adult</v>
      </c>
      <c r="H1927" t="s">
        <v>71</v>
      </c>
      <c r="I1927" t="s">
        <v>28</v>
      </c>
      <c r="J1927" t="str" cm="1">
        <f t="array" ref="J1927">_xlfn.IFS(I1927="S","Southamptom",I1927="Q","Quentown",I1927="C","Cherbrug",I1927="B","Cabin")</f>
        <v>Cabin</v>
      </c>
      <c r="K1927" t="s">
        <v>15</v>
      </c>
      <c r="L1927" s="2">
        <v>33</v>
      </c>
      <c r="M1927" s="2" t="str" cm="1">
        <f t="array" ref="M1927">_xlfn.IFS(L1927&lt;=15,"Low Fare",L1927&lt;=35,"Medium Fare",L1927&lt;=100,"High Fare",L1927&gt;=100,"Very High Fare")</f>
        <v>Medium Fare</v>
      </c>
      <c r="N1927" s="2">
        <v>1</v>
      </c>
      <c r="O1927" s="2" t="s">
        <v>30</v>
      </c>
      <c r="P1927" t="e">
        <f t="shared" si="121"/>
        <v>#VALUE!</v>
      </c>
      <c r="Q1927" t="e">
        <f t="shared" si="122"/>
        <v>#VALUE!</v>
      </c>
      <c r="R1927" t="str">
        <f t="shared" si="123"/>
        <v>Yes</v>
      </c>
      <c r="S1927" t="s">
        <v>16</v>
      </c>
    </row>
    <row r="1928" spans="1:19" hidden="1" x14ac:dyDescent="0.3">
      <c r="A1928" s="1" t="s">
        <v>1413</v>
      </c>
      <c r="B1928" t="s">
        <v>2719</v>
      </c>
      <c r="C1928" t="s">
        <v>3036</v>
      </c>
      <c r="D1928" t="str">
        <f t="shared" si="120"/>
        <v>Male</v>
      </c>
      <c r="E1928" t="s">
        <v>9</v>
      </c>
      <c r="F1928" s="2">
        <v>20</v>
      </c>
      <c r="G1928" s="2" t="str" cm="1">
        <f t="array" ref="G1928">_xlfn.IFS(F1928&lt;=8,"Child",F1928&lt;=17,"Teen",F1928&lt;=35,"Adult",F1928&lt;=55,"Seniour Adult",F1928&gt;=55,"Old Age")</f>
        <v>Adult</v>
      </c>
      <c r="H1928" t="s">
        <v>70</v>
      </c>
      <c r="I1928" t="s">
        <v>11</v>
      </c>
      <c r="J1928" t="str" cm="1">
        <f t="array" ref="J1928">_xlfn.IFS(I1928="S","Southamptom",I1928="Q","Quentown",I1928="C","Cherbrug",I1928="B","Cabin")</f>
        <v>Southamptom</v>
      </c>
      <c r="K1928" t="s">
        <v>15</v>
      </c>
      <c r="L1928" s="2">
        <v>33</v>
      </c>
      <c r="M1928" s="2" t="str" cm="1">
        <f t="array" ref="M1928">_xlfn.IFS(L1928&lt;=15,"Low Fare",L1928&lt;=35,"Medium Fare",L1928&lt;=100,"High Fare",L1928&gt;=100,"Very High Fare")</f>
        <v>Medium Fare</v>
      </c>
      <c r="N1928" s="2">
        <v>1</v>
      </c>
      <c r="O1928" s="2" t="s">
        <v>30</v>
      </c>
      <c r="P1928" t="e">
        <f t="shared" si="121"/>
        <v>#VALUE!</v>
      </c>
      <c r="Q1928" t="e">
        <f t="shared" si="122"/>
        <v>#VALUE!</v>
      </c>
      <c r="R1928" t="str">
        <f t="shared" si="123"/>
        <v>No</v>
      </c>
      <c r="S1928" t="s">
        <v>13</v>
      </c>
    </row>
    <row r="1929" spans="1:19" hidden="1" x14ac:dyDescent="0.3">
      <c r="A1929" s="1" t="s">
        <v>1414</v>
      </c>
      <c r="B1929" t="s">
        <v>1596</v>
      </c>
      <c r="C1929" t="s">
        <v>2963</v>
      </c>
      <c r="D1929" t="str">
        <f t="shared" si="120"/>
        <v>Male</v>
      </c>
      <c r="E1929" t="s">
        <v>9</v>
      </c>
      <c r="F1929" s="2">
        <v>48</v>
      </c>
      <c r="G1929" s="2" t="str" cm="1">
        <f t="array" ref="G1929">_xlfn.IFS(F1929&lt;=8,"Child",F1929&lt;=17,"Teen",F1929&lt;=35,"Adult",F1929&lt;=55,"Seniour Adult",F1929&gt;=55,"Old Age")</f>
        <v>Seniour Adult</v>
      </c>
      <c r="H1929" t="s">
        <v>69</v>
      </c>
      <c r="I1929" t="s">
        <v>11</v>
      </c>
      <c r="J1929" t="str" cm="1">
        <f t="array" ref="J1929">_xlfn.IFS(I1929="S","Southamptom",I1929="Q","Quentown",I1929="C","Cherbrug",I1929="B","Cabin")</f>
        <v>Southamptom</v>
      </c>
      <c r="K1929" t="s">
        <v>15</v>
      </c>
      <c r="L1929" s="2">
        <v>33</v>
      </c>
      <c r="M1929" s="2" t="str" cm="1">
        <f t="array" ref="M1929">_xlfn.IFS(L1929&lt;=15,"Low Fare",L1929&lt;=35,"Medium Fare",L1929&lt;=100,"High Fare",L1929&gt;=100,"Very High Fare")</f>
        <v>Medium Fare</v>
      </c>
      <c r="N1929" s="2">
        <v>1</v>
      </c>
      <c r="O1929" s="2" t="s">
        <v>30</v>
      </c>
      <c r="P1929" t="e">
        <f t="shared" si="121"/>
        <v>#VALUE!</v>
      </c>
      <c r="Q1929" t="e">
        <f t="shared" si="122"/>
        <v>#VALUE!</v>
      </c>
      <c r="R1929" t="str">
        <f t="shared" si="123"/>
        <v>No</v>
      </c>
      <c r="S1929" t="s">
        <v>13</v>
      </c>
    </row>
    <row r="1930" spans="1:19" hidden="1" x14ac:dyDescent="0.3">
      <c r="A1930" s="1" t="s">
        <v>1415</v>
      </c>
      <c r="B1930" t="s">
        <v>1596</v>
      </c>
      <c r="C1930" t="s">
        <v>3037</v>
      </c>
      <c r="D1930" t="str">
        <f t="shared" si="120"/>
        <v>Male</v>
      </c>
      <c r="E1930" t="s">
        <v>9</v>
      </c>
      <c r="F1930" s="2">
        <v>32</v>
      </c>
      <c r="G1930" s="2" t="str" cm="1">
        <f t="array" ref="G1930">_xlfn.IFS(F1930&lt;=8,"Child",F1930&lt;=17,"Teen",F1930&lt;=35,"Adult",F1930&lt;=55,"Seniour Adult",F1930&gt;=55,"Old Age")</f>
        <v>Adult</v>
      </c>
      <c r="H1930" t="s">
        <v>69</v>
      </c>
      <c r="I1930" t="s">
        <v>11</v>
      </c>
      <c r="J1930" t="str" cm="1">
        <f t="array" ref="J1930">_xlfn.IFS(I1930="S","Southamptom",I1930="Q","Quentown",I1930="C","Cherbrug",I1930="B","Cabin")</f>
        <v>Southamptom</v>
      </c>
      <c r="K1930" t="s">
        <v>15</v>
      </c>
      <c r="L1930" s="2">
        <v>33</v>
      </c>
      <c r="M1930" s="2" t="str" cm="1">
        <f t="array" ref="M1930">_xlfn.IFS(L1930&lt;=15,"Low Fare",L1930&lt;=35,"Medium Fare",L1930&lt;=100,"High Fare",L1930&gt;=100,"Very High Fare")</f>
        <v>Medium Fare</v>
      </c>
      <c r="N1930" s="2">
        <v>1</v>
      </c>
      <c r="O1930" s="2" t="s">
        <v>30</v>
      </c>
      <c r="P1930" t="e">
        <f t="shared" si="121"/>
        <v>#VALUE!</v>
      </c>
      <c r="Q1930" t="e">
        <f t="shared" si="122"/>
        <v>#VALUE!</v>
      </c>
      <c r="R1930" t="str">
        <f t="shared" si="123"/>
        <v>No</v>
      </c>
      <c r="S1930" t="s">
        <v>13</v>
      </c>
    </row>
    <row r="1931" spans="1:19" hidden="1" x14ac:dyDescent="0.3">
      <c r="A1931" s="1" t="s">
        <v>1416</v>
      </c>
      <c r="B1931" t="s">
        <v>1596</v>
      </c>
      <c r="C1931" t="s">
        <v>3038</v>
      </c>
      <c r="D1931" t="str">
        <f t="shared" si="120"/>
        <v>Male</v>
      </c>
      <c r="E1931" t="s">
        <v>9</v>
      </c>
      <c r="F1931" s="2">
        <v>19</v>
      </c>
      <c r="G1931" s="2" t="str" cm="1">
        <f t="array" ref="G1931">_xlfn.IFS(F1931&lt;=8,"Child",F1931&lt;=17,"Teen",F1931&lt;=35,"Adult",F1931&lt;=55,"Seniour Adult",F1931&gt;=55,"Old Age")</f>
        <v>Adult</v>
      </c>
      <c r="H1931" t="s">
        <v>51</v>
      </c>
      <c r="I1931" t="s">
        <v>11</v>
      </c>
      <c r="J1931" t="str" cm="1">
        <f t="array" ref="J1931">_xlfn.IFS(I1931="S","Southamptom",I1931="Q","Quentown",I1931="C","Cherbrug",I1931="B","Cabin")</f>
        <v>Southamptom</v>
      </c>
      <c r="K1931" t="s">
        <v>15</v>
      </c>
      <c r="L1931" s="2">
        <v>33</v>
      </c>
      <c r="M1931" s="2" t="str" cm="1">
        <f t="array" ref="M1931">_xlfn.IFS(L1931&lt;=15,"Low Fare",L1931&lt;=35,"Medium Fare",L1931&lt;=100,"High Fare",L1931&gt;=100,"Very High Fare")</f>
        <v>Medium Fare</v>
      </c>
      <c r="N1931" s="2">
        <v>1</v>
      </c>
      <c r="O1931" s="2" t="s">
        <v>30</v>
      </c>
      <c r="P1931" t="e">
        <f t="shared" si="121"/>
        <v>#VALUE!</v>
      </c>
      <c r="Q1931" t="e">
        <f t="shared" si="122"/>
        <v>#VALUE!</v>
      </c>
      <c r="R1931" t="str">
        <f t="shared" si="123"/>
        <v>Yes</v>
      </c>
      <c r="S1931" t="s">
        <v>16</v>
      </c>
    </row>
    <row r="1932" spans="1:19" hidden="1" x14ac:dyDescent="0.3">
      <c r="A1932" s="1" t="s">
        <v>1416</v>
      </c>
      <c r="B1932" t="s">
        <v>1596</v>
      </c>
      <c r="C1932" t="s">
        <v>3039</v>
      </c>
      <c r="D1932" t="str">
        <f t="shared" si="120"/>
        <v>Male</v>
      </c>
      <c r="E1932" t="s">
        <v>9</v>
      </c>
      <c r="F1932" s="2">
        <v>23</v>
      </c>
      <c r="G1932" s="2" t="str" cm="1">
        <f t="array" ref="G1932">_xlfn.IFS(F1932&lt;=8,"Child",F1932&lt;=17,"Teen",F1932&lt;=35,"Adult",F1932&lt;=55,"Seniour Adult",F1932&gt;=55,"Old Age")</f>
        <v>Adult</v>
      </c>
      <c r="H1932" t="s">
        <v>51</v>
      </c>
      <c r="I1932" t="s">
        <v>11</v>
      </c>
      <c r="J1932" t="str" cm="1">
        <f t="array" ref="J1932">_xlfn.IFS(I1932="S","Southamptom",I1932="Q","Quentown",I1932="C","Cherbrug",I1932="B","Cabin")</f>
        <v>Southamptom</v>
      </c>
      <c r="K1932" t="s">
        <v>15</v>
      </c>
      <c r="L1932" s="2">
        <v>33</v>
      </c>
      <c r="M1932" s="2" t="str" cm="1">
        <f t="array" ref="M1932">_xlfn.IFS(L1932&lt;=15,"Low Fare",L1932&lt;=35,"Medium Fare",L1932&lt;=100,"High Fare",L1932&gt;=100,"Very High Fare")</f>
        <v>Medium Fare</v>
      </c>
      <c r="N1932" s="2">
        <v>1</v>
      </c>
      <c r="O1932" s="2" t="s">
        <v>30</v>
      </c>
      <c r="P1932" t="e">
        <f t="shared" si="121"/>
        <v>#VALUE!</v>
      </c>
      <c r="Q1932" t="e">
        <f t="shared" si="122"/>
        <v>#VALUE!</v>
      </c>
      <c r="R1932" t="str">
        <f t="shared" si="123"/>
        <v>No</v>
      </c>
      <c r="S1932" t="s">
        <v>13</v>
      </c>
    </row>
    <row r="1933" spans="1:19" hidden="1" x14ac:dyDescent="0.3">
      <c r="A1933" s="1" t="s">
        <v>730</v>
      </c>
      <c r="B1933" t="s">
        <v>1596</v>
      </c>
      <c r="C1933" t="s">
        <v>3040</v>
      </c>
      <c r="D1933" t="str">
        <f t="shared" si="120"/>
        <v>Male</v>
      </c>
      <c r="E1933" t="s">
        <v>9</v>
      </c>
      <c r="F1933" s="2">
        <v>26</v>
      </c>
      <c r="G1933" s="2" t="str" cm="1">
        <f t="array" ref="G1933">_xlfn.IFS(F1933&lt;=8,"Child",F1933&lt;=17,"Teen",F1933&lt;=35,"Adult",F1933&lt;=55,"Seniour Adult",F1933&gt;=55,"Old Age")</f>
        <v>Adult</v>
      </c>
      <c r="H1933" t="s">
        <v>71</v>
      </c>
      <c r="I1933" t="s">
        <v>11</v>
      </c>
      <c r="J1933" t="str" cm="1">
        <f t="array" ref="J1933">_xlfn.IFS(I1933="S","Southamptom",I1933="Q","Quentown",I1933="C","Cherbrug",I1933="B","Cabin")</f>
        <v>Southamptom</v>
      </c>
      <c r="K1933" t="s">
        <v>15</v>
      </c>
      <c r="L1933" s="2">
        <v>33</v>
      </c>
      <c r="M1933" s="2" t="str" cm="1">
        <f t="array" ref="M1933">_xlfn.IFS(L1933&lt;=15,"Low Fare",L1933&lt;=35,"Medium Fare",L1933&lt;=100,"High Fare",L1933&gt;=100,"Very High Fare")</f>
        <v>Medium Fare</v>
      </c>
      <c r="N1933" s="2">
        <v>1</v>
      </c>
      <c r="O1933" s="2" t="s">
        <v>30</v>
      </c>
      <c r="P1933" t="e">
        <f t="shared" si="121"/>
        <v>#VALUE!</v>
      </c>
      <c r="Q1933" t="e">
        <f t="shared" si="122"/>
        <v>#VALUE!</v>
      </c>
      <c r="R1933" t="str">
        <f t="shared" si="123"/>
        <v>Yes</v>
      </c>
      <c r="S1933" t="s">
        <v>16</v>
      </c>
    </row>
    <row r="1934" spans="1:19" hidden="1" x14ac:dyDescent="0.3">
      <c r="A1934" s="1" t="s">
        <v>1417</v>
      </c>
      <c r="B1934" t="s">
        <v>1596</v>
      </c>
      <c r="C1934" t="s">
        <v>3041</v>
      </c>
      <c r="D1934" t="str">
        <f t="shared" si="120"/>
        <v>Male</v>
      </c>
      <c r="E1934" t="s">
        <v>9</v>
      </c>
      <c r="F1934" s="2">
        <v>25</v>
      </c>
      <c r="G1934" s="2" t="str" cm="1">
        <f t="array" ref="G1934">_xlfn.IFS(F1934&lt;=8,"Child",F1934&lt;=17,"Teen",F1934&lt;=35,"Adult",F1934&lt;=55,"Seniour Adult",F1934&gt;=55,"Old Age")</f>
        <v>Adult</v>
      </c>
      <c r="H1934" t="s">
        <v>69</v>
      </c>
      <c r="I1934" t="s">
        <v>11</v>
      </c>
      <c r="J1934" t="str" cm="1">
        <f t="array" ref="J1934">_xlfn.IFS(I1934="S","Southamptom",I1934="Q","Quentown",I1934="C","Cherbrug",I1934="B","Cabin")</f>
        <v>Southamptom</v>
      </c>
      <c r="K1934" t="s">
        <v>15</v>
      </c>
      <c r="L1934" s="2">
        <v>33</v>
      </c>
      <c r="M1934" s="2" t="str" cm="1">
        <f t="array" ref="M1934">_xlfn.IFS(L1934&lt;=15,"Low Fare",L1934&lt;=35,"Medium Fare",L1934&lt;=100,"High Fare",L1934&gt;=100,"Very High Fare")</f>
        <v>Medium Fare</v>
      </c>
      <c r="N1934" s="2">
        <v>1</v>
      </c>
      <c r="O1934" s="2" t="s">
        <v>30</v>
      </c>
      <c r="P1934" t="e">
        <f t="shared" si="121"/>
        <v>#VALUE!</v>
      </c>
      <c r="Q1934" t="e">
        <f t="shared" si="122"/>
        <v>#VALUE!</v>
      </c>
      <c r="R1934" t="str">
        <f t="shared" si="123"/>
        <v>No</v>
      </c>
      <c r="S1934" t="s">
        <v>13</v>
      </c>
    </row>
    <row r="1935" spans="1:19" hidden="1" x14ac:dyDescent="0.3">
      <c r="A1935" s="1" t="s">
        <v>1418</v>
      </c>
      <c r="B1935" t="s">
        <v>1596</v>
      </c>
      <c r="C1935" t="s">
        <v>3042</v>
      </c>
      <c r="D1935" t="str">
        <f t="shared" si="120"/>
        <v>Male</v>
      </c>
      <c r="E1935" t="s">
        <v>9</v>
      </c>
      <c r="F1935" s="2">
        <v>30</v>
      </c>
      <c r="G1935" s="2" t="str" cm="1">
        <f t="array" ref="G1935">_xlfn.IFS(F1935&lt;=8,"Child",F1935&lt;=17,"Teen",F1935&lt;=35,"Adult",F1935&lt;=55,"Seniour Adult",F1935&gt;=55,"Old Age")</f>
        <v>Adult</v>
      </c>
      <c r="H1935" t="s">
        <v>69</v>
      </c>
      <c r="I1935" t="s">
        <v>11</v>
      </c>
      <c r="J1935" t="str" cm="1">
        <f t="array" ref="J1935">_xlfn.IFS(I1935="S","Southamptom",I1935="Q","Quentown",I1935="C","Cherbrug",I1935="B","Cabin")</f>
        <v>Southamptom</v>
      </c>
      <c r="K1935" t="s">
        <v>64</v>
      </c>
      <c r="L1935" s="2">
        <v>33</v>
      </c>
      <c r="M1935" s="2" t="str" cm="1">
        <f t="array" ref="M1935">_xlfn.IFS(L1935&lt;=15,"Low Fare",L1935&lt;=35,"Medium Fare",L1935&lt;=100,"High Fare",L1935&gt;=100,"Very High Fare")</f>
        <v>Medium Fare</v>
      </c>
      <c r="N1935" s="2">
        <v>1</v>
      </c>
      <c r="O1935" s="2" t="s">
        <v>30</v>
      </c>
      <c r="P1935" t="e">
        <f t="shared" si="121"/>
        <v>#VALUE!</v>
      </c>
      <c r="Q1935" t="e">
        <f t="shared" si="122"/>
        <v>#VALUE!</v>
      </c>
      <c r="R1935" t="str">
        <f t="shared" si="123"/>
        <v>Yes</v>
      </c>
      <c r="S1935" t="s">
        <v>16</v>
      </c>
    </row>
    <row r="1936" spans="1:19" hidden="1" x14ac:dyDescent="0.3">
      <c r="A1936" s="1" t="s">
        <v>1419</v>
      </c>
      <c r="B1936" t="s">
        <v>1596</v>
      </c>
      <c r="C1936" t="s">
        <v>3043</v>
      </c>
      <c r="D1936" t="str">
        <f t="shared" si="120"/>
        <v>Male</v>
      </c>
      <c r="E1936" t="s">
        <v>9</v>
      </c>
      <c r="F1936" s="2">
        <v>23</v>
      </c>
      <c r="G1936" s="2" t="str" cm="1">
        <f t="array" ref="G1936">_xlfn.IFS(F1936&lt;=8,"Child",F1936&lt;=17,"Teen",F1936&lt;=35,"Adult",F1936&lt;=55,"Seniour Adult",F1936&gt;=55,"Old Age")</f>
        <v>Adult</v>
      </c>
      <c r="H1936" t="s">
        <v>69</v>
      </c>
      <c r="I1936" t="s">
        <v>28</v>
      </c>
      <c r="J1936" t="str" cm="1">
        <f t="array" ref="J1936">_xlfn.IFS(I1936="S","Southamptom",I1936="Q","Quentown",I1936="C","Cherbrug",I1936="B","Cabin")</f>
        <v>Cabin</v>
      </c>
      <c r="K1936" t="s">
        <v>15</v>
      </c>
      <c r="L1936" s="2">
        <v>33</v>
      </c>
      <c r="M1936" s="2" t="str" cm="1">
        <f t="array" ref="M1936">_xlfn.IFS(L1936&lt;=15,"Low Fare",L1936&lt;=35,"Medium Fare",L1936&lt;=100,"High Fare",L1936&gt;=100,"Very High Fare")</f>
        <v>Medium Fare</v>
      </c>
      <c r="N1936" s="2">
        <v>1</v>
      </c>
      <c r="O1936" s="2" t="s">
        <v>30</v>
      </c>
      <c r="P1936" t="e">
        <f t="shared" si="121"/>
        <v>#VALUE!</v>
      </c>
      <c r="Q1936" t="e">
        <f t="shared" si="122"/>
        <v>#VALUE!</v>
      </c>
      <c r="R1936" t="str">
        <f t="shared" si="123"/>
        <v>Yes</v>
      </c>
      <c r="S1936" t="s">
        <v>16</v>
      </c>
    </row>
    <row r="1937" spans="1:19" hidden="1" x14ac:dyDescent="0.3">
      <c r="A1937" s="1" t="s">
        <v>734</v>
      </c>
      <c r="B1937" t="s">
        <v>1596</v>
      </c>
      <c r="C1937" t="s">
        <v>2965</v>
      </c>
      <c r="D1937" t="str">
        <f t="shared" si="120"/>
        <v>Male</v>
      </c>
      <c r="E1937" t="s">
        <v>9</v>
      </c>
      <c r="F1937" s="2">
        <v>27</v>
      </c>
      <c r="G1937" s="2" t="str" cm="1">
        <f t="array" ref="G1937">_xlfn.IFS(F1937&lt;=8,"Child",F1937&lt;=17,"Teen",F1937&lt;=35,"Adult",F1937&lt;=55,"Seniour Adult",F1937&gt;=55,"Old Age")</f>
        <v>Adult</v>
      </c>
      <c r="H1937" t="s">
        <v>51</v>
      </c>
      <c r="I1937" t="s">
        <v>11</v>
      </c>
      <c r="J1937" t="str" cm="1">
        <f t="array" ref="J1937">_xlfn.IFS(I1937="S","Southamptom",I1937="Q","Quentown",I1937="C","Cherbrug",I1937="B","Cabin")</f>
        <v>Southamptom</v>
      </c>
      <c r="K1937" t="s">
        <v>15</v>
      </c>
      <c r="L1937" s="2">
        <v>33</v>
      </c>
      <c r="M1937" s="2" t="str" cm="1">
        <f t="array" ref="M1937">_xlfn.IFS(L1937&lt;=15,"Low Fare",L1937&lt;=35,"Medium Fare",L1937&lt;=100,"High Fare",L1937&gt;=100,"Very High Fare")</f>
        <v>Medium Fare</v>
      </c>
      <c r="N1937" s="2">
        <v>1</v>
      </c>
      <c r="O1937" s="2" t="s">
        <v>30</v>
      </c>
      <c r="P1937" t="e">
        <f t="shared" si="121"/>
        <v>#VALUE!</v>
      </c>
      <c r="Q1937" t="e">
        <f t="shared" si="122"/>
        <v>#VALUE!</v>
      </c>
      <c r="R1937" t="str">
        <f t="shared" si="123"/>
        <v>No</v>
      </c>
      <c r="S1937" t="s">
        <v>13</v>
      </c>
    </row>
    <row r="1938" spans="1:19" hidden="1" x14ac:dyDescent="0.3">
      <c r="A1938" s="1" t="s">
        <v>734</v>
      </c>
      <c r="B1938" t="s">
        <v>1596</v>
      </c>
      <c r="C1938" t="s">
        <v>2513</v>
      </c>
      <c r="D1938" t="str">
        <f t="shared" si="120"/>
        <v>Male</v>
      </c>
      <c r="E1938" t="s">
        <v>9</v>
      </c>
      <c r="F1938" s="2">
        <v>25</v>
      </c>
      <c r="G1938" s="2" t="str" cm="1">
        <f t="array" ref="G1938">_xlfn.IFS(F1938&lt;=8,"Child",F1938&lt;=17,"Teen",F1938&lt;=35,"Adult",F1938&lt;=55,"Seniour Adult",F1938&gt;=55,"Old Age")</f>
        <v>Adult</v>
      </c>
      <c r="H1938" t="s">
        <v>69</v>
      </c>
      <c r="I1938" t="s">
        <v>28</v>
      </c>
      <c r="J1938" t="str" cm="1">
        <f t="array" ref="J1938">_xlfn.IFS(I1938="S","Southamptom",I1938="Q","Quentown",I1938="C","Cherbrug",I1938="B","Cabin")</f>
        <v>Cabin</v>
      </c>
      <c r="K1938" t="s">
        <v>15</v>
      </c>
      <c r="L1938" s="2">
        <v>33</v>
      </c>
      <c r="M1938" s="2" t="str" cm="1">
        <f t="array" ref="M1938">_xlfn.IFS(L1938&lt;=15,"Low Fare",L1938&lt;=35,"Medium Fare",L1938&lt;=100,"High Fare",L1938&gt;=100,"Very High Fare")</f>
        <v>Medium Fare</v>
      </c>
      <c r="N1938" s="2">
        <v>1</v>
      </c>
      <c r="O1938" s="2" t="s">
        <v>30</v>
      </c>
      <c r="P1938" t="e">
        <f t="shared" si="121"/>
        <v>#VALUE!</v>
      </c>
      <c r="Q1938" t="e">
        <f t="shared" si="122"/>
        <v>#VALUE!</v>
      </c>
      <c r="R1938" t="str">
        <f t="shared" si="123"/>
        <v>No</v>
      </c>
      <c r="S1938" t="s">
        <v>13</v>
      </c>
    </row>
    <row r="1939" spans="1:19" hidden="1" x14ac:dyDescent="0.3">
      <c r="A1939" s="1" t="s">
        <v>734</v>
      </c>
      <c r="B1939" t="s">
        <v>1596</v>
      </c>
      <c r="C1939" t="s">
        <v>2639</v>
      </c>
      <c r="D1939" t="str">
        <f t="shared" si="120"/>
        <v>Male</v>
      </c>
      <c r="E1939" t="s">
        <v>9</v>
      </c>
      <c r="F1939" s="2">
        <v>35</v>
      </c>
      <c r="G1939" s="2" t="str" cm="1">
        <f t="array" ref="G1939">_xlfn.IFS(F1939&lt;=8,"Child",F1939&lt;=17,"Teen",F1939&lt;=35,"Adult",F1939&lt;=55,"Seniour Adult",F1939&gt;=55,"Old Age")</f>
        <v>Adult</v>
      </c>
      <c r="H1939" t="s">
        <v>70</v>
      </c>
      <c r="I1939" t="s">
        <v>11</v>
      </c>
      <c r="J1939" t="str" cm="1">
        <f t="array" ref="J1939">_xlfn.IFS(I1939="S","Southamptom",I1939="Q","Quentown",I1939="C","Cherbrug",I1939="B","Cabin")</f>
        <v>Southamptom</v>
      </c>
      <c r="K1939" t="s">
        <v>15</v>
      </c>
      <c r="L1939" s="2">
        <v>33</v>
      </c>
      <c r="M1939" s="2" t="str" cm="1">
        <f t="array" ref="M1939">_xlfn.IFS(L1939&lt;=15,"Low Fare",L1939&lt;=35,"Medium Fare",L1939&lt;=100,"High Fare",L1939&gt;=100,"Very High Fare")</f>
        <v>Medium Fare</v>
      </c>
      <c r="N1939" s="2">
        <v>1</v>
      </c>
      <c r="O1939" s="2" t="s">
        <v>30</v>
      </c>
      <c r="P1939" t="e">
        <f t="shared" si="121"/>
        <v>#VALUE!</v>
      </c>
      <c r="Q1939" t="e">
        <f t="shared" si="122"/>
        <v>#VALUE!</v>
      </c>
      <c r="R1939" t="str">
        <f t="shared" si="123"/>
        <v>No</v>
      </c>
      <c r="S1939" t="s">
        <v>13</v>
      </c>
    </row>
    <row r="1940" spans="1:19" hidden="1" x14ac:dyDescent="0.3">
      <c r="A1940" s="1" t="s">
        <v>1420</v>
      </c>
      <c r="B1940" t="s">
        <v>2719</v>
      </c>
      <c r="C1940" t="s">
        <v>2951</v>
      </c>
      <c r="D1940" t="str">
        <f t="shared" si="120"/>
        <v>Male</v>
      </c>
      <c r="E1940" t="s">
        <v>9</v>
      </c>
      <c r="F1940" s="2">
        <v>17</v>
      </c>
      <c r="G1940" s="2" t="str" cm="1">
        <f t="array" ref="G1940">_xlfn.IFS(F1940&lt;=8,"Child",F1940&lt;=17,"Teen",F1940&lt;=35,"Adult",F1940&lt;=55,"Seniour Adult",F1940&gt;=55,"Old Age")</f>
        <v>Teen</v>
      </c>
      <c r="H1940" t="s">
        <v>70</v>
      </c>
      <c r="I1940" t="s">
        <v>11</v>
      </c>
      <c r="J1940" t="str" cm="1">
        <f t="array" ref="J1940">_xlfn.IFS(I1940="S","Southamptom",I1940="Q","Quentown",I1940="C","Cherbrug",I1940="B","Cabin")</f>
        <v>Southamptom</v>
      </c>
      <c r="K1940" t="s">
        <v>15</v>
      </c>
      <c r="L1940" s="2">
        <v>33</v>
      </c>
      <c r="M1940" s="2" t="str" cm="1">
        <f t="array" ref="M1940">_xlfn.IFS(L1940&lt;=15,"Low Fare",L1940&lt;=35,"Medium Fare",L1940&lt;=100,"High Fare",L1940&gt;=100,"Very High Fare")</f>
        <v>Medium Fare</v>
      </c>
      <c r="N1940" s="2">
        <v>1</v>
      </c>
      <c r="O1940" s="2" t="s">
        <v>30</v>
      </c>
      <c r="P1940" t="e">
        <f t="shared" si="121"/>
        <v>#VALUE!</v>
      </c>
      <c r="Q1940" t="e">
        <f t="shared" si="122"/>
        <v>#VALUE!</v>
      </c>
      <c r="R1940" t="str">
        <f t="shared" si="123"/>
        <v>No</v>
      </c>
      <c r="S1940" t="s">
        <v>13</v>
      </c>
    </row>
    <row r="1941" spans="1:19" hidden="1" x14ac:dyDescent="0.3">
      <c r="A1941" s="1" t="s">
        <v>1421</v>
      </c>
      <c r="B1941" t="s">
        <v>2719</v>
      </c>
      <c r="C1941" t="s">
        <v>3044</v>
      </c>
      <c r="D1941" t="str">
        <f t="shared" si="120"/>
        <v>Male</v>
      </c>
      <c r="E1941" t="s">
        <v>9</v>
      </c>
      <c r="F1941" s="2">
        <v>33</v>
      </c>
      <c r="G1941" s="2" t="str" cm="1">
        <f t="array" ref="G1941">_xlfn.IFS(F1941&lt;=8,"Child",F1941&lt;=17,"Teen",F1941&lt;=35,"Adult",F1941&lt;=55,"Seniour Adult",F1941&gt;=55,"Old Age")</f>
        <v>Adult</v>
      </c>
      <c r="H1941" t="s">
        <v>70</v>
      </c>
      <c r="I1941" t="s">
        <v>11</v>
      </c>
      <c r="J1941" t="str" cm="1">
        <f t="array" ref="J1941">_xlfn.IFS(I1941="S","Southamptom",I1941="Q","Quentown",I1941="C","Cherbrug",I1941="B","Cabin")</f>
        <v>Southamptom</v>
      </c>
      <c r="K1941" t="s">
        <v>15</v>
      </c>
      <c r="L1941" s="2">
        <v>33</v>
      </c>
      <c r="M1941" s="2" t="str" cm="1">
        <f t="array" ref="M1941">_xlfn.IFS(L1941&lt;=15,"Low Fare",L1941&lt;=35,"Medium Fare",L1941&lt;=100,"High Fare",L1941&gt;=100,"Very High Fare")</f>
        <v>Medium Fare</v>
      </c>
      <c r="N1941" s="2">
        <v>1</v>
      </c>
      <c r="O1941" s="2" t="s">
        <v>30</v>
      </c>
      <c r="P1941" t="e">
        <f t="shared" si="121"/>
        <v>#VALUE!</v>
      </c>
      <c r="Q1941" t="e">
        <f t="shared" si="122"/>
        <v>#VALUE!</v>
      </c>
      <c r="R1941" t="str">
        <f t="shared" si="123"/>
        <v>No</v>
      </c>
      <c r="S1941" t="s">
        <v>13</v>
      </c>
    </row>
    <row r="1942" spans="1:19" hidden="1" x14ac:dyDescent="0.3">
      <c r="A1942" s="1" t="s">
        <v>1422</v>
      </c>
      <c r="B1942" t="s">
        <v>1596</v>
      </c>
      <c r="C1942" t="s">
        <v>1955</v>
      </c>
      <c r="D1942" t="str">
        <f t="shared" si="120"/>
        <v>Male</v>
      </c>
      <c r="E1942" t="s">
        <v>9</v>
      </c>
      <c r="F1942" s="2">
        <v>25</v>
      </c>
      <c r="G1942" s="2" t="str" cm="1">
        <f t="array" ref="G1942">_xlfn.IFS(F1942&lt;=8,"Child",F1942&lt;=17,"Teen",F1942&lt;=35,"Adult",F1942&lt;=55,"Seniour Adult",F1942&gt;=55,"Old Age")</f>
        <v>Adult</v>
      </c>
      <c r="H1942" t="s">
        <v>51</v>
      </c>
      <c r="I1942" t="s">
        <v>11</v>
      </c>
      <c r="J1942" t="str" cm="1">
        <f t="array" ref="J1942">_xlfn.IFS(I1942="S","Southamptom",I1942="Q","Quentown",I1942="C","Cherbrug",I1942="B","Cabin")</f>
        <v>Southamptom</v>
      </c>
      <c r="K1942" t="s">
        <v>15</v>
      </c>
      <c r="L1942" s="2">
        <v>33</v>
      </c>
      <c r="M1942" s="2" t="str" cm="1">
        <f t="array" ref="M1942">_xlfn.IFS(L1942&lt;=15,"Low Fare",L1942&lt;=35,"Medium Fare",L1942&lt;=100,"High Fare",L1942&gt;=100,"Very High Fare")</f>
        <v>Medium Fare</v>
      </c>
      <c r="N1942" s="2">
        <v>1</v>
      </c>
      <c r="O1942" s="2" t="s">
        <v>30</v>
      </c>
      <c r="P1942" t="e">
        <f t="shared" si="121"/>
        <v>#VALUE!</v>
      </c>
      <c r="Q1942" t="e">
        <f t="shared" si="122"/>
        <v>#VALUE!</v>
      </c>
      <c r="R1942" t="str">
        <f t="shared" si="123"/>
        <v>No</v>
      </c>
      <c r="S1942" t="s">
        <v>13</v>
      </c>
    </row>
    <row r="1943" spans="1:19" hidden="1" x14ac:dyDescent="0.3">
      <c r="A1943" s="1" t="s">
        <v>1423</v>
      </c>
      <c r="B1943" t="s">
        <v>1596</v>
      </c>
      <c r="C1943" t="s">
        <v>3045</v>
      </c>
      <c r="D1943" t="str">
        <f t="shared" si="120"/>
        <v>Male</v>
      </c>
      <c r="E1943" t="s">
        <v>9</v>
      </c>
      <c r="F1943" s="2">
        <v>34</v>
      </c>
      <c r="G1943" s="2" t="str" cm="1">
        <f t="array" ref="G1943">_xlfn.IFS(F1943&lt;=8,"Child",F1943&lt;=17,"Teen",F1943&lt;=35,"Adult",F1943&lt;=55,"Seniour Adult",F1943&gt;=55,"Old Age")</f>
        <v>Adult</v>
      </c>
      <c r="H1943" t="s">
        <v>71</v>
      </c>
      <c r="I1943" t="s">
        <v>28</v>
      </c>
      <c r="J1943" t="str" cm="1">
        <f t="array" ref="J1943">_xlfn.IFS(I1943="S","Southamptom",I1943="Q","Quentown",I1943="C","Cherbrug",I1943="B","Cabin")</f>
        <v>Cabin</v>
      </c>
      <c r="K1943" t="s">
        <v>15</v>
      </c>
      <c r="L1943" s="2">
        <v>33</v>
      </c>
      <c r="M1943" s="2" t="str" cm="1">
        <f t="array" ref="M1943">_xlfn.IFS(L1943&lt;=15,"Low Fare",L1943&lt;=35,"Medium Fare",L1943&lt;=100,"High Fare",L1943&gt;=100,"Very High Fare")</f>
        <v>Medium Fare</v>
      </c>
      <c r="N1943" s="2">
        <v>1</v>
      </c>
      <c r="O1943" s="2" t="s">
        <v>30</v>
      </c>
      <c r="P1943" t="e">
        <f t="shared" si="121"/>
        <v>#VALUE!</v>
      </c>
      <c r="Q1943" t="e">
        <f t="shared" si="122"/>
        <v>#VALUE!</v>
      </c>
      <c r="R1943" t="str">
        <f t="shared" si="123"/>
        <v>Yes</v>
      </c>
      <c r="S1943" t="s">
        <v>16</v>
      </c>
    </row>
    <row r="1944" spans="1:19" hidden="1" x14ac:dyDescent="0.3">
      <c r="A1944" s="1" t="s">
        <v>1424</v>
      </c>
      <c r="B1944" t="s">
        <v>1596</v>
      </c>
      <c r="C1944" t="s">
        <v>3046</v>
      </c>
      <c r="D1944" t="str">
        <f t="shared" si="120"/>
        <v>Male</v>
      </c>
      <c r="E1944" t="s">
        <v>9</v>
      </c>
      <c r="F1944" s="2">
        <v>18</v>
      </c>
      <c r="G1944" s="2" t="str" cm="1">
        <f t="array" ref="G1944">_xlfn.IFS(F1944&lt;=8,"Child",F1944&lt;=17,"Teen",F1944&lt;=35,"Adult",F1944&lt;=55,"Seniour Adult",F1944&gt;=55,"Old Age")</f>
        <v>Adult</v>
      </c>
      <c r="H1944" t="s">
        <v>69</v>
      </c>
      <c r="I1944" t="s">
        <v>11</v>
      </c>
      <c r="J1944" t="str" cm="1">
        <f t="array" ref="J1944">_xlfn.IFS(I1944="S","Southamptom",I1944="Q","Quentown",I1944="C","Cherbrug",I1944="B","Cabin")</f>
        <v>Southamptom</v>
      </c>
      <c r="K1944" t="s">
        <v>15</v>
      </c>
      <c r="L1944" s="2">
        <v>33</v>
      </c>
      <c r="M1944" s="2" t="str" cm="1">
        <f t="array" ref="M1944">_xlfn.IFS(L1944&lt;=15,"Low Fare",L1944&lt;=35,"Medium Fare",L1944&lt;=100,"High Fare",L1944&gt;=100,"Very High Fare")</f>
        <v>Medium Fare</v>
      </c>
      <c r="N1944" s="2">
        <v>1</v>
      </c>
      <c r="O1944" s="2" t="s">
        <v>30</v>
      </c>
      <c r="P1944" t="e">
        <f t="shared" si="121"/>
        <v>#VALUE!</v>
      </c>
      <c r="Q1944" t="e">
        <f t="shared" si="122"/>
        <v>#VALUE!</v>
      </c>
      <c r="R1944" t="str">
        <f t="shared" si="123"/>
        <v>No</v>
      </c>
      <c r="S1944" t="s">
        <v>13</v>
      </c>
    </row>
    <row r="1945" spans="1:19" hidden="1" x14ac:dyDescent="0.3">
      <c r="A1945" s="1" t="s">
        <v>1425</v>
      </c>
      <c r="B1945" t="s">
        <v>1596</v>
      </c>
      <c r="C1945" t="s">
        <v>3047</v>
      </c>
      <c r="D1945" t="str">
        <f t="shared" si="120"/>
        <v>Male</v>
      </c>
      <c r="E1945" t="s">
        <v>9</v>
      </c>
      <c r="F1945" s="2">
        <v>24</v>
      </c>
      <c r="G1945" s="2" t="str" cm="1">
        <f t="array" ref="G1945">_xlfn.IFS(F1945&lt;=8,"Child",F1945&lt;=17,"Teen",F1945&lt;=35,"Adult",F1945&lt;=55,"Seniour Adult",F1945&gt;=55,"Old Age")</f>
        <v>Adult</v>
      </c>
      <c r="H1945" t="s">
        <v>51</v>
      </c>
      <c r="I1945" t="s">
        <v>11</v>
      </c>
      <c r="J1945" t="str" cm="1">
        <f t="array" ref="J1945">_xlfn.IFS(I1945="S","Southamptom",I1945="Q","Quentown",I1945="C","Cherbrug",I1945="B","Cabin")</f>
        <v>Southamptom</v>
      </c>
      <c r="K1945" t="s">
        <v>15</v>
      </c>
      <c r="L1945" s="2">
        <v>33</v>
      </c>
      <c r="M1945" s="2" t="str" cm="1">
        <f t="array" ref="M1945">_xlfn.IFS(L1945&lt;=15,"Low Fare",L1945&lt;=35,"Medium Fare",L1945&lt;=100,"High Fare",L1945&gt;=100,"Very High Fare")</f>
        <v>Medium Fare</v>
      </c>
      <c r="N1945" s="2">
        <v>1</v>
      </c>
      <c r="O1945" s="2" t="s">
        <v>30</v>
      </c>
      <c r="P1945" t="e">
        <f t="shared" si="121"/>
        <v>#VALUE!</v>
      </c>
      <c r="Q1945" t="e">
        <f t="shared" si="122"/>
        <v>#VALUE!</v>
      </c>
      <c r="R1945" t="str">
        <f t="shared" si="123"/>
        <v>Yes</v>
      </c>
      <c r="S1945" t="s">
        <v>16</v>
      </c>
    </row>
    <row r="1946" spans="1:19" hidden="1" x14ac:dyDescent="0.3">
      <c r="A1946" s="1" t="s">
        <v>1426</v>
      </c>
      <c r="B1946" t="s">
        <v>2719</v>
      </c>
      <c r="C1946" t="s">
        <v>3048</v>
      </c>
      <c r="D1946" t="str">
        <f t="shared" si="120"/>
        <v>Male</v>
      </c>
      <c r="E1946" t="s">
        <v>9</v>
      </c>
      <c r="F1946" s="2">
        <v>28</v>
      </c>
      <c r="G1946" s="2" t="str" cm="1">
        <f t="array" ref="G1946">_xlfn.IFS(F1946&lt;=8,"Child",F1946&lt;=17,"Teen",F1946&lt;=35,"Adult",F1946&lt;=55,"Seniour Adult",F1946&gt;=55,"Old Age")</f>
        <v>Adult</v>
      </c>
      <c r="H1946" t="s">
        <v>70</v>
      </c>
      <c r="I1946" t="s">
        <v>11</v>
      </c>
      <c r="J1946" t="str" cm="1">
        <f t="array" ref="J1946">_xlfn.IFS(I1946="S","Southamptom",I1946="Q","Quentown",I1946="C","Cherbrug",I1946="B","Cabin")</f>
        <v>Southamptom</v>
      </c>
      <c r="K1946" t="s">
        <v>15</v>
      </c>
      <c r="L1946" s="2">
        <v>33</v>
      </c>
      <c r="M1946" s="2" t="str" cm="1">
        <f t="array" ref="M1946">_xlfn.IFS(L1946&lt;=15,"Low Fare",L1946&lt;=35,"Medium Fare",L1946&lt;=100,"High Fare",L1946&gt;=100,"Very High Fare")</f>
        <v>Medium Fare</v>
      </c>
      <c r="N1946" s="2">
        <v>1</v>
      </c>
      <c r="O1946" s="2" t="s">
        <v>30</v>
      </c>
      <c r="P1946" t="e">
        <f t="shared" si="121"/>
        <v>#VALUE!</v>
      </c>
      <c r="Q1946" t="e">
        <f t="shared" si="122"/>
        <v>#VALUE!</v>
      </c>
      <c r="R1946" t="str">
        <f t="shared" si="123"/>
        <v>No</v>
      </c>
      <c r="S1946" t="s">
        <v>13</v>
      </c>
    </row>
    <row r="1947" spans="1:19" hidden="1" x14ac:dyDescent="0.3">
      <c r="A1947" s="1" t="s">
        <v>1427</v>
      </c>
      <c r="B1947" t="s">
        <v>1596</v>
      </c>
      <c r="C1947" t="s">
        <v>3015</v>
      </c>
      <c r="D1947" t="str">
        <f t="shared" si="120"/>
        <v>Male</v>
      </c>
      <c r="E1947" t="s">
        <v>9</v>
      </c>
      <c r="F1947" s="2">
        <v>33</v>
      </c>
      <c r="G1947" s="2" t="str" cm="1">
        <f t="array" ref="G1947">_xlfn.IFS(F1947&lt;=8,"Child",F1947&lt;=17,"Teen",F1947&lt;=35,"Adult",F1947&lt;=55,"Seniour Adult",F1947&gt;=55,"Old Age")</f>
        <v>Adult</v>
      </c>
      <c r="H1947" t="s">
        <v>71</v>
      </c>
      <c r="I1947" t="s">
        <v>11</v>
      </c>
      <c r="J1947" t="str" cm="1">
        <f t="array" ref="J1947">_xlfn.IFS(I1947="S","Southamptom",I1947="Q","Quentown",I1947="C","Cherbrug",I1947="B","Cabin")</f>
        <v>Southamptom</v>
      </c>
      <c r="K1947" t="s">
        <v>33</v>
      </c>
      <c r="L1947" s="2">
        <v>33</v>
      </c>
      <c r="M1947" s="2" t="str" cm="1">
        <f t="array" ref="M1947">_xlfn.IFS(L1947&lt;=15,"Low Fare",L1947&lt;=35,"Medium Fare",L1947&lt;=100,"High Fare",L1947&gt;=100,"Very High Fare")</f>
        <v>Medium Fare</v>
      </c>
      <c r="N1947" s="2">
        <v>1</v>
      </c>
      <c r="O1947" s="2" t="s">
        <v>30</v>
      </c>
      <c r="P1947" t="e">
        <f t="shared" si="121"/>
        <v>#VALUE!</v>
      </c>
      <c r="Q1947" t="e">
        <f t="shared" si="122"/>
        <v>#VALUE!</v>
      </c>
      <c r="R1947" t="str">
        <f t="shared" si="123"/>
        <v>Yes</v>
      </c>
      <c r="S1947" t="s">
        <v>16</v>
      </c>
    </row>
    <row r="1948" spans="1:19" hidden="1" x14ac:dyDescent="0.3">
      <c r="A1948" s="1" t="s">
        <v>1428</v>
      </c>
      <c r="B1948" t="s">
        <v>1596</v>
      </c>
      <c r="C1948" t="s">
        <v>2038</v>
      </c>
      <c r="D1948" t="str">
        <f t="shared" si="120"/>
        <v>Male</v>
      </c>
      <c r="E1948" t="s">
        <v>9</v>
      </c>
      <c r="F1948" s="2">
        <v>33</v>
      </c>
      <c r="G1948" s="2" t="str" cm="1">
        <f t="array" ref="G1948">_xlfn.IFS(F1948&lt;=8,"Child",F1948&lt;=17,"Teen",F1948&lt;=35,"Adult",F1948&lt;=55,"Seniour Adult",F1948&gt;=55,"Old Age")</f>
        <v>Adult</v>
      </c>
      <c r="H1948" t="s">
        <v>51</v>
      </c>
      <c r="I1948" t="s">
        <v>11</v>
      </c>
      <c r="J1948" t="str" cm="1">
        <f t="array" ref="J1948">_xlfn.IFS(I1948="S","Southamptom",I1948="Q","Quentown",I1948="C","Cherbrug",I1948="B","Cabin")</f>
        <v>Southamptom</v>
      </c>
      <c r="K1948" t="s">
        <v>15</v>
      </c>
      <c r="L1948" s="2">
        <v>33</v>
      </c>
      <c r="M1948" s="2" t="str" cm="1">
        <f t="array" ref="M1948">_xlfn.IFS(L1948&lt;=15,"Low Fare",L1948&lt;=35,"Medium Fare",L1948&lt;=100,"High Fare",L1948&gt;=100,"Very High Fare")</f>
        <v>Medium Fare</v>
      </c>
      <c r="N1948" s="2">
        <v>1</v>
      </c>
      <c r="O1948" s="2" t="s">
        <v>30</v>
      </c>
      <c r="P1948" t="e">
        <f t="shared" si="121"/>
        <v>#VALUE!</v>
      </c>
      <c r="Q1948" t="e">
        <f t="shared" si="122"/>
        <v>#VALUE!</v>
      </c>
      <c r="R1948" t="str">
        <f t="shared" si="123"/>
        <v>No</v>
      </c>
      <c r="S1948" t="s">
        <v>13</v>
      </c>
    </row>
    <row r="1949" spans="1:19" hidden="1" x14ac:dyDescent="0.3">
      <c r="A1949" s="1" t="s">
        <v>1429</v>
      </c>
      <c r="B1949" t="s">
        <v>1596</v>
      </c>
      <c r="C1949" t="s">
        <v>3049</v>
      </c>
      <c r="D1949" t="str">
        <f t="shared" si="120"/>
        <v>Male</v>
      </c>
      <c r="E1949" t="s">
        <v>9</v>
      </c>
      <c r="F1949" s="2">
        <v>36</v>
      </c>
      <c r="G1949" s="2" t="str" cm="1">
        <f t="array" ref="G1949">_xlfn.IFS(F1949&lt;=8,"Child",F1949&lt;=17,"Teen",F1949&lt;=35,"Adult",F1949&lt;=55,"Seniour Adult",F1949&gt;=55,"Old Age")</f>
        <v>Seniour Adult</v>
      </c>
      <c r="H1949" t="s">
        <v>69</v>
      </c>
      <c r="I1949" t="s">
        <v>11</v>
      </c>
      <c r="J1949" t="str" cm="1">
        <f t="array" ref="J1949">_xlfn.IFS(I1949="S","Southamptom",I1949="Q","Quentown",I1949="C","Cherbrug",I1949="B","Cabin")</f>
        <v>Southamptom</v>
      </c>
      <c r="K1949" t="s">
        <v>15</v>
      </c>
      <c r="L1949" s="2">
        <v>33</v>
      </c>
      <c r="M1949" s="2" t="str" cm="1">
        <f t="array" ref="M1949">_xlfn.IFS(L1949&lt;=15,"Low Fare",L1949&lt;=35,"Medium Fare",L1949&lt;=100,"High Fare",L1949&gt;=100,"Very High Fare")</f>
        <v>Medium Fare</v>
      </c>
      <c r="N1949" s="2">
        <v>1</v>
      </c>
      <c r="O1949" s="2" t="s">
        <v>30</v>
      </c>
      <c r="P1949" t="e">
        <f t="shared" si="121"/>
        <v>#VALUE!</v>
      </c>
      <c r="Q1949" t="e">
        <f t="shared" si="122"/>
        <v>#VALUE!</v>
      </c>
      <c r="R1949" t="str">
        <f t="shared" si="123"/>
        <v>No</v>
      </c>
      <c r="S1949" t="s">
        <v>13</v>
      </c>
    </row>
    <row r="1950" spans="1:19" hidden="1" x14ac:dyDescent="0.3">
      <c r="A1950" s="1" t="s">
        <v>1430</v>
      </c>
      <c r="B1950" t="s">
        <v>1596</v>
      </c>
      <c r="C1950" t="s">
        <v>1857</v>
      </c>
      <c r="D1950" t="str">
        <f t="shared" si="120"/>
        <v>Male</v>
      </c>
      <c r="E1950" t="s">
        <v>9</v>
      </c>
      <c r="F1950" s="2">
        <v>34</v>
      </c>
      <c r="G1950" s="2" t="str" cm="1">
        <f t="array" ref="G1950">_xlfn.IFS(F1950&lt;=8,"Child",F1950&lt;=17,"Teen",F1950&lt;=35,"Adult",F1950&lt;=55,"Seniour Adult",F1950&gt;=55,"Old Age")</f>
        <v>Adult</v>
      </c>
      <c r="H1950" t="s">
        <v>69</v>
      </c>
      <c r="I1950" t="s">
        <v>11</v>
      </c>
      <c r="J1950" t="str" cm="1">
        <f t="array" ref="J1950">_xlfn.IFS(I1950="S","Southamptom",I1950="Q","Quentown",I1950="C","Cherbrug",I1950="B","Cabin")</f>
        <v>Southamptom</v>
      </c>
      <c r="K1950" t="s">
        <v>15</v>
      </c>
      <c r="L1950" s="2">
        <v>33</v>
      </c>
      <c r="M1950" s="2" t="str" cm="1">
        <f t="array" ref="M1950">_xlfn.IFS(L1950&lt;=15,"Low Fare",L1950&lt;=35,"Medium Fare",L1950&lt;=100,"High Fare",L1950&gt;=100,"Very High Fare")</f>
        <v>Medium Fare</v>
      </c>
      <c r="N1950" s="2">
        <v>1</v>
      </c>
      <c r="O1950" s="2" t="s">
        <v>30</v>
      </c>
      <c r="P1950" t="e">
        <f t="shared" si="121"/>
        <v>#VALUE!</v>
      </c>
      <c r="Q1950" t="e">
        <f t="shared" si="122"/>
        <v>#VALUE!</v>
      </c>
      <c r="R1950" t="str">
        <f t="shared" si="123"/>
        <v>No</v>
      </c>
      <c r="S1950" t="s">
        <v>13</v>
      </c>
    </row>
    <row r="1951" spans="1:19" hidden="1" x14ac:dyDescent="0.3">
      <c r="A1951" s="1" t="s">
        <v>1431</v>
      </c>
      <c r="B1951" t="s">
        <v>1596</v>
      </c>
      <c r="C1951" t="s">
        <v>1945</v>
      </c>
      <c r="D1951" t="str">
        <f t="shared" si="120"/>
        <v>Male</v>
      </c>
      <c r="E1951" t="s">
        <v>9</v>
      </c>
      <c r="F1951" s="2">
        <v>22</v>
      </c>
      <c r="G1951" s="2" t="str" cm="1">
        <f t="array" ref="G1951">_xlfn.IFS(F1951&lt;=8,"Child",F1951&lt;=17,"Teen",F1951&lt;=35,"Adult",F1951&lt;=55,"Seniour Adult",F1951&gt;=55,"Old Age")</f>
        <v>Adult</v>
      </c>
      <c r="H1951" t="s">
        <v>69</v>
      </c>
      <c r="I1951" t="s">
        <v>11</v>
      </c>
      <c r="J1951" t="str" cm="1">
        <f t="array" ref="J1951">_xlfn.IFS(I1951="S","Southamptom",I1951="Q","Quentown",I1951="C","Cherbrug",I1951="B","Cabin")</f>
        <v>Southamptom</v>
      </c>
      <c r="K1951" t="s">
        <v>15</v>
      </c>
      <c r="L1951" s="2">
        <v>33</v>
      </c>
      <c r="M1951" s="2" t="str" cm="1">
        <f t="array" ref="M1951">_xlfn.IFS(L1951&lt;=15,"Low Fare",L1951&lt;=35,"Medium Fare",L1951&lt;=100,"High Fare",L1951&gt;=100,"Very High Fare")</f>
        <v>Medium Fare</v>
      </c>
      <c r="N1951" s="2">
        <v>1</v>
      </c>
      <c r="O1951" s="2" t="s">
        <v>30</v>
      </c>
      <c r="P1951" t="e">
        <f t="shared" si="121"/>
        <v>#VALUE!</v>
      </c>
      <c r="Q1951" t="e">
        <f t="shared" si="122"/>
        <v>#VALUE!</v>
      </c>
      <c r="R1951" t="str">
        <f t="shared" si="123"/>
        <v>Yes</v>
      </c>
      <c r="S1951" t="s">
        <v>16</v>
      </c>
    </row>
    <row r="1952" spans="1:19" hidden="1" x14ac:dyDescent="0.3">
      <c r="A1952" s="1" t="s">
        <v>1432</v>
      </c>
      <c r="B1952" t="s">
        <v>1596</v>
      </c>
      <c r="C1952" t="s">
        <v>2804</v>
      </c>
      <c r="D1952" t="str">
        <f t="shared" si="120"/>
        <v>Male</v>
      </c>
      <c r="E1952" t="s">
        <v>9</v>
      </c>
      <c r="F1952" s="2">
        <v>30</v>
      </c>
      <c r="G1952" s="2" t="str" cm="1">
        <f t="array" ref="G1952">_xlfn.IFS(F1952&lt;=8,"Child",F1952&lt;=17,"Teen",F1952&lt;=35,"Adult",F1952&lt;=55,"Seniour Adult",F1952&gt;=55,"Old Age")</f>
        <v>Adult</v>
      </c>
      <c r="H1952" t="s">
        <v>51</v>
      </c>
      <c r="I1952" t="s">
        <v>11</v>
      </c>
      <c r="J1952" t="str" cm="1">
        <f t="array" ref="J1952">_xlfn.IFS(I1952="S","Southamptom",I1952="Q","Quentown",I1952="C","Cherbrug",I1952="B","Cabin")</f>
        <v>Southamptom</v>
      </c>
      <c r="K1952" t="s">
        <v>15</v>
      </c>
      <c r="L1952" s="2">
        <v>33</v>
      </c>
      <c r="M1952" s="2" t="str" cm="1">
        <f t="array" ref="M1952">_xlfn.IFS(L1952&lt;=15,"Low Fare",L1952&lt;=35,"Medium Fare",L1952&lt;=100,"High Fare",L1952&gt;=100,"Very High Fare")</f>
        <v>Medium Fare</v>
      </c>
      <c r="N1952" s="2">
        <v>1</v>
      </c>
      <c r="O1952" s="2" t="s">
        <v>30</v>
      </c>
      <c r="P1952" t="e">
        <f t="shared" si="121"/>
        <v>#VALUE!</v>
      </c>
      <c r="Q1952" t="e">
        <f t="shared" si="122"/>
        <v>#VALUE!</v>
      </c>
      <c r="R1952" t="str">
        <f t="shared" si="123"/>
        <v>Yes</v>
      </c>
      <c r="S1952" t="s">
        <v>16</v>
      </c>
    </row>
    <row r="1953" spans="1:19" hidden="1" x14ac:dyDescent="0.3">
      <c r="A1953" s="1" t="s">
        <v>1433</v>
      </c>
      <c r="B1953" t="s">
        <v>1596</v>
      </c>
      <c r="C1953" t="s">
        <v>3050</v>
      </c>
      <c r="D1953" t="str">
        <f t="shared" si="120"/>
        <v>Male</v>
      </c>
      <c r="E1953" t="s">
        <v>9</v>
      </c>
      <c r="F1953" s="2">
        <v>23</v>
      </c>
      <c r="G1953" s="2" t="str" cm="1">
        <f t="array" ref="G1953">_xlfn.IFS(F1953&lt;=8,"Child",F1953&lt;=17,"Teen",F1953&lt;=35,"Adult",F1953&lt;=55,"Seniour Adult",F1953&gt;=55,"Old Age")</f>
        <v>Adult</v>
      </c>
      <c r="H1953" t="s">
        <v>69</v>
      </c>
      <c r="I1953" t="s">
        <v>11</v>
      </c>
      <c r="J1953" t="str" cm="1">
        <f t="array" ref="J1953">_xlfn.IFS(I1953="S","Southamptom",I1953="Q","Quentown",I1953="C","Cherbrug",I1953="B","Cabin")</f>
        <v>Southamptom</v>
      </c>
      <c r="K1953" t="s">
        <v>15</v>
      </c>
      <c r="L1953" s="2">
        <v>33</v>
      </c>
      <c r="M1953" s="2" t="str" cm="1">
        <f t="array" ref="M1953">_xlfn.IFS(L1953&lt;=15,"Low Fare",L1953&lt;=35,"Medium Fare",L1953&lt;=100,"High Fare",L1953&gt;=100,"Very High Fare")</f>
        <v>Medium Fare</v>
      </c>
      <c r="N1953" s="2">
        <v>1</v>
      </c>
      <c r="O1953" s="2" t="s">
        <v>30</v>
      </c>
      <c r="P1953" t="e">
        <f t="shared" si="121"/>
        <v>#VALUE!</v>
      </c>
      <c r="Q1953" t="e">
        <f t="shared" si="122"/>
        <v>#VALUE!</v>
      </c>
      <c r="R1953" t="str">
        <f t="shared" si="123"/>
        <v>Yes</v>
      </c>
      <c r="S1953" t="s">
        <v>16</v>
      </c>
    </row>
    <row r="1954" spans="1:19" hidden="1" x14ac:dyDescent="0.3">
      <c r="A1954" s="1" t="s">
        <v>1434</v>
      </c>
      <c r="B1954" t="s">
        <v>1596</v>
      </c>
      <c r="C1954" t="s">
        <v>3051</v>
      </c>
      <c r="D1954" t="str">
        <f t="shared" si="120"/>
        <v>Male</v>
      </c>
      <c r="E1954" t="s">
        <v>9</v>
      </c>
      <c r="F1954" s="2">
        <v>20</v>
      </c>
      <c r="G1954" s="2" t="str" cm="1">
        <f t="array" ref="G1954">_xlfn.IFS(F1954&lt;=8,"Child",F1954&lt;=17,"Teen",F1954&lt;=35,"Adult",F1954&lt;=55,"Seniour Adult",F1954&gt;=55,"Old Age")</f>
        <v>Adult</v>
      </c>
      <c r="H1954" t="s">
        <v>51</v>
      </c>
      <c r="I1954" t="s">
        <v>11</v>
      </c>
      <c r="J1954" t="str" cm="1">
        <f t="array" ref="J1954">_xlfn.IFS(I1954="S","Southamptom",I1954="Q","Quentown",I1954="C","Cherbrug",I1954="B","Cabin")</f>
        <v>Southamptom</v>
      </c>
      <c r="K1954" t="s">
        <v>15</v>
      </c>
      <c r="L1954" s="2">
        <v>33</v>
      </c>
      <c r="M1954" s="2" t="str" cm="1">
        <f t="array" ref="M1954">_xlfn.IFS(L1954&lt;=15,"Low Fare",L1954&lt;=35,"Medium Fare",L1954&lt;=100,"High Fare",L1954&gt;=100,"Very High Fare")</f>
        <v>Medium Fare</v>
      </c>
      <c r="N1954" s="2">
        <v>1</v>
      </c>
      <c r="O1954" s="2" t="s">
        <v>30</v>
      </c>
      <c r="P1954" t="e">
        <f t="shared" si="121"/>
        <v>#VALUE!</v>
      </c>
      <c r="Q1954" t="e">
        <f t="shared" si="122"/>
        <v>#VALUE!</v>
      </c>
      <c r="R1954" t="str">
        <f t="shared" si="123"/>
        <v>No</v>
      </c>
      <c r="S1954" t="s">
        <v>13</v>
      </c>
    </row>
    <row r="1955" spans="1:19" hidden="1" x14ac:dyDescent="0.3">
      <c r="A1955" s="1" t="s">
        <v>1435</v>
      </c>
      <c r="B1955" t="s">
        <v>1596</v>
      </c>
      <c r="C1955" t="s">
        <v>3052</v>
      </c>
      <c r="D1955" t="str">
        <f t="shared" si="120"/>
        <v>Male</v>
      </c>
      <c r="E1955" t="s">
        <v>9</v>
      </c>
      <c r="F1955" s="2">
        <v>17</v>
      </c>
      <c r="G1955" s="2" t="str" cm="1">
        <f t="array" ref="G1955">_xlfn.IFS(F1955&lt;=8,"Child",F1955&lt;=17,"Teen",F1955&lt;=35,"Adult",F1955&lt;=55,"Seniour Adult",F1955&gt;=55,"Old Age")</f>
        <v>Teen</v>
      </c>
      <c r="H1955" t="s">
        <v>70</v>
      </c>
      <c r="I1955" t="s">
        <v>11</v>
      </c>
      <c r="J1955" t="str" cm="1">
        <f t="array" ref="J1955">_xlfn.IFS(I1955="S","Southamptom",I1955="Q","Quentown",I1955="C","Cherbrug",I1955="B","Cabin")</f>
        <v>Southamptom</v>
      </c>
      <c r="K1955" t="s">
        <v>15</v>
      </c>
      <c r="L1955" s="2">
        <v>33</v>
      </c>
      <c r="M1955" s="2" t="str" cm="1">
        <f t="array" ref="M1955">_xlfn.IFS(L1955&lt;=15,"Low Fare",L1955&lt;=35,"Medium Fare",L1955&lt;=100,"High Fare",L1955&gt;=100,"Very High Fare")</f>
        <v>Medium Fare</v>
      </c>
      <c r="N1955" s="2">
        <v>1</v>
      </c>
      <c r="O1955" s="2" t="s">
        <v>30</v>
      </c>
      <c r="P1955" t="e">
        <f t="shared" si="121"/>
        <v>#VALUE!</v>
      </c>
      <c r="Q1955" t="e">
        <f t="shared" si="122"/>
        <v>#VALUE!</v>
      </c>
      <c r="R1955" t="str">
        <f t="shared" si="123"/>
        <v>No</v>
      </c>
      <c r="S1955" t="s">
        <v>13</v>
      </c>
    </row>
    <row r="1956" spans="1:19" hidden="1" x14ac:dyDescent="0.3">
      <c r="A1956" s="1" t="s">
        <v>1436</v>
      </c>
      <c r="B1956" t="s">
        <v>1600</v>
      </c>
      <c r="C1956" t="s">
        <v>3053</v>
      </c>
      <c r="D1956" t="str">
        <f t="shared" si="120"/>
        <v>Female</v>
      </c>
      <c r="E1956" t="s">
        <v>14</v>
      </c>
      <c r="F1956" s="2">
        <v>36</v>
      </c>
      <c r="G1956" s="2" t="str" cm="1">
        <f t="array" ref="G1956">_xlfn.IFS(F1956&lt;=8,"Child",F1956&lt;=17,"Teen",F1956&lt;=35,"Adult",F1956&lt;=55,"Seniour Adult",F1956&gt;=55,"Old Age")</f>
        <v>Seniour Adult</v>
      </c>
      <c r="H1956" t="s">
        <v>69</v>
      </c>
      <c r="I1956" t="s">
        <v>11</v>
      </c>
      <c r="J1956" t="str" cm="1">
        <f t="array" ref="J1956">_xlfn.IFS(I1956="S","Southamptom",I1956="Q","Quentown",I1956="C","Cherbrug",I1956="B","Cabin")</f>
        <v>Southamptom</v>
      </c>
      <c r="K1956" t="s">
        <v>15</v>
      </c>
      <c r="L1956" s="2">
        <v>33</v>
      </c>
      <c r="M1956" s="2" t="str" cm="1">
        <f t="array" ref="M1956">_xlfn.IFS(L1956&lt;=15,"Low Fare",L1956&lt;=35,"Medium Fare",L1956&lt;=100,"High Fare",L1956&gt;=100,"Very High Fare")</f>
        <v>Medium Fare</v>
      </c>
      <c r="N1956" s="2">
        <v>1</v>
      </c>
      <c r="O1956" s="2" t="s">
        <v>30</v>
      </c>
      <c r="P1956" t="e">
        <f t="shared" si="121"/>
        <v>#VALUE!</v>
      </c>
      <c r="Q1956" t="e">
        <f t="shared" si="122"/>
        <v>#VALUE!</v>
      </c>
      <c r="R1956" t="str">
        <f t="shared" si="123"/>
        <v>Yes</v>
      </c>
      <c r="S1956" t="s">
        <v>16</v>
      </c>
    </row>
    <row r="1957" spans="1:19" hidden="1" x14ac:dyDescent="0.3">
      <c r="A1957" s="1" t="s">
        <v>1437</v>
      </c>
      <c r="B1957" t="s">
        <v>1596</v>
      </c>
      <c r="C1957" t="s">
        <v>3054</v>
      </c>
      <c r="D1957" t="str">
        <f t="shared" si="120"/>
        <v>Male</v>
      </c>
      <c r="E1957" t="s">
        <v>9</v>
      </c>
      <c r="F1957" s="2">
        <v>23</v>
      </c>
      <c r="G1957" s="2" t="str" cm="1">
        <f t="array" ref="G1957">_xlfn.IFS(F1957&lt;=8,"Child",F1957&lt;=17,"Teen",F1957&lt;=35,"Adult",F1957&lt;=55,"Seniour Adult",F1957&gt;=55,"Old Age")</f>
        <v>Adult</v>
      </c>
      <c r="H1957" t="s">
        <v>69</v>
      </c>
      <c r="I1957" t="s">
        <v>11</v>
      </c>
      <c r="J1957" t="str" cm="1">
        <f t="array" ref="J1957">_xlfn.IFS(I1957="S","Southamptom",I1957="Q","Quentown",I1957="C","Cherbrug",I1957="B","Cabin")</f>
        <v>Southamptom</v>
      </c>
      <c r="K1957" t="s">
        <v>15</v>
      </c>
      <c r="L1957" s="2">
        <v>33</v>
      </c>
      <c r="M1957" s="2" t="str" cm="1">
        <f t="array" ref="M1957">_xlfn.IFS(L1957&lt;=15,"Low Fare",L1957&lt;=35,"Medium Fare",L1957&lt;=100,"High Fare",L1957&gt;=100,"Very High Fare")</f>
        <v>Medium Fare</v>
      </c>
      <c r="N1957" s="2">
        <v>1</v>
      </c>
      <c r="O1957" s="2" t="s">
        <v>30</v>
      </c>
      <c r="P1957" t="e">
        <f t="shared" si="121"/>
        <v>#VALUE!</v>
      </c>
      <c r="Q1957" t="e">
        <f t="shared" si="122"/>
        <v>#VALUE!</v>
      </c>
      <c r="R1957" t="str">
        <f t="shared" si="123"/>
        <v>No</v>
      </c>
      <c r="S1957" t="s">
        <v>13</v>
      </c>
    </row>
    <row r="1958" spans="1:19" hidden="1" x14ac:dyDescent="0.3">
      <c r="A1958" s="1" t="s">
        <v>1438</v>
      </c>
      <c r="B1958" t="s">
        <v>1596</v>
      </c>
      <c r="C1958" t="s">
        <v>2776</v>
      </c>
      <c r="D1958" t="str">
        <f t="shared" si="120"/>
        <v>Male</v>
      </c>
      <c r="E1958" t="s">
        <v>9</v>
      </c>
      <c r="F1958" s="2">
        <v>24</v>
      </c>
      <c r="G1958" s="2" t="str" cm="1">
        <f t="array" ref="G1958">_xlfn.IFS(F1958&lt;=8,"Child",F1958&lt;=17,"Teen",F1958&lt;=35,"Adult",F1958&lt;=55,"Seniour Adult",F1958&gt;=55,"Old Age")</f>
        <v>Adult</v>
      </c>
      <c r="H1958" t="s">
        <v>51</v>
      </c>
      <c r="I1958" t="s">
        <v>11</v>
      </c>
      <c r="J1958" t="str" cm="1">
        <f t="array" ref="J1958">_xlfn.IFS(I1958="S","Southamptom",I1958="Q","Quentown",I1958="C","Cherbrug",I1958="B","Cabin")</f>
        <v>Southamptom</v>
      </c>
      <c r="K1958" t="s">
        <v>15</v>
      </c>
      <c r="L1958" s="2">
        <v>33</v>
      </c>
      <c r="M1958" s="2" t="str" cm="1">
        <f t="array" ref="M1958">_xlfn.IFS(L1958&lt;=15,"Low Fare",L1958&lt;=35,"Medium Fare",L1958&lt;=100,"High Fare",L1958&gt;=100,"Very High Fare")</f>
        <v>Medium Fare</v>
      </c>
      <c r="N1958" s="2">
        <v>1</v>
      </c>
      <c r="O1958" s="2" t="s">
        <v>30</v>
      </c>
      <c r="P1958" t="e">
        <f t="shared" si="121"/>
        <v>#VALUE!</v>
      </c>
      <c r="Q1958" t="e">
        <f t="shared" si="122"/>
        <v>#VALUE!</v>
      </c>
      <c r="R1958" t="str">
        <f t="shared" si="123"/>
        <v>Yes</v>
      </c>
      <c r="S1958" t="s">
        <v>16</v>
      </c>
    </row>
    <row r="1959" spans="1:19" hidden="1" x14ac:dyDescent="0.3">
      <c r="A1959" s="1" t="s">
        <v>1439</v>
      </c>
      <c r="B1959" t="s">
        <v>1596</v>
      </c>
      <c r="C1959" t="s">
        <v>3055</v>
      </c>
      <c r="D1959" t="str">
        <f t="shared" si="120"/>
        <v>Male</v>
      </c>
      <c r="E1959" t="s">
        <v>9</v>
      </c>
      <c r="F1959" s="2">
        <v>21</v>
      </c>
      <c r="G1959" s="2" t="str" cm="1">
        <f t="array" ref="G1959">_xlfn.IFS(F1959&lt;=8,"Child",F1959&lt;=17,"Teen",F1959&lt;=35,"Adult",F1959&lt;=55,"Seniour Adult",F1959&gt;=55,"Old Age")</f>
        <v>Adult</v>
      </c>
      <c r="H1959" t="s">
        <v>69</v>
      </c>
      <c r="I1959" t="s">
        <v>11</v>
      </c>
      <c r="J1959" t="str" cm="1">
        <f t="array" ref="J1959">_xlfn.IFS(I1959="S","Southamptom",I1959="Q","Quentown",I1959="C","Cherbrug",I1959="B","Cabin")</f>
        <v>Southamptom</v>
      </c>
      <c r="K1959" t="s">
        <v>15</v>
      </c>
      <c r="L1959" s="2">
        <v>33</v>
      </c>
      <c r="M1959" s="2" t="str" cm="1">
        <f t="array" ref="M1959">_xlfn.IFS(L1959&lt;=15,"Low Fare",L1959&lt;=35,"Medium Fare",L1959&lt;=100,"High Fare",L1959&gt;=100,"Very High Fare")</f>
        <v>Medium Fare</v>
      </c>
      <c r="N1959" s="2">
        <v>1</v>
      </c>
      <c r="O1959" s="2" t="s">
        <v>30</v>
      </c>
      <c r="P1959" t="e">
        <f t="shared" si="121"/>
        <v>#VALUE!</v>
      </c>
      <c r="Q1959" t="e">
        <f t="shared" si="122"/>
        <v>#VALUE!</v>
      </c>
      <c r="R1959" t="str">
        <f t="shared" si="123"/>
        <v>Yes</v>
      </c>
      <c r="S1959" t="s">
        <v>16</v>
      </c>
    </row>
    <row r="1960" spans="1:19" hidden="1" x14ac:dyDescent="0.3">
      <c r="A1960" s="1" t="s">
        <v>1440</v>
      </c>
      <c r="B1960" t="s">
        <v>1596</v>
      </c>
      <c r="C1960" t="s">
        <v>2259</v>
      </c>
      <c r="D1960" t="str">
        <f t="shared" si="120"/>
        <v>Male</v>
      </c>
      <c r="E1960" t="s">
        <v>9</v>
      </c>
      <c r="F1960" s="2">
        <v>46</v>
      </c>
      <c r="G1960" s="2" t="str" cm="1">
        <f t="array" ref="G1960">_xlfn.IFS(F1960&lt;=8,"Child",F1960&lt;=17,"Teen",F1960&lt;=35,"Adult",F1960&lt;=55,"Seniour Adult",F1960&gt;=55,"Old Age")</f>
        <v>Seniour Adult</v>
      </c>
      <c r="H1960" t="s">
        <v>69</v>
      </c>
      <c r="I1960" t="s">
        <v>28</v>
      </c>
      <c r="J1960" t="str" cm="1">
        <f t="array" ref="J1960">_xlfn.IFS(I1960="S","Southamptom",I1960="Q","Quentown",I1960="C","Cherbrug",I1960="B","Cabin")</f>
        <v>Cabin</v>
      </c>
      <c r="K1960" t="s">
        <v>15</v>
      </c>
      <c r="L1960" s="2">
        <v>33</v>
      </c>
      <c r="M1960" s="2" t="str" cm="1">
        <f t="array" ref="M1960">_xlfn.IFS(L1960&lt;=15,"Low Fare",L1960&lt;=35,"Medium Fare",L1960&lt;=100,"High Fare",L1960&gt;=100,"Very High Fare")</f>
        <v>Medium Fare</v>
      </c>
      <c r="N1960" s="2">
        <v>1</v>
      </c>
      <c r="O1960" s="2" t="s">
        <v>30</v>
      </c>
      <c r="P1960" t="e">
        <f t="shared" si="121"/>
        <v>#VALUE!</v>
      </c>
      <c r="Q1960" t="e">
        <f t="shared" si="122"/>
        <v>#VALUE!</v>
      </c>
      <c r="R1960" t="str">
        <f t="shared" si="123"/>
        <v>No</v>
      </c>
      <c r="S1960" t="s">
        <v>13</v>
      </c>
    </row>
    <row r="1961" spans="1:19" hidden="1" x14ac:dyDescent="0.3">
      <c r="A1961" s="1" t="s">
        <v>1441</v>
      </c>
      <c r="B1961" t="s">
        <v>1596</v>
      </c>
      <c r="C1961" t="s">
        <v>3056</v>
      </c>
      <c r="D1961" t="str">
        <f t="shared" si="120"/>
        <v>Male</v>
      </c>
      <c r="E1961" t="s">
        <v>9</v>
      </c>
      <c r="F1961" s="2">
        <v>22</v>
      </c>
      <c r="G1961" s="2" t="str" cm="1">
        <f t="array" ref="G1961">_xlfn.IFS(F1961&lt;=8,"Child",F1961&lt;=17,"Teen",F1961&lt;=35,"Adult",F1961&lt;=55,"Seniour Adult",F1961&gt;=55,"Old Age")</f>
        <v>Adult</v>
      </c>
      <c r="H1961" t="s">
        <v>51</v>
      </c>
      <c r="I1961" t="s">
        <v>11</v>
      </c>
      <c r="J1961" t="str" cm="1">
        <f t="array" ref="J1961">_xlfn.IFS(I1961="S","Southamptom",I1961="Q","Quentown",I1961="C","Cherbrug",I1961="B","Cabin")</f>
        <v>Southamptom</v>
      </c>
      <c r="K1961" t="s">
        <v>15</v>
      </c>
      <c r="L1961" s="2">
        <v>33</v>
      </c>
      <c r="M1961" s="2" t="str" cm="1">
        <f t="array" ref="M1961">_xlfn.IFS(L1961&lt;=15,"Low Fare",L1961&lt;=35,"Medium Fare",L1961&lt;=100,"High Fare",L1961&gt;=100,"Very High Fare")</f>
        <v>Medium Fare</v>
      </c>
      <c r="N1961" s="2">
        <v>1</v>
      </c>
      <c r="O1961" s="2" t="s">
        <v>30</v>
      </c>
      <c r="P1961" t="e">
        <f t="shared" si="121"/>
        <v>#VALUE!</v>
      </c>
      <c r="Q1961" t="e">
        <f t="shared" si="122"/>
        <v>#VALUE!</v>
      </c>
      <c r="R1961" t="str">
        <f t="shared" si="123"/>
        <v>No</v>
      </c>
      <c r="S1961" t="s">
        <v>13</v>
      </c>
    </row>
    <row r="1962" spans="1:19" hidden="1" x14ac:dyDescent="0.3">
      <c r="A1962" s="1" t="s">
        <v>1442</v>
      </c>
      <c r="B1962" t="s">
        <v>1596</v>
      </c>
      <c r="C1962" t="s">
        <v>2661</v>
      </c>
      <c r="D1962" t="str">
        <f t="shared" si="120"/>
        <v>Male</v>
      </c>
      <c r="E1962" t="s">
        <v>9</v>
      </c>
      <c r="F1962" s="2">
        <v>23</v>
      </c>
      <c r="G1962" s="2" t="str" cm="1">
        <f t="array" ref="G1962">_xlfn.IFS(F1962&lt;=8,"Child",F1962&lt;=17,"Teen",F1962&lt;=35,"Adult",F1962&lt;=55,"Seniour Adult",F1962&gt;=55,"Old Age")</f>
        <v>Adult</v>
      </c>
      <c r="H1962" t="s">
        <v>69</v>
      </c>
      <c r="I1962" t="s">
        <v>11</v>
      </c>
      <c r="J1962" t="str" cm="1">
        <f t="array" ref="J1962">_xlfn.IFS(I1962="S","Southamptom",I1962="Q","Quentown",I1962="C","Cherbrug",I1962="B","Cabin")</f>
        <v>Southamptom</v>
      </c>
      <c r="K1962" t="s">
        <v>15</v>
      </c>
      <c r="L1962" s="2">
        <v>33</v>
      </c>
      <c r="M1962" s="2" t="str" cm="1">
        <f t="array" ref="M1962">_xlfn.IFS(L1962&lt;=15,"Low Fare",L1962&lt;=35,"Medium Fare",L1962&lt;=100,"High Fare",L1962&gt;=100,"Very High Fare")</f>
        <v>Medium Fare</v>
      </c>
      <c r="N1962" s="2">
        <v>1</v>
      </c>
      <c r="O1962" s="2" t="s">
        <v>30</v>
      </c>
      <c r="P1962" t="e">
        <f t="shared" si="121"/>
        <v>#VALUE!</v>
      </c>
      <c r="Q1962" t="e">
        <f t="shared" si="122"/>
        <v>#VALUE!</v>
      </c>
      <c r="R1962" t="str">
        <f t="shared" si="123"/>
        <v>No</v>
      </c>
      <c r="S1962" t="s">
        <v>13</v>
      </c>
    </row>
    <row r="1963" spans="1:19" hidden="1" x14ac:dyDescent="0.3">
      <c r="A1963" s="1" t="s">
        <v>1443</v>
      </c>
      <c r="B1963" t="s">
        <v>1596</v>
      </c>
      <c r="C1963" t="s">
        <v>2373</v>
      </c>
      <c r="D1963" t="str">
        <f t="shared" si="120"/>
        <v>Male</v>
      </c>
      <c r="E1963" t="s">
        <v>9</v>
      </c>
      <c r="F1963" s="2">
        <v>20</v>
      </c>
      <c r="G1963" s="2" t="str" cm="1">
        <f t="array" ref="G1963">_xlfn.IFS(F1963&lt;=8,"Child",F1963&lt;=17,"Teen",F1963&lt;=35,"Adult",F1963&lt;=55,"Seniour Adult",F1963&gt;=55,"Old Age")</f>
        <v>Adult</v>
      </c>
      <c r="H1963" t="s">
        <v>69</v>
      </c>
      <c r="I1963" t="s">
        <v>11</v>
      </c>
      <c r="J1963" t="str" cm="1">
        <f t="array" ref="J1963">_xlfn.IFS(I1963="S","Southamptom",I1963="Q","Quentown",I1963="C","Cherbrug",I1963="B","Cabin")</f>
        <v>Southamptom</v>
      </c>
      <c r="K1963" t="s">
        <v>15</v>
      </c>
      <c r="L1963" s="2">
        <v>33</v>
      </c>
      <c r="M1963" s="2" t="str" cm="1">
        <f t="array" ref="M1963">_xlfn.IFS(L1963&lt;=15,"Low Fare",L1963&lt;=35,"Medium Fare",L1963&lt;=100,"High Fare",L1963&gt;=100,"Very High Fare")</f>
        <v>Medium Fare</v>
      </c>
      <c r="N1963" s="2">
        <v>1</v>
      </c>
      <c r="O1963" s="2" t="s">
        <v>30</v>
      </c>
      <c r="P1963" t="e">
        <f t="shared" si="121"/>
        <v>#VALUE!</v>
      </c>
      <c r="Q1963" t="e">
        <f t="shared" si="122"/>
        <v>#VALUE!</v>
      </c>
      <c r="R1963" t="str">
        <f t="shared" si="123"/>
        <v>Yes</v>
      </c>
      <c r="S1963" t="s">
        <v>16</v>
      </c>
    </row>
    <row r="1964" spans="1:19" hidden="1" x14ac:dyDescent="0.3">
      <c r="A1964" s="1" t="s">
        <v>1443</v>
      </c>
      <c r="B1964" t="s">
        <v>1596</v>
      </c>
      <c r="C1964" t="s">
        <v>3057</v>
      </c>
      <c r="D1964" t="str">
        <f t="shared" si="120"/>
        <v>Male</v>
      </c>
      <c r="E1964" t="s">
        <v>9</v>
      </c>
      <c r="F1964" s="2">
        <v>31</v>
      </c>
      <c r="G1964" s="2" t="str" cm="1">
        <f t="array" ref="G1964">_xlfn.IFS(F1964&lt;=8,"Child",F1964&lt;=17,"Teen",F1964&lt;=35,"Adult",F1964&lt;=55,"Seniour Adult",F1964&gt;=55,"Old Age")</f>
        <v>Adult</v>
      </c>
      <c r="H1964" t="s">
        <v>51</v>
      </c>
      <c r="I1964" t="s">
        <v>11</v>
      </c>
      <c r="J1964" t="str" cm="1">
        <f t="array" ref="J1964">_xlfn.IFS(I1964="S","Southamptom",I1964="Q","Quentown",I1964="C","Cherbrug",I1964="B","Cabin")</f>
        <v>Southamptom</v>
      </c>
      <c r="K1964" t="s">
        <v>15</v>
      </c>
      <c r="L1964" s="2">
        <v>33</v>
      </c>
      <c r="M1964" s="2" t="str" cm="1">
        <f t="array" ref="M1964">_xlfn.IFS(L1964&lt;=15,"Low Fare",L1964&lt;=35,"Medium Fare",L1964&lt;=100,"High Fare",L1964&gt;=100,"Very High Fare")</f>
        <v>Medium Fare</v>
      </c>
      <c r="N1964" s="2">
        <v>1</v>
      </c>
      <c r="O1964" s="2" t="s">
        <v>30</v>
      </c>
      <c r="P1964" t="e">
        <f t="shared" si="121"/>
        <v>#VALUE!</v>
      </c>
      <c r="Q1964" t="e">
        <f t="shared" si="122"/>
        <v>#VALUE!</v>
      </c>
      <c r="R1964" t="str">
        <f t="shared" si="123"/>
        <v>No</v>
      </c>
      <c r="S1964" t="s">
        <v>13</v>
      </c>
    </row>
    <row r="1965" spans="1:19" hidden="1" x14ac:dyDescent="0.3">
      <c r="A1965" s="1" t="s">
        <v>1444</v>
      </c>
      <c r="B1965" t="s">
        <v>1596</v>
      </c>
      <c r="C1965" t="s">
        <v>3058</v>
      </c>
      <c r="D1965" t="str">
        <f t="shared" si="120"/>
        <v>Male</v>
      </c>
      <c r="E1965" t="s">
        <v>9</v>
      </c>
      <c r="F1965" s="2">
        <v>22</v>
      </c>
      <c r="G1965" s="2" t="str" cm="1">
        <f t="array" ref="G1965">_xlfn.IFS(F1965&lt;=8,"Child",F1965&lt;=17,"Teen",F1965&lt;=35,"Adult",F1965&lt;=55,"Seniour Adult",F1965&gt;=55,"Old Age")</f>
        <v>Adult</v>
      </c>
      <c r="H1965" t="s">
        <v>51</v>
      </c>
      <c r="I1965" t="s">
        <v>11</v>
      </c>
      <c r="J1965" t="str" cm="1">
        <f t="array" ref="J1965">_xlfn.IFS(I1965="S","Southamptom",I1965="Q","Quentown",I1965="C","Cherbrug",I1965="B","Cabin")</f>
        <v>Southamptom</v>
      </c>
      <c r="K1965" t="s">
        <v>15</v>
      </c>
      <c r="L1965" s="2">
        <v>33</v>
      </c>
      <c r="M1965" s="2" t="str" cm="1">
        <f t="array" ref="M1965">_xlfn.IFS(L1965&lt;=15,"Low Fare",L1965&lt;=35,"Medium Fare",L1965&lt;=100,"High Fare",L1965&gt;=100,"Very High Fare")</f>
        <v>Medium Fare</v>
      </c>
      <c r="N1965" s="2">
        <v>1</v>
      </c>
      <c r="O1965" s="2" t="s">
        <v>30</v>
      </c>
      <c r="P1965" t="e">
        <f t="shared" si="121"/>
        <v>#VALUE!</v>
      </c>
      <c r="Q1965" t="e">
        <f t="shared" si="122"/>
        <v>#VALUE!</v>
      </c>
      <c r="R1965" t="str">
        <f t="shared" si="123"/>
        <v>Yes</v>
      </c>
      <c r="S1965" t="s">
        <v>16</v>
      </c>
    </row>
    <row r="1966" spans="1:19" hidden="1" x14ac:dyDescent="0.3">
      <c r="A1966" s="1" t="s">
        <v>1445</v>
      </c>
      <c r="B1966" t="s">
        <v>1596</v>
      </c>
      <c r="C1966" t="s">
        <v>2273</v>
      </c>
      <c r="D1966" t="str">
        <f t="shared" si="120"/>
        <v>Male</v>
      </c>
      <c r="E1966" t="s">
        <v>9</v>
      </c>
      <c r="F1966" s="2">
        <v>44</v>
      </c>
      <c r="G1966" s="2" t="str" cm="1">
        <f t="array" ref="G1966">_xlfn.IFS(F1966&lt;=8,"Child",F1966&lt;=17,"Teen",F1966&lt;=35,"Adult",F1966&lt;=55,"Seniour Adult",F1966&gt;=55,"Old Age")</f>
        <v>Seniour Adult</v>
      </c>
      <c r="H1966" t="s">
        <v>69</v>
      </c>
      <c r="I1966" t="s">
        <v>28</v>
      </c>
      <c r="J1966" t="str" cm="1">
        <f t="array" ref="J1966">_xlfn.IFS(I1966="S","Southamptom",I1966="Q","Quentown",I1966="C","Cherbrug",I1966="B","Cabin")</f>
        <v>Cabin</v>
      </c>
      <c r="K1966" t="s">
        <v>15</v>
      </c>
      <c r="L1966" s="2">
        <v>33</v>
      </c>
      <c r="M1966" s="2" t="str" cm="1">
        <f t="array" ref="M1966">_xlfn.IFS(L1966&lt;=15,"Low Fare",L1966&lt;=35,"Medium Fare",L1966&lt;=100,"High Fare",L1966&gt;=100,"Very High Fare")</f>
        <v>Medium Fare</v>
      </c>
      <c r="N1966" s="2">
        <v>1</v>
      </c>
      <c r="O1966" s="2" t="s">
        <v>30</v>
      </c>
      <c r="P1966" t="e">
        <f t="shared" si="121"/>
        <v>#VALUE!</v>
      </c>
      <c r="Q1966" t="e">
        <f t="shared" si="122"/>
        <v>#VALUE!</v>
      </c>
      <c r="R1966" t="str">
        <f t="shared" si="123"/>
        <v>No</v>
      </c>
      <c r="S1966" t="s">
        <v>13</v>
      </c>
    </row>
    <row r="1967" spans="1:19" hidden="1" x14ac:dyDescent="0.3">
      <c r="A1967" s="1" t="s">
        <v>1446</v>
      </c>
      <c r="B1967" t="s">
        <v>1596</v>
      </c>
      <c r="C1967" t="s">
        <v>3059</v>
      </c>
      <c r="D1967" t="str">
        <f t="shared" si="120"/>
        <v>Male</v>
      </c>
      <c r="E1967" t="s">
        <v>9</v>
      </c>
      <c r="F1967" s="2">
        <v>29</v>
      </c>
      <c r="G1967" s="2" t="str" cm="1">
        <f t="array" ref="G1967">_xlfn.IFS(F1967&lt;=8,"Child",F1967&lt;=17,"Teen",F1967&lt;=35,"Adult",F1967&lt;=55,"Seniour Adult",F1967&gt;=55,"Old Age")</f>
        <v>Adult</v>
      </c>
      <c r="H1967" t="s">
        <v>69</v>
      </c>
      <c r="I1967" t="s">
        <v>11</v>
      </c>
      <c r="J1967" t="str" cm="1">
        <f t="array" ref="J1967">_xlfn.IFS(I1967="S","Southamptom",I1967="Q","Quentown",I1967="C","Cherbrug",I1967="B","Cabin")</f>
        <v>Southamptom</v>
      </c>
      <c r="K1967" t="s">
        <v>15</v>
      </c>
      <c r="L1967" s="2">
        <v>33</v>
      </c>
      <c r="M1967" s="2" t="str" cm="1">
        <f t="array" ref="M1967">_xlfn.IFS(L1967&lt;=15,"Low Fare",L1967&lt;=35,"Medium Fare",L1967&lt;=100,"High Fare",L1967&gt;=100,"Very High Fare")</f>
        <v>Medium Fare</v>
      </c>
      <c r="N1967" s="2">
        <v>1</v>
      </c>
      <c r="O1967" s="2" t="s">
        <v>30</v>
      </c>
      <c r="P1967" t="e">
        <f t="shared" si="121"/>
        <v>#VALUE!</v>
      </c>
      <c r="Q1967" t="e">
        <f t="shared" si="122"/>
        <v>#VALUE!</v>
      </c>
      <c r="R1967" t="str">
        <f t="shared" si="123"/>
        <v>No</v>
      </c>
      <c r="S1967" t="s">
        <v>13</v>
      </c>
    </row>
    <row r="1968" spans="1:19" hidden="1" x14ac:dyDescent="0.3">
      <c r="A1968" s="1" t="s">
        <v>1447</v>
      </c>
      <c r="B1968" t="s">
        <v>1596</v>
      </c>
      <c r="C1968" t="s">
        <v>1645</v>
      </c>
      <c r="D1968" t="str">
        <f t="shared" si="120"/>
        <v>Male</v>
      </c>
      <c r="E1968" t="s">
        <v>9</v>
      </c>
      <c r="F1968" s="2">
        <v>29</v>
      </c>
      <c r="G1968" s="2" t="str" cm="1">
        <f t="array" ref="G1968">_xlfn.IFS(F1968&lt;=8,"Child",F1968&lt;=17,"Teen",F1968&lt;=35,"Adult",F1968&lt;=55,"Seniour Adult",F1968&gt;=55,"Old Age")</f>
        <v>Adult</v>
      </c>
      <c r="H1968" t="s">
        <v>51</v>
      </c>
      <c r="I1968" t="s">
        <v>11</v>
      </c>
      <c r="J1968" t="str" cm="1">
        <f t="array" ref="J1968">_xlfn.IFS(I1968="S","Southamptom",I1968="Q","Quentown",I1968="C","Cherbrug",I1968="B","Cabin")</f>
        <v>Southamptom</v>
      </c>
      <c r="K1968" t="s">
        <v>15</v>
      </c>
      <c r="L1968" s="2">
        <v>33</v>
      </c>
      <c r="M1968" s="2" t="str" cm="1">
        <f t="array" ref="M1968">_xlfn.IFS(L1968&lt;=15,"Low Fare",L1968&lt;=35,"Medium Fare",L1968&lt;=100,"High Fare",L1968&gt;=100,"Very High Fare")</f>
        <v>Medium Fare</v>
      </c>
      <c r="N1968" s="2">
        <v>1</v>
      </c>
      <c r="O1968" s="2" t="s">
        <v>30</v>
      </c>
      <c r="P1968" t="e">
        <f t="shared" si="121"/>
        <v>#VALUE!</v>
      </c>
      <c r="Q1968" t="e">
        <f t="shared" si="122"/>
        <v>#VALUE!</v>
      </c>
      <c r="R1968" t="str">
        <f t="shared" si="123"/>
        <v>Yes</v>
      </c>
      <c r="S1968" t="s">
        <v>16</v>
      </c>
    </row>
    <row r="1969" spans="1:19" hidden="1" x14ac:dyDescent="0.3">
      <c r="A1969" s="1" t="s">
        <v>1448</v>
      </c>
      <c r="B1969" t="s">
        <v>1596</v>
      </c>
      <c r="C1969" t="s">
        <v>3060</v>
      </c>
      <c r="D1969" t="str">
        <f t="shared" si="120"/>
        <v>Male</v>
      </c>
      <c r="E1969" t="s">
        <v>9</v>
      </c>
      <c r="F1969" s="2">
        <v>50</v>
      </c>
      <c r="G1969" s="2" t="str" cm="1">
        <f t="array" ref="G1969">_xlfn.IFS(F1969&lt;=8,"Child",F1969&lt;=17,"Teen",F1969&lt;=35,"Adult",F1969&lt;=55,"Seniour Adult",F1969&gt;=55,"Old Age")</f>
        <v>Seniour Adult</v>
      </c>
      <c r="H1969" t="s">
        <v>69</v>
      </c>
      <c r="I1969" t="s">
        <v>28</v>
      </c>
      <c r="J1969" t="str" cm="1">
        <f t="array" ref="J1969">_xlfn.IFS(I1969="S","Southamptom",I1969="Q","Quentown",I1969="C","Cherbrug",I1969="B","Cabin")</f>
        <v>Cabin</v>
      </c>
      <c r="K1969" t="s">
        <v>15</v>
      </c>
      <c r="L1969" s="2">
        <v>33</v>
      </c>
      <c r="M1969" s="2" t="str" cm="1">
        <f t="array" ref="M1969">_xlfn.IFS(L1969&lt;=15,"Low Fare",L1969&lt;=35,"Medium Fare",L1969&lt;=100,"High Fare",L1969&gt;=100,"Very High Fare")</f>
        <v>Medium Fare</v>
      </c>
      <c r="N1969" s="2">
        <v>1</v>
      </c>
      <c r="O1969" s="2" t="s">
        <v>30</v>
      </c>
      <c r="P1969" t="e">
        <f t="shared" si="121"/>
        <v>#VALUE!</v>
      </c>
      <c r="Q1969" t="e">
        <f t="shared" si="122"/>
        <v>#VALUE!</v>
      </c>
      <c r="R1969" t="str">
        <f t="shared" si="123"/>
        <v>No</v>
      </c>
      <c r="S1969" t="s">
        <v>13</v>
      </c>
    </row>
    <row r="1970" spans="1:19" hidden="1" x14ac:dyDescent="0.3">
      <c r="A1970" s="1" t="s">
        <v>1449</v>
      </c>
      <c r="B1970" t="s">
        <v>1596</v>
      </c>
      <c r="C1970" t="s">
        <v>1621</v>
      </c>
      <c r="D1970" t="str">
        <f t="shared" si="120"/>
        <v>Male</v>
      </c>
      <c r="E1970" t="s">
        <v>9</v>
      </c>
      <c r="F1970" s="2">
        <v>38</v>
      </c>
      <c r="G1970" s="2" t="str" cm="1">
        <f t="array" ref="G1970">_xlfn.IFS(F1970&lt;=8,"Child",F1970&lt;=17,"Teen",F1970&lt;=35,"Adult",F1970&lt;=55,"Seniour Adult",F1970&gt;=55,"Old Age")</f>
        <v>Seniour Adult</v>
      </c>
      <c r="H1970" t="s">
        <v>69</v>
      </c>
      <c r="I1970" t="s">
        <v>28</v>
      </c>
      <c r="J1970" t="str" cm="1">
        <f t="array" ref="J1970">_xlfn.IFS(I1970="S","Southamptom",I1970="Q","Quentown",I1970="C","Cherbrug",I1970="B","Cabin")</f>
        <v>Cabin</v>
      </c>
      <c r="K1970" t="s">
        <v>33</v>
      </c>
      <c r="L1970" s="2">
        <v>33</v>
      </c>
      <c r="M1970" s="2" t="str" cm="1">
        <f t="array" ref="M1970">_xlfn.IFS(L1970&lt;=15,"Low Fare",L1970&lt;=35,"Medium Fare",L1970&lt;=100,"High Fare",L1970&gt;=100,"Very High Fare")</f>
        <v>Medium Fare</v>
      </c>
      <c r="N1970" s="2">
        <v>1</v>
      </c>
      <c r="O1970" s="2" t="s">
        <v>30</v>
      </c>
      <c r="P1970" t="e">
        <f t="shared" si="121"/>
        <v>#VALUE!</v>
      </c>
      <c r="Q1970" t="e">
        <f t="shared" si="122"/>
        <v>#VALUE!</v>
      </c>
      <c r="R1970" t="str">
        <f t="shared" si="123"/>
        <v>No</v>
      </c>
      <c r="S1970" t="s">
        <v>13</v>
      </c>
    </row>
    <row r="1971" spans="1:19" hidden="1" x14ac:dyDescent="0.3">
      <c r="A1971" s="1" t="s">
        <v>1450</v>
      </c>
      <c r="B1971" t="s">
        <v>2719</v>
      </c>
      <c r="C1971" t="s">
        <v>3061</v>
      </c>
      <c r="D1971" t="str">
        <f t="shared" si="120"/>
        <v>Male</v>
      </c>
      <c r="E1971" t="s">
        <v>9</v>
      </c>
      <c r="F1971" s="2">
        <v>21</v>
      </c>
      <c r="G1971" s="2" t="str" cm="1">
        <f t="array" ref="G1971">_xlfn.IFS(F1971&lt;=8,"Child",F1971&lt;=17,"Teen",F1971&lt;=35,"Adult",F1971&lt;=55,"Seniour Adult",F1971&gt;=55,"Old Age")</f>
        <v>Adult</v>
      </c>
      <c r="H1971" t="s">
        <v>70</v>
      </c>
      <c r="I1971" t="s">
        <v>11</v>
      </c>
      <c r="J1971" t="str" cm="1">
        <f t="array" ref="J1971">_xlfn.IFS(I1971="S","Southamptom",I1971="Q","Quentown",I1971="C","Cherbrug",I1971="B","Cabin")</f>
        <v>Southamptom</v>
      </c>
      <c r="K1971" t="s">
        <v>15</v>
      </c>
      <c r="L1971" s="2">
        <v>33</v>
      </c>
      <c r="M1971" s="2" t="str" cm="1">
        <f t="array" ref="M1971">_xlfn.IFS(L1971&lt;=15,"Low Fare",L1971&lt;=35,"Medium Fare",L1971&lt;=100,"High Fare",L1971&gt;=100,"Very High Fare")</f>
        <v>Medium Fare</v>
      </c>
      <c r="N1971" s="2">
        <v>1</v>
      </c>
      <c r="O1971" s="2" t="s">
        <v>30</v>
      </c>
      <c r="P1971" t="e">
        <f t="shared" si="121"/>
        <v>#VALUE!</v>
      </c>
      <c r="Q1971" t="e">
        <f t="shared" si="122"/>
        <v>#VALUE!</v>
      </c>
      <c r="R1971" t="str">
        <f t="shared" si="123"/>
        <v>No</v>
      </c>
      <c r="S1971" t="s">
        <v>13</v>
      </c>
    </row>
    <row r="1972" spans="1:19" hidden="1" x14ac:dyDescent="0.3">
      <c r="A1972" s="1" t="s">
        <v>1451</v>
      </c>
      <c r="B1972" t="s">
        <v>1596</v>
      </c>
      <c r="C1972" t="s">
        <v>3062</v>
      </c>
      <c r="D1972" t="str">
        <f t="shared" si="120"/>
        <v>Male</v>
      </c>
      <c r="E1972" t="s">
        <v>9</v>
      </c>
      <c r="F1972" s="2">
        <v>32</v>
      </c>
      <c r="G1972" s="2" t="str" cm="1">
        <f t="array" ref="G1972">_xlfn.IFS(F1972&lt;=8,"Child",F1972&lt;=17,"Teen",F1972&lt;=35,"Adult",F1972&lt;=55,"Seniour Adult",F1972&gt;=55,"Old Age")</f>
        <v>Adult</v>
      </c>
      <c r="H1972" t="s">
        <v>69</v>
      </c>
      <c r="I1972" t="s">
        <v>28</v>
      </c>
      <c r="J1972" t="str" cm="1">
        <f t="array" ref="J1972">_xlfn.IFS(I1972="S","Southamptom",I1972="Q","Quentown",I1972="C","Cherbrug",I1972="B","Cabin")</f>
        <v>Cabin</v>
      </c>
      <c r="K1972" t="s">
        <v>15</v>
      </c>
      <c r="L1972" s="2">
        <v>33</v>
      </c>
      <c r="M1972" s="2" t="str" cm="1">
        <f t="array" ref="M1972">_xlfn.IFS(L1972&lt;=15,"Low Fare",L1972&lt;=35,"Medium Fare",L1972&lt;=100,"High Fare",L1972&gt;=100,"Very High Fare")</f>
        <v>Medium Fare</v>
      </c>
      <c r="N1972" s="2">
        <v>1</v>
      </c>
      <c r="O1972" s="2" t="s">
        <v>30</v>
      </c>
      <c r="P1972" t="e">
        <f t="shared" si="121"/>
        <v>#VALUE!</v>
      </c>
      <c r="Q1972" t="e">
        <f t="shared" si="122"/>
        <v>#VALUE!</v>
      </c>
      <c r="R1972" t="str">
        <f t="shared" si="123"/>
        <v>Yes</v>
      </c>
      <c r="S1972" t="s">
        <v>16</v>
      </c>
    </row>
    <row r="1973" spans="1:19" hidden="1" x14ac:dyDescent="0.3">
      <c r="A1973" s="1" t="s">
        <v>1452</v>
      </c>
      <c r="B1973" t="s">
        <v>1596</v>
      </c>
      <c r="C1973" t="s">
        <v>1795</v>
      </c>
      <c r="D1973" t="str">
        <f t="shared" si="120"/>
        <v>Male</v>
      </c>
      <c r="E1973" t="s">
        <v>9</v>
      </c>
      <c r="F1973" s="2">
        <v>20</v>
      </c>
      <c r="G1973" s="2" t="str" cm="1">
        <f t="array" ref="G1973">_xlfn.IFS(F1973&lt;=8,"Child",F1973&lt;=17,"Teen",F1973&lt;=35,"Adult",F1973&lt;=55,"Seniour Adult",F1973&gt;=55,"Old Age")</f>
        <v>Adult</v>
      </c>
      <c r="H1973" t="s">
        <v>51</v>
      </c>
      <c r="I1973" t="s">
        <v>11</v>
      </c>
      <c r="J1973" t="str" cm="1">
        <f t="array" ref="J1973">_xlfn.IFS(I1973="S","Southamptom",I1973="Q","Quentown",I1973="C","Cherbrug",I1973="B","Cabin")</f>
        <v>Southamptom</v>
      </c>
      <c r="K1973" t="s">
        <v>15</v>
      </c>
      <c r="L1973" s="2">
        <v>33</v>
      </c>
      <c r="M1973" s="2" t="str" cm="1">
        <f t="array" ref="M1973">_xlfn.IFS(L1973&lt;=15,"Low Fare",L1973&lt;=35,"Medium Fare",L1973&lt;=100,"High Fare",L1973&gt;=100,"Very High Fare")</f>
        <v>Medium Fare</v>
      </c>
      <c r="N1973" s="2">
        <v>1</v>
      </c>
      <c r="O1973" s="2" t="s">
        <v>30</v>
      </c>
      <c r="P1973" t="e">
        <f t="shared" si="121"/>
        <v>#VALUE!</v>
      </c>
      <c r="Q1973" t="e">
        <f t="shared" si="122"/>
        <v>#VALUE!</v>
      </c>
      <c r="R1973" t="str">
        <f t="shared" si="123"/>
        <v>No</v>
      </c>
      <c r="S1973" t="s">
        <v>13</v>
      </c>
    </row>
    <row r="1974" spans="1:19" hidden="1" x14ac:dyDescent="0.3">
      <c r="A1974" s="1" t="s">
        <v>750</v>
      </c>
      <c r="B1974" t="s">
        <v>1596</v>
      </c>
      <c r="C1974" t="s">
        <v>3063</v>
      </c>
      <c r="D1974" t="str">
        <f t="shared" si="120"/>
        <v>Male</v>
      </c>
      <c r="E1974" t="s">
        <v>9</v>
      </c>
      <c r="F1974" s="2">
        <v>55</v>
      </c>
      <c r="G1974" s="2" t="str" cm="1">
        <f t="array" ref="G1974">_xlfn.IFS(F1974&lt;=8,"Child",F1974&lt;=17,"Teen",F1974&lt;=35,"Adult",F1974&lt;=55,"Seniour Adult",F1974&gt;=55,"Old Age")</f>
        <v>Seniour Adult</v>
      </c>
      <c r="H1974" t="s">
        <v>69</v>
      </c>
      <c r="I1974" t="s">
        <v>11</v>
      </c>
      <c r="J1974" t="str" cm="1">
        <f t="array" ref="J1974">_xlfn.IFS(I1974="S","Southamptom",I1974="Q","Quentown",I1974="C","Cherbrug",I1974="B","Cabin")</f>
        <v>Southamptom</v>
      </c>
      <c r="K1974" t="s">
        <v>15</v>
      </c>
      <c r="L1974" s="2">
        <v>33</v>
      </c>
      <c r="M1974" s="2" t="str" cm="1">
        <f t="array" ref="M1974">_xlfn.IFS(L1974&lt;=15,"Low Fare",L1974&lt;=35,"Medium Fare",L1974&lt;=100,"High Fare",L1974&gt;=100,"Very High Fare")</f>
        <v>Medium Fare</v>
      </c>
      <c r="N1974" s="2">
        <v>1</v>
      </c>
      <c r="O1974" s="2" t="s">
        <v>30</v>
      </c>
      <c r="P1974" t="e">
        <f t="shared" si="121"/>
        <v>#VALUE!</v>
      </c>
      <c r="Q1974" t="e">
        <f t="shared" si="122"/>
        <v>#VALUE!</v>
      </c>
      <c r="R1974" t="str">
        <f t="shared" si="123"/>
        <v>No</v>
      </c>
      <c r="S1974" t="s">
        <v>13</v>
      </c>
    </row>
    <row r="1975" spans="1:19" hidden="1" x14ac:dyDescent="0.3">
      <c r="A1975" s="1" t="s">
        <v>751</v>
      </c>
      <c r="B1975" t="s">
        <v>1596</v>
      </c>
      <c r="C1975" t="s">
        <v>3064</v>
      </c>
      <c r="D1975" t="str">
        <f t="shared" si="120"/>
        <v>Male</v>
      </c>
      <c r="E1975" t="s">
        <v>9</v>
      </c>
      <c r="F1975" s="2">
        <v>34</v>
      </c>
      <c r="G1975" s="2" t="str" cm="1">
        <f t="array" ref="G1975">_xlfn.IFS(F1975&lt;=8,"Child",F1975&lt;=17,"Teen",F1975&lt;=35,"Adult",F1975&lt;=55,"Seniour Adult",F1975&gt;=55,"Old Age")</f>
        <v>Adult</v>
      </c>
      <c r="H1975" t="s">
        <v>51</v>
      </c>
      <c r="I1975" t="s">
        <v>11</v>
      </c>
      <c r="J1975" t="str" cm="1">
        <f t="array" ref="J1975">_xlfn.IFS(I1975="S","Southamptom",I1975="Q","Quentown",I1975="C","Cherbrug",I1975="B","Cabin")</f>
        <v>Southamptom</v>
      </c>
      <c r="K1975" t="s">
        <v>15</v>
      </c>
      <c r="L1975" s="2">
        <v>33</v>
      </c>
      <c r="M1975" s="2" t="str" cm="1">
        <f t="array" ref="M1975">_xlfn.IFS(L1975&lt;=15,"Low Fare",L1975&lt;=35,"Medium Fare",L1975&lt;=100,"High Fare",L1975&gt;=100,"Very High Fare")</f>
        <v>Medium Fare</v>
      </c>
      <c r="N1975" s="2">
        <v>1</v>
      </c>
      <c r="O1975" s="2" t="s">
        <v>30</v>
      </c>
      <c r="P1975" t="e">
        <f t="shared" si="121"/>
        <v>#VALUE!</v>
      </c>
      <c r="Q1975" t="e">
        <f t="shared" si="122"/>
        <v>#VALUE!</v>
      </c>
      <c r="R1975" t="str">
        <f t="shared" si="123"/>
        <v>No</v>
      </c>
      <c r="S1975" t="s">
        <v>13</v>
      </c>
    </row>
    <row r="1976" spans="1:19" hidden="1" x14ac:dyDescent="0.3">
      <c r="A1976" s="1" t="s">
        <v>1453</v>
      </c>
      <c r="B1976" t="s">
        <v>1596</v>
      </c>
      <c r="C1976" t="s">
        <v>3065</v>
      </c>
      <c r="D1976" t="str">
        <f t="shared" si="120"/>
        <v>Male</v>
      </c>
      <c r="E1976" t="s">
        <v>9</v>
      </c>
      <c r="F1976" s="2">
        <v>30</v>
      </c>
      <c r="G1976" s="2" t="str" cm="1">
        <f t="array" ref="G1976">_xlfn.IFS(F1976&lt;=8,"Child",F1976&lt;=17,"Teen",F1976&lt;=35,"Adult",F1976&lt;=55,"Seniour Adult",F1976&gt;=55,"Old Age")</f>
        <v>Adult</v>
      </c>
      <c r="H1976" t="s">
        <v>51</v>
      </c>
      <c r="I1976" t="s">
        <v>11</v>
      </c>
      <c r="J1976" t="str" cm="1">
        <f t="array" ref="J1976">_xlfn.IFS(I1976="S","Southamptom",I1976="Q","Quentown",I1976="C","Cherbrug",I1976="B","Cabin")</f>
        <v>Southamptom</v>
      </c>
      <c r="K1976" t="s">
        <v>15</v>
      </c>
      <c r="L1976" s="2">
        <v>33</v>
      </c>
      <c r="M1976" s="2" t="str" cm="1">
        <f t="array" ref="M1976">_xlfn.IFS(L1976&lt;=15,"Low Fare",L1976&lt;=35,"Medium Fare",L1976&lt;=100,"High Fare",L1976&gt;=100,"Very High Fare")</f>
        <v>Medium Fare</v>
      </c>
      <c r="N1976" s="2">
        <v>1</v>
      </c>
      <c r="O1976" s="2" t="s">
        <v>30</v>
      </c>
      <c r="P1976" t="e">
        <f t="shared" si="121"/>
        <v>#VALUE!</v>
      </c>
      <c r="Q1976" t="e">
        <f t="shared" si="122"/>
        <v>#VALUE!</v>
      </c>
      <c r="R1976" t="str">
        <f t="shared" si="123"/>
        <v>No</v>
      </c>
      <c r="S1976" t="s">
        <v>13</v>
      </c>
    </row>
    <row r="1977" spans="1:19" hidden="1" x14ac:dyDescent="0.3">
      <c r="A1977" s="1" t="s">
        <v>1454</v>
      </c>
      <c r="B1977" t="s">
        <v>1596</v>
      </c>
      <c r="C1977" t="s">
        <v>3066</v>
      </c>
      <c r="D1977" t="str">
        <f t="shared" si="120"/>
        <v>Male</v>
      </c>
      <c r="E1977" t="s">
        <v>9</v>
      </c>
      <c r="F1977" s="2">
        <v>31</v>
      </c>
      <c r="G1977" s="2" t="str" cm="1">
        <f t="array" ref="G1977">_xlfn.IFS(F1977&lt;=8,"Child",F1977&lt;=17,"Teen",F1977&lt;=35,"Adult",F1977&lt;=55,"Seniour Adult",F1977&gt;=55,"Old Age")</f>
        <v>Adult</v>
      </c>
      <c r="H1977" t="s">
        <v>69</v>
      </c>
      <c r="I1977" t="s">
        <v>28</v>
      </c>
      <c r="J1977" t="str" cm="1">
        <f t="array" ref="J1977">_xlfn.IFS(I1977="S","Southamptom",I1977="Q","Quentown",I1977="C","Cherbrug",I1977="B","Cabin")</f>
        <v>Cabin</v>
      </c>
      <c r="K1977" t="s">
        <v>15</v>
      </c>
      <c r="L1977" s="2">
        <v>33</v>
      </c>
      <c r="M1977" s="2" t="str" cm="1">
        <f t="array" ref="M1977">_xlfn.IFS(L1977&lt;=15,"Low Fare",L1977&lt;=35,"Medium Fare",L1977&lt;=100,"High Fare",L1977&gt;=100,"Very High Fare")</f>
        <v>Medium Fare</v>
      </c>
      <c r="N1977" s="2">
        <v>1</v>
      </c>
      <c r="O1977" s="2" t="s">
        <v>30</v>
      </c>
      <c r="P1977" t="e">
        <f t="shared" si="121"/>
        <v>#VALUE!</v>
      </c>
      <c r="Q1977" t="e">
        <f t="shared" si="122"/>
        <v>#VALUE!</v>
      </c>
      <c r="R1977" t="str">
        <f t="shared" si="123"/>
        <v>No</v>
      </c>
      <c r="S1977" t="s">
        <v>13</v>
      </c>
    </row>
    <row r="1978" spans="1:19" hidden="1" x14ac:dyDescent="0.3">
      <c r="A1978" s="1" t="s">
        <v>1455</v>
      </c>
      <c r="B1978" t="s">
        <v>2719</v>
      </c>
      <c r="C1978" t="s">
        <v>3067</v>
      </c>
      <c r="D1978" t="str">
        <f t="shared" si="120"/>
        <v>Male</v>
      </c>
      <c r="E1978" t="s">
        <v>9</v>
      </c>
      <c r="F1978" s="2">
        <v>22</v>
      </c>
      <c r="G1978" s="2" t="str" cm="1">
        <f t="array" ref="G1978">_xlfn.IFS(F1978&lt;=8,"Child",F1978&lt;=17,"Teen",F1978&lt;=35,"Adult",F1978&lt;=55,"Seniour Adult",F1978&gt;=55,"Old Age")</f>
        <v>Adult</v>
      </c>
      <c r="H1978" t="s">
        <v>70</v>
      </c>
      <c r="I1978" t="s">
        <v>11</v>
      </c>
      <c r="J1978" t="str" cm="1">
        <f t="array" ref="J1978">_xlfn.IFS(I1978="S","Southamptom",I1978="Q","Quentown",I1978="C","Cherbrug",I1978="B","Cabin")</f>
        <v>Southamptom</v>
      </c>
      <c r="K1978" t="s">
        <v>15</v>
      </c>
      <c r="L1978" s="2">
        <v>33</v>
      </c>
      <c r="M1978" s="2" t="str" cm="1">
        <f t="array" ref="M1978">_xlfn.IFS(L1978&lt;=15,"Low Fare",L1978&lt;=35,"Medium Fare",L1978&lt;=100,"High Fare",L1978&gt;=100,"Very High Fare")</f>
        <v>Medium Fare</v>
      </c>
      <c r="N1978" s="2">
        <v>1</v>
      </c>
      <c r="O1978" s="2" t="s">
        <v>30</v>
      </c>
      <c r="P1978" t="e">
        <f t="shared" si="121"/>
        <v>#VALUE!</v>
      </c>
      <c r="Q1978" t="e">
        <f t="shared" si="122"/>
        <v>#VALUE!</v>
      </c>
      <c r="R1978" t="str">
        <f t="shared" si="123"/>
        <v>No</v>
      </c>
      <c r="S1978" t="s">
        <v>13</v>
      </c>
    </row>
    <row r="1979" spans="1:19" hidden="1" x14ac:dyDescent="0.3">
      <c r="A1979" s="1" t="s">
        <v>758</v>
      </c>
      <c r="B1979" t="s">
        <v>1596</v>
      </c>
      <c r="C1979" t="s">
        <v>2259</v>
      </c>
      <c r="D1979" t="str">
        <f t="shared" si="120"/>
        <v>Male</v>
      </c>
      <c r="E1979" t="s">
        <v>9</v>
      </c>
      <c r="F1979" s="2">
        <v>32</v>
      </c>
      <c r="G1979" s="2" t="str" cm="1">
        <f t="array" ref="G1979">_xlfn.IFS(F1979&lt;=8,"Child",F1979&lt;=17,"Teen",F1979&lt;=35,"Adult",F1979&lt;=55,"Seniour Adult",F1979&gt;=55,"Old Age")</f>
        <v>Adult</v>
      </c>
      <c r="H1979" t="s">
        <v>51</v>
      </c>
      <c r="I1979" t="s">
        <v>11</v>
      </c>
      <c r="J1979" t="str" cm="1">
        <f t="array" ref="J1979">_xlfn.IFS(I1979="S","Southamptom",I1979="Q","Quentown",I1979="C","Cherbrug",I1979="B","Cabin")</f>
        <v>Southamptom</v>
      </c>
      <c r="K1979" t="s">
        <v>15</v>
      </c>
      <c r="L1979" s="2">
        <v>33</v>
      </c>
      <c r="M1979" s="2" t="str" cm="1">
        <f t="array" ref="M1979">_xlfn.IFS(L1979&lt;=15,"Low Fare",L1979&lt;=35,"Medium Fare",L1979&lt;=100,"High Fare",L1979&gt;=100,"Very High Fare")</f>
        <v>Medium Fare</v>
      </c>
      <c r="N1979" s="2">
        <v>1</v>
      </c>
      <c r="O1979" s="2" t="s">
        <v>30</v>
      </c>
      <c r="P1979" t="e">
        <f t="shared" si="121"/>
        <v>#VALUE!</v>
      </c>
      <c r="Q1979" t="e">
        <f t="shared" si="122"/>
        <v>#VALUE!</v>
      </c>
      <c r="R1979" t="str">
        <f t="shared" si="123"/>
        <v>Yes</v>
      </c>
      <c r="S1979" t="s">
        <v>16</v>
      </c>
    </row>
    <row r="1980" spans="1:19" hidden="1" x14ac:dyDescent="0.3">
      <c r="A1980" s="1" t="s">
        <v>758</v>
      </c>
      <c r="B1980" t="s">
        <v>1596</v>
      </c>
      <c r="C1980" t="s">
        <v>3068</v>
      </c>
      <c r="D1980" t="str">
        <f t="shared" si="120"/>
        <v>Male</v>
      </c>
      <c r="E1980" t="s">
        <v>9</v>
      </c>
      <c r="F1980" s="2">
        <v>25</v>
      </c>
      <c r="G1980" s="2" t="str" cm="1">
        <f t="array" ref="G1980">_xlfn.IFS(F1980&lt;=8,"Child",F1980&lt;=17,"Teen",F1980&lt;=35,"Adult",F1980&lt;=55,"Seniour Adult",F1980&gt;=55,"Old Age")</f>
        <v>Adult</v>
      </c>
      <c r="H1980" t="s">
        <v>69</v>
      </c>
      <c r="I1980" t="s">
        <v>11</v>
      </c>
      <c r="J1980" t="str" cm="1">
        <f t="array" ref="J1980">_xlfn.IFS(I1980="S","Southamptom",I1980="Q","Quentown",I1980="C","Cherbrug",I1980="B","Cabin")</f>
        <v>Southamptom</v>
      </c>
      <c r="K1980" t="s">
        <v>15</v>
      </c>
      <c r="L1980" s="2">
        <v>33</v>
      </c>
      <c r="M1980" s="2" t="str" cm="1">
        <f t="array" ref="M1980">_xlfn.IFS(L1980&lt;=15,"Low Fare",L1980&lt;=35,"Medium Fare",L1980&lt;=100,"High Fare",L1980&gt;=100,"Very High Fare")</f>
        <v>Medium Fare</v>
      </c>
      <c r="N1980" s="2">
        <v>1</v>
      </c>
      <c r="O1980" s="2" t="s">
        <v>30</v>
      </c>
      <c r="P1980" t="e">
        <f t="shared" si="121"/>
        <v>#VALUE!</v>
      </c>
      <c r="Q1980" t="e">
        <f t="shared" si="122"/>
        <v>#VALUE!</v>
      </c>
      <c r="R1980" t="str">
        <f t="shared" si="123"/>
        <v>No</v>
      </c>
      <c r="S1980" t="s">
        <v>13</v>
      </c>
    </row>
    <row r="1981" spans="1:19" hidden="1" x14ac:dyDescent="0.3">
      <c r="A1981" s="1" t="s">
        <v>758</v>
      </c>
      <c r="B1981" t="s">
        <v>1596</v>
      </c>
      <c r="C1981" t="s">
        <v>1681</v>
      </c>
      <c r="D1981" t="str">
        <f t="shared" si="120"/>
        <v>Male</v>
      </c>
      <c r="E1981" t="s">
        <v>9</v>
      </c>
      <c r="F1981" s="2">
        <v>19</v>
      </c>
      <c r="G1981" s="2" t="str" cm="1">
        <f t="array" ref="G1981">_xlfn.IFS(F1981&lt;=8,"Child",F1981&lt;=17,"Teen",F1981&lt;=35,"Adult",F1981&lt;=55,"Seniour Adult",F1981&gt;=55,"Old Age")</f>
        <v>Adult</v>
      </c>
      <c r="H1981" t="s">
        <v>69</v>
      </c>
      <c r="I1981" t="s">
        <v>11</v>
      </c>
      <c r="J1981" t="str" cm="1">
        <f t="array" ref="J1981">_xlfn.IFS(I1981="S","Southamptom",I1981="Q","Quentown",I1981="C","Cherbrug",I1981="B","Cabin")</f>
        <v>Southamptom</v>
      </c>
      <c r="K1981" t="s">
        <v>15</v>
      </c>
      <c r="L1981" s="2">
        <v>33</v>
      </c>
      <c r="M1981" s="2" t="str" cm="1">
        <f t="array" ref="M1981">_xlfn.IFS(L1981&lt;=15,"Low Fare",L1981&lt;=35,"Medium Fare",L1981&lt;=100,"High Fare",L1981&gt;=100,"Very High Fare")</f>
        <v>Medium Fare</v>
      </c>
      <c r="N1981" s="2">
        <v>1</v>
      </c>
      <c r="O1981" s="2" t="s">
        <v>30</v>
      </c>
      <c r="P1981" t="e">
        <f t="shared" si="121"/>
        <v>#VALUE!</v>
      </c>
      <c r="Q1981" t="e">
        <f t="shared" si="122"/>
        <v>#VALUE!</v>
      </c>
      <c r="R1981" t="str">
        <f t="shared" si="123"/>
        <v>No</v>
      </c>
      <c r="S1981" t="s">
        <v>13</v>
      </c>
    </row>
    <row r="1982" spans="1:19" hidden="1" x14ac:dyDescent="0.3">
      <c r="A1982" s="1" t="s">
        <v>760</v>
      </c>
      <c r="B1982" t="s">
        <v>1596</v>
      </c>
      <c r="C1982" t="s">
        <v>2782</v>
      </c>
      <c r="D1982" t="str">
        <f t="shared" si="120"/>
        <v>Male</v>
      </c>
      <c r="E1982" t="s">
        <v>9</v>
      </c>
      <c r="F1982" s="2">
        <v>30</v>
      </c>
      <c r="G1982" s="2" t="str" cm="1">
        <f t="array" ref="G1982">_xlfn.IFS(F1982&lt;=8,"Child",F1982&lt;=17,"Teen",F1982&lt;=35,"Adult",F1982&lt;=55,"Seniour Adult",F1982&gt;=55,"Old Age")</f>
        <v>Adult</v>
      </c>
      <c r="H1982" t="s">
        <v>51</v>
      </c>
      <c r="I1982" t="s">
        <v>11</v>
      </c>
      <c r="J1982" t="str" cm="1">
        <f t="array" ref="J1982">_xlfn.IFS(I1982="S","Southamptom",I1982="Q","Quentown",I1982="C","Cherbrug",I1982="B","Cabin")</f>
        <v>Southamptom</v>
      </c>
      <c r="K1982" t="s">
        <v>15</v>
      </c>
      <c r="L1982" s="2">
        <v>33</v>
      </c>
      <c r="M1982" s="2" t="str" cm="1">
        <f t="array" ref="M1982">_xlfn.IFS(L1982&lt;=15,"Low Fare",L1982&lt;=35,"Medium Fare",L1982&lt;=100,"High Fare",L1982&gt;=100,"Very High Fare")</f>
        <v>Medium Fare</v>
      </c>
      <c r="N1982" s="2">
        <v>1</v>
      </c>
      <c r="O1982" s="2" t="s">
        <v>30</v>
      </c>
      <c r="P1982" t="e">
        <f t="shared" si="121"/>
        <v>#VALUE!</v>
      </c>
      <c r="Q1982" t="e">
        <f t="shared" si="122"/>
        <v>#VALUE!</v>
      </c>
      <c r="R1982" t="str">
        <f t="shared" si="123"/>
        <v>No</v>
      </c>
      <c r="S1982" t="s">
        <v>13</v>
      </c>
    </row>
    <row r="1983" spans="1:19" hidden="1" x14ac:dyDescent="0.3">
      <c r="A1983" s="1" t="s">
        <v>1456</v>
      </c>
      <c r="B1983" t="s">
        <v>1596</v>
      </c>
      <c r="C1983" t="s">
        <v>3069</v>
      </c>
      <c r="D1983" t="str">
        <f t="shared" si="120"/>
        <v>Male</v>
      </c>
      <c r="E1983" t="s">
        <v>9</v>
      </c>
      <c r="F1983" s="2">
        <v>36</v>
      </c>
      <c r="G1983" s="2" t="str" cm="1">
        <f t="array" ref="G1983">_xlfn.IFS(F1983&lt;=8,"Child",F1983&lt;=17,"Teen",F1983&lt;=35,"Adult",F1983&lt;=55,"Seniour Adult",F1983&gt;=55,"Old Age")</f>
        <v>Seniour Adult</v>
      </c>
      <c r="H1983" t="s">
        <v>51</v>
      </c>
      <c r="I1983" t="s">
        <v>11</v>
      </c>
      <c r="J1983" t="str" cm="1">
        <f t="array" ref="J1983">_xlfn.IFS(I1983="S","Southamptom",I1983="Q","Quentown",I1983="C","Cherbrug",I1983="B","Cabin")</f>
        <v>Southamptom</v>
      </c>
      <c r="K1983" t="s">
        <v>15</v>
      </c>
      <c r="L1983" s="2">
        <v>33</v>
      </c>
      <c r="M1983" s="2" t="str" cm="1">
        <f t="array" ref="M1983">_xlfn.IFS(L1983&lt;=15,"Low Fare",L1983&lt;=35,"Medium Fare",L1983&lt;=100,"High Fare",L1983&gt;=100,"Very High Fare")</f>
        <v>Medium Fare</v>
      </c>
      <c r="N1983" s="2">
        <v>1</v>
      </c>
      <c r="O1983" s="2" t="s">
        <v>30</v>
      </c>
      <c r="P1983" t="e">
        <f t="shared" si="121"/>
        <v>#VALUE!</v>
      </c>
      <c r="Q1983" t="e">
        <f t="shared" si="122"/>
        <v>#VALUE!</v>
      </c>
      <c r="R1983" t="str">
        <f t="shared" si="123"/>
        <v>No</v>
      </c>
      <c r="S1983" t="s">
        <v>13</v>
      </c>
    </row>
    <row r="1984" spans="1:19" hidden="1" x14ac:dyDescent="0.3">
      <c r="A1984" s="1" t="s">
        <v>1457</v>
      </c>
      <c r="B1984" t="s">
        <v>1596</v>
      </c>
      <c r="C1984" t="s">
        <v>3070</v>
      </c>
      <c r="D1984" t="str">
        <f t="shared" si="120"/>
        <v>Male</v>
      </c>
      <c r="E1984" t="s">
        <v>9</v>
      </c>
      <c r="F1984" s="2">
        <v>22</v>
      </c>
      <c r="G1984" s="2" t="str" cm="1">
        <f t="array" ref="G1984">_xlfn.IFS(F1984&lt;=8,"Child",F1984&lt;=17,"Teen",F1984&lt;=35,"Adult",F1984&lt;=55,"Seniour Adult",F1984&gt;=55,"Old Age")</f>
        <v>Adult</v>
      </c>
      <c r="H1984" t="s">
        <v>69</v>
      </c>
      <c r="I1984" t="s">
        <v>11</v>
      </c>
      <c r="J1984" t="str" cm="1">
        <f t="array" ref="J1984">_xlfn.IFS(I1984="S","Southamptom",I1984="Q","Quentown",I1984="C","Cherbrug",I1984="B","Cabin")</f>
        <v>Southamptom</v>
      </c>
      <c r="K1984" t="s">
        <v>15</v>
      </c>
      <c r="L1984" s="2">
        <v>33</v>
      </c>
      <c r="M1984" s="2" t="str" cm="1">
        <f t="array" ref="M1984">_xlfn.IFS(L1984&lt;=15,"Low Fare",L1984&lt;=35,"Medium Fare",L1984&lt;=100,"High Fare",L1984&gt;=100,"Very High Fare")</f>
        <v>Medium Fare</v>
      </c>
      <c r="N1984" s="2">
        <v>1</v>
      </c>
      <c r="O1984" s="2" t="s">
        <v>30</v>
      </c>
      <c r="P1984" t="e">
        <f t="shared" si="121"/>
        <v>#VALUE!</v>
      </c>
      <c r="Q1984" t="e">
        <f t="shared" si="122"/>
        <v>#VALUE!</v>
      </c>
      <c r="R1984" t="str">
        <f t="shared" si="123"/>
        <v>No</v>
      </c>
      <c r="S1984" t="s">
        <v>13</v>
      </c>
    </row>
    <row r="1985" spans="1:19" hidden="1" x14ac:dyDescent="0.3">
      <c r="A1985" s="1" t="s">
        <v>1458</v>
      </c>
      <c r="B1985" t="s">
        <v>1596</v>
      </c>
      <c r="C1985" t="s">
        <v>3071</v>
      </c>
      <c r="D1985" t="str">
        <f t="shared" si="120"/>
        <v>Male</v>
      </c>
      <c r="E1985" t="s">
        <v>9</v>
      </c>
      <c r="F1985" s="2">
        <v>30</v>
      </c>
      <c r="G1985" s="2" t="str" cm="1">
        <f t="array" ref="G1985">_xlfn.IFS(F1985&lt;=8,"Child",F1985&lt;=17,"Teen",F1985&lt;=35,"Adult",F1985&lt;=55,"Seniour Adult",F1985&gt;=55,"Old Age")</f>
        <v>Adult</v>
      </c>
      <c r="H1985" t="s">
        <v>69</v>
      </c>
      <c r="I1985" t="s">
        <v>11</v>
      </c>
      <c r="J1985" t="str" cm="1">
        <f t="array" ref="J1985">_xlfn.IFS(I1985="S","Southamptom",I1985="Q","Quentown",I1985="C","Cherbrug",I1985="B","Cabin")</f>
        <v>Southamptom</v>
      </c>
      <c r="K1985" t="s">
        <v>15</v>
      </c>
      <c r="L1985" s="2">
        <v>33</v>
      </c>
      <c r="M1985" s="2" t="str" cm="1">
        <f t="array" ref="M1985">_xlfn.IFS(L1985&lt;=15,"Low Fare",L1985&lt;=35,"Medium Fare",L1985&lt;=100,"High Fare",L1985&gt;=100,"Very High Fare")</f>
        <v>Medium Fare</v>
      </c>
      <c r="N1985" s="2">
        <v>1</v>
      </c>
      <c r="O1985" s="2" t="s">
        <v>30</v>
      </c>
      <c r="P1985" t="e">
        <f t="shared" si="121"/>
        <v>#VALUE!</v>
      </c>
      <c r="Q1985" t="e">
        <f t="shared" si="122"/>
        <v>#VALUE!</v>
      </c>
      <c r="R1985" t="str">
        <f t="shared" si="123"/>
        <v>No</v>
      </c>
      <c r="S1985" t="s">
        <v>13</v>
      </c>
    </row>
    <row r="1986" spans="1:19" hidden="1" x14ac:dyDescent="0.3">
      <c r="A1986" s="1" t="s">
        <v>1459</v>
      </c>
      <c r="B1986" t="s">
        <v>2719</v>
      </c>
      <c r="C1986" t="s">
        <v>3072</v>
      </c>
      <c r="D1986" t="str">
        <f t="shared" si="120"/>
        <v>Male</v>
      </c>
      <c r="E1986" t="s">
        <v>9</v>
      </c>
      <c r="F1986" s="2">
        <v>22</v>
      </c>
      <c r="G1986" s="2" t="str" cm="1">
        <f t="array" ref="G1986">_xlfn.IFS(F1986&lt;=8,"Child",F1986&lt;=17,"Teen",F1986&lt;=35,"Adult",F1986&lt;=55,"Seniour Adult",F1986&gt;=55,"Old Age")</f>
        <v>Adult</v>
      </c>
      <c r="H1986" t="s">
        <v>70</v>
      </c>
      <c r="I1986" t="s">
        <v>11</v>
      </c>
      <c r="J1986" t="str" cm="1">
        <f t="array" ref="J1986">_xlfn.IFS(I1986="S","Southamptom",I1986="Q","Quentown",I1986="C","Cherbrug",I1986="B","Cabin")</f>
        <v>Southamptom</v>
      </c>
      <c r="K1986" t="s">
        <v>15</v>
      </c>
      <c r="L1986" s="2">
        <v>33</v>
      </c>
      <c r="M1986" s="2" t="str" cm="1">
        <f t="array" ref="M1986">_xlfn.IFS(L1986&lt;=15,"Low Fare",L1986&lt;=35,"Medium Fare",L1986&lt;=100,"High Fare",L1986&gt;=100,"Very High Fare")</f>
        <v>Medium Fare</v>
      </c>
      <c r="N1986" s="2">
        <v>1</v>
      </c>
      <c r="O1986" s="2" t="s">
        <v>30</v>
      </c>
      <c r="P1986" t="e">
        <f t="shared" si="121"/>
        <v>#VALUE!</v>
      </c>
      <c r="Q1986" t="e">
        <f t="shared" si="122"/>
        <v>#VALUE!</v>
      </c>
      <c r="R1986" t="str">
        <f t="shared" si="123"/>
        <v>No</v>
      </c>
      <c r="S1986" t="s">
        <v>13</v>
      </c>
    </row>
    <row r="1987" spans="1:19" hidden="1" x14ac:dyDescent="0.3">
      <c r="A1987" s="1" t="s">
        <v>1460</v>
      </c>
      <c r="B1987" t="s">
        <v>1596</v>
      </c>
      <c r="C1987" t="s">
        <v>3073</v>
      </c>
      <c r="D1987" t="str">
        <f t="shared" ref="D1987:D2050" si="124">PROPER(E1987)</f>
        <v>Male</v>
      </c>
      <c r="E1987" t="s">
        <v>9</v>
      </c>
      <c r="F1987" s="2">
        <v>29</v>
      </c>
      <c r="G1987" s="2" t="str" cm="1">
        <f t="array" ref="G1987">_xlfn.IFS(F1987&lt;=8,"Child",F1987&lt;=17,"Teen",F1987&lt;=35,"Adult",F1987&lt;=55,"Seniour Adult",F1987&gt;=55,"Old Age")</f>
        <v>Adult</v>
      </c>
      <c r="H1987" t="s">
        <v>69</v>
      </c>
      <c r="I1987" t="s">
        <v>11</v>
      </c>
      <c r="J1987" t="str" cm="1">
        <f t="array" ref="J1987">_xlfn.IFS(I1987="S","Southamptom",I1987="Q","Quentown",I1987="C","Cherbrug",I1987="B","Cabin")</f>
        <v>Southamptom</v>
      </c>
      <c r="K1987" t="s">
        <v>15</v>
      </c>
      <c r="L1987" s="2">
        <v>33</v>
      </c>
      <c r="M1987" s="2" t="str" cm="1">
        <f t="array" ref="M1987">_xlfn.IFS(L1987&lt;=15,"Low Fare",L1987&lt;=35,"Medium Fare",L1987&lt;=100,"High Fare",L1987&gt;=100,"Very High Fare")</f>
        <v>Medium Fare</v>
      </c>
      <c r="N1987" s="2">
        <v>1</v>
      </c>
      <c r="O1987" s="2" t="s">
        <v>30</v>
      </c>
      <c r="P1987" t="e">
        <f t="shared" ref="P1987:P2050" si="125">N1987+O1987+1</f>
        <v>#VALUE!</v>
      </c>
      <c r="Q1987" t="e">
        <f t="shared" ref="Q1987:Q2050" si="126">IF(P1987=1,"Alone","With Family")</f>
        <v>#VALUE!</v>
      </c>
      <c r="R1987" t="str">
        <f t="shared" ref="R1987:R2050" si="127">PROPER(S1987)</f>
        <v>No</v>
      </c>
      <c r="S1987" t="s">
        <v>13</v>
      </c>
    </row>
    <row r="1988" spans="1:19" hidden="1" x14ac:dyDescent="0.3">
      <c r="A1988" s="1" t="s">
        <v>1461</v>
      </c>
      <c r="B1988" t="s">
        <v>1596</v>
      </c>
      <c r="C1988" t="s">
        <v>2034</v>
      </c>
      <c r="D1988" t="str">
        <f t="shared" si="124"/>
        <v>Male</v>
      </c>
      <c r="E1988" t="s">
        <v>9</v>
      </c>
      <c r="F1988" s="2">
        <v>19</v>
      </c>
      <c r="G1988" s="2" t="str" cm="1">
        <f t="array" ref="G1988">_xlfn.IFS(F1988&lt;=8,"Child",F1988&lt;=17,"Teen",F1988&lt;=35,"Adult",F1988&lt;=55,"Seniour Adult",F1988&gt;=55,"Old Age")</f>
        <v>Adult</v>
      </c>
      <c r="H1988" t="s">
        <v>69</v>
      </c>
      <c r="I1988" t="s">
        <v>11</v>
      </c>
      <c r="J1988" t="str" cm="1">
        <f t="array" ref="J1988">_xlfn.IFS(I1988="S","Southamptom",I1988="Q","Quentown",I1988="C","Cherbrug",I1988="B","Cabin")</f>
        <v>Southamptom</v>
      </c>
      <c r="K1988" t="s">
        <v>15</v>
      </c>
      <c r="L1988" s="2">
        <v>33</v>
      </c>
      <c r="M1988" s="2" t="str" cm="1">
        <f t="array" ref="M1988">_xlfn.IFS(L1988&lt;=15,"Low Fare",L1988&lt;=35,"Medium Fare",L1988&lt;=100,"High Fare",L1988&gt;=100,"Very High Fare")</f>
        <v>Medium Fare</v>
      </c>
      <c r="N1988" s="2">
        <v>1</v>
      </c>
      <c r="O1988" s="2" t="s">
        <v>30</v>
      </c>
      <c r="P1988" t="e">
        <f t="shared" si="125"/>
        <v>#VALUE!</v>
      </c>
      <c r="Q1988" t="e">
        <f t="shared" si="126"/>
        <v>#VALUE!</v>
      </c>
      <c r="R1988" t="str">
        <f t="shared" si="127"/>
        <v>No</v>
      </c>
      <c r="S1988" t="s">
        <v>13</v>
      </c>
    </row>
    <row r="1989" spans="1:19" hidden="1" x14ac:dyDescent="0.3">
      <c r="A1989" s="1" t="s">
        <v>1462</v>
      </c>
      <c r="B1989" t="s">
        <v>1596</v>
      </c>
      <c r="C1989" t="s">
        <v>2022</v>
      </c>
      <c r="D1989" t="str">
        <f t="shared" si="124"/>
        <v>Male</v>
      </c>
      <c r="E1989" t="s">
        <v>9</v>
      </c>
      <c r="F1989" s="2">
        <v>37</v>
      </c>
      <c r="G1989" s="2" t="str" cm="1">
        <f t="array" ref="G1989">_xlfn.IFS(F1989&lt;=8,"Child",F1989&lt;=17,"Teen",F1989&lt;=35,"Adult",F1989&lt;=55,"Seniour Adult",F1989&gt;=55,"Old Age")</f>
        <v>Seniour Adult</v>
      </c>
      <c r="H1989" t="s">
        <v>69</v>
      </c>
      <c r="I1989" t="s">
        <v>28</v>
      </c>
      <c r="J1989" t="str" cm="1">
        <f t="array" ref="J1989">_xlfn.IFS(I1989="S","Southamptom",I1989="Q","Quentown",I1989="C","Cherbrug",I1989="B","Cabin")</f>
        <v>Cabin</v>
      </c>
      <c r="K1989" t="s">
        <v>15</v>
      </c>
      <c r="L1989" s="2">
        <v>33</v>
      </c>
      <c r="M1989" s="2" t="str" cm="1">
        <f t="array" ref="M1989">_xlfn.IFS(L1989&lt;=15,"Low Fare",L1989&lt;=35,"Medium Fare",L1989&lt;=100,"High Fare",L1989&gt;=100,"Very High Fare")</f>
        <v>Medium Fare</v>
      </c>
      <c r="N1989" s="2">
        <v>1</v>
      </c>
      <c r="O1989" s="2" t="s">
        <v>30</v>
      </c>
      <c r="P1989" t="e">
        <f t="shared" si="125"/>
        <v>#VALUE!</v>
      </c>
      <c r="Q1989" t="e">
        <f t="shared" si="126"/>
        <v>#VALUE!</v>
      </c>
      <c r="R1989" t="str">
        <f t="shared" si="127"/>
        <v>No</v>
      </c>
      <c r="S1989" t="s">
        <v>13</v>
      </c>
    </row>
    <row r="1990" spans="1:19" hidden="1" x14ac:dyDescent="0.3">
      <c r="A1990" s="1" t="s">
        <v>1462</v>
      </c>
      <c r="B1990" t="s">
        <v>1596</v>
      </c>
      <c r="C1990" t="s">
        <v>3074</v>
      </c>
      <c r="D1990" t="str">
        <f t="shared" si="124"/>
        <v>Male</v>
      </c>
      <c r="E1990" t="s">
        <v>9</v>
      </c>
      <c r="F1990" s="2">
        <v>40</v>
      </c>
      <c r="G1990" s="2" t="str" cm="1">
        <f t="array" ref="G1990">_xlfn.IFS(F1990&lt;=8,"Child",F1990&lt;=17,"Teen",F1990&lt;=35,"Adult",F1990&lt;=55,"Seniour Adult",F1990&gt;=55,"Old Age")</f>
        <v>Seniour Adult</v>
      </c>
      <c r="H1990" t="s">
        <v>69</v>
      </c>
      <c r="I1990" t="s">
        <v>28</v>
      </c>
      <c r="J1990" t="str" cm="1">
        <f t="array" ref="J1990">_xlfn.IFS(I1990="S","Southamptom",I1990="Q","Quentown",I1990="C","Cherbrug",I1990="B","Cabin")</f>
        <v>Cabin</v>
      </c>
      <c r="K1990" t="s">
        <v>40</v>
      </c>
      <c r="L1990" s="2">
        <v>33</v>
      </c>
      <c r="M1990" s="2" t="str" cm="1">
        <f t="array" ref="M1990">_xlfn.IFS(L1990&lt;=15,"Low Fare",L1990&lt;=35,"Medium Fare",L1990&lt;=100,"High Fare",L1990&gt;=100,"Very High Fare")</f>
        <v>Medium Fare</v>
      </c>
      <c r="N1990" s="2">
        <v>1</v>
      </c>
      <c r="O1990" s="2" t="s">
        <v>30</v>
      </c>
      <c r="P1990" t="e">
        <f t="shared" si="125"/>
        <v>#VALUE!</v>
      </c>
      <c r="Q1990" t="e">
        <f t="shared" si="126"/>
        <v>#VALUE!</v>
      </c>
      <c r="R1990" t="str">
        <f t="shared" si="127"/>
        <v>No</v>
      </c>
      <c r="S1990" t="s">
        <v>13</v>
      </c>
    </row>
    <row r="1991" spans="1:19" hidden="1" x14ac:dyDescent="0.3">
      <c r="A1991" s="1" t="s">
        <v>1462</v>
      </c>
      <c r="B1991" t="s">
        <v>1596</v>
      </c>
      <c r="C1991" t="s">
        <v>3075</v>
      </c>
      <c r="D1991" t="str">
        <f t="shared" si="124"/>
        <v>Male</v>
      </c>
      <c r="E1991" t="s">
        <v>9</v>
      </c>
      <c r="F1991" s="2">
        <v>35</v>
      </c>
      <c r="G1991" s="2" t="str" cm="1">
        <f t="array" ref="G1991">_xlfn.IFS(F1991&lt;=8,"Child",F1991&lt;=17,"Teen",F1991&lt;=35,"Adult",F1991&lt;=55,"Seniour Adult",F1991&gt;=55,"Old Age")</f>
        <v>Adult</v>
      </c>
      <c r="H1991" t="s">
        <v>51</v>
      </c>
      <c r="I1991" t="s">
        <v>11</v>
      </c>
      <c r="J1991" t="str" cm="1">
        <f t="array" ref="J1991">_xlfn.IFS(I1991="S","Southamptom",I1991="Q","Quentown",I1991="C","Cherbrug",I1991="B","Cabin")</f>
        <v>Southamptom</v>
      </c>
      <c r="K1991" t="s">
        <v>15</v>
      </c>
      <c r="L1991" s="2">
        <v>33</v>
      </c>
      <c r="M1991" s="2" t="str" cm="1">
        <f t="array" ref="M1991">_xlfn.IFS(L1991&lt;=15,"Low Fare",L1991&lt;=35,"Medium Fare",L1991&lt;=100,"High Fare",L1991&gt;=100,"Very High Fare")</f>
        <v>Medium Fare</v>
      </c>
      <c r="N1991" s="2">
        <v>1</v>
      </c>
      <c r="O1991" s="2" t="s">
        <v>30</v>
      </c>
      <c r="P1991" t="e">
        <f t="shared" si="125"/>
        <v>#VALUE!</v>
      </c>
      <c r="Q1991" t="e">
        <f t="shared" si="126"/>
        <v>#VALUE!</v>
      </c>
      <c r="R1991" t="str">
        <f t="shared" si="127"/>
        <v>No</v>
      </c>
      <c r="S1991" t="s">
        <v>13</v>
      </c>
    </row>
    <row r="1992" spans="1:19" hidden="1" x14ac:dyDescent="0.3">
      <c r="A1992" s="1" t="s">
        <v>1462</v>
      </c>
      <c r="B1992" t="s">
        <v>1600</v>
      </c>
      <c r="C1992" t="s">
        <v>3076</v>
      </c>
      <c r="D1992" t="str">
        <f t="shared" si="124"/>
        <v>Female</v>
      </c>
      <c r="E1992" t="s">
        <v>14</v>
      </c>
      <c r="F1992" s="2">
        <v>41</v>
      </c>
      <c r="G1992" s="2" t="str" cm="1">
        <f t="array" ref="G1992">_xlfn.IFS(F1992&lt;=8,"Child",F1992&lt;=17,"Teen",F1992&lt;=35,"Adult",F1992&lt;=55,"Seniour Adult",F1992&gt;=55,"Old Age")</f>
        <v>Seniour Adult</v>
      </c>
      <c r="H1992" t="s">
        <v>69</v>
      </c>
      <c r="I1992" t="s">
        <v>11</v>
      </c>
      <c r="J1992" t="str" cm="1">
        <f t="array" ref="J1992">_xlfn.IFS(I1992="S","Southamptom",I1992="Q","Quentown",I1992="C","Cherbrug",I1992="B","Cabin")</f>
        <v>Southamptom</v>
      </c>
      <c r="K1992" t="s">
        <v>15</v>
      </c>
      <c r="L1992" s="2">
        <v>33</v>
      </c>
      <c r="M1992" s="2" t="str" cm="1">
        <f t="array" ref="M1992">_xlfn.IFS(L1992&lt;=15,"Low Fare",L1992&lt;=35,"Medium Fare",L1992&lt;=100,"High Fare",L1992&gt;=100,"Very High Fare")</f>
        <v>Medium Fare</v>
      </c>
      <c r="N1992" s="2">
        <v>1</v>
      </c>
      <c r="O1992" s="2" t="s">
        <v>30</v>
      </c>
      <c r="P1992" t="e">
        <f t="shared" si="125"/>
        <v>#VALUE!</v>
      </c>
      <c r="Q1992" t="e">
        <f t="shared" si="126"/>
        <v>#VALUE!</v>
      </c>
      <c r="R1992" t="str">
        <f t="shared" si="127"/>
        <v>Yes</v>
      </c>
      <c r="S1992" t="s">
        <v>16</v>
      </c>
    </row>
    <row r="1993" spans="1:19" hidden="1" x14ac:dyDescent="0.3">
      <c r="A1993" s="1" t="s">
        <v>1463</v>
      </c>
      <c r="B1993" t="s">
        <v>1596</v>
      </c>
      <c r="C1993" t="s">
        <v>2638</v>
      </c>
      <c r="D1993" t="str">
        <f t="shared" si="124"/>
        <v>Male</v>
      </c>
      <c r="E1993" t="s">
        <v>9</v>
      </c>
      <c r="F1993" s="2">
        <v>30</v>
      </c>
      <c r="G1993" s="2" t="str" cm="1">
        <f t="array" ref="G1993">_xlfn.IFS(F1993&lt;=8,"Child",F1993&lt;=17,"Teen",F1993&lt;=35,"Adult",F1993&lt;=55,"Seniour Adult",F1993&gt;=55,"Old Age")</f>
        <v>Adult</v>
      </c>
      <c r="H1993" t="s">
        <v>69</v>
      </c>
      <c r="I1993" t="s">
        <v>11</v>
      </c>
      <c r="J1993" t="str" cm="1">
        <f t="array" ref="J1993">_xlfn.IFS(I1993="S","Southamptom",I1993="Q","Quentown",I1993="C","Cherbrug",I1993="B","Cabin")</f>
        <v>Southamptom</v>
      </c>
      <c r="K1993" t="s">
        <v>15</v>
      </c>
      <c r="L1993" s="2">
        <v>33</v>
      </c>
      <c r="M1993" s="2" t="str" cm="1">
        <f t="array" ref="M1993">_xlfn.IFS(L1993&lt;=15,"Low Fare",L1993&lt;=35,"Medium Fare",L1993&lt;=100,"High Fare",L1993&gt;=100,"Very High Fare")</f>
        <v>Medium Fare</v>
      </c>
      <c r="N1993" s="2">
        <v>1</v>
      </c>
      <c r="O1993" s="2" t="s">
        <v>30</v>
      </c>
      <c r="P1993" t="e">
        <f t="shared" si="125"/>
        <v>#VALUE!</v>
      </c>
      <c r="Q1993" t="e">
        <f t="shared" si="126"/>
        <v>#VALUE!</v>
      </c>
      <c r="R1993" t="str">
        <f t="shared" si="127"/>
        <v>No</v>
      </c>
      <c r="S1993" t="s">
        <v>13</v>
      </c>
    </row>
    <row r="1994" spans="1:19" hidden="1" x14ac:dyDescent="0.3">
      <c r="A1994" s="1" t="s">
        <v>1463</v>
      </c>
      <c r="B1994" t="s">
        <v>1600</v>
      </c>
      <c r="C1994" t="s">
        <v>2798</v>
      </c>
      <c r="D1994" t="str">
        <f t="shared" si="124"/>
        <v>Female</v>
      </c>
      <c r="E1994" t="s">
        <v>14</v>
      </c>
      <c r="F1994" s="2">
        <v>41</v>
      </c>
      <c r="G1994" s="2" t="str" cm="1">
        <f t="array" ref="G1994">_xlfn.IFS(F1994&lt;=8,"Child",F1994&lt;=17,"Teen",F1994&lt;=35,"Adult",F1994&lt;=55,"Seniour Adult",F1994&gt;=55,"Old Age")</f>
        <v>Seniour Adult</v>
      </c>
      <c r="H1994" t="s">
        <v>69</v>
      </c>
      <c r="I1994" t="s">
        <v>11</v>
      </c>
      <c r="J1994" t="str" cm="1">
        <f t="array" ref="J1994">_xlfn.IFS(I1994="S","Southamptom",I1994="Q","Quentown",I1994="C","Cherbrug",I1994="B","Cabin")</f>
        <v>Southamptom</v>
      </c>
      <c r="K1994" t="s">
        <v>15</v>
      </c>
      <c r="L1994" s="2">
        <v>33</v>
      </c>
      <c r="M1994" s="2" t="str" cm="1">
        <f t="array" ref="M1994">_xlfn.IFS(L1994&lt;=15,"Low Fare",L1994&lt;=35,"Medium Fare",L1994&lt;=100,"High Fare",L1994&gt;=100,"Very High Fare")</f>
        <v>Medium Fare</v>
      </c>
      <c r="N1994" s="2">
        <v>1</v>
      </c>
      <c r="O1994" s="2" t="s">
        <v>30</v>
      </c>
      <c r="P1994" t="e">
        <f t="shared" si="125"/>
        <v>#VALUE!</v>
      </c>
      <c r="Q1994" t="e">
        <f t="shared" si="126"/>
        <v>#VALUE!</v>
      </c>
      <c r="R1994" t="str">
        <f t="shared" si="127"/>
        <v>Yes</v>
      </c>
      <c r="S1994" t="s">
        <v>16</v>
      </c>
    </row>
    <row r="1995" spans="1:19" hidden="1" x14ac:dyDescent="0.3">
      <c r="A1995" s="1" t="s">
        <v>770</v>
      </c>
      <c r="B1995" t="s">
        <v>1596</v>
      </c>
      <c r="C1995" t="s">
        <v>3077</v>
      </c>
      <c r="D1995" t="str">
        <f t="shared" si="124"/>
        <v>Male</v>
      </c>
      <c r="E1995" t="s">
        <v>9</v>
      </c>
      <c r="F1995" s="2">
        <v>31</v>
      </c>
      <c r="G1995" s="2" t="str" cm="1">
        <f t="array" ref="G1995">_xlfn.IFS(F1995&lt;=8,"Child",F1995&lt;=17,"Teen",F1995&lt;=35,"Adult",F1995&lt;=55,"Seniour Adult",F1995&gt;=55,"Old Age")</f>
        <v>Adult</v>
      </c>
      <c r="H1995" t="s">
        <v>69</v>
      </c>
      <c r="I1995" t="s">
        <v>11</v>
      </c>
      <c r="J1995" t="str" cm="1">
        <f t="array" ref="J1995">_xlfn.IFS(I1995="S","Southamptom",I1995="Q","Quentown",I1995="C","Cherbrug",I1995="B","Cabin")</f>
        <v>Southamptom</v>
      </c>
      <c r="K1995" t="s">
        <v>15</v>
      </c>
      <c r="L1995" s="2">
        <v>33</v>
      </c>
      <c r="M1995" s="2" t="str" cm="1">
        <f t="array" ref="M1995">_xlfn.IFS(L1995&lt;=15,"Low Fare",L1995&lt;=35,"Medium Fare",L1995&lt;=100,"High Fare",L1995&gt;=100,"Very High Fare")</f>
        <v>Medium Fare</v>
      </c>
      <c r="N1995" s="2">
        <v>1</v>
      </c>
      <c r="O1995" s="2" t="s">
        <v>30</v>
      </c>
      <c r="P1995" t="e">
        <f t="shared" si="125"/>
        <v>#VALUE!</v>
      </c>
      <c r="Q1995" t="e">
        <f t="shared" si="126"/>
        <v>#VALUE!</v>
      </c>
      <c r="R1995" t="str">
        <f t="shared" si="127"/>
        <v>No</v>
      </c>
      <c r="S1995" t="s">
        <v>13</v>
      </c>
    </row>
    <row r="1996" spans="1:19" hidden="1" x14ac:dyDescent="0.3">
      <c r="A1996" s="1" t="s">
        <v>770</v>
      </c>
      <c r="B1996" t="s">
        <v>1596</v>
      </c>
      <c r="C1996" t="s">
        <v>1858</v>
      </c>
      <c r="D1996" t="str">
        <f t="shared" si="124"/>
        <v>Male</v>
      </c>
      <c r="E1996" t="s">
        <v>9</v>
      </c>
      <c r="F1996" s="2">
        <v>27</v>
      </c>
      <c r="G1996" s="2" t="str" cm="1">
        <f t="array" ref="G1996">_xlfn.IFS(F1996&lt;=8,"Child",F1996&lt;=17,"Teen",F1996&lt;=35,"Adult",F1996&lt;=55,"Seniour Adult",F1996&gt;=55,"Old Age")</f>
        <v>Adult</v>
      </c>
      <c r="H1996" t="s">
        <v>69</v>
      </c>
      <c r="I1996" t="s">
        <v>11</v>
      </c>
      <c r="J1996" t="str" cm="1">
        <f t="array" ref="J1996">_xlfn.IFS(I1996="S","Southamptom",I1996="Q","Quentown",I1996="C","Cherbrug",I1996="B","Cabin")</f>
        <v>Southamptom</v>
      </c>
      <c r="K1996" t="s">
        <v>37</v>
      </c>
      <c r="L1996" s="2">
        <v>33</v>
      </c>
      <c r="M1996" s="2" t="str" cm="1">
        <f t="array" ref="M1996">_xlfn.IFS(L1996&lt;=15,"Low Fare",L1996&lt;=35,"Medium Fare",L1996&lt;=100,"High Fare",L1996&gt;=100,"Very High Fare")</f>
        <v>Medium Fare</v>
      </c>
      <c r="N1996" s="2">
        <v>1</v>
      </c>
      <c r="O1996" s="2" t="s">
        <v>30</v>
      </c>
      <c r="P1996" t="e">
        <f t="shared" si="125"/>
        <v>#VALUE!</v>
      </c>
      <c r="Q1996" t="e">
        <f t="shared" si="126"/>
        <v>#VALUE!</v>
      </c>
      <c r="R1996" t="str">
        <f t="shared" si="127"/>
        <v>No</v>
      </c>
      <c r="S1996" t="s">
        <v>13</v>
      </c>
    </row>
    <row r="1997" spans="1:19" hidden="1" x14ac:dyDescent="0.3">
      <c r="A1997" s="1" t="s">
        <v>777</v>
      </c>
      <c r="B1997" t="s">
        <v>1596</v>
      </c>
      <c r="C1997" t="s">
        <v>3078</v>
      </c>
      <c r="D1997" t="str">
        <f t="shared" si="124"/>
        <v>Male</v>
      </c>
      <c r="E1997" t="s">
        <v>9</v>
      </c>
      <c r="F1997" s="2">
        <v>36</v>
      </c>
      <c r="G1997" s="2" t="str" cm="1">
        <f t="array" ref="G1997">_xlfn.IFS(F1997&lt;=8,"Child",F1997&lt;=17,"Teen",F1997&lt;=35,"Adult",F1997&lt;=55,"Seniour Adult",F1997&gt;=55,"Old Age")</f>
        <v>Seniour Adult</v>
      </c>
      <c r="H1997" t="s">
        <v>69</v>
      </c>
      <c r="I1997" t="s">
        <v>11</v>
      </c>
      <c r="J1997" t="str" cm="1">
        <f t="array" ref="J1997">_xlfn.IFS(I1997="S","Southamptom",I1997="Q","Quentown",I1997="C","Cherbrug",I1997="B","Cabin")</f>
        <v>Southamptom</v>
      </c>
      <c r="K1997" t="s">
        <v>15</v>
      </c>
      <c r="L1997" s="2">
        <v>33</v>
      </c>
      <c r="M1997" s="2" t="str" cm="1">
        <f t="array" ref="M1997">_xlfn.IFS(L1997&lt;=15,"Low Fare",L1997&lt;=35,"Medium Fare",L1997&lt;=100,"High Fare",L1997&gt;=100,"Very High Fare")</f>
        <v>Medium Fare</v>
      </c>
      <c r="N1997" s="2">
        <v>1</v>
      </c>
      <c r="O1997" s="2" t="s">
        <v>30</v>
      </c>
      <c r="P1997" t="e">
        <f t="shared" si="125"/>
        <v>#VALUE!</v>
      </c>
      <c r="Q1997" t="e">
        <f t="shared" si="126"/>
        <v>#VALUE!</v>
      </c>
      <c r="R1997" t="str">
        <f t="shared" si="127"/>
        <v>Yes</v>
      </c>
      <c r="S1997" t="s">
        <v>16</v>
      </c>
    </row>
    <row r="1998" spans="1:19" hidden="1" x14ac:dyDescent="0.3">
      <c r="A1998" s="1" t="s">
        <v>1464</v>
      </c>
      <c r="B1998" t="s">
        <v>2719</v>
      </c>
      <c r="C1998" t="s">
        <v>3079</v>
      </c>
      <c r="D1998" t="str">
        <f t="shared" si="124"/>
        <v>Male</v>
      </c>
      <c r="E1998" t="s">
        <v>9</v>
      </c>
      <c r="F1998" s="2">
        <v>23</v>
      </c>
      <c r="G1998" s="2" t="str" cm="1">
        <f t="array" ref="G1998">_xlfn.IFS(F1998&lt;=8,"Child",F1998&lt;=17,"Teen",F1998&lt;=35,"Adult",F1998&lt;=55,"Seniour Adult",F1998&gt;=55,"Old Age")</f>
        <v>Adult</v>
      </c>
      <c r="H1998" t="s">
        <v>70</v>
      </c>
      <c r="I1998" t="s">
        <v>11</v>
      </c>
      <c r="J1998" t="str" cm="1">
        <f t="array" ref="J1998">_xlfn.IFS(I1998="S","Southamptom",I1998="Q","Quentown",I1998="C","Cherbrug",I1998="B","Cabin")</f>
        <v>Southamptom</v>
      </c>
      <c r="K1998" t="s">
        <v>15</v>
      </c>
      <c r="L1998" s="2">
        <v>33</v>
      </c>
      <c r="M1998" s="2" t="str" cm="1">
        <f t="array" ref="M1998">_xlfn.IFS(L1998&lt;=15,"Low Fare",L1998&lt;=35,"Medium Fare",L1998&lt;=100,"High Fare",L1998&gt;=100,"Very High Fare")</f>
        <v>Medium Fare</v>
      </c>
      <c r="N1998" s="2">
        <v>1</v>
      </c>
      <c r="O1998" s="2" t="s">
        <v>30</v>
      </c>
      <c r="P1998" t="e">
        <f t="shared" si="125"/>
        <v>#VALUE!</v>
      </c>
      <c r="Q1998" t="e">
        <f t="shared" si="126"/>
        <v>#VALUE!</v>
      </c>
      <c r="R1998" t="str">
        <f t="shared" si="127"/>
        <v>No</v>
      </c>
      <c r="S1998" t="s">
        <v>13</v>
      </c>
    </row>
    <row r="1999" spans="1:19" hidden="1" x14ac:dyDescent="0.3">
      <c r="A1999" s="1" t="s">
        <v>1465</v>
      </c>
      <c r="B1999" t="s">
        <v>1596</v>
      </c>
      <c r="C1999" t="s">
        <v>2776</v>
      </c>
      <c r="D1999" t="str">
        <f t="shared" si="124"/>
        <v>Male</v>
      </c>
      <c r="E1999" t="s">
        <v>9</v>
      </c>
      <c r="F1999" s="2">
        <v>26</v>
      </c>
      <c r="G1999" s="2" t="str" cm="1">
        <f t="array" ref="G1999">_xlfn.IFS(F1999&lt;=8,"Child",F1999&lt;=17,"Teen",F1999&lt;=35,"Adult",F1999&lt;=55,"Seniour Adult",F1999&gt;=55,"Old Age")</f>
        <v>Adult</v>
      </c>
      <c r="H1999" t="s">
        <v>51</v>
      </c>
      <c r="I1999" t="s">
        <v>28</v>
      </c>
      <c r="J1999" t="str" cm="1">
        <f t="array" ref="J1999">_xlfn.IFS(I1999="S","Southamptom",I1999="Q","Quentown",I1999="C","Cherbrug",I1999="B","Cabin")</f>
        <v>Cabin</v>
      </c>
      <c r="K1999" t="s">
        <v>15</v>
      </c>
      <c r="L1999" s="2">
        <v>33</v>
      </c>
      <c r="M1999" s="2" t="str" cm="1">
        <f t="array" ref="M1999">_xlfn.IFS(L1999&lt;=15,"Low Fare",L1999&lt;=35,"Medium Fare",L1999&lt;=100,"High Fare",L1999&gt;=100,"Very High Fare")</f>
        <v>Medium Fare</v>
      </c>
      <c r="N1999" s="2">
        <v>1</v>
      </c>
      <c r="O1999" s="2" t="s">
        <v>30</v>
      </c>
      <c r="P1999" t="e">
        <f t="shared" si="125"/>
        <v>#VALUE!</v>
      </c>
      <c r="Q1999" t="e">
        <f t="shared" si="126"/>
        <v>#VALUE!</v>
      </c>
      <c r="R1999" t="str">
        <f t="shared" si="127"/>
        <v>No</v>
      </c>
      <c r="S1999" t="s">
        <v>13</v>
      </c>
    </row>
    <row r="2000" spans="1:19" hidden="1" x14ac:dyDescent="0.3">
      <c r="A2000" s="1" t="s">
        <v>1466</v>
      </c>
      <c r="B2000" t="s">
        <v>1596</v>
      </c>
      <c r="C2000" t="s">
        <v>2283</v>
      </c>
      <c r="D2000" t="str">
        <f t="shared" si="124"/>
        <v>Male</v>
      </c>
      <c r="E2000" t="s">
        <v>9</v>
      </c>
      <c r="F2000" s="2">
        <v>49</v>
      </c>
      <c r="G2000" s="2" t="str" cm="1">
        <f t="array" ref="G2000">_xlfn.IFS(F2000&lt;=8,"Child",F2000&lt;=17,"Teen",F2000&lt;=35,"Adult",F2000&lt;=55,"Seniour Adult",F2000&gt;=55,"Old Age")</f>
        <v>Seniour Adult</v>
      </c>
      <c r="H2000" t="s">
        <v>70</v>
      </c>
      <c r="I2000" t="s">
        <v>11</v>
      </c>
      <c r="J2000" t="str" cm="1">
        <f t="array" ref="J2000">_xlfn.IFS(I2000="S","Southamptom",I2000="Q","Quentown",I2000="C","Cherbrug",I2000="B","Cabin")</f>
        <v>Southamptom</v>
      </c>
      <c r="K2000" t="s">
        <v>15</v>
      </c>
      <c r="L2000" s="2">
        <v>33</v>
      </c>
      <c r="M2000" s="2" t="str" cm="1">
        <f t="array" ref="M2000">_xlfn.IFS(L2000&lt;=15,"Low Fare",L2000&lt;=35,"Medium Fare",L2000&lt;=100,"High Fare",L2000&gt;=100,"Very High Fare")</f>
        <v>Medium Fare</v>
      </c>
      <c r="N2000" s="2">
        <v>1</v>
      </c>
      <c r="O2000" s="2" t="s">
        <v>30</v>
      </c>
      <c r="P2000" t="e">
        <f t="shared" si="125"/>
        <v>#VALUE!</v>
      </c>
      <c r="Q2000" t="e">
        <f t="shared" si="126"/>
        <v>#VALUE!</v>
      </c>
      <c r="R2000" t="str">
        <f t="shared" si="127"/>
        <v>No</v>
      </c>
      <c r="S2000" t="s">
        <v>13</v>
      </c>
    </row>
    <row r="2001" spans="1:19" hidden="1" x14ac:dyDescent="0.3">
      <c r="A2001" s="1" t="s">
        <v>784</v>
      </c>
      <c r="B2001" t="s">
        <v>1596</v>
      </c>
      <c r="C2001" t="s">
        <v>3080</v>
      </c>
      <c r="D2001" t="str">
        <f t="shared" si="124"/>
        <v>Male</v>
      </c>
      <c r="E2001" t="s">
        <v>9</v>
      </c>
      <c r="F2001" s="2">
        <v>31</v>
      </c>
      <c r="G2001" s="2" t="str" cm="1">
        <f t="array" ref="G2001">_xlfn.IFS(F2001&lt;=8,"Child",F2001&lt;=17,"Teen",F2001&lt;=35,"Adult",F2001&lt;=55,"Seniour Adult",F2001&gt;=55,"Old Age")</f>
        <v>Adult</v>
      </c>
      <c r="H2001" t="s">
        <v>69</v>
      </c>
      <c r="I2001" t="s">
        <v>28</v>
      </c>
      <c r="J2001" t="str" cm="1">
        <f t="array" ref="J2001">_xlfn.IFS(I2001="S","Southamptom",I2001="Q","Quentown",I2001="C","Cherbrug",I2001="B","Cabin")</f>
        <v>Cabin</v>
      </c>
      <c r="K2001" t="s">
        <v>15</v>
      </c>
      <c r="L2001" s="2">
        <v>33</v>
      </c>
      <c r="M2001" s="2" t="str" cm="1">
        <f t="array" ref="M2001">_xlfn.IFS(L2001&lt;=15,"Low Fare",L2001&lt;=35,"Medium Fare",L2001&lt;=100,"High Fare",L2001&gt;=100,"Very High Fare")</f>
        <v>Medium Fare</v>
      </c>
      <c r="N2001" s="2">
        <v>1</v>
      </c>
      <c r="O2001" s="2" t="s">
        <v>30</v>
      </c>
      <c r="P2001" t="e">
        <f t="shared" si="125"/>
        <v>#VALUE!</v>
      </c>
      <c r="Q2001" t="e">
        <f t="shared" si="126"/>
        <v>#VALUE!</v>
      </c>
      <c r="R2001" t="str">
        <f t="shared" si="127"/>
        <v>No</v>
      </c>
      <c r="S2001" t="s">
        <v>13</v>
      </c>
    </row>
    <row r="2002" spans="1:19" hidden="1" x14ac:dyDescent="0.3">
      <c r="A2002" s="1" t="s">
        <v>784</v>
      </c>
      <c r="B2002" t="s">
        <v>1596</v>
      </c>
      <c r="C2002" t="s">
        <v>3081</v>
      </c>
      <c r="D2002" t="str">
        <f t="shared" si="124"/>
        <v>Male</v>
      </c>
      <c r="E2002" t="s">
        <v>9</v>
      </c>
      <c r="F2002" s="2">
        <v>32</v>
      </c>
      <c r="G2002" s="2" t="str" cm="1">
        <f t="array" ref="G2002">_xlfn.IFS(F2002&lt;=8,"Child",F2002&lt;=17,"Teen",F2002&lt;=35,"Adult",F2002&lt;=55,"Seniour Adult",F2002&gt;=55,"Old Age")</f>
        <v>Adult</v>
      </c>
      <c r="H2002" t="s">
        <v>71</v>
      </c>
      <c r="I2002" t="s">
        <v>28</v>
      </c>
      <c r="J2002" t="str" cm="1">
        <f t="array" ref="J2002">_xlfn.IFS(I2002="S","Southamptom",I2002="Q","Quentown",I2002="C","Cherbrug",I2002="B","Cabin")</f>
        <v>Cabin</v>
      </c>
      <c r="K2002" t="s">
        <v>15</v>
      </c>
      <c r="L2002" s="2">
        <v>33</v>
      </c>
      <c r="M2002" s="2" t="str" cm="1">
        <f t="array" ref="M2002">_xlfn.IFS(L2002&lt;=15,"Low Fare",L2002&lt;=35,"Medium Fare",L2002&lt;=100,"High Fare",L2002&gt;=100,"Very High Fare")</f>
        <v>Medium Fare</v>
      </c>
      <c r="N2002" s="2">
        <v>1</v>
      </c>
      <c r="O2002" s="2" t="s">
        <v>30</v>
      </c>
      <c r="P2002" t="e">
        <f t="shared" si="125"/>
        <v>#VALUE!</v>
      </c>
      <c r="Q2002" t="e">
        <f t="shared" si="126"/>
        <v>#VALUE!</v>
      </c>
      <c r="R2002" t="str">
        <f t="shared" si="127"/>
        <v>Yes</v>
      </c>
      <c r="S2002" t="s">
        <v>16</v>
      </c>
    </row>
    <row r="2003" spans="1:19" hidden="1" x14ac:dyDescent="0.3">
      <c r="A2003" s="1" t="s">
        <v>1467</v>
      </c>
      <c r="B2003" t="s">
        <v>1596</v>
      </c>
      <c r="C2003" t="s">
        <v>1728</v>
      </c>
      <c r="D2003" t="str">
        <f t="shared" si="124"/>
        <v>Male</v>
      </c>
      <c r="E2003" t="s">
        <v>9</v>
      </c>
      <c r="F2003" s="2">
        <v>24</v>
      </c>
      <c r="G2003" s="2" t="str" cm="1">
        <f t="array" ref="G2003">_xlfn.IFS(F2003&lt;=8,"Child",F2003&lt;=17,"Teen",F2003&lt;=35,"Adult",F2003&lt;=55,"Seniour Adult",F2003&gt;=55,"Old Age")</f>
        <v>Adult</v>
      </c>
      <c r="H2003" t="s">
        <v>51</v>
      </c>
      <c r="I2003" t="s">
        <v>11</v>
      </c>
      <c r="J2003" t="str" cm="1">
        <f t="array" ref="J2003">_xlfn.IFS(I2003="S","Southamptom",I2003="Q","Quentown",I2003="C","Cherbrug",I2003="B","Cabin")</f>
        <v>Southamptom</v>
      </c>
      <c r="K2003" t="s">
        <v>15</v>
      </c>
      <c r="L2003" s="2">
        <v>33</v>
      </c>
      <c r="M2003" s="2" t="str" cm="1">
        <f t="array" ref="M2003">_xlfn.IFS(L2003&lt;=15,"Low Fare",L2003&lt;=35,"Medium Fare",L2003&lt;=100,"High Fare",L2003&gt;=100,"Very High Fare")</f>
        <v>Medium Fare</v>
      </c>
      <c r="N2003" s="2">
        <v>1</v>
      </c>
      <c r="O2003" s="2" t="s">
        <v>30</v>
      </c>
      <c r="P2003" t="e">
        <f t="shared" si="125"/>
        <v>#VALUE!</v>
      </c>
      <c r="Q2003" t="e">
        <f t="shared" si="126"/>
        <v>#VALUE!</v>
      </c>
      <c r="R2003" t="str">
        <f t="shared" si="127"/>
        <v>No</v>
      </c>
      <c r="S2003" t="s">
        <v>13</v>
      </c>
    </row>
    <row r="2004" spans="1:19" hidden="1" x14ac:dyDescent="0.3">
      <c r="A2004" s="1" t="s">
        <v>1468</v>
      </c>
      <c r="B2004" t="s">
        <v>1596</v>
      </c>
      <c r="C2004" t="s">
        <v>3082</v>
      </c>
      <c r="D2004" t="str">
        <f t="shared" si="124"/>
        <v>Male</v>
      </c>
      <c r="E2004" t="s">
        <v>9</v>
      </c>
      <c r="F2004" s="2">
        <v>58</v>
      </c>
      <c r="G2004" s="2" t="str" cm="1">
        <f t="array" ref="G2004">_xlfn.IFS(F2004&lt;=8,"Child",F2004&lt;=17,"Teen",F2004&lt;=35,"Adult",F2004&lt;=55,"Seniour Adult",F2004&gt;=55,"Old Age")</f>
        <v>Old Age</v>
      </c>
      <c r="H2004" t="s">
        <v>69</v>
      </c>
      <c r="I2004" t="s">
        <v>28</v>
      </c>
      <c r="J2004" t="str" cm="1">
        <f t="array" ref="J2004">_xlfn.IFS(I2004="S","Southamptom",I2004="Q","Quentown",I2004="C","Cherbrug",I2004="B","Cabin")</f>
        <v>Cabin</v>
      </c>
      <c r="K2004" t="s">
        <v>15</v>
      </c>
      <c r="L2004" s="2">
        <v>33</v>
      </c>
      <c r="M2004" s="2" t="str" cm="1">
        <f t="array" ref="M2004">_xlfn.IFS(L2004&lt;=15,"Low Fare",L2004&lt;=35,"Medium Fare",L2004&lt;=100,"High Fare",L2004&gt;=100,"Very High Fare")</f>
        <v>Medium Fare</v>
      </c>
      <c r="N2004" s="2">
        <v>1</v>
      </c>
      <c r="O2004" s="2" t="s">
        <v>30</v>
      </c>
      <c r="P2004" t="e">
        <f t="shared" si="125"/>
        <v>#VALUE!</v>
      </c>
      <c r="Q2004" t="e">
        <f t="shared" si="126"/>
        <v>#VALUE!</v>
      </c>
      <c r="R2004" t="str">
        <f t="shared" si="127"/>
        <v>Yes</v>
      </c>
      <c r="S2004" t="s">
        <v>16</v>
      </c>
    </row>
    <row r="2005" spans="1:19" hidden="1" x14ac:dyDescent="0.3">
      <c r="A2005" s="1" t="s">
        <v>1469</v>
      </c>
      <c r="B2005" t="s">
        <v>1596</v>
      </c>
      <c r="C2005" t="s">
        <v>3083</v>
      </c>
      <c r="D2005" t="str">
        <f t="shared" si="124"/>
        <v>Male</v>
      </c>
      <c r="E2005" t="s">
        <v>9</v>
      </c>
      <c r="F2005" s="2">
        <v>17</v>
      </c>
      <c r="G2005" s="2" t="str" cm="1">
        <f t="array" ref="G2005">_xlfn.IFS(F2005&lt;=8,"Child",F2005&lt;=17,"Teen",F2005&lt;=35,"Adult",F2005&lt;=55,"Seniour Adult",F2005&gt;=55,"Old Age")</f>
        <v>Teen</v>
      </c>
      <c r="H2005" t="s">
        <v>69</v>
      </c>
      <c r="I2005" t="s">
        <v>11</v>
      </c>
      <c r="J2005" t="str" cm="1">
        <f t="array" ref="J2005">_xlfn.IFS(I2005="S","Southamptom",I2005="Q","Quentown",I2005="C","Cherbrug",I2005="B","Cabin")</f>
        <v>Southamptom</v>
      </c>
      <c r="K2005" t="s">
        <v>15</v>
      </c>
      <c r="L2005" s="2">
        <v>33</v>
      </c>
      <c r="M2005" s="2" t="str" cm="1">
        <f t="array" ref="M2005">_xlfn.IFS(L2005&lt;=15,"Low Fare",L2005&lt;=35,"Medium Fare",L2005&lt;=100,"High Fare",L2005&gt;=100,"Very High Fare")</f>
        <v>Medium Fare</v>
      </c>
      <c r="N2005" s="2">
        <v>1</v>
      </c>
      <c r="O2005" s="2" t="s">
        <v>30</v>
      </c>
      <c r="P2005" t="e">
        <f t="shared" si="125"/>
        <v>#VALUE!</v>
      </c>
      <c r="Q2005" t="e">
        <f t="shared" si="126"/>
        <v>#VALUE!</v>
      </c>
      <c r="R2005" t="str">
        <f t="shared" si="127"/>
        <v>No</v>
      </c>
      <c r="S2005" t="s">
        <v>13</v>
      </c>
    </row>
    <row r="2006" spans="1:19" hidden="1" x14ac:dyDescent="0.3">
      <c r="A2006" s="1" t="s">
        <v>1470</v>
      </c>
      <c r="B2006" t="s">
        <v>1596</v>
      </c>
      <c r="C2006" t="s">
        <v>3084</v>
      </c>
      <c r="D2006" t="str">
        <f t="shared" si="124"/>
        <v>Male</v>
      </c>
      <c r="E2006" t="s">
        <v>9</v>
      </c>
      <c r="F2006" s="2">
        <v>27</v>
      </c>
      <c r="G2006" s="2" t="str" cm="1">
        <f t="array" ref="G2006">_xlfn.IFS(F2006&lt;=8,"Child",F2006&lt;=17,"Teen",F2006&lt;=35,"Adult",F2006&lt;=55,"Seniour Adult",F2006&gt;=55,"Old Age")</f>
        <v>Adult</v>
      </c>
      <c r="H2006" t="s">
        <v>51</v>
      </c>
      <c r="I2006" t="s">
        <v>11</v>
      </c>
      <c r="J2006" t="str" cm="1">
        <f t="array" ref="J2006">_xlfn.IFS(I2006="S","Southamptom",I2006="Q","Quentown",I2006="C","Cherbrug",I2006="B","Cabin")</f>
        <v>Southamptom</v>
      </c>
      <c r="K2006" t="s">
        <v>15</v>
      </c>
      <c r="L2006" s="2">
        <v>33</v>
      </c>
      <c r="M2006" s="2" t="str" cm="1">
        <f t="array" ref="M2006">_xlfn.IFS(L2006&lt;=15,"Low Fare",L2006&lt;=35,"Medium Fare",L2006&lt;=100,"High Fare",L2006&gt;=100,"Very High Fare")</f>
        <v>Medium Fare</v>
      </c>
      <c r="N2006" s="2">
        <v>1</v>
      </c>
      <c r="O2006" s="2" t="s">
        <v>30</v>
      </c>
      <c r="P2006" t="e">
        <f t="shared" si="125"/>
        <v>#VALUE!</v>
      </c>
      <c r="Q2006" t="e">
        <f t="shared" si="126"/>
        <v>#VALUE!</v>
      </c>
      <c r="R2006" t="str">
        <f t="shared" si="127"/>
        <v>No</v>
      </c>
      <c r="S2006" t="s">
        <v>13</v>
      </c>
    </row>
    <row r="2007" spans="1:19" hidden="1" x14ac:dyDescent="0.3">
      <c r="A2007" s="1" t="s">
        <v>787</v>
      </c>
      <c r="B2007" t="s">
        <v>1596</v>
      </c>
      <c r="C2007" t="s">
        <v>1645</v>
      </c>
      <c r="D2007" t="str">
        <f t="shared" si="124"/>
        <v>Male</v>
      </c>
      <c r="E2007" t="s">
        <v>9</v>
      </c>
      <c r="F2007" s="2">
        <v>28</v>
      </c>
      <c r="G2007" s="2" t="str" cm="1">
        <f t="array" ref="G2007">_xlfn.IFS(F2007&lt;=8,"Child",F2007&lt;=17,"Teen",F2007&lt;=35,"Adult",F2007&lt;=55,"Seniour Adult",F2007&gt;=55,"Old Age")</f>
        <v>Adult</v>
      </c>
      <c r="H2007" t="s">
        <v>69</v>
      </c>
      <c r="I2007" t="s">
        <v>11</v>
      </c>
      <c r="J2007" t="str" cm="1">
        <f t="array" ref="J2007">_xlfn.IFS(I2007="S","Southamptom",I2007="Q","Quentown",I2007="C","Cherbrug",I2007="B","Cabin")</f>
        <v>Southamptom</v>
      </c>
      <c r="K2007" t="s">
        <v>33</v>
      </c>
      <c r="L2007" s="2">
        <v>33</v>
      </c>
      <c r="M2007" s="2" t="str" cm="1">
        <f t="array" ref="M2007">_xlfn.IFS(L2007&lt;=15,"Low Fare",L2007&lt;=35,"Medium Fare",L2007&lt;=100,"High Fare",L2007&gt;=100,"Very High Fare")</f>
        <v>Medium Fare</v>
      </c>
      <c r="N2007" s="2">
        <v>1</v>
      </c>
      <c r="O2007" s="2" t="s">
        <v>30</v>
      </c>
      <c r="P2007" t="e">
        <f t="shared" si="125"/>
        <v>#VALUE!</v>
      </c>
      <c r="Q2007" t="e">
        <f t="shared" si="126"/>
        <v>#VALUE!</v>
      </c>
      <c r="R2007" t="str">
        <f t="shared" si="127"/>
        <v>No</v>
      </c>
      <c r="S2007" t="s">
        <v>13</v>
      </c>
    </row>
    <row r="2008" spans="1:19" hidden="1" x14ac:dyDescent="0.3">
      <c r="A2008" s="1" t="s">
        <v>788</v>
      </c>
      <c r="B2008" t="s">
        <v>1596</v>
      </c>
      <c r="C2008" t="s">
        <v>3085</v>
      </c>
      <c r="D2008" t="str">
        <f t="shared" si="124"/>
        <v>Male</v>
      </c>
      <c r="E2008" t="s">
        <v>9</v>
      </c>
      <c r="F2008" s="2">
        <v>33</v>
      </c>
      <c r="G2008" s="2" t="str" cm="1">
        <f t="array" ref="G2008">_xlfn.IFS(F2008&lt;=8,"Child",F2008&lt;=17,"Teen",F2008&lt;=35,"Adult",F2008&lt;=55,"Seniour Adult",F2008&gt;=55,"Old Age")</f>
        <v>Adult</v>
      </c>
      <c r="H2008" t="s">
        <v>69</v>
      </c>
      <c r="I2008" t="s">
        <v>11</v>
      </c>
      <c r="J2008" t="str" cm="1">
        <f t="array" ref="J2008">_xlfn.IFS(I2008="S","Southamptom",I2008="Q","Quentown",I2008="C","Cherbrug",I2008="B","Cabin")</f>
        <v>Southamptom</v>
      </c>
      <c r="K2008" t="s">
        <v>26</v>
      </c>
      <c r="L2008" s="2">
        <v>33</v>
      </c>
      <c r="M2008" s="2" t="str" cm="1">
        <f t="array" ref="M2008">_xlfn.IFS(L2008&lt;=15,"Low Fare",L2008&lt;=35,"Medium Fare",L2008&lt;=100,"High Fare",L2008&gt;=100,"Very High Fare")</f>
        <v>Medium Fare</v>
      </c>
      <c r="N2008" s="2">
        <v>1</v>
      </c>
      <c r="O2008" s="2" t="s">
        <v>30</v>
      </c>
      <c r="P2008" t="e">
        <f t="shared" si="125"/>
        <v>#VALUE!</v>
      </c>
      <c r="Q2008" t="e">
        <f t="shared" si="126"/>
        <v>#VALUE!</v>
      </c>
      <c r="R2008" t="str">
        <f t="shared" si="127"/>
        <v>Yes</v>
      </c>
      <c r="S2008" t="s">
        <v>16</v>
      </c>
    </row>
    <row r="2009" spans="1:19" hidden="1" x14ac:dyDescent="0.3">
      <c r="A2009" s="1" t="s">
        <v>1471</v>
      </c>
      <c r="B2009" t="s">
        <v>2719</v>
      </c>
      <c r="C2009" t="s">
        <v>3086</v>
      </c>
      <c r="D2009" t="str">
        <f t="shared" si="124"/>
        <v>Male</v>
      </c>
      <c r="E2009" t="s">
        <v>9</v>
      </c>
      <c r="F2009" s="2">
        <v>24</v>
      </c>
      <c r="G2009" s="2" t="str" cm="1">
        <f t="array" ref="G2009">_xlfn.IFS(F2009&lt;=8,"Child",F2009&lt;=17,"Teen",F2009&lt;=35,"Adult",F2009&lt;=55,"Seniour Adult",F2009&gt;=55,"Old Age")</f>
        <v>Adult</v>
      </c>
      <c r="H2009" t="s">
        <v>70</v>
      </c>
      <c r="I2009" t="s">
        <v>11</v>
      </c>
      <c r="J2009" t="str" cm="1">
        <f t="array" ref="J2009">_xlfn.IFS(I2009="S","Southamptom",I2009="Q","Quentown",I2009="C","Cherbrug",I2009="B","Cabin")</f>
        <v>Southamptom</v>
      </c>
      <c r="K2009" t="s">
        <v>38</v>
      </c>
      <c r="L2009" s="2">
        <v>33</v>
      </c>
      <c r="M2009" s="2" t="str" cm="1">
        <f t="array" ref="M2009">_xlfn.IFS(L2009&lt;=15,"Low Fare",L2009&lt;=35,"Medium Fare",L2009&lt;=100,"High Fare",L2009&gt;=100,"Very High Fare")</f>
        <v>Medium Fare</v>
      </c>
      <c r="N2009" s="2">
        <v>1</v>
      </c>
      <c r="O2009" s="2" t="s">
        <v>30</v>
      </c>
      <c r="P2009" t="e">
        <f t="shared" si="125"/>
        <v>#VALUE!</v>
      </c>
      <c r="Q2009" t="e">
        <f t="shared" si="126"/>
        <v>#VALUE!</v>
      </c>
      <c r="R2009" t="str">
        <f t="shared" si="127"/>
        <v>No</v>
      </c>
      <c r="S2009" t="s">
        <v>13</v>
      </c>
    </row>
    <row r="2010" spans="1:19" hidden="1" x14ac:dyDescent="0.3">
      <c r="A2010" s="1" t="s">
        <v>1472</v>
      </c>
      <c r="B2010" t="s">
        <v>2719</v>
      </c>
      <c r="C2010" t="s">
        <v>2835</v>
      </c>
      <c r="D2010" t="str">
        <f t="shared" si="124"/>
        <v>Male</v>
      </c>
      <c r="E2010" t="s">
        <v>9</v>
      </c>
      <c r="F2010" s="2">
        <v>25</v>
      </c>
      <c r="G2010" s="2" t="str" cm="1">
        <f t="array" ref="G2010">_xlfn.IFS(F2010&lt;=8,"Child",F2010&lt;=17,"Teen",F2010&lt;=35,"Adult",F2010&lt;=55,"Seniour Adult",F2010&gt;=55,"Old Age")</f>
        <v>Adult</v>
      </c>
      <c r="H2010" t="s">
        <v>70</v>
      </c>
      <c r="I2010" t="s">
        <v>11</v>
      </c>
      <c r="J2010" t="str" cm="1">
        <f t="array" ref="J2010">_xlfn.IFS(I2010="S","Southamptom",I2010="Q","Quentown",I2010="C","Cherbrug",I2010="B","Cabin")</f>
        <v>Southamptom</v>
      </c>
      <c r="K2010" t="s">
        <v>15</v>
      </c>
      <c r="L2010" s="2">
        <v>33</v>
      </c>
      <c r="M2010" s="2" t="str" cm="1">
        <f t="array" ref="M2010">_xlfn.IFS(L2010&lt;=15,"Low Fare",L2010&lt;=35,"Medium Fare",L2010&lt;=100,"High Fare",L2010&gt;=100,"Very High Fare")</f>
        <v>Medium Fare</v>
      </c>
      <c r="N2010" s="2">
        <v>1</v>
      </c>
      <c r="O2010" s="2" t="s">
        <v>30</v>
      </c>
      <c r="P2010" t="e">
        <f t="shared" si="125"/>
        <v>#VALUE!</v>
      </c>
      <c r="Q2010" t="e">
        <f t="shared" si="126"/>
        <v>#VALUE!</v>
      </c>
      <c r="R2010" t="str">
        <f t="shared" si="127"/>
        <v>No</v>
      </c>
      <c r="S2010" t="s">
        <v>13</v>
      </c>
    </row>
    <row r="2011" spans="1:19" hidden="1" x14ac:dyDescent="0.3">
      <c r="A2011" s="1" t="s">
        <v>1473</v>
      </c>
      <c r="B2011" t="s">
        <v>1596</v>
      </c>
      <c r="C2011" t="s">
        <v>3087</v>
      </c>
      <c r="D2011" t="str">
        <f t="shared" si="124"/>
        <v>Male</v>
      </c>
      <c r="E2011" t="s">
        <v>9</v>
      </c>
      <c r="F2011" s="2">
        <v>47</v>
      </c>
      <c r="G2011" s="2" t="str" cm="1">
        <f t="array" ref="G2011">_xlfn.IFS(F2011&lt;=8,"Child",F2011&lt;=17,"Teen",F2011&lt;=35,"Adult",F2011&lt;=55,"Seniour Adult",F2011&gt;=55,"Old Age")</f>
        <v>Seniour Adult</v>
      </c>
      <c r="H2011" t="s">
        <v>69</v>
      </c>
      <c r="I2011" t="s">
        <v>11</v>
      </c>
      <c r="J2011" t="str" cm="1">
        <f t="array" ref="J2011">_xlfn.IFS(I2011="S","Southamptom",I2011="Q","Quentown",I2011="C","Cherbrug",I2011="B","Cabin")</f>
        <v>Southamptom</v>
      </c>
      <c r="K2011" t="s">
        <v>40</v>
      </c>
      <c r="L2011" s="2">
        <v>33</v>
      </c>
      <c r="M2011" s="2" t="str" cm="1">
        <f t="array" ref="M2011">_xlfn.IFS(L2011&lt;=15,"Low Fare",L2011&lt;=35,"Medium Fare",L2011&lt;=100,"High Fare",L2011&gt;=100,"Very High Fare")</f>
        <v>Medium Fare</v>
      </c>
      <c r="N2011" s="2">
        <v>1</v>
      </c>
      <c r="O2011" s="2" t="s">
        <v>30</v>
      </c>
      <c r="P2011" t="e">
        <f t="shared" si="125"/>
        <v>#VALUE!</v>
      </c>
      <c r="Q2011" t="e">
        <f t="shared" si="126"/>
        <v>#VALUE!</v>
      </c>
      <c r="R2011" t="str">
        <f t="shared" si="127"/>
        <v>No</v>
      </c>
      <c r="S2011" t="s">
        <v>13</v>
      </c>
    </row>
    <row r="2012" spans="1:19" hidden="1" x14ac:dyDescent="0.3">
      <c r="A2012" s="1" t="s">
        <v>1474</v>
      </c>
      <c r="B2012" t="s">
        <v>1596</v>
      </c>
      <c r="C2012" t="s">
        <v>1884</v>
      </c>
      <c r="D2012" t="str">
        <f t="shared" si="124"/>
        <v>Male</v>
      </c>
      <c r="E2012" t="s">
        <v>9</v>
      </c>
      <c r="F2012" s="2">
        <v>30</v>
      </c>
      <c r="G2012" s="2" t="str" cm="1">
        <f t="array" ref="G2012">_xlfn.IFS(F2012&lt;=8,"Child",F2012&lt;=17,"Teen",F2012&lt;=35,"Adult",F2012&lt;=55,"Seniour Adult",F2012&gt;=55,"Old Age")</f>
        <v>Adult</v>
      </c>
      <c r="H2012" t="s">
        <v>51</v>
      </c>
      <c r="I2012" t="s">
        <v>11</v>
      </c>
      <c r="J2012" t="str" cm="1">
        <f t="array" ref="J2012">_xlfn.IFS(I2012="S","Southamptom",I2012="Q","Quentown",I2012="C","Cherbrug",I2012="B","Cabin")</f>
        <v>Southamptom</v>
      </c>
      <c r="K2012" t="s">
        <v>15</v>
      </c>
      <c r="L2012" s="2">
        <v>33</v>
      </c>
      <c r="M2012" s="2" t="str" cm="1">
        <f t="array" ref="M2012">_xlfn.IFS(L2012&lt;=15,"Low Fare",L2012&lt;=35,"Medium Fare",L2012&lt;=100,"High Fare",L2012&gt;=100,"Very High Fare")</f>
        <v>Medium Fare</v>
      </c>
      <c r="N2012" s="2">
        <v>1</v>
      </c>
      <c r="O2012" s="2" t="s">
        <v>30</v>
      </c>
      <c r="P2012" t="e">
        <f t="shared" si="125"/>
        <v>#VALUE!</v>
      </c>
      <c r="Q2012" t="e">
        <f t="shared" si="126"/>
        <v>#VALUE!</v>
      </c>
      <c r="R2012" t="str">
        <f t="shared" si="127"/>
        <v>No</v>
      </c>
      <c r="S2012" t="s">
        <v>13</v>
      </c>
    </row>
    <row r="2013" spans="1:19" hidden="1" x14ac:dyDescent="0.3">
      <c r="A2013" s="1" t="s">
        <v>1475</v>
      </c>
      <c r="B2013" t="s">
        <v>2719</v>
      </c>
      <c r="C2013" t="s">
        <v>2318</v>
      </c>
      <c r="D2013" t="str">
        <f t="shared" si="124"/>
        <v>Male</v>
      </c>
      <c r="E2013" t="s">
        <v>9</v>
      </c>
      <c r="F2013" s="2">
        <v>24</v>
      </c>
      <c r="G2013" s="2" t="str" cm="1">
        <f t="array" ref="G2013">_xlfn.IFS(F2013&lt;=8,"Child",F2013&lt;=17,"Teen",F2013&lt;=35,"Adult",F2013&lt;=55,"Seniour Adult",F2013&gt;=55,"Old Age")</f>
        <v>Adult</v>
      </c>
      <c r="H2013" t="s">
        <v>70</v>
      </c>
      <c r="I2013" t="s">
        <v>11</v>
      </c>
      <c r="J2013" t="str" cm="1">
        <f t="array" ref="J2013">_xlfn.IFS(I2013="S","Southamptom",I2013="Q","Quentown",I2013="C","Cherbrug",I2013="B","Cabin")</f>
        <v>Southamptom</v>
      </c>
      <c r="K2013" t="s">
        <v>15</v>
      </c>
      <c r="L2013" s="2">
        <v>33</v>
      </c>
      <c r="M2013" s="2" t="str" cm="1">
        <f t="array" ref="M2013">_xlfn.IFS(L2013&lt;=15,"Low Fare",L2013&lt;=35,"Medium Fare",L2013&lt;=100,"High Fare",L2013&gt;=100,"Very High Fare")</f>
        <v>Medium Fare</v>
      </c>
      <c r="N2013" s="2">
        <v>1</v>
      </c>
      <c r="O2013" s="2" t="s">
        <v>30</v>
      </c>
      <c r="P2013" t="e">
        <f t="shared" si="125"/>
        <v>#VALUE!</v>
      </c>
      <c r="Q2013" t="e">
        <f t="shared" si="126"/>
        <v>#VALUE!</v>
      </c>
      <c r="R2013" t="str">
        <f t="shared" si="127"/>
        <v>No</v>
      </c>
      <c r="S2013" t="s">
        <v>13</v>
      </c>
    </row>
    <row r="2014" spans="1:19" hidden="1" x14ac:dyDescent="0.3">
      <c r="A2014" s="1" t="s">
        <v>1476</v>
      </c>
      <c r="B2014" t="s">
        <v>1596</v>
      </c>
      <c r="C2014" t="s">
        <v>2760</v>
      </c>
      <c r="D2014" t="str">
        <f t="shared" si="124"/>
        <v>Male</v>
      </c>
      <c r="E2014" t="s">
        <v>9</v>
      </c>
      <c r="F2014" s="2">
        <v>26</v>
      </c>
      <c r="G2014" s="2" t="str" cm="1">
        <f t="array" ref="G2014">_xlfn.IFS(F2014&lt;=8,"Child",F2014&lt;=17,"Teen",F2014&lt;=35,"Adult",F2014&lt;=55,"Seniour Adult",F2014&gt;=55,"Old Age")</f>
        <v>Adult</v>
      </c>
      <c r="H2014" t="s">
        <v>69</v>
      </c>
      <c r="I2014" t="s">
        <v>11</v>
      </c>
      <c r="J2014" t="str" cm="1">
        <f t="array" ref="J2014">_xlfn.IFS(I2014="S","Southamptom",I2014="Q","Quentown",I2014="C","Cherbrug",I2014="B","Cabin")</f>
        <v>Southamptom</v>
      </c>
      <c r="K2014" t="s">
        <v>15</v>
      </c>
      <c r="L2014" s="2">
        <v>33</v>
      </c>
      <c r="M2014" s="2" t="str" cm="1">
        <f t="array" ref="M2014">_xlfn.IFS(L2014&lt;=15,"Low Fare",L2014&lt;=35,"Medium Fare",L2014&lt;=100,"High Fare",L2014&gt;=100,"Very High Fare")</f>
        <v>Medium Fare</v>
      </c>
      <c r="N2014" s="2">
        <v>1</v>
      </c>
      <c r="O2014" s="2" t="s">
        <v>30</v>
      </c>
      <c r="P2014" t="e">
        <f t="shared" si="125"/>
        <v>#VALUE!</v>
      </c>
      <c r="Q2014" t="e">
        <f t="shared" si="126"/>
        <v>#VALUE!</v>
      </c>
      <c r="R2014" t="str">
        <f t="shared" si="127"/>
        <v>No</v>
      </c>
      <c r="S2014" t="s">
        <v>13</v>
      </c>
    </row>
    <row r="2015" spans="1:19" hidden="1" x14ac:dyDescent="0.3">
      <c r="A2015" s="1" t="s">
        <v>1476</v>
      </c>
      <c r="B2015" t="s">
        <v>1596</v>
      </c>
      <c r="C2015" t="s">
        <v>2884</v>
      </c>
      <c r="D2015" t="str">
        <f t="shared" si="124"/>
        <v>Male</v>
      </c>
      <c r="E2015" t="s">
        <v>9</v>
      </c>
      <c r="F2015" s="2">
        <v>22</v>
      </c>
      <c r="G2015" s="2" t="str" cm="1">
        <f t="array" ref="G2015">_xlfn.IFS(F2015&lt;=8,"Child",F2015&lt;=17,"Teen",F2015&lt;=35,"Adult",F2015&lt;=55,"Seniour Adult",F2015&gt;=55,"Old Age")</f>
        <v>Adult</v>
      </c>
      <c r="H2015" t="s">
        <v>51</v>
      </c>
      <c r="I2015" t="s">
        <v>11</v>
      </c>
      <c r="J2015" t="str" cm="1">
        <f t="array" ref="J2015">_xlfn.IFS(I2015="S","Southamptom",I2015="Q","Quentown",I2015="C","Cherbrug",I2015="B","Cabin")</f>
        <v>Southamptom</v>
      </c>
      <c r="K2015" t="s">
        <v>15</v>
      </c>
      <c r="L2015" s="2">
        <v>33</v>
      </c>
      <c r="M2015" s="2" t="str" cm="1">
        <f t="array" ref="M2015">_xlfn.IFS(L2015&lt;=15,"Low Fare",L2015&lt;=35,"Medium Fare",L2015&lt;=100,"High Fare",L2015&gt;=100,"Very High Fare")</f>
        <v>Medium Fare</v>
      </c>
      <c r="N2015" s="2">
        <v>1</v>
      </c>
      <c r="O2015" s="2" t="s">
        <v>30</v>
      </c>
      <c r="P2015" t="e">
        <f t="shared" si="125"/>
        <v>#VALUE!</v>
      </c>
      <c r="Q2015" t="e">
        <f t="shared" si="126"/>
        <v>#VALUE!</v>
      </c>
      <c r="R2015" t="str">
        <f t="shared" si="127"/>
        <v>No</v>
      </c>
      <c r="S2015" t="s">
        <v>13</v>
      </c>
    </row>
    <row r="2016" spans="1:19" hidden="1" x14ac:dyDescent="0.3">
      <c r="A2016" s="1" t="s">
        <v>1476</v>
      </c>
      <c r="B2016" t="s">
        <v>1596</v>
      </c>
      <c r="C2016" t="s">
        <v>2882</v>
      </c>
      <c r="D2016" t="str">
        <f t="shared" si="124"/>
        <v>Male</v>
      </c>
      <c r="E2016" t="s">
        <v>9</v>
      </c>
      <c r="F2016" s="2">
        <v>23</v>
      </c>
      <c r="G2016" s="2" t="str" cm="1">
        <f t="array" ref="G2016">_xlfn.IFS(F2016&lt;=8,"Child",F2016&lt;=17,"Teen",F2016&lt;=35,"Adult",F2016&lt;=55,"Seniour Adult",F2016&gt;=55,"Old Age")</f>
        <v>Adult</v>
      </c>
      <c r="H2016" t="s">
        <v>51</v>
      </c>
      <c r="I2016" t="s">
        <v>11</v>
      </c>
      <c r="J2016" t="str" cm="1">
        <f t="array" ref="J2016">_xlfn.IFS(I2016="S","Southamptom",I2016="Q","Quentown",I2016="C","Cherbrug",I2016="B","Cabin")</f>
        <v>Southamptom</v>
      </c>
      <c r="K2016" t="s">
        <v>15</v>
      </c>
      <c r="L2016" s="2">
        <v>33</v>
      </c>
      <c r="M2016" s="2" t="str" cm="1">
        <f t="array" ref="M2016">_xlfn.IFS(L2016&lt;=15,"Low Fare",L2016&lt;=35,"Medium Fare",L2016&lt;=100,"High Fare",L2016&gt;=100,"Very High Fare")</f>
        <v>Medium Fare</v>
      </c>
      <c r="N2016" s="2">
        <v>1</v>
      </c>
      <c r="O2016" s="2" t="s">
        <v>30</v>
      </c>
      <c r="P2016" t="e">
        <f t="shared" si="125"/>
        <v>#VALUE!</v>
      </c>
      <c r="Q2016" t="e">
        <f t="shared" si="126"/>
        <v>#VALUE!</v>
      </c>
      <c r="R2016" t="str">
        <f t="shared" si="127"/>
        <v>No</v>
      </c>
      <c r="S2016" t="s">
        <v>13</v>
      </c>
    </row>
    <row r="2017" spans="1:19" hidden="1" x14ac:dyDescent="0.3">
      <c r="A2017" s="1" t="s">
        <v>1476</v>
      </c>
      <c r="B2017" t="s">
        <v>1596</v>
      </c>
      <c r="C2017" t="s">
        <v>3088</v>
      </c>
      <c r="D2017" t="str">
        <f t="shared" si="124"/>
        <v>Male</v>
      </c>
      <c r="E2017" t="s">
        <v>9</v>
      </c>
      <c r="F2017" s="2">
        <v>23</v>
      </c>
      <c r="G2017" s="2" t="str" cm="1">
        <f t="array" ref="G2017">_xlfn.IFS(F2017&lt;=8,"Child",F2017&lt;=17,"Teen",F2017&lt;=35,"Adult",F2017&lt;=55,"Seniour Adult",F2017&gt;=55,"Old Age")</f>
        <v>Adult</v>
      </c>
      <c r="H2017" t="s">
        <v>51</v>
      </c>
      <c r="I2017" t="s">
        <v>11</v>
      </c>
      <c r="J2017" t="str" cm="1">
        <f t="array" ref="J2017">_xlfn.IFS(I2017="S","Southamptom",I2017="Q","Quentown",I2017="C","Cherbrug",I2017="B","Cabin")</f>
        <v>Southamptom</v>
      </c>
      <c r="K2017" t="s">
        <v>15</v>
      </c>
      <c r="L2017" s="2">
        <v>33</v>
      </c>
      <c r="M2017" s="2" t="str" cm="1">
        <f t="array" ref="M2017">_xlfn.IFS(L2017&lt;=15,"Low Fare",L2017&lt;=35,"Medium Fare",L2017&lt;=100,"High Fare",L2017&gt;=100,"Very High Fare")</f>
        <v>Medium Fare</v>
      </c>
      <c r="N2017" s="2">
        <v>1</v>
      </c>
      <c r="O2017" s="2" t="s">
        <v>30</v>
      </c>
      <c r="P2017" t="e">
        <f t="shared" si="125"/>
        <v>#VALUE!</v>
      </c>
      <c r="Q2017" t="e">
        <f t="shared" si="126"/>
        <v>#VALUE!</v>
      </c>
      <c r="R2017" t="str">
        <f t="shared" si="127"/>
        <v>No</v>
      </c>
      <c r="S2017" t="s">
        <v>13</v>
      </c>
    </row>
    <row r="2018" spans="1:19" hidden="1" x14ac:dyDescent="0.3">
      <c r="A2018" s="1" t="s">
        <v>1477</v>
      </c>
      <c r="B2018" t="s">
        <v>1596</v>
      </c>
      <c r="C2018" t="s">
        <v>2538</v>
      </c>
      <c r="D2018" t="str">
        <f t="shared" si="124"/>
        <v>Male</v>
      </c>
      <c r="E2018" t="s">
        <v>9</v>
      </c>
      <c r="F2018" s="2">
        <v>23</v>
      </c>
      <c r="G2018" s="2" t="str" cm="1">
        <f t="array" ref="G2018">_xlfn.IFS(F2018&lt;=8,"Child",F2018&lt;=17,"Teen",F2018&lt;=35,"Adult",F2018&lt;=55,"Seniour Adult",F2018&gt;=55,"Old Age")</f>
        <v>Adult</v>
      </c>
      <c r="H2018" t="s">
        <v>69</v>
      </c>
      <c r="I2018" t="s">
        <v>11</v>
      </c>
      <c r="J2018" t="str" cm="1">
        <f t="array" ref="J2018">_xlfn.IFS(I2018="S","Southamptom",I2018="Q","Quentown",I2018="C","Cherbrug",I2018="B","Cabin")</f>
        <v>Southamptom</v>
      </c>
      <c r="K2018" t="s">
        <v>15</v>
      </c>
      <c r="L2018" s="2">
        <v>33</v>
      </c>
      <c r="M2018" s="2" t="str" cm="1">
        <f t="array" ref="M2018">_xlfn.IFS(L2018&lt;=15,"Low Fare",L2018&lt;=35,"Medium Fare",L2018&lt;=100,"High Fare",L2018&gt;=100,"Very High Fare")</f>
        <v>Medium Fare</v>
      </c>
      <c r="N2018" s="2">
        <v>1</v>
      </c>
      <c r="O2018" s="2" t="s">
        <v>30</v>
      </c>
      <c r="P2018" t="e">
        <f t="shared" si="125"/>
        <v>#VALUE!</v>
      </c>
      <c r="Q2018" t="e">
        <f t="shared" si="126"/>
        <v>#VALUE!</v>
      </c>
      <c r="R2018" t="str">
        <f t="shared" si="127"/>
        <v>Yes</v>
      </c>
      <c r="S2018" t="s">
        <v>16</v>
      </c>
    </row>
    <row r="2019" spans="1:19" hidden="1" x14ac:dyDescent="0.3">
      <c r="A2019" s="1" t="s">
        <v>804</v>
      </c>
      <c r="B2019" t="s">
        <v>1596</v>
      </c>
      <c r="C2019" t="s">
        <v>1695</v>
      </c>
      <c r="D2019" t="str">
        <f t="shared" si="124"/>
        <v>Male</v>
      </c>
      <c r="E2019" t="s">
        <v>9</v>
      </c>
      <c r="F2019" s="2">
        <v>31</v>
      </c>
      <c r="G2019" s="2" t="str" cm="1">
        <f t="array" ref="G2019">_xlfn.IFS(F2019&lt;=8,"Child",F2019&lt;=17,"Teen",F2019&lt;=35,"Adult",F2019&lt;=55,"Seniour Adult",F2019&gt;=55,"Old Age")</f>
        <v>Adult</v>
      </c>
      <c r="H2019" t="s">
        <v>71</v>
      </c>
      <c r="I2019" t="s">
        <v>11</v>
      </c>
      <c r="J2019" t="str" cm="1">
        <f t="array" ref="J2019">_xlfn.IFS(I2019="S","Southamptom",I2019="Q","Quentown",I2019="C","Cherbrug",I2019="B","Cabin")</f>
        <v>Southamptom</v>
      </c>
      <c r="K2019" t="s">
        <v>15</v>
      </c>
      <c r="L2019" s="2">
        <v>33</v>
      </c>
      <c r="M2019" s="2" t="str" cm="1">
        <f t="array" ref="M2019">_xlfn.IFS(L2019&lt;=15,"Low Fare",L2019&lt;=35,"Medium Fare",L2019&lt;=100,"High Fare",L2019&gt;=100,"Very High Fare")</f>
        <v>Medium Fare</v>
      </c>
      <c r="N2019" s="2">
        <v>1</v>
      </c>
      <c r="O2019" s="2" t="s">
        <v>30</v>
      </c>
      <c r="P2019" t="e">
        <f t="shared" si="125"/>
        <v>#VALUE!</v>
      </c>
      <c r="Q2019" t="e">
        <f t="shared" si="126"/>
        <v>#VALUE!</v>
      </c>
      <c r="R2019" t="str">
        <f t="shared" si="127"/>
        <v>No</v>
      </c>
      <c r="S2019" t="s">
        <v>13</v>
      </c>
    </row>
    <row r="2020" spans="1:19" hidden="1" x14ac:dyDescent="0.3">
      <c r="A2020" s="1" t="s">
        <v>1478</v>
      </c>
      <c r="B2020" t="s">
        <v>1596</v>
      </c>
      <c r="C2020" t="s">
        <v>3089</v>
      </c>
      <c r="D2020" t="str">
        <f t="shared" si="124"/>
        <v>Male</v>
      </c>
      <c r="E2020" t="s">
        <v>9</v>
      </c>
      <c r="F2020" s="2">
        <v>33</v>
      </c>
      <c r="G2020" s="2" t="str" cm="1">
        <f t="array" ref="G2020">_xlfn.IFS(F2020&lt;=8,"Child",F2020&lt;=17,"Teen",F2020&lt;=35,"Adult",F2020&lt;=55,"Seniour Adult",F2020&gt;=55,"Old Age")</f>
        <v>Adult</v>
      </c>
      <c r="H2020" t="s">
        <v>71</v>
      </c>
      <c r="I2020" t="s">
        <v>11</v>
      </c>
      <c r="J2020" t="str" cm="1">
        <f t="array" ref="J2020">_xlfn.IFS(I2020="S","Southamptom",I2020="Q","Quentown",I2020="C","Cherbrug",I2020="B","Cabin")</f>
        <v>Southamptom</v>
      </c>
      <c r="K2020" t="s">
        <v>15</v>
      </c>
      <c r="L2020" s="2">
        <v>33</v>
      </c>
      <c r="M2020" s="2" t="str" cm="1">
        <f t="array" ref="M2020">_xlfn.IFS(L2020&lt;=15,"Low Fare",L2020&lt;=35,"Medium Fare",L2020&lt;=100,"High Fare",L2020&gt;=100,"Very High Fare")</f>
        <v>Medium Fare</v>
      </c>
      <c r="N2020" s="2">
        <v>1</v>
      </c>
      <c r="O2020" s="2" t="s">
        <v>30</v>
      </c>
      <c r="P2020" t="e">
        <f t="shared" si="125"/>
        <v>#VALUE!</v>
      </c>
      <c r="Q2020" t="e">
        <f t="shared" si="126"/>
        <v>#VALUE!</v>
      </c>
      <c r="R2020" t="str">
        <f t="shared" si="127"/>
        <v>Yes</v>
      </c>
      <c r="S2020" t="s">
        <v>16</v>
      </c>
    </row>
    <row r="2021" spans="1:19" hidden="1" x14ac:dyDescent="0.3">
      <c r="A2021" s="1" t="s">
        <v>1479</v>
      </c>
      <c r="B2021" t="s">
        <v>2719</v>
      </c>
      <c r="C2021" t="s">
        <v>3090</v>
      </c>
      <c r="D2021" t="str">
        <f t="shared" si="124"/>
        <v>Male</v>
      </c>
      <c r="E2021" t="s">
        <v>9</v>
      </c>
      <c r="F2021" s="2">
        <v>42</v>
      </c>
      <c r="G2021" s="2" t="str" cm="1">
        <f t="array" ref="G2021">_xlfn.IFS(F2021&lt;=8,"Child",F2021&lt;=17,"Teen",F2021&lt;=35,"Adult",F2021&lt;=55,"Seniour Adult",F2021&gt;=55,"Old Age")</f>
        <v>Seniour Adult</v>
      </c>
      <c r="H2021" t="s">
        <v>70</v>
      </c>
      <c r="I2021" t="s">
        <v>11</v>
      </c>
      <c r="J2021" t="str" cm="1">
        <f t="array" ref="J2021">_xlfn.IFS(I2021="S","Southamptom",I2021="Q","Quentown",I2021="C","Cherbrug",I2021="B","Cabin")</f>
        <v>Southamptom</v>
      </c>
      <c r="K2021" t="s">
        <v>38</v>
      </c>
      <c r="L2021" s="2">
        <v>33</v>
      </c>
      <c r="M2021" s="2" t="str" cm="1">
        <f t="array" ref="M2021">_xlfn.IFS(L2021&lt;=15,"Low Fare",L2021&lt;=35,"Medium Fare",L2021&lt;=100,"High Fare",L2021&gt;=100,"Very High Fare")</f>
        <v>Medium Fare</v>
      </c>
      <c r="N2021" s="2">
        <v>1</v>
      </c>
      <c r="O2021" s="2" t="s">
        <v>30</v>
      </c>
      <c r="P2021" t="e">
        <f t="shared" si="125"/>
        <v>#VALUE!</v>
      </c>
      <c r="Q2021" t="e">
        <f t="shared" si="126"/>
        <v>#VALUE!</v>
      </c>
      <c r="R2021" t="str">
        <f t="shared" si="127"/>
        <v>No</v>
      </c>
      <c r="S2021" t="s">
        <v>13</v>
      </c>
    </row>
    <row r="2022" spans="1:19" hidden="1" x14ac:dyDescent="0.3">
      <c r="A2022" s="1" t="s">
        <v>1480</v>
      </c>
      <c r="B2022" t="s">
        <v>1596</v>
      </c>
      <c r="C2022" t="s">
        <v>2032</v>
      </c>
      <c r="D2022" t="str">
        <f t="shared" si="124"/>
        <v>Male</v>
      </c>
      <c r="E2022" t="s">
        <v>9</v>
      </c>
      <c r="F2022" s="2">
        <v>41</v>
      </c>
      <c r="G2022" s="2" t="str" cm="1">
        <f t="array" ref="G2022">_xlfn.IFS(F2022&lt;=8,"Child",F2022&lt;=17,"Teen",F2022&lt;=35,"Adult",F2022&lt;=55,"Seniour Adult",F2022&gt;=55,"Old Age")</f>
        <v>Seniour Adult</v>
      </c>
      <c r="H2022" t="s">
        <v>51</v>
      </c>
      <c r="I2022" t="s">
        <v>11</v>
      </c>
      <c r="J2022" t="str" cm="1">
        <f t="array" ref="J2022">_xlfn.IFS(I2022="S","Southamptom",I2022="Q","Quentown",I2022="C","Cherbrug",I2022="B","Cabin")</f>
        <v>Southamptom</v>
      </c>
      <c r="K2022" t="s">
        <v>29</v>
      </c>
      <c r="L2022" s="2">
        <v>33</v>
      </c>
      <c r="M2022" s="2" t="str" cm="1">
        <f t="array" ref="M2022">_xlfn.IFS(L2022&lt;=15,"Low Fare",L2022&lt;=35,"Medium Fare",L2022&lt;=100,"High Fare",L2022&gt;=100,"Very High Fare")</f>
        <v>Medium Fare</v>
      </c>
      <c r="N2022" s="2">
        <v>1</v>
      </c>
      <c r="O2022" s="2" t="s">
        <v>30</v>
      </c>
      <c r="P2022" t="e">
        <f t="shared" si="125"/>
        <v>#VALUE!</v>
      </c>
      <c r="Q2022" t="e">
        <f t="shared" si="126"/>
        <v>#VALUE!</v>
      </c>
      <c r="R2022" t="str">
        <f t="shared" si="127"/>
        <v>No</v>
      </c>
      <c r="S2022" t="s">
        <v>13</v>
      </c>
    </row>
    <row r="2023" spans="1:19" hidden="1" x14ac:dyDescent="0.3">
      <c r="A2023" s="1" t="s">
        <v>1480</v>
      </c>
      <c r="B2023" t="s">
        <v>1596</v>
      </c>
      <c r="C2023" t="s">
        <v>2428</v>
      </c>
      <c r="D2023" t="str">
        <f t="shared" si="124"/>
        <v>Male</v>
      </c>
      <c r="E2023" t="s">
        <v>9</v>
      </c>
      <c r="F2023" s="2">
        <v>28</v>
      </c>
      <c r="G2023" s="2" t="str" cm="1">
        <f t="array" ref="G2023">_xlfn.IFS(F2023&lt;=8,"Child",F2023&lt;=17,"Teen",F2023&lt;=35,"Adult",F2023&lt;=55,"Seniour Adult",F2023&gt;=55,"Old Age")</f>
        <v>Adult</v>
      </c>
      <c r="H2023" t="s">
        <v>51</v>
      </c>
      <c r="I2023" t="s">
        <v>11</v>
      </c>
      <c r="J2023" t="str" cm="1">
        <f t="array" ref="J2023">_xlfn.IFS(I2023="S","Southamptom",I2023="Q","Quentown",I2023="C","Cherbrug",I2023="B","Cabin")</f>
        <v>Southamptom</v>
      </c>
      <c r="K2023" t="s">
        <v>15</v>
      </c>
      <c r="L2023" s="2">
        <v>33</v>
      </c>
      <c r="M2023" s="2" t="str" cm="1">
        <f t="array" ref="M2023">_xlfn.IFS(L2023&lt;=15,"Low Fare",L2023&lt;=35,"Medium Fare",L2023&lt;=100,"High Fare",L2023&gt;=100,"Very High Fare")</f>
        <v>Medium Fare</v>
      </c>
      <c r="N2023" s="2">
        <v>1</v>
      </c>
      <c r="O2023" s="2" t="s">
        <v>30</v>
      </c>
      <c r="P2023" t="e">
        <f t="shared" si="125"/>
        <v>#VALUE!</v>
      </c>
      <c r="Q2023" t="e">
        <f t="shared" si="126"/>
        <v>#VALUE!</v>
      </c>
      <c r="R2023" t="str">
        <f t="shared" si="127"/>
        <v>Yes</v>
      </c>
      <c r="S2023" t="s">
        <v>16</v>
      </c>
    </row>
    <row r="2024" spans="1:19" hidden="1" x14ac:dyDescent="0.3">
      <c r="A2024" s="1" t="s">
        <v>1480</v>
      </c>
      <c r="B2024" t="s">
        <v>1596</v>
      </c>
      <c r="C2024" t="s">
        <v>1610</v>
      </c>
      <c r="D2024" t="str">
        <f t="shared" si="124"/>
        <v>Male</v>
      </c>
      <c r="E2024" t="s">
        <v>9</v>
      </c>
      <c r="F2024" s="2">
        <v>20</v>
      </c>
      <c r="G2024" s="2" t="str" cm="1">
        <f t="array" ref="G2024">_xlfn.IFS(F2024&lt;=8,"Child",F2024&lt;=17,"Teen",F2024&lt;=35,"Adult",F2024&lt;=55,"Seniour Adult",F2024&gt;=55,"Old Age")</f>
        <v>Adult</v>
      </c>
      <c r="H2024" t="s">
        <v>69</v>
      </c>
      <c r="I2024" t="s">
        <v>11</v>
      </c>
      <c r="J2024" t="str" cm="1">
        <f t="array" ref="J2024">_xlfn.IFS(I2024="S","Southamptom",I2024="Q","Quentown",I2024="C","Cherbrug",I2024="B","Cabin")</f>
        <v>Southamptom</v>
      </c>
      <c r="K2024" t="s">
        <v>15</v>
      </c>
      <c r="L2024" s="2">
        <v>33</v>
      </c>
      <c r="M2024" s="2" t="str" cm="1">
        <f t="array" ref="M2024">_xlfn.IFS(L2024&lt;=15,"Low Fare",L2024&lt;=35,"Medium Fare",L2024&lt;=100,"High Fare",L2024&gt;=100,"Very High Fare")</f>
        <v>Medium Fare</v>
      </c>
      <c r="N2024" s="2">
        <v>1</v>
      </c>
      <c r="O2024" s="2" t="s">
        <v>30</v>
      </c>
      <c r="P2024" t="e">
        <f t="shared" si="125"/>
        <v>#VALUE!</v>
      </c>
      <c r="Q2024" t="e">
        <f t="shared" si="126"/>
        <v>#VALUE!</v>
      </c>
      <c r="R2024" t="str">
        <f t="shared" si="127"/>
        <v>No</v>
      </c>
      <c r="S2024" t="s">
        <v>13</v>
      </c>
    </row>
    <row r="2025" spans="1:19" hidden="1" x14ac:dyDescent="0.3">
      <c r="A2025" s="1" t="s">
        <v>1481</v>
      </c>
      <c r="B2025" t="s">
        <v>1596</v>
      </c>
      <c r="C2025" t="s">
        <v>2208</v>
      </c>
      <c r="D2025" t="str">
        <f t="shared" si="124"/>
        <v>Male</v>
      </c>
      <c r="E2025" t="s">
        <v>9</v>
      </c>
      <c r="F2025" s="2">
        <v>55</v>
      </c>
      <c r="G2025" s="2" t="str" cm="1">
        <f t="array" ref="G2025">_xlfn.IFS(F2025&lt;=8,"Child",F2025&lt;=17,"Teen",F2025&lt;=35,"Adult",F2025&lt;=55,"Seniour Adult",F2025&gt;=55,"Old Age")</f>
        <v>Seniour Adult</v>
      </c>
      <c r="H2025" t="s">
        <v>69</v>
      </c>
      <c r="I2025" t="s">
        <v>11</v>
      </c>
      <c r="J2025" t="str" cm="1">
        <f t="array" ref="J2025">_xlfn.IFS(I2025="S","Southamptom",I2025="Q","Quentown",I2025="C","Cherbrug",I2025="B","Cabin")</f>
        <v>Southamptom</v>
      </c>
      <c r="K2025" t="s">
        <v>15</v>
      </c>
      <c r="L2025" s="2">
        <v>33</v>
      </c>
      <c r="M2025" s="2" t="str" cm="1">
        <f t="array" ref="M2025">_xlfn.IFS(L2025&lt;=15,"Low Fare",L2025&lt;=35,"Medium Fare",L2025&lt;=100,"High Fare",L2025&gt;=100,"Very High Fare")</f>
        <v>Medium Fare</v>
      </c>
      <c r="N2025" s="2">
        <v>1</v>
      </c>
      <c r="O2025" s="2" t="s">
        <v>30</v>
      </c>
      <c r="P2025" t="e">
        <f t="shared" si="125"/>
        <v>#VALUE!</v>
      </c>
      <c r="Q2025" t="e">
        <f t="shared" si="126"/>
        <v>#VALUE!</v>
      </c>
      <c r="R2025" t="str">
        <f t="shared" si="127"/>
        <v>No</v>
      </c>
      <c r="S2025" t="s">
        <v>13</v>
      </c>
    </row>
    <row r="2026" spans="1:19" hidden="1" x14ac:dyDescent="0.3">
      <c r="A2026" s="1" t="s">
        <v>1482</v>
      </c>
      <c r="B2026" t="s">
        <v>1596</v>
      </c>
      <c r="C2026" t="s">
        <v>3091</v>
      </c>
      <c r="D2026" t="str">
        <f t="shared" si="124"/>
        <v>Male</v>
      </c>
      <c r="E2026" t="s">
        <v>9</v>
      </c>
      <c r="F2026" s="2">
        <v>25</v>
      </c>
      <c r="G2026" s="2" t="str" cm="1">
        <f t="array" ref="G2026">_xlfn.IFS(F2026&lt;=8,"Child",F2026&lt;=17,"Teen",F2026&lt;=35,"Adult",F2026&lt;=55,"Seniour Adult",F2026&gt;=55,"Old Age")</f>
        <v>Adult</v>
      </c>
      <c r="H2026" t="s">
        <v>69</v>
      </c>
      <c r="I2026" t="s">
        <v>11</v>
      </c>
      <c r="J2026" t="str" cm="1">
        <f t="array" ref="J2026">_xlfn.IFS(I2026="S","Southamptom",I2026="Q","Quentown",I2026="C","Cherbrug",I2026="B","Cabin")</f>
        <v>Southamptom</v>
      </c>
      <c r="K2026" t="s">
        <v>15</v>
      </c>
      <c r="L2026" s="2">
        <v>33</v>
      </c>
      <c r="M2026" s="2" t="str" cm="1">
        <f t="array" ref="M2026">_xlfn.IFS(L2026&lt;=15,"Low Fare",L2026&lt;=35,"Medium Fare",L2026&lt;=100,"High Fare",L2026&gt;=100,"Very High Fare")</f>
        <v>Medium Fare</v>
      </c>
      <c r="N2026" s="2">
        <v>1</v>
      </c>
      <c r="O2026" s="2" t="s">
        <v>30</v>
      </c>
      <c r="P2026" t="e">
        <f t="shared" si="125"/>
        <v>#VALUE!</v>
      </c>
      <c r="Q2026" t="e">
        <f t="shared" si="126"/>
        <v>#VALUE!</v>
      </c>
      <c r="R2026" t="str">
        <f t="shared" si="127"/>
        <v>No</v>
      </c>
      <c r="S2026" t="s">
        <v>13</v>
      </c>
    </row>
    <row r="2027" spans="1:19" hidden="1" x14ac:dyDescent="0.3">
      <c r="A2027" s="1" t="s">
        <v>1483</v>
      </c>
      <c r="B2027" t="s">
        <v>1596</v>
      </c>
      <c r="C2027" t="s">
        <v>3092</v>
      </c>
      <c r="D2027" t="str">
        <f t="shared" si="124"/>
        <v>Male</v>
      </c>
      <c r="E2027" t="s">
        <v>9</v>
      </c>
      <c r="F2027" s="2">
        <v>24</v>
      </c>
      <c r="G2027" s="2" t="str" cm="1">
        <f t="array" ref="G2027">_xlfn.IFS(F2027&lt;=8,"Child",F2027&lt;=17,"Teen",F2027&lt;=35,"Adult",F2027&lt;=55,"Seniour Adult",F2027&gt;=55,"Old Age")</f>
        <v>Adult</v>
      </c>
      <c r="H2027" t="s">
        <v>51</v>
      </c>
      <c r="I2027" t="s">
        <v>11</v>
      </c>
      <c r="J2027" t="str" cm="1">
        <f t="array" ref="J2027">_xlfn.IFS(I2027="S","Southamptom",I2027="Q","Quentown",I2027="C","Cherbrug",I2027="B","Cabin")</f>
        <v>Southamptom</v>
      </c>
      <c r="K2027" t="s">
        <v>15</v>
      </c>
      <c r="L2027" s="2">
        <v>33</v>
      </c>
      <c r="M2027" s="2" t="str" cm="1">
        <f t="array" ref="M2027">_xlfn.IFS(L2027&lt;=15,"Low Fare",L2027&lt;=35,"Medium Fare",L2027&lt;=100,"High Fare",L2027&gt;=100,"Very High Fare")</f>
        <v>Medium Fare</v>
      </c>
      <c r="N2027" s="2">
        <v>1</v>
      </c>
      <c r="O2027" s="2" t="s">
        <v>30</v>
      </c>
      <c r="P2027" t="e">
        <f t="shared" si="125"/>
        <v>#VALUE!</v>
      </c>
      <c r="Q2027" t="e">
        <f t="shared" si="126"/>
        <v>#VALUE!</v>
      </c>
      <c r="R2027" t="str">
        <f t="shared" si="127"/>
        <v>Yes</v>
      </c>
      <c r="S2027" t="s">
        <v>16</v>
      </c>
    </row>
    <row r="2028" spans="1:19" hidden="1" x14ac:dyDescent="0.3">
      <c r="A2028" s="1" t="s">
        <v>1483</v>
      </c>
      <c r="B2028" t="s">
        <v>1596</v>
      </c>
      <c r="C2028" t="s">
        <v>3093</v>
      </c>
      <c r="D2028" t="str">
        <f t="shared" si="124"/>
        <v>Male</v>
      </c>
      <c r="E2028" t="s">
        <v>9</v>
      </c>
      <c r="F2028" s="2">
        <v>40</v>
      </c>
      <c r="G2028" s="2" t="str" cm="1">
        <f t="array" ref="G2028">_xlfn.IFS(F2028&lt;=8,"Child",F2028&lt;=17,"Teen",F2028&lt;=35,"Adult",F2028&lt;=55,"Seniour Adult",F2028&gt;=55,"Old Age")</f>
        <v>Seniour Adult</v>
      </c>
      <c r="H2028" t="s">
        <v>51</v>
      </c>
      <c r="I2028" t="s">
        <v>11</v>
      </c>
      <c r="J2028" t="str" cm="1">
        <f t="array" ref="J2028">_xlfn.IFS(I2028="S","Southamptom",I2028="Q","Quentown",I2028="C","Cherbrug",I2028="B","Cabin")</f>
        <v>Southamptom</v>
      </c>
      <c r="K2028" t="s">
        <v>15</v>
      </c>
      <c r="L2028" s="2">
        <v>33</v>
      </c>
      <c r="M2028" s="2" t="str" cm="1">
        <f t="array" ref="M2028">_xlfn.IFS(L2028&lt;=15,"Low Fare",L2028&lt;=35,"Medium Fare",L2028&lt;=100,"High Fare",L2028&gt;=100,"Very High Fare")</f>
        <v>Medium Fare</v>
      </c>
      <c r="N2028" s="2">
        <v>1</v>
      </c>
      <c r="O2028" s="2" t="s">
        <v>30</v>
      </c>
      <c r="P2028" t="e">
        <f t="shared" si="125"/>
        <v>#VALUE!</v>
      </c>
      <c r="Q2028" t="e">
        <f t="shared" si="126"/>
        <v>#VALUE!</v>
      </c>
      <c r="R2028" t="str">
        <f t="shared" si="127"/>
        <v>No</v>
      </c>
      <c r="S2028" t="s">
        <v>13</v>
      </c>
    </row>
    <row r="2029" spans="1:19" hidden="1" x14ac:dyDescent="0.3">
      <c r="A2029" s="1" t="s">
        <v>1484</v>
      </c>
      <c r="B2029" t="s">
        <v>1596</v>
      </c>
      <c r="C2029" t="s">
        <v>1630</v>
      </c>
      <c r="D2029" t="str">
        <f t="shared" si="124"/>
        <v>Male</v>
      </c>
      <c r="E2029" t="s">
        <v>9</v>
      </c>
      <c r="F2029" s="2">
        <v>31</v>
      </c>
      <c r="G2029" s="2" t="str" cm="1">
        <f t="array" ref="G2029">_xlfn.IFS(F2029&lt;=8,"Child",F2029&lt;=17,"Teen",F2029&lt;=35,"Adult",F2029&lt;=55,"Seniour Adult",F2029&gt;=55,"Old Age")</f>
        <v>Adult</v>
      </c>
      <c r="H2029" t="s">
        <v>51</v>
      </c>
      <c r="I2029" t="s">
        <v>11</v>
      </c>
      <c r="J2029" t="str" cm="1">
        <f t="array" ref="J2029">_xlfn.IFS(I2029="S","Southamptom",I2029="Q","Quentown",I2029="C","Cherbrug",I2029="B","Cabin")</f>
        <v>Southamptom</v>
      </c>
      <c r="K2029" t="s">
        <v>15</v>
      </c>
      <c r="L2029" s="2">
        <v>33</v>
      </c>
      <c r="M2029" s="2" t="str" cm="1">
        <f t="array" ref="M2029">_xlfn.IFS(L2029&lt;=15,"Low Fare",L2029&lt;=35,"Medium Fare",L2029&lt;=100,"High Fare",L2029&gt;=100,"Very High Fare")</f>
        <v>Medium Fare</v>
      </c>
      <c r="N2029" s="2">
        <v>1</v>
      </c>
      <c r="O2029" s="2" t="s">
        <v>30</v>
      </c>
      <c r="P2029" t="e">
        <f t="shared" si="125"/>
        <v>#VALUE!</v>
      </c>
      <c r="Q2029" t="e">
        <f t="shared" si="126"/>
        <v>#VALUE!</v>
      </c>
      <c r="R2029" t="str">
        <f t="shared" si="127"/>
        <v>Yes</v>
      </c>
      <c r="S2029" t="s">
        <v>16</v>
      </c>
    </row>
    <row r="2030" spans="1:19" hidden="1" x14ac:dyDescent="0.3">
      <c r="A2030" s="1" t="s">
        <v>1485</v>
      </c>
      <c r="B2030" t="s">
        <v>2719</v>
      </c>
      <c r="C2030" t="s">
        <v>3094</v>
      </c>
      <c r="D2030" t="str">
        <f t="shared" si="124"/>
        <v>Male</v>
      </c>
      <c r="E2030" t="s">
        <v>9</v>
      </c>
      <c r="F2030" s="2">
        <v>24</v>
      </c>
      <c r="G2030" s="2" t="str" cm="1">
        <f t="array" ref="G2030">_xlfn.IFS(F2030&lt;=8,"Child",F2030&lt;=17,"Teen",F2030&lt;=35,"Adult",F2030&lt;=55,"Seniour Adult",F2030&gt;=55,"Old Age")</f>
        <v>Adult</v>
      </c>
      <c r="H2030" t="s">
        <v>70</v>
      </c>
      <c r="I2030" t="s">
        <v>11</v>
      </c>
      <c r="J2030" t="str" cm="1">
        <f t="array" ref="J2030">_xlfn.IFS(I2030="S","Southamptom",I2030="Q","Quentown",I2030="C","Cherbrug",I2030="B","Cabin")</f>
        <v>Southamptom</v>
      </c>
      <c r="K2030" t="s">
        <v>15</v>
      </c>
      <c r="L2030" s="2">
        <v>33</v>
      </c>
      <c r="M2030" s="2" t="str" cm="1">
        <f t="array" ref="M2030">_xlfn.IFS(L2030&lt;=15,"Low Fare",L2030&lt;=35,"Medium Fare",L2030&lt;=100,"High Fare",L2030&gt;=100,"Very High Fare")</f>
        <v>Medium Fare</v>
      </c>
      <c r="N2030" s="2">
        <v>1</v>
      </c>
      <c r="O2030" s="2" t="s">
        <v>30</v>
      </c>
      <c r="P2030" t="e">
        <f t="shared" si="125"/>
        <v>#VALUE!</v>
      </c>
      <c r="Q2030" t="e">
        <f t="shared" si="126"/>
        <v>#VALUE!</v>
      </c>
      <c r="R2030" t="str">
        <f t="shared" si="127"/>
        <v>No</v>
      </c>
      <c r="S2030" t="s">
        <v>13</v>
      </c>
    </row>
    <row r="2031" spans="1:19" hidden="1" x14ac:dyDescent="0.3">
      <c r="A2031" s="1" t="s">
        <v>813</v>
      </c>
      <c r="B2031" t="s">
        <v>1596</v>
      </c>
      <c r="C2031" t="s">
        <v>3095</v>
      </c>
      <c r="D2031" t="str">
        <f t="shared" si="124"/>
        <v>Male</v>
      </c>
      <c r="E2031" t="s">
        <v>9</v>
      </c>
      <c r="F2031" s="2">
        <v>25</v>
      </c>
      <c r="G2031" s="2" t="str" cm="1">
        <f t="array" ref="G2031">_xlfn.IFS(F2031&lt;=8,"Child",F2031&lt;=17,"Teen",F2031&lt;=35,"Adult",F2031&lt;=55,"Seniour Adult",F2031&gt;=55,"Old Age")</f>
        <v>Adult</v>
      </c>
      <c r="H2031" t="s">
        <v>69</v>
      </c>
      <c r="I2031" t="s">
        <v>11</v>
      </c>
      <c r="J2031" t="str" cm="1">
        <f t="array" ref="J2031">_xlfn.IFS(I2031="S","Southamptom",I2031="Q","Quentown",I2031="C","Cherbrug",I2031="B","Cabin")</f>
        <v>Southamptom</v>
      </c>
      <c r="K2031" t="s">
        <v>15</v>
      </c>
      <c r="L2031" s="2">
        <v>33</v>
      </c>
      <c r="M2031" s="2" t="str" cm="1">
        <f t="array" ref="M2031">_xlfn.IFS(L2031&lt;=15,"Low Fare",L2031&lt;=35,"Medium Fare",L2031&lt;=100,"High Fare",L2031&gt;=100,"Very High Fare")</f>
        <v>Medium Fare</v>
      </c>
      <c r="N2031" s="2">
        <v>1</v>
      </c>
      <c r="O2031" s="2" t="s">
        <v>30</v>
      </c>
      <c r="P2031" t="e">
        <f t="shared" si="125"/>
        <v>#VALUE!</v>
      </c>
      <c r="Q2031" t="e">
        <f t="shared" si="126"/>
        <v>#VALUE!</v>
      </c>
      <c r="R2031" t="str">
        <f t="shared" si="127"/>
        <v>Yes</v>
      </c>
      <c r="S2031" t="s">
        <v>16</v>
      </c>
    </row>
    <row r="2032" spans="1:19" hidden="1" x14ac:dyDescent="0.3">
      <c r="A2032" s="1" t="s">
        <v>1486</v>
      </c>
      <c r="B2032" t="s">
        <v>1596</v>
      </c>
      <c r="C2032" t="s">
        <v>1728</v>
      </c>
      <c r="D2032" t="str">
        <f t="shared" si="124"/>
        <v>Male</v>
      </c>
      <c r="E2032" t="s">
        <v>9</v>
      </c>
      <c r="F2032" s="2">
        <v>42</v>
      </c>
      <c r="G2032" s="2" t="str" cm="1">
        <f t="array" ref="G2032">_xlfn.IFS(F2032&lt;=8,"Child",F2032&lt;=17,"Teen",F2032&lt;=35,"Adult",F2032&lt;=55,"Seniour Adult",F2032&gt;=55,"Old Age")</f>
        <v>Seniour Adult</v>
      </c>
      <c r="H2032" t="s">
        <v>69</v>
      </c>
      <c r="I2032" t="s">
        <v>11</v>
      </c>
      <c r="J2032" t="str" cm="1">
        <f t="array" ref="J2032">_xlfn.IFS(I2032="S","Southamptom",I2032="Q","Quentown",I2032="C","Cherbrug",I2032="B","Cabin")</f>
        <v>Southamptom</v>
      </c>
      <c r="K2032" t="s">
        <v>15</v>
      </c>
      <c r="L2032" s="2">
        <v>33</v>
      </c>
      <c r="M2032" s="2" t="str" cm="1">
        <f t="array" ref="M2032">_xlfn.IFS(L2032&lt;=15,"Low Fare",L2032&lt;=35,"Medium Fare",L2032&lt;=100,"High Fare",L2032&gt;=100,"Very High Fare")</f>
        <v>Medium Fare</v>
      </c>
      <c r="N2032" s="2">
        <v>1</v>
      </c>
      <c r="O2032" s="2" t="s">
        <v>30</v>
      </c>
      <c r="P2032" t="e">
        <f t="shared" si="125"/>
        <v>#VALUE!</v>
      </c>
      <c r="Q2032" t="e">
        <f t="shared" si="126"/>
        <v>#VALUE!</v>
      </c>
      <c r="R2032" t="str">
        <f t="shared" si="127"/>
        <v>No</v>
      </c>
      <c r="S2032" t="s">
        <v>13</v>
      </c>
    </row>
    <row r="2033" spans="1:19" hidden="1" x14ac:dyDescent="0.3">
      <c r="A2033" s="1" t="s">
        <v>1487</v>
      </c>
      <c r="B2033" t="s">
        <v>1596</v>
      </c>
      <c r="C2033" t="s">
        <v>2194</v>
      </c>
      <c r="D2033" t="str">
        <f t="shared" si="124"/>
        <v>Male</v>
      </c>
      <c r="E2033" t="s">
        <v>9</v>
      </c>
      <c r="F2033" s="2">
        <v>40</v>
      </c>
      <c r="G2033" s="2" t="str" cm="1">
        <f t="array" ref="G2033">_xlfn.IFS(F2033&lt;=8,"Child",F2033&lt;=17,"Teen",F2033&lt;=35,"Adult",F2033&lt;=55,"Seniour Adult",F2033&gt;=55,"Old Age")</f>
        <v>Seniour Adult</v>
      </c>
      <c r="H2033" t="s">
        <v>69</v>
      </c>
      <c r="I2033" t="s">
        <v>28</v>
      </c>
      <c r="J2033" t="str" cm="1">
        <f t="array" ref="J2033">_xlfn.IFS(I2033="S","Southamptom",I2033="Q","Quentown",I2033="C","Cherbrug",I2033="B","Cabin")</f>
        <v>Cabin</v>
      </c>
      <c r="K2033" t="s">
        <v>15</v>
      </c>
      <c r="L2033" s="2">
        <v>33</v>
      </c>
      <c r="M2033" s="2" t="str" cm="1">
        <f t="array" ref="M2033">_xlfn.IFS(L2033&lt;=15,"Low Fare",L2033&lt;=35,"Medium Fare",L2033&lt;=100,"High Fare",L2033&gt;=100,"Very High Fare")</f>
        <v>Medium Fare</v>
      </c>
      <c r="N2033" s="2">
        <v>1</v>
      </c>
      <c r="O2033" s="2" t="s">
        <v>30</v>
      </c>
      <c r="P2033" t="e">
        <f t="shared" si="125"/>
        <v>#VALUE!</v>
      </c>
      <c r="Q2033" t="e">
        <f t="shared" si="126"/>
        <v>#VALUE!</v>
      </c>
      <c r="R2033" t="str">
        <f t="shared" si="127"/>
        <v>No</v>
      </c>
      <c r="S2033" t="s">
        <v>13</v>
      </c>
    </row>
    <row r="2034" spans="1:19" hidden="1" x14ac:dyDescent="0.3">
      <c r="A2034" s="1" t="s">
        <v>1487</v>
      </c>
      <c r="B2034" t="s">
        <v>1596</v>
      </c>
      <c r="C2034" t="s">
        <v>1645</v>
      </c>
      <c r="D2034" t="str">
        <f t="shared" si="124"/>
        <v>Male</v>
      </c>
      <c r="E2034" t="s">
        <v>9</v>
      </c>
      <c r="F2034" s="2">
        <v>32</v>
      </c>
      <c r="G2034" s="2" t="str" cm="1">
        <f t="array" ref="G2034">_xlfn.IFS(F2034&lt;=8,"Child",F2034&lt;=17,"Teen",F2034&lt;=35,"Adult",F2034&lt;=55,"Seniour Adult",F2034&gt;=55,"Old Age")</f>
        <v>Adult</v>
      </c>
      <c r="H2034" t="s">
        <v>51</v>
      </c>
      <c r="I2034" t="s">
        <v>11</v>
      </c>
      <c r="J2034" t="str" cm="1">
        <f t="array" ref="J2034">_xlfn.IFS(I2034="S","Southamptom",I2034="Q","Quentown",I2034="C","Cherbrug",I2034="B","Cabin")</f>
        <v>Southamptom</v>
      </c>
      <c r="K2034" t="s">
        <v>15</v>
      </c>
      <c r="L2034" s="2">
        <v>33</v>
      </c>
      <c r="M2034" s="2" t="str" cm="1">
        <f t="array" ref="M2034">_xlfn.IFS(L2034&lt;=15,"Low Fare",L2034&lt;=35,"Medium Fare",L2034&lt;=100,"High Fare",L2034&gt;=100,"Very High Fare")</f>
        <v>Medium Fare</v>
      </c>
      <c r="N2034" s="2">
        <v>1</v>
      </c>
      <c r="O2034" s="2" t="s">
        <v>30</v>
      </c>
      <c r="P2034" t="e">
        <f t="shared" si="125"/>
        <v>#VALUE!</v>
      </c>
      <c r="Q2034" t="e">
        <f t="shared" si="126"/>
        <v>#VALUE!</v>
      </c>
      <c r="R2034" t="str">
        <f t="shared" si="127"/>
        <v>No</v>
      </c>
      <c r="S2034" t="s">
        <v>13</v>
      </c>
    </row>
    <row r="2035" spans="1:19" hidden="1" x14ac:dyDescent="0.3">
      <c r="A2035" s="1" t="s">
        <v>1488</v>
      </c>
      <c r="B2035" t="s">
        <v>1596</v>
      </c>
      <c r="C2035" t="s">
        <v>2511</v>
      </c>
      <c r="D2035" t="str">
        <f t="shared" si="124"/>
        <v>Male</v>
      </c>
      <c r="E2035" t="s">
        <v>9</v>
      </c>
      <c r="F2035" s="2">
        <v>20</v>
      </c>
      <c r="G2035" s="2" t="str" cm="1">
        <f t="array" ref="G2035">_xlfn.IFS(F2035&lt;=8,"Child",F2035&lt;=17,"Teen",F2035&lt;=35,"Adult",F2035&lt;=55,"Seniour Adult",F2035&gt;=55,"Old Age")</f>
        <v>Adult</v>
      </c>
      <c r="H2035" t="s">
        <v>51</v>
      </c>
      <c r="I2035" t="s">
        <v>11</v>
      </c>
      <c r="J2035" t="str" cm="1">
        <f t="array" ref="J2035">_xlfn.IFS(I2035="S","Southamptom",I2035="Q","Quentown",I2035="C","Cherbrug",I2035="B","Cabin")</f>
        <v>Southamptom</v>
      </c>
      <c r="K2035" t="s">
        <v>15</v>
      </c>
      <c r="L2035" s="2">
        <v>33</v>
      </c>
      <c r="M2035" s="2" t="str" cm="1">
        <f t="array" ref="M2035">_xlfn.IFS(L2035&lt;=15,"Low Fare",L2035&lt;=35,"Medium Fare",L2035&lt;=100,"High Fare",L2035&gt;=100,"Very High Fare")</f>
        <v>Medium Fare</v>
      </c>
      <c r="N2035" s="2">
        <v>1</v>
      </c>
      <c r="O2035" s="2" t="s">
        <v>30</v>
      </c>
      <c r="P2035" t="e">
        <f t="shared" si="125"/>
        <v>#VALUE!</v>
      </c>
      <c r="Q2035" t="e">
        <f t="shared" si="126"/>
        <v>#VALUE!</v>
      </c>
      <c r="R2035" t="str">
        <f t="shared" si="127"/>
        <v>Yes</v>
      </c>
      <c r="S2035" t="s">
        <v>16</v>
      </c>
    </row>
    <row r="2036" spans="1:19" hidden="1" x14ac:dyDescent="0.3">
      <c r="A2036" s="1" t="s">
        <v>1489</v>
      </c>
      <c r="B2036" t="s">
        <v>1596</v>
      </c>
      <c r="C2036" t="s">
        <v>3096</v>
      </c>
      <c r="D2036" t="str">
        <f t="shared" si="124"/>
        <v>Male</v>
      </c>
      <c r="E2036" t="s">
        <v>9</v>
      </c>
      <c r="F2036" s="2">
        <v>32</v>
      </c>
      <c r="G2036" s="2" t="str" cm="1">
        <f t="array" ref="G2036">_xlfn.IFS(F2036&lt;=8,"Child",F2036&lt;=17,"Teen",F2036&lt;=35,"Adult",F2036&lt;=55,"Seniour Adult",F2036&gt;=55,"Old Age")</f>
        <v>Adult</v>
      </c>
      <c r="H2036" t="s">
        <v>51</v>
      </c>
      <c r="I2036" t="s">
        <v>11</v>
      </c>
      <c r="J2036" t="str" cm="1">
        <f t="array" ref="J2036">_xlfn.IFS(I2036="S","Southamptom",I2036="Q","Quentown",I2036="C","Cherbrug",I2036="B","Cabin")</f>
        <v>Southamptom</v>
      </c>
      <c r="K2036" t="s">
        <v>15</v>
      </c>
      <c r="L2036" s="2">
        <v>33</v>
      </c>
      <c r="M2036" s="2" t="str" cm="1">
        <f t="array" ref="M2036">_xlfn.IFS(L2036&lt;=15,"Low Fare",L2036&lt;=35,"Medium Fare",L2036&lt;=100,"High Fare",L2036&gt;=100,"Very High Fare")</f>
        <v>Medium Fare</v>
      </c>
      <c r="N2036" s="2">
        <v>1</v>
      </c>
      <c r="O2036" s="2" t="s">
        <v>30</v>
      </c>
      <c r="P2036" t="e">
        <f t="shared" si="125"/>
        <v>#VALUE!</v>
      </c>
      <c r="Q2036" t="e">
        <f t="shared" si="126"/>
        <v>#VALUE!</v>
      </c>
      <c r="R2036" t="str">
        <f t="shared" si="127"/>
        <v>No</v>
      </c>
      <c r="S2036" t="s">
        <v>13</v>
      </c>
    </row>
    <row r="2037" spans="1:19" hidden="1" x14ac:dyDescent="0.3">
      <c r="A2037" s="1" t="s">
        <v>1490</v>
      </c>
      <c r="B2037" t="s">
        <v>1596</v>
      </c>
      <c r="C2037" t="s">
        <v>2868</v>
      </c>
      <c r="D2037" t="str">
        <f t="shared" si="124"/>
        <v>Male</v>
      </c>
      <c r="E2037" t="s">
        <v>9</v>
      </c>
      <c r="F2037" s="2">
        <v>25</v>
      </c>
      <c r="G2037" s="2" t="str" cm="1">
        <f t="array" ref="G2037">_xlfn.IFS(F2037&lt;=8,"Child",F2037&lt;=17,"Teen",F2037&lt;=35,"Adult",F2037&lt;=55,"Seniour Adult",F2037&gt;=55,"Old Age")</f>
        <v>Adult</v>
      </c>
      <c r="H2037" t="s">
        <v>51</v>
      </c>
      <c r="I2037" t="s">
        <v>11</v>
      </c>
      <c r="J2037" t="str" cm="1">
        <f t="array" ref="J2037">_xlfn.IFS(I2037="S","Southamptom",I2037="Q","Quentown",I2037="C","Cherbrug",I2037="B","Cabin")</f>
        <v>Southamptom</v>
      </c>
      <c r="K2037" t="s">
        <v>15</v>
      </c>
      <c r="L2037" s="2">
        <v>33</v>
      </c>
      <c r="M2037" s="2" t="str" cm="1">
        <f t="array" ref="M2037">_xlfn.IFS(L2037&lt;=15,"Low Fare",L2037&lt;=35,"Medium Fare",L2037&lt;=100,"High Fare",L2037&gt;=100,"Very High Fare")</f>
        <v>Medium Fare</v>
      </c>
      <c r="N2037" s="2">
        <v>1</v>
      </c>
      <c r="O2037" s="2" t="s">
        <v>30</v>
      </c>
      <c r="P2037" t="e">
        <f t="shared" si="125"/>
        <v>#VALUE!</v>
      </c>
      <c r="Q2037" t="e">
        <f t="shared" si="126"/>
        <v>#VALUE!</v>
      </c>
      <c r="R2037" t="str">
        <f t="shared" si="127"/>
        <v>Yes</v>
      </c>
      <c r="S2037" t="s">
        <v>16</v>
      </c>
    </row>
    <row r="2038" spans="1:19" hidden="1" x14ac:dyDescent="0.3">
      <c r="A2038" s="1" t="s">
        <v>1491</v>
      </c>
      <c r="B2038" t="s">
        <v>1596</v>
      </c>
      <c r="C2038" t="s">
        <v>2732</v>
      </c>
      <c r="D2038" t="str">
        <f t="shared" si="124"/>
        <v>Male</v>
      </c>
      <c r="E2038" t="s">
        <v>9</v>
      </c>
      <c r="F2038" s="2">
        <v>19</v>
      </c>
      <c r="G2038" s="2" t="str" cm="1">
        <f t="array" ref="G2038">_xlfn.IFS(F2038&lt;=8,"Child",F2038&lt;=17,"Teen",F2038&lt;=35,"Adult",F2038&lt;=55,"Seniour Adult",F2038&gt;=55,"Old Age")</f>
        <v>Adult</v>
      </c>
      <c r="H2038" t="s">
        <v>51</v>
      </c>
      <c r="I2038" t="s">
        <v>11</v>
      </c>
      <c r="J2038" t="str" cm="1">
        <f t="array" ref="J2038">_xlfn.IFS(I2038="S","Southamptom",I2038="Q","Quentown",I2038="C","Cherbrug",I2038="B","Cabin")</f>
        <v>Southamptom</v>
      </c>
      <c r="K2038" t="s">
        <v>15</v>
      </c>
      <c r="L2038" s="2">
        <v>33</v>
      </c>
      <c r="M2038" s="2" t="str" cm="1">
        <f t="array" ref="M2038">_xlfn.IFS(L2038&lt;=15,"Low Fare",L2038&lt;=35,"Medium Fare",L2038&lt;=100,"High Fare",L2038&gt;=100,"Very High Fare")</f>
        <v>Medium Fare</v>
      </c>
      <c r="N2038" s="2">
        <v>1</v>
      </c>
      <c r="O2038" s="2" t="s">
        <v>30</v>
      </c>
      <c r="P2038" t="e">
        <f t="shared" si="125"/>
        <v>#VALUE!</v>
      </c>
      <c r="Q2038" t="e">
        <f t="shared" si="126"/>
        <v>#VALUE!</v>
      </c>
      <c r="R2038" t="str">
        <f t="shared" si="127"/>
        <v>No</v>
      </c>
      <c r="S2038" t="s">
        <v>13</v>
      </c>
    </row>
    <row r="2039" spans="1:19" hidden="1" x14ac:dyDescent="0.3">
      <c r="A2039" s="1" t="s">
        <v>1492</v>
      </c>
      <c r="B2039" t="s">
        <v>1596</v>
      </c>
      <c r="C2039" t="s">
        <v>3097</v>
      </c>
      <c r="D2039" t="str">
        <f t="shared" si="124"/>
        <v>Male</v>
      </c>
      <c r="E2039" t="s">
        <v>9</v>
      </c>
      <c r="F2039" s="2">
        <v>29</v>
      </c>
      <c r="G2039" s="2" t="str" cm="1">
        <f t="array" ref="G2039">_xlfn.IFS(F2039&lt;=8,"Child",F2039&lt;=17,"Teen",F2039&lt;=35,"Adult",F2039&lt;=55,"Seniour Adult",F2039&gt;=55,"Old Age")</f>
        <v>Adult</v>
      </c>
      <c r="H2039" t="s">
        <v>69</v>
      </c>
      <c r="I2039" t="s">
        <v>28</v>
      </c>
      <c r="J2039" t="str" cm="1">
        <f t="array" ref="J2039">_xlfn.IFS(I2039="S","Southamptom",I2039="Q","Quentown",I2039="C","Cherbrug",I2039="B","Cabin")</f>
        <v>Cabin</v>
      </c>
      <c r="K2039" t="s">
        <v>15</v>
      </c>
      <c r="L2039" s="2">
        <v>33</v>
      </c>
      <c r="M2039" s="2" t="str" cm="1">
        <f t="array" ref="M2039">_xlfn.IFS(L2039&lt;=15,"Low Fare",L2039&lt;=35,"Medium Fare",L2039&lt;=100,"High Fare",L2039&gt;=100,"Very High Fare")</f>
        <v>Medium Fare</v>
      </c>
      <c r="N2039" s="2">
        <v>1</v>
      </c>
      <c r="O2039" s="2" t="s">
        <v>30</v>
      </c>
      <c r="P2039" t="e">
        <f t="shared" si="125"/>
        <v>#VALUE!</v>
      </c>
      <c r="Q2039" t="e">
        <f t="shared" si="126"/>
        <v>#VALUE!</v>
      </c>
      <c r="R2039" t="str">
        <f t="shared" si="127"/>
        <v>No</v>
      </c>
      <c r="S2039" t="s">
        <v>13</v>
      </c>
    </row>
    <row r="2040" spans="1:19" hidden="1" x14ac:dyDescent="0.3">
      <c r="A2040" s="1" t="s">
        <v>827</v>
      </c>
      <c r="B2040" t="s">
        <v>1596</v>
      </c>
      <c r="C2040" t="s">
        <v>3098</v>
      </c>
      <c r="D2040" t="str">
        <f t="shared" si="124"/>
        <v>Male</v>
      </c>
      <c r="E2040" t="s">
        <v>9</v>
      </c>
      <c r="F2040" s="2">
        <v>31</v>
      </c>
      <c r="G2040" s="2" t="str" cm="1">
        <f t="array" ref="G2040">_xlfn.IFS(F2040&lt;=8,"Child",F2040&lt;=17,"Teen",F2040&lt;=35,"Adult",F2040&lt;=55,"Seniour Adult",F2040&gt;=55,"Old Age")</f>
        <v>Adult</v>
      </c>
      <c r="H2040" t="s">
        <v>69</v>
      </c>
      <c r="I2040" t="s">
        <v>11</v>
      </c>
      <c r="J2040" t="str" cm="1">
        <f t="array" ref="J2040">_xlfn.IFS(I2040="S","Southamptom",I2040="Q","Quentown",I2040="C","Cherbrug",I2040="B","Cabin")</f>
        <v>Southamptom</v>
      </c>
      <c r="K2040" t="s">
        <v>15</v>
      </c>
      <c r="L2040" s="2">
        <v>33</v>
      </c>
      <c r="M2040" s="2" t="str" cm="1">
        <f t="array" ref="M2040">_xlfn.IFS(L2040&lt;=15,"Low Fare",L2040&lt;=35,"Medium Fare",L2040&lt;=100,"High Fare",L2040&gt;=100,"Very High Fare")</f>
        <v>Medium Fare</v>
      </c>
      <c r="N2040" s="2">
        <v>1</v>
      </c>
      <c r="O2040" s="2" t="s">
        <v>30</v>
      </c>
      <c r="P2040" t="e">
        <f t="shared" si="125"/>
        <v>#VALUE!</v>
      </c>
      <c r="Q2040" t="e">
        <f t="shared" si="126"/>
        <v>#VALUE!</v>
      </c>
      <c r="R2040" t="str">
        <f t="shared" si="127"/>
        <v>Yes</v>
      </c>
      <c r="S2040" t="s">
        <v>16</v>
      </c>
    </row>
    <row r="2041" spans="1:19" hidden="1" x14ac:dyDescent="0.3">
      <c r="A2041" s="1" t="s">
        <v>827</v>
      </c>
      <c r="B2041" t="s">
        <v>1596</v>
      </c>
      <c r="C2041" t="s">
        <v>2525</v>
      </c>
      <c r="D2041" t="str">
        <f t="shared" si="124"/>
        <v>Male</v>
      </c>
      <c r="E2041" t="s">
        <v>9</v>
      </c>
      <c r="F2041" s="2">
        <v>24</v>
      </c>
      <c r="G2041" s="2" t="str" cm="1">
        <f t="array" ref="G2041">_xlfn.IFS(F2041&lt;=8,"Child",F2041&lt;=17,"Teen",F2041&lt;=35,"Adult",F2041&lt;=55,"Seniour Adult",F2041&gt;=55,"Old Age")</f>
        <v>Adult</v>
      </c>
      <c r="H2041" t="s">
        <v>69</v>
      </c>
      <c r="I2041" t="s">
        <v>11</v>
      </c>
      <c r="J2041" t="str" cm="1">
        <f t="array" ref="J2041">_xlfn.IFS(I2041="S","Southamptom",I2041="Q","Quentown",I2041="C","Cherbrug",I2041="B","Cabin")</f>
        <v>Southamptom</v>
      </c>
      <c r="K2041" t="s">
        <v>15</v>
      </c>
      <c r="L2041" s="2">
        <v>33</v>
      </c>
      <c r="M2041" s="2" t="str" cm="1">
        <f t="array" ref="M2041">_xlfn.IFS(L2041&lt;=15,"Low Fare",L2041&lt;=35,"Medium Fare",L2041&lt;=100,"High Fare",L2041&gt;=100,"Very High Fare")</f>
        <v>Medium Fare</v>
      </c>
      <c r="N2041" s="2">
        <v>1</v>
      </c>
      <c r="O2041" s="2" t="s">
        <v>30</v>
      </c>
      <c r="P2041" t="e">
        <f t="shared" si="125"/>
        <v>#VALUE!</v>
      </c>
      <c r="Q2041" t="e">
        <f t="shared" si="126"/>
        <v>#VALUE!</v>
      </c>
      <c r="R2041" t="str">
        <f t="shared" si="127"/>
        <v>No</v>
      </c>
      <c r="S2041" t="s">
        <v>13</v>
      </c>
    </row>
    <row r="2042" spans="1:19" hidden="1" x14ac:dyDescent="0.3">
      <c r="A2042" s="1" t="s">
        <v>827</v>
      </c>
      <c r="B2042" t="s">
        <v>1596</v>
      </c>
      <c r="C2042" t="s">
        <v>3099</v>
      </c>
      <c r="D2042" t="str">
        <f t="shared" si="124"/>
        <v>Male</v>
      </c>
      <c r="E2042" t="s">
        <v>9</v>
      </c>
      <c r="F2042" s="2">
        <v>37</v>
      </c>
      <c r="G2042" s="2" t="str" cm="1">
        <f t="array" ref="G2042">_xlfn.IFS(F2042&lt;=8,"Child",F2042&lt;=17,"Teen",F2042&lt;=35,"Adult",F2042&lt;=55,"Seniour Adult",F2042&gt;=55,"Old Age")</f>
        <v>Seniour Adult</v>
      </c>
      <c r="H2042" t="s">
        <v>69</v>
      </c>
      <c r="I2042" t="s">
        <v>11</v>
      </c>
      <c r="J2042" t="str" cm="1">
        <f t="array" ref="J2042">_xlfn.IFS(I2042="S","Southamptom",I2042="Q","Quentown",I2042="C","Cherbrug",I2042="B","Cabin")</f>
        <v>Southamptom</v>
      </c>
      <c r="K2042" t="s">
        <v>15</v>
      </c>
      <c r="L2042" s="2">
        <v>33</v>
      </c>
      <c r="M2042" s="2" t="str" cm="1">
        <f t="array" ref="M2042">_xlfn.IFS(L2042&lt;=15,"Low Fare",L2042&lt;=35,"Medium Fare",L2042&lt;=100,"High Fare",L2042&gt;=100,"Very High Fare")</f>
        <v>Medium Fare</v>
      </c>
      <c r="N2042" s="2">
        <v>1</v>
      </c>
      <c r="O2042" s="2" t="s">
        <v>30</v>
      </c>
      <c r="P2042" t="e">
        <f t="shared" si="125"/>
        <v>#VALUE!</v>
      </c>
      <c r="Q2042" t="e">
        <f t="shared" si="126"/>
        <v>#VALUE!</v>
      </c>
      <c r="R2042" t="str">
        <f t="shared" si="127"/>
        <v>No</v>
      </c>
      <c r="S2042" t="s">
        <v>13</v>
      </c>
    </row>
    <row r="2043" spans="1:19" hidden="1" x14ac:dyDescent="0.3">
      <c r="A2043" s="1" t="s">
        <v>1493</v>
      </c>
      <c r="B2043" t="s">
        <v>1749</v>
      </c>
      <c r="C2043" t="s">
        <v>2273</v>
      </c>
      <c r="D2043" t="str">
        <f t="shared" si="124"/>
        <v>Male</v>
      </c>
      <c r="E2043" t="s">
        <v>9</v>
      </c>
      <c r="F2043" s="2">
        <v>37</v>
      </c>
      <c r="G2043" s="2" t="str" cm="1">
        <f t="array" ref="G2043">_xlfn.IFS(F2043&lt;=8,"Child",F2043&lt;=17,"Teen",F2043&lt;=35,"Adult",F2043&lt;=55,"Seniour Adult",F2043&gt;=55,"Old Age")</f>
        <v>Seniour Adult</v>
      </c>
      <c r="H2043" t="s">
        <v>71</v>
      </c>
      <c r="I2043" t="s">
        <v>11</v>
      </c>
      <c r="J2043" t="str" cm="1">
        <f t="array" ref="J2043">_xlfn.IFS(I2043="S","Southamptom",I2043="Q","Quentown",I2043="C","Cherbrug",I2043="B","Cabin")</f>
        <v>Southamptom</v>
      </c>
      <c r="K2043" t="s">
        <v>29</v>
      </c>
      <c r="L2043" s="2">
        <v>33</v>
      </c>
      <c r="M2043" s="2" t="str" cm="1">
        <f t="array" ref="M2043">_xlfn.IFS(L2043&lt;=15,"Low Fare",L2043&lt;=35,"Medium Fare",L2043&lt;=100,"High Fare",L2043&gt;=100,"Very High Fare")</f>
        <v>Medium Fare</v>
      </c>
      <c r="N2043" s="2">
        <v>1</v>
      </c>
      <c r="O2043" s="2" t="s">
        <v>30</v>
      </c>
      <c r="P2043" t="e">
        <f t="shared" si="125"/>
        <v>#VALUE!</v>
      </c>
      <c r="Q2043" t="e">
        <f t="shared" si="126"/>
        <v>#VALUE!</v>
      </c>
      <c r="R2043" t="str">
        <f t="shared" si="127"/>
        <v>No</v>
      </c>
      <c r="S2043" t="s">
        <v>13</v>
      </c>
    </row>
    <row r="2044" spans="1:19" hidden="1" x14ac:dyDescent="0.3">
      <c r="A2044" s="1" t="s">
        <v>1494</v>
      </c>
      <c r="B2044" t="s">
        <v>1596</v>
      </c>
      <c r="C2044" t="s">
        <v>1619</v>
      </c>
      <c r="D2044" t="str">
        <f t="shared" si="124"/>
        <v>Male</v>
      </c>
      <c r="E2044" t="s">
        <v>9</v>
      </c>
      <c r="F2044" s="2">
        <v>23</v>
      </c>
      <c r="G2044" s="2" t="str" cm="1">
        <f t="array" ref="G2044">_xlfn.IFS(F2044&lt;=8,"Child",F2044&lt;=17,"Teen",F2044&lt;=35,"Adult",F2044&lt;=55,"Seniour Adult",F2044&gt;=55,"Old Age")</f>
        <v>Adult</v>
      </c>
      <c r="H2044" t="s">
        <v>69</v>
      </c>
      <c r="I2044" t="s">
        <v>11</v>
      </c>
      <c r="J2044" t="str" cm="1">
        <f t="array" ref="J2044">_xlfn.IFS(I2044="S","Southamptom",I2044="Q","Quentown",I2044="C","Cherbrug",I2044="B","Cabin")</f>
        <v>Southamptom</v>
      </c>
      <c r="K2044" t="s">
        <v>15</v>
      </c>
      <c r="L2044" s="2">
        <v>33</v>
      </c>
      <c r="M2044" s="2" t="str" cm="1">
        <f t="array" ref="M2044">_xlfn.IFS(L2044&lt;=15,"Low Fare",L2044&lt;=35,"Medium Fare",L2044&lt;=100,"High Fare",L2044&gt;=100,"Very High Fare")</f>
        <v>Medium Fare</v>
      </c>
      <c r="N2044" s="2">
        <v>1</v>
      </c>
      <c r="O2044" s="2" t="s">
        <v>30</v>
      </c>
      <c r="P2044" t="e">
        <f t="shared" si="125"/>
        <v>#VALUE!</v>
      </c>
      <c r="Q2044" t="e">
        <f t="shared" si="126"/>
        <v>#VALUE!</v>
      </c>
      <c r="R2044" t="str">
        <f t="shared" si="127"/>
        <v>No</v>
      </c>
      <c r="S2044" t="s">
        <v>13</v>
      </c>
    </row>
    <row r="2045" spans="1:19" hidden="1" x14ac:dyDescent="0.3">
      <c r="A2045" s="1" t="s">
        <v>1495</v>
      </c>
      <c r="B2045" t="s">
        <v>1596</v>
      </c>
      <c r="C2045" t="s">
        <v>1619</v>
      </c>
      <c r="D2045" t="str">
        <f t="shared" si="124"/>
        <v>Male</v>
      </c>
      <c r="E2045" t="s">
        <v>9</v>
      </c>
      <c r="F2045" s="2">
        <v>23</v>
      </c>
      <c r="G2045" s="2" t="str" cm="1">
        <f t="array" ref="G2045">_xlfn.IFS(F2045&lt;=8,"Child",F2045&lt;=17,"Teen",F2045&lt;=35,"Adult",F2045&lt;=55,"Seniour Adult",F2045&gt;=55,"Old Age")</f>
        <v>Adult</v>
      </c>
      <c r="H2045" t="s">
        <v>51</v>
      </c>
      <c r="I2045" t="s">
        <v>11</v>
      </c>
      <c r="J2045" t="str" cm="1">
        <f t="array" ref="J2045">_xlfn.IFS(I2045="S","Southamptom",I2045="Q","Quentown",I2045="C","Cherbrug",I2045="B","Cabin")</f>
        <v>Southamptom</v>
      </c>
      <c r="K2045" t="s">
        <v>15</v>
      </c>
      <c r="L2045" s="2">
        <v>33</v>
      </c>
      <c r="M2045" s="2" t="str" cm="1">
        <f t="array" ref="M2045">_xlfn.IFS(L2045&lt;=15,"Low Fare",L2045&lt;=35,"Medium Fare",L2045&lt;=100,"High Fare",L2045&gt;=100,"Very High Fare")</f>
        <v>Medium Fare</v>
      </c>
      <c r="N2045" s="2">
        <v>1</v>
      </c>
      <c r="O2045" s="2" t="s">
        <v>30</v>
      </c>
      <c r="P2045" t="e">
        <f t="shared" si="125"/>
        <v>#VALUE!</v>
      </c>
      <c r="Q2045" t="e">
        <f t="shared" si="126"/>
        <v>#VALUE!</v>
      </c>
      <c r="R2045" t="str">
        <f t="shared" si="127"/>
        <v>No</v>
      </c>
      <c r="S2045" t="s">
        <v>13</v>
      </c>
    </row>
    <row r="2046" spans="1:19" hidden="1" x14ac:dyDescent="0.3">
      <c r="A2046" s="1" t="s">
        <v>1496</v>
      </c>
      <c r="B2046" t="s">
        <v>1596</v>
      </c>
      <c r="C2046" t="s">
        <v>1700</v>
      </c>
      <c r="D2046" t="str">
        <f t="shared" si="124"/>
        <v>Male</v>
      </c>
      <c r="E2046" t="s">
        <v>9</v>
      </c>
      <c r="F2046" s="2">
        <v>41</v>
      </c>
      <c r="G2046" s="2" t="str" cm="1">
        <f t="array" ref="G2046">_xlfn.IFS(F2046&lt;=8,"Child",F2046&lt;=17,"Teen",F2046&lt;=35,"Adult",F2046&lt;=55,"Seniour Adult",F2046&gt;=55,"Old Age")</f>
        <v>Seniour Adult</v>
      </c>
      <c r="H2046" t="s">
        <v>69</v>
      </c>
      <c r="I2046" t="s">
        <v>28</v>
      </c>
      <c r="J2046" t="str" cm="1">
        <f t="array" ref="J2046">_xlfn.IFS(I2046="S","Southamptom",I2046="Q","Quentown",I2046="C","Cherbrug",I2046="B","Cabin")</f>
        <v>Cabin</v>
      </c>
      <c r="K2046" t="s">
        <v>15</v>
      </c>
      <c r="L2046" s="2">
        <v>33</v>
      </c>
      <c r="M2046" s="2" t="str" cm="1">
        <f t="array" ref="M2046">_xlfn.IFS(L2046&lt;=15,"Low Fare",L2046&lt;=35,"Medium Fare",L2046&lt;=100,"High Fare",L2046&gt;=100,"Very High Fare")</f>
        <v>Medium Fare</v>
      </c>
      <c r="N2046" s="2">
        <v>1</v>
      </c>
      <c r="O2046" s="2" t="s">
        <v>30</v>
      </c>
      <c r="P2046" t="e">
        <f t="shared" si="125"/>
        <v>#VALUE!</v>
      </c>
      <c r="Q2046" t="e">
        <f t="shared" si="126"/>
        <v>#VALUE!</v>
      </c>
      <c r="R2046" t="str">
        <f t="shared" si="127"/>
        <v>No</v>
      </c>
      <c r="S2046" t="s">
        <v>13</v>
      </c>
    </row>
    <row r="2047" spans="1:19" hidden="1" x14ac:dyDescent="0.3">
      <c r="A2047" s="1" t="s">
        <v>1497</v>
      </c>
      <c r="B2047" t="s">
        <v>1596</v>
      </c>
      <c r="C2047" t="s">
        <v>2925</v>
      </c>
      <c r="D2047" t="str">
        <f t="shared" si="124"/>
        <v>Male</v>
      </c>
      <c r="E2047" t="s">
        <v>9</v>
      </c>
      <c r="F2047" s="2">
        <v>33</v>
      </c>
      <c r="G2047" s="2" t="str" cm="1">
        <f t="array" ref="G2047">_xlfn.IFS(F2047&lt;=8,"Child",F2047&lt;=17,"Teen",F2047&lt;=35,"Adult",F2047&lt;=55,"Seniour Adult",F2047&gt;=55,"Old Age")</f>
        <v>Adult</v>
      </c>
      <c r="H2047" t="s">
        <v>69</v>
      </c>
      <c r="I2047" t="s">
        <v>11</v>
      </c>
      <c r="J2047" t="str" cm="1">
        <f t="array" ref="J2047">_xlfn.IFS(I2047="S","Southamptom",I2047="Q","Quentown",I2047="C","Cherbrug",I2047="B","Cabin")</f>
        <v>Southamptom</v>
      </c>
      <c r="K2047" t="s">
        <v>15</v>
      </c>
      <c r="L2047" s="2">
        <v>33</v>
      </c>
      <c r="M2047" s="2" t="str" cm="1">
        <f t="array" ref="M2047">_xlfn.IFS(L2047&lt;=15,"Low Fare",L2047&lt;=35,"Medium Fare",L2047&lt;=100,"High Fare",L2047&gt;=100,"Very High Fare")</f>
        <v>Medium Fare</v>
      </c>
      <c r="N2047" s="2">
        <v>1</v>
      </c>
      <c r="O2047" s="2" t="s">
        <v>30</v>
      </c>
      <c r="P2047" t="e">
        <f t="shared" si="125"/>
        <v>#VALUE!</v>
      </c>
      <c r="Q2047" t="e">
        <f t="shared" si="126"/>
        <v>#VALUE!</v>
      </c>
      <c r="R2047" t="str">
        <f t="shared" si="127"/>
        <v>No</v>
      </c>
      <c r="S2047" t="s">
        <v>13</v>
      </c>
    </row>
    <row r="2048" spans="1:19" hidden="1" x14ac:dyDescent="0.3">
      <c r="A2048" s="1" t="s">
        <v>1497</v>
      </c>
      <c r="B2048" t="s">
        <v>1596</v>
      </c>
      <c r="C2048" t="s">
        <v>3100</v>
      </c>
      <c r="D2048" t="str">
        <f t="shared" si="124"/>
        <v>Male</v>
      </c>
      <c r="E2048" t="s">
        <v>9</v>
      </c>
      <c r="F2048" s="2">
        <v>36</v>
      </c>
      <c r="G2048" s="2" t="str" cm="1">
        <f t="array" ref="G2048">_xlfn.IFS(F2048&lt;=8,"Child",F2048&lt;=17,"Teen",F2048&lt;=35,"Adult",F2048&lt;=55,"Seniour Adult",F2048&gt;=55,"Old Age")</f>
        <v>Seniour Adult</v>
      </c>
      <c r="H2048" t="s">
        <v>69</v>
      </c>
      <c r="I2048" t="s">
        <v>28</v>
      </c>
      <c r="J2048" t="str" cm="1">
        <f t="array" ref="J2048">_xlfn.IFS(I2048="S","Southamptom",I2048="Q","Quentown",I2048="C","Cherbrug",I2048="B","Cabin")</f>
        <v>Cabin</v>
      </c>
      <c r="K2048" t="s">
        <v>15</v>
      </c>
      <c r="L2048" s="2">
        <v>33</v>
      </c>
      <c r="M2048" s="2" t="str" cm="1">
        <f t="array" ref="M2048">_xlfn.IFS(L2048&lt;=15,"Low Fare",L2048&lt;=35,"Medium Fare",L2048&lt;=100,"High Fare",L2048&gt;=100,"Very High Fare")</f>
        <v>Medium Fare</v>
      </c>
      <c r="N2048" s="2">
        <v>1</v>
      </c>
      <c r="O2048" s="2" t="s">
        <v>30</v>
      </c>
      <c r="P2048" t="e">
        <f t="shared" si="125"/>
        <v>#VALUE!</v>
      </c>
      <c r="Q2048" t="e">
        <f t="shared" si="126"/>
        <v>#VALUE!</v>
      </c>
      <c r="R2048" t="str">
        <f t="shared" si="127"/>
        <v>No</v>
      </c>
      <c r="S2048" t="s">
        <v>13</v>
      </c>
    </row>
    <row r="2049" spans="1:19" hidden="1" x14ac:dyDescent="0.3">
      <c r="A2049" s="1" t="s">
        <v>1498</v>
      </c>
      <c r="B2049" t="s">
        <v>1602</v>
      </c>
      <c r="C2049" t="s">
        <v>1734</v>
      </c>
      <c r="D2049" t="str">
        <f t="shared" si="124"/>
        <v>Female</v>
      </c>
      <c r="E2049" t="s">
        <v>14</v>
      </c>
      <c r="F2049" s="2">
        <v>28</v>
      </c>
      <c r="G2049" s="2" t="str" cm="1">
        <f t="array" ref="G2049">_xlfn.IFS(F2049&lt;=8,"Child",F2049&lt;=17,"Teen",F2049&lt;=35,"Adult",F2049&lt;=55,"Seniour Adult",F2049&gt;=55,"Old Age")</f>
        <v>Adult</v>
      </c>
      <c r="H2049" t="s">
        <v>69</v>
      </c>
      <c r="I2049" t="s">
        <v>11</v>
      </c>
      <c r="J2049" t="str" cm="1">
        <f t="array" ref="J2049">_xlfn.IFS(I2049="S","Southamptom",I2049="Q","Quentown",I2049="C","Cherbrug",I2049="B","Cabin")</f>
        <v>Southamptom</v>
      </c>
      <c r="K2049" t="s">
        <v>29</v>
      </c>
      <c r="L2049" s="2">
        <v>33</v>
      </c>
      <c r="M2049" s="2" t="str" cm="1">
        <f t="array" ref="M2049">_xlfn.IFS(L2049&lt;=15,"Low Fare",L2049&lt;=35,"Medium Fare",L2049&lt;=100,"High Fare",L2049&gt;=100,"Very High Fare")</f>
        <v>Medium Fare</v>
      </c>
      <c r="N2049" s="2">
        <v>1</v>
      </c>
      <c r="O2049" s="2" t="s">
        <v>30</v>
      </c>
      <c r="P2049" t="e">
        <f t="shared" si="125"/>
        <v>#VALUE!</v>
      </c>
      <c r="Q2049" t="e">
        <f t="shared" si="126"/>
        <v>#VALUE!</v>
      </c>
      <c r="R2049" t="str">
        <f t="shared" si="127"/>
        <v>Yes</v>
      </c>
      <c r="S2049" t="s">
        <v>16</v>
      </c>
    </row>
    <row r="2050" spans="1:19" hidden="1" x14ac:dyDescent="0.3">
      <c r="A2050" s="1" t="s">
        <v>1498</v>
      </c>
      <c r="B2050" t="s">
        <v>1596</v>
      </c>
      <c r="C2050" t="s">
        <v>3101</v>
      </c>
      <c r="D2050" t="str">
        <f t="shared" si="124"/>
        <v>Male</v>
      </c>
      <c r="E2050" t="s">
        <v>9</v>
      </c>
      <c r="F2050" s="2">
        <v>31</v>
      </c>
      <c r="G2050" s="2" t="str" cm="1">
        <f t="array" ref="G2050">_xlfn.IFS(F2050&lt;=8,"Child",F2050&lt;=17,"Teen",F2050&lt;=35,"Adult",F2050&lt;=55,"Seniour Adult",F2050&gt;=55,"Old Age")</f>
        <v>Adult</v>
      </c>
      <c r="H2050" t="s">
        <v>51</v>
      </c>
      <c r="I2050" t="s">
        <v>28</v>
      </c>
      <c r="J2050" t="str" cm="1">
        <f t="array" ref="J2050">_xlfn.IFS(I2050="S","Southamptom",I2050="Q","Quentown",I2050="C","Cherbrug",I2050="B","Cabin")</f>
        <v>Cabin</v>
      </c>
      <c r="K2050" t="s">
        <v>15</v>
      </c>
      <c r="L2050" s="2">
        <v>33</v>
      </c>
      <c r="M2050" s="2" t="str" cm="1">
        <f t="array" ref="M2050">_xlfn.IFS(L2050&lt;=15,"Low Fare",L2050&lt;=35,"Medium Fare",L2050&lt;=100,"High Fare",L2050&gt;=100,"Very High Fare")</f>
        <v>Medium Fare</v>
      </c>
      <c r="N2050" s="2">
        <v>1</v>
      </c>
      <c r="O2050" s="2" t="s">
        <v>30</v>
      </c>
      <c r="P2050" t="e">
        <f t="shared" si="125"/>
        <v>#VALUE!</v>
      </c>
      <c r="Q2050" t="e">
        <f t="shared" si="126"/>
        <v>#VALUE!</v>
      </c>
      <c r="R2050" t="str">
        <f t="shared" si="127"/>
        <v>No</v>
      </c>
      <c r="S2050" t="s">
        <v>13</v>
      </c>
    </row>
    <row r="2051" spans="1:19" hidden="1" x14ac:dyDescent="0.3">
      <c r="A2051" s="1" t="s">
        <v>1499</v>
      </c>
      <c r="B2051" t="s">
        <v>1600</v>
      </c>
      <c r="C2051" t="s">
        <v>3102</v>
      </c>
      <c r="D2051" t="str">
        <f t="shared" ref="D2051:D2114" si="128">PROPER(E2051)</f>
        <v>Female</v>
      </c>
      <c r="E2051" t="s">
        <v>14</v>
      </c>
      <c r="F2051" s="2">
        <v>30</v>
      </c>
      <c r="G2051" s="2" t="str" cm="1">
        <f t="array" ref="G2051">_xlfn.IFS(F2051&lt;=8,"Child",F2051&lt;=17,"Teen",F2051&lt;=35,"Adult",F2051&lt;=55,"Seniour Adult",F2051&gt;=55,"Old Age")</f>
        <v>Adult</v>
      </c>
      <c r="H2051" t="s">
        <v>69</v>
      </c>
      <c r="I2051" t="s">
        <v>11</v>
      </c>
      <c r="J2051" t="str" cm="1">
        <f t="array" ref="J2051">_xlfn.IFS(I2051="S","Southamptom",I2051="Q","Quentown",I2051="C","Cherbrug",I2051="B","Cabin")</f>
        <v>Southamptom</v>
      </c>
      <c r="K2051" t="s">
        <v>15</v>
      </c>
      <c r="L2051" s="2">
        <v>33</v>
      </c>
      <c r="M2051" s="2" t="str" cm="1">
        <f t="array" ref="M2051">_xlfn.IFS(L2051&lt;=15,"Low Fare",L2051&lt;=35,"Medium Fare",L2051&lt;=100,"High Fare",L2051&gt;=100,"Very High Fare")</f>
        <v>Medium Fare</v>
      </c>
      <c r="N2051" s="2">
        <v>1</v>
      </c>
      <c r="O2051" s="2" t="s">
        <v>30</v>
      </c>
      <c r="P2051" t="e">
        <f t="shared" ref="P2051:P2114" si="129">N2051+O2051+1</f>
        <v>#VALUE!</v>
      </c>
      <c r="Q2051" t="e">
        <f t="shared" ref="Q2051:Q2114" si="130">IF(P2051=1,"Alone","With Family")</f>
        <v>#VALUE!</v>
      </c>
      <c r="R2051" t="str">
        <f t="shared" ref="R2051:R2114" si="131">PROPER(S2051)</f>
        <v>Yes</v>
      </c>
      <c r="S2051" t="s">
        <v>16</v>
      </c>
    </row>
    <row r="2052" spans="1:19" hidden="1" x14ac:dyDescent="0.3">
      <c r="A2052" s="1" t="s">
        <v>1500</v>
      </c>
      <c r="B2052" t="s">
        <v>1596</v>
      </c>
      <c r="C2052" t="s">
        <v>1619</v>
      </c>
      <c r="D2052" t="str">
        <f t="shared" si="128"/>
        <v>Male</v>
      </c>
      <c r="E2052" t="s">
        <v>9</v>
      </c>
      <c r="F2052" s="2">
        <v>40</v>
      </c>
      <c r="G2052" s="2" t="str" cm="1">
        <f t="array" ref="G2052">_xlfn.IFS(F2052&lt;=8,"Child",F2052&lt;=17,"Teen",F2052&lt;=35,"Adult",F2052&lt;=55,"Seniour Adult",F2052&gt;=55,"Old Age")</f>
        <v>Seniour Adult</v>
      </c>
      <c r="H2052" t="s">
        <v>51</v>
      </c>
      <c r="I2052" t="s">
        <v>11</v>
      </c>
      <c r="J2052" t="str" cm="1">
        <f t="array" ref="J2052">_xlfn.IFS(I2052="S","Southamptom",I2052="Q","Quentown",I2052="C","Cherbrug",I2052="B","Cabin")</f>
        <v>Southamptom</v>
      </c>
      <c r="K2052" t="s">
        <v>15</v>
      </c>
      <c r="L2052" s="2">
        <v>33</v>
      </c>
      <c r="M2052" s="2" t="str" cm="1">
        <f t="array" ref="M2052">_xlfn.IFS(L2052&lt;=15,"Low Fare",L2052&lt;=35,"Medium Fare",L2052&lt;=100,"High Fare",L2052&gt;=100,"Very High Fare")</f>
        <v>Medium Fare</v>
      </c>
      <c r="N2052" s="2">
        <v>1</v>
      </c>
      <c r="O2052" s="2" t="s">
        <v>30</v>
      </c>
      <c r="P2052" t="e">
        <f t="shared" si="129"/>
        <v>#VALUE!</v>
      </c>
      <c r="Q2052" t="e">
        <f t="shared" si="130"/>
        <v>#VALUE!</v>
      </c>
      <c r="R2052" t="str">
        <f t="shared" si="131"/>
        <v>No</v>
      </c>
      <c r="S2052" t="s">
        <v>13</v>
      </c>
    </row>
    <row r="2053" spans="1:19" hidden="1" x14ac:dyDescent="0.3">
      <c r="A2053" s="1" t="s">
        <v>1501</v>
      </c>
      <c r="B2053" t="s">
        <v>1596</v>
      </c>
      <c r="C2053" t="s">
        <v>1610</v>
      </c>
      <c r="D2053" t="str">
        <f t="shared" si="128"/>
        <v>Male</v>
      </c>
      <c r="E2053" t="s">
        <v>9</v>
      </c>
      <c r="F2053" s="2">
        <v>29</v>
      </c>
      <c r="G2053" s="2" t="str" cm="1">
        <f t="array" ref="G2053">_xlfn.IFS(F2053&lt;=8,"Child",F2053&lt;=17,"Teen",F2053&lt;=35,"Adult",F2053&lt;=55,"Seniour Adult",F2053&gt;=55,"Old Age")</f>
        <v>Adult</v>
      </c>
      <c r="H2053" t="s">
        <v>69</v>
      </c>
      <c r="I2053" t="s">
        <v>28</v>
      </c>
      <c r="J2053" t="str" cm="1">
        <f t="array" ref="J2053">_xlfn.IFS(I2053="S","Southamptom",I2053="Q","Quentown",I2053="C","Cherbrug",I2053="B","Cabin")</f>
        <v>Cabin</v>
      </c>
      <c r="K2053" t="s">
        <v>43</v>
      </c>
      <c r="L2053" s="2">
        <v>33</v>
      </c>
      <c r="M2053" s="2" t="str" cm="1">
        <f t="array" ref="M2053">_xlfn.IFS(L2053&lt;=15,"Low Fare",L2053&lt;=35,"Medium Fare",L2053&lt;=100,"High Fare",L2053&gt;=100,"Very High Fare")</f>
        <v>Medium Fare</v>
      </c>
      <c r="N2053" s="2">
        <v>1</v>
      </c>
      <c r="O2053" s="2" t="s">
        <v>30</v>
      </c>
      <c r="P2053" t="e">
        <f t="shared" si="129"/>
        <v>#VALUE!</v>
      </c>
      <c r="Q2053" t="e">
        <f t="shared" si="130"/>
        <v>#VALUE!</v>
      </c>
      <c r="R2053" t="str">
        <f t="shared" si="131"/>
        <v>No</v>
      </c>
      <c r="S2053" t="s">
        <v>13</v>
      </c>
    </row>
    <row r="2054" spans="1:19" hidden="1" x14ac:dyDescent="0.3">
      <c r="A2054" s="1" t="s">
        <v>845</v>
      </c>
      <c r="B2054" t="s">
        <v>1874</v>
      </c>
      <c r="C2054" t="s">
        <v>2692</v>
      </c>
      <c r="D2054" t="str">
        <f t="shared" si="128"/>
        <v>Male</v>
      </c>
      <c r="E2054" t="s">
        <v>9</v>
      </c>
      <c r="F2054" s="2">
        <v>62</v>
      </c>
      <c r="G2054" s="2" t="str" cm="1">
        <f t="array" ref="G2054">_xlfn.IFS(F2054&lt;=8,"Child",F2054&lt;=17,"Teen",F2054&lt;=35,"Adult",F2054&lt;=55,"Seniour Adult",F2054&gt;=55,"Old Age")</f>
        <v>Old Age</v>
      </c>
      <c r="H2054" t="s">
        <v>71</v>
      </c>
      <c r="I2054" t="s">
        <v>11</v>
      </c>
      <c r="J2054" t="str" cm="1">
        <f t="array" ref="J2054">_xlfn.IFS(I2054="S","Southamptom",I2054="Q","Quentown",I2054="C","Cherbrug",I2054="B","Cabin")</f>
        <v>Southamptom</v>
      </c>
      <c r="K2054" t="s">
        <v>15</v>
      </c>
      <c r="L2054" s="2">
        <v>33</v>
      </c>
      <c r="M2054" s="2" t="str" cm="1">
        <f t="array" ref="M2054">_xlfn.IFS(L2054&lt;=15,"Low Fare",L2054&lt;=35,"Medium Fare",L2054&lt;=100,"High Fare",L2054&gt;=100,"Very High Fare")</f>
        <v>Medium Fare</v>
      </c>
      <c r="N2054" s="2">
        <v>1</v>
      </c>
      <c r="O2054" s="2" t="s">
        <v>30</v>
      </c>
      <c r="P2054" t="e">
        <f t="shared" si="129"/>
        <v>#VALUE!</v>
      </c>
      <c r="Q2054" t="e">
        <f t="shared" si="130"/>
        <v>#VALUE!</v>
      </c>
      <c r="R2054" t="str">
        <f t="shared" si="131"/>
        <v>No</v>
      </c>
      <c r="S2054" t="s">
        <v>13</v>
      </c>
    </row>
    <row r="2055" spans="1:19" hidden="1" x14ac:dyDescent="0.3">
      <c r="A2055" s="1" t="s">
        <v>1502</v>
      </c>
      <c r="B2055" t="s">
        <v>1596</v>
      </c>
      <c r="C2055" t="s">
        <v>3103</v>
      </c>
      <c r="D2055" t="str">
        <f t="shared" si="128"/>
        <v>Male</v>
      </c>
      <c r="E2055" t="s">
        <v>9</v>
      </c>
      <c r="F2055" s="2">
        <v>22</v>
      </c>
      <c r="G2055" s="2" t="str" cm="1">
        <f t="array" ref="G2055">_xlfn.IFS(F2055&lt;=8,"Child",F2055&lt;=17,"Teen",F2055&lt;=35,"Adult",F2055&lt;=55,"Seniour Adult",F2055&gt;=55,"Old Age")</f>
        <v>Adult</v>
      </c>
      <c r="H2055" t="s">
        <v>51</v>
      </c>
      <c r="I2055" t="s">
        <v>11</v>
      </c>
      <c r="J2055" t="str" cm="1">
        <f t="array" ref="J2055">_xlfn.IFS(I2055="S","Southamptom",I2055="Q","Quentown",I2055="C","Cherbrug",I2055="B","Cabin")</f>
        <v>Southamptom</v>
      </c>
      <c r="K2055" t="s">
        <v>15</v>
      </c>
      <c r="L2055" s="2">
        <v>33</v>
      </c>
      <c r="M2055" s="2" t="str" cm="1">
        <f t="array" ref="M2055">_xlfn.IFS(L2055&lt;=15,"Low Fare",L2055&lt;=35,"Medium Fare",L2055&lt;=100,"High Fare",L2055&gt;=100,"Very High Fare")</f>
        <v>Medium Fare</v>
      </c>
      <c r="N2055" s="2">
        <v>1</v>
      </c>
      <c r="O2055" s="2" t="s">
        <v>30</v>
      </c>
      <c r="P2055" t="e">
        <f t="shared" si="129"/>
        <v>#VALUE!</v>
      </c>
      <c r="Q2055" t="e">
        <f t="shared" si="130"/>
        <v>#VALUE!</v>
      </c>
      <c r="R2055" t="str">
        <f t="shared" si="131"/>
        <v>No</v>
      </c>
      <c r="S2055" t="s">
        <v>13</v>
      </c>
    </row>
    <row r="2056" spans="1:19" hidden="1" x14ac:dyDescent="0.3">
      <c r="A2056" s="1" t="s">
        <v>845</v>
      </c>
      <c r="B2056" t="s">
        <v>1602</v>
      </c>
      <c r="C2056" t="s">
        <v>3104</v>
      </c>
      <c r="D2056" t="str">
        <f t="shared" si="128"/>
        <v>Female</v>
      </c>
      <c r="E2056" t="s">
        <v>14</v>
      </c>
      <c r="F2056" s="2">
        <v>45</v>
      </c>
      <c r="G2056" s="2" t="str" cm="1">
        <f t="array" ref="G2056">_xlfn.IFS(F2056&lt;=8,"Child",F2056&lt;=17,"Teen",F2056&lt;=35,"Adult",F2056&lt;=55,"Seniour Adult",F2056&gt;=55,"Old Age")</f>
        <v>Seniour Adult</v>
      </c>
      <c r="H2056" t="s">
        <v>69</v>
      </c>
      <c r="I2056" t="s">
        <v>11</v>
      </c>
      <c r="J2056" t="str" cm="1">
        <f t="array" ref="J2056">_xlfn.IFS(I2056="S","Southamptom",I2056="Q","Quentown",I2056="C","Cherbrug",I2056="B","Cabin")</f>
        <v>Southamptom</v>
      </c>
      <c r="K2056" t="s">
        <v>15</v>
      </c>
      <c r="L2056" s="2">
        <v>33</v>
      </c>
      <c r="M2056" s="2" t="str" cm="1">
        <f t="array" ref="M2056">_xlfn.IFS(L2056&lt;=15,"Low Fare",L2056&lt;=35,"Medium Fare",L2056&lt;=100,"High Fare",L2056&gt;=100,"Very High Fare")</f>
        <v>Medium Fare</v>
      </c>
      <c r="N2056" s="2">
        <v>1</v>
      </c>
      <c r="O2056" s="2" t="s">
        <v>30</v>
      </c>
      <c r="P2056" t="e">
        <f t="shared" si="129"/>
        <v>#VALUE!</v>
      </c>
      <c r="Q2056" t="e">
        <f t="shared" si="130"/>
        <v>#VALUE!</v>
      </c>
      <c r="R2056" t="str">
        <f t="shared" si="131"/>
        <v>Yes</v>
      </c>
      <c r="S2056" t="s">
        <v>16</v>
      </c>
    </row>
    <row r="2057" spans="1:19" hidden="1" x14ac:dyDescent="0.3">
      <c r="A2057" s="1" t="s">
        <v>845</v>
      </c>
      <c r="B2057" t="s">
        <v>1596</v>
      </c>
      <c r="C2057" t="s">
        <v>3105</v>
      </c>
      <c r="D2057" t="str">
        <f t="shared" si="128"/>
        <v>Male</v>
      </c>
      <c r="E2057" t="s">
        <v>9</v>
      </c>
      <c r="F2057" s="2">
        <v>40</v>
      </c>
      <c r="G2057" s="2" t="str" cm="1">
        <f t="array" ref="G2057">_xlfn.IFS(F2057&lt;=8,"Child",F2057&lt;=17,"Teen",F2057&lt;=35,"Adult",F2057&lt;=55,"Seniour Adult",F2057&gt;=55,"Old Age")</f>
        <v>Seniour Adult</v>
      </c>
      <c r="H2057" t="s">
        <v>69</v>
      </c>
      <c r="I2057" t="s">
        <v>11</v>
      </c>
      <c r="J2057" t="str" cm="1">
        <f t="array" ref="J2057">_xlfn.IFS(I2057="S","Southamptom",I2057="Q","Quentown",I2057="C","Cherbrug",I2057="B","Cabin")</f>
        <v>Southamptom</v>
      </c>
      <c r="K2057" t="s">
        <v>15</v>
      </c>
      <c r="L2057" s="2">
        <v>33</v>
      </c>
      <c r="M2057" s="2" t="str" cm="1">
        <f t="array" ref="M2057">_xlfn.IFS(L2057&lt;=15,"Low Fare",L2057&lt;=35,"Medium Fare",L2057&lt;=100,"High Fare",L2057&gt;=100,"Very High Fare")</f>
        <v>Medium Fare</v>
      </c>
      <c r="N2057" s="2">
        <v>1</v>
      </c>
      <c r="O2057" s="2" t="s">
        <v>30</v>
      </c>
      <c r="P2057" t="e">
        <f t="shared" si="129"/>
        <v>#VALUE!</v>
      </c>
      <c r="Q2057" t="e">
        <f t="shared" si="130"/>
        <v>#VALUE!</v>
      </c>
      <c r="R2057" t="str">
        <f t="shared" si="131"/>
        <v>No</v>
      </c>
      <c r="S2057" t="s">
        <v>13</v>
      </c>
    </row>
    <row r="2058" spans="1:19" hidden="1" x14ac:dyDescent="0.3">
      <c r="A2058" s="1" t="s">
        <v>845</v>
      </c>
      <c r="B2058" t="s">
        <v>1596</v>
      </c>
      <c r="C2058" t="s">
        <v>3106</v>
      </c>
      <c r="D2058" t="str">
        <f t="shared" si="128"/>
        <v>Male</v>
      </c>
      <c r="E2058" t="s">
        <v>9</v>
      </c>
      <c r="F2058" s="2">
        <v>38</v>
      </c>
      <c r="G2058" s="2" t="str" cm="1">
        <f t="array" ref="G2058">_xlfn.IFS(F2058&lt;=8,"Child",F2058&lt;=17,"Teen",F2058&lt;=35,"Adult",F2058&lt;=55,"Seniour Adult",F2058&gt;=55,"Old Age")</f>
        <v>Seniour Adult</v>
      </c>
      <c r="H2058" t="s">
        <v>69</v>
      </c>
      <c r="I2058" t="s">
        <v>11</v>
      </c>
      <c r="J2058" t="str" cm="1">
        <f t="array" ref="J2058">_xlfn.IFS(I2058="S","Southamptom",I2058="Q","Quentown",I2058="C","Cherbrug",I2058="B","Cabin")</f>
        <v>Southamptom</v>
      </c>
      <c r="K2058" t="s">
        <v>15</v>
      </c>
      <c r="L2058" s="2">
        <v>33</v>
      </c>
      <c r="M2058" s="2" t="str" cm="1">
        <f t="array" ref="M2058">_xlfn.IFS(L2058&lt;=15,"Low Fare",L2058&lt;=35,"Medium Fare",L2058&lt;=100,"High Fare",L2058&gt;=100,"Very High Fare")</f>
        <v>Medium Fare</v>
      </c>
      <c r="N2058" s="2">
        <v>1</v>
      </c>
      <c r="O2058" s="2" t="s">
        <v>30</v>
      </c>
      <c r="P2058" t="e">
        <f t="shared" si="129"/>
        <v>#VALUE!</v>
      </c>
      <c r="Q2058" t="e">
        <f t="shared" si="130"/>
        <v>#VALUE!</v>
      </c>
      <c r="R2058" t="str">
        <f t="shared" si="131"/>
        <v>No</v>
      </c>
      <c r="S2058" t="s">
        <v>13</v>
      </c>
    </row>
    <row r="2059" spans="1:19" hidden="1" x14ac:dyDescent="0.3">
      <c r="A2059" s="1" t="s">
        <v>845</v>
      </c>
      <c r="B2059" t="s">
        <v>1596</v>
      </c>
      <c r="C2059" t="s">
        <v>3107</v>
      </c>
      <c r="D2059" t="str">
        <f t="shared" si="128"/>
        <v>Male</v>
      </c>
      <c r="E2059" t="s">
        <v>9</v>
      </c>
      <c r="F2059" s="2">
        <v>27</v>
      </c>
      <c r="G2059" s="2" t="str" cm="1">
        <f t="array" ref="G2059">_xlfn.IFS(F2059&lt;=8,"Child",F2059&lt;=17,"Teen",F2059&lt;=35,"Adult",F2059&lt;=55,"Seniour Adult",F2059&gt;=55,"Old Age")</f>
        <v>Adult</v>
      </c>
      <c r="H2059" t="s">
        <v>51</v>
      </c>
      <c r="I2059" t="s">
        <v>11</v>
      </c>
      <c r="J2059" t="str" cm="1">
        <f t="array" ref="J2059">_xlfn.IFS(I2059="S","Southamptom",I2059="Q","Quentown",I2059="C","Cherbrug",I2059="B","Cabin")</f>
        <v>Southamptom</v>
      </c>
      <c r="K2059" t="s">
        <v>15</v>
      </c>
      <c r="L2059" s="2">
        <v>33</v>
      </c>
      <c r="M2059" s="2" t="str" cm="1">
        <f t="array" ref="M2059">_xlfn.IFS(L2059&lt;=15,"Low Fare",L2059&lt;=35,"Medium Fare",L2059&lt;=100,"High Fare",L2059&gt;=100,"Very High Fare")</f>
        <v>Medium Fare</v>
      </c>
      <c r="N2059" s="2">
        <v>1</v>
      </c>
      <c r="O2059" s="2" t="s">
        <v>30</v>
      </c>
      <c r="P2059" t="e">
        <f t="shared" si="129"/>
        <v>#VALUE!</v>
      </c>
      <c r="Q2059" t="e">
        <f t="shared" si="130"/>
        <v>#VALUE!</v>
      </c>
      <c r="R2059" t="str">
        <f t="shared" si="131"/>
        <v>No</v>
      </c>
      <c r="S2059" t="s">
        <v>13</v>
      </c>
    </row>
    <row r="2060" spans="1:19" hidden="1" x14ac:dyDescent="0.3">
      <c r="A2060" s="1" t="s">
        <v>845</v>
      </c>
      <c r="B2060" t="s">
        <v>1596</v>
      </c>
      <c r="C2060" t="s">
        <v>2884</v>
      </c>
      <c r="D2060" t="str">
        <f t="shared" si="128"/>
        <v>Male</v>
      </c>
      <c r="E2060" t="s">
        <v>9</v>
      </c>
      <c r="F2060" s="2">
        <v>20</v>
      </c>
      <c r="G2060" s="2" t="str" cm="1">
        <f t="array" ref="G2060">_xlfn.IFS(F2060&lt;=8,"Child",F2060&lt;=17,"Teen",F2060&lt;=35,"Adult",F2060&lt;=55,"Seniour Adult",F2060&gt;=55,"Old Age")</f>
        <v>Adult</v>
      </c>
      <c r="H2060" t="s">
        <v>69</v>
      </c>
      <c r="I2060" t="s">
        <v>28</v>
      </c>
      <c r="J2060" t="str" cm="1">
        <f t="array" ref="J2060">_xlfn.IFS(I2060="S","Southamptom",I2060="Q","Quentown",I2060="C","Cherbrug",I2060="B","Cabin")</f>
        <v>Cabin</v>
      </c>
      <c r="K2060" t="s">
        <v>15</v>
      </c>
      <c r="L2060" s="2">
        <v>33</v>
      </c>
      <c r="M2060" s="2" t="str" cm="1">
        <f t="array" ref="M2060">_xlfn.IFS(L2060&lt;=15,"Low Fare",L2060&lt;=35,"Medium Fare",L2060&lt;=100,"High Fare",L2060&gt;=100,"Very High Fare")</f>
        <v>Medium Fare</v>
      </c>
      <c r="N2060" s="2">
        <v>1</v>
      </c>
      <c r="O2060" s="2" t="s">
        <v>30</v>
      </c>
      <c r="P2060" t="e">
        <f t="shared" si="129"/>
        <v>#VALUE!</v>
      </c>
      <c r="Q2060" t="e">
        <f t="shared" si="130"/>
        <v>#VALUE!</v>
      </c>
      <c r="R2060" t="str">
        <f t="shared" si="131"/>
        <v>No</v>
      </c>
      <c r="S2060" t="s">
        <v>13</v>
      </c>
    </row>
    <row r="2061" spans="1:19" hidden="1" x14ac:dyDescent="0.3">
      <c r="A2061" s="1" t="s">
        <v>845</v>
      </c>
      <c r="B2061" t="s">
        <v>1596</v>
      </c>
      <c r="C2061" t="s">
        <v>3108</v>
      </c>
      <c r="D2061" t="str">
        <f t="shared" si="128"/>
        <v>Male</v>
      </c>
      <c r="E2061" t="s">
        <v>9</v>
      </c>
      <c r="F2061" s="2">
        <v>39</v>
      </c>
      <c r="G2061" s="2" t="str" cm="1">
        <f t="array" ref="G2061">_xlfn.IFS(F2061&lt;=8,"Child",F2061&lt;=17,"Teen",F2061&lt;=35,"Adult",F2061&lt;=55,"Seniour Adult",F2061&gt;=55,"Old Age")</f>
        <v>Seniour Adult</v>
      </c>
      <c r="H2061" t="s">
        <v>51</v>
      </c>
      <c r="I2061" t="s">
        <v>28</v>
      </c>
      <c r="J2061" t="str" cm="1">
        <f t="array" ref="J2061">_xlfn.IFS(I2061="S","Southamptom",I2061="Q","Quentown",I2061="C","Cherbrug",I2061="B","Cabin")</f>
        <v>Cabin</v>
      </c>
      <c r="K2061" t="s">
        <v>43</v>
      </c>
      <c r="L2061" s="2">
        <v>33</v>
      </c>
      <c r="M2061" s="2" t="str" cm="1">
        <f t="array" ref="M2061">_xlfn.IFS(L2061&lt;=15,"Low Fare",L2061&lt;=35,"Medium Fare",L2061&lt;=100,"High Fare",L2061&gt;=100,"Very High Fare")</f>
        <v>Medium Fare</v>
      </c>
      <c r="N2061" s="2">
        <v>1</v>
      </c>
      <c r="O2061" s="2" t="s">
        <v>30</v>
      </c>
      <c r="P2061" t="e">
        <f t="shared" si="129"/>
        <v>#VALUE!</v>
      </c>
      <c r="Q2061" t="e">
        <f t="shared" si="130"/>
        <v>#VALUE!</v>
      </c>
      <c r="R2061" t="str">
        <f t="shared" si="131"/>
        <v>No</v>
      </c>
      <c r="S2061" t="s">
        <v>13</v>
      </c>
    </row>
    <row r="2062" spans="1:19" hidden="1" x14ac:dyDescent="0.3">
      <c r="A2062" s="1" t="s">
        <v>845</v>
      </c>
      <c r="B2062" t="s">
        <v>1596</v>
      </c>
      <c r="C2062" t="s">
        <v>2638</v>
      </c>
      <c r="D2062" t="str">
        <f t="shared" si="128"/>
        <v>Male</v>
      </c>
      <c r="E2062" t="s">
        <v>9</v>
      </c>
      <c r="F2062" s="2">
        <v>24</v>
      </c>
      <c r="G2062" s="2" t="str" cm="1">
        <f t="array" ref="G2062">_xlfn.IFS(F2062&lt;=8,"Child",F2062&lt;=17,"Teen",F2062&lt;=35,"Adult",F2062&lt;=55,"Seniour Adult",F2062&gt;=55,"Old Age")</f>
        <v>Adult</v>
      </c>
      <c r="H2062" t="s">
        <v>69</v>
      </c>
      <c r="I2062" t="s">
        <v>11</v>
      </c>
      <c r="J2062" t="str" cm="1">
        <f t="array" ref="J2062">_xlfn.IFS(I2062="S","Southamptom",I2062="Q","Quentown",I2062="C","Cherbrug",I2062="B","Cabin")</f>
        <v>Southamptom</v>
      </c>
      <c r="K2062" t="s">
        <v>15</v>
      </c>
      <c r="L2062" s="2">
        <v>33</v>
      </c>
      <c r="M2062" s="2" t="str" cm="1">
        <f t="array" ref="M2062">_xlfn.IFS(L2062&lt;=15,"Low Fare",L2062&lt;=35,"Medium Fare",L2062&lt;=100,"High Fare",L2062&gt;=100,"Very High Fare")</f>
        <v>Medium Fare</v>
      </c>
      <c r="N2062" s="2">
        <v>1</v>
      </c>
      <c r="O2062" s="2" t="s">
        <v>30</v>
      </c>
      <c r="P2062" t="e">
        <f t="shared" si="129"/>
        <v>#VALUE!</v>
      </c>
      <c r="Q2062" t="e">
        <f t="shared" si="130"/>
        <v>#VALUE!</v>
      </c>
      <c r="R2062" t="str">
        <f t="shared" si="131"/>
        <v>No</v>
      </c>
      <c r="S2062" t="s">
        <v>13</v>
      </c>
    </row>
    <row r="2063" spans="1:19" hidden="1" x14ac:dyDescent="0.3">
      <c r="A2063" s="1" t="s">
        <v>845</v>
      </c>
      <c r="B2063" t="s">
        <v>1596</v>
      </c>
      <c r="C2063" t="s">
        <v>3109</v>
      </c>
      <c r="D2063" t="str">
        <f t="shared" si="128"/>
        <v>Male</v>
      </c>
      <c r="E2063" t="s">
        <v>9</v>
      </c>
      <c r="F2063" s="2">
        <v>35</v>
      </c>
      <c r="G2063" s="2" t="str" cm="1">
        <f t="array" ref="G2063">_xlfn.IFS(F2063&lt;=8,"Child",F2063&lt;=17,"Teen",F2063&lt;=35,"Adult",F2063&lt;=55,"Seniour Adult",F2063&gt;=55,"Old Age")</f>
        <v>Adult</v>
      </c>
      <c r="H2063" t="s">
        <v>69</v>
      </c>
      <c r="I2063" t="s">
        <v>11</v>
      </c>
      <c r="J2063" t="str" cm="1">
        <f t="array" ref="J2063">_xlfn.IFS(I2063="S","Southamptom",I2063="Q","Quentown",I2063="C","Cherbrug",I2063="B","Cabin")</f>
        <v>Southamptom</v>
      </c>
      <c r="K2063" t="s">
        <v>15</v>
      </c>
      <c r="L2063" s="2">
        <v>33</v>
      </c>
      <c r="M2063" s="2" t="str" cm="1">
        <f t="array" ref="M2063">_xlfn.IFS(L2063&lt;=15,"Low Fare",L2063&lt;=35,"Medium Fare",L2063&lt;=100,"High Fare",L2063&gt;=100,"Very High Fare")</f>
        <v>Medium Fare</v>
      </c>
      <c r="N2063" s="2">
        <v>1</v>
      </c>
      <c r="O2063" s="2" t="s">
        <v>30</v>
      </c>
      <c r="P2063" t="e">
        <f t="shared" si="129"/>
        <v>#VALUE!</v>
      </c>
      <c r="Q2063" t="e">
        <f t="shared" si="130"/>
        <v>#VALUE!</v>
      </c>
      <c r="R2063" t="str">
        <f t="shared" si="131"/>
        <v>No</v>
      </c>
      <c r="S2063" t="s">
        <v>13</v>
      </c>
    </row>
    <row r="2064" spans="1:19" hidden="1" x14ac:dyDescent="0.3">
      <c r="A2064" s="1" t="s">
        <v>845</v>
      </c>
      <c r="B2064" t="s">
        <v>1596</v>
      </c>
      <c r="C2064" t="s">
        <v>3110</v>
      </c>
      <c r="D2064" t="str">
        <f t="shared" si="128"/>
        <v>Male</v>
      </c>
      <c r="E2064" t="s">
        <v>9</v>
      </c>
      <c r="F2064" s="2">
        <v>33</v>
      </c>
      <c r="G2064" s="2" t="str" cm="1">
        <f t="array" ref="G2064">_xlfn.IFS(F2064&lt;=8,"Child",F2064&lt;=17,"Teen",F2064&lt;=35,"Adult",F2064&lt;=55,"Seniour Adult",F2064&gt;=55,"Old Age")</f>
        <v>Adult</v>
      </c>
      <c r="H2064" t="s">
        <v>69</v>
      </c>
      <c r="I2064" t="s">
        <v>11</v>
      </c>
      <c r="J2064" t="str" cm="1">
        <f t="array" ref="J2064">_xlfn.IFS(I2064="S","Southamptom",I2064="Q","Quentown",I2064="C","Cherbrug",I2064="B","Cabin")</f>
        <v>Southamptom</v>
      </c>
      <c r="K2064" t="s">
        <v>15</v>
      </c>
      <c r="L2064" s="2">
        <v>33</v>
      </c>
      <c r="M2064" s="2" t="str" cm="1">
        <f t="array" ref="M2064">_xlfn.IFS(L2064&lt;=15,"Low Fare",L2064&lt;=35,"Medium Fare",L2064&lt;=100,"High Fare",L2064&gt;=100,"Very High Fare")</f>
        <v>Medium Fare</v>
      </c>
      <c r="N2064" s="2">
        <v>1</v>
      </c>
      <c r="O2064" s="2" t="s">
        <v>30</v>
      </c>
      <c r="P2064" t="e">
        <f t="shared" si="129"/>
        <v>#VALUE!</v>
      </c>
      <c r="Q2064" t="e">
        <f t="shared" si="130"/>
        <v>#VALUE!</v>
      </c>
      <c r="R2064" t="str">
        <f t="shared" si="131"/>
        <v>No</v>
      </c>
      <c r="S2064" t="s">
        <v>13</v>
      </c>
    </row>
    <row r="2065" spans="1:19" hidden="1" x14ac:dyDescent="0.3">
      <c r="A2065" s="1" t="s">
        <v>845</v>
      </c>
      <c r="B2065" t="s">
        <v>1596</v>
      </c>
      <c r="C2065" t="s">
        <v>1619</v>
      </c>
      <c r="D2065" t="str">
        <f t="shared" si="128"/>
        <v>Male</v>
      </c>
      <c r="E2065" t="s">
        <v>9</v>
      </c>
      <c r="F2065" s="2">
        <v>26</v>
      </c>
      <c r="G2065" s="2" t="str" cm="1">
        <f t="array" ref="G2065">_xlfn.IFS(F2065&lt;=8,"Child",F2065&lt;=17,"Teen",F2065&lt;=35,"Adult",F2065&lt;=55,"Seniour Adult",F2065&gt;=55,"Old Age")</f>
        <v>Adult</v>
      </c>
      <c r="H2065" t="s">
        <v>71</v>
      </c>
      <c r="I2065" t="s">
        <v>11</v>
      </c>
      <c r="J2065" t="str" cm="1">
        <f t="array" ref="J2065">_xlfn.IFS(I2065="S","Southamptom",I2065="Q","Quentown",I2065="C","Cherbrug",I2065="B","Cabin")</f>
        <v>Southamptom</v>
      </c>
      <c r="K2065" t="s">
        <v>15</v>
      </c>
      <c r="L2065" s="2">
        <v>33</v>
      </c>
      <c r="M2065" s="2" t="str" cm="1">
        <f t="array" ref="M2065">_xlfn.IFS(L2065&lt;=15,"Low Fare",L2065&lt;=35,"Medium Fare",L2065&lt;=100,"High Fare",L2065&gt;=100,"Very High Fare")</f>
        <v>Medium Fare</v>
      </c>
      <c r="N2065" s="2">
        <v>1</v>
      </c>
      <c r="O2065" s="2" t="s">
        <v>30</v>
      </c>
      <c r="P2065" t="e">
        <f t="shared" si="129"/>
        <v>#VALUE!</v>
      </c>
      <c r="Q2065" t="e">
        <f t="shared" si="130"/>
        <v>#VALUE!</v>
      </c>
      <c r="R2065" t="str">
        <f t="shared" si="131"/>
        <v>No</v>
      </c>
      <c r="S2065" t="s">
        <v>13</v>
      </c>
    </row>
    <row r="2066" spans="1:19" hidden="1" x14ac:dyDescent="0.3">
      <c r="A2066" s="1" t="s">
        <v>1503</v>
      </c>
      <c r="B2066" t="s">
        <v>1600</v>
      </c>
      <c r="C2066" t="s">
        <v>3111</v>
      </c>
      <c r="D2066" t="str">
        <f t="shared" si="128"/>
        <v>Female</v>
      </c>
      <c r="E2066" t="s">
        <v>14</v>
      </c>
      <c r="F2066" s="2">
        <v>22</v>
      </c>
      <c r="G2066" s="2" t="str" cm="1">
        <f t="array" ref="G2066">_xlfn.IFS(F2066&lt;=8,"Child",F2066&lt;=17,"Teen",F2066&lt;=35,"Adult",F2066&lt;=55,"Seniour Adult",F2066&gt;=55,"Old Age")</f>
        <v>Adult</v>
      </c>
      <c r="H2066" t="s">
        <v>69</v>
      </c>
      <c r="I2066" t="s">
        <v>11</v>
      </c>
      <c r="J2066" t="str" cm="1">
        <f t="array" ref="J2066">_xlfn.IFS(I2066="S","Southamptom",I2066="Q","Quentown",I2066="C","Cherbrug",I2066="B","Cabin")</f>
        <v>Southamptom</v>
      </c>
      <c r="K2066" t="s">
        <v>15</v>
      </c>
      <c r="L2066" s="2">
        <v>33</v>
      </c>
      <c r="M2066" s="2" t="str" cm="1">
        <f t="array" ref="M2066">_xlfn.IFS(L2066&lt;=15,"Low Fare",L2066&lt;=35,"Medium Fare",L2066&lt;=100,"High Fare",L2066&gt;=100,"Very High Fare")</f>
        <v>Medium Fare</v>
      </c>
      <c r="N2066" s="2">
        <v>1</v>
      </c>
      <c r="O2066" s="2" t="s">
        <v>30</v>
      </c>
      <c r="P2066" t="e">
        <f t="shared" si="129"/>
        <v>#VALUE!</v>
      </c>
      <c r="Q2066" t="e">
        <f t="shared" si="130"/>
        <v>#VALUE!</v>
      </c>
      <c r="R2066" t="str">
        <f t="shared" si="131"/>
        <v>No</v>
      </c>
      <c r="S2066" t="s">
        <v>13</v>
      </c>
    </row>
    <row r="2067" spans="1:19" hidden="1" x14ac:dyDescent="0.3">
      <c r="A2067" s="1" t="s">
        <v>1504</v>
      </c>
      <c r="B2067" t="s">
        <v>1596</v>
      </c>
      <c r="C2067" t="s">
        <v>2038</v>
      </c>
      <c r="D2067" t="str">
        <f t="shared" si="128"/>
        <v>Male</v>
      </c>
      <c r="E2067" t="s">
        <v>9</v>
      </c>
      <c r="F2067" s="2">
        <v>41</v>
      </c>
      <c r="G2067" s="2" t="str" cm="1">
        <f t="array" ref="G2067">_xlfn.IFS(F2067&lt;=8,"Child",F2067&lt;=17,"Teen",F2067&lt;=35,"Adult",F2067&lt;=55,"Seniour Adult",F2067&gt;=55,"Old Age")</f>
        <v>Seniour Adult</v>
      </c>
      <c r="H2067" t="s">
        <v>51</v>
      </c>
      <c r="I2067" t="s">
        <v>11</v>
      </c>
      <c r="J2067" t="str" cm="1">
        <f t="array" ref="J2067">_xlfn.IFS(I2067="S","Southamptom",I2067="Q","Quentown",I2067="C","Cherbrug",I2067="B","Cabin")</f>
        <v>Southamptom</v>
      </c>
      <c r="K2067" t="s">
        <v>15</v>
      </c>
      <c r="L2067" s="2">
        <v>33</v>
      </c>
      <c r="M2067" s="2" t="str" cm="1">
        <f t="array" ref="M2067">_xlfn.IFS(L2067&lt;=15,"Low Fare",L2067&lt;=35,"Medium Fare",L2067&lt;=100,"High Fare",L2067&gt;=100,"Very High Fare")</f>
        <v>Medium Fare</v>
      </c>
      <c r="N2067" s="2">
        <v>1</v>
      </c>
      <c r="O2067" s="2" t="s">
        <v>30</v>
      </c>
      <c r="P2067" t="e">
        <f t="shared" si="129"/>
        <v>#VALUE!</v>
      </c>
      <c r="Q2067" t="e">
        <f t="shared" si="130"/>
        <v>#VALUE!</v>
      </c>
      <c r="R2067" t="str">
        <f t="shared" si="131"/>
        <v>No</v>
      </c>
      <c r="S2067" t="s">
        <v>13</v>
      </c>
    </row>
    <row r="2068" spans="1:19" hidden="1" x14ac:dyDescent="0.3">
      <c r="A2068" s="1" t="s">
        <v>1505</v>
      </c>
      <c r="B2068" t="s">
        <v>1596</v>
      </c>
      <c r="C2068" t="s">
        <v>2882</v>
      </c>
      <c r="D2068" t="str">
        <f t="shared" si="128"/>
        <v>Male</v>
      </c>
      <c r="E2068" t="s">
        <v>9</v>
      </c>
      <c r="F2068" s="2">
        <v>26</v>
      </c>
      <c r="G2068" s="2" t="str" cm="1">
        <f t="array" ref="G2068">_xlfn.IFS(F2068&lt;=8,"Child",F2068&lt;=17,"Teen",F2068&lt;=35,"Adult",F2068&lt;=55,"Seniour Adult",F2068&gt;=55,"Old Age")</f>
        <v>Adult</v>
      </c>
      <c r="H2068" t="s">
        <v>51</v>
      </c>
      <c r="I2068" t="s">
        <v>11</v>
      </c>
      <c r="J2068" t="str" cm="1">
        <f t="array" ref="J2068">_xlfn.IFS(I2068="S","Southamptom",I2068="Q","Quentown",I2068="C","Cherbrug",I2068="B","Cabin")</f>
        <v>Southamptom</v>
      </c>
      <c r="K2068" t="s">
        <v>15</v>
      </c>
      <c r="L2068" s="2">
        <v>33</v>
      </c>
      <c r="M2068" s="2" t="str" cm="1">
        <f t="array" ref="M2068">_xlfn.IFS(L2068&lt;=15,"Low Fare",L2068&lt;=35,"Medium Fare",L2068&lt;=100,"High Fare",L2068&gt;=100,"Very High Fare")</f>
        <v>Medium Fare</v>
      </c>
      <c r="N2068" s="2">
        <v>1</v>
      </c>
      <c r="O2068" s="2" t="s">
        <v>30</v>
      </c>
      <c r="P2068" t="e">
        <f t="shared" si="129"/>
        <v>#VALUE!</v>
      </c>
      <c r="Q2068" t="e">
        <f t="shared" si="130"/>
        <v>#VALUE!</v>
      </c>
      <c r="R2068" t="str">
        <f t="shared" si="131"/>
        <v>No</v>
      </c>
      <c r="S2068" t="s">
        <v>13</v>
      </c>
    </row>
    <row r="2069" spans="1:19" hidden="1" x14ac:dyDescent="0.3">
      <c r="A2069" s="1" t="s">
        <v>1506</v>
      </c>
      <c r="B2069" t="s">
        <v>1596</v>
      </c>
      <c r="C2069" t="s">
        <v>3112</v>
      </c>
      <c r="D2069" t="str">
        <f t="shared" si="128"/>
        <v>Male</v>
      </c>
      <c r="E2069" t="s">
        <v>9</v>
      </c>
      <c r="F2069" s="2">
        <v>21</v>
      </c>
      <c r="G2069" s="2" t="str" cm="1">
        <f t="array" ref="G2069">_xlfn.IFS(F2069&lt;=8,"Child",F2069&lt;=17,"Teen",F2069&lt;=35,"Adult",F2069&lt;=55,"Seniour Adult",F2069&gt;=55,"Old Age")</f>
        <v>Adult</v>
      </c>
      <c r="H2069" t="s">
        <v>51</v>
      </c>
      <c r="I2069" t="s">
        <v>11</v>
      </c>
      <c r="J2069" t="str" cm="1">
        <f t="array" ref="J2069">_xlfn.IFS(I2069="S","Southamptom",I2069="Q","Quentown",I2069="C","Cherbrug",I2069="B","Cabin")</f>
        <v>Southamptom</v>
      </c>
      <c r="K2069" t="s">
        <v>15</v>
      </c>
      <c r="L2069" s="2">
        <v>33</v>
      </c>
      <c r="M2069" s="2" t="str" cm="1">
        <f t="array" ref="M2069">_xlfn.IFS(L2069&lt;=15,"Low Fare",L2069&lt;=35,"Medium Fare",L2069&lt;=100,"High Fare",L2069&gt;=100,"Very High Fare")</f>
        <v>Medium Fare</v>
      </c>
      <c r="N2069" s="2">
        <v>1</v>
      </c>
      <c r="O2069" s="2" t="s">
        <v>30</v>
      </c>
      <c r="P2069" t="e">
        <f t="shared" si="129"/>
        <v>#VALUE!</v>
      </c>
      <c r="Q2069" t="e">
        <f t="shared" si="130"/>
        <v>#VALUE!</v>
      </c>
      <c r="R2069" t="str">
        <f t="shared" si="131"/>
        <v>Yes</v>
      </c>
      <c r="S2069" t="s">
        <v>16</v>
      </c>
    </row>
    <row r="2070" spans="1:19" hidden="1" x14ac:dyDescent="0.3">
      <c r="A2070" s="1" t="s">
        <v>1507</v>
      </c>
      <c r="B2070" t="s">
        <v>1596</v>
      </c>
      <c r="C2070" t="s">
        <v>1989</v>
      </c>
      <c r="D2070" t="str">
        <f t="shared" si="128"/>
        <v>Male</v>
      </c>
      <c r="E2070" t="s">
        <v>9</v>
      </c>
      <c r="F2070" s="2">
        <v>36</v>
      </c>
      <c r="G2070" s="2" t="str" cm="1">
        <f t="array" ref="G2070">_xlfn.IFS(F2070&lt;=8,"Child",F2070&lt;=17,"Teen",F2070&lt;=35,"Adult",F2070&lt;=55,"Seniour Adult",F2070&gt;=55,"Old Age")</f>
        <v>Seniour Adult</v>
      </c>
      <c r="H2070" t="s">
        <v>51</v>
      </c>
      <c r="I2070" t="s">
        <v>11</v>
      </c>
      <c r="J2070" t="str" cm="1">
        <f t="array" ref="J2070">_xlfn.IFS(I2070="S","Southamptom",I2070="Q","Quentown",I2070="C","Cherbrug",I2070="B","Cabin")</f>
        <v>Southamptom</v>
      </c>
      <c r="K2070" t="s">
        <v>15</v>
      </c>
      <c r="L2070" s="2">
        <v>33</v>
      </c>
      <c r="M2070" s="2" t="str" cm="1">
        <f t="array" ref="M2070">_xlfn.IFS(L2070&lt;=15,"Low Fare",L2070&lt;=35,"Medium Fare",L2070&lt;=100,"High Fare",L2070&gt;=100,"Very High Fare")</f>
        <v>Medium Fare</v>
      </c>
      <c r="N2070" s="2">
        <v>1</v>
      </c>
      <c r="O2070" s="2" t="s">
        <v>30</v>
      </c>
      <c r="P2070" t="e">
        <f t="shared" si="129"/>
        <v>#VALUE!</v>
      </c>
      <c r="Q2070" t="e">
        <f t="shared" si="130"/>
        <v>#VALUE!</v>
      </c>
      <c r="R2070" t="str">
        <f t="shared" si="131"/>
        <v>Yes</v>
      </c>
      <c r="S2070" t="s">
        <v>16</v>
      </c>
    </row>
    <row r="2071" spans="1:19" hidden="1" x14ac:dyDescent="0.3">
      <c r="A2071" s="1" t="s">
        <v>1508</v>
      </c>
      <c r="B2071" t="s">
        <v>1596</v>
      </c>
      <c r="C2071" t="s">
        <v>1822</v>
      </c>
      <c r="D2071" t="str">
        <f t="shared" si="128"/>
        <v>Male</v>
      </c>
      <c r="E2071" t="s">
        <v>9</v>
      </c>
      <c r="F2071" s="2">
        <v>38</v>
      </c>
      <c r="G2071" s="2" t="str" cm="1">
        <f t="array" ref="G2071">_xlfn.IFS(F2071&lt;=8,"Child",F2071&lt;=17,"Teen",F2071&lt;=35,"Adult",F2071&lt;=55,"Seniour Adult",F2071&gt;=55,"Old Age")</f>
        <v>Seniour Adult</v>
      </c>
      <c r="H2071" t="s">
        <v>69</v>
      </c>
      <c r="I2071" t="s">
        <v>11</v>
      </c>
      <c r="J2071" t="str" cm="1">
        <f t="array" ref="J2071">_xlfn.IFS(I2071="S","Southamptom",I2071="Q","Quentown",I2071="C","Cherbrug",I2071="B","Cabin")</f>
        <v>Southamptom</v>
      </c>
      <c r="K2071" t="s">
        <v>15</v>
      </c>
      <c r="L2071" s="2">
        <v>33</v>
      </c>
      <c r="M2071" s="2" t="str" cm="1">
        <f t="array" ref="M2071">_xlfn.IFS(L2071&lt;=15,"Low Fare",L2071&lt;=35,"Medium Fare",L2071&lt;=100,"High Fare",L2071&gt;=100,"Very High Fare")</f>
        <v>Medium Fare</v>
      </c>
      <c r="N2071" s="2">
        <v>1</v>
      </c>
      <c r="O2071" s="2" t="s">
        <v>30</v>
      </c>
      <c r="P2071" t="e">
        <f t="shared" si="129"/>
        <v>#VALUE!</v>
      </c>
      <c r="Q2071" t="e">
        <f t="shared" si="130"/>
        <v>#VALUE!</v>
      </c>
      <c r="R2071" t="str">
        <f t="shared" si="131"/>
        <v>No</v>
      </c>
      <c r="S2071" t="s">
        <v>13</v>
      </c>
    </row>
    <row r="2072" spans="1:19" hidden="1" x14ac:dyDescent="0.3">
      <c r="A2072" s="1" t="s">
        <v>1509</v>
      </c>
      <c r="B2072" t="s">
        <v>1596</v>
      </c>
      <c r="C2072" t="s">
        <v>3113</v>
      </c>
      <c r="D2072" t="str">
        <f t="shared" si="128"/>
        <v>Male</v>
      </c>
      <c r="E2072" t="s">
        <v>9</v>
      </c>
      <c r="F2072" s="2">
        <v>31</v>
      </c>
      <c r="G2072" s="2" t="str" cm="1">
        <f t="array" ref="G2072">_xlfn.IFS(F2072&lt;=8,"Child",F2072&lt;=17,"Teen",F2072&lt;=35,"Adult",F2072&lt;=55,"Seniour Adult",F2072&gt;=55,"Old Age")</f>
        <v>Adult</v>
      </c>
      <c r="H2072" t="s">
        <v>51</v>
      </c>
      <c r="I2072" t="s">
        <v>11</v>
      </c>
      <c r="J2072" t="str" cm="1">
        <f t="array" ref="J2072">_xlfn.IFS(I2072="S","Southamptom",I2072="Q","Quentown",I2072="C","Cherbrug",I2072="B","Cabin")</f>
        <v>Southamptom</v>
      </c>
      <c r="K2072" t="s">
        <v>15</v>
      </c>
      <c r="L2072" s="2">
        <v>33</v>
      </c>
      <c r="M2072" s="2" t="str" cm="1">
        <f t="array" ref="M2072">_xlfn.IFS(L2072&lt;=15,"Low Fare",L2072&lt;=35,"Medium Fare",L2072&lt;=100,"High Fare",L2072&gt;=100,"Very High Fare")</f>
        <v>Medium Fare</v>
      </c>
      <c r="N2072" s="2">
        <v>1</v>
      </c>
      <c r="O2072" s="2" t="s">
        <v>30</v>
      </c>
      <c r="P2072" t="e">
        <f t="shared" si="129"/>
        <v>#VALUE!</v>
      </c>
      <c r="Q2072" t="e">
        <f t="shared" si="130"/>
        <v>#VALUE!</v>
      </c>
      <c r="R2072" t="str">
        <f t="shared" si="131"/>
        <v>No</v>
      </c>
      <c r="S2072" t="s">
        <v>13</v>
      </c>
    </row>
    <row r="2073" spans="1:19" hidden="1" x14ac:dyDescent="0.3">
      <c r="A2073" s="1" t="s">
        <v>1510</v>
      </c>
      <c r="B2073" t="s">
        <v>1602</v>
      </c>
      <c r="C2073" t="s">
        <v>3114</v>
      </c>
      <c r="D2073" t="str">
        <f t="shared" si="128"/>
        <v>Female</v>
      </c>
      <c r="E2073" t="s">
        <v>14</v>
      </c>
      <c r="F2073" s="2">
        <v>47</v>
      </c>
      <c r="G2073" s="2" t="str" cm="1">
        <f t="array" ref="G2073">_xlfn.IFS(F2073&lt;=8,"Child",F2073&lt;=17,"Teen",F2073&lt;=35,"Adult",F2073&lt;=55,"Seniour Adult",F2073&gt;=55,"Old Age")</f>
        <v>Seniour Adult</v>
      </c>
      <c r="H2073" t="s">
        <v>69</v>
      </c>
      <c r="I2073" t="s">
        <v>11</v>
      </c>
      <c r="J2073" t="str" cm="1">
        <f t="array" ref="J2073">_xlfn.IFS(I2073="S","Southamptom",I2073="Q","Quentown",I2073="C","Cherbrug",I2073="B","Cabin")</f>
        <v>Southamptom</v>
      </c>
      <c r="K2073" t="s">
        <v>15</v>
      </c>
      <c r="L2073" s="2">
        <v>33</v>
      </c>
      <c r="M2073" s="2" t="str" cm="1">
        <f t="array" ref="M2073">_xlfn.IFS(L2073&lt;=15,"Low Fare",L2073&lt;=35,"Medium Fare",L2073&lt;=100,"High Fare",L2073&gt;=100,"Very High Fare")</f>
        <v>Medium Fare</v>
      </c>
      <c r="N2073" s="2">
        <v>1</v>
      </c>
      <c r="O2073" s="2" t="s">
        <v>30</v>
      </c>
      <c r="P2073" t="e">
        <f t="shared" si="129"/>
        <v>#VALUE!</v>
      </c>
      <c r="Q2073" t="e">
        <f t="shared" si="130"/>
        <v>#VALUE!</v>
      </c>
      <c r="R2073" t="str">
        <f t="shared" si="131"/>
        <v>Yes</v>
      </c>
      <c r="S2073" t="s">
        <v>16</v>
      </c>
    </row>
    <row r="2074" spans="1:19" hidden="1" x14ac:dyDescent="0.3">
      <c r="A2074" s="1" t="s">
        <v>1511</v>
      </c>
      <c r="B2074" t="s">
        <v>1596</v>
      </c>
      <c r="C2074" t="s">
        <v>3115</v>
      </c>
      <c r="D2074" t="str">
        <f t="shared" si="128"/>
        <v>Male</v>
      </c>
      <c r="E2074" t="s">
        <v>9</v>
      </c>
      <c r="F2074" s="2">
        <v>36</v>
      </c>
      <c r="G2074" s="2" t="str" cm="1">
        <f t="array" ref="G2074">_xlfn.IFS(F2074&lt;=8,"Child",F2074&lt;=17,"Teen",F2074&lt;=35,"Adult",F2074&lt;=55,"Seniour Adult",F2074&gt;=55,"Old Age")</f>
        <v>Seniour Adult</v>
      </c>
      <c r="H2074" t="s">
        <v>69</v>
      </c>
      <c r="I2074" t="s">
        <v>28</v>
      </c>
      <c r="J2074" t="str" cm="1">
        <f t="array" ref="J2074">_xlfn.IFS(I2074="S","Southamptom",I2074="Q","Quentown",I2074="C","Cherbrug",I2074="B","Cabin")</f>
        <v>Cabin</v>
      </c>
      <c r="K2074" t="s">
        <v>15</v>
      </c>
      <c r="L2074" s="2">
        <v>33</v>
      </c>
      <c r="M2074" s="2" t="str" cm="1">
        <f t="array" ref="M2074">_xlfn.IFS(L2074&lt;=15,"Low Fare",L2074&lt;=35,"Medium Fare",L2074&lt;=100,"High Fare",L2074&gt;=100,"Very High Fare")</f>
        <v>Medium Fare</v>
      </c>
      <c r="N2074" s="2">
        <v>1</v>
      </c>
      <c r="O2074" s="2" t="s">
        <v>30</v>
      </c>
      <c r="P2074" t="e">
        <f t="shared" si="129"/>
        <v>#VALUE!</v>
      </c>
      <c r="Q2074" t="e">
        <f t="shared" si="130"/>
        <v>#VALUE!</v>
      </c>
      <c r="R2074" t="str">
        <f t="shared" si="131"/>
        <v>No</v>
      </c>
      <c r="S2074" t="s">
        <v>13</v>
      </c>
    </row>
    <row r="2075" spans="1:19" hidden="1" x14ac:dyDescent="0.3">
      <c r="A2075" s="1" t="s">
        <v>1512</v>
      </c>
      <c r="B2075" t="s">
        <v>1596</v>
      </c>
      <c r="C2075" t="s">
        <v>3116</v>
      </c>
      <c r="D2075" t="str">
        <f t="shared" si="128"/>
        <v>Male</v>
      </c>
      <c r="E2075" t="s">
        <v>9</v>
      </c>
      <c r="F2075" s="2">
        <v>30</v>
      </c>
      <c r="G2075" s="2" t="str" cm="1">
        <f t="array" ref="G2075">_xlfn.IFS(F2075&lt;=8,"Child",F2075&lt;=17,"Teen",F2075&lt;=35,"Adult",F2075&lt;=55,"Seniour Adult",F2075&gt;=55,"Old Age")</f>
        <v>Adult</v>
      </c>
      <c r="H2075" t="s">
        <v>51</v>
      </c>
      <c r="I2075" t="s">
        <v>11</v>
      </c>
      <c r="J2075" t="str" cm="1">
        <f t="array" ref="J2075">_xlfn.IFS(I2075="S","Southamptom",I2075="Q","Quentown",I2075="C","Cherbrug",I2075="B","Cabin")</f>
        <v>Southamptom</v>
      </c>
      <c r="K2075" t="s">
        <v>15</v>
      </c>
      <c r="L2075" s="2">
        <v>33</v>
      </c>
      <c r="M2075" s="2" t="str" cm="1">
        <f t="array" ref="M2075">_xlfn.IFS(L2075&lt;=15,"Low Fare",L2075&lt;=35,"Medium Fare",L2075&lt;=100,"High Fare",L2075&gt;=100,"Very High Fare")</f>
        <v>Medium Fare</v>
      </c>
      <c r="N2075" s="2">
        <v>1</v>
      </c>
      <c r="O2075" s="2" t="s">
        <v>30</v>
      </c>
      <c r="P2075" t="e">
        <f t="shared" si="129"/>
        <v>#VALUE!</v>
      </c>
      <c r="Q2075" t="e">
        <f t="shared" si="130"/>
        <v>#VALUE!</v>
      </c>
      <c r="R2075" t="str">
        <f t="shared" si="131"/>
        <v>No</v>
      </c>
      <c r="S2075" t="s">
        <v>13</v>
      </c>
    </row>
    <row r="2076" spans="1:19" hidden="1" x14ac:dyDescent="0.3">
      <c r="A2076" s="1" t="s">
        <v>863</v>
      </c>
      <c r="B2076" t="s">
        <v>1596</v>
      </c>
      <c r="C2076" t="s">
        <v>1610</v>
      </c>
      <c r="D2076" t="str">
        <f t="shared" si="128"/>
        <v>Male</v>
      </c>
      <c r="E2076" t="s">
        <v>9</v>
      </c>
      <c r="F2076" s="2">
        <v>28</v>
      </c>
      <c r="G2076" s="2" t="str" cm="1">
        <f t="array" ref="G2076">_xlfn.IFS(F2076&lt;=8,"Child",F2076&lt;=17,"Teen",F2076&lt;=35,"Adult",F2076&lt;=55,"Seniour Adult",F2076&gt;=55,"Old Age")</f>
        <v>Adult</v>
      </c>
      <c r="H2076" t="s">
        <v>69</v>
      </c>
      <c r="I2076" t="s">
        <v>28</v>
      </c>
      <c r="J2076" t="str" cm="1">
        <f t="array" ref="J2076">_xlfn.IFS(I2076="S","Southamptom",I2076="Q","Quentown",I2076="C","Cherbrug",I2076="B","Cabin")</f>
        <v>Cabin</v>
      </c>
      <c r="K2076" t="s">
        <v>43</v>
      </c>
      <c r="L2076" s="2">
        <v>33</v>
      </c>
      <c r="M2076" s="2" t="str" cm="1">
        <f t="array" ref="M2076">_xlfn.IFS(L2076&lt;=15,"Low Fare",L2076&lt;=35,"Medium Fare",L2076&lt;=100,"High Fare",L2076&gt;=100,"Very High Fare")</f>
        <v>Medium Fare</v>
      </c>
      <c r="N2076" s="2">
        <v>1</v>
      </c>
      <c r="O2076" s="2" t="s">
        <v>30</v>
      </c>
      <c r="P2076" t="e">
        <f t="shared" si="129"/>
        <v>#VALUE!</v>
      </c>
      <c r="Q2076" t="e">
        <f t="shared" si="130"/>
        <v>#VALUE!</v>
      </c>
      <c r="R2076" t="str">
        <f t="shared" si="131"/>
        <v>Yes</v>
      </c>
      <c r="S2076" t="s">
        <v>16</v>
      </c>
    </row>
    <row r="2077" spans="1:19" hidden="1" x14ac:dyDescent="0.3">
      <c r="A2077" s="1" t="s">
        <v>1513</v>
      </c>
      <c r="B2077" t="s">
        <v>1596</v>
      </c>
      <c r="C2077" t="s">
        <v>3117</v>
      </c>
      <c r="D2077" t="str">
        <f t="shared" si="128"/>
        <v>Male</v>
      </c>
      <c r="E2077" t="s">
        <v>9</v>
      </c>
      <c r="F2077" s="2">
        <v>20</v>
      </c>
      <c r="G2077" s="2" t="str" cm="1">
        <f t="array" ref="G2077">_xlfn.IFS(F2077&lt;=8,"Child",F2077&lt;=17,"Teen",F2077&lt;=35,"Adult",F2077&lt;=55,"Seniour Adult",F2077&gt;=55,"Old Age")</f>
        <v>Adult</v>
      </c>
      <c r="H2077" t="s">
        <v>51</v>
      </c>
      <c r="I2077" t="s">
        <v>11</v>
      </c>
      <c r="J2077" t="str" cm="1">
        <f t="array" ref="J2077">_xlfn.IFS(I2077="S","Southamptom",I2077="Q","Quentown",I2077="C","Cherbrug",I2077="B","Cabin")</f>
        <v>Southamptom</v>
      </c>
      <c r="K2077" t="s">
        <v>15</v>
      </c>
      <c r="L2077" s="2">
        <v>33</v>
      </c>
      <c r="M2077" s="2" t="str" cm="1">
        <f t="array" ref="M2077">_xlfn.IFS(L2077&lt;=15,"Low Fare",L2077&lt;=35,"Medium Fare",L2077&lt;=100,"High Fare",L2077&gt;=100,"Very High Fare")</f>
        <v>Medium Fare</v>
      </c>
      <c r="N2077" s="2">
        <v>1</v>
      </c>
      <c r="O2077" s="2" t="s">
        <v>30</v>
      </c>
      <c r="P2077" t="e">
        <f t="shared" si="129"/>
        <v>#VALUE!</v>
      </c>
      <c r="Q2077" t="e">
        <f t="shared" si="130"/>
        <v>#VALUE!</v>
      </c>
      <c r="R2077" t="str">
        <f t="shared" si="131"/>
        <v>No</v>
      </c>
      <c r="S2077" t="s">
        <v>13</v>
      </c>
    </row>
    <row r="2078" spans="1:19" hidden="1" x14ac:dyDescent="0.3">
      <c r="A2078" s="1" t="s">
        <v>865</v>
      </c>
      <c r="B2078" t="s">
        <v>1596</v>
      </c>
      <c r="C2078" t="s">
        <v>3118</v>
      </c>
      <c r="D2078" t="str">
        <f t="shared" si="128"/>
        <v>Male</v>
      </c>
      <c r="E2078" t="s">
        <v>9</v>
      </c>
      <c r="F2078" s="2">
        <v>33</v>
      </c>
      <c r="G2078" s="2" t="str" cm="1">
        <f t="array" ref="G2078">_xlfn.IFS(F2078&lt;=8,"Child",F2078&lt;=17,"Teen",F2078&lt;=35,"Adult",F2078&lt;=55,"Seniour Adult",F2078&gt;=55,"Old Age")</f>
        <v>Adult</v>
      </c>
      <c r="H2078" t="s">
        <v>69</v>
      </c>
      <c r="I2078" t="s">
        <v>11</v>
      </c>
      <c r="J2078" t="str" cm="1">
        <f t="array" ref="J2078">_xlfn.IFS(I2078="S","Southamptom",I2078="Q","Quentown",I2078="C","Cherbrug",I2078="B","Cabin")</f>
        <v>Southamptom</v>
      </c>
      <c r="K2078" t="s">
        <v>15</v>
      </c>
      <c r="L2078" s="2">
        <v>33</v>
      </c>
      <c r="M2078" s="2" t="str" cm="1">
        <f t="array" ref="M2078">_xlfn.IFS(L2078&lt;=15,"Low Fare",L2078&lt;=35,"Medium Fare",L2078&lt;=100,"High Fare",L2078&gt;=100,"Very High Fare")</f>
        <v>Medium Fare</v>
      </c>
      <c r="N2078" s="2">
        <v>1</v>
      </c>
      <c r="O2078" s="2" t="s">
        <v>30</v>
      </c>
      <c r="P2078" t="e">
        <f t="shared" si="129"/>
        <v>#VALUE!</v>
      </c>
      <c r="Q2078" t="e">
        <f t="shared" si="130"/>
        <v>#VALUE!</v>
      </c>
      <c r="R2078" t="str">
        <f t="shared" si="131"/>
        <v>No</v>
      </c>
      <c r="S2078" t="s">
        <v>13</v>
      </c>
    </row>
    <row r="2079" spans="1:19" hidden="1" x14ac:dyDescent="0.3">
      <c r="A2079" s="1" t="s">
        <v>865</v>
      </c>
      <c r="B2079" t="s">
        <v>1596</v>
      </c>
      <c r="C2079" t="s">
        <v>2255</v>
      </c>
      <c r="D2079" t="str">
        <f t="shared" si="128"/>
        <v>Male</v>
      </c>
      <c r="E2079" t="s">
        <v>9</v>
      </c>
      <c r="F2079" s="2">
        <v>29</v>
      </c>
      <c r="G2079" s="2" t="str" cm="1">
        <f t="array" ref="G2079">_xlfn.IFS(F2079&lt;=8,"Child",F2079&lt;=17,"Teen",F2079&lt;=35,"Adult",F2079&lt;=55,"Seniour Adult",F2079&gt;=55,"Old Age")</f>
        <v>Adult</v>
      </c>
      <c r="H2079" t="s">
        <v>69</v>
      </c>
      <c r="I2079" t="s">
        <v>11</v>
      </c>
      <c r="J2079" t="str" cm="1">
        <f t="array" ref="J2079">_xlfn.IFS(I2079="S","Southamptom",I2079="Q","Quentown",I2079="C","Cherbrug",I2079="B","Cabin")</f>
        <v>Southamptom</v>
      </c>
      <c r="K2079" t="s">
        <v>15</v>
      </c>
      <c r="L2079" s="2">
        <v>33</v>
      </c>
      <c r="M2079" s="2" t="str" cm="1">
        <f t="array" ref="M2079">_xlfn.IFS(L2079&lt;=15,"Low Fare",L2079&lt;=35,"Medium Fare",L2079&lt;=100,"High Fare",L2079&gt;=100,"Very High Fare")</f>
        <v>Medium Fare</v>
      </c>
      <c r="N2079" s="2">
        <v>1</v>
      </c>
      <c r="O2079" s="2" t="s">
        <v>30</v>
      </c>
      <c r="P2079" t="e">
        <f t="shared" si="129"/>
        <v>#VALUE!</v>
      </c>
      <c r="Q2079" t="e">
        <f t="shared" si="130"/>
        <v>#VALUE!</v>
      </c>
      <c r="R2079" t="str">
        <f t="shared" si="131"/>
        <v>No</v>
      </c>
      <c r="S2079" t="s">
        <v>13</v>
      </c>
    </row>
    <row r="2080" spans="1:19" hidden="1" x14ac:dyDescent="0.3">
      <c r="A2080" s="1" t="s">
        <v>1514</v>
      </c>
      <c r="B2080" t="s">
        <v>1596</v>
      </c>
      <c r="C2080" t="s">
        <v>3119</v>
      </c>
      <c r="D2080" t="str">
        <f t="shared" si="128"/>
        <v>Male</v>
      </c>
      <c r="E2080" t="s">
        <v>9</v>
      </c>
      <c r="F2080" s="2">
        <v>25</v>
      </c>
      <c r="G2080" s="2" t="str" cm="1">
        <f t="array" ref="G2080">_xlfn.IFS(F2080&lt;=8,"Child",F2080&lt;=17,"Teen",F2080&lt;=35,"Adult",F2080&lt;=55,"Seniour Adult",F2080&gt;=55,"Old Age")</f>
        <v>Adult</v>
      </c>
      <c r="H2080" t="s">
        <v>51</v>
      </c>
      <c r="I2080" t="s">
        <v>11</v>
      </c>
      <c r="J2080" t="str" cm="1">
        <f t="array" ref="J2080">_xlfn.IFS(I2080="S","Southamptom",I2080="Q","Quentown",I2080="C","Cherbrug",I2080="B","Cabin")</f>
        <v>Southamptom</v>
      </c>
      <c r="K2080" t="s">
        <v>15</v>
      </c>
      <c r="L2080" s="2">
        <v>33</v>
      </c>
      <c r="M2080" s="2" t="str" cm="1">
        <f t="array" ref="M2080">_xlfn.IFS(L2080&lt;=15,"Low Fare",L2080&lt;=35,"Medium Fare",L2080&lt;=100,"High Fare",L2080&gt;=100,"Very High Fare")</f>
        <v>Medium Fare</v>
      </c>
      <c r="N2080" s="2">
        <v>1</v>
      </c>
      <c r="O2080" s="2" t="s">
        <v>30</v>
      </c>
      <c r="P2080" t="e">
        <f t="shared" si="129"/>
        <v>#VALUE!</v>
      </c>
      <c r="Q2080" t="e">
        <f t="shared" si="130"/>
        <v>#VALUE!</v>
      </c>
      <c r="R2080" t="str">
        <f t="shared" si="131"/>
        <v>Yes</v>
      </c>
      <c r="S2080" t="s">
        <v>16</v>
      </c>
    </row>
    <row r="2081" spans="1:19" hidden="1" x14ac:dyDescent="0.3">
      <c r="A2081" s="1" t="s">
        <v>1515</v>
      </c>
      <c r="B2081" t="s">
        <v>1596</v>
      </c>
      <c r="C2081" t="s">
        <v>3120</v>
      </c>
      <c r="D2081" t="str">
        <f t="shared" si="128"/>
        <v>Male</v>
      </c>
      <c r="E2081" t="s">
        <v>9</v>
      </c>
      <c r="F2081" s="2">
        <v>19</v>
      </c>
      <c r="G2081" s="2" t="str" cm="1">
        <f t="array" ref="G2081">_xlfn.IFS(F2081&lt;=8,"Child",F2081&lt;=17,"Teen",F2081&lt;=35,"Adult",F2081&lt;=55,"Seniour Adult",F2081&gt;=55,"Old Age")</f>
        <v>Adult</v>
      </c>
      <c r="H2081" t="s">
        <v>69</v>
      </c>
      <c r="I2081" t="s">
        <v>11</v>
      </c>
      <c r="J2081" t="str" cm="1">
        <f t="array" ref="J2081">_xlfn.IFS(I2081="S","Southamptom",I2081="Q","Quentown",I2081="C","Cherbrug",I2081="B","Cabin")</f>
        <v>Southamptom</v>
      </c>
      <c r="K2081" t="s">
        <v>15</v>
      </c>
      <c r="L2081" s="2">
        <v>33</v>
      </c>
      <c r="M2081" s="2" t="str" cm="1">
        <f t="array" ref="M2081">_xlfn.IFS(L2081&lt;=15,"Low Fare",L2081&lt;=35,"Medium Fare",L2081&lt;=100,"High Fare",L2081&gt;=100,"Very High Fare")</f>
        <v>Medium Fare</v>
      </c>
      <c r="N2081" s="2">
        <v>1</v>
      </c>
      <c r="O2081" s="2" t="s">
        <v>30</v>
      </c>
      <c r="P2081" t="e">
        <f t="shared" si="129"/>
        <v>#VALUE!</v>
      </c>
      <c r="Q2081" t="e">
        <f t="shared" si="130"/>
        <v>#VALUE!</v>
      </c>
      <c r="R2081" t="str">
        <f t="shared" si="131"/>
        <v>No</v>
      </c>
      <c r="S2081" t="s">
        <v>13</v>
      </c>
    </row>
    <row r="2082" spans="1:19" hidden="1" x14ac:dyDescent="0.3">
      <c r="A2082" s="1" t="s">
        <v>1515</v>
      </c>
      <c r="B2082" t="s">
        <v>1596</v>
      </c>
      <c r="C2082" t="s">
        <v>2925</v>
      </c>
      <c r="D2082" t="str">
        <f t="shared" si="128"/>
        <v>Male</v>
      </c>
      <c r="E2082" t="s">
        <v>9</v>
      </c>
      <c r="F2082" s="2">
        <v>35</v>
      </c>
      <c r="G2082" s="2" t="str" cm="1">
        <f t="array" ref="G2082">_xlfn.IFS(F2082&lt;=8,"Child",F2082&lt;=17,"Teen",F2082&lt;=35,"Adult",F2082&lt;=55,"Seniour Adult",F2082&gt;=55,"Old Age")</f>
        <v>Adult</v>
      </c>
      <c r="H2082" t="s">
        <v>69</v>
      </c>
      <c r="I2082" t="s">
        <v>11</v>
      </c>
      <c r="J2082" t="str" cm="1">
        <f t="array" ref="J2082">_xlfn.IFS(I2082="S","Southamptom",I2082="Q","Quentown",I2082="C","Cherbrug",I2082="B","Cabin")</f>
        <v>Southamptom</v>
      </c>
      <c r="K2082" t="s">
        <v>15</v>
      </c>
      <c r="L2082" s="2">
        <v>33</v>
      </c>
      <c r="M2082" s="2" t="str" cm="1">
        <f t="array" ref="M2082">_xlfn.IFS(L2082&lt;=15,"Low Fare",L2082&lt;=35,"Medium Fare",L2082&lt;=100,"High Fare",L2082&gt;=100,"Very High Fare")</f>
        <v>Medium Fare</v>
      </c>
      <c r="N2082" s="2">
        <v>1</v>
      </c>
      <c r="O2082" s="2" t="s">
        <v>30</v>
      </c>
      <c r="P2082" t="e">
        <f t="shared" si="129"/>
        <v>#VALUE!</v>
      </c>
      <c r="Q2082" t="e">
        <f t="shared" si="130"/>
        <v>#VALUE!</v>
      </c>
      <c r="R2082" t="str">
        <f t="shared" si="131"/>
        <v>No</v>
      </c>
      <c r="S2082" t="s">
        <v>13</v>
      </c>
    </row>
    <row r="2083" spans="1:19" hidden="1" x14ac:dyDescent="0.3">
      <c r="A2083" s="1" t="s">
        <v>1516</v>
      </c>
      <c r="B2083" t="s">
        <v>1596</v>
      </c>
      <c r="C2083" t="s">
        <v>3121</v>
      </c>
      <c r="D2083" t="str">
        <f t="shared" si="128"/>
        <v>Male</v>
      </c>
      <c r="E2083" t="s">
        <v>9</v>
      </c>
      <c r="F2083" s="2">
        <v>34</v>
      </c>
      <c r="G2083" s="2" t="str" cm="1">
        <f t="array" ref="G2083">_xlfn.IFS(F2083&lt;=8,"Child",F2083&lt;=17,"Teen",F2083&lt;=35,"Adult",F2083&lt;=55,"Seniour Adult",F2083&gt;=55,"Old Age")</f>
        <v>Adult</v>
      </c>
      <c r="H2083" t="s">
        <v>69</v>
      </c>
      <c r="I2083" t="s">
        <v>28</v>
      </c>
      <c r="J2083" t="str" cm="1">
        <f t="array" ref="J2083">_xlfn.IFS(I2083="S","Southamptom",I2083="Q","Quentown",I2083="C","Cherbrug",I2083="B","Cabin")</f>
        <v>Cabin</v>
      </c>
      <c r="K2083" t="s">
        <v>15</v>
      </c>
      <c r="L2083" s="2">
        <v>33</v>
      </c>
      <c r="M2083" s="2" t="str" cm="1">
        <f t="array" ref="M2083">_xlfn.IFS(L2083&lt;=15,"Low Fare",L2083&lt;=35,"Medium Fare",L2083&lt;=100,"High Fare",L2083&gt;=100,"Very High Fare")</f>
        <v>Medium Fare</v>
      </c>
      <c r="N2083" s="2">
        <v>1</v>
      </c>
      <c r="O2083" s="2" t="s">
        <v>30</v>
      </c>
      <c r="P2083" t="e">
        <f t="shared" si="129"/>
        <v>#VALUE!</v>
      </c>
      <c r="Q2083" t="e">
        <f t="shared" si="130"/>
        <v>#VALUE!</v>
      </c>
      <c r="R2083" t="str">
        <f t="shared" si="131"/>
        <v>No</v>
      </c>
      <c r="S2083" t="s">
        <v>13</v>
      </c>
    </row>
    <row r="2084" spans="1:19" hidden="1" x14ac:dyDescent="0.3">
      <c r="A2084" s="1" t="s">
        <v>1517</v>
      </c>
      <c r="B2084" t="s">
        <v>1596</v>
      </c>
      <c r="C2084" t="s">
        <v>3122</v>
      </c>
      <c r="D2084" t="str">
        <f t="shared" si="128"/>
        <v>Male</v>
      </c>
      <c r="E2084" t="s">
        <v>9</v>
      </c>
      <c r="F2084" s="2">
        <v>31</v>
      </c>
      <c r="G2084" s="2" t="str" cm="1">
        <f t="array" ref="G2084">_xlfn.IFS(F2084&lt;=8,"Child",F2084&lt;=17,"Teen",F2084&lt;=35,"Adult",F2084&lt;=55,"Seniour Adult",F2084&gt;=55,"Old Age")</f>
        <v>Adult</v>
      </c>
      <c r="H2084" t="s">
        <v>69</v>
      </c>
      <c r="I2084" t="s">
        <v>28</v>
      </c>
      <c r="J2084" t="str" cm="1">
        <f t="array" ref="J2084">_xlfn.IFS(I2084="S","Southamptom",I2084="Q","Quentown",I2084="C","Cherbrug",I2084="B","Cabin")</f>
        <v>Cabin</v>
      </c>
      <c r="K2084" t="s">
        <v>15</v>
      </c>
      <c r="L2084" s="2">
        <v>33</v>
      </c>
      <c r="M2084" s="2" t="str" cm="1">
        <f t="array" ref="M2084">_xlfn.IFS(L2084&lt;=15,"Low Fare",L2084&lt;=35,"Medium Fare",L2084&lt;=100,"High Fare",L2084&gt;=100,"Very High Fare")</f>
        <v>Medium Fare</v>
      </c>
      <c r="N2084" s="2">
        <v>1</v>
      </c>
      <c r="O2084" s="2" t="s">
        <v>30</v>
      </c>
      <c r="P2084" t="e">
        <f t="shared" si="129"/>
        <v>#VALUE!</v>
      </c>
      <c r="Q2084" t="e">
        <f t="shared" si="130"/>
        <v>#VALUE!</v>
      </c>
      <c r="R2084" t="str">
        <f t="shared" si="131"/>
        <v>No</v>
      </c>
      <c r="S2084" t="s">
        <v>13</v>
      </c>
    </row>
    <row r="2085" spans="1:19" hidden="1" x14ac:dyDescent="0.3">
      <c r="A2085" s="1" t="s">
        <v>1518</v>
      </c>
      <c r="B2085" t="s">
        <v>1596</v>
      </c>
      <c r="C2085" t="s">
        <v>3123</v>
      </c>
      <c r="D2085" t="str">
        <f t="shared" si="128"/>
        <v>Male</v>
      </c>
      <c r="E2085" t="s">
        <v>9</v>
      </c>
      <c r="F2085" s="2">
        <v>28</v>
      </c>
      <c r="G2085" s="2" t="str" cm="1">
        <f t="array" ref="G2085">_xlfn.IFS(F2085&lt;=8,"Child",F2085&lt;=17,"Teen",F2085&lt;=35,"Adult",F2085&lt;=55,"Seniour Adult",F2085&gt;=55,"Old Age")</f>
        <v>Adult</v>
      </c>
      <c r="H2085" t="s">
        <v>51</v>
      </c>
      <c r="I2085" t="s">
        <v>11</v>
      </c>
      <c r="J2085" t="str" cm="1">
        <f t="array" ref="J2085">_xlfn.IFS(I2085="S","Southamptom",I2085="Q","Quentown",I2085="C","Cherbrug",I2085="B","Cabin")</f>
        <v>Southamptom</v>
      </c>
      <c r="K2085" t="s">
        <v>15</v>
      </c>
      <c r="L2085" s="2">
        <v>33</v>
      </c>
      <c r="M2085" s="2" t="str" cm="1">
        <f t="array" ref="M2085">_xlfn.IFS(L2085&lt;=15,"Low Fare",L2085&lt;=35,"Medium Fare",L2085&lt;=100,"High Fare",L2085&gt;=100,"Very High Fare")</f>
        <v>Medium Fare</v>
      </c>
      <c r="N2085" s="2">
        <v>1</v>
      </c>
      <c r="O2085" s="2" t="s">
        <v>30</v>
      </c>
      <c r="P2085" t="e">
        <f t="shared" si="129"/>
        <v>#VALUE!</v>
      </c>
      <c r="Q2085" t="e">
        <f t="shared" si="130"/>
        <v>#VALUE!</v>
      </c>
      <c r="R2085" t="str">
        <f t="shared" si="131"/>
        <v>No</v>
      </c>
      <c r="S2085" t="s">
        <v>13</v>
      </c>
    </row>
    <row r="2086" spans="1:19" hidden="1" x14ac:dyDescent="0.3">
      <c r="A2086" s="1" t="s">
        <v>1519</v>
      </c>
      <c r="B2086" t="s">
        <v>1596</v>
      </c>
      <c r="C2086" t="s">
        <v>2886</v>
      </c>
      <c r="D2086" t="str">
        <f t="shared" si="128"/>
        <v>Male</v>
      </c>
      <c r="E2086" t="s">
        <v>9</v>
      </c>
      <c r="F2086" s="2">
        <v>25</v>
      </c>
      <c r="G2086" s="2" t="str" cm="1">
        <f t="array" ref="G2086">_xlfn.IFS(F2086&lt;=8,"Child",F2086&lt;=17,"Teen",F2086&lt;=35,"Adult",F2086&lt;=55,"Seniour Adult",F2086&gt;=55,"Old Age")</f>
        <v>Adult</v>
      </c>
      <c r="H2086" t="s">
        <v>51</v>
      </c>
      <c r="I2086" t="s">
        <v>11</v>
      </c>
      <c r="J2086" t="str" cm="1">
        <f t="array" ref="J2086">_xlfn.IFS(I2086="S","Southamptom",I2086="Q","Quentown",I2086="C","Cherbrug",I2086="B","Cabin")</f>
        <v>Southamptom</v>
      </c>
      <c r="K2086" t="s">
        <v>15</v>
      </c>
      <c r="L2086" s="2">
        <v>33</v>
      </c>
      <c r="M2086" s="2" t="str" cm="1">
        <f t="array" ref="M2086">_xlfn.IFS(L2086&lt;=15,"Low Fare",L2086&lt;=35,"Medium Fare",L2086&lt;=100,"High Fare",L2086&gt;=100,"Very High Fare")</f>
        <v>Medium Fare</v>
      </c>
      <c r="N2086" s="2">
        <v>1</v>
      </c>
      <c r="O2086" s="2" t="s">
        <v>30</v>
      </c>
      <c r="P2086" t="e">
        <f t="shared" si="129"/>
        <v>#VALUE!</v>
      </c>
      <c r="Q2086" t="e">
        <f t="shared" si="130"/>
        <v>#VALUE!</v>
      </c>
      <c r="R2086" t="str">
        <f t="shared" si="131"/>
        <v>No</v>
      </c>
      <c r="S2086" t="s">
        <v>13</v>
      </c>
    </row>
    <row r="2087" spans="1:19" hidden="1" x14ac:dyDescent="0.3">
      <c r="A2087" s="1" t="s">
        <v>1520</v>
      </c>
      <c r="B2087" t="s">
        <v>1596</v>
      </c>
      <c r="C2087" t="s">
        <v>1619</v>
      </c>
      <c r="D2087" t="str">
        <f t="shared" si="128"/>
        <v>Male</v>
      </c>
      <c r="E2087" t="s">
        <v>9</v>
      </c>
      <c r="F2087" s="2">
        <v>48</v>
      </c>
      <c r="G2087" s="2" t="str" cm="1">
        <f t="array" ref="G2087">_xlfn.IFS(F2087&lt;=8,"Child",F2087&lt;=17,"Teen",F2087&lt;=35,"Adult",F2087&lt;=55,"Seniour Adult",F2087&gt;=55,"Old Age")</f>
        <v>Seniour Adult</v>
      </c>
      <c r="H2087" t="s">
        <v>69</v>
      </c>
      <c r="I2087" t="s">
        <v>28</v>
      </c>
      <c r="J2087" t="str" cm="1">
        <f t="array" ref="J2087">_xlfn.IFS(I2087="S","Southamptom",I2087="Q","Quentown",I2087="C","Cherbrug",I2087="B","Cabin")</f>
        <v>Cabin</v>
      </c>
      <c r="K2087" t="s">
        <v>29</v>
      </c>
      <c r="L2087" s="2">
        <v>33</v>
      </c>
      <c r="M2087" s="2" t="str" cm="1">
        <f t="array" ref="M2087">_xlfn.IFS(L2087&lt;=15,"Low Fare",L2087&lt;=35,"Medium Fare",L2087&lt;=100,"High Fare",L2087&gt;=100,"Very High Fare")</f>
        <v>Medium Fare</v>
      </c>
      <c r="N2087" s="2">
        <v>1</v>
      </c>
      <c r="O2087" s="2" t="s">
        <v>30</v>
      </c>
      <c r="P2087" t="e">
        <f t="shared" si="129"/>
        <v>#VALUE!</v>
      </c>
      <c r="Q2087" t="e">
        <f t="shared" si="130"/>
        <v>#VALUE!</v>
      </c>
      <c r="R2087" t="str">
        <f t="shared" si="131"/>
        <v>No</v>
      </c>
      <c r="S2087" t="s">
        <v>13</v>
      </c>
    </row>
    <row r="2088" spans="1:19" hidden="1" x14ac:dyDescent="0.3">
      <c r="A2088" s="1" t="s">
        <v>1521</v>
      </c>
      <c r="B2088" t="s">
        <v>1596</v>
      </c>
      <c r="C2088" t="s">
        <v>3124</v>
      </c>
      <c r="D2088" t="str">
        <f t="shared" si="128"/>
        <v>Male</v>
      </c>
      <c r="E2088" t="s">
        <v>9</v>
      </c>
      <c r="F2088" s="2">
        <v>45</v>
      </c>
      <c r="G2088" s="2" t="str" cm="1">
        <f t="array" ref="G2088">_xlfn.IFS(F2088&lt;=8,"Child",F2088&lt;=17,"Teen",F2088&lt;=35,"Adult",F2088&lt;=55,"Seniour Adult",F2088&gt;=55,"Old Age")</f>
        <v>Seniour Adult</v>
      </c>
      <c r="H2088" t="s">
        <v>69</v>
      </c>
      <c r="I2088" t="s">
        <v>28</v>
      </c>
      <c r="J2088" t="str" cm="1">
        <f t="array" ref="J2088">_xlfn.IFS(I2088="S","Southamptom",I2088="Q","Quentown",I2088="C","Cherbrug",I2088="B","Cabin")</f>
        <v>Cabin</v>
      </c>
      <c r="K2088" t="s">
        <v>15</v>
      </c>
      <c r="L2088" s="2">
        <v>33</v>
      </c>
      <c r="M2088" s="2" t="str" cm="1">
        <f t="array" ref="M2088">_xlfn.IFS(L2088&lt;=15,"Low Fare",L2088&lt;=35,"Medium Fare",L2088&lt;=100,"High Fare",L2088&gt;=100,"Very High Fare")</f>
        <v>Medium Fare</v>
      </c>
      <c r="N2088" s="2">
        <v>1</v>
      </c>
      <c r="O2088" s="2" t="s">
        <v>30</v>
      </c>
      <c r="P2088" t="e">
        <f t="shared" si="129"/>
        <v>#VALUE!</v>
      </c>
      <c r="Q2088" t="e">
        <f t="shared" si="130"/>
        <v>#VALUE!</v>
      </c>
      <c r="R2088" t="str">
        <f t="shared" si="131"/>
        <v>No</v>
      </c>
      <c r="S2088" t="s">
        <v>13</v>
      </c>
    </row>
    <row r="2089" spans="1:19" hidden="1" x14ac:dyDescent="0.3">
      <c r="A2089" s="1" t="s">
        <v>1522</v>
      </c>
      <c r="B2089" t="s">
        <v>1596</v>
      </c>
      <c r="C2089" t="s">
        <v>3125</v>
      </c>
      <c r="D2089" t="str">
        <f t="shared" si="128"/>
        <v>Male</v>
      </c>
      <c r="E2089" t="s">
        <v>9</v>
      </c>
      <c r="F2089" s="2">
        <v>24</v>
      </c>
      <c r="G2089" s="2" t="str" cm="1">
        <f t="array" ref="G2089">_xlfn.IFS(F2089&lt;=8,"Child",F2089&lt;=17,"Teen",F2089&lt;=35,"Adult",F2089&lt;=55,"Seniour Adult",F2089&gt;=55,"Old Age")</f>
        <v>Adult</v>
      </c>
      <c r="H2089" t="s">
        <v>71</v>
      </c>
      <c r="I2089" t="s">
        <v>11</v>
      </c>
      <c r="J2089" t="str" cm="1">
        <f t="array" ref="J2089">_xlfn.IFS(I2089="S","Southamptom",I2089="Q","Quentown",I2089="C","Cherbrug",I2089="B","Cabin")</f>
        <v>Southamptom</v>
      </c>
      <c r="K2089" t="s">
        <v>15</v>
      </c>
      <c r="L2089" s="2">
        <v>33</v>
      </c>
      <c r="M2089" s="2" t="str" cm="1">
        <f t="array" ref="M2089">_xlfn.IFS(L2089&lt;=15,"Low Fare",L2089&lt;=35,"Medium Fare",L2089&lt;=100,"High Fare",L2089&gt;=100,"Very High Fare")</f>
        <v>Medium Fare</v>
      </c>
      <c r="N2089" s="2">
        <v>1</v>
      </c>
      <c r="O2089" s="2" t="s">
        <v>30</v>
      </c>
      <c r="P2089" t="e">
        <f t="shared" si="129"/>
        <v>#VALUE!</v>
      </c>
      <c r="Q2089" t="e">
        <f t="shared" si="130"/>
        <v>#VALUE!</v>
      </c>
      <c r="R2089" t="str">
        <f t="shared" si="131"/>
        <v>Yes</v>
      </c>
      <c r="S2089" t="s">
        <v>16</v>
      </c>
    </row>
    <row r="2090" spans="1:19" hidden="1" x14ac:dyDescent="0.3">
      <c r="A2090" s="1" t="s">
        <v>1523</v>
      </c>
      <c r="B2090" t="s">
        <v>1596</v>
      </c>
      <c r="C2090" t="s">
        <v>3126</v>
      </c>
      <c r="D2090" t="str">
        <f t="shared" si="128"/>
        <v>Male</v>
      </c>
      <c r="E2090" t="s">
        <v>9</v>
      </c>
      <c r="F2090" s="2">
        <v>20</v>
      </c>
      <c r="G2090" s="2" t="str" cm="1">
        <f t="array" ref="G2090">_xlfn.IFS(F2090&lt;=8,"Child",F2090&lt;=17,"Teen",F2090&lt;=35,"Adult",F2090&lt;=55,"Seniour Adult",F2090&gt;=55,"Old Age")</f>
        <v>Adult</v>
      </c>
      <c r="H2090" t="s">
        <v>69</v>
      </c>
      <c r="I2090" t="s">
        <v>11</v>
      </c>
      <c r="J2090" t="str" cm="1">
        <f t="array" ref="J2090">_xlfn.IFS(I2090="S","Southamptom",I2090="Q","Quentown",I2090="C","Cherbrug",I2090="B","Cabin")</f>
        <v>Southamptom</v>
      </c>
      <c r="K2090" t="s">
        <v>15</v>
      </c>
      <c r="L2090" s="2">
        <v>33</v>
      </c>
      <c r="M2090" s="2" t="str" cm="1">
        <f t="array" ref="M2090">_xlfn.IFS(L2090&lt;=15,"Low Fare",L2090&lt;=35,"Medium Fare",L2090&lt;=100,"High Fare",L2090&gt;=100,"Very High Fare")</f>
        <v>Medium Fare</v>
      </c>
      <c r="N2090" s="2">
        <v>1</v>
      </c>
      <c r="O2090" s="2" t="s">
        <v>30</v>
      </c>
      <c r="P2090" t="e">
        <f t="shared" si="129"/>
        <v>#VALUE!</v>
      </c>
      <c r="Q2090" t="e">
        <f t="shared" si="130"/>
        <v>#VALUE!</v>
      </c>
      <c r="R2090" t="str">
        <f t="shared" si="131"/>
        <v>No</v>
      </c>
      <c r="S2090" t="s">
        <v>13</v>
      </c>
    </row>
    <row r="2091" spans="1:19" hidden="1" x14ac:dyDescent="0.3">
      <c r="A2091" s="1" t="s">
        <v>1524</v>
      </c>
      <c r="B2091" t="s">
        <v>1596</v>
      </c>
      <c r="C2091" t="s">
        <v>2511</v>
      </c>
      <c r="D2091" t="str">
        <f t="shared" si="128"/>
        <v>Male</v>
      </c>
      <c r="E2091" t="s">
        <v>9</v>
      </c>
      <c r="F2091" s="2">
        <v>24</v>
      </c>
      <c r="G2091" s="2" t="str" cm="1">
        <f t="array" ref="G2091">_xlfn.IFS(F2091&lt;=8,"Child",F2091&lt;=17,"Teen",F2091&lt;=35,"Adult",F2091&lt;=55,"Seniour Adult",F2091&gt;=55,"Old Age")</f>
        <v>Adult</v>
      </c>
      <c r="H2091" t="s">
        <v>71</v>
      </c>
      <c r="I2091" t="s">
        <v>11</v>
      </c>
      <c r="J2091" t="str" cm="1">
        <f t="array" ref="J2091">_xlfn.IFS(I2091="S","Southamptom",I2091="Q","Quentown",I2091="C","Cherbrug",I2091="B","Cabin")</f>
        <v>Southamptom</v>
      </c>
      <c r="K2091" t="s">
        <v>15</v>
      </c>
      <c r="L2091" s="2">
        <v>33</v>
      </c>
      <c r="M2091" s="2" t="str" cm="1">
        <f t="array" ref="M2091">_xlfn.IFS(L2091&lt;=15,"Low Fare",L2091&lt;=35,"Medium Fare",L2091&lt;=100,"High Fare",L2091&gt;=100,"Very High Fare")</f>
        <v>Medium Fare</v>
      </c>
      <c r="N2091" s="2">
        <v>1</v>
      </c>
      <c r="O2091" s="2" t="s">
        <v>30</v>
      </c>
      <c r="P2091" t="e">
        <f t="shared" si="129"/>
        <v>#VALUE!</v>
      </c>
      <c r="Q2091" t="e">
        <f t="shared" si="130"/>
        <v>#VALUE!</v>
      </c>
      <c r="R2091" t="str">
        <f t="shared" si="131"/>
        <v>No</v>
      </c>
      <c r="S2091" t="s">
        <v>13</v>
      </c>
    </row>
    <row r="2092" spans="1:19" hidden="1" x14ac:dyDescent="0.3">
      <c r="A2092" s="1" t="s">
        <v>883</v>
      </c>
      <c r="B2092" t="s">
        <v>1596</v>
      </c>
      <c r="C2092" t="s">
        <v>3127</v>
      </c>
      <c r="D2092" t="str">
        <f t="shared" si="128"/>
        <v>Male</v>
      </c>
      <c r="E2092" t="s">
        <v>9</v>
      </c>
      <c r="F2092" s="2">
        <v>22</v>
      </c>
      <c r="G2092" s="2" t="str" cm="1">
        <f t="array" ref="G2092">_xlfn.IFS(F2092&lt;=8,"Child",F2092&lt;=17,"Teen",F2092&lt;=35,"Adult",F2092&lt;=55,"Seniour Adult",F2092&gt;=55,"Old Age")</f>
        <v>Adult</v>
      </c>
      <c r="H2092" t="s">
        <v>69</v>
      </c>
      <c r="I2092" t="s">
        <v>11</v>
      </c>
      <c r="J2092" t="str" cm="1">
        <f t="array" ref="J2092">_xlfn.IFS(I2092="S","Southamptom",I2092="Q","Quentown",I2092="C","Cherbrug",I2092="B","Cabin")</f>
        <v>Southamptom</v>
      </c>
      <c r="K2092" t="s">
        <v>15</v>
      </c>
      <c r="L2092" s="2">
        <v>33</v>
      </c>
      <c r="M2092" s="2" t="str" cm="1">
        <f t="array" ref="M2092">_xlfn.IFS(L2092&lt;=15,"Low Fare",L2092&lt;=35,"Medium Fare",L2092&lt;=100,"High Fare",L2092&gt;=100,"Very High Fare")</f>
        <v>Medium Fare</v>
      </c>
      <c r="N2092" s="2">
        <v>1</v>
      </c>
      <c r="O2092" s="2" t="s">
        <v>30</v>
      </c>
      <c r="P2092" t="e">
        <f t="shared" si="129"/>
        <v>#VALUE!</v>
      </c>
      <c r="Q2092" t="e">
        <f t="shared" si="130"/>
        <v>#VALUE!</v>
      </c>
      <c r="R2092" t="str">
        <f t="shared" si="131"/>
        <v>No</v>
      </c>
      <c r="S2092" t="s">
        <v>13</v>
      </c>
    </row>
    <row r="2093" spans="1:19" hidden="1" x14ac:dyDescent="0.3">
      <c r="A2093" s="1" t="s">
        <v>883</v>
      </c>
      <c r="B2093" t="s">
        <v>1596</v>
      </c>
      <c r="C2093" t="s">
        <v>3128</v>
      </c>
      <c r="D2093" t="str">
        <f t="shared" si="128"/>
        <v>Male</v>
      </c>
      <c r="E2093" t="s">
        <v>9</v>
      </c>
      <c r="F2093" s="2">
        <v>40</v>
      </c>
      <c r="G2093" s="2" t="str" cm="1">
        <f t="array" ref="G2093">_xlfn.IFS(F2093&lt;=8,"Child",F2093&lt;=17,"Teen",F2093&lt;=35,"Adult",F2093&lt;=55,"Seniour Adult",F2093&gt;=55,"Old Age")</f>
        <v>Seniour Adult</v>
      </c>
      <c r="H2093" t="s">
        <v>71</v>
      </c>
      <c r="I2093" t="s">
        <v>11</v>
      </c>
      <c r="J2093" t="str" cm="1">
        <f t="array" ref="J2093">_xlfn.IFS(I2093="S","Southamptom",I2093="Q","Quentown",I2093="C","Cherbrug",I2093="B","Cabin")</f>
        <v>Southamptom</v>
      </c>
      <c r="K2093" t="s">
        <v>15</v>
      </c>
      <c r="L2093" s="2">
        <v>33</v>
      </c>
      <c r="M2093" s="2" t="str" cm="1">
        <f t="array" ref="M2093">_xlfn.IFS(L2093&lt;=15,"Low Fare",L2093&lt;=35,"Medium Fare",L2093&lt;=100,"High Fare",L2093&gt;=100,"Very High Fare")</f>
        <v>Medium Fare</v>
      </c>
      <c r="N2093" s="2">
        <v>1</v>
      </c>
      <c r="O2093" s="2" t="s">
        <v>30</v>
      </c>
      <c r="P2093" t="e">
        <f t="shared" si="129"/>
        <v>#VALUE!</v>
      </c>
      <c r="Q2093" t="e">
        <f t="shared" si="130"/>
        <v>#VALUE!</v>
      </c>
      <c r="R2093" t="str">
        <f t="shared" si="131"/>
        <v>No</v>
      </c>
      <c r="S2093" t="s">
        <v>13</v>
      </c>
    </row>
    <row r="2094" spans="1:19" hidden="1" x14ac:dyDescent="0.3">
      <c r="A2094" s="1" t="s">
        <v>883</v>
      </c>
      <c r="B2094" t="s">
        <v>1596</v>
      </c>
      <c r="C2094" t="s">
        <v>2038</v>
      </c>
      <c r="D2094" t="str">
        <f t="shared" si="128"/>
        <v>Male</v>
      </c>
      <c r="E2094" t="s">
        <v>9</v>
      </c>
      <c r="F2094" s="2">
        <v>24</v>
      </c>
      <c r="G2094" s="2" t="str" cm="1">
        <f t="array" ref="G2094">_xlfn.IFS(F2094&lt;=8,"Child",F2094&lt;=17,"Teen",F2094&lt;=35,"Adult",F2094&lt;=55,"Seniour Adult",F2094&gt;=55,"Old Age")</f>
        <v>Adult</v>
      </c>
      <c r="H2094" t="s">
        <v>51</v>
      </c>
      <c r="I2094" t="s">
        <v>11</v>
      </c>
      <c r="J2094" t="str" cm="1">
        <f t="array" ref="J2094">_xlfn.IFS(I2094="S","Southamptom",I2094="Q","Quentown",I2094="C","Cherbrug",I2094="B","Cabin")</f>
        <v>Southamptom</v>
      </c>
      <c r="K2094" t="s">
        <v>15</v>
      </c>
      <c r="L2094" s="2">
        <v>33</v>
      </c>
      <c r="M2094" s="2" t="str" cm="1">
        <f t="array" ref="M2094">_xlfn.IFS(L2094&lt;=15,"Low Fare",L2094&lt;=35,"Medium Fare",L2094&lt;=100,"High Fare",L2094&gt;=100,"Very High Fare")</f>
        <v>Medium Fare</v>
      </c>
      <c r="N2094" s="2">
        <v>1</v>
      </c>
      <c r="O2094" s="2" t="s">
        <v>30</v>
      </c>
      <c r="P2094" t="e">
        <f t="shared" si="129"/>
        <v>#VALUE!</v>
      </c>
      <c r="Q2094" t="e">
        <f t="shared" si="130"/>
        <v>#VALUE!</v>
      </c>
      <c r="R2094" t="str">
        <f t="shared" si="131"/>
        <v>Yes</v>
      </c>
      <c r="S2094" t="s">
        <v>16</v>
      </c>
    </row>
    <row r="2095" spans="1:19" hidden="1" x14ac:dyDescent="0.3">
      <c r="A2095" s="1" t="s">
        <v>883</v>
      </c>
      <c r="B2095" t="s">
        <v>1596</v>
      </c>
      <c r="C2095" t="s">
        <v>2779</v>
      </c>
      <c r="D2095" t="str">
        <f t="shared" si="128"/>
        <v>Male</v>
      </c>
      <c r="E2095" t="s">
        <v>9</v>
      </c>
      <c r="F2095" s="2">
        <v>42</v>
      </c>
      <c r="G2095" s="2" t="str" cm="1">
        <f t="array" ref="G2095">_xlfn.IFS(F2095&lt;=8,"Child",F2095&lt;=17,"Teen",F2095&lt;=35,"Adult",F2095&lt;=55,"Seniour Adult",F2095&gt;=55,"Old Age")</f>
        <v>Seniour Adult</v>
      </c>
      <c r="H2095" t="s">
        <v>51</v>
      </c>
      <c r="I2095" t="s">
        <v>11</v>
      </c>
      <c r="J2095" t="str" cm="1">
        <f t="array" ref="J2095">_xlfn.IFS(I2095="S","Southamptom",I2095="Q","Quentown",I2095="C","Cherbrug",I2095="B","Cabin")</f>
        <v>Southamptom</v>
      </c>
      <c r="K2095" t="s">
        <v>15</v>
      </c>
      <c r="L2095" s="2">
        <v>33</v>
      </c>
      <c r="M2095" s="2" t="str" cm="1">
        <f t="array" ref="M2095">_xlfn.IFS(L2095&lt;=15,"Low Fare",L2095&lt;=35,"Medium Fare",L2095&lt;=100,"High Fare",L2095&gt;=100,"Very High Fare")</f>
        <v>Medium Fare</v>
      </c>
      <c r="N2095" s="2">
        <v>1</v>
      </c>
      <c r="O2095" s="2" t="s">
        <v>30</v>
      </c>
      <c r="P2095" t="e">
        <f t="shared" si="129"/>
        <v>#VALUE!</v>
      </c>
      <c r="Q2095" t="e">
        <f t="shared" si="130"/>
        <v>#VALUE!</v>
      </c>
      <c r="R2095" t="str">
        <f t="shared" si="131"/>
        <v>No</v>
      </c>
      <c r="S2095" t="s">
        <v>13</v>
      </c>
    </row>
    <row r="2096" spans="1:19" hidden="1" x14ac:dyDescent="0.3">
      <c r="A2096" s="1" t="s">
        <v>883</v>
      </c>
      <c r="B2096" t="s">
        <v>1596</v>
      </c>
      <c r="C2096" t="s">
        <v>1822</v>
      </c>
      <c r="D2096" t="str">
        <f t="shared" si="128"/>
        <v>Male</v>
      </c>
      <c r="E2096" t="s">
        <v>9</v>
      </c>
      <c r="F2096" s="2">
        <v>49</v>
      </c>
      <c r="G2096" s="2" t="str" cm="1">
        <f t="array" ref="G2096">_xlfn.IFS(F2096&lt;=8,"Child",F2096&lt;=17,"Teen",F2096&lt;=35,"Adult",F2096&lt;=55,"Seniour Adult",F2096&gt;=55,"Old Age")</f>
        <v>Seniour Adult</v>
      </c>
      <c r="H2096" t="s">
        <v>51</v>
      </c>
      <c r="I2096" t="s">
        <v>11</v>
      </c>
      <c r="J2096" t="str" cm="1">
        <f t="array" ref="J2096">_xlfn.IFS(I2096="S","Southamptom",I2096="Q","Quentown",I2096="C","Cherbrug",I2096="B","Cabin")</f>
        <v>Southamptom</v>
      </c>
      <c r="K2096" t="s">
        <v>15</v>
      </c>
      <c r="L2096" s="2">
        <v>33</v>
      </c>
      <c r="M2096" s="2" t="str" cm="1">
        <f t="array" ref="M2096">_xlfn.IFS(L2096&lt;=15,"Low Fare",L2096&lt;=35,"Medium Fare",L2096&lt;=100,"High Fare",L2096&gt;=100,"Very High Fare")</f>
        <v>Medium Fare</v>
      </c>
      <c r="N2096" s="2">
        <v>1</v>
      </c>
      <c r="O2096" s="2" t="s">
        <v>30</v>
      </c>
      <c r="P2096" t="e">
        <f t="shared" si="129"/>
        <v>#VALUE!</v>
      </c>
      <c r="Q2096" t="e">
        <f t="shared" si="130"/>
        <v>#VALUE!</v>
      </c>
      <c r="R2096" t="str">
        <f t="shared" si="131"/>
        <v>No</v>
      </c>
      <c r="S2096" t="s">
        <v>13</v>
      </c>
    </row>
    <row r="2097" spans="1:19" hidden="1" x14ac:dyDescent="0.3">
      <c r="A2097" s="1" t="s">
        <v>883</v>
      </c>
      <c r="B2097" t="s">
        <v>1596</v>
      </c>
      <c r="C2097" t="s">
        <v>2914</v>
      </c>
      <c r="D2097" t="str">
        <f t="shared" si="128"/>
        <v>Male</v>
      </c>
      <c r="E2097" t="s">
        <v>9</v>
      </c>
      <c r="F2097" s="2">
        <v>19</v>
      </c>
      <c r="G2097" s="2" t="str" cm="1">
        <f t="array" ref="G2097">_xlfn.IFS(F2097&lt;=8,"Child",F2097&lt;=17,"Teen",F2097&lt;=35,"Adult",F2097&lt;=55,"Seniour Adult",F2097&gt;=55,"Old Age")</f>
        <v>Adult</v>
      </c>
      <c r="H2097" t="s">
        <v>69</v>
      </c>
      <c r="I2097" t="s">
        <v>11</v>
      </c>
      <c r="J2097" t="str" cm="1">
        <f t="array" ref="J2097">_xlfn.IFS(I2097="S","Southamptom",I2097="Q","Quentown",I2097="C","Cherbrug",I2097="B","Cabin")</f>
        <v>Southamptom</v>
      </c>
      <c r="K2097" t="s">
        <v>15</v>
      </c>
      <c r="L2097" s="2">
        <v>33</v>
      </c>
      <c r="M2097" s="2" t="str" cm="1">
        <f t="array" ref="M2097">_xlfn.IFS(L2097&lt;=15,"Low Fare",L2097&lt;=35,"Medium Fare",L2097&lt;=100,"High Fare",L2097&gt;=100,"Very High Fare")</f>
        <v>Medium Fare</v>
      </c>
      <c r="N2097" s="2">
        <v>1</v>
      </c>
      <c r="O2097" s="2" t="s">
        <v>30</v>
      </c>
      <c r="P2097" t="e">
        <f t="shared" si="129"/>
        <v>#VALUE!</v>
      </c>
      <c r="Q2097" t="e">
        <f t="shared" si="130"/>
        <v>#VALUE!</v>
      </c>
      <c r="R2097" t="str">
        <f t="shared" si="131"/>
        <v>No</v>
      </c>
      <c r="S2097" t="s">
        <v>13</v>
      </c>
    </row>
    <row r="2098" spans="1:19" hidden="1" x14ac:dyDescent="0.3">
      <c r="A2098" s="1" t="s">
        <v>883</v>
      </c>
      <c r="B2098" t="s">
        <v>1596</v>
      </c>
      <c r="C2098" t="s">
        <v>1621</v>
      </c>
      <c r="D2098" t="str">
        <f t="shared" si="128"/>
        <v>Male</v>
      </c>
      <c r="E2098" t="s">
        <v>9</v>
      </c>
      <c r="F2098" s="2">
        <v>28</v>
      </c>
      <c r="G2098" s="2" t="str" cm="1">
        <f t="array" ref="G2098">_xlfn.IFS(F2098&lt;=8,"Child",F2098&lt;=17,"Teen",F2098&lt;=35,"Adult",F2098&lt;=55,"Seniour Adult",F2098&gt;=55,"Old Age")</f>
        <v>Adult</v>
      </c>
      <c r="H2098" t="s">
        <v>51</v>
      </c>
      <c r="I2098" t="s">
        <v>11</v>
      </c>
      <c r="J2098" t="str" cm="1">
        <f t="array" ref="J2098">_xlfn.IFS(I2098="S","Southamptom",I2098="Q","Quentown",I2098="C","Cherbrug",I2098="B","Cabin")</f>
        <v>Southamptom</v>
      </c>
      <c r="K2098" t="s">
        <v>15</v>
      </c>
      <c r="L2098" s="2">
        <v>33</v>
      </c>
      <c r="M2098" s="2" t="str" cm="1">
        <f t="array" ref="M2098">_xlfn.IFS(L2098&lt;=15,"Low Fare",L2098&lt;=35,"Medium Fare",L2098&lt;=100,"High Fare",L2098&gt;=100,"Very High Fare")</f>
        <v>Medium Fare</v>
      </c>
      <c r="N2098" s="2">
        <v>1</v>
      </c>
      <c r="O2098" s="2" t="s">
        <v>30</v>
      </c>
      <c r="P2098" t="e">
        <f t="shared" si="129"/>
        <v>#VALUE!</v>
      </c>
      <c r="Q2098" t="e">
        <f t="shared" si="130"/>
        <v>#VALUE!</v>
      </c>
      <c r="R2098" t="str">
        <f t="shared" si="131"/>
        <v>Yes</v>
      </c>
      <c r="S2098" t="s">
        <v>16</v>
      </c>
    </row>
    <row r="2099" spans="1:19" hidden="1" x14ac:dyDescent="0.3">
      <c r="A2099" s="1" t="s">
        <v>883</v>
      </c>
      <c r="B2099" t="s">
        <v>1596</v>
      </c>
      <c r="C2099" t="s">
        <v>1716</v>
      </c>
      <c r="D2099" t="str">
        <f t="shared" si="128"/>
        <v>Male</v>
      </c>
      <c r="E2099" t="s">
        <v>9</v>
      </c>
      <c r="F2099" s="2">
        <v>32</v>
      </c>
      <c r="G2099" s="2" t="str" cm="1">
        <f t="array" ref="G2099">_xlfn.IFS(F2099&lt;=8,"Child",F2099&lt;=17,"Teen",F2099&lt;=35,"Adult",F2099&lt;=55,"Seniour Adult",F2099&gt;=55,"Old Age")</f>
        <v>Adult</v>
      </c>
      <c r="H2099" t="s">
        <v>69</v>
      </c>
      <c r="I2099" t="s">
        <v>11</v>
      </c>
      <c r="J2099" t="str" cm="1">
        <f t="array" ref="J2099">_xlfn.IFS(I2099="S","Southamptom",I2099="Q","Quentown",I2099="C","Cherbrug",I2099="B","Cabin")</f>
        <v>Southamptom</v>
      </c>
      <c r="K2099" t="s">
        <v>15</v>
      </c>
      <c r="L2099" s="2">
        <v>33</v>
      </c>
      <c r="M2099" s="2" t="str" cm="1">
        <f t="array" ref="M2099">_xlfn.IFS(L2099&lt;=15,"Low Fare",L2099&lt;=35,"Medium Fare",L2099&lt;=100,"High Fare",L2099&gt;=100,"Very High Fare")</f>
        <v>Medium Fare</v>
      </c>
      <c r="N2099" s="2">
        <v>1</v>
      </c>
      <c r="O2099" s="2" t="s">
        <v>30</v>
      </c>
      <c r="P2099" t="e">
        <f t="shared" si="129"/>
        <v>#VALUE!</v>
      </c>
      <c r="Q2099" t="e">
        <f t="shared" si="130"/>
        <v>#VALUE!</v>
      </c>
      <c r="R2099" t="str">
        <f t="shared" si="131"/>
        <v>No</v>
      </c>
      <c r="S2099" t="s">
        <v>13</v>
      </c>
    </row>
    <row r="2100" spans="1:19" hidden="1" x14ac:dyDescent="0.3">
      <c r="A2100" s="1" t="s">
        <v>1525</v>
      </c>
      <c r="B2100" t="s">
        <v>1596</v>
      </c>
      <c r="C2100" t="s">
        <v>3129</v>
      </c>
      <c r="D2100" t="str">
        <f t="shared" si="128"/>
        <v>Male</v>
      </c>
      <c r="E2100" t="s">
        <v>9</v>
      </c>
      <c r="F2100" s="2">
        <v>19</v>
      </c>
      <c r="G2100" s="2" t="str" cm="1">
        <f t="array" ref="G2100">_xlfn.IFS(F2100&lt;=8,"Child",F2100&lt;=17,"Teen",F2100&lt;=35,"Adult",F2100&lt;=55,"Seniour Adult",F2100&gt;=55,"Old Age")</f>
        <v>Adult</v>
      </c>
      <c r="H2100" t="s">
        <v>71</v>
      </c>
      <c r="I2100" t="s">
        <v>11</v>
      </c>
      <c r="J2100" t="str" cm="1">
        <f t="array" ref="J2100">_xlfn.IFS(I2100="S","Southamptom",I2100="Q","Quentown",I2100="C","Cherbrug",I2100="B","Cabin")</f>
        <v>Southamptom</v>
      </c>
      <c r="K2100" t="s">
        <v>15</v>
      </c>
      <c r="L2100" s="2">
        <v>33</v>
      </c>
      <c r="M2100" s="2" t="str" cm="1">
        <f t="array" ref="M2100">_xlfn.IFS(L2100&lt;=15,"Low Fare",L2100&lt;=35,"Medium Fare",L2100&lt;=100,"High Fare",L2100&gt;=100,"Very High Fare")</f>
        <v>Medium Fare</v>
      </c>
      <c r="N2100" s="2">
        <v>1</v>
      </c>
      <c r="O2100" s="2" t="s">
        <v>30</v>
      </c>
      <c r="P2100" t="e">
        <f t="shared" si="129"/>
        <v>#VALUE!</v>
      </c>
      <c r="Q2100" t="e">
        <f t="shared" si="130"/>
        <v>#VALUE!</v>
      </c>
      <c r="R2100" t="str">
        <f t="shared" si="131"/>
        <v>No</v>
      </c>
      <c r="S2100" t="s">
        <v>13</v>
      </c>
    </row>
    <row r="2101" spans="1:19" hidden="1" x14ac:dyDescent="0.3">
      <c r="A2101" s="1" t="s">
        <v>1525</v>
      </c>
      <c r="B2101" t="s">
        <v>1596</v>
      </c>
      <c r="C2101" t="s">
        <v>1945</v>
      </c>
      <c r="D2101" t="str">
        <f t="shared" si="128"/>
        <v>Male</v>
      </c>
      <c r="E2101" t="s">
        <v>9</v>
      </c>
      <c r="F2101" s="2">
        <v>27</v>
      </c>
      <c r="G2101" s="2" t="str" cm="1">
        <f t="array" ref="G2101">_xlfn.IFS(F2101&lt;=8,"Child",F2101&lt;=17,"Teen",F2101&lt;=35,"Adult",F2101&lt;=55,"Seniour Adult",F2101&gt;=55,"Old Age")</f>
        <v>Adult</v>
      </c>
      <c r="H2101" t="s">
        <v>69</v>
      </c>
      <c r="I2101" t="s">
        <v>11</v>
      </c>
      <c r="J2101" t="str" cm="1">
        <f t="array" ref="J2101">_xlfn.IFS(I2101="S","Southamptom",I2101="Q","Quentown",I2101="C","Cherbrug",I2101="B","Cabin")</f>
        <v>Southamptom</v>
      </c>
      <c r="K2101" t="s">
        <v>15</v>
      </c>
      <c r="L2101" s="2">
        <v>33</v>
      </c>
      <c r="M2101" s="2" t="str" cm="1">
        <f t="array" ref="M2101">_xlfn.IFS(L2101&lt;=15,"Low Fare",L2101&lt;=35,"Medium Fare",L2101&lt;=100,"High Fare",L2101&gt;=100,"Very High Fare")</f>
        <v>Medium Fare</v>
      </c>
      <c r="N2101" s="2">
        <v>1</v>
      </c>
      <c r="O2101" s="2" t="s">
        <v>30</v>
      </c>
      <c r="P2101" t="e">
        <f t="shared" si="129"/>
        <v>#VALUE!</v>
      </c>
      <c r="Q2101" t="e">
        <f t="shared" si="130"/>
        <v>#VALUE!</v>
      </c>
      <c r="R2101" t="str">
        <f t="shared" si="131"/>
        <v>Yes</v>
      </c>
      <c r="S2101" t="s">
        <v>16</v>
      </c>
    </row>
    <row r="2102" spans="1:19" hidden="1" x14ac:dyDescent="0.3">
      <c r="A2102" s="1" t="s">
        <v>1526</v>
      </c>
      <c r="B2102" t="s">
        <v>2719</v>
      </c>
      <c r="C2102" t="s">
        <v>3130</v>
      </c>
      <c r="D2102" t="str">
        <f t="shared" si="128"/>
        <v>Male</v>
      </c>
      <c r="E2102" t="s">
        <v>9</v>
      </c>
      <c r="F2102" s="2">
        <v>23</v>
      </c>
      <c r="G2102" s="2" t="str" cm="1">
        <f t="array" ref="G2102">_xlfn.IFS(F2102&lt;=8,"Child",F2102&lt;=17,"Teen",F2102&lt;=35,"Adult",F2102&lt;=55,"Seniour Adult",F2102&gt;=55,"Old Age")</f>
        <v>Adult</v>
      </c>
      <c r="H2102" t="s">
        <v>70</v>
      </c>
      <c r="I2102" t="s">
        <v>11</v>
      </c>
      <c r="J2102" t="str" cm="1">
        <f t="array" ref="J2102">_xlfn.IFS(I2102="S","Southamptom",I2102="Q","Quentown",I2102="C","Cherbrug",I2102="B","Cabin")</f>
        <v>Southamptom</v>
      </c>
      <c r="K2102" t="s">
        <v>15</v>
      </c>
      <c r="L2102" s="2">
        <v>33</v>
      </c>
      <c r="M2102" s="2" t="str" cm="1">
        <f t="array" ref="M2102">_xlfn.IFS(L2102&lt;=15,"Low Fare",L2102&lt;=35,"Medium Fare",L2102&lt;=100,"High Fare",L2102&gt;=100,"Very High Fare")</f>
        <v>Medium Fare</v>
      </c>
      <c r="N2102" s="2">
        <v>1</v>
      </c>
      <c r="O2102" s="2" t="s">
        <v>30</v>
      </c>
      <c r="P2102" t="e">
        <f t="shared" si="129"/>
        <v>#VALUE!</v>
      </c>
      <c r="Q2102" t="e">
        <f t="shared" si="130"/>
        <v>#VALUE!</v>
      </c>
      <c r="R2102" t="str">
        <f t="shared" si="131"/>
        <v>No</v>
      </c>
      <c r="S2102" t="s">
        <v>13</v>
      </c>
    </row>
    <row r="2103" spans="1:19" hidden="1" x14ac:dyDescent="0.3">
      <c r="A2103" s="1" t="s">
        <v>1527</v>
      </c>
      <c r="B2103" t="s">
        <v>1596</v>
      </c>
      <c r="C2103" t="s">
        <v>3131</v>
      </c>
      <c r="D2103" t="str">
        <f t="shared" si="128"/>
        <v>Male</v>
      </c>
      <c r="E2103" t="s">
        <v>9</v>
      </c>
      <c r="F2103" s="2">
        <v>35</v>
      </c>
      <c r="G2103" s="2" t="str" cm="1">
        <f t="array" ref="G2103">_xlfn.IFS(F2103&lt;=8,"Child",F2103&lt;=17,"Teen",F2103&lt;=35,"Adult",F2103&lt;=55,"Seniour Adult",F2103&gt;=55,"Old Age")</f>
        <v>Adult</v>
      </c>
      <c r="H2103" t="s">
        <v>69</v>
      </c>
      <c r="I2103" t="s">
        <v>11</v>
      </c>
      <c r="J2103" t="str" cm="1">
        <f t="array" ref="J2103">_xlfn.IFS(I2103="S","Southamptom",I2103="Q","Quentown",I2103="C","Cherbrug",I2103="B","Cabin")</f>
        <v>Southamptom</v>
      </c>
      <c r="K2103" t="s">
        <v>15</v>
      </c>
      <c r="L2103" s="2">
        <v>33</v>
      </c>
      <c r="M2103" s="2" t="str" cm="1">
        <f t="array" ref="M2103">_xlfn.IFS(L2103&lt;=15,"Low Fare",L2103&lt;=35,"Medium Fare",L2103&lt;=100,"High Fare",L2103&gt;=100,"Very High Fare")</f>
        <v>Medium Fare</v>
      </c>
      <c r="N2103" s="2">
        <v>1</v>
      </c>
      <c r="O2103" s="2" t="s">
        <v>30</v>
      </c>
      <c r="P2103" t="e">
        <f t="shared" si="129"/>
        <v>#VALUE!</v>
      </c>
      <c r="Q2103" t="e">
        <f t="shared" si="130"/>
        <v>#VALUE!</v>
      </c>
      <c r="R2103" t="str">
        <f t="shared" si="131"/>
        <v>No</v>
      </c>
      <c r="S2103" t="s">
        <v>13</v>
      </c>
    </row>
    <row r="2104" spans="1:19" hidden="1" x14ac:dyDescent="0.3">
      <c r="A2104" s="1" t="s">
        <v>1528</v>
      </c>
      <c r="B2104" t="s">
        <v>1596</v>
      </c>
      <c r="C2104" t="s">
        <v>3132</v>
      </c>
      <c r="D2104" t="str">
        <f t="shared" si="128"/>
        <v>Male</v>
      </c>
      <c r="E2104" t="s">
        <v>9</v>
      </c>
      <c r="F2104" s="2">
        <v>17</v>
      </c>
      <c r="G2104" s="2" t="str" cm="1">
        <f t="array" ref="G2104">_xlfn.IFS(F2104&lt;=8,"Child",F2104&lt;=17,"Teen",F2104&lt;=35,"Adult",F2104&lt;=55,"Seniour Adult",F2104&gt;=55,"Old Age")</f>
        <v>Teen</v>
      </c>
      <c r="H2104" t="s">
        <v>69</v>
      </c>
      <c r="I2104" t="s">
        <v>11</v>
      </c>
      <c r="J2104" t="str" cm="1">
        <f t="array" ref="J2104">_xlfn.IFS(I2104="S","Southamptom",I2104="Q","Quentown",I2104="C","Cherbrug",I2104="B","Cabin")</f>
        <v>Southamptom</v>
      </c>
      <c r="K2104" t="s">
        <v>15</v>
      </c>
      <c r="L2104" s="2">
        <v>33</v>
      </c>
      <c r="M2104" s="2" t="str" cm="1">
        <f t="array" ref="M2104">_xlfn.IFS(L2104&lt;=15,"Low Fare",L2104&lt;=35,"Medium Fare",L2104&lt;=100,"High Fare",L2104&gt;=100,"Very High Fare")</f>
        <v>Medium Fare</v>
      </c>
      <c r="N2104" s="2">
        <v>1</v>
      </c>
      <c r="O2104" s="2" t="s">
        <v>30</v>
      </c>
      <c r="P2104" t="e">
        <f t="shared" si="129"/>
        <v>#VALUE!</v>
      </c>
      <c r="Q2104" t="e">
        <f t="shared" si="130"/>
        <v>#VALUE!</v>
      </c>
      <c r="R2104" t="str">
        <f t="shared" si="131"/>
        <v>No</v>
      </c>
      <c r="S2104" t="s">
        <v>13</v>
      </c>
    </row>
    <row r="2105" spans="1:19" hidden="1" x14ac:dyDescent="0.3">
      <c r="A2105" s="1" t="s">
        <v>1529</v>
      </c>
      <c r="B2105" t="s">
        <v>1596</v>
      </c>
      <c r="C2105" t="s">
        <v>2373</v>
      </c>
      <c r="D2105" t="str">
        <f t="shared" si="128"/>
        <v>Male</v>
      </c>
      <c r="E2105" t="s">
        <v>9</v>
      </c>
      <c r="F2105" s="2">
        <v>46</v>
      </c>
      <c r="G2105" s="2" t="str" cm="1">
        <f t="array" ref="G2105">_xlfn.IFS(F2105&lt;=8,"Child",F2105&lt;=17,"Teen",F2105&lt;=35,"Adult",F2105&lt;=55,"Seniour Adult",F2105&gt;=55,"Old Age")</f>
        <v>Seniour Adult</v>
      </c>
      <c r="H2105" t="s">
        <v>69</v>
      </c>
      <c r="I2105" t="s">
        <v>11</v>
      </c>
      <c r="J2105" t="str" cm="1">
        <f t="array" ref="J2105">_xlfn.IFS(I2105="S","Southamptom",I2105="Q","Quentown",I2105="C","Cherbrug",I2105="B","Cabin")</f>
        <v>Southamptom</v>
      </c>
      <c r="K2105" t="s">
        <v>15</v>
      </c>
      <c r="L2105" s="2">
        <v>33</v>
      </c>
      <c r="M2105" s="2" t="str" cm="1">
        <f t="array" ref="M2105">_xlfn.IFS(L2105&lt;=15,"Low Fare",L2105&lt;=35,"Medium Fare",L2105&lt;=100,"High Fare",L2105&gt;=100,"Very High Fare")</f>
        <v>Medium Fare</v>
      </c>
      <c r="N2105" s="2">
        <v>1</v>
      </c>
      <c r="O2105" s="2" t="s">
        <v>30</v>
      </c>
      <c r="P2105" t="e">
        <f t="shared" si="129"/>
        <v>#VALUE!</v>
      </c>
      <c r="Q2105" t="e">
        <f t="shared" si="130"/>
        <v>#VALUE!</v>
      </c>
      <c r="R2105" t="str">
        <f t="shared" si="131"/>
        <v>Yes</v>
      </c>
      <c r="S2105" t="s">
        <v>16</v>
      </c>
    </row>
    <row r="2106" spans="1:19" hidden="1" x14ac:dyDescent="0.3">
      <c r="A2106" s="1" t="s">
        <v>1530</v>
      </c>
      <c r="B2106" t="s">
        <v>1596</v>
      </c>
      <c r="C2106" t="s">
        <v>3133</v>
      </c>
      <c r="D2106" t="str">
        <f t="shared" si="128"/>
        <v>Male</v>
      </c>
      <c r="E2106" t="s">
        <v>9</v>
      </c>
      <c r="F2106" s="2">
        <v>23</v>
      </c>
      <c r="G2106" s="2" t="str" cm="1">
        <f t="array" ref="G2106">_xlfn.IFS(F2106&lt;=8,"Child",F2106&lt;=17,"Teen",F2106&lt;=35,"Adult",F2106&lt;=55,"Seniour Adult",F2106&gt;=55,"Old Age")</f>
        <v>Adult</v>
      </c>
      <c r="H2106" t="s">
        <v>69</v>
      </c>
      <c r="I2106" t="s">
        <v>11</v>
      </c>
      <c r="J2106" t="str" cm="1">
        <f t="array" ref="J2106">_xlfn.IFS(I2106="S","Southamptom",I2106="Q","Quentown",I2106="C","Cherbrug",I2106="B","Cabin")</f>
        <v>Southamptom</v>
      </c>
      <c r="K2106" t="s">
        <v>15</v>
      </c>
      <c r="L2106" s="2">
        <v>33</v>
      </c>
      <c r="M2106" s="2" t="str" cm="1">
        <f t="array" ref="M2106">_xlfn.IFS(L2106&lt;=15,"Low Fare",L2106&lt;=35,"Medium Fare",L2106&lt;=100,"High Fare",L2106&gt;=100,"Very High Fare")</f>
        <v>Medium Fare</v>
      </c>
      <c r="N2106" s="2">
        <v>1</v>
      </c>
      <c r="O2106" s="2" t="s">
        <v>30</v>
      </c>
      <c r="P2106" t="e">
        <f t="shared" si="129"/>
        <v>#VALUE!</v>
      </c>
      <c r="Q2106" t="e">
        <f t="shared" si="130"/>
        <v>#VALUE!</v>
      </c>
      <c r="R2106" t="str">
        <f t="shared" si="131"/>
        <v>Yes</v>
      </c>
      <c r="S2106" t="s">
        <v>16</v>
      </c>
    </row>
    <row r="2107" spans="1:19" hidden="1" x14ac:dyDescent="0.3">
      <c r="A2107" s="1" t="s">
        <v>1530</v>
      </c>
      <c r="B2107" t="s">
        <v>1596</v>
      </c>
      <c r="C2107" t="s">
        <v>3134</v>
      </c>
      <c r="D2107" t="str">
        <f t="shared" si="128"/>
        <v>Male</v>
      </c>
      <c r="E2107" t="s">
        <v>9</v>
      </c>
      <c r="F2107" s="2">
        <v>30</v>
      </c>
      <c r="G2107" s="2" t="str" cm="1">
        <f t="array" ref="G2107">_xlfn.IFS(F2107&lt;=8,"Child",F2107&lt;=17,"Teen",F2107&lt;=35,"Adult",F2107&lt;=55,"Seniour Adult",F2107&gt;=55,"Old Age")</f>
        <v>Adult</v>
      </c>
      <c r="H2107" t="s">
        <v>69</v>
      </c>
      <c r="I2107" t="s">
        <v>28</v>
      </c>
      <c r="J2107" t="str" cm="1">
        <f t="array" ref="J2107">_xlfn.IFS(I2107="S","Southamptom",I2107="Q","Quentown",I2107="C","Cherbrug",I2107="B","Cabin")</f>
        <v>Cabin</v>
      </c>
      <c r="K2107" t="s">
        <v>15</v>
      </c>
      <c r="L2107" s="2">
        <v>33</v>
      </c>
      <c r="M2107" s="2" t="str" cm="1">
        <f t="array" ref="M2107">_xlfn.IFS(L2107&lt;=15,"Low Fare",L2107&lt;=35,"Medium Fare",L2107&lt;=100,"High Fare",L2107&gt;=100,"Very High Fare")</f>
        <v>Medium Fare</v>
      </c>
      <c r="N2107" s="2">
        <v>1</v>
      </c>
      <c r="O2107" s="2" t="s">
        <v>30</v>
      </c>
      <c r="P2107" t="e">
        <f t="shared" si="129"/>
        <v>#VALUE!</v>
      </c>
      <c r="Q2107" t="e">
        <f t="shared" si="130"/>
        <v>#VALUE!</v>
      </c>
      <c r="R2107" t="str">
        <f t="shared" si="131"/>
        <v>Yes</v>
      </c>
      <c r="S2107" t="s">
        <v>16</v>
      </c>
    </row>
    <row r="2108" spans="1:19" hidden="1" x14ac:dyDescent="0.3">
      <c r="A2108" s="1" t="s">
        <v>1530</v>
      </c>
      <c r="B2108" t="s">
        <v>1596</v>
      </c>
      <c r="C2108" t="s">
        <v>3135</v>
      </c>
      <c r="D2108" t="str">
        <f t="shared" si="128"/>
        <v>Male</v>
      </c>
      <c r="E2108" t="s">
        <v>9</v>
      </c>
      <c r="F2108" s="2">
        <v>24</v>
      </c>
      <c r="G2108" s="2" t="str" cm="1">
        <f t="array" ref="G2108">_xlfn.IFS(F2108&lt;=8,"Child",F2108&lt;=17,"Teen",F2108&lt;=35,"Adult",F2108&lt;=55,"Seniour Adult",F2108&gt;=55,"Old Age")</f>
        <v>Adult</v>
      </c>
      <c r="H2108" t="s">
        <v>51</v>
      </c>
      <c r="I2108" t="s">
        <v>11</v>
      </c>
      <c r="J2108" t="str" cm="1">
        <f t="array" ref="J2108">_xlfn.IFS(I2108="S","Southamptom",I2108="Q","Quentown",I2108="C","Cherbrug",I2108="B","Cabin")</f>
        <v>Southamptom</v>
      </c>
      <c r="K2108" t="s">
        <v>15</v>
      </c>
      <c r="L2108" s="2">
        <v>33</v>
      </c>
      <c r="M2108" s="2" t="str" cm="1">
        <f t="array" ref="M2108">_xlfn.IFS(L2108&lt;=15,"Low Fare",L2108&lt;=35,"Medium Fare",L2108&lt;=100,"High Fare",L2108&gt;=100,"Very High Fare")</f>
        <v>Medium Fare</v>
      </c>
      <c r="N2108" s="2">
        <v>1</v>
      </c>
      <c r="O2108" s="2" t="s">
        <v>30</v>
      </c>
      <c r="P2108" t="e">
        <f t="shared" si="129"/>
        <v>#VALUE!</v>
      </c>
      <c r="Q2108" t="e">
        <f t="shared" si="130"/>
        <v>#VALUE!</v>
      </c>
      <c r="R2108" t="str">
        <f t="shared" si="131"/>
        <v>No</v>
      </c>
      <c r="S2108" t="s">
        <v>13</v>
      </c>
    </row>
    <row r="2109" spans="1:19" hidden="1" x14ac:dyDescent="0.3">
      <c r="A2109" s="1" t="s">
        <v>888</v>
      </c>
      <c r="B2109" t="s">
        <v>1596</v>
      </c>
      <c r="C2109" t="s">
        <v>2092</v>
      </c>
      <c r="D2109" t="str">
        <f t="shared" si="128"/>
        <v>Male</v>
      </c>
      <c r="E2109" t="s">
        <v>9</v>
      </c>
      <c r="F2109" s="2">
        <v>25</v>
      </c>
      <c r="G2109" s="2" t="str" cm="1">
        <f t="array" ref="G2109">_xlfn.IFS(F2109&lt;=8,"Child",F2109&lt;=17,"Teen",F2109&lt;=35,"Adult",F2109&lt;=55,"Seniour Adult",F2109&gt;=55,"Old Age")</f>
        <v>Adult</v>
      </c>
      <c r="H2109" t="s">
        <v>69</v>
      </c>
      <c r="I2109" t="s">
        <v>28</v>
      </c>
      <c r="J2109" t="str" cm="1">
        <f t="array" ref="J2109">_xlfn.IFS(I2109="S","Southamptom",I2109="Q","Quentown",I2109="C","Cherbrug",I2109="B","Cabin")</f>
        <v>Cabin</v>
      </c>
      <c r="K2109" t="s">
        <v>15</v>
      </c>
      <c r="L2109" s="2">
        <v>33</v>
      </c>
      <c r="M2109" s="2" t="str" cm="1">
        <f t="array" ref="M2109">_xlfn.IFS(L2109&lt;=15,"Low Fare",L2109&lt;=35,"Medium Fare",L2109&lt;=100,"High Fare",L2109&gt;=100,"Very High Fare")</f>
        <v>Medium Fare</v>
      </c>
      <c r="N2109" s="2">
        <v>1</v>
      </c>
      <c r="O2109" s="2" t="s">
        <v>30</v>
      </c>
      <c r="P2109" t="e">
        <f t="shared" si="129"/>
        <v>#VALUE!</v>
      </c>
      <c r="Q2109" t="e">
        <f t="shared" si="130"/>
        <v>#VALUE!</v>
      </c>
      <c r="R2109" t="str">
        <f t="shared" si="131"/>
        <v>No</v>
      </c>
      <c r="S2109" t="s">
        <v>13</v>
      </c>
    </row>
    <row r="2110" spans="1:19" hidden="1" x14ac:dyDescent="0.3">
      <c r="A2110" s="1" t="s">
        <v>888</v>
      </c>
      <c r="B2110" t="s">
        <v>1596</v>
      </c>
      <c r="C2110" t="s">
        <v>2974</v>
      </c>
      <c r="D2110" t="str">
        <f t="shared" si="128"/>
        <v>Male</v>
      </c>
      <c r="E2110" t="s">
        <v>9</v>
      </c>
      <c r="F2110" s="2">
        <v>35</v>
      </c>
      <c r="G2110" s="2" t="str" cm="1">
        <f t="array" ref="G2110">_xlfn.IFS(F2110&lt;=8,"Child",F2110&lt;=17,"Teen",F2110&lt;=35,"Adult",F2110&lt;=55,"Seniour Adult",F2110&gt;=55,"Old Age")</f>
        <v>Adult</v>
      </c>
      <c r="H2110" t="s">
        <v>51</v>
      </c>
      <c r="I2110" t="s">
        <v>11</v>
      </c>
      <c r="J2110" t="str" cm="1">
        <f t="array" ref="J2110">_xlfn.IFS(I2110="S","Southamptom",I2110="Q","Quentown",I2110="C","Cherbrug",I2110="B","Cabin")</f>
        <v>Southamptom</v>
      </c>
      <c r="K2110" t="s">
        <v>15</v>
      </c>
      <c r="L2110" s="2">
        <v>33</v>
      </c>
      <c r="M2110" s="2" t="str" cm="1">
        <f t="array" ref="M2110">_xlfn.IFS(L2110&lt;=15,"Low Fare",L2110&lt;=35,"Medium Fare",L2110&lt;=100,"High Fare",L2110&gt;=100,"Very High Fare")</f>
        <v>Medium Fare</v>
      </c>
      <c r="N2110" s="2">
        <v>1</v>
      </c>
      <c r="O2110" s="2" t="s">
        <v>30</v>
      </c>
      <c r="P2110" t="e">
        <f t="shared" si="129"/>
        <v>#VALUE!</v>
      </c>
      <c r="Q2110" t="e">
        <f t="shared" si="130"/>
        <v>#VALUE!</v>
      </c>
      <c r="R2110" t="str">
        <f t="shared" si="131"/>
        <v>Yes</v>
      </c>
      <c r="S2110" t="s">
        <v>16</v>
      </c>
    </row>
    <row r="2111" spans="1:19" hidden="1" x14ac:dyDescent="0.3">
      <c r="A2111" s="1" t="s">
        <v>1531</v>
      </c>
      <c r="B2111" t="s">
        <v>1596</v>
      </c>
      <c r="C2111" t="s">
        <v>1619</v>
      </c>
      <c r="D2111" t="str">
        <f t="shared" si="128"/>
        <v>Male</v>
      </c>
      <c r="E2111" t="s">
        <v>9</v>
      </c>
      <c r="F2111" s="2">
        <v>39</v>
      </c>
      <c r="G2111" s="2" t="str" cm="1">
        <f t="array" ref="G2111">_xlfn.IFS(F2111&lt;=8,"Child",F2111&lt;=17,"Teen",F2111&lt;=35,"Adult",F2111&lt;=55,"Seniour Adult",F2111&gt;=55,"Old Age")</f>
        <v>Seniour Adult</v>
      </c>
      <c r="H2111" t="s">
        <v>69</v>
      </c>
      <c r="I2111" t="s">
        <v>11</v>
      </c>
      <c r="J2111" t="str" cm="1">
        <f t="array" ref="J2111">_xlfn.IFS(I2111="S","Southamptom",I2111="Q","Quentown",I2111="C","Cherbrug",I2111="B","Cabin")</f>
        <v>Southamptom</v>
      </c>
      <c r="K2111" t="s">
        <v>15</v>
      </c>
      <c r="L2111" s="2">
        <v>33</v>
      </c>
      <c r="M2111" s="2" t="str" cm="1">
        <f t="array" ref="M2111">_xlfn.IFS(L2111&lt;=15,"Low Fare",L2111&lt;=35,"Medium Fare",L2111&lt;=100,"High Fare",L2111&gt;=100,"Very High Fare")</f>
        <v>Medium Fare</v>
      </c>
      <c r="N2111" s="2">
        <v>1</v>
      </c>
      <c r="O2111" s="2" t="s">
        <v>30</v>
      </c>
      <c r="P2111" t="e">
        <f t="shared" si="129"/>
        <v>#VALUE!</v>
      </c>
      <c r="Q2111" t="e">
        <f t="shared" si="130"/>
        <v>#VALUE!</v>
      </c>
      <c r="R2111" t="str">
        <f t="shared" si="131"/>
        <v>No</v>
      </c>
      <c r="S2111" t="s">
        <v>13</v>
      </c>
    </row>
    <row r="2112" spans="1:19" hidden="1" x14ac:dyDescent="0.3">
      <c r="A2112" s="1" t="s">
        <v>1532</v>
      </c>
      <c r="B2112" t="s">
        <v>1596</v>
      </c>
      <c r="C2112" t="s">
        <v>1630</v>
      </c>
      <c r="D2112" t="str">
        <f t="shared" si="128"/>
        <v>Male</v>
      </c>
      <c r="E2112" t="s">
        <v>9</v>
      </c>
      <c r="F2112" s="2">
        <v>25</v>
      </c>
      <c r="G2112" s="2" t="str" cm="1">
        <f t="array" ref="G2112">_xlfn.IFS(F2112&lt;=8,"Child",F2112&lt;=17,"Teen",F2112&lt;=35,"Adult",F2112&lt;=55,"Seniour Adult",F2112&gt;=55,"Old Age")</f>
        <v>Adult</v>
      </c>
      <c r="H2112" t="s">
        <v>69</v>
      </c>
      <c r="I2112" t="s">
        <v>11</v>
      </c>
      <c r="J2112" t="str" cm="1">
        <f t="array" ref="J2112">_xlfn.IFS(I2112="S","Southamptom",I2112="Q","Quentown",I2112="C","Cherbrug",I2112="B","Cabin")</f>
        <v>Southamptom</v>
      </c>
      <c r="K2112" t="s">
        <v>15</v>
      </c>
      <c r="L2112" s="2">
        <v>33</v>
      </c>
      <c r="M2112" s="2" t="str" cm="1">
        <f t="array" ref="M2112">_xlfn.IFS(L2112&lt;=15,"Low Fare",L2112&lt;=35,"Medium Fare",L2112&lt;=100,"High Fare",L2112&gt;=100,"Very High Fare")</f>
        <v>Medium Fare</v>
      </c>
      <c r="N2112" s="2">
        <v>1</v>
      </c>
      <c r="O2112" s="2" t="s">
        <v>30</v>
      </c>
      <c r="P2112" t="e">
        <f t="shared" si="129"/>
        <v>#VALUE!</v>
      </c>
      <c r="Q2112" t="e">
        <f t="shared" si="130"/>
        <v>#VALUE!</v>
      </c>
      <c r="R2112" t="str">
        <f t="shared" si="131"/>
        <v>No</v>
      </c>
      <c r="S2112" t="s">
        <v>13</v>
      </c>
    </row>
    <row r="2113" spans="1:19" hidden="1" x14ac:dyDescent="0.3">
      <c r="A2113" s="1" t="s">
        <v>1533</v>
      </c>
      <c r="B2113" t="s">
        <v>1596</v>
      </c>
      <c r="C2113" t="s">
        <v>1645</v>
      </c>
      <c r="D2113" t="str">
        <f t="shared" si="128"/>
        <v>Male</v>
      </c>
      <c r="E2113" t="s">
        <v>9</v>
      </c>
      <c r="F2113" s="2">
        <v>44</v>
      </c>
      <c r="G2113" s="2" t="str" cm="1">
        <f t="array" ref="G2113">_xlfn.IFS(F2113&lt;=8,"Child",F2113&lt;=17,"Teen",F2113&lt;=35,"Adult",F2113&lt;=55,"Seniour Adult",F2113&gt;=55,"Old Age")</f>
        <v>Seniour Adult</v>
      </c>
      <c r="H2113" t="s">
        <v>51</v>
      </c>
      <c r="I2113" t="s">
        <v>11</v>
      </c>
      <c r="J2113" t="str" cm="1">
        <f t="array" ref="J2113">_xlfn.IFS(I2113="S","Southamptom",I2113="Q","Quentown",I2113="C","Cherbrug",I2113="B","Cabin")</f>
        <v>Southamptom</v>
      </c>
      <c r="K2113" t="s">
        <v>15</v>
      </c>
      <c r="L2113" s="2">
        <v>33</v>
      </c>
      <c r="M2113" s="2" t="str" cm="1">
        <f t="array" ref="M2113">_xlfn.IFS(L2113&lt;=15,"Low Fare",L2113&lt;=35,"Medium Fare",L2113&lt;=100,"High Fare",L2113&gt;=100,"Very High Fare")</f>
        <v>Medium Fare</v>
      </c>
      <c r="N2113" s="2">
        <v>1</v>
      </c>
      <c r="O2113" s="2" t="s">
        <v>30</v>
      </c>
      <c r="P2113" t="e">
        <f t="shared" si="129"/>
        <v>#VALUE!</v>
      </c>
      <c r="Q2113" t="e">
        <f t="shared" si="130"/>
        <v>#VALUE!</v>
      </c>
      <c r="R2113" t="str">
        <f t="shared" si="131"/>
        <v>Yes</v>
      </c>
      <c r="S2113" t="s">
        <v>16</v>
      </c>
    </row>
    <row r="2114" spans="1:19" hidden="1" x14ac:dyDescent="0.3">
      <c r="A2114" s="1" t="s">
        <v>1534</v>
      </c>
      <c r="B2114" t="s">
        <v>1596</v>
      </c>
      <c r="C2114" t="s">
        <v>3136</v>
      </c>
      <c r="D2114" t="str">
        <f t="shared" si="128"/>
        <v>Male</v>
      </c>
      <c r="E2114" t="s">
        <v>9</v>
      </c>
      <c r="F2114" s="2">
        <v>25</v>
      </c>
      <c r="G2114" s="2" t="str" cm="1">
        <f t="array" ref="G2114">_xlfn.IFS(F2114&lt;=8,"Child",F2114&lt;=17,"Teen",F2114&lt;=35,"Adult",F2114&lt;=55,"Seniour Adult",F2114&gt;=55,"Old Age")</f>
        <v>Adult</v>
      </c>
      <c r="H2114" t="s">
        <v>51</v>
      </c>
      <c r="I2114" t="s">
        <v>11</v>
      </c>
      <c r="J2114" t="str" cm="1">
        <f t="array" ref="J2114">_xlfn.IFS(I2114="S","Southamptom",I2114="Q","Quentown",I2114="C","Cherbrug",I2114="B","Cabin")</f>
        <v>Southamptom</v>
      </c>
      <c r="K2114" t="s">
        <v>15</v>
      </c>
      <c r="L2114" s="2">
        <v>33</v>
      </c>
      <c r="M2114" s="2" t="str" cm="1">
        <f t="array" ref="M2114">_xlfn.IFS(L2114&lt;=15,"Low Fare",L2114&lt;=35,"Medium Fare",L2114&lt;=100,"High Fare",L2114&gt;=100,"Very High Fare")</f>
        <v>Medium Fare</v>
      </c>
      <c r="N2114" s="2">
        <v>1</v>
      </c>
      <c r="O2114" s="2" t="s">
        <v>30</v>
      </c>
      <c r="P2114" t="e">
        <f t="shared" si="129"/>
        <v>#VALUE!</v>
      </c>
      <c r="Q2114" t="e">
        <f t="shared" si="130"/>
        <v>#VALUE!</v>
      </c>
      <c r="R2114" t="str">
        <f t="shared" si="131"/>
        <v>Yes</v>
      </c>
      <c r="S2114" t="s">
        <v>16</v>
      </c>
    </row>
    <row r="2115" spans="1:19" hidden="1" x14ac:dyDescent="0.3">
      <c r="A2115" s="1" t="s">
        <v>1535</v>
      </c>
      <c r="B2115" t="s">
        <v>2719</v>
      </c>
      <c r="C2115" t="s">
        <v>3137</v>
      </c>
      <c r="D2115" t="str">
        <f t="shared" ref="D2115:D2178" si="132">PROPER(E2115)</f>
        <v>Male</v>
      </c>
      <c r="E2115" t="s">
        <v>9</v>
      </c>
      <c r="F2115" s="2">
        <v>27</v>
      </c>
      <c r="G2115" s="2" t="str" cm="1">
        <f t="array" ref="G2115">_xlfn.IFS(F2115&lt;=8,"Child",F2115&lt;=17,"Teen",F2115&lt;=35,"Adult",F2115&lt;=55,"Seniour Adult",F2115&gt;=55,"Old Age")</f>
        <v>Adult</v>
      </c>
      <c r="H2115" t="s">
        <v>70</v>
      </c>
      <c r="I2115" t="s">
        <v>11</v>
      </c>
      <c r="J2115" t="str" cm="1">
        <f t="array" ref="J2115">_xlfn.IFS(I2115="S","Southamptom",I2115="Q","Quentown",I2115="C","Cherbrug",I2115="B","Cabin")</f>
        <v>Southamptom</v>
      </c>
      <c r="K2115" t="s">
        <v>15</v>
      </c>
      <c r="L2115" s="2">
        <v>33</v>
      </c>
      <c r="M2115" s="2" t="str" cm="1">
        <f t="array" ref="M2115">_xlfn.IFS(L2115&lt;=15,"Low Fare",L2115&lt;=35,"Medium Fare",L2115&lt;=100,"High Fare",L2115&gt;=100,"Very High Fare")</f>
        <v>Medium Fare</v>
      </c>
      <c r="N2115" s="2">
        <v>1</v>
      </c>
      <c r="O2115" s="2" t="s">
        <v>30</v>
      </c>
      <c r="P2115" t="e">
        <f t="shared" ref="P2115:P2178" si="133">N2115+O2115+1</f>
        <v>#VALUE!</v>
      </c>
      <c r="Q2115" t="e">
        <f t="shared" ref="Q2115:Q2178" si="134">IF(P2115=1,"Alone","With Family")</f>
        <v>#VALUE!</v>
      </c>
      <c r="R2115" t="str">
        <f t="shared" ref="R2115:R2178" si="135">PROPER(S2115)</f>
        <v>No</v>
      </c>
      <c r="S2115" t="s">
        <v>13</v>
      </c>
    </row>
    <row r="2116" spans="1:19" hidden="1" x14ac:dyDescent="0.3">
      <c r="A2116" s="1" t="s">
        <v>1536</v>
      </c>
      <c r="B2116" t="s">
        <v>1596</v>
      </c>
      <c r="C2116" t="s">
        <v>3138</v>
      </c>
      <c r="D2116" t="str">
        <f t="shared" si="132"/>
        <v>Male</v>
      </c>
      <c r="E2116" t="s">
        <v>9</v>
      </c>
      <c r="F2116" s="2">
        <v>31</v>
      </c>
      <c r="G2116" s="2" t="str" cm="1">
        <f t="array" ref="G2116">_xlfn.IFS(F2116&lt;=8,"Child",F2116&lt;=17,"Teen",F2116&lt;=35,"Adult",F2116&lt;=55,"Seniour Adult",F2116&gt;=55,"Old Age")</f>
        <v>Adult</v>
      </c>
      <c r="H2116" t="s">
        <v>51</v>
      </c>
      <c r="I2116" t="s">
        <v>11</v>
      </c>
      <c r="J2116" t="str" cm="1">
        <f t="array" ref="J2116">_xlfn.IFS(I2116="S","Southamptom",I2116="Q","Quentown",I2116="C","Cherbrug",I2116="B","Cabin")</f>
        <v>Southamptom</v>
      </c>
      <c r="K2116" t="s">
        <v>15</v>
      </c>
      <c r="L2116" s="2">
        <v>33</v>
      </c>
      <c r="M2116" s="2" t="str" cm="1">
        <f t="array" ref="M2116">_xlfn.IFS(L2116&lt;=15,"Low Fare",L2116&lt;=35,"Medium Fare",L2116&lt;=100,"High Fare",L2116&gt;=100,"Very High Fare")</f>
        <v>Medium Fare</v>
      </c>
      <c r="N2116" s="2">
        <v>1</v>
      </c>
      <c r="O2116" s="2" t="s">
        <v>30</v>
      </c>
      <c r="P2116" t="e">
        <f t="shared" si="133"/>
        <v>#VALUE!</v>
      </c>
      <c r="Q2116" t="e">
        <f t="shared" si="134"/>
        <v>#VALUE!</v>
      </c>
      <c r="R2116" t="str">
        <f t="shared" si="135"/>
        <v>No</v>
      </c>
      <c r="S2116" t="s">
        <v>13</v>
      </c>
    </row>
    <row r="2117" spans="1:19" hidden="1" x14ac:dyDescent="0.3">
      <c r="A2117" s="1" t="s">
        <v>1537</v>
      </c>
      <c r="B2117" t="s">
        <v>1596</v>
      </c>
      <c r="C2117" t="s">
        <v>2900</v>
      </c>
      <c r="D2117" t="str">
        <f t="shared" si="132"/>
        <v>Male</v>
      </c>
      <c r="E2117" t="s">
        <v>9</v>
      </c>
      <c r="F2117" s="2">
        <v>29</v>
      </c>
      <c r="G2117" s="2" t="str" cm="1">
        <f t="array" ref="G2117">_xlfn.IFS(F2117&lt;=8,"Child",F2117&lt;=17,"Teen",F2117&lt;=35,"Adult",F2117&lt;=55,"Seniour Adult",F2117&gt;=55,"Old Age")</f>
        <v>Adult</v>
      </c>
      <c r="H2117" t="s">
        <v>69</v>
      </c>
      <c r="I2117" t="s">
        <v>28</v>
      </c>
      <c r="J2117" t="str" cm="1">
        <f t="array" ref="J2117">_xlfn.IFS(I2117="S","Southamptom",I2117="Q","Quentown",I2117="C","Cherbrug",I2117="B","Cabin")</f>
        <v>Cabin</v>
      </c>
      <c r="K2117" t="s">
        <v>15</v>
      </c>
      <c r="L2117" s="2">
        <v>33</v>
      </c>
      <c r="M2117" s="2" t="str" cm="1">
        <f t="array" ref="M2117">_xlfn.IFS(L2117&lt;=15,"Low Fare",L2117&lt;=35,"Medium Fare",L2117&lt;=100,"High Fare",L2117&gt;=100,"Very High Fare")</f>
        <v>Medium Fare</v>
      </c>
      <c r="N2117" s="2">
        <v>1</v>
      </c>
      <c r="O2117" s="2" t="s">
        <v>30</v>
      </c>
      <c r="P2117" t="e">
        <f t="shared" si="133"/>
        <v>#VALUE!</v>
      </c>
      <c r="Q2117" t="e">
        <f t="shared" si="134"/>
        <v>#VALUE!</v>
      </c>
      <c r="R2117" t="str">
        <f t="shared" si="135"/>
        <v>Yes</v>
      </c>
      <c r="S2117" t="s">
        <v>16</v>
      </c>
    </row>
    <row r="2118" spans="1:19" hidden="1" x14ac:dyDescent="0.3">
      <c r="A2118" s="1" t="s">
        <v>1538</v>
      </c>
      <c r="B2118" t="s">
        <v>1596</v>
      </c>
      <c r="C2118" t="s">
        <v>1645</v>
      </c>
      <c r="D2118" t="str">
        <f t="shared" si="132"/>
        <v>Male</v>
      </c>
      <c r="E2118" t="s">
        <v>9</v>
      </c>
      <c r="F2118" s="2">
        <v>28</v>
      </c>
      <c r="G2118" s="2" t="str" cm="1">
        <f t="array" ref="G2118">_xlfn.IFS(F2118&lt;=8,"Child",F2118&lt;=17,"Teen",F2118&lt;=35,"Adult",F2118&lt;=55,"Seniour Adult",F2118&gt;=55,"Old Age")</f>
        <v>Adult</v>
      </c>
      <c r="H2118" t="s">
        <v>69</v>
      </c>
      <c r="I2118" t="s">
        <v>11</v>
      </c>
      <c r="J2118" t="str" cm="1">
        <f t="array" ref="J2118">_xlfn.IFS(I2118="S","Southamptom",I2118="Q","Quentown",I2118="C","Cherbrug",I2118="B","Cabin")</f>
        <v>Southamptom</v>
      </c>
      <c r="K2118" t="s">
        <v>15</v>
      </c>
      <c r="L2118" s="2">
        <v>33</v>
      </c>
      <c r="M2118" s="2" t="str" cm="1">
        <f t="array" ref="M2118">_xlfn.IFS(L2118&lt;=15,"Low Fare",L2118&lt;=35,"Medium Fare",L2118&lt;=100,"High Fare",L2118&gt;=100,"Very High Fare")</f>
        <v>Medium Fare</v>
      </c>
      <c r="N2118" s="2">
        <v>1</v>
      </c>
      <c r="O2118" s="2" t="s">
        <v>30</v>
      </c>
      <c r="P2118" t="e">
        <f t="shared" si="133"/>
        <v>#VALUE!</v>
      </c>
      <c r="Q2118" t="e">
        <f t="shared" si="134"/>
        <v>#VALUE!</v>
      </c>
      <c r="R2118" t="str">
        <f t="shared" si="135"/>
        <v>No</v>
      </c>
      <c r="S2118" t="s">
        <v>13</v>
      </c>
    </row>
    <row r="2119" spans="1:19" hidden="1" x14ac:dyDescent="0.3">
      <c r="A2119" s="1" t="s">
        <v>1539</v>
      </c>
      <c r="B2119" t="s">
        <v>1596</v>
      </c>
      <c r="C2119" t="s">
        <v>3139</v>
      </c>
      <c r="D2119" t="str">
        <f t="shared" si="132"/>
        <v>Male</v>
      </c>
      <c r="E2119" t="s">
        <v>9</v>
      </c>
      <c r="F2119" s="2">
        <v>30</v>
      </c>
      <c r="G2119" s="2" t="str" cm="1">
        <f t="array" ref="G2119">_xlfn.IFS(F2119&lt;=8,"Child",F2119&lt;=17,"Teen",F2119&lt;=35,"Adult",F2119&lt;=55,"Seniour Adult",F2119&gt;=55,"Old Age")</f>
        <v>Adult</v>
      </c>
      <c r="H2119" t="s">
        <v>69</v>
      </c>
      <c r="I2119" t="s">
        <v>11</v>
      </c>
      <c r="J2119" t="str" cm="1">
        <f t="array" ref="J2119">_xlfn.IFS(I2119="S","Southamptom",I2119="Q","Quentown",I2119="C","Cherbrug",I2119="B","Cabin")</f>
        <v>Southamptom</v>
      </c>
      <c r="K2119" t="s">
        <v>43</v>
      </c>
      <c r="L2119" s="2">
        <v>33</v>
      </c>
      <c r="M2119" s="2" t="str" cm="1">
        <f t="array" ref="M2119">_xlfn.IFS(L2119&lt;=15,"Low Fare",L2119&lt;=35,"Medium Fare",L2119&lt;=100,"High Fare",L2119&gt;=100,"Very High Fare")</f>
        <v>Medium Fare</v>
      </c>
      <c r="N2119" s="2">
        <v>1</v>
      </c>
      <c r="O2119" s="2" t="s">
        <v>30</v>
      </c>
      <c r="P2119" t="e">
        <f t="shared" si="133"/>
        <v>#VALUE!</v>
      </c>
      <c r="Q2119" t="e">
        <f t="shared" si="134"/>
        <v>#VALUE!</v>
      </c>
      <c r="R2119" t="str">
        <f t="shared" si="135"/>
        <v>No</v>
      </c>
      <c r="S2119" t="s">
        <v>13</v>
      </c>
    </row>
    <row r="2120" spans="1:19" hidden="1" x14ac:dyDescent="0.3">
      <c r="A2120" s="1" t="s">
        <v>1540</v>
      </c>
      <c r="B2120" t="s">
        <v>1596</v>
      </c>
      <c r="C2120" t="s">
        <v>1965</v>
      </c>
      <c r="D2120" t="str">
        <f t="shared" si="132"/>
        <v>Male</v>
      </c>
      <c r="E2120" t="s">
        <v>9</v>
      </c>
      <c r="F2120" s="2">
        <v>32</v>
      </c>
      <c r="G2120" s="2" t="str" cm="1">
        <f t="array" ref="G2120">_xlfn.IFS(F2120&lt;=8,"Child",F2120&lt;=17,"Teen",F2120&lt;=35,"Adult",F2120&lt;=55,"Seniour Adult",F2120&gt;=55,"Old Age")</f>
        <v>Adult</v>
      </c>
      <c r="H2120" t="s">
        <v>51</v>
      </c>
      <c r="I2120" t="s">
        <v>11</v>
      </c>
      <c r="J2120" t="str" cm="1">
        <f t="array" ref="J2120">_xlfn.IFS(I2120="S","Southamptom",I2120="Q","Quentown",I2120="C","Cherbrug",I2120="B","Cabin")</f>
        <v>Southamptom</v>
      </c>
      <c r="K2120" t="s">
        <v>15</v>
      </c>
      <c r="L2120" s="2">
        <v>33</v>
      </c>
      <c r="M2120" s="2" t="str" cm="1">
        <f t="array" ref="M2120">_xlfn.IFS(L2120&lt;=15,"Low Fare",L2120&lt;=35,"Medium Fare",L2120&lt;=100,"High Fare",L2120&gt;=100,"Very High Fare")</f>
        <v>Medium Fare</v>
      </c>
      <c r="N2120" s="2">
        <v>1</v>
      </c>
      <c r="O2120" s="2" t="s">
        <v>30</v>
      </c>
      <c r="P2120" t="e">
        <f t="shared" si="133"/>
        <v>#VALUE!</v>
      </c>
      <c r="Q2120" t="e">
        <f t="shared" si="134"/>
        <v>#VALUE!</v>
      </c>
      <c r="R2120" t="str">
        <f t="shared" si="135"/>
        <v>No</v>
      </c>
      <c r="S2120" t="s">
        <v>13</v>
      </c>
    </row>
    <row r="2121" spans="1:19" hidden="1" x14ac:dyDescent="0.3">
      <c r="A2121" s="1" t="s">
        <v>1541</v>
      </c>
      <c r="B2121" t="s">
        <v>1596</v>
      </c>
      <c r="C2121" t="s">
        <v>3140</v>
      </c>
      <c r="D2121" t="str">
        <f t="shared" si="132"/>
        <v>Male</v>
      </c>
      <c r="E2121" t="s">
        <v>9</v>
      </c>
      <c r="F2121" s="2">
        <v>39</v>
      </c>
      <c r="G2121" s="2" t="str" cm="1">
        <f t="array" ref="G2121">_xlfn.IFS(F2121&lt;=8,"Child",F2121&lt;=17,"Teen",F2121&lt;=35,"Adult",F2121&lt;=55,"Seniour Adult",F2121&gt;=55,"Old Age")</f>
        <v>Seniour Adult</v>
      </c>
      <c r="H2121" t="s">
        <v>51</v>
      </c>
      <c r="I2121" t="s">
        <v>11</v>
      </c>
      <c r="J2121" t="str" cm="1">
        <f t="array" ref="J2121">_xlfn.IFS(I2121="S","Southamptom",I2121="Q","Quentown",I2121="C","Cherbrug",I2121="B","Cabin")</f>
        <v>Southamptom</v>
      </c>
      <c r="K2121" t="s">
        <v>15</v>
      </c>
      <c r="L2121" s="2">
        <v>33</v>
      </c>
      <c r="M2121" s="2" t="str" cm="1">
        <f t="array" ref="M2121">_xlfn.IFS(L2121&lt;=15,"Low Fare",L2121&lt;=35,"Medium Fare",L2121&lt;=100,"High Fare",L2121&gt;=100,"Very High Fare")</f>
        <v>Medium Fare</v>
      </c>
      <c r="N2121" s="2">
        <v>1</v>
      </c>
      <c r="O2121" s="2" t="s">
        <v>30</v>
      </c>
      <c r="P2121" t="e">
        <f t="shared" si="133"/>
        <v>#VALUE!</v>
      </c>
      <c r="Q2121" t="e">
        <f t="shared" si="134"/>
        <v>#VALUE!</v>
      </c>
      <c r="R2121" t="str">
        <f t="shared" si="135"/>
        <v>Yes</v>
      </c>
      <c r="S2121" t="s">
        <v>16</v>
      </c>
    </row>
    <row r="2122" spans="1:19" hidden="1" x14ac:dyDescent="0.3">
      <c r="A2122" s="1" t="s">
        <v>1542</v>
      </c>
      <c r="B2122" t="s">
        <v>1596</v>
      </c>
      <c r="C2122" t="s">
        <v>1996</v>
      </c>
      <c r="D2122" t="str">
        <f t="shared" si="132"/>
        <v>Male</v>
      </c>
      <c r="E2122" t="s">
        <v>9</v>
      </c>
      <c r="F2122" s="2">
        <v>37</v>
      </c>
      <c r="G2122" s="2" t="str" cm="1">
        <f t="array" ref="G2122">_xlfn.IFS(F2122&lt;=8,"Child",F2122&lt;=17,"Teen",F2122&lt;=35,"Adult",F2122&lt;=55,"Seniour Adult",F2122&gt;=55,"Old Age")</f>
        <v>Seniour Adult</v>
      </c>
      <c r="H2122" t="s">
        <v>51</v>
      </c>
      <c r="I2122" t="s">
        <v>28</v>
      </c>
      <c r="J2122" t="str" cm="1">
        <f t="array" ref="J2122">_xlfn.IFS(I2122="S","Southamptom",I2122="Q","Quentown",I2122="C","Cherbrug",I2122="B","Cabin")</f>
        <v>Cabin</v>
      </c>
      <c r="K2122" t="s">
        <v>37</v>
      </c>
      <c r="L2122" s="2">
        <v>33</v>
      </c>
      <c r="M2122" s="2" t="str" cm="1">
        <f t="array" ref="M2122">_xlfn.IFS(L2122&lt;=15,"Low Fare",L2122&lt;=35,"Medium Fare",L2122&lt;=100,"High Fare",L2122&gt;=100,"Very High Fare")</f>
        <v>Medium Fare</v>
      </c>
      <c r="N2122" s="2">
        <v>1</v>
      </c>
      <c r="O2122" s="2" t="s">
        <v>30</v>
      </c>
      <c r="P2122" t="e">
        <f t="shared" si="133"/>
        <v>#VALUE!</v>
      </c>
      <c r="Q2122" t="e">
        <f t="shared" si="134"/>
        <v>#VALUE!</v>
      </c>
      <c r="R2122" t="str">
        <f t="shared" si="135"/>
        <v>No</v>
      </c>
      <c r="S2122" t="s">
        <v>13</v>
      </c>
    </row>
    <row r="2123" spans="1:19" hidden="1" x14ac:dyDescent="0.3">
      <c r="A2123" s="1" t="s">
        <v>1543</v>
      </c>
      <c r="B2123" t="s">
        <v>1596</v>
      </c>
      <c r="C2123" t="s">
        <v>2603</v>
      </c>
      <c r="D2123" t="str">
        <f t="shared" si="132"/>
        <v>Male</v>
      </c>
      <c r="E2123" t="s">
        <v>9</v>
      </c>
      <c r="F2123" s="2">
        <v>42</v>
      </c>
      <c r="G2123" s="2" t="str" cm="1">
        <f t="array" ref="G2123">_xlfn.IFS(F2123&lt;=8,"Child",F2123&lt;=17,"Teen",F2123&lt;=35,"Adult",F2123&lt;=55,"Seniour Adult",F2123&gt;=55,"Old Age")</f>
        <v>Seniour Adult</v>
      </c>
      <c r="H2123" t="s">
        <v>69</v>
      </c>
      <c r="I2123" t="s">
        <v>11</v>
      </c>
      <c r="J2123" t="str" cm="1">
        <f t="array" ref="J2123">_xlfn.IFS(I2123="S","Southamptom",I2123="Q","Quentown",I2123="C","Cherbrug",I2123="B","Cabin")</f>
        <v>Southamptom</v>
      </c>
      <c r="K2123" t="s">
        <v>15</v>
      </c>
      <c r="L2123" s="2">
        <v>33</v>
      </c>
      <c r="M2123" s="2" t="str" cm="1">
        <f t="array" ref="M2123">_xlfn.IFS(L2123&lt;=15,"Low Fare",L2123&lt;=35,"Medium Fare",L2123&lt;=100,"High Fare",L2123&gt;=100,"Very High Fare")</f>
        <v>Medium Fare</v>
      </c>
      <c r="N2123" s="2">
        <v>1</v>
      </c>
      <c r="O2123" s="2" t="s">
        <v>30</v>
      </c>
      <c r="P2123" t="e">
        <f t="shared" si="133"/>
        <v>#VALUE!</v>
      </c>
      <c r="Q2123" t="e">
        <f t="shared" si="134"/>
        <v>#VALUE!</v>
      </c>
      <c r="R2123" t="str">
        <f t="shared" si="135"/>
        <v>No</v>
      </c>
      <c r="S2123" t="s">
        <v>13</v>
      </c>
    </row>
    <row r="2124" spans="1:19" hidden="1" x14ac:dyDescent="0.3">
      <c r="A2124" s="1" t="s">
        <v>1543</v>
      </c>
      <c r="B2124" t="s">
        <v>1596</v>
      </c>
      <c r="C2124" t="s">
        <v>3141</v>
      </c>
      <c r="D2124" t="str">
        <f t="shared" si="132"/>
        <v>Male</v>
      </c>
      <c r="E2124" t="s">
        <v>9</v>
      </c>
      <c r="F2124" s="2">
        <v>28</v>
      </c>
      <c r="G2124" s="2" t="str" cm="1">
        <f t="array" ref="G2124">_xlfn.IFS(F2124&lt;=8,"Child",F2124&lt;=17,"Teen",F2124&lt;=35,"Adult",F2124&lt;=55,"Seniour Adult",F2124&gt;=55,"Old Age")</f>
        <v>Adult</v>
      </c>
      <c r="H2124" t="s">
        <v>69</v>
      </c>
      <c r="I2124" t="s">
        <v>28</v>
      </c>
      <c r="J2124" t="str" cm="1">
        <f t="array" ref="J2124">_xlfn.IFS(I2124="S","Southamptom",I2124="Q","Quentown",I2124="C","Cherbrug",I2124="B","Cabin")</f>
        <v>Cabin</v>
      </c>
      <c r="K2124" t="s">
        <v>15</v>
      </c>
      <c r="L2124" s="2">
        <v>33</v>
      </c>
      <c r="M2124" s="2" t="str" cm="1">
        <f t="array" ref="M2124">_xlfn.IFS(L2124&lt;=15,"Low Fare",L2124&lt;=35,"Medium Fare",L2124&lt;=100,"High Fare",L2124&gt;=100,"Very High Fare")</f>
        <v>Medium Fare</v>
      </c>
      <c r="N2124" s="2">
        <v>1</v>
      </c>
      <c r="O2124" s="2" t="s">
        <v>30</v>
      </c>
      <c r="P2124" t="e">
        <f t="shared" si="133"/>
        <v>#VALUE!</v>
      </c>
      <c r="Q2124" t="e">
        <f t="shared" si="134"/>
        <v>#VALUE!</v>
      </c>
      <c r="R2124" t="str">
        <f t="shared" si="135"/>
        <v>No</v>
      </c>
      <c r="S2124" t="s">
        <v>13</v>
      </c>
    </row>
    <row r="2125" spans="1:19" hidden="1" x14ac:dyDescent="0.3">
      <c r="A2125" s="1" t="s">
        <v>1544</v>
      </c>
      <c r="B2125" t="s">
        <v>1596</v>
      </c>
      <c r="C2125" t="s">
        <v>2801</v>
      </c>
      <c r="D2125" t="str">
        <f t="shared" si="132"/>
        <v>Male</v>
      </c>
      <c r="E2125" t="s">
        <v>9</v>
      </c>
      <c r="F2125" s="2">
        <v>17</v>
      </c>
      <c r="G2125" s="2" t="str" cm="1">
        <f t="array" ref="G2125">_xlfn.IFS(F2125&lt;=8,"Child",F2125&lt;=17,"Teen",F2125&lt;=35,"Adult",F2125&lt;=55,"Seniour Adult",F2125&gt;=55,"Old Age")</f>
        <v>Teen</v>
      </c>
      <c r="H2125" t="s">
        <v>70</v>
      </c>
      <c r="I2125" t="s">
        <v>11</v>
      </c>
      <c r="J2125" t="str" cm="1">
        <f t="array" ref="J2125">_xlfn.IFS(I2125="S","Southamptom",I2125="Q","Quentown",I2125="C","Cherbrug",I2125="B","Cabin")</f>
        <v>Southamptom</v>
      </c>
      <c r="K2125" t="s">
        <v>15</v>
      </c>
      <c r="L2125" s="2">
        <v>33</v>
      </c>
      <c r="M2125" s="2" t="str" cm="1">
        <f t="array" ref="M2125">_xlfn.IFS(L2125&lt;=15,"Low Fare",L2125&lt;=35,"Medium Fare",L2125&lt;=100,"High Fare",L2125&gt;=100,"Very High Fare")</f>
        <v>Medium Fare</v>
      </c>
      <c r="N2125" s="2">
        <v>1</v>
      </c>
      <c r="O2125" s="2" t="s">
        <v>30</v>
      </c>
      <c r="P2125" t="e">
        <f t="shared" si="133"/>
        <v>#VALUE!</v>
      </c>
      <c r="Q2125" t="e">
        <f t="shared" si="134"/>
        <v>#VALUE!</v>
      </c>
      <c r="R2125" t="str">
        <f t="shared" si="135"/>
        <v>No</v>
      </c>
      <c r="S2125" t="s">
        <v>13</v>
      </c>
    </row>
    <row r="2126" spans="1:19" hidden="1" x14ac:dyDescent="0.3">
      <c r="A2126" s="1" t="s">
        <v>1545</v>
      </c>
      <c r="B2126" t="s">
        <v>2719</v>
      </c>
      <c r="C2126" t="s">
        <v>3142</v>
      </c>
      <c r="D2126" t="str">
        <f t="shared" si="132"/>
        <v>Male</v>
      </c>
      <c r="E2126" t="s">
        <v>9</v>
      </c>
      <c r="F2126" s="2">
        <v>20</v>
      </c>
      <c r="G2126" s="2" t="str" cm="1">
        <f t="array" ref="G2126">_xlfn.IFS(F2126&lt;=8,"Child",F2126&lt;=17,"Teen",F2126&lt;=35,"Adult",F2126&lt;=55,"Seniour Adult",F2126&gt;=55,"Old Age")</f>
        <v>Adult</v>
      </c>
      <c r="H2126" t="s">
        <v>70</v>
      </c>
      <c r="I2126" t="s">
        <v>11</v>
      </c>
      <c r="J2126" t="str" cm="1">
        <f t="array" ref="J2126">_xlfn.IFS(I2126="S","Southamptom",I2126="Q","Quentown",I2126="C","Cherbrug",I2126="B","Cabin")</f>
        <v>Southamptom</v>
      </c>
      <c r="K2126" t="s">
        <v>38</v>
      </c>
      <c r="L2126" s="2">
        <v>33</v>
      </c>
      <c r="M2126" s="2" t="str" cm="1">
        <f t="array" ref="M2126">_xlfn.IFS(L2126&lt;=15,"Low Fare",L2126&lt;=35,"Medium Fare",L2126&lt;=100,"High Fare",L2126&gt;=100,"Very High Fare")</f>
        <v>Medium Fare</v>
      </c>
      <c r="N2126" s="2">
        <v>1</v>
      </c>
      <c r="O2126" s="2" t="s">
        <v>30</v>
      </c>
      <c r="P2126" t="e">
        <f t="shared" si="133"/>
        <v>#VALUE!</v>
      </c>
      <c r="Q2126" t="e">
        <f t="shared" si="134"/>
        <v>#VALUE!</v>
      </c>
      <c r="R2126" t="str">
        <f t="shared" si="135"/>
        <v>No</v>
      </c>
      <c r="S2126" t="s">
        <v>13</v>
      </c>
    </row>
    <row r="2127" spans="1:19" hidden="1" x14ac:dyDescent="0.3">
      <c r="A2127" s="1" t="s">
        <v>1546</v>
      </c>
      <c r="B2127" t="s">
        <v>2719</v>
      </c>
      <c r="C2127" t="s">
        <v>3143</v>
      </c>
      <c r="D2127" t="str">
        <f t="shared" si="132"/>
        <v>Male</v>
      </c>
      <c r="E2127" t="s">
        <v>9</v>
      </c>
      <c r="F2127" s="2">
        <v>35</v>
      </c>
      <c r="G2127" s="2" t="str" cm="1">
        <f t="array" ref="G2127">_xlfn.IFS(F2127&lt;=8,"Child",F2127&lt;=17,"Teen",F2127&lt;=35,"Adult",F2127&lt;=55,"Seniour Adult",F2127&gt;=55,"Old Age")</f>
        <v>Adult</v>
      </c>
      <c r="H2127" t="s">
        <v>70</v>
      </c>
      <c r="I2127" t="s">
        <v>11</v>
      </c>
      <c r="J2127" t="str" cm="1">
        <f t="array" ref="J2127">_xlfn.IFS(I2127="S","Southamptom",I2127="Q","Quentown",I2127="C","Cherbrug",I2127="B","Cabin")</f>
        <v>Southamptom</v>
      </c>
      <c r="K2127" t="s">
        <v>15</v>
      </c>
      <c r="L2127" s="2">
        <v>33</v>
      </c>
      <c r="M2127" s="2" t="str" cm="1">
        <f t="array" ref="M2127">_xlfn.IFS(L2127&lt;=15,"Low Fare",L2127&lt;=35,"Medium Fare",L2127&lt;=100,"High Fare",L2127&gt;=100,"Very High Fare")</f>
        <v>Medium Fare</v>
      </c>
      <c r="N2127" s="2">
        <v>1</v>
      </c>
      <c r="O2127" s="2" t="s">
        <v>30</v>
      </c>
      <c r="P2127" t="e">
        <f t="shared" si="133"/>
        <v>#VALUE!</v>
      </c>
      <c r="Q2127" t="e">
        <f t="shared" si="134"/>
        <v>#VALUE!</v>
      </c>
      <c r="R2127" t="str">
        <f t="shared" si="135"/>
        <v>No</v>
      </c>
      <c r="S2127" t="s">
        <v>13</v>
      </c>
    </row>
    <row r="2128" spans="1:19" hidden="1" x14ac:dyDescent="0.3">
      <c r="A2128" s="1" t="s">
        <v>1547</v>
      </c>
      <c r="B2128" t="s">
        <v>1596</v>
      </c>
      <c r="C2128" t="s">
        <v>3144</v>
      </c>
      <c r="D2128" t="str">
        <f t="shared" si="132"/>
        <v>Male</v>
      </c>
      <c r="E2128" t="s">
        <v>9</v>
      </c>
      <c r="F2128" s="2">
        <v>38</v>
      </c>
      <c r="G2128" s="2" t="str" cm="1">
        <f t="array" ref="G2128">_xlfn.IFS(F2128&lt;=8,"Child",F2128&lt;=17,"Teen",F2128&lt;=35,"Adult",F2128&lt;=55,"Seniour Adult",F2128&gt;=55,"Old Age")</f>
        <v>Seniour Adult</v>
      </c>
      <c r="H2128" t="s">
        <v>51</v>
      </c>
      <c r="I2128" t="s">
        <v>11</v>
      </c>
      <c r="J2128" t="str" cm="1">
        <f t="array" ref="J2128">_xlfn.IFS(I2128="S","Southamptom",I2128="Q","Quentown",I2128="C","Cherbrug",I2128="B","Cabin")</f>
        <v>Southamptom</v>
      </c>
      <c r="K2128" t="s">
        <v>67</v>
      </c>
      <c r="L2128" s="2">
        <v>33</v>
      </c>
      <c r="M2128" s="2" t="str" cm="1">
        <f t="array" ref="M2128">_xlfn.IFS(L2128&lt;=15,"Low Fare",L2128&lt;=35,"Medium Fare",L2128&lt;=100,"High Fare",L2128&gt;=100,"Very High Fare")</f>
        <v>Medium Fare</v>
      </c>
      <c r="N2128" s="2">
        <v>1</v>
      </c>
      <c r="O2128" s="2" t="s">
        <v>30</v>
      </c>
      <c r="P2128" t="e">
        <f t="shared" si="133"/>
        <v>#VALUE!</v>
      </c>
      <c r="Q2128" t="e">
        <f t="shared" si="134"/>
        <v>#VALUE!</v>
      </c>
      <c r="R2128" t="str">
        <f t="shared" si="135"/>
        <v>No</v>
      </c>
      <c r="S2128" t="s">
        <v>13</v>
      </c>
    </row>
    <row r="2129" spans="1:19" hidden="1" x14ac:dyDescent="0.3">
      <c r="A2129" s="1" t="s">
        <v>920</v>
      </c>
      <c r="B2129" t="s">
        <v>1596</v>
      </c>
      <c r="C2129" t="s">
        <v>1976</v>
      </c>
      <c r="D2129" t="str">
        <f t="shared" si="132"/>
        <v>Male</v>
      </c>
      <c r="E2129" t="s">
        <v>9</v>
      </c>
      <c r="F2129" s="2">
        <v>36</v>
      </c>
      <c r="G2129" s="2" t="str" cm="1">
        <f t="array" ref="G2129">_xlfn.IFS(F2129&lt;=8,"Child",F2129&lt;=17,"Teen",F2129&lt;=35,"Adult",F2129&lt;=55,"Seniour Adult",F2129&gt;=55,"Old Age")</f>
        <v>Seniour Adult</v>
      </c>
      <c r="H2129" t="s">
        <v>51</v>
      </c>
      <c r="I2129" t="s">
        <v>11</v>
      </c>
      <c r="J2129" t="str" cm="1">
        <f t="array" ref="J2129">_xlfn.IFS(I2129="S","Southamptom",I2129="Q","Quentown",I2129="C","Cherbrug",I2129="B","Cabin")</f>
        <v>Southamptom</v>
      </c>
      <c r="K2129" t="s">
        <v>15</v>
      </c>
      <c r="L2129" s="2">
        <v>33</v>
      </c>
      <c r="M2129" s="2" t="str" cm="1">
        <f t="array" ref="M2129">_xlfn.IFS(L2129&lt;=15,"Low Fare",L2129&lt;=35,"Medium Fare",L2129&lt;=100,"High Fare",L2129&gt;=100,"Very High Fare")</f>
        <v>Medium Fare</v>
      </c>
      <c r="N2129" s="2">
        <v>1</v>
      </c>
      <c r="O2129" s="2" t="s">
        <v>30</v>
      </c>
      <c r="P2129" t="e">
        <f t="shared" si="133"/>
        <v>#VALUE!</v>
      </c>
      <c r="Q2129" t="e">
        <f t="shared" si="134"/>
        <v>#VALUE!</v>
      </c>
      <c r="R2129" t="str">
        <f t="shared" si="135"/>
        <v>No</v>
      </c>
      <c r="S2129" t="s">
        <v>13</v>
      </c>
    </row>
    <row r="2130" spans="1:19" hidden="1" x14ac:dyDescent="0.3">
      <c r="A2130" s="1" t="s">
        <v>920</v>
      </c>
      <c r="B2130" t="s">
        <v>1596</v>
      </c>
      <c r="C2130" t="s">
        <v>3145</v>
      </c>
      <c r="D2130" t="str">
        <f t="shared" si="132"/>
        <v>Male</v>
      </c>
      <c r="E2130" t="s">
        <v>9</v>
      </c>
      <c r="F2130" s="2">
        <v>38</v>
      </c>
      <c r="G2130" s="2" t="str" cm="1">
        <f t="array" ref="G2130">_xlfn.IFS(F2130&lt;=8,"Child",F2130&lt;=17,"Teen",F2130&lt;=35,"Adult",F2130&lt;=55,"Seniour Adult",F2130&gt;=55,"Old Age")</f>
        <v>Seniour Adult</v>
      </c>
      <c r="H2130" t="s">
        <v>69</v>
      </c>
      <c r="I2130" t="s">
        <v>11</v>
      </c>
      <c r="J2130" t="str" cm="1">
        <f t="array" ref="J2130">_xlfn.IFS(I2130="S","Southamptom",I2130="Q","Quentown",I2130="C","Cherbrug",I2130="B","Cabin")</f>
        <v>Southamptom</v>
      </c>
      <c r="K2130" t="s">
        <v>15</v>
      </c>
      <c r="L2130" s="2">
        <v>33</v>
      </c>
      <c r="M2130" s="2" t="str" cm="1">
        <f t="array" ref="M2130">_xlfn.IFS(L2130&lt;=15,"Low Fare",L2130&lt;=35,"Medium Fare",L2130&lt;=100,"High Fare",L2130&gt;=100,"Very High Fare")</f>
        <v>Medium Fare</v>
      </c>
      <c r="N2130" s="2">
        <v>1</v>
      </c>
      <c r="O2130" s="2" t="s">
        <v>30</v>
      </c>
      <c r="P2130" t="e">
        <f t="shared" si="133"/>
        <v>#VALUE!</v>
      </c>
      <c r="Q2130" t="e">
        <f t="shared" si="134"/>
        <v>#VALUE!</v>
      </c>
      <c r="R2130" t="str">
        <f t="shared" si="135"/>
        <v>No</v>
      </c>
      <c r="S2130" t="s">
        <v>13</v>
      </c>
    </row>
    <row r="2131" spans="1:19" hidden="1" x14ac:dyDescent="0.3">
      <c r="A2131" s="1" t="s">
        <v>1548</v>
      </c>
      <c r="B2131" t="s">
        <v>1596</v>
      </c>
      <c r="C2131" t="s">
        <v>1728</v>
      </c>
      <c r="D2131" t="str">
        <f t="shared" si="132"/>
        <v>Male</v>
      </c>
      <c r="E2131" t="s">
        <v>9</v>
      </c>
      <c r="F2131" s="2">
        <v>33</v>
      </c>
      <c r="G2131" s="2" t="str" cm="1">
        <f t="array" ref="G2131">_xlfn.IFS(F2131&lt;=8,"Child",F2131&lt;=17,"Teen",F2131&lt;=35,"Adult",F2131&lt;=55,"Seniour Adult",F2131&gt;=55,"Old Age")</f>
        <v>Adult</v>
      </c>
      <c r="H2131" t="s">
        <v>51</v>
      </c>
      <c r="I2131" t="s">
        <v>11</v>
      </c>
      <c r="J2131" t="str" cm="1">
        <f t="array" ref="J2131">_xlfn.IFS(I2131="S","Southamptom",I2131="Q","Quentown",I2131="C","Cherbrug",I2131="B","Cabin")</f>
        <v>Southamptom</v>
      </c>
      <c r="K2131" t="s">
        <v>15</v>
      </c>
      <c r="L2131" s="2">
        <v>33</v>
      </c>
      <c r="M2131" s="2" t="str" cm="1">
        <f t="array" ref="M2131">_xlfn.IFS(L2131&lt;=15,"Low Fare",L2131&lt;=35,"Medium Fare",L2131&lt;=100,"High Fare",L2131&gt;=100,"Very High Fare")</f>
        <v>Medium Fare</v>
      </c>
      <c r="N2131" s="2">
        <v>1</v>
      </c>
      <c r="O2131" s="2" t="s">
        <v>30</v>
      </c>
      <c r="P2131" t="e">
        <f t="shared" si="133"/>
        <v>#VALUE!</v>
      </c>
      <c r="Q2131" t="e">
        <f t="shared" si="134"/>
        <v>#VALUE!</v>
      </c>
      <c r="R2131" t="str">
        <f t="shared" si="135"/>
        <v>No</v>
      </c>
      <c r="S2131" t="s">
        <v>13</v>
      </c>
    </row>
    <row r="2132" spans="1:19" hidden="1" x14ac:dyDescent="0.3">
      <c r="A2132" s="1" t="s">
        <v>1548</v>
      </c>
      <c r="B2132" t="s">
        <v>1596</v>
      </c>
      <c r="C2132" t="s">
        <v>1619</v>
      </c>
      <c r="D2132" t="str">
        <f t="shared" si="132"/>
        <v>Male</v>
      </c>
      <c r="E2132" t="s">
        <v>9</v>
      </c>
      <c r="F2132" s="2">
        <v>34</v>
      </c>
      <c r="G2132" s="2" t="str" cm="1">
        <f t="array" ref="G2132">_xlfn.IFS(F2132&lt;=8,"Child",F2132&lt;=17,"Teen",F2132&lt;=35,"Adult",F2132&lt;=55,"Seniour Adult",F2132&gt;=55,"Old Age")</f>
        <v>Adult</v>
      </c>
      <c r="H2132" t="s">
        <v>51</v>
      </c>
      <c r="I2132" t="s">
        <v>11</v>
      </c>
      <c r="J2132" t="str" cm="1">
        <f t="array" ref="J2132">_xlfn.IFS(I2132="S","Southamptom",I2132="Q","Quentown",I2132="C","Cherbrug",I2132="B","Cabin")</f>
        <v>Southamptom</v>
      </c>
      <c r="K2132" t="s">
        <v>15</v>
      </c>
      <c r="L2132" s="2">
        <v>33</v>
      </c>
      <c r="M2132" s="2" t="str" cm="1">
        <f t="array" ref="M2132">_xlfn.IFS(L2132&lt;=15,"Low Fare",L2132&lt;=35,"Medium Fare",L2132&lt;=100,"High Fare",L2132&gt;=100,"Very High Fare")</f>
        <v>Medium Fare</v>
      </c>
      <c r="N2132" s="2">
        <v>1</v>
      </c>
      <c r="O2132" s="2" t="s">
        <v>30</v>
      </c>
      <c r="P2132" t="e">
        <f t="shared" si="133"/>
        <v>#VALUE!</v>
      </c>
      <c r="Q2132" t="e">
        <f t="shared" si="134"/>
        <v>#VALUE!</v>
      </c>
      <c r="R2132" t="str">
        <f t="shared" si="135"/>
        <v>No</v>
      </c>
      <c r="S2132" t="s">
        <v>13</v>
      </c>
    </row>
    <row r="2133" spans="1:19" hidden="1" x14ac:dyDescent="0.3">
      <c r="A2133" s="1" t="s">
        <v>1549</v>
      </c>
      <c r="B2133" t="s">
        <v>2719</v>
      </c>
      <c r="C2133" t="s">
        <v>3146</v>
      </c>
      <c r="D2133" t="str">
        <f t="shared" si="132"/>
        <v>Male</v>
      </c>
      <c r="E2133" t="s">
        <v>9</v>
      </c>
      <c r="F2133" s="2">
        <v>21</v>
      </c>
      <c r="G2133" s="2" t="str" cm="1">
        <f t="array" ref="G2133">_xlfn.IFS(F2133&lt;=8,"Child",F2133&lt;=17,"Teen",F2133&lt;=35,"Adult",F2133&lt;=55,"Seniour Adult",F2133&gt;=55,"Old Age")</f>
        <v>Adult</v>
      </c>
      <c r="H2133" t="s">
        <v>70</v>
      </c>
      <c r="I2133" t="s">
        <v>11</v>
      </c>
      <c r="J2133" t="str" cm="1">
        <f t="array" ref="J2133">_xlfn.IFS(I2133="S","Southamptom",I2133="Q","Quentown",I2133="C","Cherbrug",I2133="B","Cabin")</f>
        <v>Southamptom</v>
      </c>
      <c r="K2133" t="s">
        <v>15</v>
      </c>
      <c r="L2133" s="2">
        <v>33</v>
      </c>
      <c r="M2133" s="2" t="str" cm="1">
        <f t="array" ref="M2133">_xlfn.IFS(L2133&lt;=15,"Low Fare",L2133&lt;=35,"Medium Fare",L2133&lt;=100,"High Fare",L2133&gt;=100,"Very High Fare")</f>
        <v>Medium Fare</v>
      </c>
      <c r="N2133" s="2">
        <v>1</v>
      </c>
      <c r="O2133" s="2" t="s">
        <v>30</v>
      </c>
      <c r="P2133" t="e">
        <f t="shared" si="133"/>
        <v>#VALUE!</v>
      </c>
      <c r="Q2133" t="e">
        <f t="shared" si="134"/>
        <v>#VALUE!</v>
      </c>
      <c r="R2133" t="str">
        <f t="shared" si="135"/>
        <v>No</v>
      </c>
      <c r="S2133" t="s">
        <v>13</v>
      </c>
    </row>
    <row r="2134" spans="1:19" hidden="1" x14ac:dyDescent="0.3">
      <c r="A2134" s="1" t="s">
        <v>1550</v>
      </c>
      <c r="B2134" t="s">
        <v>1596</v>
      </c>
      <c r="C2134" t="s">
        <v>3147</v>
      </c>
      <c r="D2134" t="str">
        <f t="shared" si="132"/>
        <v>Male</v>
      </c>
      <c r="E2134" t="s">
        <v>9</v>
      </c>
      <c r="F2134" s="2">
        <v>32</v>
      </c>
      <c r="G2134" s="2" t="str" cm="1">
        <f t="array" ref="G2134">_xlfn.IFS(F2134&lt;=8,"Child",F2134&lt;=17,"Teen",F2134&lt;=35,"Adult",F2134&lt;=55,"Seniour Adult",F2134&gt;=55,"Old Age")</f>
        <v>Adult</v>
      </c>
      <c r="H2134" t="s">
        <v>71</v>
      </c>
      <c r="I2134" t="s">
        <v>11</v>
      </c>
      <c r="J2134" t="str" cm="1">
        <f t="array" ref="J2134">_xlfn.IFS(I2134="S","Southamptom",I2134="Q","Quentown",I2134="C","Cherbrug",I2134="B","Cabin")</f>
        <v>Southamptom</v>
      </c>
      <c r="K2134" t="s">
        <v>33</v>
      </c>
      <c r="L2134" s="2">
        <v>33</v>
      </c>
      <c r="M2134" s="2" t="str" cm="1">
        <f t="array" ref="M2134">_xlfn.IFS(L2134&lt;=15,"Low Fare",L2134&lt;=35,"Medium Fare",L2134&lt;=100,"High Fare",L2134&gt;=100,"Very High Fare")</f>
        <v>Medium Fare</v>
      </c>
      <c r="N2134" s="2">
        <v>1</v>
      </c>
      <c r="O2134" s="2" t="s">
        <v>30</v>
      </c>
      <c r="P2134" t="e">
        <f t="shared" si="133"/>
        <v>#VALUE!</v>
      </c>
      <c r="Q2134" t="e">
        <f t="shared" si="134"/>
        <v>#VALUE!</v>
      </c>
      <c r="R2134" t="str">
        <f t="shared" si="135"/>
        <v>Yes</v>
      </c>
      <c r="S2134" t="s">
        <v>16</v>
      </c>
    </row>
    <row r="2135" spans="1:19" hidden="1" x14ac:dyDescent="0.3">
      <c r="A2135" s="1" t="s">
        <v>1551</v>
      </c>
      <c r="B2135" t="s">
        <v>1596</v>
      </c>
      <c r="C2135" t="s">
        <v>3148</v>
      </c>
      <c r="D2135" t="str">
        <f t="shared" si="132"/>
        <v>Male</v>
      </c>
      <c r="E2135" t="s">
        <v>9</v>
      </c>
      <c r="F2135" s="2">
        <v>19</v>
      </c>
      <c r="G2135" s="2" t="str" cm="1">
        <f t="array" ref="G2135">_xlfn.IFS(F2135&lt;=8,"Child",F2135&lt;=17,"Teen",F2135&lt;=35,"Adult",F2135&lt;=55,"Seniour Adult",F2135&gt;=55,"Old Age")</f>
        <v>Adult</v>
      </c>
      <c r="H2135" t="s">
        <v>70</v>
      </c>
      <c r="I2135" t="s">
        <v>11</v>
      </c>
      <c r="J2135" t="str" cm="1">
        <f t="array" ref="J2135">_xlfn.IFS(I2135="S","Southamptom",I2135="Q","Quentown",I2135="C","Cherbrug",I2135="B","Cabin")</f>
        <v>Southamptom</v>
      </c>
      <c r="K2135" t="s">
        <v>15</v>
      </c>
      <c r="L2135" s="2">
        <v>33</v>
      </c>
      <c r="M2135" s="2" t="str" cm="1">
        <f t="array" ref="M2135">_xlfn.IFS(L2135&lt;=15,"Low Fare",L2135&lt;=35,"Medium Fare",L2135&lt;=100,"High Fare",L2135&gt;=100,"Very High Fare")</f>
        <v>Medium Fare</v>
      </c>
      <c r="N2135" s="2">
        <v>1</v>
      </c>
      <c r="O2135" s="2" t="s">
        <v>30</v>
      </c>
      <c r="P2135" t="e">
        <f t="shared" si="133"/>
        <v>#VALUE!</v>
      </c>
      <c r="Q2135" t="e">
        <f t="shared" si="134"/>
        <v>#VALUE!</v>
      </c>
      <c r="R2135" t="str">
        <f t="shared" si="135"/>
        <v>No</v>
      </c>
      <c r="S2135" t="s">
        <v>13</v>
      </c>
    </row>
    <row r="2136" spans="1:19" hidden="1" x14ac:dyDescent="0.3">
      <c r="A2136" s="1" t="s">
        <v>1552</v>
      </c>
      <c r="B2136" t="s">
        <v>1596</v>
      </c>
      <c r="C2136" t="s">
        <v>3149</v>
      </c>
      <c r="D2136" t="str">
        <f t="shared" si="132"/>
        <v>Male</v>
      </c>
      <c r="E2136" t="s">
        <v>9</v>
      </c>
      <c r="F2136" s="2">
        <v>18</v>
      </c>
      <c r="G2136" s="2" t="str" cm="1">
        <f t="array" ref="G2136">_xlfn.IFS(F2136&lt;=8,"Child",F2136&lt;=17,"Teen",F2136&lt;=35,"Adult",F2136&lt;=55,"Seniour Adult",F2136&gt;=55,"Old Age")</f>
        <v>Adult</v>
      </c>
      <c r="H2136" t="s">
        <v>70</v>
      </c>
      <c r="I2136" t="s">
        <v>11</v>
      </c>
      <c r="J2136" t="str" cm="1">
        <f t="array" ref="J2136">_xlfn.IFS(I2136="S","Southamptom",I2136="Q","Quentown",I2136="C","Cherbrug",I2136="B","Cabin")</f>
        <v>Southamptom</v>
      </c>
      <c r="K2136" t="s">
        <v>15</v>
      </c>
      <c r="L2136" s="2">
        <v>33</v>
      </c>
      <c r="M2136" s="2" t="str" cm="1">
        <f t="array" ref="M2136">_xlfn.IFS(L2136&lt;=15,"Low Fare",L2136&lt;=35,"Medium Fare",L2136&lt;=100,"High Fare",L2136&gt;=100,"Very High Fare")</f>
        <v>Medium Fare</v>
      </c>
      <c r="N2136" s="2">
        <v>1</v>
      </c>
      <c r="O2136" s="2" t="s">
        <v>30</v>
      </c>
      <c r="P2136" t="e">
        <f t="shared" si="133"/>
        <v>#VALUE!</v>
      </c>
      <c r="Q2136" t="e">
        <f t="shared" si="134"/>
        <v>#VALUE!</v>
      </c>
      <c r="R2136" t="str">
        <f t="shared" si="135"/>
        <v>No</v>
      </c>
      <c r="S2136" t="s">
        <v>13</v>
      </c>
    </row>
    <row r="2137" spans="1:19" hidden="1" x14ac:dyDescent="0.3">
      <c r="A2137" s="1" t="s">
        <v>1553</v>
      </c>
      <c r="B2137" t="s">
        <v>2719</v>
      </c>
      <c r="C2137" t="s">
        <v>3142</v>
      </c>
      <c r="D2137" t="str">
        <f t="shared" si="132"/>
        <v>Male</v>
      </c>
      <c r="E2137" t="s">
        <v>9</v>
      </c>
      <c r="F2137" s="2">
        <v>25</v>
      </c>
      <c r="G2137" s="2" t="str" cm="1">
        <f t="array" ref="G2137">_xlfn.IFS(F2137&lt;=8,"Child",F2137&lt;=17,"Teen",F2137&lt;=35,"Adult",F2137&lt;=55,"Seniour Adult",F2137&gt;=55,"Old Age")</f>
        <v>Adult</v>
      </c>
      <c r="H2137" t="s">
        <v>70</v>
      </c>
      <c r="I2137" t="s">
        <v>11</v>
      </c>
      <c r="J2137" t="str" cm="1">
        <f t="array" ref="J2137">_xlfn.IFS(I2137="S","Southamptom",I2137="Q","Quentown",I2137="C","Cherbrug",I2137="B","Cabin")</f>
        <v>Southamptom</v>
      </c>
      <c r="K2137" t="s">
        <v>38</v>
      </c>
      <c r="L2137" s="2">
        <v>33</v>
      </c>
      <c r="M2137" s="2" t="str" cm="1">
        <f t="array" ref="M2137">_xlfn.IFS(L2137&lt;=15,"Low Fare",L2137&lt;=35,"Medium Fare",L2137&lt;=100,"High Fare",L2137&gt;=100,"Very High Fare")</f>
        <v>Medium Fare</v>
      </c>
      <c r="N2137" s="2">
        <v>1</v>
      </c>
      <c r="O2137" s="2" t="s">
        <v>30</v>
      </c>
      <c r="P2137" t="e">
        <f t="shared" si="133"/>
        <v>#VALUE!</v>
      </c>
      <c r="Q2137" t="e">
        <f t="shared" si="134"/>
        <v>#VALUE!</v>
      </c>
      <c r="R2137" t="str">
        <f t="shared" si="135"/>
        <v>No</v>
      </c>
      <c r="S2137" t="s">
        <v>13</v>
      </c>
    </row>
    <row r="2138" spans="1:19" hidden="1" x14ac:dyDescent="0.3">
      <c r="A2138" s="1" t="s">
        <v>1554</v>
      </c>
      <c r="B2138" t="s">
        <v>2719</v>
      </c>
      <c r="C2138" t="s">
        <v>3150</v>
      </c>
      <c r="D2138" t="str">
        <f t="shared" si="132"/>
        <v>Male</v>
      </c>
      <c r="E2138" t="s">
        <v>9</v>
      </c>
      <c r="F2138" s="2">
        <v>35</v>
      </c>
      <c r="G2138" s="2" t="str" cm="1">
        <f t="array" ref="G2138">_xlfn.IFS(F2138&lt;=8,"Child",F2138&lt;=17,"Teen",F2138&lt;=35,"Adult",F2138&lt;=55,"Seniour Adult",F2138&gt;=55,"Old Age")</f>
        <v>Adult</v>
      </c>
      <c r="H2138" t="s">
        <v>70</v>
      </c>
      <c r="I2138" t="s">
        <v>11</v>
      </c>
      <c r="J2138" t="str" cm="1">
        <f t="array" ref="J2138">_xlfn.IFS(I2138="S","Southamptom",I2138="Q","Quentown",I2138="C","Cherbrug",I2138="B","Cabin")</f>
        <v>Southamptom</v>
      </c>
      <c r="K2138" t="s">
        <v>15</v>
      </c>
      <c r="L2138" s="2">
        <v>33</v>
      </c>
      <c r="M2138" s="2" t="str" cm="1">
        <f t="array" ref="M2138">_xlfn.IFS(L2138&lt;=15,"Low Fare",L2138&lt;=35,"Medium Fare",L2138&lt;=100,"High Fare",L2138&gt;=100,"Very High Fare")</f>
        <v>Medium Fare</v>
      </c>
      <c r="N2138" s="2">
        <v>1</v>
      </c>
      <c r="O2138" s="2" t="s">
        <v>30</v>
      </c>
      <c r="P2138" t="e">
        <f t="shared" si="133"/>
        <v>#VALUE!</v>
      </c>
      <c r="Q2138" t="e">
        <f t="shared" si="134"/>
        <v>#VALUE!</v>
      </c>
      <c r="R2138" t="str">
        <f t="shared" si="135"/>
        <v>No</v>
      </c>
      <c r="S2138" t="s">
        <v>13</v>
      </c>
    </row>
    <row r="2139" spans="1:19" hidden="1" x14ac:dyDescent="0.3">
      <c r="A2139" s="1" t="s">
        <v>1555</v>
      </c>
      <c r="B2139" t="s">
        <v>1596</v>
      </c>
      <c r="C2139" t="s">
        <v>1681</v>
      </c>
      <c r="D2139" t="str">
        <f t="shared" si="132"/>
        <v>Male</v>
      </c>
      <c r="E2139" t="s">
        <v>9</v>
      </c>
      <c r="F2139" s="2">
        <v>37</v>
      </c>
      <c r="G2139" s="2" t="str" cm="1">
        <f t="array" ref="G2139">_xlfn.IFS(F2139&lt;=8,"Child",F2139&lt;=17,"Teen",F2139&lt;=35,"Adult",F2139&lt;=55,"Seniour Adult",F2139&gt;=55,"Old Age")</f>
        <v>Seniour Adult</v>
      </c>
      <c r="H2139" t="s">
        <v>69</v>
      </c>
      <c r="I2139" t="s">
        <v>11</v>
      </c>
      <c r="J2139" t="str" cm="1">
        <f t="array" ref="J2139">_xlfn.IFS(I2139="S","Southamptom",I2139="Q","Quentown",I2139="C","Cherbrug",I2139="B","Cabin")</f>
        <v>Southamptom</v>
      </c>
      <c r="K2139" t="s">
        <v>15</v>
      </c>
      <c r="L2139" s="2">
        <v>33</v>
      </c>
      <c r="M2139" s="2" t="str" cm="1">
        <f t="array" ref="M2139">_xlfn.IFS(L2139&lt;=15,"Low Fare",L2139&lt;=35,"Medium Fare",L2139&lt;=100,"High Fare",L2139&gt;=100,"Very High Fare")</f>
        <v>Medium Fare</v>
      </c>
      <c r="N2139" s="2">
        <v>1</v>
      </c>
      <c r="O2139" s="2" t="s">
        <v>30</v>
      </c>
      <c r="P2139" t="e">
        <f t="shared" si="133"/>
        <v>#VALUE!</v>
      </c>
      <c r="Q2139" t="e">
        <f t="shared" si="134"/>
        <v>#VALUE!</v>
      </c>
      <c r="R2139" t="str">
        <f t="shared" si="135"/>
        <v>No</v>
      </c>
      <c r="S2139" t="s">
        <v>13</v>
      </c>
    </row>
    <row r="2140" spans="1:19" hidden="1" x14ac:dyDescent="0.3">
      <c r="A2140" s="1" t="s">
        <v>1556</v>
      </c>
      <c r="B2140" t="s">
        <v>1600</v>
      </c>
      <c r="C2140" t="s">
        <v>3151</v>
      </c>
      <c r="D2140" t="str">
        <f t="shared" si="132"/>
        <v>Female</v>
      </c>
      <c r="E2140" t="s">
        <v>14</v>
      </c>
      <c r="F2140" s="2">
        <v>36</v>
      </c>
      <c r="G2140" s="2" t="str" cm="1">
        <f t="array" ref="G2140">_xlfn.IFS(F2140&lt;=8,"Child",F2140&lt;=17,"Teen",F2140&lt;=35,"Adult",F2140&lt;=55,"Seniour Adult",F2140&gt;=55,"Old Age")</f>
        <v>Seniour Adult</v>
      </c>
      <c r="H2140" t="s">
        <v>69</v>
      </c>
      <c r="I2140" t="s">
        <v>11</v>
      </c>
      <c r="J2140" t="str" cm="1">
        <f t="array" ref="J2140">_xlfn.IFS(I2140="S","Southamptom",I2140="Q","Quentown",I2140="C","Cherbrug",I2140="B","Cabin")</f>
        <v>Southamptom</v>
      </c>
      <c r="K2140" t="s">
        <v>15</v>
      </c>
      <c r="L2140" s="2">
        <v>33</v>
      </c>
      <c r="M2140" s="2" t="str" cm="1">
        <f t="array" ref="M2140">_xlfn.IFS(L2140&lt;=15,"Low Fare",L2140&lt;=35,"Medium Fare",L2140&lt;=100,"High Fare",L2140&gt;=100,"Very High Fare")</f>
        <v>Medium Fare</v>
      </c>
      <c r="N2140" s="2">
        <v>1</v>
      </c>
      <c r="O2140" s="2" t="s">
        <v>30</v>
      </c>
      <c r="P2140" t="e">
        <f t="shared" si="133"/>
        <v>#VALUE!</v>
      </c>
      <c r="Q2140" t="e">
        <f t="shared" si="134"/>
        <v>#VALUE!</v>
      </c>
      <c r="R2140" t="str">
        <f t="shared" si="135"/>
        <v>No</v>
      </c>
      <c r="S2140" t="s">
        <v>13</v>
      </c>
    </row>
    <row r="2141" spans="1:19" hidden="1" x14ac:dyDescent="0.3">
      <c r="A2141" s="1" t="s">
        <v>1557</v>
      </c>
      <c r="B2141" t="s">
        <v>1596</v>
      </c>
      <c r="C2141" t="s">
        <v>1965</v>
      </c>
      <c r="D2141" t="str">
        <f t="shared" si="132"/>
        <v>Male</v>
      </c>
      <c r="E2141" t="s">
        <v>9</v>
      </c>
      <c r="F2141" s="2">
        <v>48</v>
      </c>
      <c r="G2141" s="2" t="str" cm="1">
        <f t="array" ref="G2141">_xlfn.IFS(F2141&lt;=8,"Child",F2141&lt;=17,"Teen",F2141&lt;=35,"Adult",F2141&lt;=55,"Seniour Adult",F2141&gt;=55,"Old Age")</f>
        <v>Seniour Adult</v>
      </c>
      <c r="H2141" t="s">
        <v>69</v>
      </c>
      <c r="I2141" t="s">
        <v>28</v>
      </c>
      <c r="J2141" t="str" cm="1">
        <f t="array" ref="J2141">_xlfn.IFS(I2141="S","Southamptom",I2141="Q","Quentown",I2141="C","Cherbrug",I2141="B","Cabin")</f>
        <v>Cabin</v>
      </c>
      <c r="K2141" t="s">
        <v>15</v>
      </c>
      <c r="L2141" s="2">
        <v>33</v>
      </c>
      <c r="M2141" s="2" t="str" cm="1">
        <f t="array" ref="M2141">_xlfn.IFS(L2141&lt;=15,"Low Fare",L2141&lt;=35,"Medium Fare",L2141&lt;=100,"High Fare",L2141&gt;=100,"Very High Fare")</f>
        <v>Medium Fare</v>
      </c>
      <c r="N2141" s="2">
        <v>1</v>
      </c>
      <c r="O2141" s="2" t="s">
        <v>30</v>
      </c>
      <c r="P2141" t="e">
        <f t="shared" si="133"/>
        <v>#VALUE!</v>
      </c>
      <c r="Q2141" t="e">
        <f t="shared" si="134"/>
        <v>#VALUE!</v>
      </c>
      <c r="R2141" t="str">
        <f t="shared" si="135"/>
        <v>No</v>
      </c>
      <c r="S2141" t="s">
        <v>13</v>
      </c>
    </row>
    <row r="2142" spans="1:19" hidden="1" x14ac:dyDescent="0.3">
      <c r="A2142" s="1" t="s">
        <v>1558</v>
      </c>
      <c r="B2142" t="s">
        <v>1602</v>
      </c>
      <c r="C2142" t="s">
        <v>1735</v>
      </c>
      <c r="D2142" t="str">
        <f t="shared" si="132"/>
        <v>Female</v>
      </c>
      <c r="E2142" t="s">
        <v>14</v>
      </c>
      <c r="F2142" s="2">
        <v>32</v>
      </c>
      <c r="G2142" s="2" t="str" cm="1">
        <f t="array" ref="G2142">_xlfn.IFS(F2142&lt;=8,"Child",F2142&lt;=17,"Teen",F2142&lt;=35,"Adult",F2142&lt;=55,"Seniour Adult",F2142&gt;=55,"Old Age")</f>
        <v>Adult</v>
      </c>
      <c r="H2142" t="s">
        <v>69</v>
      </c>
      <c r="I2142" t="s">
        <v>11</v>
      </c>
      <c r="J2142" t="str" cm="1">
        <f t="array" ref="J2142">_xlfn.IFS(I2142="S","Southamptom",I2142="Q","Quentown",I2142="C","Cherbrug",I2142="B","Cabin")</f>
        <v>Southamptom</v>
      </c>
      <c r="K2142" t="s">
        <v>37</v>
      </c>
      <c r="L2142" s="2">
        <v>33</v>
      </c>
      <c r="M2142" s="2" t="str" cm="1">
        <f t="array" ref="M2142">_xlfn.IFS(L2142&lt;=15,"Low Fare",L2142&lt;=35,"Medium Fare",L2142&lt;=100,"High Fare",L2142&gt;=100,"Very High Fare")</f>
        <v>Medium Fare</v>
      </c>
      <c r="N2142" s="2">
        <v>1</v>
      </c>
      <c r="O2142" s="2" t="s">
        <v>30</v>
      </c>
      <c r="P2142" t="e">
        <f t="shared" si="133"/>
        <v>#VALUE!</v>
      </c>
      <c r="Q2142" t="e">
        <f t="shared" si="134"/>
        <v>#VALUE!</v>
      </c>
      <c r="R2142" t="str">
        <f t="shared" si="135"/>
        <v>No</v>
      </c>
      <c r="S2142" t="s">
        <v>13</v>
      </c>
    </row>
    <row r="2143" spans="1:19" hidden="1" x14ac:dyDescent="0.3">
      <c r="A2143" s="1" t="s">
        <v>927</v>
      </c>
      <c r="B2143" t="s">
        <v>1596</v>
      </c>
      <c r="C2143" t="s">
        <v>1976</v>
      </c>
      <c r="D2143" t="str">
        <f t="shared" si="132"/>
        <v>Male</v>
      </c>
      <c r="E2143" t="s">
        <v>9</v>
      </c>
      <c r="F2143" s="2">
        <v>23</v>
      </c>
      <c r="G2143" s="2" t="str" cm="1">
        <f t="array" ref="G2143">_xlfn.IFS(F2143&lt;=8,"Child",F2143&lt;=17,"Teen",F2143&lt;=35,"Adult",F2143&lt;=55,"Seniour Adult",F2143&gt;=55,"Old Age")</f>
        <v>Adult</v>
      </c>
      <c r="H2143" t="s">
        <v>51</v>
      </c>
      <c r="I2143" t="s">
        <v>28</v>
      </c>
      <c r="J2143" t="str" cm="1">
        <f t="array" ref="J2143">_xlfn.IFS(I2143="S","Southamptom",I2143="Q","Quentown",I2143="C","Cherbrug",I2143="B","Cabin")</f>
        <v>Cabin</v>
      </c>
      <c r="K2143" t="s">
        <v>15</v>
      </c>
      <c r="L2143" s="2">
        <v>33</v>
      </c>
      <c r="M2143" s="2" t="str" cm="1">
        <f t="array" ref="M2143">_xlfn.IFS(L2143&lt;=15,"Low Fare",L2143&lt;=35,"Medium Fare",L2143&lt;=100,"High Fare",L2143&gt;=100,"Very High Fare")</f>
        <v>Medium Fare</v>
      </c>
      <c r="N2143" s="2">
        <v>1</v>
      </c>
      <c r="O2143" s="2" t="s">
        <v>30</v>
      </c>
      <c r="P2143" t="e">
        <f t="shared" si="133"/>
        <v>#VALUE!</v>
      </c>
      <c r="Q2143" t="e">
        <f t="shared" si="134"/>
        <v>#VALUE!</v>
      </c>
      <c r="R2143" t="str">
        <f t="shared" si="135"/>
        <v>No</v>
      </c>
      <c r="S2143" t="s">
        <v>13</v>
      </c>
    </row>
    <row r="2144" spans="1:19" hidden="1" x14ac:dyDescent="0.3">
      <c r="A2144" s="1" t="s">
        <v>927</v>
      </c>
      <c r="B2144" t="s">
        <v>1596</v>
      </c>
      <c r="C2144" t="s">
        <v>1700</v>
      </c>
      <c r="D2144" t="str">
        <f t="shared" si="132"/>
        <v>Male</v>
      </c>
      <c r="E2144" t="s">
        <v>9</v>
      </c>
      <c r="F2144" s="2">
        <v>34</v>
      </c>
      <c r="G2144" s="2" t="str" cm="1">
        <f t="array" ref="G2144">_xlfn.IFS(F2144&lt;=8,"Child",F2144&lt;=17,"Teen",F2144&lt;=35,"Adult",F2144&lt;=55,"Seniour Adult",F2144&gt;=55,"Old Age")</f>
        <v>Adult</v>
      </c>
      <c r="H2144" t="s">
        <v>69</v>
      </c>
      <c r="I2144" t="s">
        <v>28</v>
      </c>
      <c r="J2144" t="str" cm="1">
        <f t="array" ref="J2144">_xlfn.IFS(I2144="S","Southamptom",I2144="Q","Quentown",I2144="C","Cherbrug",I2144="B","Cabin")</f>
        <v>Cabin</v>
      </c>
      <c r="K2144" t="s">
        <v>15</v>
      </c>
      <c r="L2144" s="2">
        <v>33</v>
      </c>
      <c r="M2144" s="2" t="str" cm="1">
        <f t="array" ref="M2144">_xlfn.IFS(L2144&lt;=15,"Low Fare",L2144&lt;=35,"Medium Fare",L2144&lt;=100,"High Fare",L2144&gt;=100,"Very High Fare")</f>
        <v>Medium Fare</v>
      </c>
      <c r="N2144" s="2">
        <v>1</v>
      </c>
      <c r="O2144" s="2" t="s">
        <v>30</v>
      </c>
      <c r="P2144" t="e">
        <f t="shared" si="133"/>
        <v>#VALUE!</v>
      </c>
      <c r="Q2144" t="e">
        <f t="shared" si="134"/>
        <v>#VALUE!</v>
      </c>
      <c r="R2144" t="str">
        <f t="shared" si="135"/>
        <v>No</v>
      </c>
      <c r="S2144" t="s">
        <v>13</v>
      </c>
    </row>
    <row r="2145" spans="1:19" hidden="1" x14ac:dyDescent="0.3">
      <c r="A2145" s="1" t="s">
        <v>927</v>
      </c>
      <c r="B2145" t="s">
        <v>1596</v>
      </c>
      <c r="C2145" t="s">
        <v>2638</v>
      </c>
      <c r="D2145" t="str">
        <f t="shared" si="132"/>
        <v>Male</v>
      </c>
      <c r="E2145" t="s">
        <v>9</v>
      </c>
      <c r="F2145" s="2">
        <v>31</v>
      </c>
      <c r="G2145" s="2" t="str" cm="1">
        <f t="array" ref="G2145">_xlfn.IFS(F2145&lt;=8,"Child",F2145&lt;=17,"Teen",F2145&lt;=35,"Adult",F2145&lt;=55,"Seniour Adult",F2145&gt;=55,"Old Age")</f>
        <v>Adult</v>
      </c>
      <c r="H2145" t="s">
        <v>51</v>
      </c>
      <c r="I2145" t="s">
        <v>11</v>
      </c>
      <c r="J2145" t="str" cm="1">
        <f t="array" ref="J2145">_xlfn.IFS(I2145="S","Southamptom",I2145="Q","Quentown",I2145="C","Cherbrug",I2145="B","Cabin")</f>
        <v>Southamptom</v>
      </c>
      <c r="K2145" t="s">
        <v>15</v>
      </c>
      <c r="L2145" s="2">
        <v>33</v>
      </c>
      <c r="M2145" s="2" t="str" cm="1">
        <f t="array" ref="M2145">_xlfn.IFS(L2145&lt;=15,"Low Fare",L2145&lt;=35,"Medium Fare",L2145&lt;=100,"High Fare",L2145&gt;=100,"Very High Fare")</f>
        <v>Medium Fare</v>
      </c>
      <c r="N2145" s="2">
        <v>1</v>
      </c>
      <c r="O2145" s="2" t="s">
        <v>30</v>
      </c>
      <c r="P2145" t="e">
        <f t="shared" si="133"/>
        <v>#VALUE!</v>
      </c>
      <c r="Q2145" t="e">
        <f t="shared" si="134"/>
        <v>#VALUE!</v>
      </c>
      <c r="R2145" t="str">
        <f t="shared" si="135"/>
        <v>No</v>
      </c>
      <c r="S2145" t="s">
        <v>13</v>
      </c>
    </row>
    <row r="2146" spans="1:19" hidden="1" x14ac:dyDescent="0.3">
      <c r="A2146" s="1" t="s">
        <v>927</v>
      </c>
      <c r="B2146" t="s">
        <v>1596</v>
      </c>
      <c r="C2146" t="s">
        <v>2398</v>
      </c>
      <c r="D2146" t="str">
        <f t="shared" si="132"/>
        <v>Male</v>
      </c>
      <c r="E2146" t="s">
        <v>9</v>
      </c>
      <c r="F2146" s="2">
        <v>40</v>
      </c>
      <c r="G2146" s="2" t="str" cm="1">
        <f t="array" ref="G2146">_xlfn.IFS(F2146&lt;=8,"Child",F2146&lt;=17,"Teen",F2146&lt;=35,"Adult",F2146&lt;=55,"Seniour Adult",F2146&gt;=55,"Old Age")</f>
        <v>Seniour Adult</v>
      </c>
      <c r="H2146" t="s">
        <v>69</v>
      </c>
      <c r="I2146" t="s">
        <v>28</v>
      </c>
      <c r="J2146" t="str" cm="1">
        <f t="array" ref="J2146">_xlfn.IFS(I2146="S","Southamptom",I2146="Q","Quentown",I2146="C","Cherbrug",I2146="B","Cabin")</f>
        <v>Cabin</v>
      </c>
      <c r="K2146" t="s">
        <v>15</v>
      </c>
      <c r="L2146" s="2">
        <v>33</v>
      </c>
      <c r="M2146" s="2" t="str" cm="1">
        <f t="array" ref="M2146">_xlfn.IFS(L2146&lt;=15,"Low Fare",L2146&lt;=35,"Medium Fare",L2146&lt;=100,"High Fare",L2146&gt;=100,"Very High Fare")</f>
        <v>Medium Fare</v>
      </c>
      <c r="N2146" s="2">
        <v>1</v>
      </c>
      <c r="O2146" s="2" t="s">
        <v>30</v>
      </c>
      <c r="P2146" t="e">
        <f t="shared" si="133"/>
        <v>#VALUE!</v>
      </c>
      <c r="Q2146" t="e">
        <f t="shared" si="134"/>
        <v>#VALUE!</v>
      </c>
      <c r="R2146" t="str">
        <f t="shared" si="135"/>
        <v>No</v>
      </c>
      <c r="S2146" t="s">
        <v>13</v>
      </c>
    </row>
    <row r="2147" spans="1:19" hidden="1" x14ac:dyDescent="0.3">
      <c r="A2147" s="1" t="s">
        <v>927</v>
      </c>
      <c r="B2147" t="s">
        <v>1596</v>
      </c>
      <c r="C2147" t="s">
        <v>1619</v>
      </c>
      <c r="D2147" t="str">
        <f t="shared" si="132"/>
        <v>Male</v>
      </c>
      <c r="E2147" t="s">
        <v>9</v>
      </c>
      <c r="F2147" s="2">
        <v>37</v>
      </c>
      <c r="G2147" s="2" t="str" cm="1">
        <f t="array" ref="G2147">_xlfn.IFS(F2147&lt;=8,"Child",F2147&lt;=17,"Teen",F2147&lt;=35,"Adult",F2147&lt;=55,"Seniour Adult",F2147&gt;=55,"Old Age")</f>
        <v>Seniour Adult</v>
      </c>
      <c r="H2147" t="s">
        <v>69</v>
      </c>
      <c r="I2147" t="s">
        <v>11</v>
      </c>
      <c r="J2147" t="str" cm="1">
        <f t="array" ref="J2147">_xlfn.IFS(I2147="S","Southamptom",I2147="Q","Quentown",I2147="C","Cherbrug",I2147="B","Cabin")</f>
        <v>Southamptom</v>
      </c>
      <c r="K2147" t="s">
        <v>15</v>
      </c>
      <c r="L2147" s="2">
        <v>33</v>
      </c>
      <c r="M2147" s="2" t="str" cm="1">
        <f t="array" ref="M2147">_xlfn.IFS(L2147&lt;=15,"Low Fare",L2147&lt;=35,"Medium Fare",L2147&lt;=100,"High Fare",L2147&gt;=100,"Very High Fare")</f>
        <v>Medium Fare</v>
      </c>
      <c r="N2147" s="2">
        <v>1</v>
      </c>
      <c r="O2147" s="2" t="s">
        <v>30</v>
      </c>
      <c r="P2147" t="e">
        <f t="shared" si="133"/>
        <v>#VALUE!</v>
      </c>
      <c r="Q2147" t="e">
        <f t="shared" si="134"/>
        <v>#VALUE!</v>
      </c>
      <c r="R2147" t="str">
        <f t="shared" si="135"/>
        <v>Yes</v>
      </c>
      <c r="S2147" t="s">
        <v>16</v>
      </c>
    </row>
    <row r="2148" spans="1:19" hidden="1" x14ac:dyDescent="0.3">
      <c r="A2148" s="1" t="s">
        <v>1559</v>
      </c>
      <c r="B2148" t="s">
        <v>1596</v>
      </c>
      <c r="C2148" t="s">
        <v>3152</v>
      </c>
      <c r="D2148" t="str">
        <f t="shared" si="132"/>
        <v>Male</v>
      </c>
      <c r="E2148" t="s">
        <v>9</v>
      </c>
      <c r="F2148" s="2">
        <v>40</v>
      </c>
      <c r="G2148" s="2" t="str" cm="1">
        <f t="array" ref="G2148">_xlfn.IFS(F2148&lt;=8,"Child",F2148&lt;=17,"Teen",F2148&lt;=35,"Adult",F2148&lt;=55,"Seniour Adult",F2148&gt;=55,"Old Age")</f>
        <v>Seniour Adult</v>
      </c>
      <c r="H2148" t="s">
        <v>51</v>
      </c>
      <c r="I2148" t="s">
        <v>11</v>
      </c>
      <c r="J2148" t="str" cm="1">
        <f t="array" ref="J2148">_xlfn.IFS(I2148="S","Southamptom",I2148="Q","Quentown",I2148="C","Cherbrug",I2148="B","Cabin")</f>
        <v>Southamptom</v>
      </c>
      <c r="K2148" t="s">
        <v>15</v>
      </c>
      <c r="L2148" s="2">
        <v>33</v>
      </c>
      <c r="M2148" s="2" t="str" cm="1">
        <f t="array" ref="M2148">_xlfn.IFS(L2148&lt;=15,"Low Fare",L2148&lt;=35,"Medium Fare",L2148&lt;=100,"High Fare",L2148&gt;=100,"Very High Fare")</f>
        <v>Medium Fare</v>
      </c>
      <c r="N2148" s="2">
        <v>1</v>
      </c>
      <c r="O2148" s="2" t="s">
        <v>30</v>
      </c>
      <c r="P2148" t="e">
        <f t="shared" si="133"/>
        <v>#VALUE!</v>
      </c>
      <c r="Q2148" t="e">
        <f t="shared" si="134"/>
        <v>#VALUE!</v>
      </c>
      <c r="R2148" t="str">
        <f t="shared" si="135"/>
        <v>No</v>
      </c>
      <c r="S2148" t="s">
        <v>13</v>
      </c>
    </row>
    <row r="2149" spans="1:19" hidden="1" x14ac:dyDescent="0.3">
      <c r="A2149" s="1" t="s">
        <v>1560</v>
      </c>
      <c r="B2149" t="s">
        <v>1596</v>
      </c>
      <c r="C2149" t="s">
        <v>3153</v>
      </c>
      <c r="D2149" t="str">
        <f t="shared" si="132"/>
        <v>Male</v>
      </c>
      <c r="E2149" t="s">
        <v>9</v>
      </c>
      <c r="F2149" s="2">
        <v>37</v>
      </c>
      <c r="G2149" s="2" t="str" cm="1">
        <f t="array" ref="G2149">_xlfn.IFS(F2149&lt;=8,"Child",F2149&lt;=17,"Teen",F2149&lt;=35,"Adult",F2149&lt;=55,"Seniour Adult",F2149&gt;=55,"Old Age")</f>
        <v>Seniour Adult</v>
      </c>
      <c r="H2149" t="s">
        <v>69</v>
      </c>
      <c r="I2149" t="s">
        <v>28</v>
      </c>
      <c r="J2149" t="str" cm="1">
        <f t="array" ref="J2149">_xlfn.IFS(I2149="S","Southamptom",I2149="Q","Quentown",I2149="C","Cherbrug",I2149="B","Cabin")</f>
        <v>Cabin</v>
      </c>
      <c r="K2149" t="s">
        <v>15</v>
      </c>
      <c r="L2149" s="2">
        <v>33</v>
      </c>
      <c r="M2149" s="2" t="str" cm="1">
        <f t="array" ref="M2149">_xlfn.IFS(L2149&lt;=15,"Low Fare",L2149&lt;=35,"Medium Fare",L2149&lt;=100,"High Fare",L2149&gt;=100,"Very High Fare")</f>
        <v>Medium Fare</v>
      </c>
      <c r="N2149" s="2">
        <v>1</v>
      </c>
      <c r="O2149" s="2" t="s">
        <v>30</v>
      </c>
      <c r="P2149" t="e">
        <f t="shared" si="133"/>
        <v>#VALUE!</v>
      </c>
      <c r="Q2149" t="e">
        <f t="shared" si="134"/>
        <v>#VALUE!</v>
      </c>
      <c r="R2149" t="str">
        <f t="shared" si="135"/>
        <v>No</v>
      </c>
      <c r="S2149" t="s">
        <v>13</v>
      </c>
    </row>
    <row r="2150" spans="1:19" hidden="1" x14ac:dyDescent="0.3">
      <c r="A2150" s="1" t="s">
        <v>1561</v>
      </c>
      <c r="B2150" t="s">
        <v>1596</v>
      </c>
      <c r="C2150" t="s">
        <v>2922</v>
      </c>
      <c r="D2150" t="str">
        <f t="shared" si="132"/>
        <v>Male</v>
      </c>
      <c r="E2150" t="s">
        <v>9</v>
      </c>
      <c r="F2150" s="2">
        <v>26</v>
      </c>
      <c r="G2150" s="2" t="str" cm="1">
        <f t="array" ref="G2150">_xlfn.IFS(F2150&lt;=8,"Child",F2150&lt;=17,"Teen",F2150&lt;=35,"Adult",F2150&lt;=55,"Seniour Adult",F2150&gt;=55,"Old Age")</f>
        <v>Adult</v>
      </c>
      <c r="H2150" t="s">
        <v>69</v>
      </c>
      <c r="I2150" t="s">
        <v>11</v>
      </c>
      <c r="J2150" t="str" cm="1">
        <f t="array" ref="J2150">_xlfn.IFS(I2150="S","Southamptom",I2150="Q","Quentown",I2150="C","Cherbrug",I2150="B","Cabin")</f>
        <v>Southamptom</v>
      </c>
      <c r="K2150" t="s">
        <v>15</v>
      </c>
      <c r="L2150" s="2">
        <v>33</v>
      </c>
      <c r="M2150" s="2" t="str" cm="1">
        <f t="array" ref="M2150">_xlfn.IFS(L2150&lt;=15,"Low Fare",L2150&lt;=35,"Medium Fare",L2150&lt;=100,"High Fare",L2150&gt;=100,"Very High Fare")</f>
        <v>Medium Fare</v>
      </c>
      <c r="N2150" s="2">
        <v>1</v>
      </c>
      <c r="O2150" s="2" t="s">
        <v>30</v>
      </c>
      <c r="P2150" t="e">
        <f t="shared" si="133"/>
        <v>#VALUE!</v>
      </c>
      <c r="Q2150" t="e">
        <f t="shared" si="134"/>
        <v>#VALUE!</v>
      </c>
      <c r="R2150" t="str">
        <f t="shared" si="135"/>
        <v>No</v>
      </c>
      <c r="S2150" t="s">
        <v>13</v>
      </c>
    </row>
    <row r="2151" spans="1:19" hidden="1" x14ac:dyDescent="0.3">
      <c r="A2151" s="1" t="s">
        <v>1562</v>
      </c>
      <c r="B2151" t="s">
        <v>1596</v>
      </c>
      <c r="C2151" t="s">
        <v>3154</v>
      </c>
      <c r="D2151" t="str">
        <f t="shared" si="132"/>
        <v>Male</v>
      </c>
      <c r="E2151" t="s">
        <v>9</v>
      </c>
      <c r="F2151" s="2">
        <v>26</v>
      </c>
      <c r="G2151" s="2" t="str" cm="1">
        <f t="array" ref="G2151">_xlfn.IFS(F2151&lt;=8,"Child",F2151&lt;=17,"Teen",F2151&lt;=35,"Adult",F2151&lt;=55,"Seniour Adult",F2151&gt;=55,"Old Age")</f>
        <v>Adult</v>
      </c>
      <c r="H2151" t="s">
        <v>51</v>
      </c>
      <c r="I2151" t="s">
        <v>11</v>
      </c>
      <c r="J2151" t="str" cm="1">
        <f t="array" ref="J2151">_xlfn.IFS(I2151="S","Southamptom",I2151="Q","Quentown",I2151="C","Cherbrug",I2151="B","Cabin")</f>
        <v>Southamptom</v>
      </c>
      <c r="K2151" t="s">
        <v>15</v>
      </c>
      <c r="L2151" s="2">
        <v>33</v>
      </c>
      <c r="M2151" s="2" t="str" cm="1">
        <f t="array" ref="M2151">_xlfn.IFS(L2151&lt;=15,"Low Fare",L2151&lt;=35,"Medium Fare",L2151&lt;=100,"High Fare",L2151&gt;=100,"Very High Fare")</f>
        <v>Medium Fare</v>
      </c>
      <c r="N2151" s="2">
        <v>1</v>
      </c>
      <c r="O2151" s="2" t="s">
        <v>30</v>
      </c>
      <c r="P2151" t="e">
        <f t="shared" si="133"/>
        <v>#VALUE!</v>
      </c>
      <c r="Q2151" t="e">
        <f t="shared" si="134"/>
        <v>#VALUE!</v>
      </c>
      <c r="R2151" t="str">
        <f t="shared" si="135"/>
        <v>No</v>
      </c>
      <c r="S2151" t="s">
        <v>13</v>
      </c>
    </row>
    <row r="2152" spans="1:19" hidden="1" x14ac:dyDescent="0.3">
      <c r="A2152" s="1" t="s">
        <v>930</v>
      </c>
      <c r="B2152" t="s">
        <v>1596</v>
      </c>
      <c r="C2152" t="s">
        <v>1616</v>
      </c>
      <c r="D2152" t="str">
        <f t="shared" si="132"/>
        <v>Male</v>
      </c>
      <c r="E2152" t="s">
        <v>9</v>
      </c>
      <c r="F2152" s="2">
        <v>15</v>
      </c>
      <c r="G2152" s="2" t="str" cm="1">
        <f t="array" ref="G2152">_xlfn.IFS(F2152&lt;=8,"Child",F2152&lt;=17,"Teen",F2152&lt;=35,"Adult",F2152&lt;=55,"Seniour Adult",F2152&gt;=55,"Old Age")</f>
        <v>Teen</v>
      </c>
      <c r="H2152" t="s">
        <v>69</v>
      </c>
      <c r="I2152" t="s">
        <v>11</v>
      </c>
      <c r="J2152" t="str" cm="1">
        <f t="array" ref="J2152">_xlfn.IFS(I2152="S","Southamptom",I2152="Q","Quentown",I2152="C","Cherbrug",I2152="B","Cabin")</f>
        <v>Southamptom</v>
      </c>
      <c r="K2152" t="s">
        <v>15</v>
      </c>
      <c r="L2152" s="2">
        <v>33</v>
      </c>
      <c r="M2152" s="2" t="str" cm="1">
        <f t="array" ref="M2152">_xlfn.IFS(L2152&lt;=15,"Low Fare",L2152&lt;=35,"Medium Fare",L2152&lt;=100,"High Fare",L2152&gt;=100,"Very High Fare")</f>
        <v>Medium Fare</v>
      </c>
      <c r="N2152" s="2">
        <v>1</v>
      </c>
      <c r="O2152" s="2" t="s">
        <v>30</v>
      </c>
      <c r="P2152" t="e">
        <f t="shared" si="133"/>
        <v>#VALUE!</v>
      </c>
      <c r="Q2152" t="e">
        <f t="shared" si="134"/>
        <v>#VALUE!</v>
      </c>
      <c r="R2152" t="str">
        <f t="shared" si="135"/>
        <v>No</v>
      </c>
      <c r="S2152" t="s">
        <v>13</v>
      </c>
    </row>
    <row r="2153" spans="1:19" hidden="1" x14ac:dyDescent="0.3">
      <c r="A2153" s="1" t="s">
        <v>930</v>
      </c>
      <c r="B2153" t="s">
        <v>1596</v>
      </c>
      <c r="C2153" t="s">
        <v>3155</v>
      </c>
      <c r="D2153" t="str">
        <f t="shared" si="132"/>
        <v>Male</v>
      </c>
      <c r="E2153" t="s">
        <v>9</v>
      </c>
      <c r="F2153" s="2">
        <v>27</v>
      </c>
      <c r="G2153" s="2" t="str" cm="1">
        <f t="array" ref="G2153">_xlfn.IFS(F2153&lt;=8,"Child",F2153&lt;=17,"Teen",F2153&lt;=35,"Adult",F2153&lt;=55,"Seniour Adult",F2153&gt;=55,"Old Age")</f>
        <v>Adult</v>
      </c>
      <c r="H2153" t="s">
        <v>51</v>
      </c>
      <c r="I2153" t="s">
        <v>11</v>
      </c>
      <c r="J2153" t="str" cm="1">
        <f t="array" ref="J2153">_xlfn.IFS(I2153="S","Southamptom",I2153="Q","Quentown",I2153="C","Cherbrug",I2153="B","Cabin")</f>
        <v>Southamptom</v>
      </c>
      <c r="K2153" t="s">
        <v>15</v>
      </c>
      <c r="L2153" s="2">
        <v>33</v>
      </c>
      <c r="M2153" s="2" t="str" cm="1">
        <f t="array" ref="M2153">_xlfn.IFS(L2153&lt;=15,"Low Fare",L2153&lt;=35,"Medium Fare",L2153&lt;=100,"High Fare",L2153&gt;=100,"Very High Fare")</f>
        <v>Medium Fare</v>
      </c>
      <c r="N2153" s="2">
        <v>1</v>
      </c>
      <c r="O2153" s="2" t="s">
        <v>30</v>
      </c>
      <c r="P2153" t="e">
        <f t="shared" si="133"/>
        <v>#VALUE!</v>
      </c>
      <c r="Q2153" t="e">
        <f t="shared" si="134"/>
        <v>#VALUE!</v>
      </c>
      <c r="R2153" t="str">
        <f t="shared" si="135"/>
        <v>No</v>
      </c>
      <c r="S2153" t="s">
        <v>13</v>
      </c>
    </row>
    <row r="2154" spans="1:19" hidden="1" x14ac:dyDescent="0.3">
      <c r="A2154" s="1" t="s">
        <v>1563</v>
      </c>
      <c r="B2154" t="s">
        <v>1596</v>
      </c>
      <c r="C2154" t="s">
        <v>3156</v>
      </c>
      <c r="D2154" t="str">
        <f t="shared" si="132"/>
        <v>Male</v>
      </c>
      <c r="E2154" t="s">
        <v>9</v>
      </c>
      <c r="F2154" s="2">
        <v>25</v>
      </c>
      <c r="G2154" s="2" t="str" cm="1">
        <f t="array" ref="G2154">_xlfn.IFS(F2154&lt;=8,"Child",F2154&lt;=17,"Teen",F2154&lt;=35,"Adult",F2154&lt;=55,"Seniour Adult",F2154&gt;=55,"Old Age")</f>
        <v>Adult</v>
      </c>
      <c r="H2154" t="s">
        <v>69</v>
      </c>
      <c r="I2154" t="s">
        <v>28</v>
      </c>
      <c r="J2154" t="str" cm="1">
        <f t="array" ref="J2154">_xlfn.IFS(I2154="S","Southamptom",I2154="Q","Quentown",I2154="C","Cherbrug",I2154="B","Cabin")</f>
        <v>Cabin</v>
      </c>
      <c r="K2154" t="s">
        <v>15</v>
      </c>
      <c r="L2154" s="2">
        <v>33</v>
      </c>
      <c r="M2154" s="2" t="str" cm="1">
        <f t="array" ref="M2154">_xlfn.IFS(L2154&lt;=15,"Low Fare",L2154&lt;=35,"Medium Fare",L2154&lt;=100,"High Fare",L2154&gt;=100,"Very High Fare")</f>
        <v>Medium Fare</v>
      </c>
      <c r="N2154" s="2">
        <v>1</v>
      </c>
      <c r="O2154" s="2" t="s">
        <v>30</v>
      </c>
      <c r="P2154" t="e">
        <f t="shared" si="133"/>
        <v>#VALUE!</v>
      </c>
      <c r="Q2154" t="e">
        <f t="shared" si="134"/>
        <v>#VALUE!</v>
      </c>
      <c r="R2154" t="str">
        <f t="shared" si="135"/>
        <v>No</v>
      </c>
      <c r="S2154" t="s">
        <v>13</v>
      </c>
    </row>
    <row r="2155" spans="1:19" hidden="1" x14ac:dyDescent="0.3">
      <c r="A2155" s="1" t="s">
        <v>933</v>
      </c>
      <c r="B2155" t="s">
        <v>1596</v>
      </c>
      <c r="C2155" t="s">
        <v>3157</v>
      </c>
      <c r="D2155" t="str">
        <f t="shared" si="132"/>
        <v>Male</v>
      </c>
      <c r="E2155" t="s">
        <v>9</v>
      </c>
      <c r="F2155" s="2">
        <v>31</v>
      </c>
      <c r="G2155" s="2" t="str" cm="1">
        <f t="array" ref="G2155">_xlfn.IFS(F2155&lt;=8,"Child",F2155&lt;=17,"Teen",F2155&lt;=35,"Adult",F2155&lt;=55,"Seniour Adult",F2155&gt;=55,"Old Age")</f>
        <v>Adult</v>
      </c>
      <c r="H2155" t="s">
        <v>51</v>
      </c>
      <c r="I2155" t="s">
        <v>11</v>
      </c>
      <c r="J2155" t="str" cm="1">
        <f t="array" ref="J2155">_xlfn.IFS(I2155="S","Southamptom",I2155="Q","Quentown",I2155="C","Cherbrug",I2155="B","Cabin")</f>
        <v>Southamptom</v>
      </c>
      <c r="K2155" t="s">
        <v>15</v>
      </c>
      <c r="L2155" s="2">
        <v>33</v>
      </c>
      <c r="M2155" s="2" t="str" cm="1">
        <f t="array" ref="M2155">_xlfn.IFS(L2155&lt;=15,"Low Fare",L2155&lt;=35,"Medium Fare",L2155&lt;=100,"High Fare",L2155&gt;=100,"Very High Fare")</f>
        <v>Medium Fare</v>
      </c>
      <c r="N2155" s="2">
        <v>1</v>
      </c>
      <c r="O2155" s="2" t="s">
        <v>30</v>
      </c>
      <c r="P2155" t="e">
        <f t="shared" si="133"/>
        <v>#VALUE!</v>
      </c>
      <c r="Q2155" t="e">
        <f t="shared" si="134"/>
        <v>#VALUE!</v>
      </c>
      <c r="R2155" t="str">
        <f t="shared" si="135"/>
        <v>No</v>
      </c>
      <c r="S2155" t="s">
        <v>13</v>
      </c>
    </row>
    <row r="2156" spans="1:19" hidden="1" x14ac:dyDescent="0.3">
      <c r="A2156" s="1" t="s">
        <v>1564</v>
      </c>
      <c r="B2156" t="s">
        <v>1596</v>
      </c>
      <c r="C2156" t="s">
        <v>3158</v>
      </c>
      <c r="D2156" t="str">
        <f t="shared" si="132"/>
        <v>Male</v>
      </c>
      <c r="E2156" t="s">
        <v>9</v>
      </c>
      <c r="F2156" s="2">
        <v>50</v>
      </c>
      <c r="G2156" s="2" t="str" cm="1">
        <f t="array" ref="G2156">_xlfn.IFS(F2156&lt;=8,"Child",F2156&lt;=17,"Teen",F2156&lt;=35,"Adult",F2156&lt;=55,"Seniour Adult",F2156&gt;=55,"Old Age")</f>
        <v>Seniour Adult</v>
      </c>
      <c r="H2156" t="s">
        <v>69</v>
      </c>
      <c r="I2156" t="s">
        <v>28</v>
      </c>
      <c r="J2156" t="str" cm="1">
        <f t="array" ref="J2156">_xlfn.IFS(I2156="S","Southamptom",I2156="Q","Quentown",I2156="C","Cherbrug",I2156="B","Cabin")</f>
        <v>Cabin</v>
      </c>
      <c r="K2156" t="s">
        <v>15</v>
      </c>
      <c r="L2156" s="2">
        <v>33</v>
      </c>
      <c r="M2156" s="2" t="str" cm="1">
        <f t="array" ref="M2156">_xlfn.IFS(L2156&lt;=15,"Low Fare",L2156&lt;=35,"Medium Fare",L2156&lt;=100,"High Fare",L2156&gt;=100,"Very High Fare")</f>
        <v>Medium Fare</v>
      </c>
      <c r="N2156" s="2">
        <v>1</v>
      </c>
      <c r="O2156" s="2" t="s">
        <v>30</v>
      </c>
      <c r="P2156" t="e">
        <f t="shared" si="133"/>
        <v>#VALUE!</v>
      </c>
      <c r="Q2156" t="e">
        <f t="shared" si="134"/>
        <v>#VALUE!</v>
      </c>
      <c r="R2156" t="str">
        <f t="shared" si="135"/>
        <v>No</v>
      </c>
      <c r="S2156" t="s">
        <v>13</v>
      </c>
    </row>
    <row r="2157" spans="1:19" hidden="1" x14ac:dyDescent="0.3">
      <c r="A2157" s="1" t="s">
        <v>1564</v>
      </c>
      <c r="B2157" t="s">
        <v>1596</v>
      </c>
      <c r="C2157" t="s">
        <v>3091</v>
      </c>
      <c r="D2157" t="str">
        <f t="shared" si="132"/>
        <v>Male</v>
      </c>
      <c r="E2157" t="s">
        <v>9</v>
      </c>
      <c r="F2157" s="2">
        <v>28</v>
      </c>
      <c r="G2157" s="2" t="str" cm="1">
        <f t="array" ref="G2157">_xlfn.IFS(F2157&lt;=8,"Child",F2157&lt;=17,"Teen",F2157&lt;=35,"Adult",F2157&lt;=55,"Seniour Adult",F2157&gt;=55,"Old Age")</f>
        <v>Adult</v>
      </c>
      <c r="H2157" t="s">
        <v>51</v>
      </c>
      <c r="I2157" t="s">
        <v>11</v>
      </c>
      <c r="J2157" t="str" cm="1">
        <f t="array" ref="J2157">_xlfn.IFS(I2157="S","Southamptom",I2157="Q","Quentown",I2157="C","Cherbrug",I2157="B","Cabin")</f>
        <v>Southamptom</v>
      </c>
      <c r="K2157" t="s">
        <v>15</v>
      </c>
      <c r="L2157" s="2">
        <v>33</v>
      </c>
      <c r="M2157" s="2" t="str" cm="1">
        <f t="array" ref="M2157">_xlfn.IFS(L2157&lt;=15,"Low Fare",L2157&lt;=35,"Medium Fare",L2157&lt;=100,"High Fare",L2157&gt;=100,"Very High Fare")</f>
        <v>Medium Fare</v>
      </c>
      <c r="N2157" s="2">
        <v>1</v>
      </c>
      <c r="O2157" s="2" t="s">
        <v>30</v>
      </c>
      <c r="P2157" t="e">
        <f t="shared" si="133"/>
        <v>#VALUE!</v>
      </c>
      <c r="Q2157" t="e">
        <f t="shared" si="134"/>
        <v>#VALUE!</v>
      </c>
      <c r="R2157" t="str">
        <f t="shared" si="135"/>
        <v>No</v>
      </c>
      <c r="S2157" t="s">
        <v>13</v>
      </c>
    </row>
    <row r="2158" spans="1:19" hidden="1" x14ac:dyDescent="0.3">
      <c r="A2158" s="1" t="s">
        <v>1565</v>
      </c>
      <c r="B2158" t="s">
        <v>1596</v>
      </c>
      <c r="C2158" t="s">
        <v>1615</v>
      </c>
      <c r="D2158" t="str">
        <f t="shared" si="132"/>
        <v>Male</v>
      </c>
      <c r="E2158" t="s">
        <v>9</v>
      </c>
      <c r="F2158" s="2">
        <v>52</v>
      </c>
      <c r="G2158" s="2" t="str" cm="1">
        <f t="array" ref="G2158">_xlfn.IFS(F2158&lt;=8,"Child",F2158&lt;=17,"Teen",F2158&lt;=35,"Adult",F2158&lt;=55,"Seniour Adult",F2158&gt;=55,"Old Age")</f>
        <v>Seniour Adult</v>
      </c>
      <c r="H2158" t="s">
        <v>69</v>
      </c>
      <c r="I2158" t="s">
        <v>11</v>
      </c>
      <c r="J2158" t="str" cm="1">
        <f t="array" ref="J2158">_xlfn.IFS(I2158="S","Southamptom",I2158="Q","Quentown",I2158="C","Cherbrug",I2158="B","Cabin")</f>
        <v>Southamptom</v>
      </c>
      <c r="K2158" t="s">
        <v>12</v>
      </c>
      <c r="L2158" s="2">
        <v>33</v>
      </c>
      <c r="M2158" s="2" t="str" cm="1">
        <f t="array" ref="M2158">_xlfn.IFS(L2158&lt;=15,"Low Fare",L2158&lt;=35,"Medium Fare",L2158&lt;=100,"High Fare",L2158&gt;=100,"Very High Fare")</f>
        <v>Medium Fare</v>
      </c>
      <c r="N2158" s="2">
        <v>1</v>
      </c>
      <c r="O2158" s="2" t="s">
        <v>30</v>
      </c>
      <c r="P2158" t="e">
        <f t="shared" si="133"/>
        <v>#VALUE!</v>
      </c>
      <c r="Q2158" t="e">
        <f t="shared" si="134"/>
        <v>#VALUE!</v>
      </c>
      <c r="R2158" t="str">
        <f t="shared" si="135"/>
        <v>Yes</v>
      </c>
      <c r="S2158" t="s">
        <v>16</v>
      </c>
    </row>
    <row r="2159" spans="1:19" hidden="1" x14ac:dyDescent="0.3">
      <c r="A2159" s="1" t="s">
        <v>1566</v>
      </c>
      <c r="B2159" t="s">
        <v>1596</v>
      </c>
      <c r="C2159" t="s">
        <v>3159</v>
      </c>
      <c r="D2159" t="str">
        <f t="shared" si="132"/>
        <v>Male</v>
      </c>
      <c r="E2159" t="s">
        <v>9</v>
      </c>
      <c r="F2159" s="2">
        <v>21</v>
      </c>
      <c r="G2159" s="2" t="str" cm="1">
        <f t="array" ref="G2159">_xlfn.IFS(F2159&lt;=8,"Child",F2159&lt;=17,"Teen",F2159&lt;=35,"Adult",F2159&lt;=55,"Seniour Adult",F2159&gt;=55,"Old Age")</f>
        <v>Adult</v>
      </c>
      <c r="H2159" t="s">
        <v>69</v>
      </c>
      <c r="I2159" t="s">
        <v>11</v>
      </c>
      <c r="J2159" t="str" cm="1">
        <f t="array" ref="J2159">_xlfn.IFS(I2159="S","Southamptom",I2159="Q","Quentown",I2159="C","Cherbrug",I2159="B","Cabin")</f>
        <v>Southamptom</v>
      </c>
      <c r="K2159" t="s">
        <v>15</v>
      </c>
      <c r="L2159" s="2">
        <v>33</v>
      </c>
      <c r="M2159" s="2" t="str" cm="1">
        <f t="array" ref="M2159">_xlfn.IFS(L2159&lt;=15,"Low Fare",L2159&lt;=35,"Medium Fare",L2159&lt;=100,"High Fare",L2159&gt;=100,"Very High Fare")</f>
        <v>Medium Fare</v>
      </c>
      <c r="N2159" s="2">
        <v>1</v>
      </c>
      <c r="O2159" s="2" t="s">
        <v>30</v>
      </c>
      <c r="P2159" t="e">
        <f t="shared" si="133"/>
        <v>#VALUE!</v>
      </c>
      <c r="Q2159" t="e">
        <f t="shared" si="134"/>
        <v>#VALUE!</v>
      </c>
      <c r="R2159" t="str">
        <f t="shared" si="135"/>
        <v>No</v>
      </c>
      <c r="S2159" t="s">
        <v>13</v>
      </c>
    </row>
    <row r="2160" spans="1:19" hidden="1" x14ac:dyDescent="0.3">
      <c r="A2160" s="1" t="s">
        <v>1567</v>
      </c>
      <c r="B2160" t="s">
        <v>1596</v>
      </c>
      <c r="C2160" t="s">
        <v>3160</v>
      </c>
      <c r="D2160" t="str">
        <f t="shared" si="132"/>
        <v>Male</v>
      </c>
      <c r="E2160" t="s">
        <v>9</v>
      </c>
      <c r="F2160" s="2">
        <v>30</v>
      </c>
      <c r="G2160" s="2" t="str" cm="1">
        <f t="array" ref="G2160">_xlfn.IFS(F2160&lt;=8,"Child",F2160&lt;=17,"Teen",F2160&lt;=35,"Adult",F2160&lt;=55,"Seniour Adult",F2160&gt;=55,"Old Age")</f>
        <v>Adult</v>
      </c>
      <c r="H2160" t="s">
        <v>71</v>
      </c>
      <c r="I2160" t="s">
        <v>28</v>
      </c>
      <c r="J2160" t="str" cm="1">
        <f t="array" ref="J2160">_xlfn.IFS(I2160="S","Southamptom",I2160="Q","Quentown",I2160="C","Cherbrug",I2160="B","Cabin")</f>
        <v>Cabin</v>
      </c>
      <c r="K2160" t="s">
        <v>15</v>
      </c>
      <c r="L2160" s="2">
        <v>33</v>
      </c>
      <c r="M2160" s="2" t="str" cm="1">
        <f t="array" ref="M2160">_xlfn.IFS(L2160&lt;=15,"Low Fare",L2160&lt;=35,"Medium Fare",L2160&lt;=100,"High Fare",L2160&gt;=100,"Very High Fare")</f>
        <v>Medium Fare</v>
      </c>
      <c r="N2160" s="2">
        <v>1</v>
      </c>
      <c r="O2160" s="2" t="s">
        <v>30</v>
      </c>
      <c r="P2160" t="e">
        <f t="shared" si="133"/>
        <v>#VALUE!</v>
      </c>
      <c r="Q2160" t="e">
        <f t="shared" si="134"/>
        <v>#VALUE!</v>
      </c>
      <c r="R2160" t="str">
        <f t="shared" si="135"/>
        <v>Yes</v>
      </c>
      <c r="S2160" t="s">
        <v>16</v>
      </c>
    </row>
    <row r="2161" spans="1:19" hidden="1" x14ac:dyDescent="0.3">
      <c r="A2161" s="1" t="s">
        <v>1568</v>
      </c>
      <c r="B2161" t="s">
        <v>1596</v>
      </c>
      <c r="C2161" t="s">
        <v>3161</v>
      </c>
      <c r="D2161" t="str">
        <f t="shared" si="132"/>
        <v>Male</v>
      </c>
      <c r="E2161" t="s">
        <v>9</v>
      </c>
      <c r="F2161" s="2">
        <v>30</v>
      </c>
      <c r="G2161" s="2" t="str" cm="1">
        <f t="array" ref="G2161">_xlfn.IFS(F2161&lt;=8,"Child",F2161&lt;=17,"Teen",F2161&lt;=35,"Adult",F2161&lt;=55,"Seniour Adult",F2161&gt;=55,"Old Age")</f>
        <v>Adult</v>
      </c>
      <c r="H2161" t="s">
        <v>69</v>
      </c>
      <c r="I2161" t="s">
        <v>28</v>
      </c>
      <c r="J2161" t="str" cm="1">
        <f t="array" ref="J2161">_xlfn.IFS(I2161="S","Southamptom",I2161="Q","Quentown",I2161="C","Cherbrug",I2161="B","Cabin")</f>
        <v>Cabin</v>
      </c>
      <c r="K2161" t="s">
        <v>15</v>
      </c>
      <c r="L2161" s="2">
        <v>33</v>
      </c>
      <c r="M2161" s="2" t="str" cm="1">
        <f t="array" ref="M2161">_xlfn.IFS(L2161&lt;=15,"Low Fare",L2161&lt;=35,"Medium Fare",L2161&lt;=100,"High Fare",L2161&gt;=100,"Very High Fare")</f>
        <v>Medium Fare</v>
      </c>
      <c r="N2161" s="2">
        <v>1</v>
      </c>
      <c r="O2161" s="2" t="s">
        <v>30</v>
      </c>
      <c r="P2161" t="e">
        <f t="shared" si="133"/>
        <v>#VALUE!</v>
      </c>
      <c r="Q2161" t="e">
        <f t="shared" si="134"/>
        <v>#VALUE!</v>
      </c>
      <c r="R2161" t="str">
        <f t="shared" si="135"/>
        <v>Yes</v>
      </c>
      <c r="S2161" t="s">
        <v>16</v>
      </c>
    </row>
    <row r="2162" spans="1:19" hidden="1" x14ac:dyDescent="0.3">
      <c r="A2162" s="1" t="s">
        <v>1569</v>
      </c>
      <c r="B2162" t="s">
        <v>1596</v>
      </c>
      <c r="C2162" t="s">
        <v>3162</v>
      </c>
      <c r="D2162" t="str">
        <f t="shared" si="132"/>
        <v>Male</v>
      </c>
      <c r="E2162" t="s">
        <v>9</v>
      </c>
      <c r="F2162" s="2">
        <v>29</v>
      </c>
      <c r="G2162" s="2" t="str" cm="1">
        <f t="array" ref="G2162">_xlfn.IFS(F2162&lt;=8,"Child",F2162&lt;=17,"Teen",F2162&lt;=35,"Adult",F2162&lt;=55,"Seniour Adult",F2162&gt;=55,"Old Age")</f>
        <v>Adult</v>
      </c>
      <c r="H2162" t="s">
        <v>69</v>
      </c>
      <c r="I2162" t="s">
        <v>28</v>
      </c>
      <c r="J2162" t="str" cm="1">
        <f t="array" ref="J2162">_xlfn.IFS(I2162="S","Southamptom",I2162="Q","Quentown",I2162="C","Cherbrug",I2162="B","Cabin")</f>
        <v>Cabin</v>
      </c>
      <c r="K2162" t="s">
        <v>15</v>
      </c>
      <c r="L2162" s="2">
        <v>33</v>
      </c>
      <c r="M2162" s="2" t="str" cm="1">
        <f t="array" ref="M2162">_xlfn.IFS(L2162&lt;=15,"Low Fare",L2162&lt;=35,"Medium Fare",L2162&lt;=100,"High Fare",L2162&gt;=100,"Very High Fare")</f>
        <v>Medium Fare</v>
      </c>
      <c r="N2162" s="2">
        <v>1</v>
      </c>
      <c r="O2162" s="2" t="s">
        <v>30</v>
      </c>
      <c r="P2162" t="e">
        <f t="shared" si="133"/>
        <v>#VALUE!</v>
      </c>
      <c r="Q2162" t="e">
        <f t="shared" si="134"/>
        <v>#VALUE!</v>
      </c>
      <c r="R2162" t="str">
        <f t="shared" si="135"/>
        <v>Yes</v>
      </c>
      <c r="S2162" t="s">
        <v>16</v>
      </c>
    </row>
    <row r="2163" spans="1:19" hidden="1" x14ac:dyDescent="0.3">
      <c r="A2163" s="1" t="s">
        <v>1570</v>
      </c>
      <c r="B2163" t="s">
        <v>1596</v>
      </c>
      <c r="C2163" t="s">
        <v>3163</v>
      </c>
      <c r="D2163" t="str">
        <f t="shared" si="132"/>
        <v>Male</v>
      </c>
      <c r="E2163" t="s">
        <v>9</v>
      </c>
      <c r="F2163" s="2">
        <v>18</v>
      </c>
      <c r="G2163" s="2" t="str" cm="1">
        <f t="array" ref="G2163">_xlfn.IFS(F2163&lt;=8,"Child",F2163&lt;=17,"Teen",F2163&lt;=35,"Adult",F2163&lt;=55,"Seniour Adult",F2163&gt;=55,"Old Age")</f>
        <v>Adult</v>
      </c>
      <c r="H2163" t="s">
        <v>69</v>
      </c>
      <c r="I2163" t="s">
        <v>11</v>
      </c>
      <c r="J2163" t="str" cm="1">
        <f t="array" ref="J2163">_xlfn.IFS(I2163="S","Southamptom",I2163="Q","Quentown",I2163="C","Cherbrug",I2163="B","Cabin")</f>
        <v>Southamptom</v>
      </c>
      <c r="K2163" t="s">
        <v>15</v>
      </c>
      <c r="L2163" s="2">
        <v>33</v>
      </c>
      <c r="M2163" s="2" t="str" cm="1">
        <f t="array" ref="M2163">_xlfn.IFS(L2163&lt;=15,"Low Fare",L2163&lt;=35,"Medium Fare",L2163&lt;=100,"High Fare",L2163&gt;=100,"Very High Fare")</f>
        <v>Medium Fare</v>
      </c>
      <c r="N2163" s="2">
        <v>1</v>
      </c>
      <c r="O2163" s="2" t="s">
        <v>30</v>
      </c>
      <c r="P2163" t="e">
        <f t="shared" si="133"/>
        <v>#VALUE!</v>
      </c>
      <c r="Q2163" t="e">
        <f t="shared" si="134"/>
        <v>#VALUE!</v>
      </c>
      <c r="R2163" t="str">
        <f t="shared" si="135"/>
        <v>Yes</v>
      </c>
      <c r="S2163" t="s">
        <v>16</v>
      </c>
    </row>
    <row r="2164" spans="1:19" hidden="1" x14ac:dyDescent="0.3">
      <c r="A2164" s="1" t="s">
        <v>942</v>
      </c>
      <c r="B2164" t="s">
        <v>1596</v>
      </c>
      <c r="C2164" t="s">
        <v>1671</v>
      </c>
      <c r="D2164" t="str">
        <f t="shared" si="132"/>
        <v>Male</v>
      </c>
      <c r="E2164" t="s">
        <v>9</v>
      </c>
      <c r="F2164" s="2">
        <v>21</v>
      </c>
      <c r="G2164" s="2" t="str" cm="1">
        <f t="array" ref="G2164">_xlfn.IFS(F2164&lt;=8,"Child",F2164&lt;=17,"Teen",F2164&lt;=35,"Adult",F2164&lt;=55,"Seniour Adult",F2164&gt;=55,"Old Age")</f>
        <v>Adult</v>
      </c>
      <c r="H2164" t="s">
        <v>51</v>
      </c>
      <c r="I2164" t="s">
        <v>11</v>
      </c>
      <c r="J2164" t="str" cm="1">
        <f t="array" ref="J2164">_xlfn.IFS(I2164="S","Southamptom",I2164="Q","Quentown",I2164="C","Cherbrug",I2164="B","Cabin")</f>
        <v>Southamptom</v>
      </c>
      <c r="K2164" t="s">
        <v>15</v>
      </c>
      <c r="L2164" s="2">
        <v>33</v>
      </c>
      <c r="M2164" s="2" t="str" cm="1">
        <f t="array" ref="M2164">_xlfn.IFS(L2164&lt;=15,"Low Fare",L2164&lt;=35,"Medium Fare",L2164&lt;=100,"High Fare",L2164&gt;=100,"Very High Fare")</f>
        <v>Medium Fare</v>
      </c>
      <c r="N2164" s="2">
        <v>1</v>
      </c>
      <c r="O2164" s="2" t="s">
        <v>30</v>
      </c>
      <c r="P2164" t="e">
        <f t="shared" si="133"/>
        <v>#VALUE!</v>
      </c>
      <c r="Q2164" t="e">
        <f t="shared" si="134"/>
        <v>#VALUE!</v>
      </c>
      <c r="R2164" t="str">
        <f t="shared" si="135"/>
        <v>No</v>
      </c>
      <c r="S2164" t="s">
        <v>13</v>
      </c>
    </row>
    <row r="2165" spans="1:19" hidden="1" x14ac:dyDescent="0.3">
      <c r="A2165" s="1" t="s">
        <v>942</v>
      </c>
      <c r="B2165" t="s">
        <v>1596</v>
      </c>
      <c r="C2165" t="s">
        <v>2373</v>
      </c>
      <c r="D2165" t="str">
        <f t="shared" si="132"/>
        <v>Male</v>
      </c>
      <c r="E2165" t="s">
        <v>9</v>
      </c>
      <c r="F2165" s="2">
        <v>32</v>
      </c>
      <c r="G2165" s="2" t="str" cm="1">
        <f t="array" ref="G2165">_xlfn.IFS(F2165&lt;=8,"Child",F2165&lt;=17,"Teen",F2165&lt;=35,"Adult",F2165&lt;=55,"Seniour Adult",F2165&gt;=55,"Old Age")</f>
        <v>Adult</v>
      </c>
      <c r="H2165" t="s">
        <v>51</v>
      </c>
      <c r="I2165" t="s">
        <v>11</v>
      </c>
      <c r="J2165" t="str" cm="1">
        <f t="array" ref="J2165">_xlfn.IFS(I2165="S","Southamptom",I2165="Q","Quentown",I2165="C","Cherbrug",I2165="B","Cabin")</f>
        <v>Southamptom</v>
      </c>
      <c r="K2165" t="s">
        <v>15</v>
      </c>
      <c r="L2165" s="2">
        <v>33</v>
      </c>
      <c r="M2165" s="2" t="str" cm="1">
        <f t="array" ref="M2165">_xlfn.IFS(L2165&lt;=15,"Low Fare",L2165&lt;=35,"Medium Fare",L2165&lt;=100,"High Fare",L2165&gt;=100,"Very High Fare")</f>
        <v>Medium Fare</v>
      </c>
      <c r="N2165" s="2">
        <v>1</v>
      </c>
      <c r="O2165" s="2" t="s">
        <v>30</v>
      </c>
      <c r="P2165" t="e">
        <f t="shared" si="133"/>
        <v>#VALUE!</v>
      </c>
      <c r="Q2165" t="e">
        <f t="shared" si="134"/>
        <v>#VALUE!</v>
      </c>
      <c r="R2165" t="str">
        <f t="shared" si="135"/>
        <v>Yes</v>
      </c>
      <c r="S2165" t="s">
        <v>16</v>
      </c>
    </row>
    <row r="2166" spans="1:19" hidden="1" x14ac:dyDescent="0.3">
      <c r="A2166" s="1" t="s">
        <v>942</v>
      </c>
      <c r="B2166" t="s">
        <v>1596</v>
      </c>
      <c r="C2166" t="s">
        <v>1976</v>
      </c>
      <c r="D2166" t="str">
        <f t="shared" si="132"/>
        <v>Male</v>
      </c>
      <c r="E2166" t="s">
        <v>9</v>
      </c>
      <c r="F2166" s="2">
        <v>37</v>
      </c>
      <c r="G2166" s="2" t="str" cm="1">
        <f t="array" ref="G2166">_xlfn.IFS(F2166&lt;=8,"Child",F2166&lt;=17,"Teen",F2166&lt;=35,"Adult",F2166&lt;=55,"Seniour Adult",F2166&gt;=55,"Old Age")</f>
        <v>Seniour Adult</v>
      </c>
      <c r="H2166" t="s">
        <v>69</v>
      </c>
      <c r="I2166" t="s">
        <v>11</v>
      </c>
      <c r="J2166" t="str" cm="1">
        <f t="array" ref="J2166">_xlfn.IFS(I2166="S","Southamptom",I2166="Q","Quentown",I2166="C","Cherbrug",I2166="B","Cabin")</f>
        <v>Southamptom</v>
      </c>
      <c r="K2166" t="s">
        <v>15</v>
      </c>
      <c r="L2166" s="2">
        <v>33</v>
      </c>
      <c r="M2166" s="2" t="str" cm="1">
        <f t="array" ref="M2166">_xlfn.IFS(L2166&lt;=15,"Low Fare",L2166&lt;=35,"Medium Fare",L2166&lt;=100,"High Fare",L2166&gt;=100,"Very High Fare")</f>
        <v>Medium Fare</v>
      </c>
      <c r="N2166" s="2">
        <v>1</v>
      </c>
      <c r="O2166" s="2" t="s">
        <v>30</v>
      </c>
      <c r="P2166" t="e">
        <f t="shared" si="133"/>
        <v>#VALUE!</v>
      </c>
      <c r="Q2166" t="e">
        <f t="shared" si="134"/>
        <v>#VALUE!</v>
      </c>
      <c r="R2166" t="str">
        <f t="shared" si="135"/>
        <v>No</v>
      </c>
      <c r="S2166" t="s">
        <v>13</v>
      </c>
    </row>
    <row r="2167" spans="1:19" hidden="1" x14ac:dyDescent="0.3">
      <c r="A2167" s="1" t="s">
        <v>942</v>
      </c>
      <c r="B2167" t="s">
        <v>1596</v>
      </c>
      <c r="C2167" t="s">
        <v>2988</v>
      </c>
      <c r="D2167" t="str">
        <f t="shared" si="132"/>
        <v>Male</v>
      </c>
      <c r="E2167" t="s">
        <v>9</v>
      </c>
      <c r="F2167" s="2">
        <v>27</v>
      </c>
      <c r="G2167" s="2" t="str" cm="1">
        <f t="array" ref="G2167">_xlfn.IFS(F2167&lt;=8,"Child",F2167&lt;=17,"Teen",F2167&lt;=35,"Adult",F2167&lt;=55,"Seniour Adult",F2167&gt;=55,"Old Age")</f>
        <v>Adult</v>
      </c>
      <c r="H2167" t="s">
        <v>69</v>
      </c>
      <c r="I2167" t="s">
        <v>11</v>
      </c>
      <c r="J2167" t="str" cm="1">
        <f t="array" ref="J2167">_xlfn.IFS(I2167="S","Southamptom",I2167="Q","Quentown",I2167="C","Cherbrug",I2167="B","Cabin")</f>
        <v>Southamptom</v>
      </c>
      <c r="K2167" t="s">
        <v>15</v>
      </c>
      <c r="L2167" s="2">
        <v>33</v>
      </c>
      <c r="M2167" s="2" t="str" cm="1">
        <f t="array" ref="M2167">_xlfn.IFS(L2167&lt;=15,"Low Fare",L2167&lt;=35,"Medium Fare",L2167&lt;=100,"High Fare",L2167&gt;=100,"Very High Fare")</f>
        <v>Medium Fare</v>
      </c>
      <c r="N2167" s="2">
        <v>1</v>
      </c>
      <c r="O2167" s="2" t="s">
        <v>30</v>
      </c>
      <c r="P2167" t="e">
        <f t="shared" si="133"/>
        <v>#VALUE!</v>
      </c>
      <c r="Q2167" t="e">
        <f t="shared" si="134"/>
        <v>#VALUE!</v>
      </c>
      <c r="R2167" t="str">
        <f t="shared" si="135"/>
        <v>No</v>
      </c>
      <c r="S2167" t="s">
        <v>13</v>
      </c>
    </row>
    <row r="2168" spans="1:19" hidden="1" x14ac:dyDescent="0.3">
      <c r="A2168" s="1" t="s">
        <v>942</v>
      </c>
      <c r="B2168" t="s">
        <v>1596</v>
      </c>
      <c r="C2168" t="s">
        <v>3164</v>
      </c>
      <c r="D2168" t="str">
        <f t="shared" si="132"/>
        <v>Male</v>
      </c>
      <c r="E2168" t="s">
        <v>9</v>
      </c>
      <c r="F2168" s="2">
        <v>28</v>
      </c>
      <c r="G2168" s="2" t="str" cm="1">
        <f t="array" ref="G2168">_xlfn.IFS(F2168&lt;=8,"Child",F2168&lt;=17,"Teen",F2168&lt;=35,"Adult",F2168&lt;=55,"Seniour Adult",F2168&gt;=55,"Old Age")</f>
        <v>Adult</v>
      </c>
      <c r="H2168" t="s">
        <v>51</v>
      </c>
      <c r="I2168" t="s">
        <v>11</v>
      </c>
      <c r="J2168" t="str" cm="1">
        <f t="array" ref="J2168">_xlfn.IFS(I2168="S","Southamptom",I2168="Q","Quentown",I2168="C","Cherbrug",I2168="B","Cabin")</f>
        <v>Southamptom</v>
      </c>
      <c r="K2168" t="s">
        <v>15</v>
      </c>
      <c r="L2168" s="2">
        <v>33</v>
      </c>
      <c r="M2168" s="2" t="str" cm="1">
        <f t="array" ref="M2168">_xlfn.IFS(L2168&lt;=15,"Low Fare",L2168&lt;=35,"Medium Fare",L2168&lt;=100,"High Fare",L2168&gt;=100,"Very High Fare")</f>
        <v>Medium Fare</v>
      </c>
      <c r="N2168" s="2">
        <v>1</v>
      </c>
      <c r="O2168" s="2" t="s">
        <v>30</v>
      </c>
      <c r="P2168" t="e">
        <f t="shared" si="133"/>
        <v>#VALUE!</v>
      </c>
      <c r="Q2168" t="e">
        <f t="shared" si="134"/>
        <v>#VALUE!</v>
      </c>
      <c r="R2168" t="str">
        <f t="shared" si="135"/>
        <v>No</v>
      </c>
      <c r="S2168" t="s">
        <v>13</v>
      </c>
    </row>
    <row r="2169" spans="1:19" hidden="1" x14ac:dyDescent="0.3">
      <c r="A2169" s="1" t="s">
        <v>942</v>
      </c>
      <c r="B2169" t="s">
        <v>1596</v>
      </c>
      <c r="C2169" t="s">
        <v>3165</v>
      </c>
      <c r="D2169" t="str">
        <f t="shared" si="132"/>
        <v>Male</v>
      </c>
      <c r="E2169" t="s">
        <v>9</v>
      </c>
      <c r="F2169" s="2">
        <v>32</v>
      </c>
      <c r="G2169" s="2" t="str" cm="1">
        <f t="array" ref="G2169">_xlfn.IFS(F2169&lt;=8,"Child",F2169&lt;=17,"Teen",F2169&lt;=35,"Adult",F2169&lt;=55,"Seniour Adult",F2169&gt;=55,"Old Age")</f>
        <v>Adult</v>
      </c>
      <c r="H2169" t="s">
        <v>69</v>
      </c>
      <c r="I2169" t="s">
        <v>28</v>
      </c>
      <c r="J2169" t="str" cm="1">
        <f t="array" ref="J2169">_xlfn.IFS(I2169="S","Southamptom",I2169="Q","Quentown",I2169="C","Cherbrug",I2169="B","Cabin")</f>
        <v>Cabin</v>
      </c>
      <c r="K2169" t="s">
        <v>48</v>
      </c>
      <c r="L2169" s="2">
        <v>33</v>
      </c>
      <c r="M2169" s="2" t="str" cm="1">
        <f t="array" ref="M2169">_xlfn.IFS(L2169&lt;=15,"Low Fare",L2169&lt;=35,"Medium Fare",L2169&lt;=100,"High Fare",L2169&gt;=100,"Very High Fare")</f>
        <v>Medium Fare</v>
      </c>
      <c r="N2169" s="2">
        <v>1</v>
      </c>
      <c r="O2169" s="2" t="s">
        <v>30</v>
      </c>
      <c r="P2169" t="e">
        <f t="shared" si="133"/>
        <v>#VALUE!</v>
      </c>
      <c r="Q2169" t="e">
        <f t="shared" si="134"/>
        <v>#VALUE!</v>
      </c>
      <c r="R2169" t="str">
        <f t="shared" si="135"/>
        <v>No</v>
      </c>
      <c r="S2169" t="s">
        <v>13</v>
      </c>
    </row>
    <row r="2170" spans="1:19" hidden="1" x14ac:dyDescent="0.3">
      <c r="A2170" s="1" t="s">
        <v>942</v>
      </c>
      <c r="B2170" t="s">
        <v>1596</v>
      </c>
      <c r="C2170" t="s">
        <v>2828</v>
      </c>
      <c r="D2170" t="str">
        <f t="shared" si="132"/>
        <v>Male</v>
      </c>
      <c r="E2170" t="s">
        <v>9</v>
      </c>
      <c r="F2170" s="2">
        <v>23</v>
      </c>
      <c r="G2170" s="2" t="str" cm="1">
        <f t="array" ref="G2170">_xlfn.IFS(F2170&lt;=8,"Child",F2170&lt;=17,"Teen",F2170&lt;=35,"Adult",F2170&lt;=55,"Seniour Adult",F2170&gt;=55,"Old Age")</f>
        <v>Adult</v>
      </c>
      <c r="H2170" t="s">
        <v>51</v>
      </c>
      <c r="I2170" t="s">
        <v>11</v>
      </c>
      <c r="J2170" t="str" cm="1">
        <f t="array" ref="J2170">_xlfn.IFS(I2170="S","Southamptom",I2170="Q","Quentown",I2170="C","Cherbrug",I2170="B","Cabin")</f>
        <v>Southamptom</v>
      </c>
      <c r="K2170" t="s">
        <v>15</v>
      </c>
      <c r="L2170" s="2">
        <v>33</v>
      </c>
      <c r="M2170" s="2" t="str" cm="1">
        <f t="array" ref="M2170">_xlfn.IFS(L2170&lt;=15,"Low Fare",L2170&lt;=35,"Medium Fare",L2170&lt;=100,"High Fare",L2170&gt;=100,"Very High Fare")</f>
        <v>Medium Fare</v>
      </c>
      <c r="N2170" s="2">
        <v>1</v>
      </c>
      <c r="O2170" s="2" t="s">
        <v>30</v>
      </c>
      <c r="P2170" t="e">
        <f t="shared" si="133"/>
        <v>#VALUE!</v>
      </c>
      <c r="Q2170" t="e">
        <f t="shared" si="134"/>
        <v>#VALUE!</v>
      </c>
      <c r="R2170" t="str">
        <f t="shared" si="135"/>
        <v>Yes</v>
      </c>
      <c r="S2170" t="s">
        <v>16</v>
      </c>
    </row>
    <row r="2171" spans="1:19" hidden="1" x14ac:dyDescent="0.3">
      <c r="A2171" s="1" t="s">
        <v>1571</v>
      </c>
      <c r="B2171" t="s">
        <v>1596</v>
      </c>
      <c r="C2171" t="s">
        <v>3093</v>
      </c>
      <c r="D2171" t="str">
        <f t="shared" si="132"/>
        <v>Male</v>
      </c>
      <c r="E2171" t="s">
        <v>9</v>
      </c>
      <c r="F2171" s="2">
        <v>39</v>
      </c>
      <c r="G2171" s="2" t="str" cm="1">
        <f t="array" ref="G2171">_xlfn.IFS(F2171&lt;=8,"Child",F2171&lt;=17,"Teen",F2171&lt;=35,"Adult",F2171&lt;=55,"Seniour Adult",F2171&gt;=55,"Old Age")</f>
        <v>Seniour Adult</v>
      </c>
      <c r="H2171" t="s">
        <v>69</v>
      </c>
      <c r="I2171" t="s">
        <v>11</v>
      </c>
      <c r="J2171" t="str" cm="1">
        <f t="array" ref="J2171">_xlfn.IFS(I2171="S","Southamptom",I2171="Q","Quentown",I2171="C","Cherbrug",I2171="B","Cabin")</f>
        <v>Southamptom</v>
      </c>
      <c r="K2171" t="s">
        <v>15</v>
      </c>
      <c r="L2171" s="2">
        <v>33</v>
      </c>
      <c r="M2171" s="2" t="str" cm="1">
        <f t="array" ref="M2171">_xlfn.IFS(L2171&lt;=15,"Low Fare",L2171&lt;=35,"Medium Fare",L2171&lt;=100,"High Fare",L2171&gt;=100,"Very High Fare")</f>
        <v>Medium Fare</v>
      </c>
      <c r="N2171" s="2">
        <v>1</v>
      </c>
      <c r="O2171" s="2" t="s">
        <v>30</v>
      </c>
      <c r="P2171" t="e">
        <f t="shared" si="133"/>
        <v>#VALUE!</v>
      </c>
      <c r="Q2171" t="e">
        <f t="shared" si="134"/>
        <v>#VALUE!</v>
      </c>
      <c r="R2171" t="str">
        <f t="shared" si="135"/>
        <v>No</v>
      </c>
      <c r="S2171" t="s">
        <v>13</v>
      </c>
    </row>
    <row r="2172" spans="1:19" hidden="1" x14ac:dyDescent="0.3">
      <c r="A2172" s="1" t="s">
        <v>1572</v>
      </c>
      <c r="B2172" t="s">
        <v>1596</v>
      </c>
      <c r="C2172" t="s">
        <v>3166</v>
      </c>
      <c r="D2172" t="str">
        <f t="shared" si="132"/>
        <v>Male</v>
      </c>
      <c r="E2172" t="s">
        <v>9</v>
      </c>
      <c r="F2172" s="2">
        <v>37</v>
      </c>
      <c r="G2172" s="2" t="str" cm="1">
        <f t="array" ref="G2172">_xlfn.IFS(F2172&lt;=8,"Child",F2172&lt;=17,"Teen",F2172&lt;=35,"Adult",F2172&lt;=55,"Seniour Adult",F2172&gt;=55,"Old Age")</f>
        <v>Seniour Adult</v>
      </c>
      <c r="H2172" t="s">
        <v>69</v>
      </c>
      <c r="I2172" t="s">
        <v>11</v>
      </c>
      <c r="J2172" t="str" cm="1">
        <f t="array" ref="J2172">_xlfn.IFS(I2172="S","Southamptom",I2172="Q","Quentown",I2172="C","Cherbrug",I2172="B","Cabin")</f>
        <v>Southamptom</v>
      </c>
      <c r="K2172" t="s">
        <v>15</v>
      </c>
      <c r="L2172" s="2">
        <v>33</v>
      </c>
      <c r="M2172" s="2" t="str" cm="1">
        <f t="array" ref="M2172">_xlfn.IFS(L2172&lt;=15,"Low Fare",L2172&lt;=35,"Medium Fare",L2172&lt;=100,"High Fare",L2172&gt;=100,"Very High Fare")</f>
        <v>Medium Fare</v>
      </c>
      <c r="N2172" s="2">
        <v>1</v>
      </c>
      <c r="O2172" s="2" t="s">
        <v>30</v>
      </c>
      <c r="P2172" t="e">
        <f t="shared" si="133"/>
        <v>#VALUE!</v>
      </c>
      <c r="Q2172" t="e">
        <f t="shared" si="134"/>
        <v>#VALUE!</v>
      </c>
      <c r="R2172" t="str">
        <f t="shared" si="135"/>
        <v>Yes</v>
      </c>
      <c r="S2172" t="s">
        <v>16</v>
      </c>
    </row>
    <row r="2173" spans="1:19" hidden="1" x14ac:dyDescent="0.3">
      <c r="A2173" s="1" t="s">
        <v>1573</v>
      </c>
      <c r="B2173" t="s">
        <v>1596</v>
      </c>
      <c r="C2173" t="s">
        <v>3167</v>
      </c>
      <c r="D2173" t="str">
        <f t="shared" si="132"/>
        <v>Male</v>
      </c>
      <c r="E2173" t="s">
        <v>9</v>
      </c>
      <c r="F2173" s="2">
        <v>39</v>
      </c>
      <c r="G2173" s="2" t="str" cm="1">
        <f t="array" ref="G2173">_xlfn.IFS(F2173&lt;=8,"Child",F2173&lt;=17,"Teen",F2173&lt;=35,"Adult",F2173&lt;=55,"Seniour Adult",F2173&gt;=55,"Old Age")</f>
        <v>Seniour Adult</v>
      </c>
      <c r="H2173" t="s">
        <v>71</v>
      </c>
      <c r="I2173" t="s">
        <v>11</v>
      </c>
      <c r="J2173" t="str" cm="1">
        <f t="array" ref="J2173">_xlfn.IFS(I2173="S","Southamptom",I2173="Q","Quentown",I2173="C","Cherbrug",I2173="B","Cabin")</f>
        <v>Southamptom</v>
      </c>
      <c r="K2173" t="s">
        <v>15</v>
      </c>
      <c r="L2173" s="2">
        <v>33</v>
      </c>
      <c r="M2173" s="2" t="str" cm="1">
        <f t="array" ref="M2173">_xlfn.IFS(L2173&lt;=15,"Low Fare",L2173&lt;=35,"Medium Fare",L2173&lt;=100,"High Fare",L2173&gt;=100,"Very High Fare")</f>
        <v>Medium Fare</v>
      </c>
      <c r="N2173" s="2">
        <v>1</v>
      </c>
      <c r="O2173" s="2" t="s">
        <v>30</v>
      </c>
      <c r="P2173" t="e">
        <f t="shared" si="133"/>
        <v>#VALUE!</v>
      </c>
      <c r="Q2173" t="e">
        <f t="shared" si="134"/>
        <v>#VALUE!</v>
      </c>
      <c r="R2173" t="str">
        <f t="shared" si="135"/>
        <v>No</v>
      </c>
      <c r="S2173" t="s">
        <v>13</v>
      </c>
    </row>
    <row r="2174" spans="1:19" hidden="1" x14ac:dyDescent="0.3">
      <c r="A2174" s="1" t="s">
        <v>952</v>
      </c>
      <c r="B2174" t="s">
        <v>1596</v>
      </c>
      <c r="C2174" t="s">
        <v>2776</v>
      </c>
      <c r="D2174" t="str">
        <f t="shared" si="132"/>
        <v>Male</v>
      </c>
      <c r="E2174" t="s">
        <v>9</v>
      </c>
      <c r="F2174" s="2">
        <v>42</v>
      </c>
      <c r="G2174" s="2" t="str" cm="1">
        <f t="array" ref="G2174">_xlfn.IFS(F2174&lt;=8,"Child",F2174&lt;=17,"Teen",F2174&lt;=35,"Adult",F2174&lt;=55,"Seniour Adult",F2174&gt;=55,"Old Age")</f>
        <v>Seniour Adult</v>
      </c>
      <c r="H2174" t="s">
        <v>69</v>
      </c>
      <c r="I2174" t="s">
        <v>11</v>
      </c>
      <c r="J2174" t="str" cm="1">
        <f t="array" ref="J2174">_xlfn.IFS(I2174="S","Southamptom",I2174="Q","Quentown",I2174="C","Cherbrug",I2174="B","Cabin")</f>
        <v>Southamptom</v>
      </c>
      <c r="K2174" t="s">
        <v>15</v>
      </c>
      <c r="L2174" s="2">
        <v>33</v>
      </c>
      <c r="M2174" s="2" t="str" cm="1">
        <f t="array" ref="M2174">_xlfn.IFS(L2174&lt;=15,"Low Fare",L2174&lt;=35,"Medium Fare",L2174&lt;=100,"High Fare",L2174&gt;=100,"Very High Fare")</f>
        <v>Medium Fare</v>
      </c>
      <c r="N2174" s="2">
        <v>1</v>
      </c>
      <c r="O2174" s="2" t="s">
        <v>30</v>
      </c>
      <c r="P2174" t="e">
        <f t="shared" si="133"/>
        <v>#VALUE!</v>
      </c>
      <c r="Q2174" t="e">
        <f t="shared" si="134"/>
        <v>#VALUE!</v>
      </c>
      <c r="R2174" t="str">
        <f t="shared" si="135"/>
        <v>No</v>
      </c>
      <c r="S2174" t="s">
        <v>13</v>
      </c>
    </row>
    <row r="2175" spans="1:19" hidden="1" x14ac:dyDescent="0.3">
      <c r="A2175" s="1" t="s">
        <v>952</v>
      </c>
      <c r="B2175" t="s">
        <v>1596</v>
      </c>
      <c r="C2175" t="s">
        <v>3168</v>
      </c>
      <c r="D2175" t="str">
        <f t="shared" si="132"/>
        <v>Male</v>
      </c>
      <c r="E2175" t="s">
        <v>9</v>
      </c>
      <c r="F2175" s="2">
        <v>26</v>
      </c>
      <c r="G2175" s="2" t="str" cm="1">
        <f t="array" ref="G2175">_xlfn.IFS(F2175&lt;=8,"Child",F2175&lt;=17,"Teen",F2175&lt;=35,"Adult",F2175&lt;=55,"Seniour Adult",F2175&gt;=55,"Old Age")</f>
        <v>Adult</v>
      </c>
      <c r="H2175" t="s">
        <v>51</v>
      </c>
      <c r="I2175" t="s">
        <v>11</v>
      </c>
      <c r="J2175" t="str" cm="1">
        <f t="array" ref="J2175">_xlfn.IFS(I2175="S","Southamptom",I2175="Q","Quentown",I2175="C","Cherbrug",I2175="B","Cabin")</f>
        <v>Southamptom</v>
      </c>
      <c r="K2175" t="s">
        <v>15</v>
      </c>
      <c r="L2175" s="2">
        <v>33</v>
      </c>
      <c r="M2175" s="2" t="str" cm="1">
        <f t="array" ref="M2175">_xlfn.IFS(L2175&lt;=15,"Low Fare",L2175&lt;=35,"Medium Fare",L2175&lt;=100,"High Fare",L2175&gt;=100,"Very High Fare")</f>
        <v>Medium Fare</v>
      </c>
      <c r="N2175" s="2">
        <v>1</v>
      </c>
      <c r="O2175" s="2" t="s">
        <v>30</v>
      </c>
      <c r="P2175" t="e">
        <f t="shared" si="133"/>
        <v>#VALUE!</v>
      </c>
      <c r="Q2175" t="e">
        <f t="shared" si="134"/>
        <v>#VALUE!</v>
      </c>
      <c r="R2175" t="str">
        <f t="shared" si="135"/>
        <v>No</v>
      </c>
      <c r="S2175" t="s">
        <v>13</v>
      </c>
    </row>
    <row r="2176" spans="1:19" hidden="1" x14ac:dyDescent="0.3">
      <c r="A2176" s="1" t="s">
        <v>952</v>
      </c>
      <c r="B2176" t="s">
        <v>1596</v>
      </c>
      <c r="C2176" t="s">
        <v>2639</v>
      </c>
      <c r="D2176" t="str">
        <f t="shared" si="132"/>
        <v>Male</v>
      </c>
      <c r="E2176" t="s">
        <v>9</v>
      </c>
      <c r="F2176" s="2">
        <v>28</v>
      </c>
      <c r="G2176" s="2" t="str" cm="1">
        <f t="array" ref="G2176">_xlfn.IFS(F2176&lt;=8,"Child",F2176&lt;=17,"Teen",F2176&lt;=35,"Adult",F2176&lt;=55,"Seniour Adult",F2176&gt;=55,"Old Age")</f>
        <v>Adult</v>
      </c>
      <c r="H2176" t="s">
        <v>69</v>
      </c>
      <c r="I2176" t="s">
        <v>11</v>
      </c>
      <c r="J2176" t="str" cm="1">
        <f t="array" ref="J2176">_xlfn.IFS(I2176="S","Southamptom",I2176="Q","Quentown",I2176="C","Cherbrug",I2176="B","Cabin")</f>
        <v>Southamptom</v>
      </c>
      <c r="K2176" t="s">
        <v>15</v>
      </c>
      <c r="L2176" s="2">
        <v>33</v>
      </c>
      <c r="M2176" s="2" t="str" cm="1">
        <f t="array" ref="M2176">_xlfn.IFS(L2176&lt;=15,"Low Fare",L2176&lt;=35,"Medium Fare",L2176&lt;=100,"High Fare",L2176&gt;=100,"Very High Fare")</f>
        <v>Medium Fare</v>
      </c>
      <c r="N2176" s="2">
        <v>1</v>
      </c>
      <c r="O2176" s="2" t="s">
        <v>30</v>
      </c>
      <c r="P2176" t="e">
        <f t="shared" si="133"/>
        <v>#VALUE!</v>
      </c>
      <c r="Q2176" t="e">
        <f t="shared" si="134"/>
        <v>#VALUE!</v>
      </c>
      <c r="R2176" t="str">
        <f t="shared" si="135"/>
        <v>Yes</v>
      </c>
      <c r="S2176" t="s">
        <v>16</v>
      </c>
    </row>
    <row r="2177" spans="1:19" hidden="1" x14ac:dyDescent="0.3">
      <c r="A2177" s="1" t="s">
        <v>1574</v>
      </c>
      <c r="B2177" t="s">
        <v>1596</v>
      </c>
      <c r="C2177" t="s">
        <v>3169</v>
      </c>
      <c r="D2177" t="str">
        <f t="shared" si="132"/>
        <v>Male</v>
      </c>
      <c r="E2177" t="s">
        <v>9</v>
      </c>
      <c r="F2177" s="2">
        <v>35</v>
      </c>
      <c r="G2177" s="2" t="str" cm="1">
        <f t="array" ref="G2177">_xlfn.IFS(F2177&lt;=8,"Child",F2177&lt;=17,"Teen",F2177&lt;=35,"Adult",F2177&lt;=55,"Seniour Adult",F2177&gt;=55,"Old Age")</f>
        <v>Adult</v>
      </c>
      <c r="H2177" t="s">
        <v>69</v>
      </c>
      <c r="I2177" t="s">
        <v>11</v>
      </c>
      <c r="J2177" t="str" cm="1">
        <f t="array" ref="J2177">_xlfn.IFS(I2177="S","Southamptom",I2177="Q","Quentown",I2177="C","Cherbrug",I2177="B","Cabin")</f>
        <v>Southamptom</v>
      </c>
      <c r="K2177" t="s">
        <v>37</v>
      </c>
      <c r="L2177" s="2">
        <v>33</v>
      </c>
      <c r="M2177" s="2" t="str" cm="1">
        <f t="array" ref="M2177">_xlfn.IFS(L2177&lt;=15,"Low Fare",L2177&lt;=35,"Medium Fare",L2177&lt;=100,"High Fare",L2177&gt;=100,"Very High Fare")</f>
        <v>Medium Fare</v>
      </c>
      <c r="N2177" s="2">
        <v>1</v>
      </c>
      <c r="O2177" s="2" t="s">
        <v>30</v>
      </c>
      <c r="P2177" t="e">
        <f t="shared" si="133"/>
        <v>#VALUE!</v>
      </c>
      <c r="Q2177" t="e">
        <f t="shared" si="134"/>
        <v>#VALUE!</v>
      </c>
      <c r="R2177" t="str">
        <f t="shared" si="135"/>
        <v>No</v>
      </c>
      <c r="S2177" t="s">
        <v>13</v>
      </c>
    </row>
    <row r="2178" spans="1:19" hidden="1" x14ac:dyDescent="0.3">
      <c r="A2178" s="1" t="s">
        <v>1575</v>
      </c>
      <c r="B2178" t="s">
        <v>1596</v>
      </c>
      <c r="C2178" t="s">
        <v>1619</v>
      </c>
      <c r="D2178" t="str">
        <f t="shared" si="132"/>
        <v>Male</v>
      </c>
      <c r="E2178" t="s">
        <v>9</v>
      </c>
      <c r="F2178" s="2">
        <v>59</v>
      </c>
      <c r="G2178" s="2" t="str" cm="1">
        <f t="array" ref="G2178">_xlfn.IFS(F2178&lt;=8,"Child",F2178&lt;=17,"Teen",F2178&lt;=35,"Adult",F2178&lt;=55,"Seniour Adult",F2178&gt;=55,"Old Age")</f>
        <v>Old Age</v>
      </c>
      <c r="H2178" t="s">
        <v>69</v>
      </c>
      <c r="I2178" t="s">
        <v>11</v>
      </c>
      <c r="J2178" t="str" cm="1">
        <f t="array" ref="J2178">_xlfn.IFS(I2178="S","Southamptom",I2178="Q","Quentown",I2178="C","Cherbrug",I2178="B","Cabin")</f>
        <v>Southamptom</v>
      </c>
      <c r="K2178" t="s">
        <v>15</v>
      </c>
      <c r="L2178" s="2">
        <v>33</v>
      </c>
      <c r="M2178" s="2" t="str" cm="1">
        <f t="array" ref="M2178">_xlfn.IFS(L2178&lt;=15,"Low Fare",L2178&lt;=35,"Medium Fare",L2178&lt;=100,"High Fare",L2178&gt;=100,"Very High Fare")</f>
        <v>Medium Fare</v>
      </c>
      <c r="N2178" s="2">
        <v>1</v>
      </c>
      <c r="O2178" s="2" t="s">
        <v>30</v>
      </c>
      <c r="P2178" t="e">
        <f t="shared" si="133"/>
        <v>#VALUE!</v>
      </c>
      <c r="Q2178" t="e">
        <f t="shared" si="134"/>
        <v>#VALUE!</v>
      </c>
      <c r="R2178" t="str">
        <f t="shared" si="135"/>
        <v>No</v>
      </c>
      <c r="S2178" t="s">
        <v>13</v>
      </c>
    </row>
    <row r="2179" spans="1:19" hidden="1" x14ac:dyDescent="0.3">
      <c r="A2179" s="1" t="s">
        <v>1576</v>
      </c>
      <c r="B2179" t="s">
        <v>1596</v>
      </c>
      <c r="C2179" t="s">
        <v>3170</v>
      </c>
      <c r="D2179" t="str">
        <f t="shared" ref="D2179:D2203" si="136">PROPER(E2179)</f>
        <v>Male</v>
      </c>
      <c r="E2179" t="s">
        <v>9</v>
      </c>
      <c r="F2179" s="2">
        <v>34</v>
      </c>
      <c r="G2179" s="2" t="str" cm="1">
        <f t="array" ref="G2179">_xlfn.IFS(F2179&lt;=8,"Child",F2179&lt;=17,"Teen",F2179&lt;=35,"Adult",F2179&lt;=55,"Seniour Adult",F2179&gt;=55,"Old Age")</f>
        <v>Adult</v>
      </c>
      <c r="H2179" t="s">
        <v>69</v>
      </c>
      <c r="I2179" t="s">
        <v>11</v>
      </c>
      <c r="J2179" t="str" cm="1">
        <f t="array" ref="J2179">_xlfn.IFS(I2179="S","Southamptom",I2179="Q","Quentown",I2179="C","Cherbrug",I2179="B","Cabin")</f>
        <v>Southamptom</v>
      </c>
      <c r="K2179" t="s">
        <v>15</v>
      </c>
      <c r="L2179" s="2">
        <v>33</v>
      </c>
      <c r="M2179" s="2" t="str" cm="1">
        <f t="array" ref="M2179">_xlfn.IFS(L2179&lt;=15,"Low Fare",L2179&lt;=35,"Medium Fare",L2179&lt;=100,"High Fare",L2179&gt;=100,"Very High Fare")</f>
        <v>Medium Fare</v>
      </c>
      <c r="N2179" s="2">
        <v>1</v>
      </c>
      <c r="O2179" s="2" t="s">
        <v>30</v>
      </c>
      <c r="P2179" t="e">
        <f t="shared" ref="P2179:P2203" si="137">N2179+O2179+1</f>
        <v>#VALUE!</v>
      </c>
      <c r="Q2179" t="e">
        <f t="shared" ref="Q2179:Q2203" si="138">IF(P2179=1,"Alone","With Family")</f>
        <v>#VALUE!</v>
      </c>
      <c r="R2179" t="str">
        <f t="shared" ref="R2179:R2203" si="139">PROPER(S2179)</f>
        <v>No</v>
      </c>
      <c r="S2179" t="s">
        <v>13</v>
      </c>
    </row>
    <row r="2180" spans="1:19" hidden="1" x14ac:dyDescent="0.3">
      <c r="A2180" s="1" t="s">
        <v>953</v>
      </c>
      <c r="B2180" t="s">
        <v>1596</v>
      </c>
      <c r="C2180" t="s">
        <v>3171</v>
      </c>
      <c r="D2180" t="str">
        <f t="shared" si="136"/>
        <v>Male</v>
      </c>
      <c r="E2180" t="s">
        <v>9</v>
      </c>
      <c r="F2180" s="2">
        <v>28</v>
      </c>
      <c r="G2180" s="2" t="str" cm="1">
        <f t="array" ref="G2180">_xlfn.IFS(F2180&lt;=8,"Child",F2180&lt;=17,"Teen",F2180&lt;=35,"Adult",F2180&lt;=55,"Seniour Adult",F2180&gt;=55,"Old Age")</f>
        <v>Adult</v>
      </c>
      <c r="H2180" t="s">
        <v>51</v>
      </c>
      <c r="I2180" t="s">
        <v>28</v>
      </c>
      <c r="J2180" t="str" cm="1">
        <f t="array" ref="J2180">_xlfn.IFS(I2180="S","Southamptom",I2180="Q","Quentown",I2180="C","Cherbrug",I2180="B","Cabin")</f>
        <v>Cabin</v>
      </c>
      <c r="K2180" t="s">
        <v>15</v>
      </c>
      <c r="L2180" s="2">
        <v>33</v>
      </c>
      <c r="M2180" s="2" t="str" cm="1">
        <f t="array" ref="M2180">_xlfn.IFS(L2180&lt;=15,"Low Fare",L2180&lt;=35,"Medium Fare",L2180&lt;=100,"High Fare",L2180&gt;=100,"Very High Fare")</f>
        <v>Medium Fare</v>
      </c>
      <c r="N2180" s="2">
        <v>1</v>
      </c>
      <c r="O2180" s="2" t="s">
        <v>30</v>
      </c>
      <c r="P2180" t="e">
        <f t="shared" si="137"/>
        <v>#VALUE!</v>
      </c>
      <c r="Q2180" t="e">
        <f t="shared" si="138"/>
        <v>#VALUE!</v>
      </c>
      <c r="R2180" t="str">
        <f t="shared" si="139"/>
        <v>No</v>
      </c>
      <c r="S2180" t="s">
        <v>13</v>
      </c>
    </row>
    <row r="2181" spans="1:19" hidden="1" x14ac:dyDescent="0.3">
      <c r="A2181" s="1" t="s">
        <v>1577</v>
      </c>
      <c r="B2181" t="s">
        <v>1596</v>
      </c>
      <c r="C2181" t="s">
        <v>2094</v>
      </c>
      <c r="D2181" t="str">
        <f t="shared" si="136"/>
        <v>Male</v>
      </c>
      <c r="E2181" t="s">
        <v>9</v>
      </c>
      <c r="F2181" s="2">
        <v>53</v>
      </c>
      <c r="G2181" s="2" t="str" cm="1">
        <f t="array" ref="G2181">_xlfn.IFS(F2181&lt;=8,"Child",F2181&lt;=17,"Teen",F2181&lt;=35,"Adult",F2181&lt;=55,"Seniour Adult",F2181&gt;=55,"Old Age")</f>
        <v>Seniour Adult</v>
      </c>
      <c r="H2181" t="s">
        <v>51</v>
      </c>
      <c r="I2181" t="s">
        <v>11</v>
      </c>
      <c r="J2181" t="str" cm="1">
        <f t="array" ref="J2181">_xlfn.IFS(I2181="S","Southamptom",I2181="Q","Quentown",I2181="C","Cherbrug",I2181="B","Cabin")</f>
        <v>Southamptom</v>
      </c>
      <c r="K2181" t="s">
        <v>15</v>
      </c>
      <c r="L2181" s="2">
        <v>33</v>
      </c>
      <c r="M2181" s="2" t="str" cm="1">
        <f t="array" ref="M2181">_xlfn.IFS(L2181&lt;=15,"Low Fare",L2181&lt;=35,"Medium Fare",L2181&lt;=100,"High Fare",L2181&gt;=100,"Very High Fare")</f>
        <v>Medium Fare</v>
      </c>
      <c r="N2181" s="2">
        <v>1</v>
      </c>
      <c r="O2181" s="2" t="s">
        <v>30</v>
      </c>
      <c r="P2181" t="e">
        <f t="shared" si="137"/>
        <v>#VALUE!</v>
      </c>
      <c r="Q2181" t="e">
        <f t="shared" si="138"/>
        <v>#VALUE!</v>
      </c>
      <c r="R2181" t="str">
        <f t="shared" si="139"/>
        <v>No</v>
      </c>
      <c r="S2181" t="s">
        <v>13</v>
      </c>
    </row>
    <row r="2182" spans="1:19" hidden="1" x14ac:dyDescent="0.3">
      <c r="A2182" s="1" t="s">
        <v>1578</v>
      </c>
      <c r="B2182" t="s">
        <v>1596</v>
      </c>
      <c r="C2182" t="s">
        <v>3172</v>
      </c>
      <c r="D2182" t="str">
        <f t="shared" si="136"/>
        <v>Male</v>
      </c>
      <c r="E2182" t="s">
        <v>9</v>
      </c>
      <c r="F2182" s="2">
        <v>38</v>
      </c>
      <c r="G2182" s="2" t="str" cm="1">
        <f t="array" ref="G2182">_xlfn.IFS(F2182&lt;=8,"Child",F2182&lt;=17,"Teen",F2182&lt;=35,"Adult",F2182&lt;=55,"Seniour Adult",F2182&gt;=55,"Old Age")</f>
        <v>Seniour Adult</v>
      </c>
      <c r="H2182" t="s">
        <v>69</v>
      </c>
      <c r="I2182" t="s">
        <v>11</v>
      </c>
      <c r="J2182" t="str" cm="1">
        <f t="array" ref="J2182">_xlfn.IFS(I2182="S","Southamptom",I2182="Q","Quentown",I2182="C","Cherbrug",I2182="B","Cabin")</f>
        <v>Southamptom</v>
      </c>
      <c r="K2182" t="s">
        <v>15</v>
      </c>
      <c r="L2182" s="2">
        <v>33</v>
      </c>
      <c r="M2182" s="2" t="str" cm="1">
        <f t="array" ref="M2182">_xlfn.IFS(L2182&lt;=15,"Low Fare",L2182&lt;=35,"Medium Fare",L2182&lt;=100,"High Fare",L2182&gt;=100,"Very High Fare")</f>
        <v>Medium Fare</v>
      </c>
      <c r="N2182" s="2">
        <v>1</v>
      </c>
      <c r="O2182" s="2" t="s">
        <v>30</v>
      </c>
      <c r="P2182" t="e">
        <f t="shared" si="137"/>
        <v>#VALUE!</v>
      </c>
      <c r="Q2182" t="e">
        <f t="shared" si="138"/>
        <v>#VALUE!</v>
      </c>
      <c r="R2182" t="str">
        <f t="shared" si="139"/>
        <v>Yes</v>
      </c>
      <c r="S2182" t="s">
        <v>16</v>
      </c>
    </row>
    <row r="2183" spans="1:19" hidden="1" x14ac:dyDescent="0.3">
      <c r="A2183" s="1" t="s">
        <v>1579</v>
      </c>
      <c r="B2183" t="s">
        <v>1596</v>
      </c>
      <c r="C2183" t="s">
        <v>3173</v>
      </c>
      <c r="D2183" t="str">
        <f t="shared" si="136"/>
        <v>Male</v>
      </c>
      <c r="E2183" t="s">
        <v>9</v>
      </c>
      <c r="F2183" s="2">
        <v>36</v>
      </c>
      <c r="G2183" s="2" t="str" cm="1">
        <f t="array" ref="G2183">_xlfn.IFS(F2183&lt;=8,"Child",F2183&lt;=17,"Teen",F2183&lt;=35,"Adult",F2183&lt;=55,"Seniour Adult",F2183&gt;=55,"Old Age")</f>
        <v>Seniour Adult</v>
      </c>
      <c r="H2183" t="s">
        <v>69</v>
      </c>
      <c r="I2183" t="s">
        <v>11</v>
      </c>
      <c r="J2183" t="str" cm="1">
        <f t="array" ref="J2183">_xlfn.IFS(I2183="S","Southamptom",I2183="Q","Quentown",I2183="C","Cherbrug",I2183="B","Cabin")</f>
        <v>Southamptom</v>
      </c>
      <c r="K2183" t="s">
        <v>15</v>
      </c>
      <c r="L2183" s="2">
        <v>33</v>
      </c>
      <c r="M2183" s="2" t="str" cm="1">
        <f t="array" ref="M2183">_xlfn.IFS(L2183&lt;=15,"Low Fare",L2183&lt;=35,"Medium Fare",L2183&lt;=100,"High Fare",L2183&gt;=100,"Very High Fare")</f>
        <v>Medium Fare</v>
      </c>
      <c r="N2183" s="2">
        <v>1</v>
      </c>
      <c r="O2183" s="2" t="s">
        <v>30</v>
      </c>
      <c r="P2183" t="e">
        <f t="shared" si="137"/>
        <v>#VALUE!</v>
      </c>
      <c r="Q2183" t="e">
        <f t="shared" si="138"/>
        <v>#VALUE!</v>
      </c>
      <c r="R2183" t="str">
        <f t="shared" si="139"/>
        <v>No</v>
      </c>
      <c r="S2183" t="s">
        <v>13</v>
      </c>
    </row>
    <row r="2184" spans="1:19" hidden="1" x14ac:dyDescent="0.3">
      <c r="A2184" s="1" t="s">
        <v>1580</v>
      </c>
      <c r="B2184" t="s">
        <v>1596</v>
      </c>
      <c r="C2184" t="s">
        <v>2872</v>
      </c>
      <c r="D2184" t="str">
        <f t="shared" si="136"/>
        <v>Male</v>
      </c>
      <c r="E2184" t="s">
        <v>9</v>
      </c>
      <c r="F2184" s="2">
        <v>39</v>
      </c>
      <c r="G2184" s="2" t="str" cm="1">
        <f t="array" ref="G2184">_xlfn.IFS(F2184&lt;=8,"Child",F2184&lt;=17,"Teen",F2184&lt;=35,"Adult",F2184&lt;=55,"Seniour Adult",F2184&gt;=55,"Old Age")</f>
        <v>Seniour Adult</v>
      </c>
      <c r="H2184" t="s">
        <v>51</v>
      </c>
      <c r="I2184" t="s">
        <v>11</v>
      </c>
      <c r="J2184" t="str" cm="1">
        <f t="array" ref="J2184">_xlfn.IFS(I2184="S","Southamptom",I2184="Q","Quentown",I2184="C","Cherbrug",I2184="B","Cabin")</f>
        <v>Southamptom</v>
      </c>
      <c r="K2184" t="s">
        <v>15</v>
      </c>
      <c r="L2184" s="2">
        <v>33</v>
      </c>
      <c r="M2184" s="2" t="str" cm="1">
        <f t="array" ref="M2184">_xlfn.IFS(L2184&lt;=15,"Low Fare",L2184&lt;=35,"Medium Fare",L2184&lt;=100,"High Fare",L2184&gt;=100,"Very High Fare")</f>
        <v>Medium Fare</v>
      </c>
      <c r="N2184" s="2">
        <v>1</v>
      </c>
      <c r="O2184" s="2" t="s">
        <v>30</v>
      </c>
      <c r="P2184" t="e">
        <f t="shared" si="137"/>
        <v>#VALUE!</v>
      </c>
      <c r="Q2184" t="e">
        <f t="shared" si="138"/>
        <v>#VALUE!</v>
      </c>
      <c r="R2184" t="str">
        <f t="shared" si="139"/>
        <v>No</v>
      </c>
      <c r="S2184" t="s">
        <v>13</v>
      </c>
    </row>
    <row r="2185" spans="1:19" hidden="1" x14ac:dyDescent="0.3">
      <c r="A2185" s="1" t="s">
        <v>1581</v>
      </c>
      <c r="B2185" t="s">
        <v>1596</v>
      </c>
      <c r="C2185" t="s">
        <v>3174</v>
      </c>
      <c r="D2185" t="str">
        <f t="shared" si="136"/>
        <v>Male</v>
      </c>
      <c r="E2185" t="s">
        <v>9</v>
      </c>
      <c r="F2185" s="2">
        <v>31</v>
      </c>
      <c r="G2185" s="2" t="str" cm="1">
        <f t="array" ref="G2185">_xlfn.IFS(F2185&lt;=8,"Child",F2185&lt;=17,"Teen",F2185&lt;=35,"Adult",F2185&lt;=55,"Seniour Adult",F2185&gt;=55,"Old Age")</f>
        <v>Adult</v>
      </c>
      <c r="H2185" t="s">
        <v>69</v>
      </c>
      <c r="I2185" t="s">
        <v>11</v>
      </c>
      <c r="J2185" t="str" cm="1">
        <f t="array" ref="J2185">_xlfn.IFS(I2185="S","Southamptom",I2185="Q","Quentown",I2185="C","Cherbrug",I2185="B","Cabin")</f>
        <v>Southamptom</v>
      </c>
      <c r="K2185" t="s">
        <v>15</v>
      </c>
      <c r="L2185" s="2">
        <v>33</v>
      </c>
      <c r="M2185" s="2" t="str" cm="1">
        <f t="array" ref="M2185">_xlfn.IFS(L2185&lt;=15,"Low Fare",L2185&lt;=35,"Medium Fare",L2185&lt;=100,"High Fare",L2185&gt;=100,"Very High Fare")</f>
        <v>Medium Fare</v>
      </c>
      <c r="N2185" s="2">
        <v>1</v>
      </c>
      <c r="O2185" s="2" t="s">
        <v>30</v>
      </c>
      <c r="P2185" t="e">
        <f t="shared" si="137"/>
        <v>#VALUE!</v>
      </c>
      <c r="Q2185" t="e">
        <f t="shared" si="138"/>
        <v>#VALUE!</v>
      </c>
      <c r="R2185" t="str">
        <f t="shared" si="139"/>
        <v>Yes</v>
      </c>
      <c r="S2185" t="s">
        <v>16</v>
      </c>
    </row>
    <row r="2186" spans="1:19" hidden="1" x14ac:dyDescent="0.3">
      <c r="A2186" s="1" t="s">
        <v>1582</v>
      </c>
      <c r="B2186" t="s">
        <v>1596</v>
      </c>
      <c r="C2186" t="s">
        <v>1728</v>
      </c>
      <c r="D2186" t="str">
        <f t="shared" si="136"/>
        <v>Male</v>
      </c>
      <c r="E2186" t="s">
        <v>9</v>
      </c>
      <c r="F2186" s="2">
        <v>39</v>
      </c>
      <c r="G2186" s="2" t="str" cm="1">
        <f t="array" ref="G2186">_xlfn.IFS(F2186&lt;=8,"Child",F2186&lt;=17,"Teen",F2186&lt;=35,"Adult",F2186&lt;=55,"Seniour Adult",F2186&gt;=55,"Old Age")</f>
        <v>Seniour Adult</v>
      </c>
      <c r="H2186" t="s">
        <v>69</v>
      </c>
      <c r="I2186" t="s">
        <v>11</v>
      </c>
      <c r="J2186" t="str" cm="1">
        <f t="array" ref="J2186">_xlfn.IFS(I2186="S","Southamptom",I2186="Q","Quentown",I2186="C","Cherbrug",I2186="B","Cabin")</f>
        <v>Southamptom</v>
      </c>
      <c r="K2186" t="s">
        <v>60</v>
      </c>
      <c r="L2186" s="2">
        <v>33</v>
      </c>
      <c r="M2186" s="2" t="str" cm="1">
        <f t="array" ref="M2186">_xlfn.IFS(L2186&lt;=15,"Low Fare",L2186&lt;=35,"Medium Fare",L2186&lt;=100,"High Fare",L2186&gt;=100,"Very High Fare")</f>
        <v>Medium Fare</v>
      </c>
      <c r="N2186" s="2">
        <v>1</v>
      </c>
      <c r="O2186" s="2" t="s">
        <v>30</v>
      </c>
      <c r="P2186" t="e">
        <f t="shared" si="137"/>
        <v>#VALUE!</v>
      </c>
      <c r="Q2186" t="e">
        <f t="shared" si="138"/>
        <v>#VALUE!</v>
      </c>
      <c r="R2186" t="str">
        <f t="shared" si="139"/>
        <v>No</v>
      </c>
      <c r="S2186" t="s">
        <v>13</v>
      </c>
    </row>
    <row r="2187" spans="1:19" hidden="1" x14ac:dyDescent="0.3">
      <c r="A2187" s="1" t="s">
        <v>1583</v>
      </c>
      <c r="B2187" t="s">
        <v>1596</v>
      </c>
      <c r="C2187" t="s">
        <v>3175</v>
      </c>
      <c r="D2187" t="str">
        <f t="shared" si="136"/>
        <v>Male</v>
      </c>
      <c r="E2187" t="s">
        <v>9</v>
      </c>
      <c r="F2187" s="2">
        <v>37</v>
      </c>
      <c r="G2187" s="2" t="str" cm="1">
        <f t="array" ref="G2187">_xlfn.IFS(F2187&lt;=8,"Child",F2187&lt;=17,"Teen",F2187&lt;=35,"Adult",F2187&lt;=55,"Seniour Adult",F2187&gt;=55,"Old Age")</f>
        <v>Seniour Adult</v>
      </c>
      <c r="H2187" t="s">
        <v>51</v>
      </c>
      <c r="I2187" t="s">
        <v>11</v>
      </c>
      <c r="J2187" t="str" cm="1">
        <f t="array" ref="J2187">_xlfn.IFS(I2187="S","Southamptom",I2187="Q","Quentown",I2187="C","Cherbrug",I2187="B","Cabin")</f>
        <v>Southamptom</v>
      </c>
      <c r="K2187" t="s">
        <v>15</v>
      </c>
      <c r="L2187" s="2">
        <v>33</v>
      </c>
      <c r="M2187" s="2" t="str" cm="1">
        <f t="array" ref="M2187">_xlfn.IFS(L2187&lt;=15,"Low Fare",L2187&lt;=35,"Medium Fare",L2187&lt;=100,"High Fare",L2187&gt;=100,"Very High Fare")</f>
        <v>Medium Fare</v>
      </c>
      <c r="N2187" s="2">
        <v>1</v>
      </c>
      <c r="O2187" s="2" t="s">
        <v>30</v>
      </c>
      <c r="P2187" t="e">
        <f t="shared" si="137"/>
        <v>#VALUE!</v>
      </c>
      <c r="Q2187" t="e">
        <f t="shared" si="138"/>
        <v>#VALUE!</v>
      </c>
      <c r="R2187" t="str">
        <f t="shared" si="139"/>
        <v>No</v>
      </c>
      <c r="S2187" t="s">
        <v>13</v>
      </c>
    </row>
    <row r="2188" spans="1:19" hidden="1" x14ac:dyDescent="0.3">
      <c r="A2188" s="1" t="s">
        <v>1584</v>
      </c>
      <c r="B2188" t="s">
        <v>1596</v>
      </c>
      <c r="C2188" t="s">
        <v>3176</v>
      </c>
      <c r="D2188" t="str">
        <f t="shared" si="136"/>
        <v>Male</v>
      </c>
      <c r="E2188" t="s">
        <v>9</v>
      </c>
      <c r="F2188" s="2">
        <v>35</v>
      </c>
      <c r="G2188" s="2" t="str" cm="1">
        <f t="array" ref="G2188">_xlfn.IFS(F2188&lt;=8,"Child",F2188&lt;=17,"Teen",F2188&lt;=35,"Adult",F2188&lt;=55,"Seniour Adult",F2188&gt;=55,"Old Age")</f>
        <v>Adult</v>
      </c>
      <c r="H2188" t="s">
        <v>51</v>
      </c>
      <c r="I2188" t="s">
        <v>11</v>
      </c>
      <c r="J2188" t="str" cm="1">
        <f t="array" ref="J2188">_xlfn.IFS(I2188="S","Southamptom",I2188="Q","Quentown",I2188="C","Cherbrug",I2188="B","Cabin")</f>
        <v>Southamptom</v>
      </c>
      <c r="K2188" t="s">
        <v>15</v>
      </c>
      <c r="L2188" s="2">
        <v>33</v>
      </c>
      <c r="M2188" s="2" t="str" cm="1">
        <f t="array" ref="M2188">_xlfn.IFS(L2188&lt;=15,"Low Fare",L2188&lt;=35,"Medium Fare",L2188&lt;=100,"High Fare",L2188&gt;=100,"Very High Fare")</f>
        <v>Medium Fare</v>
      </c>
      <c r="N2188" s="2">
        <v>1</v>
      </c>
      <c r="O2188" s="2" t="s">
        <v>30</v>
      </c>
      <c r="P2188" t="e">
        <f t="shared" si="137"/>
        <v>#VALUE!</v>
      </c>
      <c r="Q2188" t="e">
        <f t="shared" si="138"/>
        <v>#VALUE!</v>
      </c>
      <c r="R2188" t="str">
        <f t="shared" si="139"/>
        <v>No</v>
      </c>
      <c r="S2188" t="s">
        <v>13</v>
      </c>
    </row>
    <row r="2189" spans="1:19" hidden="1" x14ac:dyDescent="0.3">
      <c r="A2189" s="1" t="s">
        <v>1585</v>
      </c>
      <c r="B2189" t="s">
        <v>1596</v>
      </c>
      <c r="C2189" t="s">
        <v>3177</v>
      </c>
      <c r="D2189" t="str">
        <f t="shared" si="136"/>
        <v>Male</v>
      </c>
      <c r="E2189" t="s">
        <v>9</v>
      </c>
      <c r="F2189" s="2">
        <v>40</v>
      </c>
      <c r="G2189" s="2" t="str" cm="1">
        <f t="array" ref="G2189">_xlfn.IFS(F2189&lt;=8,"Child",F2189&lt;=17,"Teen",F2189&lt;=35,"Adult",F2189&lt;=55,"Seniour Adult",F2189&gt;=55,"Old Age")</f>
        <v>Seniour Adult</v>
      </c>
      <c r="H2189" t="s">
        <v>51</v>
      </c>
      <c r="I2189" t="s">
        <v>11</v>
      </c>
      <c r="J2189" t="str" cm="1">
        <f t="array" ref="J2189">_xlfn.IFS(I2189="S","Southamptom",I2189="Q","Quentown",I2189="C","Cherbrug",I2189="B","Cabin")</f>
        <v>Southamptom</v>
      </c>
      <c r="K2189" t="s">
        <v>15</v>
      </c>
      <c r="L2189" s="2">
        <v>33</v>
      </c>
      <c r="M2189" s="2" t="str" cm="1">
        <f t="array" ref="M2189">_xlfn.IFS(L2189&lt;=15,"Low Fare",L2189&lt;=35,"Medium Fare",L2189&lt;=100,"High Fare",L2189&gt;=100,"Very High Fare")</f>
        <v>Medium Fare</v>
      </c>
      <c r="N2189" s="2">
        <v>1</v>
      </c>
      <c r="O2189" s="2" t="s">
        <v>30</v>
      </c>
      <c r="P2189" t="e">
        <f t="shared" si="137"/>
        <v>#VALUE!</v>
      </c>
      <c r="Q2189" t="e">
        <f t="shared" si="138"/>
        <v>#VALUE!</v>
      </c>
      <c r="R2189" t="str">
        <f t="shared" si="139"/>
        <v>No</v>
      </c>
      <c r="S2189" t="s">
        <v>13</v>
      </c>
    </row>
    <row r="2190" spans="1:19" hidden="1" x14ac:dyDescent="0.3">
      <c r="A2190" s="1" t="s">
        <v>1586</v>
      </c>
      <c r="B2190" t="s">
        <v>1596</v>
      </c>
      <c r="C2190" t="s">
        <v>1728</v>
      </c>
      <c r="D2190" t="str">
        <f t="shared" si="136"/>
        <v>Male</v>
      </c>
      <c r="E2190" t="s">
        <v>9</v>
      </c>
      <c r="F2190" s="2">
        <v>31</v>
      </c>
      <c r="G2190" s="2" t="str" cm="1">
        <f t="array" ref="G2190">_xlfn.IFS(F2190&lt;=8,"Child",F2190&lt;=17,"Teen",F2190&lt;=35,"Adult",F2190&lt;=55,"Seniour Adult",F2190&gt;=55,"Old Age")</f>
        <v>Adult</v>
      </c>
      <c r="H2190" t="s">
        <v>51</v>
      </c>
      <c r="I2190" t="s">
        <v>11</v>
      </c>
      <c r="J2190" t="str" cm="1">
        <f t="array" ref="J2190">_xlfn.IFS(I2190="S","Southamptom",I2190="Q","Quentown",I2190="C","Cherbrug",I2190="B","Cabin")</f>
        <v>Southamptom</v>
      </c>
      <c r="K2190" t="s">
        <v>15</v>
      </c>
      <c r="L2190" s="2">
        <v>33</v>
      </c>
      <c r="M2190" s="2" t="str" cm="1">
        <f t="array" ref="M2190">_xlfn.IFS(L2190&lt;=15,"Low Fare",L2190&lt;=35,"Medium Fare",L2190&lt;=100,"High Fare",L2190&gt;=100,"Very High Fare")</f>
        <v>Medium Fare</v>
      </c>
      <c r="N2190" s="2">
        <v>1</v>
      </c>
      <c r="O2190" s="2" t="s">
        <v>30</v>
      </c>
      <c r="P2190" t="e">
        <f t="shared" si="137"/>
        <v>#VALUE!</v>
      </c>
      <c r="Q2190" t="e">
        <f t="shared" si="138"/>
        <v>#VALUE!</v>
      </c>
      <c r="R2190" t="str">
        <f t="shared" si="139"/>
        <v>No</v>
      </c>
      <c r="S2190" t="s">
        <v>13</v>
      </c>
    </row>
    <row r="2191" spans="1:19" hidden="1" x14ac:dyDescent="0.3">
      <c r="A2191" s="1" t="s">
        <v>1586</v>
      </c>
      <c r="B2191" t="s">
        <v>1596</v>
      </c>
      <c r="C2191" t="s">
        <v>3178</v>
      </c>
      <c r="D2191" t="str">
        <f t="shared" si="136"/>
        <v>Male</v>
      </c>
      <c r="E2191" t="s">
        <v>9</v>
      </c>
      <c r="F2191" s="2">
        <v>49</v>
      </c>
      <c r="G2191" s="2" t="str" cm="1">
        <f t="array" ref="G2191">_xlfn.IFS(F2191&lt;=8,"Child",F2191&lt;=17,"Teen",F2191&lt;=35,"Adult",F2191&lt;=55,"Seniour Adult",F2191&gt;=55,"Old Age")</f>
        <v>Seniour Adult</v>
      </c>
      <c r="H2191" t="s">
        <v>69</v>
      </c>
      <c r="I2191" t="s">
        <v>11</v>
      </c>
      <c r="J2191" t="str" cm="1">
        <f t="array" ref="J2191">_xlfn.IFS(I2191="S","Southamptom",I2191="Q","Quentown",I2191="C","Cherbrug",I2191="B","Cabin")</f>
        <v>Southamptom</v>
      </c>
      <c r="K2191" t="s">
        <v>15</v>
      </c>
      <c r="L2191" s="2">
        <v>33</v>
      </c>
      <c r="M2191" s="2" t="str" cm="1">
        <f t="array" ref="M2191">_xlfn.IFS(L2191&lt;=15,"Low Fare",L2191&lt;=35,"Medium Fare",L2191&lt;=100,"High Fare",L2191&gt;=100,"Very High Fare")</f>
        <v>Medium Fare</v>
      </c>
      <c r="N2191" s="2">
        <v>1</v>
      </c>
      <c r="O2191" s="2" t="s">
        <v>30</v>
      </c>
      <c r="P2191" t="e">
        <f t="shared" si="137"/>
        <v>#VALUE!</v>
      </c>
      <c r="Q2191" t="e">
        <f t="shared" si="138"/>
        <v>#VALUE!</v>
      </c>
      <c r="R2191" t="str">
        <f t="shared" si="139"/>
        <v>No</v>
      </c>
      <c r="S2191" t="s">
        <v>13</v>
      </c>
    </row>
    <row r="2192" spans="1:19" hidden="1" x14ac:dyDescent="0.3">
      <c r="A2192" s="1" t="s">
        <v>1587</v>
      </c>
      <c r="B2192" t="s">
        <v>1596</v>
      </c>
      <c r="C2192" t="s">
        <v>3179</v>
      </c>
      <c r="D2192" t="str">
        <f t="shared" si="136"/>
        <v>Male</v>
      </c>
      <c r="E2192" t="s">
        <v>9</v>
      </c>
      <c r="F2192" s="2">
        <v>41</v>
      </c>
      <c r="G2192" s="2" t="str" cm="1">
        <f t="array" ref="G2192">_xlfn.IFS(F2192&lt;=8,"Child",F2192&lt;=17,"Teen",F2192&lt;=35,"Adult",F2192&lt;=55,"Seniour Adult",F2192&gt;=55,"Old Age")</f>
        <v>Seniour Adult</v>
      </c>
      <c r="H2192" t="s">
        <v>69</v>
      </c>
      <c r="I2192" t="s">
        <v>11</v>
      </c>
      <c r="J2192" t="str" cm="1">
        <f t="array" ref="J2192">_xlfn.IFS(I2192="S","Southamptom",I2192="Q","Quentown",I2192="C","Cherbrug",I2192="B","Cabin")</f>
        <v>Southamptom</v>
      </c>
      <c r="K2192" t="s">
        <v>12</v>
      </c>
      <c r="L2192" s="2">
        <v>33</v>
      </c>
      <c r="M2192" s="2" t="str" cm="1">
        <f t="array" ref="M2192">_xlfn.IFS(L2192&lt;=15,"Low Fare",L2192&lt;=35,"Medium Fare",L2192&lt;=100,"High Fare",L2192&gt;=100,"Very High Fare")</f>
        <v>Medium Fare</v>
      </c>
      <c r="N2192" s="2">
        <v>1</v>
      </c>
      <c r="O2192" s="2" t="s">
        <v>30</v>
      </c>
      <c r="P2192" t="e">
        <f t="shared" si="137"/>
        <v>#VALUE!</v>
      </c>
      <c r="Q2192" t="e">
        <f t="shared" si="138"/>
        <v>#VALUE!</v>
      </c>
      <c r="R2192" t="str">
        <f t="shared" si="139"/>
        <v>No</v>
      </c>
      <c r="S2192" t="s">
        <v>13</v>
      </c>
    </row>
    <row r="2193" spans="1:19" hidden="1" x14ac:dyDescent="0.3">
      <c r="A2193" s="1" t="s">
        <v>1588</v>
      </c>
      <c r="B2193" t="s">
        <v>1596</v>
      </c>
      <c r="C2193" t="s">
        <v>3180</v>
      </c>
      <c r="D2193" t="str">
        <f t="shared" si="136"/>
        <v>Male</v>
      </c>
      <c r="E2193" t="s">
        <v>9</v>
      </c>
      <c r="F2193" s="2">
        <v>45</v>
      </c>
      <c r="G2193" s="2" t="str" cm="1">
        <f t="array" ref="G2193">_xlfn.IFS(F2193&lt;=8,"Child",F2193&lt;=17,"Teen",F2193&lt;=35,"Adult",F2193&lt;=55,"Seniour Adult",F2193&gt;=55,"Old Age")</f>
        <v>Seniour Adult</v>
      </c>
      <c r="H2193" t="s">
        <v>69</v>
      </c>
      <c r="I2193" t="s">
        <v>11</v>
      </c>
      <c r="J2193" t="str" cm="1">
        <f t="array" ref="J2193">_xlfn.IFS(I2193="S","Southamptom",I2193="Q","Quentown",I2193="C","Cherbrug",I2193="B","Cabin")</f>
        <v>Southamptom</v>
      </c>
      <c r="K2193" t="s">
        <v>15</v>
      </c>
      <c r="L2193" s="2">
        <v>33</v>
      </c>
      <c r="M2193" s="2" t="str" cm="1">
        <f t="array" ref="M2193">_xlfn.IFS(L2193&lt;=15,"Low Fare",L2193&lt;=35,"Medium Fare",L2193&lt;=100,"High Fare",L2193&gt;=100,"Very High Fare")</f>
        <v>Medium Fare</v>
      </c>
      <c r="N2193" s="2">
        <v>1</v>
      </c>
      <c r="O2193" s="2" t="s">
        <v>30</v>
      </c>
      <c r="P2193" t="e">
        <f t="shared" si="137"/>
        <v>#VALUE!</v>
      </c>
      <c r="Q2193" t="e">
        <f t="shared" si="138"/>
        <v>#VALUE!</v>
      </c>
      <c r="R2193" t="str">
        <f t="shared" si="139"/>
        <v>No</v>
      </c>
      <c r="S2193" t="s">
        <v>13</v>
      </c>
    </row>
    <row r="2194" spans="1:19" hidden="1" x14ac:dyDescent="0.3">
      <c r="A2194" s="1" t="s">
        <v>1589</v>
      </c>
      <c r="B2194" t="s">
        <v>1596</v>
      </c>
      <c r="C2194" t="s">
        <v>1621</v>
      </c>
      <c r="D2194" t="str">
        <f t="shared" si="136"/>
        <v>Male</v>
      </c>
      <c r="E2194" t="s">
        <v>9</v>
      </c>
      <c r="F2194" s="2">
        <v>37</v>
      </c>
      <c r="G2194" s="2" t="str" cm="1">
        <f t="array" ref="G2194">_xlfn.IFS(F2194&lt;=8,"Child",F2194&lt;=17,"Teen",F2194&lt;=35,"Adult",F2194&lt;=55,"Seniour Adult",F2194&gt;=55,"Old Age")</f>
        <v>Seniour Adult</v>
      </c>
      <c r="H2194" t="s">
        <v>51</v>
      </c>
      <c r="I2194" t="s">
        <v>11</v>
      </c>
      <c r="J2194" t="str" cm="1">
        <f t="array" ref="J2194">_xlfn.IFS(I2194="S","Southamptom",I2194="Q","Quentown",I2194="C","Cherbrug",I2194="B","Cabin")</f>
        <v>Southamptom</v>
      </c>
      <c r="K2194" t="s">
        <v>15</v>
      </c>
      <c r="L2194" s="2">
        <v>33</v>
      </c>
      <c r="M2194" s="2" t="str" cm="1">
        <f t="array" ref="M2194">_xlfn.IFS(L2194&lt;=15,"Low Fare",L2194&lt;=35,"Medium Fare",L2194&lt;=100,"High Fare",L2194&gt;=100,"Very High Fare")</f>
        <v>Medium Fare</v>
      </c>
      <c r="N2194" s="2">
        <v>1</v>
      </c>
      <c r="O2194" s="2" t="s">
        <v>30</v>
      </c>
      <c r="P2194" t="e">
        <f t="shared" si="137"/>
        <v>#VALUE!</v>
      </c>
      <c r="Q2194" t="e">
        <f t="shared" si="138"/>
        <v>#VALUE!</v>
      </c>
      <c r="R2194" t="str">
        <f t="shared" si="139"/>
        <v>No</v>
      </c>
      <c r="S2194" t="s">
        <v>13</v>
      </c>
    </row>
    <row r="2195" spans="1:19" hidden="1" x14ac:dyDescent="0.3">
      <c r="A2195" s="1" t="s">
        <v>1590</v>
      </c>
      <c r="B2195" t="s">
        <v>1596</v>
      </c>
      <c r="C2195" t="s">
        <v>3181</v>
      </c>
      <c r="D2195" t="str">
        <f t="shared" si="136"/>
        <v>Male</v>
      </c>
      <c r="E2195" t="s">
        <v>9</v>
      </c>
      <c r="F2195" s="2">
        <v>19</v>
      </c>
      <c r="G2195" s="2" t="str" cm="1">
        <f t="array" ref="G2195">_xlfn.IFS(F2195&lt;=8,"Child",F2195&lt;=17,"Teen",F2195&lt;=35,"Adult",F2195&lt;=55,"Seniour Adult",F2195&gt;=55,"Old Age")</f>
        <v>Adult</v>
      </c>
      <c r="H2195" t="s">
        <v>69</v>
      </c>
      <c r="I2195" t="s">
        <v>28</v>
      </c>
      <c r="J2195" t="str" cm="1">
        <f t="array" ref="J2195">_xlfn.IFS(I2195="S","Southamptom",I2195="Q","Quentown",I2195="C","Cherbrug",I2195="B","Cabin")</f>
        <v>Cabin</v>
      </c>
      <c r="K2195" t="s">
        <v>15</v>
      </c>
      <c r="L2195" s="2">
        <v>33</v>
      </c>
      <c r="M2195" s="2" t="str" cm="1">
        <f t="array" ref="M2195">_xlfn.IFS(L2195&lt;=15,"Low Fare",L2195&lt;=35,"Medium Fare",L2195&lt;=100,"High Fare",L2195&gt;=100,"Very High Fare")</f>
        <v>Medium Fare</v>
      </c>
      <c r="N2195" s="2">
        <v>1</v>
      </c>
      <c r="O2195" s="2" t="s">
        <v>30</v>
      </c>
      <c r="P2195" t="e">
        <f t="shared" si="137"/>
        <v>#VALUE!</v>
      </c>
      <c r="Q2195" t="e">
        <f t="shared" si="138"/>
        <v>#VALUE!</v>
      </c>
      <c r="R2195" t="str">
        <f t="shared" si="139"/>
        <v>No</v>
      </c>
      <c r="S2195" t="s">
        <v>13</v>
      </c>
    </row>
    <row r="2196" spans="1:19" hidden="1" x14ac:dyDescent="0.3">
      <c r="A2196" s="1" t="s">
        <v>960</v>
      </c>
      <c r="B2196" t="s">
        <v>1596</v>
      </c>
      <c r="C2196" t="s">
        <v>2511</v>
      </c>
      <c r="D2196" t="str">
        <f t="shared" si="136"/>
        <v>Male</v>
      </c>
      <c r="E2196" t="s">
        <v>9</v>
      </c>
      <c r="F2196" s="2">
        <v>24</v>
      </c>
      <c r="G2196" s="2" t="str" cm="1">
        <f t="array" ref="G2196">_xlfn.IFS(F2196&lt;=8,"Child",F2196&lt;=17,"Teen",F2196&lt;=35,"Adult",F2196&lt;=55,"Seniour Adult",F2196&gt;=55,"Old Age")</f>
        <v>Adult</v>
      </c>
      <c r="H2196" t="s">
        <v>69</v>
      </c>
      <c r="I2196" t="s">
        <v>11</v>
      </c>
      <c r="J2196" t="str" cm="1">
        <f t="array" ref="J2196">_xlfn.IFS(I2196="S","Southamptom",I2196="Q","Quentown",I2196="C","Cherbrug",I2196="B","Cabin")</f>
        <v>Southamptom</v>
      </c>
      <c r="K2196" t="s">
        <v>15</v>
      </c>
      <c r="L2196" s="2">
        <v>33</v>
      </c>
      <c r="M2196" s="2" t="str" cm="1">
        <f t="array" ref="M2196">_xlfn.IFS(L2196&lt;=15,"Low Fare",L2196&lt;=35,"Medium Fare",L2196&lt;=100,"High Fare",L2196&gt;=100,"Very High Fare")</f>
        <v>Medium Fare</v>
      </c>
      <c r="N2196" s="2">
        <v>1</v>
      </c>
      <c r="O2196" s="2" t="s">
        <v>30</v>
      </c>
      <c r="P2196" t="e">
        <f t="shared" si="137"/>
        <v>#VALUE!</v>
      </c>
      <c r="Q2196" t="e">
        <f t="shared" si="138"/>
        <v>#VALUE!</v>
      </c>
      <c r="R2196" t="str">
        <f t="shared" si="139"/>
        <v>No</v>
      </c>
      <c r="S2196" t="s">
        <v>13</v>
      </c>
    </row>
    <row r="2197" spans="1:19" hidden="1" x14ac:dyDescent="0.3">
      <c r="A2197" s="1" t="s">
        <v>960</v>
      </c>
      <c r="B2197" t="s">
        <v>1596</v>
      </c>
      <c r="C2197" t="s">
        <v>1619</v>
      </c>
      <c r="D2197" t="str">
        <f t="shared" si="136"/>
        <v>Male</v>
      </c>
      <c r="E2197" t="s">
        <v>9</v>
      </c>
      <c r="F2197" s="2">
        <v>40</v>
      </c>
      <c r="G2197" s="2" t="str" cm="1">
        <f t="array" ref="G2197">_xlfn.IFS(F2197&lt;=8,"Child",F2197&lt;=17,"Teen",F2197&lt;=35,"Adult",F2197&lt;=55,"Seniour Adult",F2197&gt;=55,"Old Age")</f>
        <v>Seniour Adult</v>
      </c>
      <c r="H2197" t="s">
        <v>69</v>
      </c>
      <c r="I2197" t="s">
        <v>11</v>
      </c>
      <c r="J2197" t="str" cm="1">
        <f t="array" ref="J2197">_xlfn.IFS(I2197="S","Southamptom",I2197="Q","Quentown",I2197="C","Cherbrug",I2197="B","Cabin")</f>
        <v>Southamptom</v>
      </c>
      <c r="K2197" t="s">
        <v>15</v>
      </c>
      <c r="L2197" s="2">
        <v>33</v>
      </c>
      <c r="M2197" s="2" t="str" cm="1">
        <f t="array" ref="M2197">_xlfn.IFS(L2197&lt;=15,"Low Fare",L2197&lt;=35,"Medium Fare",L2197&lt;=100,"High Fare",L2197&gt;=100,"Very High Fare")</f>
        <v>Medium Fare</v>
      </c>
      <c r="N2197" s="2">
        <v>1</v>
      </c>
      <c r="O2197" s="2" t="s">
        <v>30</v>
      </c>
      <c r="P2197" t="e">
        <f t="shared" si="137"/>
        <v>#VALUE!</v>
      </c>
      <c r="Q2197" t="e">
        <f t="shared" si="138"/>
        <v>#VALUE!</v>
      </c>
      <c r="R2197" t="str">
        <f t="shared" si="139"/>
        <v>Yes</v>
      </c>
      <c r="S2197" t="s">
        <v>16</v>
      </c>
    </row>
    <row r="2198" spans="1:19" hidden="1" x14ac:dyDescent="0.3">
      <c r="A2198" s="1" t="s">
        <v>1591</v>
      </c>
      <c r="B2198" t="s">
        <v>1596</v>
      </c>
      <c r="C2198" t="s">
        <v>2299</v>
      </c>
      <c r="D2198" t="str">
        <f t="shared" si="136"/>
        <v>Male</v>
      </c>
      <c r="E2198" t="s">
        <v>9</v>
      </c>
      <c r="F2198" s="2">
        <v>26</v>
      </c>
      <c r="G2198" s="2" t="str" cm="1">
        <f t="array" ref="G2198">_xlfn.IFS(F2198&lt;=8,"Child",F2198&lt;=17,"Teen",F2198&lt;=35,"Adult",F2198&lt;=55,"Seniour Adult",F2198&gt;=55,"Old Age")</f>
        <v>Adult</v>
      </c>
      <c r="H2198" t="s">
        <v>51</v>
      </c>
      <c r="I2198" t="s">
        <v>11</v>
      </c>
      <c r="J2198" t="str" cm="1">
        <f t="array" ref="J2198">_xlfn.IFS(I2198="S","Southamptom",I2198="Q","Quentown",I2198="C","Cherbrug",I2198="B","Cabin")</f>
        <v>Southamptom</v>
      </c>
      <c r="K2198" t="s">
        <v>15</v>
      </c>
      <c r="L2198" s="2">
        <v>33</v>
      </c>
      <c r="M2198" s="2" t="str" cm="1">
        <f t="array" ref="M2198">_xlfn.IFS(L2198&lt;=15,"Low Fare",L2198&lt;=35,"Medium Fare",L2198&lt;=100,"High Fare",L2198&gt;=100,"Very High Fare")</f>
        <v>Medium Fare</v>
      </c>
      <c r="N2198" s="2">
        <v>1</v>
      </c>
      <c r="O2198" s="2" t="s">
        <v>30</v>
      </c>
      <c r="P2198" t="e">
        <f t="shared" si="137"/>
        <v>#VALUE!</v>
      </c>
      <c r="Q2198" t="e">
        <f t="shared" si="138"/>
        <v>#VALUE!</v>
      </c>
      <c r="R2198" t="str">
        <f t="shared" si="139"/>
        <v>No</v>
      </c>
      <c r="S2198" t="s">
        <v>13</v>
      </c>
    </row>
    <row r="2199" spans="1:19" hidden="1" x14ac:dyDescent="0.3">
      <c r="A2199" s="1" t="s">
        <v>1592</v>
      </c>
      <c r="B2199" t="s">
        <v>1596</v>
      </c>
      <c r="C2199" t="s">
        <v>2069</v>
      </c>
      <c r="D2199" t="str">
        <f t="shared" si="136"/>
        <v>Male</v>
      </c>
      <c r="E2199" t="s">
        <v>9</v>
      </c>
      <c r="F2199" s="2">
        <v>41</v>
      </c>
      <c r="G2199" s="2" t="str" cm="1">
        <f t="array" ref="G2199">_xlfn.IFS(F2199&lt;=8,"Child",F2199&lt;=17,"Teen",F2199&lt;=35,"Adult",F2199&lt;=55,"Seniour Adult",F2199&gt;=55,"Old Age")</f>
        <v>Seniour Adult</v>
      </c>
      <c r="H2199" t="s">
        <v>71</v>
      </c>
      <c r="I2199" t="s">
        <v>28</v>
      </c>
      <c r="J2199" t="str" cm="1">
        <f t="array" ref="J2199">_xlfn.IFS(I2199="S","Southamptom",I2199="Q","Quentown",I2199="C","Cherbrug",I2199="B","Cabin")</f>
        <v>Cabin</v>
      </c>
      <c r="K2199" t="s">
        <v>15</v>
      </c>
      <c r="L2199" s="2">
        <v>33</v>
      </c>
      <c r="M2199" s="2" t="str" cm="1">
        <f t="array" ref="M2199">_xlfn.IFS(L2199&lt;=15,"Low Fare",L2199&lt;=35,"Medium Fare",L2199&lt;=100,"High Fare",L2199&gt;=100,"Very High Fare")</f>
        <v>Medium Fare</v>
      </c>
      <c r="N2199" s="2">
        <v>1</v>
      </c>
      <c r="O2199" s="2" t="s">
        <v>30</v>
      </c>
      <c r="P2199" t="e">
        <f t="shared" si="137"/>
        <v>#VALUE!</v>
      </c>
      <c r="Q2199" t="e">
        <f t="shared" si="138"/>
        <v>#VALUE!</v>
      </c>
      <c r="R2199" t="str">
        <f t="shared" si="139"/>
        <v>Yes</v>
      </c>
      <c r="S2199" t="s">
        <v>16</v>
      </c>
    </row>
    <row r="2200" spans="1:19" hidden="1" x14ac:dyDescent="0.3">
      <c r="A2200" s="1" t="s">
        <v>1593</v>
      </c>
      <c r="B2200" t="s">
        <v>1596</v>
      </c>
      <c r="C2200" t="s">
        <v>1630</v>
      </c>
      <c r="D2200" t="str">
        <f t="shared" si="136"/>
        <v>Male</v>
      </c>
      <c r="E2200" t="s">
        <v>9</v>
      </c>
      <c r="F2200" s="2">
        <v>40</v>
      </c>
      <c r="G2200" s="2" t="str" cm="1">
        <f t="array" ref="G2200">_xlfn.IFS(F2200&lt;=8,"Child",F2200&lt;=17,"Teen",F2200&lt;=35,"Adult",F2200&lt;=55,"Seniour Adult",F2200&gt;=55,"Old Age")</f>
        <v>Seniour Adult</v>
      </c>
      <c r="H2200" t="s">
        <v>69</v>
      </c>
      <c r="I2200" t="s">
        <v>11</v>
      </c>
      <c r="J2200" t="str" cm="1">
        <f t="array" ref="J2200">_xlfn.IFS(I2200="S","Southamptom",I2200="Q","Quentown",I2200="C","Cherbrug",I2200="B","Cabin")</f>
        <v>Southamptom</v>
      </c>
      <c r="K2200" t="s">
        <v>15</v>
      </c>
      <c r="L2200" s="2">
        <v>33</v>
      </c>
      <c r="M2200" s="2" t="str" cm="1">
        <f t="array" ref="M2200">_xlfn.IFS(L2200&lt;=15,"Low Fare",L2200&lt;=35,"Medium Fare",L2200&lt;=100,"High Fare",L2200&gt;=100,"Very High Fare")</f>
        <v>Medium Fare</v>
      </c>
      <c r="N2200" s="2">
        <v>1</v>
      </c>
      <c r="O2200" s="2" t="s">
        <v>30</v>
      </c>
      <c r="P2200" t="e">
        <f t="shared" si="137"/>
        <v>#VALUE!</v>
      </c>
      <c r="Q2200" t="e">
        <f t="shared" si="138"/>
        <v>#VALUE!</v>
      </c>
      <c r="R2200" t="str">
        <f t="shared" si="139"/>
        <v>Yes</v>
      </c>
      <c r="S2200" t="s">
        <v>16</v>
      </c>
    </row>
    <row r="2201" spans="1:19" hidden="1" x14ac:dyDescent="0.3">
      <c r="A2201" s="1" t="s">
        <v>963</v>
      </c>
      <c r="B2201" t="s">
        <v>1596</v>
      </c>
      <c r="C2201" t="s">
        <v>3182</v>
      </c>
      <c r="D2201" t="str">
        <f t="shared" si="136"/>
        <v>Male</v>
      </c>
      <c r="E2201" t="s">
        <v>9</v>
      </c>
      <c r="F2201" s="2">
        <v>32</v>
      </c>
      <c r="G2201" s="2" t="str" cm="1">
        <f t="array" ref="G2201">_xlfn.IFS(F2201&lt;=8,"Child",F2201&lt;=17,"Teen",F2201&lt;=35,"Adult",F2201&lt;=55,"Seniour Adult",F2201&gt;=55,"Old Age")</f>
        <v>Adult</v>
      </c>
      <c r="H2201" t="s">
        <v>51</v>
      </c>
      <c r="I2201" t="s">
        <v>11</v>
      </c>
      <c r="J2201" t="str" cm="1">
        <f t="array" ref="J2201">_xlfn.IFS(I2201="S","Southamptom",I2201="Q","Quentown",I2201="C","Cherbrug",I2201="B","Cabin")</f>
        <v>Southamptom</v>
      </c>
      <c r="K2201" t="s">
        <v>15</v>
      </c>
      <c r="L2201" s="2">
        <v>33</v>
      </c>
      <c r="M2201" s="2" t="str" cm="1">
        <f t="array" ref="M2201">_xlfn.IFS(L2201&lt;=15,"Low Fare",L2201&lt;=35,"Medium Fare",L2201&lt;=100,"High Fare",L2201&gt;=100,"Very High Fare")</f>
        <v>Medium Fare</v>
      </c>
      <c r="N2201" s="2">
        <v>1</v>
      </c>
      <c r="O2201" s="2" t="s">
        <v>30</v>
      </c>
      <c r="P2201" t="e">
        <f t="shared" si="137"/>
        <v>#VALUE!</v>
      </c>
      <c r="Q2201" t="e">
        <f t="shared" si="138"/>
        <v>#VALUE!</v>
      </c>
      <c r="R2201" t="str">
        <f t="shared" si="139"/>
        <v>No</v>
      </c>
      <c r="S2201" t="s">
        <v>13</v>
      </c>
    </row>
    <row r="2202" spans="1:19" hidden="1" x14ac:dyDescent="0.3">
      <c r="A2202" s="1" t="s">
        <v>1594</v>
      </c>
      <c r="B2202" t="s">
        <v>2719</v>
      </c>
      <c r="C2202" t="s">
        <v>3183</v>
      </c>
      <c r="D2202" t="str">
        <f t="shared" si="136"/>
        <v>Male</v>
      </c>
      <c r="E2202" t="s">
        <v>9</v>
      </c>
      <c r="F2202" s="2">
        <v>20</v>
      </c>
      <c r="G2202" s="2" t="str" cm="1">
        <f t="array" ref="G2202">_xlfn.IFS(F2202&lt;=8,"Child",F2202&lt;=17,"Teen",F2202&lt;=35,"Adult",F2202&lt;=55,"Seniour Adult",F2202&gt;=55,"Old Age")</f>
        <v>Adult</v>
      </c>
      <c r="H2202" t="s">
        <v>70</v>
      </c>
      <c r="I2202" t="s">
        <v>11</v>
      </c>
      <c r="J2202" t="str" cm="1">
        <f t="array" ref="J2202">_xlfn.IFS(I2202="S","Southamptom",I2202="Q","Quentown",I2202="C","Cherbrug",I2202="B","Cabin")</f>
        <v>Southamptom</v>
      </c>
      <c r="K2202" t="s">
        <v>15</v>
      </c>
      <c r="L2202" s="2">
        <v>33</v>
      </c>
      <c r="M2202" s="2" t="str" cm="1">
        <f t="array" ref="M2202">_xlfn.IFS(L2202&lt;=15,"Low Fare",L2202&lt;=35,"Medium Fare",L2202&lt;=100,"High Fare",L2202&gt;=100,"Very High Fare")</f>
        <v>Medium Fare</v>
      </c>
      <c r="N2202" s="2">
        <v>1</v>
      </c>
      <c r="O2202" s="2" t="s">
        <v>30</v>
      </c>
      <c r="P2202" t="e">
        <f t="shared" si="137"/>
        <v>#VALUE!</v>
      </c>
      <c r="Q2202" t="e">
        <f t="shared" si="138"/>
        <v>#VALUE!</v>
      </c>
      <c r="R2202" t="str">
        <f t="shared" si="139"/>
        <v>No</v>
      </c>
      <c r="S2202" t="s">
        <v>13</v>
      </c>
    </row>
    <row r="2203" spans="1:19" hidden="1" x14ac:dyDescent="0.3">
      <c r="A2203" s="1" t="s">
        <v>1595</v>
      </c>
      <c r="B2203" t="s">
        <v>2719</v>
      </c>
      <c r="C2203" t="s">
        <v>3184</v>
      </c>
      <c r="D2203" t="str">
        <f t="shared" si="136"/>
        <v>Male</v>
      </c>
      <c r="E2203" t="s">
        <v>9</v>
      </c>
      <c r="F2203" s="2">
        <v>26</v>
      </c>
      <c r="G2203" s="2" t="str" cm="1">
        <f t="array" ref="G2203">_xlfn.IFS(F2203&lt;=8,"Child",F2203&lt;=17,"Teen",F2203&lt;=35,"Adult",F2203&lt;=55,"Seniour Adult",F2203&gt;=55,"Old Age")</f>
        <v>Adult</v>
      </c>
      <c r="H2203" t="s">
        <v>70</v>
      </c>
      <c r="I2203" t="s">
        <v>11</v>
      </c>
      <c r="J2203" t="str" cm="1">
        <f t="array" ref="J2203">_xlfn.IFS(I2203="S","Southamptom",I2203="Q","Quentown",I2203="C","Cherbrug",I2203="B","Cabin")</f>
        <v>Southamptom</v>
      </c>
      <c r="K2203" t="s">
        <v>15</v>
      </c>
      <c r="L2203" s="2">
        <v>33</v>
      </c>
      <c r="M2203" s="2" t="str" cm="1">
        <f t="array" ref="M2203">_xlfn.IFS(L2203&lt;=15,"Low Fare",L2203&lt;=35,"Medium Fare",L2203&lt;=100,"High Fare",L2203&gt;=100,"Very High Fare")</f>
        <v>Medium Fare</v>
      </c>
      <c r="N2203" s="2">
        <v>1</v>
      </c>
      <c r="O2203" s="2" t="s">
        <v>30</v>
      </c>
      <c r="P2203" t="e">
        <f t="shared" si="137"/>
        <v>#VALUE!</v>
      </c>
      <c r="Q2203" t="e">
        <f t="shared" si="138"/>
        <v>#VALUE!</v>
      </c>
      <c r="R2203" t="str">
        <f t="shared" si="139"/>
        <v>No</v>
      </c>
      <c r="S2203" t="s">
        <v>13</v>
      </c>
    </row>
  </sheetData>
  <autoFilter ref="A1:S2203" xr:uid="{50B1E9AB-340C-4D23-98EB-64D933F1D56C}">
    <filterColumn colId="15">
      <filters>
        <filter val="1"/>
        <filter val="11"/>
        <filter val="2"/>
        <filter val="3"/>
        <filter val="4"/>
        <filter val="5"/>
        <filter val="6"/>
        <filter val="7"/>
        <filter val="8"/>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DA-5610-4EC2-AD17-D42C074D0E62}">
  <dimension ref="A1:S2203"/>
  <sheetViews>
    <sheetView topLeftCell="B1" workbookViewId="0">
      <selection activeCell="M1" sqref="M1"/>
    </sheetView>
  </sheetViews>
  <sheetFormatPr defaultRowHeight="14.4" x14ac:dyDescent="0.3"/>
  <cols>
    <col min="1" max="1" width="16.5546875" customWidth="1"/>
    <col min="2" max="2" width="8.88671875" customWidth="1"/>
    <col min="3" max="3" width="26.109375" customWidth="1"/>
    <col min="6" max="6" width="8.88671875" style="2" customWidth="1"/>
    <col min="7" max="7" width="16" customWidth="1"/>
    <col min="12" max="12" width="17" style="2" customWidth="1"/>
    <col min="13" max="13" width="17.109375" customWidth="1"/>
  </cols>
  <sheetData>
    <row r="1" spans="1:19" x14ac:dyDescent="0.3">
      <c r="A1" t="s">
        <v>3185</v>
      </c>
      <c r="B1" t="s">
        <v>3186</v>
      </c>
      <c r="C1" t="s">
        <v>3187</v>
      </c>
      <c r="D1" t="s">
        <v>3188</v>
      </c>
      <c r="E1" t="s">
        <v>0</v>
      </c>
      <c r="F1" s="2" t="s">
        <v>1</v>
      </c>
      <c r="G1" t="s">
        <v>3191</v>
      </c>
      <c r="H1" t="s">
        <v>2</v>
      </c>
      <c r="I1" t="s">
        <v>3</v>
      </c>
      <c r="J1" t="s">
        <v>3192</v>
      </c>
      <c r="K1" t="s">
        <v>4</v>
      </c>
      <c r="L1" s="2" t="s">
        <v>5</v>
      </c>
      <c r="M1" t="s">
        <v>3193</v>
      </c>
      <c r="N1" t="s">
        <v>6</v>
      </c>
      <c r="O1" t="s">
        <v>7</v>
      </c>
      <c r="P1" t="s">
        <v>3195</v>
      </c>
      <c r="Q1" t="s">
        <v>3196</v>
      </c>
      <c r="R1" t="s">
        <v>3194</v>
      </c>
      <c r="S1" t="s">
        <v>8</v>
      </c>
    </row>
    <row r="2" spans="1:19" x14ac:dyDescent="0.3">
      <c r="A2" t="s">
        <v>73</v>
      </c>
      <c r="B2" t="s">
        <v>1596</v>
      </c>
      <c r="C2" t="s">
        <v>1597</v>
      </c>
      <c r="D2" t="s">
        <v>3189</v>
      </c>
      <c r="E2" t="s">
        <v>9</v>
      </c>
      <c r="F2" s="2">
        <v>42</v>
      </c>
      <c r="G2" t="s">
        <v>3197</v>
      </c>
      <c r="H2" t="s">
        <v>10</v>
      </c>
      <c r="I2" t="s">
        <v>11</v>
      </c>
      <c r="J2" t="s">
        <v>3198</v>
      </c>
      <c r="K2" t="s">
        <v>12</v>
      </c>
      <c r="L2" s="2">
        <v>7.11</v>
      </c>
      <c r="M2" t="s">
        <v>3199</v>
      </c>
      <c r="N2">
        <v>0</v>
      </c>
      <c r="O2">
        <v>0</v>
      </c>
      <c r="P2">
        <v>1</v>
      </c>
      <c r="Q2" t="s">
        <v>3200</v>
      </c>
      <c r="R2" t="s">
        <v>3201</v>
      </c>
      <c r="S2" t="s">
        <v>13</v>
      </c>
    </row>
    <row r="3" spans="1:19" x14ac:dyDescent="0.3">
      <c r="A3" t="s">
        <v>74</v>
      </c>
      <c r="B3" t="s">
        <v>1596</v>
      </c>
      <c r="C3" t="s">
        <v>1598</v>
      </c>
      <c r="D3" t="s">
        <v>3189</v>
      </c>
      <c r="E3" t="s">
        <v>9</v>
      </c>
      <c r="F3" s="2">
        <v>13</v>
      </c>
      <c r="G3" t="s">
        <v>3202</v>
      </c>
      <c r="H3" t="s">
        <v>10</v>
      </c>
      <c r="I3" t="s">
        <v>11</v>
      </c>
      <c r="J3" t="s">
        <v>3198</v>
      </c>
      <c r="K3" t="s">
        <v>12</v>
      </c>
      <c r="L3" s="2">
        <v>20.05</v>
      </c>
      <c r="M3" t="s">
        <v>3203</v>
      </c>
      <c r="N3">
        <v>0</v>
      </c>
      <c r="O3">
        <v>2</v>
      </c>
      <c r="P3">
        <v>3</v>
      </c>
      <c r="Q3" t="s">
        <v>3204</v>
      </c>
      <c r="R3" t="s">
        <v>3201</v>
      </c>
      <c r="S3" t="s">
        <v>13</v>
      </c>
    </row>
    <row r="4" spans="1:19" x14ac:dyDescent="0.3">
      <c r="A4" t="s">
        <v>74</v>
      </c>
      <c r="B4" t="s">
        <v>1596</v>
      </c>
      <c r="C4" t="s">
        <v>1599</v>
      </c>
      <c r="D4" t="s">
        <v>3189</v>
      </c>
      <c r="E4" t="s">
        <v>9</v>
      </c>
      <c r="F4" s="2">
        <v>16</v>
      </c>
      <c r="G4" t="s">
        <v>3202</v>
      </c>
      <c r="H4" t="s">
        <v>10</v>
      </c>
      <c r="I4" t="s">
        <v>11</v>
      </c>
      <c r="J4" t="s">
        <v>3198</v>
      </c>
      <c r="K4" t="s">
        <v>12</v>
      </c>
      <c r="L4" s="2">
        <v>20.05</v>
      </c>
      <c r="M4" t="s">
        <v>3203</v>
      </c>
      <c r="N4">
        <v>1</v>
      </c>
      <c r="O4">
        <v>1</v>
      </c>
      <c r="P4">
        <v>3</v>
      </c>
      <c r="Q4" t="s">
        <v>3204</v>
      </c>
      <c r="R4" t="s">
        <v>3201</v>
      </c>
      <c r="S4" t="s">
        <v>13</v>
      </c>
    </row>
    <row r="5" spans="1:19" x14ac:dyDescent="0.3">
      <c r="A5" t="s">
        <v>74</v>
      </c>
      <c r="B5" t="s">
        <v>1600</v>
      </c>
      <c r="C5" t="s">
        <v>1601</v>
      </c>
      <c r="D5" t="s">
        <v>3190</v>
      </c>
      <c r="E5" t="s">
        <v>14</v>
      </c>
      <c r="F5" s="2">
        <v>39</v>
      </c>
      <c r="G5" t="s">
        <v>3197</v>
      </c>
      <c r="H5" t="s">
        <v>10</v>
      </c>
      <c r="I5" t="s">
        <v>11</v>
      </c>
      <c r="J5" t="s">
        <v>3198</v>
      </c>
      <c r="K5" t="s">
        <v>15</v>
      </c>
      <c r="L5" s="2">
        <v>20.05</v>
      </c>
      <c r="M5" t="s">
        <v>3203</v>
      </c>
      <c r="N5">
        <v>1</v>
      </c>
      <c r="O5">
        <v>1</v>
      </c>
      <c r="P5">
        <v>3</v>
      </c>
      <c r="Q5" t="s">
        <v>3204</v>
      </c>
      <c r="R5" t="s">
        <v>3205</v>
      </c>
      <c r="S5" t="s">
        <v>16</v>
      </c>
    </row>
    <row r="6" spans="1:19" x14ac:dyDescent="0.3">
      <c r="A6" t="s">
        <v>75</v>
      </c>
      <c r="B6" t="s">
        <v>1602</v>
      </c>
      <c r="C6" t="s">
        <v>1603</v>
      </c>
      <c r="D6" t="s">
        <v>3190</v>
      </c>
      <c r="E6" t="s">
        <v>14</v>
      </c>
      <c r="F6" s="2">
        <v>16</v>
      </c>
      <c r="G6" t="s">
        <v>3202</v>
      </c>
      <c r="H6" t="s">
        <v>10</v>
      </c>
      <c r="I6" t="s">
        <v>11</v>
      </c>
      <c r="J6" t="s">
        <v>3198</v>
      </c>
      <c r="K6" t="s">
        <v>17</v>
      </c>
      <c r="L6" s="2">
        <v>7.13</v>
      </c>
      <c r="M6" t="s">
        <v>3199</v>
      </c>
      <c r="N6">
        <v>0</v>
      </c>
      <c r="O6">
        <v>0</v>
      </c>
      <c r="P6">
        <v>1</v>
      </c>
      <c r="Q6" t="s">
        <v>3200</v>
      </c>
      <c r="R6" t="s">
        <v>3205</v>
      </c>
      <c r="S6" t="s">
        <v>16</v>
      </c>
    </row>
    <row r="7" spans="1:19" x14ac:dyDescent="0.3">
      <c r="A7" t="s">
        <v>75</v>
      </c>
      <c r="B7" t="s">
        <v>1596</v>
      </c>
      <c r="C7" t="s">
        <v>1604</v>
      </c>
      <c r="D7" t="s">
        <v>3189</v>
      </c>
      <c r="E7" t="s">
        <v>9</v>
      </c>
      <c r="F7" s="2">
        <v>25</v>
      </c>
      <c r="G7" t="s">
        <v>3206</v>
      </c>
      <c r="H7" t="s">
        <v>10</v>
      </c>
      <c r="I7" t="s">
        <v>11</v>
      </c>
      <c r="J7" t="s">
        <v>3198</v>
      </c>
      <c r="K7" t="s">
        <v>12</v>
      </c>
      <c r="L7" s="2">
        <v>7.13</v>
      </c>
      <c r="M7" t="s">
        <v>3199</v>
      </c>
      <c r="N7">
        <v>0</v>
      </c>
      <c r="O7">
        <v>0</v>
      </c>
      <c r="P7">
        <v>1</v>
      </c>
      <c r="Q7" t="s">
        <v>3200</v>
      </c>
      <c r="R7" t="s">
        <v>3205</v>
      </c>
      <c r="S7" t="s">
        <v>16</v>
      </c>
    </row>
    <row r="8" spans="1:19" x14ac:dyDescent="0.3">
      <c r="A8" t="s">
        <v>76</v>
      </c>
      <c r="B8" t="s">
        <v>1596</v>
      </c>
      <c r="C8" t="s">
        <v>1605</v>
      </c>
      <c r="D8" t="s">
        <v>3189</v>
      </c>
      <c r="E8" t="s">
        <v>9</v>
      </c>
      <c r="F8" s="2">
        <v>30</v>
      </c>
      <c r="G8" t="s">
        <v>3206</v>
      </c>
      <c r="H8" t="s">
        <v>18</v>
      </c>
      <c r="I8" t="s">
        <v>19</v>
      </c>
      <c r="J8" t="s">
        <v>3207</v>
      </c>
      <c r="K8" t="s">
        <v>20</v>
      </c>
      <c r="L8" s="2">
        <v>24</v>
      </c>
      <c r="M8" t="s">
        <v>3203</v>
      </c>
      <c r="N8">
        <v>1</v>
      </c>
      <c r="O8">
        <v>0</v>
      </c>
      <c r="P8">
        <v>2</v>
      </c>
      <c r="Q8" t="s">
        <v>3204</v>
      </c>
      <c r="R8" t="s">
        <v>3201</v>
      </c>
      <c r="S8" t="s">
        <v>13</v>
      </c>
    </row>
    <row r="9" spans="1:19" x14ac:dyDescent="0.3">
      <c r="A9" t="s">
        <v>76</v>
      </c>
      <c r="B9" t="s">
        <v>1600</v>
      </c>
      <c r="C9" t="s">
        <v>1606</v>
      </c>
      <c r="D9" t="s">
        <v>3190</v>
      </c>
      <c r="E9" t="s">
        <v>14</v>
      </c>
      <c r="F9" s="2">
        <v>28</v>
      </c>
      <c r="G9" t="s">
        <v>3206</v>
      </c>
      <c r="H9" t="s">
        <v>18</v>
      </c>
      <c r="I9" t="s">
        <v>19</v>
      </c>
      <c r="J9" t="s">
        <v>3207</v>
      </c>
      <c r="K9" t="s">
        <v>20</v>
      </c>
      <c r="L9" s="2">
        <v>24</v>
      </c>
      <c r="M9" t="s">
        <v>3203</v>
      </c>
      <c r="N9">
        <v>1</v>
      </c>
      <c r="O9">
        <v>0</v>
      </c>
      <c r="P9">
        <v>2</v>
      </c>
      <c r="Q9" t="s">
        <v>3204</v>
      </c>
      <c r="R9" t="s">
        <v>3205</v>
      </c>
      <c r="S9" t="s">
        <v>16</v>
      </c>
    </row>
    <row r="10" spans="1:19" x14ac:dyDescent="0.3">
      <c r="A10" t="s">
        <v>77</v>
      </c>
      <c r="B10" t="s">
        <v>1596</v>
      </c>
      <c r="C10" t="s">
        <v>1607</v>
      </c>
      <c r="D10" t="s">
        <v>3189</v>
      </c>
      <c r="E10" t="s">
        <v>9</v>
      </c>
      <c r="F10" s="2">
        <v>27</v>
      </c>
      <c r="G10" t="s">
        <v>3206</v>
      </c>
      <c r="H10" t="s">
        <v>10</v>
      </c>
      <c r="I10" t="s">
        <v>19</v>
      </c>
      <c r="J10" t="s">
        <v>3207</v>
      </c>
      <c r="K10" t="s">
        <v>21</v>
      </c>
      <c r="L10" s="2">
        <v>18.1509</v>
      </c>
      <c r="M10" t="s">
        <v>3203</v>
      </c>
      <c r="N10">
        <v>0</v>
      </c>
      <c r="O10">
        <v>0</v>
      </c>
      <c r="P10">
        <v>1</v>
      </c>
      <c r="Q10" t="s">
        <v>3200</v>
      </c>
      <c r="R10" t="s">
        <v>3205</v>
      </c>
      <c r="S10" t="s">
        <v>16</v>
      </c>
    </row>
    <row r="11" spans="1:19" x14ac:dyDescent="0.3">
      <c r="A11" t="s">
        <v>78</v>
      </c>
      <c r="B11" t="s">
        <v>1596</v>
      </c>
      <c r="C11" t="s">
        <v>1608</v>
      </c>
      <c r="D11" t="s">
        <v>3189</v>
      </c>
      <c r="E11" t="s">
        <v>9</v>
      </c>
      <c r="F11" s="2">
        <v>20</v>
      </c>
      <c r="G11" t="s">
        <v>3206</v>
      </c>
      <c r="H11" t="s">
        <v>10</v>
      </c>
      <c r="I11" t="s">
        <v>11</v>
      </c>
      <c r="J11" t="s">
        <v>3198</v>
      </c>
      <c r="K11" t="s">
        <v>22</v>
      </c>
      <c r="L11" s="2">
        <v>7.1806000000000001</v>
      </c>
      <c r="M11" t="s">
        <v>3199</v>
      </c>
      <c r="N11">
        <v>0</v>
      </c>
      <c r="O11">
        <v>0</v>
      </c>
      <c r="P11">
        <v>1</v>
      </c>
      <c r="Q11" t="s">
        <v>3200</v>
      </c>
      <c r="R11" t="s">
        <v>3205</v>
      </c>
      <c r="S11" t="s">
        <v>16</v>
      </c>
    </row>
    <row r="12" spans="1:19" x14ac:dyDescent="0.3">
      <c r="A12" t="s">
        <v>79</v>
      </c>
      <c r="B12" t="s">
        <v>1596</v>
      </c>
      <c r="C12" t="s">
        <v>1609</v>
      </c>
      <c r="D12" t="s">
        <v>3189</v>
      </c>
      <c r="E12" t="s">
        <v>9</v>
      </c>
      <c r="F12" s="2">
        <v>30</v>
      </c>
      <c r="G12" t="s">
        <v>3206</v>
      </c>
      <c r="H12" t="s">
        <v>10</v>
      </c>
      <c r="I12" t="s">
        <v>11</v>
      </c>
      <c r="J12" t="s">
        <v>3198</v>
      </c>
      <c r="K12" t="s">
        <v>23</v>
      </c>
      <c r="L12" s="2">
        <v>7.05</v>
      </c>
      <c r="M12" t="s">
        <v>3199</v>
      </c>
      <c r="N12">
        <v>0</v>
      </c>
      <c r="O12">
        <v>0</v>
      </c>
      <c r="P12">
        <v>1</v>
      </c>
      <c r="Q12" t="s">
        <v>3200</v>
      </c>
      <c r="R12" t="s">
        <v>3201</v>
      </c>
      <c r="S12" t="s">
        <v>13</v>
      </c>
    </row>
    <row r="13" spans="1:19" x14ac:dyDescent="0.3">
      <c r="A13" t="s">
        <v>80</v>
      </c>
      <c r="B13" t="s">
        <v>1596</v>
      </c>
      <c r="C13" t="s">
        <v>1610</v>
      </c>
      <c r="D13" t="s">
        <v>3189</v>
      </c>
      <c r="E13" t="s">
        <v>9</v>
      </c>
      <c r="F13" s="2">
        <v>27</v>
      </c>
      <c r="G13" t="s">
        <v>3206</v>
      </c>
      <c r="H13" t="s">
        <v>10</v>
      </c>
      <c r="I13" t="s">
        <v>11</v>
      </c>
      <c r="J13" t="s">
        <v>3198</v>
      </c>
      <c r="K13" t="s">
        <v>15</v>
      </c>
      <c r="L13" s="2">
        <v>8.01</v>
      </c>
      <c r="M13" t="s">
        <v>3199</v>
      </c>
      <c r="N13">
        <v>0</v>
      </c>
      <c r="O13">
        <v>0</v>
      </c>
      <c r="P13">
        <v>1</v>
      </c>
      <c r="Q13" t="s">
        <v>3200</v>
      </c>
      <c r="R13" t="s">
        <v>3201</v>
      </c>
      <c r="S13" t="s">
        <v>13</v>
      </c>
    </row>
    <row r="14" spans="1:19" x14ac:dyDescent="0.3">
      <c r="A14" t="s">
        <v>81</v>
      </c>
      <c r="B14" t="s">
        <v>1600</v>
      </c>
      <c r="C14" t="s">
        <v>1611</v>
      </c>
      <c r="D14" t="s">
        <v>3190</v>
      </c>
      <c r="E14" t="s">
        <v>14</v>
      </c>
      <c r="F14" s="2">
        <v>40</v>
      </c>
      <c r="G14" t="s">
        <v>3197</v>
      </c>
      <c r="H14" t="s">
        <v>10</v>
      </c>
      <c r="I14" t="s">
        <v>11</v>
      </c>
      <c r="J14" t="s">
        <v>3198</v>
      </c>
      <c r="K14" t="s">
        <v>23</v>
      </c>
      <c r="L14" s="2">
        <v>9.0906000000000002</v>
      </c>
      <c r="M14" t="s">
        <v>3199</v>
      </c>
      <c r="N14">
        <v>1</v>
      </c>
      <c r="O14">
        <v>0</v>
      </c>
      <c r="P14">
        <v>2</v>
      </c>
      <c r="Q14" t="s">
        <v>3204</v>
      </c>
      <c r="R14" t="s">
        <v>3201</v>
      </c>
      <c r="S14" t="s">
        <v>13</v>
      </c>
    </row>
    <row r="15" spans="1:19" x14ac:dyDescent="0.3">
      <c r="A15" t="s">
        <v>82</v>
      </c>
      <c r="B15" t="s">
        <v>1612</v>
      </c>
      <c r="C15" t="s">
        <v>1613</v>
      </c>
      <c r="D15" t="s">
        <v>3189</v>
      </c>
      <c r="E15" t="s">
        <v>9</v>
      </c>
      <c r="F15" s="2">
        <v>0.83333333330000003</v>
      </c>
      <c r="G15" t="s">
        <v>3208</v>
      </c>
      <c r="H15" t="s">
        <v>10</v>
      </c>
      <c r="I15" t="s">
        <v>11</v>
      </c>
      <c r="J15" t="s">
        <v>3198</v>
      </c>
      <c r="K15" t="s">
        <v>15</v>
      </c>
      <c r="L15" s="2">
        <v>9.07</v>
      </c>
      <c r="M15" t="s">
        <v>3199</v>
      </c>
      <c r="N15">
        <v>0</v>
      </c>
      <c r="O15">
        <v>1</v>
      </c>
      <c r="P15">
        <v>2</v>
      </c>
      <c r="Q15" t="s">
        <v>3204</v>
      </c>
      <c r="R15" t="s">
        <v>3205</v>
      </c>
      <c r="S15" t="s">
        <v>16</v>
      </c>
    </row>
    <row r="16" spans="1:19" x14ac:dyDescent="0.3">
      <c r="A16" t="s">
        <v>82</v>
      </c>
      <c r="B16" t="s">
        <v>1600</v>
      </c>
      <c r="C16" t="s">
        <v>1614</v>
      </c>
      <c r="D16" t="s">
        <v>3190</v>
      </c>
      <c r="E16" t="s">
        <v>14</v>
      </c>
      <c r="F16" s="2">
        <v>18</v>
      </c>
      <c r="G16" t="s">
        <v>3206</v>
      </c>
      <c r="H16" t="s">
        <v>10</v>
      </c>
      <c r="I16" t="s">
        <v>11</v>
      </c>
      <c r="J16" t="s">
        <v>3198</v>
      </c>
      <c r="K16" t="s">
        <v>15</v>
      </c>
      <c r="L16" s="2">
        <v>9.07</v>
      </c>
      <c r="M16" t="s">
        <v>3199</v>
      </c>
      <c r="N16">
        <v>0</v>
      </c>
      <c r="O16">
        <v>1</v>
      </c>
      <c r="P16">
        <v>2</v>
      </c>
      <c r="Q16" t="s">
        <v>3204</v>
      </c>
      <c r="R16" t="s">
        <v>3205</v>
      </c>
      <c r="S16" t="s">
        <v>16</v>
      </c>
    </row>
    <row r="17" spans="1:19" x14ac:dyDescent="0.3">
      <c r="A17" t="s">
        <v>83</v>
      </c>
      <c r="B17" t="s">
        <v>1596</v>
      </c>
      <c r="C17" t="s">
        <v>1615</v>
      </c>
      <c r="D17" t="s">
        <v>3189</v>
      </c>
      <c r="E17" t="s">
        <v>9</v>
      </c>
      <c r="F17" s="2">
        <v>35</v>
      </c>
      <c r="G17" t="s">
        <v>3206</v>
      </c>
      <c r="H17" t="s">
        <v>18</v>
      </c>
      <c r="I17" t="s">
        <v>11</v>
      </c>
      <c r="J17" t="s">
        <v>3198</v>
      </c>
      <c r="K17" t="s">
        <v>15</v>
      </c>
      <c r="L17" s="2">
        <v>13</v>
      </c>
      <c r="M17" t="s">
        <v>3199</v>
      </c>
      <c r="N17">
        <v>0</v>
      </c>
      <c r="O17">
        <v>0</v>
      </c>
      <c r="P17">
        <v>1</v>
      </c>
      <c r="Q17" t="s">
        <v>3200</v>
      </c>
      <c r="R17" t="s">
        <v>3201</v>
      </c>
      <c r="S17" t="s">
        <v>13</v>
      </c>
    </row>
    <row r="18" spans="1:19" x14ac:dyDescent="0.3">
      <c r="A18" t="s">
        <v>84</v>
      </c>
      <c r="B18" t="s">
        <v>1596</v>
      </c>
      <c r="C18" t="s">
        <v>1616</v>
      </c>
      <c r="D18" t="s">
        <v>3189</v>
      </c>
      <c r="E18" t="s">
        <v>9</v>
      </c>
      <c r="F18" s="2">
        <v>25</v>
      </c>
      <c r="G18" t="s">
        <v>3206</v>
      </c>
      <c r="H18" t="s">
        <v>10</v>
      </c>
      <c r="I18" t="s">
        <v>11</v>
      </c>
      <c r="J18" t="s">
        <v>3198</v>
      </c>
      <c r="K18" t="s">
        <v>15</v>
      </c>
      <c r="L18" s="2">
        <v>7.1708999999999996</v>
      </c>
      <c r="M18" t="s">
        <v>3199</v>
      </c>
      <c r="N18">
        <v>0</v>
      </c>
      <c r="O18">
        <v>0</v>
      </c>
      <c r="P18">
        <v>1</v>
      </c>
      <c r="Q18" t="s">
        <v>3200</v>
      </c>
      <c r="R18" t="s">
        <v>3201</v>
      </c>
      <c r="S18" t="s">
        <v>13</v>
      </c>
    </row>
    <row r="19" spans="1:19" x14ac:dyDescent="0.3">
      <c r="A19" t="s">
        <v>85</v>
      </c>
      <c r="B19" t="s">
        <v>1596</v>
      </c>
      <c r="C19" t="s">
        <v>1617</v>
      </c>
      <c r="D19" t="s">
        <v>3189</v>
      </c>
      <c r="E19" t="s">
        <v>9</v>
      </c>
      <c r="F19" s="2">
        <v>19</v>
      </c>
      <c r="G19" t="s">
        <v>3206</v>
      </c>
      <c r="H19" t="s">
        <v>10</v>
      </c>
      <c r="I19" t="s">
        <v>11</v>
      </c>
      <c r="J19" t="s">
        <v>3198</v>
      </c>
      <c r="K19" t="s">
        <v>22</v>
      </c>
      <c r="L19" s="2">
        <v>7.1806000000000001</v>
      </c>
      <c r="M19" t="s">
        <v>3199</v>
      </c>
      <c r="N19">
        <v>0</v>
      </c>
      <c r="O19">
        <v>0</v>
      </c>
      <c r="P19">
        <v>1</v>
      </c>
      <c r="Q19" t="s">
        <v>3200</v>
      </c>
      <c r="R19" t="s">
        <v>3201</v>
      </c>
      <c r="S19" t="s">
        <v>13</v>
      </c>
    </row>
    <row r="20" spans="1:19" x14ac:dyDescent="0.3">
      <c r="A20" t="s">
        <v>86</v>
      </c>
      <c r="B20" t="s">
        <v>1596</v>
      </c>
      <c r="C20" t="s">
        <v>1618</v>
      </c>
      <c r="D20" t="s">
        <v>3189</v>
      </c>
      <c r="E20" t="s">
        <v>9</v>
      </c>
      <c r="F20" s="2">
        <v>24</v>
      </c>
      <c r="G20" t="s">
        <v>3206</v>
      </c>
      <c r="H20" t="s">
        <v>10</v>
      </c>
      <c r="I20" t="s">
        <v>11</v>
      </c>
      <c r="J20" t="s">
        <v>3198</v>
      </c>
      <c r="K20" t="s">
        <v>24</v>
      </c>
      <c r="L20" s="2">
        <v>7.01</v>
      </c>
      <c r="M20" t="s">
        <v>3199</v>
      </c>
      <c r="N20">
        <v>0</v>
      </c>
      <c r="O20">
        <v>0</v>
      </c>
      <c r="P20">
        <v>1</v>
      </c>
      <c r="Q20" t="s">
        <v>3200</v>
      </c>
      <c r="R20" t="s">
        <v>3201</v>
      </c>
      <c r="S20" t="s">
        <v>13</v>
      </c>
    </row>
    <row r="21" spans="1:19" x14ac:dyDescent="0.3">
      <c r="A21" t="s">
        <v>86</v>
      </c>
      <c r="B21" t="s">
        <v>1596</v>
      </c>
      <c r="C21" t="s">
        <v>1619</v>
      </c>
      <c r="D21" t="s">
        <v>3189</v>
      </c>
      <c r="E21" t="s">
        <v>9</v>
      </c>
      <c r="F21" s="2">
        <v>25</v>
      </c>
      <c r="G21" t="s">
        <v>3206</v>
      </c>
      <c r="H21" t="s">
        <v>10</v>
      </c>
      <c r="I21" t="s">
        <v>11</v>
      </c>
      <c r="J21" t="s">
        <v>3198</v>
      </c>
      <c r="K21" t="s">
        <v>24</v>
      </c>
      <c r="L21" s="2">
        <v>7.01</v>
      </c>
      <c r="M21" t="s">
        <v>3199</v>
      </c>
      <c r="N21">
        <v>0</v>
      </c>
      <c r="O21">
        <v>0</v>
      </c>
      <c r="P21">
        <v>1</v>
      </c>
      <c r="Q21" t="s">
        <v>3200</v>
      </c>
      <c r="R21" t="s">
        <v>3201</v>
      </c>
      <c r="S21" t="s">
        <v>13</v>
      </c>
    </row>
    <row r="22" spans="1:19" x14ac:dyDescent="0.3">
      <c r="A22" t="s">
        <v>87</v>
      </c>
      <c r="B22" t="s">
        <v>1602</v>
      </c>
      <c r="C22" t="s">
        <v>1620</v>
      </c>
      <c r="D22" t="s">
        <v>3190</v>
      </c>
      <c r="E22" t="s">
        <v>14</v>
      </c>
      <c r="F22" s="2">
        <v>29</v>
      </c>
      <c r="G22" t="s">
        <v>3206</v>
      </c>
      <c r="H22" t="s">
        <v>25</v>
      </c>
      <c r="I22" t="s">
        <v>11</v>
      </c>
      <c r="J22" t="s">
        <v>3198</v>
      </c>
      <c r="K22" t="s">
        <v>12</v>
      </c>
      <c r="L22" s="2">
        <v>211.6009</v>
      </c>
      <c r="M22" t="s">
        <v>3209</v>
      </c>
      <c r="N22">
        <v>0</v>
      </c>
      <c r="O22">
        <v>0</v>
      </c>
      <c r="P22">
        <v>1</v>
      </c>
      <c r="Q22" t="s">
        <v>3200</v>
      </c>
      <c r="R22" t="s">
        <v>3205</v>
      </c>
      <c r="S22" t="s">
        <v>16</v>
      </c>
    </row>
    <row r="23" spans="1:19" x14ac:dyDescent="0.3">
      <c r="A23" t="s">
        <v>87</v>
      </c>
      <c r="B23" t="s">
        <v>1596</v>
      </c>
      <c r="C23" t="s">
        <v>1621</v>
      </c>
      <c r="D23" t="s">
        <v>3189</v>
      </c>
      <c r="E23" t="s">
        <v>9</v>
      </c>
      <c r="F23" s="2">
        <v>39</v>
      </c>
      <c r="G23" t="s">
        <v>3197</v>
      </c>
      <c r="H23" t="s">
        <v>10</v>
      </c>
      <c r="I23" t="s">
        <v>11</v>
      </c>
      <c r="J23" t="s">
        <v>3198</v>
      </c>
      <c r="K23" t="s">
        <v>15</v>
      </c>
      <c r="L23" s="2">
        <v>8.01</v>
      </c>
      <c r="M23" t="s">
        <v>3199</v>
      </c>
      <c r="N23">
        <v>0</v>
      </c>
      <c r="O23">
        <v>0</v>
      </c>
      <c r="P23">
        <v>1</v>
      </c>
      <c r="Q23" t="s">
        <v>3200</v>
      </c>
      <c r="R23" t="s">
        <v>3201</v>
      </c>
      <c r="S23" t="s">
        <v>13</v>
      </c>
    </row>
    <row r="24" spans="1:19" x14ac:dyDescent="0.3">
      <c r="A24" t="s">
        <v>88</v>
      </c>
      <c r="B24" t="s">
        <v>1612</v>
      </c>
      <c r="C24" t="s">
        <v>1622</v>
      </c>
      <c r="D24" t="s">
        <v>3189</v>
      </c>
      <c r="E24" t="s">
        <v>9</v>
      </c>
      <c r="F24" s="2">
        <v>0.91666666669999997</v>
      </c>
      <c r="G24" t="s">
        <v>3208</v>
      </c>
      <c r="H24" t="s">
        <v>25</v>
      </c>
      <c r="I24" t="s">
        <v>11</v>
      </c>
      <c r="J24" t="s">
        <v>3198</v>
      </c>
      <c r="K24" t="s">
        <v>26</v>
      </c>
      <c r="L24" s="2">
        <v>151.16</v>
      </c>
      <c r="M24" t="s">
        <v>3209</v>
      </c>
      <c r="N24">
        <v>1</v>
      </c>
      <c r="O24">
        <v>2</v>
      </c>
      <c r="P24">
        <v>4</v>
      </c>
      <c r="Q24" t="s">
        <v>3204</v>
      </c>
      <c r="R24" t="s">
        <v>3205</v>
      </c>
      <c r="S24" t="s">
        <v>16</v>
      </c>
    </row>
    <row r="25" spans="1:19" x14ac:dyDescent="0.3">
      <c r="A25" t="s">
        <v>88</v>
      </c>
      <c r="B25" t="s">
        <v>1602</v>
      </c>
      <c r="C25" t="s">
        <v>1623</v>
      </c>
      <c r="D25" t="s">
        <v>3190</v>
      </c>
      <c r="E25" t="s">
        <v>14</v>
      </c>
      <c r="F25" s="2">
        <v>2</v>
      </c>
      <c r="G25" t="s">
        <v>3208</v>
      </c>
      <c r="H25" t="s">
        <v>25</v>
      </c>
      <c r="I25" t="s">
        <v>11</v>
      </c>
      <c r="J25" t="s">
        <v>3198</v>
      </c>
      <c r="K25" t="s">
        <v>26</v>
      </c>
      <c r="L25" s="2">
        <v>151.16</v>
      </c>
      <c r="M25" t="s">
        <v>3209</v>
      </c>
      <c r="N25">
        <v>1</v>
      </c>
      <c r="O25">
        <v>2</v>
      </c>
      <c r="P25">
        <v>4</v>
      </c>
      <c r="Q25" t="s">
        <v>3204</v>
      </c>
      <c r="R25" t="s">
        <v>3201</v>
      </c>
      <c r="S25" t="s">
        <v>13</v>
      </c>
    </row>
    <row r="26" spans="1:19" x14ac:dyDescent="0.3">
      <c r="A26" t="s">
        <v>88</v>
      </c>
      <c r="B26" t="s">
        <v>1596</v>
      </c>
      <c r="C26" t="s">
        <v>1624</v>
      </c>
      <c r="D26" t="s">
        <v>3189</v>
      </c>
      <c r="E26" t="s">
        <v>9</v>
      </c>
      <c r="F26" s="2">
        <v>30</v>
      </c>
      <c r="G26" t="s">
        <v>3206</v>
      </c>
      <c r="H26" t="s">
        <v>25</v>
      </c>
      <c r="I26" t="s">
        <v>11</v>
      </c>
      <c r="J26" t="s">
        <v>3198</v>
      </c>
      <c r="K26" t="s">
        <v>26</v>
      </c>
      <c r="L26" s="2">
        <v>151.16</v>
      </c>
      <c r="M26" t="s">
        <v>3209</v>
      </c>
      <c r="N26">
        <v>1</v>
      </c>
      <c r="O26">
        <v>2</v>
      </c>
      <c r="P26">
        <v>4</v>
      </c>
      <c r="Q26" t="s">
        <v>3204</v>
      </c>
      <c r="R26" t="s">
        <v>3201</v>
      </c>
      <c r="S26" t="s">
        <v>13</v>
      </c>
    </row>
    <row r="27" spans="1:19" x14ac:dyDescent="0.3">
      <c r="A27" t="s">
        <v>88</v>
      </c>
      <c r="B27" t="s">
        <v>1600</v>
      </c>
      <c r="C27" t="s">
        <v>1625</v>
      </c>
      <c r="D27" t="s">
        <v>3190</v>
      </c>
      <c r="E27" t="s">
        <v>14</v>
      </c>
      <c r="F27" s="2">
        <v>25</v>
      </c>
      <c r="G27" t="s">
        <v>3206</v>
      </c>
      <c r="H27" t="s">
        <v>25</v>
      </c>
      <c r="I27" t="s">
        <v>11</v>
      </c>
      <c r="J27" t="s">
        <v>3198</v>
      </c>
      <c r="K27" t="s">
        <v>12</v>
      </c>
      <c r="L27" s="2">
        <v>151.16</v>
      </c>
      <c r="M27" t="s">
        <v>3209</v>
      </c>
      <c r="N27">
        <v>1</v>
      </c>
      <c r="O27">
        <v>2</v>
      </c>
      <c r="P27">
        <v>4</v>
      </c>
      <c r="Q27" t="s">
        <v>3204</v>
      </c>
      <c r="R27" t="s">
        <v>3201</v>
      </c>
      <c r="S27" t="s">
        <v>13</v>
      </c>
    </row>
    <row r="28" spans="1:19" x14ac:dyDescent="0.3">
      <c r="A28" t="s">
        <v>89</v>
      </c>
      <c r="B28" t="s">
        <v>1596</v>
      </c>
      <c r="C28" t="s">
        <v>1626</v>
      </c>
      <c r="D28" t="s">
        <v>3189</v>
      </c>
      <c r="E28" t="s">
        <v>9</v>
      </c>
      <c r="F28" s="2">
        <v>18</v>
      </c>
      <c r="G28" t="s">
        <v>3206</v>
      </c>
      <c r="H28" t="s">
        <v>10</v>
      </c>
      <c r="I28" t="s">
        <v>11</v>
      </c>
      <c r="J28" t="s">
        <v>3198</v>
      </c>
      <c r="K28" t="s">
        <v>15</v>
      </c>
      <c r="L28" s="2">
        <v>8.06</v>
      </c>
      <c r="M28" t="s">
        <v>3199</v>
      </c>
      <c r="N28">
        <v>0</v>
      </c>
      <c r="O28">
        <v>0</v>
      </c>
      <c r="P28">
        <v>1</v>
      </c>
      <c r="Q28" t="s">
        <v>3200</v>
      </c>
      <c r="R28" t="s">
        <v>3201</v>
      </c>
      <c r="S28" t="s">
        <v>13</v>
      </c>
    </row>
    <row r="29" spans="1:19" x14ac:dyDescent="0.3">
      <c r="A29" t="s">
        <v>90</v>
      </c>
      <c r="B29" t="s">
        <v>1596</v>
      </c>
      <c r="C29" t="s">
        <v>1627</v>
      </c>
      <c r="D29" t="s">
        <v>3189</v>
      </c>
      <c r="E29" t="s">
        <v>9</v>
      </c>
      <c r="F29" s="2">
        <v>19</v>
      </c>
      <c r="G29" t="s">
        <v>3206</v>
      </c>
      <c r="H29" t="s">
        <v>10</v>
      </c>
      <c r="I29" t="s">
        <v>19</v>
      </c>
      <c r="J29" t="s">
        <v>3207</v>
      </c>
      <c r="K29" t="s">
        <v>21</v>
      </c>
      <c r="L29" s="2">
        <v>7.0407000000000002</v>
      </c>
      <c r="M29" t="s">
        <v>3199</v>
      </c>
      <c r="N29">
        <v>0</v>
      </c>
      <c r="O29">
        <v>0</v>
      </c>
      <c r="P29">
        <v>1</v>
      </c>
      <c r="Q29" t="s">
        <v>3200</v>
      </c>
      <c r="R29" t="s">
        <v>3201</v>
      </c>
      <c r="S29" t="s">
        <v>13</v>
      </c>
    </row>
    <row r="30" spans="1:19" x14ac:dyDescent="0.3">
      <c r="A30" t="s">
        <v>91</v>
      </c>
      <c r="B30" t="s">
        <v>1602</v>
      </c>
      <c r="C30" t="s">
        <v>1628</v>
      </c>
      <c r="D30" t="s">
        <v>3190</v>
      </c>
      <c r="E30" t="s">
        <v>14</v>
      </c>
      <c r="F30" s="2">
        <v>19</v>
      </c>
      <c r="G30" t="s">
        <v>3206</v>
      </c>
      <c r="H30" t="s">
        <v>10</v>
      </c>
      <c r="I30" t="s">
        <v>11</v>
      </c>
      <c r="J30" t="s">
        <v>3198</v>
      </c>
      <c r="K30" t="s">
        <v>27</v>
      </c>
      <c r="L30" s="2">
        <v>7.1700999999999997</v>
      </c>
      <c r="M30" t="s">
        <v>3199</v>
      </c>
      <c r="N30">
        <v>1</v>
      </c>
      <c r="O30">
        <v>0</v>
      </c>
      <c r="P30">
        <v>2</v>
      </c>
      <c r="Q30" t="s">
        <v>3204</v>
      </c>
      <c r="R30" t="s">
        <v>3205</v>
      </c>
      <c r="S30" t="s">
        <v>16</v>
      </c>
    </row>
    <row r="31" spans="1:19" x14ac:dyDescent="0.3">
      <c r="A31" t="s">
        <v>92</v>
      </c>
      <c r="B31" t="s">
        <v>1596</v>
      </c>
      <c r="C31" t="s">
        <v>1629</v>
      </c>
      <c r="D31" t="s">
        <v>3189</v>
      </c>
      <c r="E31" t="s">
        <v>9</v>
      </c>
      <c r="F31" s="2">
        <v>33</v>
      </c>
      <c r="G31" t="s">
        <v>3206</v>
      </c>
      <c r="H31" t="s">
        <v>10</v>
      </c>
      <c r="I31" t="s">
        <v>11</v>
      </c>
      <c r="J31" t="s">
        <v>3198</v>
      </c>
      <c r="K31" t="s">
        <v>17</v>
      </c>
      <c r="L31" s="2">
        <v>22.1006</v>
      </c>
      <c r="M31" t="s">
        <v>3203</v>
      </c>
      <c r="N31">
        <v>0</v>
      </c>
      <c r="O31">
        <v>0</v>
      </c>
      <c r="P31">
        <v>1</v>
      </c>
      <c r="Q31" t="s">
        <v>3200</v>
      </c>
      <c r="R31" t="s">
        <v>3201</v>
      </c>
      <c r="S31" t="s">
        <v>13</v>
      </c>
    </row>
    <row r="32" spans="1:19" x14ac:dyDescent="0.3">
      <c r="A32" t="s">
        <v>93</v>
      </c>
      <c r="B32" t="s">
        <v>1596</v>
      </c>
      <c r="C32" t="s">
        <v>1630</v>
      </c>
      <c r="D32" t="s">
        <v>3189</v>
      </c>
      <c r="E32" t="s">
        <v>9</v>
      </c>
      <c r="F32" s="2">
        <v>47</v>
      </c>
      <c r="G32" t="s">
        <v>3197</v>
      </c>
      <c r="H32" t="s">
        <v>25</v>
      </c>
      <c r="I32" t="s">
        <v>11</v>
      </c>
      <c r="J32" t="s">
        <v>3198</v>
      </c>
      <c r="K32" t="s">
        <v>12</v>
      </c>
      <c r="L32" s="2">
        <v>26.11</v>
      </c>
      <c r="M32" t="s">
        <v>3203</v>
      </c>
      <c r="N32">
        <v>0</v>
      </c>
      <c r="O32">
        <v>0</v>
      </c>
      <c r="P32">
        <v>1</v>
      </c>
      <c r="Q32" t="s">
        <v>3200</v>
      </c>
      <c r="R32" t="s">
        <v>3205</v>
      </c>
      <c r="S32" t="s">
        <v>16</v>
      </c>
    </row>
    <row r="33" spans="1:19" x14ac:dyDescent="0.3">
      <c r="A33" t="s">
        <v>94</v>
      </c>
      <c r="B33" t="s">
        <v>1612</v>
      </c>
      <c r="C33" t="s">
        <v>1631</v>
      </c>
      <c r="D33" t="s">
        <v>3189</v>
      </c>
      <c r="E33" t="s">
        <v>9</v>
      </c>
      <c r="F33" s="2">
        <v>4</v>
      </c>
      <c r="G33" t="s">
        <v>3208</v>
      </c>
      <c r="H33" t="s">
        <v>10</v>
      </c>
      <c r="I33" t="s">
        <v>11</v>
      </c>
      <c r="J33" t="s">
        <v>3198</v>
      </c>
      <c r="K33" t="s">
        <v>23</v>
      </c>
      <c r="L33" s="2">
        <v>31.050599999999999</v>
      </c>
      <c r="M33" t="s">
        <v>3203</v>
      </c>
      <c r="N33">
        <v>4</v>
      </c>
      <c r="O33">
        <v>2</v>
      </c>
      <c r="P33">
        <v>7</v>
      </c>
      <c r="Q33" t="s">
        <v>3204</v>
      </c>
      <c r="R33" t="s">
        <v>3201</v>
      </c>
      <c r="S33" t="s">
        <v>13</v>
      </c>
    </row>
    <row r="34" spans="1:19" x14ac:dyDescent="0.3">
      <c r="A34" t="s">
        <v>94</v>
      </c>
      <c r="B34" t="s">
        <v>1602</v>
      </c>
      <c r="C34" t="s">
        <v>1632</v>
      </c>
      <c r="D34" t="s">
        <v>3190</v>
      </c>
      <c r="E34" t="s">
        <v>14</v>
      </c>
      <c r="F34" s="2">
        <v>6</v>
      </c>
      <c r="G34" t="s">
        <v>3208</v>
      </c>
      <c r="H34" t="s">
        <v>10</v>
      </c>
      <c r="I34" t="s">
        <v>11</v>
      </c>
      <c r="J34" t="s">
        <v>3198</v>
      </c>
      <c r="K34" t="s">
        <v>23</v>
      </c>
      <c r="L34" s="2">
        <v>31.050599999999999</v>
      </c>
      <c r="M34" t="s">
        <v>3203</v>
      </c>
      <c r="N34">
        <v>4</v>
      </c>
      <c r="O34">
        <v>2</v>
      </c>
      <c r="P34">
        <v>7</v>
      </c>
      <c r="Q34" t="s">
        <v>3204</v>
      </c>
      <c r="R34" t="s">
        <v>3201</v>
      </c>
      <c r="S34" t="s">
        <v>13</v>
      </c>
    </row>
    <row r="35" spans="1:19" x14ac:dyDescent="0.3">
      <c r="A35" t="s">
        <v>94</v>
      </c>
      <c r="B35" t="s">
        <v>1602</v>
      </c>
      <c r="C35" t="s">
        <v>1633</v>
      </c>
      <c r="D35" t="s">
        <v>3190</v>
      </c>
      <c r="E35" t="s">
        <v>14</v>
      </c>
      <c r="F35" s="2">
        <v>2</v>
      </c>
      <c r="G35" t="s">
        <v>3208</v>
      </c>
      <c r="H35" t="s">
        <v>10</v>
      </c>
      <c r="I35" t="s">
        <v>11</v>
      </c>
      <c r="J35" t="s">
        <v>3198</v>
      </c>
      <c r="K35" t="s">
        <v>23</v>
      </c>
      <c r="L35" s="2">
        <v>31.050599999999999</v>
      </c>
      <c r="M35" t="s">
        <v>3203</v>
      </c>
      <c r="N35">
        <v>4</v>
      </c>
      <c r="O35">
        <v>2</v>
      </c>
      <c r="P35">
        <v>7</v>
      </c>
      <c r="Q35" t="s">
        <v>3204</v>
      </c>
      <c r="R35" t="s">
        <v>3201</v>
      </c>
      <c r="S35" t="s">
        <v>13</v>
      </c>
    </row>
    <row r="36" spans="1:19" x14ac:dyDescent="0.3">
      <c r="A36" t="s">
        <v>94</v>
      </c>
      <c r="B36" t="s">
        <v>1602</v>
      </c>
      <c r="C36" t="s">
        <v>1634</v>
      </c>
      <c r="D36" t="s">
        <v>3190</v>
      </c>
      <c r="E36" t="s">
        <v>14</v>
      </c>
      <c r="F36" s="2">
        <v>16</v>
      </c>
      <c r="G36" t="s">
        <v>3202</v>
      </c>
      <c r="H36" t="s">
        <v>10</v>
      </c>
      <c r="I36" t="s">
        <v>11</v>
      </c>
      <c r="J36" t="s">
        <v>3198</v>
      </c>
      <c r="K36" t="s">
        <v>22</v>
      </c>
      <c r="L36" s="2">
        <v>7.1806000000000001</v>
      </c>
      <c r="M36" t="s">
        <v>3199</v>
      </c>
      <c r="N36">
        <v>4</v>
      </c>
      <c r="O36">
        <v>2</v>
      </c>
      <c r="P36">
        <v>7</v>
      </c>
      <c r="Q36" t="s">
        <v>3204</v>
      </c>
      <c r="R36" t="s">
        <v>3205</v>
      </c>
      <c r="S36" t="s">
        <v>16</v>
      </c>
    </row>
    <row r="37" spans="1:19" x14ac:dyDescent="0.3">
      <c r="A37" t="s">
        <v>94</v>
      </c>
      <c r="B37" t="s">
        <v>1602</v>
      </c>
      <c r="C37" t="s">
        <v>1635</v>
      </c>
      <c r="D37" t="s">
        <v>3190</v>
      </c>
      <c r="E37" t="s">
        <v>14</v>
      </c>
      <c r="F37" s="2">
        <v>38</v>
      </c>
      <c r="G37" t="s">
        <v>3197</v>
      </c>
      <c r="H37" t="s">
        <v>10</v>
      </c>
      <c r="I37" t="s">
        <v>11</v>
      </c>
      <c r="J37" t="s">
        <v>3198</v>
      </c>
      <c r="K37" t="s">
        <v>23</v>
      </c>
      <c r="L37" s="2">
        <v>7.1505999999999998</v>
      </c>
      <c r="M37" t="s">
        <v>3199</v>
      </c>
      <c r="N37">
        <v>4</v>
      </c>
      <c r="O37">
        <v>2</v>
      </c>
      <c r="P37">
        <v>7</v>
      </c>
      <c r="Q37" t="s">
        <v>3204</v>
      </c>
      <c r="R37" t="s">
        <v>3201</v>
      </c>
      <c r="S37" t="s">
        <v>13</v>
      </c>
    </row>
    <row r="38" spans="1:19" x14ac:dyDescent="0.3">
      <c r="A38" t="s">
        <v>94</v>
      </c>
      <c r="B38" t="s">
        <v>1602</v>
      </c>
      <c r="C38" t="s">
        <v>1636</v>
      </c>
      <c r="D38" t="s">
        <v>3190</v>
      </c>
      <c r="E38" t="s">
        <v>14</v>
      </c>
      <c r="F38" s="2">
        <v>9</v>
      </c>
      <c r="G38" t="s">
        <v>3202</v>
      </c>
      <c r="H38" t="s">
        <v>10</v>
      </c>
      <c r="I38" t="s">
        <v>11</v>
      </c>
      <c r="J38" t="s">
        <v>3198</v>
      </c>
      <c r="K38" t="s">
        <v>23</v>
      </c>
      <c r="L38" s="2">
        <v>31.050599999999999</v>
      </c>
      <c r="M38" t="s">
        <v>3203</v>
      </c>
      <c r="N38">
        <v>4</v>
      </c>
      <c r="O38">
        <v>2</v>
      </c>
      <c r="P38">
        <v>7</v>
      </c>
      <c r="Q38" t="s">
        <v>3204</v>
      </c>
      <c r="R38" t="s">
        <v>3201</v>
      </c>
      <c r="S38" t="s">
        <v>13</v>
      </c>
    </row>
    <row r="39" spans="1:19" x14ac:dyDescent="0.3">
      <c r="A39" t="s">
        <v>94</v>
      </c>
      <c r="B39" t="s">
        <v>1602</v>
      </c>
      <c r="C39" t="s">
        <v>1637</v>
      </c>
      <c r="D39" t="s">
        <v>3190</v>
      </c>
      <c r="E39" t="s">
        <v>14</v>
      </c>
      <c r="F39" s="2">
        <v>11</v>
      </c>
      <c r="G39" t="s">
        <v>3202</v>
      </c>
      <c r="H39" t="s">
        <v>10</v>
      </c>
      <c r="I39" t="s">
        <v>11</v>
      </c>
      <c r="J39" t="s">
        <v>3198</v>
      </c>
      <c r="K39" t="s">
        <v>23</v>
      </c>
      <c r="L39" s="2">
        <v>31.050599999999999</v>
      </c>
      <c r="M39" t="s">
        <v>3203</v>
      </c>
      <c r="N39">
        <v>4</v>
      </c>
      <c r="O39">
        <v>2</v>
      </c>
      <c r="P39">
        <v>7</v>
      </c>
      <c r="Q39" t="s">
        <v>3204</v>
      </c>
      <c r="R39" t="s">
        <v>3201</v>
      </c>
      <c r="S39" t="s">
        <v>13</v>
      </c>
    </row>
    <row r="40" spans="1:19" x14ac:dyDescent="0.3">
      <c r="A40" t="s">
        <v>94</v>
      </c>
      <c r="B40" t="s">
        <v>1596</v>
      </c>
      <c r="C40" t="s">
        <v>1638</v>
      </c>
      <c r="D40" t="s">
        <v>3189</v>
      </c>
      <c r="E40" t="s">
        <v>9</v>
      </c>
      <c r="F40" s="2">
        <v>39</v>
      </c>
      <c r="G40" t="s">
        <v>3197</v>
      </c>
      <c r="H40" t="s">
        <v>10</v>
      </c>
      <c r="I40" t="s">
        <v>11</v>
      </c>
      <c r="J40" t="s">
        <v>3198</v>
      </c>
      <c r="K40" t="s">
        <v>23</v>
      </c>
      <c r="L40" s="2">
        <v>31.050599999999999</v>
      </c>
      <c r="M40" t="s">
        <v>3203</v>
      </c>
      <c r="N40">
        <v>1</v>
      </c>
      <c r="O40">
        <v>5</v>
      </c>
      <c r="P40">
        <v>7</v>
      </c>
      <c r="Q40" t="s">
        <v>3204</v>
      </c>
      <c r="R40" t="s">
        <v>3201</v>
      </c>
      <c r="S40" t="s">
        <v>13</v>
      </c>
    </row>
    <row r="41" spans="1:19" x14ac:dyDescent="0.3">
      <c r="A41" t="s">
        <v>94</v>
      </c>
      <c r="B41" t="s">
        <v>1596</v>
      </c>
      <c r="C41" t="s">
        <v>1639</v>
      </c>
      <c r="D41" t="s">
        <v>3189</v>
      </c>
      <c r="E41" t="s">
        <v>9</v>
      </c>
      <c r="F41" s="2">
        <v>26</v>
      </c>
      <c r="G41" t="s">
        <v>3206</v>
      </c>
      <c r="H41" t="s">
        <v>10</v>
      </c>
      <c r="I41" t="s">
        <v>11</v>
      </c>
      <c r="J41" t="s">
        <v>3198</v>
      </c>
      <c r="K41" t="s">
        <v>23</v>
      </c>
      <c r="L41" s="2">
        <v>7.1505999999999998</v>
      </c>
      <c r="M41" t="s">
        <v>3199</v>
      </c>
      <c r="N41">
        <v>0</v>
      </c>
      <c r="O41">
        <v>0</v>
      </c>
      <c r="P41">
        <v>1</v>
      </c>
      <c r="Q41" t="s">
        <v>3200</v>
      </c>
      <c r="R41" t="s">
        <v>3201</v>
      </c>
      <c r="S41" t="s">
        <v>13</v>
      </c>
    </row>
    <row r="42" spans="1:19" x14ac:dyDescent="0.3">
      <c r="A42" t="s">
        <v>94</v>
      </c>
      <c r="B42" t="s">
        <v>1600</v>
      </c>
      <c r="C42" t="s">
        <v>1640</v>
      </c>
      <c r="D42" t="s">
        <v>3190</v>
      </c>
      <c r="E42" t="s">
        <v>14</v>
      </c>
      <c r="F42" s="2">
        <v>39</v>
      </c>
      <c r="G42" t="s">
        <v>3197</v>
      </c>
      <c r="H42" t="s">
        <v>10</v>
      </c>
      <c r="I42" t="s">
        <v>11</v>
      </c>
      <c r="J42" t="s">
        <v>3198</v>
      </c>
      <c r="K42" t="s">
        <v>23</v>
      </c>
      <c r="L42" s="2">
        <v>31.050599999999999</v>
      </c>
      <c r="M42" t="s">
        <v>3203</v>
      </c>
      <c r="N42">
        <v>1</v>
      </c>
      <c r="O42">
        <v>5</v>
      </c>
      <c r="P42">
        <v>7</v>
      </c>
      <c r="Q42" t="s">
        <v>3204</v>
      </c>
      <c r="R42" t="s">
        <v>3201</v>
      </c>
      <c r="S42" t="s">
        <v>13</v>
      </c>
    </row>
    <row r="43" spans="1:19" x14ac:dyDescent="0.3">
      <c r="A43" t="s">
        <v>95</v>
      </c>
      <c r="B43" t="s">
        <v>1596</v>
      </c>
      <c r="C43" t="s">
        <v>1641</v>
      </c>
      <c r="D43" t="s">
        <v>3189</v>
      </c>
      <c r="E43" t="s">
        <v>9</v>
      </c>
      <c r="F43" s="2">
        <v>20</v>
      </c>
      <c r="G43" t="s">
        <v>3206</v>
      </c>
      <c r="H43" t="s">
        <v>10</v>
      </c>
      <c r="I43" t="s">
        <v>11</v>
      </c>
      <c r="J43" t="s">
        <v>3198</v>
      </c>
      <c r="K43" t="s">
        <v>23</v>
      </c>
      <c r="L43" s="2">
        <v>7.1700999999999997</v>
      </c>
      <c r="M43" t="s">
        <v>3199</v>
      </c>
      <c r="N43">
        <v>0</v>
      </c>
      <c r="O43">
        <v>0</v>
      </c>
      <c r="P43">
        <v>1</v>
      </c>
      <c r="Q43" t="s">
        <v>3200</v>
      </c>
      <c r="R43" t="s">
        <v>3201</v>
      </c>
      <c r="S43" t="s">
        <v>13</v>
      </c>
    </row>
    <row r="44" spans="1:19" x14ac:dyDescent="0.3">
      <c r="A44" t="s">
        <v>96</v>
      </c>
      <c r="B44" t="s">
        <v>1596</v>
      </c>
      <c r="C44" t="s">
        <v>1642</v>
      </c>
      <c r="D44" t="s">
        <v>3189</v>
      </c>
      <c r="E44" t="s">
        <v>9</v>
      </c>
      <c r="F44" s="2">
        <v>17</v>
      </c>
      <c r="G44" t="s">
        <v>3202</v>
      </c>
      <c r="H44" t="s">
        <v>18</v>
      </c>
      <c r="I44" t="s">
        <v>11</v>
      </c>
      <c r="J44" t="s">
        <v>3198</v>
      </c>
      <c r="K44" t="s">
        <v>24</v>
      </c>
      <c r="L44" s="2">
        <v>11.1</v>
      </c>
      <c r="M44" t="s">
        <v>3199</v>
      </c>
      <c r="N44">
        <v>0</v>
      </c>
      <c r="O44">
        <v>0</v>
      </c>
      <c r="P44">
        <v>1</v>
      </c>
      <c r="Q44" t="s">
        <v>3200</v>
      </c>
      <c r="R44" t="s">
        <v>3201</v>
      </c>
      <c r="S44" t="s">
        <v>13</v>
      </c>
    </row>
    <row r="45" spans="1:19" x14ac:dyDescent="0.3">
      <c r="A45" t="s">
        <v>96</v>
      </c>
      <c r="B45" t="s">
        <v>1596</v>
      </c>
      <c r="C45" t="s">
        <v>1643</v>
      </c>
      <c r="D45" t="s">
        <v>3189</v>
      </c>
      <c r="E45" t="s">
        <v>9</v>
      </c>
      <c r="F45" s="2">
        <v>27</v>
      </c>
      <c r="G45" t="s">
        <v>3206</v>
      </c>
      <c r="H45" t="s">
        <v>18</v>
      </c>
      <c r="I45" t="s">
        <v>11</v>
      </c>
      <c r="J45" t="s">
        <v>3198</v>
      </c>
      <c r="K45" t="s">
        <v>15</v>
      </c>
      <c r="L45" s="2">
        <v>10.1</v>
      </c>
      <c r="M45" t="s">
        <v>3199</v>
      </c>
      <c r="N45">
        <v>0</v>
      </c>
      <c r="O45">
        <v>0</v>
      </c>
      <c r="P45">
        <v>1</v>
      </c>
      <c r="Q45" t="s">
        <v>3200</v>
      </c>
      <c r="R45" t="s">
        <v>3201</v>
      </c>
      <c r="S45" t="s">
        <v>13</v>
      </c>
    </row>
    <row r="46" spans="1:19" x14ac:dyDescent="0.3">
      <c r="A46" t="s">
        <v>97</v>
      </c>
      <c r="B46" t="s">
        <v>1602</v>
      </c>
      <c r="C46" t="s">
        <v>1644</v>
      </c>
      <c r="D46" t="s">
        <v>3190</v>
      </c>
      <c r="E46" t="s">
        <v>14</v>
      </c>
      <c r="F46" s="2">
        <v>62</v>
      </c>
      <c r="G46" t="s">
        <v>3210</v>
      </c>
      <c r="H46" t="s">
        <v>25</v>
      </c>
      <c r="I46" t="s">
        <v>19</v>
      </c>
      <c r="J46" t="s">
        <v>3207</v>
      </c>
      <c r="K46" t="s">
        <v>12</v>
      </c>
      <c r="L46" s="2">
        <v>77.190200000000004</v>
      </c>
      <c r="M46" t="s">
        <v>3211</v>
      </c>
      <c r="N46">
        <v>1</v>
      </c>
      <c r="O46">
        <v>0</v>
      </c>
      <c r="P46">
        <v>2</v>
      </c>
      <c r="Q46" t="s">
        <v>3204</v>
      </c>
      <c r="R46" t="s">
        <v>3205</v>
      </c>
      <c r="S46" t="s">
        <v>16</v>
      </c>
    </row>
    <row r="47" spans="1:19" x14ac:dyDescent="0.3">
      <c r="A47" t="s">
        <v>97</v>
      </c>
      <c r="B47" t="s">
        <v>1596</v>
      </c>
      <c r="C47" t="s">
        <v>1645</v>
      </c>
      <c r="D47" t="s">
        <v>3189</v>
      </c>
      <c r="E47" t="s">
        <v>9</v>
      </c>
      <c r="F47" s="2">
        <v>39</v>
      </c>
      <c r="G47" t="s">
        <v>3197</v>
      </c>
      <c r="H47" t="s">
        <v>25</v>
      </c>
      <c r="I47" t="s">
        <v>28</v>
      </c>
      <c r="J47" t="s">
        <v>3212</v>
      </c>
      <c r="K47" t="s">
        <v>29</v>
      </c>
      <c r="L47" s="2">
        <v>33</v>
      </c>
      <c r="M47" t="s">
        <v>3203</v>
      </c>
      <c r="N47">
        <v>0</v>
      </c>
      <c r="O47">
        <v>0</v>
      </c>
      <c r="P47">
        <v>1</v>
      </c>
      <c r="Q47" t="s">
        <v>3200</v>
      </c>
      <c r="R47" t="s">
        <v>3201</v>
      </c>
      <c r="S47" t="s">
        <v>13</v>
      </c>
    </row>
    <row r="48" spans="1:19" x14ac:dyDescent="0.3">
      <c r="A48" t="s">
        <v>98</v>
      </c>
      <c r="B48" t="s">
        <v>1596</v>
      </c>
      <c r="C48" t="s">
        <v>1646</v>
      </c>
      <c r="D48" t="s">
        <v>3189</v>
      </c>
      <c r="E48" t="s">
        <v>9</v>
      </c>
      <c r="F48" s="2">
        <v>26</v>
      </c>
      <c r="G48" t="s">
        <v>3206</v>
      </c>
      <c r="H48" t="s">
        <v>10</v>
      </c>
      <c r="I48" t="s">
        <v>11</v>
      </c>
      <c r="J48" t="s">
        <v>3198</v>
      </c>
      <c r="K48" t="s">
        <v>31</v>
      </c>
      <c r="L48" s="2">
        <v>7.1711</v>
      </c>
      <c r="M48" t="s">
        <v>3199</v>
      </c>
      <c r="N48">
        <v>0</v>
      </c>
      <c r="O48">
        <v>0</v>
      </c>
      <c r="P48">
        <v>1</v>
      </c>
      <c r="Q48" t="s">
        <v>3200</v>
      </c>
      <c r="R48" t="s">
        <v>3201</v>
      </c>
      <c r="S48" t="s">
        <v>13</v>
      </c>
    </row>
    <row r="49" spans="1:19" x14ac:dyDescent="0.3">
      <c r="A49" t="s">
        <v>99</v>
      </c>
      <c r="B49" t="s">
        <v>1600</v>
      </c>
      <c r="C49" t="s">
        <v>1647</v>
      </c>
      <c r="D49" t="s">
        <v>3190</v>
      </c>
      <c r="E49" t="s">
        <v>14</v>
      </c>
      <c r="F49" s="2">
        <v>36</v>
      </c>
      <c r="G49" t="s">
        <v>3197</v>
      </c>
      <c r="H49" t="s">
        <v>18</v>
      </c>
      <c r="I49" t="s">
        <v>11</v>
      </c>
      <c r="J49" t="s">
        <v>3198</v>
      </c>
      <c r="K49" t="s">
        <v>15</v>
      </c>
      <c r="L49" s="2">
        <v>26</v>
      </c>
      <c r="M49" t="s">
        <v>3203</v>
      </c>
      <c r="N49">
        <v>1</v>
      </c>
      <c r="O49">
        <v>0</v>
      </c>
      <c r="P49">
        <v>2</v>
      </c>
      <c r="Q49" t="s">
        <v>3204</v>
      </c>
      <c r="R49" t="s">
        <v>3205</v>
      </c>
      <c r="S49" t="s">
        <v>16</v>
      </c>
    </row>
    <row r="50" spans="1:19" x14ac:dyDescent="0.3">
      <c r="A50" t="s">
        <v>99</v>
      </c>
      <c r="B50" t="s">
        <v>1596</v>
      </c>
      <c r="C50" t="s">
        <v>1619</v>
      </c>
      <c r="D50" t="s">
        <v>3189</v>
      </c>
      <c r="E50" t="s">
        <v>9</v>
      </c>
      <c r="F50" s="2">
        <v>31</v>
      </c>
      <c r="G50" t="s">
        <v>3206</v>
      </c>
      <c r="H50" t="s">
        <v>18</v>
      </c>
      <c r="I50" t="s">
        <v>11</v>
      </c>
      <c r="J50" t="s">
        <v>3198</v>
      </c>
      <c r="K50" t="s">
        <v>15</v>
      </c>
      <c r="L50" s="2">
        <v>26</v>
      </c>
      <c r="M50" t="s">
        <v>3203</v>
      </c>
      <c r="N50">
        <v>1</v>
      </c>
      <c r="O50">
        <v>0</v>
      </c>
      <c r="P50">
        <v>2</v>
      </c>
      <c r="Q50" t="s">
        <v>3204</v>
      </c>
      <c r="R50" t="s">
        <v>3201</v>
      </c>
      <c r="S50" t="s">
        <v>13</v>
      </c>
    </row>
    <row r="51" spans="1:19" x14ac:dyDescent="0.3">
      <c r="A51" t="s">
        <v>100</v>
      </c>
      <c r="B51" t="s">
        <v>1600</v>
      </c>
      <c r="C51" t="s">
        <v>1648</v>
      </c>
      <c r="D51" t="s">
        <v>3190</v>
      </c>
      <c r="E51" t="s">
        <v>14</v>
      </c>
      <c r="F51" s="2">
        <v>53</v>
      </c>
      <c r="G51" t="s">
        <v>3197</v>
      </c>
      <c r="H51" t="s">
        <v>25</v>
      </c>
      <c r="I51" t="s">
        <v>11</v>
      </c>
      <c r="J51" t="s">
        <v>3198</v>
      </c>
      <c r="K51" t="s">
        <v>12</v>
      </c>
      <c r="L51" s="2">
        <v>51.090699999999998</v>
      </c>
      <c r="M51" t="s">
        <v>3211</v>
      </c>
      <c r="N51">
        <v>2</v>
      </c>
      <c r="O51">
        <v>0</v>
      </c>
      <c r="P51">
        <v>3</v>
      </c>
      <c r="Q51" t="s">
        <v>3204</v>
      </c>
      <c r="R51" t="s">
        <v>3205</v>
      </c>
      <c r="S51" t="s">
        <v>16</v>
      </c>
    </row>
    <row r="52" spans="1:19" x14ac:dyDescent="0.3">
      <c r="A52" t="s">
        <v>101</v>
      </c>
      <c r="B52" t="s">
        <v>1596</v>
      </c>
      <c r="C52" t="s">
        <v>1649</v>
      </c>
      <c r="D52" t="s">
        <v>3189</v>
      </c>
      <c r="E52" t="s">
        <v>9</v>
      </c>
      <c r="F52" s="2">
        <v>25</v>
      </c>
      <c r="G52" t="s">
        <v>3206</v>
      </c>
      <c r="H52" t="s">
        <v>10</v>
      </c>
      <c r="I52" t="s">
        <v>11</v>
      </c>
      <c r="J52" t="s">
        <v>3198</v>
      </c>
      <c r="K52" t="s">
        <v>32</v>
      </c>
      <c r="L52" s="2">
        <v>17.16</v>
      </c>
      <c r="M52" t="s">
        <v>3203</v>
      </c>
      <c r="N52">
        <v>1</v>
      </c>
      <c r="O52">
        <v>0</v>
      </c>
      <c r="P52">
        <v>2</v>
      </c>
      <c r="Q52" t="s">
        <v>3204</v>
      </c>
      <c r="R52" t="s">
        <v>3201</v>
      </c>
      <c r="S52" t="s">
        <v>13</v>
      </c>
    </row>
    <row r="53" spans="1:19" x14ac:dyDescent="0.3">
      <c r="A53" t="s">
        <v>101</v>
      </c>
      <c r="B53" t="s">
        <v>1600</v>
      </c>
      <c r="C53" t="s">
        <v>1650</v>
      </c>
      <c r="D53" t="s">
        <v>3190</v>
      </c>
      <c r="E53" t="s">
        <v>14</v>
      </c>
      <c r="F53" s="2">
        <v>18</v>
      </c>
      <c r="G53" t="s">
        <v>3206</v>
      </c>
      <c r="H53" t="s">
        <v>10</v>
      </c>
      <c r="I53" t="s">
        <v>11</v>
      </c>
      <c r="J53" t="s">
        <v>3198</v>
      </c>
      <c r="K53" t="s">
        <v>32</v>
      </c>
      <c r="L53" s="2">
        <v>17.16</v>
      </c>
      <c r="M53" t="s">
        <v>3203</v>
      </c>
      <c r="N53">
        <v>1</v>
      </c>
      <c r="O53">
        <v>0</v>
      </c>
      <c r="P53">
        <v>2</v>
      </c>
      <c r="Q53" t="s">
        <v>3204</v>
      </c>
      <c r="R53" t="s">
        <v>3201</v>
      </c>
      <c r="S53" t="s">
        <v>13</v>
      </c>
    </row>
    <row r="54" spans="1:19" x14ac:dyDescent="0.3">
      <c r="A54" t="s">
        <v>102</v>
      </c>
      <c r="B54" t="s">
        <v>1596</v>
      </c>
      <c r="C54" t="s">
        <v>1651</v>
      </c>
      <c r="D54" t="s">
        <v>3189</v>
      </c>
      <c r="E54" t="s">
        <v>9</v>
      </c>
      <c r="F54" s="2">
        <v>25</v>
      </c>
      <c r="G54" t="s">
        <v>3206</v>
      </c>
      <c r="H54" t="s">
        <v>10</v>
      </c>
      <c r="I54" t="s">
        <v>11</v>
      </c>
      <c r="J54" t="s">
        <v>3198</v>
      </c>
      <c r="K54" t="s">
        <v>23</v>
      </c>
      <c r="L54" s="2">
        <v>7.1505999999999998</v>
      </c>
      <c r="M54" t="s">
        <v>3199</v>
      </c>
      <c r="N54">
        <v>0</v>
      </c>
      <c r="O54">
        <v>0</v>
      </c>
      <c r="P54">
        <v>1</v>
      </c>
      <c r="Q54" t="s">
        <v>3200</v>
      </c>
      <c r="R54" t="s">
        <v>3201</v>
      </c>
      <c r="S54" t="s">
        <v>13</v>
      </c>
    </row>
    <row r="55" spans="1:19" x14ac:dyDescent="0.3">
      <c r="A55" t="s">
        <v>103</v>
      </c>
      <c r="B55" t="s">
        <v>1596</v>
      </c>
      <c r="C55" t="s">
        <v>1652</v>
      </c>
      <c r="D55" t="s">
        <v>3189</v>
      </c>
      <c r="E55" t="s">
        <v>9</v>
      </c>
      <c r="F55" s="2">
        <v>71</v>
      </c>
      <c r="G55" t="s">
        <v>3210</v>
      </c>
      <c r="H55" t="s">
        <v>25</v>
      </c>
      <c r="I55" t="s">
        <v>19</v>
      </c>
      <c r="J55" t="s">
        <v>3207</v>
      </c>
      <c r="K55" t="s">
        <v>24</v>
      </c>
      <c r="L55" s="2">
        <v>49.100099999999998</v>
      </c>
      <c r="M55" t="s">
        <v>3211</v>
      </c>
      <c r="N55">
        <v>0</v>
      </c>
      <c r="O55">
        <v>0</v>
      </c>
      <c r="P55">
        <v>1</v>
      </c>
      <c r="Q55" t="s">
        <v>3200</v>
      </c>
      <c r="R55" t="s">
        <v>3201</v>
      </c>
      <c r="S55" t="s">
        <v>13</v>
      </c>
    </row>
    <row r="56" spans="1:19" x14ac:dyDescent="0.3">
      <c r="A56" t="s">
        <v>104</v>
      </c>
      <c r="B56" t="s">
        <v>1596</v>
      </c>
      <c r="C56" t="s">
        <v>1610</v>
      </c>
      <c r="D56" t="s">
        <v>3189</v>
      </c>
      <c r="E56" t="s">
        <v>9</v>
      </c>
      <c r="F56" s="2">
        <v>57</v>
      </c>
      <c r="G56" t="s">
        <v>3210</v>
      </c>
      <c r="H56" t="s">
        <v>18</v>
      </c>
      <c r="I56" t="s">
        <v>11</v>
      </c>
      <c r="J56" t="s">
        <v>3198</v>
      </c>
      <c r="K56" t="s">
        <v>15</v>
      </c>
      <c r="L56" s="2">
        <v>13</v>
      </c>
      <c r="M56" t="s">
        <v>3199</v>
      </c>
      <c r="N56">
        <v>0</v>
      </c>
      <c r="O56">
        <v>0</v>
      </c>
      <c r="P56">
        <v>1</v>
      </c>
      <c r="Q56" t="s">
        <v>3200</v>
      </c>
      <c r="R56" t="s">
        <v>3201</v>
      </c>
      <c r="S56" t="s">
        <v>13</v>
      </c>
    </row>
    <row r="57" spans="1:19" x14ac:dyDescent="0.3">
      <c r="A57" t="s">
        <v>105</v>
      </c>
      <c r="B57" t="s">
        <v>1596</v>
      </c>
      <c r="C57" t="s">
        <v>1653</v>
      </c>
      <c r="D57" t="s">
        <v>3189</v>
      </c>
      <c r="E57" t="s">
        <v>9</v>
      </c>
      <c r="F57" s="2">
        <v>35</v>
      </c>
      <c r="G57" t="s">
        <v>3206</v>
      </c>
      <c r="H57" t="s">
        <v>10</v>
      </c>
      <c r="I57" t="s">
        <v>11</v>
      </c>
      <c r="J57" t="s">
        <v>3198</v>
      </c>
      <c r="K57" t="s">
        <v>24</v>
      </c>
      <c r="L57" s="2">
        <v>7.01</v>
      </c>
      <c r="M57" t="s">
        <v>3199</v>
      </c>
      <c r="N57">
        <v>0</v>
      </c>
      <c r="O57">
        <v>0</v>
      </c>
      <c r="P57">
        <v>1</v>
      </c>
      <c r="Q57" t="s">
        <v>3200</v>
      </c>
      <c r="R57" t="s">
        <v>3201</v>
      </c>
      <c r="S57" t="s">
        <v>13</v>
      </c>
    </row>
    <row r="58" spans="1:19" x14ac:dyDescent="0.3">
      <c r="A58" t="s">
        <v>106</v>
      </c>
      <c r="B58" t="s">
        <v>1612</v>
      </c>
      <c r="C58" t="s">
        <v>1654</v>
      </c>
      <c r="D58" t="s">
        <v>3189</v>
      </c>
      <c r="E58" t="s">
        <v>9</v>
      </c>
      <c r="F58" s="2">
        <v>5</v>
      </c>
      <c r="G58" t="s">
        <v>3208</v>
      </c>
      <c r="H58" t="s">
        <v>10</v>
      </c>
      <c r="I58" t="s">
        <v>11</v>
      </c>
      <c r="J58" t="s">
        <v>3198</v>
      </c>
      <c r="K58" t="s">
        <v>23</v>
      </c>
      <c r="L58" s="2">
        <v>31.070900000000002</v>
      </c>
      <c r="M58" t="s">
        <v>3203</v>
      </c>
      <c r="N58">
        <v>4</v>
      </c>
      <c r="O58">
        <v>2</v>
      </c>
      <c r="P58">
        <v>7</v>
      </c>
      <c r="Q58" t="s">
        <v>3204</v>
      </c>
      <c r="R58" t="s">
        <v>3201</v>
      </c>
      <c r="S58" t="s">
        <v>13</v>
      </c>
    </row>
    <row r="59" spans="1:19" x14ac:dyDescent="0.3">
      <c r="A59" t="s">
        <v>106</v>
      </c>
      <c r="B59" t="s">
        <v>1612</v>
      </c>
      <c r="C59" t="s">
        <v>1655</v>
      </c>
      <c r="D59" t="s">
        <v>3189</v>
      </c>
      <c r="E59" t="s">
        <v>9</v>
      </c>
      <c r="F59" s="2">
        <v>9</v>
      </c>
      <c r="G59" t="s">
        <v>3202</v>
      </c>
      <c r="H59" t="s">
        <v>10</v>
      </c>
      <c r="I59" t="s">
        <v>11</v>
      </c>
      <c r="J59" t="s">
        <v>3198</v>
      </c>
      <c r="K59" t="s">
        <v>23</v>
      </c>
      <c r="L59" s="2">
        <v>31.070900000000002</v>
      </c>
      <c r="M59" t="s">
        <v>3203</v>
      </c>
      <c r="N59">
        <v>4</v>
      </c>
      <c r="O59">
        <v>2</v>
      </c>
      <c r="P59">
        <v>7</v>
      </c>
      <c r="Q59" t="s">
        <v>3204</v>
      </c>
      <c r="R59" t="s">
        <v>3201</v>
      </c>
      <c r="S59" t="s">
        <v>13</v>
      </c>
    </row>
    <row r="60" spans="1:19" x14ac:dyDescent="0.3">
      <c r="A60" t="s">
        <v>106</v>
      </c>
      <c r="B60" t="s">
        <v>1612</v>
      </c>
      <c r="C60" t="s">
        <v>1656</v>
      </c>
      <c r="D60" t="s">
        <v>3189</v>
      </c>
      <c r="E60" t="s">
        <v>9</v>
      </c>
      <c r="F60" s="2">
        <v>3</v>
      </c>
      <c r="G60" t="s">
        <v>3208</v>
      </c>
      <c r="H60" t="s">
        <v>10</v>
      </c>
      <c r="I60" t="s">
        <v>11</v>
      </c>
      <c r="J60" t="s">
        <v>3198</v>
      </c>
      <c r="K60" t="s">
        <v>23</v>
      </c>
      <c r="L60" s="2">
        <v>31.070900000000002</v>
      </c>
      <c r="M60" t="s">
        <v>3203</v>
      </c>
      <c r="N60">
        <v>4</v>
      </c>
      <c r="O60">
        <v>2</v>
      </c>
      <c r="P60">
        <v>7</v>
      </c>
      <c r="Q60" t="s">
        <v>3204</v>
      </c>
      <c r="R60" t="s">
        <v>3205</v>
      </c>
      <c r="S60" t="s">
        <v>16</v>
      </c>
    </row>
    <row r="61" spans="1:19" x14ac:dyDescent="0.3">
      <c r="A61" t="s">
        <v>106</v>
      </c>
      <c r="B61" t="s">
        <v>1612</v>
      </c>
      <c r="C61" t="s">
        <v>1657</v>
      </c>
      <c r="D61" t="s">
        <v>3189</v>
      </c>
      <c r="E61" t="s">
        <v>9</v>
      </c>
      <c r="F61" s="2">
        <v>13</v>
      </c>
      <c r="G61" t="s">
        <v>3202</v>
      </c>
      <c r="H61" t="s">
        <v>10</v>
      </c>
      <c r="I61" t="s">
        <v>11</v>
      </c>
      <c r="J61" t="s">
        <v>3198</v>
      </c>
      <c r="K61" t="s">
        <v>23</v>
      </c>
      <c r="L61" s="2">
        <v>31.070900000000002</v>
      </c>
      <c r="M61" t="s">
        <v>3203</v>
      </c>
      <c r="N61">
        <v>4</v>
      </c>
      <c r="O61">
        <v>2</v>
      </c>
      <c r="P61">
        <v>7</v>
      </c>
      <c r="Q61" t="s">
        <v>3204</v>
      </c>
      <c r="R61" t="s">
        <v>3201</v>
      </c>
      <c r="S61" t="s">
        <v>13</v>
      </c>
    </row>
    <row r="62" spans="1:19" x14ac:dyDescent="0.3">
      <c r="A62" t="s">
        <v>106</v>
      </c>
      <c r="B62" t="s">
        <v>1602</v>
      </c>
      <c r="C62" t="s">
        <v>1658</v>
      </c>
      <c r="D62" t="s">
        <v>3190</v>
      </c>
      <c r="E62" t="s">
        <v>14</v>
      </c>
      <c r="F62" s="2">
        <v>5</v>
      </c>
      <c r="G62" t="s">
        <v>3208</v>
      </c>
      <c r="H62" t="s">
        <v>10</v>
      </c>
      <c r="I62" t="s">
        <v>11</v>
      </c>
      <c r="J62" t="s">
        <v>3198</v>
      </c>
      <c r="K62" t="s">
        <v>23</v>
      </c>
      <c r="L62" s="2">
        <v>31.070900000000002</v>
      </c>
      <c r="M62" t="s">
        <v>3203</v>
      </c>
      <c r="N62">
        <v>4</v>
      </c>
      <c r="O62">
        <v>2</v>
      </c>
      <c r="P62">
        <v>7</v>
      </c>
      <c r="Q62" t="s">
        <v>3204</v>
      </c>
      <c r="R62" t="s">
        <v>3205</v>
      </c>
      <c r="S62" t="s">
        <v>16</v>
      </c>
    </row>
    <row r="63" spans="1:19" x14ac:dyDescent="0.3">
      <c r="A63" t="s">
        <v>106</v>
      </c>
      <c r="B63" t="s">
        <v>1596</v>
      </c>
      <c r="C63" t="s">
        <v>1659</v>
      </c>
      <c r="D63" t="s">
        <v>3189</v>
      </c>
      <c r="E63" t="s">
        <v>9</v>
      </c>
      <c r="F63" s="2">
        <v>40</v>
      </c>
      <c r="G63" t="s">
        <v>3197</v>
      </c>
      <c r="H63" t="s">
        <v>10</v>
      </c>
      <c r="I63" t="s">
        <v>11</v>
      </c>
      <c r="J63" t="s">
        <v>3198</v>
      </c>
      <c r="K63" t="s">
        <v>23</v>
      </c>
      <c r="L63" s="2">
        <v>31.070900000000002</v>
      </c>
      <c r="M63" t="s">
        <v>3203</v>
      </c>
      <c r="N63">
        <v>1</v>
      </c>
      <c r="O63">
        <v>5</v>
      </c>
      <c r="P63">
        <v>7</v>
      </c>
      <c r="Q63" t="s">
        <v>3204</v>
      </c>
      <c r="R63" t="s">
        <v>3201</v>
      </c>
      <c r="S63" t="s">
        <v>13</v>
      </c>
    </row>
    <row r="64" spans="1:19" x14ac:dyDescent="0.3">
      <c r="A64" t="s">
        <v>106</v>
      </c>
      <c r="B64" t="s">
        <v>1596</v>
      </c>
      <c r="C64" t="s">
        <v>1660</v>
      </c>
      <c r="D64" t="s">
        <v>3189</v>
      </c>
      <c r="E64" t="s">
        <v>9</v>
      </c>
      <c r="F64" s="2">
        <v>23</v>
      </c>
      <c r="G64" t="s">
        <v>3206</v>
      </c>
      <c r="H64" t="s">
        <v>10</v>
      </c>
      <c r="I64" t="s">
        <v>11</v>
      </c>
      <c r="J64" t="s">
        <v>3198</v>
      </c>
      <c r="K64" t="s">
        <v>23</v>
      </c>
      <c r="L64" s="2">
        <v>7.1510999999999996</v>
      </c>
      <c r="M64" t="s">
        <v>3199</v>
      </c>
      <c r="N64">
        <v>0</v>
      </c>
      <c r="O64">
        <v>0</v>
      </c>
      <c r="P64">
        <v>1</v>
      </c>
      <c r="Q64" t="s">
        <v>3200</v>
      </c>
      <c r="R64" t="s">
        <v>3205</v>
      </c>
      <c r="S64" t="s">
        <v>16</v>
      </c>
    </row>
    <row r="65" spans="1:19" x14ac:dyDescent="0.3">
      <c r="A65" t="s">
        <v>106</v>
      </c>
      <c r="B65" t="s">
        <v>1600</v>
      </c>
      <c r="C65" t="s">
        <v>1661</v>
      </c>
      <c r="D65" t="s">
        <v>3190</v>
      </c>
      <c r="E65" t="s">
        <v>14</v>
      </c>
      <c r="F65" s="2">
        <v>38</v>
      </c>
      <c r="G65" t="s">
        <v>3197</v>
      </c>
      <c r="H65" t="s">
        <v>10</v>
      </c>
      <c r="I65" t="s">
        <v>11</v>
      </c>
      <c r="J65" t="s">
        <v>3198</v>
      </c>
      <c r="K65" t="s">
        <v>23</v>
      </c>
      <c r="L65" s="2">
        <v>31.070900000000002</v>
      </c>
      <c r="M65" t="s">
        <v>3203</v>
      </c>
      <c r="N65">
        <v>1</v>
      </c>
      <c r="O65">
        <v>5</v>
      </c>
      <c r="P65">
        <v>7</v>
      </c>
      <c r="Q65" t="s">
        <v>3204</v>
      </c>
      <c r="R65" t="s">
        <v>3205</v>
      </c>
      <c r="S65" t="s">
        <v>16</v>
      </c>
    </row>
    <row r="66" spans="1:19" x14ac:dyDescent="0.3">
      <c r="A66" t="s">
        <v>107</v>
      </c>
      <c r="B66" t="s">
        <v>1600</v>
      </c>
      <c r="C66" t="s">
        <v>1662</v>
      </c>
      <c r="D66" t="s">
        <v>3190</v>
      </c>
      <c r="E66" t="s">
        <v>14</v>
      </c>
      <c r="F66" s="2">
        <v>45</v>
      </c>
      <c r="G66" t="s">
        <v>3197</v>
      </c>
      <c r="H66" t="s">
        <v>10</v>
      </c>
      <c r="I66" t="s">
        <v>19</v>
      </c>
      <c r="J66" t="s">
        <v>3207</v>
      </c>
      <c r="K66" t="s">
        <v>21</v>
      </c>
      <c r="L66" s="2">
        <v>7.0406000000000004</v>
      </c>
      <c r="M66" t="s">
        <v>3199</v>
      </c>
      <c r="N66">
        <v>0</v>
      </c>
      <c r="O66">
        <v>0</v>
      </c>
      <c r="P66">
        <v>1</v>
      </c>
      <c r="Q66" t="s">
        <v>3200</v>
      </c>
      <c r="R66" t="s">
        <v>3205</v>
      </c>
      <c r="S66" t="s">
        <v>16</v>
      </c>
    </row>
    <row r="67" spans="1:19" x14ac:dyDescent="0.3">
      <c r="A67" t="s">
        <v>108</v>
      </c>
      <c r="B67" t="s">
        <v>1596</v>
      </c>
      <c r="C67" t="s">
        <v>1663</v>
      </c>
      <c r="D67" t="s">
        <v>3189</v>
      </c>
      <c r="E67" t="s">
        <v>9</v>
      </c>
      <c r="F67" s="2">
        <v>23</v>
      </c>
      <c r="G67" t="s">
        <v>3206</v>
      </c>
      <c r="H67" t="s">
        <v>10</v>
      </c>
      <c r="I67" t="s">
        <v>11</v>
      </c>
      <c r="J67" t="s">
        <v>3198</v>
      </c>
      <c r="K67" t="s">
        <v>24</v>
      </c>
      <c r="L67" s="2">
        <v>7.01</v>
      </c>
      <c r="M67" t="s">
        <v>3199</v>
      </c>
      <c r="N67">
        <v>0</v>
      </c>
      <c r="O67">
        <v>0</v>
      </c>
      <c r="P67">
        <v>1</v>
      </c>
      <c r="Q67" t="s">
        <v>3200</v>
      </c>
      <c r="R67" t="s">
        <v>3201</v>
      </c>
      <c r="S67" t="s">
        <v>13</v>
      </c>
    </row>
    <row r="68" spans="1:19" x14ac:dyDescent="0.3">
      <c r="A68" t="s">
        <v>109</v>
      </c>
      <c r="B68" t="s">
        <v>1664</v>
      </c>
      <c r="C68" t="s">
        <v>1665</v>
      </c>
      <c r="D68" t="s">
        <v>3189</v>
      </c>
      <c r="E68" t="s">
        <v>9</v>
      </c>
      <c r="F68" s="2">
        <v>47</v>
      </c>
      <c r="G68" t="s">
        <v>3197</v>
      </c>
      <c r="H68" t="s">
        <v>25</v>
      </c>
      <c r="I68" t="s">
        <v>19</v>
      </c>
      <c r="J68" t="s">
        <v>3207</v>
      </c>
      <c r="K68" t="s">
        <v>12</v>
      </c>
      <c r="L68" s="2">
        <v>247.10059999999999</v>
      </c>
      <c r="M68" t="s">
        <v>3209</v>
      </c>
      <c r="N68">
        <v>1</v>
      </c>
      <c r="O68">
        <v>0</v>
      </c>
      <c r="P68">
        <v>2</v>
      </c>
      <c r="Q68" t="s">
        <v>3204</v>
      </c>
      <c r="R68" t="s">
        <v>3201</v>
      </c>
      <c r="S68" t="s">
        <v>13</v>
      </c>
    </row>
    <row r="69" spans="1:19" x14ac:dyDescent="0.3">
      <c r="A69" t="s">
        <v>109</v>
      </c>
      <c r="B69" t="s">
        <v>1600</v>
      </c>
      <c r="C69" t="s">
        <v>1666</v>
      </c>
      <c r="D69" t="s">
        <v>3190</v>
      </c>
      <c r="E69" t="s">
        <v>14</v>
      </c>
      <c r="F69" s="2">
        <v>18</v>
      </c>
      <c r="G69" t="s">
        <v>3206</v>
      </c>
      <c r="H69" t="s">
        <v>25</v>
      </c>
      <c r="I69" t="s">
        <v>19</v>
      </c>
      <c r="J69" t="s">
        <v>3207</v>
      </c>
      <c r="K69" t="s">
        <v>12</v>
      </c>
      <c r="L69" s="2">
        <v>247.10059999999999</v>
      </c>
      <c r="M69" t="s">
        <v>3209</v>
      </c>
      <c r="N69">
        <v>1</v>
      </c>
      <c r="O69">
        <v>0</v>
      </c>
      <c r="P69">
        <v>2</v>
      </c>
      <c r="Q69" t="s">
        <v>3204</v>
      </c>
      <c r="R69" t="s">
        <v>3205</v>
      </c>
      <c r="S69" t="s">
        <v>16</v>
      </c>
    </row>
    <row r="70" spans="1:19" x14ac:dyDescent="0.3">
      <c r="A70" t="s">
        <v>110</v>
      </c>
      <c r="B70" t="s">
        <v>1602</v>
      </c>
      <c r="C70" t="s">
        <v>1667</v>
      </c>
      <c r="D70" t="s">
        <v>3190</v>
      </c>
      <c r="E70" t="s">
        <v>14</v>
      </c>
      <c r="F70" s="2">
        <v>17</v>
      </c>
      <c r="G70" t="s">
        <v>3202</v>
      </c>
      <c r="H70" t="s">
        <v>10</v>
      </c>
      <c r="I70" t="s">
        <v>19</v>
      </c>
      <c r="J70" t="s">
        <v>3207</v>
      </c>
      <c r="K70" t="s">
        <v>21</v>
      </c>
      <c r="L70" s="2">
        <v>14.090199999999999</v>
      </c>
      <c r="M70" t="s">
        <v>3199</v>
      </c>
      <c r="N70">
        <v>0</v>
      </c>
      <c r="O70">
        <v>0</v>
      </c>
      <c r="P70">
        <v>1</v>
      </c>
      <c r="Q70" t="s">
        <v>3200</v>
      </c>
      <c r="R70" t="s">
        <v>3201</v>
      </c>
      <c r="S70" t="s">
        <v>13</v>
      </c>
    </row>
    <row r="71" spans="1:19" x14ac:dyDescent="0.3">
      <c r="A71" t="s">
        <v>111</v>
      </c>
      <c r="B71" t="s">
        <v>1596</v>
      </c>
      <c r="C71" t="s">
        <v>1668</v>
      </c>
      <c r="D71" t="s">
        <v>3189</v>
      </c>
      <c r="E71" t="s">
        <v>9</v>
      </c>
      <c r="F71" s="2">
        <v>27</v>
      </c>
      <c r="G71" t="s">
        <v>3206</v>
      </c>
      <c r="H71" t="s">
        <v>10</v>
      </c>
      <c r="I71" t="s">
        <v>19</v>
      </c>
      <c r="J71" t="s">
        <v>3207</v>
      </c>
      <c r="K71" t="s">
        <v>26</v>
      </c>
      <c r="L71" s="2">
        <v>7.0406000000000004</v>
      </c>
      <c r="M71" t="s">
        <v>3199</v>
      </c>
      <c r="N71">
        <v>0</v>
      </c>
      <c r="O71">
        <v>0</v>
      </c>
      <c r="P71">
        <v>1</v>
      </c>
      <c r="Q71" t="s">
        <v>3200</v>
      </c>
      <c r="R71" t="s">
        <v>3201</v>
      </c>
      <c r="S71" t="s">
        <v>13</v>
      </c>
    </row>
    <row r="72" spans="1:19" x14ac:dyDescent="0.3">
      <c r="A72" t="s">
        <v>112</v>
      </c>
      <c r="B72" t="s">
        <v>1669</v>
      </c>
      <c r="C72" t="s">
        <v>1670</v>
      </c>
      <c r="D72" t="s">
        <v>3190</v>
      </c>
      <c r="E72" t="s">
        <v>14</v>
      </c>
      <c r="F72" s="2">
        <v>24</v>
      </c>
      <c r="G72" t="s">
        <v>3206</v>
      </c>
      <c r="H72" t="s">
        <v>25</v>
      </c>
      <c r="I72" t="s">
        <v>19</v>
      </c>
      <c r="J72" t="s">
        <v>3207</v>
      </c>
      <c r="K72" t="s">
        <v>20</v>
      </c>
      <c r="L72" s="2">
        <v>69.06</v>
      </c>
      <c r="M72" t="s">
        <v>3211</v>
      </c>
      <c r="N72">
        <v>0</v>
      </c>
      <c r="O72">
        <v>0</v>
      </c>
      <c r="P72">
        <v>1</v>
      </c>
      <c r="Q72" t="s">
        <v>3200</v>
      </c>
      <c r="R72" t="s">
        <v>3205</v>
      </c>
      <c r="S72" t="s">
        <v>16</v>
      </c>
    </row>
    <row r="73" spans="1:19" x14ac:dyDescent="0.3">
      <c r="A73" t="s">
        <v>113</v>
      </c>
      <c r="B73" t="s">
        <v>1596</v>
      </c>
      <c r="C73" t="s">
        <v>1671</v>
      </c>
      <c r="D73" t="s">
        <v>3189</v>
      </c>
      <c r="E73" t="s">
        <v>9</v>
      </c>
      <c r="F73" s="2">
        <v>23</v>
      </c>
      <c r="G73" t="s">
        <v>3206</v>
      </c>
      <c r="H73" t="s">
        <v>10</v>
      </c>
      <c r="I73" t="s">
        <v>11</v>
      </c>
      <c r="J73" t="s">
        <v>3198</v>
      </c>
      <c r="K73" t="s">
        <v>23</v>
      </c>
      <c r="L73" s="2">
        <v>7.1700999999999997</v>
      </c>
      <c r="M73" t="s">
        <v>3199</v>
      </c>
      <c r="N73">
        <v>0</v>
      </c>
      <c r="O73">
        <v>0</v>
      </c>
      <c r="P73">
        <v>1</v>
      </c>
      <c r="Q73" t="s">
        <v>3200</v>
      </c>
      <c r="R73" t="s">
        <v>3201</v>
      </c>
      <c r="S73" t="s">
        <v>13</v>
      </c>
    </row>
    <row r="74" spans="1:19" x14ac:dyDescent="0.3">
      <c r="A74" t="s">
        <v>114</v>
      </c>
      <c r="B74" t="s">
        <v>1602</v>
      </c>
      <c r="C74" t="s">
        <v>1672</v>
      </c>
      <c r="D74" t="s">
        <v>3190</v>
      </c>
      <c r="E74" t="s">
        <v>14</v>
      </c>
      <c r="F74" s="2">
        <v>15</v>
      </c>
      <c r="G74" t="s">
        <v>3202</v>
      </c>
      <c r="H74" t="s">
        <v>10</v>
      </c>
      <c r="I74" t="s">
        <v>19</v>
      </c>
      <c r="J74" t="s">
        <v>3207</v>
      </c>
      <c r="K74" t="s">
        <v>21</v>
      </c>
      <c r="L74" s="2">
        <v>7.0407000000000002</v>
      </c>
      <c r="M74" t="s">
        <v>3199</v>
      </c>
      <c r="N74">
        <v>0</v>
      </c>
      <c r="O74">
        <v>0</v>
      </c>
      <c r="P74">
        <v>1</v>
      </c>
      <c r="Q74" t="s">
        <v>3200</v>
      </c>
      <c r="R74" t="s">
        <v>3205</v>
      </c>
      <c r="S74" t="s">
        <v>16</v>
      </c>
    </row>
    <row r="75" spans="1:19" x14ac:dyDescent="0.3">
      <c r="A75" t="s">
        <v>115</v>
      </c>
      <c r="B75" t="s">
        <v>1596</v>
      </c>
      <c r="C75" t="s">
        <v>1673</v>
      </c>
      <c r="D75" t="s">
        <v>3189</v>
      </c>
      <c r="E75" t="s">
        <v>9</v>
      </c>
      <c r="F75" s="2">
        <v>32</v>
      </c>
      <c r="G75" t="s">
        <v>3206</v>
      </c>
      <c r="H75" t="s">
        <v>10</v>
      </c>
      <c r="I75" t="s">
        <v>11</v>
      </c>
      <c r="J75" t="s">
        <v>3198</v>
      </c>
      <c r="K75" t="s">
        <v>22</v>
      </c>
      <c r="L75" s="2">
        <v>15.17</v>
      </c>
      <c r="M75" t="s">
        <v>3203</v>
      </c>
      <c r="N75">
        <v>1</v>
      </c>
      <c r="O75">
        <v>0</v>
      </c>
      <c r="P75">
        <v>2</v>
      </c>
      <c r="Q75" t="s">
        <v>3204</v>
      </c>
      <c r="R75" t="s">
        <v>3201</v>
      </c>
      <c r="S75" t="s">
        <v>13</v>
      </c>
    </row>
    <row r="76" spans="1:19" x14ac:dyDescent="0.3">
      <c r="A76" t="s">
        <v>115</v>
      </c>
      <c r="B76" t="s">
        <v>1600</v>
      </c>
      <c r="C76" t="s">
        <v>1674</v>
      </c>
      <c r="D76" t="s">
        <v>3190</v>
      </c>
      <c r="E76" t="s">
        <v>14</v>
      </c>
      <c r="F76" s="2">
        <v>33</v>
      </c>
      <c r="G76" t="s">
        <v>3206</v>
      </c>
      <c r="H76" t="s">
        <v>10</v>
      </c>
      <c r="I76" t="s">
        <v>11</v>
      </c>
      <c r="J76" t="s">
        <v>3198</v>
      </c>
      <c r="K76" t="s">
        <v>22</v>
      </c>
      <c r="L76" s="2">
        <v>15.17</v>
      </c>
      <c r="M76" t="s">
        <v>3203</v>
      </c>
      <c r="N76">
        <v>3</v>
      </c>
      <c r="O76">
        <v>0</v>
      </c>
      <c r="P76">
        <v>4</v>
      </c>
      <c r="Q76" t="s">
        <v>3204</v>
      </c>
      <c r="R76" t="s">
        <v>3205</v>
      </c>
      <c r="S76" t="s">
        <v>16</v>
      </c>
    </row>
    <row r="77" spans="1:19" x14ac:dyDescent="0.3">
      <c r="A77" t="s">
        <v>116</v>
      </c>
      <c r="B77" t="s">
        <v>1602</v>
      </c>
      <c r="C77" t="s">
        <v>1675</v>
      </c>
      <c r="D77" t="s">
        <v>3190</v>
      </c>
      <c r="E77" t="s">
        <v>14</v>
      </c>
      <c r="F77" s="2">
        <v>3</v>
      </c>
      <c r="G77" t="s">
        <v>3208</v>
      </c>
      <c r="H77" t="s">
        <v>10</v>
      </c>
      <c r="I77" t="s">
        <v>19</v>
      </c>
      <c r="J77" t="s">
        <v>3207</v>
      </c>
      <c r="K77" t="s">
        <v>21</v>
      </c>
      <c r="L77" s="2">
        <v>19.0502</v>
      </c>
      <c r="M77" t="s">
        <v>3203</v>
      </c>
      <c r="N77">
        <v>2</v>
      </c>
      <c r="O77">
        <v>1</v>
      </c>
      <c r="P77">
        <v>4</v>
      </c>
      <c r="Q77" t="s">
        <v>3204</v>
      </c>
      <c r="R77" t="s">
        <v>3205</v>
      </c>
      <c r="S77" t="s">
        <v>16</v>
      </c>
    </row>
    <row r="78" spans="1:19" x14ac:dyDescent="0.3">
      <c r="A78" t="s">
        <v>116</v>
      </c>
      <c r="B78" t="s">
        <v>1602</v>
      </c>
      <c r="C78" t="s">
        <v>1676</v>
      </c>
      <c r="D78" t="s">
        <v>3190</v>
      </c>
      <c r="E78" t="s">
        <v>14</v>
      </c>
      <c r="F78" s="2">
        <v>0.75</v>
      </c>
      <c r="G78" t="s">
        <v>3208</v>
      </c>
      <c r="H78" t="s">
        <v>10</v>
      </c>
      <c r="I78" t="s">
        <v>19</v>
      </c>
      <c r="J78" t="s">
        <v>3207</v>
      </c>
      <c r="K78" t="s">
        <v>21</v>
      </c>
      <c r="L78" s="2">
        <v>19.0502</v>
      </c>
      <c r="M78" t="s">
        <v>3203</v>
      </c>
      <c r="N78">
        <v>2</v>
      </c>
      <c r="O78">
        <v>1</v>
      </c>
      <c r="P78">
        <v>4</v>
      </c>
      <c r="Q78" t="s">
        <v>3204</v>
      </c>
      <c r="R78" t="s">
        <v>3205</v>
      </c>
      <c r="S78" t="s">
        <v>16</v>
      </c>
    </row>
    <row r="79" spans="1:19" x14ac:dyDescent="0.3">
      <c r="A79" t="s">
        <v>116</v>
      </c>
      <c r="B79" t="s">
        <v>1602</v>
      </c>
      <c r="C79" t="s">
        <v>1677</v>
      </c>
      <c r="D79" t="s">
        <v>3190</v>
      </c>
      <c r="E79" t="s">
        <v>14</v>
      </c>
      <c r="F79" s="2">
        <v>5</v>
      </c>
      <c r="G79" t="s">
        <v>3208</v>
      </c>
      <c r="H79" t="s">
        <v>10</v>
      </c>
      <c r="I79" t="s">
        <v>19</v>
      </c>
      <c r="J79" t="s">
        <v>3207</v>
      </c>
      <c r="K79" t="s">
        <v>21</v>
      </c>
      <c r="L79" s="2">
        <v>19.0502</v>
      </c>
      <c r="M79" t="s">
        <v>3203</v>
      </c>
      <c r="N79">
        <v>2</v>
      </c>
      <c r="O79">
        <v>1</v>
      </c>
      <c r="P79">
        <v>4</v>
      </c>
      <c r="Q79" t="s">
        <v>3204</v>
      </c>
      <c r="R79" t="s">
        <v>3205</v>
      </c>
      <c r="S79" t="s">
        <v>16</v>
      </c>
    </row>
    <row r="80" spans="1:19" x14ac:dyDescent="0.3">
      <c r="A80" t="s">
        <v>116</v>
      </c>
      <c r="B80" t="s">
        <v>1600</v>
      </c>
      <c r="C80" t="s">
        <v>1678</v>
      </c>
      <c r="D80" t="s">
        <v>3190</v>
      </c>
      <c r="E80" t="s">
        <v>14</v>
      </c>
      <c r="F80" s="2">
        <v>23</v>
      </c>
      <c r="G80" t="s">
        <v>3206</v>
      </c>
      <c r="H80" t="s">
        <v>10</v>
      </c>
      <c r="I80" t="s">
        <v>19</v>
      </c>
      <c r="J80" t="s">
        <v>3207</v>
      </c>
      <c r="K80" t="s">
        <v>21</v>
      </c>
      <c r="L80" s="2">
        <v>19.0502</v>
      </c>
      <c r="M80" t="s">
        <v>3203</v>
      </c>
      <c r="N80">
        <v>0</v>
      </c>
      <c r="O80">
        <v>3</v>
      </c>
      <c r="P80">
        <v>4</v>
      </c>
      <c r="Q80" t="s">
        <v>3204</v>
      </c>
      <c r="R80" t="s">
        <v>3205</v>
      </c>
      <c r="S80" t="s">
        <v>16</v>
      </c>
    </row>
    <row r="81" spans="1:19" x14ac:dyDescent="0.3">
      <c r="A81" t="s">
        <v>117</v>
      </c>
      <c r="B81" t="s">
        <v>1602</v>
      </c>
      <c r="C81" t="s">
        <v>1679</v>
      </c>
      <c r="D81" t="s">
        <v>3190</v>
      </c>
      <c r="E81" t="s">
        <v>14</v>
      </c>
      <c r="F81" s="2">
        <v>18</v>
      </c>
      <c r="G81" t="s">
        <v>3206</v>
      </c>
      <c r="H81" t="s">
        <v>10</v>
      </c>
      <c r="I81" t="s">
        <v>11</v>
      </c>
      <c r="J81" t="s">
        <v>3198</v>
      </c>
      <c r="K81" t="s">
        <v>15</v>
      </c>
      <c r="L81" s="2">
        <v>8.01</v>
      </c>
      <c r="M81" t="s">
        <v>3199</v>
      </c>
      <c r="N81">
        <v>0</v>
      </c>
      <c r="O81">
        <v>0</v>
      </c>
      <c r="P81">
        <v>1</v>
      </c>
      <c r="Q81" t="s">
        <v>3200</v>
      </c>
      <c r="R81" t="s">
        <v>3205</v>
      </c>
      <c r="S81" t="s">
        <v>16</v>
      </c>
    </row>
    <row r="82" spans="1:19" x14ac:dyDescent="0.3">
      <c r="A82" t="s">
        <v>118</v>
      </c>
      <c r="B82" t="s">
        <v>1596</v>
      </c>
      <c r="C82" t="s">
        <v>1680</v>
      </c>
      <c r="D82" t="s">
        <v>3189</v>
      </c>
      <c r="E82" t="s">
        <v>9</v>
      </c>
      <c r="F82" s="2">
        <v>40</v>
      </c>
      <c r="G82" t="s">
        <v>3197</v>
      </c>
      <c r="H82" t="s">
        <v>10</v>
      </c>
      <c r="I82" t="s">
        <v>19</v>
      </c>
      <c r="J82" t="s">
        <v>3207</v>
      </c>
      <c r="K82" t="s">
        <v>21</v>
      </c>
      <c r="L82" s="2">
        <v>7.0406000000000004</v>
      </c>
      <c r="M82" t="s">
        <v>3199</v>
      </c>
      <c r="N82">
        <v>0</v>
      </c>
      <c r="O82">
        <v>0</v>
      </c>
      <c r="P82">
        <v>1</v>
      </c>
      <c r="Q82" t="s">
        <v>3200</v>
      </c>
      <c r="R82" t="s">
        <v>3201</v>
      </c>
      <c r="S82" t="s">
        <v>13</v>
      </c>
    </row>
    <row r="83" spans="1:19" x14ac:dyDescent="0.3">
      <c r="A83" t="s">
        <v>119</v>
      </c>
      <c r="B83" t="s">
        <v>1596</v>
      </c>
      <c r="C83" t="s">
        <v>1681</v>
      </c>
      <c r="D83" t="s">
        <v>3189</v>
      </c>
      <c r="E83" t="s">
        <v>9</v>
      </c>
      <c r="F83" s="2">
        <v>18</v>
      </c>
      <c r="G83" t="s">
        <v>3206</v>
      </c>
      <c r="H83" t="s">
        <v>18</v>
      </c>
      <c r="I83" t="s">
        <v>11</v>
      </c>
      <c r="J83" t="s">
        <v>3198</v>
      </c>
      <c r="K83" t="s">
        <v>15</v>
      </c>
      <c r="L83" s="2">
        <v>11.1</v>
      </c>
      <c r="M83" t="s">
        <v>3199</v>
      </c>
      <c r="N83">
        <v>0</v>
      </c>
      <c r="O83">
        <v>0</v>
      </c>
      <c r="P83">
        <v>1</v>
      </c>
      <c r="Q83" t="s">
        <v>3200</v>
      </c>
      <c r="R83" t="s">
        <v>3201</v>
      </c>
      <c r="S83" t="s">
        <v>13</v>
      </c>
    </row>
    <row r="84" spans="1:19" x14ac:dyDescent="0.3">
      <c r="A84" t="s">
        <v>120</v>
      </c>
      <c r="B84" t="s">
        <v>1596</v>
      </c>
      <c r="C84" t="s">
        <v>1682</v>
      </c>
      <c r="D84" t="s">
        <v>3189</v>
      </c>
      <c r="E84" t="s">
        <v>9</v>
      </c>
      <c r="F84" s="2">
        <v>22</v>
      </c>
      <c r="G84" t="s">
        <v>3206</v>
      </c>
      <c r="H84" t="s">
        <v>18</v>
      </c>
      <c r="I84" t="s">
        <v>11</v>
      </c>
      <c r="J84" t="s">
        <v>3198</v>
      </c>
      <c r="K84" t="s">
        <v>33</v>
      </c>
      <c r="L84" s="2">
        <v>10.1</v>
      </c>
      <c r="M84" t="s">
        <v>3199</v>
      </c>
      <c r="N84">
        <v>0</v>
      </c>
      <c r="O84">
        <v>0</v>
      </c>
      <c r="P84">
        <v>1</v>
      </c>
      <c r="Q84" t="s">
        <v>3200</v>
      </c>
      <c r="R84" t="s">
        <v>3201</v>
      </c>
      <c r="S84" t="s">
        <v>13</v>
      </c>
    </row>
    <row r="85" spans="1:19" x14ac:dyDescent="0.3">
      <c r="A85" t="s">
        <v>121</v>
      </c>
      <c r="B85" t="s">
        <v>1596</v>
      </c>
      <c r="C85" t="s">
        <v>1683</v>
      </c>
      <c r="D85" t="s">
        <v>3189</v>
      </c>
      <c r="E85" t="s">
        <v>9</v>
      </c>
      <c r="F85" s="2">
        <v>26</v>
      </c>
      <c r="G85" t="s">
        <v>3206</v>
      </c>
      <c r="H85" t="s">
        <v>10</v>
      </c>
      <c r="I85" t="s">
        <v>11</v>
      </c>
      <c r="J85" t="s">
        <v>3198</v>
      </c>
      <c r="K85" t="s">
        <v>34</v>
      </c>
      <c r="L85" s="2">
        <v>7.1711</v>
      </c>
      <c r="M85" t="s">
        <v>3199</v>
      </c>
      <c r="N85">
        <v>0</v>
      </c>
      <c r="O85">
        <v>0</v>
      </c>
      <c r="P85">
        <v>1</v>
      </c>
      <c r="Q85" t="s">
        <v>3200</v>
      </c>
      <c r="R85" t="s">
        <v>3201</v>
      </c>
      <c r="S85" t="s">
        <v>13</v>
      </c>
    </row>
    <row r="86" spans="1:19" x14ac:dyDescent="0.3">
      <c r="A86" t="s">
        <v>122</v>
      </c>
      <c r="B86" t="s">
        <v>1600</v>
      </c>
      <c r="C86" t="s">
        <v>1684</v>
      </c>
      <c r="D86" t="s">
        <v>3190</v>
      </c>
      <c r="E86" t="s">
        <v>14</v>
      </c>
      <c r="F86" s="2">
        <v>36</v>
      </c>
      <c r="G86" t="s">
        <v>3197</v>
      </c>
      <c r="H86" t="s">
        <v>18</v>
      </c>
      <c r="I86" t="s">
        <v>11</v>
      </c>
      <c r="J86" t="s">
        <v>3198</v>
      </c>
      <c r="K86" t="s">
        <v>15</v>
      </c>
      <c r="L86" s="2">
        <v>13</v>
      </c>
      <c r="M86" t="s">
        <v>3199</v>
      </c>
      <c r="N86">
        <v>0</v>
      </c>
      <c r="O86">
        <v>0</v>
      </c>
      <c r="P86">
        <v>1</v>
      </c>
      <c r="Q86" t="s">
        <v>3200</v>
      </c>
      <c r="R86" t="s">
        <v>3205</v>
      </c>
      <c r="S86" t="s">
        <v>16</v>
      </c>
    </row>
    <row r="87" spans="1:19" x14ac:dyDescent="0.3">
      <c r="A87" t="s">
        <v>123</v>
      </c>
      <c r="B87" t="s">
        <v>1596</v>
      </c>
      <c r="C87" t="s">
        <v>1685</v>
      </c>
      <c r="D87" t="s">
        <v>3189</v>
      </c>
      <c r="E87" t="s">
        <v>9</v>
      </c>
      <c r="F87" s="2">
        <v>28</v>
      </c>
      <c r="G87" t="s">
        <v>3206</v>
      </c>
      <c r="H87" t="s">
        <v>18</v>
      </c>
      <c r="I87" t="s">
        <v>11</v>
      </c>
      <c r="J87" t="s">
        <v>3198</v>
      </c>
      <c r="K87" t="s">
        <v>15</v>
      </c>
      <c r="L87" s="2">
        <v>10.1</v>
      </c>
      <c r="M87" t="s">
        <v>3199</v>
      </c>
      <c r="N87">
        <v>0</v>
      </c>
      <c r="O87">
        <v>0</v>
      </c>
      <c r="P87">
        <v>1</v>
      </c>
      <c r="Q87" t="s">
        <v>3200</v>
      </c>
      <c r="R87" t="s">
        <v>3201</v>
      </c>
      <c r="S87" t="s">
        <v>13</v>
      </c>
    </row>
    <row r="88" spans="1:19" x14ac:dyDescent="0.3">
      <c r="A88" t="s">
        <v>124</v>
      </c>
      <c r="B88" t="s">
        <v>1600</v>
      </c>
      <c r="C88" t="s">
        <v>1686</v>
      </c>
      <c r="D88" t="s">
        <v>3190</v>
      </c>
      <c r="E88" t="s">
        <v>14</v>
      </c>
      <c r="F88" s="2">
        <v>31</v>
      </c>
      <c r="G88" t="s">
        <v>3206</v>
      </c>
      <c r="H88" t="s">
        <v>10</v>
      </c>
      <c r="I88" t="s">
        <v>11</v>
      </c>
      <c r="J88" t="s">
        <v>3198</v>
      </c>
      <c r="K88" t="s">
        <v>35</v>
      </c>
      <c r="L88" s="2">
        <v>8.1308000000000007</v>
      </c>
      <c r="M88" t="s">
        <v>3199</v>
      </c>
      <c r="N88">
        <v>0</v>
      </c>
      <c r="O88">
        <v>0</v>
      </c>
      <c r="P88">
        <v>1</v>
      </c>
      <c r="Q88" t="s">
        <v>3200</v>
      </c>
      <c r="R88" t="s">
        <v>3205</v>
      </c>
      <c r="S88" t="s">
        <v>16</v>
      </c>
    </row>
    <row r="89" spans="1:19" x14ac:dyDescent="0.3">
      <c r="A89" t="s">
        <v>125</v>
      </c>
      <c r="B89" t="s">
        <v>1602</v>
      </c>
      <c r="C89" t="s">
        <v>1687</v>
      </c>
      <c r="D89" t="s">
        <v>3190</v>
      </c>
      <c r="E89" t="s">
        <v>14</v>
      </c>
      <c r="F89" s="2">
        <v>18</v>
      </c>
      <c r="G89" t="s">
        <v>3206</v>
      </c>
      <c r="H89" t="s">
        <v>10</v>
      </c>
      <c r="I89" t="s">
        <v>19</v>
      </c>
      <c r="J89" t="s">
        <v>3207</v>
      </c>
      <c r="K89" t="s">
        <v>21</v>
      </c>
      <c r="L89" s="2">
        <v>14.0901</v>
      </c>
      <c r="M89" t="s">
        <v>3199</v>
      </c>
      <c r="N89">
        <v>0</v>
      </c>
      <c r="O89">
        <v>1</v>
      </c>
      <c r="P89">
        <v>2</v>
      </c>
      <c r="Q89" t="s">
        <v>3204</v>
      </c>
      <c r="R89" t="s">
        <v>3201</v>
      </c>
      <c r="S89" t="s">
        <v>13</v>
      </c>
    </row>
    <row r="90" spans="1:19" x14ac:dyDescent="0.3">
      <c r="A90" t="s">
        <v>125</v>
      </c>
      <c r="B90" t="s">
        <v>1600</v>
      </c>
      <c r="C90" t="s">
        <v>1688</v>
      </c>
      <c r="D90" t="s">
        <v>3190</v>
      </c>
      <c r="E90" t="s">
        <v>14</v>
      </c>
      <c r="F90" s="2">
        <v>45</v>
      </c>
      <c r="G90" t="s">
        <v>3197</v>
      </c>
      <c r="H90" t="s">
        <v>10</v>
      </c>
      <c r="I90" t="s">
        <v>19</v>
      </c>
      <c r="J90" t="s">
        <v>3207</v>
      </c>
      <c r="K90" t="s">
        <v>21</v>
      </c>
      <c r="L90" s="2">
        <v>14.0901</v>
      </c>
      <c r="M90" t="s">
        <v>3199</v>
      </c>
      <c r="N90">
        <v>0</v>
      </c>
      <c r="O90">
        <v>1</v>
      </c>
      <c r="P90">
        <v>2</v>
      </c>
      <c r="Q90" t="s">
        <v>3204</v>
      </c>
      <c r="R90" t="s">
        <v>3201</v>
      </c>
      <c r="S90" t="s">
        <v>13</v>
      </c>
    </row>
    <row r="91" spans="1:19" x14ac:dyDescent="0.3">
      <c r="A91" t="s">
        <v>126</v>
      </c>
      <c r="B91" t="s">
        <v>1602</v>
      </c>
      <c r="C91" t="s">
        <v>1689</v>
      </c>
      <c r="D91" t="s">
        <v>3190</v>
      </c>
      <c r="E91" t="s">
        <v>14</v>
      </c>
      <c r="F91" s="2">
        <v>27</v>
      </c>
      <c r="G91" t="s">
        <v>3206</v>
      </c>
      <c r="H91" t="s">
        <v>25</v>
      </c>
      <c r="I91" t="s">
        <v>11</v>
      </c>
      <c r="J91" t="s">
        <v>3198</v>
      </c>
      <c r="K91" t="s">
        <v>15</v>
      </c>
      <c r="L91" s="2">
        <v>78.17</v>
      </c>
      <c r="M91" t="s">
        <v>3211</v>
      </c>
      <c r="N91">
        <v>0</v>
      </c>
      <c r="O91">
        <v>0</v>
      </c>
      <c r="P91">
        <v>1</v>
      </c>
      <c r="Q91" t="s">
        <v>3200</v>
      </c>
      <c r="R91" t="s">
        <v>3205</v>
      </c>
      <c r="S91" t="s">
        <v>16</v>
      </c>
    </row>
    <row r="92" spans="1:19" x14ac:dyDescent="0.3">
      <c r="A92" t="s">
        <v>127</v>
      </c>
      <c r="B92" t="s">
        <v>1596</v>
      </c>
      <c r="C92" t="s">
        <v>1690</v>
      </c>
      <c r="D92" t="s">
        <v>3189</v>
      </c>
      <c r="E92" t="s">
        <v>9</v>
      </c>
      <c r="F92" s="2">
        <v>47</v>
      </c>
      <c r="G92" t="s">
        <v>3197</v>
      </c>
      <c r="H92" t="s">
        <v>25</v>
      </c>
      <c r="I92" t="s">
        <v>11</v>
      </c>
      <c r="J92" t="s">
        <v>3198</v>
      </c>
      <c r="K92" t="s">
        <v>15</v>
      </c>
      <c r="L92" s="2">
        <v>30</v>
      </c>
      <c r="M92" t="s">
        <v>3203</v>
      </c>
      <c r="N92">
        <v>0</v>
      </c>
      <c r="O92">
        <v>0</v>
      </c>
      <c r="P92">
        <v>1</v>
      </c>
      <c r="Q92" t="s">
        <v>3200</v>
      </c>
      <c r="R92" t="s">
        <v>3205</v>
      </c>
      <c r="S92" t="s">
        <v>16</v>
      </c>
    </row>
    <row r="93" spans="1:19" x14ac:dyDescent="0.3">
      <c r="A93" t="s">
        <v>128</v>
      </c>
      <c r="B93" t="s">
        <v>1602</v>
      </c>
      <c r="C93" t="s">
        <v>1691</v>
      </c>
      <c r="D93" t="s">
        <v>3190</v>
      </c>
      <c r="E93" t="s">
        <v>14</v>
      </c>
      <c r="F93" s="2">
        <v>30</v>
      </c>
      <c r="G93" t="s">
        <v>3206</v>
      </c>
      <c r="H93" t="s">
        <v>10</v>
      </c>
      <c r="I93" t="s">
        <v>36</v>
      </c>
      <c r="J93" t="s">
        <v>3213</v>
      </c>
      <c r="K93" t="s">
        <v>37</v>
      </c>
      <c r="L93" s="2">
        <v>7.1707000000000001</v>
      </c>
      <c r="M93" t="s">
        <v>3199</v>
      </c>
      <c r="N93">
        <v>0</v>
      </c>
      <c r="O93">
        <v>0</v>
      </c>
      <c r="P93">
        <v>1</v>
      </c>
      <c r="Q93" t="s">
        <v>3200</v>
      </c>
      <c r="R93" t="s">
        <v>3201</v>
      </c>
      <c r="S93" t="s">
        <v>13</v>
      </c>
    </row>
    <row r="94" spans="1:19" x14ac:dyDescent="0.3">
      <c r="A94" t="s">
        <v>129</v>
      </c>
      <c r="B94" t="s">
        <v>1596</v>
      </c>
      <c r="C94" t="s">
        <v>1692</v>
      </c>
      <c r="D94" t="s">
        <v>3189</v>
      </c>
      <c r="E94" t="s">
        <v>9</v>
      </c>
      <c r="F94" s="2">
        <v>22</v>
      </c>
      <c r="G94" t="s">
        <v>3206</v>
      </c>
      <c r="H94" t="s">
        <v>10</v>
      </c>
      <c r="I94" t="s">
        <v>11</v>
      </c>
      <c r="J94" t="s">
        <v>3198</v>
      </c>
      <c r="K94" t="s">
        <v>15</v>
      </c>
      <c r="L94" s="2">
        <v>8.01</v>
      </c>
      <c r="M94" t="s">
        <v>3199</v>
      </c>
      <c r="N94">
        <v>0</v>
      </c>
      <c r="O94">
        <v>0</v>
      </c>
      <c r="P94">
        <v>1</v>
      </c>
      <c r="Q94" t="s">
        <v>3200</v>
      </c>
      <c r="R94" t="s">
        <v>3201</v>
      </c>
      <c r="S94" t="s">
        <v>13</v>
      </c>
    </row>
    <row r="95" spans="1:19" x14ac:dyDescent="0.3">
      <c r="A95" t="s">
        <v>130</v>
      </c>
      <c r="B95" t="s">
        <v>1600</v>
      </c>
      <c r="C95" t="s">
        <v>1693</v>
      </c>
      <c r="D95" t="s">
        <v>3190</v>
      </c>
      <c r="E95" t="s">
        <v>14</v>
      </c>
      <c r="F95" s="2">
        <v>32</v>
      </c>
      <c r="G95" t="s">
        <v>3206</v>
      </c>
      <c r="H95" t="s">
        <v>25</v>
      </c>
      <c r="I95" t="s">
        <v>19</v>
      </c>
      <c r="J95" t="s">
        <v>3207</v>
      </c>
      <c r="K95" t="s">
        <v>38</v>
      </c>
      <c r="L95" s="2">
        <v>76.051000000000002</v>
      </c>
      <c r="M95" t="s">
        <v>3211</v>
      </c>
      <c r="N95">
        <v>0</v>
      </c>
      <c r="O95">
        <v>0</v>
      </c>
      <c r="P95">
        <v>1</v>
      </c>
      <c r="Q95" t="s">
        <v>3200</v>
      </c>
      <c r="R95" t="s">
        <v>3205</v>
      </c>
      <c r="S95" t="s">
        <v>16</v>
      </c>
    </row>
    <row r="96" spans="1:19" x14ac:dyDescent="0.3">
      <c r="A96" t="s">
        <v>131</v>
      </c>
      <c r="B96" t="s">
        <v>1694</v>
      </c>
      <c r="C96" t="s">
        <v>1695</v>
      </c>
      <c r="D96" t="s">
        <v>3189</v>
      </c>
      <c r="E96" t="s">
        <v>9</v>
      </c>
      <c r="F96" s="2">
        <v>52</v>
      </c>
      <c r="G96" t="s">
        <v>3197</v>
      </c>
      <c r="H96" t="s">
        <v>18</v>
      </c>
      <c r="I96" t="s">
        <v>11</v>
      </c>
      <c r="J96" t="s">
        <v>3198</v>
      </c>
      <c r="K96" t="s">
        <v>15</v>
      </c>
      <c r="L96" s="2">
        <v>12.1006</v>
      </c>
      <c r="M96" t="s">
        <v>3199</v>
      </c>
      <c r="N96">
        <v>0</v>
      </c>
      <c r="O96">
        <v>0</v>
      </c>
      <c r="P96">
        <v>1</v>
      </c>
      <c r="Q96" t="s">
        <v>3200</v>
      </c>
      <c r="R96" t="s">
        <v>3201</v>
      </c>
      <c r="S96" t="s">
        <v>13</v>
      </c>
    </row>
    <row r="97" spans="1:19" x14ac:dyDescent="0.3">
      <c r="A97" t="s">
        <v>132</v>
      </c>
      <c r="B97" t="s">
        <v>1596</v>
      </c>
      <c r="C97" t="s">
        <v>1696</v>
      </c>
      <c r="D97" t="s">
        <v>3189</v>
      </c>
      <c r="E97" t="s">
        <v>9</v>
      </c>
      <c r="F97" s="2">
        <v>23</v>
      </c>
      <c r="G97" t="s">
        <v>3206</v>
      </c>
      <c r="H97" t="s">
        <v>10</v>
      </c>
      <c r="I97" t="s">
        <v>11</v>
      </c>
      <c r="J97" t="s">
        <v>3198</v>
      </c>
      <c r="K97" t="s">
        <v>31</v>
      </c>
      <c r="L97" s="2">
        <v>7.1711</v>
      </c>
      <c r="M97" t="s">
        <v>3199</v>
      </c>
      <c r="N97">
        <v>0</v>
      </c>
      <c r="O97">
        <v>0</v>
      </c>
      <c r="P97">
        <v>1</v>
      </c>
      <c r="Q97" t="s">
        <v>3200</v>
      </c>
      <c r="R97" t="s">
        <v>3201</v>
      </c>
      <c r="S97" t="s">
        <v>13</v>
      </c>
    </row>
    <row r="98" spans="1:19" x14ac:dyDescent="0.3">
      <c r="A98" t="s">
        <v>133</v>
      </c>
      <c r="B98" t="s">
        <v>1596</v>
      </c>
      <c r="C98" t="s">
        <v>1697</v>
      </c>
      <c r="D98" t="s">
        <v>3189</v>
      </c>
      <c r="E98" t="s">
        <v>9</v>
      </c>
      <c r="F98" s="2">
        <v>60</v>
      </c>
      <c r="G98" t="s">
        <v>3210</v>
      </c>
      <c r="H98" t="s">
        <v>25</v>
      </c>
      <c r="I98" t="s">
        <v>19</v>
      </c>
      <c r="J98" t="s">
        <v>3207</v>
      </c>
      <c r="K98" t="s">
        <v>12</v>
      </c>
      <c r="L98" s="2">
        <v>25.180599999999998</v>
      </c>
      <c r="M98" t="s">
        <v>3203</v>
      </c>
      <c r="N98">
        <v>0</v>
      </c>
      <c r="O98">
        <v>0</v>
      </c>
      <c r="P98">
        <v>1</v>
      </c>
      <c r="Q98" t="s">
        <v>3200</v>
      </c>
      <c r="R98" t="s">
        <v>3201</v>
      </c>
      <c r="S98" t="s">
        <v>13</v>
      </c>
    </row>
    <row r="99" spans="1:19" x14ac:dyDescent="0.3">
      <c r="A99" t="s">
        <v>134</v>
      </c>
      <c r="B99" t="s">
        <v>1596</v>
      </c>
      <c r="C99" t="s">
        <v>1698</v>
      </c>
      <c r="D99" t="s">
        <v>3189</v>
      </c>
      <c r="E99" t="s">
        <v>9</v>
      </c>
      <c r="F99" s="2">
        <v>24</v>
      </c>
      <c r="G99" t="s">
        <v>3206</v>
      </c>
      <c r="H99" t="s">
        <v>25</v>
      </c>
      <c r="I99" t="s">
        <v>19</v>
      </c>
      <c r="J99" t="s">
        <v>3207</v>
      </c>
      <c r="K99" t="s">
        <v>26</v>
      </c>
      <c r="L99" s="2">
        <v>247.10050000000001</v>
      </c>
      <c r="M99" t="s">
        <v>3209</v>
      </c>
      <c r="N99">
        <v>0</v>
      </c>
      <c r="O99">
        <v>1</v>
      </c>
      <c r="P99">
        <v>2</v>
      </c>
      <c r="Q99" t="s">
        <v>3204</v>
      </c>
      <c r="R99" t="s">
        <v>3201</v>
      </c>
      <c r="S99" t="s">
        <v>13</v>
      </c>
    </row>
    <row r="100" spans="1:19" x14ac:dyDescent="0.3">
      <c r="A100" t="s">
        <v>134</v>
      </c>
      <c r="B100" t="s">
        <v>1600</v>
      </c>
      <c r="C100" t="s">
        <v>1699</v>
      </c>
      <c r="D100" t="s">
        <v>3190</v>
      </c>
      <c r="E100" t="s">
        <v>14</v>
      </c>
      <c r="F100" s="2">
        <v>50</v>
      </c>
      <c r="G100" t="s">
        <v>3197</v>
      </c>
      <c r="H100" t="s">
        <v>25</v>
      </c>
      <c r="I100" t="s">
        <v>19</v>
      </c>
      <c r="J100" t="s">
        <v>3207</v>
      </c>
      <c r="K100" t="s">
        <v>26</v>
      </c>
      <c r="L100" s="2">
        <v>247.10050000000001</v>
      </c>
      <c r="M100" t="s">
        <v>3209</v>
      </c>
      <c r="N100">
        <v>0</v>
      </c>
      <c r="O100">
        <v>1</v>
      </c>
      <c r="P100">
        <v>2</v>
      </c>
      <c r="Q100" t="s">
        <v>3204</v>
      </c>
      <c r="R100" t="s">
        <v>3205</v>
      </c>
      <c r="S100" t="s">
        <v>16</v>
      </c>
    </row>
    <row r="101" spans="1:19" x14ac:dyDescent="0.3">
      <c r="A101" t="s">
        <v>135</v>
      </c>
      <c r="B101" t="s">
        <v>1596</v>
      </c>
      <c r="C101" t="s">
        <v>1700</v>
      </c>
      <c r="D101" t="s">
        <v>3189</v>
      </c>
      <c r="E101" t="s">
        <v>9</v>
      </c>
      <c r="F101" s="2">
        <v>32</v>
      </c>
      <c r="G101" t="s">
        <v>3206</v>
      </c>
      <c r="H101" t="s">
        <v>18</v>
      </c>
      <c r="I101" t="s">
        <v>11</v>
      </c>
      <c r="J101" t="s">
        <v>3198</v>
      </c>
      <c r="K101" t="s">
        <v>15</v>
      </c>
      <c r="L101" s="2">
        <v>26</v>
      </c>
      <c r="M101" t="s">
        <v>3203</v>
      </c>
      <c r="N101">
        <v>1</v>
      </c>
      <c r="O101">
        <v>0</v>
      </c>
      <c r="P101">
        <v>2</v>
      </c>
      <c r="Q101" t="s">
        <v>3204</v>
      </c>
      <c r="R101" t="s">
        <v>3205</v>
      </c>
      <c r="S101" t="s">
        <v>16</v>
      </c>
    </row>
    <row r="102" spans="1:19" x14ac:dyDescent="0.3">
      <c r="A102" t="s">
        <v>135</v>
      </c>
      <c r="B102" t="s">
        <v>1600</v>
      </c>
      <c r="C102" t="s">
        <v>1701</v>
      </c>
      <c r="D102" t="s">
        <v>3190</v>
      </c>
      <c r="E102" t="s">
        <v>14</v>
      </c>
      <c r="F102" s="2">
        <v>22</v>
      </c>
      <c r="G102" t="s">
        <v>3206</v>
      </c>
      <c r="H102" t="s">
        <v>18</v>
      </c>
      <c r="I102" t="s">
        <v>11</v>
      </c>
      <c r="J102" t="s">
        <v>3198</v>
      </c>
      <c r="K102" t="s">
        <v>15</v>
      </c>
      <c r="L102" s="2">
        <v>26</v>
      </c>
      <c r="M102" t="s">
        <v>3203</v>
      </c>
      <c r="N102">
        <v>1</v>
      </c>
      <c r="O102">
        <v>0</v>
      </c>
      <c r="P102">
        <v>2</v>
      </c>
      <c r="Q102" t="s">
        <v>3204</v>
      </c>
      <c r="R102" t="s">
        <v>3205</v>
      </c>
      <c r="S102" t="s">
        <v>16</v>
      </c>
    </row>
    <row r="103" spans="1:19" x14ac:dyDescent="0.3">
      <c r="A103" t="s">
        <v>136</v>
      </c>
      <c r="B103" t="s">
        <v>1596</v>
      </c>
      <c r="C103" t="s">
        <v>1702</v>
      </c>
      <c r="D103" t="s">
        <v>3189</v>
      </c>
      <c r="E103" t="s">
        <v>9</v>
      </c>
      <c r="F103" s="2">
        <v>36</v>
      </c>
      <c r="G103" t="s">
        <v>3197</v>
      </c>
      <c r="H103" t="s">
        <v>25</v>
      </c>
      <c r="I103" t="s">
        <v>11</v>
      </c>
      <c r="J103" t="s">
        <v>3198</v>
      </c>
      <c r="K103" t="s">
        <v>26</v>
      </c>
      <c r="L103" s="2">
        <v>75.040999999999997</v>
      </c>
      <c r="M103" t="s">
        <v>3211</v>
      </c>
      <c r="N103">
        <v>0</v>
      </c>
      <c r="O103">
        <v>0</v>
      </c>
      <c r="P103">
        <v>1</v>
      </c>
      <c r="Q103" t="s">
        <v>3200</v>
      </c>
      <c r="R103" t="s">
        <v>3201</v>
      </c>
      <c r="S103" t="s">
        <v>13</v>
      </c>
    </row>
    <row r="104" spans="1:19" x14ac:dyDescent="0.3">
      <c r="A104" t="s">
        <v>137</v>
      </c>
      <c r="B104" t="s">
        <v>1596</v>
      </c>
      <c r="C104" t="s">
        <v>1703</v>
      </c>
      <c r="D104" t="s">
        <v>3189</v>
      </c>
      <c r="E104" t="s">
        <v>9</v>
      </c>
      <c r="F104" s="2">
        <v>44</v>
      </c>
      <c r="G104" t="s">
        <v>3197</v>
      </c>
      <c r="H104" t="s">
        <v>18</v>
      </c>
      <c r="I104" t="s">
        <v>11</v>
      </c>
      <c r="J104" t="s">
        <v>3198</v>
      </c>
      <c r="K104" t="s">
        <v>15</v>
      </c>
      <c r="L104" s="2">
        <v>26</v>
      </c>
      <c r="M104" t="s">
        <v>3203</v>
      </c>
      <c r="N104">
        <v>0</v>
      </c>
      <c r="O104">
        <v>0</v>
      </c>
      <c r="P104">
        <v>1</v>
      </c>
      <c r="Q104" t="s">
        <v>3200</v>
      </c>
      <c r="R104" t="s">
        <v>3201</v>
      </c>
      <c r="S104" t="s">
        <v>13</v>
      </c>
    </row>
    <row r="105" spans="1:19" x14ac:dyDescent="0.3">
      <c r="A105" t="s">
        <v>138</v>
      </c>
      <c r="B105" t="s">
        <v>1596</v>
      </c>
      <c r="C105" t="s">
        <v>1704</v>
      </c>
      <c r="D105" t="s">
        <v>3189</v>
      </c>
      <c r="E105" t="s">
        <v>9</v>
      </c>
      <c r="F105" s="2">
        <v>20</v>
      </c>
      <c r="G105" t="s">
        <v>3206</v>
      </c>
      <c r="H105" t="s">
        <v>10</v>
      </c>
      <c r="I105" t="s">
        <v>11</v>
      </c>
      <c r="J105" t="s">
        <v>3198</v>
      </c>
      <c r="K105" t="s">
        <v>15</v>
      </c>
      <c r="L105" s="2">
        <v>8.01</v>
      </c>
      <c r="M105" t="s">
        <v>3199</v>
      </c>
      <c r="N105">
        <v>0</v>
      </c>
      <c r="O105">
        <v>0</v>
      </c>
      <c r="P105">
        <v>1</v>
      </c>
      <c r="Q105" t="s">
        <v>3200</v>
      </c>
      <c r="R105" t="s">
        <v>3201</v>
      </c>
      <c r="S105" t="s">
        <v>13</v>
      </c>
    </row>
    <row r="106" spans="1:19" x14ac:dyDescent="0.3">
      <c r="A106" t="s">
        <v>139</v>
      </c>
      <c r="B106" t="s">
        <v>1612</v>
      </c>
      <c r="C106" t="s">
        <v>1705</v>
      </c>
      <c r="D106" t="s">
        <v>3189</v>
      </c>
      <c r="E106" t="s">
        <v>9</v>
      </c>
      <c r="F106" s="2">
        <v>1</v>
      </c>
      <c r="G106" t="s">
        <v>3208</v>
      </c>
      <c r="H106" t="s">
        <v>18</v>
      </c>
      <c r="I106" t="s">
        <v>11</v>
      </c>
      <c r="J106" t="s">
        <v>3198</v>
      </c>
      <c r="K106" t="s">
        <v>39</v>
      </c>
      <c r="L106" s="2">
        <v>39</v>
      </c>
      <c r="M106" t="s">
        <v>3211</v>
      </c>
      <c r="N106">
        <v>2</v>
      </c>
      <c r="O106">
        <v>1</v>
      </c>
      <c r="P106">
        <v>4</v>
      </c>
      <c r="Q106" t="s">
        <v>3204</v>
      </c>
      <c r="R106" t="s">
        <v>3205</v>
      </c>
      <c r="S106" t="s">
        <v>16</v>
      </c>
    </row>
    <row r="107" spans="1:19" x14ac:dyDescent="0.3">
      <c r="A107" t="s">
        <v>139</v>
      </c>
      <c r="B107" t="s">
        <v>1602</v>
      </c>
      <c r="C107" t="s">
        <v>1706</v>
      </c>
      <c r="D107" t="s">
        <v>3190</v>
      </c>
      <c r="E107" t="s">
        <v>14</v>
      </c>
      <c r="F107" s="2">
        <v>4</v>
      </c>
      <c r="G107" t="s">
        <v>3208</v>
      </c>
      <c r="H107" t="s">
        <v>18</v>
      </c>
      <c r="I107" t="s">
        <v>11</v>
      </c>
      <c r="J107" t="s">
        <v>3198</v>
      </c>
      <c r="K107" t="s">
        <v>39</v>
      </c>
      <c r="L107" s="2">
        <v>39</v>
      </c>
      <c r="M107" t="s">
        <v>3211</v>
      </c>
      <c r="N107">
        <v>2</v>
      </c>
      <c r="O107">
        <v>1</v>
      </c>
      <c r="P107">
        <v>4</v>
      </c>
      <c r="Q107" t="s">
        <v>3204</v>
      </c>
      <c r="R107" t="s">
        <v>3205</v>
      </c>
      <c r="S107" t="s">
        <v>16</v>
      </c>
    </row>
    <row r="108" spans="1:19" x14ac:dyDescent="0.3">
      <c r="A108" t="s">
        <v>139</v>
      </c>
      <c r="B108" t="s">
        <v>1602</v>
      </c>
      <c r="C108" t="s">
        <v>1707</v>
      </c>
      <c r="D108" t="s">
        <v>3190</v>
      </c>
      <c r="E108" t="s">
        <v>14</v>
      </c>
      <c r="F108" s="2">
        <v>12</v>
      </c>
      <c r="G108" t="s">
        <v>3202</v>
      </c>
      <c r="H108" t="s">
        <v>18</v>
      </c>
      <c r="I108" t="s">
        <v>11</v>
      </c>
      <c r="J108" t="s">
        <v>3198</v>
      </c>
      <c r="K108" t="s">
        <v>39</v>
      </c>
      <c r="L108" s="2">
        <v>39</v>
      </c>
      <c r="M108" t="s">
        <v>3211</v>
      </c>
      <c r="N108">
        <v>2</v>
      </c>
      <c r="O108">
        <v>1</v>
      </c>
      <c r="P108">
        <v>4</v>
      </c>
      <c r="Q108" t="s">
        <v>3204</v>
      </c>
      <c r="R108" t="s">
        <v>3205</v>
      </c>
      <c r="S108" t="s">
        <v>16</v>
      </c>
    </row>
    <row r="109" spans="1:19" x14ac:dyDescent="0.3">
      <c r="A109" t="s">
        <v>139</v>
      </c>
      <c r="B109" t="s">
        <v>1600</v>
      </c>
      <c r="C109" t="s">
        <v>1708</v>
      </c>
      <c r="D109" t="s">
        <v>3190</v>
      </c>
      <c r="E109" t="s">
        <v>14</v>
      </c>
      <c r="F109" s="2">
        <v>35</v>
      </c>
      <c r="G109" t="s">
        <v>3206</v>
      </c>
      <c r="H109" t="s">
        <v>18</v>
      </c>
      <c r="I109" t="s">
        <v>11</v>
      </c>
      <c r="J109" t="s">
        <v>3198</v>
      </c>
      <c r="K109" t="s">
        <v>12</v>
      </c>
      <c r="L109" s="2">
        <v>39</v>
      </c>
      <c r="M109" t="s">
        <v>3211</v>
      </c>
      <c r="N109">
        <v>0</v>
      </c>
      <c r="O109">
        <v>3</v>
      </c>
      <c r="P109">
        <v>4</v>
      </c>
      <c r="Q109" t="s">
        <v>3204</v>
      </c>
      <c r="R109" t="s">
        <v>3205</v>
      </c>
      <c r="S109" t="s">
        <v>16</v>
      </c>
    </row>
    <row r="110" spans="1:19" x14ac:dyDescent="0.3">
      <c r="A110" t="s">
        <v>140</v>
      </c>
      <c r="B110" t="s">
        <v>1596</v>
      </c>
      <c r="C110" t="s">
        <v>1709</v>
      </c>
      <c r="D110" t="s">
        <v>3189</v>
      </c>
      <c r="E110" t="s">
        <v>9</v>
      </c>
      <c r="F110" s="2">
        <v>37</v>
      </c>
      <c r="G110" t="s">
        <v>3197</v>
      </c>
      <c r="H110" t="s">
        <v>25</v>
      </c>
      <c r="I110" t="s">
        <v>11</v>
      </c>
      <c r="J110" t="s">
        <v>3198</v>
      </c>
      <c r="K110" t="s">
        <v>12</v>
      </c>
      <c r="L110" s="2">
        <v>52.110100000000003</v>
      </c>
      <c r="M110" t="s">
        <v>3211</v>
      </c>
      <c r="N110">
        <v>1</v>
      </c>
      <c r="O110">
        <v>1</v>
      </c>
      <c r="P110">
        <v>3</v>
      </c>
      <c r="Q110" t="s">
        <v>3204</v>
      </c>
      <c r="R110" t="s">
        <v>3205</v>
      </c>
      <c r="S110" t="s">
        <v>16</v>
      </c>
    </row>
    <row r="111" spans="1:19" x14ac:dyDescent="0.3">
      <c r="A111" t="s">
        <v>140</v>
      </c>
      <c r="B111" t="s">
        <v>1600</v>
      </c>
      <c r="C111" t="s">
        <v>1710</v>
      </c>
      <c r="D111" t="s">
        <v>3190</v>
      </c>
      <c r="E111" t="s">
        <v>14</v>
      </c>
      <c r="F111" s="2">
        <v>46</v>
      </c>
      <c r="G111" t="s">
        <v>3197</v>
      </c>
      <c r="H111" t="s">
        <v>25</v>
      </c>
      <c r="I111" t="s">
        <v>11</v>
      </c>
      <c r="J111" t="s">
        <v>3198</v>
      </c>
      <c r="K111" t="s">
        <v>12</v>
      </c>
      <c r="L111" s="2">
        <v>52.110100000000003</v>
      </c>
      <c r="M111" t="s">
        <v>3211</v>
      </c>
      <c r="N111">
        <v>1</v>
      </c>
      <c r="O111">
        <v>1</v>
      </c>
      <c r="P111">
        <v>3</v>
      </c>
      <c r="Q111" t="s">
        <v>3204</v>
      </c>
      <c r="R111" t="s">
        <v>3205</v>
      </c>
      <c r="S111" t="s">
        <v>16</v>
      </c>
    </row>
    <row r="112" spans="1:19" x14ac:dyDescent="0.3">
      <c r="A112" t="s">
        <v>141</v>
      </c>
      <c r="B112" t="s">
        <v>1596</v>
      </c>
      <c r="C112" t="s">
        <v>1711</v>
      </c>
      <c r="D112" t="s">
        <v>3189</v>
      </c>
      <c r="E112" t="s">
        <v>9</v>
      </c>
      <c r="F112" s="2">
        <v>34</v>
      </c>
      <c r="G112" t="s">
        <v>3206</v>
      </c>
      <c r="H112" t="s">
        <v>18</v>
      </c>
      <c r="I112" t="s">
        <v>11</v>
      </c>
      <c r="J112" t="s">
        <v>3198</v>
      </c>
      <c r="K112" t="s">
        <v>15</v>
      </c>
      <c r="L112" s="2">
        <v>13</v>
      </c>
      <c r="M112" t="s">
        <v>3199</v>
      </c>
      <c r="N112">
        <v>0</v>
      </c>
      <c r="O112">
        <v>0</v>
      </c>
      <c r="P112">
        <v>1</v>
      </c>
      <c r="Q112" t="s">
        <v>3200</v>
      </c>
      <c r="R112" t="s">
        <v>3205</v>
      </c>
      <c r="S112" t="s">
        <v>16</v>
      </c>
    </row>
    <row r="113" spans="1:19" x14ac:dyDescent="0.3">
      <c r="A113" t="s">
        <v>142</v>
      </c>
      <c r="B113" t="s">
        <v>1596</v>
      </c>
      <c r="C113" t="s">
        <v>1712</v>
      </c>
      <c r="D113" t="s">
        <v>3189</v>
      </c>
      <c r="E113" t="s">
        <v>9</v>
      </c>
      <c r="F113" s="2">
        <v>26</v>
      </c>
      <c r="G113" t="s">
        <v>3206</v>
      </c>
      <c r="H113" t="s">
        <v>25</v>
      </c>
      <c r="I113" t="s">
        <v>19</v>
      </c>
      <c r="J113" t="s">
        <v>3207</v>
      </c>
      <c r="K113" t="s">
        <v>12</v>
      </c>
      <c r="L113" s="2">
        <v>30</v>
      </c>
      <c r="M113" t="s">
        <v>3203</v>
      </c>
      <c r="N113">
        <v>0</v>
      </c>
      <c r="O113">
        <v>0</v>
      </c>
      <c r="P113">
        <v>1</v>
      </c>
      <c r="Q113" t="s">
        <v>3200</v>
      </c>
      <c r="R113" t="s">
        <v>3205</v>
      </c>
      <c r="S113" t="s">
        <v>16</v>
      </c>
    </row>
    <row r="114" spans="1:19" x14ac:dyDescent="0.3">
      <c r="A114" t="s">
        <v>143</v>
      </c>
      <c r="B114" t="s">
        <v>1596</v>
      </c>
      <c r="C114" t="s">
        <v>1713</v>
      </c>
      <c r="D114" t="s">
        <v>3189</v>
      </c>
      <c r="E114" t="s">
        <v>9</v>
      </c>
      <c r="F114" s="2">
        <v>26</v>
      </c>
      <c r="G114" t="s">
        <v>3206</v>
      </c>
      <c r="H114" t="s">
        <v>10</v>
      </c>
      <c r="I114" t="s">
        <v>11</v>
      </c>
      <c r="J114" t="s">
        <v>3198</v>
      </c>
      <c r="K114" t="s">
        <v>23</v>
      </c>
      <c r="L114" s="2">
        <v>7.1505999999999998</v>
      </c>
      <c r="M114" t="s">
        <v>3199</v>
      </c>
      <c r="N114">
        <v>0</v>
      </c>
      <c r="O114">
        <v>0</v>
      </c>
      <c r="P114">
        <v>1</v>
      </c>
      <c r="Q114" t="s">
        <v>3200</v>
      </c>
      <c r="R114" t="s">
        <v>3201</v>
      </c>
      <c r="S114" t="s">
        <v>13</v>
      </c>
    </row>
    <row r="115" spans="1:19" x14ac:dyDescent="0.3">
      <c r="A115" t="s">
        <v>144</v>
      </c>
      <c r="B115" t="s">
        <v>1602</v>
      </c>
      <c r="C115" t="s">
        <v>1714</v>
      </c>
      <c r="D115" t="s">
        <v>3190</v>
      </c>
      <c r="E115" t="s">
        <v>14</v>
      </c>
      <c r="F115" s="2">
        <v>19</v>
      </c>
      <c r="G115" t="s">
        <v>3206</v>
      </c>
      <c r="H115" t="s">
        <v>18</v>
      </c>
      <c r="I115" t="s">
        <v>11</v>
      </c>
      <c r="J115" t="s">
        <v>3198</v>
      </c>
      <c r="K115" t="s">
        <v>12</v>
      </c>
      <c r="L115" s="2">
        <v>13</v>
      </c>
      <c r="M115" t="s">
        <v>3199</v>
      </c>
      <c r="N115">
        <v>0</v>
      </c>
      <c r="O115">
        <v>0</v>
      </c>
      <c r="P115">
        <v>1</v>
      </c>
      <c r="Q115" t="s">
        <v>3200</v>
      </c>
      <c r="R115" t="s">
        <v>3205</v>
      </c>
      <c r="S115" t="s">
        <v>16</v>
      </c>
    </row>
    <row r="116" spans="1:19" x14ac:dyDescent="0.3">
      <c r="A116" t="s">
        <v>145</v>
      </c>
      <c r="B116" t="s">
        <v>1596</v>
      </c>
      <c r="C116" t="s">
        <v>1715</v>
      </c>
      <c r="D116" t="s">
        <v>3189</v>
      </c>
      <c r="E116" t="s">
        <v>9</v>
      </c>
      <c r="F116" s="2">
        <v>22</v>
      </c>
      <c r="G116" t="s">
        <v>3206</v>
      </c>
      <c r="H116" t="s">
        <v>10</v>
      </c>
      <c r="I116" t="s">
        <v>11</v>
      </c>
      <c r="J116" t="s">
        <v>3198</v>
      </c>
      <c r="K116" t="s">
        <v>22</v>
      </c>
      <c r="L116" s="2">
        <v>9.07</v>
      </c>
      <c r="M116" t="s">
        <v>3199</v>
      </c>
      <c r="N116">
        <v>0</v>
      </c>
      <c r="O116">
        <v>0</v>
      </c>
      <c r="P116">
        <v>1</v>
      </c>
      <c r="Q116" t="s">
        <v>3200</v>
      </c>
      <c r="R116" t="s">
        <v>3201</v>
      </c>
      <c r="S116" t="s">
        <v>13</v>
      </c>
    </row>
    <row r="117" spans="1:19" x14ac:dyDescent="0.3">
      <c r="A117" t="s">
        <v>146</v>
      </c>
      <c r="B117" t="s">
        <v>1596</v>
      </c>
      <c r="C117" t="s">
        <v>1716</v>
      </c>
      <c r="D117" t="s">
        <v>3189</v>
      </c>
      <c r="E117" t="s">
        <v>9</v>
      </c>
      <c r="F117" s="2">
        <v>23</v>
      </c>
      <c r="G117" t="s">
        <v>3206</v>
      </c>
      <c r="H117" t="s">
        <v>18</v>
      </c>
      <c r="I117" t="s">
        <v>11</v>
      </c>
      <c r="J117" t="s">
        <v>3198</v>
      </c>
      <c r="K117" t="s">
        <v>15</v>
      </c>
      <c r="L117" s="2">
        <v>13</v>
      </c>
      <c r="M117" t="s">
        <v>3199</v>
      </c>
      <c r="N117">
        <v>0</v>
      </c>
      <c r="O117">
        <v>0</v>
      </c>
      <c r="P117">
        <v>1</v>
      </c>
      <c r="Q117" t="s">
        <v>3200</v>
      </c>
      <c r="R117" t="s">
        <v>3201</v>
      </c>
      <c r="S117" t="s">
        <v>13</v>
      </c>
    </row>
    <row r="118" spans="1:19" x14ac:dyDescent="0.3">
      <c r="A118" t="s">
        <v>147</v>
      </c>
      <c r="B118" t="s">
        <v>1602</v>
      </c>
      <c r="C118" t="s">
        <v>1717</v>
      </c>
      <c r="D118" t="s">
        <v>3190</v>
      </c>
      <c r="E118" t="s">
        <v>14</v>
      </c>
      <c r="F118" s="2">
        <v>39</v>
      </c>
      <c r="G118" t="s">
        <v>3197</v>
      </c>
      <c r="H118" t="s">
        <v>25</v>
      </c>
      <c r="I118" t="s">
        <v>19</v>
      </c>
      <c r="J118" t="s">
        <v>3207</v>
      </c>
      <c r="K118" t="s">
        <v>12</v>
      </c>
      <c r="L118" s="2">
        <v>63.0702</v>
      </c>
      <c r="M118" t="s">
        <v>3211</v>
      </c>
      <c r="N118">
        <v>0</v>
      </c>
      <c r="O118">
        <v>0</v>
      </c>
      <c r="P118">
        <v>1</v>
      </c>
      <c r="Q118" t="s">
        <v>3200</v>
      </c>
      <c r="R118" t="s">
        <v>3205</v>
      </c>
      <c r="S118" t="s">
        <v>16</v>
      </c>
    </row>
    <row r="119" spans="1:19" x14ac:dyDescent="0.3">
      <c r="A119" t="s">
        <v>148</v>
      </c>
      <c r="B119" t="s">
        <v>1602</v>
      </c>
      <c r="C119" t="s">
        <v>1718</v>
      </c>
      <c r="D119" t="s">
        <v>3190</v>
      </c>
      <c r="E119" t="s">
        <v>14</v>
      </c>
      <c r="F119" s="2">
        <v>46</v>
      </c>
      <c r="G119" t="s">
        <v>3197</v>
      </c>
      <c r="H119" t="s">
        <v>25</v>
      </c>
      <c r="I119" t="s">
        <v>19</v>
      </c>
      <c r="J119" t="s">
        <v>3207</v>
      </c>
      <c r="K119" t="s">
        <v>15</v>
      </c>
      <c r="L119" s="2">
        <v>247.10059999999999</v>
      </c>
      <c r="M119" t="s">
        <v>3209</v>
      </c>
      <c r="N119">
        <v>0</v>
      </c>
      <c r="O119">
        <v>0</v>
      </c>
      <c r="P119">
        <v>1</v>
      </c>
      <c r="Q119" t="s">
        <v>3200</v>
      </c>
      <c r="R119" t="s">
        <v>3205</v>
      </c>
      <c r="S119" t="s">
        <v>16</v>
      </c>
    </row>
    <row r="120" spans="1:19" x14ac:dyDescent="0.3">
      <c r="A120" t="s">
        <v>149</v>
      </c>
      <c r="B120" t="s">
        <v>1596</v>
      </c>
      <c r="C120" t="s">
        <v>1719</v>
      </c>
      <c r="D120" t="s">
        <v>3189</v>
      </c>
      <c r="E120" t="s">
        <v>9</v>
      </c>
      <c r="F120" s="2">
        <v>32</v>
      </c>
      <c r="G120" t="s">
        <v>3206</v>
      </c>
      <c r="H120" t="s">
        <v>10</v>
      </c>
      <c r="I120" t="s">
        <v>11</v>
      </c>
      <c r="J120" t="s">
        <v>3198</v>
      </c>
      <c r="K120" t="s">
        <v>15</v>
      </c>
      <c r="L120" s="2">
        <v>56.091099999999997</v>
      </c>
      <c r="M120" t="s">
        <v>3211</v>
      </c>
      <c r="N120">
        <v>0</v>
      </c>
      <c r="O120">
        <v>0</v>
      </c>
      <c r="P120">
        <v>1</v>
      </c>
      <c r="Q120" t="s">
        <v>3200</v>
      </c>
      <c r="R120" t="s">
        <v>3205</v>
      </c>
      <c r="S120" t="s">
        <v>16</v>
      </c>
    </row>
    <row r="121" spans="1:19" x14ac:dyDescent="0.3">
      <c r="A121" t="s">
        <v>150</v>
      </c>
      <c r="B121" t="s">
        <v>1602</v>
      </c>
      <c r="C121" t="s">
        <v>1720</v>
      </c>
      <c r="D121" t="s">
        <v>3190</v>
      </c>
      <c r="E121" t="s">
        <v>14</v>
      </c>
      <c r="F121" s="2">
        <v>31</v>
      </c>
      <c r="G121" t="s">
        <v>3206</v>
      </c>
      <c r="H121" t="s">
        <v>25</v>
      </c>
      <c r="I121" t="s">
        <v>11</v>
      </c>
      <c r="J121" t="s">
        <v>3198</v>
      </c>
      <c r="K121" t="s">
        <v>15</v>
      </c>
      <c r="L121" s="2">
        <v>221.1507</v>
      </c>
      <c r="M121" t="s">
        <v>3209</v>
      </c>
      <c r="N121">
        <v>0</v>
      </c>
      <c r="O121">
        <v>0</v>
      </c>
      <c r="P121">
        <v>1</v>
      </c>
      <c r="Q121" t="s">
        <v>3200</v>
      </c>
      <c r="R121" t="s">
        <v>3205</v>
      </c>
      <c r="S121" t="s">
        <v>16</v>
      </c>
    </row>
    <row r="122" spans="1:19" x14ac:dyDescent="0.3">
      <c r="A122" t="s">
        <v>151</v>
      </c>
      <c r="B122" t="s">
        <v>1596</v>
      </c>
      <c r="C122" t="s">
        <v>1721</v>
      </c>
      <c r="D122" t="s">
        <v>3189</v>
      </c>
      <c r="E122" t="s">
        <v>9</v>
      </c>
      <c r="F122" s="2">
        <v>21</v>
      </c>
      <c r="G122" t="s">
        <v>3206</v>
      </c>
      <c r="H122" t="s">
        <v>10</v>
      </c>
      <c r="I122" t="s">
        <v>11</v>
      </c>
      <c r="J122" t="s">
        <v>3198</v>
      </c>
      <c r="K122" t="s">
        <v>17</v>
      </c>
      <c r="L122" s="2">
        <v>7.1505999999999998</v>
      </c>
      <c r="M122" t="s">
        <v>3199</v>
      </c>
      <c r="N122">
        <v>0</v>
      </c>
      <c r="O122">
        <v>0</v>
      </c>
      <c r="P122">
        <v>1</v>
      </c>
      <c r="Q122" t="s">
        <v>3200</v>
      </c>
      <c r="R122" t="s">
        <v>3201</v>
      </c>
      <c r="S122" t="s">
        <v>13</v>
      </c>
    </row>
    <row r="123" spans="1:19" x14ac:dyDescent="0.3">
      <c r="A123" t="s">
        <v>152</v>
      </c>
      <c r="B123" t="s">
        <v>1596</v>
      </c>
      <c r="C123" t="s">
        <v>1722</v>
      </c>
      <c r="D123" t="s">
        <v>3189</v>
      </c>
      <c r="E123" t="s">
        <v>9</v>
      </c>
      <c r="F123" s="2">
        <v>24</v>
      </c>
      <c r="G123" t="s">
        <v>3206</v>
      </c>
      <c r="H123" t="s">
        <v>25</v>
      </c>
      <c r="I123" t="s">
        <v>19</v>
      </c>
      <c r="J123" t="s">
        <v>3207</v>
      </c>
      <c r="K123" t="s">
        <v>15</v>
      </c>
      <c r="L123" s="2">
        <v>26</v>
      </c>
      <c r="M123" t="s">
        <v>3203</v>
      </c>
      <c r="N123">
        <v>0</v>
      </c>
      <c r="O123">
        <v>0</v>
      </c>
      <c r="P123">
        <v>1</v>
      </c>
      <c r="Q123" t="s">
        <v>3200</v>
      </c>
      <c r="R123" t="s">
        <v>3201</v>
      </c>
      <c r="S123" t="s">
        <v>13</v>
      </c>
    </row>
    <row r="124" spans="1:19" x14ac:dyDescent="0.3">
      <c r="A124" t="s">
        <v>153</v>
      </c>
      <c r="B124" t="s">
        <v>1596</v>
      </c>
      <c r="C124" t="s">
        <v>1723</v>
      </c>
      <c r="D124" t="s">
        <v>3189</v>
      </c>
      <c r="E124" t="s">
        <v>9</v>
      </c>
      <c r="F124" s="2">
        <v>25</v>
      </c>
      <c r="G124" t="s">
        <v>3206</v>
      </c>
      <c r="H124" t="s">
        <v>25</v>
      </c>
      <c r="I124" t="s">
        <v>19</v>
      </c>
      <c r="J124" t="s">
        <v>3207</v>
      </c>
      <c r="K124" t="s">
        <v>12</v>
      </c>
      <c r="L124" s="2">
        <v>91.0107</v>
      </c>
      <c r="M124" t="s">
        <v>3211</v>
      </c>
      <c r="N124">
        <v>1</v>
      </c>
      <c r="O124">
        <v>0</v>
      </c>
      <c r="P124">
        <v>2</v>
      </c>
      <c r="Q124" t="s">
        <v>3204</v>
      </c>
      <c r="R124" t="s">
        <v>3205</v>
      </c>
      <c r="S124" t="s">
        <v>16</v>
      </c>
    </row>
    <row r="125" spans="1:19" x14ac:dyDescent="0.3">
      <c r="A125" t="s">
        <v>153</v>
      </c>
      <c r="B125" t="s">
        <v>1600</v>
      </c>
      <c r="C125" t="s">
        <v>1724</v>
      </c>
      <c r="D125" t="s">
        <v>3190</v>
      </c>
      <c r="E125" t="s">
        <v>14</v>
      </c>
      <c r="F125" s="2">
        <v>19</v>
      </c>
      <c r="G125" t="s">
        <v>3206</v>
      </c>
      <c r="H125" t="s">
        <v>25</v>
      </c>
      <c r="I125" t="s">
        <v>19</v>
      </c>
      <c r="J125" t="s">
        <v>3207</v>
      </c>
      <c r="K125" t="s">
        <v>12</v>
      </c>
      <c r="L125" s="2">
        <v>91.0107</v>
      </c>
      <c r="M125" t="s">
        <v>3211</v>
      </c>
      <c r="N125">
        <v>1</v>
      </c>
      <c r="O125">
        <v>0</v>
      </c>
      <c r="P125">
        <v>2</v>
      </c>
      <c r="Q125" t="s">
        <v>3204</v>
      </c>
      <c r="R125" t="s">
        <v>3205</v>
      </c>
      <c r="S125" t="s">
        <v>16</v>
      </c>
    </row>
    <row r="126" spans="1:19" x14ac:dyDescent="0.3">
      <c r="A126" t="s">
        <v>154</v>
      </c>
      <c r="B126" t="s">
        <v>1596</v>
      </c>
      <c r="C126" t="s">
        <v>1725</v>
      </c>
      <c r="D126" t="s">
        <v>3189</v>
      </c>
      <c r="E126" t="s">
        <v>9</v>
      </c>
      <c r="F126" s="2">
        <v>18</v>
      </c>
      <c r="G126" t="s">
        <v>3206</v>
      </c>
      <c r="H126" t="s">
        <v>10</v>
      </c>
      <c r="I126" t="s">
        <v>11</v>
      </c>
      <c r="J126" t="s">
        <v>3198</v>
      </c>
      <c r="K126" t="s">
        <v>23</v>
      </c>
      <c r="L126" s="2">
        <v>7.15</v>
      </c>
      <c r="M126" t="s">
        <v>3199</v>
      </c>
      <c r="N126">
        <v>0</v>
      </c>
      <c r="O126">
        <v>0</v>
      </c>
      <c r="P126">
        <v>1</v>
      </c>
      <c r="Q126" t="s">
        <v>3200</v>
      </c>
      <c r="R126" t="s">
        <v>3201</v>
      </c>
      <c r="S126" t="s">
        <v>13</v>
      </c>
    </row>
    <row r="127" spans="1:19" x14ac:dyDescent="0.3">
      <c r="A127" t="s">
        <v>155</v>
      </c>
      <c r="B127" t="s">
        <v>1596</v>
      </c>
      <c r="C127" t="s">
        <v>1726</v>
      </c>
      <c r="D127" t="s">
        <v>3189</v>
      </c>
      <c r="E127" t="s">
        <v>9</v>
      </c>
      <c r="F127" s="2">
        <v>28</v>
      </c>
      <c r="G127" t="s">
        <v>3206</v>
      </c>
      <c r="H127" t="s">
        <v>25</v>
      </c>
      <c r="I127" t="s">
        <v>11</v>
      </c>
      <c r="J127" t="s">
        <v>3198</v>
      </c>
      <c r="K127" t="s">
        <v>23</v>
      </c>
      <c r="L127" s="2">
        <v>26.11</v>
      </c>
      <c r="M127" t="s">
        <v>3203</v>
      </c>
      <c r="N127">
        <v>0</v>
      </c>
      <c r="O127">
        <v>0</v>
      </c>
      <c r="P127">
        <v>1</v>
      </c>
      <c r="Q127" t="s">
        <v>3200</v>
      </c>
      <c r="R127" t="s">
        <v>3205</v>
      </c>
      <c r="S127" t="s">
        <v>16</v>
      </c>
    </row>
    <row r="128" spans="1:19" x14ac:dyDescent="0.3">
      <c r="A128" t="s">
        <v>156</v>
      </c>
      <c r="B128" t="s">
        <v>1596</v>
      </c>
      <c r="C128" t="s">
        <v>1727</v>
      </c>
      <c r="D128" t="s">
        <v>3189</v>
      </c>
      <c r="E128" t="s">
        <v>9</v>
      </c>
      <c r="F128" s="2">
        <v>45</v>
      </c>
      <c r="G128" t="s">
        <v>3197</v>
      </c>
      <c r="H128" t="s">
        <v>25</v>
      </c>
      <c r="I128" t="s">
        <v>11</v>
      </c>
      <c r="J128" t="s">
        <v>3198</v>
      </c>
      <c r="K128" t="s">
        <v>12</v>
      </c>
      <c r="L128" s="2">
        <v>35.1</v>
      </c>
      <c r="M128" t="s">
        <v>3211</v>
      </c>
      <c r="N128">
        <v>0</v>
      </c>
      <c r="O128">
        <v>0</v>
      </c>
      <c r="P128">
        <v>1</v>
      </c>
      <c r="Q128" t="s">
        <v>3200</v>
      </c>
      <c r="R128" t="s">
        <v>3201</v>
      </c>
      <c r="S128" t="s">
        <v>13</v>
      </c>
    </row>
    <row r="129" spans="1:19" x14ac:dyDescent="0.3">
      <c r="A129" t="s">
        <v>157</v>
      </c>
      <c r="B129" t="s">
        <v>1596</v>
      </c>
      <c r="C129" t="s">
        <v>1728</v>
      </c>
      <c r="D129" t="s">
        <v>3189</v>
      </c>
      <c r="E129" t="s">
        <v>9</v>
      </c>
      <c r="F129" s="2">
        <v>39</v>
      </c>
      <c r="G129" t="s">
        <v>3197</v>
      </c>
      <c r="H129" t="s">
        <v>25</v>
      </c>
      <c r="I129" t="s">
        <v>19</v>
      </c>
      <c r="J129" t="s">
        <v>3207</v>
      </c>
      <c r="K129" t="s">
        <v>12</v>
      </c>
      <c r="L129" s="2">
        <v>31</v>
      </c>
      <c r="M129" t="s">
        <v>3203</v>
      </c>
      <c r="N129">
        <v>0</v>
      </c>
      <c r="O129">
        <v>0</v>
      </c>
      <c r="P129">
        <v>1</v>
      </c>
      <c r="Q129" t="s">
        <v>3200</v>
      </c>
      <c r="R129" t="s">
        <v>3205</v>
      </c>
      <c r="S129" t="s">
        <v>16</v>
      </c>
    </row>
    <row r="130" spans="1:19" x14ac:dyDescent="0.3">
      <c r="A130" t="s">
        <v>158</v>
      </c>
      <c r="B130" t="s">
        <v>1602</v>
      </c>
      <c r="C130" t="s">
        <v>1729</v>
      </c>
      <c r="D130" t="s">
        <v>3190</v>
      </c>
      <c r="E130" t="s">
        <v>14</v>
      </c>
      <c r="F130" s="2">
        <v>30</v>
      </c>
      <c r="G130" t="s">
        <v>3206</v>
      </c>
      <c r="H130" t="s">
        <v>25</v>
      </c>
      <c r="I130" t="s">
        <v>11</v>
      </c>
      <c r="J130" t="s">
        <v>3198</v>
      </c>
      <c r="K130" t="s">
        <v>12</v>
      </c>
      <c r="L130" s="2">
        <v>164.1704</v>
      </c>
      <c r="M130" t="s">
        <v>3209</v>
      </c>
      <c r="N130">
        <v>0</v>
      </c>
      <c r="O130">
        <v>0</v>
      </c>
      <c r="P130">
        <v>1</v>
      </c>
      <c r="Q130" t="s">
        <v>3200</v>
      </c>
      <c r="R130" t="s">
        <v>3205</v>
      </c>
      <c r="S130" t="s">
        <v>16</v>
      </c>
    </row>
    <row r="131" spans="1:19" x14ac:dyDescent="0.3">
      <c r="A131" t="s">
        <v>158</v>
      </c>
      <c r="B131" t="s">
        <v>1602</v>
      </c>
      <c r="C131" t="s">
        <v>1730</v>
      </c>
      <c r="D131" t="s">
        <v>3190</v>
      </c>
      <c r="E131" t="s">
        <v>14</v>
      </c>
      <c r="F131" s="2">
        <v>61</v>
      </c>
      <c r="G131" t="s">
        <v>3210</v>
      </c>
      <c r="H131" t="s">
        <v>25</v>
      </c>
      <c r="I131" t="s">
        <v>11</v>
      </c>
      <c r="J131" t="s">
        <v>3198</v>
      </c>
      <c r="K131" t="s">
        <v>15</v>
      </c>
      <c r="L131" s="2">
        <v>26.11</v>
      </c>
      <c r="M131" t="s">
        <v>3203</v>
      </c>
      <c r="N131">
        <v>0</v>
      </c>
      <c r="O131">
        <v>0</v>
      </c>
      <c r="P131">
        <v>1</v>
      </c>
      <c r="Q131" t="s">
        <v>3200</v>
      </c>
      <c r="R131" t="s">
        <v>3205</v>
      </c>
      <c r="S131" t="s">
        <v>16</v>
      </c>
    </row>
    <row r="132" spans="1:19" x14ac:dyDescent="0.3">
      <c r="A132" t="s">
        <v>159</v>
      </c>
      <c r="B132" t="s">
        <v>1596</v>
      </c>
      <c r="C132" t="s">
        <v>1731</v>
      </c>
      <c r="D132" t="s">
        <v>3189</v>
      </c>
      <c r="E132" t="s">
        <v>9</v>
      </c>
      <c r="F132" s="2">
        <v>41</v>
      </c>
      <c r="G132" t="s">
        <v>3197</v>
      </c>
      <c r="H132" t="s">
        <v>25</v>
      </c>
      <c r="I132" t="s">
        <v>11</v>
      </c>
      <c r="J132" t="s">
        <v>3198</v>
      </c>
      <c r="K132" t="s">
        <v>15</v>
      </c>
      <c r="L132" s="2">
        <v>26.11</v>
      </c>
      <c r="M132" t="s">
        <v>3203</v>
      </c>
      <c r="N132">
        <v>0</v>
      </c>
      <c r="O132">
        <v>0</v>
      </c>
      <c r="P132">
        <v>1</v>
      </c>
      <c r="Q132" t="s">
        <v>3200</v>
      </c>
      <c r="R132" t="s">
        <v>3201</v>
      </c>
      <c r="S132" t="s">
        <v>13</v>
      </c>
    </row>
    <row r="133" spans="1:19" x14ac:dyDescent="0.3">
      <c r="A133" t="s">
        <v>160</v>
      </c>
      <c r="B133" t="s">
        <v>1596</v>
      </c>
      <c r="C133" t="s">
        <v>1732</v>
      </c>
      <c r="D133" t="s">
        <v>3189</v>
      </c>
      <c r="E133" t="s">
        <v>9</v>
      </c>
      <c r="F133" s="2">
        <v>26</v>
      </c>
      <c r="G133" t="s">
        <v>3206</v>
      </c>
      <c r="H133" t="s">
        <v>10</v>
      </c>
      <c r="I133" t="s">
        <v>11</v>
      </c>
      <c r="J133" t="s">
        <v>3198</v>
      </c>
      <c r="K133" t="s">
        <v>15</v>
      </c>
      <c r="L133" s="2">
        <v>7.1711</v>
      </c>
      <c r="M133" t="s">
        <v>3199</v>
      </c>
      <c r="N133">
        <v>0</v>
      </c>
      <c r="O133">
        <v>0</v>
      </c>
      <c r="P133">
        <v>1</v>
      </c>
      <c r="Q133" t="s">
        <v>3200</v>
      </c>
      <c r="R133" t="s">
        <v>3201</v>
      </c>
      <c r="S133" t="s">
        <v>13</v>
      </c>
    </row>
    <row r="134" spans="1:19" x14ac:dyDescent="0.3">
      <c r="A134" t="s">
        <v>161</v>
      </c>
      <c r="B134" t="s">
        <v>1596</v>
      </c>
      <c r="C134" t="s">
        <v>1733</v>
      </c>
      <c r="D134" t="s">
        <v>3189</v>
      </c>
      <c r="E134" t="s">
        <v>9</v>
      </c>
      <c r="F134" s="2">
        <v>25</v>
      </c>
      <c r="G134" t="s">
        <v>3206</v>
      </c>
      <c r="H134" t="s">
        <v>18</v>
      </c>
      <c r="I134" t="s">
        <v>11</v>
      </c>
      <c r="J134" t="s">
        <v>3198</v>
      </c>
      <c r="K134" t="s">
        <v>12</v>
      </c>
      <c r="L134" s="2">
        <v>13</v>
      </c>
      <c r="M134" t="s">
        <v>3199</v>
      </c>
      <c r="N134">
        <v>0</v>
      </c>
      <c r="O134">
        <v>0</v>
      </c>
      <c r="P134">
        <v>1</v>
      </c>
      <c r="Q134" t="s">
        <v>3200</v>
      </c>
      <c r="R134" t="s">
        <v>3201</v>
      </c>
      <c r="S134" t="s">
        <v>13</v>
      </c>
    </row>
    <row r="135" spans="1:19" x14ac:dyDescent="0.3">
      <c r="A135" t="s">
        <v>162</v>
      </c>
      <c r="B135" t="s">
        <v>1602</v>
      </c>
      <c r="C135" t="s">
        <v>1734</v>
      </c>
      <c r="D135" t="s">
        <v>3190</v>
      </c>
      <c r="E135" t="s">
        <v>14</v>
      </c>
      <c r="F135" s="2">
        <v>40</v>
      </c>
      <c r="G135" t="s">
        <v>3197</v>
      </c>
      <c r="H135" t="s">
        <v>10</v>
      </c>
      <c r="I135" t="s">
        <v>36</v>
      </c>
      <c r="J135" t="s">
        <v>3213</v>
      </c>
      <c r="K135" t="s">
        <v>37</v>
      </c>
      <c r="L135" s="2">
        <v>7.15</v>
      </c>
      <c r="M135" t="s">
        <v>3199</v>
      </c>
      <c r="N135">
        <v>0</v>
      </c>
      <c r="O135">
        <v>2</v>
      </c>
      <c r="P135">
        <v>3</v>
      </c>
      <c r="Q135" t="s">
        <v>3204</v>
      </c>
      <c r="R135" t="s">
        <v>3201</v>
      </c>
      <c r="S135" t="s">
        <v>13</v>
      </c>
    </row>
    <row r="136" spans="1:19" x14ac:dyDescent="0.3">
      <c r="A136" t="s">
        <v>162</v>
      </c>
      <c r="B136" t="s">
        <v>1596</v>
      </c>
      <c r="C136" t="s">
        <v>1610</v>
      </c>
      <c r="D136" t="s">
        <v>3189</v>
      </c>
      <c r="E136" t="s">
        <v>9</v>
      </c>
      <c r="F136" s="2">
        <v>42</v>
      </c>
      <c r="G136" t="s">
        <v>3197</v>
      </c>
      <c r="H136" t="s">
        <v>10</v>
      </c>
      <c r="I136" t="s">
        <v>36</v>
      </c>
      <c r="J136" t="s">
        <v>3213</v>
      </c>
      <c r="K136" t="s">
        <v>37</v>
      </c>
      <c r="L136" s="2">
        <v>15.1</v>
      </c>
      <c r="M136" t="s">
        <v>3203</v>
      </c>
      <c r="N136">
        <v>1</v>
      </c>
      <c r="O136">
        <v>1</v>
      </c>
      <c r="P136">
        <v>3</v>
      </c>
      <c r="Q136" t="s">
        <v>3204</v>
      </c>
      <c r="R136" t="s">
        <v>3201</v>
      </c>
      <c r="S136" t="s">
        <v>13</v>
      </c>
    </row>
    <row r="137" spans="1:19" x14ac:dyDescent="0.3">
      <c r="A137" t="s">
        <v>162</v>
      </c>
      <c r="B137" t="s">
        <v>1600</v>
      </c>
      <c r="C137" t="s">
        <v>1735</v>
      </c>
      <c r="D137" t="s">
        <v>3190</v>
      </c>
      <c r="E137" t="s">
        <v>14</v>
      </c>
      <c r="F137" s="2">
        <v>32</v>
      </c>
      <c r="G137" t="s">
        <v>3206</v>
      </c>
      <c r="H137" t="s">
        <v>10</v>
      </c>
      <c r="I137" t="s">
        <v>36</v>
      </c>
      <c r="J137" t="s">
        <v>3213</v>
      </c>
      <c r="K137" t="s">
        <v>37</v>
      </c>
      <c r="L137" s="2">
        <v>15.1</v>
      </c>
      <c r="M137" t="s">
        <v>3203</v>
      </c>
      <c r="N137">
        <v>1</v>
      </c>
      <c r="O137">
        <v>1</v>
      </c>
      <c r="P137">
        <v>3</v>
      </c>
      <c r="Q137" t="s">
        <v>3204</v>
      </c>
      <c r="R137" t="s">
        <v>3201</v>
      </c>
      <c r="S137" t="s">
        <v>13</v>
      </c>
    </row>
    <row r="138" spans="1:19" x14ac:dyDescent="0.3">
      <c r="A138" t="s">
        <v>163</v>
      </c>
      <c r="B138" t="s">
        <v>1602</v>
      </c>
      <c r="C138" t="s">
        <v>1736</v>
      </c>
      <c r="D138" t="s">
        <v>3190</v>
      </c>
      <c r="E138" t="s">
        <v>14</v>
      </c>
      <c r="F138" s="2">
        <v>45</v>
      </c>
      <c r="G138" t="s">
        <v>3197</v>
      </c>
      <c r="H138" t="s">
        <v>25</v>
      </c>
      <c r="I138" t="s">
        <v>19</v>
      </c>
      <c r="J138" t="s">
        <v>3207</v>
      </c>
      <c r="K138" t="s">
        <v>12</v>
      </c>
      <c r="L138" s="2">
        <v>262.07060000000001</v>
      </c>
      <c r="M138" t="s">
        <v>3209</v>
      </c>
      <c r="N138">
        <v>0</v>
      </c>
      <c r="O138">
        <v>0</v>
      </c>
      <c r="P138">
        <v>1</v>
      </c>
      <c r="Q138" t="s">
        <v>3200</v>
      </c>
      <c r="R138" t="s">
        <v>3205</v>
      </c>
      <c r="S138" t="s">
        <v>16</v>
      </c>
    </row>
    <row r="139" spans="1:19" x14ac:dyDescent="0.3">
      <c r="A139" t="s">
        <v>163</v>
      </c>
      <c r="B139" t="s">
        <v>1596</v>
      </c>
      <c r="C139" t="s">
        <v>1737</v>
      </c>
      <c r="D139" t="s">
        <v>3189</v>
      </c>
      <c r="E139" t="s">
        <v>9</v>
      </c>
      <c r="F139" s="2">
        <v>26</v>
      </c>
      <c r="G139" t="s">
        <v>3206</v>
      </c>
      <c r="H139" t="s">
        <v>10</v>
      </c>
      <c r="I139" t="s">
        <v>11</v>
      </c>
      <c r="J139" t="s">
        <v>3198</v>
      </c>
      <c r="K139" t="s">
        <v>40</v>
      </c>
      <c r="L139" s="2">
        <v>16.02</v>
      </c>
      <c r="M139" t="s">
        <v>3203</v>
      </c>
      <c r="N139">
        <v>0</v>
      </c>
      <c r="O139">
        <v>0</v>
      </c>
      <c r="P139">
        <v>1</v>
      </c>
      <c r="Q139" t="s">
        <v>3200</v>
      </c>
      <c r="R139" t="s">
        <v>3201</v>
      </c>
      <c r="S139" t="s">
        <v>13</v>
      </c>
    </row>
    <row r="140" spans="1:19" x14ac:dyDescent="0.3">
      <c r="A140" t="s">
        <v>164</v>
      </c>
      <c r="B140" t="s">
        <v>1596</v>
      </c>
      <c r="C140" t="s">
        <v>1738</v>
      </c>
      <c r="D140" t="s">
        <v>3189</v>
      </c>
      <c r="E140" t="s">
        <v>9</v>
      </c>
      <c r="F140" s="2">
        <v>42</v>
      </c>
      <c r="G140" t="s">
        <v>3197</v>
      </c>
      <c r="H140" t="s">
        <v>18</v>
      </c>
      <c r="I140" t="s">
        <v>11</v>
      </c>
      <c r="J140" t="s">
        <v>3198</v>
      </c>
      <c r="K140" t="s">
        <v>15</v>
      </c>
      <c r="L140" s="2">
        <v>13</v>
      </c>
      <c r="M140" t="s">
        <v>3199</v>
      </c>
      <c r="N140">
        <v>0</v>
      </c>
      <c r="O140">
        <v>0</v>
      </c>
      <c r="P140">
        <v>1</v>
      </c>
      <c r="Q140" t="s">
        <v>3200</v>
      </c>
      <c r="R140" t="s">
        <v>3201</v>
      </c>
      <c r="S140" t="s">
        <v>13</v>
      </c>
    </row>
    <row r="141" spans="1:19" x14ac:dyDescent="0.3">
      <c r="A141" t="s">
        <v>165</v>
      </c>
      <c r="B141" t="s">
        <v>1602</v>
      </c>
      <c r="C141" t="s">
        <v>1739</v>
      </c>
      <c r="D141" t="s">
        <v>3190</v>
      </c>
      <c r="E141" t="s">
        <v>14</v>
      </c>
      <c r="F141" s="2">
        <v>22</v>
      </c>
      <c r="G141" t="s">
        <v>3206</v>
      </c>
      <c r="H141" t="s">
        <v>25</v>
      </c>
      <c r="I141" t="s">
        <v>11</v>
      </c>
      <c r="J141" t="s">
        <v>3198</v>
      </c>
      <c r="K141" t="s">
        <v>15</v>
      </c>
      <c r="L141" s="2">
        <v>55</v>
      </c>
      <c r="M141" t="s">
        <v>3211</v>
      </c>
      <c r="N141">
        <v>0</v>
      </c>
      <c r="O141">
        <v>1</v>
      </c>
      <c r="P141">
        <v>2</v>
      </c>
      <c r="Q141" t="s">
        <v>3204</v>
      </c>
      <c r="R141" t="s">
        <v>3205</v>
      </c>
      <c r="S141" t="s">
        <v>16</v>
      </c>
    </row>
    <row r="142" spans="1:19" x14ac:dyDescent="0.3">
      <c r="A142" t="s">
        <v>166</v>
      </c>
      <c r="B142" t="s">
        <v>1596</v>
      </c>
      <c r="C142" t="s">
        <v>1740</v>
      </c>
      <c r="D142" t="s">
        <v>3189</v>
      </c>
      <c r="E142" t="s">
        <v>9</v>
      </c>
      <c r="F142" s="2">
        <v>30</v>
      </c>
      <c r="G142" t="s">
        <v>3206</v>
      </c>
      <c r="H142" t="s">
        <v>18</v>
      </c>
      <c r="I142" t="s">
        <v>11</v>
      </c>
      <c r="J142" t="s">
        <v>3198</v>
      </c>
      <c r="K142" t="s">
        <v>12</v>
      </c>
      <c r="L142" s="2">
        <v>13</v>
      </c>
      <c r="M142" t="s">
        <v>3199</v>
      </c>
      <c r="N142">
        <v>0</v>
      </c>
      <c r="O142">
        <v>0</v>
      </c>
      <c r="P142">
        <v>1</v>
      </c>
      <c r="Q142" t="s">
        <v>3200</v>
      </c>
      <c r="R142" t="s">
        <v>3201</v>
      </c>
      <c r="S142" t="s">
        <v>13</v>
      </c>
    </row>
    <row r="143" spans="1:19" x14ac:dyDescent="0.3">
      <c r="A143" t="s">
        <v>167</v>
      </c>
      <c r="B143" t="s">
        <v>1602</v>
      </c>
      <c r="C143" t="s">
        <v>1741</v>
      </c>
      <c r="D143" t="s">
        <v>3190</v>
      </c>
      <c r="E143" t="s">
        <v>14</v>
      </c>
      <c r="F143" s="2">
        <v>22</v>
      </c>
      <c r="G143" t="s">
        <v>3206</v>
      </c>
      <c r="H143" t="s">
        <v>10</v>
      </c>
      <c r="I143" t="s">
        <v>36</v>
      </c>
      <c r="J143" t="s">
        <v>3213</v>
      </c>
      <c r="K143" t="s">
        <v>37</v>
      </c>
      <c r="L143" s="2">
        <v>7.1406000000000001</v>
      </c>
      <c r="M143" t="s">
        <v>3199</v>
      </c>
      <c r="N143">
        <v>0</v>
      </c>
      <c r="O143">
        <v>0</v>
      </c>
      <c r="P143">
        <v>1</v>
      </c>
      <c r="Q143" t="s">
        <v>3200</v>
      </c>
      <c r="R143" t="s">
        <v>3205</v>
      </c>
      <c r="S143" t="s">
        <v>16</v>
      </c>
    </row>
    <row r="144" spans="1:19" x14ac:dyDescent="0.3">
      <c r="A144" t="s">
        <v>168</v>
      </c>
      <c r="B144" t="s">
        <v>1596</v>
      </c>
      <c r="C144" t="s">
        <v>1742</v>
      </c>
      <c r="D144" t="s">
        <v>3189</v>
      </c>
      <c r="E144" t="s">
        <v>9</v>
      </c>
      <c r="F144" s="2">
        <v>41</v>
      </c>
      <c r="G144" t="s">
        <v>3197</v>
      </c>
      <c r="H144" t="s">
        <v>25</v>
      </c>
      <c r="I144" t="s">
        <v>11</v>
      </c>
      <c r="J144" t="s">
        <v>3198</v>
      </c>
      <c r="K144" t="s">
        <v>12</v>
      </c>
      <c r="L144" s="2">
        <v>30.1</v>
      </c>
      <c r="M144" t="s">
        <v>3203</v>
      </c>
      <c r="N144">
        <v>0</v>
      </c>
      <c r="O144">
        <v>0</v>
      </c>
      <c r="P144">
        <v>1</v>
      </c>
      <c r="Q144" t="s">
        <v>3200</v>
      </c>
      <c r="R144" t="s">
        <v>3201</v>
      </c>
      <c r="S144" t="s">
        <v>13</v>
      </c>
    </row>
    <row r="145" spans="1:19" x14ac:dyDescent="0.3">
      <c r="A145" t="s">
        <v>169</v>
      </c>
      <c r="B145" t="s">
        <v>1602</v>
      </c>
      <c r="C145" t="s">
        <v>1743</v>
      </c>
      <c r="D145" t="s">
        <v>3190</v>
      </c>
      <c r="E145" t="s">
        <v>14</v>
      </c>
      <c r="F145" s="2">
        <v>20</v>
      </c>
      <c r="G145" t="s">
        <v>3206</v>
      </c>
      <c r="H145" t="s">
        <v>10</v>
      </c>
      <c r="I145" t="s">
        <v>11</v>
      </c>
      <c r="J145" t="s">
        <v>3198</v>
      </c>
      <c r="K145" t="s">
        <v>23</v>
      </c>
      <c r="L145" s="2">
        <v>7.1700999999999997</v>
      </c>
      <c r="M145" t="s">
        <v>3199</v>
      </c>
      <c r="N145">
        <v>0</v>
      </c>
      <c r="O145">
        <v>0</v>
      </c>
      <c r="P145">
        <v>1</v>
      </c>
      <c r="Q145" t="s">
        <v>3200</v>
      </c>
      <c r="R145" t="s">
        <v>3201</v>
      </c>
      <c r="S145" t="s">
        <v>13</v>
      </c>
    </row>
    <row r="146" spans="1:19" x14ac:dyDescent="0.3">
      <c r="A146" t="s">
        <v>170</v>
      </c>
      <c r="B146" t="s">
        <v>1596</v>
      </c>
      <c r="C146" t="s">
        <v>1744</v>
      </c>
      <c r="D146" t="s">
        <v>3189</v>
      </c>
      <c r="E146" t="s">
        <v>9</v>
      </c>
      <c r="F146" s="2">
        <v>24</v>
      </c>
      <c r="G146" t="s">
        <v>3206</v>
      </c>
      <c r="H146" t="s">
        <v>18</v>
      </c>
      <c r="I146" t="s">
        <v>11</v>
      </c>
      <c r="J146" t="s">
        <v>3198</v>
      </c>
      <c r="K146" t="s">
        <v>15</v>
      </c>
      <c r="L146" s="2">
        <v>33</v>
      </c>
      <c r="M146" t="s">
        <v>3203</v>
      </c>
      <c r="N146">
        <v>1</v>
      </c>
      <c r="O146" t="s">
        <v>30</v>
      </c>
      <c r="P146" t="e">
        <v>#VALUE!</v>
      </c>
      <c r="Q146" t="e">
        <v>#VALUE!</v>
      </c>
      <c r="R146" t="s">
        <v>3201</v>
      </c>
      <c r="S146" t="s">
        <v>13</v>
      </c>
    </row>
    <row r="147" spans="1:19" x14ac:dyDescent="0.3">
      <c r="A147" t="s">
        <v>171</v>
      </c>
      <c r="B147" t="s">
        <v>1596</v>
      </c>
      <c r="C147" t="s">
        <v>1745</v>
      </c>
      <c r="D147" t="s">
        <v>3189</v>
      </c>
      <c r="E147" t="s">
        <v>9</v>
      </c>
      <c r="F147" s="2">
        <v>48</v>
      </c>
      <c r="G147" t="s">
        <v>3197</v>
      </c>
      <c r="H147" t="s">
        <v>25</v>
      </c>
      <c r="I147" t="s">
        <v>19</v>
      </c>
      <c r="J147" t="s">
        <v>3207</v>
      </c>
      <c r="K147" t="s">
        <v>12</v>
      </c>
      <c r="L147" s="2">
        <v>50.091099999999997</v>
      </c>
      <c r="M147" t="s">
        <v>3211</v>
      </c>
      <c r="N147">
        <v>0</v>
      </c>
      <c r="O147">
        <v>0</v>
      </c>
      <c r="P147">
        <v>1</v>
      </c>
      <c r="Q147" t="s">
        <v>3200</v>
      </c>
      <c r="R147" t="s">
        <v>3201</v>
      </c>
      <c r="S147" t="s">
        <v>13</v>
      </c>
    </row>
    <row r="148" spans="1:19" x14ac:dyDescent="0.3">
      <c r="A148" t="s">
        <v>172</v>
      </c>
      <c r="B148" t="s">
        <v>1596</v>
      </c>
      <c r="C148" t="s">
        <v>1746</v>
      </c>
      <c r="D148" t="s">
        <v>3189</v>
      </c>
      <c r="E148" t="s">
        <v>9</v>
      </c>
      <c r="F148" s="2">
        <v>29</v>
      </c>
      <c r="G148" t="s">
        <v>3206</v>
      </c>
      <c r="H148" t="s">
        <v>10</v>
      </c>
      <c r="I148" t="s">
        <v>11</v>
      </c>
      <c r="J148" t="s">
        <v>3198</v>
      </c>
      <c r="K148" t="s">
        <v>15</v>
      </c>
      <c r="L148" s="2">
        <v>7</v>
      </c>
      <c r="M148" t="s">
        <v>3199</v>
      </c>
      <c r="N148">
        <v>1</v>
      </c>
      <c r="O148">
        <v>0</v>
      </c>
      <c r="P148">
        <v>2</v>
      </c>
      <c r="Q148" t="s">
        <v>3204</v>
      </c>
      <c r="R148" t="s">
        <v>3201</v>
      </c>
      <c r="S148" t="s">
        <v>13</v>
      </c>
    </row>
    <row r="149" spans="1:19" x14ac:dyDescent="0.3">
      <c r="A149" t="s">
        <v>172</v>
      </c>
      <c r="B149" t="s">
        <v>1596</v>
      </c>
      <c r="C149" t="s">
        <v>1747</v>
      </c>
      <c r="D149" t="s">
        <v>3189</v>
      </c>
      <c r="E149" t="s">
        <v>9</v>
      </c>
      <c r="F149" s="2">
        <v>23</v>
      </c>
      <c r="G149" t="s">
        <v>3206</v>
      </c>
      <c r="H149" t="s">
        <v>10</v>
      </c>
      <c r="I149" t="s">
        <v>11</v>
      </c>
      <c r="J149" t="s">
        <v>3198</v>
      </c>
      <c r="K149" t="s">
        <v>15</v>
      </c>
      <c r="L149" s="2">
        <v>7.05</v>
      </c>
      <c r="M149" t="s">
        <v>3199</v>
      </c>
      <c r="N149">
        <v>1</v>
      </c>
      <c r="O149">
        <v>0</v>
      </c>
      <c r="P149">
        <v>2</v>
      </c>
      <c r="Q149" t="s">
        <v>3204</v>
      </c>
      <c r="R149" t="s">
        <v>3201</v>
      </c>
      <c r="S149" t="s">
        <v>13</v>
      </c>
    </row>
    <row r="150" spans="1:19" x14ac:dyDescent="0.3">
      <c r="A150" t="s">
        <v>173</v>
      </c>
      <c r="B150" t="s">
        <v>1596</v>
      </c>
      <c r="C150" t="s">
        <v>1748</v>
      </c>
      <c r="D150" t="s">
        <v>3189</v>
      </c>
      <c r="E150" t="s">
        <v>9</v>
      </c>
      <c r="F150" s="2">
        <v>37</v>
      </c>
      <c r="G150" t="s">
        <v>3197</v>
      </c>
      <c r="H150" t="s">
        <v>25</v>
      </c>
      <c r="I150" t="s">
        <v>11</v>
      </c>
      <c r="J150" t="s">
        <v>3198</v>
      </c>
      <c r="K150" t="s">
        <v>12</v>
      </c>
      <c r="L150" s="2">
        <v>26.11</v>
      </c>
      <c r="M150" t="s">
        <v>3203</v>
      </c>
      <c r="N150">
        <v>0</v>
      </c>
      <c r="O150">
        <v>0</v>
      </c>
      <c r="P150">
        <v>1</v>
      </c>
      <c r="Q150" t="s">
        <v>3200</v>
      </c>
      <c r="R150" t="s">
        <v>3205</v>
      </c>
      <c r="S150" t="s">
        <v>16</v>
      </c>
    </row>
    <row r="151" spans="1:19" x14ac:dyDescent="0.3">
      <c r="A151" t="s">
        <v>174</v>
      </c>
      <c r="B151" t="s">
        <v>1749</v>
      </c>
      <c r="C151" t="s">
        <v>1750</v>
      </c>
      <c r="D151" t="s">
        <v>3189</v>
      </c>
      <c r="E151" t="s">
        <v>9</v>
      </c>
      <c r="F151" s="2">
        <v>46</v>
      </c>
      <c r="G151" t="s">
        <v>3197</v>
      </c>
      <c r="H151" t="s">
        <v>25</v>
      </c>
      <c r="I151" t="s">
        <v>19</v>
      </c>
      <c r="J151" t="s">
        <v>3207</v>
      </c>
      <c r="K151" t="s">
        <v>12</v>
      </c>
      <c r="L151" s="2">
        <v>39.119999999999997</v>
      </c>
      <c r="M151" t="s">
        <v>3211</v>
      </c>
      <c r="N151">
        <v>0</v>
      </c>
      <c r="O151">
        <v>0</v>
      </c>
      <c r="P151">
        <v>1</v>
      </c>
      <c r="Q151" t="s">
        <v>3200</v>
      </c>
      <c r="R151" t="s">
        <v>3201</v>
      </c>
      <c r="S151" t="s">
        <v>13</v>
      </c>
    </row>
    <row r="152" spans="1:19" x14ac:dyDescent="0.3">
      <c r="A152" t="s">
        <v>175</v>
      </c>
      <c r="B152" t="s">
        <v>1596</v>
      </c>
      <c r="C152" t="s">
        <v>1751</v>
      </c>
      <c r="D152" t="s">
        <v>3189</v>
      </c>
      <c r="E152" t="s">
        <v>9</v>
      </c>
      <c r="F152" s="2">
        <v>20</v>
      </c>
      <c r="G152" t="s">
        <v>3206</v>
      </c>
      <c r="H152" t="s">
        <v>18</v>
      </c>
      <c r="I152" t="s">
        <v>11</v>
      </c>
      <c r="J152" t="s">
        <v>3198</v>
      </c>
      <c r="K152" t="s">
        <v>20</v>
      </c>
      <c r="L152" s="2">
        <v>33</v>
      </c>
      <c r="M152" t="s">
        <v>3203</v>
      </c>
      <c r="N152">
        <v>1</v>
      </c>
      <c r="O152" t="s">
        <v>30</v>
      </c>
      <c r="P152" t="e">
        <v>#VALUE!</v>
      </c>
      <c r="Q152" t="e">
        <v>#VALUE!</v>
      </c>
      <c r="R152" t="s">
        <v>3201</v>
      </c>
      <c r="S152" t="s">
        <v>13</v>
      </c>
    </row>
    <row r="153" spans="1:19" x14ac:dyDescent="0.3">
      <c r="A153" t="s">
        <v>176</v>
      </c>
      <c r="B153" t="s">
        <v>1596</v>
      </c>
      <c r="C153" t="s">
        <v>1752</v>
      </c>
      <c r="D153" t="s">
        <v>3189</v>
      </c>
      <c r="E153" t="s">
        <v>9</v>
      </c>
      <c r="F153" s="2">
        <v>32</v>
      </c>
      <c r="G153" t="s">
        <v>3206</v>
      </c>
      <c r="H153" t="s">
        <v>18</v>
      </c>
      <c r="I153" t="s">
        <v>11</v>
      </c>
      <c r="J153" t="s">
        <v>3198</v>
      </c>
      <c r="K153" t="s">
        <v>15</v>
      </c>
      <c r="L153" s="2">
        <v>13</v>
      </c>
      <c r="M153" t="s">
        <v>3199</v>
      </c>
      <c r="N153">
        <v>0</v>
      </c>
      <c r="O153">
        <v>0</v>
      </c>
      <c r="P153">
        <v>1</v>
      </c>
      <c r="Q153" t="s">
        <v>3200</v>
      </c>
      <c r="R153" t="s">
        <v>3201</v>
      </c>
      <c r="S153" t="s">
        <v>13</v>
      </c>
    </row>
    <row r="154" spans="1:19" x14ac:dyDescent="0.3">
      <c r="A154" t="s">
        <v>177</v>
      </c>
      <c r="B154" t="s">
        <v>1596</v>
      </c>
      <c r="C154" t="s">
        <v>1753</v>
      </c>
      <c r="D154" t="s">
        <v>3189</v>
      </c>
      <c r="E154" t="s">
        <v>9</v>
      </c>
      <c r="F154" s="2">
        <v>22</v>
      </c>
      <c r="G154" t="s">
        <v>3206</v>
      </c>
      <c r="H154" t="s">
        <v>10</v>
      </c>
      <c r="I154" t="s">
        <v>11</v>
      </c>
      <c r="J154" t="s">
        <v>3198</v>
      </c>
      <c r="K154" t="s">
        <v>23</v>
      </c>
      <c r="L154" s="2">
        <v>7.1510999999999996</v>
      </c>
      <c r="M154" t="s">
        <v>3199</v>
      </c>
      <c r="N154">
        <v>0</v>
      </c>
      <c r="O154">
        <v>0</v>
      </c>
      <c r="P154">
        <v>1</v>
      </c>
      <c r="Q154" t="s">
        <v>3200</v>
      </c>
      <c r="R154" t="s">
        <v>3201</v>
      </c>
      <c r="S154" t="s">
        <v>13</v>
      </c>
    </row>
    <row r="155" spans="1:19" x14ac:dyDescent="0.3">
      <c r="A155" t="s">
        <v>178</v>
      </c>
      <c r="B155" t="s">
        <v>1596</v>
      </c>
      <c r="C155" t="s">
        <v>1754</v>
      </c>
      <c r="D155" t="s">
        <v>3189</v>
      </c>
      <c r="E155" t="s">
        <v>9</v>
      </c>
      <c r="F155" s="2">
        <v>40</v>
      </c>
      <c r="G155" t="s">
        <v>3197</v>
      </c>
      <c r="H155" t="s">
        <v>10</v>
      </c>
      <c r="I155" t="s">
        <v>11</v>
      </c>
      <c r="J155" t="s">
        <v>3198</v>
      </c>
      <c r="K155" t="s">
        <v>15</v>
      </c>
      <c r="L155" s="2">
        <v>8.01</v>
      </c>
      <c r="M155" t="s">
        <v>3199</v>
      </c>
      <c r="N155">
        <v>0</v>
      </c>
      <c r="O155">
        <v>0</v>
      </c>
      <c r="P155">
        <v>1</v>
      </c>
      <c r="Q155" t="s">
        <v>3200</v>
      </c>
      <c r="R155" t="s">
        <v>3201</v>
      </c>
      <c r="S155" t="s">
        <v>13</v>
      </c>
    </row>
    <row r="156" spans="1:19" x14ac:dyDescent="0.3">
      <c r="A156" t="s">
        <v>179</v>
      </c>
      <c r="B156" t="s">
        <v>1602</v>
      </c>
      <c r="C156" t="s">
        <v>1755</v>
      </c>
      <c r="D156" t="s">
        <v>3190</v>
      </c>
      <c r="E156" t="s">
        <v>14</v>
      </c>
      <c r="F156" s="2">
        <v>18</v>
      </c>
      <c r="G156" t="s">
        <v>3206</v>
      </c>
      <c r="H156" t="s">
        <v>18</v>
      </c>
      <c r="I156" t="s">
        <v>11</v>
      </c>
      <c r="J156" t="s">
        <v>3198</v>
      </c>
      <c r="K156" t="s">
        <v>15</v>
      </c>
      <c r="L156" s="2">
        <v>13</v>
      </c>
      <c r="M156" t="s">
        <v>3199</v>
      </c>
      <c r="N156">
        <v>0</v>
      </c>
      <c r="O156">
        <v>0</v>
      </c>
      <c r="P156">
        <v>1</v>
      </c>
      <c r="Q156" t="s">
        <v>3200</v>
      </c>
      <c r="R156" t="s">
        <v>3205</v>
      </c>
      <c r="S156" t="s">
        <v>16</v>
      </c>
    </row>
    <row r="157" spans="1:19" x14ac:dyDescent="0.3">
      <c r="A157" t="s">
        <v>179</v>
      </c>
      <c r="B157" t="s">
        <v>1602</v>
      </c>
      <c r="C157" t="s">
        <v>1756</v>
      </c>
      <c r="D157" t="s">
        <v>3190</v>
      </c>
      <c r="E157" t="s">
        <v>14</v>
      </c>
      <c r="F157" s="2">
        <v>15</v>
      </c>
      <c r="G157" t="s">
        <v>3202</v>
      </c>
      <c r="H157" t="s">
        <v>18</v>
      </c>
      <c r="I157" t="s">
        <v>11</v>
      </c>
      <c r="J157" t="s">
        <v>3198</v>
      </c>
      <c r="K157" t="s">
        <v>41</v>
      </c>
      <c r="L157" s="2">
        <v>39</v>
      </c>
      <c r="M157" t="s">
        <v>3211</v>
      </c>
      <c r="N157">
        <v>0</v>
      </c>
      <c r="O157">
        <v>2</v>
      </c>
      <c r="P157">
        <v>3</v>
      </c>
      <c r="Q157" t="s">
        <v>3204</v>
      </c>
      <c r="R157" t="s">
        <v>3205</v>
      </c>
      <c r="S157" t="s">
        <v>16</v>
      </c>
    </row>
    <row r="158" spans="1:19" x14ac:dyDescent="0.3">
      <c r="A158" t="s">
        <v>179</v>
      </c>
      <c r="B158" t="s">
        <v>1600</v>
      </c>
      <c r="C158" t="s">
        <v>1757</v>
      </c>
      <c r="D158" t="s">
        <v>3190</v>
      </c>
      <c r="E158" t="s">
        <v>14</v>
      </c>
      <c r="F158" s="2">
        <v>59</v>
      </c>
      <c r="G158" t="s">
        <v>3210</v>
      </c>
      <c r="H158" t="s">
        <v>25</v>
      </c>
      <c r="I158" t="s">
        <v>11</v>
      </c>
      <c r="J158" t="s">
        <v>3198</v>
      </c>
      <c r="K158" t="s">
        <v>12</v>
      </c>
      <c r="L158" s="2">
        <v>51.090699999999998</v>
      </c>
      <c r="M158" t="s">
        <v>3211</v>
      </c>
      <c r="N158">
        <v>2</v>
      </c>
      <c r="O158">
        <v>0</v>
      </c>
      <c r="P158">
        <v>3</v>
      </c>
      <c r="Q158" t="s">
        <v>3204</v>
      </c>
      <c r="R158" t="s">
        <v>3205</v>
      </c>
      <c r="S158" t="s">
        <v>16</v>
      </c>
    </row>
    <row r="159" spans="1:19" x14ac:dyDescent="0.3">
      <c r="A159" t="s">
        <v>179</v>
      </c>
      <c r="B159" t="s">
        <v>1600</v>
      </c>
      <c r="C159" t="s">
        <v>1758</v>
      </c>
      <c r="D159" t="s">
        <v>3190</v>
      </c>
      <c r="E159" t="s">
        <v>14</v>
      </c>
      <c r="F159" s="2">
        <v>40</v>
      </c>
      <c r="G159" t="s">
        <v>3197</v>
      </c>
      <c r="H159" t="s">
        <v>18</v>
      </c>
      <c r="I159" t="s">
        <v>11</v>
      </c>
      <c r="J159" t="s">
        <v>3198</v>
      </c>
      <c r="K159" t="s">
        <v>41</v>
      </c>
      <c r="L159" s="2">
        <v>39</v>
      </c>
      <c r="M159" t="s">
        <v>3211</v>
      </c>
      <c r="N159">
        <v>1</v>
      </c>
      <c r="O159">
        <v>1</v>
      </c>
      <c r="P159">
        <v>3</v>
      </c>
      <c r="Q159" t="s">
        <v>3204</v>
      </c>
      <c r="R159" t="s">
        <v>3205</v>
      </c>
      <c r="S159" t="s">
        <v>16</v>
      </c>
    </row>
    <row r="160" spans="1:19" x14ac:dyDescent="0.3">
      <c r="A160" t="s">
        <v>179</v>
      </c>
      <c r="B160" t="s">
        <v>1600</v>
      </c>
      <c r="C160" t="s">
        <v>1759</v>
      </c>
      <c r="D160" t="s">
        <v>3190</v>
      </c>
      <c r="E160" t="s">
        <v>14</v>
      </c>
      <c r="F160" s="2">
        <v>44</v>
      </c>
      <c r="G160" t="s">
        <v>3197</v>
      </c>
      <c r="H160" t="s">
        <v>25</v>
      </c>
      <c r="I160" t="s">
        <v>19</v>
      </c>
      <c r="J160" t="s">
        <v>3207</v>
      </c>
      <c r="K160" t="s">
        <v>12</v>
      </c>
      <c r="L160" s="2">
        <v>27.140499999999999</v>
      </c>
      <c r="M160" t="s">
        <v>3203</v>
      </c>
      <c r="N160">
        <v>0</v>
      </c>
      <c r="O160">
        <v>0</v>
      </c>
      <c r="P160">
        <v>1</v>
      </c>
      <c r="Q160" t="s">
        <v>3200</v>
      </c>
      <c r="R160" t="s">
        <v>3205</v>
      </c>
      <c r="S160" t="s">
        <v>16</v>
      </c>
    </row>
    <row r="161" spans="1:19" x14ac:dyDescent="0.3">
      <c r="A161" t="s">
        <v>179</v>
      </c>
      <c r="B161" t="s">
        <v>1596</v>
      </c>
      <c r="C161" t="s">
        <v>1760</v>
      </c>
      <c r="D161" t="s">
        <v>3189</v>
      </c>
      <c r="E161" t="s">
        <v>9</v>
      </c>
      <c r="F161" s="2">
        <v>60</v>
      </c>
      <c r="G161" t="s">
        <v>3210</v>
      </c>
      <c r="H161" t="s">
        <v>18</v>
      </c>
      <c r="I161" t="s">
        <v>11</v>
      </c>
      <c r="J161" t="s">
        <v>3198</v>
      </c>
      <c r="K161" t="s">
        <v>41</v>
      </c>
      <c r="L161" s="2">
        <v>39</v>
      </c>
      <c r="M161" t="s">
        <v>3211</v>
      </c>
      <c r="N161">
        <v>1</v>
      </c>
      <c r="O161">
        <v>1</v>
      </c>
      <c r="P161">
        <v>3</v>
      </c>
      <c r="Q161" t="s">
        <v>3204</v>
      </c>
      <c r="R161" t="s">
        <v>3201</v>
      </c>
      <c r="S161" t="s">
        <v>13</v>
      </c>
    </row>
    <row r="162" spans="1:19" x14ac:dyDescent="0.3">
      <c r="A162" t="s">
        <v>180</v>
      </c>
      <c r="B162" t="s">
        <v>1602</v>
      </c>
      <c r="C162" t="s">
        <v>1761</v>
      </c>
      <c r="D162" t="s">
        <v>3190</v>
      </c>
      <c r="E162" t="s">
        <v>14</v>
      </c>
      <c r="F162" s="2">
        <v>20</v>
      </c>
      <c r="G162" t="s">
        <v>3206</v>
      </c>
      <c r="H162" t="s">
        <v>18</v>
      </c>
      <c r="I162" t="s">
        <v>11</v>
      </c>
      <c r="J162" t="s">
        <v>3198</v>
      </c>
      <c r="K162" t="s">
        <v>23</v>
      </c>
      <c r="L162" s="2">
        <v>26</v>
      </c>
      <c r="M162" t="s">
        <v>3203</v>
      </c>
      <c r="N162">
        <v>1</v>
      </c>
      <c r="O162">
        <v>0</v>
      </c>
      <c r="P162">
        <v>2</v>
      </c>
      <c r="Q162" t="s">
        <v>3204</v>
      </c>
      <c r="R162" t="s">
        <v>3205</v>
      </c>
      <c r="S162" t="s">
        <v>16</v>
      </c>
    </row>
    <row r="163" spans="1:19" x14ac:dyDescent="0.3">
      <c r="A163" t="s">
        <v>180</v>
      </c>
      <c r="B163" t="s">
        <v>1596</v>
      </c>
      <c r="C163" t="s">
        <v>1762</v>
      </c>
      <c r="D163" t="s">
        <v>3189</v>
      </c>
      <c r="E163" t="s">
        <v>9</v>
      </c>
      <c r="F163" s="2">
        <v>25</v>
      </c>
      <c r="G163" t="s">
        <v>3206</v>
      </c>
      <c r="H163" t="s">
        <v>18</v>
      </c>
      <c r="I163" t="s">
        <v>11</v>
      </c>
      <c r="J163" t="s">
        <v>3198</v>
      </c>
      <c r="K163" t="s">
        <v>23</v>
      </c>
      <c r="L163" s="2">
        <v>26</v>
      </c>
      <c r="M163" t="s">
        <v>3203</v>
      </c>
      <c r="N163">
        <v>1</v>
      </c>
      <c r="O163">
        <v>0</v>
      </c>
      <c r="P163">
        <v>2</v>
      </c>
      <c r="Q163" t="s">
        <v>3204</v>
      </c>
      <c r="R163" t="s">
        <v>3201</v>
      </c>
      <c r="S163" t="s">
        <v>13</v>
      </c>
    </row>
    <row r="164" spans="1:19" x14ac:dyDescent="0.3">
      <c r="A164" t="s">
        <v>181</v>
      </c>
      <c r="B164" t="s">
        <v>1602</v>
      </c>
      <c r="C164" t="s">
        <v>1763</v>
      </c>
      <c r="D164" t="s">
        <v>3190</v>
      </c>
      <c r="E164" t="s">
        <v>14</v>
      </c>
      <c r="F164" s="2">
        <v>22</v>
      </c>
      <c r="G164" t="s">
        <v>3206</v>
      </c>
      <c r="H164" t="s">
        <v>10</v>
      </c>
      <c r="I164" t="s">
        <v>36</v>
      </c>
      <c r="J164" t="s">
        <v>3213</v>
      </c>
      <c r="K164" t="s">
        <v>37</v>
      </c>
      <c r="L164" s="2">
        <v>7.0507999999999997</v>
      </c>
      <c r="M164" t="s">
        <v>3199</v>
      </c>
      <c r="N164">
        <v>0</v>
      </c>
      <c r="O164">
        <v>0</v>
      </c>
      <c r="P164">
        <v>1</v>
      </c>
      <c r="Q164" t="s">
        <v>3200</v>
      </c>
      <c r="R164" t="s">
        <v>3201</v>
      </c>
      <c r="S164" t="s">
        <v>13</v>
      </c>
    </row>
    <row r="165" spans="1:19" x14ac:dyDescent="0.3">
      <c r="A165" t="s">
        <v>181</v>
      </c>
      <c r="B165" t="s">
        <v>1596</v>
      </c>
      <c r="C165" t="s">
        <v>1764</v>
      </c>
      <c r="D165" t="s">
        <v>3189</v>
      </c>
      <c r="E165" t="s">
        <v>9</v>
      </c>
      <c r="F165" s="2">
        <v>21</v>
      </c>
      <c r="G165" t="s">
        <v>3206</v>
      </c>
      <c r="H165" t="s">
        <v>10</v>
      </c>
      <c r="I165" t="s">
        <v>36</v>
      </c>
      <c r="J165" t="s">
        <v>3213</v>
      </c>
      <c r="K165" t="s">
        <v>37</v>
      </c>
      <c r="L165" s="2">
        <v>7.1516999999999999</v>
      </c>
      <c r="M165" t="s">
        <v>3199</v>
      </c>
      <c r="N165">
        <v>0</v>
      </c>
      <c r="O165">
        <v>0</v>
      </c>
      <c r="P165">
        <v>1</v>
      </c>
      <c r="Q165" t="s">
        <v>3200</v>
      </c>
      <c r="R165" t="s">
        <v>3205</v>
      </c>
      <c r="S165" t="s">
        <v>16</v>
      </c>
    </row>
    <row r="166" spans="1:19" x14ac:dyDescent="0.3">
      <c r="A166" t="s">
        <v>182</v>
      </c>
      <c r="B166" t="s">
        <v>1600</v>
      </c>
      <c r="C166" t="s">
        <v>1765</v>
      </c>
      <c r="D166" t="s">
        <v>3190</v>
      </c>
      <c r="E166" t="s">
        <v>14</v>
      </c>
      <c r="F166" s="2">
        <v>58</v>
      </c>
      <c r="G166" t="s">
        <v>3210</v>
      </c>
      <c r="H166" t="s">
        <v>25</v>
      </c>
      <c r="I166" t="s">
        <v>19</v>
      </c>
      <c r="J166" t="s">
        <v>3207</v>
      </c>
      <c r="K166" t="s">
        <v>39</v>
      </c>
      <c r="L166" s="2">
        <v>76.051000000000002</v>
      </c>
      <c r="M166" t="s">
        <v>3211</v>
      </c>
      <c r="N166">
        <v>0</v>
      </c>
      <c r="O166">
        <v>0</v>
      </c>
      <c r="P166">
        <v>1</v>
      </c>
      <c r="Q166" t="s">
        <v>3200</v>
      </c>
      <c r="R166" t="s">
        <v>3205</v>
      </c>
      <c r="S166" t="s">
        <v>16</v>
      </c>
    </row>
    <row r="167" spans="1:19" x14ac:dyDescent="0.3">
      <c r="A167" t="s">
        <v>183</v>
      </c>
      <c r="B167" t="s">
        <v>1612</v>
      </c>
      <c r="C167" t="s">
        <v>1766</v>
      </c>
      <c r="D167" t="s">
        <v>3189</v>
      </c>
      <c r="E167" t="s">
        <v>9</v>
      </c>
      <c r="F167" s="2">
        <v>7</v>
      </c>
      <c r="G167" t="s">
        <v>3208</v>
      </c>
      <c r="H167" t="s">
        <v>10</v>
      </c>
      <c r="I167" t="s">
        <v>19</v>
      </c>
      <c r="J167" t="s">
        <v>3207</v>
      </c>
      <c r="K167" t="s">
        <v>21</v>
      </c>
      <c r="L167" s="2">
        <v>15.0411</v>
      </c>
      <c r="M167" t="s">
        <v>3203</v>
      </c>
      <c r="N167">
        <v>1</v>
      </c>
      <c r="O167">
        <v>1</v>
      </c>
      <c r="P167">
        <v>3</v>
      </c>
      <c r="Q167" t="s">
        <v>3204</v>
      </c>
      <c r="R167" t="s">
        <v>3201</v>
      </c>
      <c r="S167" t="s">
        <v>13</v>
      </c>
    </row>
    <row r="168" spans="1:19" x14ac:dyDescent="0.3">
      <c r="A168" t="s">
        <v>183</v>
      </c>
      <c r="B168" t="s">
        <v>1602</v>
      </c>
      <c r="C168" t="s">
        <v>1767</v>
      </c>
      <c r="D168" t="s">
        <v>3190</v>
      </c>
      <c r="E168" t="s">
        <v>14</v>
      </c>
      <c r="F168" s="2">
        <v>10</v>
      </c>
      <c r="G168" t="s">
        <v>3202</v>
      </c>
      <c r="H168" t="s">
        <v>10</v>
      </c>
      <c r="I168" t="s">
        <v>19</v>
      </c>
      <c r="J168" t="s">
        <v>3207</v>
      </c>
      <c r="K168" t="s">
        <v>21</v>
      </c>
      <c r="L168" s="2">
        <v>15.0411</v>
      </c>
      <c r="M168" t="s">
        <v>3203</v>
      </c>
      <c r="N168">
        <v>1</v>
      </c>
      <c r="O168">
        <v>1</v>
      </c>
      <c r="P168">
        <v>3</v>
      </c>
      <c r="Q168" t="s">
        <v>3204</v>
      </c>
      <c r="R168" t="s">
        <v>3201</v>
      </c>
      <c r="S168" t="s">
        <v>13</v>
      </c>
    </row>
    <row r="169" spans="1:19" x14ac:dyDescent="0.3">
      <c r="A169" t="s">
        <v>183</v>
      </c>
      <c r="B169" t="s">
        <v>1600</v>
      </c>
      <c r="C169" t="s">
        <v>1768</v>
      </c>
      <c r="D169" t="s">
        <v>3190</v>
      </c>
      <c r="E169" t="s">
        <v>14</v>
      </c>
      <c r="F169" s="2">
        <v>40</v>
      </c>
      <c r="G169" t="s">
        <v>3197</v>
      </c>
      <c r="H169" t="s">
        <v>10</v>
      </c>
      <c r="I169" t="s">
        <v>19</v>
      </c>
      <c r="J169" t="s">
        <v>3207</v>
      </c>
      <c r="K169" t="s">
        <v>21</v>
      </c>
      <c r="L169" s="2">
        <v>15.0411</v>
      </c>
      <c r="M169" t="s">
        <v>3203</v>
      </c>
      <c r="N169">
        <v>0</v>
      </c>
      <c r="O169">
        <v>2</v>
      </c>
      <c r="P169">
        <v>3</v>
      </c>
      <c r="Q169" t="s">
        <v>3204</v>
      </c>
      <c r="R169" t="s">
        <v>3201</v>
      </c>
      <c r="S169" t="s">
        <v>13</v>
      </c>
    </row>
    <row r="170" spans="1:19" x14ac:dyDescent="0.3">
      <c r="A170" t="s">
        <v>184</v>
      </c>
      <c r="B170" t="s">
        <v>1596</v>
      </c>
      <c r="C170" t="s">
        <v>1769</v>
      </c>
      <c r="D170" t="s">
        <v>3189</v>
      </c>
      <c r="E170" t="s">
        <v>9</v>
      </c>
      <c r="F170" s="2">
        <v>19</v>
      </c>
      <c r="G170" t="s">
        <v>3206</v>
      </c>
      <c r="H170" t="s">
        <v>10</v>
      </c>
      <c r="I170" t="s">
        <v>36</v>
      </c>
      <c r="J170" t="s">
        <v>3213</v>
      </c>
      <c r="K170" t="s">
        <v>37</v>
      </c>
      <c r="L170" s="2">
        <v>6.15</v>
      </c>
      <c r="M170" t="s">
        <v>3199</v>
      </c>
      <c r="N170">
        <v>0</v>
      </c>
      <c r="O170">
        <v>0</v>
      </c>
      <c r="P170">
        <v>1</v>
      </c>
      <c r="Q170" t="s">
        <v>3200</v>
      </c>
      <c r="R170" t="s">
        <v>3201</v>
      </c>
      <c r="S170" t="s">
        <v>13</v>
      </c>
    </row>
    <row r="171" spans="1:19" x14ac:dyDescent="0.3">
      <c r="A171" t="s">
        <v>185</v>
      </c>
      <c r="B171" t="s">
        <v>1602</v>
      </c>
      <c r="C171" t="s">
        <v>1770</v>
      </c>
      <c r="D171" t="s">
        <v>3190</v>
      </c>
      <c r="E171" t="s">
        <v>14</v>
      </c>
      <c r="F171" s="2">
        <v>41</v>
      </c>
      <c r="G171" t="s">
        <v>3197</v>
      </c>
      <c r="H171" t="s">
        <v>25</v>
      </c>
      <c r="I171" t="s">
        <v>19</v>
      </c>
      <c r="J171" t="s">
        <v>3207</v>
      </c>
      <c r="K171" t="s">
        <v>15</v>
      </c>
      <c r="L171" s="2">
        <v>134.1</v>
      </c>
      <c r="M171" t="s">
        <v>3209</v>
      </c>
      <c r="N171">
        <v>0</v>
      </c>
      <c r="O171">
        <v>0</v>
      </c>
      <c r="P171">
        <v>1</v>
      </c>
      <c r="Q171" t="s">
        <v>3200</v>
      </c>
      <c r="R171" t="s">
        <v>3205</v>
      </c>
      <c r="S171" t="s">
        <v>16</v>
      </c>
    </row>
    <row r="172" spans="1:19" x14ac:dyDescent="0.3">
      <c r="A172" t="s">
        <v>185</v>
      </c>
      <c r="B172" t="s">
        <v>1602</v>
      </c>
      <c r="C172" t="s">
        <v>1771</v>
      </c>
      <c r="D172" t="s">
        <v>3190</v>
      </c>
      <c r="E172" t="s">
        <v>14</v>
      </c>
      <c r="F172" s="2">
        <v>17</v>
      </c>
      <c r="G172" t="s">
        <v>3202</v>
      </c>
      <c r="H172" t="s">
        <v>10</v>
      </c>
      <c r="I172" t="s">
        <v>36</v>
      </c>
      <c r="J172" t="s">
        <v>3213</v>
      </c>
      <c r="K172" t="s">
        <v>37</v>
      </c>
      <c r="L172" s="2">
        <v>7.1707000000000001</v>
      </c>
      <c r="M172" t="s">
        <v>3199</v>
      </c>
      <c r="N172">
        <v>0</v>
      </c>
      <c r="O172">
        <v>0</v>
      </c>
      <c r="P172">
        <v>1</v>
      </c>
      <c r="Q172" t="s">
        <v>3200</v>
      </c>
      <c r="R172" t="s">
        <v>3201</v>
      </c>
      <c r="S172" t="s">
        <v>13</v>
      </c>
    </row>
    <row r="173" spans="1:19" x14ac:dyDescent="0.3">
      <c r="A173" t="s">
        <v>186</v>
      </c>
      <c r="B173" t="s">
        <v>1602</v>
      </c>
      <c r="C173" t="s">
        <v>1772</v>
      </c>
      <c r="D173" t="s">
        <v>3190</v>
      </c>
      <c r="E173" t="s">
        <v>14</v>
      </c>
      <c r="F173" s="2">
        <v>36</v>
      </c>
      <c r="G173" t="s">
        <v>3197</v>
      </c>
      <c r="H173" t="s">
        <v>18</v>
      </c>
      <c r="I173" t="s">
        <v>11</v>
      </c>
      <c r="J173" t="s">
        <v>3198</v>
      </c>
      <c r="K173" t="s">
        <v>15</v>
      </c>
      <c r="L173" s="2">
        <v>13</v>
      </c>
      <c r="M173" t="s">
        <v>3199</v>
      </c>
      <c r="N173">
        <v>0</v>
      </c>
      <c r="O173">
        <v>0</v>
      </c>
      <c r="P173">
        <v>1</v>
      </c>
      <c r="Q173" t="s">
        <v>3200</v>
      </c>
      <c r="R173" t="s">
        <v>3205</v>
      </c>
      <c r="S173" t="s">
        <v>16</v>
      </c>
    </row>
    <row r="174" spans="1:19" x14ac:dyDescent="0.3">
      <c r="A174" t="s">
        <v>187</v>
      </c>
      <c r="B174" t="s">
        <v>1596</v>
      </c>
      <c r="C174" t="s">
        <v>1773</v>
      </c>
      <c r="D174" t="s">
        <v>3189</v>
      </c>
      <c r="E174" t="s">
        <v>9</v>
      </c>
      <c r="F174" s="2">
        <v>26</v>
      </c>
      <c r="G174" t="s">
        <v>3206</v>
      </c>
      <c r="H174" t="s">
        <v>18</v>
      </c>
      <c r="I174" t="s">
        <v>11</v>
      </c>
      <c r="J174" t="s">
        <v>3198</v>
      </c>
      <c r="K174" t="s">
        <v>15</v>
      </c>
      <c r="L174" s="2">
        <v>13</v>
      </c>
      <c r="M174" t="s">
        <v>3199</v>
      </c>
      <c r="N174">
        <v>0</v>
      </c>
      <c r="O174">
        <v>0</v>
      </c>
      <c r="P174">
        <v>1</v>
      </c>
      <c r="Q174" t="s">
        <v>3200</v>
      </c>
      <c r="R174" t="s">
        <v>3201</v>
      </c>
      <c r="S174" t="s">
        <v>13</v>
      </c>
    </row>
    <row r="175" spans="1:19" x14ac:dyDescent="0.3">
      <c r="A175" t="s">
        <v>188</v>
      </c>
      <c r="B175" t="s">
        <v>1596</v>
      </c>
      <c r="C175" t="s">
        <v>1774</v>
      </c>
      <c r="D175" t="s">
        <v>3189</v>
      </c>
      <c r="E175" t="s">
        <v>9</v>
      </c>
      <c r="F175" s="2">
        <v>21</v>
      </c>
      <c r="G175" t="s">
        <v>3206</v>
      </c>
      <c r="H175" t="s">
        <v>10</v>
      </c>
      <c r="I175" t="s">
        <v>19</v>
      </c>
      <c r="J175" t="s">
        <v>3207</v>
      </c>
      <c r="K175" t="s">
        <v>21</v>
      </c>
      <c r="L175" s="2">
        <v>7.0407000000000002</v>
      </c>
      <c r="M175" t="s">
        <v>3199</v>
      </c>
      <c r="N175">
        <v>0</v>
      </c>
      <c r="O175">
        <v>0</v>
      </c>
      <c r="P175">
        <v>1</v>
      </c>
      <c r="Q175" t="s">
        <v>3200</v>
      </c>
      <c r="R175" t="s">
        <v>3201</v>
      </c>
      <c r="S175" t="s">
        <v>13</v>
      </c>
    </row>
    <row r="176" spans="1:19" x14ac:dyDescent="0.3">
      <c r="A176" t="s">
        <v>189</v>
      </c>
      <c r="B176" t="s">
        <v>1775</v>
      </c>
      <c r="C176" t="s">
        <v>1776</v>
      </c>
      <c r="D176" t="s">
        <v>3189</v>
      </c>
      <c r="E176" t="s">
        <v>9</v>
      </c>
      <c r="F176" s="2">
        <v>46</v>
      </c>
      <c r="G176" t="s">
        <v>3197</v>
      </c>
      <c r="H176" t="s">
        <v>25</v>
      </c>
      <c r="I176" t="s">
        <v>11</v>
      </c>
      <c r="J176" t="s">
        <v>3198</v>
      </c>
      <c r="K176" t="s">
        <v>12</v>
      </c>
      <c r="L176" s="2">
        <v>26.11</v>
      </c>
      <c r="M176" t="s">
        <v>3203</v>
      </c>
      <c r="N176">
        <v>0</v>
      </c>
      <c r="O176">
        <v>0</v>
      </c>
      <c r="P176">
        <v>1</v>
      </c>
      <c r="Q176" t="s">
        <v>3200</v>
      </c>
      <c r="R176" t="s">
        <v>3201</v>
      </c>
      <c r="S176" t="s">
        <v>13</v>
      </c>
    </row>
    <row r="177" spans="1:19" x14ac:dyDescent="0.3">
      <c r="A177" t="s">
        <v>190</v>
      </c>
      <c r="B177" t="s">
        <v>1777</v>
      </c>
      <c r="C177" t="s">
        <v>1778</v>
      </c>
      <c r="D177" t="s">
        <v>3189</v>
      </c>
      <c r="E177" t="s">
        <v>9</v>
      </c>
      <c r="F177" s="2">
        <v>42</v>
      </c>
      <c r="G177" t="s">
        <v>3197</v>
      </c>
      <c r="H177" t="s">
        <v>18</v>
      </c>
      <c r="I177" t="s">
        <v>11</v>
      </c>
      <c r="J177" t="s">
        <v>3198</v>
      </c>
      <c r="K177" t="s">
        <v>15</v>
      </c>
      <c r="L177" s="2">
        <v>13</v>
      </c>
      <c r="M177" t="s">
        <v>3199</v>
      </c>
      <c r="N177">
        <v>0</v>
      </c>
      <c r="O177">
        <v>0</v>
      </c>
      <c r="P177">
        <v>1</v>
      </c>
      <c r="Q177" t="s">
        <v>3200</v>
      </c>
      <c r="R177" t="s">
        <v>3201</v>
      </c>
      <c r="S177" t="s">
        <v>13</v>
      </c>
    </row>
    <row r="178" spans="1:19" x14ac:dyDescent="0.3">
      <c r="A178" t="s">
        <v>191</v>
      </c>
      <c r="B178" t="s">
        <v>1600</v>
      </c>
      <c r="C178" t="s">
        <v>1779</v>
      </c>
      <c r="D178" t="s">
        <v>3190</v>
      </c>
      <c r="E178" t="s">
        <v>14</v>
      </c>
      <c r="F178" s="2">
        <v>40</v>
      </c>
      <c r="G178" t="s">
        <v>3197</v>
      </c>
      <c r="H178" t="s">
        <v>18</v>
      </c>
      <c r="I178" t="s">
        <v>11</v>
      </c>
      <c r="J178" t="s">
        <v>3198</v>
      </c>
      <c r="K178" t="s">
        <v>12</v>
      </c>
      <c r="L178" s="2">
        <v>13</v>
      </c>
      <c r="M178" t="s">
        <v>3199</v>
      </c>
      <c r="N178">
        <v>0</v>
      </c>
      <c r="O178">
        <v>0</v>
      </c>
      <c r="P178">
        <v>1</v>
      </c>
      <c r="Q178" t="s">
        <v>3200</v>
      </c>
      <c r="R178" t="s">
        <v>3205</v>
      </c>
      <c r="S178" t="s">
        <v>16</v>
      </c>
    </row>
    <row r="179" spans="1:19" x14ac:dyDescent="0.3">
      <c r="A179" t="s">
        <v>192</v>
      </c>
      <c r="B179" t="s">
        <v>1602</v>
      </c>
      <c r="C179" t="s">
        <v>1780</v>
      </c>
      <c r="D179" t="s">
        <v>3190</v>
      </c>
      <c r="E179" t="s">
        <v>14</v>
      </c>
      <c r="F179" s="2">
        <v>21</v>
      </c>
      <c r="G179" t="s">
        <v>3206</v>
      </c>
      <c r="H179" t="s">
        <v>10</v>
      </c>
      <c r="I179" t="s">
        <v>11</v>
      </c>
      <c r="J179" t="s">
        <v>3198</v>
      </c>
      <c r="K179" t="s">
        <v>42</v>
      </c>
      <c r="L179" s="2">
        <v>8.1303000000000001</v>
      </c>
      <c r="M179" t="s">
        <v>3199</v>
      </c>
      <c r="N179">
        <v>0</v>
      </c>
      <c r="O179">
        <v>0</v>
      </c>
      <c r="P179">
        <v>1</v>
      </c>
      <c r="Q179" t="s">
        <v>3200</v>
      </c>
      <c r="R179" t="s">
        <v>3201</v>
      </c>
      <c r="S179" t="s">
        <v>13</v>
      </c>
    </row>
    <row r="180" spans="1:19" x14ac:dyDescent="0.3">
      <c r="A180" t="s">
        <v>192</v>
      </c>
      <c r="B180" t="s">
        <v>1602</v>
      </c>
      <c r="C180" t="s">
        <v>1781</v>
      </c>
      <c r="D180" t="s">
        <v>3190</v>
      </c>
      <c r="E180" t="s">
        <v>14</v>
      </c>
      <c r="F180" s="2">
        <v>30</v>
      </c>
      <c r="G180" t="s">
        <v>3206</v>
      </c>
      <c r="H180" t="s">
        <v>10</v>
      </c>
      <c r="I180" t="s">
        <v>11</v>
      </c>
      <c r="J180" t="s">
        <v>3198</v>
      </c>
      <c r="K180" t="s">
        <v>42</v>
      </c>
      <c r="L180" s="2">
        <v>8.1303000000000001</v>
      </c>
      <c r="M180" t="s">
        <v>3199</v>
      </c>
      <c r="N180">
        <v>0</v>
      </c>
      <c r="O180">
        <v>0</v>
      </c>
      <c r="P180">
        <v>1</v>
      </c>
      <c r="Q180" t="s">
        <v>3200</v>
      </c>
      <c r="R180" t="s">
        <v>3201</v>
      </c>
      <c r="S180" t="s">
        <v>13</v>
      </c>
    </row>
    <row r="181" spans="1:19" x14ac:dyDescent="0.3">
      <c r="A181" t="s">
        <v>192</v>
      </c>
      <c r="B181" t="s">
        <v>1596</v>
      </c>
      <c r="C181" t="s">
        <v>1782</v>
      </c>
      <c r="D181" t="s">
        <v>3189</v>
      </c>
      <c r="E181" t="s">
        <v>9</v>
      </c>
      <c r="F181" s="2">
        <v>18</v>
      </c>
      <c r="G181" t="s">
        <v>3206</v>
      </c>
      <c r="H181" t="s">
        <v>10</v>
      </c>
      <c r="I181" t="s">
        <v>11</v>
      </c>
      <c r="J181" t="s">
        <v>3198</v>
      </c>
      <c r="K181" t="s">
        <v>42</v>
      </c>
      <c r="L181" s="2">
        <v>8.1303000000000001</v>
      </c>
      <c r="M181" t="s">
        <v>3199</v>
      </c>
      <c r="N181">
        <v>0</v>
      </c>
      <c r="O181">
        <v>0</v>
      </c>
      <c r="P181">
        <v>1</v>
      </c>
      <c r="Q181" t="s">
        <v>3200</v>
      </c>
      <c r="R181" t="s">
        <v>3201</v>
      </c>
      <c r="S181" t="s">
        <v>13</v>
      </c>
    </row>
    <row r="182" spans="1:19" x14ac:dyDescent="0.3">
      <c r="A182" t="s">
        <v>192</v>
      </c>
      <c r="B182" t="s">
        <v>1596</v>
      </c>
      <c r="C182" t="s">
        <v>1783</v>
      </c>
      <c r="D182" t="s">
        <v>3189</v>
      </c>
      <c r="E182" t="s">
        <v>9</v>
      </c>
      <c r="F182" s="2">
        <v>38</v>
      </c>
      <c r="G182" t="s">
        <v>3197</v>
      </c>
      <c r="H182" t="s">
        <v>10</v>
      </c>
      <c r="I182" t="s">
        <v>11</v>
      </c>
      <c r="J182" t="s">
        <v>3198</v>
      </c>
      <c r="K182" t="s">
        <v>42</v>
      </c>
      <c r="L182" s="2">
        <v>8.1303000000000001</v>
      </c>
      <c r="M182" t="s">
        <v>3199</v>
      </c>
      <c r="N182">
        <v>0</v>
      </c>
      <c r="O182">
        <v>0</v>
      </c>
      <c r="P182">
        <v>1</v>
      </c>
      <c r="Q182" t="s">
        <v>3200</v>
      </c>
      <c r="R182" t="s">
        <v>3201</v>
      </c>
      <c r="S182" t="s">
        <v>13</v>
      </c>
    </row>
    <row r="183" spans="1:19" x14ac:dyDescent="0.3">
      <c r="A183" t="s">
        <v>193</v>
      </c>
      <c r="B183" t="s">
        <v>1596</v>
      </c>
      <c r="C183" t="s">
        <v>1784</v>
      </c>
      <c r="D183" t="s">
        <v>3189</v>
      </c>
      <c r="E183" t="s">
        <v>9</v>
      </c>
      <c r="F183" s="2">
        <v>28</v>
      </c>
      <c r="G183" t="s">
        <v>3206</v>
      </c>
      <c r="H183" t="s">
        <v>25</v>
      </c>
      <c r="I183" t="s">
        <v>11</v>
      </c>
      <c r="J183" t="s">
        <v>3198</v>
      </c>
      <c r="K183" t="s">
        <v>43</v>
      </c>
      <c r="L183" s="2">
        <v>31</v>
      </c>
      <c r="M183" t="s">
        <v>3203</v>
      </c>
      <c r="N183">
        <v>0</v>
      </c>
      <c r="O183">
        <v>0</v>
      </c>
      <c r="P183">
        <v>1</v>
      </c>
      <c r="Q183" t="s">
        <v>3200</v>
      </c>
      <c r="R183" t="s">
        <v>3201</v>
      </c>
      <c r="S183" t="s">
        <v>13</v>
      </c>
    </row>
    <row r="184" spans="1:19" x14ac:dyDescent="0.3">
      <c r="A184" t="s">
        <v>194</v>
      </c>
      <c r="B184" t="s">
        <v>1596</v>
      </c>
      <c r="C184" t="s">
        <v>1785</v>
      </c>
      <c r="D184" t="s">
        <v>3189</v>
      </c>
      <c r="E184" t="s">
        <v>9</v>
      </c>
      <c r="F184" s="2">
        <v>42</v>
      </c>
      <c r="G184" t="s">
        <v>3197</v>
      </c>
      <c r="H184" t="s">
        <v>25</v>
      </c>
      <c r="I184" t="s">
        <v>11</v>
      </c>
      <c r="J184" t="s">
        <v>3198</v>
      </c>
      <c r="K184" t="s">
        <v>12</v>
      </c>
      <c r="L184" s="2">
        <v>26.050899999999999</v>
      </c>
      <c r="M184" t="s">
        <v>3203</v>
      </c>
      <c r="N184">
        <v>0</v>
      </c>
      <c r="O184">
        <v>0</v>
      </c>
      <c r="P184">
        <v>1</v>
      </c>
      <c r="Q184" t="s">
        <v>3200</v>
      </c>
      <c r="R184" t="s">
        <v>3205</v>
      </c>
      <c r="S184" t="s">
        <v>16</v>
      </c>
    </row>
    <row r="185" spans="1:19" x14ac:dyDescent="0.3">
      <c r="A185" t="s">
        <v>195</v>
      </c>
      <c r="B185" t="s">
        <v>1612</v>
      </c>
      <c r="C185" t="s">
        <v>1786</v>
      </c>
      <c r="D185" t="s">
        <v>3189</v>
      </c>
      <c r="E185" t="s">
        <v>9</v>
      </c>
      <c r="F185" s="2">
        <v>0.83333333330000003</v>
      </c>
      <c r="G185" t="s">
        <v>3208</v>
      </c>
      <c r="H185" t="s">
        <v>18</v>
      </c>
      <c r="I185" t="s">
        <v>11</v>
      </c>
      <c r="J185" t="s">
        <v>3198</v>
      </c>
      <c r="K185" t="s">
        <v>44</v>
      </c>
      <c r="L185" s="2">
        <v>29</v>
      </c>
      <c r="M185" t="s">
        <v>3203</v>
      </c>
      <c r="N185">
        <v>0</v>
      </c>
      <c r="O185">
        <v>2</v>
      </c>
      <c r="P185">
        <v>3</v>
      </c>
      <c r="Q185" t="s">
        <v>3204</v>
      </c>
      <c r="R185" t="s">
        <v>3205</v>
      </c>
      <c r="S185" t="s">
        <v>16</v>
      </c>
    </row>
    <row r="186" spans="1:19" x14ac:dyDescent="0.3">
      <c r="A186" t="s">
        <v>195</v>
      </c>
      <c r="B186" t="s">
        <v>1596</v>
      </c>
      <c r="C186" t="s">
        <v>1787</v>
      </c>
      <c r="D186" t="s">
        <v>3189</v>
      </c>
      <c r="E186" t="s">
        <v>9</v>
      </c>
      <c r="F186" s="2">
        <v>26</v>
      </c>
      <c r="G186" t="s">
        <v>3206</v>
      </c>
      <c r="H186" t="s">
        <v>18</v>
      </c>
      <c r="I186" t="s">
        <v>11</v>
      </c>
      <c r="J186" t="s">
        <v>3198</v>
      </c>
      <c r="K186" t="s">
        <v>44</v>
      </c>
      <c r="L186" s="2">
        <v>29</v>
      </c>
      <c r="M186" t="s">
        <v>3203</v>
      </c>
      <c r="N186">
        <v>1</v>
      </c>
      <c r="O186">
        <v>1</v>
      </c>
      <c r="P186">
        <v>3</v>
      </c>
      <c r="Q186" t="s">
        <v>3204</v>
      </c>
      <c r="R186" t="s">
        <v>3205</v>
      </c>
      <c r="S186" t="s">
        <v>16</v>
      </c>
    </row>
    <row r="187" spans="1:19" x14ac:dyDescent="0.3">
      <c r="A187" t="s">
        <v>195</v>
      </c>
      <c r="B187" t="s">
        <v>1600</v>
      </c>
      <c r="C187" t="s">
        <v>1788</v>
      </c>
      <c r="D187" t="s">
        <v>3190</v>
      </c>
      <c r="E187" t="s">
        <v>14</v>
      </c>
      <c r="F187" s="2">
        <v>28</v>
      </c>
      <c r="G187" t="s">
        <v>3206</v>
      </c>
      <c r="H187" t="s">
        <v>18</v>
      </c>
      <c r="I187" t="s">
        <v>11</v>
      </c>
      <c r="J187" t="s">
        <v>3198</v>
      </c>
      <c r="K187" t="s">
        <v>12</v>
      </c>
      <c r="L187" s="2">
        <v>29</v>
      </c>
      <c r="M187" t="s">
        <v>3203</v>
      </c>
      <c r="N187">
        <v>1</v>
      </c>
      <c r="O187">
        <v>1</v>
      </c>
      <c r="P187">
        <v>3</v>
      </c>
      <c r="Q187" t="s">
        <v>3204</v>
      </c>
      <c r="R187" t="s">
        <v>3205</v>
      </c>
      <c r="S187" t="s">
        <v>16</v>
      </c>
    </row>
    <row r="188" spans="1:19" x14ac:dyDescent="0.3">
      <c r="A188" t="s">
        <v>196</v>
      </c>
      <c r="B188" t="s">
        <v>1596</v>
      </c>
      <c r="C188" t="s">
        <v>1789</v>
      </c>
      <c r="D188" t="s">
        <v>3189</v>
      </c>
      <c r="E188" t="s">
        <v>9</v>
      </c>
      <c r="F188" s="2">
        <v>17</v>
      </c>
      <c r="G188" t="s">
        <v>3202</v>
      </c>
      <c r="H188" t="s">
        <v>10</v>
      </c>
      <c r="I188" t="s">
        <v>11</v>
      </c>
      <c r="J188" t="s">
        <v>3198</v>
      </c>
      <c r="K188" t="s">
        <v>42</v>
      </c>
      <c r="L188" s="2">
        <v>8.1303000000000001</v>
      </c>
      <c r="M188" t="s">
        <v>3199</v>
      </c>
      <c r="N188">
        <v>0</v>
      </c>
      <c r="O188">
        <v>0</v>
      </c>
      <c r="P188">
        <v>1</v>
      </c>
      <c r="Q188" t="s">
        <v>3200</v>
      </c>
      <c r="R188" t="s">
        <v>3201</v>
      </c>
      <c r="S188" t="s">
        <v>13</v>
      </c>
    </row>
    <row r="189" spans="1:19" x14ac:dyDescent="0.3">
      <c r="A189" t="s">
        <v>196</v>
      </c>
      <c r="B189" t="s">
        <v>1596</v>
      </c>
      <c r="C189" t="s">
        <v>1790</v>
      </c>
      <c r="D189" t="s">
        <v>3189</v>
      </c>
      <c r="E189" t="s">
        <v>9</v>
      </c>
      <c r="F189" s="2">
        <v>17</v>
      </c>
      <c r="G189" t="s">
        <v>3202</v>
      </c>
      <c r="H189" t="s">
        <v>10</v>
      </c>
      <c r="I189" t="s">
        <v>11</v>
      </c>
      <c r="J189" t="s">
        <v>3198</v>
      </c>
      <c r="K189" t="s">
        <v>42</v>
      </c>
      <c r="L189" s="2">
        <v>8.1303000000000001</v>
      </c>
      <c r="M189" t="s">
        <v>3199</v>
      </c>
      <c r="N189">
        <v>0</v>
      </c>
      <c r="O189">
        <v>0</v>
      </c>
      <c r="P189">
        <v>1</v>
      </c>
      <c r="Q189" t="s">
        <v>3200</v>
      </c>
      <c r="R189" t="s">
        <v>3201</v>
      </c>
      <c r="S189" t="s">
        <v>13</v>
      </c>
    </row>
    <row r="190" spans="1:19" x14ac:dyDescent="0.3">
      <c r="A190" t="s">
        <v>197</v>
      </c>
      <c r="B190" t="s">
        <v>1602</v>
      </c>
      <c r="C190" t="s">
        <v>1791</v>
      </c>
      <c r="D190" t="s">
        <v>3190</v>
      </c>
      <c r="E190" t="s">
        <v>14</v>
      </c>
      <c r="F190" s="2">
        <v>35</v>
      </c>
      <c r="G190" t="s">
        <v>3206</v>
      </c>
      <c r="H190" t="s">
        <v>18</v>
      </c>
      <c r="I190" t="s">
        <v>11</v>
      </c>
      <c r="J190" t="s">
        <v>3198</v>
      </c>
      <c r="K190" t="s">
        <v>15</v>
      </c>
      <c r="L190" s="2">
        <v>21</v>
      </c>
      <c r="M190" t="s">
        <v>3203</v>
      </c>
      <c r="N190">
        <v>0</v>
      </c>
      <c r="O190">
        <v>0</v>
      </c>
      <c r="P190">
        <v>1</v>
      </c>
      <c r="Q190" t="s">
        <v>3200</v>
      </c>
      <c r="R190" t="s">
        <v>3205</v>
      </c>
      <c r="S190" t="s">
        <v>16</v>
      </c>
    </row>
    <row r="191" spans="1:19" x14ac:dyDescent="0.3">
      <c r="A191" t="s">
        <v>198</v>
      </c>
      <c r="B191" t="s">
        <v>1596</v>
      </c>
      <c r="C191" t="s">
        <v>1621</v>
      </c>
      <c r="D191" t="s">
        <v>3189</v>
      </c>
      <c r="E191" t="s">
        <v>9</v>
      </c>
      <c r="F191" s="2">
        <v>21</v>
      </c>
      <c r="G191" t="s">
        <v>3206</v>
      </c>
      <c r="H191" t="s">
        <v>18</v>
      </c>
      <c r="I191" t="s">
        <v>28</v>
      </c>
      <c r="J191" t="s">
        <v>3212</v>
      </c>
      <c r="K191" t="s">
        <v>29</v>
      </c>
      <c r="L191" s="2">
        <v>33</v>
      </c>
      <c r="M191" t="s">
        <v>3203</v>
      </c>
      <c r="N191">
        <v>0</v>
      </c>
      <c r="O191">
        <v>0</v>
      </c>
      <c r="P191">
        <v>1</v>
      </c>
      <c r="Q191" t="s">
        <v>3200</v>
      </c>
      <c r="R191" t="s">
        <v>3201</v>
      </c>
      <c r="S191" t="s">
        <v>13</v>
      </c>
    </row>
    <row r="192" spans="1:19" x14ac:dyDescent="0.3">
      <c r="A192" t="s">
        <v>199</v>
      </c>
      <c r="B192" t="s">
        <v>1602</v>
      </c>
      <c r="C192" t="s">
        <v>1734</v>
      </c>
      <c r="D192" t="s">
        <v>3190</v>
      </c>
      <c r="E192" t="s">
        <v>14</v>
      </c>
      <c r="F192" s="2">
        <v>22</v>
      </c>
      <c r="G192" t="s">
        <v>3206</v>
      </c>
      <c r="H192" t="s">
        <v>10</v>
      </c>
      <c r="I192" t="s">
        <v>36</v>
      </c>
      <c r="J192" t="s">
        <v>3213</v>
      </c>
      <c r="K192" t="s">
        <v>37</v>
      </c>
      <c r="L192" s="2">
        <v>7.15</v>
      </c>
      <c r="M192" t="s">
        <v>3199</v>
      </c>
      <c r="N192">
        <v>0</v>
      </c>
      <c r="O192">
        <v>0</v>
      </c>
      <c r="P192">
        <v>1</v>
      </c>
      <c r="Q192" t="s">
        <v>3200</v>
      </c>
      <c r="R192" t="s">
        <v>3201</v>
      </c>
      <c r="S192" t="s">
        <v>13</v>
      </c>
    </row>
    <row r="193" spans="1:19" x14ac:dyDescent="0.3">
      <c r="A193" t="s">
        <v>199</v>
      </c>
      <c r="B193" t="s">
        <v>1596</v>
      </c>
      <c r="C193" t="s">
        <v>1792</v>
      </c>
      <c r="D193" t="s">
        <v>3189</v>
      </c>
      <c r="E193" t="s">
        <v>9</v>
      </c>
      <c r="F193" s="2">
        <v>21</v>
      </c>
      <c r="G193" t="s">
        <v>3206</v>
      </c>
      <c r="H193" t="s">
        <v>10</v>
      </c>
      <c r="I193" t="s">
        <v>36</v>
      </c>
      <c r="J193" t="s">
        <v>3213</v>
      </c>
      <c r="K193" t="s">
        <v>37</v>
      </c>
      <c r="L193" s="2">
        <v>7.15</v>
      </c>
      <c r="M193" t="s">
        <v>3199</v>
      </c>
      <c r="N193">
        <v>0</v>
      </c>
      <c r="O193">
        <v>0</v>
      </c>
      <c r="P193">
        <v>1</v>
      </c>
      <c r="Q193" t="s">
        <v>3200</v>
      </c>
      <c r="R193" t="s">
        <v>3201</v>
      </c>
      <c r="S193" t="s">
        <v>13</v>
      </c>
    </row>
    <row r="194" spans="1:19" x14ac:dyDescent="0.3">
      <c r="A194" t="s">
        <v>200</v>
      </c>
      <c r="B194" t="s">
        <v>1600</v>
      </c>
      <c r="C194" t="s">
        <v>1793</v>
      </c>
      <c r="D194" t="s">
        <v>3190</v>
      </c>
      <c r="E194" t="s">
        <v>14</v>
      </c>
      <c r="F194" s="2">
        <v>52</v>
      </c>
      <c r="G194" t="s">
        <v>3197</v>
      </c>
      <c r="H194" t="s">
        <v>25</v>
      </c>
      <c r="I194" t="s">
        <v>19</v>
      </c>
      <c r="J194" t="s">
        <v>3207</v>
      </c>
      <c r="K194" t="s">
        <v>12</v>
      </c>
      <c r="L194" s="2">
        <v>27.081099999999999</v>
      </c>
      <c r="M194" t="s">
        <v>3203</v>
      </c>
      <c r="N194">
        <v>0</v>
      </c>
      <c r="O194">
        <v>0</v>
      </c>
      <c r="P194">
        <v>1</v>
      </c>
      <c r="Q194" t="s">
        <v>3200</v>
      </c>
      <c r="R194" t="s">
        <v>3205</v>
      </c>
      <c r="S194" t="s">
        <v>16</v>
      </c>
    </row>
    <row r="195" spans="1:19" x14ac:dyDescent="0.3">
      <c r="A195" t="s">
        <v>201</v>
      </c>
      <c r="B195" t="s">
        <v>1596</v>
      </c>
      <c r="C195" t="s">
        <v>1794</v>
      </c>
      <c r="D195" t="s">
        <v>3189</v>
      </c>
      <c r="E195" t="s">
        <v>9</v>
      </c>
      <c r="F195" s="2">
        <v>29</v>
      </c>
      <c r="G195" t="s">
        <v>3206</v>
      </c>
      <c r="H195" t="s">
        <v>10</v>
      </c>
      <c r="I195" t="s">
        <v>11</v>
      </c>
      <c r="J195" t="s">
        <v>3198</v>
      </c>
      <c r="K195" t="s">
        <v>15</v>
      </c>
      <c r="L195" s="2">
        <v>8.01</v>
      </c>
      <c r="M195" t="s">
        <v>3199</v>
      </c>
      <c r="N195">
        <v>0</v>
      </c>
      <c r="O195">
        <v>0</v>
      </c>
      <c r="P195">
        <v>1</v>
      </c>
      <c r="Q195" t="s">
        <v>3200</v>
      </c>
      <c r="R195" t="s">
        <v>3201</v>
      </c>
      <c r="S195" t="s">
        <v>13</v>
      </c>
    </row>
    <row r="196" spans="1:19" x14ac:dyDescent="0.3">
      <c r="A196" t="s">
        <v>202</v>
      </c>
      <c r="B196" t="s">
        <v>1596</v>
      </c>
      <c r="C196" t="s">
        <v>1795</v>
      </c>
      <c r="D196" t="s">
        <v>3189</v>
      </c>
      <c r="E196" t="s">
        <v>9</v>
      </c>
      <c r="F196" s="2">
        <v>28</v>
      </c>
      <c r="G196" t="s">
        <v>3206</v>
      </c>
      <c r="H196" t="s">
        <v>10</v>
      </c>
      <c r="I196" t="s">
        <v>19</v>
      </c>
      <c r="J196" t="s">
        <v>3207</v>
      </c>
      <c r="K196" t="s">
        <v>26</v>
      </c>
      <c r="L196" s="2">
        <v>14.090199999999999</v>
      </c>
      <c r="M196" t="s">
        <v>3199</v>
      </c>
      <c r="N196">
        <v>1</v>
      </c>
      <c r="O196">
        <v>0</v>
      </c>
      <c r="P196">
        <v>2</v>
      </c>
      <c r="Q196" t="s">
        <v>3204</v>
      </c>
      <c r="R196" t="s">
        <v>3201</v>
      </c>
      <c r="S196" t="s">
        <v>13</v>
      </c>
    </row>
    <row r="197" spans="1:19" x14ac:dyDescent="0.3">
      <c r="A197" t="s">
        <v>202</v>
      </c>
      <c r="B197" t="s">
        <v>1600</v>
      </c>
      <c r="C197" t="s">
        <v>1796</v>
      </c>
      <c r="D197" t="s">
        <v>3190</v>
      </c>
      <c r="E197" t="s">
        <v>14</v>
      </c>
      <c r="F197" s="2">
        <v>18</v>
      </c>
      <c r="G197" t="s">
        <v>3206</v>
      </c>
      <c r="H197" t="s">
        <v>10</v>
      </c>
      <c r="I197" t="s">
        <v>19</v>
      </c>
      <c r="J197" t="s">
        <v>3207</v>
      </c>
      <c r="K197" t="s">
        <v>21</v>
      </c>
      <c r="L197" s="2">
        <v>14.090199999999999</v>
      </c>
      <c r="M197" t="s">
        <v>3199</v>
      </c>
      <c r="N197">
        <v>1</v>
      </c>
      <c r="O197">
        <v>0</v>
      </c>
      <c r="P197">
        <v>2</v>
      </c>
      <c r="Q197" t="s">
        <v>3204</v>
      </c>
      <c r="R197" t="s">
        <v>3201</v>
      </c>
      <c r="S197" t="s">
        <v>13</v>
      </c>
    </row>
    <row r="198" spans="1:19" x14ac:dyDescent="0.3">
      <c r="A198" t="s">
        <v>203</v>
      </c>
      <c r="B198" t="s">
        <v>1596</v>
      </c>
      <c r="C198" t="s">
        <v>1619</v>
      </c>
      <c r="D198" t="s">
        <v>3189</v>
      </c>
      <c r="E198" t="s">
        <v>9</v>
      </c>
      <c r="F198" s="2">
        <v>19</v>
      </c>
      <c r="G198" t="s">
        <v>3206</v>
      </c>
      <c r="H198" t="s">
        <v>18</v>
      </c>
      <c r="I198" t="s">
        <v>11</v>
      </c>
      <c r="J198" t="s">
        <v>3198</v>
      </c>
      <c r="K198" t="s">
        <v>15</v>
      </c>
      <c r="L198" s="2">
        <v>13</v>
      </c>
      <c r="M198" t="s">
        <v>3199</v>
      </c>
      <c r="N198">
        <v>0</v>
      </c>
      <c r="O198">
        <v>0</v>
      </c>
      <c r="P198">
        <v>1</v>
      </c>
      <c r="Q198" t="s">
        <v>3200</v>
      </c>
      <c r="R198" t="s">
        <v>3201</v>
      </c>
      <c r="S198" t="s">
        <v>13</v>
      </c>
    </row>
    <row r="199" spans="1:19" x14ac:dyDescent="0.3">
      <c r="A199" t="s">
        <v>204</v>
      </c>
      <c r="B199" t="s">
        <v>1600</v>
      </c>
      <c r="C199" t="s">
        <v>1797</v>
      </c>
      <c r="D199" t="s">
        <v>3190</v>
      </c>
      <c r="E199" t="s">
        <v>14</v>
      </c>
      <c r="F199" s="2">
        <v>58</v>
      </c>
      <c r="G199" t="s">
        <v>3210</v>
      </c>
      <c r="H199" t="s">
        <v>25</v>
      </c>
      <c r="I199" t="s">
        <v>19</v>
      </c>
      <c r="J199" t="s">
        <v>3207</v>
      </c>
      <c r="K199" t="s">
        <v>12</v>
      </c>
      <c r="L199" s="2">
        <v>512.0607</v>
      </c>
      <c r="M199" t="s">
        <v>3209</v>
      </c>
      <c r="N199">
        <v>0</v>
      </c>
      <c r="O199">
        <v>1</v>
      </c>
      <c r="P199">
        <v>2</v>
      </c>
      <c r="Q199" t="s">
        <v>3204</v>
      </c>
      <c r="R199" t="s">
        <v>3205</v>
      </c>
      <c r="S199" t="s">
        <v>16</v>
      </c>
    </row>
    <row r="200" spans="1:19" x14ac:dyDescent="0.3">
      <c r="A200" t="s">
        <v>204</v>
      </c>
      <c r="B200" t="s">
        <v>1596</v>
      </c>
      <c r="C200" t="s">
        <v>1798</v>
      </c>
      <c r="D200" t="s">
        <v>3189</v>
      </c>
      <c r="E200" t="s">
        <v>9</v>
      </c>
      <c r="F200" s="2">
        <v>36</v>
      </c>
      <c r="G200" t="s">
        <v>3197</v>
      </c>
      <c r="H200" t="s">
        <v>25</v>
      </c>
      <c r="I200" t="s">
        <v>19</v>
      </c>
      <c r="J200" t="s">
        <v>3207</v>
      </c>
      <c r="K200" t="s">
        <v>12</v>
      </c>
      <c r="L200" s="2">
        <v>512.0607</v>
      </c>
      <c r="M200" t="s">
        <v>3209</v>
      </c>
      <c r="N200">
        <v>0</v>
      </c>
      <c r="O200">
        <v>1</v>
      </c>
      <c r="P200">
        <v>2</v>
      </c>
      <c r="Q200" t="s">
        <v>3204</v>
      </c>
      <c r="R200" t="s">
        <v>3205</v>
      </c>
      <c r="S200" t="s">
        <v>16</v>
      </c>
    </row>
    <row r="201" spans="1:19" x14ac:dyDescent="0.3">
      <c r="A201" t="s">
        <v>205</v>
      </c>
      <c r="B201" t="s">
        <v>1596</v>
      </c>
      <c r="C201" t="s">
        <v>1799</v>
      </c>
      <c r="D201" t="s">
        <v>3189</v>
      </c>
      <c r="E201" t="s">
        <v>9</v>
      </c>
      <c r="F201" s="2">
        <v>28</v>
      </c>
      <c r="G201" t="s">
        <v>3206</v>
      </c>
      <c r="H201" t="s">
        <v>10</v>
      </c>
      <c r="I201" t="s">
        <v>11</v>
      </c>
      <c r="J201" t="s">
        <v>3198</v>
      </c>
      <c r="K201" t="s">
        <v>23</v>
      </c>
      <c r="L201" s="2">
        <v>7.1510999999999996</v>
      </c>
      <c r="M201" t="s">
        <v>3199</v>
      </c>
      <c r="N201">
        <v>0</v>
      </c>
      <c r="O201">
        <v>0</v>
      </c>
      <c r="P201">
        <v>1</v>
      </c>
      <c r="Q201" t="s">
        <v>3200</v>
      </c>
      <c r="R201" t="s">
        <v>3201</v>
      </c>
      <c r="S201" t="s">
        <v>13</v>
      </c>
    </row>
    <row r="202" spans="1:19" x14ac:dyDescent="0.3">
      <c r="A202" t="s">
        <v>205</v>
      </c>
      <c r="B202" t="s">
        <v>1596</v>
      </c>
      <c r="C202" t="s">
        <v>1800</v>
      </c>
      <c r="D202" t="s">
        <v>3189</v>
      </c>
      <c r="E202" t="s">
        <v>9</v>
      </c>
      <c r="F202" s="2">
        <v>24</v>
      </c>
      <c r="G202" t="s">
        <v>3206</v>
      </c>
      <c r="H202" t="s">
        <v>10</v>
      </c>
      <c r="I202" t="s">
        <v>11</v>
      </c>
      <c r="J202" t="s">
        <v>3198</v>
      </c>
      <c r="K202" t="s">
        <v>23</v>
      </c>
      <c r="L202" s="2">
        <v>7.1700999999999997</v>
      </c>
      <c r="M202" t="s">
        <v>3199</v>
      </c>
      <c r="N202">
        <v>0</v>
      </c>
      <c r="O202">
        <v>0</v>
      </c>
      <c r="P202">
        <v>1</v>
      </c>
      <c r="Q202" t="s">
        <v>3200</v>
      </c>
      <c r="R202" t="s">
        <v>3201</v>
      </c>
      <c r="S202" t="s">
        <v>13</v>
      </c>
    </row>
    <row r="203" spans="1:19" x14ac:dyDescent="0.3">
      <c r="A203" t="s">
        <v>205</v>
      </c>
      <c r="B203" t="s">
        <v>1596</v>
      </c>
      <c r="C203" t="s">
        <v>1801</v>
      </c>
      <c r="D203" t="s">
        <v>3189</v>
      </c>
      <c r="E203" t="s">
        <v>9</v>
      </c>
      <c r="F203" s="2">
        <v>33</v>
      </c>
      <c r="G203" t="s">
        <v>3206</v>
      </c>
      <c r="H203" t="s">
        <v>25</v>
      </c>
      <c r="I203" t="s">
        <v>11</v>
      </c>
      <c r="J203" t="s">
        <v>3198</v>
      </c>
      <c r="K203" t="s">
        <v>12</v>
      </c>
      <c r="L203" s="2">
        <v>5</v>
      </c>
      <c r="M203" t="s">
        <v>3199</v>
      </c>
      <c r="N203">
        <v>0</v>
      </c>
      <c r="O203">
        <v>0</v>
      </c>
      <c r="P203">
        <v>1</v>
      </c>
      <c r="Q203" t="s">
        <v>3200</v>
      </c>
      <c r="R203" t="s">
        <v>3201</v>
      </c>
      <c r="S203" t="s">
        <v>13</v>
      </c>
    </row>
    <row r="204" spans="1:19" x14ac:dyDescent="0.3">
      <c r="A204" t="s">
        <v>206</v>
      </c>
      <c r="B204" t="s">
        <v>1596</v>
      </c>
      <c r="C204" t="s">
        <v>1802</v>
      </c>
      <c r="D204" t="s">
        <v>3189</v>
      </c>
      <c r="E204" t="s">
        <v>9</v>
      </c>
      <c r="F204" s="2">
        <v>17</v>
      </c>
      <c r="G204" t="s">
        <v>3202</v>
      </c>
      <c r="H204" t="s">
        <v>25</v>
      </c>
      <c r="I204" t="s">
        <v>11</v>
      </c>
      <c r="J204" t="s">
        <v>3198</v>
      </c>
      <c r="K204" t="s">
        <v>45</v>
      </c>
      <c r="L204" s="2">
        <v>47.02</v>
      </c>
      <c r="M204" t="s">
        <v>3211</v>
      </c>
      <c r="N204">
        <v>0</v>
      </c>
      <c r="O204">
        <v>0</v>
      </c>
      <c r="P204">
        <v>1</v>
      </c>
      <c r="Q204" t="s">
        <v>3200</v>
      </c>
      <c r="R204" t="s">
        <v>3201</v>
      </c>
      <c r="S204" t="s">
        <v>13</v>
      </c>
    </row>
    <row r="205" spans="1:19" x14ac:dyDescent="0.3">
      <c r="A205" t="s">
        <v>207</v>
      </c>
      <c r="B205" t="s">
        <v>1596</v>
      </c>
      <c r="C205" t="s">
        <v>1803</v>
      </c>
      <c r="D205" t="s">
        <v>3189</v>
      </c>
      <c r="E205" t="s">
        <v>9</v>
      </c>
      <c r="F205" s="2">
        <v>27</v>
      </c>
      <c r="G205" t="s">
        <v>3206</v>
      </c>
      <c r="H205" t="s">
        <v>25</v>
      </c>
      <c r="I205" t="s">
        <v>11</v>
      </c>
      <c r="J205" t="s">
        <v>3198</v>
      </c>
      <c r="K205" t="s">
        <v>45</v>
      </c>
      <c r="L205" s="2">
        <v>47.02</v>
      </c>
      <c r="M205" t="s">
        <v>3211</v>
      </c>
      <c r="N205">
        <v>0</v>
      </c>
      <c r="O205">
        <v>0</v>
      </c>
      <c r="P205">
        <v>1</v>
      </c>
      <c r="Q205" t="s">
        <v>3200</v>
      </c>
      <c r="R205" t="s">
        <v>3201</v>
      </c>
      <c r="S205" t="s">
        <v>13</v>
      </c>
    </row>
    <row r="206" spans="1:19" x14ac:dyDescent="0.3">
      <c r="A206" t="s">
        <v>208</v>
      </c>
      <c r="B206" t="s">
        <v>1602</v>
      </c>
      <c r="C206" t="s">
        <v>1804</v>
      </c>
      <c r="D206" t="s">
        <v>3190</v>
      </c>
      <c r="E206" t="s">
        <v>14</v>
      </c>
      <c r="F206" s="2">
        <v>45</v>
      </c>
      <c r="G206" t="s">
        <v>3197</v>
      </c>
      <c r="H206" t="s">
        <v>10</v>
      </c>
      <c r="I206" t="s">
        <v>36</v>
      </c>
      <c r="J206" t="s">
        <v>3213</v>
      </c>
      <c r="K206" t="s">
        <v>37</v>
      </c>
      <c r="L206" s="2">
        <v>7.15</v>
      </c>
      <c r="M206" t="s">
        <v>3199</v>
      </c>
      <c r="N206">
        <v>0</v>
      </c>
      <c r="O206">
        <v>0</v>
      </c>
      <c r="P206">
        <v>1</v>
      </c>
      <c r="Q206" t="s">
        <v>3200</v>
      </c>
      <c r="R206" t="s">
        <v>3201</v>
      </c>
      <c r="S206" t="s">
        <v>13</v>
      </c>
    </row>
    <row r="207" spans="1:19" x14ac:dyDescent="0.3">
      <c r="A207" t="s">
        <v>209</v>
      </c>
      <c r="B207" t="s">
        <v>1777</v>
      </c>
      <c r="C207" t="s">
        <v>1805</v>
      </c>
      <c r="D207" t="s">
        <v>3189</v>
      </c>
      <c r="E207" t="s">
        <v>9</v>
      </c>
      <c r="F207" s="2">
        <v>54</v>
      </c>
      <c r="G207" t="s">
        <v>3197</v>
      </c>
      <c r="H207" t="s">
        <v>18</v>
      </c>
      <c r="I207" t="s">
        <v>11</v>
      </c>
      <c r="J207" t="s">
        <v>3198</v>
      </c>
      <c r="K207" t="s">
        <v>15</v>
      </c>
      <c r="L207" s="2">
        <v>26</v>
      </c>
      <c r="M207" t="s">
        <v>3203</v>
      </c>
      <c r="N207">
        <v>1</v>
      </c>
      <c r="O207">
        <v>0</v>
      </c>
      <c r="P207">
        <v>2</v>
      </c>
      <c r="Q207" t="s">
        <v>3204</v>
      </c>
      <c r="R207" t="s">
        <v>3201</v>
      </c>
      <c r="S207" t="s">
        <v>13</v>
      </c>
    </row>
    <row r="208" spans="1:19" x14ac:dyDescent="0.3">
      <c r="A208" t="s">
        <v>209</v>
      </c>
      <c r="B208" t="s">
        <v>1612</v>
      </c>
      <c r="C208" t="s">
        <v>1806</v>
      </c>
      <c r="D208" t="s">
        <v>3189</v>
      </c>
      <c r="E208" t="s">
        <v>9</v>
      </c>
      <c r="F208" s="2">
        <v>11</v>
      </c>
      <c r="G208" t="s">
        <v>3202</v>
      </c>
      <c r="H208" t="s">
        <v>25</v>
      </c>
      <c r="I208" t="s">
        <v>11</v>
      </c>
      <c r="J208" t="s">
        <v>3198</v>
      </c>
      <c r="K208" t="s">
        <v>12</v>
      </c>
      <c r="L208" s="2">
        <v>120</v>
      </c>
      <c r="M208" t="s">
        <v>3209</v>
      </c>
      <c r="N208">
        <v>1</v>
      </c>
      <c r="O208">
        <v>2</v>
      </c>
      <c r="P208">
        <v>4</v>
      </c>
      <c r="Q208" t="s">
        <v>3204</v>
      </c>
      <c r="R208" t="s">
        <v>3205</v>
      </c>
      <c r="S208" t="s">
        <v>16</v>
      </c>
    </row>
    <row r="209" spans="1:19" x14ac:dyDescent="0.3">
      <c r="A209" t="s">
        <v>209</v>
      </c>
      <c r="B209" t="s">
        <v>1602</v>
      </c>
      <c r="C209" t="s">
        <v>1807</v>
      </c>
      <c r="D209" t="s">
        <v>3190</v>
      </c>
      <c r="E209" t="s">
        <v>14</v>
      </c>
      <c r="F209" s="2">
        <v>13</v>
      </c>
      <c r="G209" t="s">
        <v>3202</v>
      </c>
      <c r="H209" t="s">
        <v>25</v>
      </c>
      <c r="I209" t="s">
        <v>11</v>
      </c>
      <c r="J209" t="s">
        <v>3198</v>
      </c>
      <c r="K209" t="s">
        <v>12</v>
      </c>
      <c r="L209" s="2">
        <v>120</v>
      </c>
      <c r="M209" t="s">
        <v>3209</v>
      </c>
      <c r="N209">
        <v>1</v>
      </c>
      <c r="O209">
        <v>2</v>
      </c>
      <c r="P209">
        <v>4</v>
      </c>
      <c r="Q209" t="s">
        <v>3204</v>
      </c>
      <c r="R209" t="s">
        <v>3205</v>
      </c>
      <c r="S209" t="s">
        <v>16</v>
      </c>
    </row>
    <row r="210" spans="1:19" x14ac:dyDescent="0.3">
      <c r="A210" t="s">
        <v>209</v>
      </c>
      <c r="B210" t="s">
        <v>1600</v>
      </c>
      <c r="C210" t="s">
        <v>1808</v>
      </c>
      <c r="D210" t="s">
        <v>3190</v>
      </c>
      <c r="E210" t="s">
        <v>14</v>
      </c>
      <c r="F210" s="2">
        <v>45</v>
      </c>
      <c r="G210" t="s">
        <v>3197</v>
      </c>
      <c r="H210" t="s">
        <v>18</v>
      </c>
      <c r="I210" t="s">
        <v>11</v>
      </c>
      <c r="J210" t="s">
        <v>3198</v>
      </c>
      <c r="K210" t="s">
        <v>15</v>
      </c>
      <c r="L210" s="2">
        <v>26</v>
      </c>
      <c r="M210" t="s">
        <v>3203</v>
      </c>
      <c r="N210">
        <v>1</v>
      </c>
      <c r="O210">
        <v>0</v>
      </c>
      <c r="P210">
        <v>2</v>
      </c>
      <c r="Q210" t="s">
        <v>3204</v>
      </c>
      <c r="R210" t="s">
        <v>3201</v>
      </c>
      <c r="S210" t="s">
        <v>13</v>
      </c>
    </row>
    <row r="211" spans="1:19" x14ac:dyDescent="0.3">
      <c r="A211" t="s">
        <v>209</v>
      </c>
      <c r="B211" t="s">
        <v>1600</v>
      </c>
      <c r="C211" t="s">
        <v>1809</v>
      </c>
      <c r="D211" t="s">
        <v>3190</v>
      </c>
      <c r="E211" t="s">
        <v>14</v>
      </c>
      <c r="F211" s="2">
        <v>36</v>
      </c>
      <c r="G211" t="s">
        <v>3197</v>
      </c>
      <c r="H211" t="s">
        <v>25</v>
      </c>
      <c r="I211" t="s">
        <v>11</v>
      </c>
      <c r="J211" t="s">
        <v>3198</v>
      </c>
      <c r="K211" t="s">
        <v>12</v>
      </c>
      <c r="L211" s="2">
        <v>120</v>
      </c>
      <c r="M211" t="s">
        <v>3209</v>
      </c>
      <c r="N211">
        <v>1</v>
      </c>
      <c r="O211">
        <v>2</v>
      </c>
      <c r="P211">
        <v>4</v>
      </c>
      <c r="Q211" t="s">
        <v>3204</v>
      </c>
      <c r="R211" t="s">
        <v>3205</v>
      </c>
      <c r="S211" t="s">
        <v>16</v>
      </c>
    </row>
    <row r="212" spans="1:19" x14ac:dyDescent="0.3">
      <c r="A212" t="s">
        <v>209</v>
      </c>
      <c r="B212" t="s">
        <v>1596</v>
      </c>
      <c r="C212" t="s">
        <v>1810</v>
      </c>
      <c r="D212" t="s">
        <v>3189</v>
      </c>
      <c r="E212" t="s">
        <v>9</v>
      </c>
      <c r="F212" s="2">
        <v>36</v>
      </c>
      <c r="G212" t="s">
        <v>3197</v>
      </c>
      <c r="H212" t="s">
        <v>25</v>
      </c>
      <c r="I212" t="s">
        <v>11</v>
      </c>
      <c r="J212" t="s">
        <v>3198</v>
      </c>
      <c r="K212" t="s">
        <v>12</v>
      </c>
      <c r="L212" s="2">
        <v>120</v>
      </c>
      <c r="M212" t="s">
        <v>3209</v>
      </c>
      <c r="N212">
        <v>1</v>
      </c>
      <c r="O212">
        <v>2</v>
      </c>
      <c r="P212">
        <v>4</v>
      </c>
      <c r="Q212" t="s">
        <v>3204</v>
      </c>
      <c r="R212" t="s">
        <v>3205</v>
      </c>
      <c r="S212" t="s">
        <v>16</v>
      </c>
    </row>
    <row r="213" spans="1:19" x14ac:dyDescent="0.3">
      <c r="A213" t="s">
        <v>210</v>
      </c>
      <c r="B213" t="s">
        <v>1596</v>
      </c>
      <c r="C213" t="s">
        <v>1811</v>
      </c>
      <c r="D213" t="s">
        <v>3189</v>
      </c>
      <c r="E213" t="s">
        <v>9</v>
      </c>
      <c r="F213" s="2">
        <v>28</v>
      </c>
      <c r="G213" t="s">
        <v>3206</v>
      </c>
      <c r="H213" t="s">
        <v>10</v>
      </c>
      <c r="I213" t="s">
        <v>11</v>
      </c>
      <c r="J213" t="s">
        <v>3198</v>
      </c>
      <c r="K213" t="s">
        <v>15</v>
      </c>
      <c r="L213" s="2">
        <v>7.05</v>
      </c>
      <c r="M213" t="s">
        <v>3199</v>
      </c>
      <c r="N213">
        <v>0</v>
      </c>
      <c r="O213">
        <v>0</v>
      </c>
      <c r="P213">
        <v>1</v>
      </c>
      <c r="Q213" t="s">
        <v>3200</v>
      </c>
      <c r="R213" t="s">
        <v>3201</v>
      </c>
      <c r="S213" t="s">
        <v>13</v>
      </c>
    </row>
    <row r="214" spans="1:19" x14ac:dyDescent="0.3">
      <c r="A214" t="s">
        <v>211</v>
      </c>
      <c r="B214" t="s">
        <v>1596</v>
      </c>
      <c r="C214" t="s">
        <v>1812</v>
      </c>
      <c r="D214" t="s">
        <v>3189</v>
      </c>
      <c r="E214" t="s">
        <v>9</v>
      </c>
      <c r="F214" s="2">
        <v>49</v>
      </c>
      <c r="G214" t="s">
        <v>3197</v>
      </c>
      <c r="H214" t="s">
        <v>25</v>
      </c>
      <c r="I214" t="s">
        <v>11</v>
      </c>
      <c r="J214" t="s">
        <v>3198</v>
      </c>
      <c r="K214" t="s">
        <v>12</v>
      </c>
      <c r="L214" s="2">
        <v>26</v>
      </c>
      <c r="M214" t="s">
        <v>3203</v>
      </c>
      <c r="N214">
        <v>0</v>
      </c>
      <c r="O214">
        <v>0</v>
      </c>
      <c r="P214">
        <v>1</v>
      </c>
      <c r="Q214" t="s">
        <v>3200</v>
      </c>
      <c r="R214" t="s">
        <v>3201</v>
      </c>
      <c r="S214" t="s">
        <v>13</v>
      </c>
    </row>
    <row r="215" spans="1:19" x14ac:dyDescent="0.3">
      <c r="A215" t="s">
        <v>212</v>
      </c>
      <c r="B215" t="s">
        <v>1600</v>
      </c>
      <c r="C215" t="s">
        <v>1813</v>
      </c>
      <c r="D215" t="s">
        <v>3190</v>
      </c>
      <c r="E215" t="s">
        <v>14</v>
      </c>
      <c r="F215" s="2">
        <v>36</v>
      </c>
      <c r="G215" t="s">
        <v>3197</v>
      </c>
      <c r="H215" t="s">
        <v>25</v>
      </c>
      <c r="I215" t="s">
        <v>19</v>
      </c>
      <c r="J215" t="s">
        <v>3207</v>
      </c>
      <c r="K215" t="s">
        <v>12</v>
      </c>
      <c r="L215" s="2">
        <v>27.140499999999999</v>
      </c>
      <c r="M215" t="s">
        <v>3203</v>
      </c>
      <c r="N215">
        <v>0</v>
      </c>
      <c r="O215">
        <v>0</v>
      </c>
      <c r="P215">
        <v>1</v>
      </c>
      <c r="Q215" t="s">
        <v>3200</v>
      </c>
      <c r="R215" t="s">
        <v>3205</v>
      </c>
      <c r="S215" t="s">
        <v>16</v>
      </c>
    </row>
    <row r="216" spans="1:19" x14ac:dyDescent="0.3">
      <c r="A216" t="s">
        <v>213</v>
      </c>
      <c r="B216" t="s">
        <v>1600</v>
      </c>
      <c r="C216" t="s">
        <v>1814</v>
      </c>
      <c r="D216" t="s">
        <v>3190</v>
      </c>
      <c r="E216" t="s">
        <v>14</v>
      </c>
      <c r="F216" s="2">
        <v>25</v>
      </c>
      <c r="G216" t="s">
        <v>3206</v>
      </c>
      <c r="H216" t="s">
        <v>25</v>
      </c>
      <c r="I216" t="s">
        <v>11</v>
      </c>
      <c r="J216" t="s">
        <v>3198</v>
      </c>
      <c r="K216" t="s">
        <v>12</v>
      </c>
      <c r="L216" s="2">
        <v>78.17</v>
      </c>
      <c r="M216" t="s">
        <v>3211</v>
      </c>
      <c r="N216">
        <v>1</v>
      </c>
      <c r="O216">
        <v>0</v>
      </c>
      <c r="P216">
        <v>2</v>
      </c>
      <c r="Q216" t="s">
        <v>3204</v>
      </c>
      <c r="R216" t="s">
        <v>3205</v>
      </c>
      <c r="S216" t="s">
        <v>16</v>
      </c>
    </row>
    <row r="217" spans="1:19" x14ac:dyDescent="0.3">
      <c r="A217" t="s">
        <v>213</v>
      </c>
      <c r="B217" t="s">
        <v>1596</v>
      </c>
      <c r="C217" t="s">
        <v>1815</v>
      </c>
      <c r="D217" t="s">
        <v>3189</v>
      </c>
      <c r="E217" t="s">
        <v>9</v>
      </c>
      <c r="F217" s="2">
        <v>36</v>
      </c>
      <c r="G217" t="s">
        <v>3197</v>
      </c>
      <c r="H217" t="s">
        <v>25</v>
      </c>
      <c r="I217" t="s">
        <v>11</v>
      </c>
      <c r="J217" t="s">
        <v>3198</v>
      </c>
      <c r="K217" t="s">
        <v>15</v>
      </c>
      <c r="L217" s="2">
        <v>78.17</v>
      </c>
      <c r="M217" t="s">
        <v>3211</v>
      </c>
      <c r="N217">
        <v>1</v>
      </c>
      <c r="O217">
        <v>0</v>
      </c>
      <c r="P217">
        <v>2</v>
      </c>
      <c r="Q217" t="s">
        <v>3204</v>
      </c>
      <c r="R217" t="s">
        <v>3201</v>
      </c>
      <c r="S217" t="s">
        <v>13</v>
      </c>
    </row>
    <row r="218" spans="1:19" x14ac:dyDescent="0.3">
      <c r="A218" t="s">
        <v>214</v>
      </c>
      <c r="B218" t="s">
        <v>1596</v>
      </c>
      <c r="C218" t="s">
        <v>1816</v>
      </c>
      <c r="D218" t="s">
        <v>3189</v>
      </c>
      <c r="E218" t="s">
        <v>9</v>
      </c>
      <c r="F218" s="2">
        <v>24</v>
      </c>
      <c r="G218" t="s">
        <v>3206</v>
      </c>
      <c r="H218" t="s">
        <v>10</v>
      </c>
      <c r="I218" t="s">
        <v>11</v>
      </c>
      <c r="J218" t="s">
        <v>3198</v>
      </c>
      <c r="K218" t="s">
        <v>15</v>
      </c>
      <c r="L218" s="2">
        <v>8.01</v>
      </c>
      <c r="M218" t="s">
        <v>3199</v>
      </c>
      <c r="N218">
        <v>0</v>
      </c>
      <c r="O218">
        <v>0</v>
      </c>
      <c r="P218">
        <v>1</v>
      </c>
      <c r="Q218" t="s">
        <v>3200</v>
      </c>
      <c r="R218" t="s">
        <v>3201</v>
      </c>
      <c r="S218" t="s">
        <v>13</v>
      </c>
    </row>
    <row r="219" spans="1:19" x14ac:dyDescent="0.3">
      <c r="A219" t="s">
        <v>215</v>
      </c>
      <c r="B219" t="s">
        <v>1596</v>
      </c>
      <c r="C219" t="s">
        <v>1817</v>
      </c>
      <c r="D219" t="s">
        <v>3189</v>
      </c>
      <c r="E219" t="s">
        <v>9</v>
      </c>
      <c r="F219" s="2">
        <v>46</v>
      </c>
      <c r="G219" t="s">
        <v>3197</v>
      </c>
      <c r="H219" t="s">
        <v>25</v>
      </c>
      <c r="I219" t="s">
        <v>11</v>
      </c>
      <c r="J219" t="s">
        <v>3198</v>
      </c>
      <c r="K219" t="s">
        <v>12</v>
      </c>
      <c r="L219" s="2">
        <v>61.0306</v>
      </c>
      <c r="M219" t="s">
        <v>3211</v>
      </c>
      <c r="N219">
        <v>1</v>
      </c>
      <c r="O219">
        <v>0</v>
      </c>
      <c r="P219">
        <v>2</v>
      </c>
      <c r="Q219" t="s">
        <v>3204</v>
      </c>
      <c r="R219" t="s">
        <v>3201</v>
      </c>
      <c r="S219" t="s">
        <v>13</v>
      </c>
    </row>
    <row r="220" spans="1:19" x14ac:dyDescent="0.3">
      <c r="A220" t="s">
        <v>215</v>
      </c>
      <c r="B220" t="s">
        <v>1600</v>
      </c>
      <c r="C220" t="s">
        <v>1818</v>
      </c>
      <c r="D220" t="s">
        <v>3190</v>
      </c>
      <c r="E220" t="s">
        <v>14</v>
      </c>
      <c r="F220" s="2">
        <v>47</v>
      </c>
      <c r="G220" t="s">
        <v>3197</v>
      </c>
      <c r="H220" t="s">
        <v>25</v>
      </c>
      <c r="I220" t="s">
        <v>11</v>
      </c>
      <c r="J220" t="s">
        <v>3198</v>
      </c>
      <c r="K220" t="s">
        <v>12</v>
      </c>
      <c r="L220" s="2">
        <v>61.0306</v>
      </c>
      <c r="M220" t="s">
        <v>3211</v>
      </c>
      <c r="N220">
        <v>1</v>
      </c>
      <c r="O220">
        <v>0</v>
      </c>
      <c r="P220">
        <v>2</v>
      </c>
      <c r="Q220" t="s">
        <v>3204</v>
      </c>
      <c r="R220" t="s">
        <v>3205</v>
      </c>
      <c r="S220" t="s">
        <v>16</v>
      </c>
    </row>
    <row r="221" spans="1:19" x14ac:dyDescent="0.3">
      <c r="A221" t="s">
        <v>216</v>
      </c>
      <c r="B221" t="s">
        <v>1596</v>
      </c>
      <c r="C221" t="s">
        <v>1819</v>
      </c>
      <c r="D221" t="s">
        <v>3189</v>
      </c>
      <c r="E221" t="s">
        <v>9</v>
      </c>
      <c r="F221" s="2">
        <v>27</v>
      </c>
      <c r="G221" t="s">
        <v>3206</v>
      </c>
      <c r="H221" t="s">
        <v>25</v>
      </c>
      <c r="I221" t="s">
        <v>11</v>
      </c>
      <c r="J221" t="s">
        <v>3198</v>
      </c>
      <c r="K221" t="s">
        <v>12</v>
      </c>
      <c r="L221" s="2">
        <v>53.02</v>
      </c>
      <c r="M221" t="s">
        <v>3211</v>
      </c>
      <c r="N221">
        <v>1</v>
      </c>
      <c r="O221">
        <v>0</v>
      </c>
      <c r="P221">
        <v>2</v>
      </c>
      <c r="Q221" t="s">
        <v>3204</v>
      </c>
      <c r="R221" t="s">
        <v>3205</v>
      </c>
      <c r="S221" t="s">
        <v>16</v>
      </c>
    </row>
    <row r="222" spans="1:19" x14ac:dyDescent="0.3">
      <c r="A222" t="s">
        <v>216</v>
      </c>
      <c r="B222" t="s">
        <v>1600</v>
      </c>
      <c r="C222" t="s">
        <v>1820</v>
      </c>
      <c r="D222" t="s">
        <v>3190</v>
      </c>
      <c r="E222" t="s">
        <v>14</v>
      </c>
      <c r="F222" s="2">
        <v>32</v>
      </c>
      <c r="G222" t="s">
        <v>3206</v>
      </c>
      <c r="H222" t="s">
        <v>25</v>
      </c>
      <c r="I222" t="s">
        <v>11</v>
      </c>
      <c r="J222" t="s">
        <v>3198</v>
      </c>
      <c r="K222" t="s">
        <v>12</v>
      </c>
      <c r="L222" s="2">
        <v>53.02</v>
      </c>
      <c r="M222" t="s">
        <v>3211</v>
      </c>
      <c r="N222">
        <v>1</v>
      </c>
      <c r="O222">
        <v>0</v>
      </c>
      <c r="P222">
        <v>2</v>
      </c>
      <c r="Q222" t="s">
        <v>3204</v>
      </c>
      <c r="R222" t="s">
        <v>3205</v>
      </c>
      <c r="S222" t="s">
        <v>16</v>
      </c>
    </row>
    <row r="223" spans="1:19" x14ac:dyDescent="0.3">
      <c r="A223" t="s">
        <v>217</v>
      </c>
      <c r="B223" t="s">
        <v>1596</v>
      </c>
      <c r="C223" t="s">
        <v>1821</v>
      </c>
      <c r="D223" t="s">
        <v>3189</v>
      </c>
      <c r="E223" t="s">
        <v>9</v>
      </c>
      <c r="F223" s="2">
        <v>52</v>
      </c>
      <c r="G223" t="s">
        <v>3197</v>
      </c>
      <c r="H223" t="s">
        <v>18</v>
      </c>
      <c r="I223" t="s">
        <v>11</v>
      </c>
      <c r="J223" t="s">
        <v>3198</v>
      </c>
      <c r="K223" t="s">
        <v>12</v>
      </c>
      <c r="L223" s="2">
        <v>13.1</v>
      </c>
      <c r="M223" t="s">
        <v>3199</v>
      </c>
      <c r="N223">
        <v>0</v>
      </c>
      <c r="O223">
        <v>0</v>
      </c>
      <c r="P223">
        <v>1</v>
      </c>
      <c r="Q223" t="s">
        <v>3200</v>
      </c>
      <c r="R223" t="s">
        <v>3201</v>
      </c>
      <c r="S223" t="s">
        <v>13</v>
      </c>
    </row>
    <row r="224" spans="1:19" x14ac:dyDescent="0.3">
      <c r="A224" t="s">
        <v>217</v>
      </c>
      <c r="B224" t="s">
        <v>1596</v>
      </c>
      <c r="C224" t="s">
        <v>1822</v>
      </c>
      <c r="D224" t="s">
        <v>3189</v>
      </c>
      <c r="E224" t="s">
        <v>9</v>
      </c>
      <c r="F224" s="2">
        <v>37</v>
      </c>
      <c r="G224" t="s">
        <v>3197</v>
      </c>
      <c r="H224" t="s">
        <v>18</v>
      </c>
      <c r="I224" t="s">
        <v>11</v>
      </c>
      <c r="J224" t="s">
        <v>3198</v>
      </c>
      <c r="K224" t="s">
        <v>15</v>
      </c>
      <c r="L224" s="2">
        <v>26</v>
      </c>
      <c r="M224" t="s">
        <v>3203</v>
      </c>
      <c r="N224">
        <v>1</v>
      </c>
      <c r="O224">
        <v>0</v>
      </c>
      <c r="P224">
        <v>2</v>
      </c>
      <c r="Q224" t="s">
        <v>3204</v>
      </c>
      <c r="R224" t="s">
        <v>3201</v>
      </c>
      <c r="S224" t="s">
        <v>13</v>
      </c>
    </row>
    <row r="225" spans="1:19" x14ac:dyDescent="0.3">
      <c r="A225" t="s">
        <v>217</v>
      </c>
      <c r="B225" t="s">
        <v>1600</v>
      </c>
      <c r="C225" t="s">
        <v>1823</v>
      </c>
      <c r="D225" t="s">
        <v>3190</v>
      </c>
      <c r="E225" t="s">
        <v>14</v>
      </c>
      <c r="F225" s="2">
        <v>29</v>
      </c>
      <c r="G225" t="s">
        <v>3206</v>
      </c>
      <c r="H225" t="s">
        <v>18</v>
      </c>
      <c r="I225" t="s">
        <v>11</v>
      </c>
      <c r="J225" t="s">
        <v>3198</v>
      </c>
      <c r="K225" t="s">
        <v>15</v>
      </c>
      <c r="L225" s="2">
        <v>26</v>
      </c>
      <c r="M225" t="s">
        <v>3203</v>
      </c>
      <c r="N225">
        <v>1</v>
      </c>
      <c r="O225">
        <v>0</v>
      </c>
      <c r="P225">
        <v>2</v>
      </c>
      <c r="Q225" t="s">
        <v>3204</v>
      </c>
      <c r="R225" t="s">
        <v>3201</v>
      </c>
      <c r="S225" t="s">
        <v>13</v>
      </c>
    </row>
    <row r="226" spans="1:19" x14ac:dyDescent="0.3">
      <c r="A226" t="s">
        <v>218</v>
      </c>
      <c r="B226" t="s">
        <v>1596</v>
      </c>
      <c r="C226" t="s">
        <v>1824</v>
      </c>
      <c r="D226" t="s">
        <v>3189</v>
      </c>
      <c r="E226" t="s">
        <v>9</v>
      </c>
      <c r="F226" s="2">
        <v>20</v>
      </c>
      <c r="G226" t="s">
        <v>3206</v>
      </c>
      <c r="H226" t="s">
        <v>10</v>
      </c>
      <c r="I226" t="s">
        <v>36</v>
      </c>
      <c r="J226" t="s">
        <v>3213</v>
      </c>
      <c r="K226" t="s">
        <v>37</v>
      </c>
      <c r="L226" s="2">
        <v>7.1407999999999996</v>
      </c>
      <c r="M226" t="s">
        <v>3199</v>
      </c>
      <c r="N226">
        <v>0</v>
      </c>
      <c r="O226">
        <v>0</v>
      </c>
      <c r="P226">
        <v>1</v>
      </c>
      <c r="Q226" t="s">
        <v>3200</v>
      </c>
      <c r="R226" t="s">
        <v>3201</v>
      </c>
      <c r="S226" t="s">
        <v>13</v>
      </c>
    </row>
    <row r="227" spans="1:19" x14ac:dyDescent="0.3">
      <c r="A227" t="s">
        <v>219</v>
      </c>
      <c r="B227" t="s">
        <v>1602</v>
      </c>
      <c r="C227" t="s">
        <v>1825</v>
      </c>
      <c r="D227" t="s">
        <v>3190</v>
      </c>
      <c r="E227" t="s">
        <v>14</v>
      </c>
      <c r="F227" s="2">
        <v>36</v>
      </c>
      <c r="G227" t="s">
        <v>3197</v>
      </c>
      <c r="H227" t="s">
        <v>25</v>
      </c>
      <c r="I227" t="s">
        <v>19</v>
      </c>
      <c r="J227" t="s">
        <v>3207</v>
      </c>
      <c r="K227" t="s">
        <v>15</v>
      </c>
      <c r="L227" s="2">
        <v>262.07060000000001</v>
      </c>
      <c r="M227" t="s">
        <v>3209</v>
      </c>
      <c r="N227">
        <v>0</v>
      </c>
      <c r="O227">
        <v>0</v>
      </c>
      <c r="P227">
        <v>1</v>
      </c>
      <c r="Q227" t="s">
        <v>3200</v>
      </c>
      <c r="R227" t="s">
        <v>3205</v>
      </c>
      <c r="S227" t="s">
        <v>16</v>
      </c>
    </row>
    <row r="228" spans="1:19" x14ac:dyDescent="0.3">
      <c r="A228" t="s">
        <v>220</v>
      </c>
      <c r="B228" t="s">
        <v>1602</v>
      </c>
      <c r="C228" t="s">
        <v>1826</v>
      </c>
      <c r="D228" t="s">
        <v>3190</v>
      </c>
      <c r="E228" t="s">
        <v>14</v>
      </c>
      <c r="F228" s="2">
        <v>30</v>
      </c>
      <c r="G228" t="s">
        <v>3206</v>
      </c>
      <c r="H228" t="s">
        <v>25</v>
      </c>
      <c r="I228" t="s">
        <v>11</v>
      </c>
      <c r="J228" t="s">
        <v>3198</v>
      </c>
      <c r="K228" t="s">
        <v>15</v>
      </c>
      <c r="L228" s="2">
        <v>86.1</v>
      </c>
      <c r="M228" t="s">
        <v>3211</v>
      </c>
      <c r="N228">
        <v>0</v>
      </c>
      <c r="O228">
        <v>0</v>
      </c>
      <c r="P228">
        <v>1</v>
      </c>
      <c r="Q228" t="s">
        <v>3200</v>
      </c>
      <c r="R228" t="s">
        <v>3205</v>
      </c>
      <c r="S228" t="s">
        <v>16</v>
      </c>
    </row>
    <row r="229" spans="1:19" x14ac:dyDescent="0.3">
      <c r="A229" t="s">
        <v>221</v>
      </c>
      <c r="B229" t="s">
        <v>1596</v>
      </c>
      <c r="C229" t="s">
        <v>1827</v>
      </c>
      <c r="D229" t="s">
        <v>3189</v>
      </c>
      <c r="E229" t="s">
        <v>9</v>
      </c>
      <c r="F229" s="2">
        <v>45</v>
      </c>
      <c r="G229" t="s">
        <v>3197</v>
      </c>
      <c r="H229" t="s">
        <v>25</v>
      </c>
      <c r="I229" t="s">
        <v>19</v>
      </c>
      <c r="J229" t="s">
        <v>3207</v>
      </c>
      <c r="K229" t="s">
        <v>46</v>
      </c>
      <c r="L229" s="2">
        <v>29.14</v>
      </c>
      <c r="M229" t="s">
        <v>3203</v>
      </c>
      <c r="N229">
        <v>0</v>
      </c>
      <c r="O229">
        <v>0</v>
      </c>
      <c r="P229">
        <v>1</v>
      </c>
      <c r="Q229" t="s">
        <v>3200</v>
      </c>
      <c r="R229" t="s">
        <v>3205</v>
      </c>
      <c r="S229" t="s">
        <v>16</v>
      </c>
    </row>
    <row r="230" spans="1:19" x14ac:dyDescent="0.3">
      <c r="A230" t="s">
        <v>222</v>
      </c>
      <c r="B230" t="s">
        <v>1600</v>
      </c>
      <c r="C230" t="s">
        <v>1828</v>
      </c>
      <c r="D230" t="s">
        <v>3190</v>
      </c>
      <c r="E230" t="s">
        <v>14</v>
      </c>
      <c r="F230" s="2">
        <v>48</v>
      </c>
      <c r="G230" t="s">
        <v>3197</v>
      </c>
      <c r="H230" t="s">
        <v>25</v>
      </c>
      <c r="I230" t="s">
        <v>11</v>
      </c>
      <c r="J230" t="s">
        <v>3198</v>
      </c>
      <c r="K230" t="s">
        <v>15</v>
      </c>
      <c r="L230" s="2">
        <v>55</v>
      </c>
      <c r="M230" t="s">
        <v>3211</v>
      </c>
      <c r="N230">
        <v>0</v>
      </c>
      <c r="O230">
        <v>1</v>
      </c>
      <c r="P230">
        <v>2</v>
      </c>
      <c r="Q230" t="s">
        <v>3204</v>
      </c>
      <c r="R230" t="s">
        <v>3205</v>
      </c>
      <c r="S230" t="s">
        <v>16</v>
      </c>
    </row>
    <row r="231" spans="1:19" x14ac:dyDescent="0.3">
      <c r="A231" t="s">
        <v>223</v>
      </c>
      <c r="B231" t="s">
        <v>1596</v>
      </c>
      <c r="C231" t="s">
        <v>1829</v>
      </c>
      <c r="D231" t="s">
        <v>3189</v>
      </c>
      <c r="E231" t="s">
        <v>9</v>
      </c>
      <c r="F231" s="2">
        <v>32</v>
      </c>
      <c r="G231" t="s">
        <v>3206</v>
      </c>
      <c r="H231" t="s">
        <v>10</v>
      </c>
      <c r="I231" t="s">
        <v>11</v>
      </c>
      <c r="J231" t="s">
        <v>3198</v>
      </c>
      <c r="K231" t="s">
        <v>15</v>
      </c>
      <c r="L231" s="2">
        <v>56.091099999999997</v>
      </c>
      <c r="M231" t="s">
        <v>3211</v>
      </c>
      <c r="N231">
        <v>0</v>
      </c>
      <c r="O231">
        <v>0</v>
      </c>
      <c r="P231">
        <v>1</v>
      </c>
      <c r="Q231" t="s">
        <v>3200</v>
      </c>
      <c r="R231" t="s">
        <v>3205</v>
      </c>
      <c r="S231" t="s">
        <v>16</v>
      </c>
    </row>
    <row r="232" spans="1:19" x14ac:dyDescent="0.3">
      <c r="A232" t="s">
        <v>224</v>
      </c>
      <c r="B232" t="s">
        <v>1596</v>
      </c>
      <c r="C232" t="s">
        <v>1830</v>
      </c>
      <c r="D232" t="s">
        <v>3189</v>
      </c>
      <c r="E232" t="s">
        <v>9</v>
      </c>
      <c r="F232" s="2">
        <v>43</v>
      </c>
      <c r="G232" t="s">
        <v>3197</v>
      </c>
      <c r="H232" t="s">
        <v>25</v>
      </c>
      <c r="I232" t="s">
        <v>28</v>
      </c>
      <c r="J232" t="s">
        <v>3212</v>
      </c>
      <c r="K232" t="s">
        <v>43</v>
      </c>
      <c r="L232" s="2">
        <v>33</v>
      </c>
      <c r="M232" t="s">
        <v>3203</v>
      </c>
      <c r="N232">
        <v>0</v>
      </c>
      <c r="O232">
        <v>0</v>
      </c>
      <c r="P232">
        <v>1</v>
      </c>
      <c r="Q232" t="s">
        <v>3200</v>
      </c>
      <c r="R232" t="s">
        <v>3201</v>
      </c>
      <c r="S232" t="s">
        <v>13</v>
      </c>
    </row>
    <row r="233" spans="1:19" x14ac:dyDescent="0.3">
      <c r="A233" t="s">
        <v>225</v>
      </c>
      <c r="B233" t="s">
        <v>1596</v>
      </c>
      <c r="C233" t="s">
        <v>1831</v>
      </c>
      <c r="D233" t="s">
        <v>3189</v>
      </c>
      <c r="E233" t="s">
        <v>9</v>
      </c>
      <c r="F233" s="2">
        <v>29</v>
      </c>
      <c r="G233" t="s">
        <v>3206</v>
      </c>
      <c r="H233" t="s">
        <v>10</v>
      </c>
      <c r="I233" t="s">
        <v>11</v>
      </c>
      <c r="J233" t="s">
        <v>3198</v>
      </c>
      <c r="K233" t="s">
        <v>15</v>
      </c>
      <c r="L233" s="2">
        <v>8.01</v>
      </c>
      <c r="M233" t="s">
        <v>3199</v>
      </c>
      <c r="N233">
        <v>0</v>
      </c>
      <c r="O233">
        <v>0</v>
      </c>
      <c r="P233">
        <v>1</v>
      </c>
      <c r="Q233" t="s">
        <v>3200</v>
      </c>
      <c r="R233" t="s">
        <v>3201</v>
      </c>
      <c r="S233" t="s">
        <v>13</v>
      </c>
    </row>
    <row r="234" spans="1:19" x14ac:dyDescent="0.3">
      <c r="A234" t="s">
        <v>226</v>
      </c>
      <c r="B234" t="s">
        <v>1602</v>
      </c>
      <c r="C234" t="s">
        <v>1832</v>
      </c>
      <c r="D234" t="s">
        <v>3190</v>
      </c>
      <c r="E234" t="s">
        <v>14</v>
      </c>
      <c r="F234" s="2">
        <v>25</v>
      </c>
      <c r="G234" t="s">
        <v>3206</v>
      </c>
      <c r="H234" t="s">
        <v>18</v>
      </c>
      <c r="I234" t="s">
        <v>11</v>
      </c>
      <c r="J234" t="s">
        <v>3198</v>
      </c>
      <c r="K234" t="s">
        <v>15</v>
      </c>
      <c r="L234" s="2">
        <v>30</v>
      </c>
      <c r="M234" t="s">
        <v>3203</v>
      </c>
      <c r="N234">
        <v>1</v>
      </c>
      <c r="O234">
        <v>1</v>
      </c>
      <c r="P234">
        <v>3</v>
      </c>
      <c r="Q234" t="s">
        <v>3204</v>
      </c>
      <c r="R234" t="s">
        <v>3205</v>
      </c>
      <c r="S234" t="s">
        <v>16</v>
      </c>
    </row>
    <row r="235" spans="1:19" x14ac:dyDescent="0.3">
      <c r="A235" t="s">
        <v>226</v>
      </c>
      <c r="B235" t="s">
        <v>1600</v>
      </c>
      <c r="C235" t="s">
        <v>1833</v>
      </c>
      <c r="D235" t="s">
        <v>3190</v>
      </c>
      <c r="E235" t="s">
        <v>14</v>
      </c>
      <c r="F235" s="2">
        <v>52</v>
      </c>
      <c r="G235" t="s">
        <v>3197</v>
      </c>
      <c r="H235" t="s">
        <v>18</v>
      </c>
      <c r="I235" t="s">
        <v>11</v>
      </c>
      <c r="J235" t="s">
        <v>3198</v>
      </c>
      <c r="K235" t="s">
        <v>15</v>
      </c>
      <c r="L235" s="2">
        <v>30</v>
      </c>
      <c r="M235" t="s">
        <v>3203</v>
      </c>
      <c r="N235">
        <v>0</v>
      </c>
      <c r="O235">
        <v>2</v>
      </c>
      <c r="P235">
        <v>3</v>
      </c>
      <c r="Q235" t="s">
        <v>3204</v>
      </c>
      <c r="R235" t="s">
        <v>3205</v>
      </c>
      <c r="S235" t="s">
        <v>16</v>
      </c>
    </row>
    <row r="236" spans="1:19" x14ac:dyDescent="0.3">
      <c r="A236" t="s">
        <v>227</v>
      </c>
      <c r="B236" t="s">
        <v>1596</v>
      </c>
      <c r="C236" t="s">
        <v>1834</v>
      </c>
      <c r="D236" t="s">
        <v>3189</v>
      </c>
      <c r="E236" t="s">
        <v>9</v>
      </c>
      <c r="F236" s="2">
        <v>26</v>
      </c>
      <c r="G236" t="s">
        <v>3206</v>
      </c>
      <c r="H236" t="s">
        <v>10</v>
      </c>
      <c r="I236" t="s">
        <v>19</v>
      </c>
      <c r="J236" t="s">
        <v>3207</v>
      </c>
      <c r="K236" t="s">
        <v>15</v>
      </c>
      <c r="L236" s="2">
        <v>14.0901</v>
      </c>
      <c r="M236" t="s">
        <v>3199</v>
      </c>
      <c r="N236">
        <v>1</v>
      </c>
      <c r="O236">
        <v>0</v>
      </c>
      <c r="P236">
        <v>2</v>
      </c>
      <c r="Q236" t="s">
        <v>3204</v>
      </c>
      <c r="R236" t="s">
        <v>3201</v>
      </c>
      <c r="S236" t="s">
        <v>13</v>
      </c>
    </row>
    <row r="237" spans="1:19" x14ac:dyDescent="0.3">
      <c r="A237" t="s">
        <v>227</v>
      </c>
      <c r="B237" t="s">
        <v>1596</v>
      </c>
      <c r="C237" t="s">
        <v>1835</v>
      </c>
      <c r="D237" t="s">
        <v>3189</v>
      </c>
      <c r="E237" t="s">
        <v>9</v>
      </c>
      <c r="F237" s="2">
        <v>21</v>
      </c>
      <c r="G237" t="s">
        <v>3206</v>
      </c>
      <c r="H237" t="s">
        <v>10</v>
      </c>
      <c r="I237" t="s">
        <v>19</v>
      </c>
      <c r="J237" t="s">
        <v>3207</v>
      </c>
      <c r="K237" t="s">
        <v>15</v>
      </c>
      <c r="L237" s="2">
        <v>14.0901</v>
      </c>
      <c r="M237" t="s">
        <v>3199</v>
      </c>
      <c r="N237">
        <v>1</v>
      </c>
      <c r="O237">
        <v>0</v>
      </c>
      <c r="P237">
        <v>2</v>
      </c>
      <c r="Q237" t="s">
        <v>3204</v>
      </c>
      <c r="R237" t="s">
        <v>3201</v>
      </c>
      <c r="S237" t="s">
        <v>13</v>
      </c>
    </row>
    <row r="238" spans="1:19" x14ac:dyDescent="0.3">
      <c r="A238" t="s">
        <v>228</v>
      </c>
      <c r="B238" t="s">
        <v>1596</v>
      </c>
      <c r="C238" t="s">
        <v>1836</v>
      </c>
      <c r="D238" t="s">
        <v>3189</v>
      </c>
      <c r="E238" t="s">
        <v>9</v>
      </c>
      <c r="F238" s="2">
        <v>29</v>
      </c>
      <c r="G238" t="s">
        <v>3206</v>
      </c>
      <c r="H238" t="s">
        <v>18</v>
      </c>
      <c r="I238" t="s">
        <v>11</v>
      </c>
      <c r="J238" t="s">
        <v>3198</v>
      </c>
      <c r="K238" t="s">
        <v>15</v>
      </c>
      <c r="L238" s="2">
        <v>26</v>
      </c>
      <c r="M238" t="s">
        <v>3203</v>
      </c>
      <c r="N238">
        <v>1</v>
      </c>
      <c r="O238">
        <v>0</v>
      </c>
      <c r="P238">
        <v>2</v>
      </c>
      <c r="Q238" t="s">
        <v>3204</v>
      </c>
      <c r="R238" t="s">
        <v>3201</v>
      </c>
      <c r="S238" t="s">
        <v>13</v>
      </c>
    </row>
    <row r="239" spans="1:19" x14ac:dyDescent="0.3">
      <c r="A239" t="s">
        <v>228</v>
      </c>
      <c r="B239" t="s">
        <v>1596</v>
      </c>
      <c r="C239" t="s">
        <v>1837</v>
      </c>
      <c r="D239" t="s">
        <v>3189</v>
      </c>
      <c r="E239" t="s">
        <v>9</v>
      </c>
      <c r="F239" s="2">
        <v>28</v>
      </c>
      <c r="G239" t="s">
        <v>3206</v>
      </c>
      <c r="H239" t="s">
        <v>18</v>
      </c>
      <c r="I239" t="s">
        <v>11</v>
      </c>
      <c r="J239" t="s">
        <v>3198</v>
      </c>
      <c r="K239" t="s">
        <v>15</v>
      </c>
      <c r="L239" s="2">
        <v>33</v>
      </c>
      <c r="M239" t="s">
        <v>3203</v>
      </c>
      <c r="N239">
        <v>1</v>
      </c>
      <c r="O239" t="s">
        <v>30</v>
      </c>
      <c r="P239" t="e">
        <v>#VALUE!</v>
      </c>
      <c r="Q239" t="e">
        <v>#VALUE!</v>
      </c>
      <c r="R239" t="s">
        <v>3201</v>
      </c>
      <c r="S239" t="s">
        <v>13</v>
      </c>
    </row>
    <row r="240" spans="1:19" x14ac:dyDescent="0.3">
      <c r="A240" t="s">
        <v>228</v>
      </c>
      <c r="B240" t="s">
        <v>1600</v>
      </c>
      <c r="C240" t="s">
        <v>1838</v>
      </c>
      <c r="D240" t="s">
        <v>3190</v>
      </c>
      <c r="E240" t="s">
        <v>14</v>
      </c>
      <c r="F240" s="2">
        <v>28</v>
      </c>
      <c r="G240" t="s">
        <v>3206</v>
      </c>
      <c r="H240" t="s">
        <v>18</v>
      </c>
      <c r="I240" t="s">
        <v>11</v>
      </c>
      <c r="J240" t="s">
        <v>3198</v>
      </c>
      <c r="K240" t="s">
        <v>15</v>
      </c>
      <c r="L240" s="2">
        <v>27</v>
      </c>
      <c r="M240" t="s">
        <v>3203</v>
      </c>
      <c r="N240">
        <v>1</v>
      </c>
      <c r="O240">
        <v>0</v>
      </c>
      <c r="P240">
        <v>2</v>
      </c>
      <c r="Q240" t="s">
        <v>3204</v>
      </c>
      <c r="R240" t="s">
        <v>3205</v>
      </c>
      <c r="S240" t="s">
        <v>16</v>
      </c>
    </row>
    <row r="241" spans="1:19" x14ac:dyDescent="0.3">
      <c r="A241" t="s">
        <v>229</v>
      </c>
      <c r="B241" t="s">
        <v>1600</v>
      </c>
      <c r="C241" t="s">
        <v>1839</v>
      </c>
      <c r="D241" t="s">
        <v>3190</v>
      </c>
      <c r="E241" t="s">
        <v>14</v>
      </c>
      <c r="F241" s="2">
        <v>26</v>
      </c>
      <c r="G241" t="s">
        <v>3206</v>
      </c>
      <c r="H241" t="s">
        <v>25</v>
      </c>
      <c r="I241" t="s">
        <v>19</v>
      </c>
      <c r="J241" t="s">
        <v>3207</v>
      </c>
      <c r="K241" t="s">
        <v>12</v>
      </c>
      <c r="L241" s="2">
        <v>136.1507</v>
      </c>
      <c r="M241" t="s">
        <v>3209</v>
      </c>
      <c r="N241">
        <v>1</v>
      </c>
      <c r="O241">
        <v>0</v>
      </c>
      <c r="P241">
        <v>2</v>
      </c>
      <c r="Q241" t="s">
        <v>3204</v>
      </c>
      <c r="R241" t="s">
        <v>3205</v>
      </c>
      <c r="S241" t="s">
        <v>16</v>
      </c>
    </row>
    <row r="242" spans="1:19" x14ac:dyDescent="0.3">
      <c r="A242" t="s">
        <v>229</v>
      </c>
      <c r="B242" t="s">
        <v>1596</v>
      </c>
      <c r="C242" t="s">
        <v>1840</v>
      </c>
      <c r="D242" t="s">
        <v>3189</v>
      </c>
      <c r="E242" t="s">
        <v>9</v>
      </c>
      <c r="F242" s="2">
        <v>27</v>
      </c>
      <c r="G242" t="s">
        <v>3206</v>
      </c>
      <c r="H242" t="s">
        <v>25</v>
      </c>
      <c r="I242" t="s">
        <v>19</v>
      </c>
      <c r="J242" t="s">
        <v>3207</v>
      </c>
      <c r="K242" t="s">
        <v>12</v>
      </c>
      <c r="L242" s="2">
        <v>136.1507</v>
      </c>
      <c r="M242" t="s">
        <v>3209</v>
      </c>
      <c r="N242">
        <v>1</v>
      </c>
      <c r="O242">
        <v>0</v>
      </c>
      <c r="P242">
        <v>2</v>
      </c>
      <c r="Q242" t="s">
        <v>3204</v>
      </c>
      <c r="R242" t="s">
        <v>3201</v>
      </c>
      <c r="S242" t="s">
        <v>13</v>
      </c>
    </row>
    <row r="243" spans="1:19" x14ac:dyDescent="0.3">
      <c r="A243" t="s">
        <v>230</v>
      </c>
      <c r="B243" t="s">
        <v>1602</v>
      </c>
      <c r="C243" t="s">
        <v>1841</v>
      </c>
      <c r="D243" t="s">
        <v>3190</v>
      </c>
      <c r="E243" t="s">
        <v>14</v>
      </c>
      <c r="F243" s="2">
        <v>22</v>
      </c>
      <c r="G243" t="s">
        <v>3206</v>
      </c>
      <c r="H243" t="s">
        <v>25</v>
      </c>
      <c r="I243" t="s">
        <v>11</v>
      </c>
      <c r="J243" t="s">
        <v>3198</v>
      </c>
      <c r="K243" t="s">
        <v>15</v>
      </c>
      <c r="L243" s="2">
        <v>151.16</v>
      </c>
      <c r="M243" t="s">
        <v>3209</v>
      </c>
      <c r="N243">
        <v>0</v>
      </c>
      <c r="O243">
        <v>0</v>
      </c>
      <c r="P243">
        <v>1</v>
      </c>
      <c r="Q243" t="s">
        <v>3200</v>
      </c>
      <c r="R243" t="s">
        <v>3205</v>
      </c>
      <c r="S243" t="s">
        <v>16</v>
      </c>
    </row>
    <row r="244" spans="1:19" x14ac:dyDescent="0.3">
      <c r="A244" t="s">
        <v>231</v>
      </c>
      <c r="B244" t="s">
        <v>1596</v>
      </c>
      <c r="C244" t="s">
        <v>1842</v>
      </c>
      <c r="D244" t="s">
        <v>3189</v>
      </c>
      <c r="E244" t="s">
        <v>9</v>
      </c>
      <c r="F244" s="2">
        <v>40</v>
      </c>
      <c r="G244" t="s">
        <v>3197</v>
      </c>
      <c r="H244" t="s">
        <v>25</v>
      </c>
      <c r="I244" t="s">
        <v>11</v>
      </c>
      <c r="J244" t="s">
        <v>3198</v>
      </c>
      <c r="K244" t="s">
        <v>12</v>
      </c>
      <c r="L244" s="2">
        <v>52</v>
      </c>
      <c r="M244" t="s">
        <v>3211</v>
      </c>
      <c r="N244">
        <v>0</v>
      </c>
      <c r="O244">
        <v>0</v>
      </c>
      <c r="P244">
        <v>1</v>
      </c>
      <c r="Q244" t="s">
        <v>3200</v>
      </c>
      <c r="R244" t="s">
        <v>3201</v>
      </c>
      <c r="S244" t="s">
        <v>13</v>
      </c>
    </row>
    <row r="245" spans="1:19" x14ac:dyDescent="0.3">
      <c r="A245" t="s">
        <v>232</v>
      </c>
      <c r="B245" t="s">
        <v>1596</v>
      </c>
      <c r="C245" t="s">
        <v>1843</v>
      </c>
      <c r="D245" t="s">
        <v>3189</v>
      </c>
      <c r="E245" t="s">
        <v>9</v>
      </c>
      <c r="F245" s="2">
        <v>20</v>
      </c>
      <c r="G245" t="s">
        <v>3206</v>
      </c>
      <c r="H245" t="s">
        <v>10</v>
      </c>
      <c r="I245" t="s">
        <v>11</v>
      </c>
      <c r="J245" t="s">
        <v>3198</v>
      </c>
      <c r="K245" t="s">
        <v>15</v>
      </c>
      <c r="L245" s="2">
        <v>7.01</v>
      </c>
      <c r="M245" t="s">
        <v>3199</v>
      </c>
      <c r="N245">
        <v>0</v>
      </c>
      <c r="O245">
        <v>0</v>
      </c>
      <c r="P245">
        <v>1</v>
      </c>
      <c r="Q245" t="s">
        <v>3200</v>
      </c>
      <c r="R245" t="s">
        <v>3201</v>
      </c>
      <c r="S245" t="s">
        <v>13</v>
      </c>
    </row>
    <row r="246" spans="1:19" x14ac:dyDescent="0.3">
      <c r="A246" t="s">
        <v>233</v>
      </c>
      <c r="B246" t="s">
        <v>1596</v>
      </c>
      <c r="C246" t="s">
        <v>1844</v>
      </c>
      <c r="D246" t="s">
        <v>3189</v>
      </c>
      <c r="E246" t="s">
        <v>9</v>
      </c>
      <c r="F246" s="2">
        <v>18</v>
      </c>
      <c r="G246" t="s">
        <v>3206</v>
      </c>
      <c r="H246" t="s">
        <v>10</v>
      </c>
      <c r="I246" t="s">
        <v>11</v>
      </c>
      <c r="J246" t="s">
        <v>3198</v>
      </c>
      <c r="K246" t="s">
        <v>15</v>
      </c>
      <c r="L246" s="2">
        <v>8.01</v>
      </c>
      <c r="M246" t="s">
        <v>3199</v>
      </c>
      <c r="N246">
        <v>0</v>
      </c>
      <c r="O246">
        <v>0</v>
      </c>
      <c r="P246">
        <v>1</v>
      </c>
      <c r="Q246" t="s">
        <v>3200</v>
      </c>
      <c r="R246" t="s">
        <v>3205</v>
      </c>
      <c r="S246" t="s">
        <v>16</v>
      </c>
    </row>
    <row r="247" spans="1:19" x14ac:dyDescent="0.3">
      <c r="A247" t="s">
        <v>234</v>
      </c>
      <c r="B247" t="s">
        <v>1596</v>
      </c>
      <c r="C247" t="s">
        <v>1792</v>
      </c>
      <c r="D247" t="s">
        <v>3189</v>
      </c>
      <c r="E247" t="s">
        <v>9</v>
      </c>
      <c r="F247" s="2">
        <v>24</v>
      </c>
      <c r="G247" t="s">
        <v>3206</v>
      </c>
      <c r="H247" t="s">
        <v>10</v>
      </c>
      <c r="I247" t="s">
        <v>36</v>
      </c>
      <c r="J247" t="s">
        <v>3213</v>
      </c>
      <c r="K247" t="s">
        <v>37</v>
      </c>
      <c r="L247" s="2">
        <v>7.05</v>
      </c>
      <c r="M247" t="s">
        <v>3199</v>
      </c>
      <c r="N247">
        <v>0</v>
      </c>
      <c r="O247">
        <v>0</v>
      </c>
      <c r="P247">
        <v>1</v>
      </c>
      <c r="Q247" t="s">
        <v>3200</v>
      </c>
      <c r="R247" t="s">
        <v>3201</v>
      </c>
      <c r="S247" t="s">
        <v>13</v>
      </c>
    </row>
    <row r="248" spans="1:19" x14ac:dyDescent="0.3">
      <c r="A248" t="s">
        <v>235</v>
      </c>
      <c r="B248" t="s">
        <v>1596</v>
      </c>
      <c r="C248" t="s">
        <v>1845</v>
      </c>
      <c r="D248" t="s">
        <v>3189</v>
      </c>
      <c r="E248" t="s">
        <v>9</v>
      </c>
      <c r="F248" s="2">
        <v>24</v>
      </c>
      <c r="G248" t="s">
        <v>3206</v>
      </c>
      <c r="H248" t="s">
        <v>10</v>
      </c>
      <c r="I248" t="s">
        <v>11</v>
      </c>
      <c r="J248" t="s">
        <v>3198</v>
      </c>
      <c r="K248" t="s">
        <v>31</v>
      </c>
      <c r="L248" s="2">
        <v>7.1711</v>
      </c>
      <c r="M248" t="s">
        <v>3199</v>
      </c>
      <c r="N248">
        <v>0</v>
      </c>
      <c r="O248">
        <v>0</v>
      </c>
      <c r="P248">
        <v>1</v>
      </c>
      <c r="Q248" t="s">
        <v>3200</v>
      </c>
      <c r="R248" t="s">
        <v>3201</v>
      </c>
      <c r="S248" t="s">
        <v>13</v>
      </c>
    </row>
    <row r="249" spans="1:19" x14ac:dyDescent="0.3">
      <c r="A249" t="s">
        <v>236</v>
      </c>
      <c r="B249" t="s">
        <v>1596</v>
      </c>
      <c r="C249" t="s">
        <v>1846</v>
      </c>
      <c r="D249" t="s">
        <v>3189</v>
      </c>
      <c r="E249" t="s">
        <v>9</v>
      </c>
      <c r="F249" s="2">
        <v>29</v>
      </c>
      <c r="G249" t="s">
        <v>3206</v>
      </c>
      <c r="H249" t="s">
        <v>18</v>
      </c>
      <c r="I249" t="s">
        <v>11</v>
      </c>
      <c r="J249" t="s">
        <v>3198</v>
      </c>
      <c r="K249" t="s">
        <v>15</v>
      </c>
      <c r="L249" s="2">
        <v>10.1</v>
      </c>
      <c r="M249" t="s">
        <v>3199</v>
      </c>
      <c r="N249">
        <v>0</v>
      </c>
      <c r="O249">
        <v>0</v>
      </c>
      <c r="P249">
        <v>1</v>
      </c>
      <c r="Q249" t="s">
        <v>3200</v>
      </c>
      <c r="R249" t="s">
        <v>3201</v>
      </c>
      <c r="S249" t="s">
        <v>13</v>
      </c>
    </row>
    <row r="250" spans="1:19" x14ac:dyDescent="0.3">
      <c r="A250" t="s">
        <v>237</v>
      </c>
      <c r="B250" t="s">
        <v>1596</v>
      </c>
      <c r="C250" t="s">
        <v>1847</v>
      </c>
      <c r="D250" t="s">
        <v>3189</v>
      </c>
      <c r="E250" t="s">
        <v>9</v>
      </c>
      <c r="F250" s="2">
        <v>27</v>
      </c>
      <c r="G250" t="s">
        <v>3206</v>
      </c>
      <c r="H250" t="s">
        <v>18</v>
      </c>
      <c r="I250" t="s">
        <v>11</v>
      </c>
      <c r="J250" t="s">
        <v>3198</v>
      </c>
      <c r="K250" t="s">
        <v>22</v>
      </c>
      <c r="L250" s="2">
        <v>13</v>
      </c>
      <c r="M250" t="s">
        <v>3199</v>
      </c>
      <c r="N250">
        <v>0</v>
      </c>
      <c r="O250">
        <v>0</v>
      </c>
      <c r="P250">
        <v>1</v>
      </c>
      <c r="Q250" t="s">
        <v>3200</v>
      </c>
      <c r="R250" t="s">
        <v>3201</v>
      </c>
      <c r="S250" t="s">
        <v>13</v>
      </c>
    </row>
    <row r="251" spans="1:19" x14ac:dyDescent="0.3">
      <c r="A251" t="s">
        <v>238</v>
      </c>
      <c r="B251" t="s">
        <v>1596</v>
      </c>
      <c r="C251" t="s">
        <v>1848</v>
      </c>
      <c r="D251" t="s">
        <v>3189</v>
      </c>
      <c r="E251" t="s">
        <v>9</v>
      </c>
      <c r="F251" s="2">
        <v>25</v>
      </c>
      <c r="G251" t="s">
        <v>3206</v>
      </c>
      <c r="H251" t="s">
        <v>18</v>
      </c>
      <c r="I251" t="s">
        <v>11</v>
      </c>
      <c r="J251" t="s">
        <v>3198</v>
      </c>
      <c r="K251" t="s">
        <v>15</v>
      </c>
      <c r="L251" s="2">
        <v>10.1</v>
      </c>
      <c r="M251" t="s">
        <v>3199</v>
      </c>
      <c r="N251">
        <v>0</v>
      </c>
      <c r="O251">
        <v>0</v>
      </c>
      <c r="P251">
        <v>1</v>
      </c>
      <c r="Q251" t="s">
        <v>3200</v>
      </c>
      <c r="R251" t="s">
        <v>3205</v>
      </c>
      <c r="S251" t="s">
        <v>16</v>
      </c>
    </row>
    <row r="252" spans="1:19" x14ac:dyDescent="0.3">
      <c r="A252" t="s">
        <v>239</v>
      </c>
      <c r="B252" t="s">
        <v>1596</v>
      </c>
      <c r="C252" t="s">
        <v>1849</v>
      </c>
      <c r="D252" t="s">
        <v>3189</v>
      </c>
      <c r="E252" t="s">
        <v>9</v>
      </c>
      <c r="F252" s="2">
        <v>37</v>
      </c>
      <c r="G252" t="s">
        <v>3197</v>
      </c>
      <c r="H252" t="s">
        <v>25</v>
      </c>
      <c r="I252" t="s">
        <v>11</v>
      </c>
      <c r="J252" t="s">
        <v>3198</v>
      </c>
      <c r="K252" t="s">
        <v>37</v>
      </c>
      <c r="L252" s="2">
        <v>25.110900000000001</v>
      </c>
      <c r="M252" t="s">
        <v>3203</v>
      </c>
      <c r="N252">
        <v>0</v>
      </c>
      <c r="O252">
        <v>0</v>
      </c>
      <c r="P252">
        <v>1</v>
      </c>
      <c r="Q252" t="s">
        <v>3200</v>
      </c>
      <c r="R252" t="s">
        <v>3201</v>
      </c>
      <c r="S252" t="s">
        <v>13</v>
      </c>
    </row>
    <row r="253" spans="1:19" x14ac:dyDescent="0.3">
      <c r="A253" t="s">
        <v>240</v>
      </c>
      <c r="B253" t="s">
        <v>1602</v>
      </c>
      <c r="C253" t="s">
        <v>1850</v>
      </c>
      <c r="D253" t="s">
        <v>3190</v>
      </c>
      <c r="E253" t="s">
        <v>14</v>
      </c>
      <c r="F253" s="2">
        <v>8</v>
      </c>
      <c r="G253" t="s">
        <v>3208</v>
      </c>
      <c r="H253" t="s">
        <v>18</v>
      </c>
      <c r="I253" t="s">
        <v>11</v>
      </c>
      <c r="J253" t="s">
        <v>3198</v>
      </c>
      <c r="K253" t="s">
        <v>15</v>
      </c>
      <c r="L253" s="2">
        <v>26.05</v>
      </c>
      <c r="M253" t="s">
        <v>3203</v>
      </c>
      <c r="N253">
        <v>0</v>
      </c>
      <c r="O253">
        <v>2</v>
      </c>
      <c r="P253">
        <v>3</v>
      </c>
      <c r="Q253" t="s">
        <v>3204</v>
      </c>
      <c r="R253" t="s">
        <v>3205</v>
      </c>
      <c r="S253" t="s">
        <v>16</v>
      </c>
    </row>
    <row r="254" spans="1:19" x14ac:dyDescent="0.3">
      <c r="A254" t="s">
        <v>240</v>
      </c>
      <c r="B254" t="s">
        <v>1596</v>
      </c>
      <c r="C254" t="s">
        <v>1851</v>
      </c>
      <c r="D254" t="s">
        <v>3189</v>
      </c>
      <c r="E254" t="s">
        <v>9</v>
      </c>
      <c r="F254" s="2">
        <v>31</v>
      </c>
      <c r="G254" t="s">
        <v>3206</v>
      </c>
      <c r="H254" t="s">
        <v>18</v>
      </c>
      <c r="I254" t="s">
        <v>11</v>
      </c>
      <c r="J254" t="s">
        <v>3198</v>
      </c>
      <c r="K254" t="s">
        <v>15</v>
      </c>
      <c r="L254" s="2">
        <v>26.05</v>
      </c>
      <c r="M254" t="s">
        <v>3203</v>
      </c>
      <c r="N254">
        <v>1</v>
      </c>
      <c r="O254">
        <v>1</v>
      </c>
      <c r="P254">
        <v>3</v>
      </c>
      <c r="Q254" t="s">
        <v>3204</v>
      </c>
      <c r="R254" t="s">
        <v>3201</v>
      </c>
      <c r="S254" t="s">
        <v>13</v>
      </c>
    </row>
    <row r="255" spans="1:19" x14ac:dyDescent="0.3">
      <c r="A255" t="s">
        <v>240</v>
      </c>
      <c r="B255" t="s">
        <v>1600</v>
      </c>
      <c r="C255" t="s">
        <v>1852</v>
      </c>
      <c r="D255" t="s">
        <v>3190</v>
      </c>
      <c r="E255" t="s">
        <v>14</v>
      </c>
      <c r="F255" s="2">
        <v>30</v>
      </c>
      <c r="G255" t="s">
        <v>3206</v>
      </c>
      <c r="H255" t="s">
        <v>18</v>
      </c>
      <c r="I255" t="s">
        <v>11</v>
      </c>
      <c r="J255" t="s">
        <v>3198</v>
      </c>
      <c r="K255" t="s">
        <v>15</v>
      </c>
      <c r="L255" s="2">
        <v>26.05</v>
      </c>
      <c r="M255" t="s">
        <v>3203</v>
      </c>
      <c r="N255">
        <v>1</v>
      </c>
      <c r="O255">
        <v>1</v>
      </c>
      <c r="P255">
        <v>3</v>
      </c>
      <c r="Q255" t="s">
        <v>3204</v>
      </c>
      <c r="R255" t="s">
        <v>3205</v>
      </c>
      <c r="S255" t="s">
        <v>16</v>
      </c>
    </row>
    <row r="256" spans="1:19" x14ac:dyDescent="0.3">
      <c r="A256" t="s">
        <v>241</v>
      </c>
      <c r="B256" t="s">
        <v>1596</v>
      </c>
      <c r="C256" t="s">
        <v>1853</v>
      </c>
      <c r="D256" t="s">
        <v>3189</v>
      </c>
      <c r="E256" t="s">
        <v>9</v>
      </c>
      <c r="F256" s="2">
        <v>36</v>
      </c>
      <c r="G256" t="s">
        <v>3197</v>
      </c>
      <c r="H256" t="s">
        <v>10</v>
      </c>
      <c r="I256" t="s">
        <v>11</v>
      </c>
      <c r="J256" t="s">
        <v>3198</v>
      </c>
      <c r="K256" t="s">
        <v>31</v>
      </c>
      <c r="L256" s="2">
        <v>7.1711</v>
      </c>
      <c r="M256" t="s">
        <v>3199</v>
      </c>
      <c r="N256">
        <v>0</v>
      </c>
      <c r="O256">
        <v>0</v>
      </c>
      <c r="P256">
        <v>1</v>
      </c>
      <c r="Q256" t="s">
        <v>3200</v>
      </c>
      <c r="R256" t="s">
        <v>3201</v>
      </c>
      <c r="S256" t="s">
        <v>13</v>
      </c>
    </row>
    <row r="257" spans="1:19" x14ac:dyDescent="0.3">
      <c r="A257" t="s">
        <v>242</v>
      </c>
      <c r="B257" t="s">
        <v>1602</v>
      </c>
      <c r="C257" t="s">
        <v>1854</v>
      </c>
      <c r="D257" t="s">
        <v>3190</v>
      </c>
      <c r="E257" t="s">
        <v>14</v>
      </c>
      <c r="F257" s="2">
        <v>39</v>
      </c>
      <c r="G257" t="s">
        <v>3197</v>
      </c>
      <c r="H257" t="s">
        <v>25</v>
      </c>
      <c r="I257" t="s">
        <v>19</v>
      </c>
      <c r="J257" t="s">
        <v>3207</v>
      </c>
      <c r="K257" t="s">
        <v>12</v>
      </c>
      <c r="L257" s="2">
        <v>83.030199999999994</v>
      </c>
      <c r="M257" t="s">
        <v>3211</v>
      </c>
      <c r="N257">
        <v>1</v>
      </c>
      <c r="O257">
        <v>1</v>
      </c>
      <c r="P257">
        <v>3</v>
      </c>
      <c r="Q257" t="s">
        <v>3204</v>
      </c>
      <c r="R257" t="s">
        <v>3205</v>
      </c>
      <c r="S257" t="s">
        <v>16</v>
      </c>
    </row>
    <row r="258" spans="1:19" x14ac:dyDescent="0.3">
      <c r="A258" t="s">
        <v>242</v>
      </c>
      <c r="B258" t="s">
        <v>1596</v>
      </c>
      <c r="C258" t="s">
        <v>1855</v>
      </c>
      <c r="D258" t="s">
        <v>3189</v>
      </c>
      <c r="E258" t="s">
        <v>9</v>
      </c>
      <c r="F258" s="2">
        <v>37</v>
      </c>
      <c r="G258" t="s">
        <v>3197</v>
      </c>
      <c r="H258" t="s">
        <v>25</v>
      </c>
      <c r="I258" t="s">
        <v>19</v>
      </c>
      <c r="J258" t="s">
        <v>3207</v>
      </c>
      <c r="K258" t="s">
        <v>12</v>
      </c>
      <c r="L258" s="2">
        <v>83.030199999999994</v>
      </c>
      <c r="M258" t="s">
        <v>3211</v>
      </c>
      <c r="N258">
        <v>1</v>
      </c>
      <c r="O258">
        <v>1</v>
      </c>
      <c r="P258">
        <v>3</v>
      </c>
      <c r="Q258" t="s">
        <v>3204</v>
      </c>
      <c r="R258" t="s">
        <v>3201</v>
      </c>
      <c r="S258" t="s">
        <v>13</v>
      </c>
    </row>
    <row r="259" spans="1:19" x14ac:dyDescent="0.3">
      <c r="A259" t="s">
        <v>242</v>
      </c>
      <c r="B259" t="s">
        <v>1600</v>
      </c>
      <c r="C259" t="s">
        <v>1856</v>
      </c>
      <c r="D259" t="s">
        <v>3190</v>
      </c>
      <c r="E259" t="s">
        <v>14</v>
      </c>
      <c r="F259" s="2">
        <v>64</v>
      </c>
      <c r="G259" t="s">
        <v>3210</v>
      </c>
      <c r="H259" t="s">
        <v>25</v>
      </c>
      <c r="I259" t="s">
        <v>19</v>
      </c>
      <c r="J259" t="s">
        <v>3207</v>
      </c>
      <c r="K259" t="s">
        <v>12</v>
      </c>
      <c r="L259" s="2">
        <v>83.030199999999994</v>
      </c>
      <c r="M259" t="s">
        <v>3211</v>
      </c>
      <c r="N259">
        <v>0</v>
      </c>
      <c r="O259">
        <v>2</v>
      </c>
      <c r="P259">
        <v>3</v>
      </c>
      <c r="Q259" t="s">
        <v>3204</v>
      </c>
      <c r="R259" t="s">
        <v>3205</v>
      </c>
      <c r="S259" t="s">
        <v>16</v>
      </c>
    </row>
    <row r="260" spans="1:19" x14ac:dyDescent="0.3">
      <c r="A260" t="s">
        <v>243</v>
      </c>
      <c r="B260" t="s">
        <v>1596</v>
      </c>
      <c r="C260" t="s">
        <v>1857</v>
      </c>
      <c r="D260" t="s">
        <v>3189</v>
      </c>
      <c r="E260" t="s">
        <v>9</v>
      </c>
      <c r="F260" s="2">
        <v>31</v>
      </c>
      <c r="G260" t="s">
        <v>3206</v>
      </c>
      <c r="H260" t="s">
        <v>10</v>
      </c>
      <c r="I260" t="s">
        <v>36</v>
      </c>
      <c r="J260" t="s">
        <v>3213</v>
      </c>
      <c r="K260" t="s">
        <v>12</v>
      </c>
      <c r="L260" s="2">
        <v>7.1407999999999996</v>
      </c>
      <c r="M260" t="s">
        <v>3199</v>
      </c>
      <c r="N260">
        <v>0</v>
      </c>
      <c r="O260">
        <v>0</v>
      </c>
      <c r="P260">
        <v>1</v>
      </c>
      <c r="Q260" t="s">
        <v>3200</v>
      </c>
      <c r="R260" t="s">
        <v>3201</v>
      </c>
      <c r="S260" t="s">
        <v>13</v>
      </c>
    </row>
    <row r="261" spans="1:19" x14ac:dyDescent="0.3">
      <c r="A261" t="s">
        <v>244</v>
      </c>
      <c r="B261" t="s">
        <v>1596</v>
      </c>
      <c r="C261" t="s">
        <v>1858</v>
      </c>
      <c r="D261" t="s">
        <v>3189</v>
      </c>
      <c r="E261" t="s">
        <v>9</v>
      </c>
      <c r="F261" s="2">
        <v>40</v>
      </c>
      <c r="G261" t="s">
        <v>3197</v>
      </c>
      <c r="H261" t="s">
        <v>10</v>
      </c>
      <c r="I261" t="s">
        <v>36</v>
      </c>
      <c r="J261" t="s">
        <v>3213</v>
      </c>
      <c r="K261" t="s">
        <v>37</v>
      </c>
      <c r="L261" s="2">
        <v>7.15</v>
      </c>
      <c r="M261" t="s">
        <v>3199</v>
      </c>
      <c r="N261">
        <v>0</v>
      </c>
      <c r="O261">
        <v>0</v>
      </c>
      <c r="P261">
        <v>1</v>
      </c>
      <c r="Q261" t="s">
        <v>3200</v>
      </c>
      <c r="R261" t="s">
        <v>3201</v>
      </c>
      <c r="S261" t="s">
        <v>13</v>
      </c>
    </row>
    <row r="262" spans="1:19" x14ac:dyDescent="0.3">
      <c r="A262" t="s">
        <v>245</v>
      </c>
      <c r="B262" t="s">
        <v>1602</v>
      </c>
      <c r="C262" t="s">
        <v>1735</v>
      </c>
      <c r="D262" t="s">
        <v>3190</v>
      </c>
      <c r="E262" t="s">
        <v>14</v>
      </c>
      <c r="F262" s="2">
        <v>23</v>
      </c>
      <c r="G262" t="s">
        <v>3206</v>
      </c>
      <c r="H262" t="s">
        <v>10</v>
      </c>
      <c r="I262" t="s">
        <v>36</v>
      </c>
      <c r="J262" t="s">
        <v>3213</v>
      </c>
      <c r="K262" t="s">
        <v>37</v>
      </c>
      <c r="L262" s="2">
        <v>7.15</v>
      </c>
      <c r="M262" t="s">
        <v>3199</v>
      </c>
      <c r="N262">
        <v>0</v>
      </c>
      <c r="O262">
        <v>0</v>
      </c>
      <c r="P262">
        <v>1</v>
      </c>
      <c r="Q262" t="s">
        <v>3200</v>
      </c>
      <c r="R262" t="s">
        <v>3205</v>
      </c>
      <c r="S262" t="s">
        <v>16</v>
      </c>
    </row>
    <row r="263" spans="1:19" x14ac:dyDescent="0.3">
      <c r="A263" t="s">
        <v>245</v>
      </c>
      <c r="B263" t="s">
        <v>1602</v>
      </c>
      <c r="C263" t="s">
        <v>1772</v>
      </c>
      <c r="D263" t="s">
        <v>3190</v>
      </c>
      <c r="E263" t="s">
        <v>14</v>
      </c>
      <c r="F263" s="2">
        <v>41</v>
      </c>
      <c r="G263" t="s">
        <v>3197</v>
      </c>
      <c r="H263" t="s">
        <v>10</v>
      </c>
      <c r="I263" t="s">
        <v>36</v>
      </c>
      <c r="J263" t="s">
        <v>3213</v>
      </c>
      <c r="K263" t="s">
        <v>37</v>
      </c>
      <c r="L263" s="2">
        <v>7.1207000000000003</v>
      </c>
      <c r="M263" t="s">
        <v>3199</v>
      </c>
      <c r="N263">
        <v>0</v>
      </c>
      <c r="O263">
        <v>0</v>
      </c>
      <c r="P263">
        <v>1</v>
      </c>
      <c r="Q263" t="s">
        <v>3200</v>
      </c>
      <c r="R263" t="s">
        <v>3201</v>
      </c>
      <c r="S263" t="s">
        <v>13</v>
      </c>
    </row>
    <row r="264" spans="1:19" x14ac:dyDescent="0.3">
      <c r="A264" t="s">
        <v>246</v>
      </c>
      <c r="B264" t="s">
        <v>1596</v>
      </c>
      <c r="C264" t="s">
        <v>1792</v>
      </c>
      <c r="D264" t="s">
        <v>3189</v>
      </c>
      <c r="E264" t="s">
        <v>9</v>
      </c>
      <c r="F264" s="2">
        <v>66</v>
      </c>
      <c r="G264" t="s">
        <v>3210</v>
      </c>
      <c r="H264" t="s">
        <v>10</v>
      </c>
      <c r="I264" t="s">
        <v>36</v>
      </c>
      <c r="J264" t="s">
        <v>3213</v>
      </c>
      <c r="K264" t="s">
        <v>37</v>
      </c>
      <c r="L264" s="2">
        <v>7.15</v>
      </c>
      <c r="M264" t="s">
        <v>3199</v>
      </c>
      <c r="N264">
        <v>0</v>
      </c>
      <c r="O264">
        <v>0</v>
      </c>
      <c r="P264">
        <v>1</v>
      </c>
      <c r="Q264" t="s">
        <v>3200</v>
      </c>
      <c r="R264" t="s">
        <v>3201</v>
      </c>
      <c r="S264" t="s">
        <v>13</v>
      </c>
    </row>
    <row r="265" spans="1:19" x14ac:dyDescent="0.3">
      <c r="A265" t="s">
        <v>247</v>
      </c>
      <c r="B265" t="s">
        <v>1596</v>
      </c>
      <c r="C265" t="s">
        <v>1859</v>
      </c>
      <c r="D265" t="s">
        <v>3189</v>
      </c>
      <c r="E265" t="s">
        <v>9</v>
      </c>
      <c r="F265" s="2">
        <v>43</v>
      </c>
      <c r="G265" t="s">
        <v>3197</v>
      </c>
      <c r="H265" t="s">
        <v>10</v>
      </c>
      <c r="I265" t="s">
        <v>11</v>
      </c>
      <c r="J265" t="s">
        <v>3198</v>
      </c>
      <c r="K265" t="s">
        <v>15</v>
      </c>
      <c r="L265" s="2">
        <v>8.01</v>
      </c>
      <c r="M265" t="s">
        <v>3199</v>
      </c>
      <c r="N265">
        <v>0</v>
      </c>
      <c r="O265">
        <v>0</v>
      </c>
      <c r="P265">
        <v>1</v>
      </c>
      <c r="Q265" t="s">
        <v>3200</v>
      </c>
      <c r="R265" t="s">
        <v>3201</v>
      </c>
      <c r="S265" t="s">
        <v>13</v>
      </c>
    </row>
    <row r="266" spans="1:19" x14ac:dyDescent="0.3">
      <c r="A266" t="s">
        <v>247</v>
      </c>
      <c r="B266" t="s">
        <v>1600</v>
      </c>
      <c r="C266" t="s">
        <v>1860</v>
      </c>
      <c r="D266" t="s">
        <v>3190</v>
      </c>
      <c r="E266" t="s">
        <v>14</v>
      </c>
      <c r="F266" s="2">
        <v>22</v>
      </c>
      <c r="G266" t="s">
        <v>3206</v>
      </c>
      <c r="H266" t="s">
        <v>18</v>
      </c>
      <c r="I266" t="s">
        <v>11</v>
      </c>
      <c r="J266" t="s">
        <v>3198</v>
      </c>
      <c r="K266" t="s">
        <v>15</v>
      </c>
      <c r="L266" s="2">
        <v>10.1</v>
      </c>
      <c r="M266" t="s">
        <v>3199</v>
      </c>
      <c r="N266">
        <v>0</v>
      </c>
      <c r="O266">
        <v>0</v>
      </c>
      <c r="P266">
        <v>1</v>
      </c>
      <c r="Q266" t="s">
        <v>3200</v>
      </c>
      <c r="R266" t="s">
        <v>3205</v>
      </c>
      <c r="S266" t="s">
        <v>16</v>
      </c>
    </row>
    <row r="267" spans="1:19" x14ac:dyDescent="0.3">
      <c r="A267" t="s">
        <v>248</v>
      </c>
      <c r="B267" t="s">
        <v>1600</v>
      </c>
      <c r="C267" t="s">
        <v>1861</v>
      </c>
      <c r="D267" t="s">
        <v>3190</v>
      </c>
      <c r="E267" t="s">
        <v>14</v>
      </c>
      <c r="F267" s="2">
        <v>30</v>
      </c>
      <c r="G267" t="s">
        <v>3206</v>
      </c>
      <c r="H267" t="s">
        <v>18</v>
      </c>
      <c r="I267" t="s">
        <v>11</v>
      </c>
      <c r="J267" t="s">
        <v>3198</v>
      </c>
      <c r="K267" t="s">
        <v>12</v>
      </c>
      <c r="L267" s="2">
        <v>13</v>
      </c>
      <c r="M267" t="s">
        <v>3199</v>
      </c>
      <c r="N267">
        <v>0</v>
      </c>
      <c r="O267">
        <v>0</v>
      </c>
      <c r="P267">
        <v>1</v>
      </c>
      <c r="Q267" t="s">
        <v>3200</v>
      </c>
      <c r="R267" t="s">
        <v>3201</v>
      </c>
      <c r="S267" t="s">
        <v>13</v>
      </c>
    </row>
    <row r="268" spans="1:19" x14ac:dyDescent="0.3">
      <c r="A268" t="s">
        <v>249</v>
      </c>
      <c r="B268" t="s">
        <v>1600</v>
      </c>
      <c r="C268" t="s">
        <v>1862</v>
      </c>
      <c r="D268" t="s">
        <v>3190</v>
      </c>
      <c r="E268" t="s">
        <v>14</v>
      </c>
      <c r="F268" s="2">
        <v>32</v>
      </c>
      <c r="G268" t="s">
        <v>3206</v>
      </c>
      <c r="H268" t="s">
        <v>18</v>
      </c>
      <c r="I268" t="s">
        <v>11</v>
      </c>
      <c r="J268" t="s">
        <v>3198</v>
      </c>
      <c r="K268" t="s">
        <v>15</v>
      </c>
      <c r="L268" s="2">
        <v>21</v>
      </c>
      <c r="M268" t="s">
        <v>3203</v>
      </c>
      <c r="N268">
        <v>0</v>
      </c>
      <c r="O268">
        <v>0</v>
      </c>
      <c r="P268">
        <v>1</v>
      </c>
      <c r="Q268" t="s">
        <v>3200</v>
      </c>
      <c r="R268" t="s">
        <v>3201</v>
      </c>
      <c r="S268" t="s">
        <v>13</v>
      </c>
    </row>
    <row r="269" spans="1:19" x14ac:dyDescent="0.3">
      <c r="A269" t="s">
        <v>250</v>
      </c>
      <c r="B269" t="s">
        <v>1596</v>
      </c>
      <c r="C269" t="s">
        <v>1863</v>
      </c>
      <c r="D269" t="s">
        <v>3189</v>
      </c>
      <c r="E269" t="s">
        <v>9</v>
      </c>
      <c r="F269" s="2">
        <v>35</v>
      </c>
      <c r="G269" t="s">
        <v>3206</v>
      </c>
      <c r="H269" t="s">
        <v>10</v>
      </c>
      <c r="I269" t="s">
        <v>11</v>
      </c>
      <c r="J269" t="s">
        <v>3198</v>
      </c>
      <c r="K269" t="s">
        <v>42</v>
      </c>
      <c r="L269" s="2">
        <v>7.1711</v>
      </c>
      <c r="M269" t="s">
        <v>3199</v>
      </c>
      <c r="N269">
        <v>0</v>
      </c>
      <c r="O269">
        <v>0</v>
      </c>
      <c r="P269">
        <v>1</v>
      </c>
      <c r="Q269" t="s">
        <v>3200</v>
      </c>
      <c r="R269" t="s">
        <v>3201</v>
      </c>
      <c r="S269" t="s">
        <v>13</v>
      </c>
    </row>
    <row r="270" spans="1:19" x14ac:dyDescent="0.3">
      <c r="A270" t="s">
        <v>250</v>
      </c>
      <c r="B270" t="s">
        <v>1596</v>
      </c>
      <c r="C270" t="s">
        <v>1864</v>
      </c>
      <c r="D270" t="s">
        <v>3189</v>
      </c>
      <c r="E270" t="s">
        <v>9</v>
      </c>
      <c r="F270" s="2">
        <v>27</v>
      </c>
      <c r="G270" t="s">
        <v>3206</v>
      </c>
      <c r="H270" t="s">
        <v>10</v>
      </c>
      <c r="I270" t="s">
        <v>11</v>
      </c>
      <c r="J270" t="s">
        <v>3198</v>
      </c>
      <c r="K270" t="s">
        <v>35</v>
      </c>
      <c r="L270" s="2">
        <v>7.1711</v>
      </c>
      <c r="M270" t="s">
        <v>3199</v>
      </c>
      <c r="N270">
        <v>0</v>
      </c>
      <c r="O270">
        <v>0</v>
      </c>
      <c r="P270">
        <v>1</v>
      </c>
      <c r="Q270" t="s">
        <v>3200</v>
      </c>
      <c r="R270" t="s">
        <v>3201</v>
      </c>
      <c r="S270" t="s">
        <v>13</v>
      </c>
    </row>
    <row r="271" spans="1:19" x14ac:dyDescent="0.3">
      <c r="A271" t="s">
        <v>250</v>
      </c>
      <c r="B271" t="s">
        <v>1596</v>
      </c>
      <c r="C271" t="s">
        <v>1865</v>
      </c>
      <c r="D271" t="s">
        <v>3189</v>
      </c>
      <c r="E271" t="s">
        <v>9</v>
      </c>
      <c r="F271" s="2">
        <v>19</v>
      </c>
      <c r="G271" t="s">
        <v>3206</v>
      </c>
      <c r="H271" t="s">
        <v>10</v>
      </c>
      <c r="I271" t="s">
        <v>11</v>
      </c>
      <c r="J271" t="s">
        <v>3198</v>
      </c>
      <c r="K271" t="s">
        <v>35</v>
      </c>
      <c r="L271" s="2">
        <v>7.1711</v>
      </c>
      <c r="M271" t="s">
        <v>3199</v>
      </c>
      <c r="N271">
        <v>0</v>
      </c>
      <c r="O271">
        <v>0</v>
      </c>
      <c r="P271">
        <v>1</v>
      </c>
      <c r="Q271" t="s">
        <v>3200</v>
      </c>
      <c r="R271" t="s">
        <v>3201</v>
      </c>
      <c r="S271" t="s">
        <v>13</v>
      </c>
    </row>
    <row r="272" spans="1:19" x14ac:dyDescent="0.3">
      <c r="A272" t="s">
        <v>251</v>
      </c>
      <c r="B272" t="s">
        <v>1596</v>
      </c>
      <c r="C272" t="s">
        <v>1866</v>
      </c>
      <c r="D272" t="s">
        <v>3189</v>
      </c>
      <c r="E272" t="s">
        <v>9</v>
      </c>
      <c r="F272" s="2">
        <v>30</v>
      </c>
      <c r="G272" t="s">
        <v>3206</v>
      </c>
      <c r="H272" t="s">
        <v>10</v>
      </c>
      <c r="I272" t="s">
        <v>11</v>
      </c>
      <c r="J272" t="s">
        <v>3198</v>
      </c>
      <c r="K272" t="s">
        <v>47</v>
      </c>
      <c r="L272" s="2">
        <v>8.01</v>
      </c>
      <c r="M272" t="s">
        <v>3199</v>
      </c>
      <c r="N272">
        <v>0</v>
      </c>
      <c r="O272">
        <v>0</v>
      </c>
      <c r="P272">
        <v>1</v>
      </c>
      <c r="Q272" t="s">
        <v>3200</v>
      </c>
      <c r="R272" t="s">
        <v>3201</v>
      </c>
      <c r="S272" t="s">
        <v>13</v>
      </c>
    </row>
    <row r="273" spans="1:19" x14ac:dyDescent="0.3">
      <c r="A273" t="s">
        <v>252</v>
      </c>
      <c r="B273" t="s">
        <v>1600</v>
      </c>
      <c r="C273" t="s">
        <v>1867</v>
      </c>
      <c r="D273" t="s">
        <v>3190</v>
      </c>
      <c r="E273" t="s">
        <v>14</v>
      </c>
      <c r="F273" s="2">
        <v>55</v>
      </c>
      <c r="G273" t="s">
        <v>3197</v>
      </c>
      <c r="H273" t="s">
        <v>25</v>
      </c>
      <c r="I273" t="s">
        <v>11</v>
      </c>
      <c r="J273" t="s">
        <v>3198</v>
      </c>
      <c r="K273" t="s">
        <v>12</v>
      </c>
      <c r="L273" s="2">
        <v>25.140999999999998</v>
      </c>
      <c r="M273" t="s">
        <v>3203</v>
      </c>
      <c r="N273">
        <v>2</v>
      </c>
      <c r="O273">
        <v>0</v>
      </c>
      <c r="P273">
        <v>3</v>
      </c>
      <c r="Q273" t="s">
        <v>3204</v>
      </c>
      <c r="R273" t="s">
        <v>3205</v>
      </c>
      <c r="S273" t="s">
        <v>16</v>
      </c>
    </row>
    <row r="274" spans="1:19" x14ac:dyDescent="0.3">
      <c r="A274" t="s">
        <v>253</v>
      </c>
      <c r="B274" t="s">
        <v>1602</v>
      </c>
      <c r="C274" t="s">
        <v>1720</v>
      </c>
      <c r="D274" t="s">
        <v>3190</v>
      </c>
      <c r="E274" t="s">
        <v>14</v>
      </c>
      <c r="F274" s="2">
        <v>16</v>
      </c>
      <c r="G274" t="s">
        <v>3202</v>
      </c>
      <c r="H274" t="s">
        <v>10</v>
      </c>
      <c r="I274" t="s">
        <v>36</v>
      </c>
      <c r="J274" t="s">
        <v>3213</v>
      </c>
      <c r="K274" t="s">
        <v>37</v>
      </c>
      <c r="L274" s="2">
        <v>7.15</v>
      </c>
      <c r="M274" t="s">
        <v>3199</v>
      </c>
      <c r="N274">
        <v>0</v>
      </c>
      <c r="O274">
        <v>0</v>
      </c>
      <c r="P274">
        <v>1</v>
      </c>
      <c r="Q274" t="s">
        <v>3200</v>
      </c>
      <c r="R274" t="s">
        <v>3205</v>
      </c>
      <c r="S274" t="s">
        <v>16</v>
      </c>
    </row>
    <row r="275" spans="1:19" x14ac:dyDescent="0.3">
      <c r="A275" t="s">
        <v>254</v>
      </c>
      <c r="B275" t="s">
        <v>1596</v>
      </c>
      <c r="C275" t="s">
        <v>1728</v>
      </c>
      <c r="D275" t="s">
        <v>3189</v>
      </c>
      <c r="E275" t="s">
        <v>9</v>
      </c>
      <c r="F275" s="2">
        <v>21</v>
      </c>
      <c r="G275" t="s">
        <v>3206</v>
      </c>
      <c r="H275" t="s">
        <v>18</v>
      </c>
      <c r="I275" t="s">
        <v>11</v>
      </c>
      <c r="J275" t="s">
        <v>3198</v>
      </c>
      <c r="K275" t="s">
        <v>15</v>
      </c>
      <c r="L275" s="2">
        <v>11.1</v>
      </c>
      <c r="M275" t="s">
        <v>3199</v>
      </c>
      <c r="N275">
        <v>0</v>
      </c>
      <c r="O275">
        <v>0</v>
      </c>
      <c r="P275">
        <v>1</v>
      </c>
      <c r="Q275" t="s">
        <v>3200</v>
      </c>
      <c r="R275" t="s">
        <v>3201</v>
      </c>
      <c r="S275" t="s">
        <v>13</v>
      </c>
    </row>
    <row r="276" spans="1:19" x14ac:dyDescent="0.3">
      <c r="A276" t="s">
        <v>255</v>
      </c>
      <c r="B276" t="s">
        <v>1612</v>
      </c>
      <c r="C276" t="s">
        <v>1868</v>
      </c>
      <c r="D276" t="s">
        <v>3189</v>
      </c>
      <c r="E276" t="s">
        <v>9</v>
      </c>
      <c r="F276" s="2">
        <v>3</v>
      </c>
      <c r="G276" t="s">
        <v>3208</v>
      </c>
      <c r="H276" t="s">
        <v>10</v>
      </c>
      <c r="I276" t="s">
        <v>11</v>
      </c>
      <c r="J276" t="s">
        <v>3198</v>
      </c>
      <c r="K276" t="s">
        <v>15</v>
      </c>
      <c r="L276" s="2">
        <v>15.18</v>
      </c>
      <c r="M276" t="s">
        <v>3203</v>
      </c>
      <c r="N276">
        <v>1</v>
      </c>
      <c r="O276">
        <v>1</v>
      </c>
      <c r="P276">
        <v>3</v>
      </c>
      <c r="Q276" t="s">
        <v>3204</v>
      </c>
      <c r="R276" t="s">
        <v>3205</v>
      </c>
      <c r="S276" t="s">
        <v>16</v>
      </c>
    </row>
    <row r="277" spans="1:19" x14ac:dyDescent="0.3">
      <c r="A277" t="s">
        <v>255</v>
      </c>
      <c r="B277" t="s">
        <v>1612</v>
      </c>
      <c r="C277" t="s">
        <v>1869</v>
      </c>
      <c r="D277" t="s">
        <v>3189</v>
      </c>
      <c r="E277" t="s">
        <v>9</v>
      </c>
      <c r="F277" s="2">
        <v>9</v>
      </c>
      <c r="G277" t="s">
        <v>3202</v>
      </c>
      <c r="H277" t="s">
        <v>10</v>
      </c>
      <c r="I277" t="s">
        <v>11</v>
      </c>
      <c r="J277" t="s">
        <v>3198</v>
      </c>
      <c r="K277" t="s">
        <v>15</v>
      </c>
      <c r="L277" s="2">
        <v>15.18</v>
      </c>
      <c r="M277" t="s">
        <v>3203</v>
      </c>
      <c r="N277">
        <v>1</v>
      </c>
      <c r="O277">
        <v>1</v>
      </c>
      <c r="P277">
        <v>3</v>
      </c>
      <c r="Q277" t="s">
        <v>3204</v>
      </c>
      <c r="R277" t="s">
        <v>3205</v>
      </c>
      <c r="S277" t="s">
        <v>16</v>
      </c>
    </row>
    <row r="278" spans="1:19" x14ac:dyDescent="0.3">
      <c r="A278" t="s">
        <v>255</v>
      </c>
      <c r="B278" t="s">
        <v>1600</v>
      </c>
      <c r="C278" t="s">
        <v>1870</v>
      </c>
      <c r="D278" t="s">
        <v>3190</v>
      </c>
      <c r="E278" t="s">
        <v>14</v>
      </c>
      <c r="F278" s="2">
        <v>36</v>
      </c>
      <c r="G278" t="s">
        <v>3197</v>
      </c>
      <c r="H278" t="s">
        <v>10</v>
      </c>
      <c r="I278" t="s">
        <v>11</v>
      </c>
      <c r="J278" t="s">
        <v>3198</v>
      </c>
      <c r="K278" t="s">
        <v>15</v>
      </c>
      <c r="L278" s="2">
        <v>15.18</v>
      </c>
      <c r="M278" t="s">
        <v>3203</v>
      </c>
      <c r="N278">
        <v>0</v>
      </c>
      <c r="O278">
        <v>2</v>
      </c>
      <c r="P278">
        <v>3</v>
      </c>
      <c r="Q278" t="s">
        <v>3204</v>
      </c>
      <c r="R278" t="s">
        <v>3205</v>
      </c>
      <c r="S278" t="s">
        <v>16</v>
      </c>
    </row>
    <row r="279" spans="1:19" x14ac:dyDescent="0.3">
      <c r="A279" t="s">
        <v>256</v>
      </c>
      <c r="B279" t="s">
        <v>1596</v>
      </c>
      <c r="C279" t="s">
        <v>1764</v>
      </c>
      <c r="D279" t="s">
        <v>3189</v>
      </c>
      <c r="E279" t="s">
        <v>9</v>
      </c>
      <c r="F279" s="2">
        <v>58</v>
      </c>
      <c r="G279" t="s">
        <v>3210</v>
      </c>
      <c r="H279" t="s">
        <v>10</v>
      </c>
      <c r="I279" t="s">
        <v>11</v>
      </c>
      <c r="J279" t="s">
        <v>3198</v>
      </c>
      <c r="K279" t="s">
        <v>15</v>
      </c>
      <c r="L279" s="2">
        <v>7.05</v>
      </c>
      <c r="M279" t="s">
        <v>3199</v>
      </c>
      <c r="N279">
        <v>0</v>
      </c>
      <c r="O279">
        <v>0</v>
      </c>
      <c r="P279">
        <v>1</v>
      </c>
      <c r="Q279" t="s">
        <v>3200</v>
      </c>
      <c r="R279" t="s">
        <v>3201</v>
      </c>
      <c r="S279" t="s">
        <v>13</v>
      </c>
    </row>
    <row r="280" spans="1:19" x14ac:dyDescent="0.3">
      <c r="A280" t="s">
        <v>257</v>
      </c>
      <c r="B280" t="s">
        <v>1596</v>
      </c>
      <c r="C280" t="s">
        <v>1742</v>
      </c>
      <c r="D280" t="s">
        <v>3189</v>
      </c>
      <c r="E280" t="s">
        <v>9</v>
      </c>
      <c r="F280" s="2">
        <v>59</v>
      </c>
      <c r="G280" t="s">
        <v>3210</v>
      </c>
      <c r="H280" t="s">
        <v>25</v>
      </c>
      <c r="I280" t="s">
        <v>11</v>
      </c>
      <c r="J280" t="s">
        <v>3198</v>
      </c>
      <c r="K280" t="s">
        <v>12</v>
      </c>
      <c r="L280" s="2">
        <v>26.11</v>
      </c>
      <c r="M280" t="s">
        <v>3203</v>
      </c>
      <c r="N280">
        <v>0</v>
      </c>
      <c r="O280">
        <v>0</v>
      </c>
      <c r="P280">
        <v>1</v>
      </c>
      <c r="Q280" t="s">
        <v>3200</v>
      </c>
      <c r="R280" t="s">
        <v>3201</v>
      </c>
      <c r="S280" t="s">
        <v>13</v>
      </c>
    </row>
    <row r="281" spans="1:19" x14ac:dyDescent="0.3">
      <c r="A281" t="s">
        <v>258</v>
      </c>
      <c r="B281" t="s">
        <v>1596</v>
      </c>
      <c r="C281" t="s">
        <v>1871</v>
      </c>
      <c r="D281" t="s">
        <v>3189</v>
      </c>
      <c r="E281" t="s">
        <v>9</v>
      </c>
      <c r="F281" s="2">
        <v>20</v>
      </c>
      <c r="G281" t="s">
        <v>3206</v>
      </c>
      <c r="H281" t="s">
        <v>10</v>
      </c>
      <c r="I281" t="s">
        <v>11</v>
      </c>
      <c r="J281" t="s">
        <v>3198</v>
      </c>
      <c r="K281" t="s">
        <v>12</v>
      </c>
      <c r="L281" s="2">
        <v>8.0302000000000007</v>
      </c>
      <c r="M281" t="s">
        <v>3199</v>
      </c>
      <c r="N281">
        <v>0</v>
      </c>
      <c r="O281">
        <v>0</v>
      </c>
      <c r="P281">
        <v>1</v>
      </c>
      <c r="Q281" t="s">
        <v>3200</v>
      </c>
      <c r="R281" t="s">
        <v>3201</v>
      </c>
      <c r="S281" t="s">
        <v>13</v>
      </c>
    </row>
    <row r="282" spans="1:19" x14ac:dyDescent="0.3">
      <c r="A282" t="s">
        <v>259</v>
      </c>
      <c r="B282" t="s">
        <v>1602</v>
      </c>
      <c r="C282" t="s">
        <v>1872</v>
      </c>
      <c r="D282" t="s">
        <v>3190</v>
      </c>
      <c r="E282" t="s">
        <v>14</v>
      </c>
      <c r="F282" s="2">
        <v>16</v>
      </c>
      <c r="G282" t="s">
        <v>3202</v>
      </c>
      <c r="H282" t="s">
        <v>10</v>
      </c>
      <c r="I282" t="s">
        <v>11</v>
      </c>
      <c r="J282" t="s">
        <v>3198</v>
      </c>
      <c r="K282" t="s">
        <v>12</v>
      </c>
      <c r="L282" s="2">
        <v>16.02</v>
      </c>
      <c r="M282" t="s">
        <v>3203</v>
      </c>
      <c r="N282">
        <v>0</v>
      </c>
      <c r="O282">
        <v>1</v>
      </c>
      <c r="P282">
        <v>2</v>
      </c>
      <c r="Q282" t="s">
        <v>3204</v>
      </c>
      <c r="R282" t="s">
        <v>3205</v>
      </c>
      <c r="S282" t="s">
        <v>16</v>
      </c>
    </row>
    <row r="283" spans="1:19" x14ac:dyDescent="0.3">
      <c r="A283" t="s">
        <v>259</v>
      </c>
      <c r="B283" t="s">
        <v>1596</v>
      </c>
      <c r="C283" t="s">
        <v>1873</v>
      </c>
      <c r="D283" t="s">
        <v>3189</v>
      </c>
      <c r="E283" t="s">
        <v>9</v>
      </c>
      <c r="F283" s="2">
        <v>43</v>
      </c>
      <c r="G283" t="s">
        <v>3197</v>
      </c>
      <c r="H283" t="s">
        <v>10</v>
      </c>
      <c r="I283" t="s">
        <v>11</v>
      </c>
      <c r="J283" t="s">
        <v>3198</v>
      </c>
      <c r="K283" t="s">
        <v>48</v>
      </c>
      <c r="L283" s="2">
        <v>16.02</v>
      </c>
      <c r="M283" t="s">
        <v>3203</v>
      </c>
      <c r="N283">
        <v>0</v>
      </c>
      <c r="O283">
        <v>1</v>
      </c>
      <c r="P283">
        <v>2</v>
      </c>
      <c r="Q283" t="s">
        <v>3204</v>
      </c>
      <c r="R283" t="s">
        <v>3201</v>
      </c>
      <c r="S283" t="s">
        <v>13</v>
      </c>
    </row>
    <row r="284" spans="1:19" x14ac:dyDescent="0.3">
      <c r="A284" t="s">
        <v>260</v>
      </c>
      <c r="B284" t="s">
        <v>1874</v>
      </c>
      <c r="C284" t="s">
        <v>1875</v>
      </c>
      <c r="D284" t="s">
        <v>3189</v>
      </c>
      <c r="E284" t="s">
        <v>9</v>
      </c>
      <c r="F284" s="2">
        <v>70</v>
      </c>
      <c r="G284" t="s">
        <v>3210</v>
      </c>
      <c r="H284" t="s">
        <v>25</v>
      </c>
      <c r="I284" t="s">
        <v>11</v>
      </c>
      <c r="J284" t="s">
        <v>3198</v>
      </c>
      <c r="K284" t="s">
        <v>12</v>
      </c>
      <c r="L284" s="2">
        <v>71</v>
      </c>
      <c r="M284" t="s">
        <v>3211</v>
      </c>
      <c r="N284">
        <v>1</v>
      </c>
      <c r="O284">
        <v>1</v>
      </c>
      <c r="P284">
        <v>3</v>
      </c>
      <c r="Q284" t="s">
        <v>3204</v>
      </c>
      <c r="R284" t="s">
        <v>3201</v>
      </c>
      <c r="S284" t="s">
        <v>13</v>
      </c>
    </row>
    <row r="285" spans="1:19" x14ac:dyDescent="0.3">
      <c r="A285" t="s">
        <v>260</v>
      </c>
      <c r="B285" t="s">
        <v>1602</v>
      </c>
      <c r="C285" t="s">
        <v>1876</v>
      </c>
      <c r="D285" t="s">
        <v>3190</v>
      </c>
      <c r="E285" t="s">
        <v>14</v>
      </c>
      <c r="F285" s="2">
        <v>39</v>
      </c>
      <c r="G285" t="s">
        <v>3197</v>
      </c>
      <c r="H285" t="s">
        <v>25</v>
      </c>
      <c r="I285" t="s">
        <v>11</v>
      </c>
      <c r="J285" t="s">
        <v>3198</v>
      </c>
      <c r="K285" t="s">
        <v>12</v>
      </c>
      <c r="L285" s="2">
        <v>26.11</v>
      </c>
      <c r="M285" t="s">
        <v>3203</v>
      </c>
      <c r="N285">
        <v>0</v>
      </c>
      <c r="O285">
        <v>2</v>
      </c>
      <c r="P285">
        <v>3</v>
      </c>
      <c r="Q285" t="s">
        <v>3204</v>
      </c>
      <c r="R285" t="s">
        <v>3205</v>
      </c>
      <c r="S285" t="s">
        <v>16</v>
      </c>
    </row>
    <row r="286" spans="1:19" x14ac:dyDescent="0.3">
      <c r="A286" t="s">
        <v>260</v>
      </c>
      <c r="B286" t="s">
        <v>1600</v>
      </c>
      <c r="C286" t="s">
        <v>1877</v>
      </c>
      <c r="D286" t="s">
        <v>3190</v>
      </c>
      <c r="E286" t="s">
        <v>14</v>
      </c>
      <c r="F286" s="2">
        <v>64</v>
      </c>
      <c r="G286" t="s">
        <v>3210</v>
      </c>
      <c r="H286" t="s">
        <v>25</v>
      </c>
      <c r="I286" t="s">
        <v>11</v>
      </c>
      <c r="J286" t="s">
        <v>3198</v>
      </c>
      <c r="K286" t="s">
        <v>12</v>
      </c>
      <c r="L286" s="2">
        <v>71</v>
      </c>
      <c r="M286" t="s">
        <v>3211</v>
      </c>
      <c r="N286">
        <v>1</v>
      </c>
      <c r="O286">
        <v>1</v>
      </c>
      <c r="P286">
        <v>3</v>
      </c>
      <c r="Q286" t="s">
        <v>3204</v>
      </c>
      <c r="R286" t="s">
        <v>3205</v>
      </c>
      <c r="S286" t="s">
        <v>16</v>
      </c>
    </row>
    <row r="287" spans="1:19" x14ac:dyDescent="0.3">
      <c r="A287" t="s">
        <v>261</v>
      </c>
      <c r="B287" t="s">
        <v>1596</v>
      </c>
      <c r="C287" t="s">
        <v>1878</v>
      </c>
      <c r="D287" t="s">
        <v>3189</v>
      </c>
      <c r="E287" t="s">
        <v>9</v>
      </c>
      <c r="F287" s="2">
        <v>17</v>
      </c>
      <c r="G287" t="s">
        <v>3202</v>
      </c>
      <c r="H287" t="s">
        <v>10</v>
      </c>
      <c r="I287" t="s">
        <v>11</v>
      </c>
      <c r="J287" t="s">
        <v>3198</v>
      </c>
      <c r="K287" t="s">
        <v>42</v>
      </c>
      <c r="L287" s="2">
        <v>8.1303000000000001</v>
      </c>
      <c r="M287" t="s">
        <v>3199</v>
      </c>
      <c r="N287">
        <v>0</v>
      </c>
      <c r="O287">
        <v>0</v>
      </c>
      <c r="P287">
        <v>1</v>
      </c>
      <c r="Q287" t="s">
        <v>3200</v>
      </c>
      <c r="R287" t="s">
        <v>3201</v>
      </c>
      <c r="S287" t="s">
        <v>13</v>
      </c>
    </row>
    <row r="288" spans="1:19" x14ac:dyDescent="0.3">
      <c r="A288" t="s">
        <v>262</v>
      </c>
      <c r="B288" t="s">
        <v>1596</v>
      </c>
      <c r="C288" t="s">
        <v>1879</v>
      </c>
      <c r="D288" t="s">
        <v>3189</v>
      </c>
      <c r="E288" t="s">
        <v>9</v>
      </c>
      <c r="F288" s="2">
        <v>39</v>
      </c>
      <c r="G288" t="s">
        <v>3197</v>
      </c>
      <c r="H288" t="s">
        <v>25</v>
      </c>
      <c r="I288" t="s">
        <v>19</v>
      </c>
      <c r="J288" t="s">
        <v>3207</v>
      </c>
      <c r="K288" t="s">
        <v>12</v>
      </c>
      <c r="L288" s="2">
        <v>71.050799999999995</v>
      </c>
      <c r="M288" t="s">
        <v>3211</v>
      </c>
      <c r="N288">
        <v>1</v>
      </c>
      <c r="O288">
        <v>0</v>
      </c>
      <c r="P288">
        <v>2</v>
      </c>
      <c r="Q288" t="s">
        <v>3204</v>
      </c>
      <c r="R288" t="s">
        <v>3201</v>
      </c>
      <c r="S288" t="s">
        <v>13</v>
      </c>
    </row>
    <row r="289" spans="1:19" x14ac:dyDescent="0.3">
      <c r="A289" t="s">
        <v>262</v>
      </c>
      <c r="B289" t="s">
        <v>1600</v>
      </c>
      <c r="C289" t="s">
        <v>1880</v>
      </c>
      <c r="D289" t="s">
        <v>3190</v>
      </c>
      <c r="E289" t="s">
        <v>14</v>
      </c>
      <c r="F289" s="2">
        <v>35</v>
      </c>
      <c r="G289" t="s">
        <v>3206</v>
      </c>
      <c r="H289" t="s">
        <v>25</v>
      </c>
      <c r="I289" t="s">
        <v>19</v>
      </c>
      <c r="J289" t="s">
        <v>3207</v>
      </c>
      <c r="K289" t="s">
        <v>49</v>
      </c>
      <c r="L289" s="2">
        <v>71.050799999999995</v>
      </c>
      <c r="M289" t="s">
        <v>3211</v>
      </c>
      <c r="N289">
        <v>1</v>
      </c>
      <c r="O289">
        <v>0</v>
      </c>
      <c r="P289">
        <v>2</v>
      </c>
      <c r="Q289" t="s">
        <v>3204</v>
      </c>
      <c r="R289" t="s">
        <v>3205</v>
      </c>
      <c r="S289" t="s">
        <v>16</v>
      </c>
    </row>
    <row r="290" spans="1:19" x14ac:dyDescent="0.3">
      <c r="A290" t="s">
        <v>263</v>
      </c>
      <c r="B290" t="s">
        <v>1596</v>
      </c>
      <c r="C290" t="s">
        <v>1881</v>
      </c>
      <c r="D290" t="s">
        <v>3189</v>
      </c>
      <c r="E290" t="s">
        <v>9</v>
      </c>
      <c r="F290" s="2">
        <v>22</v>
      </c>
      <c r="G290" t="s">
        <v>3206</v>
      </c>
      <c r="H290" t="s">
        <v>18</v>
      </c>
      <c r="I290" t="s">
        <v>28</v>
      </c>
      <c r="J290" t="s">
        <v>3212</v>
      </c>
      <c r="K290" t="s">
        <v>29</v>
      </c>
      <c r="L290" s="2">
        <v>33</v>
      </c>
      <c r="M290" t="s">
        <v>3203</v>
      </c>
      <c r="N290">
        <v>0</v>
      </c>
      <c r="O290">
        <v>0</v>
      </c>
      <c r="P290">
        <v>1</v>
      </c>
      <c r="Q290" t="s">
        <v>3200</v>
      </c>
      <c r="R290" t="s">
        <v>3201</v>
      </c>
      <c r="S290" t="s">
        <v>13</v>
      </c>
    </row>
    <row r="291" spans="1:19" x14ac:dyDescent="0.3">
      <c r="A291" t="s">
        <v>264</v>
      </c>
      <c r="B291" t="s">
        <v>1596</v>
      </c>
      <c r="C291" t="s">
        <v>1882</v>
      </c>
      <c r="D291" t="s">
        <v>3189</v>
      </c>
      <c r="E291" t="s">
        <v>9</v>
      </c>
      <c r="F291" s="2">
        <v>28</v>
      </c>
      <c r="G291" t="s">
        <v>3206</v>
      </c>
      <c r="H291" t="s">
        <v>10</v>
      </c>
      <c r="I291" t="s">
        <v>19</v>
      </c>
      <c r="J291" t="s">
        <v>3207</v>
      </c>
      <c r="K291" t="s">
        <v>15</v>
      </c>
      <c r="L291" s="2">
        <v>7.0407000000000002</v>
      </c>
      <c r="M291" t="s">
        <v>3199</v>
      </c>
      <c r="N291">
        <v>0</v>
      </c>
      <c r="O291">
        <v>0</v>
      </c>
      <c r="P291">
        <v>1</v>
      </c>
      <c r="Q291" t="s">
        <v>3200</v>
      </c>
      <c r="R291" t="s">
        <v>3201</v>
      </c>
      <c r="S291" t="s">
        <v>13</v>
      </c>
    </row>
    <row r="292" spans="1:19" x14ac:dyDescent="0.3">
      <c r="A292" t="s">
        <v>265</v>
      </c>
      <c r="B292" t="s">
        <v>1602</v>
      </c>
      <c r="C292" t="s">
        <v>1883</v>
      </c>
      <c r="D292" t="s">
        <v>3190</v>
      </c>
      <c r="E292" t="s">
        <v>14</v>
      </c>
      <c r="F292" s="2">
        <v>22</v>
      </c>
      <c r="G292" t="s">
        <v>3206</v>
      </c>
      <c r="H292" t="s">
        <v>10</v>
      </c>
      <c r="I292" t="s">
        <v>11</v>
      </c>
      <c r="J292" t="s">
        <v>3198</v>
      </c>
      <c r="K292" t="s">
        <v>23</v>
      </c>
      <c r="L292" s="2">
        <v>10.1004</v>
      </c>
      <c r="M292" t="s">
        <v>3199</v>
      </c>
      <c r="N292">
        <v>0</v>
      </c>
      <c r="O292">
        <v>0</v>
      </c>
      <c r="P292">
        <v>1</v>
      </c>
      <c r="Q292" t="s">
        <v>3200</v>
      </c>
      <c r="R292" t="s">
        <v>3201</v>
      </c>
      <c r="S292" t="s">
        <v>13</v>
      </c>
    </row>
    <row r="293" spans="1:19" x14ac:dyDescent="0.3">
      <c r="A293" t="s">
        <v>266</v>
      </c>
      <c r="B293" t="s">
        <v>1596</v>
      </c>
      <c r="C293" t="s">
        <v>1884</v>
      </c>
      <c r="D293" t="s">
        <v>3189</v>
      </c>
      <c r="E293" t="s">
        <v>9</v>
      </c>
      <c r="F293" s="2">
        <v>45</v>
      </c>
      <c r="G293" t="s">
        <v>3197</v>
      </c>
      <c r="H293" t="s">
        <v>10</v>
      </c>
      <c r="I293" t="s">
        <v>11</v>
      </c>
      <c r="J293" t="s">
        <v>3198</v>
      </c>
      <c r="K293" t="s">
        <v>15</v>
      </c>
      <c r="L293" s="2">
        <v>8.01</v>
      </c>
      <c r="M293" t="s">
        <v>3199</v>
      </c>
      <c r="N293">
        <v>0</v>
      </c>
      <c r="O293">
        <v>0</v>
      </c>
      <c r="P293">
        <v>1</v>
      </c>
      <c r="Q293" t="s">
        <v>3200</v>
      </c>
      <c r="R293" t="s">
        <v>3205</v>
      </c>
      <c r="S293" t="s">
        <v>16</v>
      </c>
    </row>
    <row r="294" spans="1:19" x14ac:dyDescent="0.3">
      <c r="A294" t="s">
        <v>267</v>
      </c>
      <c r="B294" t="s">
        <v>1596</v>
      </c>
      <c r="C294" t="s">
        <v>1885</v>
      </c>
      <c r="D294" t="s">
        <v>3189</v>
      </c>
      <c r="E294" t="s">
        <v>9</v>
      </c>
      <c r="F294" s="2">
        <v>19</v>
      </c>
      <c r="G294" t="s">
        <v>3206</v>
      </c>
      <c r="H294" t="s">
        <v>10</v>
      </c>
      <c r="I294" t="s">
        <v>11</v>
      </c>
      <c r="J294" t="s">
        <v>3198</v>
      </c>
      <c r="K294" t="s">
        <v>15</v>
      </c>
      <c r="L294" s="2">
        <v>10.0305</v>
      </c>
      <c r="M294" t="s">
        <v>3199</v>
      </c>
      <c r="N294">
        <v>0</v>
      </c>
      <c r="O294">
        <v>0</v>
      </c>
      <c r="P294">
        <v>1</v>
      </c>
      <c r="Q294" t="s">
        <v>3200</v>
      </c>
      <c r="R294" t="s">
        <v>3201</v>
      </c>
      <c r="S294" t="s">
        <v>13</v>
      </c>
    </row>
    <row r="295" spans="1:19" x14ac:dyDescent="0.3">
      <c r="A295" t="s">
        <v>268</v>
      </c>
      <c r="B295" t="s">
        <v>1602</v>
      </c>
      <c r="C295" t="s">
        <v>1886</v>
      </c>
      <c r="D295" t="s">
        <v>3190</v>
      </c>
      <c r="E295" t="s">
        <v>14</v>
      </c>
      <c r="F295" s="2">
        <v>33</v>
      </c>
      <c r="G295" t="s">
        <v>3206</v>
      </c>
      <c r="H295" t="s">
        <v>10</v>
      </c>
      <c r="I295" t="s">
        <v>36</v>
      </c>
      <c r="J295" t="s">
        <v>3213</v>
      </c>
      <c r="K295" t="s">
        <v>37</v>
      </c>
      <c r="L295" s="2">
        <v>6.19</v>
      </c>
      <c r="M295" t="s">
        <v>3199</v>
      </c>
      <c r="N295">
        <v>0</v>
      </c>
      <c r="O295">
        <v>0</v>
      </c>
      <c r="P295">
        <v>1</v>
      </c>
      <c r="Q295" t="s">
        <v>3200</v>
      </c>
      <c r="R295" t="s">
        <v>3205</v>
      </c>
      <c r="S295" t="s">
        <v>16</v>
      </c>
    </row>
    <row r="296" spans="1:19" x14ac:dyDescent="0.3">
      <c r="A296" t="s">
        <v>268</v>
      </c>
      <c r="B296" t="s">
        <v>1596</v>
      </c>
      <c r="C296" t="s">
        <v>1887</v>
      </c>
      <c r="D296" t="s">
        <v>3189</v>
      </c>
      <c r="E296" t="s">
        <v>9</v>
      </c>
      <c r="F296" s="2">
        <v>29</v>
      </c>
      <c r="G296" t="s">
        <v>3206</v>
      </c>
      <c r="H296" t="s">
        <v>10</v>
      </c>
      <c r="I296" t="s">
        <v>36</v>
      </c>
      <c r="J296" t="s">
        <v>3213</v>
      </c>
      <c r="K296" t="s">
        <v>37</v>
      </c>
      <c r="L296" s="2">
        <v>7.15</v>
      </c>
      <c r="M296" t="s">
        <v>3199</v>
      </c>
      <c r="N296">
        <v>0</v>
      </c>
      <c r="O296">
        <v>0</v>
      </c>
      <c r="P296">
        <v>1</v>
      </c>
      <c r="Q296" t="s">
        <v>3200</v>
      </c>
      <c r="R296" t="s">
        <v>3205</v>
      </c>
      <c r="S296" t="s">
        <v>16</v>
      </c>
    </row>
    <row r="297" spans="1:19" x14ac:dyDescent="0.3">
      <c r="A297" t="s">
        <v>268</v>
      </c>
      <c r="B297" t="s">
        <v>1596</v>
      </c>
      <c r="C297" t="s">
        <v>1888</v>
      </c>
      <c r="D297" t="s">
        <v>3189</v>
      </c>
      <c r="E297" t="s">
        <v>9</v>
      </c>
      <c r="F297" s="2">
        <v>51</v>
      </c>
      <c r="G297" t="s">
        <v>3197</v>
      </c>
      <c r="H297" t="s">
        <v>25</v>
      </c>
      <c r="I297" t="s">
        <v>11</v>
      </c>
      <c r="J297" t="s">
        <v>3198</v>
      </c>
      <c r="K297" t="s">
        <v>15</v>
      </c>
      <c r="L297" s="2">
        <v>26.11</v>
      </c>
      <c r="M297" t="s">
        <v>3203</v>
      </c>
      <c r="N297">
        <v>0</v>
      </c>
      <c r="O297">
        <v>0</v>
      </c>
      <c r="P297">
        <v>1</v>
      </c>
      <c r="Q297" t="s">
        <v>3200</v>
      </c>
      <c r="R297" t="s">
        <v>3205</v>
      </c>
      <c r="S297" t="s">
        <v>16</v>
      </c>
    </row>
    <row r="298" spans="1:19" x14ac:dyDescent="0.3">
      <c r="A298" t="s">
        <v>269</v>
      </c>
      <c r="B298" t="s">
        <v>1612</v>
      </c>
      <c r="C298" t="s">
        <v>1889</v>
      </c>
      <c r="D298" t="s">
        <v>3189</v>
      </c>
      <c r="E298" t="s">
        <v>9</v>
      </c>
      <c r="F298" s="2">
        <v>1</v>
      </c>
      <c r="G298" t="s">
        <v>3208</v>
      </c>
      <c r="H298" t="s">
        <v>10</v>
      </c>
      <c r="I298" t="s">
        <v>11</v>
      </c>
      <c r="J298" t="s">
        <v>3198</v>
      </c>
      <c r="K298" t="s">
        <v>23</v>
      </c>
      <c r="L298" s="2">
        <v>14.08</v>
      </c>
      <c r="M298" t="s">
        <v>3199</v>
      </c>
      <c r="N298">
        <v>0</v>
      </c>
      <c r="O298">
        <v>2</v>
      </c>
      <c r="P298">
        <v>3</v>
      </c>
      <c r="Q298" t="s">
        <v>3204</v>
      </c>
      <c r="R298" t="s">
        <v>3201</v>
      </c>
      <c r="S298" t="s">
        <v>13</v>
      </c>
    </row>
    <row r="299" spans="1:19" x14ac:dyDescent="0.3">
      <c r="A299" t="s">
        <v>269</v>
      </c>
      <c r="B299" t="s">
        <v>1596</v>
      </c>
      <c r="C299" t="s">
        <v>1890</v>
      </c>
      <c r="D299" t="s">
        <v>3189</v>
      </c>
      <c r="E299" t="s">
        <v>9</v>
      </c>
      <c r="F299" s="2">
        <v>34</v>
      </c>
      <c r="G299" t="s">
        <v>3206</v>
      </c>
      <c r="H299" t="s">
        <v>10</v>
      </c>
      <c r="I299" t="s">
        <v>11</v>
      </c>
      <c r="J299" t="s">
        <v>3198</v>
      </c>
      <c r="K299" t="s">
        <v>23</v>
      </c>
      <c r="L299" s="2">
        <v>14.08</v>
      </c>
      <c r="M299" t="s">
        <v>3199</v>
      </c>
      <c r="N299">
        <v>1</v>
      </c>
      <c r="O299">
        <v>1</v>
      </c>
      <c r="P299">
        <v>3</v>
      </c>
      <c r="Q299" t="s">
        <v>3204</v>
      </c>
      <c r="R299" t="s">
        <v>3201</v>
      </c>
      <c r="S299" t="s">
        <v>13</v>
      </c>
    </row>
    <row r="300" spans="1:19" x14ac:dyDescent="0.3">
      <c r="A300" t="s">
        <v>269</v>
      </c>
      <c r="B300" t="s">
        <v>1600</v>
      </c>
      <c r="C300" t="s">
        <v>1891</v>
      </c>
      <c r="D300" t="s">
        <v>3190</v>
      </c>
      <c r="E300" t="s">
        <v>14</v>
      </c>
      <c r="F300" s="2">
        <v>28</v>
      </c>
      <c r="G300" t="s">
        <v>3206</v>
      </c>
      <c r="H300" t="s">
        <v>10</v>
      </c>
      <c r="I300" t="s">
        <v>11</v>
      </c>
      <c r="J300" t="s">
        <v>3198</v>
      </c>
      <c r="K300" t="s">
        <v>23</v>
      </c>
      <c r="L300" s="2">
        <v>14.08</v>
      </c>
      <c r="M300" t="s">
        <v>3199</v>
      </c>
      <c r="N300">
        <v>1</v>
      </c>
      <c r="O300">
        <v>1</v>
      </c>
      <c r="P300">
        <v>3</v>
      </c>
      <c r="Q300" t="s">
        <v>3204</v>
      </c>
      <c r="R300" t="s">
        <v>3201</v>
      </c>
      <c r="S300" t="s">
        <v>13</v>
      </c>
    </row>
    <row r="301" spans="1:19" x14ac:dyDescent="0.3">
      <c r="A301" t="s">
        <v>270</v>
      </c>
      <c r="B301" t="s">
        <v>1596</v>
      </c>
      <c r="C301" t="s">
        <v>1892</v>
      </c>
      <c r="D301" t="s">
        <v>3189</v>
      </c>
      <c r="E301" t="s">
        <v>9</v>
      </c>
      <c r="F301" s="2">
        <v>27</v>
      </c>
      <c r="G301" t="s">
        <v>3206</v>
      </c>
      <c r="H301" t="s">
        <v>25</v>
      </c>
      <c r="I301" t="s">
        <v>11</v>
      </c>
      <c r="J301" t="s">
        <v>3198</v>
      </c>
      <c r="K301" t="s">
        <v>12</v>
      </c>
      <c r="L301" s="2">
        <v>30.1</v>
      </c>
      <c r="M301" t="s">
        <v>3203</v>
      </c>
      <c r="N301">
        <v>0</v>
      </c>
      <c r="O301">
        <v>0</v>
      </c>
      <c r="P301">
        <v>1</v>
      </c>
      <c r="Q301" t="s">
        <v>3200</v>
      </c>
      <c r="R301" t="s">
        <v>3205</v>
      </c>
      <c r="S301" t="s">
        <v>16</v>
      </c>
    </row>
    <row r="302" spans="1:19" x14ac:dyDescent="0.3">
      <c r="A302" t="s">
        <v>271</v>
      </c>
      <c r="B302" t="s">
        <v>1602</v>
      </c>
      <c r="C302" t="s">
        <v>1893</v>
      </c>
      <c r="D302" t="s">
        <v>3190</v>
      </c>
      <c r="E302" t="s">
        <v>14</v>
      </c>
      <c r="F302" s="2">
        <v>36</v>
      </c>
      <c r="G302" t="s">
        <v>3197</v>
      </c>
      <c r="H302" t="s">
        <v>25</v>
      </c>
      <c r="I302" t="s">
        <v>11</v>
      </c>
      <c r="J302" t="s">
        <v>3198</v>
      </c>
      <c r="K302" t="s">
        <v>15</v>
      </c>
      <c r="L302" s="2">
        <v>151.16</v>
      </c>
      <c r="M302" t="s">
        <v>3209</v>
      </c>
      <c r="N302">
        <v>0</v>
      </c>
      <c r="O302">
        <v>0</v>
      </c>
      <c r="P302">
        <v>1</v>
      </c>
      <c r="Q302" t="s">
        <v>3200</v>
      </c>
      <c r="R302" t="s">
        <v>3205</v>
      </c>
      <c r="S302" t="s">
        <v>16</v>
      </c>
    </row>
    <row r="303" spans="1:19" x14ac:dyDescent="0.3">
      <c r="A303" t="s">
        <v>272</v>
      </c>
      <c r="B303" t="s">
        <v>1596</v>
      </c>
      <c r="C303" t="s">
        <v>1894</v>
      </c>
      <c r="D303" t="s">
        <v>3189</v>
      </c>
      <c r="E303" t="s">
        <v>9</v>
      </c>
      <c r="F303" s="2">
        <v>27</v>
      </c>
      <c r="G303" t="s">
        <v>3206</v>
      </c>
      <c r="H303" t="s">
        <v>10</v>
      </c>
      <c r="I303" t="s">
        <v>11</v>
      </c>
      <c r="J303" t="s">
        <v>3198</v>
      </c>
      <c r="K303" t="s">
        <v>15</v>
      </c>
      <c r="L303" s="2">
        <v>7.1711</v>
      </c>
      <c r="M303" t="s">
        <v>3199</v>
      </c>
      <c r="N303">
        <v>0</v>
      </c>
      <c r="O303">
        <v>0</v>
      </c>
      <c r="P303">
        <v>1</v>
      </c>
      <c r="Q303" t="s">
        <v>3200</v>
      </c>
      <c r="R303" t="s">
        <v>3201</v>
      </c>
      <c r="S303" t="s">
        <v>13</v>
      </c>
    </row>
    <row r="304" spans="1:19" x14ac:dyDescent="0.3">
      <c r="A304" t="s">
        <v>273</v>
      </c>
      <c r="B304" t="s">
        <v>1600</v>
      </c>
      <c r="C304" t="s">
        <v>1895</v>
      </c>
      <c r="D304" t="s">
        <v>3190</v>
      </c>
      <c r="E304" t="s">
        <v>14</v>
      </c>
      <c r="F304" s="2">
        <v>27</v>
      </c>
      <c r="G304" t="s">
        <v>3206</v>
      </c>
      <c r="H304" t="s">
        <v>25</v>
      </c>
      <c r="I304" t="s">
        <v>19</v>
      </c>
      <c r="J304" t="s">
        <v>3207</v>
      </c>
      <c r="K304" t="s">
        <v>26</v>
      </c>
      <c r="L304" s="2">
        <v>52</v>
      </c>
      <c r="M304" t="s">
        <v>3211</v>
      </c>
      <c r="N304">
        <v>1</v>
      </c>
      <c r="O304">
        <v>2</v>
      </c>
      <c r="P304">
        <v>4</v>
      </c>
      <c r="Q304" t="s">
        <v>3204</v>
      </c>
      <c r="R304" t="s">
        <v>3205</v>
      </c>
      <c r="S304" t="s">
        <v>16</v>
      </c>
    </row>
    <row r="305" spans="1:19" x14ac:dyDescent="0.3">
      <c r="A305" t="s">
        <v>273</v>
      </c>
      <c r="B305" t="s">
        <v>1596</v>
      </c>
      <c r="C305" t="s">
        <v>1896</v>
      </c>
      <c r="D305" t="s">
        <v>3189</v>
      </c>
      <c r="E305" t="s">
        <v>9</v>
      </c>
      <c r="F305" s="2">
        <v>31</v>
      </c>
      <c r="G305" t="s">
        <v>3206</v>
      </c>
      <c r="H305" t="s">
        <v>25</v>
      </c>
      <c r="I305" t="s">
        <v>19</v>
      </c>
      <c r="J305" t="s">
        <v>3207</v>
      </c>
      <c r="K305" t="s">
        <v>26</v>
      </c>
      <c r="L305" s="2">
        <v>52</v>
      </c>
      <c r="M305" t="s">
        <v>3211</v>
      </c>
      <c r="N305">
        <v>1</v>
      </c>
      <c r="O305">
        <v>0</v>
      </c>
      <c r="P305">
        <v>2</v>
      </c>
      <c r="Q305" t="s">
        <v>3204</v>
      </c>
      <c r="R305" t="s">
        <v>3201</v>
      </c>
      <c r="S305" t="s">
        <v>13</v>
      </c>
    </row>
    <row r="306" spans="1:19" x14ac:dyDescent="0.3">
      <c r="A306" t="s">
        <v>274</v>
      </c>
      <c r="B306" t="s">
        <v>1612</v>
      </c>
      <c r="C306" t="s">
        <v>1897</v>
      </c>
      <c r="D306" t="s">
        <v>3189</v>
      </c>
      <c r="E306" t="s">
        <v>9</v>
      </c>
      <c r="F306" s="2">
        <v>8</v>
      </c>
      <c r="G306" t="s">
        <v>3208</v>
      </c>
      <c r="H306" t="s">
        <v>18</v>
      </c>
      <c r="I306" t="s">
        <v>11</v>
      </c>
      <c r="J306" t="s">
        <v>3198</v>
      </c>
      <c r="K306" t="s">
        <v>15</v>
      </c>
      <c r="L306" s="2">
        <v>36.15</v>
      </c>
      <c r="M306" t="s">
        <v>3211</v>
      </c>
      <c r="N306">
        <v>1</v>
      </c>
      <c r="O306">
        <v>1</v>
      </c>
      <c r="P306">
        <v>3</v>
      </c>
      <c r="Q306" t="s">
        <v>3204</v>
      </c>
      <c r="R306" t="s">
        <v>3205</v>
      </c>
      <c r="S306" t="s">
        <v>16</v>
      </c>
    </row>
    <row r="307" spans="1:19" x14ac:dyDescent="0.3">
      <c r="A307" t="s">
        <v>274</v>
      </c>
      <c r="B307" t="s">
        <v>1596</v>
      </c>
      <c r="C307" t="s">
        <v>1898</v>
      </c>
      <c r="D307" t="s">
        <v>3189</v>
      </c>
      <c r="E307" t="s">
        <v>9</v>
      </c>
      <c r="F307" s="2">
        <v>24</v>
      </c>
      <c r="G307" t="s">
        <v>3206</v>
      </c>
      <c r="H307" t="s">
        <v>10</v>
      </c>
      <c r="I307" t="s">
        <v>11</v>
      </c>
      <c r="J307" t="s">
        <v>3198</v>
      </c>
      <c r="K307" t="s">
        <v>15</v>
      </c>
      <c r="L307" s="2">
        <v>24.03</v>
      </c>
      <c r="M307" t="s">
        <v>3203</v>
      </c>
      <c r="N307">
        <v>2</v>
      </c>
      <c r="O307">
        <v>0</v>
      </c>
      <c r="P307">
        <v>3</v>
      </c>
      <c r="Q307" t="s">
        <v>3204</v>
      </c>
      <c r="R307" t="s">
        <v>3201</v>
      </c>
      <c r="S307" t="s">
        <v>13</v>
      </c>
    </row>
    <row r="308" spans="1:19" x14ac:dyDescent="0.3">
      <c r="A308" t="s">
        <v>274</v>
      </c>
      <c r="B308" t="s">
        <v>1596</v>
      </c>
      <c r="C308" t="s">
        <v>1821</v>
      </c>
      <c r="D308" t="s">
        <v>3189</v>
      </c>
      <c r="E308" t="s">
        <v>9</v>
      </c>
      <c r="F308" s="2">
        <v>19</v>
      </c>
      <c r="G308" t="s">
        <v>3206</v>
      </c>
      <c r="H308" t="s">
        <v>18</v>
      </c>
      <c r="I308" t="s">
        <v>11</v>
      </c>
      <c r="J308" t="s">
        <v>3198</v>
      </c>
      <c r="K308" t="s">
        <v>15</v>
      </c>
      <c r="L308" s="2">
        <v>73.099999999999994</v>
      </c>
      <c r="M308" t="s">
        <v>3211</v>
      </c>
      <c r="N308">
        <v>0</v>
      </c>
      <c r="O308">
        <v>0</v>
      </c>
      <c r="P308">
        <v>1</v>
      </c>
      <c r="Q308" t="s">
        <v>3200</v>
      </c>
      <c r="R308" t="s">
        <v>3201</v>
      </c>
      <c r="S308" t="s">
        <v>13</v>
      </c>
    </row>
    <row r="309" spans="1:19" x14ac:dyDescent="0.3">
      <c r="A309" t="s">
        <v>274</v>
      </c>
      <c r="B309" t="s">
        <v>1596</v>
      </c>
      <c r="C309" t="s">
        <v>1899</v>
      </c>
      <c r="D309" t="s">
        <v>3189</v>
      </c>
      <c r="E309" t="s">
        <v>9</v>
      </c>
      <c r="F309" s="2">
        <v>22</v>
      </c>
      <c r="G309" t="s">
        <v>3206</v>
      </c>
      <c r="H309" t="s">
        <v>10</v>
      </c>
      <c r="I309" t="s">
        <v>11</v>
      </c>
      <c r="J309" t="s">
        <v>3198</v>
      </c>
      <c r="K309" t="s">
        <v>40</v>
      </c>
      <c r="L309" s="2">
        <v>8.01</v>
      </c>
      <c r="M309" t="s">
        <v>3199</v>
      </c>
      <c r="N309">
        <v>0</v>
      </c>
      <c r="O309">
        <v>0</v>
      </c>
      <c r="P309">
        <v>1</v>
      </c>
      <c r="Q309" t="s">
        <v>3200</v>
      </c>
      <c r="R309" t="s">
        <v>3201</v>
      </c>
      <c r="S309" t="s">
        <v>13</v>
      </c>
    </row>
    <row r="310" spans="1:19" x14ac:dyDescent="0.3">
      <c r="A310" t="s">
        <v>274</v>
      </c>
      <c r="B310" t="s">
        <v>1596</v>
      </c>
      <c r="C310" t="s">
        <v>1610</v>
      </c>
      <c r="D310" t="s">
        <v>3189</v>
      </c>
      <c r="E310" t="s">
        <v>9</v>
      </c>
      <c r="F310" s="2">
        <v>22</v>
      </c>
      <c r="G310" t="s">
        <v>3206</v>
      </c>
      <c r="H310" t="s">
        <v>10</v>
      </c>
      <c r="I310" t="s">
        <v>11</v>
      </c>
      <c r="J310" t="s">
        <v>3198</v>
      </c>
      <c r="K310" t="s">
        <v>15</v>
      </c>
      <c r="L310" s="2">
        <v>24.03</v>
      </c>
      <c r="M310" t="s">
        <v>3203</v>
      </c>
      <c r="N310">
        <v>2</v>
      </c>
      <c r="O310">
        <v>0</v>
      </c>
      <c r="P310">
        <v>3</v>
      </c>
      <c r="Q310" t="s">
        <v>3204</v>
      </c>
      <c r="R310" t="s">
        <v>3201</v>
      </c>
      <c r="S310" t="s">
        <v>13</v>
      </c>
    </row>
    <row r="311" spans="1:19" x14ac:dyDescent="0.3">
      <c r="A311" t="s">
        <v>274</v>
      </c>
      <c r="B311" t="s">
        <v>1596</v>
      </c>
      <c r="C311" t="s">
        <v>1795</v>
      </c>
      <c r="D311" t="s">
        <v>3189</v>
      </c>
      <c r="E311" t="s">
        <v>9</v>
      </c>
      <c r="F311" s="2">
        <v>17</v>
      </c>
      <c r="G311" t="s">
        <v>3202</v>
      </c>
      <c r="H311" t="s">
        <v>10</v>
      </c>
      <c r="I311" t="s">
        <v>11</v>
      </c>
      <c r="J311" t="s">
        <v>3198</v>
      </c>
      <c r="K311" t="s">
        <v>15</v>
      </c>
      <c r="L311" s="2">
        <v>8.01</v>
      </c>
      <c r="M311" t="s">
        <v>3199</v>
      </c>
      <c r="N311">
        <v>2</v>
      </c>
      <c r="O311">
        <v>0</v>
      </c>
      <c r="P311">
        <v>3</v>
      </c>
      <c r="Q311" t="s">
        <v>3204</v>
      </c>
      <c r="R311" t="s">
        <v>3201</v>
      </c>
      <c r="S311" t="s">
        <v>13</v>
      </c>
    </row>
    <row r="312" spans="1:19" x14ac:dyDescent="0.3">
      <c r="A312" t="s">
        <v>274</v>
      </c>
      <c r="B312" t="s">
        <v>1600</v>
      </c>
      <c r="C312" t="s">
        <v>1900</v>
      </c>
      <c r="D312" t="s">
        <v>3190</v>
      </c>
      <c r="E312" t="s">
        <v>14</v>
      </c>
      <c r="F312" s="2">
        <v>48</v>
      </c>
      <c r="G312" t="s">
        <v>3197</v>
      </c>
      <c r="H312" t="s">
        <v>18</v>
      </c>
      <c r="I312" t="s">
        <v>11</v>
      </c>
      <c r="J312" t="s">
        <v>3198</v>
      </c>
      <c r="K312" t="s">
        <v>15</v>
      </c>
      <c r="L312" s="2">
        <v>36.15</v>
      </c>
      <c r="M312" t="s">
        <v>3211</v>
      </c>
      <c r="N312">
        <v>0</v>
      </c>
      <c r="O312">
        <v>2</v>
      </c>
      <c r="P312">
        <v>3</v>
      </c>
      <c r="Q312" t="s">
        <v>3204</v>
      </c>
      <c r="R312" t="s">
        <v>3205</v>
      </c>
      <c r="S312" t="s">
        <v>16</v>
      </c>
    </row>
    <row r="313" spans="1:19" x14ac:dyDescent="0.3">
      <c r="A313" t="s">
        <v>275</v>
      </c>
      <c r="B313" t="s">
        <v>1602</v>
      </c>
      <c r="C313" t="s">
        <v>1901</v>
      </c>
      <c r="D313" t="s">
        <v>3190</v>
      </c>
      <c r="E313" t="s">
        <v>14</v>
      </c>
      <c r="F313" s="2">
        <v>28</v>
      </c>
      <c r="G313" t="s">
        <v>3206</v>
      </c>
      <c r="H313" t="s">
        <v>18</v>
      </c>
      <c r="I313" t="s">
        <v>11</v>
      </c>
      <c r="J313" t="s">
        <v>3198</v>
      </c>
      <c r="K313" t="s">
        <v>15</v>
      </c>
      <c r="L313" s="2">
        <v>13</v>
      </c>
      <c r="M313" t="s">
        <v>3199</v>
      </c>
      <c r="N313">
        <v>0</v>
      </c>
      <c r="O313">
        <v>0</v>
      </c>
      <c r="P313">
        <v>1</v>
      </c>
      <c r="Q313" t="s">
        <v>3200</v>
      </c>
      <c r="R313" t="s">
        <v>3205</v>
      </c>
      <c r="S313" t="s">
        <v>16</v>
      </c>
    </row>
    <row r="314" spans="1:19" x14ac:dyDescent="0.3">
      <c r="A314" t="s">
        <v>276</v>
      </c>
      <c r="B314" t="s">
        <v>1600</v>
      </c>
      <c r="C314" t="s">
        <v>1902</v>
      </c>
      <c r="D314" t="s">
        <v>3190</v>
      </c>
      <c r="E314" t="s">
        <v>14</v>
      </c>
      <c r="F314" s="2">
        <v>34</v>
      </c>
      <c r="G314" t="s">
        <v>3206</v>
      </c>
      <c r="H314" t="s">
        <v>10</v>
      </c>
      <c r="I314" t="s">
        <v>11</v>
      </c>
      <c r="J314" t="s">
        <v>3198</v>
      </c>
      <c r="K314" t="s">
        <v>15</v>
      </c>
      <c r="L314" s="2">
        <v>16.02</v>
      </c>
      <c r="M314" t="s">
        <v>3203</v>
      </c>
      <c r="N314">
        <v>1</v>
      </c>
      <c r="O314">
        <v>0</v>
      </c>
      <c r="P314">
        <v>2</v>
      </c>
      <c r="Q314" t="s">
        <v>3204</v>
      </c>
      <c r="R314" t="s">
        <v>3205</v>
      </c>
      <c r="S314" t="s">
        <v>16</v>
      </c>
    </row>
    <row r="315" spans="1:19" x14ac:dyDescent="0.3">
      <c r="A315" t="s">
        <v>276</v>
      </c>
      <c r="B315" t="s">
        <v>1596</v>
      </c>
      <c r="C315" t="s">
        <v>1857</v>
      </c>
      <c r="D315" t="s">
        <v>3189</v>
      </c>
      <c r="E315" t="s">
        <v>9</v>
      </c>
      <c r="F315" s="2">
        <v>32</v>
      </c>
      <c r="G315" t="s">
        <v>3206</v>
      </c>
      <c r="H315" t="s">
        <v>10</v>
      </c>
      <c r="I315" t="s">
        <v>11</v>
      </c>
      <c r="J315" t="s">
        <v>3198</v>
      </c>
      <c r="K315" t="s">
        <v>15</v>
      </c>
      <c r="L315" s="2">
        <v>16.02</v>
      </c>
      <c r="M315" t="s">
        <v>3203</v>
      </c>
      <c r="N315">
        <v>1</v>
      </c>
      <c r="O315">
        <v>0</v>
      </c>
      <c r="P315">
        <v>2</v>
      </c>
      <c r="Q315" t="s">
        <v>3204</v>
      </c>
      <c r="R315" t="s">
        <v>3201</v>
      </c>
      <c r="S315" t="s">
        <v>13</v>
      </c>
    </row>
    <row r="316" spans="1:19" x14ac:dyDescent="0.3">
      <c r="A316" t="s">
        <v>277</v>
      </c>
      <c r="B316" t="s">
        <v>1596</v>
      </c>
      <c r="C316" t="s">
        <v>1903</v>
      </c>
      <c r="D316" t="s">
        <v>3189</v>
      </c>
      <c r="E316" t="s">
        <v>9</v>
      </c>
      <c r="F316" s="2">
        <v>18</v>
      </c>
      <c r="G316" t="s">
        <v>3206</v>
      </c>
      <c r="H316" t="s">
        <v>18</v>
      </c>
      <c r="I316" t="s">
        <v>11</v>
      </c>
      <c r="J316" t="s">
        <v>3198</v>
      </c>
      <c r="K316" t="s">
        <v>15</v>
      </c>
      <c r="L316" s="2">
        <v>73.099999999999994</v>
      </c>
      <c r="M316" t="s">
        <v>3211</v>
      </c>
      <c r="N316">
        <v>0</v>
      </c>
      <c r="O316">
        <v>0</v>
      </c>
      <c r="P316">
        <v>1</v>
      </c>
      <c r="Q316" t="s">
        <v>3200</v>
      </c>
      <c r="R316" t="s">
        <v>3201</v>
      </c>
      <c r="S316" t="s">
        <v>13</v>
      </c>
    </row>
    <row r="317" spans="1:19" x14ac:dyDescent="0.3">
      <c r="A317" t="s">
        <v>278</v>
      </c>
      <c r="B317" t="s">
        <v>1612</v>
      </c>
      <c r="C317" t="s">
        <v>1904</v>
      </c>
      <c r="D317" t="s">
        <v>3189</v>
      </c>
      <c r="E317" t="s">
        <v>9</v>
      </c>
      <c r="F317" s="2">
        <v>1</v>
      </c>
      <c r="G317" t="s">
        <v>3208</v>
      </c>
      <c r="H317" t="s">
        <v>10</v>
      </c>
      <c r="I317" t="s">
        <v>11</v>
      </c>
      <c r="J317" t="s">
        <v>3198</v>
      </c>
      <c r="K317" t="s">
        <v>15</v>
      </c>
      <c r="L317" s="2">
        <v>20.110600000000002</v>
      </c>
      <c r="M317" t="s">
        <v>3203</v>
      </c>
      <c r="N317">
        <v>1</v>
      </c>
      <c r="O317">
        <v>2</v>
      </c>
      <c r="P317">
        <v>4</v>
      </c>
      <c r="Q317" t="s">
        <v>3204</v>
      </c>
      <c r="R317" t="s">
        <v>3205</v>
      </c>
      <c r="S317" t="s">
        <v>16</v>
      </c>
    </row>
    <row r="318" spans="1:19" x14ac:dyDescent="0.3">
      <c r="A318" t="s">
        <v>278</v>
      </c>
      <c r="B318" t="s">
        <v>1602</v>
      </c>
      <c r="C318" t="s">
        <v>1905</v>
      </c>
      <c r="D318" t="s">
        <v>3190</v>
      </c>
      <c r="E318" t="s">
        <v>14</v>
      </c>
      <c r="F318" s="2">
        <v>1</v>
      </c>
      <c r="G318" t="s">
        <v>3208</v>
      </c>
      <c r="H318" t="s">
        <v>10</v>
      </c>
      <c r="I318" t="s">
        <v>11</v>
      </c>
      <c r="J318" t="s">
        <v>3198</v>
      </c>
      <c r="K318" t="s">
        <v>15</v>
      </c>
      <c r="L318" s="2">
        <v>20.110600000000002</v>
      </c>
      <c r="M318" t="s">
        <v>3203</v>
      </c>
      <c r="N318">
        <v>1</v>
      </c>
      <c r="O318">
        <v>2</v>
      </c>
      <c r="P318">
        <v>4</v>
      </c>
      <c r="Q318" t="s">
        <v>3204</v>
      </c>
      <c r="R318" t="s">
        <v>3205</v>
      </c>
      <c r="S318" t="s">
        <v>16</v>
      </c>
    </row>
    <row r="319" spans="1:19" x14ac:dyDescent="0.3">
      <c r="A319" t="s">
        <v>278</v>
      </c>
      <c r="B319" t="s">
        <v>1596</v>
      </c>
      <c r="C319" t="s">
        <v>1906</v>
      </c>
      <c r="D319" t="s">
        <v>3189</v>
      </c>
      <c r="E319" t="s">
        <v>9</v>
      </c>
      <c r="F319" s="2">
        <v>25</v>
      </c>
      <c r="G319" t="s">
        <v>3206</v>
      </c>
      <c r="H319" t="s">
        <v>10</v>
      </c>
      <c r="I319" t="s">
        <v>11</v>
      </c>
      <c r="J319" t="s">
        <v>3198</v>
      </c>
      <c r="K319" t="s">
        <v>15</v>
      </c>
      <c r="L319" s="2">
        <v>20.110600000000002</v>
      </c>
      <c r="M319" t="s">
        <v>3203</v>
      </c>
      <c r="N319">
        <v>1</v>
      </c>
      <c r="O319">
        <v>2</v>
      </c>
      <c r="P319">
        <v>4</v>
      </c>
      <c r="Q319" t="s">
        <v>3204</v>
      </c>
      <c r="R319" t="s">
        <v>3201</v>
      </c>
      <c r="S319" t="s">
        <v>13</v>
      </c>
    </row>
    <row r="320" spans="1:19" x14ac:dyDescent="0.3">
      <c r="A320" t="s">
        <v>278</v>
      </c>
      <c r="B320" t="s">
        <v>1600</v>
      </c>
      <c r="C320" t="s">
        <v>1907</v>
      </c>
      <c r="D320" t="s">
        <v>3190</v>
      </c>
      <c r="E320" t="s">
        <v>14</v>
      </c>
      <c r="F320" s="2">
        <v>32</v>
      </c>
      <c r="G320" t="s">
        <v>3206</v>
      </c>
      <c r="H320" t="s">
        <v>10</v>
      </c>
      <c r="I320" t="s">
        <v>11</v>
      </c>
      <c r="J320" t="s">
        <v>3198</v>
      </c>
      <c r="K320" t="s">
        <v>15</v>
      </c>
      <c r="L320" s="2">
        <v>20.110600000000002</v>
      </c>
      <c r="M320" t="s">
        <v>3203</v>
      </c>
      <c r="N320">
        <v>1</v>
      </c>
      <c r="O320">
        <v>2</v>
      </c>
      <c r="P320">
        <v>4</v>
      </c>
      <c r="Q320" t="s">
        <v>3204</v>
      </c>
      <c r="R320" t="s">
        <v>3205</v>
      </c>
      <c r="S320" t="s">
        <v>16</v>
      </c>
    </row>
    <row r="321" spans="1:19" x14ac:dyDescent="0.3">
      <c r="A321" t="s">
        <v>279</v>
      </c>
      <c r="B321" t="s">
        <v>1596</v>
      </c>
      <c r="C321" t="s">
        <v>1908</v>
      </c>
      <c r="D321" t="s">
        <v>3189</v>
      </c>
      <c r="E321" t="s">
        <v>9</v>
      </c>
      <c r="F321" s="2">
        <v>25</v>
      </c>
      <c r="G321" t="s">
        <v>3206</v>
      </c>
      <c r="H321" t="s">
        <v>10</v>
      </c>
      <c r="I321" t="s">
        <v>11</v>
      </c>
      <c r="J321" t="s">
        <v>3198</v>
      </c>
      <c r="K321" t="s">
        <v>34</v>
      </c>
      <c r="L321" s="2">
        <v>7.1711</v>
      </c>
      <c r="M321" t="s">
        <v>3199</v>
      </c>
      <c r="N321">
        <v>0</v>
      </c>
      <c r="O321">
        <v>0</v>
      </c>
      <c r="P321">
        <v>1</v>
      </c>
      <c r="Q321" t="s">
        <v>3200</v>
      </c>
      <c r="R321" t="s">
        <v>3201</v>
      </c>
      <c r="S321" t="s">
        <v>13</v>
      </c>
    </row>
    <row r="322" spans="1:19" x14ac:dyDescent="0.3">
      <c r="A322" t="s">
        <v>280</v>
      </c>
      <c r="B322" t="s">
        <v>1600</v>
      </c>
      <c r="C322" t="s">
        <v>1909</v>
      </c>
      <c r="D322" t="s">
        <v>3190</v>
      </c>
      <c r="E322" t="s">
        <v>14</v>
      </c>
      <c r="F322" s="2">
        <v>24</v>
      </c>
      <c r="G322" t="s">
        <v>3206</v>
      </c>
      <c r="H322" t="s">
        <v>18</v>
      </c>
      <c r="I322" t="s">
        <v>19</v>
      </c>
      <c r="J322" t="s">
        <v>3207</v>
      </c>
      <c r="K322" t="s">
        <v>38</v>
      </c>
      <c r="L322" s="2">
        <v>27.140499999999999</v>
      </c>
      <c r="M322" t="s">
        <v>3203</v>
      </c>
      <c r="N322">
        <v>1</v>
      </c>
      <c r="O322">
        <v>0</v>
      </c>
      <c r="P322">
        <v>2</v>
      </c>
      <c r="Q322" t="s">
        <v>3204</v>
      </c>
      <c r="R322" t="s">
        <v>3205</v>
      </c>
      <c r="S322" t="s">
        <v>16</v>
      </c>
    </row>
    <row r="323" spans="1:19" x14ac:dyDescent="0.3">
      <c r="A323" t="s">
        <v>280</v>
      </c>
      <c r="B323" t="s">
        <v>1596</v>
      </c>
      <c r="C323" t="s">
        <v>1910</v>
      </c>
      <c r="D323" t="s">
        <v>3189</v>
      </c>
      <c r="E323" t="s">
        <v>9</v>
      </c>
      <c r="F323" s="2">
        <v>29</v>
      </c>
      <c r="G323" t="s">
        <v>3206</v>
      </c>
      <c r="H323" t="s">
        <v>18</v>
      </c>
      <c r="I323" t="s">
        <v>19</v>
      </c>
      <c r="J323" t="s">
        <v>3207</v>
      </c>
      <c r="K323" t="s">
        <v>38</v>
      </c>
      <c r="L323" s="2">
        <v>27.140499999999999</v>
      </c>
      <c r="M323" t="s">
        <v>3203</v>
      </c>
      <c r="N323">
        <v>1</v>
      </c>
      <c r="O323">
        <v>0</v>
      </c>
      <c r="P323">
        <v>2</v>
      </c>
      <c r="Q323" t="s">
        <v>3204</v>
      </c>
      <c r="R323" t="s">
        <v>3201</v>
      </c>
      <c r="S323" t="s">
        <v>13</v>
      </c>
    </row>
    <row r="324" spans="1:19" x14ac:dyDescent="0.3">
      <c r="A324" t="s">
        <v>281</v>
      </c>
      <c r="B324" t="s">
        <v>1596</v>
      </c>
      <c r="C324" t="s">
        <v>1911</v>
      </c>
      <c r="D324" t="s">
        <v>3189</v>
      </c>
      <c r="E324" t="s">
        <v>9</v>
      </c>
      <c r="F324" s="2">
        <v>36</v>
      </c>
      <c r="G324" t="s">
        <v>3197</v>
      </c>
      <c r="H324" t="s">
        <v>10</v>
      </c>
      <c r="I324" t="s">
        <v>11</v>
      </c>
      <c r="J324" t="s">
        <v>3198</v>
      </c>
      <c r="K324" t="s">
        <v>12</v>
      </c>
      <c r="L324" s="2">
        <v>17.079999999999998</v>
      </c>
      <c r="M324" t="s">
        <v>3203</v>
      </c>
      <c r="N324">
        <v>1</v>
      </c>
      <c r="O324">
        <v>0</v>
      </c>
      <c r="P324">
        <v>2</v>
      </c>
      <c r="Q324" t="s">
        <v>3204</v>
      </c>
      <c r="R324" t="s">
        <v>3205</v>
      </c>
      <c r="S324" t="s">
        <v>16</v>
      </c>
    </row>
    <row r="325" spans="1:19" x14ac:dyDescent="0.3">
      <c r="A325" t="s">
        <v>281</v>
      </c>
      <c r="B325" t="s">
        <v>1600</v>
      </c>
      <c r="C325" t="s">
        <v>1912</v>
      </c>
      <c r="D325" t="s">
        <v>3190</v>
      </c>
      <c r="E325" t="s">
        <v>14</v>
      </c>
      <c r="F325" s="2">
        <v>36</v>
      </c>
      <c r="G325" t="s">
        <v>3197</v>
      </c>
      <c r="H325" t="s">
        <v>10</v>
      </c>
      <c r="I325" t="s">
        <v>11</v>
      </c>
      <c r="J325" t="s">
        <v>3198</v>
      </c>
      <c r="K325" t="s">
        <v>12</v>
      </c>
      <c r="L325" s="2">
        <v>17.079999999999998</v>
      </c>
      <c r="M325" t="s">
        <v>3203</v>
      </c>
      <c r="N325">
        <v>1</v>
      </c>
      <c r="O325">
        <v>0</v>
      </c>
      <c r="P325">
        <v>2</v>
      </c>
      <c r="Q325" t="s">
        <v>3204</v>
      </c>
      <c r="R325" t="s">
        <v>3205</v>
      </c>
      <c r="S325" t="s">
        <v>16</v>
      </c>
    </row>
    <row r="326" spans="1:19" x14ac:dyDescent="0.3">
      <c r="A326" t="s">
        <v>282</v>
      </c>
      <c r="B326" t="s">
        <v>1596</v>
      </c>
      <c r="C326" t="s">
        <v>1913</v>
      </c>
      <c r="D326" t="s">
        <v>3189</v>
      </c>
      <c r="E326" t="s">
        <v>9</v>
      </c>
      <c r="F326" s="2">
        <v>30</v>
      </c>
      <c r="G326" t="s">
        <v>3206</v>
      </c>
      <c r="H326" t="s">
        <v>10</v>
      </c>
      <c r="I326" t="s">
        <v>11</v>
      </c>
      <c r="J326" t="s">
        <v>3198</v>
      </c>
      <c r="K326" t="s">
        <v>46</v>
      </c>
      <c r="L326" s="2">
        <v>9.1</v>
      </c>
      <c r="M326" t="s">
        <v>3199</v>
      </c>
      <c r="N326">
        <v>0</v>
      </c>
      <c r="O326">
        <v>0</v>
      </c>
      <c r="P326">
        <v>1</v>
      </c>
      <c r="Q326" t="s">
        <v>3200</v>
      </c>
      <c r="R326" t="s">
        <v>3205</v>
      </c>
      <c r="S326" t="s">
        <v>16</v>
      </c>
    </row>
    <row r="327" spans="1:19" x14ac:dyDescent="0.3">
      <c r="A327" t="s">
        <v>283</v>
      </c>
      <c r="B327" t="s">
        <v>1596</v>
      </c>
      <c r="C327" t="s">
        <v>1914</v>
      </c>
      <c r="D327" t="s">
        <v>3189</v>
      </c>
      <c r="E327" t="s">
        <v>9</v>
      </c>
      <c r="F327" s="2">
        <v>25</v>
      </c>
      <c r="G327" t="s">
        <v>3206</v>
      </c>
      <c r="H327" t="s">
        <v>18</v>
      </c>
      <c r="I327" t="s">
        <v>11</v>
      </c>
      <c r="J327" t="s">
        <v>3198</v>
      </c>
      <c r="K327" t="s">
        <v>33</v>
      </c>
      <c r="L327" s="2">
        <v>31.1</v>
      </c>
      <c r="M327" t="s">
        <v>3203</v>
      </c>
      <c r="N327">
        <v>0</v>
      </c>
      <c r="O327">
        <v>0</v>
      </c>
      <c r="P327">
        <v>1</v>
      </c>
      <c r="Q327" t="s">
        <v>3200</v>
      </c>
      <c r="R327" t="s">
        <v>3201</v>
      </c>
      <c r="S327" t="s">
        <v>13</v>
      </c>
    </row>
    <row r="328" spans="1:19" x14ac:dyDescent="0.3">
      <c r="A328" t="s">
        <v>284</v>
      </c>
      <c r="B328" t="s">
        <v>1596</v>
      </c>
      <c r="C328" t="s">
        <v>1915</v>
      </c>
      <c r="D328" t="s">
        <v>3189</v>
      </c>
      <c r="E328" t="s">
        <v>9</v>
      </c>
      <c r="F328" s="2">
        <v>30</v>
      </c>
      <c r="G328" t="s">
        <v>3206</v>
      </c>
      <c r="H328" t="s">
        <v>10</v>
      </c>
      <c r="I328" t="s">
        <v>11</v>
      </c>
      <c r="J328" t="s">
        <v>3198</v>
      </c>
      <c r="K328" t="s">
        <v>15</v>
      </c>
      <c r="L328" s="2">
        <v>7.1711</v>
      </c>
      <c r="M328" t="s">
        <v>3199</v>
      </c>
      <c r="N328">
        <v>0</v>
      </c>
      <c r="O328">
        <v>0</v>
      </c>
      <c r="P328">
        <v>1</v>
      </c>
      <c r="Q328" t="s">
        <v>3200</v>
      </c>
      <c r="R328" t="s">
        <v>3201</v>
      </c>
      <c r="S328" t="s">
        <v>13</v>
      </c>
    </row>
    <row r="329" spans="1:19" x14ac:dyDescent="0.3">
      <c r="A329" t="s">
        <v>285</v>
      </c>
      <c r="B329" t="s">
        <v>1596</v>
      </c>
      <c r="C329" t="s">
        <v>1605</v>
      </c>
      <c r="D329" t="s">
        <v>3189</v>
      </c>
      <c r="E329" t="s">
        <v>9</v>
      </c>
      <c r="F329" s="2">
        <v>22</v>
      </c>
      <c r="G329" t="s">
        <v>3206</v>
      </c>
      <c r="H329" t="s">
        <v>10</v>
      </c>
      <c r="I329" t="s">
        <v>11</v>
      </c>
      <c r="J329" t="s">
        <v>3198</v>
      </c>
      <c r="K329" t="s">
        <v>15</v>
      </c>
      <c r="L329" s="2">
        <v>7.05</v>
      </c>
      <c r="M329" t="s">
        <v>3199</v>
      </c>
      <c r="N329">
        <v>0</v>
      </c>
      <c r="O329">
        <v>0</v>
      </c>
      <c r="P329">
        <v>1</v>
      </c>
      <c r="Q329" t="s">
        <v>3200</v>
      </c>
      <c r="R329" t="s">
        <v>3201</v>
      </c>
      <c r="S329" t="s">
        <v>13</v>
      </c>
    </row>
    <row r="330" spans="1:19" x14ac:dyDescent="0.3">
      <c r="A330" t="s">
        <v>285</v>
      </c>
      <c r="B330" t="s">
        <v>1596</v>
      </c>
      <c r="C330" t="s">
        <v>1619</v>
      </c>
      <c r="D330" t="s">
        <v>3189</v>
      </c>
      <c r="E330" t="s">
        <v>9</v>
      </c>
      <c r="F330" s="2">
        <v>26</v>
      </c>
      <c r="G330" t="s">
        <v>3206</v>
      </c>
      <c r="H330" t="s">
        <v>10</v>
      </c>
      <c r="I330" t="s">
        <v>11</v>
      </c>
      <c r="J330" t="s">
        <v>3198</v>
      </c>
      <c r="K330" t="s">
        <v>15</v>
      </c>
      <c r="L330" s="2">
        <v>7.05</v>
      </c>
      <c r="M330" t="s">
        <v>3199</v>
      </c>
      <c r="N330">
        <v>0</v>
      </c>
      <c r="O330">
        <v>0</v>
      </c>
      <c r="P330">
        <v>1</v>
      </c>
      <c r="Q330" t="s">
        <v>3200</v>
      </c>
      <c r="R330" t="s">
        <v>3201</v>
      </c>
      <c r="S330" t="s">
        <v>13</v>
      </c>
    </row>
    <row r="331" spans="1:19" x14ac:dyDescent="0.3">
      <c r="A331" t="s">
        <v>286</v>
      </c>
      <c r="B331" t="s">
        <v>1596</v>
      </c>
      <c r="C331" t="s">
        <v>1916</v>
      </c>
      <c r="D331" t="s">
        <v>3189</v>
      </c>
      <c r="E331" t="s">
        <v>9</v>
      </c>
      <c r="F331" s="2">
        <v>16</v>
      </c>
      <c r="G331" t="s">
        <v>3202</v>
      </c>
      <c r="H331" t="s">
        <v>10</v>
      </c>
      <c r="I331" t="s">
        <v>11</v>
      </c>
      <c r="J331" t="s">
        <v>3198</v>
      </c>
      <c r="K331" t="s">
        <v>46</v>
      </c>
      <c r="L331" s="2">
        <v>9.1</v>
      </c>
      <c r="M331" t="s">
        <v>3199</v>
      </c>
      <c r="N331">
        <v>0</v>
      </c>
      <c r="O331">
        <v>0</v>
      </c>
      <c r="P331">
        <v>1</v>
      </c>
      <c r="Q331" t="s">
        <v>3200</v>
      </c>
      <c r="R331" t="s">
        <v>3201</v>
      </c>
      <c r="S331" t="s">
        <v>13</v>
      </c>
    </row>
    <row r="332" spans="1:19" x14ac:dyDescent="0.3">
      <c r="A332" t="s">
        <v>287</v>
      </c>
      <c r="B332" t="s">
        <v>1602</v>
      </c>
      <c r="C332" t="s">
        <v>1917</v>
      </c>
      <c r="D332" t="s">
        <v>3190</v>
      </c>
      <c r="E332" t="s">
        <v>14</v>
      </c>
      <c r="F332" s="2">
        <v>19</v>
      </c>
      <c r="G332" t="s">
        <v>3206</v>
      </c>
      <c r="H332" t="s">
        <v>10</v>
      </c>
      <c r="I332" t="s">
        <v>36</v>
      </c>
      <c r="J332" t="s">
        <v>3213</v>
      </c>
      <c r="K332" t="s">
        <v>37</v>
      </c>
      <c r="L332" s="2">
        <v>7.1707000000000001</v>
      </c>
      <c r="M332" t="s">
        <v>3199</v>
      </c>
      <c r="N332">
        <v>0</v>
      </c>
      <c r="O332">
        <v>0</v>
      </c>
      <c r="P332">
        <v>1</v>
      </c>
      <c r="Q332" t="s">
        <v>3200</v>
      </c>
      <c r="R332" t="s">
        <v>3205</v>
      </c>
      <c r="S332" t="s">
        <v>16</v>
      </c>
    </row>
    <row r="333" spans="1:19" x14ac:dyDescent="0.3">
      <c r="A333" t="s">
        <v>288</v>
      </c>
      <c r="B333" t="s">
        <v>1596</v>
      </c>
      <c r="C333" t="s">
        <v>1619</v>
      </c>
      <c r="D333" t="s">
        <v>3189</v>
      </c>
      <c r="E333" t="s">
        <v>9</v>
      </c>
      <c r="F333" s="2">
        <v>18</v>
      </c>
      <c r="G333" t="s">
        <v>3206</v>
      </c>
      <c r="H333" t="s">
        <v>18</v>
      </c>
      <c r="I333" t="s">
        <v>11</v>
      </c>
      <c r="J333" t="s">
        <v>3198</v>
      </c>
      <c r="K333" t="s">
        <v>15</v>
      </c>
      <c r="L333" s="2">
        <v>73.099999999999994</v>
      </c>
      <c r="M333" t="s">
        <v>3211</v>
      </c>
      <c r="N333">
        <v>0</v>
      </c>
      <c r="O333">
        <v>0</v>
      </c>
      <c r="P333">
        <v>1</v>
      </c>
      <c r="Q333" t="s">
        <v>3200</v>
      </c>
      <c r="R333" t="s">
        <v>3201</v>
      </c>
      <c r="S333" t="s">
        <v>13</v>
      </c>
    </row>
    <row r="334" spans="1:19" x14ac:dyDescent="0.3">
      <c r="A334" t="s">
        <v>289</v>
      </c>
      <c r="B334" t="s">
        <v>1596</v>
      </c>
      <c r="C334" t="s">
        <v>1918</v>
      </c>
      <c r="D334" t="s">
        <v>3189</v>
      </c>
      <c r="E334" t="s">
        <v>9</v>
      </c>
      <c r="F334" s="2">
        <v>31</v>
      </c>
      <c r="G334" t="s">
        <v>3206</v>
      </c>
      <c r="H334" t="s">
        <v>25</v>
      </c>
      <c r="I334" t="s">
        <v>11</v>
      </c>
      <c r="J334" t="s">
        <v>3198</v>
      </c>
      <c r="K334" t="s">
        <v>26</v>
      </c>
      <c r="L334" s="2">
        <v>57</v>
      </c>
      <c r="M334" t="s">
        <v>3211</v>
      </c>
      <c r="N334">
        <v>1</v>
      </c>
      <c r="O334">
        <v>0</v>
      </c>
      <c r="P334">
        <v>2</v>
      </c>
      <c r="Q334" t="s">
        <v>3204</v>
      </c>
      <c r="R334" t="s">
        <v>3205</v>
      </c>
      <c r="S334" t="s">
        <v>16</v>
      </c>
    </row>
    <row r="335" spans="1:19" x14ac:dyDescent="0.3">
      <c r="A335" t="s">
        <v>289</v>
      </c>
      <c r="B335" t="s">
        <v>1600</v>
      </c>
      <c r="C335" t="s">
        <v>1919</v>
      </c>
      <c r="D335" t="s">
        <v>3190</v>
      </c>
      <c r="E335" t="s">
        <v>14</v>
      </c>
      <c r="F335" s="2">
        <v>17</v>
      </c>
      <c r="G335" t="s">
        <v>3202</v>
      </c>
      <c r="H335" t="s">
        <v>25</v>
      </c>
      <c r="I335" t="s">
        <v>11</v>
      </c>
      <c r="J335" t="s">
        <v>3198</v>
      </c>
      <c r="K335" t="s">
        <v>12</v>
      </c>
      <c r="L335" s="2">
        <v>57</v>
      </c>
      <c r="M335" t="s">
        <v>3211</v>
      </c>
      <c r="N335">
        <v>1</v>
      </c>
      <c r="O335">
        <v>0</v>
      </c>
      <c r="P335">
        <v>2</v>
      </c>
      <c r="Q335" t="s">
        <v>3204</v>
      </c>
      <c r="R335" t="s">
        <v>3205</v>
      </c>
      <c r="S335" t="s">
        <v>16</v>
      </c>
    </row>
    <row r="336" spans="1:19" x14ac:dyDescent="0.3">
      <c r="A336" t="s">
        <v>290</v>
      </c>
      <c r="B336" t="s">
        <v>1596</v>
      </c>
      <c r="C336" t="s">
        <v>1920</v>
      </c>
      <c r="D336" t="s">
        <v>3189</v>
      </c>
      <c r="E336" t="s">
        <v>9</v>
      </c>
      <c r="F336" s="2">
        <v>17</v>
      </c>
      <c r="G336" t="s">
        <v>3202</v>
      </c>
      <c r="H336" t="s">
        <v>10</v>
      </c>
      <c r="I336" t="s">
        <v>11</v>
      </c>
      <c r="J336" t="s">
        <v>3198</v>
      </c>
      <c r="K336" t="s">
        <v>42</v>
      </c>
      <c r="L336" s="2">
        <v>7.1711</v>
      </c>
      <c r="M336" t="s">
        <v>3199</v>
      </c>
      <c r="N336">
        <v>0</v>
      </c>
      <c r="O336">
        <v>0</v>
      </c>
      <c r="P336">
        <v>1</v>
      </c>
      <c r="Q336" t="s">
        <v>3200</v>
      </c>
      <c r="R336" t="s">
        <v>3201</v>
      </c>
      <c r="S336" t="s">
        <v>13</v>
      </c>
    </row>
    <row r="337" spans="1:19" x14ac:dyDescent="0.3">
      <c r="A337" t="s">
        <v>291</v>
      </c>
      <c r="B337" t="s">
        <v>1596</v>
      </c>
      <c r="C337" t="s">
        <v>1921</v>
      </c>
      <c r="D337" t="s">
        <v>3189</v>
      </c>
      <c r="E337" t="s">
        <v>9</v>
      </c>
      <c r="F337" s="2">
        <v>42</v>
      </c>
      <c r="G337" t="s">
        <v>3197</v>
      </c>
      <c r="H337" t="s">
        <v>10</v>
      </c>
      <c r="I337" t="s">
        <v>11</v>
      </c>
      <c r="J337" t="s">
        <v>3198</v>
      </c>
      <c r="K337" t="s">
        <v>35</v>
      </c>
      <c r="L337" s="2">
        <v>8.1303000000000001</v>
      </c>
      <c r="M337" t="s">
        <v>3199</v>
      </c>
      <c r="N337">
        <v>0</v>
      </c>
      <c r="O337">
        <v>0</v>
      </c>
      <c r="P337">
        <v>1</v>
      </c>
      <c r="Q337" t="s">
        <v>3200</v>
      </c>
      <c r="R337" t="s">
        <v>3201</v>
      </c>
      <c r="S337" t="s">
        <v>13</v>
      </c>
    </row>
    <row r="338" spans="1:19" x14ac:dyDescent="0.3">
      <c r="A338" t="s">
        <v>292</v>
      </c>
      <c r="B338" t="s">
        <v>1596</v>
      </c>
      <c r="C338" t="s">
        <v>1922</v>
      </c>
      <c r="D338" t="s">
        <v>3189</v>
      </c>
      <c r="E338" t="s">
        <v>9</v>
      </c>
      <c r="F338" s="2">
        <v>43</v>
      </c>
      <c r="G338" t="s">
        <v>3197</v>
      </c>
      <c r="H338" t="s">
        <v>10</v>
      </c>
      <c r="I338" t="s">
        <v>11</v>
      </c>
      <c r="J338" t="s">
        <v>3198</v>
      </c>
      <c r="K338" t="s">
        <v>15</v>
      </c>
      <c r="L338" s="2">
        <v>7.1711</v>
      </c>
      <c r="M338" t="s">
        <v>3199</v>
      </c>
      <c r="N338">
        <v>0</v>
      </c>
      <c r="O338">
        <v>0</v>
      </c>
      <c r="P338">
        <v>1</v>
      </c>
      <c r="Q338" t="s">
        <v>3200</v>
      </c>
      <c r="R338" t="s">
        <v>3201</v>
      </c>
      <c r="S338" t="s">
        <v>13</v>
      </c>
    </row>
    <row r="339" spans="1:19" x14ac:dyDescent="0.3">
      <c r="A339" t="s">
        <v>293</v>
      </c>
      <c r="B339" t="s">
        <v>1749</v>
      </c>
      <c r="C339" t="s">
        <v>1923</v>
      </c>
      <c r="D339" t="s">
        <v>3189</v>
      </c>
      <c r="E339" t="s">
        <v>9</v>
      </c>
      <c r="F339" s="2">
        <v>52</v>
      </c>
      <c r="G339" t="s">
        <v>3197</v>
      </c>
      <c r="H339" t="s">
        <v>25</v>
      </c>
      <c r="I339" t="s">
        <v>11</v>
      </c>
      <c r="J339" t="s">
        <v>3198</v>
      </c>
      <c r="K339" t="s">
        <v>12</v>
      </c>
      <c r="L339" s="2">
        <v>81.170199999999994</v>
      </c>
      <c r="M339" t="s">
        <v>3211</v>
      </c>
      <c r="N339">
        <v>1</v>
      </c>
      <c r="O339">
        <v>1</v>
      </c>
      <c r="P339">
        <v>3</v>
      </c>
      <c r="Q339" t="s">
        <v>3204</v>
      </c>
      <c r="R339" t="s">
        <v>3205</v>
      </c>
      <c r="S339" t="s">
        <v>16</v>
      </c>
    </row>
    <row r="340" spans="1:19" x14ac:dyDescent="0.3">
      <c r="A340" t="s">
        <v>293</v>
      </c>
      <c r="B340" t="s">
        <v>1612</v>
      </c>
      <c r="C340" t="s">
        <v>1923</v>
      </c>
      <c r="D340" t="s">
        <v>3189</v>
      </c>
      <c r="E340" t="s">
        <v>9</v>
      </c>
      <c r="F340" s="2">
        <v>4</v>
      </c>
      <c r="G340" t="s">
        <v>3208</v>
      </c>
      <c r="H340" t="s">
        <v>25</v>
      </c>
      <c r="I340" t="s">
        <v>11</v>
      </c>
      <c r="J340" t="s">
        <v>3198</v>
      </c>
      <c r="K340" t="s">
        <v>12</v>
      </c>
      <c r="L340" s="2">
        <v>81.170199999999994</v>
      </c>
      <c r="M340" t="s">
        <v>3211</v>
      </c>
      <c r="N340">
        <v>0</v>
      </c>
      <c r="O340">
        <v>2</v>
      </c>
      <c r="P340">
        <v>3</v>
      </c>
      <c r="Q340" t="s">
        <v>3204</v>
      </c>
      <c r="R340" t="s">
        <v>3205</v>
      </c>
      <c r="S340" t="s">
        <v>16</v>
      </c>
    </row>
    <row r="341" spans="1:19" x14ac:dyDescent="0.3">
      <c r="A341" t="s">
        <v>293</v>
      </c>
      <c r="B341" t="s">
        <v>1600</v>
      </c>
      <c r="C341" t="s">
        <v>1924</v>
      </c>
      <c r="D341" t="s">
        <v>3190</v>
      </c>
      <c r="E341" t="s">
        <v>14</v>
      </c>
      <c r="F341" s="2">
        <v>34</v>
      </c>
      <c r="G341" t="s">
        <v>3206</v>
      </c>
      <c r="H341" t="s">
        <v>25</v>
      </c>
      <c r="I341" t="s">
        <v>11</v>
      </c>
      <c r="J341" t="s">
        <v>3198</v>
      </c>
      <c r="K341" t="s">
        <v>12</v>
      </c>
      <c r="L341" s="2">
        <v>81.170199999999994</v>
      </c>
      <c r="M341" t="s">
        <v>3211</v>
      </c>
      <c r="N341">
        <v>1</v>
      </c>
      <c r="O341">
        <v>1</v>
      </c>
      <c r="P341">
        <v>3</v>
      </c>
      <c r="Q341" t="s">
        <v>3204</v>
      </c>
      <c r="R341" t="s">
        <v>3205</v>
      </c>
      <c r="S341" t="s">
        <v>16</v>
      </c>
    </row>
    <row r="342" spans="1:19" x14ac:dyDescent="0.3">
      <c r="A342" t="s">
        <v>294</v>
      </c>
      <c r="B342" t="s">
        <v>1602</v>
      </c>
      <c r="C342" t="s">
        <v>1925</v>
      </c>
      <c r="D342" t="s">
        <v>3190</v>
      </c>
      <c r="E342" t="s">
        <v>14</v>
      </c>
      <c r="F342" s="2">
        <v>18</v>
      </c>
      <c r="G342" t="s">
        <v>3206</v>
      </c>
      <c r="H342" t="s">
        <v>18</v>
      </c>
      <c r="I342" t="s">
        <v>11</v>
      </c>
      <c r="J342" t="s">
        <v>3198</v>
      </c>
      <c r="K342" t="s">
        <v>15</v>
      </c>
      <c r="L342" s="2">
        <v>23</v>
      </c>
      <c r="M342" t="s">
        <v>3203</v>
      </c>
      <c r="N342">
        <v>0</v>
      </c>
      <c r="O342">
        <v>1</v>
      </c>
      <c r="P342">
        <v>2</v>
      </c>
      <c r="Q342" t="s">
        <v>3204</v>
      </c>
      <c r="R342" t="s">
        <v>3205</v>
      </c>
      <c r="S342" t="s">
        <v>16</v>
      </c>
    </row>
    <row r="343" spans="1:19" x14ac:dyDescent="0.3">
      <c r="A343" t="s">
        <v>294</v>
      </c>
      <c r="B343" t="s">
        <v>1600</v>
      </c>
      <c r="C343" t="s">
        <v>1926</v>
      </c>
      <c r="D343" t="s">
        <v>3190</v>
      </c>
      <c r="E343" t="s">
        <v>14</v>
      </c>
      <c r="F343" s="2">
        <v>34</v>
      </c>
      <c r="G343" t="s">
        <v>3206</v>
      </c>
      <c r="H343" t="s">
        <v>18</v>
      </c>
      <c r="I343" t="s">
        <v>11</v>
      </c>
      <c r="J343" t="s">
        <v>3198</v>
      </c>
      <c r="K343" t="s">
        <v>15</v>
      </c>
      <c r="L343" s="2">
        <v>23</v>
      </c>
      <c r="M343" t="s">
        <v>3203</v>
      </c>
      <c r="N343">
        <v>0</v>
      </c>
      <c r="O343">
        <v>1</v>
      </c>
      <c r="P343">
        <v>2</v>
      </c>
      <c r="Q343" t="s">
        <v>3204</v>
      </c>
      <c r="R343" t="s">
        <v>3205</v>
      </c>
      <c r="S343" t="s">
        <v>16</v>
      </c>
    </row>
    <row r="344" spans="1:19" x14ac:dyDescent="0.3">
      <c r="A344" t="s">
        <v>295</v>
      </c>
      <c r="B344" t="s">
        <v>1602</v>
      </c>
      <c r="C344" t="s">
        <v>1927</v>
      </c>
      <c r="D344" t="s">
        <v>3190</v>
      </c>
      <c r="E344" t="s">
        <v>14</v>
      </c>
      <c r="F344" s="2">
        <v>21</v>
      </c>
      <c r="G344" t="s">
        <v>3206</v>
      </c>
      <c r="H344" t="s">
        <v>10</v>
      </c>
      <c r="I344" t="s">
        <v>36</v>
      </c>
      <c r="J344" t="s">
        <v>3213</v>
      </c>
      <c r="K344" t="s">
        <v>37</v>
      </c>
      <c r="L344" s="2">
        <v>7.15</v>
      </c>
      <c r="M344" t="s">
        <v>3199</v>
      </c>
      <c r="N344">
        <v>0</v>
      </c>
      <c r="O344">
        <v>0</v>
      </c>
      <c r="P344">
        <v>1</v>
      </c>
      <c r="Q344" t="s">
        <v>3200</v>
      </c>
      <c r="R344" t="s">
        <v>3201</v>
      </c>
      <c r="S344" t="s">
        <v>13</v>
      </c>
    </row>
    <row r="345" spans="1:19" x14ac:dyDescent="0.3">
      <c r="A345" t="s">
        <v>296</v>
      </c>
      <c r="B345" t="s">
        <v>1596</v>
      </c>
      <c r="C345" t="s">
        <v>1792</v>
      </c>
      <c r="D345" t="s">
        <v>3189</v>
      </c>
      <c r="E345" t="s">
        <v>9</v>
      </c>
      <c r="F345" s="2">
        <v>37</v>
      </c>
      <c r="G345" t="s">
        <v>3197</v>
      </c>
      <c r="H345" t="s">
        <v>10</v>
      </c>
      <c r="I345" t="s">
        <v>36</v>
      </c>
      <c r="J345" t="s">
        <v>3213</v>
      </c>
      <c r="K345" t="s">
        <v>37</v>
      </c>
      <c r="L345" s="2">
        <v>7.15</v>
      </c>
      <c r="M345" t="s">
        <v>3199</v>
      </c>
      <c r="N345">
        <v>0</v>
      </c>
      <c r="O345">
        <v>0</v>
      </c>
      <c r="P345">
        <v>1</v>
      </c>
      <c r="Q345" t="s">
        <v>3200</v>
      </c>
      <c r="R345" t="s">
        <v>3201</v>
      </c>
      <c r="S345" t="s">
        <v>13</v>
      </c>
    </row>
    <row r="346" spans="1:19" x14ac:dyDescent="0.3">
      <c r="A346" t="s">
        <v>297</v>
      </c>
      <c r="B346" t="s">
        <v>1596</v>
      </c>
      <c r="C346" t="s">
        <v>1928</v>
      </c>
      <c r="D346" t="s">
        <v>3189</v>
      </c>
      <c r="E346" t="s">
        <v>9</v>
      </c>
      <c r="F346" s="2">
        <v>18</v>
      </c>
      <c r="G346" t="s">
        <v>3206</v>
      </c>
      <c r="H346" t="s">
        <v>10</v>
      </c>
      <c r="I346" t="s">
        <v>11</v>
      </c>
      <c r="J346" t="s">
        <v>3198</v>
      </c>
      <c r="K346" t="s">
        <v>15</v>
      </c>
      <c r="L346" s="2">
        <v>8.01</v>
      </c>
      <c r="M346" t="s">
        <v>3199</v>
      </c>
      <c r="N346">
        <v>0</v>
      </c>
      <c r="O346">
        <v>0</v>
      </c>
      <c r="P346">
        <v>1</v>
      </c>
      <c r="Q346" t="s">
        <v>3200</v>
      </c>
      <c r="R346" t="s">
        <v>3205</v>
      </c>
      <c r="S346" t="s">
        <v>16</v>
      </c>
    </row>
    <row r="347" spans="1:19" x14ac:dyDescent="0.3">
      <c r="A347" t="s">
        <v>298</v>
      </c>
      <c r="B347" t="s">
        <v>1596</v>
      </c>
      <c r="C347" t="s">
        <v>1716</v>
      </c>
      <c r="D347" t="s">
        <v>3189</v>
      </c>
      <c r="E347" t="s">
        <v>9</v>
      </c>
      <c r="F347" s="2">
        <v>22</v>
      </c>
      <c r="G347" t="s">
        <v>3206</v>
      </c>
      <c r="H347" t="s">
        <v>10</v>
      </c>
      <c r="I347" t="s">
        <v>36</v>
      </c>
      <c r="J347" t="s">
        <v>3213</v>
      </c>
      <c r="K347" t="s">
        <v>37</v>
      </c>
      <c r="L347" s="2">
        <v>8.0901999999999994</v>
      </c>
      <c r="M347" t="s">
        <v>3199</v>
      </c>
      <c r="N347">
        <v>0</v>
      </c>
      <c r="O347">
        <v>0</v>
      </c>
      <c r="P347">
        <v>1</v>
      </c>
      <c r="Q347" t="s">
        <v>3200</v>
      </c>
      <c r="R347" t="s">
        <v>3201</v>
      </c>
      <c r="S347" t="s">
        <v>13</v>
      </c>
    </row>
    <row r="348" spans="1:19" x14ac:dyDescent="0.3">
      <c r="A348" t="s">
        <v>299</v>
      </c>
      <c r="B348" t="s">
        <v>1600</v>
      </c>
      <c r="C348" t="s">
        <v>1929</v>
      </c>
      <c r="D348" t="s">
        <v>3190</v>
      </c>
      <c r="E348" t="s">
        <v>14</v>
      </c>
      <c r="F348" s="2">
        <v>48</v>
      </c>
      <c r="G348" t="s">
        <v>3197</v>
      </c>
      <c r="H348" t="s">
        <v>25</v>
      </c>
      <c r="I348" t="s">
        <v>19</v>
      </c>
      <c r="J348" t="s">
        <v>3207</v>
      </c>
      <c r="K348" t="s">
        <v>12</v>
      </c>
      <c r="L348" s="2">
        <v>106.0806</v>
      </c>
      <c r="M348" t="s">
        <v>3209</v>
      </c>
      <c r="N348">
        <v>1</v>
      </c>
      <c r="O348">
        <v>0</v>
      </c>
      <c r="P348">
        <v>2</v>
      </c>
      <c r="Q348" t="s">
        <v>3204</v>
      </c>
      <c r="R348" t="s">
        <v>3205</v>
      </c>
      <c r="S348" t="s">
        <v>16</v>
      </c>
    </row>
    <row r="349" spans="1:19" x14ac:dyDescent="0.3">
      <c r="A349" t="s">
        <v>299</v>
      </c>
      <c r="B349" t="s">
        <v>1600</v>
      </c>
      <c r="C349" t="s">
        <v>1930</v>
      </c>
      <c r="D349" t="s">
        <v>3190</v>
      </c>
      <c r="E349" t="s">
        <v>14</v>
      </c>
      <c r="F349" s="2">
        <v>27</v>
      </c>
      <c r="G349" t="s">
        <v>3206</v>
      </c>
      <c r="H349" t="s">
        <v>25</v>
      </c>
      <c r="I349" t="s">
        <v>19</v>
      </c>
      <c r="J349" t="s">
        <v>3207</v>
      </c>
      <c r="K349" t="s">
        <v>26</v>
      </c>
      <c r="L349" s="2">
        <v>247.10050000000001</v>
      </c>
      <c r="M349" t="s">
        <v>3209</v>
      </c>
      <c r="N349">
        <v>1</v>
      </c>
      <c r="O349">
        <v>1</v>
      </c>
      <c r="P349">
        <v>3</v>
      </c>
      <c r="Q349" t="s">
        <v>3204</v>
      </c>
      <c r="R349" t="s">
        <v>3205</v>
      </c>
      <c r="S349" t="s">
        <v>16</v>
      </c>
    </row>
    <row r="350" spans="1:19" x14ac:dyDescent="0.3">
      <c r="A350" t="s">
        <v>299</v>
      </c>
      <c r="B350" t="s">
        <v>1596</v>
      </c>
      <c r="C350" t="s">
        <v>1931</v>
      </c>
      <c r="D350" t="s">
        <v>3189</v>
      </c>
      <c r="E350" t="s">
        <v>9</v>
      </c>
      <c r="F350" s="2">
        <v>50</v>
      </c>
      <c r="G350" t="s">
        <v>3197</v>
      </c>
      <c r="H350" t="s">
        <v>25</v>
      </c>
      <c r="I350" t="s">
        <v>19</v>
      </c>
      <c r="J350" t="s">
        <v>3207</v>
      </c>
      <c r="K350" t="s">
        <v>12</v>
      </c>
      <c r="L350" s="2">
        <v>106.0806</v>
      </c>
      <c r="M350" t="s">
        <v>3209</v>
      </c>
      <c r="N350">
        <v>1</v>
      </c>
      <c r="O350">
        <v>0</v>
      </c>
      <c r="P350">
        <v>2</v>
      </c>
      <c r="Q350" t="s">
        <v>3204</v>
      </c>
      <c r="R350" t="s">
        <v>3201</v>
      </c>
      <c r="S350" t="s">
        <v>13</v>
      </c>
    </row>
    <row r="351" spans="1:19" x14ac:dyDescent="0.3">
      <c r="A351" t="s">
        <v>300</v>
      </c>
      <c r="B351" t="s">
        <v>1596</v>
      </c>
      <c r="C351" t="s">
        <v>1932</v>
      </c>
      <c r="D351" t="s">
        <v>3189</v>
      </c>
      <c r="E351" t="s">
        <v>9</v>
      </c>
      <c r="F351" s="2">
        <v>55</v>
      </c>
      <c r="G351" t="s">
        <v>3197</v>
      </c>
      <c r="H351" t="s">
        <v>18</v>
      </c>
      <c r="I351" t="s">
        <v>11</v>
      </c>
      <c r="J351" t="s">
        <v>3198</v>
      </c>
      <c r="K351" t="s">
        <v>15</v>
      </c>
      <c r="L351" s="2">
        <v>26</v>
      </c>
      <c r="M351" t="s">
        <v>3203</v>
      </c>
      <c r="N351">
        <v>0</v>
      </c>
      <c r="O351">
        <v>0</v>
      </c>
      <c r="P351">
        <v>1</v>
      </c>
      <c r="Q351" t="s">
        <v>3200</v>
      </c>
      <c r="R351" t="s">
        <v>3201</v>
      </c>
      <c r="S351" t="s">
        <v>13</v>
      </c>
    </row>
    <row r="352" spans="1:19" x14ac:dyDescent="0.3">
      <c r="A352" t="s">
        <v>301</v>
      </c>
      <c r="B352" t="s">
        <v>1602</v>
      </c>
      <c r="C352" t="s">
        <v>1730</v>
      </c>
      <c r="D352" t="s">
        <v>3190</v>
      </c>
      <c r="E352" t="s">
        <v>14</v>
      </c>
      <c r="F352" s="2">
        <v>31</v>
      </c>
      <c r="G352" t="s">
        <v>3206</v>
      </c>
      <c r="H352" t="s">
        <v>10</v>
      </c>
      <c r="I352" t="s">
        <v>11</v>
      </c>
      <c r="J352" t="s">
        <v>3198</v>
      </c>
      <c r="K352" t="s">
        <v>12</v>
      </c>
      <c r="L352" s="2">
        <v>12.0906</v>
      </c>
      <c r="M352" t="s">
        <v>3199</v>
      </c>
      <c r="N352">
        <v>0</v>
      </c>
      <c r="O352">
        <v>0</v>
      </c>
      <c r="P352">
        <v>1</v>
      </c>
      <c r="Q352" t="s">
        <v>3200</v>
      </c>
      <c r="R352" t="s">
        <v>3205</v>
      </c>
      <c r="S352" t="s">
        <v>16</v>
      </c>
    </row>
    <row r="353" spans="1:19" x14ac:dyDescent="0.3">
      <c r="A353" t="s">
        <v>302</v>
      </c>
      <c r="B353" t="s">
        <v>1602</v>
      </c>
      <c r="C353" t="s">
        <v>1730</v>
      </c>
      <c r="D353" t="s">
        <v>3190</v>
      </c>
      <c r="E353" t="s">
        <v>14</v>
      </c>
      <c r="F353" s="2">
        <v>28</v>
      </c>
      <c r="G353" t="s">
        <v>3206</v>
      </c>
      <c r="H353" t="s">
        <v>10</v>
      </c>
      <c r="I353" t="s">
        <v>36</v>
      </c>
      <c r="J353" t="s">
        <v>3213</v>
      </c>
      <c r="K353" t="s">
        <v>37</v>
      </c>
      <c r="L353" s="2">
        <v>7.15</v>
      </c>
      <c r="M353" t="s">
        <v>3199</v>
      </c>
      <c r="N353">
        <v>0</v>
      </c>
      <c r="O353">
        <v>0</v>
      </c>
      <c r="P353">
        <v>1</v>
      </c>
      <c r="Q353" t="s">
        <v>3200</v>
      </c>
      <c r="R353" t="s">
        <v>3201</v>
      </c>
      <c r="S353" t="s">
        <v>13</v>
      </c>
    </row>
    <row r="354" spans="1:19" x14ac:dyDescent="0.3">
      <c r="A354" t="s">
        <v>303</v>
      </c>
      <c r="B354" t="s">
        <v>1596</v>
      </c>
      <c r="C354" t="s">
        <v>1933</v>
      </c>
      <c r="D354" t="s">
        <v>3189</v>
      </c>
      <c r="E354" t="s">
        <v>9</v>
      </c>
      <c r="F354" s="2">
        <v>33</v>
      </c>
      <c r="G354" t="s">
        <v>3206</v>
      </c>
      <c r="H354" t="s">
        <v>10</v>
      </c>
      <c r="I354" t="s">
        <v>19</v>
      </c>
      <c r="J354" t="s">
        <v>3207</v>
      </c>
      <c r="K354" t="s">
        <v>42</v>
      </c>
      <c r="L354" s="2">
        <v>7.1711</v>
      </c>
      <c r="M354" t="s">
        <v>3199</v>
      </c>
      <c r="N354">
        <v>0</v>
      </c>
      <c r="O354">
        <v>0</v>
      </c>
      <c r="P354">
        <v>1</v>
      </c>
      <c r="Q354" t="s">
        <v>3200</v>
      </c>
      <c r="R354" t="s">
        <v>3201</v>
      </c>
      <c r="S354" t="s">
        <v>13</v>
      </c>
    </row>
    <row r="355" spans="1:19" x14ac:dyDescent="0.3">
      <c r="A355" t="s">
        <v>304</v>
      </c>
      <c r="B355" t="s">
        <v>1612</v>
      </c>
      <c r="C355" t="s">
        <v>1934</v>
      </c>
      <c r="D355" t="s">
        <v>3189</v>
      </c>
      <c r="E355" t="s">
        <v>9</v>
      </c>
      <c r="F355" s="2">
        <v>8</v>
      </c>
      <c r="G355" t="s">
        <v>3208</v>
      </c>
      <c r="H355" t="s">
        <v>18</v>
      </c>
      <c r="I355" t="s">
        <v>11</v>
      </c>
      <c r="J355" t="s">
        <v>3198</v>
      </c>
      <c r="K355" t="s">
        <v>12</v>
      </c>
      <c r="L355" s="2">
        <v>32.1</v>
      </c>
      <c r="M355" t="s">
        <v>3203</v>
      </c>
      <c r="N355">
        <v>0</v>
      </c>
      <c r="O355">
        <v>2</v>
      </c>
      <c r="P355">
        <v>3</v>
      </c>
      <c r="Q355" t="s">
        <v>3204</v>
      </c>
      <c r="R355" t="s">
        <v>3205</v>
      </c>
      <c r="S355" t="s">
        <v>16</v>
      </c>
    </row>
    <row r="356" spans="1:19" x14ac:dyDescent="0.3">
      <c r="A356" t="s">
        <v>304</v>
      </c>
      <c r="B356" t="s">
        <v>1596</v>
      </c>
      <c r="C356" t="s">
        <v>1935</v>
      </c>
      <c r="D356" t="s">
        <v>3189</v>
      </c>
      <c r="E356" t="s">
        <v>9</v>
      </c>
      <c r="F356" s="2">
        <v>42</v>
      </c>
      <c r="G356" t="s">
        <v>3197</v>
      </c>
      <c r="H356" t="s">
        <v>18</v>
      </c>
      <c r="I356" t="s">
        <v>11</v>
      </c>
      <c r="J356" t="s">
        <v>3198</v>
      </c>
      <c r="K356" t="s">
        <v>15</v>
      </c>
      <c r="L356" s="2">
        <v>32.1</v>
      </c>
      <c r="M356" t="s">
        <v>3203</v>
      </c>
      <c r="N356">
        <v>1</v>
      </c>
      <c r="O356">
        <v>1</v>
      </c>
      <c r="P356">
        <v>3</v>
      </c>
      <c r="Q356" t="s">
        <v>3204</v>
      </c>
      <c r="R356" t="s">
        <v>3201</v>
      </c>
      <c r="S356" t="s">
        <v>13</v>
      </c>
    </row>
    <row r="357" spans="1:19" x14ac:dyDescent="0.3">
      <c r="A357" t="s">
        <v>304</v>
      </c>
      <c r="B357" t="s">
        <v>1600</v>
      </c>
      <c r="C357" t="s">
        <v>1936</v>
      </c>
      <c r="D357" t="s">
        <v>3190</v>
      </c>
      <c r="E357" t="s">
        <v>14</v>
      </c>
      <c r="F357" s="2">
        <v>34</v>
      </c>
      <c r="G357" t="s">
        <v>3206</v>
      </c>
      <c r="H357" t="s">
        <v>18</v>
      </c>
      <c r="I357" t="s">
        <v>11</v>
      </c>
      <c r="J357" t="s">
        <v>3198</v>
      </c>
      <c r="K357" t="s">
        <v>12</v>
      </c>
      <c r="L357" s="2">
        <v>32.1</v>
      </c>
      <c r="M357" t="s">
        <v>3203</v>
      </c>
      <c r="N357">
        <v>1</v>
      </c>
      <c r="O357">
        <v>1</v>
      </c>
      <c r="P357">
        <v>3</v>
      </c>
      <c r="Q357" t="s">
        <v>3204</v>
      </c>
      <c r="R357" t="s">
        <v>3205</v>
      </c>
      <c r="S357" t="s">
        <v>16</v>
      </c>
    </row>
    <row r="358" spans="1:19" x14ac:dyDescent="0.3">
      <c r="A358" t="s">
        <v>305</v>
      </c>
      <c r="B358" t="s">
        <v>1602</v>
      </c>
      <c r="C358" t="s">
        <v>1927</v>
      </c>
      <c r="D358" t="s">
        <v>3190</v>
      </c>
      <c r="E358" t="s">
        <v>14</v>
      </c>
      <c r="F358" s="2">
        <v>27</v>
      </c>
      <c r="G358" t="s">
        <v>3206</v>
      </c>
      <c r="H358" t="s">
        <v>10</v>
      </c>
      <c r="I358" t="s">
        <v>36</v>
      </c>
      <c r="J358" t="s">
        <v>3213</v>
      </c>
      <c r="K358" t="s">
        <v>37</v>
      </c>
      <c r="L358" s="2">
        <v>7.15</v>
      </c>
      <c r="M358" t="s">
        <v>3199</v>
      </c>
      <c r="N358">
        <v>0</v>
      </c>
      <c r="O358">
        <v>0</v>
      </c>
      <c r="P358">
        <v>1</v>
      </c>
      <c r="Q358" t="s">
        <v>3200</v>
      </c>
      <c r="R358" t="s">
        <v>3205</v>
      </c>
      <c r="S358" t="s">
        <v>16</v>
      </c>
    </row>
    <row r="359" spans="1:19" x14ac:dyDescent="0.3">
      <c r="A359" t="s">
        <v>306</v>
      </c>
      <c r="B359" t="s">
        <v>1602</v>
      </c>
      <c r="C359" t="s">
        <v>1937</v>
      </c>
      <c r="D359" t="s">
        <v>3190</v>
      </c>
      <c r="E359" t="s">
        <v>14</v>
      </c>
      <c r="F359" s="2">
        <v>24</v>
      </c>
      <c r="G359" t="s">
        <v>3206</v>
      </c>
      <c r="H359" t="s">
        <v>10</v>
      </c>
      <c r="I359" t="s">
        <v>11</v>
      </c>
      <c r="J359" t="s">
        <v>3198</v>
      </c>
      <c r="K359" t="s">
        <v>15</v>
      </c>
      <c r="L359" s="2">
        <v>8.01</v>
      </c>
      <c r="M359" t="s">
        <v>3199</v>
      </c>
      <c r="N359">
        <v>0</v>
      </c>
      <c r="O359">
        <v>0</v>
      </c>
      <c r="P359">
        <v>1</v>
      </c>
      <c r="Q359" t="s">
        <v>3200</v>
      </c>
      <c r="R359" t="s">
        <v>3205</v>
      </c>
      <c r="S359" t="s">
        <v>16</v>
      </c>
    </row>
    <row r="360" spans="1:19" x14ac:dyDescent="0.3">
      <c r="A360" t="s">
        <v>307</v>
      </c>
      <c r="B360" t="s">
        <v>308</v>
      </c>
      <c r="C360" t="s">
        <v>309</v>
      </c>
      <c r="D360" t="s">
        <v>3190</v>
      </c>
      <c r="E360" t="s">
        <v>14</v>
      </c>
      <c r="F360" s="2">
        <v>48</v>
      </c>
      <c r="G360" t="s">
        <v>3197</v>
      </c>
      <c r="H360" t="s">
        <v>25</v>
      </c>
      <c r="I360" t="s">
        <v>19</v>
      </c>
      <c r="J360" t="s">
        <v>3207</v>
      </c>
      <c r="K360" t="s">
        <v>15</v>
      </c>
      <c r="L360" s="2">
        <v>56.180700000000002</v>
      </c>
      <c r="M360" t="s">
        <v>3211</v>
      </c>
      <c r="N360">
        <v>1</v>
      </c>
      <c r="O360">
        <v>0</v>
      </c>
      <c r="P360">
        <v>2</v>
      </c>
      <c r="Q360" t="s">
        <v>3204</v>
      </c>
      <c r="R360" t="s">
        <v>3205</v>
      </c>
      <c r="S360" t="s">
        <v>16</v>
      </c>
    </row>
    <row r="361" spans="1:19" x14ac:dyDescent="0.3">
      <c r="A361" t="s">
        <v>307</v>
      </c>
      <c r="B361" t="s">
        <v>1938</v>
      </c>
      <c r="C361" t="s">
        <v>1939</v>
      </c>
      <c r="D361" t="s">
        <v>3189</v>
      </c>
      <c r="E361" t="s">
        <v>9</v>
      </c>
      <c r="F361" s="2">
        <v>49</v>
      </c>
      <c r="G361" t="s">
        <v>3197</v>
      </c>
      <c r="H361" t="s">
        <v>25</v>
      </c>
      <c r="I361" t="s">
        <v>19</v>
      </c>
      <c r="J361" t="s">
        <v>3207</v>
      </c>
      <c r="K361" t="s">
        <v>15</v>
      </c>
      <c r="L361" s="2">
        <v>39.119999999999997</v>
      </c>
      <c r="M361" t="s">
        <v>3211</v>
      </c>
      <c r="N361">
        <v>1</v>
      </c>
      <c r="O361">
        <v>0</v>
      </c>
      <c r="P361">
        <v>2</v>
      </c>
      <c r="Q361" t="s">
        <v>3204</v>
      </c>
      <c r="R361" t="s">
        <v>3205</v>
      </c>
      <c r="S361" t="s">
        <v>16</v>
      </c>
    </row>
    <row r="362" spans="1:19" x14ac:dyDescent="0.3">
      <c r="A362" t="s">
        <v>310</v>
      </c>
      <c r="B362" t="s">
        <v>1596</v>
      </c>
      <c r="C362" t="s">
        <v>1940</v>
      </c>
      <c r="D362" t="s">
        <v>3189</v>
      </c>
      <c r="E362" t="s">
        <v>9</v>
      </c>
      <c r="F362" s="2">
        <v>39</v>
      </c>
      <c r="G362" t="s">
        <v>3197</v>
      </c>
      <c r="H362" t="s">
        <v>25</v>
      </c>
      <c r="I362" t="s">
        <v>19</v>
      </c>
      <c r="J362" t="s">
        <v>3207</v>
      </c>
      <c r="K362" t="s">
        <v>12</v>
      </c>
      <c r="L362" s="2">
        <v>29.14</v>
      </c>
      <c r="M362" t="s">
        <v>3203</v>
      </c>
      <c r="N362">
        <v>0</v>
      </c>
      <c r="O362">
        <v>0</v>
      </c>
      <c r="P362">
        <v>1</v>
      </c>
      <c r="Q362" t="s">
        <v>3200</v>
      </c>
      <c r="R362" t="s">
        <v>3201</v>
      </c>
      <c r="S362" t="s">
        <v>13</v>
      </c>
    </row>
    <row r="363" spans="1:19" x14ac:dyDescent="0.3">
      <c r="A363" t="s">
        <v>311</v>
      </c>
      <c r="B363" t="s">
        <v>1596</v>
      </c>
      <c r="C363" t="s">
        <v>1941</v>
      </c>
      <c r="D363" t="s">
        <v>3189</v>
      </c>
      <c r="E363" t="s">
        <v>9</v>
      </c>
      <c r="F363" s="2">
        <v>24</v>
      </c>
      <c r="G363" t="s">
        <v>3206</v>
      </c>
      <c r="H363" t="s">
        <v>10</v>
      </c>
      <c r="I363" t="s">
        <v>11</v>
      </c>
      <c r="J363" t="s">
        <v>3198</v>
      </c>
      <c r="K363" t="s">
        <v>33</v>
      </c>
      <c r="L363" s="2">
        <v>7.11</v>
      </c>
      <c r="M363" t="s">
        <v>3199</v>
      </c>
      <c r="N363">
        <v>0</v>
      </c>
      <c r="O363">
        <v>0</v>
      </c>
      <c r="P363">
        <v>1</v>
      </c>
      <c r="Q363" t="s">
        <v>3200</v>
      </c>
      <c r="R363" t="s">
        <v>3205</v>
      </c>
      <c r="S363" t="s">
        <v>16</v>
      </c>
    </row>
    <row r="364" spans="1:19" x14ac:dyDescent="0.3">
      <c r="A364" t="s">
        <v>312</v>
      </c>
      <c r="B364" t="s">
        <v>1942</v>
      </c>
      <c r="C364" t="s">
        <v>1943</v>
      </c>
      <c r="D364" t="s">
        <v>3190</v>
      </c>
      <c r="E364" t="s">
        <v>14</v>
      </c>
      <c r="F364" s="2">
        <v>27</v>
      </c>
      <c r="G364" t="s">
        <v>3206</v>
      </c>
      <c r="H364" t="s">
        <v>18</v>
      </c>
      <c r="I364" t="s">
        <v>19</v>
      </c>
      <c r="J364" t="s">
        <v>3207</v>
      </c>
      <c r="K364" t="s">
        <v>50</v>
      </c>
      <c r="L364" s="2">
        <v>13.170199999999999</v>
      </c>
      <c r="M364" t="s">
        <v>3199</v>
      </c>
      <c r="N364">
        <v>1</v>
      </c>
      <c r="O364">
        <v>0</v>
      </c>
      <c r="P364">
        <v>2</v>
      </c>
      <c r="Q364" t="s">
        <v>3204</v>
      </c>
      <c r="R364" t="s">
        <v>3205</v>
      </c>
      <c r="S364" t="s">
        <v>16</v>
      </c>
    </row>
    <row r="365" spans="1:19" x14ac:dyDescent="0.3">
      <c r="A365" t="s">
        <v>312</v>
      </c>
      <c r="B365" t="s">
        <v>1942</v>
      </c>
      <c r="C365" t="s">
        <v>1944</v>
      </c>
      <c r="D365" t="s">
        <v>3190</v>
      </c>
      <c r="E365" t="s">
        <v>14</v>
      </c>
      <c r="F365" s="2">
        <v>30</v>
      </c>
      <c r="G365" t="s">
        <v>3206</v>
      </c>
      <c r="H365" t="s">
        <v>18</v>
      </c>
      <c r="I365" t="s">
        <v>19</v>
      </c>
      <c r="J365" t="s">
        <v>3207</v>
      </c>
      <c r="K365" t="s">
        <v>50</v>
      </c>
      <c r="L365" s="2">
        <v>13.170199999999999</v>
      </c>
      <c r="M365" t="s">
        <v>3199</v>
      </c>
      <c r="N365">
        <v>1</v>
      </c>
      <c r="O365">
        <v>0</v>
      </c>
      <c r="P365">
        <v>2</v>
      </c>
      <c r="Q365" t="s">
        <v>3204</v>
      </c>
      <c r="R365" t="s">
        <v>3205</v>
      </c>
      <c r="S365" t="s">
        <v>16</v>
      </c>
    </row>
    <row r="366" spans="1:19" x14ac:dyDescent="0.3">
      <c r="A366" t="s">
        <v>313</v>
      </c>
      <c r="B366" t="s">
        <v>1596</v>
      </c>
      <c r="C366" t="s">
        <v>1945</v>
      </c>
      <c r="D366" t="s">
        <v>3189</v>
      </c>
      <c r="E366" t="s">
        <v>9</v>
      </c>
      <c r="F366" s="2">
        <v>65</v>
      </c>
      <c r="G366" t="s">
        <v>3210</v>
      </c>
      <c r="H366" t="s">
        <v>10</v>
      </c>
      <c r="I366" t="s">
        <v>36</v>
      </c>
      <c r="J366" t="s">
        <v>3213</v>
      </c>
      <c r="K366" t="s">
        <v>37</v>
      </c>
      <c r="L366" s="2">
        <v>7.15</v>
      </c>
      <c r="M366" t="s">
        <v>3199</v>
      </c>
      <c r="N366">
        <v>0</v>
      </c>
      <c r="O366">
        <v>0</v>
      </c>
      <c r="P366">
        <v>1</v>
      </c>
      <c r="Q366" t="s">
        <v>3200</v>
      </c>
      <c r="R366" t="s">
        <v>3201</v>
      </c>
      <c r="S366" t="s">
        <v>13</v>
      </c>
    </row>
    <row r="367" spans="1:19" x14ac:dyDescent="0.3">
      <c r="A367" t="s">
        <v>314</v>
      </c>
      <c r="B367" t="s">
        <v>1596</v>
      </c>
      <c r="C367" t="s">
        <v>1946</v>
      </c>
      <c r="D367" t="s">
        <v>3189</v>
      </c>
      <c r="E367" t="s">
        <v>9</v>
      </c>
      <c r="F367" s="2">
        <v>23</v>
      </c>
      <c r="G367" t="s">
        <v>3206</v>
      </c>
      <c r="H367" t="s">
        <v>10</v>
      </c>
      <c r="I367" t="s">
        <v>11</v>
      </c>
      <c r="J367" t="s">
        <v>3198</v>
      </c>
      <c r="K367" t="s">
        <v>12</v>
      </c>
      <c r="L367" s="2">
        <v>13.18</v>
      </c>
      <c r="M367" t="s">
        <v>3199</v>
      </c>
      <c r="N367">
        <v>1</v>
      </c>
      <c r="O367">
        <v>0</v>
      </c>
      <c r="P367">
        <v>2</v>
      </c>
      <c r="Q367" t="s">
        <v>3204</v>
      </c>
      <c r="R367" t="s">
        <v>3201</v>
      </c>
      <c r="S367" t="s">
        <v>13</v>
      </c>
    </row>
    <row r="368" spans="1:19" x14ac:dyDescent="0.3">
      <c r="A368" t="s">
        <v>314</v>
      </c>
      <c r="B368" t="s">
        <v>1600</v>
      </c>
      <c r="C368" t="s">
        <v>1947</v>
      </c>
      <c r="D368" t="s">
        <v>3190</v>
      </c>
      <c r="E368" t="s">
        <v>14</v>
      </c>
      <c r="F368" s="2">
        <v>22</v>
      </c>
      <c r="G368" t="s">
        <v>3206</v>
      </c>
      <c r="H368" t="s">
        <v>10</v>
      </c>
      <c r="I368" t="s">
        <v>11</v>
      </c>
      <c r="J368" t="s">
        <v>3198</v>
      </c>
      <c r="K368" t="s">
        <v>12</v>
      </c>
      <c r="L368" s="2">
        <v>13.18</v>
      </c>
      <c r="M368" t="s">
        <v>3199</v>
      </c>
      <c r="N368">
        <v>1</v>
      </c>
      <c r="O368">
        <v>0</v>
      </c>
      <c r="P368">
        <v>2</v>
      </c>
      <c r="Q368" t="s">
        <v>3204</v>
      </c>
      <c r="R368" t="s">
        <v>3205</v>
      </c>
      <c r="S368" t="s">
        <v>16</v>
      </c>
    </row>
    <row r="369" spans="1:19" x14ac:dyDescent="0.3">
      <c r="A369" t="s">
        <v>315</v>
      </c>
      <c r="B369" t="s">
        <v>1600</v>
      </c>
      <c r="C369" t="s">
        <v>1948</v>
      </c>
      <c r="D369" t="s">
        <v>3190</v>
      </c>
      <c r="E369" t="s">
        <v>14</v>
      </c>
      <c r="F369" s="2">
        <v>23</v>
      </c>
      <c r="G369" t="s">
        <v>3206</v>
      </c>
      <c r="H369" t="s">
        <v>25</v>
      </c>
      <c r="I369" t="s">
        <v>19</v>
      </c>
      <c r="J369" t="s">
        <v>3207</v>
      </c>
      <c r="K369" t="s">
        <v>12</v>
      </c>
      <c r="L369" s="2">
        <v>83.030199999999994</v>
      </c>
      <c r="M369" t="s">
        <v>3211</v>
      </c>
      <c r="N369">
        <v>0</v>
      </c>
      <c r="O369">
        <v>1</v>
      </c>
      <c r="P369">
        <v>2</v>
      </c>
      <c r="Q369" t="s">
        <v>3204</v>
      </c>
      <c r="R369" t="s">
        <v>3205</v>
      </c>
      <c r="S369" t="s">
        <v>16</v>
      </c>
    </row>
    <row r="370" spans="1:19" x14ac:dyDescent="0.3">
      <c r="A370" t="s">
        <v>316</v>
      </c>
      <c r="B370" t="s">
        <v>1596</v>
      </c>
      <c r="C370" t="s">
        <v>1949</v>
      </c>
      <c r="D370" t="s">
        <v>3189</v>
      </c>
      <c r="E370" t="s">
        <v>9</v>
      </c>
      <c r="F370" s="2">
        <v>18</v>
      </c>
      <c r="G370" t="s">
        <v>3206</v>
      </c>
      <c r="H370" t="s">
        <v>10</v>
      </c>
      <c r="I370" t="s">
        <v>11</v>
      </c>
      <c r="J370" t="s">
        <v>3198</v>
      </c>
      <c r="K370" t="s">
        <v>23</v>
      </c>
      <c r="L370" s="2">
        <v>7.1505999999999998</v>
      </c>
      <c r="M370" t="s">
        <v>3199</v>
      </c>
      <c r="N370">
        <v>0</v>
      </c>
      <c r="O370">
        <v>0</v>
      </c>
      <c r="P370">
        <v>1</v>
      </c>
      <c r="Q370" t="s">
        <v>3200</v>
      </c>
      <c r="R370" t="s">
        <v>3201</v>
      </c>
      <c r="S370" t="s">
        <v>13</v>
      </c>
    </row>
    <row r="371" spans="1:19" x14ac:dyDescent="0.3">
      <c r="A371" t="s">
        <v>317</v>
      </c>
      <c r="B371" t="s">
        <v>1596</v>
      </c>
      <c r="C371" t="s">
        <v>1950</v>
      </c>
      <c r="D371" t="s">
        <v>3189</v>
      </c>
      <c r="E371" t="s">
        <v>9</v>
      </c>
      <c r="F371" s="2">
        <v>25</v>
      </c>
      <c r="G371" t="s">
        <v>3206</v>
      </c>
      <c r="H371" t="s">
        <v>18</v>
      </c>
      <c r="I371" t="s">
        <v>11</v>
      </c>
      <c r="J371" t="s">
        <v>3198</v>
      </c>
      <c r="K371" t="s">
        <v>12</v>
      </c>
      <c r="L371" s="2">
        <v>13</v>
      </c>
      <c r="M371" t="s">
        <v>3199</v>
      </c>
      <c r="N371">
        <v>0</v>
      </c>
      <c r="O371">
        <v>0</v>
      </c>
      <c r="P371">
        <v>1</v>
      </c>
      <c r="Q371" t="s">
        <v>3200</v>
      </c>
      <c r="R371" t="s">
        <v>3201</v>
      </c>
      <c r="S371" t="s">
        <v>13</v>
      </c>
    </row>
    <row r="372" spans="1:19" x14ac:dyDescent="0.3">
      <c r="A372" t="s">
        <v>318</v>
      </c>
      <c r="B372" t="s">
        <v>1596</v>
      </c>
      <c r="C372" t="s">
        <v>1951</v>
      </c>
      <c r="D372" t="s">
        <v>3189</v>
      </c>
      <c r="E372" t="s">
        <v>9</v>
      </c>
      <c r="F372" s="2">
        <v>16</v>
      </c>
      <c r="G372" t="s">
        <v>3202</v>
      </c>
      <c r="H372" t="s">
        <v>10</v>
      </c>
      <c r="I372" t="s">
        <v>11</v>
      </c>
      <c r="J372" t="s">
        <v>3198</v>
      </c>
      <c r="K372" t="s">
        <v>23</v>
      </c>
      <c r="L372" s="2">
        <v>7.1505999999999998</v>
      </c>
      <c r="M372" t="s">
        <v>3199</v>
      </c>
      <c r="N372">
        <v>0</v>
      </c>
      <c r="O372">
        <v>0</v>
      </c>
      <c r="P372">
        <v>1</v>
      </c>
      <c r="Q372" t="s">
        <v>3200</v>
      </c>
      <c r="R372" t="s">
        <v>3201</v>
      </c>
      <c r="S372" t="s">
        <v>13</v>
      </c>
    </row>
    <row r="373" spans="1:19" x14ac:dyDescent="0.3">
      <c r="A373" t="s">
        <v>319</v>
      </c>
      <c r="B373" t="s">
        <v>1596</v>
      </c>
      <c r="C373" t="s">
        <v>1952</v>
      </c>
      <c r="D373" t="s">
        <v>3189</v>
      </c>
      <c r="E373" t="s">
        <v>9</v>
      </c>
      <c r="F373" s="2">
        <v>45</v>
      </c>
      <c r="G373" t="s">
        <v>3197</v>
      </c>
      <c r="H373" t="s">
        <v>10</v>
      </c>
      <c r="I373" t="s">
        <v>11</v>
      </c>
      <c r="J373" t="s">
        <v>3198</v>
      </c>
      <c r="K373" t="s">
        <v>23</v>
      </c>
      <c r="L373" s="2">
        <v>6.1905999999999999</v>
      </c>
      <c r="M373" t="s">
        <v>3199</v>
      </c>
      <c r="N373">
        <v>0</v>
      </c>
      <c r="O373">
        <v>0</v>
      </c>
      <c r="P373">
        <v>1</v>
      </c>
      <c r="Q373" t="s">
        <v>3200</v>
      </c>
      <c r="R373" t="s">
        <v>3201</v>
      </c>
      <c r="S373" t="s">
        <v>13</v>
      </c>
    </row>
    <row r="374" spans="1:19" x14ac:dyDescent="0.3">
      <c r="A374" t="s">
        <v>320</v>
      </c>
      <c r="B374" t="s">
        <v>1596</v>
      </c>
      <c r="C374" t="s">
        <v>1953</v>
      </c>
      <c r="D374" t="s">
        <v>3189</v>
      </c>
      <c r="E374" t="s">
        <v>9</v>
      </c>
      <c r="F374" s="2">
        <v>29</v>
      </c>
      <c r="G374" t="s">
        <v>3206</v>
      </c>
      <c r="H374" t="s">
        <v>10</v>
      </c>
      <c r="I374" t="s">
        <v>19</v>
      </c>
      <c r="J374" t="s">
        <v>3207</v>
      </c>
      <c r="K374" t="s">
        <v>15</v>
      </c>
      <c r="L374" s="2">
        <v>7.0406000000000004</v>
      </c>
      <c r="M374" t="s">
        <v>3199</v>
      </c>
      <c r="N374">
        <v>0</v>
      </c>
      <c r="O374">
        <v>0</v>
      </c>
      <c r="P374">
        <v>1</v>
      </c>
      <c r="Q374" t="s">
        <v>3200</v>
      </c>
      <c r="R374" t="s">
        <v>3201</v>
      </c>
      <c r="S374" t="s">
        <v>13</v>
      </c>
    </row>
    <row r="375" spans="1:19" x14ac:dyDescent="0.3">
      <c r="A375" t="s">
        <v>320</v>
      </c>
      <c r="B375" t="s">
        <v>1596</v>
      </c>
      <c r="C375" t="s">
        <v>1954</v>
      </c>
      <c r="D375" t="s">
        <v>3189</v>
      </c>
      <c r="E375" t="s">
        <v>9</v>
      </c>
      <c r="F375" s="2">
        <v>15</v>
      </c>
      <c r="G375" t="s">
        <v>3202</v>
      </c>
      <c r="H375" t="s">
        <v>10</v>
      </c>
      <c r="I375" t="s">
        <v>19</v>
      </c>
      <c r="J375" t="s">
        <v>3207</v>
      </c>
      <c r="K375" t="s">
        <v>21</v>
      </c>
      <c r="L375" s="2">
        <v>7.0407000000000002</v>
      </c>
      <c r="M375" t="s">
        <v>3199</v>
      </c>
      <c r="N375">
        <v>1</v>
      </c>
      <c r="O375">
        <v>1</v>
      </c>
      <c r="P375">
        <v>3</v>
      </c>
      <c r="Q375" t="s">
        <v>3204</v>
      </c>
      <c r="R375" t="s">
        <v>3201</v>
      </c>
      <c r="S375" t="s">
        <v>13</v>
      </c>
    </row>
    <row r="376" spans="1:19" x14ac:dyDescent="0.3">
      <c r="A376" t="s">
        <v>321</v>
      </c>
      <c r="B376" t="s">
        <v>1596</v>
      </c>
      <c r="C376" t="s">
        <v>1882</v>
      </c>
      <c r="D376" t="s">
        <v>3189</v>
      </c>
      <c r="E376" t="s">
        <v>9</v>
      </c>
      <c r="F376" s="2">
        <v>22</v>
      </c>
      <c r="G376" t="s">
        <v>3206</v>
      </c>
      <c r="H376" t="s">
        <v>10</v>
      </c>
      <c r="I376" t="s">
        <v>19</v>
      </c>
      <c r="J376" t="s">
        <v>3207</v>
      </c>
      <c r="K376" t="s">
        <v>21</v>
      </c>
      <c r="L376" s="2">
        <v>7.0407000000000002</v>
      </c>
      <c r="M376" t="s">
        <v>3199</v>
      </c>
      <c r="N376">
        <v>1</v>
      </c>
      <c r="O376">
        <v>1</v>
      </c>
      <c r="P376">
        <v>3</v>
      </c>
      <c r="Q376" t="s">
        <v>3204</v>
      </c>
      <c r="R376" t="s">
        <v>3201</v>
      </c>
      <c r="S376" t="s">
        <v>13</v>
      </c>
    </row>
    <row r="377" spans="1:19" x14ac:dyDescent="0.3">
      <c r="A377" t="s">
        <v>322</v>
      </c>
      <c r="B377" t="s">
        <v>1596</v>
      </c>
      <c r="C377" t="s">
        <v>1955</v>
      </c>
      <c r="D377" t="s">
        <v>3189</v>
      </c>
      <c r="E377" t="s">
        <v>9</v>
      </c>
      <c r="F377" s="2">
        <v>48</v>
      </c>
      <c r="G377" t="s">
        <v>3197</v>
      </c>
      <c r="H377" t="s">
        <v>10</v>
      </c>
      <c r="I377" t="s">
        <v>11</v>
      </c>
      <c r="J377" t="s">
        <v>3198</v>
      </c>
      <c r="K377" t="s">
        <v>15</v>
      </c>
      <c r="L377" s="2">
        <v>7.05</v>
      </c>
      <c r="M377" t="s">
        <v>3199</v>
      </c>
      <c r="N377">
        <v>0</v>
      </c>
      <c r="O377">
        <v>0</v>
      </c>
      <c r="P377">
        <v>1</v>
      </c>
      <c r="Q377" t="s">
        <v>3200</v>
      </c>
      <c r="R377" t="s">
        <v>3201</v>
      </c>
      <c r="S377" t="s">
        <v>13</v>
      </c>
    </row>
    <row r="378" spans="1:19" x14ac:dyDescent="0.3">
      <c r="A378" t="s">
        <v>323</v>
      </c>
      <c r="B378" t="s">
        <v>1602</v>
      </c>
      <c r="C378" t="s">
        <v>1956</v>
      </c>
      <c r="D378" t="s">
        <v>3190</v>
      </c>
      <c r="E378" t="s">
        <v>14</v>
      </c>
      <c r="F378" s="2">
        <v>5</v>
      </c>
      <c r="G378" t="s">
        <v>3208</v>
      </c>
      <c r="H378" t="s">
        <v>10</v>
      </c>
      <c r="I378" t="s">
        <v>11</v>
      </c>
      <c r="J378" t="s">
        <v>3198</v>
      </c>
      <c r="K378" t="s">
        <v>12</v>
      </c>
      <c r="L378" s="2">
        <v>12.0906</v>
      </c>
      <c r="M378" t="s">
        <v>3199</v>
      </c>
      <c r="N378">
        <v>0</v>
      </c>
      <c r="O378">
        <v>0</v>
      </c>
      <c r="P378">
        <v>1</v>
      </c>
      <c r="Q378" t="s">
        <v>3200</v>
      </c>
      <c r="R378" t="s">
        <v>3205</v>
      </c>
      <c r="S378" t="s">
        <v>16</v>
      </c>
    </row>
    <row r="379" spans="1:19" x14ac:dyDescent="0.3">
      <c r="A379" t="s">
        <v>324</v>
      </c>
      <c r="B379" t="s">
        <v>1596</v>
      </c>
      <c r="C379" t="s">
        <v>1957</v>
      </c>
      <c r="D379" t="s">
        <v>3189</v>
      </c>
      <c r="E379" t="s">
        <v>9</v>
      </c>
      <c r="F379" s="2">
        <v>21</v>
      </c>
      <c r="G379" t="s">
        <v>3206</v>
      </c>
      <c r="H379" t="s">
        <v>18</v>
      </c>
      <c r="I379" t="s">
        <v>11</v>
      </c>
      <c r="J379" t="s">
        <v>3198</v>
      </c>
      <c r="K379" t="s">
        <v>23</v>
      </c>
      <c r="L379" s="2">
        <v>13</v>
      </c>
      <c r="M379" t="s">
        <v>3199</v>
      </c>
      <c r="N379">
        <v>0</v>
      </c>
      <c r="O379">
        <v>0</v>
      </c>
      <c r="P379">
        <v>1</v>
      </c>
      <c r="Q379" t="s">
        <v>3200</v>
      </c>
      <c r="R379" t="s">
        <v>3201</v>
      </c>
      <c r="S379" t="s">
        <v>13</v>
      </c>
    </row>
    <row r="380" spans="1:19" x14ac:dyDescent="0.3">
      <c r="A380" t="s">
        <v>325</v>
      </c>
      <c r="B380" t="s">
        <v>1602</v>
      </c>
      <c r="C380" t="s">
        <v>1958</v>
      </c>
      <c r="D380" t="s">
        <v>3190</v>
      </c>
      <c r="E380" t="s">
        <v>14</v>
      </c>
      <c r="F380" s="2">
        <v>39</v>
      </c>
      <c r="G380" t="s">
        <v>3197</v>
      </c>
      <c r="H380" t="s">
        <v>25</v>
      </c>
      <c r="I380" t="s">
        <v>19</v>
      </c>
      <c r="J380" t="s">
        <v>3207</v>
      </c>
      <c r="K380" t="s">
        <v>12</v>
      </c>
      <c r="L380" s="2">
        <v>247.10059999999999</v>
      </c>
      <c r="M380" t="s">
        <v>3209</v>
      </c>
      <c r="N380">
        <v>0</v>
      </c>
      <c r="O380">
        <v>0</v>
      </c>
      <c r="P380">
        <v>1</v>
      </c>
      <c r="Q380" t="s">
        <v>3200</v>
      </c>
      <c r="R380" t="s">
        <v>3205</v>
      </c>
      <c r="S380" t="s">
        <v>16</v>
      </c>
    </row>
    <row r="381" spans="1:19" x14ac:dyDescent="0.3">
      <c r="A381" t="s">
        <v>326</v>
      </c>
      <c r="B381" t="s">
        <v>1596</v>
      </c>
      <c r="C381" t="s">
        <v>1959</v>
      </c>
      <c r="D381" t="s">
        <v>3189</v>
      </c>
      <c r="E381" t="s">
        <v>9</v>
      </c>
      <c r="F381" s="2">
        <v>37</v>
      </c>
      <c r="G381" t="s">
        <v>3197</v>
      </c>
      <c r="H381" t="s">
        <v>10</v>
      </c>
      <c r="I381" t="s">
        <v>11</v>
      </c>
      <c r="J381" t="s">
        <v>3198</v>
      </c>
      <c r="K381" t="s">
        <v>15</v>
      </c>
      <c r="L381" s="2">
        <v>7.01</v>
      </c>
      <c r="M381" t="s">
        <v>3199</v>
      </c>
      <c r="N381">
        <v>0</v>
      </c>
      <c r="O381">
        <v>0</v>
      </c>
      <c r="P381">
        <v>1</v>
      </c>
      <c r="Q381" t="s">
        <v>3200</v>
      </c>
      <c r="R381" t="s">
        <v>3201</v>
      </c>
      <c r="S381" t="s">
        <v>13</v>
      </c>
    </row>
    <row r="382" spans="1:19" x14ac:dyDescent="0.3">
      <c r="A382" t="s">
        <v>327</v>
      </c>
      <c r="B382" t="s">
        <v>1602</v>
      </c>
      <c r="C382" t="s">
        <v>1960</v>
      </c>
      <c r="D382" t="s">
        <v>3190</v>
      </c>
      <c r="E382" t="s">
        <v>14</v>
      </c>
      <c r="F382" s="2">
        <v>54</v>
      </c>
      <c r="G382" t="s">
        <v>3197</v>
      </c>
      <c r="H382" t="s">
        <v>25</v>
      </c>
      <c r="I382" t="s">
        <v>19</v>
      </c>
      <c r="J382" t="s">
        <v>3207</v>
      </c>
      <c r="K382" t="s">
        <v>12</v>
      </c>
      <c r="L382" s="2">
        <v>78.050399999999996</v>
      </c>
      <c r="M382" t="s">
        <v>3211</v>
      </c>
      <c r="N382">
        <v>1</v>
      </c>
      <c r="O382">
        <v>0</v>
      </c>
      <c r="P382">
        <v>2</v>
      </c>
      <c r="Q382" t="s">
        <v>3204</v>
      </c>
      <c r="R382" t="s">
        <v>3205</v>
      </c>
      <c r="S382" t="s">
        <v>16</v>
      </c>
    </row>
    <row r="383" spans="1:19" x14ac:dyDescent="0.3">
      <c r="A383" t="s">
        <v>328</v>
      </c>
      <c r="B383" t="s">
        <v>1602</v>
      </c>
      <c r="C383" t="s">
        <v>1961</v>
      </c>
      <c r="D383" t="s">
        <v>3190</v>
      </c>
      <c r="E383" t="s">
        <v>14</v>
      </c>
      <c r="F383" s="2">
        <v>36</v>
      </c>
      <c r="G383" t="s">
        <v>3197</v>
      </c>
      <c r="H383" t="s">
        <v>25</v>
      </c>
      <c r="I383" t="s">
        <v>19</v>
      </c>
      <c r="J383" t="s">
        <v>3207</v>
      </c>
      <c r="K383" t="s">
        <v>12</v>
      </c>
      <c r="L383" s="2">
        <v>31.130700000000001</v>
      </c>
      <c r="M383" t="s">
        <v>3203</v>
      </c>
      <c r="N383">
        <v>0</v>
      </c>
      <c r="O383">
        <v>0</v>
      </c>
      <c r="P383">
        <v>1</v>
      </c>
      <c r="Q383" t="s">
        <v>3200</v>
      </c>
      <c r="R383" t="s">
        <v>3201</v>
      </c>
      <c r="S383" t="s">
        <v>13</v>
      </c>
    </row>
    <row r="384" spans="1:19" x14ac:dyDescent="0.3">
      <c r="A384" t="s">
        <v>329</v>
      </c>
      <c r="B384" t="s">
        <v>1596</v>
      </c>
      <c r="C384" t="s">
        <v>1962</v>
      </c>
      <c r="D384" t="s">
        <v>3189</v>
      </c>
      <c r="E384" t="s">
        <v>9</v>
      </c>
      <c r="F384" s="2">
        <v>38</v>
      </c>
      <c r="G384" t="s">
        <v>3197</v>
      </c>
      <c r="H384" t="s">
        <v>10</v>
      </c>
      <c r="I384" t="s">
        <v>11</v>
      </c>
      <c r="J384" t="s">
        <v>3198</v>
      </c>
      <c r="K384" t="s">
        <v>15</v>
      </c>
      <c r="L384" s="2">
        <v>15.02</v>
      </c>
      <c r="M384" t="s">
        <v>3203</v>
      </c>
      <c r="N384">
        <v>0</v>
      </c>
      <c r="O384">
        <v>0</v>
      </c>
      <c r="P384">
        <v>1</v>
      </c>
      <c r="Q384" t="s">
        <v>3200</v>
      </c>
      <c r="R384" t="s">
        <v>3201</v>
      </c>
      <c r="S384" t="s">
        <v>13</v>
      </c>
    </row>
    <row r="385" spans="1:19" x14ac:dyDescent="0.3">
      <c r="A385" t="s">
        <v>330</v>
      </c>
      <c r="B385" t="s">
        <v>1596</v>
      </c>
      <c r="C385" t="s">
        <v>1963</v>
      </c>
      <c r="D385" t="s">
        <v>3189</v>
      </c>
      <c r="E385" t="s">
        <v>9</v>
      </c>
      <c r="F385" s="2">
        <v>18</v>
      </c>
      <c r="G385" t="s">
        <v>3206</v>
      </c>
      <c r="H385" t="s">
        <v>18</v>
      </c>
      <c r="I385" t="s">
        <v>11</v>
      </c>
      <c r="J385" t="s">
        <v>3198</v>
      </c>
      <c r="K385" t="s">
        <v>17</v>
      </c>
      <c r="L385" s="2">
        <v>13</v>
      </c>
      <c r="M385" t="s">
        <v>3199</v>
      </c>
      <c r="N385">
        <v>0</v>
      </c>
      <c r="O385">
        <v>0</v>
      </c>
      <c r="P385">
        <v>1</v>
      </c>
      <c r="Q385" t="s">
        <v>3200</v>
      </c>
      <c r="R385" t="s">
        <v>3201</v>
      </c>
      <c r="S385" t="s">
        <v>13</v>
      </c>
    </row>
    <row r="386" spans="1:19" x14ac:dyDescent="0.3">
      <c r="A386" t="s">
        <v>331</v>
      </c>
      <c r="B386" t="s">
        <v>1596</v>
      </c>
      <c r="C386" t="s">
        <v>1964</v>
      </c>
      <c r="D386" t="s">
        <v>3189</v>
      </c>
      <c r="E386" t="s">
        <v>9</v>
      </c>
      <c r="F386" s="2">
        <v>46</v>
      </c>
      <c r="G386" t="s">
        <v>3197</v>
      </c>
      <c r="H386" t="s">
        <v>10</v>
      </c>
      <c r="I386" t="s">
        <v>11</v>
      </c>
      <c r="J386" t="s">
        <v>3198</v>
      </c>
      <c r="K386" t="s">
        <v>15</v>
      </c>
      <c r="L386" s="2">
        <v>7.05</v>
      </c>
      <c r="M386" t="s">
        <v>3199</v>
      </c>
      <c r="N386">
        <v>0</v>
      </c>
      <c r="O386">
        <v>0</v>
      </c>
      <c r="P386">
        <v>1</v>
      </c>
      <c r="Q386" t="s">
        <v>3200</v>
      </c>
      <c r="R386" t="s">
        <v>3201</v>
      </c>
      <c r="S386" t="s">
        <v>13</v>
      </c>
    </row>
    <row r="387" spans="1:19" x14ac:dyDescent="0.3">
      <c r="A387" t="s">
        <v>332</v>
      </c>
      <c r="B387" t="s">
        <v>1596</v>
      </c>
      <c r="C387" t="s">
        <v>1965</v>
      </c>
      <c r="D387" t="s">
        <v>3189</v>
      </c>
      <c r="E387" t="s">
        <v>9</v>
      </c>
      <c r="F387" s="2">
        <v>26</v>
      </c>
      <c r="G387" t="s">
        <v>3206</v>
      </c>
      <c r="H387" t="s">
        <v>10</v>
      </c>
      <c r="I387" t="s">
        <v>36</v>
      </c>
      <c r="J387" t="s">
        <v>3213</v>
      </c>
      <c r="K387" t="s">
        <v>37</v>
      </c>
      <c r="L387" s="2">
        <v>7.15</v>
      </c>
      <c r="M387" t="s">
        <v>3199</v>
      </c>
      <c r="N387">
        <v>0</v>
      </c>
      <c r="O387">
        <v>0</v>
      </c>
      <c r="P387">
        <v>1</v>
      </c>
      <c r="Q387" t="s">
        <v>3200</v>
      </c>
      <c r="R387" t="s">
        <v>3201</v>
      </c>
      <c r="S387" t="s">
        <v>13</v>
      </c>
    </row>
    <row r="388" spans="1:19" x14ac:dyDescent="0.3">
      <c r="A388" t="s">
        <v>333</v>
      </c>
      <c r="B388" t="s">
        <v>1596</v>
      </c>
      <c r="C388" t="s">
        <v>1610</v>
      </c>
      <c r="D388" t="s">
        <v>3189</v>
      </c>
      <c r="E388" t="s">
        <v>9</v>
      </c>
      <c r="F388" s="2">
        <v>49</v>
      </c>
      <c r="G388" t="s">
        <v>3197</v>
      </c>
      <c r="H388" t="s">
        <v>25</v>
      </c>
      <c r="I388" t="s">
        <v>11</v>
      </c>
      <c r="J388" t="s">
        <v>3198</v>
      </c>
      <c r="K388" t="s">
        <v>15</v>
      </c>
      <c r="L388" s="2">
        <v>221.1507</v>
      </c>
      <c r="M388" t="s">
        <v>3209</v>
      </c>
      <c r="N388">
        <v>0</v>
      </c>
      <c r="O388">
        <v>0</v>
      </c>
      <c r="P388">
        <v>1</v>
      </c>
      <c r="Q388" t="s">
        <v>3200</v>
      </c>
      <c r="R388" t="s">
        <v>3201</v>
      </c>
      <c r="S388" t="s">
        <v>13</v>
      </c>
    </row>
    <row r="389" spans="1:19" x14ac:dyDescent="0.3">
      <c r="A389" t="s">
        <v>334</v>
      </c>
      <c r="B389" t="s">
        <v>1596</v>
      </c>
      <c r="C389" t="s">
        <v>1966</v>
      </c>
      <c r="D389" t="s">
        <v>3189</v>
      </c>
      <c r="E389" t="s">
        <v>9</v>
      </c>
      <c r="F389" s="2">
        <v>32</v>
      </c>
      <c r="G389" t="s">
        <v>3206</v>
      </c>
      <c r="H389" t="s">
        <v>18</v>
      </c>
      <c r="I389" t="s">
        <v>11</v>
      </c>
      <c r="J389" t="s">
        <v>3198</v>
      </c>
      <c r="K389" t="s">
        <v>15</v>
      </c>
      <c r="L389" s="2">
        <v>26</v>
      </c>
      <c r="M389" t="s">
        <v>3203</v>
      </c>
      <c r="N389">
        <v>1</v>
      </c>
      <c r="O389">
        <v>0</v>
      </c>
      <c r="P389">
        <v>2</v>
      </c>
      <c r="Q389" t="s">
        <v>3204</v>
      </c>
      <c r="R389" t="s">
        <v>3201</v>
      </c>
      <c r="S389" t="s">
        <v>13</v>
      </c>
    </row>
    <row r="390" spans="1:19" x14ac:dyDescent="0.3">
      <c r="A390" t="s">
        <v>335</v>
      </c>
      <c r="B390" t="s">
        <v>1596</v>
      </c>
      <c r="C390" t="s">
        <v>1967</v>
      </c>
      <c r="D390" t="s">
        <v>3189</v>
      </c>
      <c r="E390" t="s">
        <v>9</v>
      </c>
      <c r="F390" s="2">
        <v>18</v>
      </c>
      <c r="G390" t="s">
        <v>3206</v>
      </c>
      <c r="H390" t="s">
        <v>18</v>
      </c>
      <c r="I390" t="s">
        <v>11</v>
      </c>
      <c r="J390" t="s">
        <v>3198</v>
      </c>
      <c r="K390" t="s">
        <v>15</v>
      </c>
      <c r="L390" s="2">
        <v>10.1</v>
      </c>
      <c r="M390" t="s">
        <v>3199</v>
      </c>
      <c r="N390">
        <v>0</v>
      </c>
      <c r="O390">
        <v>0</v>
      </c>
      <c r="P390">
        <v>1</v>
      </c>
      <c r="Q390" t="s">
        <v>3200</v>
      </c>
      <c r="R390" t="s">
        <v>3201</v>
      </c>
      <c r="S390" t="s">
        <v>13</v>
      </c>
    </row>
    <row r="391" spans="1:19" x14ac:dyDescent="0.3">
      <c r="A391" t="s">
        <v>336</v>
      </c>
      <c r="B391" t="s">
        <v>1596</v>
      </c>
      <c r="C391" t="s">
        <v>1968</v>
      </c>
      <c r="D391" t="s">
        <v>3189</v>
      </c>
      <c r="E391" t="s">
        <v>9</v>
      </c>
      <c r="F391" s="2">
        <v>34</v>
      </c>
      <c r="G391" t="s">
        <v>3206</v>
      </c>
      <c r="H391" t="s">
        <v>10</v>
      </c>
      <c r="I391" t="s">
        <v>11</v>
      </c>
      <c r="J391" t="s">
        <v>3198</v>
      </c>
      <c r="K391" t="s">
        <v>15</v>
      </c>
      <c r="L391" s="2">
        <v>7.01</v>
      </c>
      <c r="M391" t="s">
        <v>3199</v>
      </c>
      <c r="N391">
        <v>0</v>
      </c>
      <c r="O391">
        <v>0</v>
      </c>
      <c r="P391">
        <v>1</v>
      </c>
      <c r="Q391" t="s">
        <v>3200</v>
      </c>
      <c r="R391" t="s">
        <v>3205</v>
      </c>
      <c r="S391" t="s">
        <v>16</v>
      </c>
    </row>
    <row r="392" spans="1:19" x14ac:dyDescent="0.3">
      <c r="A392" t="s">
        <v>337</v>
      </c>
      <c r="B392" t="s">
        <v>1596</v>
      </c>
      <c r="C392" t="s">
        <v>1969</v>
      </c>
      <c r="D392" t="s">
        <v>3189</v>
      </c>
      <c r="E392" t="s">
        <v>9</v>
      </c>
      <c r="F392" s="2">
        <v>18</v>
      </c>
      <c r="G392" t="s">
        <v>3206</v>
      </c>
      <c r="H392" t="s">
        <v>10</v>
      </c>
      <c r="I392" t="s">
        <v>11</v>
      </c>
      <c r="J392" t="s">
        <v>3198</v>
      </c>
      <c r="K392" t="s">
        <v>23</v>
      </c>
      <c r="L392" s="2">
        <v>7.1510999999999996</v>
      </c>
      <c r="M392" t="s">
        <v>3199</v>
      </c>
      <c r="N392">
        <v>0</v>
      </c>
      <c r="O392">
        <v>0</v>
      </c>
      <c r="P392">
        <v>1</v>
      </c>
      <c r="Q392" t="s">
        <v>3200</v>
      </c>
      <c r="R392" t="s">
        <v>3201</v>
      </c>
      <c r="S392" t="s">
        <v>13</v>
      </c>
    </row>
    <row r="393" spans="1:19" x14ac:dyDescent="0.3">
      <c r="A393" t="s">
        <v>338</v>
      </c>
      <c r="B393" t="s">
        <v>1600</v>
      </c>
      <c r="C393" t="s">
        <v>1970</v>
      </c>
      <c r="D393" t="s">
        <v>3190</v>
      </c>
      <c r="E393" t="s">
        <v>14</v>
      </c>
      <c r="F393" s="2">
        <v>48</v>
      </c>
      <c r="G393" t="s">
        <v>3197</v>
      </c>
      <c r="H393" t="s">
        <v>25</v>
      </c>
      <c r="I393" t="s">
        <v>19</v>
      </c>
      <c r="J393" t="s">
        <v>3207</v>
      </c>
      <c r="K393" t="s">
        <v>12</v>
      </c>
      <c r="L393" s="2">
        <v>31.130800000000001</v>
      </c>
      <c r="M393" t="s">
        <v>3203</v>
      </c>
      <c r="N393">
        <v>0</v>
      </c>
      <c r="O393">
        <v>0</v>
      </c>
      <c r="P393">
        <v>1</v>
      </c>
      <c r="Q393" t="s">
        <v>3200</v>
      </c>
      <c r="R393" t="s">
        <v>3205</v>
      </c>
      <c r="S393" t="s">
        <v>16</v>
      </c>
    </row>
    <row r="394" spans="1:19" x14ac:dyDescent="0.3">
      <c r="A394" t="s">
        <v>339</v>
      </c>
      <c r="B394" t="s">
        <v>1602</v>
      </c>
      <c r="C394" t="s">
        <v>1971</v>
      </c>
      <c r="D394" t="s">
        <v>3190</v>
      </c>
      <c r="E394" t="s">
        <v>14</v>
      </c>
      <c r="F394" s="2">
        <v>22</v>
      </c>
      <c r="G394" t="s">
        <v>3206</v>
      </c>
      <c r="H394" t="s">
        <v>10</v>
      </c>
      <c r="I394" t="s">
        <v>36</v>
      </c>
      <c r="J394" t="s">
        <v>3213</v>
      </c>
      <c r="K394" t="s">
        <v>37</v>
      </c>
      <c r="L394" s="2">
        <v>7.15</v>
      </c>
      <c r="M394" t="s">
        <v>3199</v>
      </c>
      <c r="N394">
        <v>0</v>
      </c>
      <c r="O394">
        <v>0</v>
      </c>
      <c r="P394">
        <v>1</v>
      </c>
      <c r="Q394" t="s">
        <v>3200</v>
      </c>
      <c r="R394" t="s">
        <v>3201</v>
      </c>
      <c r="S394" t="s">
        <v>13</v>
      </c>
    </row>
    <row r="395" spans="1:19" x14ac:dyDescent="0.3">
      <c r="A395" t="s">
        <v>339</v>
      </c>
      <c r="B395" t="s">
        <v>1602</v>
      </c>
      <c r="C395" t="s">
        <v>1759</v>
      </c>
      <c r="D395" t="s">
        <v>3190</v>
      </c>
      <c r="E395" t="s">
        <v>14</v>
      </c>
      <c r="F395" s="2">
        <v>42</v>
      </c>
      <c r="G395" t="s">
        <v>3197</v>
      </c>
      <c r="H395" t="s">
        <v>25</v>
      </c>
      <c r="I395" t="s">
        <v>19</v>
      </c>
      <c r="J395" t="s">
        <v>3207</v>
      </c>
      <c r="K395" t="s">
        <v>12</v>
      </c>
      <c r="L395" s="2">
        <v>110.1708</v>
      </c>
      <c r="M395" t="s">
        <v>3209</v>
      </c>
      <c r="N395">
        <v>0</v>
      </c>
      <c r="O395">
        <v>0</v>
      </c>
      <c r="P395">
        <v>1</v>
      </c>
      <c r="Q395" t="s">
        <v>3200</v>
      </c>
      <c r="R395" t="s">
        <v>3205</v>
      </c>
      <c r="S395" t="s">
        <v>16</v>
      </c>
    </row>
    <row r="396" spans="1:19" x14ac:dyDescent="0.3">
      <c r="A396" t="s">
        <v>340</v>
      </c>
      <c r="B396" t="s">
        <v>1596</v>
      </c>
      <c r="C396" t="s">
        <v>1965</v>
      </c>
      <c r="D396" t="s">
        <v>3189</v>
      </c>
      <c r="E396" t="s">
        <v>9</v>
      </c>
      <c r="F396" s="2">
        <v>28</v>
      </c>
      <c r="G396" t="s">
        <v>3206</v>
      </c>
      <c r="H396" t="s">
        <v>10</v>
      </c>
      <c r="I396" t="s">
        <v>36</v>
      </c>
      <c r="J396" t="s">
        <v>3213</v>
      </c>
      <c r="K396" t="s">
        <v>37</v>
      </c>
      <c r="L396" s="2">
        <v>7.15</v>
      </c>
      <c r="M396" t="s">
        <v>3199</v>
      </c>
      <c r="N396">
        <v>0</v>
      </c>
      <c r="O396">
        <v>0</v>
      </c>
      <c r="P396">
        <v>1</v>
      </c>
      <c r="Q396" t="s">
        <v>3200</v>
      </c>
      <c r="R396" t="s">
        <v>3201</v>
      </c>
      <c r="S396" t="s">
        <v>13</v>
      </c>
    </row>
    <row r="397" spans="1:19" x14ac:dyDescent="0.3">
      <c r="A397" t="s">
        <v>340</v>
      </c>
      <c r="B397" t="s">
        <v>1596</v>
      </c>
      <c r="C397" t="s">
        <v>1610</v>
      </c>
      <c r="D397" t="s">
        <v>3189</v>
      </c>
      <c r="E397" t="s">
        <v>9</v>
      </c>
      <c r="F397" s="2">
        <v>48</v>
      </c>
      <c r="G397" t="s">
        <v>3197</v>
      </c>
      <c r="H397" t="s">
        <v>10</v>
      </c>
      <c r="I397" t="s">
        <v>36</v>
      </c>
      <c r="J397" t="s">
        <v>3213</v>
      </c>
      <c r="K397" t="s">
        <v>37</v>
      </c>
      <c r="L397" s="2">
        <v>6.19</v>
      </c>
      <c r="M397" t="s">
        <v>3199</v>
      </c>
      <c r="N397">
        <v>0</v>
      </c>
      <c r="O397">
        <v>0</v>
      </c>
      <c r="P397">
        <v>1</v>
      </c>
      <c r="Q397" t="s">
        <v>3200</v>
      </c>
      <c r="R397" t="s">
        <v>3201</v>
      </c>
      <c r="S397" t="s">
        <v>13</v>
      </c>
    </row>
    <row r="398" spans="1:19" x14ac:dyDescent="0.3">
      <c r="A398" t="s">
        <v>340</v>
      </c>
      <c r="B398" t="s">
        <v>1596</v>
      </c>
      <c r="C398" t="s">
        <v>1972</v>
      </c>
      <c r="D398" t="s">
        <v>3189</v>
      </c>
      <c r="E398" t="s">
        <v>9</v>
      </c>
      <c r="F398" s="2">
        <v>36</v>
      </c>
      <c r="G398" t="s">
        <v>3197</v>
      </c>
      <c r="H398" t="s">
        <v>25</v>
      </c>
      <c r="I398" t="s">
        <v>11</v>
      </c>
      <c r="J398" t="s">
        <v>3198</v>
      </c>
      <c r="K398" t="s">
        <v>26</v>
      </c>
      <c r="L398" s="2">
        <v>26.050899999999999</v>
      </c>
      <c r="M398" t="s">
        <v>3203</v>
      </c>
      <c r="N398">
        <v>0</v>
      </c>
      <c r="O398">
        <v>0</v>
      </c>
      <c r="P398">
        <v>1</v>
      </c>
      <c r="Q398" t="s">
        <v>3200</v>
      </c>
      <c r="R398" t="s">
        <v>3205</v>
      </c>
      <c r="S398" t="s">
        <v>16</v>
      </c>
    </row>
    <row r="399" spans="1:19" x14ac:dyDescent="0.3">
      <c r="A399" t="s">
        <v>341</v>
      </c>
      <c r="B399" t="s">
        <v>1596</v>
      </c>
      <c r="C399" t="s">
        <v>1795</v>
      </c>
      <c r="D399" t="s">
        <v>3189</v>
      </c>
      <c r="E399" t="s">
        <v>9</v>
      </c>
      <c r="F399" s="2">
        <v>19</v>
      </c>
      <c r="G399" t="s">
        <v>3206</v>
      </c>
      <c r="H399" t="s">
        <v>10</v>
      </c>
      <c r="I399" t="s">
        <v>36</v>
      </c>
      <c r="J399" t="s">
        <v>3213</v>
      </c>
      <c r="K399" t="s">
        <v>37</v>
      </c>
      <c r="L399" s="2">
        <v>7.1707000000000001</v>
      </c>
      <c r="M399" t="s">
        <v>3199</v>
      </c>
      <c r="N399">
        <v>0</v>
      </c>
      <c r="O399">
        <v>0</v>
      </c>
      <c r="P399">
        <v>1</v>
      </c>
      <c r="Q399" t="s">
        <v>3200</v>
      </c>
      <c r="R399" t="s">
        <v>3201</v>
      </c>
      <c r="S399" t="s">
        <v>13</v>
      </c>
    </row>
    <row r="400" spans="1:19" x14ac:dyDescent="0.3">
      <c r="A400" t="s">
        <v>341</v>
      </c>
      <c r="B400" t="s">
        <v>1596</v>
      </c>
      <c r="C400" t="s">
        <v>1619</v>
      </c>
      <c r="D400" t="s">
        <v>3189</v>
      </c>
      <c r="E400" t="s">
        <v>9</v>
      </c>
      <c r="F400" s="2">
        <v>20</v>
      </c>
      <c r="G400" t="s">
        <v>3206</v>
      </c>
      <c r="H400" t="s">
        <v>10</v>
      </c>
      <c r="I400" t="s">
        <v>36</v>
      </c>
      <c r="J400" t="s">
        <v>3213</v>
      </c>
      <c r="K400" t="s">
        <v>37</v>
      </c>
      <c r="L400" s="2">
        <v>7.15</v>
      </c>
      <c r="M400" t="s">
        <v>3199</v>
      </c>
      <c r="N400">
        <v>0</v>
      </c>
      <c r="O400">
        <v>0</v>
      </c>
      <c r="P400">
        <v>1</v>
      </c>
      <c r="Q400" t="s">
        <v>3200</v>
      </c>
      <c r="R400" t="s">
        <v>3201</v>
      </c>
      <c r="S400" t="s">
        <v>13</v>
      </c>
    </row>
    <row r="401" spans="1:19" x14ac:dyDescent="0.3">
      <c r="A401" t="s">
        <v>342</v>
      </c>
      <c r="B401" t="s">
        <v>1596</v>
      </c>
      <c r="C401" t="s">
        <v>1973</v>
      </c>
      <c r="D401" t="s">
        <v>3189</v>
      </c>
      <c r="E401" t="s">
        <v>9</v>
      </c>
      <c r="F401" s="2">
        <v>32</v>
      </c>
      <c r="G401" t="s">
        <v>3206</v>
      </c>
      <c r="H401" t="s">
        <v>10</v>
      </c>
      <c r="I401" t="s">
        <v>11</v>
      </c>
      <c r="J401" t="s">
        <v>3198</v>
      </c>
      <c r="K401" t="s">
        <v>15</v>
      </c>
      <c r="L401" s="2">
        <v>56.091099999999997</v>
      </c>
      <c r="M401" t="s">
        <v>3211</v>
      </c>
      <c r="N401">
        <v>0</v>
      </c>
      <c r="O401">
        <v>0</v>
      </c>
      <c r="P401">
        <v>1</v>
      </c>
      <c r="Q401" t="s">
        <v>3200</v>
      </c>
      <c r="R401" t="s">
        <v>3205</v>
      </c>
      <c r="S401" t="s">
        <v>16</v>
      </c>
    </row>
    <row r="402" spans="1:19" x14ac:dyDescent="0.3">
      <c r="A402" t="s">
        <v>343</v>
      </c>
      <c r="B402" t="s">
        <v>1602</v>
      </c>
      <c r="C402" t="s">
        <v>1974</v>
      </c>
      <c r="D402" t="s">
        <v>3190</v>
      </c>
      <c r="E402" t="s">
        <v>14</v>
      </c>
      <c r="F402" s="2">
        <v>20</v>
      </c>
      <c r="G402" t="s">
        <v>3206</v>
      </c>
      <c r="H402" t="s">
        <v>10</v>
      </c>
      <c r="I402" t="s">
        <v>11</v>
      </c>
      <c r="J402" t="s">
        <v>3198</v>
      </c>
      <c r="K402" t="s">
        <v>15</v>
      </c>
      <c r="L402" s="2">
        <v>34.070599999999999</v>
      </c>
      <c r="M402" t="s">
        <v>3203</v>
      </c>
      <c r="N402">
        <v>2</v>
      </c>
      <c r="O402">
        <v>2</v>
      </c>
      <c r="P402">
        <v>5</v>
      </c>
      <c r="Q402" t="s">
        <v>3204</v>
      </c>
      <c r="R402" t="s">
        <v>3201</v>
      </c>
      <c r="S402" t="s">
        <v>13</v>
      </c>
    </row>
    <row r="403" spans="1:19" x14ac:dyDescent="0.3">
      <c r="A403" t="s">
        <v>343</v>
      </c>
      <c r="B403" t="s">
        <v>1602</v>
      </c>
      <c r="C403" t="s">
        <v>1975</v>
      </c>
      <c r="D403" t="s">
        <v>3190</v>
      </c>
      <c r="E403" t="s">
        <v>14</v>
      </c>
      <c r="F403" s="2">
        <v>7</v>
      </c>
      <c r="G403" t="s">
        <v>3208</v>
      </c>
      <c r="H403" t="s">
        <v>10</v>
      </c>
      <c r="I403" t="s">
        <v>11</v>
      </c>
      <c r="J403" t="s">
        <v>3198</v>
      </c>
      <c r="K403" t="s">
        <v>15</v>
      </c>
      <c r="L403" s="2">
        <v>34.070599999999999</v>
      </c>
      <c r="M403" t="s">
        <v>3203</v>
      </c>
      <c r="N403">
        <v>2</v>
      </c>
      <c r="O403">
        <v>2</v>
      </c>
      <c r="P403">
        <v>5</v>
      </c>
      <c r="Q403" t="s">
        <v>3204</v>
      </c>
      <c r="R403" t="s">
        <v>3201</v>
      </c>
      <c r="S403" t="s">
        <v>13</v>
      </c>
    </row>
    <row r="404" spans="1:19" x14ac:dyDescent="0.3">
      <c r="A404" t="s">
        <v>343</v>
      </c>
      <c r="B404" t="s">
        <v>1596</v>
      </c>
      <c r="C404" t="s">
        <v>1976</v>
      </c>
      <c r="D404" t="s">
        <v>3189</v>
      </c>
      <c r="E404" t="s">
        <v>9</v>
      </c>
      <c r="F404" s="2">
        <v>23</v>
      </c>
      <c r="G404" t="s">
        <v>3206</v>
      </c>
      <c r="H404" t="s">
        <v>10</v>
      </c>
      <c r="I404" t="s">
        <v>11</v>
      </c>
      <c r="J404" t="s">
        <v>3198</v>
      </c>
      <c r="K404" t="s">
        <v>15</v>
      </c>
      <c r="L404" s="2">
        <v>8.01</v>
      </c>
      <c r="M404" t="s">
        <v>3199</v>
      </c>
      <c r="N404">
        <v>0</v>
      </c>
      <c r="O404">
        <v>0</v>
      </c>
      <c r="P404">
        <v>1</v>
      </c>
      <c r="Q404" t="s">
        <v>3200</v>
      </c>
      <c r="R404" t="s">
        <v>3201</v>
      </c>
      <c r="S404" t="s">
        <v>13</v>
      </c>
    </row>
    <row r="405" spans="1:19" x14ac:dyDescent="0.3">
      <c r="A405" t="s">
        <v>343</v>
      </c>
      <c r="B405" t="s">
        <v>1596</v>
      </c>
      <c r="C405" t="s">
        <v>1977</v>
      </c>
      <c r="D405" t="s">
        <v>3189</v>
      </c>
      <c r="E405" t="s">
        <v>9</v>
      </c>
      <c r="F405" s="2">
        <v>18</v>
      </c>
      <c r="G405" t="s">
        <v>3206</v>
      </c>
      <c r="H405" t="s">
        <v>10</v>
      </c>
      <c r="I405" t="s">
        <v>11</v>
      </c>
      <c r="J405" t="s">
        <v>3198</v>
      </c>
      <c r="K405" t="s">
        <v>15</v>
      </c>
      <c r="L405" s="2">
        <v>34.070599999999999</v>
      </c>
      <c r="M405" t="s">
        <v>3203</v>
      </c>
      <c r="N405">
        <v>2</v>
      </c>
      <c r="O405">
        <v>2</v>
      </c>
      <c r="P405">
        <v>5</v>
      </c>
      <c r="Q405" t="s">
        <v>3204</v>
      </c>
      <c r="R405" t="s">
        <v>3201</v>
      </c>
      <c r="S405" t="s">
        <v>13</v>
      </c>
    </row>
    <row r="406" spans="1:19" x14ac:dyDescent="0.3">
      <c r="A406" t="s">
        <v>343</v>
      </c>
      <c r="B406" t="s">
        <v>1600</v>
      </c>
      <c r="C406" t="s">
        <v>1978</v>
      </c>
      <c r="D406" t="s">
        <v>3190</v>
      </c>
      <c r="E406" t="s">
        <v>14</v>
      </c>
      <c r="F406" s="2">
        <v>54</v>
      </c>
      <c r="G406" t="s">
        <v>3197</v>
      </c>
      <c r="H406" t="s">
        <v>10</v>
      </c>
      <c r="I406" t="s">
        <v>11</v>
      </c>
      <c r="J406" t="s">
        <v>3198</v>
      </c>
      <c r="K406" t="s">
        <v>43</v>
      </c>
      <c r="L406" s="2">
        <v>34.070599999999999</v>
      </c>
      <c r="M406" t="s">
        <v>3203</v>
      </c>
      <c r="N406">
        <v>1</v>
      </c>
      <c r="O406">
        <v>3</v>
      </c>
      <c r="P406">
        <v>5</v>
      </c>
      <c r="Q406" t="s">
        <v>3204</v>
      </c>
      <c r="R406" t="s">
        <v>3201</v>
      </c>
      <c r="S406" t="s">
        <v>13</v>
      </c>
    </row>
    <row r="407" spans="1:19" x14ac:dyDescent="0.3">
      <c r="A407" t="s">
        <v>343</v>
      </c>
      <c r="B407" t="s">
        <v>1596</v>
      </c>
      <c r="C407" t="s">
        <v>1979</v>
      </c>
      <c r="D407" t="s">
        <v>3189</v>
      </c>
      <c r="E407" t="s">
        <v>9</v>
      </c>
      <c r="F407" s="2">
        <v>14</v>
      </c>
      <c r="G407" t="s">
        <v>3202</v>
      </c>
      <c r="H407" t="s">
        <v>10</v>
      </c>
      <c r="I407" t="s">
        <v>11</v>
      </c>
      <c r="J407" t="s">
        <v>3198</v>
      </c>
      <c r="K407" t="s">
        <v>15</v>
      </c>
      <c r="L407" s="2">
        <v>34.070599999999999</v>
      </c>
      <c r="M407" t="s">
        <v>3203</v>
      </c>
      <c r="N407">
        <v>1</v>
      </c>
      <c r="O407">
        <v>3</v>
      </c>
      <c r="P407">
        <v>5</v>
      </c>
      <c r="Q407" t="s">
        <v>3204</v>
      </c>
      <c r="R407" t="s">
        <v>3201</v>
      </c>
      <c r="S407" t="s">
        <v>13</v>
      </c>
    </row>
    <row r="408" spans="1:19" x14ac:dyDescent="0.3">
      <c r="A408" t="s">
        <v>344</v>
      </c>
      <c r="B408" t="s">
        <v>1596</v>
      </c>
      <c r="C408" t="s">
        <v>1980</v>
      </c>
      <c r="D408" t="s">
        <v>3189</v>
      </c>
      <c r="E408" t="s">
        <v>9</v>
      </c>
      <c r="F408" s="2">
        <v>30</v>
      </c>
      <c r="G408" t="s">
        <v>3206</v>
      </c>
      <c r="H408" t="s">
        <v>25</v>
      </c>
      <c r="I408" t="s">
        <v>11</v>
      </c>
      <c r="J408" t="s">
        <v>3198</v>
      </c>
      <c r="K408" t="s">
        <v>12</v>
      </c>
      <c r="L408" s="2">
        <v>27.15</v>
      </c>
      <c r="M408" t="s">
        <v>3203</v>
      </c>
      <c r="N408">
        <v>0</v>
      </c>
      <c r="O408">
        <v>0</v>
      </c>
      <c r="P408">
        <v>1</v>
      </c>
      <c r="Q408" t="s">
        <v>3200</v>
      </c>
      <c r="R408" t="s">
        <v>3201</v>
      </c>
      <c r="S408" t="s">
        <v>13</v>
      </c>
    </row>
    <row r="409" spans="1:19" x14ac:dyDescent="0.3">
      <c r="A409" t="s">
        <v>345</v>
      </c>
      <c r="B409" t="s">
        <v>1602</v>
      </c>
      <c r="C409" t="s">
        <v>1981</v>
      </c>
      <c r="D409" t="s">
        <v>3190</v>
      </c>
      <c r="E409" t="s">
        <v>14</v>
      </c>
      <c r="F409" s="2">
        <v>24</v>
      </c>
      <c r="G409" t="s">
        <v>3206</v>
      </c>
      <c r="H409" t="s">
        <v>25</v>
      </c>
      <c r="I409" t="s">
        <v>11</v>
      </c>
      <c r="J409" t="s">
        <v>3198</v>
      </c>
      <c r="K409" t="s">
        <v>26</v>
      </c>
      <c r="L409" s="2">
        <v>263</v>
      </c>
      <c r="M409" t="s">
        <v>3209</v>
      </c>
      <c r="N409">
        <v>3</v>
      </c>
      <c r="O409">
        <v>2</v>
      </c>
      <c r="P409">
        <v>6</v>
      </c>
      <c r="Q409" t="s">
        <v>3204</v>
      </c>
      <c r="R409" t="s">
        <v>3205</v>
      </c>
      <c r="S409" t="s">
        <v>16</v>
      </c>
    </row>
    <row r="410" spans="1:19" x14ac:dyDescent="0.3">
      <c r="A410" t="s">
        <v>345</v>
      </c>
      <c r="B410" t="s">
        <v>1602</v>
      </c>
      <c r="C410" t="s">
        <v>1982</v>
      </c>
      <c r="D410" t="s">
        <v>3190</v>
      </c>
      <c r="E410" t="s">
        <v>14</v>
      </c>
      <c r="F410" s="2">
        <v>28</v>
      </c>
      <c r="G410" t="s">
        <v>3206</v>
      </c>
      <c r="H410" t="s">
        <v>25</v>
      </c>
      <c r="I410" t="s">
        <v>11</v>
      </c>
      <c r="J410" t="s">
        <v>3198</v>
      </c>
      <c r="K410" t="s">
        <v>26</v>
      </c>
      <c r="L410" s="2">
        <v>263</v>
      </c>
      <c r="M410" t="s">
        <v>3209</v>
      </c>
      <c r="N410">
        <v>3</v>
      </c>
      <c r="O410">
        <v>2</v>
      </c>
      <c r="P410">
        <v>6</v>
      </c>
      <c r="Q410" t="s">
        <v>3204</v>
      </c>
      <c r="R410" t="s">
        <v>3205</v>
      </c>
      <c r="S410" t="s">
        <v>16</v>
      </c>
    </row>
    <row r="411" spans="1:19" x14ac:dyDescent="0.3">
      <c r="A411" t="s">
        <v>345</v>
      </c>
      <c r="B411" t="s">
        <v>1602</v>
      </c>
      <c r="C411" t="s">
        <v>1983</v>
      </c>
      <c r="D411" t="s">
        <v>3190</v>
      </c>
      <c r="E411" t="s">
        <v>14</v>
      </c>
      <c r="F411" s="2">
        <v>23</v>
      </c>
      <c r="G411" t="s">
        <v>3206</v>
      </c>
      <c r="H411" t="s">
        <v>25</v>
      </c>
      <c r="I411" t="s">
        <v>11</v>
      </c>
      <c r="J411" t="s">
        <v>3198</v>
      </c>
      <c r="K411" t="s">
        <v>26</v>
      </c>
      <c r="L411" s="2">
        <v>263</v>
      </c>
      <c r="M411" t="s">
        <v>3209</v>
      </c>
      <c r="N411">
        <v>3</v>
      </c>
      <c r="O411">
        <v>2</v>
      </c>
      <c r="P411">
        <v>6</v>
      </c>
      <c r="Q411" t="s">
        <v>3204</v>
      </c>
      <c r="R411" t="s">
        <v>3205</v>
      </c>
      <c r="S411" t="s">
        <v>16</v>
      </c>
    </row>
    <row r="412" spans="1:19" x14ac:dyDescent="0.3">
      <c r="A412" t="s">
        <v>345</v>
      </c>
      <c r="B412" t="s">
        <v>1596</v>
      </c>
      <c r="C412" t="s">
        <v>1984</v>
      </c>
      <c r="D412" t="s">
        <v>3189</v>
      </c>
      <c r="E412" t="s">
        <v>9</v>
      </c>
      <c r="F412" s="2">
        <v>19</v>
      </c>
      <c r="G412" t="s">
        <v>3206</v>
      </c>
      <c r="H412" t="s">
        <v>25</v>
      </c>
      <c r="I412" t="s">
        <v>11</v>
      </c>
      <c r="J412" t="s">
        <v>3198</v>
      </c>
      <c r="K412" t="s">
        <v>26</v>
      </c>
      <c r="L412" s="2">
        <v>263</v>
      </c>
      <c r="M412" t="s">
        <v>3209</v>
      </c>
      <c r="N412">
        <v>3</v>
      </c>
      <c r="O412">
        <v>2</v>
      </c>
      <c r="P412">
        <v>6</v>
      </c>
      <c r="Q412" t="s">
        <v>3204</v>
      </c>
      <c r="R412" t="s">
        <v>3201</v>
      </c>
      <c r="S412" t="s">
        <v>13</v>
      </c>
    </row>
    <row r="413" spans="1:19" x14ac:dyDescent="0.3">
      <c r="A413" t="s">
        <v>345</v>
      </c>
      <c r="B413" t="s">
        <v>1596</v>
      </c>
      <c r="C413" t="s">
        <v>1985</v>
      </c>
      <c r="D413" t="s">
        <v>3189</v>
      </c>
      <c r="E413" t="s">
        <v>9</v>
      </c>
      <c r="F413" s="2">
        <v>64</v>
      </c>
      <c r="G413" t="s">
        <v>3210</v>
      </c>
      <c r="H413" t="s">
        <v>25</v>
      </c>
      <c r="I413" t="s">
        <v>11</v>
      </c>
      <c r="J413" t="s">
        <v>3198</v>
      </c>
      <c r="K413" t="s">
        <v>26</v>
      </c>
      <c r="L413" s="2">
        <v>263</v>
      </c>
      <c r="M413" t="s">
        <v>3209</v>
      </c>
      <c r="N413">
        <v>1</v>
      </c>
      <c r="O413">
        <v>4</v>
      </c>
      <c r="P413">
        <v>6</v>
      </c>
      <c r="Q413" t="s">
        <v>3204</v>
      </c>
      <c r="R413" t="s">
        <v>3201</v>
      </c>
      <c r="S413" t="s">
        <v>13</v>
      </c>
    </row>
    <row r="414" spans="1:19" x14ac:dyDescent="0.3">
      <c r="A414" t="s">
        <v>345</v>
      </c>
      <c r="B414" t="s">
        <v>1600</v>
      </c>
      <c r="C414" t="s">
        <v>1734</v>
      </c>
      <c r="D414" t="s">
        <v>3190</v>
      </c>
      <c r="E414" t="s">
        <v>14</v>
      </c>
      <c r="F414" s="2">
        <v>60</v>
      </c>
      <c r="G414" t="s">
        <v>3210</v>
      </c>
      <c r="H414" t="s">
        <v>25</v>
      </c>
      <c r="I414" t="s">
        <v>11</v>
      </c>
      <c r="J414" t="s">
        <v>3198</v>
      </c>
      <c r="K414" t="s">
        <v>26</v>
      </c>
      <c r="L414" s="2">
        <v>263</v>
      </c>
      <c r="M414" t="s">
        <v>3209</v>
      </c>
      <c r="N414">
        <v>1</v>
      </c>
      <c r="O414">
        <v>4</v>
      </c>
      <c r="P414">
        <v>6</v>
      </c>
      <c r="Q414" t="s">
        <v>3204</v>
      </c>
      <c r="R414" t="s">
        <v>3205</v>
      </c>
      <c r="S414" t="s">
        <v>16</v>
      </c>
    </row>
    <row r="415" spans="1:19" x14ac:dyDescent="0.3">
      <c r="A415" t="s">
        <v>346</v>
      </c>
      <c r="B415" t="s">
        <v>1596</v>
      </c>
      <c r="C415" t="s">
        <v>1792</v>
      </c>
      <c r="D415" t="s">
        <v>3189</v>
      </c>
      <c r="E415" t="s">
        <v>9</v>
      </c>
      <c r="F415" s="2">
        <v>28</v>
      </c>
      <c r="G415" t="s">
        <v>3206</v>
      </c>
      <c r="H415" t="s">
        <v>10</v>
      </c>
      <c r="I415" t="s">
        <v>36</v>
      </c>
      <c r="J415" t="s">
        <v>3213</v>
      </c>
      <c r="K415" t="s">
        <v>37</v>
      </c>
      <c r="L415" s="2">
        <v>7.15</v>
      </c>
      <c r="M415" t="s">
        <v>3199</v>
      </c>
      <c r="N415">
        <v>0</v>
      </c>
      <c r="O415">
        <v>0</v>
      </c>
      <c r="P415">
        <v>1</v>
      </c>
      <c r="Q415" t="s">
        <v>3200</v>
      </c>
      <c r="R415" t="s">
        <v>3201</v>
      </c>
      <c r="S415" t="s">
        <v>13</v>
      </c>
    </row>
    <row r="416" spans="1:19" x14ac:dyDescent="0.3">
      <c r="A416" t="s">
        <v>346</v>
      </c>
      <c r="B416" t="s">
        <v>1596</v>
      </c>
      <c r="C416" t="s">
        <v>1986</v>
      </c>
      <c r="D416" t="s">
        <v>3189</v>
      </c>
      <c r="E416" t="s">
        <v>9</v>
      </c>
      <c r="F416" s="2">
        <v>38</v>
      </c>
      <c r="G416" t="s">
        <v>3197</v>
      </c>
      <c r="H416" t="s">
        <v>18</v>
      </c>
      <c r="I416" t="s">
        <v>11</v>
      </c>
      <c r="J416" t="s">
        <v>3198</v>
      </c>
      <c r="K416" t="s">
        <v>12</v>
      </c>
      <c r="L416" s="2">
        <v>13</v>
      </c>
      <c r="M416" t="s">
        <v>3199</v>
      </c>
      <c r="N416">
        <v>0</v>
      </c>
      <c r="O416">
        <v>0</v>
      </c>
      <c r="P416">
        <v>1</v>
      </c>
      <c r="Q416" t="s">
        <v>3200</v>
      </c>
      <c r="R416" t="s">
        <v>3201</v>
      </c>
      <c r="S416" t="s">
        <v>13</v>
      </c>
    </row>
    <row r="417" spans="1:19" x14ac:dyDescent="0.3">
      <c r="A417" t="s">
        <v>347</v>
      </c>
      <c r="B417" t="s">
        <v>1602</v>
      </c>
      <c r="C417" t="s">
        <v>1987</v>
      </c>
      <c r="D417" t="s">
        <v>3190</v>
      </c>
      <c r="E417" t="s">
        <v>14</v>
      </c>
      <c r="F417" s="2">
        <v>32</v>
      </c>
      <c r="G417" t="s">
        <v>3206</v>
      </c>
      <c r="H417" t="s">
        <v>25</v>
      </c>
      <c r="I417" t="s">
        <v>19</v>
      </c>
      <c r="J417" t="s">
        <v>3207</v>
      </c>
      <c r="K417" t="s">
        <v>15</v>
      </c>
      <c r="L417" s="2">
        <v>56.180700000000002</v>
      </c>
      <c r="M417" t="s">
        <v>3211</v>
      </c>
      <c r="N417">
        <v>0</v>
      </c>
      <c r="O417">
        <v>0</v>
      </c>
      <c r="P417">
        <v>1</v>
      </c>
      <c r="Q417" t="s">
        <v>3200</v>
      </c>
      <c r="R417" t="s">
        <v>3205</v>
      </c>
      <c r="S417" t="s">
        <v>16</v>
      </c>
    </row>
    <row r="418" spans="1:19" x14ac:dyDescent="0.3">
      <c r="A418" t="s">
        <v>348</v>
      </c>
      <c r="B418" t="s">
        <v>1596</v>
      </c>
      <c r="C418" t="s">
        <v>1988</v>
      </c>
      <c r="D418" t="s">
        <v>3189</v>
      </c>
      <c r="E418" t="s">
        <v>9</v>
      </c>
      <c r="F418" s="2">
        <v>37</v>
      </c>
      <c r="G418" t="s">
        <v>3197</v>
      </c>
      <c r="H418" t="s">
        <v>25</v>
      </c>
      <c r="I418" t="s">
        <v>11</v>
      </c>
      <c r="J418" t="s">
        <v>3198</v>
      </c>
      <c r="K418" t="s">
        <v>15</v>
      </c>
      <c r="L418" s="2">
        <v>26.11</v>
      </c>
      <c r="M418" t="s">
        <v>3203</v>
      </c>
      <c r="N418">
        <v>0</v>
      </c>
      <c r="O418">
        <v>0</v>
      </c>
      <c r="P418">
        <v>1</v>
      </c>
      <c r="Q418" t="s">
        <v>3200</v>
      </c>
      <c r="R418" t="s">
        <v>3201</v>
      </c>
      <c r="S418" t="s">
        <v>13</v>
      </c>
    </row>
    <row r="419" spans="1:19" x14ac:dyDescent="0.3">
      <c r="A419" t="s">
        <v>349</v>
      </c>
      <c r="B419" t="s">
        <v>1749</v>
      </c>
      <c r="C419" t="s">
        <v>1989</v>
      </c>
      <c r="D419" t="s">
        <v>3189</v>
      </c>
      <c r="E419" t="s">
        <v>9</v>
      </c>
      <c r="F419" s="2">
        <v>49</v>
      </c>
      <c r="G419" t="s">
        <v>3197</v>
      </c>
      <c r="H419" t="s">
        <v>25</v>
      </c>
      <c r="I419" t="s">
        <v>11</v>
      </c>
      <c r="J419" t="s">
        <v>3198</v>
      </c>
      <c r="K419" t="s">
        <v>12</v>
      </c>
      <c r="L419" s="2">
        <v>133.13</v>
      </c>
      <c r="M419" t="s">
        <v>3209</v>
      </c>
      <c r="N419">
        <v>2</v>
      </c>
      <c r="O419">
        <v>0</v>
      </c>
      <c r="P419">
        <v>3</v>
      </c>
      <c r="Q419" t="s">
        <v>3204</v>
      </c>
      <c r="R419" t="s">
        <v>3205</v>
      </c>
      <c r="S419" t="s">
        <v>16</v>
      </c>
    </row>
    <row r="420" spans="1:19" x14ac:dyDescent="0.3">
      <c r="A420" t="s">
        <v>349</v>
      </c>
      <c r="B420" t="s">
        <v>1596</v>
      </c>
      <c r="C420" t="s">
        <v>1990</v>
      </c>
      <c r="D420" t="s">
        <v>3189</v>
      </c>
      <c r="E420" t="s">
        <v>9</v>
      </c>
      <c r="F420" s="2">
        <v>43</v>
      </c>
      <c r="G420" t="s">
        <v>3197</v>
      </c>
      <c r="H420" t="s">
        <v>25</v>
      </c>
      <c r="I420" t="s">
        <v>19</v>
      </c>
      <c r="J420" t="s">
        <v>3207</v>
      </c>
      <c r="K420" t="s">
        <v>12</v>
      </c>
      <c r="L420" s="2">
        <v>27.140499999999999</v>
      </c>
      <c r="M420" t="s">
        <v>3203</v>
      </c>
      <c r="N420">
        <v>1</v>
      </c>
      <c r="O420">
        <v>0</v>
      </c>
      <c r="P420">
        <v>2</v>
      </c>
      <c r="Q420" t="s">
        <v>3204</v>
      </c>
      <c r="R420" t="s">
        <v>3205</v>
      </c>
      <c r="S420" t="s">
        <v>16</v>
      </c>
    </row>
    <row r="421" spans="1:19" x14ac:dyDescent="0.3">
      <c r="A421" t="s">
        <v>349</v>
      </c>
      <c r="B421" t="s">
        <v>1600</v>
      </c>
      <c r="C421" t="s">
        <v>1991</v>
      </c>
      <c r="D421" t="s">
        <v>3190</v>
      </c>
      <c r="E421" t="s">
        <v>14</v>
      </c>
      <c r="F421" s="2">
        <v>42</v>
      </c>
      <c r="G421" t="s">
        <v>3197</v>
      </c>
      <c r="H421" t="s">
        <v>25</v>
      </c>
      <c r="I421" t="s">
        <v>11</v>
      </c>
      <c r="J421" t="s">
        <v>3198</v>
      </c>
      <c r="K421" t="s">
        <v>12</v>
      </c>
      <c r="L421" s="2">
        <v>133.13</v>
      </c>
      <c r="M421" t="s">
        <v>3209</v>
      </c>
      <c r="N421">
        <v>1</v>
      </c>
      <c r="O421">
        <v>0</v>
      </c>
      <c r="P421">
        <v>2</v>
      </c>
      <c r="Q421" t="s">
        <v>3204</v>
      </c>
      <c r="R421" t="s">
        <v>3205</v>
      </c>
      <c r="S421" t="s">
        <v>16</v>
      </c>
    </row>
    <row r="422" spans="1:19" x14ac:dyDescent="0.3">
      <c r="A422" t="s">
        <v>350</v>
      </c>
      <c r="B422" t="s">
        <v>1602</v>
      </c>
      <c r="C422" t="s">
        <v>1992</v>
      </c>
      <c r="D422" t="s">
        <v>3190</v>
      </c>
      <c r="E422" t="s">
        <v>14</v>
      </c>
      <c r="F422" s="2">
        <v>22</v>
      </c>
      <c r="G422" t="s">
        <v>3206</v>
      </c>
      <c r="H422" t="s">
        <v>25</v>
      </c>
      <c r="I422" t="s">
        <v>19</v>
      </c>
      <c r="J422" t="s">
        <v>3207</v>
      </c>
      <c r="K422" t="s">
        <v>32</v>
      </c>
      <c r="L422" s="2">
        <v>49.1</v>
      </c>
      <c r="M422" t="s">
        <v>3211</v>
      </c>
      <c r="N422">
        <v>0</v>
      </c>
      <c r="O422">
        <v>2</v>
      </c>
      <c r="P422">
        <v>3</v>
      </c>
      <c r="Q422" t="s">
        <v>3204</v>
      </c>
      <c r="R422" t="s">
        <v>3205</v>
      </c>
      <c r="S422" t="s">
        <v>16</v>
      </c>
    </row>
    <row r="423" spans="1:19" x14ac:dyDescent="0.3">
      <c r="A423" t="s">
        <v>351</v>
      </c>
      <c r="B423" t="s">
        <v>1596</v>
      </c>
      <c r="C423" t="s">
        <v>1993</v>
      </c>
      <c r="D423" t="s">
        <v>3189</v>
      </c>
      <c r="E423" t="s">
        <v>9</v>
      </c>
      <c r="F423" s="2">
        <v>60</v>
      </c>
      <c r="G423" t="s">
        <v>3210</v>
      </c>
      <c r="H423" t="s">
        <v>25</v>
      </c>
      <c r="I423" t="s">
        <v>19</v>
      </c>
      <c r="J423" t="s">
        <v>3207</v>
      </c>
      <c r="K423" t="s">
        <v>32</v>
      </c>
      <c r="L423" s="2">
        <v>79.040000000000006</v>
      </c>
      <c r="M423" t="s">
        <v>3211</v>
      </c>
      <c r="N423">
        <v>1</v>
      </c>
      <c r="O423">
        <v>1</v>
      </c>
      <c r="P423">
        <v>3</v>
      </c>
      <c r="Q423" t="s">
        <v>3204</v>
      </c>
      <c r="R423" t="s">
        <v>3205</v>
      </c>
      <c r="S423" t="s">
        <v>16</v>
      </c>
    </row>
    <row r="424" spans="1:19" x14ac:dyDescent="0.3">
      <c r="A424" t="s">
        <v>351</v>
      </c>
      <c r="B424" t="s">
        <v>1600</v>
      </c>
      <c r="C424" t="s">
        <v>1994</v>
      </c>
      <c r="D424" t="s">
        <v>3190</v>
      </c>
      <c r="E424" t="s">
        <v>14</v>
      </c>
      <c r="F424" s="2">
        <v>48</v>
      </c>
      <c r="G424" t="s">
        <v>3197</v>
      </c>
      <c r="H424" t="s">
        <v>25</v>
      </c>
      <c r="I424" t="s">
        <v>19</v>
      </c>
      <c r="J424" t="s">
        <v>3207</v>
      </c>
      <c r="K424" t="s">
        <v>32</v>
      </c>
      <c r="L424" s="2">
        <v>79.040000000000006</v>
      </c>
      <c r="M424" t="s">
        <v>3211</v>
      </c>
      <c r="N424">
        <v>1</v>
      </c>
      <c r="O424">
        <v>1</v>
      </c>
      <c r="P424">
        <v>3</v>
      </c>
      <c r="Q424" t="s">
        <v>3204</v>
      </c>
      <c r="R424" t="s">
        <v>3205</v>
      </c>
      <c r="S424" t="s">
        <v>16</v>
      </c>
    </row>
    <row r="425" spans="1:19" x14ac:dyDescent="0.3">
      <c r="A425" t="s">
        <v>352</v>
      </c>
      <c r="B425" t="s">
        <v>1596</v>
      </c>
      <c r="C425" t="s">
        <v>1995</v>
      </c>
      <c r="D425" t="s">
        <v>3189</v>
      </c>
      <c r="E425" t="s">
        <v>9</v>
      </c>
      <c r="F425" s="2">
        <v>39</v>
      </c>
      <c r="G425" t="s">
        <v>3197</v>
      </c>
      <c r="H425" t="s">
        <v>18</v>
      </c>
      <c r="I425" t="s">
        <v>28</v>
      </c>
      <c r="J425" t="s">
        <v>3212</v>
      </c>
      <c r="K425" t="s">
        <v>15</v>
      </c>
      <c r="L425" s="2">
        <v>33</v>
      </c>
      <c r="M425" t="s">
        <v>3203</v>
      </c>
      <c r="N425">
        <v>0</v>
      </c>
      <c r="O425">
        <v>0</v>
      </c>
      <c r="P425">
        <v>1</v>
      </c>
      <c r="Q425" t="s">
        <v>3200</v>
      </c>
      <c r="R425" t="s">
        <v>3201</v>
      </c>
      <c r="S425" t="s">
        <v>13</v>
      </c>
    </row>
    <row r="426" spans="1:19" x14ac:dyDescent="0.3">
      <c r="A426" t="s">
        <v>353</v>
      </c>
      <c r="B426" t="s">
        <v>1596</v>
      </c>
      <c r="C426" t="s">
        <v>1996</v>
      </c>
      <c r="D426" t="s">
        <v>3189</v>
      </c>
      <c r="E426" t="s">
        <v>9</v>
      </c>
      <c r="F426" s="2">
        <v>39</v>
      </c>
      <c r="G426" t="s">
        <v>3197</v>
      </c>
      <c r="H426" t="s">
        <v>25</v>
      </c>
      <c r="I426" t="s">
        <v>11</v>
      </c>
      <c r="J426" t="s">
        <v>3198</v>
      </c>
      <c r="K426" t="s">
        <v>15</v>
      </c>
      <c r="L426" s="2">
        <v>33</v>
      </c>
      <c r="M426" t="s">
        <v>3203</v>
      </c>
      <c r="N426">
        <v>0</v>
      </c>
      <c r="O426">
        <v>0</v>
      </c>
      <c r="P426">
        <v>1</v>
      </c>
      <c r="Q426" t="s">
        <v>3200</v>
      </c>
      <c r="R426" t="s">
        <v>3201</v>
      </c>
      <c r="S426" t="s">
        <v>13</v>
      </c>
    </row>
    <row r="427" spans="1:19" x14ac:dyDescent="0.3">
      <c r="A427" t="s">
        <v>354</v>
      </c>
      <c r="B427" t="s">
        <v>1602</v>
      </c>
      <c r="C427" t="s">
        <v>1997</v>
      </c>
      <c r="D427" t="s">
        <v>3190</v>
      </c>
      <c r="E427" t="s">
        <v>14</v>
      </c>
      <c r="F427" s="2">
        <v>38</v>
      </c>
      <c r="G427" t="s">
        <v>3197</v>
      </c>
      <c r="H427" t="s">
        <v>18</v>
      </c>
      <c r="I427" t="s">
        <v>11</v>
      </c>
      <c r="J427" t="s">
        <v>3198</v>
      </c>
      <c r="K427" t="s">
        <v>39</v>
      </c>
      <c r="L427" s="2">
        <v>13</v>
      </c>
      <c r="M427" t="s">
        <v>3199</v>
      </c>
      <c r="N427">
        <v>0</v>
      </c>
      <c r="O427">
        <v>0</v>
      </c>
      <c r="P427">
        <v>1</v>
      </c>
      <c r="Q427" t="s">
        <v>3200</v>
      </c>
      <c r="R427" t="s">
        <v>3201</v>
      </c>
      <c r="S427" t="s">
        <v>13</v>
      </c>
    </row>
    <row r="428" spans="1:19" x14ac:dyDescent="0.3">
      <c r="A428" t="s">
        <v>355</v>
      </c>
      <c r="B428" t="s">
        <v>1596</v>
      </c>
      <c r="C428" t="s">
        <v>1998</v>
      </c>
      <c r="D428" t="s">
        <v>3189</v>
      </c>
      <c r="E428" t="s">
        <v>9</v>
      </c>
      <c r="F428" s="2">
        <v>37</v>
      </c>
      <c r="G428" t="s">
        <v>3197</v>
      </c>
      <c r="H428" t="s">
        <v>25</v>
      </c>
      <c r="I428" t="s">
        <v>11</v>
      </c>
      <c r="J428" t="s">
        <v>3198</v>
      </c>
      <c r="K428" t="s">
        <v>15</v>
      </c>
      <c r="L428" s="2">
        <v>53.02</v>
      </c>
      <c r="M428" t="s">
        <v>3211</v>
      </c>
      <c r="N428">
        <v>1</v>
      </c>
      <c r="O428">
        <v>0</v>
      </c>
      <c r="P428">
        <v>2</v>
      </c>
      <c r="Q428" t="s">
        <v>3204</v>
      </c>
      <c r="R428" t="s">
        <v>3201</v>
      </c>
      <c r="S428" t="s">
        <v>13</v>
      </c>
    </row>
    <row r="429" spans="1:19" x14ac:dyDescent="0.3">
      <c r="A429" t="s">
        <v>355</v>
      </c>
      <c r="B429" t="s">
        <v>1600</v>
      </c>
      <c r="C429" t="s">
        <v>1999</v>
      </c>
      <c r="D429" t="s">
        <v>3190</v>
      </c>
      <c r="E429" t="s">
        <v>14</v>
      </c>
      <c r="F429" s="2">
        <v>35</v>
      </c>
      <c r="G429" t="s">
        <v>3206</v>
      </c>
      <c r="H429" t="s">
        <v>25</v>
      </c>
      <c r="I429" t="s">
        <v>11</v>
      </c>
      <c r="J429" t="s">
        <v>3198</v>
      </c>
      <c r="K429" t="s">
        <v>15</v>
      </c>
      <c r="L429" s="2">
        <v>53.02</v>
      </c>
      <c r="M429" t="s">
        <v>3211</v>
      </c>
      <c r="N429">
        <v>1</v>
      </c>
      <c r="O429">
        <v>0</v>
      </c>
      <c r="P429">
        <v>2</v>
      </c>
      <c r="Q429" t="s">
        <v>3204</v>
      </c>
      <c r="R429" t="s">
        <v>3205</v>
      </c>
      <c r="S429" t="s">
        <v>16</v>
      </c>
    </row>
    <row r="430" spans="1:19" x14ac:dyDescent="0.3">
      <c r="A430" t="s">
        <v>356</v>
      </c>
      <c r="B430" t="s">
        <v>1596</v>
      </c>
      <c r="C430" t="s">
        <v>2000</v>
      </c>
      <c r="D430" t="s">
        <v>3189</v>
      </c>
      <c r="E430" t="s">
        <v>9</v>
      </c>
      <c r="F430" s="2">
        <v>36</v>
      </c>
      <c r="G430" t="s">
        <v>3197</v>
      </c>
      <c r="H430" t="s">
        <v>18</v>
      </c>
      <c r="I430" t="s">
        <v>11</v>
      </c>
      <c r="J430" t="s">
        <v>3198</v>
      </c>
      <c r="K430" t="s">
        <v>15</v>
      </c>
      <c r="L430" s="2">
        <v>26</v>
      </c>
      <c r="M430" t="s">
        <v>3203</v>
      </c>
      <c r="N430">
        <v>0</v>
      </c>
      <c r="O430">
        <v>0</v>
      </c>
      <c r="P430">
        <v>1</v>
      </c>
      <c r="Q430" t="s">
        <v>3200</v>
      </c>
      <c r="R430" t="s">
        <v>3201</v>
      </c>
      <c r="S430" t="s">
        <v>13</v>
      </c>
    </row>
    <row r="431" spans="1:19" x14ac:dyDescent="0.3">
      <c r="A431" t="s">
        <v>357</v>
      </c>
      <c r="B431" t="s">
        <v>1596</v>
      </c>
      <c r="C431" t="s">
        <v>1630</v>
      </c>
      <c r="D431" t="s">
        <v>3189</v>
      </c>
      <c r="E431" t="s">
        <v>9</v>
      </c>
      <c r="F431" s="2">
        <v>38</v>
      </c>
      <c r="G431" t="s">
        <v>3197</v>
      </c>
      <c r="H431" t="s">
        <v>18</v>
      </c>
      <c r="I431" t="s">
        <v>11</v>
      </c>
      <c r="J431" t="s">
        <v>3198</v>
      </c>
      <c r="K431" t="s">
        <v>15</v>
      </c>
      <c r="L431" s="2">
        <v>21</v>
      </c>
      <c r="M431" t="s">
        <v>3203</v>
      </c>
      <c r="N431">
        <v>1</v>
      </c>
      <c r="O431">
        <v>0</v>
      </c>
      <c r="P431">
        <v>2</v>
      </c>
      <c r="Q431" t="s">
        <v>3204</v>
      </c>
      <c r="R431" t="s">
        <v>3201</v>
      </c>
      <c r="S431" t="s">
        <v>13</v>
      </c>
    </row>
    <row r="432" spans="1:19" x14ac:dyDescent="0.3">
      <c r="A432" t="s">
        <v>357</v>
      </c>
      <c r="B432" t="s">
        <v>1596</v>
      </c>
      <c r="C432" t="s">
        <v>2001</v>
      </c>
      <c r="D432" t="s">
        <v>3189</v>
      </c>
      <c r="E432" t="s">
        <v>9</v>
      </c>
      <c r="F432" s="2">
        <v>33</v>
      </c>
      <c r="G432" t="s">
        <v>3206</v>
      </c>
      <c r="H432" t="s">
        <v>18</v>
      </c>
      <c r="I432" t="s">
        <v>11</v>
      </c>
      <c r="J432" t="s">
        <v>3198</v>
      </c>
      <c r="K432" t="s">
        <v>15</v>
      </c>
      <c r="L432" s="2">
        <v>21</v>
      </c>
      <c r="M432" t="s">
        <v>3203</v>
      </c>
      <c r="N432">
        <v>1</v>
      </c>
      <c r="O432">
        <v>0</v>
      </c>
      <c r="P432">
        <v>2</v>
      </c>
      <c r="Q432" t="s">
        <v>3204</v>
      </c>
      <c r="R432" t="s">
        <v>3201</v>
      </c>
      <c r="S432" t="s">
        <v>13</v>
      </c>
    </row>
    <row r="433" spans="1:19" x14ac:dyDescent="0.3">
      <c r="A433" t="s">
        <v>358</v>
      </c>
      <c r="B433" t="s">
        <v>1596</v>
      </c>
      <c r="C433" t="s">
        <v>2002</v>
      </c>
      <c r="D433" t="s">
        <v>3189</v>
      </c>
      <c r="E433" t="s">
        <v>9</v>
      </c>
      <c r="F433" s="2">
        <v>29</v>
      </c>
      <c r="G433" t="s">
        <v>3206</v>
      </c>
      <c r="H433" t="s">
        <v>10</v>
      </c>
      <c r="I433" t="s">
        <v>36</v>
      </c>
      <c r="J433" t="s">
        <v>3213</v>
      </c>
      <c r="K433" t="s">
        <v>37</v>
      </c>
      <c r="L433" s="2">
        <v>7.141</v>
      </c>
      <c r="M433" t="s">
        <v>3199</v>
      </c>
      <c r="N433">
        <v>0</v>
      </c>
      <c r="O433">
        <v>0</v>
      </c>
      <c r="P433">
        <v>1</v>
      </c>
      <c r="Q433" t="s">
        <v>3200</v>
      </c>
      <c r="R433" t="s">
        <v>3201</v>
      </c>
      <c r="S433" t="s">
        <v>13</v>
      </c>
    </row>
    <row r="434" spans="1:19" x14ac:dyDescent="0.3">
      <c r="A434" t="s">
        <v>359</v>
      </c>
      <c r="B434" t="s">
        <v>1596</v>
      </c>
      <c r="C434" t="s">
        <v>1610</v>
      </c>
      <c r="D434" t="s">
        <v>3189</v>
      </c>
      <c r="E434" t="s">
        <v>9</v>
      </c>
      <c r="F434" s="2">
        <v>23</v>
      </c>
      <c r="G434" t="s">
        <v>3206</v>
      </c>
      <c r="H434" t="s">
        <v>10</v>
      </c>
      <c r="I434" t="s">
        <v>11</v>
      </c>
      <c r="J434" t="s">
        <v>3198</v>
      </c>
      <c r="K434" t="s">
        <v>15</v>
      </c>
      <c r="L434" s="2">
        <v>14.1</v>
      </c>
      <c r="M434" t="s">
        <v>3199</v>
      </c>
      <c r="N434">
        <v>0</v>
      </c>
      <c r="O434">
        <v>0</v>
      </c>
      <c r="P434">
        <v>1</v>
      </c>
      <c r="Q434" t="s">
        <v>3200</v>
      </c>
      <c r="R434" t="s">
        <v>3201</v>
      </c>
      <c r="S434" t="s">
        <v>13</v>
      </c>
    </row>
    <row r="435" spans="1:19" x14ac:dyDescent="0.3">
      <c r="A435" t="s">
        <v>360</v>
      </c>
      <c r="B435" t="s">
        <v>1602</v>
      </c>
      <c r="C435" t="s">
        <v>1701</v>
      </c>
      <c r="D435" t="s">
        <v>3190</v>
      </c>
      <c r="E435" t="s">
        <v>14</v>
      </c>
      <c r="F435" s="2">
        <v>39</v>
      </c>
      <c r="G435" t="s">
        <v>3197</v>
      </c>
      <c r="H435" t="s">
        <v>18</v>
      </c>
      <c r="I435" t="s">
        <v>11</v>
      </c>
      <c r="J435" t="s">
        <v>3198</v>
      </c>
      <c r="K435" t="s">
        <v>15</v>
      </c>
      <c r="L435" s="2">
        <v>13</v>
      </c>
      <c r="M435" t="s">
        <v>3199</v>
      </c>
      <c r="N435">
        <v>0</v>
      </c>
      <c r="O435">
        <v>0</v>
      </c>
      <c r="P435">
        <v>1</v>
      </c>
      <c r="Q435" t="s">
        <v>3200</v>
      </c>
      <c r="R435" t="s">
        <v>3205</v>
      </c>
      <c r="S435" t="s">
        <v>16</v>
      </c>
    </row>
    <row r="436" spans="1:19" x14ac:dyDescent="0.3">
      <c r="A436" t="s">
        <v>361</v>
      </c>
      <c r="B436" t="s">
        <v>1596</v>
      </c>
      <c r="C436" t="s">
        <v>1754</v>
      </c>
      <c r="D436" t="s">
        <v>3189</v>
      </c>
      <c r="E436" t="s">
        <v>9</v>
      </c>
      <c r="F436" s="2">
        <v>19</v>
      </c>
      <c r="G436" t="s">
        <v>3206</v>
      </c>
      <c r="H436" t="s">
        <v>18</v>
      </c>
      <c r="I436" t="s">
        <v>11</v>
      </c>
      <c r="J436" t="s">
        <v>3198</v>
      </c>
      <c r="K436" t="s">
        <v>15</v>
      </c>
      <c r="L436" s="2">
        <v>26</v>
      </c>
      <c r="M436" t="s">
        <v>3203</v>
      </c>
      <c r="N436">
        <v>0</v>
      </c>
      <c r="O436">
        <v>0</v>
      </c>
      <c r="P436">
        <v>1</v>
      </c>
      <c r="Q436" t="s">
        <v>3200</v>
      </c>
      <c r="R436" t="s">
        <v>3201</v>
      </c>
      <c r="S436" t="s">
        <v>13</v>
      </c>
    </row>
    <row r="437" spans="1:19" x14ac:dyDescent="0.3">
      <c r="A437" t="s">
        <v>362</v>
      </c>
      <c r="B437" t="s">
        <v>1596</v>
      </c>
      <c r="C437" t="s">
        <v>2003</v>
      </c>
      <c r="D437" t="s">
        <v>3189</v>
      </c>
      <c r="E437" t="s">
        <v>9</v>
      </c>
      <c r="F437" s="2">
        <v>26</v>
      </c>
      <c r="G437" t="s">
        <v>3206</v>
      </c>
      <c r="H437" t="s">
        <v>18</v>
      </c>
      <c r="I437" t="s">
        <v>11</v>
      </c>
      <c r="J437" t="s">
        <v>3198</v>
      </c>
      <c r="K437" t="s">
        <v>33</v>
      </c>
      <c r="L437" s="2">
        <v>10.1</v>
      </c>
      <c r="M437" t="s">
        <v>3199</v>
      </c>
      <c r="N437">
        <v>0</v>
      </c>
      <c r="O437">
        <v>0</v>
      </c>
      <c r="P437">
        <v>1</v>
      </c>
      <c r="Q437" t="s">
        <v>3200</v>
      </c>
      <c r="R437" t="s">
        <v>3201</v>
      </c>
      <c r="S437" t="s">
        <v>13</v>
      </c>
    </row>
    <row r="438" spans="1:19" x14ac:dyDescent="0.3">
      <c r="A438" t="s">
        <v>363</v>
      </c>
      <c r="B438" t="s">
        <v>1596</v>
      </c>
      <c r="C438" t="s">
        <v>2004</v>
      </c>
      <c r="D438" t="s">
        <v>3189</v>
      </c>
      <c r="E438" t="s">
        <v>9</v>
      </c>
      <c r="F438" s="2">
        <v>47</v>
      </c>
      <c r="G438" t="s">
        <v>3197</v>
      </c>
      <c r="H438" t="s">
        <v>25</v>
      </c>
      <c r="I438" t="s">
        <v>11</v>
      </c>
      <c r="J438" t="s">
        <v>3198</v>
      </c>
      <c r="K438" t="s">
        <v>15</v>
      </c>
      <c r="L438" s="2">
        <v>38.1</v>
      </c>
      <c r="M438" t="s">
        <v>3211</v>
      </c>
      <c r="N438">
        <v>0</v>
      </c>
      <c r="O438">
        <v>0</v>
      </c>
      <c r="P438">
        <v>1</v>
      </c>
      <c r="Q438" t="s">
        <v>3200</v>
      </c>
      <c r="R438" t="s">
        <v>3201</v>
      </c>
      <c r="S438" t="s">
        <v>13</v>
      </c>
    </row>
    <row r="439" spans="1:19" x14ac:dyDescent="0.3">
      <c r="A439" t="s">
        <v>364</v>
      </c>
      <c r="B439" t="s">
        <v>1600</v>
      </c>
      <c r="C439" t="s">
        <v>2005</v>
      </c>
      <c r="D439" t="s">
        <v>3190</v>
      </c>
      <c r="E439" t="s">
        <v>14</v>
      </c>
      <c r="F439" s="2">
        <v>38</v>
      </c>
      <c r="G439" t="s">
        <v>3197</v>
      </c>
      <c r="H439" t="s">
        <v>10</v>
      </c>
      <c r="I439" t="s">
        <v>19</v>
      </c>
      <c r="J439" t="s">
        <v>3207</v>
      </c>
      <c r="K439" t="s">
        <v>12</v>
      </c>
      <c r="L439" s="2">
        <v>7.0407000000000002</v>
      </c>
      <c r="M439" t="s">
        <v>3199</v>
      </c>
      <c r="N439">
        <v>0</v>
      </c>
      <c r="O439">
        <v>0</v>
      </c>
      <c r="P439">
        <v>1</v>
      </c>
      <c r="Q439" t="s">
        <v>3200</v>
      </c>
      <c r="R439" t="s">
        <v>3205</v>
      </c>
      <c r="S439" t="s">
        <v>16</v>
      </c>
    </row>
    <row r="440" spans="1:19" x14ac:dyDescent="0.3">
      <c r="A440" t="s">
        <v>365</v>
      </c>
      <c r="B440" t="s">
        <v>1596</v>
      </c>
      <c r="C440" t="s">
        <v>2006</v>
      </c>
      <c r="D440" t="s">
        <v>3189</v>
      </c>
      <c r="E440" t="s">
        <v>9</v>
      </c>
      <c r="F440" s="2">
        <v>21</v>
      </c>
      <c r="G440" t="s">
        <v>3206</v>
      </c>
      <c r="H440" t="s">
        <v>10</v>
      </c>
      <c r="I440" t="s">
        <v>19</v>
      </c>
      <c r="J440" t="s">
        <v>3207</v>
      </c>
      <c r="K440" t="s">
        <v>21</v>
      </c>
      <c r="L440" s="2">
        <v>7.0406000000000004</v>
      </c>
      <c r="M440" t="s">
        <v>3199</v>
      </c>
      <c r="N440">
        <v>0</v>
      </c>
      <c r="O440">
        <v>0</v>
      </c>
      <c r="P440">
        <v>1</v>
      </c>
      <c r="Q440" t="s">
        <v>3200</v>
      </c>
      <c r="R440" t="s">
        <v>3201</v>
      </c>
      <c r="S440" t="s">
        <v>13</v>
      </c>
    </row>
    <row r="441" spans="1:19" x14ac:dyDescent="0.3">
      <c r="A441" t="s">
        <v>366</v>
      </c>
      <c r="B441" t="s">
        <v>1596</v>
      </c>
      <c r="C441" t="s">
        <v>2007</v>
      </c>
      <c r="D441" t="s">
        <v>3189</v>
      </c>
      <c r="E441" t="s">
        <v>9</v>
      </c>
      <c r="F441" s="2">
        <v>30</v>
      </c>
      <c r="G441" t="s">
        <v>3206</v>
      </c>
      <c r="H441" t="s">
        <v>10</v>
      </c>
      <c r="I441" t="s">
        <v>19</v>
      </c>
      <c r="J441" t="s">
        <v>3207</v>
      </c>
      <c r="K441" t="s">
        <v>31</v>
      </c>
      <c r="L441" s="2">
        <v>7.1711</v>
      </c>
      <c r="M441" t="s">
        <v>3199</v>
      </c>
      <c r="N441">
        <v>0</v>
      </c>
      <c r="O441">
        <v>0</v>
      </c>
      <c r="P441">
        <v>1</v>
      </c>
      <c r="Q441" t="s">
        <v>3200</v>
      </c>
      <c r="R441" t="s">
        <v>3201</v>
      </c>
      <c r="S441" t="s">
        <v>13</v>
      </c>
    </row>
    <row r="442" spans="1:19" x14ac:dyDescent="0.3">
      <c r="A442" t="s">
        <v>367</v>
      </c>
      <c r="B442" t="s">
        <v>1602</v>
      </c>
      <c r="C442" t="s">
        <v>2008</v>
      </c>
      <c r="D442" t="s">
        <v>3190</v>
      </c>
      <c r="E442" t="s">
        <v>14</v>
      </c>
      <c r="F442" s="2">
        <v>22</v>
      </c>
      <c r="G442" t="s">
        <v>3206</v>
      </c>
      <c r="H442" t="s">
        <v>25</v>
      </c>
      <c r="I442" t="s">
        <v>19</v>
      </c>
      <c r="J442" t="s">
        <v>3207</v>
      </c>
      <c r="K442" t="s">
        <v>12</v>
      </c>
      <c r="L442" s="2">
        <v>59.08</v>
      </c>
      <c r="M442" t="s">
        <v>3211</v>
      </c>
      <c r="N442">
        <v>0</v>
      </c>
      <c r="O442">
        <v>1</v>
      </c>
      <c r="P442">
        <v>2</v>
      </c>
      <c r="Q442" t="s">
        <v>3204</v>
      </c>
      <c r="R442" t="s">
        <v>3205</v>
      </c>
      <c r="S442" t="s">
        <v>16</v>
      </c>
    </row>
    <row r="443" spans="1:19" x14ac:dyDescent="0.3">
      <c r="A443" t="s">
        <v>367</v>
      </c>
      <c r="B443" t="s">
        <v>1600</v>
      </c>
      <c r="C443" t="s">
        <v>2009</v>
      </c>
      <c r="D443" t="s">
        <v>3190</v>
      </c>
      <c r="E443" t="s">
        <v>14</v>
      </c>
      <c r="F443" s="2">
        <v>44</v>
      </c>
      <c r="G443" t="s">
        <v>3197</v>
      </c>
      <c r="H443" t="s">
        <v>25</v>
      </c>
      <c r="I443" t="s">
        <v>19</v>
      </c>
      <c r="J443" t="s">
        <v>3207</v>
      </c>
      <c r="K443" t="s">
        <v>12</v>
      </c>
      <c r="L443" s="2">
        <v>59.08</v>
      </c>
      <c r="M443" t="s">
        <v>3211</v>
      </c>
      <c r="N443">
        <v>0</v>
      </c>
      <c r="O443">
        <v>1</v>
      </c>
      <c r="P443">
        <v>2</v>
      </c>
      <c r="Q443" t="s">
        <v>3204</v>
      </c>
      <c r="R443" t="s">
        <v>3205</v>
      </c>
      <c r="S443" t="s">
        <v>16</v>
      </c>
    </row>
    <row r="444" spans="1:19" x14ac:dyDescent="0.3">
      <c r="A444" t="s">
        <v>368</v>
      </c>
      <c r="B444" t="s">
        <v>1602</v>
      </c>
      <c r="C444" t="s">
        <v>2010</v>
      </c>
      <c r="D444" t="s">
        <v>3190</v>
      </c>
      <c r="E444" t="s">
        <v>14</v>
      </c>
      <c r="F444" s="2">
        <v>35</v>
      </c>
      <c r="G444" t="s">
        <v>3206</v>
      </c>
      <c r="H444" t="s">
        <v>25</v>
      </c>
      <c r="I444" t="s">
        <v>11</v>
      </c>
      <c r="J444" t="s">
        <v>3198</v>
      </c>
      <c r="K444" t="s">
        <v>15</v>
      </c>
      <c r="L444" s="2">
        <v>211.1</v>
      </c>
      <c r="M444" t="s">
        <v>3209</v>
      </c>
      <c r="N444">
        <v>0</v>
      </c>
      <c r="O444">
        <v>0</v>
      </c>
      <c r="P444">
        <v>1</v>
      </c>
      <c r="Q444" t="s">
        <v>3200</v>
      </c>
      <c r="R444" t="s">
        <v>3205</v>
      </c>
      <c r="S444" t="s">
        <v>16</v>
      </c>
    </row>
    <row r="445" spans="1:19" x14ac:dyDescent="0.3">
      <c r="A445" t="s">
        <v>369</v>
      </c>
      <c r="B445" t="s">
        <v>1596</v>
      </c>
      <c r="C445" t="s">
        <v>2011</v>
      </c>
      <c r="D445" t="s">
        <v>3189</v>
      </c>
      <c r="E445" t="s">
        <v>9</v>
      </c>
      <c r="F445" s="2">
        <v>23</v>
      </c>
      <c r="G445" t="s">
        <v>3206</v>
      </c>
      <c r="H445" t="s">
        <v>25</v>
      </c>
      <c r="I445" t="s">
        <v>19</v>
      </c>
      <c r="J445" t="s">
        <v>3207</v>
      </c>
      <c r="K445" t="s">
        <v>15</v>
      </c>
      <c r="L445" s="2">
        <v>79.040000000000006</v>
      </c>
      <c r="M445" t="s">
        <v>3211</v>
      </c>
      <c r="N445">
        <v>0</v>
      </c>
      <c r="O445">
        <v>0</v>
      </c>
      <c r="P445">
        <v>1</v>
      </c>
      <c r="Q445" t="s">
        <v>3200</v>
      </c>
      <c r="R445" t="s">
        <v>3201</v>
      </c>
      <c r="S445" t="s">
        <v>13</v>
      </c>
    </row>
    <row r="446" spans="1:19" x14ac:dyDescent="0.3">
      <c r="A446" t="s">
        <v>370</v>
      </c>
      <c r="B446" t="s">
        <v>1596</v>
      </c>
      <c r="C446" t="s">
        <v>1619</v>
      </c>
      <c r="D446" t="s">
        <v>3189</v>
      </c>
      <c r="E446" t="s">
        <v>9</v>
      </c>
      <c r="F446" s="2">
        <v>47</v>
      </c>
      <c r="G446" t="s">
        <v>3197</v>
      </c>
      <c r="H446" t="s">
        <v>18</v>
      </c>
      <c r="I446" t="s">
        <v>11</v>
      </c>
      <c r="J446" t="s">
        <v>3198</v>
      </c>
      <c r="K446" t="s">
        <v>15</v>
      </c>
      <c r="L446" s="2">
        <v>10.1</v>
      </c>
      <c r="M446" t="s">
        <v>3199</v>
      </c>
      <c r="N446">
        <v>0</v>
      </c>
      <c r="O446">
        <v>0</v>
      </c>
      <c r="P446">
        <v>1</v>
      </c>
      <c r="Q446" t="s">
        <v>3200</v>
      </c>
      <c r="R446" t="s">
        <v>3201</v>
      </c>
      <c r="S446" t="s">
        <v>13</v>
      </c>
    </row>
    <row r="447" spans="1:19" x14ac:dyDescent="0.3">
      <c r="A447" t="s">
        <v>371</v>
      </c>
      <c r="B447" t="s">
        <v>1596</v>
      </c>
      <c r="C447" t="s">
        <v>2012</v>
      </c>
      <c r="D447" t="s">
        <v>3189</v>
      </c>
      <c r="E447" t="s">
        <v>9</v>
      </c>
      <c r="F447" s="2">
        <v>19</v>
      </c>
      <c r="G447" t="s">
        <v>3206</v>
      </c>
      <c r="H447" t="s">
        <v>18</v>
      </c>
      <c r="I447" t="s">
        <v>11</v>
      </c>
      <c r="J447" t="s">
        <v>3198</v>
      </c>
      <c r="K447" t="s">
        <v>15</v>
      </c>
      <c r="L447" s="2">
        <v>11.1</v>
      </c>
      <c r="M447" t="s">
        <v>3199</v>
      </c>
      <c r="N447">
        <v>1</v>
      </c>
      <c r="O447">
        <v>0</v>
      </c>
      <c r="P447">
        <v>2</v>
      </c>
      <c r="Q447" t="s">
        <v>3204</v>
      </c>
      <c r="R447" t="s">
        <v>3201</v>
      </c>
      <c r="S447" t="s">
        <v>13</v>
      </c>
    </row>
    <row r="448" spans="1:19" x14ac:dyDescent="0.3">
      <c r="A448" t="s">
        <v>371</v>
      </c>
      <c r="B448" t="s">
        <v>1596</v>
      </c>
      <c r="C448" t="s">
        <v>2013</v>
      </c>
      <c r="D448" t="s">
        <v>3189</v>
      </c>
      <c r="E448" t="s">
        <v>9</v>
      </c>
      <c r="F448" s="2">
        <v>21</v>
      </c>
      <c r="G448" t="s">
        <v>3206</v>
      </c>
      <c r="H448" t="s">
        <v>18</v>
      </c>
      <c r="I448" t="s">
        <v>11</v>
      </c>
      <c r="J448" t="s">
        <v>3198</v>
      </c>
      <c r="K448" t="s">
        <v>15</v>
      </c>
      <c r="L448" s="2">
        <v>11.1</v>
      </c>
      <c r="M448" t="s">
        <v>3199</v>
      </c>
      <c r="N448">
        <v>1</v>
      </c>
      <c r="O448">
        <v>0</v>
      </c>
      <c r="P448">
        <v>2</v>
      </c>
      <c r="Q448" t="s">
        <v>3204</v>
      </c>
      <c r="R448" t="s">
        <v>3201</v>
      </c>
      <c r="S448" t="s">
        <v>13</v>
      </c>
    </row>
    <row r="449" spans="1:19" x14ac:dyDescent="0.3">
      <c r="A449" t="s">
        <v>371</v>
      </c>
      <c r="B449" t="s">
        <v>1596</v>
      </c>
      <c r="C449" t="s">
        <v>2014</v>
      </c>
      <c r="D449" t="s">
        <v>3189</v>
      </c>
      <c r="E449" t="s">
        <v>9</v>
      </c>
      <c r="F449" s="2">
        <v>24</v>
      </c>
      <c r="G449" t="s">
        <v>3206</v>
      </c>
      <c r="H449" t="s">
        <v>18</v>
      </c>
      <c r="I449" t="s">
        <v>11</v>
      </c>
      <c r="J449" t="s">
        <v>3198</v>
      </c>
      <c r="K449" t="s">
        <v>15</v>
      </c>
      <c r="L449" s="2">
        <v>13.1</v>
      </c>
      <c r="M449" t="s">
        <v>3199</v>
      </c>
      <c r="N449">
        <v>0</v>
      </c>
      <c r="O449">
        <v>0</v>
      </c>
      <c r="P449">
        <v>1</v>
      </c>
      <c r="Q449" t="s">
        <v>3200</v>
      </c>
      <c r="R449" t="s">
        <v>3201</v>
      </c>
      <c r="S449" t="s">
        <v>13</v>
      </c>
    </row>
    <row r="450" spans="1:19" x14ac:dyDescent="0.3">
      <c r="A450" t="s">
        <v>372</v>
      </c>
      <c r="B450" t="s">
        <v>1596</v>
      </c>
      <c r="C450" t="s">
        <v>2015</v>
      </c>
      <c r="D450" t="s">
        <v>3189</v>
      </c>
      <c r="E450" t="s">
        <v>9</v>
      </c>
      <c r="F450" s="2">
        <v>23</v>
      </c>
      <c r="G450" t="s">
        <v>3206</v>
      </c>
      <c r="H450" t="s">
        <v>10</v>
      </c>
      <c r="I450" t="s">
        <v>11</v>
      </c>
      <c r="J450" t="s">
        <v>3198</v>
      </c>
      <c r="K450" t="s">
        <v>40</v>
      </c>
      <c r="L450" s="2">
        <v>8.01</v>
      </c>
      <c r="M450" t="s">
        <v>3199</v>
      </c>
      <c r="N450">
        <v>0</v>
      </c>
      <c r="O450">
        <v>0</v>
      </c>
      <c r="P450">
        <v>1</v>
      </c>
      <c r="Q450" t="s">
        <v>3200</v>
      </c>
      <c r="R450" t="s">
        <v>3201</v>
      </c>
      <c r="S450" t="s">
        <v>13</v>
      </c>
    </row>
    <row r="451" spans="1:19" x14ac:dyDescent="0.3">
      <c r="A451" t="s">
        <v>373</v>
      </c>
      <c r="B451" t="s">
        <v>1596</v>
      </c>
      <c r="C451" t="s">
        <v>1621</v>
      </c>
      <c r="D451" t="s">
        <v>3189</v>
      </c>
      <c r="E451" t="s">
        <v>9</v>
      </c>
      <c r="F451" s="2">
        <v>31</v>
      </c>
      <c r="G451" t="s">
        <v>3206</v>
      </c>
      <c r="H451" t="s">
        <v>18</v>
      </c>
      <c r="I451" t="s">
        <v>11</v>
      </c>
      <c r="J451" t="s">
        <v>3198</v>
      </c>
      <c r="K451" t="s">
        <v>37</v>
      </c>
      <c r="L451" s="2">
        <v>13</v>
      </c>
      <c r="M451" t="s">
        <v>3199</v>
      </c>
      <c r="N451">
        <v>0</v>
      </c>
      <c r="O451">
        <v>0</v>
      </c>
      <c r="P451">
        <v>1</v>
      </c>
      <c r="Q451" t="s">
        <v>3200</v>
      </c>
      <c r="R451" t="s">
        <v>3201</v>
      </c>
      <c r="S451" t="s">
        <v>13</v>
      </c>
    </row>
    <row r="452" spans="1:19" x14ac:dyDescent="0.3">
      <c r="A452" t="s">
        <v>374</v>
      </c>
      <c r="B452" t="s">
        <v>1596</v>
      </c>
      <c r="C452" t="s">
        <v>1610</v>
      </c>
      <c r="D452" t="s">
        <v>3189</v>
      </c>
      <c r="E452" t="s">
        <v>9</v>
      </c>
      <c r="F452" s="2">
        <v>24</v>
      </c>
      <c r="G452" t="s">
        <v>3206</v>
      </c>
      <c r="H452" t="s">
        <v>18</v>
      </c>
      <c r="I452" t="s">
        <v>11</v>
      </c>
      <c r="J452" t="s">
        <v>3198</v>
      </c>
      <c r="K452" t="s">
        <v>15</v>
      </c>
      <c r="L452" s="2">
        <v>13</v>
      </c>
      <c r="M452" t="s">
        <v>3199</v>
      </c>
      <c r="N452">
        <v>0</v>
      </c>
      <c r="O452">
        <v>0</v>
      </c>
      <c r="P452">
        <v>1</v>
      </c>
      <c r="Q452" t="s">
        <v>3200</v>
      </c>
      <c r="R452" t="s">
        <v>3201</v>
      </c>
      <c r="S452" t="s">
        <v>13</v>
      </c>
    </row>
    <row r="453" spans="1:19" x14ac:dyDescent="0.3">
      <c r="A453" t="s">
        <v>375</v>
      </c>
      <c r="B453" t="s">
        <v>1602</v>
      </c>
      <c r="C453" t="s">
        <v>1763</v>
      </c>
      <c r="D453" t="s">
        <v>3190</v>
      </c>
      <c r="E453" t="s">
        <v>14</v>
      </c>
      <c r="F453" s="2">
        <v>17</v>
      </c>
      <c r="G453" t="s">
        <v>3202</v>
      </c>
      <c r="H453" t="s">
        <v>10</v>
      </c>
      <c r="I453" t="s">
        <v>36</v>
      </c>
      <c r="J453" t="s">
        <v>3213</v>
      </c>
      <c r="K453" t="s">
        <v>37</v>
      </c>
      <c r="L453" s="2">
        <v>7.1407999999999996</v>
      </c>
      <c r="M453" t="s">
        <v>3199</v>
      </c>
      <c r="N453">
        <v>0</v>
      </c>
      <c r="O453">
        <v>0</v>
      </c>
      <c r="P453">
        <v>1</v>
      </c>
      <c r="Q453" t="s">
        <v>3200</v>
      </c>
      <c r="R453" t="s">
        <v>3205</v>
      </c>
      <c r="S453" t="s">
        <v>16</v>
      </c>
    </row>
    <row r="454" spans="1:19" x14ac:dyDescent="0.3">
      <c r="A454" t="s">
        <v>376</v>
      </c>
      <c r="B454" t="s">
        <v>1596</v>
      </c>
      <c r="C454" t="s">
        <v>2016</v>
      </c>
      <c r="D454" t="s">
        <v>3189</v>
      </c>
      <c r="E454" t="s">
        <v>9</v>
      </c>
      <c r="F454" s="2">
        <v>30</v>
      </c>
      <c r="G454" t="s">
        <v>3206</v>
      </c>
      <c r="H454" t="s">
        <v>18</v>
      </c>
      <c r="I454" t="s">
        <v>11</v>
      </c>
      <c r="J454" t="s">
        <v>3198</v>
      </c>
      <c r="K454" t="s">
        <v>24</v>
      </c>
      <c r="L454" s="2">
        <v>13</v>
      </c>
      <c r="M454" t="s">
        <v>3199</v>
      </c>
      <c r="N454">
        <v>0</v>
      </c>
      <c r="O454">
        <v>0</v>
      </c>
      <c r="P454">
        <v>1</v>
      </c>
      <c r="Q454" t="s">
        <v>3200</v>
      </c>
      <c r="R454" t="s">
        <v>3201</v>
      </c>
      <c r="S454" t="s">
        <v>13</v>
      </c>
    </row>
    <row r="455" spans="1:19" x14ac:dyDescent="0.3">
      <c r="A455" t="s">
        <v>377</v>
      </c>
      <c r="B455" t="s">
        <v>1602</v>
      </c>
      <c r="C455" t="s">
        <v>2017</v>
      </c>
      <c r="D455" t="s">
        <v>3190</v>
      </c>
      <c r="E455" t="s">
        <v>14</v>
      </c>
      <c r="F455" s="2">
        <v>18</v>
      </c>
      <c r="G455" t="s">
        <v>3206</v>
      </c>
      <c r="H455" t="s">
        <v>10</v>
      </c>
      <c r="I455" t="s">
        <v>36</v>
      </c>
      <c r="J455" t="s">
        <v>3213</v>
      </c>
      <c r="K455" t="s">
        <v>37</v>
      </c>
      <c r="L455" s="2">
        <v>7.15</v>
      </c>
      <c r="M455" t="s">
        <v>3199</v>
      </c>
      <c r="N455">
        <v>0</v>
      </c>
      <c r="O455">
        <v>0</v>
      </c>
      <c r="P455">
        <v>1</v>
      </c>
      <c r="Q455" t="s">
        <v>3200</v>
      </c>
      <c r="R455" t="s">
        <v>3205</v>
      </c>
      <c r="S455" t="s">
        <v>16</v>
      </c>
    </row>
    <row r="456" spans="1:19" x14ac:dyDescent="0.3">
      <c r="A456" t="s">
        <v>378</v>
      </c>
      <c r="B456" t="s">
        <v>1596</v>
      </c>
      <c r="C456" t="s">
        <v>2018</v>
      </c>
      <c r="D456" t="s">
        <v>3189</v>
      </c>
      <c r="E456" t="s">
        <v>9</v>
      </c>
      <c r="F456" s="2">
        <v>47</v>
      </c>
      <c r="G456" t="s">
        <v>3197</v>
      </c>
      <c r="H456" t="s">
        <v>25</v>
      </c>
      <c r="I456" t="s">
        <v>19</v>
      </c>
      <c r="J456" t="s">
        <v>3207</v>
      </c>
      <c r="K456" t="s">
        <v>12</v>
      </c>
      <c r="L456" s="2">
        <v>89.020099999999999</v>
      </c>
      <c r="M456" t="s">
        <v>3211</v>
      </c>
      <c r="N456">
        <v>1</v>
      </c>
      <c r="O456">
        <v>0</v>
      </c>
      <c r="P456">
        <v>2</v>
      </c>
      <c r="Q456" t="s">
        <v>3204</v>
      </c>
      <c r="R456" t="s">
        <v>3205</v>
      </c>
      <c r="S456" t="s">
        <v>16</v>
      </c>
    </row>
    <row r="457" spans="1:19" x14ac:dyDescent="0.3">
      <c r="A457" t="s">
        <v>378</v>
      </c>
      <c r="B457" t="s">
        <v>1600</v>
      </c>
      <c r="C457" t="s">
        <v>2019</v>
      </c>
      <c r="D457" t="s">
        <v>3190</v>
      </c>
      <c r="E457" t="s">
        <v>14</v>
      </c>
      <c r="F457" s="2">
        <v>40</v>
      </c>
      <c r="G457" t="s">
        <v>3197</v>
      </c>
      <c r="H457" t="s">
        <v>25</v>
      </c>
      <c r="I457" t="s">
        <v>19</v>
      </c>
      <c r="J457" t="s">
        <v>3207</v>
      </c>
      <c r="K457" t="s">
        <v>12</v>
      </c>
      <c r="L457" s="2">
        <v>89.020099999999999</v>
      </c>
      <c r="M457" t="s">
        <v>3211</v>
      </c>
      <c r="N457">
        <v>1</v>
      </c>
      <c r="O457">
        <v>0</v>
      </c>
      <c r="P457">
        <v>2</v>
      </c>
      <c r="Q457" t="s">
        <v>3204</v>
      </c>
      <c r="R457" t="s">
        <v>3205</v>
      </c>
      <c r="S457" t="s">
        <v>16</v>
      </c>
    </row>
    <row r="458" spans="1:19" x14ac:dyDescent="0.3">
      <c r="A458" t="s">
        <v>379</v>
      </c>
      <c r="B458" t="s">
        <v>1596</v>
      </c>
      <c r="C458" t="s">
        <v>2020</v>
      </c>
      <c r="D458" t="s">
        <v>3189</v>
      </c>
      <c r="E458" t="s">
        <v>9</v>
      </c>
      <c r="F458" s="2">
        <v>71</v>
      </c>
      <c r="G458" t="s">
        <v>3210</v>
      </c>
      <c r="H458" t="s">
        <v>25</v>
      </c>
      <c r="I458" t="s">
        <v>19</v>
      </c>
      <c r="J458" t="s">
        <v>3207</v>
      </c>
      <c r="K458" t="s">
        <v>12</v>
      </c>
      <c r="L458" s="2">
        <v>34.130099999999999</v>
      </c>
      <c r="M458" t="s">
        <v>3203</v>
      </c>
      <c r="N458">
        <v>0</v>
      </c>
      <c r="O458">
        <v>0</v>
      </c>
      <c r="P458">
        <v>1</v>
      </c>
      <c r="Q458" t="s">
        <v>3200</v>
      </c>
      <c r="R458" t="s">
        <v>3201</v>
      </c>
      <c r="S458" t="s">
        <v>13</v>
      </c>
    </row>
    <row r="459" spans="1:19" x14ac:dyDescent="0.3">
      <c r="A459" t="s">
        <v>380</v>
      </c>
      <c r="B459" t="s">
        <v>1612</v>
      </c>
      <c r="C459" t="s">
        <v>2021</v>
      </c>
      <c r="D459" t="s">
        <v>3189</v>
      </c>
      <c r="E459" t="s">
        <v>9</v>
      </c>
      <c r="F459" s="2">
        <v>9</v>
      </c>
      <c r="G459" t="s">
        <v>3202</v>
      </c>
      <c r="H459" t="s">
        <v>10</v>
      </c>
      <c r="I459" t="s">
        <v>11</v>
      </c>
      <c r="J459" t="s">
        <v>3198</v>
      </c>
      <c r="K459" t="s">
        <v>15</v>
      </c>
      <c r="L459" s="2">
        <v>20.1006</v>
      </c>
      <c r="M459" t="s">
        <v>3203</v>
      </c>
      <c r="N459">
        <v>0</v>
      </c>
      <c r="O459">
        <v>2</v>
      </c>
      <c r="P459">
        <v>3</v>
      </c>
      <c r="Q459" t="s">
        <v>3204</v>
      </c>
      <c r="R459" t="s">
        <v>3205</v>
      </c>
      <c r="S459" t="s">
        <v>16</v>
      </c>
    </row>
    <row r="460" spans="1:19" x14ac:dyDescent="0.3">
      <c r="A460" t="s">
        <v>380</v>
      </c>
      <c r="B460" t="s">
        <v>1596</v>
      </c>
      <c r="C460" t="s">
        <v>2022</v>
      </c>
      <c r="D460" t="s">
        <v>3189</v>
      </c>
      <c r="E460" t="s">
        <v>9</v>
      </c>
      <c r="F460" s="2">
        <v>33</v>
      </c>
      <c r="G460" t="s">
        <v>3206</v>
      </c>
      <c r="H460" t="s">
        <v>10</v>
      </c>
      <c r="I460" t="s">
        <v>11</v>
      </c>
      <c r="J460" t="s">
        <v>3198</v>
      </c>
      <c r="K460" t="s">
        <v>15</v>
      </c>
      <c r="L460" s="2">
        <v>20.1006</v>
      </c>
      <c r="M460" t="s">
        <v>3203</v>
      </c>
      <c r="N460">
        <v>1</v>
      </c>
      <c r="O460">
        <v>1</v>
      </c>
      <c r="P460">
        <v>3</v>
      </c>
      <c r="Q460" t="s">
        <v>3204</v>
      </c>
      <c r="R460" t="s">
        <v>3201</v>
      </c>
      <c r="S460" t="s">
        <v>13</v>
      </c>
    </row>
    <row r="461" spans="1:19" x14ac:dyDescent="0.3">
      <c r="A461" t="s">
        <v>380</v>
      </c>
      <c r="B461" t="s">
        <v>1596</v>
      </c>
      <c r="C461" t="s">
        <v>2023</v>
      </c>
      <c r="D461" t="s">
        <v>3189</v>
      </c>
      <c r="E461" t="s">
        <v>9</v>
      </c>
      <c r="F461" s="2">
        <v>41</v>
      </c>
      <c r="G461" t="s">
        <v>3197</v>
      </c>
      <c r="H461" t="s">
        <v>10</v>
      </c>
      <c r="I461" t="s">
        <v>11</v>
      </c>
      <c r="J461" t="s">
        <v>3198</v>
      </c>
      <c r="K461" t="s">
        <v>15</v>
      </c>
      <c r="L461" s="2">
        <v>7.17</v>
      </c>
      <c r="M461" t="s">
        <v>3199</v>
      </c>
      <c r="N461">
        <v>0</v>
      </c>
      <c r="O461">
        <v>0</v>
      </c>
      <c r="P461">
        <v>1</v>
      </c>
      <c r="Q461" t="s">
        <v>3200</v>
      </c>
      <c r="R461" t="s">
        <v>3201</v>
      </c>
      <c r="S461" t="s">
        <v>13</v>
      </c>
    </row>
    <row r="462" spans="1:19" x14ac:dyDescent="0.3">
      <c r="A462" t="s">
        <v>380</v>
      </c>
      <c r="B462" t="s">
        <v>1600</v>
      </c>
      <c r="C462" t="s">
        <v>2024</v>
      </c>
      <c r="D462" t="s">
        <v>3190</v>
      </c>
      <c r="E462" t="s">
        <v>14</v>
      </c>
      <c r="F462" s="2">
        <v>31</v>
      </c>
      <c r="G462" t="s">
        <v>3206</v>
      </c>
      <c r="H462" t="s">
        <v>10</v>
      </c>
      <c r="I462" t="s">
        <v>11</v>
      </c>
      <c r="J462" t="s">
        <v>3198</v>
      </c>
      <c r="K462" t="s">
        <v>15</v>
      </c>
      <c r="L462" s="2">
        <v>20.1006</v>
      </c>
      <c r="M462" t="s">
        <v>3203</v>
      </c>
      <c r="N462">
        <v>1</v>
      </c>
      <c r="O462">
        <v>1</v>
      </c>
      <c r="P462">
        <v>3</v>
      </c>
      <c r="Q462" t="s">
        <v>3204</v>
      </c>
      <c r="R462" t="s">
        <v>3205</v>
      </c>
      <c r="S462" t="s">
        <v>16</v>
      </c>
    </row>
    <row r="463" spans="1:19" x14ac:dyDescent="0.3">
      <c r="A463" t="s">
        <v>381</v>
      </c>
      <c r="B463" t="s">
        <v>1612</v>
      </c>
      <c r="C463" t="s">
        <v>2025</v>
      </c>
      <c r="D463" t="s">
        <v>3189</v>
      </c>
      <c r="E463" t="s">
        <v>9</v>
      </c>
      <c r="F463" s="2">
        <v>9</v>
      </c>
      <c r="G463" t="s">
        <v>3202</v>
      </c>
      <c r="H463" t="s">
        <v>10</v>
      </c>
      <c r="I463" t="s">
        <v>11</v>
      </c>
      <c r="J463" t="s">
        <v>3198</v>
      </c>
      <c r="K463" t="s">
        <v>15</v>
      </c>
      <c r="L463" s="2">
        <v>46.18</v>
      </c>
      <c r="M463" t="s">
        <v>3211</v>
      </c>
      <c r="N463">
        <v>5</v>
      </c>
      <c r="O463">
        <v>2</v>
      </c>
      <c r="P463">
        <v>8</v>
      </c>
      <c r="Q463" t="s">
        <v>3204</v>
      </c>
      <c r="R463" t="s">
        <v>3201</v>
      </c>
      <c r="S463" t="s">
        <v>13</v>
      </c>
    </row>
    <row r="464" spans="1:19" x14ac:dyDescent="0.3">
      <c r="A464" t="s">
        <v>381</v>
      </c>
      <c r="B464" t="s">
        <v>1612</v>
      </c>
      <c r="C464" t="s">
        <v>2026</v>
      </c>
      <c r="D464" t="s">
        <v>3189</v>
      </c>
      <c r="E464" t="s">
        <v>9</v>
      </c>
      <c r="F464" s="2">
        <v>1</v>
      </c>
      <c r="G464" t="s">
        <v>3208</v>
      </c>
      <c r="H464" t="s">
        <v>10</v>
      </c>
      <c r="I464" t="s">
        <v>11</v>
      </c>
      <c r="J464" t="s">
        <v>3198</v>
      </c>
      <c r="K464" t="s">
        <v>15</v>
      </c>
      <c r="L464" s="2">
        <v>46.18</v>
      </c>
      <c r="M464" t="s">
        <v>3211</v>
      </c>
      <c r="N464">
        <v>5</v>
      </c>
      <c r="O464">
        <v>2</v>
      </c>
      <c r="P464">
        <v>8</v>
      </c>
      <c r="Q464" t="s">
        <v>3204</v>
      </c>
      <c r="R464" t="s">
        <v>3201</v>
      </c>
      <c r="S464" t="s">
        <v>13</v>
      </c>
    </row>
    <row r="465" spans="1:19" x14ac:dyDescent="0.3">
      <c r="A465" t="s">
        <v>381</v>
      </c>
      <c r="B465" t="s">
        <v>1612</v>
      </c>
      <c r="C465" t="s">
        <v>2027</v>
      </c>
      <c r="D465" t="s">
        <v>3189</v>
      </c>
      <c r="E465" t="s">
        <v>9</v>
      </c>
      <c r="F465" s="2">
        <v>11</v>
      </c>
      <c r="G465" t="s">
        <v>3202</v>
      </c>
      <c r="H465" t="s">
        <v>10</v>
      </c>
      <c r="I465" t="s">
        <v>11</v>
      </c>
      <c r="J465" t="s">
        <v>3198</v>
      </c>
      <c r="K465" t="s">
        <v>15</v>
      </c>
      <c r="L465" s="2">
        <v>46.18</v>
      </c>
      <c r="M465" t="s">
        <v>3211</v>
      </c>
      <c r="N465">
        <v>5</v>
      </c>
      <c r="O465">
        <v>2</v>
      </c>
      <c r="P465">
        <v>8</v>
      </c>
      <c r="Q465" t="s">
        <v>3204</v>
      </c>
      <c r="R465" t="s">
        <v>3201</v>
      </c>
      <c r="S465" t="s">
        <v>13</v>
      </c>
    </row>
    <row r="466" spans="1:19" x14ac:dyDescent="0.3">
      <c r="A466" t="s">
        <v>381</v>
      </c>
      <c r="B466" t="s">
        <v>1602</v>
      </c>
      <c r="C466" t="s">
        <v>2028</v>
      </c>
      <c r="D466" t="s">
        <v>3190</v>
      </c>
      <c r="E466" t="s">
        <v>14</v>
      </c>
      <c r="F466" s="2">
        <v>10</v>
      </c>
      <c r="G466" t="s">
        <v>3202</v>
      </c>
      <c r="H466" t="s">
        <v>10</v>
      </c>
      <c r="I466" t="s">
        <v>11</v>
      </c>
      <c r="J466" t="s">
        <v>3198</v>
      </c>
      <c r="K466" t="s">
        <v>15</v>
      </c>
      <c r="L466" s="2">
        <v>46.18</v>
      </c>
      <c r="M466" t="s">
        <v>3211</v>
      </c>
      <c r="N466">
        <v>5</v>
      </c>
      <c r="O466">
        <v>2</v>
      </c>
      <c r="P466">
        <v>8</v>
      </c>
      <c r="Q466" t="s">
        <v>3204</v>
      </c>
      <c r="R466" t="s">
        <v>3201</v>
      </c>
      <c r="S466" t="s">
        <v>13</v>
      </c>
    </row>
    <row r="467" spans="1:19" x14ac:dyDescent="0.3">
      <c r="A467" t="s">
        <v>381</v>
      </c>
      <c r="B467" t="s">
        <v>1602</v>
      </c>
      <c r="C467" t="s">
        <v>2029</v>
      </c>
      <c r="D467" t="s">
        <v>3190</v>
      </c>
      <c r="E467" t="s">
        <v>14</v>
      </c>
      <c r="F467" s="2">
        <v>16</v>
      </c>
      <c r="G467" t="s">
        <v>3202</v>
      </c>
      <c r="H467" t="s">
        <v>10</v>
      </c>
      <c r="I467" t="s">
        <v>11</v>
      </c>
      <c r="J467" t="s">
        <v>3198</v>
      </c>
      <c r="K467" t="s">
        <v>15</v>
      </c>
      <c r="L467" s="2">
        <v>46.18</v>
      </c>
      <c r="M467" t="s">
        <v>3211</v>
      </c>
      <c r="N467">
        <v>5</v>
      </c>
      <c r="O467">
        <v>2</v>
      </c>
      <c r="P467">
        <v>8</v>
      </c>
      <c r="Q467" t="s">
        <v>3204</v>
      </c>
      <c r="R467" t="s">
        <v>3201</v>
      </c>
      <c r="S467" t="s">
        <v>13</v>
      </c>
    </row>
    <row r="468" spans="1:19" x14ac:dyDescent="0.3">
      <c r="A468" t="s">
        <v>381</v>
      </c>
      <c r="B468" t="s">
        <v>1596</v>
      </c>
      <c r="C468" t="s">
        <v>1884</v>
      </c>
      <c r="D468" t="s">
        <v>3189</v>
      </c>
      <c r="E468" t="s">
        <v>9</v>
      </c>
      <c r="F468" s="2">
        <v>14</v>
      </c>
      <c r="G468" t="s">
        <v>3202</v>
      </c>
      <c r="H468" t="s">
        <v>10</v>
      </c>
      <c r="I468" t="s">
        <v>11</v>
      </c>
      <c r="J468" t="s">
        <v>3198</v>
      </c>
      <c r="K468" t="s">
        <v>15</v>
      </c>
      <c r="L468" s="2">
        <v>46.18</v>
      </c>
      <c r="M468" t="s">
        <v>3211</v>
      </c>
      <c r="N468">
        <v>5</v>
      </c>
      <c r="O468">
        <v>2</v>
      </c>
      <c r="P468">
        <v>8</v>
      </c>
      <c r="Q468" t="s">
        <v>3204</v>
      </c>
      <c r="R468" t="s">
        <v>3201</v>
      </c>
      <c r="S468" t="s">
        <v>13</v>
      </c>
    </row>
    <row r="469" spans="1:19" x14ac:dyDescent="0.3">
      <c r="A469" t="s">
        <v>381</v>
      </c>
      <c r="B469" t="s">
        <v>1596</v>
      </c>
      <c r="C469" t="s">
        <v>2030</v>
      </c>
      <c r="D469" t="s">
        <v>3189</v>
      </c>
      <c r="E469" t="s">
        <v>9</v>
      </c>
      <c r="F469" s="2">
        <v>42</v>
      </c>
      <c r="G469" t="s">
        <v>3197</v>
      </c>
      <c r="H469" t="s">
        <v>10</v>
      </c>
      <c r="I469" t="s">
        <v>11</v>
      </c>
      <c r="J469" t="s">
        <v>3198</v>
      </c>
      <c r="K469" t="s">
        <v>15</v>
      </c>
      <c r="L469" s="2">
        <v>46.18</v>
      </c>
      <c r="M469" t="s">
        <v>3211</v>
      </c>
      <c r="N469">
        <v>1</v>
      </c>
      <c r="O469">
        <v>6</v>
      </c>
      <c r="P469">
        <v>8</v>
      </c>
      <c r="Q469" t="s">
        <v>3204</v>
      </c>
      <c r="R469" t="s">
        <v>3201</v>
      </c>
      <c r="S469" t="s">
        <v>13</v>
      </c>
    </row>
    <row r="470" spans="1:19" x14ac:dyDescent="0.3">
      <c r="A470" t="s">
        <v>381</v>
      </c>
      <c r="B470" t="s">
        <v>1600</v>
      </c>
      <c r="C470" t="s">
        <v>2031</v>
      </c>
      <c r="D470" t="s">
        <v>3190</v>
      </c>
      <c r="E470" t="s">
        <v>14</v>
      </c>
      <c r="F470" s="2">
        <v>43</v>
      </c>
      <c r="G470" t="s">
        <v>3197</v>
      </c>
      <c r="H470" t="s">
        <v>10</v>
      </c>
      <c r="I470" t="s">
        <v>11</v>
      </c>
      <c r="J470" t="s">
        <v>3198</v>
      </c>
      <c r="K470" t="s">
        <v>15</v>
      </c>
      <c r="L470" s="2">
        <v>46.18</v>
      </c>
      <c r="M470" t="s">
        <v>3211</v>
      </c>
      <c r="N470">
        <v>1</v>
      </c>
      <c r="O470">
        <v>6</v>
      </c>
      <c r="P470">
        <v>8</v>
      </c>
      <c r="Q470" t="s">
        <v>3204</v>
      </c>
      <c r="R470" t="s">
        <v>3201</v>
      </c>
      <c r="S470" t="s">
        <v>13</v>
      </c>
    </row>
    <row r="471" spans="1:19" x14ac:dyDescent="0.3">
      <c r="A471" t="s">
        <v>382</v>
      </c>
      <c r="B471" t="s">
        <v>1664</v>
      </c>
      <c r="C471" t="s">
        <v>2032</v>
      </c>
      <c r="D471" t="s">
        <v>3189</v>
      </c>
      <c r="E471" t="s">
        <v>9</v>
      </c>
      <c r="F471" s="2">
        <v>53</v>
      </c>
      <c r="G471" t="s">
        <v>3197</v>
      </c>
      <c r="H471" t="s">
        <v>25</v>
      </c>
      <c r="I471" t="s">
        <v>11</v>
      </c>
      <c r="J471" t="s">
        <v>3198</v>
      </c>
      <c r="K471" t="s">
        <v>12</v>
      </c>
      <c r="L471" s="2">
        <v>28.1</v>
      </c>
      <c r="M471" t="s">
        <v>3203</v>
      </c>
      <c r="N471">
        <v>0</v>
      </c>
      <c r="O471">
        <v>0</v>
      </c>
      <c r="P471">
        <v>1</v>
      </c>
      <c r="Q471" t="s">
        <v>3200</v>
      </c>
      <c r="R471" t="s">
        <v>3205</v>
      </c>
      <c r="S471" t="s">
        <v>16</v>
      </c>
    </row>
    <row r="472" spans="1:19" x14ac:dyDescent="0.3">
      <c r="A472" t="s">
        <v>383</v>
      </c>
      <c r="B472" t="s">
        <v>1602</v>
      </c>
      <c r="C472" t="s">
        <v>2033</v>
      </c>
      <c r="D472" t="s">
        <v>3190</v>
      </c>
      <c r="E472" t="s">
        <v>14</v>
      </c>
      <c r="F472" s="2">
        <v>19</v>
      </c>
      <c r="G472" t="s">
        <v>3206</v>
      </c>
      <c r="H472" t="s">
        <v>25</v>
      </c>
      <c r="I472" t="s">
        <v>11</v>
      </c>
      <c r="J472" t="s">
        <v>3198</v>
      </c>
      <c r="K472" t="s">
        <v>15</v>
      </c>
      <c r="L472" s="2">
        <v>153.09030000000001</v>
      </c>
      <c r="M472" t="s">
        <v>3209</v>
      </c>
      <c r="N472">
        <v>0</v>
      </c>
      <c r="O472">
        <v>0</v>
      </c>
      <c r="P472">
        <v>1</v>
      </c>
      <c r="Q472" t="s">
        <v>3200</v>
      </c>
      <c r="R472" t="s">
        <v>3205</v>
      </c>
      <c r="S472" t="s">
        <v>16</v>
      </c>
    </row>
    <row r="473" spans="1:19" x14ac:dyDescent="0.3">
      <c r="A473" t="s">
        <v>383</v>
      </c>
      <c r="B473" t="s">
        <v>1596</v>
      </c>
      <c r="C473" t="s">
        <v>2034</v>
      </c>
      <c r="D473" t="s">
        <v>3189</v>
      </c>
      <c r="E473" t="s">
        <v>9</v>
      </c>
      <c r="F473" s="2">
        <v>38</v>
      </c>
      <c r="G473" t="s">
        <v>3197</v>
      </c>
      <c r="H473" t="s">
        <v>25</v>
      </c>
      <c r="I473" t="s">
        <v>11</v>
      </c>
      <c r="J473" t="s">
        <v>3198</v>
      </c>
      <c r="K473" t="s">
        <v>26</v>
      </c>
      <c r="L473" s="2">
        <v>30</v>
      </c>
      <c r="M473" t="s">
        <v>3203</v>
      </c>
      <c r="N473">
        <v>0</v>
      </c>
      <c r="O473">
        <v>1</v>
      </c>
      <c r="P473">
        <v>2</v>
      </c>
      <c r="Q473" t="s">
        <v>3204</v>
      </c>
      <c r="R473" t="s">
        <v>3201</v>
      </c>
      <c r="S473" t="s">
        <v>13</v>
      </c>
    </row>
    <row r="474" spans="1:19" x14ac:dyDescent="0.3">
      <c r="A474" t="s">
        <v>383</v>
      </c>
      <c r="B474" t="s">
        <v>1600</v>
      </c>
      <c r="C474" t="s">
        <v>2035</v>
      </c>
      <c r="D474" t="s">
        <v>3190</v>
      </c>
      <c r="E474" t="s">
        <v>14</v>
      </c>
      <c r="F474" s="2">
        <v>59</v>
      </c>
      <c r="G474" t="s">
        <v>3210</v>
      </c>
      <c r="H474" t="s">
        <v>25</v>
      </c>
      <c r="I474" t="s">
        <v>11</v>
      </c>
      <c r="J474" t="s">
        <v>3198</v>
      </c>
      <c r="K474" t="s">
        <v>15</v>
      </c>
      <c r="L474" s="2">
        <v>153.09030000000001</v>
      </c>
      <c r="M474" t="s">
        <v>3209</v>
      </c>
      <c r="N474">
        <v>0</v>
      </c>
      <c r="O474">
        <v>1</v>
      </c>
      <c r="P474">
        <v>2</v>
      </c>
      <c r="Q474" t="s">
        <v>3204</v>
      </c>
      <c r="R474" t="s">
        <v>3205</v>
      </c>
      <c r="S474" t="s">
        <v>16</v>
      </c>
    </row>
    <row r="475" spans="1:19" x14ac:dyDescent="0.3">
      <c r="A475" t="s">
        <v>384</v>
      </c>
      <c r="B475" t="s">
        <v>1596</v>
      </c>
      <c r="C475" t="s">
        <v>1605</v>
      </c>
      <c r="D475" t="s">
        <v>3189</v>
      </c>
      <c r="E475" t="s">
        <v>9</v>
      </c>
      <c r="F475" s="2">
        <v>52</v>
      </c>
      <c r="G475" t="s">
        <v>3197</v>
      </c>
      <c r="H475" t="s">
        <v>18</v>
      </c>
      <c r="I475" t="s">
        <v>11</v>
      </c>
      <c r="J475" t="s">
        <v>3198</v>
      </c>
      <c r="K475" t="s">
        <v>41</v>
      </c>
      <c r="L475" s="2">
        <v>13</v>
      </c>
      <c r="M475" t="s">
        <v>3199</v>
      </c>
      <c r="N475">
        <v>0</v>
      </c>
      <c r="O475">
        <v>0</v>
      </c>
      <c r="P475">
        <v>1</v>
      </c>
      <c r="Q475" t="s">
        <v>3200</v>
      </c>
      <c r="R475" t="s">
        <v>3201</v>
      </c>
      <c r="S475" t="s">
        <v>13</v>
      </c>
    </row>
    <row r="476" spans="1:19" x14ac:dyDescent="0.3">
      <c r="A476" t="s">
        <v>385</v>
      </c>
      <c r="B476" t="s">
        <v>1600</v>
      </c>
      <c r="C476" t="s">
        <v>2036</v>
      </c>
      <c r="D476" t="s">
        <v>3190</v>
      </c>
      <c r="E476" t="s">
        <v>14</v>
      </c>
      <c r="F476" s="2">
        <v>45</v>
      </c>
      <c r="G476" t="s">
        <v>3197</v>
      </c>
      <c r="H476" t="s">
        <v>25</v>
      </c>
      <c r="I476" t="s">
        <v>19</v>
      </c>
      <c r="J476" t="s">
        <v>3207</v>
      </c>
      <c r="K476" t="s">
        <v>12</v>
      </c>
      <c r="L476" s="2">
        <v>63.0702</v>
      </c>
      <c r="M476" t="s">
        <v>3211</v>
      </c>
      <c r="N476">
        <v>0</v>
      </c>
      <c r="O476">
        <v>1</v>
      </c>
      <c r="P476">
        <v>2</v>
      </c>
      <c r="Q476" t="s">
        <v>3204</v>
      </c>
      <c r="R476" t="s">
        <v>3205</v>
      </c>
      <c r="S476" t="s">
        <v>16</v>
      </c>
    </row>
    <row r="477" spans="1:19" x14ac:dyDescent="0.3">
      <c r="A477" t="s">
        <v>385</v>
      </c>
      <c r="B477" t="s">
        <v>1596</v>
      </c>
      <c r="C477" t="s">
        <v>2037</v>
      </c>
      <c r="D477" t="s">
        <v>3189</v>
      </c>
      <c r="E477" t="s">
        <v>9</v>
      </c>
      <c r="F477" s="2">
        <v>23</v>
      </c>
      <c r="G477" t="s">
        <v>3206</v>
      </c>
      <c r="H477" t="s">
        <v>25</v>
      </c>
      <c r="I477" t="s">
        <v>19</v>
      </c>
      <c r="J477" t="s">
        <v>3207</v>
      </c>
      <c r="K477" t="s">
        <v>12</v>
      </c>
      <c r="L477" s="2">
        <v>63.0702</v>
      </c>
      <c r="M477" t="s">
        <v>3211</v>
      </c>
      <c r="N477">
        <v>0</v>
      </c>
      <c r="O477">
        <v>1</v>
      </c>
      <c r="P477">
        <v>2</v>
      </c>
      <c r="Q477" t="s">
        <v>3204</v>
      </c>
      <c r="R477" t="s">
        <v>3205</v>
      </c>
      <c r="S477" t="s">
        <v>16</v>
      </c>
    </row>
    <row r="478" spans="1:19" x14ac:dyDescent="0.3">
      <c r="A478" t="s">
        <v>386</v>
      </c>
      <c r="B478" t="s">
        <v>1596</v>
      </c>
      <c r="C478" t="s">
        <v>2038</v>
      </c>
      <c r="D478" t="s">
        <v>3189</v>
      </c>
      <c r="E478" t="s">
        <v>9</v>
      </c>
      <c r="F478" s="2">
        <v>20</v>
      </c>
      <c r="G478" t="s">
        <v>3206</v>
      </c>
      <c r="H478" t="s">
        <v>51</v>
      </c>
      <c r="I478" t="s">
        <v>11</v>
      </c>
      <c r="J478" t="s">
        <v>3198</v>
      </c>
      <c r="K478" t="s">
        <v>15</v>
      </c>
      <c r="L478" s="2">
        <v>33</v>
      </c>
      <c r="M478" t="s">
        <v>3203</v>
      </c>
      <c r="N478">
        <v>1</v>
      </c>
      <c r="O478" t="s">
        <v>30</v>
      </c>
      <c r="P478" t="e">
        <v>#VALUE!</v>
      </c>
      <c r="Q478" t="e">
        <v>#VALUE!</v>
      </c>
      <c r="R478" t="s">
        <v>3201</v>
      </c>
      <c r="S478" t="s">
        <v>13</v>
      </c>
    </row>
    <row r="479" spans="1:19" x14ac:dyDescent="0.3">
      <c r="A479" t="s">
        <v>387</v>
      </c>
      <c r="B479" t="s">
        <v>1596</v>
      </c>
      <c r="C479" t="s">
        <v>2039</v>
      </c>
      <c r="D479" t="s">
        <v>3189</v>
      </c>
      <c r="E479" t="s">
        <v>9</v>
      </c>
      <c r="F479" s="2">
        <v>32</v>
      </c>
      <c r="G479" t="s">
        <v>3206</v>
      </c>
      <c r="H479" t="s">
        <v>10</v>
      </c>
      <c r="I479" t="s">
        <v>11</v>
      </c>
      <c r="J479" t="s">
        <v>3198</v>
      </c>
      <c r="K479" t="s">
        <v>17</v>
      </c>
      <c r="L479" s="2">
        <v>8.0615000000000006</v>
      </c>
      <c r="M479" t="s">
        <v>3199</v>
      </c>
      <c r="N479">
        <v>0</v>
      </c>
      <c r="O479">
        <v>0</v>
      </c>
      <c r="P479">
        <v>1</v>
      </c>
      <c r="Q479" t="s">
        <v>3200</v>
      </c>
      <c r="R479" t="s">
        <v>3201</v>
      </c>
      <c r="S479" t="s">
        <v>13</v>
      </c>
    </row>
    <row r="480" spans="1:19" x14ac:dyDescent="0.3">
      <c r="A480" t="s">
        <v>388</v>
      </c>
      <c r="B480" t="s">
        <v>1596</v>
      </c>
      <c r="C480" t="s">
        <v>1682</v>
      </c>
      <c r="D480" t="s">
        <v>3189</v>
      </c>
      <c r="E480" t="s">
        <v>9</v>
      </c>
      <c r="F480" s="2">
        <v>25</v>
      </c>
      <c r="G480" t="s">
        <v>3206</v>
      </c>
      <c r="H480" t="s">
        <v>10</v>
      </c>
      <c r="I480" t="s">
        <v>11</v>
      </c>
      <c r="J480" t="s">
        <v>3198</v>
      </c>
      <c r="K480" t="s">
        <v>15</v>
      </c>
      <c r="L480" s="2">
        <v>8.01</v>
      </c>
      <c r="M480" t="s">
        <v>3199</v>
      </c>
      <c r="N480">
        <v>0</v>
      </c>
      <c r="O480">
        <v>0</v>
      </c>
      <c r="P480">
        <v>1</v>
      </c>
      <c r="Q480" t="s">
        <v>3200</v>
      </c>
      <c r="R480" t="s">
        <v>3201</v>
      </c>
      <c r="S480" t="s">
        <v>13</v>
      </c>
    </row>
    <row r="481" spans="1:19" x14ac:dyDescent="0.3">
      <c r="A481" t="s">
        <v>389</v>
      </c>
      <c r="B481" t="s">
        <v>1596</v>
      </c>
      <c r="C481" t="s">
        <v>2040</v>
      </c>
      <c r="D481" t="s">
        <v>3189</v>
      </c>
      <c r="E481" t="s">
        <v>9</v>
      </c>
      <c r="F481" s="2">
        <v>46</v>
      </c>
      <c r="G481" t="s">
        <v>3197</v>
      </c>
      <c r="H481" t="s">
        <v>25</v>
      </c>
      <c r="I481" t="s">
        <v>19</v>
      </c>
      <c r="J481" t="s">
        <v>3207</v>
      </c>
      <c r="K481" t="s">
        <v>20</v>
      </c>
      <c r="L481" s="2">
        <v>79.040000000000006</v>
      </c>
      <c r="M481" t="s">
        <v>3211</v>
      </c>
      <c r="N481">
        <v>0</v>
      </c>
      <c r="O481">
        <v>0</v>
      </c>
      <c r="P481">
        <v>1</v>
      </c>
      <c r="Q481" t="s">
        <v>3200</v>
      </c>
      <c r="R481" t="s">
        <v>3201</v>
      </c>
      <c r="S481" t="s">
        <v>13</v>
      </c>
    </row>
    <row r="482" spans="1:19" x14ac:dyDescent="0.3">
      <c r="A482" t="s">
        <v>390</v>
      </c>
      <c r="B482" t="s">
        <v>1596</v>
      </c>
      <c r="C482" t="s">
        <v>2041</v>
      </c>
      <c r="D482" t="s">
        <v>3189</v>
      </c>
      <c r="E482" t="s">
        <v>9</v>
      </c>
      <c r="F482" s="2">
        <v>19</v>
      </c>
      <c r="G482" t="s">
        <v>3206</v>
      </c>
      <c r="H482" t="s">
        <v>10</v>
      </c>
      <c r="I482" t="s">
        <v>11</v>
      </c>
      <c r="J482" t="s">
        <v>3198</v>
      </c>
      <c r="K482" t="s">
        <v>22</v>
      </c>
      <c r="L482" s="2">
        <v>9.1610999999999994</v>
      </c>
      <c r="M482" t="s">
        <v>3199</v>
      </c>
      <c r="N482">
        <v>0</v>
      </c>
      <c r="O482">
        <v>0</v>
      </c>
      <c r="P482">
        <v>1</v>
      </c>
      <c r="Q482" t="s">
        <v>3200</v>
      </c>
      <c r="R482" t="s">
        <v>3201</v>
      </c>
      <c r="S482" t="s">
        <v>13</v>
      </c>
    </row>
    <row r="483" spans="1:19" x14ac:dyDescent="0.3">
      <c r="A483" t="s">
        <v>390</v>
      </c>
      <c r="B483" t="s">
        <v>1596</v>
      </c>
      <c r="C483" t="s">
        <v>2042</v>
      </c>
      <c r="D483" t="s">
        <v>3189</v>
      </c>
      <c r="E483" t="s">
        <v>9</v>
      </c>
      <c r="F483" s="2">
        <v>37</v>
      </c>
      <c r="G483" t="s">
        <v>3197</v>
      </c>
      <c r="H483" t="s">
        <v>10</v>
      </c>
      <c r="I483" t="s">
        <v>11</v>
      </c>
      <c r="J483" t="s">
        <v>3198</v>
      </c>
      <c r="K483" t="s">
        <v>22</v>
      </c>
      <c r="L483" s="2">
        <v>7.1806000000000001</v>
      </c>
      <c r="M483" t="s">
        <v>3199</v>
      </c>
      <c r="N483">
        <v>2</v>
      </c>
      <c r="O483">
        <v>0</v>
      </c>
      <c r="P483">
        <v>3</v>
      </c>
      <c r="Q483" t="s">
        <v>3204</v>
      </c>
      <c r="R483" t="s">
        <v>3201</v>
      </c>
      <c r="S483" t="s">
        <v>13</v>
      </c>
    </row>
    <row r="484" spans="1:19" x14ac:dyDescent="0.3">
      <c r="A484" t="s">
        <v>390</v>
      </c>
      <c r="B484" t="s">
        <v>1596</v>
      </c>
      <c r="C484" t="s">
        <v>2043</v>
      </c>
      <c r="D484" t="s">
        <v>3189</v>
      </c>
      <c r="E484" t="s">
        <v>9</v>
      </c>
      <c r="F484" s="2">
        <v>28</v>
      </c>
      <c r="G484" t="s">
        <v>3206</v>
      </c>
      <c r="H484" t="s">
        <v>10</v>
      </c>
      <c r="I484" t="s">
        <v>11</v>
      </c>
      <c r="J484" t="s">
        <v>3198</v>
      </c>
      <c r="K484" t="s">
        <v>22</v>
      </c>
      <c r="L484" s="2">
        <v>7.1806000000000001</v>
      </c>
      <c r="M484" t="s">
        <v>3199</v>
      </c>
      <c r="N484">
        <v>2</v>
      </c>
      <c r="O484">
        <v>0</v>
      </c>
      <c r="P484">
        <v>3</v>
      </c>
      <c r="Q484" t="s">
        <v>3204</v>
      </c>
      <c r="R484" t="s">
        <v>3201</v>
      </c>
      <c r="S484" t="s">
        <v>13</v>
      </c>
    </row>
    <row r="485" spans="1:19" x14ac:dyDescent="0.3">
      <c r="A485" t="s">
        <v>390</v>
      </c>
      <c r="B485" t="s">
        <v>1596</v>
      </c>
      <c r="C485" t="s">
        <v>2044</v>
      </c>
      <c r="D485" t="s">
        <v>3189</v>
      </c>
      <c r="E485" t="s">
        <v>9</v>
      </c>
      <c r="F485" s="2">
        <v>19</v>
      </c>
      <c r="G485" t="s">
        <v>3206</v>
      </c>
      <c r="H485" t="s">
        <v>10</v>
      </c>
      <c r="I485" t="s">
        <v>11</v>
      </c>
      <c r="J485" t="s">
        <v>3198</v>
      </c>
      <c r="K485" t="s">
        <v>23</v>
      </c>
      <c r="L485" s="2">
        <v>7.1505999999999998</v>
      </c>
      <c r="M485" t="s">
        <v>3199</v>
      </c>
      <c r="N485">
        <v>0</v>
      </c>
      <c r="O485">
        <v>0</v>
      </c>
      <c r="P485">
        <v>1</v>
      </c>
      <c r="Q485" t="s">
        <v>3200</v>
      </c>
      <c r="R485" t="s">
        <v>3201</v>
      </c>
      <c r="S485" t="s">
        <v>13</v>
      </c>
    </row>
    <row r="486" spans="1:19" x14ac:dyDescent="0.3">
      <c r="A486" t="s">
        <v>391</v>
      </c>
      <c r="B486" t="s">
        <v>1602</v>
      </c>
      <c r="C486" t="s">
        <v>2045</v>
      </c>
      <c r="D486" t="s">
        <v>3190</v>
      </c>
      <c r="E486" t="s">
        <v>14</v>
      </c>
      <c r="F486" s="2">
        <v>24</v>
      </c>
      <c r="G486" t="s">
        <v>3206</v>
      </c>
      <c r="H486" t="s">
        <v>10</v>
      </c>
      <c r="I486" t="s">
        <v>11</v>
      </c>
      <c r="J486" t="s">
        <v>3198</v>
      </c>
      <c r="K486" t="s">
        <v>32</v>
      </c>
      <c r="L486" s="2">
        <v>8.17</v>
      </c>
      <c r="M486" t="s">
        <v>3199</v>
      </c>
      <c r="N486">
        <v>0</v>
      </c>
      <c r="O486">
        <v>0</v>
      </c>
      <c r="P486">
        <v>1</v>
      </c>
      <c r="Q486" t="s">
        <v>3200</v>
      </c>
      <c r="R486" t="s">
        <v>3201</v>
      </c>
      <c r="S486" t="s">
        <v>13</v>
      </c>
    </row>
    <row r="487" spans="1:19" x14ac:dyDescent="0.3">
      <c r="A487" t="s">
        <v>392</v>
      </c>
      <c r="B487" t="s">
        <v>1596</v>
      </c>
      <c r="C487" t="s">
        <v>2046</v>
      </c>
      <c r="D487" t="s">
        <v>3189</v>
      </c>
      <c r="E487" t="s">
        <v>9</v>
      </c>
      <c r="F487" s="2">
        <v>28</v>
      </c>
      <c r="G487" t="s">
        <v>3206</v>
      </c>
      <c r="H487" t="s">
        <v>10</v>
      </c>
      <c r="I487" t="s">
        <v>11</v>
      </c>
      <c r="J487" t="s">
        <v>3198</v>
      </c>
      <c r="K487" t="s">
        <v>17</v>
      </c>
      <c r="L487" s="2">
        <v>6.1904000000000003</v>
      </c>
      <c r="M487" t="s">
        <v>3199</v>
      </c>
      <c r="N487">
        <v>1</v>
      </c>
      <c r="O487">
        <v>0</v>
      </c>
      <c r="P487">
        <v>2</v>
      </c>
      <c r="Q487" t="s">
        <v>3204</v>
      </c>
      <c r="R487" t="s">
        <v>3201</v>
      </c>
      <c r="S487" t="s">
        <v>13</v>
      </c>
    </row>
    <row r="488" spans="1:19" x14ac:dyDescent="0.3">
      <c r="A488" t="s">
        <v>392</v>
      </c>
      <c r="B488" t="s">
        <v>1596</v>
      </c>
      <c r="C488" t="s">
        <v>2047</v>
      </c>
      <c r="D488" t="s">
        <v>3189</v>
      </c>
      <c r="E488" t="s">
        <v>9</v>
      </c>
      <c r="F488" s="2">
        <v>19</v>
      </c>
      <c r="G488" t="s">
        <v>3206</v>
      </c>
      <c r="H488" t="s">
        <v>10</v>
      </c>
      <c r="I488" t="s">
        <v>11</v>
      </c>
      <c r="J488" t="s">
        <v>3198</v>
      </c>
      <c r="K488" t="s">
        <v>17</v>
      </c>
      <c r="L488" s="2">
        <v>6.1904000000000003</v>
      </c>
      <c r="M488" t="s">
        <v>3199</v>
      </c>
      <c r="N488">
        <v>1</v>
      </c>
      <c r="O488">
        <v>0</v>
      </c>
      <c r="P488">
        <v>2</v>
      </c>
      <c r="Q488" t="s">
        <v>3204</v>
      </c>
      <c r="R488" t="s">
        <v>3201</v>
      </c>
      <c r="S488" t="s">
        <v>13</v>
      </c>
    </row>
    <row r="489" spans="1:19" x14ac:dyDescent="0.3">
      <c r="A489" t="s">
        <v>393</v>
      </c>
      <c r="B489" t="s">
        <v>1596</v>
      </c>
      <c r="C489" t="s">
        <v>2048</v>
      </c>
      <c r="D489" t="s">
        <v>3189</v>
      </c>
      <c r="E489" t="s">
        <v>9</v>
      </c>
      <c r="F489" s="2">
        <v>28</v>
      </c>
      <c r="G489" t="s">
        <v>3206</v>
      </c>
      <c r="H489" t="s">
        <v>10</v>
      </c>
      <c r="I489" t="s">
        <v>11</v>
      </c>
      <c r="J489" t="s">
        <v>3198</v>
      </c>
      <c r="K489" t="s">
        <v>22</v>
      </c>
      <c r="L489" s="2">
        <v>15.17</v>
      </c>
      <c r="M489" t="s">
        <v>3203</v>
      </c>
      <c r="N489">
        <v>1</v>
      </c>
      <c r="O489">
        <v>0</v>
      </c>
      <c r="P489">
        <v>2</v>
      </c>
      <c r="Q489" t="s">
        <v>3204</v>
      </c>
      <c r="R489" t="s">
        <v>3201</v>
      </c>
      <c r="S489" t="s">
        <v>13</v>
      </c>
    </row>
    <row r="490" spans="1:19" x14ac:dyDescent="0.3">
      <c r="A490" t="s">
        <v>393</v>
      </c>
      <c r="B490" t="s">
        <v>1600</v>
      </c>
      <c r="C490" t="s">
        <v>2049</v>
      </c>
      <c r="D490" t="s">
        <v>3190</v>
      </c>
      <c r="E490" t="s">
        <v>14</v>
      </c>
      <c r="F490" s="2">
        <v>24</v>
      </c>
      <c r="G490" t="s">
        <v>3206</v>
      </c>
      <c r="H490" t="s">
        <v>10</v>
      </c>
      <c r="I490" t="s">
        <v>11</v>
      </c>
      <c r="J490" t="s">
        <v>3198</v>
      </c>
      <c r="K490" t="s">
        <v>22</v>
      </c>
      <c r="L490" s="2">
        <v>15.17</v>
      </c>
      <c r="M490" t="s">
        <v>3203</v>
      </c>
      <c r="N490">
        <v>1</v>
      </c>
      <c r="O490">
        <v>0</v>
      </c>
      <c r="P490">
        <v>2</v>
      </c>
      <c r="Q490" t="s">
        <v>3204</v>
      </c>
      <c r="R490" t="s">
        <v>3205</v>
      </c>
      <c r="S490" t="s">
        <v>16</v>
      </c>
    </row>
    <row r="491" spans="1:19" x14ac:dyDescent="0.3">
      <c r="A491" t="s">
        <v>394</v>
      </c>
      <c r="B491" t="s">
        <v>1596</v>
      </c>
      <c r="C491" t="s">
        <v>2050</v>
      </c>
      <c r="D491" t="s">
        <v>3189</v>
      </c>
      <c r="E491" t="s">
        <v>9</v>
      </c>
      <c r="F491" s="2">
        <v>30</v>
      </c>
      <c r="G491" t="s">
        <v>3206</v>
      </c>
      <c r="H491" t="s">
        <v>18</v>
      </c>
      <c r="I491" t="s">
        <v>11</v>
      </c>
      <c r="J491" t="s">
        <v>3198</v>
      </c>
      <c r="K491" t="s">
        <v>15</v>
      </c>
      <c r="L491" s="2">
        <v>13</v>
      </c>
      <c r="M491" t="s">
        <v>3199</v>
      </c>
      <c r="N491">
        <v>0</v>
      </c>
      <c r="O491">
        <v>0</v>
      </c>
      <c r="P491">
        <v>1</v>
      </c>
      <c r="Q491" t="s">
        <v>3200</v>
      </c>
      <c r="R491" t="s">
        <v>3201</v>
      </c>
      <c r="S491" t="s">
        <v>13</v>
      </c>
    </row>
    <row r="492" spans="1:19" x14ac:dyDescent="0.3">
      <c r="A492" t="s">
        <v>395</v>
      </c>
      <c r="B492" t="s">
        <v>1612</v>
      </c>
      <c r="C492" t="s">
        <v>2051</v>
      </c>
      <c r="D492" t="s">
        <v>3189</v>
      </c>
      <c r="E492" t="s">
        <v>9</v>
      </c>
      <c r="F492" s="2">
        <v>0.58333333330000003</v>
      </c>
      <c r="G492" t="s">
        <v>3208</v>
      </c>
      <c r="H492" t="s">
        <v>18</v>
      </c>
      <c r="I492" t="s">
        <v>11</v>
      </c>
      <c r="J492" t="s">
        <v>3198</v>
      </c>
      <c r="K492" t="s">
        <v>12</v>
      </c>
      <c r="L492" s="2">
        <v>14.1</v>
      </c>
      <c r="M492" t="s">
        <v>3199</v>
      </c>
      <c r="N492">
        <v>1</v>
      </c>
      <c r="O492">
        <v>1</v>
      </c>
      <c r="P492">
        <v>3</v>
      </c>
      <c r="Q492" t="s">
        <v>3204</v>
      </c>
      <c r="R492" t="s">
        <v>3205</v>
      </c>
      <c r="S492" t="s">
        <v>16</v>
      </c>
    </row>
    <row r="493" spans="1:19" x14ac:dyDescent="0.3">
      <c r="A493" t="s">
        <v>395</v>
      </c>
      <c r="B493" t="s">
        <v>1600</v>
      </c>
      <c r="C493" t="s">
        <v>1912</v>
      </c>
      <c r="D493" t="s">
        <v>3190</v>
      </c>
      <c r="E493" t="s">
        <v>14</v>
      </c>
      <c r="F493" s="2">
        <v>23</v>
      </c>
      <c r="G493" t="s">
        <v>3206</v>
      </c>
      <c r="H493" t="s">
        <v>18</v>
      </c>
      <c r="I493" t="s">
        <v>11</v>
      </c>
      <c r="J493" t="s">
        <v>3198</v>
      </c>
      <c r="K493" t="s">
        <v>12</v>
      </c>
      <c r="L493" s="2">
        <v>14.1</v>
      </c>
      <c r="M493" t="s">
        <v>3199</v>
      </c>
      <c r="N493">
        <v>0</v>
      </c>
      <c r="O493">
        <v>2</v>
      </c>
      <c r="P493">
        <v>3</v>
      </c>
      <c r="Q493" t="s">
        <v>3204</v>
      </c>
      <c r="R493" t="s">
        <v>3205</v>
      </c>
      <c r="S493" t="s">
        <v>16</v>
      </c>
    </row>
    <row r="494" spans="1:19" x14ac:dyDescent="0.3">
      <c r="A494" t="s">
        <v>396</v>
      </c>
      <c r="B494" t="s">
        <v>1596</v>
      </c>
      <c r="C494" t="s">
        <v>2052</v>
      </c>
      <c r="D494" t="s">
        <v>3189</v>
      </c>
      <c r="E494" t="s">
        <v>9</v>
      </c>
      <c r="F494" s="2">
        <v>19</v>
      </c>
      <c r="G494" t="s">
        <v>3206</v>
      </c>
      <c r="H494" t="s">
        <v>10</v>
      </c>
      <c r="I494" t="s">
        <v>11</v>
      </c>
      <c r="J494" t="s">
        <v>3198</v>
      </c>
      <c r="K494" t="s">
        <v>46</v>
      </c>
      <c r="L494" s="2">
        <v>9.1</v>
      </c>
      <c r="M494" t="s">
        <v>3199</v>
      </c>
      <c r="N494">
        <v>0</v>
      </c>
      <c r="O494">
        <v>0</v>
      </c>
      <c r="P494">
        <v>1</v>
      </c>
      <c r="Q494" t="s">
        <v>3200</v>
      </c>
      <c r="R494" t="s">
        <v>3201</v>
      </c>
      <c r="S494" t="s">
        <v>13</v>
      </c>
    </row>
    <row r="495" spans="1:19" x14ac:dyDescent="0.3">
      <c r="A495" t="s">
        <v>397</v>
      </c>
      <c r="B495" t="s">
        <v>1596</v>
      </c>
      <c r="C495" t="s">
        <v>2053</v>
      </c>
      <c r="D495" t="s">
        <v>3189</v>
      </c>
      <c r="E495" t="s">
        <v>9</v>
      </c>
      <c r="F495" s="2">
        <v>27</v>
      </c>
      <c r="G495" t="s">
        <v>3206</v>
      </c>
      <c r="H495" t="s">
        <v>10</v>
      </c>
      <c r="I495" t="s">
        <v>19</v>
      </c>
      <c r="J495" t="s">
        <v>3207</v>
      </c>
      <c r="K495" t="s">
        <v>21</v>
      </c>
      <c r="L495" s="2">
        <v>7.0407000000000002</v>
      </c>
      <c r="M495" t="s">
        <v>3199</v>
      </c>
      <c r="N495">
        <v>0</v>
      </c>
      <c r="O495">
        <v>0</v>
      </c>
      <c r="P495">
        <v>1</v>
      </c>
      <c r="Q495" t="s">
        <v>3200</v>
      </c>
      <c r="R495" t="s">
        <v>3205</v>
      </c>
      <c r="S495" t="s">
        <v>16</v>
      </c>
    </row>
    <row r="496" spans="1:19" x14ac:dyDescent="0.3">
      <c r="A496" t="s">
        <v>398</v>
      </c>
      <c r="B496" t="s">
        <v>1596</v>
      </c>
      <c r="C496" t="s">
        <v>2054</v>
      </c>
      <c r="D496" t="s">
        <v>3189</v>
      </c>
      <c r="E496" t="s">
        <v>9</v>
      </c>
      <c r="F496" s="2">
        <v>18</v>
      </c>
      <c r="G496" t="s">
        <v>3206</v>
      </c>
      <c r="H496" t="s">
        <v>10</v>
      </c>
      <c r="I496" t="s">
        <v>19</v>
      </c>
      <c r="J496" t="s">
        <v>3207</v>
      </c>
      <c r="K496" t="s">
        <v>21</v>
      </c>
      <c r="L496" s="2">
        <v>7.0406000000000004</v>
      </c>
      <c r="M496" t="s">
        <v>3199</v>
      </c>
      <c r="N496">
        <v>0</v>
      </c>
      <c r="O496">
        <v>0</v>
      </c>
      <c r="P496">
        <v>1</v>
      </c>
      <c r="Q496" t="s">
        <v>3200</v>
      </c>
      <c r="R496" t="s">
        <v>3201</v>
      </c>
      <c r="S496" t="s">
        <v>13</v>
      </c>
    </row>
    <row r="497" spans="1:19" x14ac:dyDescent="0.3">
      <c r="A497" t="s">
        <v>398</v>
      </c>
      <c r="B497" t="s">
        <v>1596</v>
      </c>
      <c r="C497" t="s">
        <v>2055</v>
      </c>
      <c r="D497" t="s">
        <v>3189</v>
      </c>
      <c r="E497" t="s">
        <v>9</v>
      </c>
      <c r="F497" s="2">
        <v>35</v>
      </c>
      <c r="G497" t="s">
        <v>3206</v>
      </c>
      <c r="H497" t="s">
        <v>10</v>
      </c>
      <c r="I497" t="s">
        <v>19</v>
      </c>
      <c r="J497" t="s">
        <v>3207</v>
      </c>
      <c r="K497" t="s">
        <v>21</v>
      </c>
      <c r="L497" s="2">
        <v>7.0407000000000002</v>
      </c>
      <c r="M497" t="s">
        <v>3199</v>
      </c>
      <c r="N497">
        <v>0</v>
      </c>
      <c r="O497">
        <v>0</v>
      </c>
      <c r="P497">
        <v>1</v>
      </c>
      <c r="Q497" t="s">
        <v>3200</v>
      </c>
      <c r="R497" t="s">
        <v>3201</v>
      </c>
      <c r="S497" t="s">
        <v>13</v>
      </c>
    </row>
    <row r="498" spans="1:19" x14ac:dyDescent="0.3">
      <c r="A498" t="s">
        <v>399</v>
      </c>
      <c r="B498" t="s">
        <v>1596</v>
      </c>
      <c r="C498" t="s">
        <v>2056</v>
      </c>
      <c r="D498" t="s">
        <v>3189</v>
      </c>
      <c r="E498" t="s">
        <v>9</v>
      </c>
      <c r="F498" s="2">
        <v>41</v>
      </c>
      <c r="G498" t="s">
        <v>3197</v>
      </c>
      <c r="H498" t="s">
        <v>10</v>
      </c>
      <c r="I498" t="s">
        <v>11</v>
      </c>
      <c r="J498" t="s">
        <v>3198</v>
      </c>
      <c r="K498" t="s">
        <v>12</v>
      </c>
      <c r="L498" s="2">
        <v>14.020200000000001</v>
      </c>
      <c r="M498" t="s">
        <v>3199</v>
      </c>
      <c r="N498">
        <v>2</v>
      </c>
      <c r="O498">
        <v>0</v>
      </c>
      <c r="P498">
        <v>3</v>
      </c>
      <c r="Q498" t="s">
        <v>3204</v>
      </c>
      <c r="R498" t="s">
        <v>3201</v>
      </c>
      <c r="S498" t="s">
        <v>13</v>
      </c>
    </row>
    <row r="499" spans="1:19" x14ac:dyDescent="0.3">
      <c r="A499" t="s">
        <v>399</v>
      </c>
      <c r="B499" t="s">
        <v>1596</v>
      </c>
      <c r="C499" t="s">
        <v>2057</v>
      </c>
      <c r="D499" t="s">
        <v>3189</v>
      </c>
      <c r="E499" t="s">
        <v>9</v>
      </c>
      <c r="F499" s="2">
        <v>26</v>
      </c>
      <c r="G499" t="s">
        <v>3206</v>
      </c>
      <c r="H499" t="s">
        <v>10</v>
      </c>
      <c r="I499" t="s">
        <v>11</v>
      </c>
      <c r="J499" t="s">
        <v>3198</v>
      </c>
      <c r="K499" t="s">
        <v>27</v>
      </c>
      <c r="L499" s="2">
        <v>7.1700999999999997</v>
      </c>
      <c r="M499" t="s">
        <v>3199</v>
      </c>
      <c r="N499">
        <v>1</v>
      </c>
      <c r="O499">
        <v>0</v>
      </c>
      <c r="P499">
        <v>2</v>
      </c>
      <c r="Q499" t="s">
        <v>3204</v>
      </c>
      <c r="R499" t="s">
        <v>3201</v>
      </c>
      <c r="S499" t="s">
        <v>13</v>
      </c>
    </row>
    <row r="500" spans="1:19" x14ac:dyDescent="0.3">
      <c r="A500" t="s">
        <v>399</v>
      </c>
      <c r="B500" t="s">
        <v>1596</v>
      </c>
      <c r="C500" t="s">
        <v>2058</v>
      </c>
      <c r="D500" t="s">
        <v>3189</v>
      </c>
      <c r="E500" t="s">
        <v>9</v>
      </c>
      <c r="F500" s="2">
        <v>21</v>
      </c>
      <c r="G500" t="s">
        <v>3206</v>
      </c>
      <c r="H500" t="s">
        <v>10</v>
      </c>
      <c r="I500" t="s">
        <v>11</v>
      </c>
      <c r="J500" t="s">
        <v>3198</v>
      </c>
      <c r="K500" t="s">
        <v>27</v>
      </c>
      <c r="L500" s="2">
        <v>7.1700999999999997</v>
      </c>
      <c r="M500" t="s">
        <v>3199</v>
      </c>
      <c r="N500">
        <v>0</v>
      </c>
      <c r="O500">
        <v>0</v>
      </c>
      <c r="P500">
        <v>1</v>
      </c>
      <c r="Q500" t="s">
        <v>3200</v>
      </c>
      <c r="R500" t="s">
        <v>3201</v>
      </c>
      <c r="S500" t="s">
        <v>13</v>
      </c>
    </row>
    <row r="501" spans="1:19" x14ac:dyDescent="0.3">
      <c r="A501" t="s">
        <v>399</v>
      </c>
      <c r="B501" t="s">
        <v>1600</v>
      </c>
      <c r="C501" t="s">
        <v>2059</v>
      </c>
      <c r="D501" t="s">
        <v>3190</v>
      </c>
      <c r="E501" t="s">
        <v>14</v>
      </c>
      <c r="F501" s="2">
        <v>45</v>
      </c>
      <c r="G501" t="s">
        <v>3197</v>
      </c>
      <c r="H501" t="s">
        <v>10</v>
      </c>
      <c r="I501" t="s">
        <v>11</v>
      </c>
      <c r="J501" t="s">
        <v>3198</v>
      </c>
      <c r="K501" t="s">
        <v>12</v>
      </c>
      <c r="L501" s="2">
        <v>14.020200000000001</v>
      </c>
      <c r="M501" t="s">
        <v>3199</v>
      </c>
      <c r="N501">
        <v>1</v>
      </c>
      <c r="O501">
        <v>0</v>
      </c>
      <c r="P501">
        <v>2</v>
      </c>
      <c r="Q501" t="s">
        <v>3204</v>
      </c>
      <c r="R501" t="s">
        <v>3205</v>
      </c>
      <c r="S501" t="s">
        <v>16</v>
      </c>
    </row>
    <row r="502" spans="1:19" x14ac:dyDescent="0.3">
      <c r="A502" t="s">
        <v>400</v>
      </c>
      <c r="B502" t="s">
        <v>1596</v>
      </c>
      <c r="C502" t="s">
        <v>2060</v>
      </c>
      <c r="D502" t="s">
        <v>3189</v>
      </c>
      <c r="E502" t="s">
        <v>9</v>
      </c>
      <c r="F502" s="2">
        <v>45</v>
      </c>
      <c r="G502" t="s">
        <v>3197</v>
      </c>
      <c r="H502" t="s">
        <v>18</v>
      </c>
      <c r="I502" t="s">
        <v>11</v>
      </c>
      <c r="J502" t="s">
        <v>3198</v>
      </c>
      <c r="K502" t="s">
        <v>12</v>
      </c>
      <c r="L502" s="2">
        <v>13</v>
      </c>
      <c r="M502" t="s">
        <v>3199</v>
      </c>
      <c r="N502">
        <v>0</v>
      </c>
      <c r="O502">
        <v>0</v>
      </c>
      <c r="P502">
        <v>1</v>
      </c>
      <c r="Q502" t="s">
        <v>3200</v>
      </c>
      <c r="R502" t="s">
        <v>3201</v>
      </c>
      <c r="S502" t="s">
        <v>13</v>
      </c>
    </row>
    <row r="503" spans="1:19" x14ac:dyDescent="0.3">
      <c r="A503" t="s">
        <v>401</v>
      </c>
      <c r="B503" t="s">
        <v>1596</v>
      </c>
      <c r="C503" t="s">
        <v>2061</v>
      </c>
      <c r="D503" t="s">
        <v>3189</v>
      </c>
      <c r="E503" t="s">
        <v>9</v>
      </c>
      <c r="F503" s="2">
        <v>25</v>
      </c>
      <c r="G503" t="s">
        <v>3206</v>
      </c>
      <c r="H503" t="s">
        <v>25</v>
      </c>
      <c r="I503" t="s">
        <v>19</v>
      </c>
      <c r="J503" t="s">
        <v>3207</v>
      </c>
      <c r="K503" t="s">
        <v>12</v>
      </c>
      <c r="L503" s="2">
        <v>55.081000000000003</v>
      </c>
      <c r="M503" t="s">
        <v>3211</v>
      </c>
      <c r="N503">
        <v>1</v>
      </c>
      <c r="O503">
        <v>0</v>
      </c>
      <c r="P503">
        <v>2</v>
      </c>
      <c r="Q503" t="s">
        <v>3204</v>
      </c>
      <c r="R503" t="s">
        <v>3205</v>
      </c>
      <c r="S503" t="s">
        <v>16</v>
      </c>
    </row>
    <row r="504" spans="1:19" x14ac:dyDescent="0.3">
      <c r="A504" t="s">
        <v>401</v>
      </c>
      <c r="B504" t="s">
        <v>1600</v>
      </c>
      <c r="C504" t="s">
        <v>2062</v>
      </c>
      <c r="D504" t="s">
        <v>3190</v>
      </c>
      <c r="E504" t="s">
        <v>14</v>
      </c>
      <c r="F504" s="2">
        <v>21</v>
      </c>
      <c r="G504" t="s">
        <v>3206</v>
      </c>
      <c r="H504" t="s">
        <v>25</v>
      </c>
      <c r="I504" t="s">
        <v>19</v>
      </c>
      <c r="J504" t="s">
        <v>3207</v>
      </c>
      <c r="K504" t="s">
        <v>12</v>
      </c>
      <c r="L504" s="2">
        <v>55.081000000000003</v>
      </c>
      <c r="M504" t="s">
        <v>3211</v>
      </c>
      <c r="N504">
        <v>1</v>
      </c>
      <c r="O504">
        <v>0</v>
      </c>
      <c r="P504">
        <v>2</v>
      </c>
      <c r="Q504" t="s">
        <v>3204</v>
      </c>
      <c r="R504" t="s">
        <v>3205</v>
      </c>
      <c r="S504" t="s">
        <v>16</v>
      </c>
    </row>
    <row r="505" spans="1:19" x14ac:dyDescent="0.3">
      <c r="A505" t="s">
        <v>402</v>
      </c>
      <c r="B505" t="s">
        <v>1602</v>
      </c>
      <c r="C505" t="s">
        <v>1735</v>
      </c>
      <c r="D505" t="s">
        <v>3190</v>
      </c>
      <c r="E505" t="s">
        <v>14</v>
      </c>
      <c r="F505" s="2">
        <v>17</v>
      </c>
      <c r="G505" t="s">
        <v>3202</v>
      </c>
      <c r="H505" t="s">
        <v>10</v>
      </c>
      <c r="I505" t="s">
        <v>36</v>
      </c>
      <c r="J505" t="s">
        <v>3213</v>
      </c>
      <c r="K505" t="s">
        <v>37</v>
      </c>
      <c r="L505" s="2">
        <v>7.1407999999999996</v>
      </c>
      <c r="M505" t="s">
        <v>3199</v>
      </c>
      <c r="N505">
        <v>0</v>
      </c>
      <c r="O505">
        <v>0</v>
      </c>
      <c r="P505">
        <v>1</v>
      </c>
      <c r="Q505" t="s">
        <v>3200</v>
      </c>
      <c r="R505" t="s">
        <v>3201</v>
      </c>
      <c r="S505" t="s">
        <v>13</v>
      </c>
    </row>
    <row r="506" spans="1:19" x14ac:dyDescent="0.3">
      <c r="A506" t="s">
        <v>403</v>
      </c>
      <c r="B506" t="s">
        <v>1602</v>
      </c>
      <c r="C506" t="s">
        <v>2063</v>
      </c>
      <c r="D506" t="s">
        <v>3190</v>
      </c>
      <c r="E506" t="s">
        <v>14</v>
      </c>
      <c r="F506" s="2">
        <v>21</v>
      </c>
      <c r="G506" t="s">
        <v>3206</v>
      </c>
      <c r="H506" t="s">
        <v>10</v>
      </c>
      <c r="I506" t="s">
        <v>11</v>
      </c>
      <c r="J506" t="s">
        <v>3198</v>
      </c>
      <c r="K506" t="s">
        <v>15</v>
      </c>
      <c r="L506" s="2">
        <v>7.11</v>
      </c>
      <c r="M506" t="s">
        <v>3199</v>
      </c>
      <c r="N506">
        <v>0</v>
      </c>
      <c r="O506">
        <v>0</v>
      </c>
      <c r="P506">
        <v>1</v>
      </c>
      <c r="Q506" t="s">
        <v>3200</v>
      </c>
      <c r="R506" t="s">
        <v>3201</v>
      </c>
      <c r="S506" t="s">
        <v>13</v>
      </c>
    </row>
    <row r="507" spans="1:19" x14ac:dyDescent="0.3">
      <c r="A507" t="s">
        <v>404</v>
      </c>
      <c r="B507" t="s">
        <v>1602</v>
      </c>
      <c r="C507" t="s">
        <v>2064</v>
      </c>
      <c r="D507" t="s">
        <v>3190</v>
      </c>
      <c r="E507" t="s">
        <v>14</v>
      </c>
      <c r="F507" s="2">
        <v>6</v>
      </c>
      <c r="G507" t="s">
        <v>3208</v>
      </c>
      <c r="H507" t="s">
        <v>18</v>
      </c>
      <c r="I507" t="s">
        <v>11</v>
      </c>
      <c r="J507" t="s">
        <v>3198</v>
      </c>
      <c r="K507" t="s">
        <v>43</v>
      </c>
      <c r="L507" s="2">
        <v>33</v>
      </c>
      <c r="M507" t="s">
        <v>3203</v>
      </c>
      <c r="N507">
        <v>0</v>
      </c>
      <c r="O507">
        <v>1</v>
      </c>
      <c r="P507">
        <v>2</v>
      </c>
      <c r="Q507" t="s">
        <v>3204</v>
      </c>
      <c r="R507" t="s">
        <v>3205</v>
      </c>
      <c r="S507" t="s">
        <v>16</v>
      </c>
    </row>
    <row r="508" spans="1:19" x14ac:dyDescent="0.3">
      <c r="A508" t="s">
        <v>404</v>
      </c>
      <c r="B508" t="s">
        <v>1596</v>
      </c>
      <c r="C508" t="s">
        <v>2065</v>
      </c>
      <c r="D508" t="s">
        <v>3189</v>
      </c>
      <c r="E508" t="s">
        <v>9</v>
      </c>
      <c r="F508" s="2">
        <v>48</v>
      </c>
      <c r="G508" t="s">
        <v>3197</v>
      </c>
      <c r="H508" t="s">
        <v>25</v>
      </c>
      <c r="I508" t="s">
        <v>19</v>
      </c>
      <c r="J508" t="s">
        <v>3207</v>
      </c>
      <c r="K508" t="s">
        <v>12</v>
      </c>
      <c r="L508" s="2">
        <v>76.140699999999995</v>
      </c>
      <c r="M508" t="s">
        <v>3211</v>
      </c>
      <c r="N508">
        <v>1</v>
      </c>
      <c r="O508">
        <v>0</v>
      </c>
      <c r="P508">
        <v>2</v>
      </c>
      <c r="Q508" t="s">
        <v>3204</v>
      </c>
      <c r="R508" t="s">
        <v>3205</v>
      </c>
      <c r="S508" t="s">
        <v>16</v>
      </c>
    </row>
    <row r="509" spans="1:19" x14ac:dyDescent="0.3">
      <c r="A509" t="s">
        <v>404</v>
      </c>
      <c r="B509" t="s">
        <v>1600</v>
      </c>
      <c r="C509" t="s">
        <v>2066</v>
      </c>
      <c r="D509" t="s">
        <v>3190</v>
      </c>
      <c r="E509" t="s">
        <v>14</v>
      </c>
      <c r="F509" s="2">
        <v>49</v>
      </c>
      <c r="G509" t="s">
        <v>3197</v>
      </c>
      <c r="H509" t="s">
        <v>25</v>
      </c>
      <c r="I509" t="s">
        <v>19</v>
      </c>
      <c r="J509" t="s">
        <v>3207</v>
      </c>
      <c r="K509" t="s">
        <v>12</v>
      </c>
      <c r="L509" s="2">
        <v>76.140699999999995</v>
      </c>
      <c r="M509" t="s">
        <v>3211</v>
      </c>
      <c r="N509">
        <v>1</v>
      </c>
      <c r="O509">
        <v>0</v>
      </c>
      <c r="P509">
        <v>2</v>
      </c>
      <c r="Q509" t="s">
        <v>3204</v>
      </c>
      <c r="R509" t="s">
        <v>3205</v>
      </c>
      <c r="S509" t="s">
        <v>16</v>
      </c>
    </row>
    <row r="510" spans="1:19" x14ac:dyDescent="0.3">
      <c r="A510" t="s">
        <v>404</v>
      </c>
      <c r="B510" t="s">
        <v>2067</v>
      </c>
      <c r="C510" t="s">
        <v>1610</v>
      </c>
      <c r="D510" t="s">
        <v>3189</v>
      </c>
      <c r="E510" t="s">
        <v>9</v>
      </c>
      <c r="F510" s="2">
        <v>39</v>
      </c>
      <c r="G510" t="s">
        <v>3197</v>
      </c>
      <c r="H510" t="s">
        <v>18</v>
      </c>
      <c r="I510" t="s">
        <v>11</v>
      </c>
      <c r="J510" t="s">
        <v>3198</v>
      </c>
      <c r="K510" t="s">
        <v>43</v>
      </c>
      <c r="L510" s="2">
        <v>33</v>
      </c>
      <c r="M510" t="s">
        <v>3203</v>
      </c>
      <c r="N510">
        <v>0</v>
      </c>
      <c r="O510">
        <v>1</v>
      </c>
      <c r="P510">
        <v>2</v>
      </c>
      <c r="Q510" t="s">
        <v>3204</v>
      </c>
      <c r="R510" t="s">
        <v>3201</v>
      </c>
      <c r="S510" t="s">
        <v>13</v>
      </c>
    </row>
    <row r="511" spans="1:19" x14ac:dyDescent="0.3">
      <c r="A511" t="s">
        <v>405</v>
      </c>
      <c r="B511" t="s">
        <v>1596</v>
      </c>
      <c r="C511" t="s">
        <v>1821</v>
      </c>
      <c r="D511" t="s">
        <v>3189</v>
      </c>
      <c r="E511" t="s">
        <v>9</v>
      </c>
      <c r="F511" s="2">
        <v>37</v>
      </c>
      <c r="G511" t="s">
        <v>3197</v>
      </c>
      <c r="H511" t="s">
        <v>25</v>
      </c>
      <c r="I511" t="s">
        <v>11</v>
      </c>
      <c r="J511" t="s">
        <v>3198</v>
      </c>
      <c r="K511" t="s">
        <v>15</v>
      </c>
      <c r="L511" s="2">
        <v>42.08</v>
      </c>
      <c r="M511" t="s">
        <v>3211</v>
      </c>
      <c r="N511">
        <v>0</v>
      </c>
      <c r="O511">
        <v>0</v>
      </c>
      <c r="P511">
        <v>1</v>
      </c>
      <c r="Q511" t="s">
        <v>3200</v>
      </c>
      <c r="R511" t="s">
        <v>3201</v>
      </c>
      <c r="S511" t="s">
        <v>13</v>
      </c>
    </row>
    <row r="512" spans="1:19" x14ac:dyDescent="0.3">
      <c r="A512" t="s">
        <v>406</v>
      </c>
      <c r="B512" t="s">
        <v>1596</v>
      </c>
      <c r="C512" t="s">
        <v>2038</v>
      </c>
      <c r="D512" t="s">
        <v>3189</v>
      </c>
      <c r="E512" t="s">
        <v>9</v>
      </c>
      <c r="F512" s="2">
        <v>62</v>
      </c>
      <c r="G512" t="s">
        <v>3210</v>
      </c>
      <c r="H512" t="s">
        <v>18</v>
      </c>
      <c r="I512" t="s">
        <v>11</v>
      </c>
      <c r="J512" t="s">
        <v>3198</v>
      </c>
      <c r="K512" t="s">
        <v>15</v>
      </c>
      <c r="L512" s="2">
        <v>10.1</v>
      </c>
      <c r="M512" t="s">
        <v>3199</v>
      </c>
      <c r="N512">
        <v>0</v>
      </c>
      <c r="O512">
        <v>0</v>
      </c>
      <c r="P512">
        <v>1</v>
      </c>
      <c r="Q512" t="s">
        <v>3200</v>
      </c>
      <c r="R512" t="s">
        <v>3205</v>
      </c>
      <c r="S512" t="s">
        <v>16</v>
      </c>
    </row>
    <row r="513" spans="1:19" x14ac:dyDescent="0.3">
      <c r="A513" t="s">
        <v>406</v>
      </c>
      <c r="B513" t="s">
        <v>1596</v>
      </c>
      <c r="C513" t="s">
        <v>2068</v>
      </c>
      <c r="D513" t="s">
        <v>3189</v>
      </c>
      <c r="E513" t="s">
        <v>9</v>
      </c>
      <c r="F513" s="2">
        <v>45</v>
      </c>
      <c r="G513" t="s">
        <v>3197</v>
      </c>
      <c r="H513" t="s">
        <v>25</v>
      </c>
      <c r="I513" t="s">
        <v>11</v>
      </c>
      <c r="J513" t="s">
        <v>3198</v>
      </c>
      <c r="K513" t="s">
        <v>12</v>
      </c>
      <c r="L513" s="2">
        <v>83.090599999999995</v>
      </c>
      <c r="M513" t="s">
        <v>3211</v>
      </c>
      <c r="N513">
        <v>1</v>
      </c>
      <c r="O513">
        <v>0</v>
      </c>
      <c r="P513">
        <v>2</v>
      </c>
      <c r="Q513" t="s">
        <v>3204</v>
      </c>
      <c r="R513" t="s">
        <v>3201</v>
      </c>
      <c r="S513" t="s">
        <v>13</v>
      </c>
    </row>
    <row r="514" spans="1:19" x14ac:dyDescent="0.3">
      <c r="A514" t="s">
        <v>406</v>
      </c>
      <c r="B514" t="s">
        <v>1600</v>
      </c>
      <c r="C514" t="s">
        <v>1861</v>
      </c>
      <c r="D514" t="s">
        <v>3190</v>
      </c>
      <c r="E514" t="s">
        <v>14</v>
      </c>
      <c r="F514" s="2">
        <v>35</v>
      </c>
      <c r="G514" t="s">
        <v>3206</v>
      </c>
      <c r="H514" t="s">
        <v>25</v>
      </c>
      <c r="I514" t="s">
        <v>11</v>
      </c>
      <c r="J514" t="s">
        <v>3198</v>
      </c>
      <c r="K514" t="s">
        <v>12</v>
      </c>
      <c r="L514" s="2">
        <v>83.090599999999995</v>
      </c>
      <c r="M514" t="s">
        <v>3211</v>
      </c>
      <c r="N514">
        <v>1</v>
      </c>
      <c r="O514">
        <v>0</v>
      </c>
      <c r="P514">
        <v>2</v>
      </c>
      <c r="Q514" t="s">
        <v>3204</v>
      </c>
      <c r="R514" t="s">
        <v>3205</v>
      </c>
      <c r="S514" t="s">
        <v>16</v>
      </c>
    </row>
    <row r="515" spans="1:19" x14ac:dyDescent="0.3">
      <c r="A515" t="s">
        <v>406</v>
      </c>
      <c r="B515" t="s">
        <v>1596</v>
      </c>
      <c r="C515" t="s">
        <v>2069</v>
      </c>
      <c r="D515" t="s">
        <v>3189</v>
      </c>
      <c r="E515" t="s">
        <v>9</v>
      </c>
      <c r="F515" s="2">
        <v>45</v>
      </c>
      <c r="G515" t="s">
        <v>3197</v>
      </c>
      <c r="H515" t="s">
        <v>18</v>
      </c>
      <c r="I515" t="s">
        <v>11</v>
      </c>
      <c r="J515" t="s">
        <v>3198</v>
      </c>
      <c r="K515" t="s">
        <v>15</v>
      </c>
      <c r="L515" s="2">
        <v>10.1</v>
      </c>
      <c r="M515" t="s">
        <v>3199</v>
      </c>
      <c r="N515">
        <v>0</v>
      </c>
      <c r="O515">
        <v>0</v>
      </c>
      <c r="P515">
        <v>1</v>
      </c>
      <c r="Q515" t="s">
        <v>3200</v>
      </c>
      <c r="R515" t="s">
        <v>3201</v>
      </c>
      <c r="S515" t="s">
        <v>13</v>
      </c>
    </row>
    <row r="516" spans="1:19" x14ac:dyDescent="0.3">
      <c r="A516" t="s">
        <v>407</v>
      </c>
      <c r="B516" t="s">
        <v>1596</v>
      </c>
      <c r="C516" t="s">
        <v>1621</v>
      </c>
      <c r="D516" t="s">
        <v>3189</v>
      </c>
      <c r="E516" t="s">
        <v>9</v>
      </c>
      <c r="F516" s="2">
        <v>46</v>
      </c>
      <c r="G516" t="s">
        <v>3197</v>
      </c>
      <c r="H516" t="s">
        <v>25</v>
      </c>
      <c r="I516" t="s">
        <v>11</v>
      </c>
      <c r="J516" t="s">
        <v>3198</v>
      </c>
      <c r="K516" t="s">
        <v>15</v>
      </c>
      <c r="L516" s="2">
        <v>33</v>
      </c>
      <c r="M516" t="s">
        <v>3203</v>
      </c>
      <c r="N516">
        <v>0</v>
      </c>
      <c r="O516">
        <v>0</v>
      </c>
      <c r="P516">
        <v>1</v>
      </c>
      <c r="Q516" t="s">
        <v>3200</v>
      </c>
      <c r="R516" t="s">
        <v>3201</v>
      </c>
      <c r="S516" t="s">
        <v>13</v>
      </c>
    </row>
    <row r="517" spans="1:19" x14ac:dyDescent="0.3">
      <c r="A517" t="s">
        <v>408</v>
      </c>
      <c r="B517" t="s">
        <v>1596</v>
      </c>
      <c r="C517" t="s">
        <v>2070</v>
      </c>
      <c r="D517" t="s">
        <v>3189</v>
      </c>
      <c r="E517" t="s">
        <v>9</v>
      </c>
      <c r="F517" s="2">
        <v>33</v>
      </c>
      <c r="G517" t="s">
        <v>3206</v>
      </c>
      <c r="H517" t="s">
        <v>18</v>
      </c>
      <c r="I517" t="s">
        <v>11</v>
      </c>
      <c r="J517" t="s">
        <v>3198</v>
      </c>
      <c r="K517" t="s">
        <v>15</v>
      </c>
      <c r="L517" s="2">
        <v>33</v>
      </c>
      <c r="M517" t="s">
        <v>3203</v>
      </c>
      <c r="N517">
        <v>1</v>
      </c>
      <c r="O517" t="s">
        <v>30</v>
      </c>
      <c r="P517" t="e">
        <v>#VALUE!</v>
      </c>
      <c r="Q517" t="e">
        <v>#VALUE!</v>
      </c>
      <c r="R517" t="s">
        <v>3201</v>
      </c>
      <c r="S517" t="s">
        <v>13</v>
      </c>
    </row>
    <row r="518" spans="1:19" x14ac:dyDescent="0.3">
      <c r="A518" t="s">
        <v>409</v>
      </c>
      <c r="B518" t="s">
        <v>1602</v>
      </c>
      <c r="C518" t="s">
        <v>2071</v>
      </c>
      <c r="D518" t="s">
        <v>3190</v>
      </c>
      <c r="E518" t="s">
        <v>14</v>
      </c>
      <c r="F518" s="2">
        <v>7</v>
      </c>
      <c r="G518" t="s">
        <v>3208</v>
      </c>
      <c r="H518" t="s">
        <v>18</v>
      </c>
      <c r="I518" t="s">
        <v>11</v>
      </c>
      <c r="J518" t="s">
        <v>3198</v>
      </c>
      <c r="K518" t="s">
        <v>15</v>
      </c>
      <c r="L518" s="2">
        <v>26.05</v>
      </c>
      <c r="M518" t="s">
        <v>3203</v>
      </c>
      <c r="N518">
        <v>0</v>
      </c>
      <c r="O518">
        <v>2</v>
      </c>
      <c r="P518">
        <v>3</v>
      </c>
      <c r="Q518" t="s">
        <v>3204</v>
      </c>
      <c r="R518" t="s">
        <v>3205</v>
      </c>
      <c r="S518" t="s">
        <v>16</v>
      </c>
    </row>
    <row r="519" spans="1:19" x14ac:dyDescent="0.3">
      <c r="A519" t="s">
        <v>409</v>
      </c>
      <c r="B519" t="s">
        <v>1596</v>
      </c>
      <c r="C519" t="s">
        <v>2040</v>
      </c>
      <c r="D519" t="s">
        <v>3189</v>
      </c>
      <c r="E519" t="s">
        <v>9</v>
      </c>
      <c r="F519" s="2">
        <v>47</v>
      </c>
      <c r="G519" t="s">
        <v>3197</v>
      </c>
      <c r="H519" t="s">
        <v>18</v>
      </c>
      <c r="I519" t="s">
        <v>11</v>
      </c>
      <c r="J519" t="s">
        <v>3198</v>
      </c>
      <c r="K519" t="s">
        <v>15</v>
      </c>
      <c r="L519" s="2">
        <v>26.05</v>
      </c>
      <c r="M519" t="s">
        <v>3203</v>
      </c>
      <c r="N519">
        <v>1</v>
      </c>
      <c r="O519">
        <v>1</v>
      </c>
      <c r="P519">
        <v>3</v>
      </c>
      <c r="Q519" t="s">
        <v>3204</v>
      </c>
      <c r="R519" t="s">
        <v>3201</v>
      </c>
      <c r="S519" t="s">
        <v>13</v>
      </c>
    </row>
    <row r="520" spans="1:19" x14ac:dyDescent="0.3">
      <c r="A520" t="s">
        <v>409</v>
      </c>
      <c r="B520" t="s">
        <v>1596</v>
      </c>
      <c r="C520" t="s">
        <v>1728</v>
      </c>
      <c r="D520" t="s">
        <v>3189</v>
      </c>
      <c r="E520" t="s">
        <v>9</v>
      </c>
      <c r="F520" s="2">
        <v>29</v>
      </c>
      <c r="G520" t="s">
        <v>3206</v>
      </c>
      <c r="H520" t="s">
        <v>10</v>
      </c>
      <c r="I520" t="s">
        <v>36</v>
      </c>
      <c r="J520" t="s">
        <v>3213</v>
      </c>
      <c r="K520" t="s">
        <v>37</v>
      </c>
      <c r="L520" s="2">
        <v>6.1702000000000004</v>
      </c>
      <c r="M520" t="s">
        <v>3199</v>
      </c>
      <c r="N520">
        <v>0</v>
      </c>
      <c r="O520">
        <v>0</v>
      </c>
      <c r="P520">
        <v>1</v>
      </c>
      <c r="Q520" t="s">
        <v>3200</v>
      </c>
      <c r="R520" t="s">
        <v>3201</v>
      </c>
      <c r="S520" t="s">
        <v>13</v>
      </c>
    </row>
    <row r="521" spans="1:19" x14ac:dyDescent="0.3">
      <c r="A521" t="s">
        <v>409</v>
      </c>
      <c r="B521" t="s">
        <v>1600</v>
      </c>
      <c r="C521" t="s">
        <v>2072</v>
      </c>
      <c r="D521" t="s">
        <v>3190</v>
      </c>
      <c r="E521" t="s">
        <v>14</v>
      </c>
      <c r="F521" s="2">
        <v>48</v>
      </c>
      <c r="G521" t="s">
        <v>3197</v>
      </c>
      <c r="H521" t="s">
        <v>18</v>
      </c>
      <c r="I521" t="s">
        <v>11</v>
      </c>
      <c r="J521" t="s">
        <v>3198</v>
      </c>
      <c r="K521" t="s">
        <v>15</v>
      </c>
      <c r="L521" s="2">
        <v>26.05</v>
      </c>
      <c r="M521" t="s">
        <v>3203</v>
      </c>
      <c r="N521">
        <v>1</v>
      </c>
      <c r="O521">
        <v>1</v>
      </c>
      <c r="P521">
        <v>3</v>
      </c>
      <c r="Q521" t="s">
        <v>3204</v>
      </c>
      <c r="R521" t="s">
        <v>3205</v>
      </c>
      <c r="S521" t="s">
        <v>16</v>
      </c>
    </row>
    <row r="522" spans="1:19" x14ac:dyDescent="0.3">
      <c r="A522" t="s">
        <v>410</v>
      </c>
      <c r="B522" t="s">
        <v>1596</v>
      </c>
      <c r="C522" t="s">
        <v>2073</v>
      </c>
      <c r="D522" t="s">
        <v>3189</v>
      </c>
      <c r="E522" t="s">
        <v>9</v>
      </c>
      <c r="F522" s="2">
        <v>27</v>
      </c>
      <c r="G522" t="s">
        <v>3206</v>
      </c>
      <c r="H522" t="s">
        <v>25</v>
      </c>
      <c r="I522" t="s">
        <v>19</v>
      </c>
      <c r="J522" t="s">
        <v>3207</v>
      </c>
      <c r="K522" t="s">
        <v>52</v>
      </c>
      <c r="L522" s="2">
        <v>76.140699999999995</v>
      </c>
      <c r="M522" t="s">
        <v>3211</v>
      </c>
      <c r="N522">
        <v>0</v>
      </c>
      <c r="O522">
        <v>0</v>
      </c>
      <c r="P522">
        <v>1</v>
      </c>
      <c r="Q522" t="s">
        <v>3200</v>
      </c>
      <c r="R522" t="s">
        <v>3205</v>
      </c>
      <c r="S522" t="s">
        <v>16</v>
      </c>
    </row>
    <row r="523" spans="1:19" x14ac:dyDescent="0.3">
      <c r="A523" t="s">
        <v>411</v>
      </c>
      <c r="B523" t="s">
        <v>1596</v>
      </c>
      <c r="C523" t="s">
        <v>2074</v>
      </c>
      <c r="D523" t="s">
        <v>3189</v>
      </c>
      <c r="E523" t="s">
        <v>9</v>
      </c>
      <c r="F523" s="2">
        <v>45</v>
      </c>
      <c r="G523" t="s">
        <v>3197</v>
      </c>
      <c r="H523" t="s">
        <v>25</v>
      </c>
      <c r="I523" t="s">
        <v>11</v>
      </c>
      <c r="J523" t="s">
        <v>3198</v>
      </c>
      <c r="K523" t="s">
        <v>15</v>
      </c>
      <c r="L523" s="2">
        <v>30</v>
      </c>
      <c r="M523" t="s">
        <v>3203</v>
      </c>
      <c r="N523">
        <v>0</v>
      </c>
      <c r="O523">
        <v>0</v>
      </c>
      <c r="P523">
        <v>1</v>
      </c>
      <c r="Q523" t="s">
        <v>3200</v>
      </c>
      <c r="R523" t="s">
        <v>3205</v>
      </c>
      <c r="S523" t="s">
        <v>16</v>
      </c>
    </row>
    <row r="524" spans="1:19" x14ac:dyDescent="0.3">
      <c r="A524" t="s">
        <v>412</v>
      </c>
      <c r="B524" t="s">
        <v>1602</v>
      </c>
      <c r="C524" t="s">
        <v>2075</v>
      </c>
      <c r="D524" t="s">
        <v>3190</v>
      </c>
      <c r="E524" t="s">
        <v>14</v>
      </c>
      <c r="F524" s="2">
        <v>24</v>
      </c>
      <c r="G524" t="s">
        <v>3206</v>
      </c>
      <c r="H524" t="s">
        <v>25</v>
      </c>
      <c r="I524" t="s">
        <v>19</v>
      </c>
      <c r="J524" t="s">
        <v>3207</v>
      </c>
      <c r="K524" t="s">
        <v>12</v>
      </c>
      <c r="L524" s="2">
        <v>83.030199999999994</v>
      </c>
      <c r="M524" t="s">
        <v>3211</v>
      </c>
      <c r="N524">
        <v>0</v>
      </c>
      <c r="O524">
        <v>0</v>
      </c>
      <c r="P524">
        <v>1</v>
      </c>
      <c r="Q524" t="s">
        <v>3200</v>
      </c>
      <c r="R524" t="s">
        <v>3205</v>
      </c>
      <c r="S524" t="s">
        <v>16</v>
      </c>
    </row>
    <row r="525" spans="1:19" x14ac:dyDescent="0.3">
      <c r="A525" t="s">
        <v>412</v>
      </c>
      <c r="B525" t="s">
        <v>1596</v>
      </c>
      <c r="C525" t="s">
        <v>2076</v>
      </c>
      <c r="D525" t="s">
        <v>3189</v>
      </c>
      <c r="E525" t="s">
        <v>9</v>
      </c>
      <c r="F525" s="2">
        <v>55</v>
      </c>
      <c r="G525" t="s">
        <v>3197</v>
      </c>
      <c r="H525" t="s">
        <v>25</v>
      </c>
      <c r="I525" t="s">
        <v>11</v>
      </c>
      <c r="J525" t="s">
        <v>3198</v>
      </c>
      <c r="K525" t="s">
        <v>26</v>
      </c>
      <c r="L525" s="2">
        <v>93.1</v>
      </c>
      <c r="M525" t="s">
        <v>3211</v>
      </c>
      <c r="N525">
        <v>1</v>
      </c>
      <c r="O525">
        <v>1</v>
      </c>
      <c r="P525">
        <v>3</v>
      </c>
      <c r="Q525" t="s">
        <v>3204</v>
      </c>
      <c r="R525" t="s">
        <v>3201</v>
      </c>
      <c r="S525" t="s">
        <v>13</v>
      </c>
    </row>
    <row r="526" spans="1:19" x14ac:dyDescent="0.3">
      <c r="A526" t="s">
        <v>412</v>
      </c>
      <c r="B526" t="s">
        <v>1600</v>
      </c>
      <c r="C526" t="s">
        <v>2077</v>
      </c>
      <c r="D526" t="s">
        <v>3190</v>
      </c>
      <c r="E526" t="s">
        <v>14</v>
      </c>
      <c r="F526" s="2">
        <v>52</v>
      </c>
      <c r="G526" t="s">
        <v>3197</v>
      </c>
      <c r="H526" t="s">
        <v>25</v>
      </c>
      <c r="I526" t="s">
        <v>11</v>
      </c>
      <c r="J526" t="s">
        <v>3198</v>
      </c>
      <c r="K526" t="s">
        <v>26</v>
      </c>
      <c r="L526" s="2">
        <v>93.1</v>
      </c>
      <c r="M526" t="s">
        <v>3211</v>
      </c>
      <c r="N526">
        <v>1</v>
      </c>
      <c r="O526">
        <v>1</v>
      </c>
      <c r="P526">
        <v>3</v>
      </c>
      <c r="Q526" t="s">
        <v>3204</v>
      </c>
      <c r="R526" t="s">
        <v>3205</v>
      </c>
      <c r="S526" t="s">
        <v>16</v>
      </c>
    </row>
    <row r="527" spans="1:19" x14ac:dyDescent="0.3">
      <c r="A527" t="s">
        <v>413</v>
      </c>
      <c r="B527" t="s">
        <v>1596</v>
      </c>
      <c r="C527" t="s">
        <v>2078</v>
      </c>
      <c r="D527" t="s">
        <v>3189</v>
      </c>
      <c r="E527" t="s">
        <v>9</v>
      </c>
      <c r="F527" s="2">
        <v>42</v>
      </c>
      <c r="G527" t="s">
        <v>3197</v>
      </c>
      <c r="H527" t="s">
        <v>25</v>
      </c>
      <c r="I527" t="s">
        <v>11</v>
      </c>
      <c r="J527" t="s">
        <v>3198</v>
      </c>
      <c r="K527" t="s">
        <v>15</v>
      </c>
      <c r="L527" s="2">
        <v>42.1</v>
      </c>
      <c r="M527" t="s">
        <v>3211</v>
      </c>
      <c r="N527">
        <v>0</v>
      </c>
      <c r="O527">
        <v>0</v>
      </c>
      <c r="P527">
        <v>1</v>
      </c>
      <c r="Q527" t="s">
        <v>3200</v>
      </c>
      <c r="R527" t="s">
        <v>3201</v>
      </c>
      <c r="S527" t="s">
        <v>13</v>
      </c>
    </row>
    <row r="528" spans="1:19" x14ac:dyDescent="0.3">
      <c r="A528" t="s">
        <v>414</v>
      </c>
      <c r="B528" t="s">
        <v>1602</v>
      </c>
      <c r="C528" t="s">
        <v>1971</v>
      </c>
      <c r="D528" t="s">
        <v>3190</v>
      </c>
      <c r="E528" t="s">
        <v>14</v>
      </c>
      <c r="F528" s="2">
        <v>33</v>
      </c>
      <c r="G528" t="s">
        <v>3206</v>
      </c>
      <c r="H528" t="s">
        <v>10</v>
      </c>
      <c r="I528" t="s">
        <v>36</v>
      </c>
      <c r="J528" t="s">
        <v>3213</v>
      </c>
      <c r="K528" t="s">
        <v>37</v>
      </c>
      <c r="L528" s="2">
        <v>7.15</v>
      </c>
      <c r="M528" t="s">
        <v>3199</v>
      </c>
      <c r="N528">
        <v>0</v>
      </c>
      <c r="O528">
        <v>0</v>
      </c>
      <c r="P528">
        <v>1</v>
      </c>
      <c r="Q528" t="s">
        <v>3200</v>
      </c>
      <c r="R528" t="s">
        <v>3205</v>
      </c>
      <c r="S528" t="s">
        <v>16</v>
      </c>
    </row>
    <row r="529" spans="1:19" x14ac:dyDescent="0.3">
      <c r="A529" t="s">
        <v>415</v>
      </c>
      <c r="B529" t="s">
        <v>1596</v>
      </c>
      <c r="C529" t="s">
        <v>2079</v>
      </c>
      <c r="D529" t="s">
        <v>3189</v>
      </c>
      <c r="E529" t="s">
        <v>9</v>
      </c>
      <c r="F529" s="2">
        <v>27</v>
      </c>
      <c r="G529" t="s">
        <v>3206</v>
      </c>
      <c r="H529" t="s">
        <v>10</v>
      </c>
      <c r="I529" t="s">
        <v>11</v>
      </c>
      <c r="J529" t="s">
        <v>3198</v>
      </c>
      <c r="K529" t="s">
        <v>23</v>
      </c>
      <c r="L529" s="2">
        <v>6.1905999999999999</v>
      </c>
      <c r="M529" t="s">
        <v>3199</v>
      </c>
      <c r="N529">
        <v>0</v>
      </c>
      <c r="O529">
        <v>0</v>
      </c>
      <c r="P529">
        <v>1</v>
      </c>
      <c r="Q529" t="s">
        <v>3200</v>
      </c>
      <c r="R529" t="s">
        <v>3205</v>
      </c>
      <c r="S529" t="s">
        <v>16</v>
      </c>
    </row>
    <row r="530" spans="1:19" x14ac:dyDescent="0.3">
      <c r="A530" t="s">
        <v>416</v>
      </c>
      <c r="B530" t="s">
        <v>1596</v>
      </c>
      <c r="C530" t="s">
        <v>2080</v>
      </c>
      <c r="D530" t="s">
        <v>3189</v>
      </c>
      <c r="E530" t="s">
        <v>9</v>
      </c>
      <c r="F530" s="2">
        <v>24</v>
      </c>
      <c r="G530" t="s">
        <v>3206</v>
      </c>
      <c r="H530" t="s">
        <v>10</v>
      </c>
      <c r="I530" t="s">
        <v>11</v>
      </c>
      <c r="J530" t="s">
        <v>3198</v>
      </c>
      <c r="K530" t="s">
        <v>15</v>
      </c>
      <c r="L530" s="2">
        <v>56.091099999999997</v>
      </c>
      <c r="M530" t="s">
        <v>3211</v>
      </c>
      <c r="N530">
        <v>0</v>
      </c>
      <c r="O530">
        <v>0</v>
      </c>
      <c r="P530">
        <v>1</v>
      </c>
      <c r="Q530" t="s">
        <v>3200</v>
      </c>
      <c r="R530" t="s">
        <v>3205</v>
      </c>
      <c r="S530" t="s">
        <v>16</v>
      </c>
    </row>
    <row r="531" spans="1:19" x14ac:dyDescent="0.3">
      <c r="A531" t="s">
        <v>417</v>
      </c>
      <c r="B531" t="s">
        <v>1602</v>
      </c>
      <c r="C531" t="s">
        <v>2081</v>
      </c>
      <c r="D531" t="s">
        <v>3190</v>
      </c>
      <c r="E531" t="s">
        <v>14</v>
      </c>
      <c r="F531" s="2">
        <v>20</v>
      </c>
      <c r="G531" t="s">
        <v>3206</v>
      </c>
      <c r="H531" t="s">
        <v>10</v>
      </c>
      <c r="I531" t="s">
        <v>36</v>
      </c>
      <c r="J531" t="s">
        <v>3213</v>
      </c>
      <c r="K531" t="s">
        <v>37</v>
      </c>
      <c r="L531" s="2">
        <v>6.15</v>
      </c>
      <c r="M531" t="s">
        <v>3199</v>
      </c>
      <c r="N531">
        <v>0</v>
      </c>
      <c r="O531">
        <v>0</v>
      </c>
      <c r="P531">
        <v>1</v>
      </c>
      <c r="Q531" t="s">
        <v>3200</v>
      </c>
      <c r="R531" t="s">
        <v>3201</v>
      </c>
      <c r="S531" t="s">
        <v>13</v>
      </c>
    </row>
    <row r="532" spans="1:19" x14ac:dyDescent="0.3">
      <c r="A532" t="s">
        <v>418</v>
      </c>
      <c r="B532" t="s">
        <v>1602</v>
      </c>
      <c r="C532" t="s">
        <v>2082</v>
      </c>
      <c r="D532" t="s">
        <v>3190</v>
      </c>
      <c r="E532" t="s">
        <v>14</v>
      </c>
      <c r="F532" s="2">
        <v>16</v>
      </c>
      <c r="G532" t="s">
        <v>3202</v>
      </c>
      <c r="H532" t="s">
        <v>10</v>
      </c>
      <c r="I532" t="s">
        <v>11</v>
      </c>
      <c r="J532" t="s">
        <v>3198</v>
      </c>
      <c r="K532" t="s">
        <v>22</v>
      </c>
      <c r="L532" s="2">
        <v>7.1806000000000001</v>
      </c>
      <c r="M532" t="s">
        <v>3199</v>
      </c>
      <c r="N532">
        <v>0</v>
      </c>
      <c r="O532">
        <v>0</v>
      </c>
      <c r="P532">
        <v>1</v>
      </c>
      <c r="Q532" t="s">
        <v>3200</v>
      </c>
      <c r="R532" t="s">
        <v>3205</v>
      </c>
      <c r="S532" t="s">
        <v>16</v>
      </c>
    </row>
    <row r="533" spans="1:19" x14ac:dyDescent="0.3">
      <c r="A533" t="s">
        <v>419</v>
      </c>
      <c r="B533" t="s">
        <v>1602</v>
      </c>
      <c r="C533" t="s">
        <v>2083</v>
      </c>
      <c r="D533" t="s">
        <v>3190</v>
      </c>
      <c r="E533" t="s">
        <v>14</v>
      </c>
      <c r="F533" s="2">
        <v>23</v>
      </c>
      <c r="G533" t="s">
        <v>3206</v>
      </c>
      <c r="H533" t="s">
        <v>10</v>
      </c>
      <c r="I533" t="s">
        <v>11</v>
      </c>
      <c r="J533" t="s">
        <v>3198</v>
      </c>
      <c r="K533" t="s">
        <v>22</v>
      </c>
      <c r="L533" s="2">
        <v>7.1806000000000001</v>
      </c>
      <c r="M533" t="s">
        <v>3199</v>
      </c>
      <c r="N533">
        <v>0</v>
      </c>
      <c r="O533">
        <v>0</v>
      </c>
      <c r="P533">
        <v>1</v>
      </c>
      <c r="Q533" t="s">
        <v>3200</v>
      </c>
      <c r="R533" t="s">
        <v>3201</v>
      </c>
      <c r="S533" t="s">
        <v>13</v>
      </c>
    </row>
    <row r="534" spans="1:19" x14ac:dyDescent="0.3">
      <c r="A534" t="s">
        <v>420</v>
      </c>
      <c r="B534" t="s">
        <v>1602</v>
      </c>
      <c r="C534" t="s">
        <v>2084</v>
      </c>
      <c r="D534" t="s">
        <v>3190</v>
      </c>
      <c r="E534" t="s">
        <v>14</v>
      </c>
      <c r="F534" s="2">
        <v>22</v>
      </c>
      <c r="G534" t="s">
        <v>3206</v>
      </c>
      <c r="H534" t="s">
        <v>10</v>
      </c>
      <c r="I534" t="s">
        <v>11</v>
      </c>
      <c r="J534" t="s">
        <v>3198</v>
      </c>
      <c r="K534" t="s">
        <v>23</v>
      </c>
      <c r="L534" s="2">
        <v>8.1903000000000006</v>
      </c>
      <c r="M534" t="s">
        <v>3199</v>
      </c>
      <c r="N534">
        <v>0</v>
      </c>
      <c r="O534">
        <v>0</v>
      </c>
      <c r="P534">
        <v>1</v>
      </c>
      <c r="Q534" t="s">
        <v>3200</v>
      </c>
      <c r="R534" t="s">
        <v>3205</v>
      </c>
      <c r="S534" t="s">
        <v>16</v>
      </c>
    </row>
    <row r="535" spans="1:19" x14ac:dyDescent="0.3">
      <c r="A535" t="s">
        <v>421</v>
      </c>
      <c r="B535" t="s">
        <v>1596</v>
      </c>
      <c r="C535" t="s">
        <v>2085</v>
      </c>
      <c r="D535" t="s">
        <v>3189</v>
      </c>
      <c r="E535" t="s">
        <v>9</v>
      </c>
      <c r="F535" s="2">
        <v>30</v>
      </c>
      <c r="G535" t="s">
        <v>3206</v>
      </c>
      <c r="H535" t="s">
        <v>10</v>
      </c>
      <c r="I535" t="s">
        <v>11</v>
      </c>
      <c r="J535" t="s">
        <v>3198</v>
      </c>
      <c r="K535" t="s">
        <v>35</v>
      </c>
      <c r="L535" s="2">
        <v>7.1711</v>
      </c>
      <c r="M535" t="s">
        <v>3199</v>
      </c>
      <c r="N535">
        <v>0</v>
      </c>
      <c r="O535">
        <v>0</v>
      </c>
      <c r="P535">
        <v>1</v>
      </c>
      <c r="Q535" t="s">
        <v>3200</v>
      </c>
      <c r="R535" t="s">
        <v>3201</v>
      </c>
      <c r="S535" t="s">
        <v>13</v>
      </c>
    </row>
    <row r="536" spans="1:19" x14ac:dyDescent="0.3">
      <c r="A536" t="s">
        <v>422</v>
      </c>
      <c r="B536" t="s">
        <v>1602</v>
      </c>
      <c r="C536" t="s">
        <v>2086</v>
      </c>
      <c r="D536" t="s">
        <v>3190</v>
      </c>
      <c r="E536" t="s">
        <v>14</v>
      </c>
      <c r="F536" s="2">
        <v>28</v>
      </c>
      <c r="G536" t="s">
        <v>3206</v>
      </c>
      <c r="H536" t="s">
        <v>10</v>
      </c>
      <c r="I536" t="s">
        <v>11</v>
      </c>
      <c r="J536" t="s">
        <v>3198</v>
      </c>
      <c r="K536" t="s">
        <v>23</v>
      </c>
      <c r="L536" s="2">
        <v>7.1505999999999998</v>
      </c>
      <c r="M536" t="s">
        <v>3199</v>
      </c>
      <c r="N536">
        <v>0</v>
      </c>
      <c r="O536">
        <v>0</v>
      </c>
      <c r="P536">
        <v>1</v>
      </c>
      <c r="Q536" t="s">
        <v>3200</v>
      </c>
      <c r="R536" t="s">
        <v>3201</v>
      </c>
      <c r="S536" t="s">
        <v>13</v>
      </c>
    </row>
    <row r="537" spans="1:19" x14ac:dyDescent="0.3">
      <c r="A537" t="s">
        <v>423</v>
      </c>
      <c r="B537" t="s">
        <v>1602</v>
      </c>
      <c r="C537" t="s">
        <v>1741</v>
      </c>
      <c r="D537" t="s">
        <v>3190</v>
      </c>
      <c r="E537" t="s">
        <v>14</v>
      </c>
      <c r="F537" s="2">
        <v>21</v>
      </c>
      <c r="G537" t="s">
        <v>3206</v>
      </c>
      <c r="H537" t="s">
        <v>10</v>
      </c>
      <c r="I537" t="s">
        <v>36</v>
      </c>
      <c r="J537" t="s">
        <v>3213</v>
      </c>
      <c r="K537" t="s">
        <v>37</v>
      </c>
      <c r="L537" s="2">
        <v>7.15</v>
      </c>
      <c r="M537" t="s">
        <v>3199</v>
      </c>
      <c r="N537">
        <v>0</v>
      </c>
      <c r="O537">
        <v>0</v>
      </c>
      <c r="P537">
        <v>1</v>
      </c>
      <c r="Q537" t="s">
        <v>3200</v>
      </c>
      <c r="R537" t="s">
        <v>3201</v>
      </c>
      <c r="S537" t="s">
        <v>13</v>
      </c>
    </row>
    <row r="538" spans="1:19" x14ac:dyDescent="0.3">
      <c r="A538" t="s">
        <v>424</v>
      </c>
      <c r="B538" t="s">
        <v>1602</v>
      </c>
      <c r="C538" t="s">
        <v>2087</v>
      </c>
      <c r="D538" t="s">
        <v>3190</v>
      </c>
      <c r="E538" t="s">
        <v>14</v>
      </c>
      <c r="F538" s="2">
        <v>24</v>
      </c>
      <c r="G538" t="s">
        <v>3206</v>
      </c>
      <c r="H538" t="s">
        <v>18</v>
      </c>
      <c r="I538" t="s">
        <v>11</v>
      </c>
      <c r="J538" t="s">
        <v>3198</v>
      </c>
      <c r="K538" t="s">
        <v>15</v>
      </c>
      <c r="L538" s="2">
        <v>65</v>
      </c>
      <c r="M538" t="s">
        <v>3211</v>
      </c>
      <c r="N538">
        <v>1</v>
      </c>
      <c r="O538">
        <v>2</v>
      </c>
      <c r="P538">
        <v>4</v>
      </c>
      <c r="Q538" t="s">
        <v>3204</v>
      </c>
      <c r="R538" t="s">
        <v>3205</v>
      </c>
      <c r="S538" t="s">
        <v>16</v>
      </c>
    </row>
    <row r="539" spans="1:19" x14ac:dyDescent="0.3">
      <c r="A539" t="s">
        <v>424</v>
      </c>
      <c r="B539" t="s">
        <v>1602</v>
      </c>
      <c r="C539" t="s">
        <v>1772</v>
      </c>
      <c r="D539" t="s">
        <v>3190</v>
      </c>
      <c r="E539" t="s">
        <v>14</v>
      </c>
      <c r="F539" s="2">
        <v>24</v>
      </c>
      <c r="G539" t="s">
        <v>3206</v>
      </c>
      <c r="H539" t="s">
        <v>18</v>
      </c>
      <c r="I539" t="s">
        <v>11</v>
      </c>
      <c r="J539" t="s">
        <v>3198</v>
      </c>
      <c r="K539" t="s">
        <v>15</v>
      </c>
      <c r="L539" s="2">
        <v>65</v>
      </c>
      <c r="M539" t="s">
        <v>3211</v>
      </c>
      <c r="N539">
        <v>1</v>
      </c>
      <c r="O539">
        <v>2</v>
      </c>
      <c r="P539">
        <v>4</v>
      </c>
      <c r="Q539" t="s">
        <v>3204</v>
      </c>
      <c r="R539" t="s">
        <v>3205</v>
      </c>
      <c r="S539" t="s">
        <v>16</v>
      </c>
    </row>
    <row r="540" spans="1:19" x14ac:dyDescent="0.3">
      <c r="A540" t="s">
        <v>424</v>
      </c>
      <c r="B540" t="s">
        <v>1596</v>
      </c>
      <c r="C540" t="s">
        <v>1605</v>
      </c>
      <c r="D540" t="s">
        <v>3189</v>
      </c>
      <c r="E540" t="s">
        <v>9</v>
      </c>
      <c r="F540" s="2">
        <v>50</v>
      </c>
      <c r="G540" t="s">
        <v>3197</v>
      </c>
      <c r="H540" t="s">
        <v>18</v>
      </c>
      <c r="I540" t="s">
        <v>11</v>
      </c>
      <c r="J540" t="s">
        <v>3198</v>
      </c>
      <c r="K540" t="s">
        <v>15</v>
      </c>
      <c r="L540" s="2">
        <v>65</v>
      </c>
      <c r="M540" t="s">
        <v>3211</v>
      </c>
      <c r="N540">
        <v>1</v>
      </c>
      <c r="O540">
        <v>2</v>
      </c>
      <c r="P540">
        <v>4</v>
      </c>
      <c r="Q540" t="s">
        <v>3204</v>
      </c>
      <c r="R540" t="s">
        <v>3201</v>
      </c>
      <c r="S540" t="s">
        <v>13</v>
      </c>
    </row>
    <row r="541" spans="1:19" x14ac:dyDescent="0.3">
      <c r="A541" t="s">
        <v>424</v>
      </c>
      <c r="B541" t="s">
        <v>1600</v>
      </c>
      <c r="C541" t="s">
        <v>1804</v>
      </c>
      <c r="D541" t="s">
        <v>3190</v>
      </c>
      <c r="E541" t="s">
        <v>14</v>
      </c>
      <c r="F541" s="2">
        <v>50</v>
      </c>
      <c r="G541" t="s">
        <v>3197</v>
      </c>
      <c r="H541" t="s">
        <v>18</v>
      </c>
      <c r="I541" t="s">
        <v>11</v>
      </c>
      <c r="J541" t="s">
        <v>3198</v>
      </c>
      <c r="K541" t="s">
        <v>39</v>
      </c>
      <c r="L541" s="2">
        <v>65</v>
      </c>
      <c r="M541" t="s">
        <v>3211</v>
      </c>
      <c r="N541">
        <v>1</v>
      </c>
      <c r="O541">
        <v>2</v>
      </c>
      <c r="P541">
        <v>4</v>
      </c>
      <c r="Q541" t="s">
        <v>3204</v>
      </c>
      <c r="R541" t="s">
        <v>3205</v>
      </c>
      <c r="S541" t="s">
        <v>16</v>
      </c>
    </row>
    <row r="542" spans="1:19" x14ac:dyDescent="0.3">
      <c r="A542" t="s">
        <v>425</v>
      </c>
      <c r="B542" t="s">
        <v>1600</v>
      </c>
      <c r="C542" t="s">
        <v>2088</v>
      </c>
      <c r="D542" t="s">
        <v>3190</v>
      </c>
      <c r="E542" t="s">
        <v>14</v>
      </c>
      <c r="F542" s="2">
        <v>56</v>
      </c>
      <c r="G542" t="s">
        <v>3210</v>
      </c>
      <c r="H542" t="s">
        <v>18</v>
      </c>
      <c r="I542" t="s">
        <v>11</v>
      </c>
      <c r="J542" t="s">
        <v>3198</v>
      </c>
      <c r="K542" t="s">
        <v>39</v>
      </c>
      <c r="L542" s="2">
        <v>16</v>
      </c>
      <c r="M542" t="s">
        <v>3203</v>
      </c>
      <c r="N542">
        <v>0</v>
      </c>
      <c r="O542">
        <v>0</v>
      </c>
      <c r="P542">
        <v>1</v>
      </c>
      <c r="Q542" t="s">
        <v>3200</v>
      </c>
      <c r="R542" t="s">
        <v>3205</v>
      </c>
      <c r="S542" t="s">
        <v>16</v>
      </c>
    </row>
    <row r="543" spans="1:19" x14ac:dyDescent="0.3">
      <c r="A543" t="s">
        <v>426</v>
      </c>
      <c r="B543" t="s">
        <v>1596</v>
      </c>
      <c r="C543" t="s">
        <v>2089</v>
      </c>
      <c r="D543" t="s">
        <v>3189</v>
      </c>
      <c r="E543" t="s">
        <v>9</v>
      </c>
      <c r="F543" s="2">
        <v>24</v>
      </c>
      <c r="G543" t="s">
        <v>3206</v>
      </c>
      <c r="H543" t="s">
        <v>18</v>
      </c>
      <c r="I543" t="s">
        <v>11</v>
      </c>
      <c r="J543" t="s">
        <v>3198</v>
      </c>
      <c r="K543" t="s">
        <v>15</v>
      </c>
      <c r="L543" s="2">
        <v>73.099999999999994</v>
      </c>
      <c r="M543" t="s">
        <v>3211</v>
      </c>
      <c r="N543">
        <v>2</v>
      </c>
      <c r="O543">
        <v>0</v>
      </c>
      <c r="P543">
        <v>3</v>
      </c>
      <c r="Q543" t="s">
        <v>3204</v>
      </c>
      <c r="R543" t="s">
        <v>3201</v>
      </c>
      <c r="S543" t="s">
        <v>13</v>
      </c>
    </row>
    <row r="544" spans="1:19" x14ac:dyDescent="0.3">
      <c r="A544" t="s">
        <v>426</v>
      </c>
      <c r="B544" t="s">
        <v>1596</v>
      </c>
      <c r="C544" t="s">
        <v>2090</v>
      </c>
      <c r="D544" t="s">
        <v>3189</v>
      </c>
      <c r="E544" t="s">
        <v>9</v>
      </c>
      <c r="F544" s="2">
        <v>30</v>
      </c>
      <c r="G544" t="s">
        <v>3206</v>
      </c>
      <c r="H544" t="s">
        <v>18</v>
      </c>
      <c r="I544" t="s">
        <v>11</v>
      </c>
      <c r="J544" t="s">
        <v>3198</v>
      </c>
      <c r="K544" t="s">
        <v>15</v>
      </c>
      <c r="L544" s="2">
        <v>73.099999999999994</v>
      </c>
      <c r="M544" t="s">
        <v>3211</v>
      </c>
      <c r="N544">
        <v>2</v>
      </c>
      <c r="O544">
        <v>0</v>
      </c>
      <c r="P544">
        <v>3</v>
      </c>
      <c r="Q544" t="s">
        <v>3204</v>
      </c>
      <c r="R544" t="s">
        <v>3201</v>
      </c>
      <c r="S544" t="s">
        <v>13</v>
      </c>
    </row>
    <row r="545" spans="1:19" x14ac:dyDescent="0.3">
      <c r="A545" t="s">
        <v>426</v>
      </c>
      <c r="B545" t="s">
        <v>1596</v>
      </c>
      <c r="C545" t="s">
        <v>2091</v>
      </c>
      <c r="D545" t="s">
        <v>3189</v>
      </c>
      <c r="E545" t="s">
        <v>9</v>
      </c>
      <c r="F545" s="2">
        <v>21</v>
      </c>
      <c r="G545" t="s">
        <v>3206</v>
      </c>
      <c r="H545" t="s">
        <v>18</v>
      </c>
      <c r="I545" t="s">
        <v>11</v>
      </c>
      <c r="J545" t="s">
        <v>3198</v>
      </c>
      <c r="K545" t="s">
        <v>15</v>
      </c>
      <c r="L545" s="2">
        <v>73.099999999999994</v>
      </c>
      <c r="M545" t="s">
        <v>3211</v>
      </c>
      <c r="N545">
        <v>2</v>
      </c>
      <c r="O545">
        <v>0</v>
      </c>
      <c r="P545">
        <v>3</v>
      </c>
      <c r="Q545" t="s">
        <v>3204</v>
      </c>
      <c r="R545" t="s">
        <v>3201</v>
      </c>
      <c r="S545" t="s">
        <v>13</v>
      </c>
    </row>
    <row r="546" spans="1:19" x14ac:dyDescent="0.3">
      <c r="A546" t="s">
        <v>427</v>
      </c>
      <c r="B546" t="s">
        <v>1596</v>
      </c>
      <c r="C546" t="s">
        <v>2092</v>
      </c>
      <c r="D546" t="s">
        <v>3189</v>
      </c>
      <c r="E546" t="s">
        <v>9</v>
      </c>
      <c r="F546" s="2">
        <v>44</v>
      </c>
      <c r="G546" t="s">
        <v>3197</v>
      </c>
      <c r="H546" t="s">
        <v>25</v>
      </c>
      <c r="I546" t="s">
        <v>11</v>
      </c>
      <c r="J546" t="s">
        <v>3198</v>
      </c>
      <c r="K546" t="s">
        <v>15</v>
      </c>
      <c r="L546" s="2">
        <v>51.170299999999997</v>
      </c>
      <c r="M546" t="s">
        <v>3211</v>
      </c>
      <c r="N546">
        <v>0</v>
      </c>
      <c r="O546">
        <v>0</v>
      </c>
      <c r="P546">
        <v>1</v>
      </c>
      <c r="Q546" t="s">
        <v>3200</v>
      </c>
      <c r="R546" t="s">
        <v>3201</v>
      </c>
      <c r="S546" t="s">
        <v>13</v>
      </c>
    </row>
    <row r="547" spans="1:19" x14ac:dyDescent="0.3">
      <c r="A547" t="s">
        <v>428</v>
      </c>
      <c r="B547" t="s">
        <v>1602</v>
      </c>
      <c r="C547" t="s">
        <v>2093</v>
      </c>
      <c r="D547" t="s">
        <v>3190</v>
      </c>
      <c r="E547" t="s">
        <v>14</v>
      </c>
      <c r="F547" s="2">
        <v>18</v>
      </c>
      <c r="G547" t="s">
        <v>3206</v>
      </c>
      <c r="H547" t="s">
        <v>18</v>
      </c>
      <c r="I547" t="s">
        <v>11</v>
      </c>
      <c r="J547" t="s">
        <v>3198</v>
      </c>
      <c r="K547" t="s">
        <v>22</v>
      </c>
      <c r="L547" s="2">
        <v>13</v>
      </c>
      <c r="M547" t="s">
        <v>3199</v>
      </c>
      <c r="N547">
        <v>1</v>
      </c>
      <c r="O547">
        <v>1</v>
      </c>
      <c r="P547">
        <v>3</v>
      </c>
      <c r="Q547" t="s">
        <v>3204</v>
      </c>
      <c r="R547" t="s">
        <v>3201</v>
      </c>
      <c r="S547" t="s">
        <v>13</v>
      </c>
    </row>
    <row r="548" spans="1:19" x14ac:dyDescent="0.3">
      <c r="A548" t="s">
        <v>429</v>
      </c>
      <c r="B548" t="s">
        <v>1596</v>
      </c>
      <c r="C548" t="s">
        <v>2094</v>
      </c>
      <c r="D548" t="s">
        <v>3189</v>
      </c>
      <c r="E548" t="s">
        <v>9</v>
      </c>
      <c r="F548" s="2">
        <v>55</v>
      </c>
      <c r="G548" t="s">
        <v>3197</v>
      </c>
      <c r="H548" t="s">
        <v>25</v>
      </c>
      <c r="I548" t="s">
        <v>11</v>
      </c>
      <c r="J548" t="s">
        <v>3198</v>
      </c>
      <c r="K548" t="s">
        <v>15</v>
      </c>
      <c r="L548" s="2">
        <v>50</v>
      </c>
      <c r="M548" t="s">
        <v>3211</v>
      </c>
      <c r="N548">
        <v>0</v>
      </c>
      <c r="O548">
        <v>0</v>
      </c>
      <c r="P548">
        <v>1</v>
      </c>
      <c r="Q548" t="s">
        <v>3200</v>
      </c>
      <c r="R548" t="s">
        <v>3201</v>
      </c>
      <c r="S548" t="s">
        <v>13</v>
      </c>
    </row>
    <row r="549" spans="1:19" x14ac:dyDescent="0.3">
      <c r="A549" t="s">
        <v>430</v>
      </c>
      <c r="B549" t="s">
        <v>1602</v>
      </c>
      <c r="C549" t="s">
        <v>2095</v>
      </c>
      <c r="D549" t="s">
        <v>3190</v>
      </c>
      <c r="E549" t="s">
        <v>14</v>
      </c>
      <c r="F549" s="2">
        <v>17</v>
      </c>
      <c r="G549" t="s">
        <v>3202</v>
      </c>
      <c r="H549" t="s">
        <v>25</v>
      </c>
      <c r="I549" t="s">
        <v>19</v>
      </c>
      <c r="J549" t="s">
        <v>3207</v>
      </c>
      <c r="K549" t="s">
        <v>12</v>
      </c>
      <c r="L549" s="2">
        <v>57.1907</v>
      </c>
      <c r="M549" t="s">
        <v>3211</v>
      </c>
      <c r="N549">
        <v>0</v>
      </c>
      <c r="O549">
        <v>1</v>
      </c>
      <c r="P549">
        <v>2</v>
      </c>
      <c r="Q549" t="s">
        <v>3204</v>
      </c>
      <c r="R549" t="s">
        <v>3205</v>
      </c>
      <c r="S549" t="s">
        <v>16</v>
      </c>
    </row>
    <row r="550" spans="1:19" x14ac:dyDescent="0.3">
      <c r="A550" t="s">
        <v>430</v>
      </c>
      <c r="B550" t="s">
        <v>1600</v>
      </c>
      <c r="C550" t="s">
        <v>2096</v>
      </c>
      <c r="D550" t="s">
        <v>3190</v>
      </c>
      <c r="E550" t="s">
        <v>14</v>
      </c>
      <c r="F550" s="2">
        <v>44</v>
      </c>
      <c r="G550" t="s">
        <v>3197</v>
      </c>
      <c r="H550" t="s">
        <v>25</v>
      </c>
      <c r="I550" t="s">
        <v>19</v>
      </c>
      <c r="J550" t="s">
        <v>3207</v>
      </c>
      <c r="K550" t="s">
        <v>12</v>
      </c>
      <c r="L550" s="2">
        <v>57.1907</v>
      </c>
      <c r="M550" t="s">
        <v>3211</v>
      </c>
      <c r="N550">
        <v>0</v>
      </c>
      <c r="O550">
        <v>1</v>
      </c>
      <c r="P550">
        <v>2</v>
      </c>
      <c r="Q550" t="s">
        <v>3204</v>
      </c>
      <c r="R550" t="s">
        <v>3205</v>
      </c>
      <c r="S550" t="s">
        <v>16</v>
      </c>
    </row>
    <row r="551" spans="1:19" x14ac:dyDescent="0.3">
      <c r="A551" t="s">
        <v>431</v>
      </c>
      <c r="B551" t="s">
        <v>1602</v>
      </c>
      <c r="C551" t="s">
        <v>2097</v>
      </c>
      <c r="D551" t="s">
        <v>3190</v>
      </c>
      <c r="E551" t="s">
        <v>14</v>
      </c>
      <c r="F551" s="2">
        <v>2</v>
      </c>
      <c r="G551" t="s">
        <v>3208</v>
      </c>
      <c r="H551" t="s">
        <v>10</v>
      </c>
      <c r="I551" t="s">
        <v>11</v>
      </c>
      <c r="J551" t="s">
        <v>3198</v>
      </c>
      <c r="K551" t="s">
        <v>22</v>
      </c>
      <c r="L551" s="2">
        <v>12.0509</v>
      </c>
      <c r="M551" t="s">
        <v>3199</v>
      </c>
      <c r="N551">
        <v>0</v>
      </c>
      <c r="O551">
        <v>1</v>
      </c>
      <c r="P551">
        <v>2</v>
      </c>
      <c r="Q551" t="s">
        <v>3204</v>
      </c>
      <c r="R551" t="s">
        <v>3205</v>
      </c>
      <c r="S551" t="s">
        <v>16</v>
      </c>
    </row>
    <row r="552" spans="1:19" x14ac:dyDescent="0.3">
      <c r="A552" t="s">
        <v>431</v>
      </c>
      <c r="B552" t="s">
        <v>1600</v>
      </c>
      <c r="C552" t="s">
        <v>2098</v>
      </c>
      <c r="D552" t="s">
        <v>3190</v>
      </c>
      <c r="E552" t="s">
        <v>14</v>
      </c>
      <c r="F552" s="2">
        <v>22</v>
      </c>
      <c r="G552" t="s">
        <v>3206</v>
      </c>
      <c r="H552" t="s">
        <v>10</v>
      </c>
      <c r="I552" t="s">
        <v>11</v>
      </c>
      <c r="J552" t="s">
        <v>3198</v>
      </c>
      <c r="K552" t="s">
        <v>22</v>
      </c>
      <c r="L552" s="2">
        <v>12.0509</v>
      </c>
      <c r="M552" t="s">
        <v>3199</v>
      </c>
      <c r="N552">
        <v>1</v>
      </c>
      <c r="O552">
        <v>1</v>
      </c>
      <c r="P552">
        <v>3</v>
      </c>
      <c r="Q552" t="s">
        <v>3204</v>
      </c>
      <c r="R552" t="s">
        <v>3205</v>
      </c>
      <c r="S552" t="s">
        <v>16</v>
      </c>
    </row>
    <row r="553" spans="1:19" x14ac:dyDescent="0.3">
      <c r="A553" t="s">
        <v>432</v>
      </c>
      <c r="B553" t="s">
        <v>1602</v>
      </c>
      <c r="C553" t="s">
        <v>1720</v>
      </c>
      <c r="D553" t="s">
        <v>3190</v>
      </c>
      <c r="E553" t="s">
        <v>14</v>
      </c>
      <c r="F553" s="2">
        <v>20</v>
      </c>
      <c r="G553" t="s">
        <v>3206</v>
      </c>
      <c r="H553" t="s">
        <v>18</v>
      </c>
      <c r="I553" t="s">
        <v>11</v>
      </c>
      <c r="J553" t="s">
        <v>3198</v>
      </c>
      <c r="K553" t="s">
        <v>15</v>
      </c>
      <c r="L553" s="2">
        <v>23</v>
      </c>
      <c r="M553" t="s">
        <v>3203</v>
      </c>
      <c r="N553">
        <v>2</v>
      </c>
      <c r="O553">
        <v>1</v>
      </c>
      <c r="P553">
        <v>4</v>
      </c>
      <c r="Q553" t="s">
        <v>3204</v>
      </c>
      <c r="R553" t="s">
        <v>3205</v>
      </c>
      <c r="S553" t="s">
        <v>16</v>
      </c>
    </row>
    <row r="554" spans="1:19" x14ac:dyDescent="0.3">
      <c r="A554" t="s">
        <v>432</v>
      </c>
      <c r="B554" t="s">
        <v>1596</v>
      </c>
      <c r="C554" t="s">
        <v>2099</v>
      </c>
      <c r="D554" t="s">
        <v>3189</v>
      </c>
      <c r="E554" t="s">
        <v>9</v>
      </c>
      <c r="F554" s="2">
        <v>24</v>
      </c>
      <c r="G554" t="s">
        <v>3206</v>
      </c>
      <c r="H554" t="s">
        <v>18</v>
      </c>
      <c r="I554" t="s">
        <v>11</v>
      </c>
      <c r="J554" t="s">
        <v>3198</v>
      </c>
      <c r="K554" t="s">
        <v>15</v>
      </c>
      <c r="L554" s="2">
        <v>11.1</v>
      </c>
      <c r="M554" t="s">
        <v>3199</v>
      </c>
      <c r="N554">
        <v>2</v>
      </c>
      <c r="O554">
        <v>1</v>
      </c>
      <c r="P554">
        <v>4</v>
      </c>
      <c r="Q554" t="s">
        <v>3204</v>
      </c>
      <c r="R554" t="s">
        <v>3201</v>
      </c>
      <c r="S554" t="s">
        <v>13</v>
      </c>
    </row>
    <row r="555" spans="1:19" x14ac:dyDescent="0.3">
      <c r="A555" t="s">
        <v>432</v>
      </c>
      <c r="B555" t="s">
        <v>1596</v>
      </c>
      <c r="C555" t="s">
        <v>2100</v>
      </c>
      <c r="D555" t="s">
        <v>3189</v>
      </c>
      <c r="E555" t="s">
        <v>9</v>
      </c>
      <c r="F555" s="2">
        <v>36</v>
      </c>
      <c r="G555" t="s">
        <v>3197</v>
      </c>
      <c r="H555" t="s">
        <v>18</v>
      </c>
      <c r="I555" t="s">
        <v>11</v>
      </c>
      <c r="J555" t="s">
        <v>3198</v>
      </c>
      <c r="K555" t="s">
        <v>15</v>
      </c>
      <c r="L555" s="2">
        <v>13</v>
      </c>
      <c r="M555" t="s">
        <v>3199</v>
      </c>
      <c r="N555">
        <v>0</v>
      </c>
      <c r="O555">
        <v>0</v>
      </c>
      <c r="P555">
        <v>1</v>
      </c>
      <c r="Q555" t="s">
        <v>3200</v>
      </c>
      <c r="R555" t="s">
        <v>3201</v>
      </c>
      <c r="S555" t="s">
        <v>13</v>
      </c>
    </row>
    <row r="556" spans="1:19" x14ac:dyDescent="0.3">
      <c r="A556" t="s">
        <v>432</v>
      </c>
      <c r="B556" t="s">
        <v>1600</v>
      </c>
      <c r="C556" t="s">
        <v>2101</v>
      </c>
      <c r="D556" t="s">
        <v>3190</v>
      </c>
      <c r="E556" t="s">
        <v>14</v>
      </c>
      <c r="F556" s="2">
        <v>54</v>
      </c>
      <c r="G556" t="s">
        <v>3197</v>
      </c>
      <c r="H556" t="s">
        <v>18</v>
      </c>
      <c r="I556" t="s">
        <v>11</v>
      </c>
      <c r="J556" t="s">
        <v>3198</v>
      </c>
      <c r="K556" t="s">
        <v>15</v>
      </c>
      <c r="L556" s="2">
        <v>23</v>
      </c>
      <c r="M556" t="s">
        <v>3203</v>
      </c>
      <c r="N556">
        <v>1</v>
      </c>
      <c r="O556">
        <v>3</v>
      </c>
      <c r="P556">
        <v>5</v>
      </c>
      <c r="Q556" t="s">
        <v>3204</v>
      </c>
      <c r="R556" t="s">
        <v>3205</v>
      </c>
      <c r="S556" t="s">
        <v>16</v>
      </c>
    </row>
    <row r="557" spans="1:19" x14ac:dyDescent="0.3">
      <c r="A557" t="s">
        <v>433</v>
      </c>
      <c r="B557" t="s">
        <v>1596</v>
      </c>
      <c r="C557" t="s">
        <v>2102</v>
      </c>
      <c r="D557" t="s">
        <v>3189</v>
      </c>
      <c r="E557" t="s">
        <v>9</v>
      </c>
      <c r="F557" s="2">
        <v>50</v>
      </c>
      <c r="G557" t="s">
        <v>3197</v>
      </c>
      <c r="H557" t="s">
        <v>18</v>
      </c>
      <c r="I557" t="s">
        <v>11</v>
      </c>
      <c r="J557" t="s">
        <v>3198</v>
      </c>
      <c r="K557" t="s">
        <v>15</v>
      </c>
      <c r="L557" s="2">
        <v>13</v>
      </c>
      <c r="M557" t="s">
        <v>3199</v>
      </c>
      <c r="N557">
        <v>0</v>
      </c>
      <c r="O557">
        <v>0</v>
      </c>
      <c r="P557">
        <v>1</v>
      </c>
      <c r="Q557" t="s">
        <v>3200</v>
      </c>
      <c r="R557" t="s">
        <v>3201</v>
      </c>
      <c r="S557" t="s">
        <v>13</v>
      </c>
    </row>
    <row r="558" spans="1:19" x14ac:dyDescent="0.3">
      <c r="A558" t="s">
        <v>434</v>
      </c>
      <c r="B558" t="s">
        <v>1600</v>
      </c>
      <c r="C558" t="s">
        <v>2103</v>
      </c>
      <c r="D558" t="s">
        <v>3190</v>
      </c>
      <c r="E558" t="s">
        <v>14</v>
      </c>
      <c r="F558" s="2">
        <v>51</v>
      </c>
      <c r="G558" t="s">
        <v>3197</v>
      </c>
      <c r="H558" t="s">
        <v>25</v>
      </c>
      <c r="I558" t="s">
        <v>19</v>
      </c>
      <c r="J558" t="s">
        <v>3207</v>
      </c>
      <c r="K558" t="s">
        <v>12</v>
      </c>
      <c r="L558" s="2">
        <v>77.190200000000004</v>
      </c>
      <c r="M558" t="s">
        <v>3211</v>
      </c>
      <c r="N558">
        <v>1</v>
      </c>
      <c r="O558">
        <v>0</v>
      </c>
      <c r="P558">
        <v>2</v>
      </c>
      <c r="Q558" t="s">
        <v>3204</v>
      </c>
      <c r="R558" t="s">
        <v>3205</v>
      </c>
      <c r="S558" t="s">
        <v>16</v>
      </c>
    </row>
    <row r="559" spans="1:19" x14ac:dyDescent="0.3">
      <c r="A559" t="s">
        <v>435</v>
      </c>
      <c r="B559" t="s">
        <v>1600</v>
      </c>
      <c r="C559" t="s">
        <v>2104</v>
      </c>
      <c r="D559" t="s">
        <v>3190</v>
      </c>
      <c r="E559" t="s">
        <v>14</v>
      </c>
      <c r="F559" s="2">
        <v>29</v>
      </c>
      <c r="G559" t="s">
        <v>3206</v>
      </c>
      <c r="H559" t="s">
        <v>18</v>
      </c>
      <c r="I559" t="s">
        <v>11</v>
      </c>
      <c r="J559" t="s">
        <v>3198</v>
      </c>
      <c r="K559" t="s">
        <v>15</v>
      </c>
      <c r="L559" s="2">
        <v>26</v>
      </c>
      <c r="M559" t="s">
        <v>3203</v>
      </c>
      <c r="N559">
        <v>1</v>
      </c>
      <c r="O559">
        <v>0</v>
      </c>
      <c r="P559">
        <v>2</v>
      </c>
      <c r="Q559" t="s">
        <v>3204</v>
      </c>
      <c r="R559" t="s">
        <v>3205</v>
      </c>
      <c r="S559" t="s">
        <v>16</v>
      </c>
    </row>
    <row r="560" spans="1:19" x14ac:dyDescent="0.3">
      <c r="A560" t="s">
        <v>435</v>
      </c>
      <c r="B560" t="s">
        <v>1596</v>
      </c>
      <c r="C560" t="s">
        <v>2105</v>
      </c>
      <c r="D560" t="s">
        <v>3189</v>
      </c>
      <c r="E560" t="s">
        <v>9</v>
      </c>
      <c r="F560" s="2">
        <v>44</v>
      </c>
      <c r="G560" t="s">
        <v>3197</v>
      </c>
      <c r="H560" t="s">
        <v>18</v>
      </c>
      <c r="I560" t="s">
        <v>11</v>
      </c>
      <c r="J560" t="s">
        <v>3198</v>
      </c>
      <c r="K560" t="s">
        <v>15</v>
      </c>
      <c r="L560" s="2">
        <v>26</v>
      </c>
      <c r="M560" t="s">
        <v>3203</v>
      </c>
      <c r="N560">
        <v>1</v>
      </c>
      <c r="O560">
        <v>0</v>
      </c>
      <c r="P560">
        <v>2</v>
      </c>
      <c r="Q560" t="s">
        <v>3204</v>
      </c>
      <c r="R560" t="s">
        <v>3201</v>
      </c>
      <c r="S560" t="s">
        <v>13</v>
      </c>
    </row>
    <row r="561" spans="1:19" x14ac:dyDescent="0.3">
      <c r="A561" t="s">
        <v>436</v>
      </c>
      <c r="B561" t="s">
        <v>1596</v>
      </c>
      <c r="C561" t="s">
        <v>2106</v>
      </c>
      <c r="D561" t="s">
        <v>3189</v>
      </c>
      <c r="E561" t="s">
        <v>9</v>
      </c>
      <c r="F561" s="2">
        <v>43</v>
      </c>
      <c r="G561" t="s">
        <v>3197</v>
      </c>
      <c r="H561" t="s">
        <v>10</v>
      </c>
      <c r="I561" t="s">
        <v>11</v>
      </c>
      <c r="J561" t="s">
        <v>3198</v>
      </c>
      <c r="K561" t="s">
        <v>23</v>
      </c>
      <c r="L561" s="2">
        <v>6.09</v>
      </c>
      <c r="M561" t="s">
        <v>3199</v>
      </c>
      <c r="N561">
        <v>0</v>
      </c>
      <c r="O561">
        <v>0</v>
      </c>
      <c r="P561">
        <v>1</v>
      </c>
      <c r="Q561" t="s">
        <v>3200</v>
      </c>
      <c r="R561" t="s">
        <v>3201</v>
      </c>
      <c r="S561" t="s">
        <v>13</v>
      </c>
    </row>
    <row r="562" spans="1:19" x14ac:dyDescent="0.3">
      <c r="A562" t="s">
        <v>437</v>
      </c>
      <c r="B562" t="s">
        <v>1596</v>
      </c>
      <c r="C562" t="s">
        <v>2107</v>
      </c>
      <c r="D562" t="s">
        <v>3189</v>
      </c>
      <c r="E562" t="s">
        <v>9</v>
      </c>
      <c r="F562" s="2">
        <v>18</v>
      </c>
      <c r="G562" t="s">
        <v>3206</v>
      </c>
      <c r="H562" t="s">
        <v>10</v>
      </c>
      <c r="I562" t="s">
        <v>11</v>
      </c>
      <c r="J562" t="s">
        <v>3198</v>
      </c>
      <c r="K562" t="s">
        <v>17</v>
      </c>
      <c r="L562" s="2">
        <v>22.1006</v>
      </c>
      <c r="M562" t="s">
        <v>3203</v>
      </c>
      <c r="N562">
        <v>0</v>
      </c>
      <c r="O562">
        <v>0</v>
      </c>
      <c r="P562">
        <v>1</v>
      </c>
      <c r="Q562" t="s">
        <v>3200</v>
      </c>
      <c r="R562" t="s">
        <v>3201</v>
      </c>
      <c r="S562" t="s">
        <v>13</v>
      </c>
    </row>
    <row r="563" spans="1:19" x14ac:dyDescent="0.3">
      <c r="A563" t="s">
        <v>438</v>
      </c>
      <c r="B563" t="s">
        <v>1596</v>
      </c>
      <c r="C563" t="s">
        <v>2108</v>
      </c>
      <c r="D563" t="s">
        <v>3189</v>
      </c>
      <c r="E563" t="s">
        <v>9</v>
      </c>
      <c r="F563" s="2">
        <v>42</v>
      </c>
      <c r="G563" t="s">
        <v>3197</v>
      </c>
      <c r="H563" t="s">
        <v>25</v>
      </c>
      <c r="I563" t="s">
        <v>11</v>
      </c>
      <c r="J563" t="s">
        <v>3198</v>
      </c>
      <c r="K563" t="s">
        <v>12</v>
      </c>
      <c r="L563" s="2">
        <v>52</v>
      </c>
      <c r="M563" t="s">
        <v>3211</v>
      </c>
      <c r="N563">
        <v>1</v>
      </c>
      <c r="O563">
        <v>0</v>
      </c>
      <c r="P563">
        <v>2</v>
      </c>
      <c r="Q563" t="s">
        <v>3204</v>
      </c>
      <c r="R563" t="s">
        <v>3201</v>
      </c>
      <c r="S563" t="s">
        <v>13</v>
      </c>
    </row>
    <row r="564" spans="1:19" x14ac:dyDescent="0.3">
      <c r="A564" t="s">
        <v>438</v>
      </c>
      <c r="B564" t="s">
        <v>1600</v>
      </c>
      <c r="C564" t="s">
        <v>2109</v>
      </c>
      <c r="D564" t="s">
        <v>3190</v>
      </c>
      <c r="E564" t="s">
        <v>14</v>
      </c>
      <c r="F564" s="2">
        <v>35</v>
      </c>
      <c r="G564" t="s">
        <v>3206</v>
      </c>
      <c r="H564" t="s">
        <v>25</v>
      </c>
      <c r="I564" t="s">
        <v>11</v>
      </c>
      <c r="J564" t="s">
        <v>3198</v>
      </c>
      <c r="K564" t="s">
        <v>12</v>
      </c>
      <c r="L564" s="2">
        <v>52</v>
      </c>
      <c r="M564" t="s">
        <v>3211</v>
      </c>
      <c r="N564">
        <v>1</v>
      </c>
      <c r="O564">
        <v>0</v>
      </c>
      <c r="P564">
        <v>2</v>
      </c>
      <c r="Q564" t="s">
        <v>3204</v>
      </c>
      <c r="R564" t="s">
        <v>3205</v>
      </c>
      <c r="S564" t="s">
        <v>16</v>
      </c>
    </row>
    <row r="565" spans="1:19" x14ac:dyDescent="0.3">
      <c r="A565" t="s">
        <v>439</v>
      </c>
      <c r="B565" t="s">
        <v>1596</v>
      </c>
      <c r="C565" t="s">
        <v>1630</v>
      </c>
      <c r="D565" t="s">
        <v>3189</v>
      </c>
      <c r="E565" t="s">
        <v>9</v>
      </c>
      <c r="F565" s="2">
        <v>40</v>
      </c>
      <c r="G565" t="s">
        <v>3197</v>
      </c>
      <c r="H565" t="s">
        <v>25</v>
      </c>
      <c r="I565" t="s">
        <v>11</v>
      </c>
      <c r="J565" t="s">
        <v>3198</v>
      </c>
      <c r="K565" t="s">
        <v>12</v>
      </c>
      <c r="L565" s="2">
        <v>26.11</v>
      </c>
      <c r="M565" t="s">
        <v>3203</v>
      </c>
      <c r="N565">
        <v>0</v>
      </c>
      <c r="O565">
        <v>0</v>
      </c>
      <c r="P565">
        <v>1</v>
      </c>
      <c r="Q565" t="s">
        <v>3200</v>
      </c>
      <c r="R565" t="s">
        <v>3205</v>
      </c>
      <c r="S565" t="s">
        <v>16</v>
      </c>
    </row>
    <row r="566" spans="1:19" x14ac:dyDescent="0.3">
      <c r="A566" t="s">
        <v>440</v>
      </c>
      <c r="B566" t="s">
        <v>1602</v>
      </c>
      <c r="C566" t="s">
        <v>2110</v>
      </c>
      <c r="D566" t="s">
        <v>3190</v>
      </c>
      <c r="E566" t="s">
        <v>14</v>
      </c>
      <c r="F566" s="2">
        <v>27</v>
      </c>
      <c r="G566" t="s">
        <v>3206</v>
      </c>
      <c r="H566" t="s">
        <v>10</v>
      </c>
      <c r="I566" t="s">
        <v>11</v>
      </c>
      <c r="J566" t="s">
        <v>3198</v>
      </c>
      <c r="K566" t="s">
        <v>22</v>
      </c>
      <c r="L566" s="2">
        <v>7.1806000000000001</v>
      </c>
      <c r="M566" t="s">
        <v>3199</v>
      </c>
      <c r="N566">
        <v>0</v>
      </c>
      <c r="O566">
        <v>0</v>
      </c>
      <c r="P566">
        <v>1</v>
      </c>
      <c r="Q566" t="s">
        <v>3200</v>
      </c>
      <c r="R566" t="s">
        <v>3205</v>
      </c>
      <c r="S566" t="s">
        <v>16</v>
      </c>
    </row>
    <row r="567" spans="1:19" x14ac:dyDescent="0.3">
      <c r="A567" t="s">
        <v>441</v>
      </c>
      <c r="B567" t="s">
        <v>1596</v>
      </c>
      <c r="C567" t="s">
        <v>2111</v>
      </c>
      <c r="D567" t="s">
        <v>3189</v>
      </c>
      <c r="E567" t="s">
        <v>9</v>
      </c>
      <c r="F567" s="2">
        <v>21</v>
      </c>
      <c r="G567" t="s">
        <v>3206</v>
      </c>
      <c r="H567" t="s">
        <v>18</v>
      </c>
      <c r="I567" t="s">
        <v>11</v>
      </c>
      <c r="J567" t="s">
        <v>3198</v>
      </c>
      <c r="K567" t="s">
        <v>15</v>
      </c>
      <c r="L567" s="2">
        <v>73.099999999999994</v>
      </c>
      <c r="M567" t="s">
        <v>3211</v>
      </c>
      <c r="N567">
        <v>0</v>
      </c>
      <c r="O567">
        <v>0</v>
      </c>
      <c r="P567">
        <v>1</v>
      </c>
      <c r="Q567" t="s">
        <v>3200</v>
      </c>
      <c r="R567" t="s">
        <v>3201</v>
      </c>
      <c r="S567" t="s">
        <v>13</v>
      </c>
    </row>
    <row r="568" spans="1:19" x14ac:dyDescent="0.3">
      <c r="A568" t="s">
        <v>442</v>
      </c>
      <c r="B568" t="s">
        <v>1596</v>
      </c>
      <c r="C568" t="s">
        <v>1610</v>
      </c>
      <c r="D568" t="s">
        <v>3189</v>
      </c>
      <c r="E568" t="s">
        <v>9</v>
      </c>
      <c r="F568" s="2">
        <v>22</v>
      </c>
      <c r="G568" t="s">
        <v>3206</v>
      </c>
      <c r="H568" t="s">
        <v>10</v>
      </c>
      <c r="I568" t="s">
        <v>36</v>
      </c>
      <c r="J568" t="s">
        <v>3213</v>
      </c>
      <c r="K568" t="s">
        <v>15</v>
      </c>
      <c r="L568" s="2">
        <v>7.15</v>
      </c>
      <c r="M568" t="s">
        <v>3199</v>
      </c>
      <c r="N568">
        <v>0</v>
      </c>
      <c r="O568">
        <v>0</v>
      </c>
      <c r="P568">
        <v>1</v>
      </c>
      <c r="Q568" t="s">
        <v>3200</v>
      </c>
      <c r="R568" t="s">
        <v>3201</v>
      </c>
      <c r="S568" t="s">
        <v>13</v>
      </c>
    </row>
    <row r="569" spans="1:19" x14ac:dyDescent="0.3">
      <c r="A569" t="s">
        <v>443</v>
      </c>
      <c r="B569" t="s">
        <v>1596</v>
      </c>
      <c r="C569" t="s">
        <v>2112</v>
      </c>
      <c r="D569" t="s">
        <v>3189</v>
      </c>
      <c r="E569" t="s">
        <v>9</v>
      </c>
      <c r="F569" s="2">
        <v>41</v>
      </c>
      <c r="G569" t="s">
        <v>3197</v>
      </c>
      <c r="H569" t="s">
        <v>18</v>
      </c>
      <c r="I569" t="s">
        <v>11</v>
      </c>
      <c r="J569" t="s">
        <v>3198</v>
      </c>
      <c r="K569" t="s">
        <v>53</v>
      </c>
      <c r="L569" s="2">
        <v>13</v>
      </c>
      <c r="M569" t="s">
        <v>3199</v>
      </c>
      <c r="N569">
        <v>0</v>
      </c>
      <c r="O569">
        <v>0</v>
      </c>
      <c r="P569">
        <v>1</v>
      </c>
      <c r="Q569" t="s">
        <v>3200</v>
      </c>
      <c r="R569" t="s">
        <v>3205</v>
      </c>
      <c r="S569" t="s">
        <v>16</v>
      </c>
    </row>
    <row r="570" spans="1:19" x14ac:dyDescent="0.3">
      <c r="A570" t="s">
        <v>444</v>
      </c>
      <c r="B570" t="s">
        <v>1602</v>
      </c>
      <c r="C570" t="s">
        <v>2113</v>
      </c>
      <c r="D570" t="s">
        <v>3190</v>
      </c>
      <c r="E570" t="s">
        <v>14</v>
      </c>
      <c r="F570" s="2">
        <v>26</v>
      </c>
      <c r="G570" t="s">
        <v>3206</v>
      </c>
      <c r="H570" t="s">
        <v>10</v>
      </c>
      <c r="I570" t="s">
        <v>11</v>
      </c>
      <c r="J570" t="s">
        <v>3198</v>
      </c>
      <c r="K570" t="s">
        <v>15</v>
      </c>
      <c r="L570" s="2">
        <v>8.01</v>
      </c>
      <c r="M570" t="s">
        <v>3199</v>
      </c>
      <c r="N570">
        <v>0</v>
      </c>
      <c r="O570">
        <v>0</v>
      </c>
      <c r="P570">
        <v>1</v>
      </c>
      <c r="Q570" t="s">
        <v>3200</v>
      </c>
      <c r="R570" t="s">
        <v>3205</v>
      </c>
      <c r="S570" t="s">
        <v>16</v>
      </c>
    </row>
    <row r="571" spans="1:19" x14ac:dyDescent="0.3">
      <c r="A571" t="s">
        <v>444</v>
      </c>
      <c r="B571" t="s">
        <v>1596</v>
      </c>
      <c r="C571" t="s">
        <v>2040</v>
      </c>
      <c r="D571" t="s">
        <v>3189</v>
      </c>
      <c r="E571" t="s">
        <v>9</v>
      </c>
      <c r="F571" s="2">
        <v>63</v>
      </c>
      <c r="G571" t="s">
        <v>3210</v>
      </c>
      <c r="H571" t="s">
        <v>18</v>
      </c>
      <c r="I571" t="s">
        <v>11</v>
      </c>
      <c r="J571" t="s">
        <v>3198</v>
      </c>
      <c r="K571" t="s">
        <v>15</v>
      </c>
      <c r="L571" s="2">
        <v>26</v>
      </c>
      <c r="M571" t="s">
        <v>3203</v>
      </c>
      <c r="N571">
        <v>1</v>
      </c>
      <c r="O571">
        <v>0</v>
      </c>
      <c r="P571">
        <v>2</v>
      </c>
      <c r="Q571" t="s">
        <v>3204</v>
      </c>
      <c r="R571" t="s">
        <v>3201</v>
      </c>
      <c r="S571" t="s">
        <v>13</v>
      </c>
    </row>
    <row r="572" spans="1:19" x14ac:dyDescent="0.3">
      <c r="A572" t="s">
        <v>444</v>
      </c>
      <c r="B572" t="s">
        <v>1600</v>
      </c>
      <c r="C572" t="s">
        <v>2114</v>
      </c>
      <c r="D572" t="s">
        <v>3190</v>
      </c>
      <c r="E572" t="s">
        <v>14</v>
      </c>
      <c r="F572" s="2">
        <v>61</v>
      </c>
      <c r="G572" t="s">
        <v>3210</v>
      </c>
      <c r="H572" t="s">
        <v>18</v>
      </c>
      <c r="I572" t="s">
        <v>11</v>
      </c>
      <c r="J572" t="s">
        <v>3198</v>
      </c>
      <c r="K572" t="s">
        <v>15</v>
      </c>
      <c r="L572" s="2">
        <v>26</v>
      </c>
      <c r="M572" t="s">
        <v>3203</v>
      </c>
      <c r="N572">
        <v>1</v>
      </c>
      <c r="O572">
        <v>0</v>
      </c>
      <c r="P572">
        <v>2</v>
      </c>
      <c r="Q572" t="s">
        <v>3204</v>
      </c>
      <c r="R572" t="s">
        <v>3201</v>
      </c>
      <c r="S572" t="s">
        <v>13</v>
      </c>
    </row>
    <row r="573" spans="1:19" x14ac:dyDescent="0.3">
      <c r="A573" t="s">
        <v>445</v>
      </c>
      <c r="B573" t="s">
        <v>1596</v>
      </c>
      <c r="C573" t="s">
        <v>2115</v>
      </c>
      <c r="D573" t="s">
        <v>3189</v>
      </c>
      <c r="E573" t="s">
        <v>9</v>
      </c>
      <c r="F573" s="2">
        <v>38</v>
      </c>
      <c r="G573" t="s">
        <v>3197</v>
      </c>
      <c r="H573" t="s">
        <v>25</v>
      </c>
      <c r="I573" t="s">
        <v>11</v>
      </c>
      <c r="J573" t="s">
        <v>3198</v>
      </c>
      <c r="K573" t="s">
        <v>12</v>
      </c>
      <c r="L573" s="2">
        <v>100</v>
      </c>
      <c r="M573" t="s">
        <v>3211</v>
      </c>
      <c r="N573">
        <v>1</v>
      </c>
      <c r="O573">
        <v>0</v>
      </c>
      <c r="P573">
        <v>2</v>
      </c>
      <c r="Q573" t="s">
        <v>3204</v>
      </c>
      <c r="R573" t="s">
        <v>3205</v>
      </c>
      <c r="S573" t="s">
        <v>16</v>
      </c>
    </row>
    <row r="574" spans="1:19" x14ac:dyDescent="0.3">
      <c r="A574" t="s">
        <v>445</v>
      </c>
      <c r="B574" t="s">
        <v>1600</v>
      </c>
      <c r="C574" t="s">
        <v>2116</v>
      </c>
      <c r="D574" t="s">
        <v>3190</v>
      </c>
      <c r="E574" t="s">
        <v>14</v>
      </c>
      <c r="F574" s="2">
        <v>31</v>
      </c>
      <c r="G574" t="s">
        <v>3206</v>
      </c>
      <c r="H574" t="s">
        <v>25</v>
      </c>
      <c r="I574" t="s">
        <v>11</v>
      </c>
      <c r="J574" t="s">
        <v>3198</v>
      </c>
      <c r="K574" t="s">
        <v>12</v>
      </c>
      <c r="L574" s="2">
        <v>100</v>
      </c>
      <c r="M574" t="s">
        <v>3211</v>
      </c>
      <c r="N574">
        <v>1</v>
      </c>
      <c r="O574">
        <v>0</v>
      </c>
      <c r="P574">
        <v>2</v>
      </c>
      <c r="Q574" t="s">
        <v>3204</v>
      </c>
      <c r="R574" t="s">
        <v>3205</v>
      </c>
      <c r="S574" t="s">
        <v>16</v>
      </c>
    </row>
    <row r="575" spans="1:19" x14ac:dyDescent="0.3">
      <c r="A575" t="s">
        <v>445</v>
      </c>
      <c r="B575" t="s">
        <v>1596</v>
      </c>
      <c r="C575" t="s">
        <v>2117</v>
      </c>
      <c r="D575" t="s">
        <v>3189</v>
      </c>
      <c r="E575" t="s">
        <v>9</v>
      </c>
      <c r="F575" s="2">
        <v>43</v>
      </c>
      <c r="G575" t="s">
        <v>3197</v>
      </c>
      <c r="H575" t="s">
        <v>25</v>
      </c>
      <c r="I575" t="s">
        <v>19</v>
      </c>
      <c r="J575" t="s">
        <v>3207</v>
      </c>
      <c r="K575" t="s">
        <v>12</v>
      </c>
      <c r="L575" s="2">
        <v>30.1311</v>
      </c>
      <c r="M575" t="s">
        <v>3203</v>
      </c>
      <c r="N575">
        <v>0</v>
      </c>
      <c r="O575">
        <v>0</v>
      </c>
      <c r="P575">
        <v>1</v>
      </c>
      <c r="Q575" t="s">
        <v>3200</v>
      </c>
      <c r="R575" t="s">
        <v>3201</v>
      </c>
      <c r="S575" t="s">
        <v>13</v>
      </c>
    </row>
    <row r="576" spans="1:19" x14ac:dyDescent="0.3">
      <c r="A576" t="s">
        <v>446</v>
      </c>
      <c r="B576" t="s">
        <v>1596</v>
      </c>
      <c r="C576" t="s">
        <v>2118</v>
      </c>
      <c r="D576" t="s">
        <v>3189</v>
      </c>
      <c r="E576" t="s">
        <v>9</v>
      </c>
      <c r="F576" s="2">
        <v>42</v>
      </c>
      <c r="G576" t="s">
        <v>3197</v>
      </c>
      <c r="H576" t="s">
        <v>10</v>
      </c>
      <c r="I576" t="s">
        <v>11</v>
      </c>
      <c r="J576" t="s">
        <v>3198</v>
      </c>
      <c r="K576" t="s">
        <v>17</v>
      </c>
      <c r="L576" s="2">
        <v>7.13</v>
      </c>
      <c r="M576" t="s">
        <v>3199</v>
      </c>
      <c r="N576">
        <v>0</v>
      </c>
      <c r="O576">
        <v>0</v>
      </c>
      <c r="P576">
        <v>1</v>
      </c>
      <c r="Q576" t="s">
        <v>3200</v>
      </c>
      <c r="R576" t="s">
        <v>3201</v>
      </c>
      <c r="S576" t="s">
        <v>13</v>
      </c>
    </row>
    <row r="577" spans="1:19" x14ac:dyDescent="0.3">
      <c r="A577" t="s">
        <v>447</v>
      </c>
      <c r="B577" t="s">
        <v>1596</v>
      </c>
      <c r="C577" t="s">
        <v>2119</v>
      </c>
      <c r="D577" t="s">
        <v>3189</v>
      </c>
      <c r="E577" t="s">
        <v>9</v>
      </c>
      <c r="F577" s="2">
        <v>21</v>
      </c>
      <c r="G577" t="s">
        <v>3206</v>
      </c>
      <c r="H577" t="s">
        <v>18</v>
      </c>
      <c r="I577" t="s">
        <v>11</v>
      </c>
      <c r="J577" t="s">
        <v>3198</v>
      </c>
      <c r="K577" t="s">
        <v>15</v>
      </c>
      <c r="L577" s="2">
        <v>33</v>
      </c>
      <c r="M577" t="s">
        <v>3203</v>
      </c>
      <c r="N577">
        <v>1</v>
      </c>
      <c r="O577" t="s">
        <v>30</v>
      </c>
      <c r="P577" t="e">
        <v>#VALUE!</v>
      </c>
      <c r="Q577" t="e">
        <v>#VALUE!</v>
      </c>
      <c r="R577" t="s">
        <v>3201</v>
      </c>
      <c r="S577" t="s">
        <v>13</v>
      </c>
    </row>
    <row r="578" spans="1:19" x14ac:dyDescent="0.3">
      <c r="A578" t="s">
        <v>448</v>
      </c>
      <c r="B578" t="s">
        <v>1596</v>
      </c>
      <c r="C578" t="s">
        <v>2120</v>
      </c>
      <c r="D578" t="s">
        <v>3189</v>
      </c>
      <c r="E578" t="s">
        <v>9</v>
      </c>
      <c r="F578" s="2">
        <v>34</v>
      </c>
      <c r="G578" t="s">
        <v>3206</v>
      </c>
      <c r="H578" t="s">
        <v>18</v>
      </c>
      <c r="I578" t="s">
        <v>11</v>
      </c>
      <c r="J578" t="s">
        <v>3198</v>
      </c>
      <c r="K578" t="s">
        <v>15</v>
      </c>
      <c r="L578" s="2">
        <v>12.050599999999999</v>
      </c>
      <c r="M578" t="s">
        <v>3199</v>
      </c>
      <c r="N578">
        <v>0</v>
      </c>
      <c r="O578">
        <v>0</v>
      </c>
      <c r="P578">
        <v>1</v>
      </c>
      <c r="Q578" t="s">
        <v>3200</v>
      </c>
      <c r="R578" t="s">
        <v>3201</v>
      </c>
      <c r="S578" t="s">
        <v>13</v>
      </c>
    </row>
    <row r="579" spans="1:19" x14ac:dyDescent="0.3">
      <c r="A579" t="s">
        <v>449</v>
      </c>
      <c r="B579" t="s">
        <v>1596</v>
      </c>
      <c r="C579" t="s">
        <v>2121</v>
      </c>
      <c r="D579" t="s">
        <v>3189</v>
      </c>
      <c r="E579" t="s">
        <v>9</v>
      </c>
      <c r="F579" s="2">
        <v>34</v>
      </c>
      <c r="G579" t="s">
        <v>3206</v>
      </c>
      <c r="H579" t="s">
        <v>10</v>
      </c>
      <c r="I579" t="s">
        <v>11</v>
      </c>
      <c r="J579" t="s">
        <v>3198</v>
      </c>
      <c r="K579" t="s">
        <v>15</v>
      </c>
      <c r="L579" s="2">
        <v>7.1708999999999996</v>
      </c>
      <c r="M579" t="s">
        <v>3199</v>
      </c>
      <c r="N579">
        <v>0</v>
      </c>
      <c r="O579">
        <v>0</v>
      </c>
      <c r="P579">
        <v>1</v>
      </c>
      <c r="Q579" t="s">
        <v>3200</v>
      </c>
      <c r="R579" t="s">
        <v>3205</v>
      </c>
      <c r="S579" t="s">
        <v>16</v>
      </c>
    </row>
    <row r="580" spans="1:19" x14ac:dyDescent="0.3">
      <c r="A580" t="s">
        <v>450</v>
      </c>
      <c r="B580" t="s">
        <v>1596</v>
      </c>
      <c r="C580" t="s">
        <v>2122</v>
      </c>
      <c r="D580" t="s">
        <v>3189</v>
      </c>
      <c r="E580" t="s">
        <v>9</v>
      </c>
      <c r="F580" s="2">
        <v>11</v>
      </c>
      <c r="G580" t="s">
        <v>3202</v>
      </c>
      <c r="H580" t="s">
        <v>10</v>
      </c>
      <c r="I580" t="s">
        <v>19</v>
      </c>
      <c r="J580" t="s">
        <v>3207</v>
      </c>
      <c r="K580" t="s">
        <v>15</v>
      </c>
      <c r="L580" s="2">
        <v>18.1509</v>
      </c>
      <c r="M580" t="s">
        <v>3203</v>
      </c>
      <c r="N580">
        <v>0</v>
      </c>
      <c r="O580">
        <v>0</v>
      </c>
      <c r="P580">
        <v>1</v>
      </c>
      <c r="Q580" t="s">
        <v>3200</v>
      </c>
      <c r="R580" t="s">
        <v>3201</v>
      </c>
      <c r="S580" t="s">
        <v>13</v>
      </c>
    </row>
    <row r="581" spans="1:19" x14ac:dyDescent="0.3">
      <c r="A581" t="s">
        <v>450</v>
      </c>
      <c r="B581" t="s">
        <v>1600</v>
      </c>
      <c r="C581" t="s">
        <v>2123</v>
      </c>
      <c r="D581" t="s">
        <v>3190</v>
      </c>
      <c r="E581" t="s">
        <v>14</v>
      </c>
      <c r="F581" s="2">
        <v>18</v>
      </c>
      <c r="G581" t="s">
        <v>3206</v>
      </c>
      <c r="H581" t="s">
        <v>10</v>
      </c>
      <c r="I581" t="s">
        <v>19</v>
      </c>
      <c r="J581" t="s">
        <v>3207</v>
      </c>
      <c r="K581" t="s">
        <v>54</v>
      </c>
      <c r="L581" s="2">
        <v>7.0407000000000002</v>
      </c>
      <c r="M581" t="s">
        <v>3199</v>
      </c>
      <c r="N581">
        <v>0</v>
      </c>
      <c r="O581">
        <v>0</v>
      </c>
      <c r="P581">
        <v>1</v>
      </c>
      <c r="Q581" t="s">
        <v>3200</v>
      </c>
      <c r="R581" t="s">
        <v>3205</v>
      </c>
      <c r="S581" t="s">
        <v>16</v>
      </c>
    </row>
    <row r="582" spans="1:19" x14ac:dyDescent="0.3">
      <c r="A582" t="s">
        <v>451</v>
      </c>
      <c r="B582" t="s">
        <v>1596</v>
      </c>
      <c r="C582" t="s">
        <v>2124</v>
      </c>
      <c r="D582" t="s">
        <v>3189</v>
      </c>
      <c r="E582" t="s">
        <v>9</v>
      </c>
      <c r="F582" s="2">
        <v>33</v>
      </c>
      <c r="G582" t="s">
        <v>3206</v>
      </c>
      <c r="H582" t="s">
        <v>10</v>
      </c>
      <c r="I582" t="s">
        <v>19</v>
      </c>
      <c r="J582" t="s">
        <v>3207</v>
      </c>
      <c r="K582" t="s">
        <v>21</v>
      </c>
      <c r="L582" s="2">
        <v>14.090199999999999</v>
      </c>
      <c r="M582" t="s">
        <v>3199</v>
      </c>
      <c r="N582">
        <v>0</v>
      </c>
      <c r="O582">
        <v>0</v>
      </c>
      <c r="P582">
        <v>1</v>
      </c>
      <c r="Q582" t="s">
        <v>3200</v>
      </c>
      <c r="R582" t="s">
        <v>3201</v>
      </c>
      <c r="S582" t="s">
        <v>13</v>
      </c>
    </row>
    <row r="583" spans="1:19" x14ac:dyDescent="0.3">
      <c r="A583" t="s">
        <v>452</v>
      </c>
      <c r="B583" t="s">
        <v>1602</v>
      </c>
      <c r="C583" t="s">
        <v>2125</v>
      </c>
      <c r="D583" t="s">
        <v>3190</v>
      </c>
      <c r="E583" t="s">
        <v>14</v>
      </c>
      <c r="F583" s="2">
        <v>39</v>
      </c>
      <c r="G583" t="s">
        <v>3197</v>
      </c>
      <c r="H583" t="s">
        <v>25</v>
      </c>
      <c r="I583" t="s">
        <v>11</v>
      </c>
      <c r="J583" t="s">
        <v>3198</v>
      </c>
      <c r="K583" t="s">
        <v>15</v>
      </c>
      <c r="L583" s="2">
        <v>80</v>
      </c>
      <c r="M583" t="s">
        <v>3211</v>
      </c>
      <c r="N583">
        <v>0</v>
      </c>
      <c r="O583">
        <v>0</v>
      </c>
      <c r="P583">
        <v>1</v>
      </c>
      <c r="Q583" t="s">
        <v>3200</v>
      </c>
      <c r="R583" t="s">
        <v>3205</v>
      </c>
      <c r="S583" t="s">
        <v>16</v>
      </c>
    </row>
    <row r="584" spans="1:19" x14ac:dyDescent="0.3">
      <c r="A584" t="s">
        <v>453</v>
      </c>
      <c r="B584" t="s">
        <v>1602</v>
      </c>
      <c r="C584" t="s">
        <v>1820</v>
      </c>
      <c r="D584" t="s">
        <v>3190</v>
      </c>
      <c r="E584" t="s">
        <v>14</v>
      </c>
      <c r="F584" s="2">
        <v>17</v>
      </c>
      <c r="G584" t="s">
        <v>3202</v>
      </c>
      <c r="H584" t="s">
        <v>18</v>
      </c>
      <c r="I584" t="s">
        <v>11</v>
      </c>
      <c r="J584" t="s">
        <v>3198</v>
      </c>
      <c r="K584" t="s">
        <v>33</v>
      </c>
      <c r="L584" s="2">
        <v>10.1</v>
      </c>
      <c r="M584" t="s">
        <v>3199</v>
      </c>
      <c r="N584">
        <v>0</v>
      </c>
      <c r="O584">
        <v>0</v>
      </c>
      <c r="P584">
        <v>1</v>
      </c>
      <c r="Q584" t="s">
        <v>3200</v>
      </c>
      <c r="R584" t="s">
        <v>3205</v>
      </c>
      <c r="S584" t="s">
        <v>16</v>
      </c>
    </row>
    <row r="585" spans="1:19" x14ac:dyDescent="0.3">
      <c r="A585" t="s">
        <v>454</v>
      </c>
      <c r="B585" t="s">
        <v>1596</v>
      </c>
      <c r="C585" t="s">
        <v>2126</v>
      </c>
      <c r="D585" t="s">
        <v>3189</v>
      </c>
      <c r="E585" t="s">
        <v>9</v>
      </c>
      <c r="F585" s="2">
        <v>32</v>
      </c>
      <c r="G585" t="s">
        <v>3206</v>
      </c>
      <c r="H585" t="s">
        <v>10</v>
      </c>
      <c r="I585" t="s">
        <v>11</v>
      </c>
      <c r="J585" t="s">
        <v>3198</v>
      </c>
      <c r="K585" t="s">
        <v>15</v>
      </c>
      <c r="L585" s="2">
        <v>7.1711</v>
      </c>
      <c r="M585" t="s">
        <v>3199</v>
      </c>
      <c r="N585">
        <v>0</v>
      </c>
      <c r="O585">
        <v>0</v>
      </c>
      <c r="P585">
        <v>1</v>
      </c>
      <c r="Q585" t="s">
        <v>3200</v>
      </c>
      <c r="R585" t="s">
        <v>3201</v>
      </c>
      <c r="S585" t="s">
        <v>13</v>
      </c>
    </row>
    <row r="586" spans="1:19" x14ac:dyDescent="0.3">
      <c r="A586" t="s">
        <v>455</v>
      </c>
      <c r="B586" t="s">
        <v>1602</v>
      </c>
      <c r="C586" t="s">
        <v>2127</v>
      </c>
      <c r="D586" t="s">
        <v>3190</v>
      </c>
      <c r="E586" t="s">
        <v>14</v>
      </c>
      <c r="F586" s="2">
        <v>17</v>
      </c>
      <c r="G586" t="s">
        <v>3202</v>
      </c>
      <c r="H586" t="s">
        <v>10</v>
      </c>
      <c r="I586" t="s">
        <v>11</v>
      </c>
      <c r="J586" t="s">
        <v>3198</v>
      </c>
      <c r="K586" t="s">
        <v>12</v>
      </c>
      <c r="L586" s="2">
        <v>7.1806000000000001</v>
      </c>
      <c r="M586" t="s">
        <v>3199</v>
      </c>
      <c r="N586">
        <v>1</v>
      </c>
      <c r="O586">
        <v>0</v>
      </c>
      <c r="P586">
        <v>2</v>
      </c>
      <c r="Q586" t="s">
        <v>3204</v>
      </c>
      <c r="R586" t="s">
        <v>3201</v>
      </c>
      <c r="S586" t="s">
        <v>13</v>
      </c>
    </row>
    <row r="587" spans="1:19" x14ac:dyDescent="0.3">
      <c r="A587" t="s">
        <v>455</v>
      </c>
      <c r="B587" t="s">
        <v>1602</v>
      </c>
      <c r="C587" t="s">
        <v>2128</v>
      </c>
      <c r="D587" t="s">
        <v>3190</v>
      </c>
      <c r="E587" t="s">
        <v>14</v>
      </c>
      <c r="F587" s="2">
        <v>25</v>
      </c>
      <c r="G587" t="s">
        <v>3206</v>
      </c>
      <c r="H587" t="s">
        <v>10</v>
      </c>
      <c r="I587" t="s">
        <v>11</v>
      </c>
      <c r="J587" t="s">
        <v>3198</v>
      </c>
      <c r="K587" t="s">
        <v>22</v>
      </c>
      <c r="L587" s="2">
        <v>7.1806000000000001</v>
      </c>
      <c r="M587" t="s">
        <v>3199</v>
      </c>
      <c r="N587">
        <v>1</v>
      </c>
      <c r="O587">
        <v>0</v>
      </c>
      <c r="P587">
        <v>2</v>
      </c>
      <c r="Q587" t="s">
        <v>3204</v>
      </c>
      <c r="R587" t="s">
        <v>3201</v>
      </c>
      <c r="S587" t="s">
        <v>13</v>
      </c>
    </row>
    <row r="588" spans="1:19" x14ac:dyDescent="0.3">
      <c r="A588" t="s">
        <v>456</v>
      </c>
      <c r="B588" t="s">
        <v>1602</v>
      </c>
      <c r="C588" t="s">
        <v>2129</v>
      </c>
      <c r="D588" t="s">
        <v>3190</v>
      </c>
      <c r="E588" t="s">
        <v>14</v>
      </c>
      <c r="F588" s="2">
        <v>50</v>
      </c>
      <c r="G588" t="s">
        <v>3197</v>
      </c>
      <c r="H588" t="s">
        <v>25</v>
      </c>
      <c r="I588" t="s">
        <v>19</v>
      </c>
      <c r="J588" t="s">
        <v>3207</v>
      </c>
      <c r="K588" t="s">
        <v>12</v>
      </c>
      <c r="L588" s="2">
        <v>28.1403</v>
      </c>
      <c r="M588" t="s">
        <v>3203</v>
      </c>
      <c r="N588">
        <v>0</v>
      </c>
      <c r="O588">
        <v>0</v>
      </c>
      <c r="P588">
        <v>1</v>
      </c>
      <c r="Q588" t="s">
        <v>3200</v>
      </c>
      <c r="R588" t="s">
        <v>3201</v>
      </c>
      <c r="S588" t="s">
        <v>13</v>
      </c>
    </row>
    <row r="589" spans="1:19" x14ac:dyDescent="0.3">
      <c r="A589" t="s">
        <v>457</v>
      </c>
      <c r="B589" t="s">
        <v>1596</v>
      </c>
      <c r="C589" t="s">
        <v>2130</v>
      </c>
      <c r="D589" t="s">
        <v>3189</v>
      </c>
      <c r="E589" t="s">
        <v>9</v>
      </c>
      <c r="F589" s="2">
        <v>49</v>
      </c>
      <c r="G589" t="s">
        <v>3197</v>
      </c>
      <c r="H589" t="s">
        <v>25</v>
      </c>
      <c r="I589" t="s">
        <v>11</v>
      </c>
      <c r="J589" t="s">
        <v>3198</v>
      </c>
      <c r="K589" t="s">
        <v>15</v>
      </c>
      <c r="L589" s="2">
        <v>33</v>
      </c>
      <c r="M589" t="s">
        <v>3203</v>
      </c>
      <c r="N589">
        <v>0</v>
      </c>
      <c r="O589">
        <v>0</v>
      </c>
      <c r="P589">
        <v>1</v>
      </c>
      <c r="Q589" t="s">
        <v>3200</v>
      </c>
      <c r="R589" t="s">
        <v>3205</v>
      </c>
      <c r="S589" t="s">
        <v>16</v>
      </c>
    </row>
    <row r="590" spans="1:19" x14ac:dyDescent="0.3">
      <c r="A590" t="s">
        <v>458</v>
      </c>
      <c r="B590" t="s">
        <v>1596</v>
      </c>
      <c r="C590" t="s">
        <v>2131</v>
      </c>
      <c r="D590" t="s">
        <v>3189</v>
      </c>
      <c r="E590" t="s">
        <v>9</v>
      </c>
      <c r="F590" s="2">
        <v>20</v>
      </c>
      <c r="G590" t="s">
        <v>3206</v>
      </c>
      <c r="H590" t="s">
        <v>10</v>
      </c>
      <c r="I590" t="s">
        <v>11</v>
      </c>
      <c r="J590" t="s">
        <v>3198</v>
      </c>
      <c r="K590" t="s">
        <v>31</v>
      </c>
      <c r="L590" s="2">
        <v>7.1711</v>
      </c>
      <c r="M590" t="s">
        <v>3199</v>
      </c>
      <c r="N590">
        <v>0</v>
      </c>
      <c r="O590">
        <v>0</v>
      </c>
      <c r="P590">
        <v>1</v>
      </c>
      <c r="Q590" t="s">
        <v>3200</v>
      </c>
      <c r="R590" t="s">
        <v>3201</v>
      </c>
      <c r="S590" t="s">
        <v>13</v>
      </c>
    </row>
    <row r="591" spans="1:19" x14ac:dyDescent="0.3">
      <c r="A591" t="s">
        <v>459</v>
      </c>
      <c r="B591" t="s">
        <v>1602</v>
      </c>
      <c r="C591" t="s">
        <v>2132</v>
      </c>
      <c r="D591" t="s">
        <v>3190</v>
      </c>
      <c r="E591" t="s">
        <v>14</v>
      </c>
      <c r="F591" s="2">
        <v>16</v>
      </c>
      <c r="G591" t="s">
        <v>3202</v>
      </c>
      <c r="H591" t="s">
        <v>10</v>
      </c>
      <c r="I591" t="s">
        <v>19</v>
      </c>
      <c r="J591" t="s">
        <v>3207</v>
      </c>
      <c r="K591" t="s">
        <v>15</v>
      </c>
      <c r="L591" s="2">
        <v>14.0901</v>
      </c>
      <c r="M591" t="s">
        <v>3199</v>
      </c>
      <c r="N591">
        <v>1</v>
      </c>
      <c r="O591">
        <v>0</v>
      </c>
      <c r="P591">
        <v>2</v>
      </c>
      <c r="Q591" t="s">
        <v>3204</v>
      </c>
      <c r="R591" t="s">
        <v>3201</v>
      </c>
      <c r="S591" t="s">
        <v>13</v>
      </c>
    </row>
    <row r="592" spans="1:19" x14ac:dyDescent="0.3">
      <c r="A592" t="s">
        <v>459</v>
      </c>
      <c r="B592" t="s">
        <v>1602</v>
      </c>
      <c r="C592" t="s">
        <v>2133</v>
      </c>
      <c r="D592" t="s">
        <v>3190</v>
      </c>
      <c r="E592" t="s">
        <v>14</v>
      </c>
      <c r="F592" s="2">
        <v>19</v>
      </c>
      <c r="G592" t="s">
        <v>3206</v>
      </c>
      <c r="H592" t="s">
        <v>10</v>
      </c>
      <c r="I592" t="s">
        <v>19</v>
      </c>
      <c r="J592" t="s">
        <v>3207</v>
      </c>
      <c r="K592" t="s">
        <v>15</v>
      </c>
      <c r="L592" s="2">
        <v>14.0901</v>
      </c>
      <c r="M592" t="s">
        <v>3199</v>
      </c>
      <c r="N592">
        <v>1</v>
      </c>
      <c r="O592">
        <v>0</v>
      </c>
      <c r="P592">
        <v>2</v>
      </c>
      <c r="Q592" t="s">
        <v>3204</v>
      </c>
      <c r="R592" t="s">
        <v>3201</v>
      </c>
      <c r="S592" t="s">
        <v>13</v>
      </c>
    </row>
    <row r="593" spans="1:19" x14ac:dyDescent="0.3">
      <c r="A593" t="s">
        <v>460</v>
      </c>
      <c r="B593" t="s">
        <v>1600</v>
      </c>
      <c r="C593" t="s">
        <v>2134</v>
      </c>
      <c r="D593" t="s">
        <v>3190</v>
      </c>
      <c r="E593" t="s">
        <v>14</v>
      </c>
      <c r="F593" s="2">
        <v>24</v>
      </c>
      <c r="G593" t="s">
        <v>3206</v>
      </c>
      <c r="H593" t="s">
        <v>18</v>
      </c>
      <c r="I593" t="s">
        <v>11</v>
      </c>
      <c r="J593" t="s">
        <v>3198</v>
      </c>
      <c r="K593" t="s">
        <v>15</v>
      </c>
      <c r="L593" s="2">
        <v>27</v>
      </c>
      <c r="M593" t="s">
        <v>3203</v>
      </c>
      <c r="N593">
        <v>2</v>
      </c>
      <c r="O593">
        <v>1</v>
      </c>
      <c r="P593">
        <v>4</v>
      </c>
      <c r="Q593" t="s">
        <v>3204</v>
      </c>
      <c r="R593" t="s">
        <v>3205</v>
      </c>
      <c r="S593" t="s">
        <v>16</v>
      </c>
    </row>
    <row r="594" spans="1:19" x14ac:dyDescent="0.3">
      <c r="A594" t="s">
        <v>460</v>
      </c>
      <c r="B594" t="s">
        <v>1596</v>
      </c>
      <c r="C594" t="s">
        <v>2135</v>
      </c>
      <c r="D594" t="s">
        <v>3189</v>
      </c>
      <c r="E594" t="s">
        <v>9</v>
      </c>
      <c r="F594" s="2">
        <v>42</v>
      </c>
      <c r="G594" t="s">
        <v>3197</v>
      </c>
      <c r="H594" t="s">
        <v>18</v>
      </c>
      <c r="I594" t="s">
        <v>11</v>
      </c>
      <c r="J594" t="s">
        <v>3198</v>
      </c>
      <c r="K594" t="s">
        <v>41</v>
      </c>
      <c r="L594" s="2">
        <v>27</v>
      </c>
      <c r="M594" t="s">
        <v>3203</v>
      </c>
      <c r="N594">
        <v>1</v>
      </c>
      <c r="O594">
        <v>0</v>
      </c>
      <c r="P594">
        <v>2</v>
      </c>
      <c r="Q594" t="s">
        <v>3204</v>
      </c>
      <c r="R594" t="s">
        <v>3201</v>
      </c>
      <c r="S594" t="s">
        <v>13</v>
      </c>
    </row>
    <row r="595" spans="1:19" x14ac:dyDescent="0.3">
      <c r="A595" t="s">
        <v>461</v>
      </c>
      <c r="B595" t="s">
        <v>1596</v>
      </c>
      <c r="C595" t="s">
        <v>1864</v>
      </c>
      <c r="D595" t="s">
        <v>3189</v>
      </c>
      <c r="E595" t="s">
        <v>9</v>
      </c>
      <c r="F595" s="2">
        <v>30</v>
      </c>
      <c r="G595" t="s">
        <v>3206</v>
      </c>
      <c r="H595" t="s">
        <v>10</v>
      </c>
      <c r="I595" t="s">
        <v>19</v>
      </c>
      <c r="J595" t="s">
        <v>3207</v>
      </c>
      <c r="K595" t="s">
        <v>42</v>
      </c>
      <c r="L595" s="2">
        <v>7.1711</v>
      </c>
      <c r="M595" t="s">
        <v>3199</v>
      </c>
      <c r="N595">
        <v>0</v>
      </c>
      <c r="O595">
        <v>0</v>
      </c>
      <c r="P595">
        <v>1</v>
      </c>
      <c r="Q595" t="s">
        <v>3200</v>
      </c>
      <c r="R595" t="s">
        <v>3205</v>
      </c>
      <c r="S595" t="s">
        <v>16</v>
      </c>
    </row>
    <row r="596" spans="1:19" x14ac:dyDescent="0.3">
      <c r="A596" t="s">
        <v>462</v>
      </c>
      <c r="B596" t="s">
        <v>1596</v>
      </c>
      <c r="C596" t="s">
        <v>2136</v>
      </c>
      <c r="D596" t="s">
        <v>3189</v>
      </c>
      <c r="E596" t="s">
        <v>9</v>
      </c>
      <c r="F596" s="2">
        <v>21</v>
      </c>
      <c r="G596" t="s">
        <v>3206</v>
      </c>
      <c r="H596" t="s">
        <v>10</v>
      </c>
      <c r="I596" t="s">
        <v>11</v>
      </c>
      <c r="J596" t="s">
        <v>3198</v>
      </c>
      <c r="K596" t="s">
        <v>23</v>
      </c>
      <c r="L596" s="2">
        <v>7.1510999999999996</v>
      </c>
      <c r="M596" t="s">
        <v>3199</v>
      </c>
      <c r="N596">
        <v>0</v>
      </c>
      <c r="O596">
        <v>0</v>
      </c>
      <c r="P596">
        <v>1</v>
      </c>
      <c r="Q596" t="s">
        <v>3200</v>
      </c>
      <c r="R596" t="s">
        <v>3205</v>
      </c>
      <c r="S596" t="s">
        <v>16</v>
      </c>
    </row>
    <row r="597" spans="1:19" x14ac:dyDescent="0.3">
      <c r="A597" t="s">
        <v>463</v>
      </c>
      <c r="B597" t="s">
        <v>1596</v>
      </c>
      <c r="C597" t="s">
        <v>2137</v>
      </c>
      <c r="D597" t="s">
        <v>3189</v>
      </c>
      <c r="E597" t="s">
        <v>9</v>
      </c>
      <c r="F597" s="2">
        <v>21</v>
      </c>
      <c r="G597" t="s">
        <v>3206</v>
      </c>
      <c r="H597" t="s">
        <v>10</v>
      </c>
      <c r="I597" t="s">
        <v>11</v>
      </c>
      <c r="J597" t="s">
        <v>3198</v>
      </c>
      <c r="K597" t="s">
        <v>15</v>
      </c>
      <c r="L597" s="2">
        <v>7.01</v>
      </c>
      <c r="M597" t="s">
        <v>3199</v>
      </c>
      <c r="N597">
        <v>0</v>
      </c>
      <c r="O597">
        <v>0</v>
      </c>
      <c r="P597">
        <v>1</v>
      </c>
      <c r="Q597" t="s">
        <v>3200</v>
      </c>
      <c r="R597" t="s">
        <v>3201</v>
      </c>
      <c r="S597" t="s">
        <v>13</v>
      </c>
    </row>
    <row r="598" spans="1:19" x14ac:dyDescent="0.3">
      <c r="A598" t="s">
        <v>464</v>
      </c>
      <c r="B598" t="s">
        <v>1596</v>
      </c>
      <c r="C598" t="s">
        <v>2138</v>
      </c>
      <c r="D598" t="s">
        <v>3189</v>
      </c>
      <c r="E598" t="s">
        <v>9</v>
      </c>
      <c r="F598" s="2">
        <v>46</v>
      </c>
      <c r="G598" t="s">
        <v>3197</v>
      </c>
      <c r="H598" t="s">
        <v>18</v>
      </c>
      <c r="I598" t="s">
        <v>11</v>
      </c>
      <c r="J598" t="s">
        <v>3198</v>
      </c>
      <c r="K598" t="s">
        <v>40</v>
      </c>
      <c r="L598" s="2">
        <v>15</v>
      </c>
      <c r="M598" t="s">
        <v>3199</v>
      </c>
      <c r="N598">
        <v>0</v>
      </c>
      <c r="O598">
        <v>0</v>
      </c>
      <c r="P598">
        <v>1</v>
      </c>
      <c r="Q598" t="s">
        <v>3200</v>
      </c>
      <c r="R598" t="s">
        <v>3201</v>
      </c>
      <c r="S598" t="s">
        <v>13</v>
      </c>
    </row>
    <row r="599" spans="1:19" x14ac:dyDescent="0.3">
      <c r="A599" t="s">
        <v>465</v>
      </c>
      <c r="B599" t="s">
        <v>1596</v>
      </c>
      <c r="C599" t="s">
        <v>2139</v>
      </c>
      <c r="D599" t="s">
        <v>3189</v>
      </c>
      <c r="E599" t="s">
        <v>9</v>
      </c>
      <c r="F599" s="2">
        <v>24</v>
      </c>
      <c r="G599" t="s">
        <v>3206</v>
      </c>
      <c r="H599" t="s">
        <v>18</v>
      </c>
      <c r="I599" t="s">
        <v>11</v>
      </c>
      <c r="J599" t="s">
        <v>3198</v>
      </c>
      <c r="K599" t="s">
        <v>15</v>
      </c>
      <c r="L599" s="2">
        <v>31.1</v>
      </c>
      <c r="M599" t="s">
        <v>3203</v>
      </c>
      <c r="N599">
        <v>2</v>
      </c>
      <c r="O599">
        <v>0</v>
      </c>
      <c r="P599">
        <v>3</v>
      </c>
      <c r="Q599" t="s">
        <v>3204</v>
      </c>
      <c r="R599" t="s">
        <v>3201</v>
      </c>
      <c r="S599" t="s">
        <v>13</v>
      </c>
    </row>
    <row r="600" spans="1:19" x14ac:dyDescent="0.3">
      <c r="A600" t="s">
        <v>465</v>
      </c>
      <c r="B600" t="s">
        <v>1596</v>
      </c>
      <c r="C600" t="s">
        <v>2140</v>
      </c>
      <c r="D600" t="s">
        <v>3189</v>
      </c>
      <c r="E600" t="s">
        <v>9</v>
      </c>
      <c r="F600" s="2">
        <v>21</v>
      </c>
      <c r="G600" t="s">
        <v>3206</v>
      </c>
      <c r="H600" t="s">
        <v>18</v>
      </c>
      <c r="I600" t="s">
        <v>11</v>
      </c>
      <c r="J600" t="s">
        <v>3198</v>
      </c>
      <c r="K600" t="s">
        <v>15</v>
      </c>
      <c r="L600" s="2">
        <v>31.1</v>
      </c>
      <c r="M600" t="s">
        <v>3203</v>
      </c>
      <c r="N600">
        <v>2</v>
      </c>
      <c r="O600">
        <v>0</v>
      </c>
      <c r="P600">
        <v>3</v>
      </c>
      <c r="Q600" t="s">
        <v>3204</v>
      </c>
      <c r="R600" t="s">
        <v>3201</v>
      </c>
      <c r="S600" t="s">
        <v>13</v>
      </c>
    </row>
    <row r="601" spans="1:19" x14ac:dyDescent="0.3">
      <c r="A601" t="s">
        <v>466</v>
      </c>
      <c r="B601" t="s">
        <v>1596</v>
      </c>
      <c r="C601" t="s">
        <v>2141</v>
      </c>
      <c r="D601" t="s">
        <v>3189</v>
      </c>
      <c r="E601" t="s">
        <v>9</v>
      </c>
      <c r="F601" s="2">
        <v>32</v>
      </c>
      <c r="G601" t="s">
        <v>3206</v>
      </c>
      <c r="H601" t="s">
        <v>18</v>
      </c>
      <c r="I601" t="s">
        <v>11</v>
      </c>
      <c r="J601" t="s">
        <v>3198</v>
      </c>
      <c r="K601" t="s">
        <v>15</v>
      </c>
      <c r="L601" s="2">
        <v>10.1</v>
      </c>
      <c r="M601" t="s">
        <v>3199</v>
      </c>
      <c r="N601">
        <v>0</v>
      </c>
      <c r="O601">
        <v>0</v>
      </c>
      <c r="P601">
        <v>1</v>
      </c>
      <c r="Q601" t="s">
        <v>3200</v>
      </c>
      <c r="R601" t="s">
        <v>3201</v>
      </c>
      <c r="S601" t="s">
        <v>13</v>
      </c>
    </row>
    <row r="602" spans="1:19" x14ac:dyDescent="0.3">
      <c r="A602" t="s">
        <v>467</v>
      </c>
      <c r="B602" t="s">
        <v>1596</v>
      </c>
      <c r="C602" t="s">
        <v>2142</v>
      </c>
      <c r="D602" t="s">
        <v>3189</v>
      </c>
      <c r="E602" t="s">
        <v>9</v>
      </c>
      <c r="F602" s="2">
        <v>20</v>
      </c>
      <c r="G602" t="s">
        <v>3206</v>
      </c>
      <c r="H602" t="s">
        <v>10</v>
      </c>
      <c r="I602" t="s">
        <v>11</v>
      </c>
      <c r="J602" t="s">
        <v>3198</v>
      </c>
      <c r="K602" t="s">
        <v>27</v>
      </c>
      <c r="L602" s="2">
        <v>7.1700999999999997</v>
      </c>
      <c r="M602" t="s">
        <v>3199</v>
      </c>
      <c r="N602">
        <v>0</v>
      </c>
      <c r="O602">
        <v>0</v>
      </c>
      <c r="P602">
        <v>1</v>
      </c>
      <c r="Q602" t="s">
        <v>3200</v>
      </c>
      <c r="R602" t="s">
        <v>3201</v>
      </c>
      <c r="S602" t="s">
        <v>13</v>
      </c>
    </row>
    <row r="603" spans="1:19" x14ac:dyDescent="0.3">
      <c r="A603" t="s">
        <v>467</v>
      </c>
      <c r="B603" t="s">
        <v>1596</v>
      </c>
      <c r="C603" t="s">
        <v>2143</v>
      </c>
      <c r="D603" t="s">
        <v>3189</v>
      </c>
      <c r="E603" t="s">
        <v>9</v>
      </c>
      <c r="F603" s="2">
        <v>48</v>
      </c>
      <c r="G603" t="s">
        <v>3197</v>
      </c>
      <c r="H603" t="s">
        <v>10</v>
      </c>
      <c r="I603" t="s">
        <v>11</v>
      </c>
      <c r="J603" t="s">
        <v>3198</v>
      </c>
      <c r="K603" t="s">
        <v>27</v>
      </c>
      <c r="L603" s="2">
        <v>7.0101000000000004</v>
      </c>
      <c r="M603" t="s">
        <v>3199</v>
      </c>
      <c r="N603">
        <v>0</v>
      </c>
      <c r="O603">
        <v>0</v>
      </c>
      <c r="P603">
        <v>1</v>
      </c>
      <c r="Q603" t="s">
        <v>3200</v>
      </c>
      <c r="R603" t="s">
        <v>3201</v>
      </c>
      <c r="S603" t="s">
        <v>13</v>
      </c>
    </row>
    <row r="604" spans="1:19" x14ac:dyDescent="0.3">
      <c r="A604" t="s">
        <v>467</v>
      </c>
      <c r="B604" t="s">
        <v>1596</v>
      </c>
      <c r="C604" t="s">
        <v>2144</v>
      </c>
      <c r="D604" t="s">
        <v>3189</v>
      </c>
      <c r="E604" t="s">
        <v>9</v>
      </c>
      <c r="F604" s="2">
        <v>17</v>
      </c>
      <c r="G604" t="s">
        <v>3202</v>
      </c>
      <c r="H604" t="s">
        <v>10</v>
      </c>
      <c r="I604" t="s">
        <v>11</v>
      </c>
      <c r="J604" t="s">
        <v>3198</v>
      </c>
      <c r="K604" t="s">
        <v>27</v>
      </c>
      <c r="L604" s="2">
        <v>7.1700999999999997</v>
      </c>
      <c r="M604" t="s">
        <v>3199</v>
      </c>
      <c r="N604">
        <v>1</v>
      </c>
      <c r="O604">
        <v>0</v>
      </c>
      <c r="P604">
        <v>2</v>
      </c>
      <c r="Q604" t="s">
        <v>3204</v>
      </c>
      <c r="R604" t="s">
        <v>3201</v>
      </c>
      <c r="S604" t="s">
        <v>13</v>
      </c>
    </row>
    <row r="605" spans="1:19" x14ac:dyDescent="0.3">
      <c r="A605" t="s">
        <v>468</v>
      </c>
      <c r="B605" t="s">
        <v>1602</v>
      </c>
      <c r="C605" t="s">
        <v>2145</v>
      </c>
      <c r="D605" t="s">
        <v>3190</v>
      </c>
      <c r="E605" t="s">
        <v>14</v>
      </c>
      <c r="F605" s="2">
        <v>26</v>
      </c>
      <c r="G605" t="s">
        <v>3206</v>
      </c>
      <c r="H605" t="s">
        <v>10</v>
      </c>
      <c r="I605" t="s">
        <v>36</v>
      </c>
      <c r="J605" t="s">
        <v>3213</v>
      </c>
      <c r="K605" t="s">
        <v>37</v>
      </c>
      <c r="L605" s="2">
        <v>7.15</v>
      </c>
      <c r="M605" t="s">
        <v>3199</v>
      </c>
      <c r="N605">
        <v>0</v>
      </c>
      <c r="O605">
        <v>0</v>
      </c>
      <c r="P605">
        <v>1</v>
      </c>
      <c r="Q605" t="s">
        <v>3200</v>
      </c>
      <c r="R605" t="s">
        <v>3205</v>
      </c>
      <c r="S605" t="s">
        <v>16</v>
      </c>
    </row>
    <row r="606" spans="1:19" x14ac:dyDescent="0.3">
      <c r="A606" t="s">
        <v>469</v>
      </c>
      <c r="B606" t="s">
        <v>1600</v>
      </c>
      <c r="C606" t="s">
        <v>2146</v>
      </c>
      <c r="D606" t="s">
        <v>3190</v>
      </c>
      <c r="E606" t="s">
        <v>14</v>
      </c>
      <c r="F606" s="2">
        <v>23</v>
      </c>
      <c r="G606" t="s">
        <v>3206</v>
      </c>
      <c r="H606" t="s">
        <v>18</v>
      </c>
      <c r="I606" t="s">
        <v>19</v>
      </c>
      <c r="J606" t="s">
        <v>3207</v>
      </c>
      <c r="K606" t="s">
        <v>12</v>
      </c>
      <c r="L606" s="2">
        <v>13.151</v>
      </c>
      <c r="M606" t="s">
        <v>3199</v>
      </c>
      <c r="N606">
        <v>0</v>
      </c>
      <c r="O606">
        <v>0</v>
      </c>
      <c r="P606">
        <v>1</v>
      </c>
      <c r="Q606" t="s">
        <v>3200</v>
      </c>
      <c r="R606" t="s">
        <v>3205</v>
      </c>
      <c r="S606" t="s">
        <v>16</v>
      </c>
    </row>
    <row r="607" spans="1:19" x14ac:dyDescent="0.3">
      <c r="A607" t="s">
        <v>470</v>
      </c>
      <c r="B607" t="s">
        <v>1596</v>
      </c>
      <c r="C607" t="s">
        <v>2147</v>
      </c>
      <c r="D607" t="s">
        <v>3189</v>
      </c>
      <c r="E607" t="s">
        <v>9</v>
      </c>
      <c r="F607" s="2">
        <v>29</v>
      </c>
      <c r="G607" t="s">
        <v>3206</v>
      </c>
      <c r="H607" t="s">
        <v>10</v>
      </c>
      <c r="I607" t="s">
        <v>11</v>
      </c>
      <c r="J607" t="s">
        <v>3198</v>
      </c>
      <c r="K607" t="s">
        <v>17</v>
      </c>
      <c r="L607" s="2">
        <v>8.0203000000000007</v>
      </c>
      <c r="M607" t="s">
        <v>3199</v>
      </c>
      <c r="N607">
        <v>0</v>
      </c>
      <c r="O607">
        <v>0</v>
      </c>
      <c r="P607">
        <v>1</v>
      </c>
      <c r="Q607" t="s">
        <v>3200</v>
      </c>
      <c r="R607" t="s">
        <v>3205</v>
      </c>
      <c r="S607" t="s">
        <v>16</v>
      </c>
    </row>
    <row r="608" spans="1:19" x14ac:dyDescent="0.3">
      <c r="A608" t="s">
        <v>471</v>
      </c>
      <c r="B608" t="s">
        <v>1596</v>
      </c>
      <c r="C608" t="s">
        <v>2148</v>
      </c>
      <c r="D608" t="s">
        <v>3189</v>
      </c>
      <c r="E608" t="s">
        <v>9</v>
      </c>
      <c r="F608" s="2">
        <v>34</v>
      </c>
      <c r="G608" t="s">
        <v>3206</v>
      </c>
      <c r="H608" t="s">
        <v>10</v>
      </c>
      <c r="I608" t="s">
        <v>11</v>
      </c>
      <c r="J608" t="s">
        <v>3198</v>
      </c>
      <c r="K608" t="s">
        <v>22</v>
      </c>
      <c r="L608" s="2">
        <v>6.0911</v>
      </c>
      <c r="M608" t="s">
        <v>3199</v>
      </c>
      <c r="N608">
        <v>0</v>
      </c>
      <c r="O608">
        <v>0</v>
      </c>
      <c r="P608">
        <v>1</v>
      </c>
      <c r="Q608" t="s">
        <v>3200</v>
      </c>
      <c r="R608" t="s">
        <v>3201</v>
      </c>
      <c r="S608" t="s">
        <v>13</v>
      </c>
    </row>
    <row r="609" spans="1:19" x14ac:dyDescent="0.3">
      <c r="A609" t="s">
        <v>472</v>
      </c>
      <c r="B609" t="s">
        <v>1596</v>
      </c>
      <c r="C609" t="s">
        <v>2149</v>
      </c>
      <c r="D609" t="s">
        <v>3189</v>
      </c>
      <c r="E609" t="s">
        <v>9</v>
      </c>
      <c r="F609" s="2">
        <v>22</v>
      </c>
      <c r="G609" t="s">
        <v>3206</v>
      </c>
      <c r="H609" t="s">
        <v>10</v>
      </c>
      <c r="I609" t="s">
        <v>11</v>
      </c>
      <c r="J609" t="s">
        <v>3198</v>
      </c>
      <c r="K609" t="s">
        <v>23</v>
      </c>
      <c r="L609" s="2">
        <v>7.1510999999999996</v>
      </c>
      <c r="M609" t="s">
        <v>3199</v>
      </c>
      <c r="N609">
        <v>0</v>
      </c>
      <c r="O609">
        <v>0</v>
      </c>
      <c r="P609">
        <v>1</v>
      </c>
      <c r="Q609" t="s">
        <v>3200</v>
      </c>
      <c r="R609" t="s">
        <v>3201</v>
      </c>
      <c r="S609" t="s">
        <v>13</v>
      </c>
    </row>
    <row r="610" spans="1:19" x14ac:dyDescent="0.3">
      <c r="A610" t="s">
        <v>472</v>
      </c>
      <c r="B610" t="s">
        <v>1596</v>
      </c>
      <c r="C610" t="s">
        <v>2150</v>
      </c>
      <c r="D610" t="s">
        <v>3189</v>
      </c>
      <c r="E610" t="s">
        <v>9</v>
      </c>
      <c r="F610" s="2">
        <v>33</v>
      </c>
      <c r="G610" t="s">
        <v>3206</v>
      </c>
      <c r="H610" t="s">
        <v>10</v>
      </c>
      <c r="I610" t="s">
        <v>11</v>
      </c>
      <c r="J610" t="s">
        <v>3198</v>
      </c>
      <c r="K610" t="s">
        <v>23</v>
      </c>
      <c r="L610" s="2">
        <v>8.1301000000000005</v>
      </c>
      <c r="M610" t="s">
        <v>3199</v>
      </c>
      <c r="N610">
        <v>0</v>
      </c>
      <c r="O610">
        <v>0</v>
      </c>
      <c r="P610">
        <v>1</v>
      </c>
      <c r="Q610" t="s">
        <v>3200</v>
      </c>
      <c r="R610" t="s">
        <v>3201</v>
      </c>
      <c r="S610" t="s">
        <v>13</v>
      </c>
    </row>
    <row r="611" spans="1:19" x14ac:dyDescent="0.3">
      <c r="A611" t="s">
        <v>472</v>
      </c>
      <c r="B611" t="s">
        <v>1596</v>
      </c>
      <c r="C611" t="s">
        <v>2151</v>
      </c>
      <c r="D611" t="s">
        <v>3189</v>
      </c>
      <c r="E611" t="s">
        <v>9</v>
      </c>
      <c r="F611" s="2">
        <v>31</v>
      </c>
      <c r="G611" t="s">
        <v>3206</v>
      </c>
      <c r="H611" t="s">
        <v>10</v>
      </c>
      <c r="I611" t="s">
        <v>11</v>
      </c>
      <c r="J611" t="s">
        <v>3198</v>
      </c>
      <c r="K611" t="s">
        <v>12</v>
      </c>
      <c r="L611" s="2">
        <v>7.1505999999999998</v>
      </c>
      <c r="M611" t="s">
        <v>3199</v>
      </c>
      <c r="N611">
        <v>0</v>
      </c>
      <c r="O611">
        <v>0</v>
      </c>
      <c r="P611">
        <v>1</v>
      </c>
      <c r="Q611" t="s">
        <v>3200</v>
      </c>
      <c r="R611" t="s">
        <v>3201</v>
      </c>
      <c r="S611" t="s">
        <v>13</v>
      </c>
    </row>
    <row r="612" spans="1:19" x14ac:dyDescent="0.3">
      <c r="A612" t="s">
        <v>472</v>
      </c>
      <c r="B612" t="s">
        <v>1596</v>
      </c>
      <c r="C612" t="s">
        <v>2152</v>
      </c>
      <c r="D612" t="s">
        <v>3189</v>
      </c>
      <c r="E612" t="s">
        <v>9</v>
      </c>
      <c r="F612" s="2">
        <v>29</v>
      </c>
      <c r="G612" t="s">
        <v>3206</v>
      </c>
      <c r="H612" t="s">
        <v>10</v>
      </c>
      <c r="I612" t="s">
        <v>11</v>
      </c>
      <c r="J612" t="s">
        <v>3198</v>
      </c>
      <c r="K612" t="s">
        <v>12</v>
      </c>
      <c r="L612" s="2">
        <v>7.1700999999999997</v>
      </c>
      <c r="M612" t="s">
        <v>3199</v>
      </c>
      <c r="N612">
        <v>0</v>
      </c>
      <c r="O612">
        <v>0</v>
      </c>
      <c r="P612">
        <v>1</v>
      </c>
      <c r="Q612" t="s">
        <v>3200</v>
      </c>
      <c r="R612" t="s">
        <v>3201</v>
      </c>
      <c r="S612" t="s">
        <v>13</v>
      </c>
    </row>
    <row r="613" spans="1:19" x14ac:dyDescent="0.3">
      <c r="A613" t="s">
        <v>473</v>
      </c>
      <c r="B613" t="s">
        <v>1596</v>
      </c>
      <c r="C613" t="s">
        <v>2153</v>
      </c>
      <c r="D613" t="s">
        <v>3189</v>
      </c>
      <c r="E613" t="s">
        <v>9</v>
      </c>
      <c r="F613" s="2">
        <v>26</v>
      </c>
      <c r="G613" t="s">
        <v>3206</v>
      </c>
      <c r="H613" t="s">
        <v>10</v>
      </c>
      <c r="I613" t="s">
        <v>11</v>
      </c>
      <c r="J613" t="s">
        <v>3198</v>
      </c>
      <c r="K613" t="s">
        <v>23</v>
      </c>
      <c r="L613" s="2">
        <v>7.1505999999999998</v>
      </c>
      <c r="M613" t="s">
        <v>3199</v>
      </c>
      <c r="N613">
        <v>0</v>
      </c>
      <c r="O613">
        <v>0</v>
      </c>
      <c r="P613">
        <v>1</v>
      </c>
      <c r="Q613" t="s">
        <v>3200</v>
      </c>
      <c r="R613" t="s">
        <v>3205</v>
      </c>
      <c r="S613" t="s">
        <v>16</v>
      </c>
    </row>
    <row r="614" spans="1:19" x14ac:dyDescent="0.3">
      <c r="A614" t="s">
        <v>474</v>
      </c>
      <c r="B614" t="s">
        <v>1612</v>
      </c>
      <c r="C614" t="s">
        <v>2154</v>
      </c>
      <c r="D614" t="s">
        <v>3189</v>
      </c>
      <c r="E614" t="s">
        <v>9</v>
      </c>
      <c r="F614" s="2">
        <v>4</v>
      </c>
      <c r="G614" t="s">
        <v>3208</v>
      </c>
      <c r="H614" t="s">
        <v>10</v>
      </c>
      <c r="I614" t="s">
        <v>11</v>
      </c>
      <c r="J614" t="s">
        <v>3198</v>
      </c>
      <c r="K614" t="s">
        <v>15</v>
      </c>
      <c r="L614" s="2">
        <v>11.020799999999999</v>
      </c>
      <c r="M614" t="s">
        <v>3199</v>
      </c>
      <c r="N614">
        <v>1</v>
      </c>
      <c r="O614">
        <v>1</v>
      </c>
      <c r="P614">
        <v>3</v>
      </c>
      <c r="Q614" t="s">
        <v>3204</v>
      </c>
      <c r="R614" t="s">
        <v>3205</v>
      </c>
      <c r="S614" t="s">
        <v>16</v>
      </c>
    </row>
    <row r="615" spans="1:19" x14ac:dyDescent="0.3">
      <c r="A615" t="s">
        <v>474</v>
      </c>
      <c r="B615" t="s">
        <v>1602</v>
      </c>
      <c r="C615" t="s">
        <v>2155</v>
      </c>
      <c r="D615" t="s">
        <v>3190</v>
      </c>
      <c r="E615" t="s">
        <v>14</v>
      </c>
      <c r="F615" s="2">
        <v>1</v>
      </c>
      <c r="G615" t="s">
        <v>3208</v>
      </c>
      <c r="H615" t="s">
        <v>10</v>
      </c>
      <c r="I615" t="s">
        <v>11</v>
      </c>
      <c r="J615" t="s">
        <v>3198</v>
      </c>
      <c r="K615" t="s">
        <v>15</v>
      </c>
      <c r="L615" s="2">
        <v>11.020799999999999</v>
      </c>
      <c r="M615" t="s">
        <v>3199</v>
      </c>
      <c r="N615">
        <v>1</v>
      </c>
      <c r="O615">
        <v>1</v>
      </c>
      <c r="P615">
        <v>3</v>
      </c>
      <c r="Q615" t="s">
        <v>3204</v>
      </c>
      <c r="R615" t="s">
        <v>3205</v>
      </c>
      <c r="S615" t="s">
        <v>16</v>
      </c>
    </row>
    <row r="616" spans="1:19" x14ac:dyDescent="0.3">
      <c r="A616" t="s">
        <v>474</v>
      </c>
      <c r="B616" t="s">
        <v>1596</v>
      </c>
      <c r="C616" t="s">
        <v>2156</v>
      </c>
      <c r="D616" t="s">
        <v>3189</v>
      </c>
      <c r="E616" t="s">
        <v>9</v>
      </c>
      <c r="F616" s="2">
        <v>49</v>
      </c>
      <c r="G616" t="s">
        <v>3197</v>
      </c>
      <c r="H616" t="s">
        <v>10</v>
      </c>
      <c r="I616" t="s">
        <v>11</v>
      </c>
      <c r="J616" t="s">
        <v>3198</v>
      </c>
      <c r="K616" t="s">
        <v>12</v>
      </c>
      <c r="L616" s="2">
        <v>33</v>
      </c>
      <c r="M616" t="s">
        <v>3203</v>
      </c>
      <c r="N616">
        <v>1</v>
      </c>
      <c r="O616" t="s">
        <v>30</v>
      </c>
      <c r="P616" t="e">
        <v>#VALUE!</v>
      </c>
      <c r="Q616" t="e">
        <v>#VALUE!</v>
      </c>
      <c r="R616" t="s">
        <v>3201</v>
      </c>
      <c r="S616" t="s">
        <v>13</v>
      </c>
    </row>
    <row r="617" spans="1:19" x14ac:dyDescent="0.3">
      <c r="A617" t="s">
        <v>474</v>
      </c>
      <c r="B617" t="s">
        <v>1596</v>
      </c>
      <c r="C617" t="s">
        <v>2157</v>
      </c>
      <c r="D617" t="s">
        <v>3189</v>
      </c>
      <c r="E617" t="s">
        <v>9</v>
      </c>
      <c r="F617" s="2">
        <v>33</v>
      </c>
      <c r="G617" t="s">
        <v>3206</v>
      </c>
      <c r="H617" t="s">
        <v>10</v>
      </c>
      <c r="I617" t="s">
        <v>11</v>
      </c>
      <c r="J617" t="s">
        <v>3198</v>
      </c>
      <c r="K617" t="s">
        <v>12</v>
      </c>
      <c r="L617" s="2">
        <v>7.1505999999999998</v>
      </c>
      <c r="M617" t="s">
        <v>3199</v>
      </c>
      <c r="N617">
        <v>0</v>
      </c>
      <c r="O617">
        <v>0</v>
      </c>
      <c r="P617">
        <v>1</v>
      </c>
      <c r="Q617" t="s">
        <v>3200</v>
      </c>
      <c r="R617" t="s">
        <v>3201</v>
      </c>
      <c r="S617" t="s">
        <v>13</v>
      </c>
    </row>
    <row r="618" spans="1:19" x14ac:dyDescent="0.3">
      <c r="A618" t="s">
        <v>474</v>
      </c>
      <c r="B618" t="s">
        <v>1600</v>
      </c>
      <c r="C618" t="s">
        <v>2158</v>
      </c>
      <c r="D618" t="s">
        <v>3190</v>
      </c>
      <c r="E618" t="s">
        <v>14</v>
      </c>
      <c r="F618" s="2">
        <v>26</v>
      </c>
      <c r="G618" t="s">
        <v>3206</v>
      </c>
      <c r="H618" t="s">
        <v>10</v>
      </c>
      <c r="I618" t="s">
        <v>11</v>
      </c>
      <c r="J618" t="s">
        <v>3198</v>
      </c>
      <c r="K618" t="s">
        <v>15</v>
      </c>
      <c r="L618" s="2">
        <v>11.020799999999999</v>
      </c>
      <c r="M618" t="s">
        <v>3199</v>
      </c>
      <c r="N618">
        <v>0</v>
      </c>
      <c r="O618">
        <v>2</v>
      </c>
      <c r="P618">
        <v>3</v>
      </c>
      <c r="Q618" t="s">
        <v>3204</v>
      </c>
      <c r="R618" t="s">
        <v>3205</v>
      </c>
      <c r="S618" t="s">
        <v>16</v>
      </c>
    </row>
    <row r="619" spans="1:19" x14ac:dyDescent="0.3">
      <c r="A619" t="s">
        <v>474</v>
      </c>
      <c r="B619" t="s">
        <v>1596</v>
      </c>
      <c r="C619" t="s">
        <v>2159</v>
      </c>
      <c r="D619" t="s">
        <v>3189</v>
      </c>
      <c r="E619" t="s">
        <v>9</v>
      </c>
      <c r="F619" s="2">
        <v>19</v>
      </c>
      <c r="G619" t="s">
        <v>3206</v>
      </c>
      <c r="H619" t="s">
        <v>10</v>
      </c>
      <c r="I619" t="s">
        <v>11</v>
      </c>
      <c r="J619" t="s">
        <v>3198</v>
      </c>
      <c r="K619" t="s">
        <v>12</v>
      </c>
      <c r="L619" s="2">
        <v>33</v>
      </c>
      <c r="M619" t="s">
        <v>3203</v>
      </c>
      <c r="N619">
        <v>0</v>
      </c>
      <c r="O619">
        <v>0</v>
      </c>
      <c r="P619">
        <v>1</v>
      </c>
      <c r="Q619" t="s">
        <v>3200</v>
      </c>
      <c r="R619" t="s">
        <v>3201</v>
      </c>
      <c r="S619" t="s">
        <v>13</v>
      </c>
    </row>
    <row r="620" spans="1:19" x14ac:dyDescent="0.3">
      <c r="A620" t="s">
        <v>475</v>
      </c>
      <c r="B620" t="s">
        <v>1612</v>
      </c>
      <c r="C620" t="s">
        <v>2160</v>
      </c>
      <c r="D620" t="s">
        <v>3189</v>
      </c>
      <c r="E620" t="s">
        <v>9</v>
      </c>
      <c r="F620" s="2">
        <v>8</v>
      </c>
      <c r="G620" t="s">
        <v>3208</v>
      </c>
      <c r="H620" t="s">
        <v>10</v>
      </c>
      <c r="I620" t="s">
        <v>11</v>
      </c>
      <c r="J620" t="s">
        <v>3198</v>
      </c>
      <c r="K620" t="s">
        <v>15</v>
      </c>
      <c r="L620" s="2">
        <v>23.09</v>
      </c>
      <c r="M620" t="s">
        <v>3203</v>
      </c>
      <c r="N620">
        <v>1</v>
      </c>
      <c r="O620">
        <v>2</v>
      </c>
      <c r="P620">
        <v>4</v>
      </c>
      <c r="Q620" t="s">
        <v>3204</v>
      </c>
      <c r="R620" t="s">
        <v>3201</v>
      </c>
      <c r="S620" t="s">
        <v>13</v>
      </c>
    </row>
    <row r="621" spans="1:19" x14ac:dyDescent="0.3">
      <c r="A621" t="s">
        <v>475</v>
      </c>
      <c r="B621" t="s">
        <v>1602</v>
      </c>
      <c r="C621" t="s">
        <v>2161</v>
      </c>
      <c r="D621" t="s">
        <v>3190</v>
      </c>
      <c r="E621" t="s">
        <v>14</v>
      </c>
      <c r="F621" s="2">
        <v>7</v>
      </c>
      <c r="G621" t="s">
        <v>3208</v>
      </c>
      <c r="H621" t="s">
        <v>10</v>
      </c>
      <c r="I621" t="s">
        <v>11</v>
      </c>
      <c r="J621" t="s">
        <v>3198</v>
      </c>
      <c r="K621" t="s">
        <v>15</v>
      </c>
      <c r="L621" s="2">
        <v>23.09</v>
      </c>
      <c r="M621" t="s">
        <v>3203</v>
      </c>
      <c r="N621">
        <v>1</v>
      </c>
      <c r="O621">
        <v>2</v>
      </c>
      <c r="P621">
        <v>4</v>
      </c>
      <c r="Q621" t="s">
        <v>3204</v>
      </c>
      <c r="R621" t="s">
        <v>3201</v>
      </c>
      <c r="S621" t="s">
        <v>13</v>
      </c>
    </row>
    <row r="622" spans="1:19" x14ac:dyDescent="0.3">
      <c r="A622" t="s">
        <v>475</v>
      </c>
      <c r="B622" t="s">
        <v>1596</v>
      </c>
      <c r="C622" t="s">
        <v>2162</v>
      </c>
      <c r="D622" t="s">
        <v>3189</v>
      </c>
      <c r="E622" t="s">
        <v>9</v>
      </c>
      <c r="F622" s="2">
        <v>35</v>
      </c>
      <c r="G622" t="s">
        <v>3206</v>
      </c>
      <c r="H622" t="s">
        <v>10</v>
      </c>
      <c r="I622" t="s">
        <v>11</v>
      </c>
      <c r="J622" t="s">
        <v>3198</v>
      </c>
      <c r="K622" t="s">
        <v>43</v>
      </c>
      <c r="L622" s="2">
        <v>23.09</v>
      </c>
      <c r="M622" t="s">
        <v>3203</v>
      </c>
      <c r="N622">
        <v>1</v>
      </c>
      <c r="O622">
        <v>2</v>
      </c>
      <c r="P622">
        <v>4</v>
      </c>
      <c r="Q622" t="s">
        <v>3204</v>
      </c>
      <c r="R622" t="s">
        <v>3201</v>
      </c>
      <c r="S622" t="s">
        <v>13</v>
      </c>
    </row>
    <row r="623" spans="1:19" x14ac:dyDescent="0.3">
      <c r="A623" t="s">
        <v>475</v>
      </c>
      <c r="B623" t="s">
        <v>1600</v>
      </c>
      <c r="C623" t="s">
        <v>2101</v>
      </c>
      <c r="D623" t="s">
        <v>3190</v>
      </c>
      <c r="E623" t="s">
        <v>14</v>
      </c>
      <c r="F623" s="2">
        <v>36</v>
      </c>
      <c r="G623" t="s">
        <v>3197</v>
      </c>
      <c r="H623" t="s">
        <v>10</v>
      </c>
      <c r="I623" t="s">
        <v>11</v>
      </c>
      <c r="J623" t="s">
        <v>3198</v>
      </c>
      <c r="K623" t="s">
        <v>43</v>
      </c>
      <c r="L623" s="2">
        <v>23.09</v>
      </c>
      <c r="M623" t="s">
        <v>3203</v>
      </c>
      <c r="N623">
        <v>1</v>
      </c>
      <c r="O623">
        <v>2</v>
      </c>
      <c r="P623">
        <v>4</v>
      </c>
      <c r="Q623" t="s">
        <v>3204</v>
      </c>
      <c r="R623" t="s">
        <v>3201</v>
      </c>
      <c r="S623" t="s">
        <v>13</v>
      </c>
    </row>
    <row r="624" spans="1:19" x14ac:dyDescent="0.3">
      <c r="A624" t="s">
        <v>476</v>
      </c>
      <c r="B624" t="s">
        <v>1596</v>
      </c>
      <c r="C624" t="s">
        <v>2163</v>
      </c>
      <c r="D624" t="s">
        <v>3189</v>
      </c>
      <c r="E624" t="s">
        <v>9</v>
      </c>
      <c r="F624" s="2">
        <v>46</v>
      </c>
      <c r="G624" t="s">
        <v>3197</v>
      </c>
      <c r="H624" t="s">
        <v>25</v>
      </c>
      <c r="I624" t="s">
        <v>11</v>
      </c>
      <c r="J624" t="s">
        <v>3198</v>
      </c>
      <c r="K624" t="s">
        <v>12</v>
      </c>
      <c r="L624" s="2">
        <v>26</v>
      </c>
      <c r="M624" t="s">
        <v>3203</v>
      </c>
      <c r="N624">
        <v>0</v>
      </c>
      <c r="O624">
        <v>0</v>
      </c>
      <c r="P624">
        <v>1</v>
      </c>
      <c r="Q624" t="s">
        <v>3200</v>
      </c>
      <c r="R624" t="s">
        <v>3201</v>
      </c>
      <c r="S624" t="s">
        <v>13</v>
      </c>
    </row>
    <row r="625" spans="1:19" x14ac:dyDescent="0.3">
      <c r="A625" t="s">
        <v>477</v>
      </c>
      <c r="B625" t="s">
        <v>1596</v>
      </c>
      <c r="C625" t="s">
        <v>2164</v>
      </c>
      <c r="D625" t="s">
        <v>3189</v>
      </c>
      <c r="E625" t="s">
        <v>9</v>
      </c>
      <c r="F625" s="2">
        <v>23</v>
      </c>
      <c r="G625" t="s">
        <v>3206</v>
      </c>
      <c r="H625" t="s">
        <v>10</v>
      </c>
      <c r="I625" t="s">
        <v>11</v>
      </c>
      <c r="J625" t="s">
        <v>3198</v>
      </c>
      <c r="K625" t="s">
        <v>31</v>
      </c>
      <c r="L625" s="2">
        <v>7.1711</v>
      </c>
      <c r="M625" t="s">
        <v>3199</v>
      </c>
      <c r="N625">
        <v>0</v>
      </c>
      <c r="O625">
        <v>0</v>
      </c>
      <c r="P625">
        <v>1</v>
      </c>
      <c r="Q625" t="s">
        <v>3200</v>
      </c>
      <c r="R625" t="s">
        <v>3201</v>
      </c>
      <c r="S625" t="s">
        <v>13</v>
      </c>
    </row>
    <row r="626" spans="1:19" x14ac:dyDescent="0.3">
      <c r="A626" t="s">
        <v>478</v>
      </c>
      <c r="B626" t="s">
        <v>1596</v>
      </c>
      <c r="C626" t="s">
        <v>2165</v>
      </c>
      <c r="D626" t="s">
        <v>3189</v>
      </c>
      <c r="E626" t="s">
        <v>9</v>
      </c>
      <c r="F626" s="2">
        <v>25</v>
      </c>
      <c r="G626" t="s">
        <v>3206</v>
      </c>
      <c r="H626" t="s">
        <v>10</v>
      </c>
      <c r="I626" t="s">
        <v>11</v>
      </c>
      <c r="J626" t="s">
        <v>3198</v>
      </c>
      <c r="K626" t="s">
        <v>23</v>
      </c>
      <c r="L626" s="2">
        <v>7.1700999999999997</v>
      </c>
      <c r="M626" t="s">
        <v>3199</v>
      </c>
      <c r="N626">
        <v>0</v>
      </c>
      <c r="O626">
        <v>0</v>
      </c>
      <c r="P626">
        <v>1</v>
      </c>
      <c r="Q626" t="s">
        <v>3200</v>
      </c>
      <c r="R626" t="s">
        <v>3205</v>
      </c>
      <c r="S626" t="s">
        <v>16</v>
      </c>
    </row>
    <row r="627" spans="1:19" x14ac:dyDescent="0.3">
      <c r="A627" t="s">
        <v>479</v>
      </c>
      <c r="B627" t="s">
        <v>1596</v>
      </c>
      <c r="C627" t="s">
        <v>2166</v>
      </c>
      <c r="D627" t="s">
        <v>3189</v>
      </c>
      <c r="E627" t="s">
        <v>9</v>
      </c>
      <c r="F627" s="2">
        <v>27</v>
      </c>
      <c r="G627" t="s">
        <v>3206</v>
      </c>
      <c r="H627" t="s">
        <v>10</v>
      </c>
      <c r="I627" t="s">
        <v>11</v>
      </c>
      <c r="J627" t="s">
        <v>3198</v>
      </c>
      <c r="K627" t="s">
        <v>23</v>
      </c>
      <c r="L627" s="2">
        <v>7.1700999999999997</v>
      </c>
      <c r="M627" t="s">
        <v>3199</v>
      </c>
      <c r="N627">
        <v>0</v>
      </c>
      <c r="O627">
        <v>0</v>
      </c>
      <c r="P627">
        <v>1</v>
      </c>
      <c r="Q627" t="s">
        <v>3200</v>
      </c>
      <c r="R627" t="s">
        <v>3201</v>
      </c>
      <c r="S627" t="s">
        <v>13</v>
      </c>
    </row>
    <row r="628" spans="1:19" x14ac:dyDescent="0.3">
      <c r="A628" t="s">
        <v>480</v>
      </c>
      <c r="B628" t="s">
        <v>1596</v>
      </c>
      <c r="C628" t="s">
        <v>2167</v>
      </c>
      <c r="D628" t="s">
        <v>3189</v>
      </c>
      <c r="E628" t="s">
        <v>9</v>
      </c>
      <c r="F628" s="2">
        <v>39</v>
      </c>
      <c r="G628" t="s">
        <v>3197</v>
      </c>
      <c r="H628" t="s">
        <v>10</v>
      </c>
      <c r="I628" t="s">
        <v>19</v>
      </c>
      <c r="J628" t="s">
        <v>3207</v>
      </c>
      <c r="K628" t="s">
        <v>21</v>
      </c>
      <c r="L628" s="2">
        <v>7.0407000000000002</v>
      </c>
      <c r="M628" t="s">
        <v>3199</v>
      </c>
      <c r="N628">
        <v>0</v>
      </c>
      <c r="O628">
        <v>2</v>
      </c>
      <c r="P628">
        <v>3</v>
      </c>
      <c r="Q628" t="s">
        <v>3204</v>
      </c>
      <c r="R628" t="s">
        <v>3201</v>
      </c>
      <c r="S628" t="s">
        <v>13</v>
      </c>
    </row>
    <row r="629" spans="1:19" x14ac:dyDescent="0.3">
      <c r="A629" t="s">
        <v>481</v>
      </c>
      <c r="B629" t="s">
        <v>1596</v>
      </c>
      <c r="C629" t="s">
        <v>2168</v>
      </c>
      <c r="D629" t="s">
        <v>3189</v>
      </c>
      <c r="E629" t="s">
        <v>9</v>
      </c>
      <c r="F629" s="2">
        <v>50</v>
      </c>
      <c r="G629" t="s">
        <v>3197</v>
      </c>
      <c r="H629" t="s">
        <v>25</v>
      </c>
      <c r="I629" t="s">
        <v>11</v>
      </c>
      <c r="J629" t="s">
        <v>3198</v>
      </c>
      <c r="K629" t="s">
        <v>15</v>
      </c>
      <c r="L629" s="2">
        <v>26</v>
      </c>
      <c r="M629" t="s">
        <v>3203</v>
      </c>
      <c r="N629">
        <v>0</v>
      </c>
      <c r="O629">
        <v>0</v>
      </c>
      <c r="P629">
        <v>1</v>
      </c>
      <c r="Q629" t="s">
        <v>3200</v>
      </c>
      <c r="R629" t="s">
        <v>3201</v>
      </c>
      <c r="S629" t="s">
        <v>13</v>
      </c>
    </row>
    <row r="630" spans="1:19" x14ac:dyDescent="0.3">
      <c r="A630" t="s">
        <v>482</v>
      </c>
      <c r="B630" t="s">
        <v>1602</v>
      </c>
      <c r="C630" t="s">
        <v>2169</v>
      </c>
      <c r="D630" t="s">
        <v>3190</v>
      </c>
      <c r="E630" t="s">
        <v>14</v>
      </c>
      <c r="F630" s="2">
        <v>20</v>
      </c>
      <c r="G630" t="s">
        <v>3206</v>
      </c>
      <c r="H630" t="s">
        <v>10</v>
      </c>
      <c r="I630" t="s">
        <v>11</v>
      </c>
      <c r="J630" t="s">
        <v>3198</v>
      </c>
      <c r="K630" t="s">
        <v>22</v>
      </c>
      <c r="L630" s="2">
        <v>9.1609999999999996</v>
      </c>
      <c r="M630" t="s">
        <v>3199</v>
      </c>
      <c r="N630">
        <v>1</v>
      </c>
      <c r="O630">
        <v>0</v>
      </c>
      <c r="P630">
        <v>2</v>
      </c>
      <c r="Q630" t="s">
        <v>3204</v>
      </c>
      <c r="R630" t="s">
        <v>3201</v>
      </c>
      <c r="S630" t="s">
        <v>13</v>
      </c>
    </row>
    <row r="631" spans="1:19" x14ac:dyDescent="0.3">
      <c r="A631" t="s">
        <v>482</v>
      </c>
      <c r="B631" t="s">
        <v>1602</v>
      </c>
      <c r="C631" t="s">
        <v>2170</v>
      </c>
      <c r="D631" t="s">
        <v>3190</v>
      </c>
      <c r="E631" t="s">
        <v>14</v>
      </c>
      <c r="F631" s="2">
        <v>21</v>
      </c>
      <c r="G631" t="s">
        <v>3206</v>
      </c>
      <c r="H631" t="s">
        <v>10</v>
      </c>
      <c r="I631" t="s">
        <v>11</v>
      </c>
      <c r="J631" t="s">
        <v>3198</v>
      </c>
      <c r="K631" t="s">
        <v>22</v>
      </c>
      <c r="L631" s="2">
        <v>9.1609999999999996</v>
      </c>
      <c r="M631" t="s">
        <v>3199</v>
      </c>
      <c r="N631">
        <v>1</v>
      </c>
      <c r="O631">
        <v>0</v>
      </c>
      <c r="P631">
        <v>2</v>
      </c>
      <c r="Q631" t="s">
        <v>3204</v>
      </c>
      <c r="R631" t="s">
        <v>3201</v>
      </c>
      <c r="S631" t="s">
        <v>13</v>
      </c>
    </row>
    <row r="632" spans="1:19" x14ac:dyDescent="0.3">
      <c r="A632" t="s">
        <v>482</v>
      </c>
      <c r="B632" t="s">
        <v>1596</v>
      </c>
      <c r="C632" t="s">
        <v>2171</v>
      </c>
      <c r="D632" t="s">
        <v>3189</v>
      </c>
      <c r="E632" t="s">
        <v>9</v>
      </c>
      <c r="F632" s="2">
        <v>32</v>
      </c>
      <c r="G632" t="s">
        <v>3206</v>
      </c>
      <c r="H632" t="s">
        <v>10</v>
      </c>
      <c r="I632" t="s">
        <v>11</v>
      </c>
      <c r="J632" t="s">
        <v>3198</v>
      </c>
      <c r="K632" t="s">
        <v>22</v>
      </c>
      <c r="L632" s="2">
        <v>7.1806000000000001</v>
      </c>
      <c r="M632" t="s">
        <v>3199</v>
      </c>
      <c r="N632">
        <v>0</v>
      </c>
      <c r="O632">
        <v>0</v>
      </c>
      <c r="P632">
        <v>1</v>
      </c>
      <c r="Q632" t="s">
        <v>3200</v>
      </c>
      <c r="R632" t="s">
        <v>3205</v>
      </c>
      <c r="S632" t="s">
        <v>16</v>
      </c>
    </row>
    <row r="633" spans="1:19" x14ac:dyDescent="0.3">
      <c r="A633" t="s">
        <v>483</v>
      </c>
      <c r="B633" t="s">
        <v>1596</v>
      </c>
      <c r="C633" t="s">
        <v>2172</v>
      </c>
      <c r="D633" t="s">
        <v>3189</v>
      </c>
      <c r="E633" t="s">
        <v>9</v>
      </c>
      <c r="F633" s="2">
        <v>17</v>
      </c>
      <c r="G633" t="s">
        <v>3202</v>
      </c>
      <c r="H633" t="s">
        <v>10</v>
      </c>
      <c r="I633" t="s">
        <v>11</v>
      </c>
      <c r="J633" t="s">
        <v>3198</v>
      </c>
      <c r="K633" t="s">
        <v>22</v>
      </c>
      <c r="L633" s="2">
        <v>7.0206</v>
      </c>
      <c r="M633" t="s">
        <v>3199</v>
      </c>
      <c r="N633">
        <v>0</v>
      </c>
      <c r="O633">
        <v>0</v>
      </c>
      <c r="P633">
        <v>1</v>
      </c>
      <c r="Q633" t="s">
        <v>3200</v>
      </c>
      <c r="R633" t="s">
        <v>3201</v>
      </c>
      <c r="S633" t="s">
        <v>13</v>
      </c>
    </row>
    <row r="634" spans="1:19" x14ac:dyDescent="0.3">
      <c r="A634" t="s">
        <v>484</v>
      </c>
      <c r="B634" t="s">
        <v>1596</v>
      </c>
      <c r="C634" t="s">
        <v>2173</v>
      </c>
      <c r="D634" t="s">
        <v>3189</v>
      </c>
      <c r="E634" t="s">
        <v>9</v>
      </c>
      <c r="F634" s="2">
        <v>21</v>
      </c>
      <c r="G634" t="s">
        <v>3206</v>
      </c>
      <c r="H634" t="s">
        <v>10</v>
      </c>
      <c r="I634" t="s">
        <v>11</v>
      </c>
      <c r="J634" t="s">
        <v>3198</v>
      </c>
      <c r="K634" t="s">
        <v>17</v>
      </c>
      <c r="L634" s="2">
        <v>8.0808</v>
      </c>
      <c r="M634" t="s">
        <v>3199</v>
      </c>
      <c r="N634">
        <v>0</v>
      </c>
      <c r="O634">
        <v>0</v>
      </c>
      <c r="P634">
        <v>1</v>
      </c>
      <c r="Q634" t="s">
        <v>3200</v>
      </c>
      <c r="R634" t="s">
        <v>3201</v>
      </c>
      <c r="S634" t="s">
        <v>13</v>
      </c>
    </row>
    <row r="635" spans="1:19" x14ac:dyDescent="0.3">
      <c r="A635" t="s">
        <v>485</v>
      </c>
      <c r="B635" t="s">
        <v>1596</v>
      </c>
      <c r="C635" t="s">
        <v>2174</v>
      </c>
      <c r="D635" t="s">
        <v>3189</v>
      </c>
      <c r="E635" t="s">
        <v>9</v>
      </c>
      <c r="F635" s="2">
        <v>34</v>
      </c>
      <c r="G635" t="s">
        <v>3206</v>
      </c>
      <c r="H635" t="s">
        <v>18</v>
      </c>
      <c r="I635" t="s">
        <v>11</v>
      </c>
      <c r="J635" t="s">
        <v>3198</v>
      </c>
      <c r="K635" t="s">
        <v>55</v>
      </c>
      <c r="L635" s="2">
        <v>26</v>
      </c>
      <c r="M635" t="s">
        <v>3203</v>
      </c>
      <c r="N635">
        <v>1</v>
      </c>
      <c r="O635">
        <v>0</v>
      </c>
      <c r="P635">
        <v>2</v>
      </c>
      <c r="Q635" t="s">
        <v>3204</v>
      </c>
      <c r="R635" t="s">
        <v>3201</v>
      </c>
      <c r="S635" t="s">
        <v>13</v>
      </c>
    </row>
    <row r="636" spans="1:19" x14ac:dyDescent="0.3">
      <c r="A636" t="s">
        <v>485</v>
      </c>
      <c r="B636" t="s">
        <v>1600</v>
      </c>
      <c r="C636" t="s">
        <v>2175</v>
      </c>
      <c r="D636" t="s">
        <v>3190</v>
      </c>
      <c r="E636" t="s">
        <v>14</v>
      </c>
      <c r="F636" s="2">
        <v>24</v>
      </c>
      <c r="G636" t="s">
        <v>3206</v>
      </c>
      <c r="H636" t="s">
        <v>18</v>
      </c>
      <c r="I636" t="s">
        <v>11</v>
      </c>
      <c r="J636" t="s">
        <v>3198</v>
      </c>
      <c r="K636" t="s">
        <v>55</v>
      </c>
      <c r="L636" s="2">
        <v>26</v>
      </c>
      <c r="M636" t="s">
        <v>3203</v>
      </c>
      <c r="N636">
        <v>1</v>
      </c>
      <c r="O636">
        <v>0</v>
      </c>
      <c r="P636">
        <v>2</v>
      </c>
      <c r="Q636" t="s">
        <v>3204</v>
      </c>
      <c r="R636" t="s">
        <v>3205</v>
      </c>
      <c r="S636" t="s">
        <v>16</v>
      </c>
    </row>
    <row r="637" spans="1:19" x14ac:dyDescent="0.3">
      <c r="A637" t="s">
        <v>486</v>
      </c>
      <c r="B637" t="s">
        <v>1596</v>
      </c>
      <c r="C637" t="s">
        <v>2176</v>
      </c>
      <c r="D637" t="s">
        <v>3189</v>
      </c>
      <c r="E637" t="s">
        <v>9</v>
      </c>
      <c r="F637" s="2">
        <v>30</v>
      </c>
      <c r="G637" t="s">
        <v>3206</v>
      </c>
      <c r="H637" t="s">
        <v>10</v>
      </c>
      <c r="I637" t="s">
        <v>11</v>
      </c>
      <c r="J637" t="s">
        <v>3198</v>
      </c>
      <c r="K637" t="s">
        <v>35</v>
      </c>
      <c r="L637" s="2">
        <v>7.1711</v>
      </c>
      <c r="M637" t="s">
        <v>3199</v>
      </c>
      <c r="N637">
        <v>0</v>
      </c>
      <c r="O637">
        <v>0</v>
      </c>
      <c r="P637">
        <v>1</v>
      </c>
      <c r="Q637" t="s">
        <v>3200</v>
      </c>
      <c r="R637" t="s">
        <v>3201</v>
      </c>
      <c r="S637" t="s">
        <v>13</v>
      </c>
    </row>
    <row r="638" spans="1:19" x14ac:dyDescent="0.3">
      <c r="A638" t="s">
        <v>487</v>
      </c>
      <c r="B638" t="s">
        <v>1596</v>
      </c>
      <c r="C638" t="s">
        <v>2177</v>
      </c>
      <c r="D638" t="s">
        <v>3189</v>
      </c>
      <c r="E638" t="s">
        <v>9</v>
      </c>
      <c r="F638" s="2">
        <v>21</v>
      </c>
      <c r="G638" t="s">
        <v>3206</v>
      </c>
      <c r="H638" t="s">
        <v>10</v>
      </c>
      <c r="I638" t="s">
        <v>11</v>
      </c>
      <c r="J638" t="s">
        <v>3198</v>
      </c>
      <c r="K638" t="s">
        <v>23</v>
      </c>
      <c r="L638" s="2">
        <v>7.1510999999999996</v>
      </c>
      <c r="M638" t="s">
        <v>3199</v>
      </c>
      <c r="N638">
        <v>0</v>
      </c>
      <c r="O638">
        <v>0</v>
      </c>
      <c r="P638">
        <v>1</v>
      </c>
      <c r="Q638" t="s">
        <v>3200</v>
      </c>
      <c r="R638" t="s">
        <v>3205</v>
      </c>
      <c r="S638" t="s">
        <v>16</v>
      </c>
    </row>
    <row r="639" spans="1:19" x14ac:dyDescent="0.3">
      <c r="A639" t="s">
        <v>487</v>
      </c>
      <c r="B639" t="s">
        <v>1596</v>
      </c>
      <c r="C639" t="s">
        <v>2178</v>
      </c>
      <c r="D639" t="s">
        <v>3189</v>
      </c>
      <c r="E639" t="s">
        <v>9</v>
      </c>
      <c r="F639" s="2">
        <v>33</v>
      </c>
      <c r="G639" t="s">
        <v>3206</v>
      </c>
      <c r="H639" t="s">
        <v>10</v>
      </c>
      <c r="I639" t="s">
        <v>11</v>
      </c>
      <c r="J639" t="s">
        <v>3198</v>
      </c>
      <c r="K639" t="s">
        <v>23</v>
      </c>
      <c r="L639" s="2">
        <v>7.1700999999999997</v>
      </c>
      <c r="M639" t="s">
        <v>3199</v>
      </c>
      <c r="N639">
        <v>0</v>
      </c>
      <c r="O639">
        <v>0</v>
      </c>
      <c r="P639">
        <v>1</v>
      </c>
      <c r="Q639" t="s">
        <v>3200</v>
      </c>
      <c r="R639" t="s">
        <v>3201</v>
      </c>
      <c r="S639" t="s">
        <v>13</v>
      </c>
    </row>
    <row r="640" spans="1:19" x14ac:dyDescent="0.3">
      <c r="A640" t="s">
        <v>487</v>
      </c>
      <c r="B640" t="s">
        <v>1596</v>
      </c>
      <c r="C640" t="s">
        <v>2179</v>
      </c>
      <c r="D640" t="s">
        <v>3189</v>
      </c>
      <c r="E640" t="s">
        <v>9</v>
      </c>
      <c r="F640" s="2">
        <v>22</v>
      </c>
      <c r="G640" t="s">
        <v>3206</v>
      </c>
      <c r="H640" t="s">
        <v>10</v>
      </c>
      <c r="I640" t="s">
        <v>11</v>
      </c>
      <c r="J640" t="s">
        <v>3198</v>
      </c>
      <c r="K640" t="s">
        <v>23</v>
      </c>
      <c r="L640" s="2">
        <v>7.1005000000000003</v>
      </c>
      <c r="M640" t="s">
        <v>3199</v>
      </c>
      <c r="N640">
        <v>0</v>
      </c>
      <c r="O640">
        <v>0</v>
      </c>
      <c r="P640">
        <v>1</v>
      </c>
      <c r="Q640" t="s">
        <v>3200</v>
      </c>
      <c r="R640" t="s">
        <v>3201</v>
      </c>
      <c r="S640" t="s">
        <v>13</v>
      </c>
    </row>
    <row r="641" spans="1:19" x14ac:dyDescent="0.3">
      <c r="A641" t="s">
        <v>488</v>
      </c>
      <c r="B641" t="s">
        <v>1600</v>
      </c>
      <c r="C641" t="s">
        <v>2180</v>
      </c>
      <c r="D641" t="s">
        <v>3190</v>
      </c>
      <c r="E641" t="s">
        <v>14</v>
      </c>
      <c r="F641" s="2">
        <v>22</v>
      </c>
      <c r="G641" t="s">
        <v>3206</v>
      </c>
      <c r="H641" t="s">
        <v>18</v>
      </c>
      <c r="I641" t="s">
        <v>11</v>
      </c>
      <c r="J641" t="s">
        <v>3198</v>
      </c>
      <c r="K641" t="s">
        <v>12</v>
      </c>
      <c r="L641" s="2">
        <v>21</v>
      </c>
      <c r="M641" t="s">
        <v>3203</v>
      </c>
      <c r="N641">
        <v>0</v>
      </c>
      <c r="O641">
        <v>0</v>
      </c>
      <c r="P641">
        <v>1</v>
      </c>
      <c r="Q641" t="s">
        <v>3200</v>
      </c>
      <c r="R641" t="s">
        <v>3201</v>
      </c>
      <c r="S641" t="s">
        <v>13</v>
      </c>
    </row>
    <row r="642" spans="1:19" x14ac:dyDescent="0.3">
      <c r="A642" t="s">
        <v>489</v>
      </c>
      <c r="B642" t="s">
        <v>1602</v>
      </c>
      <c r="C642" t="s">
        <v>2181</v>
      </c>
      <c r="D642" t="s">
        <v>3190</v>
      </c>
      <c r="E642" t="s">
        <v>14</v>
      </c>
      <c r="F642" s="2">
        <v>5</v>
      </c>
      <c r="G642" t="s">
        <v>3208</v>
      </c>
      <c r="H642" t="s">
        <v>10</v>
      </c>
      <c r="I642" t="s">
        <v>19</v>
      </c>
      <c r="J642" t="s">
        <v>3207</v>
      </c>
      <c r="K642" t="s">
        <v>56</v>
      </c>
      <c r="L642" s="2">
        <v>13.080399999999999</v>
      </c>
      <c r="M642" t="s">
        <v>3199</v>
      </c>
      <c r="N642">
        <v>0</v>
      </c>
      <c r="O642">
        <v>1</v>
      </c>
      <c r="P642">
        <v>2</v>
      </c>
      <c r="Q642" t="s">
        <v>3204</v>
      </c>
      <c r="R642" t="s">
        <v>3205</v>
      </c>
      <c r="S642" t="s">
        <v>16</v>
      </c>
    </row>
    <row r="643" spans="1:19" x14ac:dyDescent="0.3">
      <c r="A643" t="s">
        <v>489</v>
      </c>
      <c r="B643" t="s">
        <v>1596</v>
      </c>
      <c r="C643" t="s">
        <v>2182</v>
      </c>
      <c r="D643" t="s">
        <v>3189</v>
      </c>
      <c r="E643" t="s">
        <v>9</v>
      </c>
      <c r="F643" s="2">
        <v>39</v>
      </c>
      <c r="G643" t="s">
        <v>3197</v>
      </c>
      <c r="H643" t="s">
        <v>10</v>
      </c>
      <c r="I643" t="s">
        <v>19</v>
      </c>
      <c r="J643" t="s">
        <v>3207</v>
      </c>
      <c r="K643" t="s">
        <v>12</v>
      </c>
      <c r="L643" s="2">
        <v>13.080399999999999</v>
      </c>
      <c r="M643" t="s">
        <v>3199</v>
      </c>
      <c r="N643">
        <v>0</v>
      </c>
      <c r="O643">
        <v>1</v>
      </c>
      <c r="P643">
        <v>2</v>
      </c>
      <c r="Q643" t="s">
        <v>3204</v>
      </c>
      <c r="R643" t="s">
        <v>3205</v>
      </c>
      <c r="S643" t="s">
        <v>16</v>
      </c>
    </row>
    <row r="644" spans="1:19" x14ac:dyDescent="0.3">
      <c r="A644" t="s">
        <v>490</v>
      </c>
      <c r="B644" t="s">
        <v>1596</v>
      </c>
      <c r="C644" t="s">
        <v>2183</v>
      </c>
      <c r="D644" t="s">
        <v>3189</v>
      </c>
      <c r="E644" t="s">
        <v>9</v>
      </c>
      <c r="F644" s="2">
        <v>19</v>
      </c>
      <c r="G644" t="s">
        <v>3206</v>
      </c>
      <c r="H644" t="s">
        <v>10</v>
      </c>
      <c r="I644" t="s">
        <v>19</v>
      </c>
      <c r="J644" t="s">
        <v>3207</v>
      </c>
      <c r="K644" t="s">
        <v>57</v>
      </c>
      <c r="L644" s="2">
        <v>7.0407000000000002</v>
      </c>
      <c r="M644" t="s">
        <v>3199</v>
      </c>
      <c r="N644">
        <v>0</v>
      </c>
      <c r="O644">
        <v>0</v>
      </c>
      <c r="P644">
        <v>1</v>
      </c>
      <c r="Q644" t="s">
        <v>3200</v>
      </c>
      <c r="R644" t="s">
        <v>3201</v>
      </c>
      <c r="S644" t="s">
        <v>13</v>
      </c>
    </row>
    <row r="645" spans="1:19" x14ac:dyDescent="0.3">
      <c r="A645" t="s">
        <v>491</v>
      </c>
      <c r="B645" t="s">
        <v>1602</v>
      </c>
      <c r="C645" t="s">
        <v>2184</v>
      </c>
      <c r="D645" t="s">
        <v>3190</v>
      </c>
      <c r="E645" t="s">
        <v>14</v>
      </c>
      <c r="F645" s="2">
        <v>46</v>
      </c>
      <c r="G645" t="s">
        <v>3197</v>
      </c>
      <c r="H645" t="s">
        <v>18</v>
      </c>
      <c r="I645" t="s">
        <v>36</v>
      </c>
      <c r="J645" t="s">
        <v>3213</v>
      </c>
      <c r="K645" t="s">
        <v>37</v>
      </c>
      <c r="L645" s="2">
        <v>12.07</v>
      </c>
      <c r="M645" t="s">
        <v>3199</v>
      </c>
      <c r="N645">
        <v>0</v>
      </c>
      <c r="O645">
        <v>0</v>
      </c>
      <c r="P645">
        <v>1</v>
      </c>
      <c r="Q645" t="s">
        <v>3200</v>
      </c>
      <c r="R645" t="s">
        <v>3205</v>
      </c>
      <c r="S645" t="s">
        <v>16</v>
      </c>
    </row>
    <row r="646" spans="1:19" x14ac:dyDescent="0.3">
      <c r="A646" t="s">
        <v>491</v>
      </c>
      <c r="B646" t="s">
        <v>1596</v>
      </c>
      <c r="C646" t="s">
        <v>2185</v>
      </c>
      <c r="D646" t="s">
        <v>3189</v>
      </c>
      <c r="E646" t="s">
        <v>9</v>
      </c>
      <c r="F646" s="2">
        <v>23</v>
      </c>
      <c r="G646" t="s">
        <v>3206</v>
      </c>
      <c r="H646" t="s">
        <v>10</v>
      </c>
      <c r="I646" t="s">
        <v>36</v>
      </c>
      <c r="J646" t="s">
        <v>3213</v>
      </c>
      <c r="K646" t="s">
        <v>37</v>
      </c>
      <c r="L646" s="2">
        <v>7.15</v>
      </c>
      <c r="M646" t="s">
        <v>3199</v>
      </c>
      <c r="N646">
        <v>0</v>
      </c>
      <c r="O646">
        <v>0</v>
      </c>
      <c r="P646">
        <v>1</v>
      </c>
      <c r="Q646" t="s">
        <v>3200</v>
      </c>
      <c r="R646" t="s">
        <v>3201</v>
      </c>
      <c r="S646" t="s">
        <v>13</v>
      </c>
    </row>
    <row r="647" spans="1:19" x14ac:dyDescent="0.3">
      <c r="A647" t="s">
        <v>491</v>
      </c>
      <c r="B647" t="s">
        <v>1596</v>
      </c>
      <c r="C647" t="s">
        <v>1764</v>
      </c>
      <c r="D647" t="s">
        <v>3189</v>
      </c>
      <c r="E647" t="s">
        <v>9</v>
      </c>
      <c r="F647" s="2">
        <v>35</v>
      </c>
      <c r="G647" t="s">
        <v>3206</v>
      </c>
      <c r="H647" t="s">
        <v>18</v>
      </c>
      <c r="I647" t="s">
        <v>36</v>
      </c>
      <c r="J647" t="s">
        <v>3213</v>
      </c>
      <c r="K647" t="s">
        <v>37</v>
      </c>
      <c r="L647" s="2">
        <v>12.07</v>
      </c>
      <c r="M647" t="s">
        <v>3199</v>
      </c>
      <c r="N647">
        <v>0</v>
      </c>
      <c r="O647">
        <v>0</v>
      </c>
      <c r="P647">
        <v>1</v>
      </c>
      <c r="Q647" t="s">
        <v>3200</v>
      </c>
      <c r="R647" t="s">
        <v>3201</v>
      </c>
      <c r="S647" t="s">
        <v>13</v>
      </c>
    </row>
    <row r="648" spans="1:19" x14ac:dyDescent="0.3">
      <c r="A648" t="s">
        <v>492</v>
      </c>
      <c r="B648" t="s">
        <v>1596</v>
      </c>
      <c r="C648" t="s">
        <v>1976</v>
      </c>
      <c r="D648" t="s">
        <v>3189</v>
      </c>
      <c r="E648" t="s">
        <v>9</v>
      </c>
      <c r="F648" s="2">
        <v>39</v>
      </c>
      <c r="G648" t="s">
        <v>3197</v>
      </c>
      <c r="H648" t="s">
        <v>10</v>
      </c>
      <c r="I648" t="s">
        <v>11</v>
      </c>
      <c r="J648" t="s">
        <v>3198</v>
      </c>
      <c r="K648" t="s">
        <v>12</v>
      </c>
      <c r="L648" s="2">
        <v>7.05</v>
      </c>
      <c r="M648" t="s">
        <v>3199</v>
      </c>
      <c r="N648">
        <v>0</v>
      </c>
      <c r="O648">
        <v>0</v>
      </c>
      <c r="P648">
        <v>1</v>
      </c>
      <c r="Q648" t="s">
        <v>3200</v>
      </c>
      <c r="R648" t="s">
        <v>3201</v>
      </c>
      <c r="S648" t="s">
        <v>13</v>
      </c>
    </row>
    <row r="649" spans="1:19" x14ac:dyDescent="0.3">
      <c r="A649" t="s">
        <v>493</v>
      </c>
      <c r="B649" t="s">
        <v>1596</v>
      </c>
      <c r="C649" t="s">
        <v>2186</v>
      </c>
      <c r="D649" t="s">
        <v>3189</v>
      </c>
      <c r="E649" t="s">
        <v>9</v>
      </c>
      <c r="F649" s="2">
        <v>33</v>
      </c>
      <c r="G649" t="s">
        <v>3206</v>
      </c>
      <c r="H649" t="s">
        <v>25</v>
      </c>
      <c r="I649" t="s">
        <v>11</v>
      </c>
      <c r="J649" t="s">
        <v>3198</v>
      </c>
      <c r="K649" t="s">
        <v>15</v>
      </c>
      <c r="L649" s="2">
        <v>211.1</v>
      </c>
      <c r="M649" t="s">
        <v>3209</v>
      </c>
      <c r="N649">
        <v>0</v>
      </c>
      <c r="O649">
        <v>0</v>
      </c>
      <c r="P649">
        <v>1</v>
      </c>
      <c r="Q649" t="s">
        <v>3200</v>
      </c>
      <c r="R649" t="s">
        <v>3201</v>
      </c>
      <c r="S649" t="s">
        <v>13</v>
      </c>
    </row>
    <row r="650" spans="1:19" x14ac:dyDescent="0.3">
      <c r="A650" t="s">
        <v>494</v>
      </c>
      <c r="B650" t="s">
        <v>1602</v>
      </c>
      <c r="C650" t="s">
        <v>2187</v>
      </c>
      <c r="D650" t="s">
        <v>3190</v>
      </c>
      <c r="E650" t="s">
        <v>14</v>
      </c>
      <c r="F650" s="2">
        <v>20</v>
      </c>
      <c r="G650" t="s">
        <v>3206</v>
      </c>
      <c r="H650" t="s">
        <v>10</v>
      </c>
      <c r="I650" t="s">
        <v>36</v>
      </c>
      <c r="J650" t="s">
        <v>3213</v>
      </c>
      <c r="K650" t="s">
        <v>37</v>
      </c>
      <c r="L650" s="2">
        <v>7.15</v>
      </c>
      <c r="M650" t="s">
        <v>3199</v>
      </c>
      <c r="N650">
        <v>0</v>
      </c>
      <c r="O650">
        <v>0</v>
      </c>
      <c r="P650">
        <v>1</v>
      </c>
      <c r="Q650" t="s">
        <v>3200</v>
      </c>
      <c r="R650" t="s">
        <v>3205</v>
      </c>
      <c r="S650" t="s">
        <v>16</v>
      </c>
    </row>
    <row r="651" spans="1:19" x14ac:dyDescent="0.3">
      <c r="A651" t="s">
        <v>494</v>
      </c>
      <c r="B651" t="s">
        <v>1602</v>
      </c>
      <c r="C651" t="s">
        <v>1734</v>
      </c>
      <c r="D651" t="s">
        <v>3190</v>
      </c>
      <c r="E651" t="s">
        <v>14</v>
      </c>
      <c r="F651" s="2">
        <v>22</v>
      </c>
      <c r="G651" t="s">
        <v>3206</v>
      </c>
      <c r="H651" t="s">
        <v>10</v>
      </c>
      <c r="I651" t="s">
        <v>36</v>
      </c>
      <c r="J651" t="s">
        <v>3213</v>
      </c>
      <c r="K651" t="s">
        <v>37</v>
      </c>
      <c r="L651" s="2">
        <v>7.15</v>
      </c>
      <c r="M651" t="s">
        <v>3199</v>
      </c>
      <c r="N651">
        <v>0</v>
      </c>
      <c r="O651">
        <v>0</v>
      </c>
      <c r="P651">
        <v>1</v>
      </c>
      <c r="Q651" t="s">
        <v>3200</v>
      </c>
      <c r="R651" t="s">
        <v>3205</v>
      </c>
      <c r="S651" t="s">
        <v>16</v>
      </c>
    </row>
    <row r="652" spans="1:19" x14ac:dyDescent="0.3">
      <c r="A652" t="s">
        <v>494</v>
      </c>
      <c r="B652" t="s">
        <v>1596</v>
      </c>
      <c r="C652" t="s">
        <v>1965</v>
      </c>
      <c r="D652" t="s">
        <v>3189</v>
      </c>
      <c r="E652" t="s">
        <v>9</v>
      </c>
      <c r="F652" s="2">
        <v>19</v>
      </c>
      <c r="G652" t="s">
        <v>3206</v>
      </c>
      <c r="H652" t="s">
        <v>10</v>
      </c>
      <c r="I652" t="s">
        <v>11</v>
      </c>
      <c r="J652" t="s">
        <v>3198</v>
      </c>
      <c r="K652" t="s">
        <v>43</v>
      </c>
      <c r="L652" s="2">
        <v>8.01</v>
      </c>
      <c r="M652" t="s">
        <v>3199</v>
      </c>
      <c r="N652">
        <v>0</v>
      </c>
      <c r="O652">
        <v>0</v>
      </c>
      <c r="P652">
        <v>1</v>
      </c>
      <c r="Q652" t="s">
        <v>3200</v>
      </c>
      <c r="R652" t="s">
        <v>3201</v>
      </c>
      <c r="S652" t="s">
        <v>13</v>
      </c>
    </row>
    <row r="653" spans="1:19" x14ac:dyDescent="0.3">
      <c r="A653" t="s">
        <v>494</v>
      </c>
      <c r="B653" t="s">
        <v>1600</v>
      </c>
      <c r="C653" t="s">
        <v>2188</v>
      </c>
      <c r="D653" t="s">
        <v>3190</v>
      </c>
      <c r="E653" t="s">
        <v>14</v>
      </c>
      <c r="F653" s="2">
        <v>49</v>
      </c>
      <c r="G653" t="s">
        <v>3197</v>
      </c>
      <c r="H653" t="s">
        <v>18</v>
      </c>
      <c r="I653" t="s">
        <v>11</v>
      </c>
      <c r="J653" t="s">
        <v>3198</v>
      </c>
      <c r="K653" t="s">
        <v>15</v>
      </c>
      <c r="L653" s="2">
        <v>13.1</v>
      </c>
      <c r="M653" t="s">
        <v>3199</v>
      </c>
      <c r="N653">
        <v>0</v>
      </c>
      <c r="O653">
        <v>0</v>
      </c>
      <c r="P653">
        <v>1</v>
      </c>
      <c r="Q653" t="s">
        <v>3200</v>
      </c>
      <c r="R653" t="s">
        <v>3205</v>
      </c>
      <c r="S653" t="s">
        <v>16</v>
      </c>
    </row>
    <row r="654" spans="1:19" x14ac:dyDescent="0.3">
      <c r="A654" t="s">
        <v>495</v>
      </c>
      <c r="B654" t="s">
        <v>1596</v>
      </c>
      <c r="C654" t="s">
        <v>1610</v>
      </c>
      <c r="D654" t="s">
        <v>3189</v>
      </c>
      <c r="E654" t="s">
        <v>9</v>
      </c>
      <c r="F654" s="2">
        <v>24</v>
      </c>
      <c r="G654" t="s">
        <v>3206</v>
      </c>
      <c r="H654" t="s">
        <v>10</v>
      </c>
      <c r="I654" t="s">
        <v>36</v>
      </c>
      <c r="J654" t="s">
        <v>3213</v>
      </c>
      <c r="K654" t="s">
        <v>37</v>
      </c>
      <c r="L654" s="2">
        <v>7.15</v>
      </c>
      <c r="M654" t="s">
        <v>3199</v>
      </c>
      <c r="N654">
        <v>0</v>
      </c>
      <c r="O654">
        <v>0</v>
      </c>
      <c r="P654">
        <v>1</v>
      </c>
      <c r="Q654" t="s">
        <v>3200</v>
      </c>
      <c r="R654" t="s">
        <v>3205</v>
      </c>
      <c r="S654" t="s">
        <v>16</v>
      </c>
    </row>
    <row r="655" spans="1:19" x14ac:dyDescent="0.3">
      <c r="A655" t="s">
        <v>496</v>
      </c>
      <c r="B655" t="s">
        <v>1596</v>
      </c>
      <c r="C655" t="s">
        <v>2189</v>
      </c>
      <c r="D655" t="s">
        <v>3189</v>
      </c>
      <c r="E655" t="s">
        <v>9</v>
      </c>
      <c r="F655" s="2">
        <v>58</v>
      </c>
      <c r="G655" t="s">
        <v>3210</v>
      </c>
      <c r="H655" t="s">
        <v>25</v>
      </c>
      <c r="I655" t="s">
        <v>19</v>
      </c>
      <c r="J655" t="s">
        <v>3207</v>
      </c>
      <c r="K655" t="s">
        <v>12</v>
      </c>
      <c r="L655" s="2">
        <v>29.14</v>
      </c>
      <c r="M655" t="s">
        <v>3203</v>
      </c>
      <c r="N655">
        <v>0</v>
      </c>
      <c r="O655">
        <v>0</v>
      </c>
      <c r="P655">
        <v>1</v>
      </c>
      <c r="Q655" t="s">
        <v>3200</v>
      </c>
      <c r="R655" t="s">
        <v>3201</v>
      </c>
      <c r="S655" t="s">
        <v>13</v>
      </c>
    </row>
    <row r="656" spans="1:19" x14ac:dyDescent="0.3">
      <c r="A656" t="s">
        <v>497</v>
      </c>
      <c r="B656" t="s">
        <v>1596</v>
      </c>
      <c r="C656" t="s">
        <v>2190</v>
      </c>
      <c r="D656" t="s">
        <v>3189</v>
      </c>
      <c r="E656" t="s">
        <v>9</v>
      </c>
      <c r="F656" s="2">
        <v>41</v>
      </c>
      <c r="G656" t="s">
        <v>3197</v>
      </c>
      <c r="H656" t="s">
        <v>25</v>
      </c>
      <c r="I656" t="s">
        <v>11</v>
      </c>
      <c r="J656" t="s">
        <v>3198</v>
      </c>
      <c r="K656" t="s">
        <v>12</v>
      </c>
      <c r="L656" s="2">
        <v>51.170299999999997</v>
      </c>
      <c r="M656" t="s">
        <v>3211</v>
      </c>
      <c r="N656">
        <v>1</v>
      </c>
      <c r="O656">
        <v>0</v>
      </c>
      <c r="P656">
        <v>2</v>
      </c>
      <c r="Q656" t="s">
        <v>3204</v>
      </c>
      <c r="R656" t="s">
        <v>3201</v>
      </c>
      <c r="S656" t="s">
        <v>13</v>
      </c>
    </row>
    <row r="657" spans="1:19" x14ac:dyDescent="0.3">
      <c r="A657" t="s">
        <v>497</v>
      </c>
      <c r="B657" t="s">
        <v>1600</v>
      </c>
      <c r="C657" t="s">
        <v>2191</v>
      </c>
      <c r="D657" t="s">
        <v>3190</v>
      </c>
      <c r="E657" t="s">
        <v>14</v>
      </c>
      <c r="F657" s="2">
        <v>40</v>
      </c>
      <c r="G657" t="s">
        <v>3197</v>
      </c>
      <c r="H657" t="s">
        <v>25</v>
      </c>
      <c r="I657" t="s">
        <v>11</v>
      </c>
      <c r="J657" t="s">
        <v>3198</v>
      </c>
      <c r="K657" t="s">
        <v>12</v>
      </c>
      <c r="L657" s="2">
        <v>51.170299999999997</v>
      </c>
      <c r="M657" t="s">
        <v>3211</v>
      </c>
      <c r="N657">
        <v>1</v>
      </c>
      <c r="O657">
        <v>0</v>
      </c>
      <c r="P657">
        <v>2</v>
      </c>
      <c r="Q657" t="s">
        <v>3204</v>
      </c>
      <c r="R657" t="s">
        <v>3205</v>
      </c>
      <c r="S657" t="s">
        <v>16</v>
      </c>
    </row>
    <row r="658" spans="1:19" x14ac:dyDescent="0.3">
      <c r="A658" t="s">
        <v>498</v>
      </c>
      <c r="B658" t="s">
        <v>1596</v>
      </c>
      <c r="C658" t="s">
        <v>2192</v>
      </c>
      <c r="D658" t="s">
        <v>3189</v>
      </c>
      <c r="E658" t="s">
        <v>9</v>
      </c>
      <c r="F658" s="2">
        <v>25</v>
      </c>
      <c r="G658" t="s">
        <v>3206</v>
      </c>
      <c r="H658" t="s">
        <v>10</v>
      </c>
      <c r="I658" t="s">
        <v>19</v>
      </c>
      <c r="J658" t="s">
        <v>3207</v>
      </c>
      <c r="K658" t="s">
        <v>21</v>
      </c>
      <c r="L658" s="2">
        <v>14.0901</v>
      </c>
      <c r="M658" t="s">
        <v>3199</v>
      </c>
      <c r="N658">
        <v>1</v>
      </c>
      <c r="O658">
        <v>0</v>
      </c>
      <c r="P658">
        <v>2</v>
      </c>
      <c r="Q658" t="s">
        <v>3204</v>
      </c>
      <c r="R658" t="s">
        <v>3201</v>
      </c>
      <c r="S658" t="s">
        <v>13</v>
      </c>
    </row>
    <row r="659" spans="1:19" x14ac:dyDescent="0.3">
      <c r="A659" t="s">
        <v>498</v>
      </c>
      <c r="B659" t="s">
        <v>1600</v>
      </c>
      <c r="C659" t="s">
        <v>2193</v>
      </c>
      <c r="D659" t="s">
        <v>3190</v>
      </c>
      <c r="E659" t="s">
        <v>14</v>
      </c>
      <c r="F659" s="2">
        <v>20</v>
      </c>
      <c r="G659" t="s">
        <v>3206</v>
      </c>
      <c r="H659" t="s">
        <v>10</v>
      </c>
      <c r="I659" t="s">
        <v>19</v>
      </c>
      <c r="J659" t="s">
        <v>3207</v>
      </c>
      <c r="K659" t="s">
        <v>21</v>
      </c>
      <c r="L659" s="2">
        <v>14.0901</v>
      </c>
      <c r="M659" t="s">
        <v>3199</v>
      </c>
      <c r="N659">
        <v>1</v>
      </c>
      <c r="O659">
        <v>0</v>
      </c>
      <c r="P659">
        <v>2</v>
      </c>
      <c r="Q659" t="s">
        <v>3204</v>
      </c>
      <c r="R659" t="s">
        <v>3201</v>
      </c>
      <c r="S659" t="s">
        <v>13</v>
      </c>
    </row>
    <row r="660" spans="1:19" x14ac:dyDescent="0.3">
      <c r="A660" t="s">
        <v>499</v>
      </c>
      <c r="B660" t="s">
        <v>1596</v>
      </c>
      <c r="C660" t="s">
        <v>2194</v>
      </c>
      <c r="D660" t="s">
        <v>3189</v>
      </c>
      <c r="E660" t="s">
        <v>9</v>
      </c>
      <c r="F660" s="2">
        <v>25</v>
      </c>
      <c r="G660" t="s">
        <v>3206</v>
      </c>
      <c r="H660" t="s">
        <v>10</v>
      </c>
      <c r="I660" t="s">
        <v>36</v>
      </c>
      <c r="J660" t="s">
        <v>3213</v>
      </c>
      <c r="K660" t="s">
        <v>37</v>
      </c>
      <c r="L660" s="2">
        <v>7.15</v>
      </c>
      <c r="M660" t="s">
        <v>3199</v>
      </c>
      <c r="N660">
        <v>1</v>
      </c>
      <c r="O660">
        <v>0</v>
      </c>
      <c r="P660">
        <v>2</v>
      </c>
      <c r="Q660" t="s">
        <v>3204</v>
      </c>
      <c r="R660" t="s">
        <v>3201</v>
      </c>
      <c r="S660" t="s">
        <v>13</v>
      </c>
    </row>
    <row r="661" spans="1:19" x14ac:dyDescent="0.3">
      <c r="A661" t="s">
        <v>499</v>
      </c>
      <c r="B661" t="s">
        <v>1596</v>
      </c>
      <c r="C661" t="s">
        <v>2195</v>
      </c>
      <c r="D661" t="s">
        <v>3189</v>
      </c>
      <c r="E661" t="s">
        <v>9</v>
      </c>
      <c r="F661" s="2">
        <v>22</v>
      </c>
      <c r="G661" t="s">
        <v>3206</v>
      </c>
      <c r="H661" t="s">
        <v>10</v>
      </c>
      <c r="I661" t="s">
        <v>36</v>
      </c>
      <c r="J661" t="s">
        <v>3213</v>
      </c>
      <c r="K661" t="s">
        <v>37</v>
      </c>
      <c r="L661" s="2">
        <v>7.15</v>
      </c>
      <c r="M661" t="s">
        <v>3199</v>
      </c>
      <c r="N661">
        <v>1</v>
      </c>
      <c r="O661">
        <v>0</v>
      </c>
      <c r="P661">
        <v>2</v>
      </c>
      <c r="Q661" t="s">
        <v>3204</v>
      </c>
      <c r="R661" t="s">
        <v>3201</v>
      </c>
      <c r="S661" t="s">
        <v>13</v>
      </c>
    </row>
    <row r="662" spans="1:19" x14ac:dyDescent="0.3">
      <c r="A662" t="s">
        <v>500</v>
      </c>
      <c r="B662" t="s">
        <v>1596</v>
      </c>
      <c r="C662" t="s">
        <v>1645</v>
      </c>
      <c r="D662" t="s">
        <v>3189</v>
      </c>
      <c r="E662" t="s">
        <v>9</v>
      </c>
      <c r="F662" s="2">
        <v>22</v>
      </c>
      <c r="G662" t="s">
        <v>3206</v>
      </c>
      <c r="H662" t="s">
        <v>10</v>
      </c>
      <c r="I662" t="s">
        <v>36</v>
      </c>
      <c r="J662" t="s">
        <v>3213</v>
      </c>
      <c r="K662" t="s">
        <v>37</v>
      </c>
      <c r="L662" s="2">
        <v>7.1409000000000002</v>
      </c>
      <c r="M662" t="s">
        <v>3199</v>
      </c>
      <c r="N662">
        <v>0</v>
      </c>
      <c r="O662">
        <v>0</v>
      </c>
      <c r="P662">
        <v>1</v>
      </c>
      <c r="Q662" t="s">
        <v>3200</v>
      </c>
      <c r="R662" t="s">
        <v>3201</v>
      </c>
      <c r="S662" t="s">
        <v>13</v>
      </c>
    </row>
    <row r="663" spans="1:19" x14ac:dyDescent="0.3">
      <c r="A663" t="s">
        <v>501</v>
      </c>
      <c r="B663" t="s">
        <v>1596</v>
      </c>
      <c r="C663" t="s">
        <v>2196</v>
      </c>
      <c r="D663" t="s">
        <v>3189</v>
      </c>
      <c r="E663" t="s">
        <v>9</v>
      </c>
      <c r="F663" s="2">
        <v>42</v>
      </c>
      <c r="G663" t="s">
        <v>3197</v>
      </c>
      <c r="H663" t="s">
        <v>25</v>
      </c>
      <c r="I663" t="s">
        <v>11</v>
      </c>
      <c r="J663" t="s">
        <v>3198</v>
      </c>
      <c r="K663" t="s">
        <v>12</v>
      </c>
      <c r="L663" s="2">
        <v>52.110100000000003</v>
      </c>
      <c r="M663" t="s">
        <v>3211</v>
      </c>
      <c r="N663">
        <v>1</v>
      </c>
      <c r="O663">
        <v>0</v>
      </c>
      <c r="P663">
        <v>2</v>
      </c>
      <c r="Q663" t="s">
        <v>3204</v>
      </c>
      <c r="R663" t="s">
        <v>3205</v>
      </c>
      <c r="S663" t="s">
        <v>16</v>
      </c>
    </row>
    <row r="664" spans="1:19" x14ac:dyDescent="0.3">
      <c r="A664" t="s">
        <v>501</v>
      </c>
      <c r="B664" t="s">
        <v>1600</v>
      </c>
      <c r="C664" t="s">
        <v>2197</v>
      </c>
      <c r="D664" t="s">
        <v>3190</v>
      </c>
      <c r="E664" t="s">
        <v>14</v>
      </c>
      <c r="F664" s="2">
        <v>45</v>
      </c>
      <c r="G664" t="s">
        <v>3197</v>
      </c>
      <c r="H664" t="s">
        <v>25</v>
      </c>
      <c r="I664" t="s">
        <v>11</v>
      </c>
      <c r="J664" t="s">
        <v>3198</v>
      </c>
      <c r="K664" t="s">
        <v>12</v>
      </c>
      <c r="L664" s="2">
        <v>52.110100000000003</v>
      </c>
      <c r="M664" t="s">
        <v>3211</v>
      </c>
      <c r="N664">
        <v>1</v>
      </c>
      <c r="O664">
        <v>0</v>
      </c>
      <c r="P664">
        <v>2</v>
      </c>
      <c r="Q664" t="s">
        <v>3204</v>
      </c>
      <c r="R664" t="s">
        <v>3205</v>
      </c>
      <c r="S664" t="s">
        <v>16</v>
      </c>
    </row>
    <row r="665" spans="1:19" x14ac:dyDescent="0.3">
      <c r="A665" t="s">
        <v>502</v>
      </c>
      <c r="B665" t="s">
        <v>1602</v>
      </c>
      <c r="C665" t="s">
        <v>2198</v>
      </c>
      <c r="D665" t="s">
        <v>3190</v>
      </c>
      <c r="E665" t="s">
        <v>14</v>
      </c>
      <c r="F665" s="2">
        <v>4</v>
      </c>
      <c r="G665" t="s">
        <v>3208</v>
      </c>
      <c r="H665" t="s">
        <v>10</v>
      </c>
      <c r="I665" t="s">
        <v>11</v>
      </c>
      <c r="J665" t="s">
        <v>3198</v>
      </c>
      <c r="K665" t="s">
        <v>32</v>
      </c>
      <c r="L665" s="2">
        <v>22</v>
      </c>
      <c r="M665" t="s">
        <v>3203</v>
      </c>
      <c r="N665">
        <v>0</v>
      </c>
      <c r="O665">
        <v>2</v>
      </c>
      <c r="P665">
        <v>3</v>
      </c>
      <c r="Q665" t="s">
        <v>3204</v>
      </c>
      <c r="R665" t="s">
        <v>3205</v>
      </c>
      <c r="S665" t="s">
        <v>16</v>
      </c>
    </row>
    <row r="666" spans="1:19" x14ac:dyDescent="0.3">
      <c r="A666" t="s">
        <v>502</v>
      </c>
      <c r="B666" t="s">
        <v>1600</v>
      </c>
      <c r="C666" t="s">
        <v>2199</v>
      </c>
      <c r="D666" t="s">
        <v>3190</v>
      </c>
      <c r="E666" t="s">
        <v>14</v>
      </c>
      <c r="F666" s="2">
        <v>26</v>
      </c>
      <c r="G666" t="s">
        <v>3206</v>
      </c>
      <c r="H666" t="s">
        <v>10</v>
      </c>
      <c r="I666" t="s">
        <v>11</v>
      </c>
      <c r="J666" t="s">
        <v>3198</v>
      </c>
      <c r="K666" t="s">
        <v>32</v>
      </c>
      <c r="L666" s="2">
        <v>22</v>
      </c>
      <c r="M666" t="s">
        <v>3203</v>
      </c>
      <c r="N666">
        <v>1</v>
      </c>
      <c r="O666">
        <v>1</v>
      </c>
      <c r="P666">
        <v>3</v>
      </c>
      <c r="Q666" t="s">
        <v>3204</v>
      </c>
      <c r="R666" t="s">
        <v>3205</v>
      </c>
      <c r="S666" t="s">
        <v>16</v>
      </c>
    </row>
    <row r="667" spans="1:19" x14ac:dyDescent="0.3">
      <c r="A667" t="s">
        <v>503</v>
      </c>
      <c r="B667" t="s">
        <v>1602</v>
      </c>
      <c r="C667" t="s">
        <v>2200</v>
      </c>
      <c r="D667" t="s">
        <v>3190</v>
      </c>
      <c r="E667" t="s">
        <v>14</v>
      </c>
      <c r="F667" s="2">
        <v>23</v>
      </c>
      <c r="G667" t="s">
        <v>3206</v>
      </c>
      <c r="H667" t="s">
        <v>10</v>
      </c>
      <c r="I667" t="s">
        <v>11</v>
      </c>
      <c r="J667" t="s">
        <v>3198</v>
      </c>
      <c r="K667" t="s">
        <v>32</v>
      </c>
      <c r="L667" s="2">
        <v>8.1303000000000001</v>
      </c>
      <c r="M667" t="s">
        <v>3199</v>
      </c>
      <c r="N667">
        <v>2</v>
      </c>
      <c r="O667">
        <v>0</v>
      </c>
      <c r="P667">
        <v>3</v>
      </c>
      <c r="Q667" t="s">
        <v>3204</v>
      </c>
      <c r="R667" t="s">
        <v>3201</v>
      </c>
      <c r="S667" t="s">
        <v>13</v>
      </c>
    </row>
    <row r="668" spans="1:19" x14ac:dyDescent="0.3">
      <c r="A668" t="s">
        <v>503</v>
      </c>
      <c r="B668" t="s">
        <v>1596</v>
      </c>
      <c r="C668" t="s">
        <v>2201</v>
      </c>
      <c r="D668" t="s">
        <v>3189</v>
      </c>
      <c r="E668" t="s">
        <v>9</v>
      </c>
      <c r="F668" s="2">
        <v>29</v>
      </c>
      <c r="G668" t="s">
        <v>3206</v>
      </c>
      <c r="H668" t="s">
        <v>10</v>
      </c>
      <c r="I668" t="s">
        <v>11</v>
      </c>
      <c r="J668" t="s">
        <v>3198</v>
      </c>
      <c r="K668" t="s">
        <v>32</v>
      </c>
      <c r="L668" s="2">
        <v>22</v>
      </c>
      <c r="M668" t="s">
        <v>3203</v>
      </c>
      <c r="N668">
        <v>3</v>
      </c>
      <c r="O668">
        <v>1</v>
      </c>
      <c r="P668">
        <v>5</v>
      </c>
      <c r="Q668" t="s">
        <v>3204</v>
      </c>
      <c r="R668" t="s">
        <v>3205</v>
      </c>
      <c r="S668" t="s">
        <v>16</v>
      </c>
    </row>
    <row r="669" spans="1:19" x14ac:dyDescent="0.3">
      <c r="A669" t="s">
        <v>503</v>
      </c>
      <c r="B669" t="s">
        <v>1596</v>
      </c>
      <c r="C669" t="s">
        <v>2202</v>
      </c>
      <c r="D669" t="s">
        <v>3189</v>
      </c>
      <c r="E669" t="s">
        <v>9</v>
      </c>
      <c r="F669" s="2">
        <v>26</v>
      </c>
      <c r="G669" t="s">
        <v>3206</v>
      </c>
      <c r="H669" t="s">
        <v>10</v>
      </c>
      <c r="I669" t="s">
        <v>11</v>
      </c>
      <c r="J669" t="s">
        <v>3198</v>
      </c>
      <c r="K669" t="s">
        <v>32</v>
      </c>
      <c r="L669" s="2">
        <v>8.1303000000000001</v>
      </c>
      <c r="M669" t="s">
        <v>3199</v>
      </c>
      <c r="N669">
        <v>2</v>
      </c>
      <c r="O669">
        <v>0</v>
      </c>
      <c r="P669">
        <v>3</v>
      </c>
      <c r="Q669" t="s">
        <v>3204</v>
      </c>
      <c r="R669" t="s">
        <v>3201</v>
      </c>
      <c r="S669" t="s">
        <v>13</v>
      </c>
    </row>
    <row r="670" spans="1:19" x14ac:dyDescent="0.3">
      <c r="A670" t="s">
        <v>504</v>
      </c>
      <c r="B670" t="s">
        <v>1777</v>
      </c>
      <c r="C670" t="s">
        <v>2203</v>
      </c>
      <c r="D670" t="s">
        <v>3189</v>
      </c>
      <c r="E670" t="s">
        <v>9</v>
      </c>
      <c r="F670" s="2">
        <v>52</v>
      </c>
      <c r="G670" t="s">
        <v>3197</v>
      </c>
      <c r="H670" t="s">
        <v>18</v>
      </c>
      <c r="I670" t="s">
        <v>36</v>
      </c>
      <c r="J670" t="s">
        <v>3213</v>
      </c>
      <c r="K670" t="s">
        <v>12</v>
      </c>
      <c r="L670" s="2">
        <v>12.07</v>
      </c>
      <c r="M670" t="s">
        <v>3199</v>
      </c>
      <c r="N670">
        <v>0</v>
      </c>
      <c r="O670">
        <v>0</v>
      </c>
      <c r="P670">
        <v>1</v>
      </c>
      <c r="Q670" t="s">
        <v>3200</v>
      </c>
      <c r="R670" t="s">
        <v>3201</v>
      </c>
      <c r="S670" t="s">
        <v>13</v>
      </c>
    </row>
    <row r="671" spans="1:19" x14ac:dyDescent="0.3">
      <c r="A671" t="s">
        <v>505</v>
      </c>
      <c r="B671" t="s">
        <v>1596</v>
      </c>
      <c r="C671" t="s">
        <v>2204</v>
      </c>
      <c r="D671" t="s">
        <v>3189</v>
      </c>
      <c r="E671" t="s">
        <v>9</v>
      </c>
      <c r="F671" s="2">
        <v>41</v>
      </c>
      <c r="G671" t="s">
        <v>3197</v>
      </c>
      <c r="H671" t="s">
        <v>25</v>
      </c>
      <c r="I671" t="s">
        <v>11</v>
      </c>
      <c r="J671" t="s">
        <v>3198</v>
      </c>
      <c r="K671" t="s">
        <v>12</v>
      </c>
      <c r="L671" s="2">
        <v>26.11</v>
      </c>
      <c r="M671" t="s">
        <v>3203</v>
      </c>
      <c r="N671">
        <v>0</v>
      </c>
      <c r="O671">
        <v>0</v>
      </c>
      <c r="P671">
        <v>1</v>
      </c>
      <c r="Q671" t="s">
        <v>3200</v>
      </c>
      <c r="R671" t="s">
        <v>3201</v>
      </c>
      <c r="S671" t="s">
        <v>13</v>
      </c>
    </row>
    <row r="672" spans="1:19" x14ac:dyDescent="0.3">
      <c r="A672" t="s">
        <v>506</v>
      </c>
      <c r="B672" t="s">
        <v>1602</v>
      </c>
      <c r="C672" t="s">
        <v>2205</v>
      </c>
      <c r="D672" t="s">
        <v>3190</v>
      </c>
      <c r="E672" t="s">
        <v>14</v>
      </c>
      <c r="F672" s="2">
        <v>1</v>
      </c>
      <c r="G672" t="s">
        <v>3208</v>
      </c>
      <c r="H672" t="s">
        <v>10</v>
      </c>
      <c r="I672" t="s">
        <v>11</v>
      </c>
      <c r="J672" t="s">
        <v>3198</v>
      </c>
      <c r="K672" t="s">
        <v>23</v>
      </c>
      <c r="L672" s="2">
        <v>12.030799999999999</v>
      </c>
      <c r="M672" t="s">
        <v>3199</v>
      </c>
      <c r="N672">
        <v>1</v>
      </c>
      <c r="O672">
        <v>1</v>
      </c>
      <c r="P672">
        <v>3</v>
      </c>
      <c r="Q672" t="s">
        <v>3204</v>
      </c>
      <c r="R672" t="s">
        <v>3201</v>
      </c>
      <c r="S672" t="s">
        <v>13</v>
      </c>
    </row>
    <row r="673" spans="1:19" x14ac:dyDescent="0.3">
      <c r="A673" t="s">
        <v>506</v>
      </c>
      <c r="B673" t="s">
        <v>1596</v>
      </c>
      <c r="C673" t="s">
        <v>2206</v>
      </c>
      <c r="D673" t="s">
        <v>3189</v>
      </c>
      <c r="E673" t="s">
        <v>9</v>
      </c>
      <c r="F673" s="2">
        <v>18</v>
      </c>
      <c r="G673" t="s">
        <v>3206</v>
      </c>
      <c r="H673" t="s">
        <v>10</v>
      </c>
      <c r="I673" t="s">
        <v>11</v>
      </c>
      <c r="J673" t="s">
        <v>3198</v>
      </c>
      <c r="K673" t="s">
        <v>23</v>
      </c>
      <c r="L673" s="2">
        <v>7.1700999999999997</v>
      </c>
      <c r="M673" t="s">
        <v>3199</v>
      </c>
      <c r="N673">
        <v>1</v>
      </c>
      <c r="O673">
        <v>1</v>
      </c>
      <c r="P673">
        <v>3</v>
      </c>
      <c r="Q673" t="s">
        <v>3204</v>
      </c>
      <c r="R673" t="s">
        <v>3201</v>
      </c>
      <c r="S673" t="s">
        <v>13</v>
      </c>
    </row>
    <row r="674" spans="1:19" x14ac:dyDescent="0.3">
      <c r="A674" t="s">
        <v>506</v>
      </c>
      <c r="B674" t="s">
        <v>1600</v>
      </c>
      <c r="C674" t="s">
        <v>2207</v>
      </c>
      <c r="D674" t="s">
        <v>3190</v>
      </c>
      <c r="E674" t="s">
        <v>14</v>
      </c>
      <c r="F674" s="2">
        <v>36</v>
      </c>
      <c r="G674" t="s">
        <v>3197</v>
      </c>
      <c r="H674" t="s">
        <v>10</v>
      </c>
      <c r="I674" t="s">
        <v>11</v>
      </c>
      <c r="J674" t="s">
        <v>3198</v>
      </c>
      <c r="K674" t="s">
        <v>23</v>
      </c>
      <c r="L674" s="2">
        <v>12.030799999999999</v>
      </c>
      <c r="M674" t="s">
        <v>3199</v>
      </c>
      <c r="N674">
        <v>0</v>
      </c>
      <c r="O674">
        <v>2</v>
      </c>
      <c r="P674">
        <v>3</v>
      </c>
      <c r="Q674" t="s">
        <v>3204</v>
      </c>
      <c r="R674" t="s">
        <v>3201</v>
      </c>
      <c r="S674" t="s">
        <v>13</v>
      </c>
    </row>
    <row r="675" spans="1:19" x14ac:dyDescent="0.3">
      <c r="A675" t="s">
        <v>507</v>
      </c>
      <c r="B675" t="s">
        <v>1596</v>
      </c>
      <c r="C675" t="s">
        <v>2208</v>
      </c>
      <c r="D675" t="s">
        <v>3189</v>
      </c>
      <c r="E675" t="s">
        <v>9</v>
      </c>
      <c r="F675" s="2">
        <v>41</v>
      </c>
      <c r="G675" t="s">
        <v>3197</v>
      </c>
      <c r="H675" t="s">
        <v>18</v>
      </c>
      <c r="I675" t="s">
        <v>28</v>
      </c>
      <c r="J675" t="s">
        <v>3212</v>
      </c>
      <c r="K675" t="s">
        <v>29</v>
      </c>
      <c r="L675" s="2">
        <v>33</v>
      </c>
      <c r="M675" t="s">
        <v>3203</v>
      </c>
      <c r="N675">
        <v>0</v>
      </c>
      <c r="O675">
        <v>0</v>
      </c>
      <c r="P675">
        <v>1</v>
      </c>
      <c r="Q675" t="s">
        <v>3200</v>
      </c>
      <c r="R675" t="s">
        <v>3201</v>
      </c>
      <c r="S675" t="s">
        <v>13</v>
      </c>
    </row>
    <row r="676" spans="1:19" x14ac:dyDescent="0.3">
      <c r="A676" t="s">
        <v>508</v>
      </c>
      <c r="B676" t="s">
        <v>1596</v>
      </c>
      <c r="C676" t="s">
        <v>2209</v>
      </c>
      <c r="D676" t="s">
        <v>3189</v>
      </c>
      <c r="E676" t="s">
        <v>9</v>
      </c>
      <c r="F676" s="2">
        <v>30</v>
      </c>
      <c r="G676" t="s">
        <v>3206</v>
      </c>
      <c r="H676" t="s">
        <v>10</v>
      </c>
      <c r="I676" t="s">
        <v>19</v>
      </c>
      <c r="J676" t="s">
        <v>3207</v>
      </c>
      <c r="K676" t="s">
        <v>31</v>
      </c>
      <c r="L676" s="2">
        <v>7.1711</v>
      </c>
      <c r="M676" t="s">
        <v>3199</v>
      </c>
      <c r="N676">
        <v>0</v>
      </c>
      <c r="O676">
        <v>0</v>
      </c>
      <c r="P676">
        <v>1</v>
      </c>
      <c r="Q676" t="s">
        <v>3200</v>
      </c>
      <c r="R676" t="s">
        <v>3201</v>
      </c>
      <c r="S676" t="s">
        <v>13</v>
      </c>
    </row>
    <row r="677" spans="1:19" x14ac:dyDescent="0.3">
      <c r="A677" t="s">
        <v>509</v>
      </c>
      <c r="B677" t="s">
        <v>1596</v>
      </c>
      <c r="C677" t="s">
        <v>2210</v>
      </c>
      <c r="D677" t="s">
        <v>3189</v>
      </c>
      <c r="E677" t="s">
        <v>9</v>
      </c>
      <c r="F677" s="2">
        <v>25</v>
      </c>
      <c r="G677" t="s">
        <v>3206</v>
      </c>
      <c r="H677" t="s">
        <v>10</v>
      </c>
      <c r="I677" t="s">
        <v>19</v>
      </c>
      <c r="J677" t="s">
        <v>3207</v>
      </c>
      <c r="K677" t="s">
        <v>58</v>
      </c>
      <c r="L677" s="2">
        <v>7.0407000000000002</v>
      </c>
      <c r="M677" t="s">
        <v>3199</v>
      </c>
      <c r="N677">
        <v>0</v>
      </c>
      <c r="O677">
        <v>0</v>
      </c>
      <c r="P677">
        <v>1</v>
      </c>
      <c r="Q677" t="s">
        <v>3200</v>
      </c>
      <c r="R677" t="s">
        <v>3205</v>
      </c>
      <c r="S677" t="s">
        <v>16</v>
      </c>
    </row>
    <row r="678" spans="1:19" x14ac:dyDescent="0.3">
      <c r="A678" t="s">
        <v>510</v>
      </c>
      <c r="B678" t="s">
        <v>1602</v>
      </c>
      <c r="C678" t="s">
        <v>2211</v>
      </c>
      <c r="D678" t="s">
        <v>3190</v>
      </c>
      <c r="E678" t="s">
        <v>14</v>
      </c>
      <c r="F678" s="2">
        <v>29</v>
      </c>
      <c r="G678" t="s">
        <v>3206</v>
      </c>
      <c r="H678" t="s">
        <v>25</v>
      </c>
      <c r="I678" t="s">
        <v>11</v>
      </c>
      <c r="J678" t="s">
        <v>3198</v>
      </c>
      <c r="K678" t="s">
        <v>15</v>
      </c>
      <c r="L678" s="2">
        <v>211.0609</v>
      </c>
      <c r="M678" t="s">
        <v>3209</v>
      </c>
      <c r="N678">
        <v>0</v>
      </c>
      <c r="O678">
        <v>0</v>
      </c>
      <c r="P678">
        <v>1</v>
      </c>
      <c r="Q678" t="s">
        <v>3200</v>
      </c>
      <c r="R678" t="s">
        <v>3205</v>
      </c>
      <c r="S678" t="s">
        <v>16</v>
      </c>
    </row>
    <row r="679" spans="1:19" x14ac:dyDescent="0.3">
      <c r="A679" t="s">
        <v>511</v>
      </c>
      <c r="B679" t="s">
        <v>1596</v>
      </c>
      <c r="C679" t="s">
        <v>2212</v>
      </c>
      <c r="D679" t="s">
        <v>3189</v>
      </c>
      <c r="E679" t="s">
        <v>9</v>
      </c>
      <c r="F679" s="2">
        <v>23</v>
      </c>
      <c r="G679" t="s">
        <v>3206</v>
      </c>
      <c r="H679" t="s">
        <v>18</v>
      </c>
      <c r="I679" t="s">
        <v>11</v>
      </c>
      <c r="J679" t="s">
        <v>3198</v>
      </c>
      <c r="K679" t="s">
        <v>15</v>
      </c>
      <c r="L679" s="2">
        <v>33</v>
      </c>
      <c r="M679" t="s">
        <v>3203</v>
      </c>
      <c r="N679">
        <v>1</v>
      </c>
      <c r="O679" t="s">
        <v>30</v>
      </c>
      <c r="P679" t="e">
        <v>#VALUE!</v>
      </c>
      <c r="Q679" t="e">
        <v>#VALUE!</v>
      </c>
      <c r="R679" t="s">
        <v>3201</v>
      </c>
      <c r="S679" t="s">
        <v>13</v>
      </c>
    </row>
    <row r="680" spans="1:19" x14ac:dyDescent="0.3">
      <c r="A680" t="s">
        <v>512</v>
      </c>
      <c r="B680" t="s">
        <v>1596</v>
      </c>
      <c r="C680" t="s">
        <v>2213</v>
      </c>
      <c r="D680" t="s">
        <v>3189</v>
      </c>
      <c r="E680" t="s">
        <v>9</v>
      </c>
      <c r="F680" s="2">
        <v>26</v>
      </c>
      <c r="G680" t="s">
        <v>3206</v>
      </c>
      <c r="H680" t="s">
        <v>10</v>
      </c>
      <c r="I680" t="s">
        <v>11</v>
      </c>
      <c r="J680" t="s">
        <v>3198</v>
      </c>
      <c r="K680" t="s">
        <v>43</v>
      </c>
      <c r="L680" s="2">
        <v>7.11</v>
      </c>
      <c r="M680" t="s">
        <v>3199</v>
      </c>
      <c r="N680">
        <v>0</v>
      </c>
      <c r="O680">
        <v>0</v>
      </c>
      <c r="P680">
        <v>1</v>
      </c>
      <c r="Q680" t="s">
        <v>3200</v>
      </c>
      <c r="R680" t="s">
        <v>3201</v>
      </c>
      <c r="S680" t="s">
        <v>13</v>
      </c>
    </row>
    <row r="681" spans="1:19" x14ac:dyDescent="0.3">
      <c r="A681" t="s">
        <v>513</v>
      </c>
      <c r="B681" t="s">
        <v>1596</v>
      </c>
      <c r="C681" t="s">
        <v>2214</v>
      </c>
      <c r="D681" t="s">
        <v>3189</v>
      </c>
      <c r="E681" t="s">
        <v>9</v>
      </c>
      <c r="F681" s="2">
        <v>31</v>
      </c>
      <c r="G681" t="s">
        <v>3206</v>
      </c>
      <c r="H681" t="s">
        <v>18</v>
      </c>
      <c r="I681" t="s">
        <v>11</v>
      </c>
      <c r="J681" t="s">
        <v>3198</v>
      </c>
      <c r="K681" t="s">
        <v>23</v>
      </c>
      <c r="L681" s="2">
        <v>10.1</v>
      </c>
      <c r="M681" t="s">
        <v>3199</v>
      </c>
      <c r="N681">
        <v>0</v>
      </c>
      <c r="O681">
        <v>0</v>
      </c>
      <c r="P681">
        <v>1</v>
      </c>
      <c r="Q681" t="s">
        <v>3200</v>
      </c>
      <c r="R681" t="s">
        <v>3201</v>
      </c>
      <c r="S681" t="s">
        <v>13</v>
      </c>
    </row>
    <row r="682" spans="1:19" x14ac:dyDescent="0.3">
      <c r="A682" t="s">
        <v>514</v>
      </c>
      <c r="B682" t="s">
        <v>1596</v>
      </c>
      <c r="C682" t="s">
        <v>2215</v>
      </c>
      <c r="D682" t="s">
        <v>3189</v>
      </c>
      <c r="E682" t="s">
        <v>9</v>
      </c>
      <c r="F682" s="2">
        <v>35</v>
      </c>
      <c r="G682" t="s">
        <v>3206</v>
      </c>
      <c r="H682" t="s">
        <v>10</v>
      </c>
      <c r="I682" t="s">
        <v>19</v>
      </c>
      <c r="J682" t="s">
        <v>3207</v>
      </c>
      <c r="K682" t="s">
        <v>21</v>
      </c>
      <c r="L682" s="2">
        <v>7.0406000000000004</v>
      </c>
      <c r="M682" t="s">
        <v>3199</v>
      </c>
      <c r="N682">
        <v>0</v>
      </c>
      <c r="O682">
        <v>0</v>
      </c>
      <c r="P682">
        <v>1</v>
      </c>
      <c r="Q682" t="s">
        <v>3200</v>
      </c>
      <c r="R682" t="s">
        <v>3201</v>
      </c>
      <c r="S682" t="s">
        <v>13</v>
      </c>
    </row>
    <row r="683" spans="1:19" x14ac:dyDescent="0.3">
      <c r="A683" t="s">
        <v>515</v>
      </c>
      <c r="B683" t="s">
        <v>1777</v>
      </c>
      <c r="C683" t="s">
        <v>1619</v>
      </c>
      <c r="D683" t="s">
        <v>3189</v>
      </c>
      <c r="E683" t="s">
        <v>9</v>
      </c>
      <c r="F683" s="2">
        <v>35</v>
      </c>
      <c r="G683" t="s">
        <v>3206</v>
      </c>
      <c r="H683" t="s">
        <v>18</v>
      </c>
      <c r="I683" t="s">
        <v>11</v>
      </c>
      <c r="J683" t="s">
        <v>3198</v>
      </c>
      <c r="K683" t="s">
        <v>12</v>
      </c>
      <c r="L683" s="2">
        <v>26</v>
      </c>
      <c r="M683" t="s">
        <v>3203</v>
      </c>
      <c r="N683">
        <v>1</v>
      </c>
      <c r="O683">
        <v>1</v>
      </c>
      <c r="P683">
        <v>3</v>
      </c>
      <c r="Q683" t="s">
        <v>3204</v>
      </c>
      <c r="R683" t="s">
        <v>3201</v>
      </c>
      <c r="S683" t="s">
        <v>13</v>
      </c>
    </row>
    <row r="684" spans="1:19" x14ac:dyDescent="0.3">
      <c r="A684" t="s">
        <v>515</v>
      </c>
      <c r="B684" t="s">
        <v>1600</v>
      </c>
      <c r="C684" t="s">
        <v>2216</v>
      </c>
      <c r="D684" t="s">
        <v>3190</v>
      </c>
      <c r="E684" t="s">
        <v>14</v>
      </c>
      <c r="F684" s="2">
        <v>34</v>
      </c>
      <c r="G684" t="s">
        <v>3206</v>
      </c>
      <c r="H684" t="s">
        <v>18</v>
      </c>
      <c r="I684" t="s">
        <v>11</v>
      </c>
      <c r="J684" t="s">
        <v>3198</v>
      </c>
      <c r="K684" t="s">
        <v>12</v>
      </c>
      <c r="L684" s="2">
        <v>26</v>
      </c>
      <c r="M684" t="s">
        <v>3203</v>
      </c>
      <c r="N684">
        <v>1</v>
      </c>
      <c r="O684">
        <v>1</v>
      </c>
      <c r="P684">
        <v>3</v>
      </c>
      <c r="Q684" t="s">
        <v>3204</v>
      </c>
      <c r="R684" t="s">
        <v>3201</v>
      </c>
      <c r="S684" t="s">
        <v>13</v>
      </c>
    </row>
    <row r="685" spans="1:19" x14ac:dyDescent="0.3">
      <c r="A685" t="s">
        <v>516</v>
      </c>
      <c r="B685" t="s">
        <v>1602</v>
      </c>
      <c r="C685" t="s">
        <v>2217</v>
      </c>
      <c r="D685" t="s">
        <v>3190</v>
      </c>
      <c r="E685" t="s">
        <v>14</v>
      </c>
      <c r="F685" s="2">
        <v>37</v>
      </c>
      <c r="G685" t="s">
        <v>3197</v>
      </c>
      <c r="H685" t="s">
        <v>10</v>
      </c>
      <c r="I685" t="s">
        <v>11</v>
      </c>
      <c r="J685" t="s">
        <v>3198</v>
      </c>
      <c r="K685" t="s">
        <v>22</v>
      </c>
      <c r="L685" s="2">
        <v>9.1109000000000009</v>
      </c>
      <c r="M685" t="s">
        <v>3199</v>
      </c>
      <c r="N685">
        <v>0</v>
      </c>
      <c r="O685">
        <v>0</v>
      </c>
      <c r="P685">
        <v>1</v>
      </c>
      <c r="Q685" t="s">
        <v>3200</v>
      </c>
      <c r="R685" t="s">
        <v>3201</v>
      </c>
      <c r="S685" t="s">
        <v>13</v>
      </c>
    </row>
    <row r="686" spans="1:19" x14ac:dyDescent="0.3">
      <c r="A686" t="s">
        <v>517</v>
      </c>
      <c r="B686" t="s">
        <v>1596</v>
      </c>
      <c r="C686" t="s">
        <v>2218</v>
      </c>
      <c r="D686" t="s">
        <v>3189</v>
      </c>
      <c r="E686" t="s">
        <v>9</v>
      </c>
      <c r="F686" s="2">
        <v>31</v>
      </c>
      <c r="G686" t="s">
        <v>3206</v>
      </c>
      <c r="H686" t="s">
        <v>18</v>
      </c>
      <c r="I686" t="s">
        <v>36</v>
      </c>
      <c r="J686" t="s">
        <v>3213</v>
      </c>
      <c r="K686" t="s">
        <v>37</v>
      </c>
      <c r="L686" s="2">
        <v>10.1402</v>
      </c>
      <c r="M686" t="s">
        <v>3199</v>
      </c>
      <c r="N686">
        <v>0</v>
      </c>
      <c r="O686">
        <v>0</v>
      </c>
      <c r="P686">
        <v>1</v>
      </c>
      <c r="Q686" t="s">
        <v>3200</v>
      </c>
      <c r="R686" t="s">
        <v>3201</v>
      </c>
      <c r="S686" t="s">
        <v>13</v>
      </c>
    </row>
    <row r="687" spans="1:19" x14ac:dyDescent="0.3">
      <c r="A687" t="s">
        <v>518</v>
      </c>
      <c r="B687" t="s">
        <v>1596</v>
      </c>
      <c r="C687" t="s">
        <v>1663</v>
      </c>
      <c r="D687" t="s">
        <v>3189</v>
      </c>
      <c r="E687" t="s">
        <v>9</v>
      </c>
      <c r="F687" s="2">
        <v>38</v>
      </c>
      <c r="G687" t="s">
        <v>3197</v>
      </c>
      <c r="H687" t="s">
        <v>10</v>
      </c>
      <c r="I687" t="s">
        <v>11</v>
      </c>
      <c r="J687" t="s">
        <v>3198</v>
      </c>
      <c r="K687" t="s">
        <v>59</v>
      </c>
      <c r="L687" s="2">
        <v>56.091099999999997</v>
      </c>
      <c r="M687" t="s">
        <v>3211</v>
      </c>
      <c r="N687">
        <v>0</v>
      </c>
      <c r="O687">
        <v>0</v>
      </c>
      <c r="P687">
        <v>1</v>
      </c>
      <c r="Q687" t="s">
        <v>3200</v>
      </c>
      <c r="R687" t="s">
        <v>3205</v>
      </c>
      <c r="S687" t="s">
        <v>16</v>
      </c>
    </row>
    <row r="688" spans="1:19" x14ac:dyDescent="0.3">
      <c r="A688" t="s">
        <v>518</v>
      </c>
      <c r="B688" t="s">
        <v>1596</v>
      </c>
      <c r="C688" t="s">
        <v>2219</v>
      </c>
      <c r="D688" t="s">
        <v>3189</v>
      </c>
      <c r="E688" t="s">
        <v>9</v>
      </c>
      <c r="F688" s="2">
        <v>23</v>
      </c>
      <c r="G688" t="s">
        <v>3206</v>
      </c>
      <c r="H688" t="s">
        <v>10</v>
      </c>
      <c r="I688" t="s">
        <v>11</v>
      </c>
      <c r="J688" t="s">
        <v>3198</v>
      </c>
      <c r="K688" t="s">
        <v>15</v>
      </c>
      <c r="L688" s="2">
        <v>56.091099999999997</v>
      </c>
      <c r="M688" t="s">
        <v>3211</v>
      </c>
      <c r="N688">
        <v>0</v>
      </c>
      <c r="O688">
        <v>0</v>
      </c>
      <c r="P688">
        <v>1</v>
      </c>
      <c r="Q688" t="s">
        <v>3200</v>
      </c>
      <c r="R688" t="s">
        <v>3201</v>
      </c>
      <c r="S688" t="s">
        <v>13</v>
      </c>
    </row>
    <row r="689" spans="1:19" x14ac:dyDescent="0.3">
      <c r="A689" t="s">
        <v>519</v>
      </c>
      <c r="B689" t="s">
        <v>1602</v>
      </c>
      <c r="C689" t="s">
        <v>2220</v>
      </c>
      <c r="D689" t="s">
        <v>3190</v>
      </c>
      <c r="E689" t="s">
        <v>14</v>
      </c>
      <c r="F689" s="2">
        <v>22</v>
      </c>
      <c r="G689" t="s">
        <v>3206</v>
      </c>
      <c r="H689" t="s">
        <v>10</v>
      </c>
      <c r="I689" t="s">
        <v>11</v>
      </c>
      <c r="J689" t="s">
        <v>3198</v>
      </c>
      <c r="K689" t="s">
        <v>23</v>
      </c>
      <c r="L689" s="2">
        <v>7.05</v>
      </c>
      <c r="M689" t="s">
        <v>3199</v>
      </c>
      <c r="N689">
        <v>0</v>
      </c>
      <c r="O689">
        <v>0</v>
      </c>
      <c r="P689">
        <v>1</v>
      </c>
      <c r="Q689" t="s">
        <v>3200</v>
      </c>
      <c r="R689" t="s">
        <v>3205</v>
      </c>
      <c r="S689" t="s">
        <v>16</v>
      </c>
    </row>
    <row r="690" spans="1:19" x14ac:dyDescent="0.3">
      <c r="A690" t="s">
        <v>520</v>
      </c>
      <c r="B690" t="s">
        <v>1596</v>
      </c>
      <c r="C690" t="s">
        <v>1792</v>
      </c>
      <c r="D690" t="s">
        <v>3189</v>
      </c>
      <c r="E690" t="s">
        <v>9</v>
      </c>
      <c r="F690" s="2">
        <v>17</v>
      </c>
      <c r="G690" t="s">
        <v>3202</v>
      </c>
      <c r="H690" t="s">
        <v>10</v>
      </c>
      <c r="I690" t="s">
        <v>36</v>
      </c>
      <c r="J690" t="s">
        <v>3213</v>
      </c>
      <c r="K690" t="s">
        <v>37</v>
      </c>
      <c r="L690" s="2">
        <v>7.15</v>
      </c>
      <c r="M690" t="s">
        <v>3199</v>
      </c>
      <c r="N690">
        <v>0</v>
      </c>
      <c r="O690">
        <v>0</v>
      </c>
      <c r="P690">
        <v>1</v>
      </c>
      <c r="Q690" t="s">
        <v>3200</v>
      </c>
      <c r="R690" t="s">
        <v>3201</v>
      </c>
      <c r="S690" t="s">
        <v>13</v>
      </c>
    </row>
    <row r="691" spans="1:19" x14ac:dyDescent="0.3">
      <c r="A691" t="s">
        <v>521</v>
      </c>
      <c r="B691" t="s">
        <v>1596</v>
      </c>
      <c r="C691" t="s">
        <v>2221</v>
      </c>
      <c r="D691" t="s">
        <v>3189</v>
      </c>
      <c r="E691" t="s">
        <v>9</v>
      </c>
      <c r="F691" s="2">
        <v>32</v>
      </c>
      <c r="G691" t="s">
        <v>3206</v>
      </c>
      <c r="H691" t="s">
        <v>10</v>
      </c>
      <c r="I691" t="s">
        <v>11</v>
      </c>
      <c r="J691" t="s">
        <v>3198</v>
      </c>
      <c r="K691" t="s">
        <v>15</v>
      </c>
      <c r="L691" s="2">
        <v>56.091099999999997</v>
      </c>
      <c r="M691" t="s">
        <v>3211</v>
      </c>
      <c r="N691">
        <v>0</v>
      </c>
      <c r="O691">
        <v>0</v>
      </c>
      <c r="P691">
        <v>1</v>
      </c>
      <c r="Q691" t="s">
        <v>3200</v>
      </c>
      <c r="R691" t="s">
        <v>3205</v>
      </c>
      <c r="S691" t="s">
        <v>16</v>
      </c>
    </row>
    <row r="692" spans="1:19" x14ac:dyDescent="0.3">
      <c r="A692" t="s">
        <v>522</v>
      </c>
      <c r="B692" t="s">
        <v>1602</v>
      </c>
      <c r="C692" t="s">
        <v>2222</v>
      </c>
      <c r="D692" t="s">
        <v>3190</v>
      </c>
      <c r="E692" t="s">
        <v>14</v>
      </c>
      <c r="F692" s="2">
        <v>1</v>
      </c>
      <c r="G692" t="s">
        <v>3208</v>
      </c>
      <c r="H692" t="s">
        <v>18</v>
      </c>
      <c r="I692" t="s">
        <v>19</v>
      </c>
      <c r="J692" t="s">
        <v>3207</v>
      </c>
      <c r="K692" t="s">
        <v>20</v>
      </c>
      <c r="L692" s="2">
        <v>41.110700000000001</v>
      </c>
      <c r="M692" t="s">
        <v>3211</v>
      </c>
      <c r="N692">
        <v>1</v>
      </c>
      <c r="O692">
        <v>2</v>
      </c>
      <c r="P692">
        <v>4</v>
      </c>
      <c r="Q692" t="s">
        <v>3204</v>
      </c>
      <c r="R692" t="s">
        <v>3205</v>
      </c>
      <c r="S692" t="s">
        <v>16</v>
      </c>
    </row>
    <row r="693" spans="1:19" x14ac:dyDescent="0.3">
      <c r="A693" t="s">
        <v>522</v>
      </c>
      <c r="B693" t="s">
        <v>1602</v>
      </c>
      <c r="C693" t="s">
        <v>2223</v>
      </c>
      <c r="D693" t="s">
        <v>3190</v>
      </c>
      <c r="E693" t="s">
        <v>14</v>
      </c>
      <c r="F693" s="2">
        <v>3</v>
      </c>
      <c r="G693" t="s">
        <v>3208</v>
      </c>
      <c r="H693" t="s">
        <v>18</v>
      </c>
      <c r="I693" t="s">
        <v>19</v>
      </c>
      <c r="J693" t="s">
        <v>3207</v>
      </c>
      <c r="K693" t="s">
        <v>20</v>
      </c>
      <c r="L693" s="2">
        <v>41.110700000000001</v>
      </c>
      <c r="M693" t="s">
        <v>3211</v>
      </c>
      <c r="N693">
        <v>1</v>
      </c>
      <c r="O693">
        <v>2</v>
      </c>
      <c r="P693">
        <v>4</v>
      </c>
      <c r="Q693" t="s">
        <v>3204</v>
      </c>
      <c r="R693" t="s">
        <v>3205</v>
      </c>
      <c r="S693" t="s">
        <v>16</v>
      </c>
    </row>
    <row r="694" spans="1:19" x14ac:dyDescent="0.3">
      <c r="A694" t="s">
        <v>522</v>
      </c>
      <c r="B694" t="s">
        <v>1596</v>
      </c>
      <c r="C694" t="s">
        <v>2224</v>
      </c>
      <c r="D694" t="s">
        <v>3189</v>
      </c>
      <c r="E694" t="s">
        <v>9</v>
      </c>
      <c r="F694" s="2">
        <v>25</v>
      </c>
      <c r="G694" t="s">
        <v>3206</v>
      </c>
      <c r="H694" t="s">
        <v>18</v>
      </c>
      <c r="I694" t="s">
        <v>19</v>
      </c>
      <c r="J694" t="s">
        <v>3207</v>
      </c>
      <c r="K694" t="s">
        <v>20</v>
      </c>
      <c r="L694" s="2">
        <v>41.110700000000001</v>
      </c>
      <c r="M694" t="s">
        <v>3211</v>
      </c>
      <c r="N694">
        <v>1</v>
      </c>
      <c r="O694">
        <v>2</v>
      </c>
      <c r="P694">
        <v>4</v>
      </c>
      <c r="Q694" t="s">
        <v>3204</v>
      </c>
      <c r="R694" t="s">
        <v>3201</v>
      </c>
      <c r="S694" t="s">
        <v>13</v>
      </c>
    </row>
    <row r="695" spans="1:19" x14ac:dyDescent="0.3">
      <c r="A695" t="s">
        <v>522</v>
      </c>
      <c r="B695" t="s">
        <v>1600</v>
      </c>
      <c r="C695" t="s">
        <v>2225</v>
      </c>
      <c r="D695" t="s">
        <v>3190</v>
      </c>
      <c r="E695" t="s">
        <v>14</v>
      </c>
      <c r="F695" s="2">
        <v>22</v>
      </c>
      <c r="G695" t="s">
        <v>3206</v>
      </c>
      <c r="H695" t="s">
        <v>18</v>
      </c>
      <c r="I695" t="s">
        <v>19</v>
      </c>
      <c r="J695" t="s">
        <v>3207</v>
      </c>
      <c r="K695" t="s">
        <v>20</v>
      </c>
      <c r="L695" s="2">
        <v>41.110700000000001</v>
      </c>
      <c r="M695" t="s">
        <v>3211</v>
      </c>
      <c r="N695">
        <v>1</v>
      </c>
      <c r="O695">
        <v>2</v>
      </c>
      <c r="P695">
        <v>4</v>
      </c>
      <c r="Q695" t="s">
        <v>3204</v>
      </c>
      <c r="R695" t="s">
        <v>3205</v>
      </c>
      <c r="S695" t="s">
        <v>16</v>
      </c>
    </row>
    <row r="696" spans="1:19" x14ac:dyDescent="0.3">
      <c r="A696" t="s">
        <v>523</v>
      </c>
      <c r="B696" t="s">
        <v>1596</v>
      </c>
      <c r="C696" t="s">
        <v>2226</v>
      </c>
      <c r="D696" t="s">
        <v>3189</v>
      </c>
      <c r="E696" t="s">
        <v>9</v>
      </c>
      <c r="F696" s="2">
        <v>29</v>
      </c>
      <c r="G696" t="s">
        <v>3206</v>
      </c>
      <c r="H696" t="s">
        <v>10</v>
      </c>
      <c r="I696" t="s">
        <v>11</v>
      </c>
      <c r="J696" t="s">
        <v>3198</v>
      </c>
      <c r="K696" t="s">
        <v>12</v>
      </c>
      <c r="L696" s="2">
        <v>9.0907999999999998</v>
      </c>
      <c r="M696" t="s">
        <v>3199</v>
      </c>
      <c r="N696">
        <v>0</v>
      </c>
      <c r="O696">
        <v>0</v>
      </c>
      <c r="P696">
        <v>1</v>
      </c>
      <c r="Q696" t="s">
        <v>3200</v>
      </c>
      <c r="R696" t="s">
        <v>3201</v>
      </c>
      <c r="S696" t="s">
        <v>13</v>
      </c>
    </row>
    <row r="697" spans="1:19" x14ac:dyDescent="0.3">
      <c r="A697" t="s">
        <v>523</v>
      </c>
      <c r="B697" t="s">
        <v>1596</v>
      </c>
      <c r="C697" t="s">
        <v>2227</v>
      </c>
      <c r="D697" t="s">
        <v>3189</v>
      </c>
      <c r="E697" t="s">
        <v>9</v>
      </c>
      <c r="F697" s="2">
        <v>29</v>
      </c>
      <c r="G697" t="s">
        <v>3206</v>
      </c>
      <c r="H697" t="s">
        <v>10</v>
      </c>
      <c r="I697" t="s">
        <v>11</v>
      </c>
      <c r="J697" t="s">
        <v>3198</v>
      </c>
      <c r="K697" t="s">
        <v>23</v>
      </c>
      <c r="L697" s="2">
        <v>7.1505999999999998</v>
      </c>
      <c r="M697" t="s">
        <v>3199</v>
      </c>
      <c r="N697">
        <v>0</v>
      </c>
      <c r="O697">
        <v>0</v>
      </c>
      <c r="P697">
        <v>1</v>
      </c>
      <c r="Q697" t="s">
        <v>3200</v>
      </c>
      <c r="R697" t="s">
        <v>3201</v>
      </c>
      <c r="S697" t="s">
        <v>13</v>
      </c>
    </row>
    <row r="698" spans="1:19" x14ac:dyDescent="0.3">
      <c r="A698" t="s">
        <v>523</v>
      </c>
      <c r="B698" t="s">
        <v>1596</v>
      </c>
      <c r="C698" t="s">
        <v>2228</v>
      </c>
      <c r="D698" t="s">
        <v>3189</v>
      </c>
      <c r="E698" t="s">
        <v>9</v>
      </c>
      <c r="F698" s="2">
        <v>22</v>
      </c>
      <c r="G698" t="s">
        <v>3206</v>
      </c>
      <c r="H698" t="s">
        <v>10</v>
      </c>
      <c r="I698" t="s">
        <v>11</v>
      </c>
      <c r="J698" t="s">
        <v>3198</v>
      </c>
      <c r="K698" t="s">
        <v>23</v>
      </c>
      <c r="L698" s="2">
        <v>7.1505999999999998</v>
      </c>
      <c r="M698" t="s">
        <v>3199</v>
      </c>
      <c r="N698">
        <v>0</v>
      </c>
      <c r="O698">
        <v>0</v>
      </c>
      <c r="P698">
        <v>1</v>
      </c>
      <c r="Q698" t="s">
        <v>3200</v>
      </c>
      <c r="R698" t="s">
        <v>3201</v>
      </c>
      <c r="S698" t="s">
        <v>13</v>
      </c>
    </row>
    <row r="699" spans="1:19" x14ac:dyDescent="0.3">
      <c r="A699" t="s">
        <v>524</v>
      </c>
      <c r="B699" t="s">
        <v>1749</v>
      </c>
      <c r="C699" t="s">
        <v>2229</v>
      </c>
      <c r="D699" t="s">
        <v>3190</v>
      </c>
      <c r="E699" t="s">
        <v>14</v>
      </c>
      <c r="F699" s="2">
        <v>49</v>
      </c>
      <c r="G699" t="s">
        <v>3197</v>
      </c>
      <c r="H699" t="s">
        <v>25</v>
      </c>
      <c r="I699" t="s">
        <v>11</v>
      </c>
      <c r="J699" t="s">
        <v>3198</v>
      </c>
      <c r="K699" t="s">
        <v>12</v>
      </c>
      <c r="L699" s="2">
        <v>25.180700000000002</v>
      </c>
      <c r="M699" t="s">
        <v>3203</v>
      </c>
      <c r="N699">
        <v>0</v>
      </c>
      <c r="O699">
        <v>0</v>
      </c>
      <c r="P699">
        <v>1</v>
      </c>
      <c r="Q699" t="s">
        <v>3200</v>
      </c>
      <c r="R699" t="s">
        <v>3205</v>
      </c>
      <c r="S699" t="s">
        <v>16</v>
      </c>
    </row>
    <row r="700" spans="1:19" x14ac:dyDescent="0.3">
      <c r="A700" t="s">
        <v>525</v>
      </c>
      <c r="B700" t="s">
        <v>1612</v>
      </c>
      <c r="C700" t="s">
        <v>1728</v>
      </c>
      <c r="D700" t="s">
        <v>3189</v>
      </c>
      <c r="E700" t="s">
        <v>9</v>
      </c>
      <c r="F700" s="2">
        <v>5</v>
      </c>
      <c r="G700" t="s">
        <v>3208</v>
      </c>
      <c r="H700" t="s">
        <v>10</v>
      </c>
      <c r="I700" t="s">
        <v>11</v>
      </c>
      <c r="J700" t="s">
        <v>3198</v>
      </c>
      <c r="K700" t="s">
        <v>15</v>
      </c>
      <c r="L700" s="2">
        <v>25.090399999999999</v>
      </c>
      <c r="M700" t="s">
        <v>3203</v>
      </c>
      <c r="N700">
        <v>3</v>
      </c>
      <c r="O700">
        <v>1</v>
      </c>
      <c r="P700">
        <v>5</v>
      </c>
      <c r="Q700" t="s">
        <v>3204</v>
      </c>
      <c r="R700" t="s">
        <v>3201</v>
      </c>
      <c r="S700" t="s">
        <v>13</v>
      </c>
    </row>
    <row r="701" spans="1:19" x14ac:dyDescent="0.3">
      <c r="A701" t="s">
        <v>525</v>
      </c>
      <c r="B701" t="s">
        <v>1602</v>
      </c>
      <c r="C701" t="s">
        <v>2230</v>
      </c>
      <c r="D701" t="s">
        <v>3190</v>
      </c>
      <c r="E701" t="s">
        <v>14</v>
      </c>
      <c r="F701" s="2">
        <v>3</v>
      </c>
      <c r="G701" t="s">
        <v>3208</v>
      </c>
      <c r="H701" t="s">
        <v>10</v>
      </c>
      <c r="I701" t="s">
        <v>11</v>
      </c>
      <c r="J701" t="s">
        <v>3198</v>
      </c>
      <c r="K701" t="s">
        <v>15</v>
      </c>
      <c r="L701" s="2">
        <v>25.090399999999999</v>
      </c>
      <c r="M701" t="s">
        <v>3203</v>
      </c>
      <c r="N701">
        <v>3</v>
      </c>
      <c r="O701">
        <v>1</v>
      </c>
      <c r="P701">
        <v>5</v>
      </c>
      <c r="Q701" t="s">
        <v>3204</v>
      </c>
      <c r="R701" t="s">
        <v>3201</v>
      </c>
      <c r="S701" t="s">
        <v>13</v>
      </c>
    </row>
    <row r="702" spans="1:19" x14ac:dyDescent="0.3">
      <c r="A702" t="s">
        <v>525</v>
      </c>
      <c r="B702" t="s">
        <v>1602</v>
      </c>
      <c r="C702" t="s">
        <v>2231</v>
      </c>
      <c r="D702" t="s">
        <v>3190</v>
      </c>
      <c r="E702" t="s">
        <v>14</v>
      </c>
      <c r="F702" s="2">
        <v>8</v>
      </c>
      <c r="G702" t="s">
        <v>3208</v>
      </c>
      <c r="H702" t="s">
        <v>10</v>
      </c>
      <c r="I702" t="s">
        <v>11</v>
      </c>
      <c r="J702" t="s">
        <v>3198</v>
      </c>
      <c r="K702" t="s">
        <v>15</v>
      </c>
      <c r="L702" s="2">
        <v>25.090399999999999</v>
      </c>
      <c r="M702" t="s">
        <v>3203</v>
      </c>
      <c r="N702">
        <v>3</v>
      </c>
      <c r="O702">
        <v>1</v>
      </c>
      <c r="P702">
        <v>5</v>
      </c>
      <c r="Q702" t="s">
        <v>3204</v>
      </c>
      <c r="R702" t="s">
        <v>3201</v>
      </c>
      <c r="S702" t="s">
        <v>13</v>
      </c>
    </row>
    <row r="703" spans="1:19" x14ac:dyDescent="0.3">
      <c r="A703" t="s">
        <v>525</v>
      </c>
      <c r="B703" t="s">
        <v>1602</v>
      </c>
      <c r="C703" t="s">
        <v>2232</v>
      </c>
      <c r="D703" t="s">
        <v>3190</v>
      </c>
      <c r="E703" t="s">
        <v>14</v>
      </c>
      <c r="F703" s="2">
        <v>12</v>
      </c>
      <c r="G703" t="s">
        <v>3202</v>
      </c>
      <c r="H703" t="s">
        <v>10</v>
      </c>
      <c r="I703" t="s">
        <v>11</v>
      </c>
      <c r="J703" t="s">
        <v>3198</v>
      </c>
      <c r="K703" t="s">
        <v>15</v>
      </c>
      <c r="L703" s="2">
        <v>25.090399999999999</v>
      </c>
      <c r="M703" t="s">
        <v>3203</v>
      </c>
      <c r="N703">
        <v>3</v>
      </c>
      <c r="O703">
        <v>1</v>
      </c>
      <c r="P703">
        <v>5</v>
      </c>
      <c r="Q703" t="s">
        <v>3204</v>
      </c>
      <c r="R703" t="s">
        <v>3201</v>
      </c>
      <c r="S703" t="s">
        <v>13</v>
      </c>
    </row>
    <row r="704" spans="1:19" x14ac:dyDescent="0.3">
      <c r="A704" t="s">
        <v>525</v>
      </c>
      <c r="B704" t="s">
        <v>1600</v>
      </c>
      <c r="C704" t="s">
        <v>2233</v>
      </c>
      <c r="D704" t="s">
        <v>3190</v>
      </c>
      <c r="E704" t="s">
        <v>14</v>
      </c>
      <c r="F704" s="2">
        <v>40</v>
      </c>
      <c r="G704" t="s">
        <v>3197</v>
      </c>
      <c r="H704" t="s">
        <v>10</v>
      </c>
      <c r="I704" t="s">
        <v>11</v>
      </c>
      <c r="J704" t="s">
        <v>3198</v>
      </c>
      <c r="K704" t="s">
        <v>15</v>
      </c>
      <c r="L704" s="2">
        <v>25.090399999999999</v>
      </c>
      <c r="M704" t="s">
        <v>3203</v>
      </c>
      <c r="N704">
        <v>0</v>
      </c>
      <c r="O704">
        <v>4</v>
      </c>
      <c r="P704">
        <v>5</v>
      </c>
      <c r="Q704" t="s">
        <v>3204</v>
      </c>
      <c r="R704" t="s">
        <v>3201</v>
      </c>
      <c r="S704" t="s">
        <v>13</v>
      </c>
    </row>
    <row r="705" spans="1:19" x14ac:dyDescent="0.3">
      <c r="A705" t="s">
        <v>526</v>
      </c>
      <c r="B705" t="s">
        <v>1602</v>
      </c>
      <c r="C705" t="s">
        <v>1820</v>
      </c>
      <c r="D705" t="s">
        <v>3190</v>
      </c>
      <c r="E705" t="s">
        <v>14</v>
      </c>
      <c r="F705" s="2">
        <v>17</v>
      </c>
      <c r="G705" t="s">
        <v>3202</v>
      </c>
      <c r="H705" t="s">
        <v>18</v>
      </c>
      <c r="I705" t="s">
        <v>19</v>
      </c>
      <c r="J705" t="s">
        <v>3207</v>
      </c>
      <c r="K705" t="s">
        <v>32</v>
      </c>
      <c r="L705" s="2">
        <v>12</v>
      </c>
      <c r="M705" t="s">
        <v>3199</v>
      </c>
      <c r="N705">
        <v>0</v>
      </c>
      <c r="O705">
        <v>0</v>
      </c>
      <c r="P705">
        <v>1</v>
      </c>
      <c r="Q705" t="s">
        <v>3200</v>
      </c>
      <c r="R705" t="s">
        <v>3205</v>
      </c>
      <c r="S705" t="s">
        <v>16</v>
      </c>
    </row>
    <row r="706" spans="1:19" x14ac:dyDescent="0.3">
      <c r="A706" t="s">
        <v>527</v>
      </c>
      <c r="B706" t="s">
        <v>1596</v>
      </c>
      <c r="C706" t="s">
        <v>2234</v>
      </c>
      <c r="D706" t="s">
        <v>3189</v>
      </c>
      <c r="E706" t="s">
        <v>9</v>
      </c>
      <c r="F706" s="2">
        <v>32</v>
      </c>
      <c r="G706" t="s">
        <v>3206</v>
      </c>
      <c r="H706" t="s">
        <v>10</v>
      </c>
      <c r="I706" t="s">
        <v>11</v>
      </c>
      <c r="J706" t="s">
        <v>3198</v>
      </c>
      <c r="K706" t="s">
        <v>22</v>
      </c>
      <c r="L706" s="2">
        <v>7.1806000000000001</v>
      </c>
      <c r="M706" t="s">
        <v>3199</v>
      </c>
      <c r="N706">
        <v>0</v>
      </c>
      <c r="O706">
        <v>0</v>
      </c>
      <c r="P706">
        <v>1</v>
      </c>
      <c r="Q706" t="s">
        <v>3200</v>
      </c>
      <c r="R706" t="s">
        <v>3201</v>
      </c>
      <c r="S706" t="s">
        <v>13</v>
      </c>
    </row>
    <row r="707" spans="1:19" x14ac:dyDescent="0.3">
      <c r="A707" t="s">
        <v>528</v>
      </c>
      <c r="B707" t="s">
        <v>1602</v>
      </c>
      <c r="C707" t="s">
        <v>2235</v>
      </c>
      <c r="D707" t="s">
        <v>3190</v>
      </c>
      <c r="E707" t="s">
        <v>14</v>
      </c>
      <c r="F707" s="2">
        <v>31</v>
      </c>
      <c r="G707" t="s">
        <v>3206</v>
      </c>
      <c r="H707" t="s">
        <v>18</v>
      </c>
      <c r="I707" t="s">
        <v>11</v>
      </c>
      <c r="J707" t="s">
        <v>3198</v>
      </c>
      <c r="K707" t="s">
        <v>43</v>
      </c>
      <c r="L707" s="2">
        <v>33</v>
      </c>
      <c r="M707" t="s">
        <v>3203</v>
      </c>
      <c r="N707">
        <v>0</v>
      </c>
      <c r="O707">
        <v>0</v>
      </c>
      <c r="P707">
        <v>1</v>
      </c>
      <c r="Q707" t="s">
        <v>3200</v>
      </c>
      <c r="R707" t="s">
        <v>3205</v>
      </c>
      <c r="S707" t="s">
        <v>16</v>
      </c>
    </row>
    <row r="708" spans="1:19" x14ac:dyDescent="0.3">
      <c r="A708" t="s">
        <v>529</v>
      </c>
      <c r="B708" t="s">
        <v>1600</v>
      </c>
      <c r="C708" t="s">
        <v>2236</v>
      </c>
      <c r="D708" t="s">
        <v>3190</v>
      </c>
      <c r="E708" t="s">
        <v>14</v>
      </c>
      <c r="F708" s="2">
        <v>39</v>
      </c>
      <c r="G708" t="s">
        <v>3197</v>
      </c>
      <c r="H708" t="s">
        <v>18</v>
      </c>
      <c r="I708" t="s">
        <v>11</v>
      </c>
      <c r="J708" t="s">
        <v>3198</v>
      </c>
      <c r="K708" t="s">
        <v>15</v>
      </c>
      <c r="L708" s="2">
        <v>10.1</v>
      </c>
      <c r="M708" t="s">
        <v>3199</v>
      </c>
      <c r="N708">
        <v>0</v>
      </c>
      <c r="O708">
        <v>0</v>
      </c>
      <c r="P708">
        <v>1</v>
      </c>
      <c r="Q708" t="s">
        <v>3200</v>
      </c>
      <c r="R708" t="s">
        <v>3205</v>
      </c>
      <c r="S708" t="s">
        <v>16</v>
      </c>
    </row>
    <row r="709" spans="1:19" x14ac:dyDescent="0.3">
      <c r="A709" t="s">
        <v>530</v>
      </c>
      <c r="B709" t="s">
        <v>1602</v>
      </c>
      <c r="C709" t="s">
        <v>1734</v>
      </c>
      <c r="D709" t="s">
        <v>3190</v>
      </c>
      <c r="E709" t="s">
        <v>14</v>
      </c>
      <c r="F709" s="2">
        <v>18</v>
      </c>
      <c r="G709" t="s">
        <v>3206</v>
      </c>
      <c r="H709" t="s">
        <v>10</v>
      </c>
      <c r="I709" t="s">
        <v>36</v>
      </c>
      <c r="J709" t="s">
        <v>3213</v>
      </c>
      <c r="K709" t="s">
        <v>37</v>
      </c>
      <c r="L709" s="2">
        <v>15.1</v>
      </c>
      <c r="M709" t="s">
        <v>3203</v>
      </c>
      <c r="N709">
        <v>1</v>
      </c>
      <c r="O709">
        <v>0</v>
      </c>
      <c r="P709">
        <v>2</v>
      </c>
      <c r="Q709" t="s">
        <v>3204</v>
      </c>
      <c r="R709" t="s">
        <v>3201</v>
      </c>
      <c r="S709" t="s">
        <v>13</v>
      </c>
    </row>
    <row r="710" spans="1:19" x14ac:dyDescent="0.3">
      <c r="A710" t="s">
        <v>530</v>
      </c>
      <c r="B710" t="s">
        <v>1596</v>
      </c>
      <c r="C710" t="s">
        <v>2237</v>
      </c>
      <c r="D710" t="s">
        <v>3189</v>
      </c>
      <c r="E710" t="s">
        <v>9</v>
      </c>
      <c r="F710" s="2">
        <v>20</v>
      </c>
      <c r="G710" t="s">
        <v>3206</v>
      </c>
      <c r="H710" t="s">
        <v>10</v>
      </c>
      <c r="I710" t="s">
        <v>36</v>
      </c>
      <c r="J710" t="s">
        <v>3213</v>
      </c>
      <c r="K710" t="s">
        <v>37</v>
      </c>
      <c r="L710" s="2">
        <v>15.1</v>
      </c>
      <c r="M710" t="s">
        <v>3203</v>
      </c>
      <c r="N710">
        <v>1</v>
      </c>
      <c r="O710">
        <v>0</v>
      </c>
      <c r="P710">
        <v>2</v>
      </c>
      <c r="Q710" t="s">
        <v>3204</v>
      </c>
      <c r="R710" t="s">
        <v>3201</v>
      </c>
      <c r="S710" t="s">
        <v>13</v>
      </c>
    </row>
    <row r="711" spans="1:19" x14ac:dyDescent="0.3">
      <c r="A711" t="s">
        <v>531</v>
      </c>
      <c r="B711" t="s">
        <v>1602</v>
      </c>
      <c r="C711" t="s">
        <v>2238</v>
      </c>
      <c r="D711" t="s">
        <v>3190</v>
      </c>
      <c r="E711" t="s">
        <v>14</v>
      </c>
      <c r="F711" s="2">
        <v>27</v>
      </c>
      <c r="G711" t="s">
        <v>3206</v>
      </c>
      <c r="H711" t="s">
        <v>25</v>
      </c>
      <c r="I711" t="s">
        <v>19</v>
      </c>
      <c r="J711" t="s">
        <v>3207</v>
      </c>
      <c r="K711" t="s">
        <v>20</v>
      </c>
      <c r="L711" s="2">
        <v>106.0806</v>
      </c>
      <c r="M711" t="s">
        <v>3209</v>
      </c>
      <c r="N711">
        <v>0</v>
      </c>
      <c r="O711">
        <v>0</v>
      </c>
      <c r="P711">
        <v>1</v>
      </c>
      <c r="Q711" t="s">
        <v>3200</v>
      </c>
      <c r="R711" t="s">
        <v>3205</v>
      </c>
      <c r="S711" t="s">
        <v>16</v>
      </c>
    </row>
    <row r="712" spans="1:19" x14ac:dyDescent="0.3">
      <c r="A712" t="s">
        <v>532</v>
      </c>
      <c r="B712" t="s">
        <v>1596</v>
      </c>
      <c r="C712" t="s">
        <v>1965</v>
      </c>
      <c r="D712" t="s">
        <v>3189</v>
      </c>
      <c r="E712" t="s">
        <v>9</v>
      </c>
      <c r="F712" s="2">
        <v>41</v>
      </c>
      <c r="G712" t="s">
        <v>3197</v>
      </c>
      <c r="H712" t="s">
        <v>10</v>
      </c>
      <c r="I712" t="s">
        <v>11</v>
      </c>
      <c r="J712" t="s">
        <v>3198</v>
      </c>
      <c r="K712" t="s">
        <v>15</v>
      </c>
      <c r="L712" s="2">
        <v>24.03</v>
      </c>
      <c r="M712" t="s">
        <v>3203</v>
      </c>
      <c r="N712">
        <v>0</v>
      </c>
      <c r="O712">
        <v>0</v>
      </c>
      <c r="P712">
        <v>1</v>
      </c>
      <c r="Q712" t="s">
        <v>3200</v>
      </c>
      <c r="R712" t="s">
        <v>3201</v>
      </c>
      <c r="S712" t="s">
        <v>13</v>
      </c>
    </row>
    <row r="713" spans="1:19" x14ac:dyDescent="0.3">
      <c r="A713" t="s">
        <v>533</v>
      </c>
      <c r="B713" t="s">
        <v>1596</v>
      </c>
      <c r="C713" t="s">
        <v>2239</v>
      </c>
      <c r="D713" t="s">
        <v>3189</v>
      </c>
      <c r="E713" t="s">
        <v>9</v>
      </c>
      <c r="F713" s="2">
        <v>35</v>
      </c>
      <c r="G713" t="s">
        <v>3206</v>
      </c>
      <c r="H713" t="s">
        <v>25</v>
      </c>
      <c r="I713" t="s">
        <v>19</v>
      </c>
      <c r="J713" t="s">
        <v>3207</v>
      </c>
      <c r="K713" t="s">
        <v>15</v>
      </c>
      <c r="L713" s="2">
        <v>512.0607</v>
      </c>
      <c r="M713" t="s">
        <v>3209</v>
      </c>
      <c r="N713">
        <v>0</v>
      </c>
      <c r="O713">
        <v>0</v>
      </c>
      <c r="P713">
        <v>1</v>
      </c>
      <c r="Q713" t="s">
        <v>3200</v>
      </c>
      <c r="R713" t="s">
        <v>3205</v>
      </c>
      <c r="S713" t="s">
        <v>16</v>
      </c>
    </row>
    <row r="714" spans="1:19" x14ac:dyDescent="0.3">
      <c r="A714" t="s">
        <v>534</v>
      </c>
      <c r="B714" t="s">
        <v>1596</v>
      </c>
      <c r="C714" t="s">
        <v>2240</v>
      </c>
      <c r="D714" t="s">
        <v>3189</v>
      </c>
      <c r="E714" t="s">
        <v>9</v>
      </c>
      <c r="F714" s="2">
        <v>37</v>
      </c>
      <c r="G714" t="s">
        <v>3197</v>
      </c>
      <c r="H714" t="s">
        <v>18</v>
      </c>
      <c r="I714" t="s">
        <v>11</v>
      </c>
      <c r="J714" t="s">
        <v>3198</v>
      </c>
      <c r="K714" t="s">
        <v>26</v>
      </c>
      <c r="L714" s="2">
        <v>12.1706</v>
      </c>
      <c r="M714" t="s">
        <v>3199</v>
      </c>
      <c r="N714">
        <v>0</v>
      </c>
      <c r="O714">
        <v>0</v>
      </c>
      <c r="P714">
        <v>1</v>
      </c>
      <c r="Q714" t="s">
        <v>3200</v>
      </c>
      <c r="R714" t="s">
        <v>3201</v>
      </c>
      <c r="S714" t="s">
        <v>13</v>
      </c>
    </row>
    <row r="715" spans="1:19" x14ac:dyDescent="0.3">
      <c r="A715" t="s">
        <v>535</v>
      </c>
      <c r="B715" t="s">
        <v>1596</v>
      </c>
      <c r="C715" t="s">
        <v>2241</v>
      </c>
      <c r="D715" t="s">
        <v>3189</v>
      </c>
      <c r="E715" t="s">
        <v>9</v>
      </c>
      <c r="F715" s="2">
        <v>30</v>
      </c>
      <c r="G715" t="s">
        <v>3206</v>
      </c>
      <c r="H715" t="s">
        <v>25</v>
      </c>
      <c r="I715" t="s">
        <v>19</v>
      </c>
      <c r="J715" t="s">
        <v>3207</v>
      </c>
      <c r="K715" t="s">
        <v>12</v>
      </c>
      <c r="L715" s="2">
        <v>27.140499999999999</v>
      </c>
      <c r="M715" t="s">
        <v>3203</v>
      </c>
      <c r="N715">
        <v>0</v>
      </c>
      <c r="O715">
        <v>0</v>
      </c>
      <c r="P715">
        <v>1</v>
      </c>
      <c r="Q715" t="s">
        <v>3200</v>
      </c>
      <c r="R715" t="s">
        <v>3201</v>
      </c>
      <c r="S715" t="s">
        <v>13</v>
      </c>
    </row>
    <row r="716" spans="1:19" x14ac:dyDescent="0.3">
      <c r="A716" t="s">
        <v>536</v>
      </c>
      <c r="B716" t="s">
        <v>1596</v>
      </c>
      <c r="C716" t="s">
        <v>2242</v>
      </c>
      <c r="D716" t="s">
        <v>3189</v>
      </c>
      <c r="E716" t="s">
        <v>9</v>
      </c>
      <c r="F716" s="2">
        <v>25</v>
      </c>
      <c r="G716" t="s">
        <v>3206</v>
      </c>
      <c r="H716" t="s">
        <v>18</v>
      </c>
      <c r="I716" t="s">
        <v>11</v>
      </c>
      <c r="J716" t="s">
        <v>3198</v>
      </c>
      <c r="K716" t="s">
        <v>15</v>
      </c>
      <c r="L716" s="2">
        <v>10.1</v>
      </c>
      <c r="M716" t="s">
        <v>3199</v>
      </c>
      <c r="N716">
        <v>0</v>
      </c>
      <c r="O716">
        <v>0</v>
      </c>
      <c r="P716">
        <v>1</v>
      </c>
      <c r="Q716" t="s">
        <v>3200</v>
      </c>
      <c r="R716" t="s">
        <v>3201</v>
      </c>
      <c r="S716" t="s">
        <v>13</v>
      </c>
    </row>
    <row r="717" spans="1:19" x14ac:dyDescent="0.3">
      <c r="A717" t="s">
        <v>537</v>
      </c>
      <c r="B717" t="s">
        <v>1596</v>
      </c>
      <c r="C717" t="s">
        <v>2243</v>
      </c>
      <c r="D717" t="s">
        <v>3189</v>
      </c>
      <c r="E717" t="s">
        <v>9</v>
      </c>
      <c r="F717" s="2">
        <v>24</v>
      </c>
      <c r="G717" t="s">
        <v>3206</v>
      </c>
      <c r="H717" t="s">
        <v>10</v>
      </c>
      <c r="I717" t="s">
        <v>11</v>
      </c>
      <c r="J717" t="s">
        <v>3198</v>
      </c>
      <c r="K717" t="s">
        <v>46</v>
      </c>
      <c r="L717" s="2">
        <v>9.1</v>
      </c>
      <c r="M717" t="s">
        <v>3199</v>
      </c>
      <c r="N717">
        <v>0</v>
      </c>
      <c r="O717">
        <v>0</v>
      </c>
      <c r="P717">
        <v>1</v>
      </c>
      <c r="Q717" t="s">
        <v>3200</v>
      </c>
      <c r="R717" t="s">
        <v>3201</v>
      </c>
      <c r="S717" t="s">
        <v>13</v>
      </c>
    </row>
    <row r="718" spans="1:19" x14ac:dyDescent="0.3">
      <c r="A718" t="s">
        <v>538</v>
      </c>
      <c r="B718" t="s">
        <v>1602</v>
      </c>
      <c r="C718" t="s">
        <v>2244</v>
      </c>
      <c r="D718" t="s">
        <v>3190</v>
      </c>
      <c r="E718" t="s">
        <v>14</v>
      </c>
      <c r="F718" s="2">
        <v>25</v>
      </c>
      <c r="G718" t="s">
        <v>3206</v>
      </c>
      <c r="H718" t="s">
        <v>10</v>
      </c>
      <c r="I718" t="s">
        <v>11</v>
      </c>
      <c r="J718" t="s">
        <v>3198</v>
      </c>
      <c r="K718" t="s">
        <v>23</v>
      </c>
      <c r="L718" s="2">
        <v>7.1505999999999998</v>
      </c>
      <c r="M718" t="s">
        <v>3199</v>
      </c>
      <c r="N718">
        <v>0</v>
      </c>
      <c r="O718">
        <v>0</v>
      </c>
      <c r="P718">
        <v>1</v>
      </c>
      <c r="Q718" t="s">
        <v>3200</v>
      </c>
      <c r="R718" t="s">
        <v>3201</v>
      </c>
      <c r="S718" t="s">
        <v>13</v>
      </c>
    </row>
    <row r="719" spans="1:19" x14ac:dyDescent="0.3">
      <c r="A719" t="s">
        <v>539</v>
      </c>
      <c r="B719" t="s">
        <v>1602</v>
      </c>
      <c r="C719" t="s">
        <v>2245</v>
      </c>
      <c r="D719" t="s">
        <v>3190</v>
      </c>
      <c r="E719" t="s">
        <v>14</v>
      </c>
      <c r="F719" s="2">
        <v>45</v>
      </c>
      <c r="G719" t="s">
        <v>3197</v>
      </c>
      <c r="H719" t="s">
        <v>10</v>
      </c>
      <c r="I719" t="s">
        <v>11</v>
      </c>
      <c r="J719" t="s">
        <v>3198</v>
      </c>
      <c r="K719" t="s">
        <v>15</v>
      </c>
      <c r="L719" s="2">
        <v>7.15</v>
      </c>
      <c r="M719" t="s">
        <v>3199</v>
      </c>
      <c r="N719">
        <v>0</v>
      </c>
      <c r="O719">
        <v>0</v>
      </c>
      <c r="P719">
        <v>1</v>
      </c>
      <c r="Q719" t="s">
        <v>3200</v>
      </c>
      <c r="R719" t="s">
        <v>3201</v>
      </c>
      <c r="S719" t="s">
        <v>13</v>
      </c>
    </row>
    <row r="720" spans="1:19" x14ac:dyDescent="0.3">
      <c r="A720" t="s">
        <v>540</v>
      </c>
      <c r="B720" t="s">
        <v>1596</v>
      </c>
      <c r="C720" t="s">
        <v>1847</v>
      </c>
      <c r="D720" t="s">
        <v>3189</v>
      </c>
      <c r="E720" t="s">
        <v>9</v>
      </c>
      <c r="F720" s="2">
        <v>42</v>
      </c>
      <c r="G720" t="s">
        <v>3197</v>
      </c>
      <c r="H720" t="s">
        <v>25</v>
      </c>
      <c r="I720" t="s">
        <v>11</v>
      </c>
      <c r="J720" t="s">
        <v>3198</v>
      </c>
      <c r="K720" t="s">
        <v>23</v>
      </c>
      <c r="L720" s="2">
        <v>26.11</v>
      </c>
      <c r="M720" t="s">
        <v>3203</v>
      </c>
      <c r="N720">
        <v>0</v>
      </c>
      <c r="O720">
        <v>0</v>
      </c>
      <c r="P720">
        <v>1</v>
      </c>
      <c r="Q720" t="s">
        <v>3200</v>
      </c>
      <c r="R720" t="s">
        <v>3201</v>
      </c>
      <c r="S720" t="s">
        <v>13</v>
      </c>
    </row>
    <row r="721" spans="1:19" x14ac:dyDescent="0.3">
      <c r="A721" t="s">
        <v>541</v>
      </c>
      <c r="B721" t="s">
        <v>1596</v>
      </c>
      <c r="C721" t="s">
        <v>2246</v>
      </c>
      <c r="D721" t="s">
        <v>3189</v>
      </c>
      <c r="E721" t="s">
        <v>9</v>
      </c>
      <c r="F721" s="2">
        <v>36</v>
      </c>
      <c r="G721" t="s">
        <v>3197</v>
      </c>
      <c r="H721" t="s">
        <v>10</v>
      </c>
      <c r="I721" t="s">
        <v>11</v>
      </c>
      <c r="J721" t="s">
        <v>3198</v>
      </c>
      <c r="K721" t="s">
        <v>23</v>
      </c>
      <c r="L721" s="2">
        <v>15.11</v>
      </c>
      <c r="M721" t="s">
        <v>3203</v>
      </c>
      <c r="N721">
        <v>1</v>
      </c>
      <c r="O721">
        <v>0</v>
      </c>
      <c r="P721">
        <v>2</v>
      </c>
      <c r="Q721" t="s">
        <v>3204</v>
      </c>
      <c r="R721" t="s">
        <v>3201</v>
      </c>
      <c r="S721" t="s">
        <v>13</v>
      </c>
    </row>
    <row r="722" spans="1:19" x14ac:dyDescent="0.3">
      <c r="A722" t="s">
        <v>541</v>
      </c>
      <c r="B722" t="s">
        <v>1600</v>
      </c>
      <c r="C722" t="s">
        <v>2247</v>
      </c>
      <c r="D722" t="s">
        <v>3190</v>
      </c>
      <c r="E722" t="s">
        <v>14</v>
      </c>
      <c r="F722" s="2">
        <v>30</v>
      </c>
      <c r="G722" t="s">
        <v>3206</v>
      </c>
      <c r="H722" t="s">
        <v>10</v>
      </c>
      <c r="I722" t="s">
        <v>11</v>
      </c>
      <c r="J722" t="s">
        <v>3198</v>
      </c>
      <c r="K722" t="s">
        <v>23</v>
      </c>
      <c r="L722" s="2">
        <v>15.11</v>
      </c>
      <c r="M722" t="s">
        <v>3203</v>
      </c>
      <c r="N722">
        <v>1</v>
      </c>
      <c r="O722">
        <v>0</v>
      </c>
      <c r="P722">
        <v>2</v>
      </c>
      <c r="Q722" t="s">
        <v>3204</v>
      </c>
      <c r="R722" t="s">
        <v>3201</v>
      </c>
      <c r="S722" t="s">
        <v>13</v>
      </c>
    </row>
    <row r="723" spans="1:19" x14ac:dyDescent="0.3">
      <c r="A723" t="s">
        <v>542</v>
      </c>
      <c r="B723" t="s">
        <v>1596</v>
      </c>
      <c r="C723" t="s">
        <v>2248</v>
      </c>
      <c r="D723" t="s">
        <v>3189</v>
      </c>
      <c r="E723" t="s">
        <v>9</v>
      </c>
      <c r="F723" s="2">
        <v>20</v>
      </c>
      <c r="G723" t="s">
        <v>3206</v>
      </c>
      <c r="H723" t="s">
        <v>10</v>
      </c>
      <c r="I723" t="s">
        <v>11</v>
      </c>
      <c r="J723" t="s">
        <v>3198</v>
      </c>
      <c r="K723" t="s">
        <v>22</v>
      </c>
      <c r="L723" s="2">
        <v>7.1806000000000001</v>
      </c>
      <c r="M723" t="s">
        <v>3199</v>
      </c>
      <c r="N723">
        <v>1</v>
      </c>
      <c r="O723">
        <v>0</v>
      </c>
      <c r="P723">
        <v>2</v>
      </c>
      <c r="Q723" t="s">
        <v>3204</v>
      </c>
      <c r="R723" t="s">
        <v>3205</v>
      </c>
      <c r="S723" t="s">
        <v>16</v>
      </c>
    </row>
    <row r="724" spans="1:19" x14ac:dyDescent="0.3">
      <c r="A724" t="s">
        <v>543</v>
      </c>
      <c r="B724" t="s">
        <v>1600</v>
      </c>
      <c r="C724" t="s">
        <v>2249</v>
      </c>
      <c r="D724" t="s">
        <v>3190</v>
      </c>
      <c r="E724" t="s">
        <v>14</v>
      </c>
      <c r="F724" s="2">
        <v>55</v>
      </c>
      <c r="G724" t="s">
        <v>3197</v>
      </c>
      <c r="H724" t="s">
        <v>25</v>
      </c>
      <c r="I724" t="s">
        <v>19</v>
      </c>
      <c r="J724" t="s">
        <v>3207</v>
      </c>
      <c r="K724" t="s">
        <v>23</v>
      </c>
      <c r="L724" s="2">
        <v>27.140499999999999</v>
      </c>
      <c r="M724" t="s">
        <v>3203</v>
      </c>
      <c r="N724">
        <v>0</v>
      </c>
      <c r="O724">
        <v>0</v>
      </c>
      <c r="P724">
        <v>1</v>
      </c>
      <c r="Q724" t="s">
        <v>3200</v>
      </c>
      <c r="R724" t="s">
        <v>3205</v>
      </c>
      <c r="S724" t="s">
        <v>16</v>
      </c>
    </row>
    <row r="725" spans="1:19" x14ac:dyDescent="0.3">
      <c r="A725" t="s">
        <v>544</v>
      </c>
      <c r="B725" t="s">
        <v>1596</v>
      </c>
      <c r="C725" t="s">
        <v>1858</v>
      </c>
      <c r="D725" t="s">
        <v>3189</v>
      </c>
      <c r="E725" t="s">
        <v>9</v>
      </c>
      <c r="F725" s="2">
        <v>21</v>
      </c>
      <c r="G725" t="s">
        <v>3206</v>
      </c>
      <c r="H725" t="s">
        <v>10</v>
      </c>
      <c r="I725" t="s">
        <v>36</v>
      </c>
      <c r="J725" t="s">
        <v>3213</v>
      </c>
      <c r="K725" t="s">
        <v>37</v>
      </c>
      <c r="L725" s="2">
        <v>7.1707000000000001</v>
      </c>
      <c r="M725" t="s">
        <v>3199</v>
      </c>
      <c r="N725">
        <v>0</v>
      </c>
      <c r="O725">
        <v>0</v>
      </c>
      <c r="P725">
        <v>1</v>
      </c>
      <c r="Q725" t="s">
        <v>3200</v>
      </c>
      <c r="R725" t="s">
        <v>3201</v>
      </c>
      <c r="S725" t="s">
        <v>13</v>
      </c>
    </row>
    <row r="726" spans="1:19" x14ac:dyDescent="0.3">
      <c r="A726" t="s">
        <v>545</v>
      </c>
      <c r="B726" t="s">
        <v>1602</v>
      </c>
      <c r="C726" t="s">
        <v>2250</v>
      </c>
      <c r="D726" t="s">
        <v>3190</v>
      </c>
      <c r="E726" t="s">
        <v>14</v>
      </c>
      <c r="F726" s="2">
        <v>16</v>
      </c>
      <c r="G726" t="s">
        <v>3202</v>
      </c>
      <c r="H726" t="s">
        <v>25</v>
      </c>
      <c r="I726" t="s">
        <v>19</v>
      </c>
      <c r="J726" t="s">
        <v>3207</v>
      </c>
      <c r="K726" t="s">
        <v>20</v>
      </c>
      <c r="L726" s="2">
        <v>39.08</v>
      </c>
      <c r="M726" t="s">
        <v>3211</v>
      </c>
      <c r="N726">
        <v>0</v>
      </c>
      <c r="O726">
        <v>1</v>
      </c>
      <c r="P726">
        <v>2</v>
      </c>
      <c r="Q726" t="s">
        <v>3204</v>
      </c>
      <c r="R726" t="s">
        <v>3205</v>
      </c>
      <c r="S726" t="s">
        <v>16</v>
      </c>
    </row>
    <row r="727" spans="1:19" x14ac:dyDescent="0.3">
      <c r="A727" t="s">
        <v>545</v>
      </c>
      <c r="B727" t="s">
        <v>1600</v>
      </c>
      <c r="C727" t="s">
        <v>2251</v>
      </c>
      <c r="D727" t="s">
        <v>3190</v>
      </c>
      <c r="E727" t="s">
        <v>14</v>
      </c>
      <c r="F727" s="2">
        <v>50</v>
      </c>
      <c r="G727" t="s">
        <v>3197</v>
      </c>
      <c r="H727" t="s">
        <v>25</v>
      </c>
      <c r="I727" t="s">
        <v>19</v>
      </c>
      <c r="J727" t="s">
        <v>3207</v>
      </c>
      <c r="K727" t="s">
        <v>12</v>
      </c>
      <c r="L727" s="2">
        <v>39.08</v>
      </c>
      <c r="M727" t="s">
        <v>3211</v>
      </c>
      <c r="N727">
        <v>0</v>
      </c>
      <c r="O727">
        <v>1</v>
      </c>
      <c r="P727">
        <v>2</v>
      </c>
      <c r="Q727" t="s">
        <v>3204</v>
      </c>
      <c r="R727" t="s">
        <v>3205</v>
      </c>
      <c r="S727" t="s">
        <v>16</v>
      </c>
    </row>
    <row r="728" spans="1:19" x14ac:dyDescent="0.3">
      <c r="A728" t="s">
        <v>546</v>
      </c>
      <c r="B728" t="s">
        <v>1596</v>
      </c>
      <c r="C728" t="s">
        <v>1610</v>
      </c>
      <c r="D728" t="s">
        <v>3189</v>
      </c>
      <c r="E728" t="s">
        <v>9</v>
      </c>
      <c r="F728" s="2">
        <v>61</v>
      </c>
      <c r="G728" t="s">
        <v>3210</v>
      </c>
      <c r="H728" t="s">
        <v>18</v>
      </c>
      <c r="I728" t="s">
        <v>36</v>
      </c>
      <c r="J728" t="s">
        <v>3213</v>
      </c>
      <c r="K728" t="s">
        <v>37</v>
      </c>
      <c r="L728" s="2">
        <v>12.07</v>
      </c>
      <c r="M728" t="s">
        <v>3199</v>
      </c>
      <c r="N728">
        <v>0</v>
      </c>
      <c r="O728">
        <v>0</v>
      </c>
      <c r="P728">
        <v>1</v>
      </c>
      <c r="Q728" t="s">
        <v>3200</v>
      </c>
      <c r="R728" t="s">
        <v>3201</v>
      </c>
      <c r="S728" t="s">
        <v>13</v>
      </c>
    </row>
    <row r="729" spans="1:19" x14ac:dyDescent="0.3">
      <c r="A729" t="s">
        <v>547</v>
      </c>
      <c r="B729" t="s">
        <v>1596</v>
      </c>
      <c r="C729" t="s">
        <v>1719</v>
      </c>
      <c r="D729" t="s">
        <v>3189</v>
      </c>
      <c r="E729" t="s">
        <v>9</v>
      </c>
      <c r="F729" s="2">
        <v>28</v>
      </c>
      <c r="G729" t="s">
        <v>3206</v>
      </c>
      <c r="H729" t="s">
        <v>10</v>
      </c>
      <c r="I729" t="s">
        <v>11</v>
      </c>
      <c r="J729" t="s">
        <v>3198</v>
      </c>
      <c r="K729" t="s">
        <v>15</v>
      </c>
      <c r="L729" s="2">
        <v>56.091099999999997</v>
      </c>
      <c r="M729" t="s">
        <v>3211</v>
      </c>
      <c r="N729">
        <v>0</v>
      </c>
      <c r="O729">
        <v>0</v>
      </c>
      <c r="P729">
        <v>1</v>
      </c>
      <c r="Q729" t="s">
        <v>3200</v>
      </c>
      <c r="R729" t="s">
        <v>3201</v>
      </c>
      <c r="S729" t="s">
        <v>13</v>
      </c>
    </row>
    <row r="730" spans="1:19" x14ac:dyDescent="0.3">
      <c r="A730" t="s">
        <v>548</v>
      </c>
      <c r="B730" t="s">
        <v>1596</v>
      </c>
      <c r="C730" t="s">
        <v>2252</v>
      </c>
      <c r="D730" t="s">
        <v>3189</v>
      </c>
      <c r="E730" t="s">
        <v>9</v>
      </c>
      <c r="F730" s="2">
        <v>27</v>
      </c>
      <c r="G730" t="s">
        <v>3206</v>
      </c>
      <c r="H730" t="s">
        <v>10</v>
      </c>
      <c r="I730" t="s">
        <v>11</v>
      </c>
      <c r="J730" t="s">
        <v>3198</v>
      </c>
      <c r="K730" t="s">
        <v>60</v>
      </c>
      <c r="L730" s="2">
        <v>9.1</v>
      </c>
      <c r="M730" t="s">
        <v>3199</v>
      </c>
      <c r="N730">
        <v>0</v>
      </c>
      <c r="O730">
        <v>0</v>
      </c>
      <c r="P730">
        <v>1</v>
      </c>
      <c r="Q730" t="s">
        <v>3200</v>
      </c>
      <c r="R730" t="s">
        <v>3201</v>
      </c>
      <c r="S730" t="s">
        <v>13</v>
      </c>
    </row>
    <row r="731" spans="1:19" x14ac:dyDescent="0.3">
      <c r="A731" t="s">
        <v>549</v>
      </c>
      <c r="B731" t="s">
        <v>1596</v>
      </c>
      <c r="C731" t="s">
        <v>1824</v>
      </c>
      <c r="D731" t="s">
        <v>3189</v>
      </c>
      <c r="E731" t="s">
        <v>9</v>
      </c>
      <c r="F731" s="2">
        <v>25</v>
      </c>
      <c r="G731" t="s">
        <v>3206</v>
      </c>
      <c r="H731" t="s">
        <v>10</v>
      </c>
      <c r="I731" t="s">
        <v>11</v>
      </c>
      <c r="J731" t="s">
        <v>3198</v>
      </c>
      <c r="K731" t="s">
        <v>61</v>
      </c>
      <c r="L731" s="2">
        <v>7.05</v>
      </c>
      <c r="M731" t="s">
        <v>3199</v>
      </c>
      <c r="N731">
        <v>0</v>
      </c>
      <c r="O731">
        <v>0</v>
      </c>
      <c r="P731">
        <v>1</v>
      </c>
      <c r="Q731" t="s">
        <v>3200</v>
      </c>
      <c r="R731" t="s">
        <v>3201</v>
      </c>
      <c r="S731" t="s">
        <v>13</v>
      </c>
    </row>
    <row r="732" spans="1:19" x14ac:dyDescent="0.3">
      <c r="A732" t="s">
        <v>550</v>
      </c>
      <c r="B732" t="s">
        <v>1600</v>
      </c>
      <c r="C732" t="s">
        <v>2253</v>
      </c>
      <c r="D732" t="s">
        <v>3190</v>
      </c>
      <c r="E732" t="s">
        <v>14</v>
      </c>
      <c r="F732" s="2">
        <v>34</v>
      </c>
      <c r="G732" t="s">
        <v>3206</v>
      </c>
      <c r="H732" t="s">
        <v>10</v>
      </c>
      <c r="I732" t="s">
        <v>11</v>
      </c>
      <c r="J732" t="s">
        <v>3198</v>
      </c>
      <c r="K732" t="s">
        <v>15</v>
      </c>
      <c r="L732" s="2">
        <v>16.02</v>
      </c>
      <c r="M732" t="s">
        <v>3203</v>
      </c>
      <c r="N732">
        <v>1</v>
      </c>
      <c r="O732">
        <v>0</v>
      </c>
      <c r="P732">
        <v>2</v>
      </c>
      <c r="Q732" t="s">
        <v>3204</v>
      </c>
      <c r="R732" t="s">
        <v>3201</v>
      </c>
      <c r="S732" t="s">
        <v>13</v>
      </c>
    </row>
    <row r="733" spans="1:19" x14ac:dyDescent="0.3">
      <c r="A733" t="s">
        <v>550</v>
      </c>
      <c r="B733" t="s">
        <v>1596</v>
      </c>
      <c r="C733" t="s">
        <v>2254</v>
      </c>
      <c r="D733" t="s">
        <v>3189</v>
      </c>
      <c r="E733" t="s">
        <v>9</v>
      </c>
      <c r="F733" s="2">
        <v>31</v>
      </c>
      <c r="G733" t="s">
        <v>3206</v>
      </c>
      <c r="H733" t="s">
        <v>10</v>
      </c>
      <c r="I733" t="s">
        <v>11</v>
      </c>
      <c r="J733" t="s">
        <v>3198</v>
      </c>
      <c r="K733" t="s">
        <v>15</v>
      </c>
      <c r="L733" s="2">
        <v>16.02</v>
      </c>
      <c r="M733" t="s">
        <v>3203</v>
      </c>
      <c r="N733">
        <v>1</v>
      </c>
      <c r="O733">
        <v>0</v>
      </c>
      <c r="P733">
        <v>2</v>
      </c>
      <c r="Q733" t="s">
        <v>3204</v>
      </c>
      <c r="R733" t="s">
        <v>3201</v>
      </c>
      <c r="S733" t="s">
        <v>13</v>
      </c>
    </row>
    <row r="734" spans="1:19" x14ac:dyDescent="0.3">
      <c r="A734" t="s">
        <v>551</v>
      </c>
      <c r="B734" t="s">
        <v>1596</v>
      </c>
      <c r="C734" t="s">
        <v>2255</v>
      </c>
      <c r="D734" t="s">
        <v>3189</v>
      </c>
      <c r="E734" t="s">
        <v>9</v>
      </c>
      <c r="F734" s="2">
        <v>19</v>
      </c>
      <c r="G734" t="s">
        <v>3206</v>
      </c>
      <c r="H734" t="s">
        <v>10</v>
      </c>
      <c r="I734" t="s">
        <v>11</v>
      </c>
      <c r="J734" t="s">
        <v>3198</v>
      </c>
      <c r="K734" t="s">
        <v>15</v>
      </c>
      <c r="L734" s="2">
        <v>7.1707000000000001</v>
      </c>
      <c r="M734" t="s">
        <v>3199</v>
      </c>
      <c r="N734">
        <v>0</v>
      </c>
      <c r="O734">
        <v>0</v>
      </c>
      <c r="P734">
        <v>1</v>
      </c>
      <c r="Q734" t="s">
        <v>3200</v>
      </c>
      <c r="R734" t="s">
        <v>3201</v>
      </c>
      <c r="S734" t="s">
        <v>13</v>
      </c>
    </row>
    <row r="735" spans="1:19" x14ac:dyDescent="0.3">
      <c r="A735" t="s">
        <v>552</v>
      </c>
      <c r="B735" t="s">
        <v>1602</v>
      </c>
      <c r="C735" t="s">
        <v>2256</v>
      </c>
      <c r="D735" t="s">
        <v>3190</v>
      </c>
      <c r="E735" t="s">
        <v>14</v>
      </c>
      <c r="F735" s="2">
        <v>21</v>
      </c>
      <c r="G735" t="s">
        <v>3206</v>
      </c>
      <c r="H735" t="s">
        <v>25</v>
      </c>
      <c r="I735" t="s">
        <v>19</v>
      </c>
      <c r="J735" t="s">
        <v>3207</v>
      </c>
      <c r="K735" t="s">
        <v>12</v>
      </c>
      <c r="L735" s="2">
        <v>77.190200000000004</v>
      </c>
      <c r="M735" t="s">
        <v>3211</v>
      </c>
      <c r="N735">
        <v>0</v>
      </c>
      <c r="O735">
        <v>0</v>
      </c>
      <c r="P735">
        <v>1</v>
      </c>
      <c r="Q735" t="s">
        <v>3200</v>
      </c>
      <c r="R735" t="s">
        <v>3205</v>
      </c>
      <c r="S735" t="s">
        <v>16</v>
      </c>
    </row>
    <row r="736" spans="1:19" x14ac:dyDescent="0.3">
      <c r="A736" t="s">
        <v>553</v>
      </c>
      <c r="B736" t="s">
        <v>1596</v>
      </c>
      <c r="C736" t="s">
        <v>2257</v>
      </c>
      <c r="D736" t="s">
        <v>3189</v>
      </c>
      <c r="E736" t="s">
        <v>9</v>
      </c>
      <c r="F736" s="2">
        <v>29</v>
      </c>
      <c r="G736" t="s">
        <v>3206</v>
      </c>
      <c r="H736" t="s">
        <v>25</v>
      </c>
      <c r="I736" t="s">
        <v>11</v>
      </c>
      <c r="J736" t="s">
        <v>3198</v>
      </c>
      <c r="K736" t="s">
        <v>12</v>
      </c>
      <c r="L736" s="2">
        <v>30</v>
      </c>
      <c r="M736" t="s">
        <v>3203</v>
      </c>
      <c r="N736">
        <v>0</v>
      </c>
      <c r="O736">
        <v>0</v>
      </c>
      <c r="P736">
        <v>1</v>
      </c>
      <c r="Q736" t="s">
        <v>3200</v>
      </c>
      <c r="R736" t="s">
        <v>3201</v>
      </c>
      <c r="S736" t="s">
        <v>13</v>
      </c>
    </row>
    <row r="737" spans="1:19" x14ac:dyDescent="0.3">
      <c r="A737" t="s">
        <v>554</v>
      </c>
      <c r="B737" t="s">
        <v>1596</v>
      </c>
      <c r="C737" t="s">
        <v>2258</v>
      </c>
      <c r="D737" t="s">
        <v>3189</v>
      </c>
      <c r="E737" t="s">
        <v>9</v>
      </c>
      <c r="F737" s="2">
        <v>30</v>
      </c>
      <c r="G737" t="s">
        <v>3206</v>
      </c>
      <c r="H737" t="s">
        <v>25</v>
      </c>
      <c r="I737" t="s">
        <v>11</v>
      </c>
      <c r="J737" t="s">
        <v>3198</v>
      </c>
      <c r="K737" t="s">
        <v>12</v>
      </c>
      <c r="L737" s="2">
        <v>45.1</v>
      </c>
      <c r="M737" t="s">
        <v>3211</v>
      </c>
      <c r="N737">
        <v>0</v>
      </c>
      <c r="O737">
        <v>0</v>
      </c>
      <c r="P737">
        <v>1</v>
      </c>
      <c r="Q737" t="s">
        <v>3200</v>
      </c>
      <c r="R737" t="s">
        <v>3201</v>
      </c>
      <c r="S737" t="s">
        <v>13</v>
      </c>
    </row>
    <row r="738" spans="1:19" x14ac:dyDescent="0.3">
      <c r="A738" t="s">
        <v>555</v>
      </c>
      <c r="B738" t="s">
        <v>1596</v>
      </c>
      <c r="C738" t="s">
        <v>2259</v>
      </c>
      <c r="D738" t="s">
        <v>3189</v>
      </c>
      <c r="E738" t="s">
        <v>9</v>
      </c>
      <c r="F738" s="2">
        <v>50</v>
      </c>
      <c r="G738" t="s">
        <v>3197</v>
      </c>
      <c r="H738" t="s">
        <v>18</v>
      </c>
      <c r="I738" t="s">
        <v>11</v>
      </c>
      <c r="J738" t="s">
        <v>3198</v>
      </c>
      <c r="K738" t="s">
        <v>15</v>
      </c>
      <c r="L738" s="2">
        <v>26</v>
      </c>
      <c r="M738" t="s">
        <v>3203</v>
      </c>
      <c r="N738">
        <v>1</v>
      </c>
      <c r="O738">
        <v>0</v>
      </c>
      <c r="P738">
        <v>2</v>
      </c>
      <c r="Q738" t="s">
        <v>3204</v>
      </c>
      <c r="R738" t="s">
        <v>3201</v>
      </c>
      <c r="S738" t="s">
        <v>13</v>
      </c>
    </row>
    <row r="739" spans="1:19" x14ac:dyDescent="0.3">
      <c r="A739" t="s">
        <v>555</v>
      </c>
      <c r="B739" t="s">
        <v>1600</v>
      </c>
      <c r="C739" t="s">
        <v>2260</v>
      </c>
      <c r="D739" t="s">
        <v>3190</v>
      </c>
      <c r="E739" t="s">
        <v>14</v>
      </c>
      <c r="F739" s="2">
        <v>43</v>
      </c>
      <c r="G739" t="s">
        <v>3197</v>
      </c>
      <c r="H739" t="s">
        <v>18</v>
      </c>
      <c r="I739" t="s">
        <v>11</v>
      </c>
      <c r="J739" t="s">
        <v>3198</v>
      </c>
      <c r="K739" t="s">
        <v>15</v>
      </c>
      <c r="L739" s="2">
        <v>26</v>
      </c>
      <c r="M739" t="s">
        <v>3203</v>
      </c>
      <c r="N739">
        <v>1</v>
      </c>
      <c r="O739">
        <v>0</v>
      </c>
      <c r="P739">
        <v>2</v>
      </c>
      <c r="Q739" t="s">
        <v>3204</v>
      </c>
      <c r="R739" t="s">
        <v>3205</v>
      </c>
      <c r="S739" t="s">
        <v>16</v>
      </c>
    </row>
    <row r="740" spans="1:19" x14ac:dyDescent="0.3">
      <c r="A740" t="s">
        <v>556</v>
      </c>
      <c r="B740" t="s">
        <v>1596</v>
      </c>
      <c r="C740" t="s">
        <v>2261</v>
      </c>
      <c r="D740" t="s">
        <v>3189</v>
      </c>
      <c r="E740" t="s">
        <v>9</v>
      </c>
      <c r="F740" s="2">
        <v>20</v>
      </c>
      <c r="G740" t="s">
        <v>3206</v>
      </c>
      <c r="H740" t="s">
        <v>10</v>
      </c>
      <c r="I740" t="s">
        <v>11</v>
      </c>
      <c r="J740" t="s">
        <v>3198</v>
      </c>
      <c r="K740" t="s">
        <v>15</v>
      </c>
      <c r="L740" s="2">
        <v>7.05</v>
      </c>
      <c r="M740" t="s">
        <v>3199</v>
      </c>
      <c r="N740">
        <v>0</v>
      </c>
      <c r="O740">
        <v>0</v>
      </c>
      <c r="P740">
        <v>1</v>
      </c>
      <c r="Q740" t="s">
        <v>3200</v>
      </c>
      <c r="R740" t="s">
        <v>3201</v>
      </c>
      <c r="S740" t="s">
        <v>13</v>
      </c>
    </row>
    <row r="741" spans="1:19" x14ac:dyDescent="0.3">
      <c r="A741" t="s">
        <v>557</v>
      </c>
      <c r="B741" t="s">
        <v>1596</v>
      </c>
      <c r="C741" t="s">
        <v>2262</v>
      </c>
      <c r="D741" t="s">
        <v>3189</v>
      </c>
      <c r="E741" t="s">
        <v>9</v>
      </c>
      <c r="F741" s="2">
        <v>29</v>
      </c>
      <c r="G741" t="s">
        <v>3206</v>
      </c>
      <c r="H741" t="s">
        <v>10</v>
      </c>
      <c r="I741" t="s">
        <v>11</v>
      </c>
      <c r="J741" t="s">
        <v>3198</v>
      </c>
      <c r="K741" t="s">
        <v>42</v>
      </c>
      <c r="L741" s="2">
        <v>8.1303000000000001</v>
      </c>
      <c r="M741" t="s">
        <v>3199</v>
      </c>
      <c r="N741">
        <v>0</v>
      </c>
      <c r="O741">
        <v>0</v>
      </c>
      <c r="P741">
        <v>1</v>
      </c>
      <c r="Q741" t="s">
        <v>3200</v>
      </c>
      <c r="R741" t="s">
        <v>3205</v>
      </c>
      <c r="S741" t="s">
        <v>16</v>
      </c>
    </row>
    <row r="742" spans="1:19" x14ac:dyDescent="0.3">
      <c r="A742" t="s">
        <v>558</v>
      </c>
      <c r="B742" t="s">
        <v>1596</v>
      </c>
      <c r="C742" t="s">
        <v>2263</v>
      </c>
      <c r="D742" t="s">
        <v>3189</v>
      </c>
      <c r="E742" t="s">
        <v>9</v>
      </c>
      <c r="F742" s="2">
        <v>50</v>
      </c>
      <c r="G742" t="s">
        <v>3197</v>
      </c>
      <c r="H742" t="s">
        <v>10</v>
      </c>
      <c r="I742" t="s">
        <v>11</v>
      </c>
      <c r="J742" t="s">
        <v>3198</v>
      </c>
      <c r="K742" t="s">
        <v>23</v>
      </c>
      <c r="L742" s="2">
        <v>7.0101000000000004</v>
      </c>
      <c r="M742" t="s">
        <v>3199</v>
      </c>
      <c r="N742">
        <v>0</v>
      </c>
      <c r="O742">
        <v>0</v>
      </c>
      <c r="P742">
        <v>1</v>
      </c>
      <c r="Q742" t="s">
        <v>3200</v>
      </c>
      <c r="R742" t="s">
        <v>3201</v>
      </c>
      <c r="S742" t="s">
        <v>13</v>
      </c>
    </row>
    <row r="743" spans="1:19" x14ac:dyDescent="0.3">
      <c r="A743" t="s">
        <v>559</v>
      </c>
      <c r="B743" t="s">
        <v>1602</v>
      </c>
      <c r="C743" t="s">
        <v>2264</v>
      </c>
      <c r="D743" t="s">
        <v>3190</v>
      </c>
      <c r="E743" t="s">
        <v>14</v>
      </c>
      <c r="F743" s="2">
        <v>23</v>
      </c>
      <c r="G743" t="s">
        <v>3206</v>
      </c>
      <c r="H743" t="s">
        <v>10</v>
      </c>
      <c r="I743" t="s">
        <v>11</v>
      </c>
      <c r="J743" t="s">
        <v>3198</v>
      </c>
      <c r="K743" t="s">
        <v>12</v>
      </c>
      <c r="L743" s="2">
        <v>7.1700999999999997</v>
      </c>
      <c r="M743" t="s">
        <v>3199</v>
      </c>
      <c r="N743">
        <v>0</v>
      </c>
      <c r="O743">
        <v>0</v>
      </c>
      <c r="P743">
        <v>1</v>
      </c>
      <c r="Q743" t="s">
        <v>3200</v>
      </c>
      <c r="R743" t="s">
        <v>3205</v>
      </c>
      <c r="S743" t="s">
        <v>16</v>
      </c>
    </row>
    <row r="744" spans="1:19" x14ac:dyDescent="0.3">
      <c r="A744" t="s">
        <v>560</v>
      </c>
      <c r="B744" t="s">
        <v>1596</v>
      </c>
      <c r="C744" t="s">
        <v>2265</v>
      </c>
      <c r="D744" t="s">
        <v>3189</v>
      </c>
      <c r="E744" t="s">
        <v>9</v>
      </c>
      <c r="F744" s="2">
        <v>32</v>
      </c>
      <c r="G744" t="s">
        <v>3206</v>
      </c>
      <c r="H744" t="s">
        <v>10</v>
      </c>
      <c r="I744" t="s">
        <v>11</v>
      </c>
      <c r="J744" t="s">
        <v>3198</v>
      </c>
      <c r="K744" t="s">
        <v>23</v>
      </c>
      <c r="L744" s="2">
        <v>7.1106999999999996</v>
      </c>
      <c r="M744" t="s">
        <v>3199</v>
      </c>
      <c r="N744">
        <v>0</v>
      </c>
      <c r="O744">
        <v>0</v>
      </c>
      <c r="P744">
        <v>1</v>
      </c>
      <c r="Q744" t="s">
        <v>3200</v>
      </c>
      <c r="R744" t="s">
        <v>3205</v>
      </c>
      <c r="S744" t="s">
        <v>16</v>
      </c>
    </row>
    <row r="745" spans="1:19" x14ac:dyDescent="0.3">
      <c r="A745" t="s">
        <v>561</v>
      </c>
      <c r="B745" t="s">
        <v>1602</v>
      </c>
      <c r="C745" t="s">
        <v>2266</v>
      </c>
      <c r="D745" t="s">
        <v>3190</v>
      </c>
      <c r="E745" t="s">
        <v>14</v>
      </c>
      <c r="F745" s="2">
        <v>59</v>
      </c>
      <c r="G745" t="s">
        <v>3210</v>
      </c>
      <c r="H745" t="s">
        <v>25</v>
      </c>
      <c r="I745" t="s">
        <v>19</v>
      </c>
      <c r="J745" t="s">
        <v>3207</v>
      </c>
      <c r="K745" t="s">
        <v>20</v>
      </c>
      <c r="L745" s="2">
        <v>146.10050000000001</v>
      </c>
      <c r="M745" t="s">
        <v>3209</v>
      </c>
      <c r="N745">
        <v>0</v>
      </c>
      <c r="O745">
        <v>0</v>
      </c>
      <c r="P745">
        <v>1</v>
      </c>
      <c r="Q745" t="s">
        <v>3200</v>
      </c>
      <c r="R745" t="s">
        <v>3205</v>
      </c>
      <c r="S745" t="s">
        <v>16</v>
      </c>
    </row>
    <row r="746" spans="1:19" x14ac:dyDescent="0.3">
      <c r="A746" t="s">
        <v>562</v>
      </c>
      <c r="B746" t="s">
        <v>1596</v>
      </c>
      <c r="C746" t="s">
        <v>2267</v>
      </c>
      <c r="D746" t="s">
        <v>3189</v>
      </c>
      <c r="E746" t="s">
        <v>9</v>
      </c>
      <c r="F746" s="2">
        <v>30</v>
      </c>
      <c r="G746" t="s">
        <v>3206</v>
      </c>
      <c r="H746" t="s">
        <v>10</v>
      </c>
      <c r="I746" t="s">
        <v>19</v>
      </c>
      <c r="J746" t="s">
        <v>3207</v>
      </c>
      <c r="K746" t="s">
        <v>57</v>
      </c>
      <c r="L746" s="2">
        <v>6.0808999999999997</v>
      </c>
      <c r="M746" t="s">
        <v>3199</v>
      </c>
      <c r="N746">
        <v>0</v>
      </c>
      <c r="O746">
        <v>0</v>
      </c>
      <c r="P746">
        <v>1</v>
      </c>
      <c r="Q746" t="s">
        <v>3200</v>
      </c>
      <c r="R746" t="s">
        <v>3201</v>
      </c>
      <c r="S746" t="s">
        <v>13</v>
      </c>
    </row>
    <row r="747" spans="1:19" x14ac:dyDescent="0.3">
      <c r="A747" t="s">
        <v>563</v>
      </c>
      <c r="B747" t="s">
        <v>1596</v>
      </c>
      <c r="C747" t="s">
        <v>2268</v>
      </c>
      <c r="D747" t="s">
        <v>3189</v>
      </c>
      <c r="E747" t="s">
        <v>9</v>
      </c>
      <c r="F747" s="2">
        <v>44</v>
      </c>
      <c r="G747" t="s">
        <v>3197</v>
      </c>
      <c r="H747" t="s">
        <v>10</v>
      </c>
      <c r="I747" t="s">
        <v>11</v>
      </c>
      <c r="J747" t="s">
        <v>3198</v>
      </c>
      <c r="K747" t="s">
        <v>15</v>
      </c>
      <c r="L747" s="2">
        <v>7.1711</v>
      </c>
      <c r="M747" t="s">
        <v>3199</v>
      </c>
      <c r="N747">
        <v>0</v>
      </c>
      <c r="O747">
        <v>0</v>
      </c>
      <c r="P747">
        <v>1</v>
      </c>
      <c r="Q747" t="s">
        <v>3200</v>
      </c>
      <c r="R747" t="s">
        <v>3201</v>
      </c>
      <c r="S747" t="s">
        <v>13</v>
      </c>
    </row>
    <row r="748" spans="1:19" x14ac:dyDescent="0.3">
      <c r="A748" t="s">
        <v>564</v>
      </c>
      <c r="B748" t="s">
        <v>1596</v>
      </c>
      <c r="C748" t="s">
        <v>2269</v>
      </c>
      <c r="D748" t="s">
        <v>3189</v>
      </c>
      <c r="E748" t="s">
        <v>9</v>
      </c>
      <c r="F748" s="2">
        <v>20</v>
      </c>
      <c r="G748" t="s">
        <v>3206</v>
      </c>
      <c r="H748" t="s">
        <v>10</v>
      </c>
      <c r="I748" t="s">
        <v>11</v>
      </c>
      <c r="J748" t="s">
        <v>3198</v>
      </c>
      <c r="K748" t="s">
        <v>43</v>
      </c>
      <c r="L748" s="2">
        <v>7.11</v>
      </c>
      <c r="M748" t="s">
        <v>3199</v>
      </c>
      <c r="N748">
        <v>0</v>
      </c>
      <c r="O748">
        <v>0</v>
      </c>
      <c r="P748">
        <v>1</v>
      </c>
      <c r="Q748" t="s">
        <v>3200</v>
      </c>
      <c r="R748" t="s">
        <v>3201</v>
      </c>
      <c r="S748" t="s">
        <v>13</v>
      </c>
    </row>
    <row r="749" spans="1:19" x14ac:dyDescent="0.3">
      <c r="A749" t="s">
        <v>565</v>
      </c>
      <c r="B749" t="s">
        <v>1600</v>
      </c>
      <c r="C749" t="s">
        <v>1734</v>
      </c>
      <c r="D749" t="s">
        <v>3190</v>
      </c>
      <c r="E749" t="s">
        <v>14</v>
      </c>
      <c r="F749" s="2">
        <v>57</v>
      </c>
      <c r="G749" t="s">
        <v>3210</v>
      </c>
      <c r="H749" t="s">
        <v>18</v>
      </c>
      <c r="I749" t="s">
        <v>11</v>
      </c>
      <c r="J749" t="s">
        <v>3198</v>
      </c>
      <c r="K749" t="s">
        <v>15</v>
      </c>
      <c r="L749" s="2">
        <v>10.1</v>
      </c>
      <c r="M749" t="s">
        <v>3199</v>
      </c>
      <c r="N749">
        <v>0</v>
      </c>
      <c r="O749">
        <v>0</v>
      </c>
      <c r="P749">
        <v>1</v>
      </c>
      <c r="Q749" t="s">
        <v>3200</v>
      </c>
      <c r="R749" t="s">
        <v>3201</v>
      </c>
      <c r="S749" t="s">
        <v>13</v>
      </c>
    </row>
    <row r="750" spans="1:19" x14ac:dyDescent="0.3">
      <c r="A750" t="s">
        <v>566</v>
      </c>
      <c r="B750" t="s">
        <v>1602</v>
      </c>
      <c r="C750" t="s">
        <v>1759</v>
      </c>
      <c r="D750" t="s">
        <v>3190</v>
      </c>
      <c r="E750" t="s">
        <v>14</v>
      </c>
      <c r="F750" s="2">
        <v>21</v>
      </c>
      <c r="G750" t="s">
        <v>3206</v>
      </c>
      <c r="H750" t="s">
        <v>10</v>
      </c>
      <c r="I750" t="s">
        <v>36</v>
      </c>
      <c r="J750" t="s">
        <v>3213</v>
      </c>
      <c r="K750" t="s">
        <v>37</v>
      </c>
      <c r="L750" s="2">
        <v>7.15</v>
      </c>
      <c r="M750" t="s">
        <v>3199</v>
      </c>
      <c r="N750">
        <v>0</v>
      </c>
      <c r="O750">
        <v>0</v>
      </c>
      <c r="P750">
        <v>1</v>
      </c>
      <c r="Q750" t="s">
        <v>3200</v>
      </c>
      <c r="R750" t="s">
        <v>3205</v>
      </c>
      <c r="S750" t="s">
        <v>16</v>
      </c>
    </row>
    <row r="751" spans="1:19" x14ac:dyDescent="0.3">
      <c r="A751" t="s">
        <v>567</v>
      </c>
      <c r="B751" t="s">
        <v>1602</v>
      </c>
      <c r="C751" t="s">
        <v>2270</v>
      </c>
      <c r="D751" t="s">
        <v>3190</v>
      </c>
      <c r="E751" t="s">
        <v>14</v>
      </c>
      <c r="F751" s="2">
        <v>16</v>
      </c>
      <c r="G751" t="s">
        <v>3202</v>
      </c>
      <c r="H751" t="s">
        <v>25</v>
      </c>
      <c r="I751" t="s">
        <v>11</v>
      </c>
      <c r="J751" t="s">
        <v>3198</v>
      </c>
      <c r="K751" t="s">
        <v>12</v>
      </c>
      <c r="L751" s="2">
        <v>211.0609</v>
      </c>
      <c r="M751" t="s">
        <v>3209</v>
      </c>
      <c r="N751">
        <v>0</v>
      </c>
      <c r="O751">
        <v>1</v>
      </c>
      <c r="P751">
        <v>2</v>
      </c>
      <c r="Q751" t="s">
        <v>3204</v>
      </c>
      <c r="R751" t="s">
        <v>3205</v>
      </c>
      <c r="S751" t="s">
        <v>16</v>
      </c>
    </row>
    <row r="752" spans="1:19" x14ac:dyDescent="0.3">
      <c r="A752" t="s">
        <v>568</v>
      </c>
      <c r="B752" t="s">
        <v>1596</v>
      </c>
      <c r="C752" t="s">
        <v>2271</v>
      </c>
      <c r="D752" t="s">
        <v>3189</v>
      </c>
      <c r="E752" t="s">
        <v>9</v>
      </c>
      <c r="F752" s="2">
        <v>24</v>
      </c>
      <c r="G752" t="s">
        <v>3206</v>
      </c>
      <c r="H752" t="s">
        <v>10</v>
      </c>
      <c r="I752" t="s">
        <v>11</v>
      </c>
      <c r="J752" t="s">
        <v>3198</v>
      </c>
      <c r="K752" t="s">
        <v>17</v>
      </c>
      <c r="L752" s="2">
        <v>7.0209999999999999</v>
      </c>
      <c r="M752" t="s">
        <v>3199</v>
      </c>
      <c r="N752">
        <v>0</v>
      </c>
      <c r="O752">
        <v>0</v>
      </c>
      <c r="P752">
        <v>1</v>
      </c>
      <c r="Q752" t="s">
        <v>3200</v>
      </c>
      <c r="R752" t="s">
        <v>3205</v>
      </c>
      <c r="S752" t="s">
        <v>16</v>
      </c>
    </row>
    <row r="753" spans="1:19" x14ac:dyDescent="0.3">
      <c r="A753" t="s">
        <v>569</v>
      </c>
      <c r="B753" t="s">
        <v>1596</v>
      </c>
      <c r="C753" t="s">
        <v>2272</v>
      </c>
      <c r="D753" t="s">
        <v>3189</v>
      </c>
      <c r="E753" t="s">
        <v>9</v>
      </c>
      <c r="F753" s="2">
        <v>22</v>
      </c>
      <c r="G753" t="s">
        <v>3206</v>
      </c>
      <c r="H753" t="s">
        <v>10</v>
      </c>
      <c r="I753" t="s">
        <v>11</v>
      </c>
      <c r="J753" t="s">
        <v>3198</v>
      </c>
      <c r="K753" t="s">
        <v>22</v>
      </c>
      <c r="L753" s="2">
        <v>7.0206</v>
      </c>
      <c r="M753" t="s">
        <v>3199</v>
      </c>
      <c r="N753">
        <v>0</v>
      </c>
      <c r="O753">
        <v>0</v>
      </c>
      <c r="P753">
        <v>1</v>
      </c>
      <c r="Q753" t="s">
        <v>3200</v>
      </c>
      <c r="R753" t="s">
        <v>3201</v>
      </c>
      <c r="S753" t="s">
        <v>13</v>
      </c>
    </row>
    <row r="754" spans="1:19" x14ac:dyDescent="0.3">
      <c r="A754" t="s">
        <v>570</v>
      </c>
      <c r="B754" t="s">
        <v>1596</v>
      </c>
      <c r="C754" t="s">
        <v>2273</v>
      </c>
      <c r="D754" t="s">
        <v>3189</v>
      </c>
      <c r="E754" t="s">
        <v>9</v>
      </c>
      <c r="F754" s="2">
        <v>30</v>
      </c>
      <c r="G754" t="s">
        <v>3206</v>
      </c>
      <c r="H754" t="s">
        <v>25</v>
      </c>
      <c r="I754" t="s">
        <v>11</v>
      </c>
      <c r="J754" t="s">
        <v>3198</v>
      </c>
      <c r="K754" t="s">
        <v>12</v>
      </c>
      <c r="L754" s="2">
        <v>26</v>
      </c>
      <c r="M754" t="s">
        <v>3203</v>
      </c>
      <c r="N754">
        <v>0</v>
      </c>
      <c r="O754">
        <v>0</v>
      </c>
      <c r="P754">
        <v>1</v>
      </c>
      <c r="Q754" t="s">
        <v>3200</v>
      </c>
      <c r="R754" t="s">
        <v>3201</v>
      </c>
      <c r="S754" t="s">
        <v>13</v>
      </c>
    </row>
    <row r="755" spans="1:19" x14ac:dyDescent="0.3">
      <c r="A755" t="s">
        <v>571</v>
      </c>
      <c r="B755" t="s">
        <v>1602</v>
      </c>
      <c r="C755" t="s">
        <v>1741</v>
      </c>
      <c r="D755" t="s">
        <v>3190</v>
      </c>
      <c r="E755" t="s">
        <v>14</v>
      </c>
      <c r="F755" s="2">
        <v>20</v>
      </c>
      <c r="G755" t="s">
        <v>3206</v>
      </c>
      <c r="H755" t="s">
        <v>10</v>
      </c>
      <c r="I755" t="s">
        <v>36</v>
      </c>
      <c r="J755" t="s">
        <v>3213</v>
      </c>
      <c r="K755" t="s">
        <v>37</v>
      </c>
      <c r="L755" s="2">
        <v>7.1707000000000001</v>
      </c>
      <c r="M755" t="s">
        <v>3199</v>
      </c>
      <c r="N755">
        <v>0</v>
      </c>
      <c r="O755">
        <v>0</v>
      </c>
      <c r="P755">
        <v>1</v>
      </c>
      <c r="Q755" t="s">
        <v>3200</v>
      </c>
      <c r="R755" t="s">
        <v>3201</v>
      </c>
      <c r="S755" t="s">
        <v>13</v>
      </c>
    </row>
    <row r="756" spans="1:19" x14ac:dyDescent="0.3">
      <c r="A756" t="s">
        <v>572</v>
      </c>
      <c r="B756" t="s">
        <v>1602</v>
      </c>
      <c r="C756" t="s">
        <v>2274</v>
      </c>
      <c r="D756" t="s">
        <v>3190</v>
      </c>
      <c r="E756" t="s">
        <v>14</v>
      </c>
      <c r="F756" s="2">
        <v>20</v>
      </c>
      <c r="G756" t="s">
        <v>3206</v>
      </c>
      <c r="H756" t="s">
        <v>25</v>
      </c>
      <c r="I756" t="s">
        <v>11</v>
      </c>
      <c r="J756" t="s">
        <v>3198</v>
      </c>
      <c r="K756" t="s">
        <v>15</v>
      </c>
      <c r="L756" s="2">
        <v>86.1</v>
      </c>
      <c r="M756" t="s">
        <v>3211</v>
      </c>
      <c r="N756">
        <v>0</v>
      </c>
      <c r="O756">
        <v>0</v>
      </c>
      <c r="P756">
        <v>1</v>
      </c>
      <c r="Q756" t="s">
        <v>3200</v>
      </c>
      <c r="R756" t="s">
        <v>3205</v>
      </c>
      <c r="S756" t="s">
        <v>16</v>
      </c>
    </row>
    <row r="757" spans="1:19" x14ac:dyDescent="0.3">
      <c r="A757" t="s">
        <v>573</v>
      </c>
      <c r="B757" t="s">
        <v>1596</v>
      </c>
      <c r="C757" t="s">
        <v>2213</v>
      </c>
      <c r="D757" t="s">
        <v>3189</v>
      </c>
      <c r="E757" t="s">
        <v>9</v>
      </c>
      <c r="F757" s="2">
        <v>34</v>
      </c>
      <c r="G757" t="s">
        <v>3206</v>
      </c>
      <c r="H757" t="s">
        <v>10</v>
      </c>
      <c r="I757" t="s">
        <v>11</v>
      </c>
      <c r="J757" t="s">
        <v>3198</v>
      </c>
      <c r="K757" t="s">
        <v>15</v>
      </c>
      <c r="L757" s="2">
        <v>8.01</v>
      </c>
      <c r="M757" t="s">
        <v>3199</v>
      </c>
      <c r="N757">
        <v>0</v>
      </c>
      <c r="O757">
        <v>0</v>
      </c>
      <c r="P757">
        <v>1</v>
      </c>
      <c r="Q757" t="s">
        <v>3200</v>
      </c>
      <c r="R757" t="s">
        <v>3201</v>
      </c>
      <c r="S757" t="s">
        <v>13</v>
      </c>
    </row>
    <row r="758" spans="1:19" x14ac:dyDescent="0.3">
      <c r="A758" t="s">
        <v>574</v>
      </c>
      <c r="B758" t="s">
        <v>1596</v>
      </c>
      <c r="C758" t="s">
        <v>2275</v>
      </c>
      <c r="D758" t="s">
        <v>3189</v>
      </c>
      <c r="E758" t="s">
        <v>9</v>
      </c>
      <c r="F758" s="2">
        <v>29</v>
      </c>
      <c r="G758" t="s">
        <v>3206</v>
      </c>
      <c r="H758" t="s">
        <v>10</v>
      </c>
      <c r="I758" t="s">
        <v>11</v>
      </c>
      <c r="J758" t="s">
        <v>3198</v>
      </c>
      <c r="K758" t="s">
        <v>22</v>
      </c>
      <c r="L758" s="2">
        <v>7.1806000000000001</v>
      </c>
      <c r="M758" t="s">
        <v>3199</v>
      </c>
      <c r="N758">
        <v>0</v>
      </c>
      <c r="O758">
        <v>0</v>
      </c>
      <c r="P758">
        <v>1</v>
      </c>
      <c r="Q758" t="s">
        <v>3200</v>
      </c>
      <c r="R758" t="s">
        <v>3201</v>
      </c>
      <c r="S758" t="s">
        <v>13</v>
      </c>
    </row>
    <row r="759" spans="1:19" x14ac:dyDescent="0.3">
      <c r="A759" t="s">
        <v>575</v>
      </c>
      <c r="B759" t="s">
        <v>1596</v>
      </c>
      <c r="C759" t="s">
        <v>2276</v>
      </c>
      <c r="D759" t="s">
        <v>3189</v>
      </c>
      <c r="E759" t="s">
        <v>9</v>
      </c>
      <c r="F759" s="2">
        <v>25</v>
      </c>
      <c r="G759" t="s">
        <v>3206</v>
      </c>
      <c r="H759" t="s">
        <v>18</v>
      </c>
      <c r="I759" t="s">
        <v>19</v>
      </c>
      <c r="J759" t="s">
        <v>3207</v>
      </c>
      <c r="K759" t="s">
        <v>20</v>
      </c>
      <c r="L759" s="2">
        <v>15</v>
      </c>
      <c r="M759" t="s">
        <v>3199</v>
      </c>
      <c r="N759">
        <v>0</v>
      </c>
      <c r="O759">
        <v>0</v>
      </c>
      <c r="P759">
        <v>1</v>
      </c>
      <c r="Q759" t="s">
        <v>3200</v>
      </c>
      <c r="R759" t="s">
        <v>3201</v>
      </c>
      <c r="S759" t="s">
        <v>13</v>
      </c>
    </row>
    <row r="760" spans="1:19" x14ac:dyDescent="0.3">
      <c r="A760" t="s">
        <v>576</v>
      </c>
      <c r="B760" t="s">
        <v>1612</v>
      </c>
      <c r="C760" t="s">
        <v>2277</v>
      </c>
      <c r="D760" t="s">
        <v>3189</v>
      </c>
      <c r="E760" t="s">
        <v>9</v>
      </c>
      <c r="F760" s="2">
        <v>1</v>
      </c>
      <c r="G760" t="s">
        <v>3208</v>
      </c>
      <c r="H760" t="s">
        <v>18</v>
      </c>
      <c r="I760" t="s">
        <v>19</v>
      </c>
      <c r="J760" t="s">
        <v>3207</v>
      </c>
      <c r="K760" t="s">
        <v>20</v>
      </c>
      <c r="L760" s="2">
        <v>37</v>
      </c>
      <c r="M760" t="s">
        <v>3211</v>
      </c>
      <c r="N760">
        <v>0</v>
      </c>
      <c r="O760">
        <v>2</v>
      </c>
      <c r="P760">
        <v>3</v>
      </c>
      <c r="Q760" t="s">
        <v>3204</v>
      </c>
      <c r="R760" t="s">
        <v>3205</v>
      </c>
      <c r="S760" t="s">
        <v>16</v>
      </c>
    </row>
    <row r="761" spans="1:19" x14ac:dyDescent="0.3">
      <c r="A761" t="s">
        <v>576</v>
      </c>
      <c r="B761" t="s">
        <v>1596</v>
      </c>
      <c r="C761" t="s">
        <v>2278</v>
      </c>
      <c r="D761" t="s">
        <v>3189</v>
      </c>
      <c r="E761" t="s">
        <v>9</v>
      </c>
      <c r="F761" s="2">
        <v>45</v>
      </c>
      <c r="G761" t="s">
        <v>3197</v>
      </c>
      <c r="H761" t="s">
        <v>18</v>
      </c>
      <c r="I761" t="s">
        <v>19</v>
      </c>
      <c r="J761" t="s">
        <v>3207</v>
      </c>
      <c r="K761" t="s">
        <v>20</v>
      </c>
      <c r="L761" s="2">
        <v>37</v>
      </c>
      <c r="M761" t="s">
        <v>3211</v>
      </c>
      <c r="N761">
        <v>1</v>
      </c>
      <c r="O761">
        <v>1</v>
      </c>
      <c r="P761">
        <v>3</v>
      </c>
      <c r="Q761" t="s">
        <v>3204</v>
      </c>
      <c r="R761" t="s">
        <v>3201</v>
      </c>
      <c r="S761" t="s">
        <v>13</v>
      </c>
    </row>
    <row r="762" spans="1:19" x14ac:dyDescent="0.3">
      <c r="A762" t="s">
        <v>576</v>
      </c>
      <c r="B762" t="s">
        <v>1600</v>
      </c>
      <c r="C762" t="s">
        <v>2279</v>
      </c>
      <c r="D762" t="s">
        <v>3190</v>
      </c>
      <c r="E762" t="s">
        <v>14</v>
      </c>
      <c r="F762" s="2">
        <v>24</v>
      </c>
      <c r="G762" t="s">
        <v>3206</v>
      </c>
      <c r="H762" t="s">
        <v>18</v>
      </c>
      <c r="I762" t="s">
        <v>19</v>
      </c>
      <c r="J762" t="s">
        <v>3207</v>
      </c>
      <c r="K762" t="s">
        <v>20</v>
      </c>
      <c r="L762" s="2">
        <v>37</v>
      </c>
      <c r="M762" t="s">
        <v>3211</v>
      </c>
      <c r="N762">
        <v>1</v>
      </c>
      <c r="O762">
        <v>1</v>
      </c>
      <c r="P762">
        <v>3</v>
      </c>
      <c r="Q762" t="s">
        <v>3204</v>
      </c>
      <c r="R762" t="s">
        <v>3205</v>
      </c>
      <c r="S762" t="s">
        <v>16</v>
      </c>
    </row>
    <row r="763" spans="1:19" x14ac:dyDescent="0.3">
      <c r="A763" t="s">
        <v>577</v>
      </c>
      <c r="B763" t="s">
        <v>1596</v>
      </c>
      <c r="C763" t="s">
        <v>2280</v>
      </c>
      <c r="D763" t="s">
        <v>3189</v>
      </c>
      <c r="E763" t="s">
        <v>9</v>
      </c>
      <c r="F763" s="2">
        <v>18</v>
      </c>
      <c r="G763" t="s">
        <v>3206</v>
      </c>
      <c r="H763" t="s">
        <v>10</v>
      </c>
      <c r="I763" t="s">
        <v>19</v>
      </c>
      <c r="J763" t="s">
        <v>3207</v>
      </c>
      <c r="K763" t="s">
        <v>21</v>
      </c>
      <c r="L763" s="2">
        <v>7.0407000000000002</v>
      </c>
      <c r="M763" t="s">
        <v>3199</v>
      </c>
      <c r="N763">
        <v>0</v>
      </c>
      <c r="O763">
        <v>0</v>
      </c>
      <c r="P763">
        <v>1</v>
      </c>
      <c r="Q763" t="s">
        <v>3200</v>
      </c>
      <c r="R763" t="s">
        <v>3205</v>
      </c>
      <c r="S763" t="s">
        <v>16</v>
      </c>
    </row>
    <row r="764" spans="1:19" x14ac:dyDescent="0.3">
      <c r="A764" t="s">
        <v>578</v>
      </c>
      <c r="B764" t="s">
        <v>1602</v>
      </c>
      <c r="C764" t="s">
        <v>1734</v>
      </c>
      <c r="D764" t="s">
        <v>3190</v>
      </c>
      <c r="E764" t="s">
        <v>14</v>
      </c>
      <c r="F764" s="2">
        <v>32</v>
      </c>
      <c r="G764" t="s">
        <v>3206</v>
      </c>
      <c r="H764" t="s">
        <v>10</v>
      </c>
      <c r="I764" t="s">
        <v>36</v>
      </c>
      <c r="J764" t="s">
        <v>3213</v>
      </c>
      <c r="K764" t="s">
        <v>37</v>
      </c>
      <c r="L764" s="2">
        <v>7.15</v>
      </c>
      <c r="M764" t="s">
        <v>3199</v>
      </c>
      <c r="N764">
        <v>0</v>
      </c>
      <c r="O764">
        <v>0</v>
      </c>
      <c r="P764">
        <v>1</v>
      </c>
      <c r="Q764" t="s">
        <v>3200</v>
      </c>
      <c r="R764" t="s">
        <v>3201</v>
      </c>
      <c r="S764" t="s">
        <v>13</v>
      </c>
    </row>
    <row r="765" spans="1:19" x14ac:dyDescent="0.3">
      <c r="A765" t="s">
        <v>579</v>
      </c>
      <c r="B765" t="s">
        <v>1596</v>
      </c>
      <c r="C765" t="s">
        <v>2281</v>
      </c>
      <c r="D765" t="s">
        <v>3189</v>
      </c>
      <c r="E765" t="s">
        <v>9</v>
      </c>
      <c r="F765" s="2">
        <v>30</v>
      </c>
      <c r="G765" t="s">
        <v>3206</v>
      </c>
      <c r="H765" t="s">
        <v>18</v>
      </c>
      <c r="I765" t="s">
        <v>19</v>
      </c>
      <c r="J765" t="s">
        <v>3207</v>
      </c>
      <c r="K765" t="s">
        <v>12</v>
      </c>
      <c r="L765" s="2">
        <v>15.1107</v>
      </c>
      <c r="M765" t="s">
        <v>3203</v>
      </c>
      <c r="N765">
        <v>0</v>
      </c>
      <c r="O765">
        <v>0</v>
      </c>
      <c r="P765">
        <v>1</v>
      </c>
      <c r="Q765" t="s">
        <v>3200</v>
      </c>
      <c r="R765" t="s">
        <v>3201</v>
      </c>
      <c r="S765" t="s">
        <v>13</v>
      </c>
    </row>
    <row r="766" spans="1:19" x14ac:dyDescent="0.3">
      <c r="A766" t="s">
        <v>580</v>
      </c>
      <c r="B766" t="s">
        <v>1602</v>
      </c>
      <c r="C766" t="s">
        <v>1759</v>
      </c>
      <c r="D766" t="s">
        <v>3190</v>
      </c>
      <c r="E766" t="s">
        <v>14</v>
      </c>
      <c r="F766" s="2">
        <v>28</v>
      </c>
      <c r="G766" t="s">
        <v>3206</v>
      </c>
      <c r="H766" t="s">
        <v>10</v>
      </c>
      <c r="I766" t="s">
        <v>36</v>
      </c>
      <c r="J766" t="s">
        <v>3213</v>
      </c>
      <c r="K766" t="s">
        <v>37</v>
      </c>
      <c r="L766" s="2">
        <v>7.1409000000000002</v>
      </c>
      <c r="M766" t="s">
        <v>3199</v>
      </c>
      <c r="N766">
        <v>0</v>
      </c>
      <c r="O766">
        <v>0</v>
      </c>
      <c r="P766">
        <v>1</v>
      </c>
      <c r="Q766" t="s">
        <v>3200</v>
      </c>
      <c r="R766" t="s">
        <v>3205</v>
      </c>
      <c r="S766" t="s">
        <v>16</v>
      </c>
    </row>
    <row r="767" spans="1:19" x14ac:dyDescent="0.3">
      <c r="A767" t="s">
        <v>581</v>
      </c>
      <c r="B767" t="s">
        <v>1596</v>
      </c>
      <c r="C767" t="s">
        <v>2282</v>
      </c>
      <c r="D767" t="s">
        <v>3189</v>
      </c>
      <c r="E767" t="s">
        <v>9</v>
      </c>
      <c r="F767" s="2">
        <v>25</v>
      </c>
      <c r="G767" t="s">
        <v>3206</v>
      </c>
      <c r="H767" t="s">
        <v>10</v>
      </c>
      <c r="I767" t="s">
        <v>19</v>
      </c>
      <c r="J767" t="s">
        <v>3207</v>
      </c>
      <c r="K767" t="s">
        <v>58</v>
      </c>
      <c r="L767" s="2">
        <v>7.0407000000000002</v>
      </c>
      <c r="M767" t="s">
        <v>3199</v>
      </c>
      <c r="N767">
        <v>0</v>
      </c>
      <c r="O767">
        <v>0</v>
      </c>
      <c r="P767">
        <v>1</v>
      </c>
      <c r="Q767" t="s">
        <v>3200</v>
      </c>
      <c r="R767" t="s">
        <v>3201</v>
      </c>
      <c r="S767" t="s">
        <v>13</v>
      </c>
    </row>
    <row r="768" spans="1:19" x14ac:dyDescent="0.3">
      <c r="A768" t="s">
        <v>582</v>
      </c>
      <c r="B768" t="s">
        <v>1596</v>
      </c>
      <c r="C768" t="s">
        <v>2283</v>
      </c>
      <c r="D768" t="s">
        <v>3189</v>
      </c>
      <c r="E768" t="s">
        <v>9</v>
      </c>
      <c r="F768" s="2">
        <v>29</v>
      </c>
      <c r="G768" t="s">
        <v>3206</v>
      </c>
      <c r="H768" t="s">
        <v>25</v>
      </c>
      <c r="I768" t="s">
        <v>19</v>
      </c>
      <c r="J768" t="s">
        <v>3207</v>
      </c>
      <c r="K768" t="s">
        <v>20</v>
      </c>
      <c r="L768" s="2">
        <v>29.14</v>
      </c>
      <c r="M768" t="s">
        <v>3203</v>
      </c>
      <c r="N768">
        <v>0</v>
      </c>
      <c r="O768">
        <v>0</v>
      </c>
      <c r="P768">
        <v>1</v>
      </c>
      <c r="Q768" t="s">
        <v>3200</v>
      </c>
      <c r="R768" t="s">
        <v>3205</v>
      </c>
      <c r="S768" t="s">
        <v>16</v>
      </c>
    </row>
    <row r="769" spans="1:19" x14ac:dyDescent="0.3">
      <c r="A769" t="s">
        <v>583</v>
      </c>
      <c r="B769" t="s">
        <v>1596</v>
      </c>
      <c r="C769" t="s">
        <v>2284</v>
      </c>
      <c r="D769" t="s">
        <v>3189</v>
      </c>
      <c r="E769" t="s">
        <v>9</v>
      </c>
      <c r="F769" s="2">
        <v>23</v>
      </c>
      <c r="G769" t="s">
        <v>3206</v>
      </c>
      <c r="H769" t="s">
        <v>10</v>
      </c>
      <c r="I769" t="s">
        <v>11</v>
      </c>
      <c r="J769" t="s">
        <v>3198</v>
      </c>
      <c r="K769" t="s">
        <v>62</v>
      </c>
      <c r="L769" s="2">
        <v>7.1711</v>
      </c>
      <c r="M769" t="s">
        <v>3199</v>
      </c>
      <c r="N769">
        <v>0</v>
      </c>
      <c r="O769">
        <v>0</v>
      </c>
      <c r="P769">
        <v>1</v>
      </c>
      <c r="Q769" t="s">
        <v>3200</v>
      </c>
      <c r="R769" t="s">
        <v>3201</v>
      </c>
      <c r="S769" t="s">
        <v>13</v>
      </c>
    </row>
    <row r="770" spans="1:19" x14ac:dyDescent="0.3">
      <c r="A770" t="s">
        <v>584</v>
      </c>
      <c r="B770" t="s">
        <v>1596</v>
      </c>
      <c r="C770" t="s">
        <v>2285</v>
      </c>
      <c r="D770" t="s">
        <v>3189</v>
      </c>
      <c r="E770" t="s">
        <v>9</v>
      </c>
      <c r="F770" s="2">
        <v>35</v>
      </c>
      <c r="G770" t="s">
        <v>3206</v>
      </c>
      <c r="H770" t="s">
        <v>10</v>
      </c>
      <c r="I770" t="s">
        <v>11</v>
      </c>
      <c r="J770" t="s">
        <v>3198</v>
      </c>
      <c r="K770" t="s">
        <v>31</v>
      </c>
      <c r="L770" s="2">
        <v>7.1711</v>
      </c>
      <c r="M770" t="s">
        <v>3199</v>
      </c>
      <c r="N770">
        <v>0</v>
      </c>
      <c r="O770">
        <v>0</v>
      </c>
      <c r="P770">
        <v>1</v>
      </c>
      <c r="Q770" t="s">
        <v>3200</v>
      </c>
      <c r="R770" t="s">
        <v>3201</v>
      </c>
      <c r="S770" t="s">
        <v>13</v>
      </c>
    </row>
    <row r="771" spans="1:19" x14ac:dyDescent="0.3">
      <c r="A771" t="s">
        <v>585</v>
      </c>
      <c r="B771" t="s">
        <v>1596</v>
      </c>
      <c r="C771" t="s">
        <v>2286</v>
      </c>
      <c r="D771" t="s">
        <v>3189</v>
      </c>
      <c r="E771" t="s">
        <v>9</v>
      </c>
      <c r="F771" s="2">
        <v>33</v>
      </c>
      <c r="G771" t="s">
        <v>3206</v>
      </c>
      <c r="H771" t="s">
        <v>10</v>
      </c>
      <c r="I771" t="s">
        <v>19</v>
      </c>
      <c r="J771" t="s">
        <v>3207</v>
      </c>
      <c r="K771" t="s">
        <v>56</v>
      </c>
      <c r="L771" s="2">
        <v>7.1711</v>
      </c>
      <c r="M771" t="s">
        <v>3199</v>
      </c>
      <c r="N771">
        <v>0</v>
      </c>
      <c r="O771">
        <v>0</v>
      </c>
      <c r="P771">
        <v>1</v>
      </c>
      <c r="Q771" t="s">
        <v>3200</v>
      </c>
      <c r="R771" t="s">
        <v>3201</v>
      </c>
      <c r="S771" t="s">
        <v>13</v>
      </c>
    </row>
    <row r="772" spans="1:19" x14ac:dyDescent="0.3">
      <c r="A772" t="s">
        <v>586</v>
      </c>
      <c r="B772" t="s">
        <v>1596</v>
      </c>
      <c r="C772" t="s">
        <v>2287</v>
      </c>
      <c r="D772" t="s">
        <v>3189</v>
      </c>
      <c r="E772" t="s">
        <v>9</v>
      </c>
      <c r="F772" s="2">
        <v>18</v>
      </c>
      <c r="G772" t="s">
        <v>3206</v>
      </c>
      <c r="H772" t="s">
        <v>25</v>
      </c>
      <c r="I772" t="s">
        <v>11</v>
      </c>
      <c r="J772" t="s">
        <v>3198</v>
      </c>
      <c r="K772" t="s">
        <v>12</v>
      </c>
      <c r="L772" s="2">
        <v>53.02</v>
      </c>
      <c r="M772" t="s">
        <v>3211</v>
      </c>
      <c r="N772">
        <v>1</v>
      </c>
      <c r="O772">
        <v>0</v>
      </c>
      <c r="P772">
        <v>2</v>
      </c>
      <c r="Q772" t="s">
        <v>3204</v>
      </c>
      <c r="R772" t="s">
        <v>3201</v>
      </c>
      <c r="S772" t="s">
        <v>13</v>
      </c>
    </row>
    <row r="773" spans="1:19" x14ac:dyDescent="0.3">
      <c r="A773" t="s">
        <v>586</v>
      </c>
      <c r="B773" t="s">
        <v>1600</v>
      </c>
      <c r="C773" t="s">
        <v>2288</v>
      </c>
      <c r="D773" t="s">
        <v>3190</v>
      </c>
      <c r="E773" t="s">
        <v>14</v>
      </c>
      <c r="F773" s="2">
        <v>18</v>
      </c>
      <c r="G773" t="s">
        <v>3206</v>
      </c>
      <c r="H773" t="s">
        <v>25</v>
      </c>
      <c r="I773" t="s">
        <v>11</v>
      </c>
      <c r="J773" t="s">
        <v>3198</v>
      </c>
      <c r="K773" t="s">
        <v>43</v>
      </c>
      <c r="L773" s="2">
        <v>53.02</v>
      </c>
      <c r="M773" t="s">
        <v>3211</v>
      </c>
      <c r="N773">
        <v>1</v>
      </c>
      <c r="O773">
        <v>0</v>
      </c>
      <c r="P773">
        <v>2</v>
      </c>
      <c r="Q773" t="s">
        <v>3204</v>
      </c>
      <c r="R773" t="s">
        <v>3205</v>
      </c>
      <c r="S773" t="s">
        <v>16</v>
      </c>
    </row>
    <row r="774" spans="1:19" x14ac:dyDescent="0.3">
      <c r="A774" t="s">
        <v>587</v>
      </c>
      <c r="B774" t="s">
        <v>1596</v>
      </c>
      <c r="C774" t="s">
        <v>2289</v>
      </c>
      <c r="D774" t="s">
        <v>3189</v>
      </c>
      <c r="E774" t="s">
        <v>9</v>
      </c>
      <c r="F774" s="2">
        <v>30</v>
      </c>
      <c r="G774" t="s">
        <v>3206</v>
      </c>
      <c r="H774" t="s">
        <v>10</v>
      </c>
      <c r="I774" t="s">
        <v>19</v>
      </c>
      <c r="J774" t="s">
        <v>3207</v>
      </c>
      <c r="K774" t="s">
        <v>31</v>
      </c>
      <c r="L774" s="2">
        <v>7.1711</v>
      </c>
      <c r="M774" t="s">
        <v>3199</v>
      </c>
      <c r="N774">
        <v>0</v>
      </c>
      <c r="O774">
        <v>0</v>
      </c>
      <c r="P774">
        <v>1</v>
      </c>
      <c r="Q774" t="s">
        <v>3200</v>
      </c>
      <c r="R774" t="s">
        <v>3201</v>
      </c>
      <c r="S774" t="s">
        <v>13</v>
      </c>
    </row>
    <row r="775" spans="1:19" x14ac:dyDescent="0.3">
      <c r="A775" t="s">
        <v>588</v>
      </c>
      <c r="B775" t="s">
        <v>1596</v>
      </c>
      <c r="C775" t="s">
        <v>1716</v>
      </c>
      <c r="D775" t="s">
        <v>3189</v>
      </c>
      <c r="E775" t="s">
        <v>9</v>
      </c>
      <c r="F775" s="2">
        <v>23</v>
      </c>
      <c r="G775" t="s">
        <v>3206</v>
      </c>
      <c r="H775" t="s">
        <v>18</v>
      </c>
      <c r="I775" t="s">
        <v>11</v>
      </c>
      <c r="J775" t="s">
        <v>3198</v>
      </c>
      <c r="K775" t="s">
        <v>15</v>
      </c>
      <c r="L775" s="2">
        <v>13</v>
      </c>
      <c r="M775" t="s">
        <v>3199</v>
      </c>
      <c r="N775">
        <v>0</v>
      </c>
      <c r="O775">
        <v>0</v>
      </c>
      <c r="P775">
        <v>1</v>
      </c>
      <c r="Q775" t="s">
        <v>3200</v>
      </c>
      <c r="R775" t="s">
        <v>3201</v>
      </c>
      <c r="S775" t="s">
        <v>13</v>
      </c>
    </row>
    <row r="776" spans="1:19" x14ac:dyDescent="0.3">
      <c r="A776" t="s">
        <v>589</v>
      </c>
      <c r="B776" t="s">
        <v>1596</v>
      </c>
      <c r="C776" t="s">
        <v>2290</v>
      </c>
      <c r="D776" t="s">
        <v>3189</v>
      </c>
      <c r="E776" t="s">
        <v>9</v>
      </c>
      <c r="F776" s="2">
        <v>36</v>
      </c>
      <c r="G776" t="s">
        <v>3197</v>
      </c>
      <c r="H776" t="s">
        <v>18</v>
      </c>
      <c r="I776" t="s">
        <v>11</v>
      </c>
      <c r="J776" t="s">
        <v>3198</v>
      </c>
      <c r="K776" t="s">
        <v>15</v>
      </c>
      <c r="L776" s="2">
        <v>16</v>
      </c>
      <c r="M776" t="s">
        <v>3203</v>
      </c>
      <c r="N776">
        <v>0</v>
      </c>
      <c r="O776">
        <v>0</v>
      </c>
      <c r="P776">
        <v>1</v>
      </c>
      <c r="Q776" t="s">
        <v>3200</v>
      </c>
      <c r="R776" t="s">
        <v>3201</v>
      </c>
      <c r="S776" t="s">
        <v>13</v>
      </c>
    </row>
    <row r="777" spans="1:19" x14ac:dyDescent="0.3">
      <c r="A777" t="s">
        <v>590</v>
      </c>
      <c r="B777" t="s">
        <v>2291</v>
      </c>
      <c r="C777" t="s">
        <v>2292</v>
      </c>
      <c r="D777" t="s">
        <v>3190</v>
      </c>
      <c r="E777" t="s">
        <v>14</v>
      </c>
      <c r="F777" s="2">
        <v>24</v>
      </c>
      <c r="G777" t="s">
        <v>3206</v>
      </c>
      <c r="H777" t="s">
        <v>25</v>
      </c>
      <c r="I777" t="s">
        <v>19</v>
      </c>
      <c r="J777" t="s">
        <v>3207</v>
      </c>
      <c r="K777" t="s">
        <v>46</v>
      </c>
      <c r="L777" s="2">
        <v>49.100099999999998</v>
      </c>
      <c r="M777" t="s">
        <v>3211</v>
      </c>
      <c r="N777">
        <v>0</v>
      </c>
      <c r="O777">
        <v>0</v>
      </c>
      <c r="P777">
        <v>1</v>
      </c>
      <c r="Q777" t="s">
        <v>3200</v>
      </c>
      <c r="R777" t="s">
        <v>3205</v>
      </c>
      <c r="S777" t="s">
        <v>16</v>
      </c>
    </row>
    <row r="778" spans="1:19" x14ac:dyDescent="0.3">
      <c r="A778" t="s">
        <v>591</v>
      </c>
      <c r="B778" t="s">
        <v>1596</v>
      </c>
      <c r="C778" t="s">
        <v>2293</v>
      </c>
      <c r="D778" t="s">
        <v>3189</v>
      </c>
      <c r="E778" t="s">
        <v>9</v>
      </c>
      <c r="F778" s="2">
        <v>46</v>
      </c>
      <c r="G778" t="s">
        <v>3197</v>
      </c>
      <c r="H778" t="s">
        <v>25</v>
      </c>
      <c r="I778" t="s">
        <v>11</v>
      </c>
      <c r="J778" t="s">
        <v>3198</v>
      </c>
      <c r="K778" t="s">
        <v>26</v>
      </c>
      <c r="L778" s="2">
        <v>75.040999999999997</v>
      </c>
      <c r="M778" t="s">
        <v>3211</v>
      </c>
      <c r="N778">
        <v>0</v>
      </c>
      <c r="O778">
        <v>0</v>
      </c>
      <c r="P778">
        <v>1</v>
      </c>
      <c r="Q778" t="s">
        <v>3200</v>
      </c>
      <c r="R778" t="s">
        <v>3201</v>
      </c>
      <c r="S778" t="s">
        <v>13</v>
      </c>
    </row>
    <row r="779" spans="1:19" x14ac:dyDescent="0.3">
      <c r="A779" t="s">
        <v>592</v>
      </c>
      <c r="B779" t="s">
        <v>1602</v>
      </c>
      <c r="C779" t="s">
        <v>1735</v>
      </c>
      <c r="D779" t="s">
        <v>3190</v>
      </c>
      <c r="E779" t="s">
        <v>14</v>
      </c>
      <c r="F779" s="2">
        <v>25</v>
      </c>
      <c r="G779" t="s">
        <v>3206</v>
      </c>
      <c r="H779" t="s">
        <v>10</v>
      </c>
      <c r="I779" t="s">
        <v>36</v>
      </c>
      <c r="J779" t="s">
        <v>3213</v>
      </c>
      <c r="K779" t="s">
        <v>37</v>
      </c>
      <c r="L779" s="2">
        <v>7.15</v>
      </c>
      <c r="M779" t="s">
        <v>3199</v>
      </c>
      <c r="N779">
        <v>0</v>
      </c>
      <c r="O779">
        <v>0</v>
      </c>
      <c r="P779">
        <v>1</v>
      </c>
      <c r="Q779" t="s">
        <v>3200</v>
      </c>
      <c r="R779" t="s">
        <v>3205</v>
      </c>
      <c r="S779" t="s">
        <v>16</v>
      </c>
    </row>
    <row r="780" spans="1:19" x14ac:dyDescent="0.3">
      <c r="A780" t="s">
        <v>592</v>
      </c>
      <c r="B780" t="s">
        <v>1596</v>
      </c>
      <c r="C780" t="s">
        <v>2294</v>
      </c>
      <c r="D780" t="s">
        <v>3189</v>
      </c>
      <c r="E780" t="s">
        <v>9</v>
      </c>
      <c r="F780" s="2">
        <v>55</v>
      </c>
      <c r="G780" t="s">
        <v>3197</v>
      </c>
      <c r="H780" t="s">
        <v>25</v>
      </c>
      <c r="I780" t="s">
        <v>11</v>
      </c>
      <c r="J780" t="s">
        <v>3198</v>
      </c>
      <c r="K780" t="s">
        <v>12</v>
      </c>
      <c r="L780" s="2">
        <v>51.170299999999997</v>
      </c>
      <c r="M780" t="s">
        <v>3211</v>
      </c>
      <c r="N780">
        <v>0</v>
      </c>
      <c r="O780">
        <v>0</v>
      </c>
      <c r="P780">
        <v>1</v>
      </c>
      <c r="Q780" t="s">
        <v>3200</v>
      </c>
      <c r="R780" t="s">
        <v>3201</v>
      </c>
      <c r="S780" t="s">
        <v>13</v>
      </c>
    </row>
    <row r="781" spans="1:19" x14ac:dyDescent="0.3">
      <c r="A781" t="s">
        <v>593</v>
      </c>
      <c r="B781" t="s">
        <v>1596</v>
      </c>
      <c r="C781" t="s">
        <v>2295</v>
      </c>
      <c r="D781" t="s">
        <v>3189</v>
      </c>
      <c r="E781" t="s">
        <v>9</v>
      </c>
      <c r="F781" s="2">
        <v>19</v>
      </c>
      <c r="G781" t="s">
        <v>3206</v>
      </c>
      <c r="H781" t="s">
        <v>10</v>
      </c>
      <c r="I781" t="s">
        <v>36</v>
      </c>
      <c r="J781" t="s">
        <v>3213</v>
      </c>
      <c r="K781" t="s">
        <v>12</v>
      </c>
      <c r="L781" s="2">
        <v>7.15</v>
      </c>
      <c r="M781" t="s">
        <v>3199</v>
      </c>
      <c r="N781">
        <v>0</v>
      </c>
      <c r="O781">
        <v>0</v>
      </c>
      <c r="P781">
        <v>1</v>
      </c>
      <c r="Q781" t="s">
        <v>3200</v>
      </c>
      <c r="R781" t="s">
        <v>3205</v>
      </c>
      <c r="S781" t="s">
        <v>16</v>
      </c>
    </row>
    <row r="782" spans="1:19" x14ac:dyDescent="0.3">
      <c r="A782" t="s">
        <v>594</v>
      </c>
      <c r="B782" t="s">
        <v>1602</v>
      </c>
      <c r="C782" t="s">
        <v>1900</v>
      </c>
      <c r="D782" t="s">
        <v>3190</v>
      </c>
      <c r="E782" t="s">
        <v>14</v>
      </c>
      <c r="F782" s="2">
        <v>29</v>
      </c>
      <c r="G782" t="s">
        <v>3206</v>
      </c>
      <c r="H782" t="s">
        <v>10</v>
      </c>
      <c r="I782" t="s">
        <v>36</v>
      </c>
      <c r="J782" t="s">
        <v>3213</v>
      </c>
      <c r="K782" t="s">
        <v>37</v>
      </c>
      <c r="L782" s="2">
        <v>23.05</v>
      </c>
      <c r="M782" t="s">
        <v>3203</v>
      </c>
      <c r="N782">
        <v>2</v>
      </c>
      <c r="O782">
        <v>0</v>
      </c>
      <c r="P782">
        <v>3</v>
      </c>
      <c r="Q782" t="s">
        <v>3204</v>
      </c>
      <c r="R782" t="s">
        <v>3205</v>
      </c>
      <c r="S782" t="s">
        <v>16</v>
      </c>
    </row>
    <row r="783" spans="1:19" x14ac:dyDescent="0.3">
      <c r="A783" t="s">
        <v>594</v>
      </c>
      <c r="B783" t="s">
        <v>1602</v>
      </c>
      <c r="C783" t="s">
        <v>2087</v>
      </c>
      <c r="D783" t="s">
        <v>3190</v>
      </c>
      <c r="E783" t="s">
        <v>14</v>
      </c>
      <c r="F783" s="2">
        <v>26</v>
      </c>
      <c r="G783" t="s">
        <v>3206</v>
      </c>
      <c r="H783" t="s">
        <v>10</v>
      </c>
      <c r="I783" t="s">
        <v>36</v>
      </c>
      <c r="J783" t="s">
        <v>3213</v>
      </c>
      <c r="K783" t="s">
        <v>37</v>
      </c>
      <c r="L783" s="2">
        <v>23.05</v>
      </c>
      <c r="M783" t="s">
        <v>3203</v>
      </c>
      <c r="N783">
        <v>2</v>
      </c>
      <c r="O783">
        <v>0</v>
      </c>
      <c r="P783">
        <v>3</v>
      </c>
      <c r="Q783" t="s">
        <v>3204</v>
      </c>
      <c r="R783" t="s">
        <v>3205</v>
      </c>
      <c r="S783" t="s">
        <v>16</v>
      </c>
    </row>
    <row r="784" spans="1:19" x14ac:dyDescent="0.3">
      <c r="A784" t="s">
        <v>594</v>
      </c>
      <c r="B784" t="s">
        <v>1596</v>
      </c>
      <c r="C784" t="s">
        <v>2296</v>
      </c>
      <c r="D784" t="s">
        <v>3189</v>
      </c>
      <c r="E784" t="s">
        <v>9</v>
      </c>
      <c r="F784" s="2">
        <v>24</v>
      </c>
      <c r="G784" t="s">
        <v>3206</v>
      </c>
      <c r="H784" t="s">
        <v>10</v>
      </c>
      <c r="I784" t="s">
        <v>36</v>
      </c>
      <c r="J784" t="s">
        <v>3213</v>
      </c>
      <c r="K784" t="s">
        <v>37</v>
      </c>
      <c r="L784" s="2">
        <v>23.05</v>
      </c>
      <c r="M784" t="s">
        <v>3203</v>
      </c>
      <c r="N784">
        <v>2</v>
      </c>
      <c r="O784">
        <v>0</v>
      </c>
      <c r="P784">
        <v>3</v>
      </c>
      <c r="Q784" t="s">
        <v>3204</v>
      </c>
      <c r="R784" t="s">
        <v>3205</v>
      </c>
      <c r="S784" t="s">
        <v>16</v>
      </c>
    </row>
    <row r="785" spans="1:19" x14ac:dyDescent="0.3">
      <c r="A785" t="s">
        <v>595</v>
      </c>
      <c r="B785" t="s">
        <v>1596</v>
      </c>
      <c r="C785" t="s">
        <v>2297</v>
      </c>
      <c r="D785" t="s">
        <v>3189</v>
      </c>
      <c r="E785" t="s">
        <v>9</v>
      </c>
      <c r="F785" s="2">
        <v>32</v>
      </c>
      <c r="G785" t="s">
        <v>3206</v>
      </c>
      <c r="H785" t="s">
        <v>18</v>
      </c>
      <c r="I785" t="s">
        <v>11</v>
      </c>
      <c r="J785" t="s">
        <v>3198</v>
      </c>
      <c r="K785" t="s">
        <v>48</v>
      </c>
      <c r="L785" s="2">
        <v>13.1</v>
      </c>
      <c r="M785" t="s">
        <v>3199</v>
      </c>
      <c r="N785">
        <v>0</v>
      </c>
      <c r="O785">
        <v>0</v>
      </c>
      <c r="P785">
        <v>1</v>
      </c>
      <c r="Q785" t="s">
        <v>3200</v>
      </c>
      <c r="R785" t="s">
        <v>3201</v>
      </c>
      <c r="S785" t="s">
        <v>13</v>
      </c>
    </row>
    <row r="786" spans="1:19" x14ac:dyDescent="0.3">
      <c r="A786" t="s">
        <v>596</v>
      </c>
      <c r="B786" t="s">
        <v>1596</v>
      </c>
      <c r="C786" t="s">
        <v>2298</v>
      </c>
      <c r="D786" t="s">
        <v>3189</v>
      </c>
      <c r="E786" t="s">
        <v>9</v>
      </c>
      <c r="F786" s="2">
        <v>32</v>
      </c>
      <c r="G786" t="s">
        <v>3206</v>
      </c>
      <c r="H786" t="s">
        <v>18</v>
      </c>
      <c r="I786" t="s">
        <v>11</v>
      </c>
      <c r="J786" t="s">
        <v>3198</v>
      </c>
      <c r="K786" t="s">
        <v>26</v>
      </c>
      <c r="L786" s="2">
        <v>13</v>
      </c>
      <c r="M786" t="s">
        <v>3199</v>
      </c>
      <c r="N786">
        <v>0</v>
      </c>
      <c r="O786">
        <v>0</v>
      </c>
      <c r="P786">
        <v>1</v>
      </c>
      <c r="Q786" t="s">
        <v>3200</v>
      </c>
      <c r="R786" t="s">
        <v>3201</v>
      </c>
      <c r="S786" t="s">
        <v>13</v>
      </c>
    </row>
    <row r="787" spans="1:19" x14ac:dyDescent="0.3">
      <c r="A787" t="s">
        <v>597</v>
      </c>
      <c r="B787" t="s">
        <v>1602</v>
      </c>
      <c r="C787" t="s">
        <v>1741</v>
      </c>
      <c r="D787" t="s">
        <v>3190</v>
      </c>
      <c r="E787" t="s">
        <v>14</v>
      </c>
      <c r="F787" s="2">
        <v>31</v>
      </c>
      <c r="G787" t="s">
        <v>3206</v>
      </c>
      <c r="H787" t="s">
        <v>10</v>
      </c>
      <c r="I787" t="s">
        <v>36</v>
      </c>
      <c r="J787" t="s">
        <v>3213</v>
      </c>
      <c r="K787" t="s">
        <v>37</v>
      </c>
      <c r="L787" s="2">
        <v>7.1508000000000003</v>
      </c>
      <c r="M787" t="s">
        <v>3199</v>
      </c>
      <c r="N787">
        <v>0</v>
      </c>
      <c r="O787">
        <v>0</v>
      </c>
      <c r="P787">
        <v>1</v>
      </c>
      <c r="Q787" t="s">
        <v>3200</v>
      </c>
      <c r="R787" t="s">
        <v>3205</v>
      </c>
      <c r="S787" t="s">
        <v>16</v>
      </c>
    </row>
    <row r="788" spans="1:19" x14ac:dyDescent="0.3">
      <c r="A788" t="s">
        <v>598</v>
      </c>
      <c r="B788" t="s">
        <v>1596</v>
      </c>
      <c r="C788" t="s">
        <v>1858</v>
      </c>
      <c r="D788" t="s">
        <v>3189</v>
      </c>
      <c r="E788" t="s">
        <v>9</v>
      </c>
      <c r="F788" s="2">
        <v>20</v>
      </c>
      <c r="G788" t="s">
        <v>3206</v>
      </c>
      <c r="H788" t="s">
        <v>10</v>
      </c>
      <c r="I788" t="s">
        <v>36</v>
      </c>
      <c r="J788" t="s">
        <v>3213</v>
      </c>
      <c r="K788" t="s">
        <v>37</v>
      </c>
      <c r="L788" s="2">
        <v>15.1</v>
      </c>
      <c r="M788" t="s">
        <v>3203</v>
      </c>
      <c r="N788">
        <v>0</v>
      </c>
      <c r="O788">
        <v>0</v>
      </c>
      <c r="P788">
        <v>1</v>
      </c>
      <c r="Q788" t="s">
        <v>3200</v>
      </c>
      <c r="R788" t="s">
        <v>3201</v>
      </c>
      <c r="S788" t="s">
        <v>13</v>
      </c>
    </row>
    <row r="789" spans="1:19" x14ac:dyDescent="0.3">
      <c r="A789" t="s">
        <v>599</v>
      </c>
      <c r="B789" t="s">
        <v>1596</v>
      </c>
      <c r="C789" t="s">
        <v>2299</v>
      </c>
      <c r="D789" t="s">
        <v>3189</v>
      </c>
      <c r="E789" t="s">
        <v>9</v>
      </c>
      <c r="F789" s="2">
        <v>35</v>
      </c>
      <c r="G789" t="s">
        <v>3206</v>
      </c>
      <c r="H789" t="s">
        <v>25</v>
      </c>
      <c r="I789" t="s">
        <v>11</v>
      </c>
      <c r="J789" t="s">
        <v>3198</v>
      </c>
      <c r="K789" t="s">
        <v>37</v>
      </c>
      <c r="L789" s="2">
        <v>26.050899999999999</v>
      </c>
      <c r="M789" t="s">
        <v>3203</v>
      </c>
      <c r="N789">
        <v>0</v>
      </c>
      <c r="O789">
        <v>0</v>
      </c>
      <c r="P789">
        <v>1</v>
      </c>
      <c r="Q789" t="s">
        <v>3200</v>
      </c>
      <c r="R789" t="s">
        <v>3205</v>
      </c>
      <c r="S789" t="s">
        <v>16</v>
      </c>
    </row>
    <row r="790" spans="1:19" x14ac:dyDescent="0.3">
      <c r="A790" t="s">
        <v>600</v>
      </c>
      <c r="B790" t="s">
        <v>2300</v>
      </c>
      <c r="C790" t="s">
        <v>1734</v>
      </c>
      <c r="D790" t="s">
        <v>3190</v>
      </c>
      <c r="E790" t="s">
        <v>14</v>
      </c>
      <c r="F790" s="2">
        <v>22</v>
      </c>
      <c r="G790" t="s">
        <v>3206</v>
      </c>
      <c r="H790" t="s">
        <v>10</v>
      </c>
      <c r="I790" t="s">
        <v>36</v>
      </c>
      <c r="J790" t="s">
        <v>3213</v>
      </c>
      <c r="K790" t="s">
        <v>37</v>
      </c>
      <c r="L790" s="2">
        <v>7.1707000000000001</v>
      </c>
      <c r="M790" t="s">
        <v>3199</v>
      </c>
      <c r="N790">
        <v>0</v>
      </c>
      <c r="O790">
        <v>0</v>
      </c>
      <c r="P790">
        <v>1</v>
      </c>
      <c r="Q790" t="s">
        <v>3200</v>
      </c>
      <c r="R790" t="s">
        <v>3205</v>
      </c>
      <c r="S790" t="s">
        <v>16</v>
      </c>
    </row>
    <row r="791" spans="1:19" x14ac:dyDescent="0.3">
      <c r="A791" t="s">
        <v>601</v>
      </c>
      <c r="B791" t="s">
        <v>1602</v>
      </c>
      <c r="C791" t="s">
        <v>2301</v>
      </c>
      <c r="D791" t="s">
        <v>3190</v>
      </c>
      <c r="E791" t="s">
        <v>14</v>
      </c>
      <c r="F791" s="2">
        <v>17</v>
      </c>
      <c r="G791" t="s">
        <v>3202</v>
      </c>
      <c r="H791" t="s">
        <v>10</v>
      </c>
      <c r="I791" t="s">
        <v>36</v>
      </c>
      <c r="J791" t="s">
        <v>3213</v>
      </c>
      <c r="K791" t="s">
        <v>12</v>
      </c>
      <c r="L791" s="2">
        <v>8</v>
      </c>
      <c r="M791" t="s">
        <v>3199</v>
      </c>
      <c r="N791">
        <v>0</v>
      </c>
      <c r="O791">
        <v>0</v>
      </c>
      <c r="P791">
        <v>1</v>
      </c>
      <c r="Q791" t="s">
        <v>3200</v>
      </c>
      <c r="R791" t="s">
        <v>3205</v>
      </c>
      <c r="S791" t="s">
        <v>16</v>
      </c>
    </row>
    <row r="792" spans="1:19" x14ac:dyDescent="0.3">
      <c r="A792" t="s">
        <v>601</v>
      </c>
      <c r="B792" t="s">
        <v>1602</v>
      </c>
      <c r="C792" t="s">
        <v>1735</v>
      </c>
      <c r="D792" t="s">
        <v>3190</v>
      </c>
      <c r="E792" t="s">
        <v>14</v>
      </c>
      <c r="F792" s="2">
        <v>42</v>
      </c>
      <c r="G792" t="s">
        <v>3197</v>
      </c>
      <c r="H792" t="s">
        <v>10</v>
      </c>
      <c r="I792" t="s">
        <v>36</v>
      </c>
      <c r="J792" t="s">
        <v>3213</v>
      </c>
      <c r="K792" t="s">
        <v>37</v>
      </c>
      <c r="L792" s="2">
        <v>7.15</v>
      </c>
      <c r="M792" t="s">
        <v>3199</v>
      </c>
      <c r="N792">
        <v>0</v>
      </c>
      <c r="O792">
        <v>0</v>
      </c>
      <c r="P792">
        <v>1</v>
      </c>
      <c r="Q792" t="s">
        <v>3200</v>
      </c>
      <c r="R792" t="s">
        <v>3201</v>
      </c>
      <c r="S792" t="s">
        <v>13</v>
      </c>
    </row>
    <row r="793" spans="1:19" x14ac:dyDescent="0.3">
      <c r="A793" t="s">
        <v>602</v>
      </c>
      <c r="B793" t="s">
        <v>1596</v>
      </c>
      <c r="C793" t="s">
        <v>2302</v>
      </c>
      <c r="D793" t="s">
        <v>3189</v>
      </c>
      <c r="E793" t="s">
        <v>9</v>
      </c>
      <c r="F793" s="2">
        <v>46</v>
      </c>
      <c r="G793" t="s">
        <v>3197</v>
      </c>
      <c r="H793" t="s">
        <v>18</v>
      </c>
      <c r="I793" t="s">
        <v>11</v>
      </c>
      <c r="J793" t="s">
        <v>3198</v>
      </c>
      <c r="K793" t="s">
        <v>33</v>
      </c>
      <c r="L793" s="2">
        <v>26</v>
      </c>
      <c r="M793" t="s">
        <v>3203</v>
      </c>
      <c r="N793">
        <v>0</v>
      </c>
      <c r="O793">
        <v>0</v>
      </c>
      <c r="P793">
        <v>1</v>
      </c>
      <c r="Q793" t="s">
        <v>3200</v>
      </c>
      <c r="R793" t="s">
        <v>3201</v>
      </c>
      <c r="S793" t="s">
        <v>13</v>
      </c>
    </row>
    <row r="794" spans="1:19" x14ac:dyDescent="0.3">
      <c r="A794" t="s">
        <v>603</v>
      </c>
      <c r="B794" t="s">
        <v>1596</v>
      </c>
      <c r="C794" t="s">
        <v>2002</v>
      </c>
      <c r="D794" t="s">
        <v>3189</v>
      </c>
      <c r="E794" t="s">
        <v>9</v>
      </c>
      <c r="F794" s="2">
        <v>19</v>
      </c>
      <c r="G794" t="s">
        <v>3206</v>
      </c>
      <c r="H794" t="s">
        <v>10</v>
      </c>
      <c r="I794" t="s">
        <v>36</v>
      </c>
      <c r="J794" t="s">
        <v>3213</v>
      </c>
      <c r="K794" t="s">
        <v>37</v>
      </c>
      <c r="L794" s="2">
        <v>7.15</v>
      </c>
      <c r="M794" t="s">
        <v>3199</v>
      </c>
      <c r="N794">
        <v>0</v>
      </c>
      <c r="O794">
        <v>0</v>
      </c>
      <c r="P794">
        <v>1</v>
      </c>
      <c r="Q794" t="s">
        <v>3200</v>
      </c>
      <c r="R794" t="s">
        <v>3201</v>
      </c>
      <c r="S794" t="s">
        <v>13</v>
      </c>
    </row>
    <row r="795" spans="1:19" x14ac:dyDescent="0.3">
      <c r="A795" t="s">
        <v>604</v>
      </c>
      <c r="B795" t="s">
        <v>1596</v>
      </c>
      <c r="C795" t="s">
        <v>2303</v>
      </c>
      <c r="D795" t="s">
        <v>3189</v>
      </c>
      <c r="E795" t="s">
        <v>9</v>
      </c>
      <c r="F795" s="2">
        <v>27</v>
      </c>
      <c r="G795" t="s">
        <v>3206</v>
      </c>
      <c r="H795" t="s">
        <v>10</v>
      </c>
      <c r="I795" t="s">
        <v>11</v>
      </c>
      <c r="J795" t="s">
        <v>3198</v>
      </c>
      <c r="K795" t="s">
        <v>15</v>
      </c>
      <c r="L795" s="2">
        <v>16.02</v>
      </c>
      <c r="M795" t="s">
        <v>3203</v>
      </c>
      <c r="N795">
        <v>1</v>
      </c>
      <c r="O795">
        <v>0</v>
      </c>
      <c r="P795">
        <v>2</v>
      </c>
      <c r="Q795" t="s">
        <v>3204</v>
      </c>
      <c r="R795" t="s">
        <v>3201</v>
      </c>
      <c r="S795" t="s">
        <v>13</v>
      </c>
    </row>
    <row r="796" spans="1:19" x14ac:dyDescent="0.3">
      <c r="A796" t="s">
        <v>604</v>
      </c>
      <c r="B796" t="s">
        <v>1600</v>
      </c>
      <c r="C796" t="s">
        <v>2304</v>
      </c>
      <c r="D796" t="s">
        <v>3190</v>
      </c>
      <c r="E796" t="s">
        <v>14</v>
      </c>
      <c r="F796" s="2">
        <v>19</v>
      </c>
      <c r="G796" t="s">
        <v>3206</v>
      </c>
      <c r="H796" t="s">
        <v>10</v>
      </c>
      <c r="I796" t="s">
        <v>11</v>
      </c>
      <c r="J796" t="s">
        <v>3198</v>
      </c>
      <c r="K796" t="s">
        <v>15</v>
      </c>
      <c r="L796" s="2">
        <v>16.02</v>
      </c>
      <c r="M796" t="s">
        <v>3203</v>
      </c>
      <c r="N796">
        <v>1</v>
      </c>
      <c r="O796">
        <v>0</v>
      </c>
      <c r="P796">
        <v>2</v>
      </c>
      <c r="Q796" t="s">
        <v>3204</v>
      </c>
      <c r="R796" t="s">
        <v>3201</v>
      </c>
      <c r="S796" t="s">
        <v>13</v>
      </c>
    </row>
    <row r="797" spans="1:19" x14ac:dyDescent="0.3">
      <c r="A797" t="s">
        <v>605</v>
      </c>
      <c r="B797" t="s">
        <v>1602</v>
      </c>
      <c r="C797" t="s">
        <v>1927</v>
      </c>
      <c r="D797" t="s">
        <v>3190</v>
      </c>
      <c r="E797" t="s">
        <v>14</v>
      </c>
      <c r="F797" s="2">
        <v>32</v>
      </c>
      <c r="G797" t="s">
        <v>3206</v>
      </c>
      <c r="H797" t="s">
        <v>10</v>
      </c>
      <c r="I797" t="s">
        <v>36</v>
      </c>
      <c r="J797" t="s">
        <v>3213</v>
      </c>
      <c r="K797" t="s">
        <v>37</v>
      </c>
      <c r="L797" s="2">
        <v>7.15</v>
      </c>
      <c r="M797" t="s">
        <v>3199</v>
      </c>
      <c r="N797">
        <v>0</v>
      </c>
      <c r="O797">
        <v>0</v>
      </c>
      <c r="P797">
        <v>1</v>
      </c>
      <c r="Q797" t="s">
        <v>3200</v>
      </c>
      <c r="R797" t="s">
        <v>3201</v>
      </c>
      <c r="S797" t="s">
        <v>13</v>
      </c>
    </row>
    <row r="798" spans="1:19" x14ac:dyDescent="0.3">
      <c r="A798" t="s">
        <v>606</v>
      </c>
      <c r="B798" t="s">
        <v>1600</v>
      </c>
      <c r="C798" t="s">
        <v>2305</v>
      </c>
      <c r="D798" t="s">
        <v>3190</v>
      </c>
      <c r="E798" t="s">
        <v>14</v>
      </c>
      <c r="F798" s="2">
        <v>62</v>
      </c>
      <c r="G798" t="s">
        <v>3210</v>
      </c>
      <c r="H798" t="s">
        <v>10</v>
      </c>
      <c r="I798" t="s">
        <v>11</v>
      </c>
      <c r="J798" t="s">
        <v>3198</v>
      </c>
      <c r="K798" t="s">
        <v>15</v>
      </c>
      <c r="L798" s="2">
        <v>8.01</v>
      </c>
      <c r="M798" t="s">
        <v>3199</v>
      </c>
      <c r="N798">
        <v>0</v>
      </c>
      <c r="O798">
        <v>0</v>
      </c>
      <c r="P798">
        <v>1</v>
      </c>
      <c r="Q798" t="s">
        <v>3200</v>
      </c>
      <c r="R798" t="s">
        <v>3201</v>
      </c>
      <c r="S798" t="s">
        <v>13</v>
      </c>
    </row>
    <row r="799" spans="1:19" x14ac:dyDescent="0.3">
      <c r="A799" t="s">
        <v>607</v>
      </c>
      <c r="B799" t="s">
        <v>1596</v>
      </c>
      <c r="C799" t="s">
        <v>1610</v>
      </c>
      <c r="D799" t="s">
        <v>3189</v>
      </c>
      <c r="E799" t="s">
        <v>9</v>
      </c>
      <c r="F799" s="2">
        <v>22</v>
      </c>
      <c r="G799" t="s">
        <v>3206</v>
      </c>
      <c r="H799" t="s">
        <v>10</v>
      </c>
      <c r="I799" t="s">
        <v>36</v>
      </c>
      <c r="J799" t="s">
        <v>3213</v>
      </c>
      <c r="K799" t="s">
        <v>37</v>
      </c>
      <c r="L799" s="2">
        <v>7.15</v>
      </c>
      <c r="M799" t="s">
        <v>3199</v>
      </c>
      <c r="N799">
        <v>0</v>
      </c>
      <c r="O799">
        <v>0</v>
      </c>
      <c r="P799">
        <v>1</v>
      </c>
      <c r="Q799" t="s">
        <v>3200</v>
      </c>
      <c r="R799" t="s">
        <v>3201</v>
      </c>
      <c r="S799" t="s">
        <v>13</v>
      </c>
    </row>
    <row r="800" spans="1:19" x14ac:dyDescent="0.3">
      <c r="A800" t="s">
        <v>608</v>
      </c>
      <c r="B800" t="s">
        <v>1600</v>
      </c>
      <c r="C800" t="s">
        <v>2306</v>
      </c>
      <c r="D800" t="s">
        <v>3190</v>
      </c>
      <c r="E800" t="s">
        <v>14</v>
      </c>
      <c r="F800" s="2">
        <v>32</v>
      </c>
      <c r="G800" t="s">
        <v>3206</v>
      </c>
      <c r="H800" t="s">
        <v>10</v>
      </c>
      <c r="I800" t="s">
        <v>11</v>
      </c>
      <c r="J800" t="s">
        <v>3198</v>
      </c>
      <c r="K800" t="s">
        <v>15</v>
      </c>
      <c r="L800" s="2">
        <v>8.01</v>
      </c>
      <c r="M800" t="s">
        <v>3199</v>
      </c>
      <c r="N800">
        <v>0</v>
      </c>
      <c r="O800">
        <v>0</v>
      </c>
      <c r="P800">
        <v>1</v>
      </c>
      <c r="Q800" t="s">
        <v>3200</v>
      </c>
      <c r="R800" t="s">
        <v>3201</v>
      </c>
      <c r="S800" t="s">
        <v>13</v>
      </c>
    </row>
    <row r="801" spans="1:19" x14ac:dyDescent="0.3">
      <c r="A801" t="s">
        <v>609</v>
      </c>
      <c r="B801" t="s">
        <v>1602</v>
      </c>
      <c r="C801" t="s">
        <v>2307</v>
      </c>
      <c r="D801" t="s">
        <v>3190</v>
      </c>
      <c r="E801" t="s">
        <v>14</v>
      </c>
      <c r="F801" s="2">
        <v>13</v>
      </c>
      <c r="G801" t="s">
        <v>3202</v>
      </c>
      <c r="H801" t="s">
        <v>18</v>
      </c>
      <c r="I801" t="s">
        <v>11</v>
      </c>
      <c r="J801" t="s">
        <v>3198</v>
      </c>
      <c r="K801" t="s">
        <v>15</v>
      </c>
      <c r="L801" s="2">
        <v>19.100000000000001</v>
      </c>
      <c r="M801" t="s">
        <v>3203</v>
      </c>
      <c r="N801">
        <v>0</v>
      </c>
      <c r="O801">
        <v>1</v>
      </c>
      <c r="P801">
        <v>2</v>
      </c>
      <c r="Q801" t="s">
        <v>3204</v>
      </c>
      <c r="R801" t="s">
        <v>3205</v>
      </c>
      <c r="S801" t="s">
        <v>16</v>
      </c>
    </row>
    <row r="802" spans="1:19" x14ac:dyDescent="0.3">
      <c r="A802" t="s">
        <v>609</v>
      </c>
      <c r="B802" t="s">
        <v>1600</v>
      </c>
      <c r="C802" t="s">
        <v>2308</v>
      </c>
      <c r="D802" t="s">
        <v>3190</v>
      </c>
      <c r="E802" t="s">
        <v>14</v>
      </c>
      <c r="F802" s="2">
        <v>42</v>
      </c>
      <c r="G802" t="s">
        <v>3197</v>
      </c>
      <c r="H802" t="s">
        <v>18</v>
      </c>
      <c r="I802" t="s">
        <v>11</v>
      </c>
      <c r="J802" t="s">
        <v>3198</v>
      </c>
      <c r="K802" t="s">
        <v>15</v>
      </c>
      <c r="L802" s="2">
        <v>19.100000000000001</v>
      </c>
      <c r="M802" t="s">
        <v>3203</v>
      </c>
      <c r="N802">
        <v>0</v>
      </c>
      <c r="O802">
        <v>1</v>
      </c>
      <c r="P802">
        <v>2</v>
      </c>
      <c r="Q802" t="s">
        <v>3204</v>
      </c>
      <c r="R802" t="s">
        <v>3205</v>
      </c>
      <c r="S802" t="s">
        <v>16</v>
      </c>
    </row>
    <row r="803" spans="1:19" x14ac:dyDescent="0.3">
      <c r="A803" t="s">
        <v>610</v>
      </c>
      <c r="B803" t="s">
        <v>1596</v>
      </c>
      <c r="C803" t="s">
        <v>1716</v>
      </c>
      <c r="D803" t="s">
        <v>3189</v>
      </c>
      <c r="E803" t="s">
        <v>9</v>
      </c>
      <c r="F803" s="2">
        <v>19</v>
      </c>
      <c r="G803" t="s">
        <v>3206</v>
      </c>
      <c r="H803" t="s">
        <v>18</v>
      </c>
      <c r="I803" t="s">
        <v>11</v>
      </c>
      <c r="J803" t="s">
        <v>3198</v>
      </c>
      <c r="K803" t="s">
        <v>15</v>
      </c>
      <c r="L803" s="2">
        <v>10.1</v>
      </c>
      <c r="M803" t="s">
        <v>3199</v>
      </c>
      <c r="N803">
        <v>0</v>
      </c>
      <c r="O803">
        <v>0</v>
      </c>
      <c r="P803">
        <v>1</v>
      </c>
      <c r="Q803" t="s">
        <v>3200</v>
      </c>
      <c r="R803" t="s">
        <v>3205</v>
      </c>
      <c r="S803" t="s">
        <v>16</v>
      </c>
    </row>
    <row r="804" spans="1:19" x14ac:dyDescent="0.3">
      <c r="A804" t="s">
        <v>611</v>
      </c>
      <c r="B804" t="s">
        <v>1596</v>
      </c>
      <c r="C804" t="s">
        <v>2309</v>
      </c>
      <c r="D804" t="s">
        <v>3189</v>
      </c>
      <c r="E804" t="s">
        <v>9</v>
      </c>
      <c r="F804" s="2">
        <v>48</v>
      </c>
      <c r="G804" t="s">
        <v>3197</v>
      </c>
      <c r="H804" t="s">
        <v>10</v>
      </c>
      <c r="I804" t="s">
        <v>11</v>
      </c>
      <c r="J804" t="s">
        <v>3198</v>
      </c>
      <c r="K804" t="s">
        <v>38</v>
      </c>
      <c r="L804" s="2">
        <v>8.01</v>
      </c>
      <c r="M804" t="s">
        <v>3199</v>
      </c>
      <c r="N804">
        <v>0</v>
      </c>
      <c r="O804">
        <v>0</v>
      </c>
      <c r="P804">
        <v>1</v>
      </c>
      <c r="Q804" t="s">
        <v>3200</v>
      </c>
      <c r="R804" t="s">
        <v>3201</v>
      </c>
      <c r="S804" t="s">
        <v>13</v>
      </c>
    </row>
    <row r="805" spans="1:19" x14ac:dyDescent="0.3">
      <c r="A805" t="s">
        <v>612</v>
      </c>
      <c r="B805" t="s">
        <v>1596</v>
      </c>
      <c r="C805" t="s">
        <v>2208</v>
      </c>
      <c r="D805" t="s">
        <v>3189</v>
      </c>
      <c r="E805" t="s">
        <v>9</v>
      </c>
      <c r="F805" s="2">
        <v>28</v>
      </c>
      <c r="G805" t="s">
        <v>3206</v>
      </c>
      <c r="H805" t="s">
        <v>10</v>
      </c>
      <c r="I805" t="s">
        <v>36</v>
      </c>
      <c r="J805" t="s">
        <v>3213</v>
      </c>
      <c r="K805" t="s">
        <v>37</v>
      </c>
      <c r="L805" s="2">
        <v>7.15</v>
      </c>
      <c r="M805" t="s">
        <v>3199</v>
      </c>
      <c r="N805">
        <v>0</v>
      </c>
      <c r="O805">
        <v>0</v>
      </c>
      <c r="P805">
        <v>1</v>
      </c>
      <c r="Q805" t="s">
        <v>3200</v>
      </c>
      <c r="R805" t="s">
        <v>3201</v>
      </c>
      <c r="S805" t="s">
        <v>13</v>
      </c>
    </row>
    <row r="806" spans="1:19" x14ac:dyDescent="0.3">
      <c r="A806" t="s">
        <v>613</v>
      </c>
      <c r="B806" t="s">
        <v>1596</v>
      </c>
      <c r="C806" t="s">
        <v>2156</v>
      </c>
      <c r="D806" t="s">
        <v>3189</v>
      </c>
      <c r="E806" t="s">
        <v>9</v>
      </c>
      <c r="F806" s="2">
        <v>31</v>
      </c>
      <c r="G806" t="s">
        <v>3206</v>
      </c>
      <c r="H806" t="s">
        <v>18</v>
      </c>
      <c r="I806" t="s">
        <v>11</v>
      </c>
      <c r="J806" t="s">
        <v>3198</v>
      </c>
      <c r="K806" t="s">
        <v>15</v>
      </c>
      <c r="L806" s="2">
        <v>13</v>
      </c>
      <c r="M806" t="s">
        <v>3199</v>
      </c>
      <c r="N806">
        <v>0</v>
      </c>
      <c r="O806">
        <v>0</v>
      </c>
      <c r="P806">
        <v>1</v>
      </c>
      <c r="Q806" t="s">
        <v>3200</v>
      </c>
      <c r="R806" t="s">
        <v>3201</v>
      </c>
      <c r="S806" t="s">
        <v>13</v>
      </c>
    </row>
    <row r="807" spans="1:19" x14ac:dyDescent="0.3">
      <c r="A807" t="s">
        <v>613</v>
      </c>
      <c r="B807" t="s">
        <v>1596</v>
      </c>
      <c r="C807" t="s">
        <v>2310</v>
      </c>
      <c r="D807" t="s">
        <v>3189</v>
      </c>
      <c r="E807" t="s">
        <v>9</v>
      </c>
      <c r="F807" s="2">
        <v>28</v>
      </c>
      <c r="G807" t="s">
        <v>3206</v>
      </c>
      <c r="H807" t="s">
        <v>25</v>
      </c>
      <c r="I807" t="s">
        <v>19</v>
      </c>
      <c r="J807" t="s">
        <v>3207</v>
      </c>
      <c r="K807" t="s">
        <v>12</v>
      </c>
      <c r="L807" s="2">
        <v>82.030500000000004</v>
      </c>
      <c r="M807" t="s">
        <v>3211</v>
      </c>
      <c r="N807">
        <v>1</v>
      </c>
      <c r="O807">
        <v>0</v>
      </c>
      <c r="P807">
        <v>2</v>
      </c>
      <c r="Q807" t="s">
        <v>3204</v>
      </c>
      <c r="R807" t="s">
        <v>3201</v>
      </c>
      <c r="S807" t="s">
        <v>13</v>
      </c>
    </row>
    <row r="808" spans="1:19" x14ac:dyDescent="0.3">
      <c r="A808" t="s">
        <v>613</v>
      </c>
      <c r="B808" t="s">
        <v>1600</v>
      </c>
      <c r="C808" t="s">
        <v>2311</v>
      </c>
      <c r="D808" t="s">
        <v>3190</v>
      </c>
      <c r="E808" t="s">
        <v>14</v>
      </c>
      <c r="F808" s="2">
        <v>25</v>
      </c>
      <c r="G808" t="s">
        <v>3206</v>
      </c>
      <c r="H808" t="s">
        <v>25</v>
      </c>
      <c r="I808" t="s">
        <v>19</v>
      </c>
      <c r="J808" t="s">
        <v>3207</v>
      </c>
      <c r="K808" t="s">
        <v>12</v>
      </c>
      <c r="L808" s="2">
        <v>82.030500000000004</v>
      </c>
      <c r="M808" t="s">
        <v>3211</v>
      </c>
      <c r="N808">
        <v>1</v>
      </c>
      <c r="O808">
        <v>0</v>
      </c>
      <c r="P808">
        <v>2</v>
      </c>
      <c r="Q808" t="s">
        <v>3204</v>
      </c>
      <c r="R808" t="s">
        <v>3205</v>
      </c>
      <c r="S808" t="s">
        <v>16</v>
      </c>
    </row>
    <row r="809" spans="1:19" x14ac:dyDescent="0.3">
      <c r="A809" t="s">
        <v>614</v>
      </c>
      <c r="B809" t="s">
        <v>1596</v>
      </c>
      <c r="C809" t="s">
        <v>2312</v>
      </c>
      <c r="D809" t="s">
        <v>3189</v>
      </c>
      <c r="E809" t="s">
        <v>9</v>
      </c>
      <c r="F809" s="2">
        <v>21</v>
      </c>
      <c r="G809" t="s">
        <v>3206</v>
      </c>
      <c r="H809" t="s">
        <v>10</v>
      </c>
      <c r="I809" t="s">
        <v>11</v>
      </c>
      <c r="J809" t="s">
        <v>3198</v>
      </c>
      <c r="K809" t="s">
        <v>17</v>
      </c>
      <c r="L809" s="2">
        <v>7.1505999999999998</v>
      </c>
      <c r="M809" t="s">
        <v>3199</v>
      </c>
      <c r="N809">
        <v>0</v>
      </c>
      <c r="O809">
        <v>0</v>
      </c>
      <c r="P809">
        <v>1</v>
      </c>
      <c r="Q809" t="s">
        <v>3200</v>
      </c>
      <c r="R809" t="s">
        <v>3205</v>
      </c>
      <c r="S809" t="s">
        <v>16</v>
      </c>
    </row>
    <row r="810" spans="1:19" x14ac:dyDescent="0.3">
      <c r="A810" t="s">
        <v>615</v>
      </c>
      <c r="B810" t="s">
        <v>1596</v>
      </c>
      <c r="C810" t="s">
        <v>2313</v>
      </c>
      <c r="D810" t="s">
        <v>3189</v>
      </c>
      <c r="E810" t="s">
        <v>9</v>
      </c>
      <c r="F810" s="2">
        <v>28</v>
      </c>
      <c r="G810" t="s">
        <v>3206</v>
      </c>
      <c r="H810" t="s">
        <v>10</v>
      </c>
      <c r="I810" t="s">
        <v>11</v>
      </c>
      <c r="J810" t="s">
        <v>3198</v>
      </c>
      <c r="K810" t="s">
        <v>31</v>
      </c>
      <c r="L810" s="2">
        <v>7.1711</v>
      </c>
      <c r="M810" t="s">
        <v>3199</v>
      </c>
      <c r="N810">
        <v>0</v>
      </c>
      <c r="O810">
        <v>0</v>
      </c>
      <c r="P810">
        <v>1</v>
      </c>
      <c r="Q810" t="s">
        <v>3200</v>
      </c>
      <c r="R810" t="s">
        <v>3201</v>
      </c>
      <c r="S810" t="s">
        <v>13</v>
      </c>
    </row>
    <row r="811" spans="1:19" x14ac:dyDescent="0.3">
      <c r="A811" t="s">
        <v>616</v>
      </c>
      <c r="B811" t="s">
        <v>1596</v>
      </c>
      <c r="C811" t="s">
        <v>1945</v>
      </c>
      <c r="D811" t="s">
        <v>3189</v>
      </c>
      <c r="E811" t="s">
        <v>9</v>
      </c>
      <c r="F811" s="2">
        <v>23</v>
      </c>
      <c r="G811" t="s">
        <v>3206</v>
      </c>
      <c r="H811" t="s">
        <v>10</v>
      </c>
      <c r="I811" t="s">
        <v>11</v>
      </c>
      <c r="J811" t="s">
        <v>3198</v>
      </c>
      <c r="K811" t="s">
        <v>15</v>
      </c>
      <c r="L811" s="2">
        <v>8.01</v>
      </c>
      <c r="M811" t="s">
        <v>3199</v>
      </c>
      <c r="N811">
        <v>0</v>
      </c>
      <c r="O811">
        <v>0</v>
      </c>
      <c r="P811">
        <v>1</v>
      </c>
      <c r="Q811" t="s">
        <v>3200</v>
      </c>
      <c r="R811" t="s">
        <v>3201</v>
      </c>
      <c r="S811" t="s">
        <v>13</v>
      </c>
    </row>
    <row r="812" spans="1:19" x14ac:dyDescent="0.3">
      <c r="A812" t="s">
        <v>617</v>
      </c>
      <c r="B812" t="s">
        <v>1596</v>
      </c>
      <c r="C812" t="s">
        <v>2314</v>
      </c>
      <c r="D812" t="s">
        <v>3189</v>
      </c>
      <c r="E812" t="s">
        <v>9</v>
      </c>
      <c r="F812" s="2">
        <v>65</v>
      </c>
      <c r="G812" t="s">
        <v>3210</v>
      </c>
      <c r="H812" t="s">
        <v>25</v>
      </c>
      <c r="I812" t="s">
        <v>19</v>
      </c>
      <c r="J812" t="s">
        <v>3207</v>
      </c>
      <c r="K812" t="s">
        <v>12</v>
      </c>
      <c r="L812" s="2">
        <v>26.11</v>
      </c>
      <c r="M812" t="s">
        <v>3203</v>
      </c>
      <c r="N812">
        <v>0</v>
      </c>
      <c r="O812">
        <v>0</v>
      </c>
      <c r="P812">
        <v>1</v>
      </c>
      <c r="Q812" t="s">
        <v>3200</v>
      </c>
      <c r="R812" t="s">
        <v>3201</v>
      </c>
      <c r="S812" t="s">
        <v>13</v>
      </c>
    </row>
    <row r="813" spans="1:19" x14ac:dyDescent="0.3">
      <c r="A813" t="s">
        <v>618</v>
      </c>
      <c r="B813" t="s">
        <v>1596</v>
      </c>
      <c r="C813" t="s">
        <v>2315</v>
      </c>
      <c r="D813" t="s">
        <v>3189</v>
      </c>
      <c r="E813" t="s">
        <v>9</v>
      </c>
      <c r="F813" s="2">
        <v>48</v>
      </c>
      <c r="G813" t="s">
        <v>3197</v>
      </c>
      <c r="H813" t="s">
        <v>18</v>
      </c>
      <c r="I813" t="s">
        <v>11</v>
      </c>
      <c r="J813" t="s">
        <v>3198</v>
      </c>
      <c r="K813" t="s">
        <v>27</v>
      </c>
      <c r="L813" s="2">
        <v>13</v>
      </c>
      <c r="M813" t="s">
        <v>3199</v>
      </c>
      <c r="N813">
        <v>0</v>
      </c>
      <c r="O813">
        <v>0</v>
      </c>
      <c r="P813">
        <v>1</v>
      </c>
      <c r="Q813" t="s">
        <v>3200</v>
      </c>
      <c r="R813" t="s">
        <v>3201</v>
      </c>
      <c r="S813" t="s">
        <v>13</v>
      </c>
    </row>
    <row r="814" spans="1:19" x14ac:dyDescent="0.3">
      <c r="A814" t="s">
        <v>619</v>
      </c>
      <c r="B814" t="s">
        <v>1749</v>
      </c>
      <c r="C814" t="s">
        <v>2094</v>
      </c>
      <c r="D814" t="s">
        <v>3189</v>
      </c>
      <c r="E814" t="s">
        <v>9</v>
      </c>
      <c r="F814" s="2">
        <v>44</v>
      </c>
      <c r="G814" t="s">
        <v>3197</v>
      </c>
      <c r="H814" t="s">
        <v>25</v>
      </c>
      <c r="I814" t="s">
        <v>36</v>
      </c>
      <c r="J814" t="s">
        <v>3213</v>
      </c>
      <c r="K814" t="s">
        <v>12</v>
      </c>
      <c r="L814" s="2">
        <v>90</v>
      </c>
      <c r="M814" t="s">
        <v>3211</v>
      </c>
      <c r="N814">
        <v>2</v>
      </c>
      <c r="O814">
        <v>0</v>
      </c>
      <c r="P814">
        <v>3</v>
      </c>
      <c r="Q814" t="s">
        <v>3204</v>
      </c>
      <c r="R814" t="s">
        <v>3201</v>
      </c>
      <c r="S814" t="s">
        <v>13</v>
      </c>
    </row>
    <row r="815" spans="1:19" x14ac:dyDescent="0.3">
      <c r="A815" t="s">
        <v>619</v>
      </c>
      <c r="B815" t="s">
        <v>1602</v>
      </c>
      <c r="C815" t="s">
        <v>2316</v>
      </c>
      <c r="D815" t="s">
        <v>3190</v>
      </c>
      <c r="E815" t="s">
        <v>14</v>
      </c>
      <c r="F815" s="2">
        <v>33</v>
      </c>
      <c r="G815" t="s">
        <v>3206</v>
      </c>
      <c r="H815" t="s">
        <v>25</v>
      </c>
      <c r="I815" t="s">
        <v>36</v>
      </c>
      <c r="J815" t="s">
        <v>3213</v>
      </c>
      <c r="K815" t="s">
        <v>12</v>
      </c>
      <c r="L815" s="2">
        <v>90</v>
      </c>
      <c r="M815" t="s">
        <v>3211</v>
      </c>
      <c r="N815">
        <v>1</v>
      </c>
      <c r="O815">
        <v>0</v>
      </c>
      <c r="P815">
        <v>2</v>
      </c>
      <c r="Q815" t="s">
        <v>3204</v>
      </c>
      <c r="R815" t="s">
        <v>3205</v>
      </c>
      <c r="S815" t="s">
        <v>16</v>
      </c>
    </row>
    <row r="816" spans="1:19" x14ac:dyDescent="0.3">
      <c r="A816" t="s">
        <v>619</v>
      </c>
      <c r="B816" t="s">
        <v>1600</v>
      </c>
      <c r="C816" t="s">
        <v>2317</v>
      </c>
      <c r="D816" t="s">
        <v>3190</v>
      </c>
      <c r="E816" t="s">
        <v>14</v>
      </c>
      <c r="F816" s="2">
        <v>37</v>
      </c>
      <c r="G816" t="s">
        <v>3197</v>
      </c>
      <c r="H816" t="s">
        <v>25</v>
      </c>
      <c r="I816" t="s">
        <v>36</v>
      </c>
      <c r="J816" t="s">
        <v>3213</v>
      </c>
      <c r="K816" t="s">
        <v>12</v>
      </c>
      <c r="L816" s="2">
        <v>90</v>
      </c>
      <c r="M816" t="s">
        <v>3211</v>
      </c>
      <c r="N816">
        <v>1</v>
      </c>
      <c r="O816">
        <v>0</v>
      </c>
      <c r="P816">
        <v>2</v>
      </c>
      <c r="Q816" t="s">
        <v>3204</v>
      </c>
      <c r="R816" t="s">
        <v>3205</v>
      </c>
      <c r="S816" t="s">
        <v>16</v>
      </c>
    </row>
    <row r="817" spans="1:19" x14ac:dyDescent="0.3">
      <c r="A817" t="s">
        <v>620</v>
      </c>
      <c r="B817" t="s">
        <v>1596</v>
      </c>
      <c r="C817" t="s">
        <v>1864</v>
      </c>
      <c r="D817" t="s">
        <v>3189</v>
      </c>
      <c r="E817" t="s">
        <v>9</v>
      </c>
      <c r="F817" s="2">
        <v>24</v>
      </c>
      <c r="G817" t="s">
        <v>3206</v>
      </c>
      <c r="H817" t="s">
        <v>10</v>
      </c>
      <c r="I817" t="s">
        <v>11</v>
      </c>
      <c r="J817" t="s">
        <v>3198</v>
      </c>
      <c r="K817" t="s">
        <v>15</v>
      </c>
      <c r="L817" s="2">
        <v>7.1711</v>
      </c>
      <c r="M817" t="s">
        <v>3199</v>
      </c>
      <c r="N817">
        <v>0</v>
      </c>
      <c r="O817">
        <v>0</v>
      </c>
      <c r="P817">
        <v>1</v>
      </c>
      <c r="Q817" t="s">
        <v>3200</v>
      </c>
      <c r="R817" t="s">
        <v>3201</v>
      </c>
      <c r="S817" t="s">
        <v>13</v>
      </c>
    </row>
    <row r="818" spans="1:19" x14ac:dyDescent="0.3">
      <c r="A818" t="s">
        <v>621</v>
      </c>
      <c r="B818" t="s">
        <v>1596</v>
      </c>
      <c r="C818" t="s">
        <v>2318</v>
      </c>
      <c r="D818" t="s">
        <v>3189</v>
      </c>
      <c r="E818" t="s">
        <v>9</v>
      </c>
      <c r="F818" s="2">
        <v>21</v>
      </c>
      <c r="G818" t="s">
        <v>3206</v>
      </c>
      <c r="H818" t="s">
        <v>10</v>
      </c>
      <c r="I818" t="s">
        <v>11</v>
      </c>
      <c r="J818" t="s">
        <v>3198</v>
      </c>
      <c r="K818" t="s">
        <v>31</v>
      </c>
      <c r="L818" s="2">
        <v>7.1711</v>
      </c>
      <c r="M818" t="s">
        <v>3199</v>
      </c>
      <c r="N818">
        <v>0</v>
      </c>
      <c r="O818">
        <v>0</v>
      </c>
      <c r="P818">
        <v>1</v>
      </c>
      <c r="Q818" t="s">
        <v>3200</v>
      </c>
      <c r="R818" t="s">
        <v>3201</v>
      </c>
      <c r="S818" t="s">
        <v>13</v>
      </c>
    </row>
    <row r="819" spans="1:19" x14ac:dyDescent="0.3">
      <c r="A819" t="s">
        <v>622</v>
      </c>
      <c r="B819" t="s">
        <v>1596</v>
      </c>
      <c r="C819" t="s">
        <v>2319</v>
      </c>
      <c r="D819" t="s">
        <v>3189</v>
      </c>
      <c r="E819" t="s">
        <v>9</v>
      </c>
      <c r="F819" s="2">
        <v>72</v>
      </c>
      <c r="G819" t="s">
        <v>3210</v>
      </c>
      <c r="H819" t="s">
        <v>18</v>
      </c>
      <c r="I819" t="s">
        <v>11</v>
      </c>
      <c r="J819" t="s">
        <v>3198</v>
      </c>
      <c r="K819" t="s">
        <v>15</v>
      </c>
      <c r="L819" s="2">
        <v>10.1</v>
      </c>
      <c r="M819" t="s">
        <v>3199</v>
      </c>
      <c r="N819">
        <v>0</v>
      </c>
      <c r="O819">
        <v>0</v>
      </c>
      <c r="P819">
        <v>1</v>
      </c>
      <c r="Q819" t="s">
        <v>3200</v>
      </c>
      <c r="R819" t="s">
        <v>3201</v>
      </c>
      <c r="S819" t="s">
        <v>13</v>
      </c>
    </row>
    <row r="820" spans="1:19" x14ac:dyDescent="0.3">
      <c r="A820" t="s">
        <v>623</v>
      </c>
      <c r="B820" t="s">
        <v>1596</v>
      </c>
      <c r="C820" t="s">
        <v>2320</v>
      </c>
      <c r="D820" t="s">
        <v>3189</v>
      </c>
      <c r="E820" t="s">
        <v>9</v>
      </c>
      <c r="F820" s="2">
        <v>23</v>
      </c>
      <c r="G820" t="s">
        <v>3206</v>
      </c>
      <c r="H820" t="s">
        <v>10</v>
      </c>
      <c r="I820" t="s">
        <v>11</v>
      </c>
      <c r="J820" t="s">
        <v>3198</v>
      </c>
      <c r="K820" t="s">
        <v>15</v>
      </c>
      <c r="L820" s="2">
        <v>7.1711</v>
      </c>
      <c r="M820" t="s">
        <v>3199</v>
      </c>
      <c r="N820">
        <v>0</v>
      </c>
      <c r="O820">
        <v>0</v>
      </c>
      <c r="P820">
        <v>1</v>
      </c>
      <c r="Q820" t="s">
        <v>3200</v>
      </c>
      <c r="R820" t="s">
        <v>3201</v>
      </c>
      <c r="S820" t="s">
        <v>13</v>
      </c>
    </row>
    <row r="821" spans="1:19" x14ac:dyDescent="0.3">
      <c r="A821" t="s">
        <v>624</v>
      </c>
      <c r="B821" t="s">
        <v>1602</v>
      </c>
      <c r="C821" t="s">
        <v>1689</v>
      </c>
      <c r="D821" t="s">
        <v>3190</v>
      </c>
      <c r="E821" t="s">
        <v>14</v>
      </c>
      <c r="F821" s="2">
        <v>23</v>
      </c>
      <c r="G821" t="s">
        <v>3206</v>
      </c>
      <c r="H821" t="s">
        <v>10</v>
      </c>
      <c r="I821" t="s">
        <v>36</v>
      </c>
      <c r="J821" t="s">
        <v>3213</v>
      </c>
      <c r="K821" t="s">
        <v>37</v>
      </c>
      <c r="L821" s="2">
        <v>7.1707000000000001</v>
      </c>
      <c r="M821" t="s">
        <v>3199</v>
      </c>
      <c r="N821">
        <v>0</v>
      </c>
      <c r="O821">
        <v>0</v>
      </c>
      <c r="P821">
        <v>1</v>
      </c>
      <c r="Q821" t="s">
        <v>3200</v>
      </c>
      <c r="R821" t="s">
        <v>3205</v>
      </c>
      <c r="S821" t="s">
        <v>16</v>
      </c>
    </row>
    <row r="822" spans="1:19" x14ac:dyDescent="0.3">
      <c r="A822" t="s">
        <v>625</v>
      </c>
      <c r="B822" t="s">
        <v>1596</v>
      </c>
      <c r="C822" t="s">
        <v>2321</v>
      </c>
      <c r="D822" t="s">
        <v>3189</v>
      </c>
      <c r="E822" t="s">
        <v>9</v>
      </c>
      <c r="F822" s="2">
        <v>30</v>
      </c>
      <c r="G822" t="s">
        <v>3206</v>
      </c>
      <c r="H822" t="s">
        <v>25</v>
      </c>
      <c r="I822" t="s">
        <v>19</v>
      </c>
      <c r="J822" t="s">
        <v>3207</v>
      </c>
      <c r="K822" t="s">
        <v>12</v>
      </c>
      <c r="L822" s="2">
        <v>57.15</v>
      </c>
      <c r="M822" t="s">
        <v>3211</v>
      </c>
      <c r="N822">
        <v>1</v>
      </c>
      <c r="O822">
        <v>0</v>
      </c>
      <c r="P822">
        <v>2</v>
      </c>
      <c r="Q822" t="s">
        <v>3204</v>
      </c>
      <c r="R822" t="s">
        <v>3205</v>
      </c>
      <c r="S822" t="s">
        <v>16</v>
      </c>
    </row>
    <row r="823" spans="1:19" x14ac:dyDescent="0.3">
      <c r="A823" t="s">
        <v>626</v>
      </c>
      <c r="B823" t="s">
        <v>1596</v>
      </c>
      <c r="C823" t="s">
        <v>2322</v>
      </c>
      <c r="D823" t="s">
        <v>3189</v>
      </c>
      <c r="E823" t="s">
        <v>9</v>
      </c>
      <c r="F823" s="2">
        <v>27</v>
      </c>
      <c r="G823" t="s">
        <v>3206</v>
      </c>
      <c r="H823" t="s">
        <v>10</v>
      </c>
      <c r="I823" t="s">
        <v>11</v>
      </c>
      <c r="J823" t="s">
        <v>3198</v>
      </c>
      <c r="K823" t="s">
        <v>17</v>
      </c>
      <c r="L823" s="2">
        <v>7.13</v>
      </c>
      <c r="M823" t="s">
        <v>3199</v>
      </c>
      <c r="N823">
        <v>0</v>
      </c>
      <c r="O823">
        <v>0</v>
      </c>
      <c r="P823">
        <v>1</v>
      </c>
      <c r="Q823" t="s">
        <v>3200</v>
      </c>
      <c r="R823" t="s">
        <v>3201</v>
      </c>
      <c r="S823" t="s">
        <v>13</v>
      </c>
    </row>
    <row r="824" spans="1:19" x14ac:dyDescent="0.3">
      <c r="A824" t="s">
        <v>627</v>
      </c>
      <c r="B824" t="s">
        <v>1596</v>
      </c>
      <c r="C824" t="s">
        <v>2323</v>
      </c>
      <c r="D824" t="s">
        <v>3189</v>
      </c>
      <c r="E824" t="s">
        <v>9</v>
      </c>
      <c r="F824" s="2">
        <v>55</v>
      </c>
      <c r="G824" t="s">
        <v>3197</v>
      </c>
      <c r="H824" t="s">
        <v>25</v>
      </c>
      <c r="I824" t="s">
        <v>11</v>
      </c>
      <c r="J824" t="s">
        <v>3198</v>
      </c>
      <c r="K824" t="s">
        <v>26</v>
      </c>
      <c r="L824" s="2">
        <v>30.1</v>
      </c>
      <c r="M824" t="s">
        <v>3203</v>
      </c>
      <c r="N824">
        <v>0</v>
      </c>
      <c r="O824">
        <v>0</v>
      </c>
      <c r="P824">
        <v>1</v>
      </c>
      <c r="Q824" t="s">
        <v>3200</v>
      </c>
      <c r="R824" t="s">
        <v>3201</v>
      </c>
      <c r="S824" t="s">
        <v>13</v>
      </c>
    </row>
    <row r="825" spans="1:19" x14ac:dyDescent="0.3">
      <c r="A825" t="s">
        <v>628</v>
      </c>
      <c r="B825" t="s">
        <v>1777</v>
      </c>
      <c r="C825" t="s">
        <v>2324</v>
      </c>
      <c r="D825" t="s">
        <v>3189</v>
      </c>
      <c r="E825" t="s">
        <v>9</v>
      </c>
      <c r="F825" s="2">
        <v>27</v>
      </c>
      <c r="G825" t="s">
        <v>3206</v>
      </c>
      <c r="H825" t="s">
        <v>18</v>
      </c>
      <c r="I825" t="s">
        <v>11</v>
      </c>
      <c r="J825" t="s">
        <v>3198</v>
      </c>
      <c r="K825" t="s">
        <v>15</v>
      </c>
      <c r="L825" s="2">
        <v>13</v>
      </c>
      <c r="M825" t="s">
        <v>3199</v>
      </c>
      <c r="N825">
        <v>0</v>
      </c>
      <c r="O825">
        <v>0</v>
      </c>
      <c r="P825">
        <v>1</v>
      </c>
      <c r="Q825" t="s">
        <v>3200</v>
      </c>
      <c r="R825" t="s">
        <v>3201</v>
      </c>
      <c r="S825" t="s">
        <v>13</v>
      </c>
    </row>
    <row r="826" spans="1:19" x14ac:dyDescent="0.3">
      <c r="A826" t="s">
        <v>629</v>
      </c>
      <c r="B826" t="s">
        <v>1596</v>
      </c>
      <c r="C826" t="s">
        <v>2325</v>
      </c>
      <c r="D826" t="s">
        <v>3189</v>
      </c>
      <c r="E826" t="s">
        <v>9</v>
      </c>
      <c r="F826" s="2">
        <v>47</v>
      </c>
      <c r="G826" t="s">
        <v>3197</v>
      </c>
      <c r="H826" t="s">
        <v>25</v>
      </c>
      <c r="I826" t="s">
        <v>11</v>
      </c>
      <c r="J826" t="s">
        <v>3198</v>
      </c>
      <c r="K826" t="s">
        <v>12</v>
      </c>
      <c r="L826" s="2">
        <v>42.08</v>
      </c>
      <c r="M826" t="s">
        <v>3211</v>
      </c>
      <c r="N826">
        <v>0</v>
      </c>
      <c r="O826">
        <v>0</v>
      </c>
      <c r="P826">
        <v>1</v>
      </c>
      <c r="Q826" t="s">
        <v>3200</v>
      </c>
      <c r="R826" t="s">
        <v>3201</v>
      </c>
      <c r="S826" t="s">
        <v>13</v>
      </c>
    </row>
    <row r="827" spans="1:19" x14ac:dyDescent="0.3">
      <c r="A827" t="s">
        <v>629</v>
      </c>
      <c r="B827" t="s">
        <v>1596</v>
      </c>
      <c r="C827" t="s">
        <v>2326</v>
      </c>
      <c r="D827" t="s">
        <v>3189</v>
      </c>
      <c r="E827" t="s">
        <v>9</v>
      </c>
      <c r="F827" s="2">
        <v>19</v>
      </c>
      <c r="G827" t="s">
        <v>3206</v>
      </c>
      <c r="H827" t="s">
        <v>10</v>
      </c>
      <c r="I827" t="s">
        <v>11</v>
      </c>
      <c r="J827" t="s">
        <v>3198</v>
      </c>
      <c r="K827" t="s">
        <v>15</v>
      </c>
      <c r="L827" s="2">
        <v>8.01</v>
      </c>
      <c r="M827" t="s">
        <v>3199</v>
      </c>
      <c r="N827">
        <v>0</v>
      </c>
      <c r="O827">
        <v>0</v>
      </c>
      <c r="P827">
        <v>1</v>
      </c>
      <c r="Q827" t="s">
        <v>3200</v>
      </c>
      <c r="R827" t="s">
        <v>3201</v>
      </c>
      <c r="S827" t="s">
        <v>13</v>
      </c>
    </row>
    <row r="828" spans="1:19" x14ac:dyDescent="0.3">
      <c r="A828" t="s">
        <v>630</v>
      </c>
      <c r="B828" t="s">
        <v>1612</v>
      </c>
      <c r="C828" t="s">
        <v>2327</v>
      </c>
      <c r="D828" t="s">
        <v>3189</v>
      </c>
      <c r="E828" t="s">
        <v>9</v>
      </c>
      <c r="F828" s="2">
        <v>7</v>
      </c>
      <c r="G828" t="s">
        <v>3208</v>
      </c>
      <c r="H828" t="s">
        <v>10</v>
      </c>
      <c r="I828" t="s">
        <v>11</v>
      </c>
      <c r="J828" t="s">
        <v>3198</v>
      </c>
      <c r="K828" t="s">
        <v>15</v>
      </c>
      <c r="L828" s="2">
        <v>12.0906</v>
      </c>
      <c r="M828" t="s">
        <v>3199</v>
      </c>
      <c r="N828">
        <v>0</v>
      </c>
      <c r="O828">
        <v>1</v>
      </c>
      <c r="P828">
        <v>2</v>
      </c>
      <c r="Q828" t="s">
        <v>3204</v>
      </c>
      <c r="R828" t="s">
        <v>3205</v>
      </c>
      <c r="S828" t="s">
        <v>16</v>
      </c>
    </row>
    <row r="829" spans="1:19" x14ac:dyDescent="0.3">
      <c r="A829" t="s">
        <v>630</v>
      </c>
      <c r="B829" t="s">
        <v>1600</v>
      </c>
      <c r="C829" t="s">
        <v>2328</v>
      </c>
      <c r="D829" t="s">
        <v>3190</v>
      </c>
      <c r="E829" t="s">
        <v>14</v>
      </c>
      <c r="F829" s="2">
        <v>29</v>
      </c>
      <c r="G829" t="s">
        <v>3206</v>
      </c>
      <c r="H829" t="s">
        <v>10</v>
      </c>
      <c r="I829" t="s">
        <v>11</v>
      </c>
      <c r="J829" t="s">
        <v>3198</v>
      </c>
      <c r="K829" t="s">
        <v>15</v>
      </c>
      <c r="L829" s="2">
        <v>12.0906</v>
      </c>
      <c r="M829" t="s">
        <v>3199</v>
      </c>
      <c r="N829">
        <v>0</v>
      </c>
      <c r="O829">
        <v>1</v>
      </c>
      <c r="P829">
        <v>2</v>
      </c>
      <c r="Q829" t="s">
        <v>3204</v>
      </c>
      <c r="R829" t="s">
        <v>3205</v>
      </c>
      <c r="S829" t="s">
        <v>16</v>
      </c>
    </row>
    <row r="830" spans="1:19" x14ac:dyDescent="0.3">
      <c r="A830" t="s">
        <v>631</v>
      </c>
      <c r="B830" t="s">
        <v>1602</v>
      </c>
      <c r="C830" t="s">
        <v>1927</v>
      </c>
      <c r="D830" t="s">
        <v>3190</v>
      </c>
      <c r="E830" t="s">
        <v>14</v>
      </c>
      <c r="F830" s="2">
        <v>28</v>
      </c>
      <c r="G830" t="s">
        <v>3206</v>
      </c>
      <c r="H830" t="s">
        <v>10</v>
      </c>
      <c r="I830" t="s">
        <v>36</v>
      </c>
      <c r="J830" t="s">
        <v>3213</v>
      </c>
      <c r="K830" t="s">
        <v>37</v>
      </c>
      <c r="L830" s="2">
        <v>24.03</v>
      </c>
      <c r="M830" t="s">
        <v>3203</v>
      </c>
      <c r="N830">
        <v>1</v>
      </c>
      <c r="O830">
        <v>0</v>
      </c>
      <c r="P830">
        <v>2</v>
      </c>
      <c r="Q830" t="s">
        <v>3204</v>
      </c>
      <c r="R830" t="s">
        <v>3205</v>
      </c>
      <c r="S830" t="s">
        <v>16</v>
      </c>
    </row>
    <row r="831" spans="1:19" x14ac:dyDescent="0.3">
      <c r="A831" t="s">
        <v>631</v>
      </c>
      <c r="B831" t="s">
        <v>1596</v>
      </c>
      <c r="C831" t="s">
        <v>2329</v>
      </c>
      <c r="D831" t="s">
        <v>3189</v>
      </c>
      <c r="E831" t="s">
        <v>9</v>
      </c>
      <c r="F831" s="2">
        <v>28</v>
      </c>
      <c r="G831" t="s">
        <v>3206</v>
      </c>
      <c r="H831" t="s">
        <v>10</v>
      </c>
      <c r="I831" t="s">
        <v>36</v>
      </c>
      <c r="J831" t="s">
        <v>3213</v>
      </c>
      <c r="K831" t="s">
        <v>37</v>
      </c>
      <c r="L831" s="2">
        <v>24.03</v>
      </c>
      <c r="M831" t="s">
        <v>3203</v>
      </c>
      <c r="N831">
        <v>1</v>
      </c>
      <c r="O831">
        <v>0</v>
      </c>
      <c r="P831">
        <v>2</v>
      </c>
      <c r="Q831" t="s">
        <v>3204</v>
      </c>
      <c r="R831" t="s">
        <v>3201</v>
      </c>
      <c r="S831" t="s">
        <v>13</v>
      </c>
    </row>
    <row r="832" spans="1:19" x14ac:dyDescent="0.3">
      <c r="A832" t="s">
        <v>632</v>
      </c>
      <c r="B832" t="s">
        <v>1749</v>
      </c>
      <c r="C832" t="s">
        <v>1794</v>
      </c>
      <c r="D832" t="s">
        <v>3189</v>
      </c>
      <c r="E832" t="s">
        <v>9</v>
      </c>
      <c r="F832" s="2">
        <v>54</v>
      </c>
      <c r="G832" t="s">
        <v>3197</v>
      </c>
      <c r="H832" t="s">
        <v>18</v>
      </c>
      <c r="I832" t="s">
        <v>11</v>
      </c>
      <c r="J832" t="s">
        <v>3198</v>
      </c>
      <c r="K832" t="s">
        <v>12</v>
      </c>
      <c r="L832" s="2">
        <v>14</v>
      </c>
      <c r="M832" t="s">
        <v>3199</v>
      </c>
      <c r="N832">
        <v>0</v>
      </c>
      <c r="O832">
        <v>0</v>
      </c>
      <c r="P832">
        <v>1</v>
      </c>
      <c r="Q832" t="s">
        <v>3200</v>
      </c>
      <c r="R832" t="s">
        <v>3201</v>
      </c>
      <c r="S832" t="s">
        <v>13</v>
      </c>
    </row>
    <row r="833" spans="1:19" x14ac:dyDescent="0.3">
      <c r="A833" t="s">
        <v>633</v>
      </c>
      <c r="B833" t="s">
        <v>1596</v>
      </c>
      <c r="C833" t="s">
        <v>2330</v>
      </c>
      <c r="D833" t="s">
        <v>3189</v>
      </c>
      <c r="E833" t="s">
        <v>9</v>
      </c>
      <c r="F833" s="2">
        <v>38</v>
      </c>
      <c r="G833" t="s">
        <v>3197</v>
      </c>
      <c r="H833" t="s">
        <v>18</v>
      </c>
      <c r="I833" t="s">
        <v>11</v>
      </c>
      <c r="J833" t="s">
        <v>3198</v>
      </c>
      <c r="K833" t="s">
        <v>15</v>
      </c>
      <c r="L833" s="2">
        <v>26</v>
      </c>
      <c r="M833" t="s">
        <v>3203</v>
      </c>
      <c r="N833">
        <v>0</v>
      </c>
      <c r="O833">
        <v>0</v>
      </c>
      <c r="P833">
        <v>1</v>
      </c>
      <c r="Q833" t="s">
        <v>3200</v>
      </c>
      <c r="R833" t="s">
        <v>3201</v>
      </c>
      <c r="S833" t="s">
        <v>13</v>
      </c>
    </row>
    <row r="834" spans="1:19" x14ac:dyDescent="0.3">
      <c r="A834" t="s">
        <v>633</v>
      </c>
      <c r="B834" t="s">
        <v>1596</v>
      </c>
      <c r="C834" t="s">
        <v>1619</v>
      </c>
      <c r="D834" t="s">
        <v>3189</v>
      </c>
      <c r="E834" t="s">
        <v>9</v>
      </c>
      <c r="F834" s="2">
        <v>34</v>
      </c>
      <c r="G834" t="s">
        <v>3206</v>
      </c>
      <c r="H834" t="s">
        <v>10</v>
      </c>
      <c r="I834" t="s">
        <v>11</v>
      </c>
      <c r="J834" t="s">
        <v>3198</v>
      </c>
      <c r="K834" t="s">
        <v>15</v>
      </c>
      <c r="L834" s="2">
        <v>8.01</v>
      </c>
      <c r="M834" t="s">
        <v>3199</v>
      </c>
      <c r="N834">
        <v>0</v>
      </c>
      <c r="O834">
        <v>0</v>
      </c>
      <c r="P834">
        <v>1</v>
      </c>
      <c r="Q834" t="s">
        <v>3200</v>
      </c>
      <c r="R834" t="s">
        <v>3201</v>
      </c>
      <c r="S834" t="s">
        <v>13</v>
      </c>
    </row>
    <row r="835" spans="1:19" x14ac:dyDescent="0.3">
      <c r="A835" t="s">
        <v>634</v>
      </c>
      <c r="B835" t="s">
        <v>1596</v>
      </c>
      <c r="C835" t="s">
        <v>2331</v>
      </c>
      <c r="D835" t="s">
        <v>3189</v>
      </c>
      <c r="E835" t="s">
        <v>9</v>
      </c>
      <c r="F835" s="2">
        <v>30</v>
      </c>
      <c r="G835" t="s">
        <v>3206</v>
      </c>
      <c r="H835" t="s">
        <v>10</v>
      </c>
      <c r="I835" t="s">
        <v>36</v>
      </c>
      <c r="J835" t="s">
        <v>3213</v>
      </c>
      <c r="K835" t="s">
        <v>37</v>
      </c>
      <c r="L835" s="2">
        <v>7.15</v>
      </c>
      <c r="M835" t="s">
        <v>3199</v>
      </c>
      <c r="N835">
        <v>0</v>
      </c>
      <c r="O835">
        <v>0</v>
      </c>
      <c r="P835">
        <v>1</v>
      </c>
      <c r="Q835" t="s">
        <v>3200</v>
      </c>
      <c r="R835" t="s">
        <v>3201</v>
      </c>
      <c r="S835" t="s">
        <v>13</v>
      </c>
    </row>
    <row r="836" spans="1:19" x14ac:dyDescent="0.3">
      <c r="A836" t="s">
        <v>635</v>
      </c>
      <c r="B836" t="s">
        <v>1596</v>
      </c>
      <c r="C836" t="s">
        <v>2332</v>
      </c>
      <c r="D836" t="s">
        <v>3189</v>
      </c>
      <c r="E836" t="s">
        <v>9</v>
      </c>
      <c r="F836" s="2">
        <v>29</v>
      </c>
      <c r="G836" t="s">
        <v>3206</v>
      </c>
      <c r="H836" t="s">
        <v>10</v>
      </c>
      <c r="I836" t="s">
        <v>11</v>
      </c>
      <c r="J836" t="s">
        <v>3198</v>
      </c>
      <c r="K836" t="s">
        <v>17</v>
      </c>
      <c r="L836" s="2">
        <v>7.1505999999999998</v>
      </c>
      <c r="M836" t="s">
        <v>3199</v>
      </c>
      <c r="N836">
        <v>0</v>
      </c>
      <c r="O836">
        <v>0</v>
      </c>
      <c r="P836">
        <v>1</v>
      </c>
      <c r="Q836" t="s">
        <v>3200</v>
      </c>
      <c r="R836" t="s">
        <v>3205</v>
      </c>
      <c r="S836" t="s">
        <v>16</v>
      </c>
    </row>
    <row r="837" spans="1:19" x14ac:dyDescent="0.3">
      <c r="A837" t="s">
        <v>636</v>
      </c>
      <c r="B837" t="s">
        <v>1600</v>
      </c>
      <c r="C837" t="s">
        <v>2333</v>
      </c>
      <c r="D837" t="s">
        <v>3190</v>
      </c>
      <c r="E837" t="s">
        <v>14</v>
      </c>
      <c r="F837" s="2">
        <v>35</v>
      </c>
      <c r="G837" t="s">
        <v>3206</v>
      </c>
      <c r="H837" t="s">
        <v>10</v>
      </c>
      <c r="I837" t="s">
        <v>19</v>
      </c>
      <c r="J837" t="s">
        <v>3207</v>
      </c>
      <c r="K837" t="s">
        <v>21</v>
      </c>
      <c r="L837" s="2">
        <v>7.0407000000000002</v>
      </c>
      <c r="M837" t="s">
        <v>3199</v>
      </c>
      <c r="N837">
        <v>0</v>
      </c>
      <c r="O837">
        <v>0</v>
      </c>
      <c r="P837">
        <v>1</v>
      </c>
      <c r="Q837" t="s">
        <v>3200</v>
      </c>
      <c r="R837" t="s">
        <v>3205</v>
      </c>
      <c r="S837" t="s">
        <v>16</v>
      </c>
    </row>
    <row r="838" spans="1:19" x14ac:dyDescent="0.3">
      <c r="A838" t="s">
        <v>637</v>
      </c>
      <c r="B838" t="s">
        <v>1596</v>
      </c>
      <c r="C838" t="s">
        <v>2334</v>
      </c>
      <c r="D838" t="s">
        <v>3189</v>
      </c>
      <c r="E838" t="s">
        <v>9</v>
      </c>
      <c r="F838" s="2">
        <v>28</v>
      </c>
      <c r="G838" t="s">
        <v>3206</v>
      </c>
      <c r="H838" t="s">
        <v>10</v>
      </c>
      <c r="I838" t="s">
        <v>11</v>
      </c>
      <c r="J838" t="s">
        <v>3198</v>
      </c>
      <c r="K838" t="s">
        <v>15</v>
      </c>
      <c r="L838" s="2">
        <v>8.01</v>
      </c>
      <c r="M838" t="s">
        <v>3199</v>
      </c>
      <c r="N838">
        <v>0</v>
      </c>
      <c r="O838">
        <v>0</v>
      </c>
      <c r="P838">
        <v>1</v>
      </c>
      <c r="Q838" t="s">
        <v>3200</v>
      </c>
      <c r="R838" t="s">
        <v>3201</v>
      </c>
      <c r="S838" t="s">
        <v>13</v>
      </c>
    </row>
    <row r="839" spans="1:19" x14ac:dyDescent="0.3">
      <c r="A839" t="s">
        <v>638</v>
      </c>
      <c r="B839" t="s">
        <v>1612</v>
      </c>
      <c r="C839" t="s">
        <v>2335</v>
      </c>
      <c r="D839" t="s">
        <v>3189</v>
      </c>
      <c r="E839" t="s">
        <v>9</v>
      </c>
      <c r="F839" s="2">
        <v>4</v>
      </c>
      <c r="G839" t="s">
        <v>3208</v>
      </c>
      <c r="H839" t="s">
        <v>10</v>
      </c>
      <c r="I839" t="s">
        <v>19</v>
      </c>
      <c r="J839" t="s">
        <v>3207</v>
      </c>
      <c r="K839" t="s">
        <v>21</v>
      </c>
      <c r="L839" s="2">
        <v>15.0411</v>
      </c>
      <c r="M839" t="s">
        <v>3203</v>
      </c>
      <c r="N839">
        <v>1</v>
      </c>
      <c r="O839">
        <v>1</v>
      </c>
      <c r="P839">
        <v>3</v>
      </c>
      <c r="Q839" t="s">
        <v>3204</v>
      </c>
      <c r="R839" t="s">
        <v>3205</v>
      </c>
      <c r="S839" t="s">
        <v>16</v>
      </c>
    </row>
    <row r="840" spans="1:19" x14ac:dyDescent="0.3">
      <c r="A840" t="s">
        <v>638</v>
      </c>
      <c r="B840" t="s">
        <v>1612</v>
      </c>
      <c r="C840" t="s">
        <v>2336</v>
      </c>
      <c r="D840" t="s">
        <v>3189</v>
      </c>
      <c r="E840" t="s">
        <v>9</v>
      </c>
      <c r="F840" s="2">
        <v>7</v>
      </c>
      <c r="G840" t="s">
        <v>3208</v>
      </c>
      <c r="H840" t="s">
        <v>10</v>
      </c>
      <c r="I840" t="s">
        <v>19</v>
      </c>
      <c r="J840" t="s">
        <v>3207</v>
      </c>
      <c r="K840" t="s">
        <v>21</v>
      </c>
      <c r="L840" s="2">
        <v>15.0411</v>
      </c>
      <c r="M840" t="s">
        <v>3203</v>
      </c>
      <c r="N840">
        <v>1</v>
      </c>
      <c r="O840">
        <v>1</v>
      </c>
      <c r="P840">
        <v>3</v>
      </c>
      <c r="Q840" t="s">
        <v>3204</v>
      </c>
      <c r="R840" t="s">
        <v>3205</v>
      </c>
      <c r="S840" t="s">
        <v>16</v>
      </c>
    </row>
    <row r="841" spans="1:19" x14ac:dyDescent="0.3">
      <c r="A841" t="s">
        <v>638</v>
      </c>
      <c r="B841" t="s">
        <v>1600</v>
      </c>
      <c r="C841" t="s">
        <v>2337</v>
      </c>
      <c r="D841" t="s">
        <v>3190</v>
      </c>
      <c r="E841" t="s">
        <v>14</v>
      </c>
      <c r="F841" s="2">
        <v>25</v>
      </c>
      <c r="G841" t="s">
        <v>3206</v>
      </c>
      <c r="H841" t="s">
        <v>10</v>
      </c>
      <c r="I841" t="s">
        <v>19</v>
      </c>
      <c r="J841" t="s">
        <v>3207</v>
      </c>
      <c r="K841" t="s">
        <v>21</v>
      </c>
      <c r="L841" s="2">
        <v>15.0411</v>
      </c>
      <c r="M841" t="s">
        <v>3203</v>
      </c>
      <c r="N841">
        <v>0</v>
      </c>
      <c r="O841">
        <v>2</v>
      </c>
      <c r="P841">
        <v>3</v>
      </c>
      <c r="Q841" t="s">
        <v>3204</v>
      </c>
      <c r="R841" t="s">
        <v>3205</v>
      </c>
      <c r="S841" t="s">
        <v>16</v>
      </c>
    </row>
    <row r="842" spans="1:19" x14ac:dyDescent="0.3">
      <c r="A842" t="s">
        <v>639</v>
      </c>
      <c r="B842" t="s">
        <v>1596</v>
      </c>
      <c r="C842" t="s">
        <v>2338</v>
      </c>
      <c r="D842" t="s">
        <v>3189</v>
      </c>
      <c r="E842" t="s">
        <v>9</v>
      </c>
      <c r="F842" s="2">
        <v>17</v>
      </c>
      <c r="G842" t="s">
        <v>3202</v>
      </c>
      <c r="H842" t="s">
        <v>18</v>
      </c>
      <c r="I842" t="s">
        <v>11</v>
      </c>
      <c r="J842" t="s">
        <v>3198</v>
      </c>
      <c r="K842" t="s">
        <v>15</v>
      </c>
      <c r="L842" s="2">
        <v>10.1</v>
      </c>
      <c r="M842" t="s">
        <v>3199</v>
      </c>
      <c r="N842">
        <v>0</v>
      </c>
      <c r="O842">
        <v>0</v>
      </c>
      <c r="P842">
        <v>1</v>
      </c>
      <c r="Q842" t="s">
        <v>3200</v>
      </c>
      <c r="R842" t="s">
        <v>3201</v>
      </c>
      <c r="S842" t="s">
        <v>13</v>
      </c>
    </row>
    <row r="843" spans="1:19" x14ac:dyDescent="0.3">
      <c r="A843" t="s">
        <v>640</v>
      </c>
      <c r="B843" t="s">
        <v>1602</v>
      </c>
      <c r="C843" t="s">
        <v>1735</v>
      </c>
      <c r="D843" t="s">
        <v>3190</v>
      </c>
      <c r="E843" t="s">
        <v>14</v>
      </c>
      <c r="F843" s="2">
        <v>21</v>
      </c>
      <c r="G843" t="s">
        <v>3206</v>
      </c>
      <c r="H843" t="s">
        <v>10</v>
      </c>
      <c r="I843" t="s">
        <v>36</v>
      </c>
      <c r="J843" t="s">
        <v>3213</v>
      </c>
      <c r="K843" t="s">
        <v>37</v>
      </c>
      <c r="L843" s="2">
        <v>7.1407999999999996</v>
      </c>
      <c r="M843" t="s">
        <v>3199</v>
      </c>
      <c r="N843">
        <v>0</v>
      </c>
      <c r="O843">
        <v>0</v>
      </c>
      <c r="P843">
        <v>1</v>
      </c>
      <c r="Q843" t="s">
        <v>3200</v>
      </c>
      <c r="R843" t="s">
        <v>3205</v>
      </c>
      <c r="S843" t="s">
        <v>16</v>
      </c>
    </row>
    <row r="844" spans="1:19" x14ac:dyDescent="0.3">
      <c r="A844" t="s">
        <v>641</v>
      </c>
      <c r="B844" t="s">
        <v>1602</v>
      </c>
      <c r="C844" t="s">
        <v>2339</v>
      </c>
      <c r="D844" t="s">
        <v>3190</v>
      </c>
      <c r="E844" t="s">
        <v>14</v>
      </c>
      <c r="F844" s="2">
        <v>25</v>
      </c>
      <c r="G844" t="s">
        <v>3206</v>
      </c>
      <c r="H844" t="s">
        <v>10</v>
      </c>
      <c r="I844" t="s">
        <v>36</v>
      </c>
      <c r="J844" t="s">
        <v>3213</v>
      </c>
      <c r="K844" t="s">
        <v>37</v>
      </c>
      <c r="L844" s="2">
        <v>7.15</v>
      </c>
      <c r="M844" t="s">
        <v>3199</v>
      </c>
      <c r="N844">
        <v>0</v>
      </c>
      <c r="O844">
        <v>0</v>
      </c>
      <c r="P844">
        <v>1</v>
      </c>
      <c r="Q844" t="s">
        <v>3200</v>
      </c>
      <c r="R844" t="s">
        <v>3205</v>
      </c>
      <c r="S844" t="s">
        <v>16</v>
      </c>
    </row>
    <row r="845" spans="1:19" x14ac:dyDescent="0.3">
      <c r="A845" t="s">
        <v>642</v>
      </c>
      <c r="B845" t="s">
        <v>1596</v>
      </c>
      <c r="C845" t="s">
        <v>1795</v>
      </c>
      <c r="D845" t="s">
        <v>3189</v>
      </c>
      <c r="E845" t="s">
        <v>9</v>
      </c>
      <c r="F845" s="2">
        <v>22</v>
      </c>
      <c r="G845" t="s">
        <v>3206</v>
      </c>
      <c r="H845" t="s">
        <v>10</v>
      </c>
      <c r="I845" t="s">
        <v>11</v>
      </c>
      <c r="J845" t="s">
        <v>3198</v>
      </c>
      <c r="K845" t="s">
        <v>15</v>
      </c>
      <c r="L845" s="2">
        <v>8.01</v>
      </c>
      <c r="M845" t="s">
        <v>3199</v>
      </c>
      <c r="N845">
        <v>0</v>
      </c>
      <c r="O845">
        <v>0</v>
      </c>
      <c r="P845">
        <v>1</v>
      </c>
      <c r="Q845" t="s">
        <v>3200</v>
      </c>
      <c r="R845" t="s">
        <v>3201</v>
      </c>
      <c r="S845" t="s">
        <v>13</v>
      </c>
    </row>
    <row r="846" spans="1:19" x14ac:dyDescent="0.3">
      <c r="A846" t="s">
        <v>643</v>
      </c>
      <c r="B846" t="s">
        <v>1602</v>
      </c>
      <c r="C846" t="s">
        <v>1735</v>
      </c>
      <c r="D846" t="s">
        <v>3190</v>
      </c>
      <c r="E846" t="s">
        <v>14</v>
      </c>
      <c r="F846" s="2">
        <v>18</v>
      </c>
      <c r="G846" t="s">
        <v>3206</v>
      </c>
      <c r="H846" t="s">
        <v>10</v>
      </c>
      <c r="I846" t="s">
        <v>36</v>
      </c>
      <c r="J846" t="s">
        <v>3213</v>
      </c>
      <c r="K846" t="s">
        <v>37</v>
      </c>
      <c r="L846" s="2">
        <v>15.1</v>
      </c>
      <c r="M846" t="s">
        <v>3203</v>
      </c>
      <c r="N846">
        <v>1</v>
      </c>
      <c r="O846">
        <v>0</v>
      </c>
      <c r="P846">
        <v>2</v>
      </c>
      <c r="Q846" t="s">
        <v>3204</v>
      </c>
      <c r="R846" t="s">
        <v>3205</v>
      </c>
      <c r="S846" t="s">
        <v>16</v>
      </c>
    </row>
    <row r="847" spans="1:19" x14ac:dyDescent="0.3">
      <c r="A847" t="s">
        <v>643</v>
      </c>
      <c r="B847" t="s">
        <v>1602</v>
      </c>
      <c r="C847" t="s">
        <v>2340</v>
      </c>
      <c r="D847" t="s">
        <v>3190</v>
      </c>
      <c r="E847" t="s">
        <v>14</v>
      </c>
      <c r="F847" s="2">
        <v>25</v>
      </c>
      <c r="G847" t="s">
        <v>3206</v>
      </c>
      <c r="H847" t="s">
        <v>10</v>
      </c>
      <c r="I847" t="s">
        <v>36</v>
      </c>
      <c r="J847" t="s">
        <v>3213</v>
      </c>
      <c r="K847" t="s">
        <v>37</v>
      </c>
      <c r="L847" s="2">
        <v>15.1</v>
      </c>
      <c r="M847" t="s">
        <v>3203</v>
      </c>
      <c r="N847">
        <v>1</v>
      </c>
      <c r="O847">
        <v>0</v>
      </c>
      <c r="P847">
        <v>2</v>
      </c>
      <c r="Q847" t="s">
        <v>3204</v>
      </c>
      <c r="R847" t="s">
        <v>3205</v>
      </c>
      <c r="S847" t="s">
        <v>16</v>
      </c>
    </row>
    <row r="848" spans="1:19" x14ac:dyDescent="0.3">
      <c r="A848" t="s">
        <v>643</v>
      </c>
      <c r="B848" t="s">
        <v>1602</v>
      </c>
      <c r="C848" t="s">
        <v>2341</v>
      </c>
      <c r="D848" t="s">
        <v>3190</v>
      </c>
      <c r="E848" t="s">
        <v>14</v>
      </c>
      <c r="F848" s="2">
        <v>31</v>
      </c>
      <c r="G848" t="s">
        <v>3206</v>
      </c>
      <c r="H848" t="s">
        <v>10</v>
      </c>
      <c r="I848" t="s">
        <v>36</v>
      </c>
      <c r="J848" t="s">
        <v>3213</v>
      </c>
      <c r="K848" t="s">
        <v>37</v>
      </c>
      <c r="L848" s="2">
        <v>15.1</v>
      </c>
      <c r="M848" t="s">
        <v>3203</v>
      </c>
      <c r="N848">
        <v>0</v>
      </c>
      <c r="O848">
        <v>0</v>
      </c>
      <c r="P848">
        <v>1</v>
      </c>
      <c r="Q848" t="s">
        <v>3200</v>
      </c>
      <c r="R848" t="s">
        <v>3205</v>
      </c>
      <c r="S848" t="s">
        <v>16</v>
      </c>
    </row>
    <row r="849" spans="1:19" x14ac:dyDescent="0.3">
      <c r="A849" t="s">
        <v>644</v>
      </c>
      <c r="B849" t="s">
        <v>1600</v>
      </c>
      <c r="C849" t="s">
        <v>2342</v>
      </c>
      <c r="D849" t="s">
        <v>3190</v>
      </c>
      <c r="E849" t="s">
        <v>14</v>
      </c>
      <c r="F849" s="2">
        <v>22</v>
      </c>
      <c r="G849" t="s">
        <v>3206</v>
      </c>
      <c r="H849" t="s">
        <v>10</v>
      </c>
      <c r="I849" t="s">
        <v>19</v>
      </c>
      <c r="J849" t="s">
        <v>3207</v>
      </c>
      <c r="K849" t="s">
        <v>21</v>
      </c>
      <c r="L849" s="2">
        <v>7.0406000000000004</v>
      </c>
      <c r="M849" t="s">
        <v>3199</v>
      </c>
      <c r="N849">
        <v>0</v>
      </c>
      <c r="O849">
        <v>0</v>
      </c>
      <c r="P849">
        <v>1</v>
      </c>
      <c r="Q849" t="s">
        <v>3200</v>
      </c>
      <c r="R849" t="s">
        <v>3205</v>
      </c>
      <c r="S849" t="s">
        <v>16</v>
      </c>
    </row>
    <row r="850" spans="1:19" x14ac:dyDescent="0.3">
      <c r="A850" t="s">
        <v>645</v>
      </c>
      <c r="B850" t="s">
        <v>1596</v>
      </c>
      <c r="C850" t="s">
        <v>2343</v>
      </c>
      <c r="D850" t="s">
        <v>3189</v>
      </c>
      <c r="E850" t="s">
        <v>9</v>
      </c>
      <c r="F850" s="2">
        <v>18</v>
      </c>
      <c r="G850" t="s">
        <v>3206</v>
      </c>
      <c r="H850" t="s">
        <v>10</v>
      </c>
      <c r="I850" t="s">
        <v>11</v>
      </c>
      <c r="J850" t="s">
        <v>3198</v>
      </c>
      <c r="K850" t="s">
        <v>23</v>
      </c>
      <c r="L850" s="2">
        <v>7.15</v>
      </c>
      <c r="M850" t="s">
        <v>3199</v>
      </c>
      <c r="N850">
        <v>0</v>
      </c>
      <c r="O850">
        <v>0</v>
      </c>
      <c r="P850">
        <v>1</v>
      </c>
      <c r="Q850" t="s">
        <v>3200</v>
      </c>
      <c r="R850" t="s">
        <v>3201</v>
      </c>
      <c r="S850" t="s">
        <v>13</v>
      </c>
    </row>
    <row r="851" spans="1:19" x14ac:dyDescent="0.3">
      <c r="A851" t="s">
        <v>646</v>
      </c>
      <c r="B851" t="s">
        <v>1596</v>
      </c>
      <c r="C851" t="s">
        <v>2293</v>
      </c>
      <c r="D851" t="s">
        <v>3189</v>
      </c>
      <c r="E851" t="s">
        <v>9</v>
      </c>
      <c r="F851" s="2">
        <v>63</v>
      </c>
      <c r="G851" t="s">
        <v>3210</v>
      </c>
      <c r="H851" t="s">
        <v>18</v>
      </c>
      <c r="I851" t="s">
        <v>36</v>
      </c>
      <c r="J851" t="s">
        <v>3213</v>
      </c>
      <c r="K851" t="s">
        <v>37</v>
      </c>
      <c r="L851" s="2">
        <v>9.1309000000000005</v>
      </c>
      <c r="M851" t="s">
        <v>3199</v>
      </c>
      <c r="N851">
        <v>0</v>
      </c>
      <c r="O851">
        <v>0</v>
      </c>
      <c r="P851">
        <v>1</v>
      </c>
      <c r="Q851" t="s">
        <v>3200</v>
      </c>
      <c r="R851" t="s">
        <v>3201</v>
      </c>
      <c r="S851" t="s">
        <v>13</v>
      </c>
    </row>
    <row r="852" spans="1:19" x14ac:dyDescent="0.3">
      <c r="A852" t="s">
        <v>647</v>
      </c>
      <c r="B852" t="s">
        <v>1596</v>
      </c>
      <c r="C852" t="s">
        <v>2344</v>
      </c>
      <c r="D852" t="s">
        <v>3189</v>
      </c>
      <c r="E852" t="s">
        <v>9</v>
      </c>
      <c r="F852" s="2">
        <v>22</v>
      </c>
      <c r="G852" t="s">
        <v>3206</v>
      </c>
      <c r="H852" t="s">
        <v>10</v>
      </c>
      <c r="I852" t="s">
        <v>11</v>
      </c>
      <c r="J852" t="s">
        <v>3198</v>
      </c>
      <c r="K852" t="s">
        <v>31</v>
      </c>
      <c r="L852" s="2">
        <v>7.1711</v>
      </c>
      <c r="M852" t="s">
        <v>3199</v>
      </c>
      <c r="N852">
        <v>0</v>
      </c>
      <c r="O852">
        <v>0</v>
      </c>
      <c r="P852">
        <v>1</v>
      </c>
      <c r="Q852" t="s">
        <v>3200</v>
      </c>
      <c r="R852" t="s">
        <v>3201</v>
      </c>
      <c r="S852" t="s">
        <v>13</v>
      </c>
    </row>
    <row r="853" spans="1:19" x14ac:dyDescent="0.3">
      <c r="A853" t="s">
        <v>648</v>
      </c>
      <c r="B853" t="s">
        <v>1602</v>
      </c>
      <c r="C853" t="s">
        <v>2345</v>
      </c>
      <c r="D853" t="s">
        <v>3190</v>
      </c>
      <c r="E853" t="s">
        <v>14</v>
      </c>
      <c r="F853" s="2">
        <v>15</v>
      </c>
      <c r="G853" t="s">
        <v>3202</v>
      </c>
      <c r="H853" t="s">
        <v>10</v>
      </c>
      <c r="I853" t="s">
        <v>19</v>
      </c>
      <c r="J853" t="s">
        <v>3207</v>
      </c>
      <c r="K853" t="s">
        <v>21</v>
      </c>
      <c r="L853" s="2">
        <v>7.0406000000000004</v>
      </c>
      <c r="M853" t="s">
        <v>3199</v>
      </c>
      <c r="N853">
        <v>0</v>
      </c>
      <c r="O853">
        <v>0</v>
      </c>
      <c r="P853">
        <v>1</v>
      </c>
      <c r="Q853" t="s">
        <v>3200</v>
      </c>
      <c r="R853" t="s">
        <v>3205</v>
      </c>
      <c r="S853" t="s">
        <v>16</v>
      </c>
    </row>
    <row r="854" spans="1:19" x14ac:dyDescent="0.3">
      <c r="A854" t="s">
        <v>649</v>
      </c>
      <c r="B854" t="s">
        <v>1596</v>
      </c>
      <c r="C854" t="s">
        <v>2346</v>
      </c>
      <c r="D854" t="s">
        <v>3189</v>
      </c>
      <c r="E854" t="s">
        <v>9</v>
      </c>
      <c r="F854" s="2">
        <v>17</v>
      </c>
      <c r="G854" t="s">
        <v>3202</v>
      </c>
      <c r="H854" t="s">
        <v>10</v>
      </c>
      <c r="I854" t="s">
        <v>19</v>
      </c>
      <c r="J854" t="s">
        <v>3207</v>
      </c>
      <c r="K854" t="s">
        <v>21</v>
      </c>
      <c r="L854" s="2">
        <v>7.0407000000000002</v>
      </c>
      <c r="M854" t="s">
        <v>3199</v>
      </c>
      <c r="N854">
        <v>0</v>
      </c>
      <c r="O854">
        <v>0</v>
      </c>
      <c r="P854">
        <v>1</v>
      </c>
      <c r="Q854" t="s">
        <v>3200</v>
      </c>
      <c r="R854" t="s">
        <v>3201</v>
      </c>
      <c r="S854" t="s">
        <v>13</v>
      </c>
    </row>
    <row r="855" spans="1:19" x14ac:dyDescent="0.3">
      <c r="A855" t="s">
        <v>650</v>
      </c>
      <c r="B855" t="s">
        <v>1602</v>
      </c>
      <c r="C855" t="s">
        <v>2200</v>
      </c>
      <c r="D855" t="s">
        <v>3190</v>
      </c>
      <c r="E855" t="s">
        <v>14</v>
      </c>
      <c r="F855" s="2">
        <v>1</v>
      </c>
      <c r="G855" t="s">
        <v>3208</v>
      </c>
      <c r="H855" t="s">
        <v>10</v>
      </c>
      <c r="I855" t="s">
        <v>19</v>
      </c>
      <c r="J855" t="s">
        <v>3207</v>
      </c>
      <c r="K855" t="s">
        <v>21</v>
      </c>
      <c r="L855" s="2">
        <v>15.141</v>
      </c>
      <c r="M855" t="s">
        <v>3203</v>
      </c>
      <c r="N855">
        <v>0</v>
      </c>
      <c r="O855">
        <v>2</v>
      </c>
      <c r="P855">
        <v>3</v>
      </c>
      <c r="Q855" t="s">
        <v>3204</v>
      </c>
      <c r="R855" t="s">
        <v>3205</v>
      </c>
      <c r="S855" t="s">
        <v>16</v>
      </c>
    </row>
    <row r="856" spans="1:19" x14ac:dyDescent="0.3">
      <c r="A856" t="s">
        <v>650</v>
      </c>
      <c r="B856" t="s">
        <v>1596</v>
      </c>
      <c r="C856" t="s">
        <v>2347</v>
      </c>
      <c r="D856" t="s">
        <v>3189</v>
      </c>
      <c r="E856" t="s">
        <v>9</v>
      </c>
      <c r="F856" s="2">
        <v>21</v>
      </c>
      <c r="G856" t="s">
        <v>3206</v>
      </c>
      <c r="H856" t="s">
        <v>10</v>
      </c>
      <c r="I856" t="s">
        <v>19</v>
      </c>
      <c r="J856" t="s">
        <v>3207</v>
      </c>
      <c r="K856" t="s">
        <v>21</v>
      </c>
      <c r="L856" s="2">
        <v>15.141</v>
      </c>
      <c r="M856" t="s">
        <v>3203</v>
      </c>
      <c r="N856">
        <v>1</v>
      </c>
      <c r="O856">
        <v>1</v>
      </c>
      <c r="P856">
        <v>3</v>
      </c>
      <c r="Q856" t="s">
        <v>3204</v>
      </c>
      <c r="R856" t="s">
        <v>3205</v>
      </c>
      <c r="S856" t="s">
        <v>16</v>
      </c>
    </row>
    <row r="857" spans="1:19" x14ac:dyDescent="0.3">
      <c r="A857" t="s">
        <v>650</v>
      </c>
      <c r="B857" t="s">
        <v>1600</v>
      </c>
      <c r="C857" t="s">
        <v>2348</v>
      </c>
      <c r="D857" t="s">
        <v>3190</v>
      </c>
      <c r="E857" t="s">
        <v>14</v>
      </c>
      <c r="F857" s="2">
        <v>19</v>
      </c>
      <c r="G857" t="s">
        <v>3206</v>
      </c>
      <c r="H857" t="s">
        <v>10</v>
      </c>
      <c r="I857" t="s">
        <v>19</v>
      </c>
      <c r="J857" t="s">
        <v>3207</v>
      </c>
      <c r="K857" t="s">
        <v>21</v>
      </c>
      <c r="L857" s="2">
        <v>15.141</v>
      </c>
      <c r="M857" t="s">
        <v>3203</v>
      </c>
      <c r="N857">
        <v>1</v>
      </c>
      <c r="O857">
        <v>1</v>
      </c>
      <c r="P857">
        <v>3</v>
      </c>
      <c r="Q857" t="s">
        <v>3204</v>
      </c>
      <c r="R857" t="s">
        <v>3205</v>
      </c>
      <c r="S857" t="s">
        <v>16</v>
      </c>
    </row>
    <row r="858" spans="1:19" x14ac:dyDescent="0.3">
      <c r="A858" t="s">
        <v>651</v>
      </c>
      <c r="B858" t="s">
        <v>1596</v>
      </c>
      <c r="C858" t="s">
        <v>1621</v>
      </c>
      <c r="D858" t="s">
        <v>3189</v>
      </c>
      <c r="E858" t="s">
        <v>9</v>
      </c>
      <c r="F858" s="2">
        <v>36</v>
      </c>
      <c r="G858" t="s">
        <v>3197</v>
      </c>
      <c r="H858" t="s">
        <v>10</v>
      </c>
      <c r="I858" t="s">
        <v>11</v>
      </c>
      <c r="J858" t="s">
        <v>3198</v>
      </c>
      <c r="K858" t="s">
        <v>15</v>
      </c>
      <c r="L858" s="2">
        <v>8.01</v>
      </c>
      <c r="M858" t="s">
        <v>3199</v>
      </c>
      <c r="N858">
        <v>0</v>
      </c>
      <c r="O858">
        <v>0</v>
      </c>
      <c r="P858">
        <v>1</v>
      </c>
      <c r="Q858" t="s">
        <v>3200</v>
      </c>
      <c r="R858" t="s">
        <v>3201</v>
      </c>
      <c r="S858" t="s">
        <v>13</v>
      </c>
    </row>
    <row r="859" spans="1:19" x14ac:dyDescent="0.3">
      <c r="A859" t="s">
        <v>652</v>
      </c>
      <c r="B859" t="s">
        <v>1596</v>
      </c>
      <c r="C859" t="s">
        <v>1646</v>
      </c>
      <c r="D859" t="s">
        <v>3189</v>
      </c>
      <c r="E859" t="s">
        <v>9</v>
      </c>
      <c r="F859" s="2">
        <v>32</v>
      </c>
      <c r="G859" t="s">
        <v>3206</v>
      </c>
      <c r="H859" t="s">
        <v>10</v>
      </c>
      <c r="I859" t="s">
        <v>11</v>
      </c>
      <c r="J859" t="s">
        <v>3198</v>
      </c>
      <c r="K859" t="s">
        <v>15</v>
      </c>
      <c r="L859" s="2">
        <v>7.1711</v>
      </c>
      <c r="M859" t="s">
        <v>3199</v>
      </c>
      <c r="N859">
        <v>0</v>
      </c>
      <c r="O859">
        <v>0</v>
      </c>
      <c r="P859">
        <v>1</v>
      </c>
      <c r="Q859" t="s">
        <v>3200</v>
      </c>
      <c r="R859" t="s">
        <v>3201</v>
      </c>
      <c r="S859" t="s">
        <v>13</v>
      </c>
    </row>
    <row r="860" spans="1:19" x14ac:dyDescent="0.3">
      <c r="A860" t="s">
        <v>653</v>
      </c>
      <c r="B860" t="s">
        <v>1596</v>
      </c>
      <c r="C860" t="s">
        <v>2349</v>
      </c>
      <c r="D860" t="s">
        <v>3189</v>
      </c>
      <c r="E860" t="s">
        <v>9</v>
      </c>
      <c r="F860" s="2">
        <v>20</v>
      </c>
      <c r="G860" t="s">
        <v>3206</v>
      </c>
      <c r="H860" t="s">
        <v>10</v>
      </c>
      <c r="I860" t="s">
        <v>19</v>
      </c>
      <c r="J860" t="s">
        <v>3207</v>
      </c>
      <c r="K860" t="s">
        <v>21</v>
      </c>
      <c r="L860" s="2">
        <v>7.0407000000000002</v>
      </c>
      <c r="M860" t="s">
        <v>3199</v>
      </c>
      <c r="N860">
        <v>0</v>
      </c>
      <c r="O860">
        <v>0</v>
      </c>
      <c r="P860">
        <v>1</v>
      </c>
      <c r="Q860" t="s">
        <v>3200</v>
      </c>
      <c r="R860" t="s">
        <v>3201</v>
      </c>
      <c r="S860" t="s">
        <v>13</v>
      </c>
    </row>
    <row r="861" spans="1:19" x14ac:dyDescent="0.3">
      <c r="A861" t="s">
        <v>654</v>
      </c>
      <c r="B861" t="s">
        <v>1596</v>
      </c>
      <c r="C861" t="s">
        <v>2350</v>
      </c>
      <c r="D861" t="s">
        <v>3189</v>
      </c>
      <c r="E861" t="s">
        <v>9</v>
      </c>
      <c r="F861" s="2">
        <v>28</v>
      </c>
      <c r="G861" t="s">
        <v>3206</v>
      </c>
      <c r="H861" t="s">
        <v>18</v>
      </c>
      <c r="I861" t="s">
        <v>19</v>
      </c>
      <c r="J861" t="s">
        <v>3207</v>
      </c>
      <c r="K861" t="s">
        <v>12</v>
      </c>
      <c r="L861" s="2">
        <v>30.0105</v>
      </c>
      <c r="M861" t="s">
        <v>3203</v>
      </c>
      <c r="N861">
        <v>1</v>
      </c>
      <c r="O861">
        <v>0</v>
      </c>
      <c r="P861">
        <v>2</v>
      </c>
      <c r="Q861" t="s">
        <v>3204</v>
      </c>
      <c r="R861" t="s">
        <v>3201</v>
      </c>
      <c r="S861" t="s">
        <v>13</v>
      </c>
    </row>
    <row r="862" spans="1:19" x14ac:dyDescent="0.3">
      <c r="A862" t="s">
        <v>654</v>
      </c>
      <c r="B862" t="s">
        <v>1600</v>
      </c>
      <c r="C862" t="s">
        <v>2345</v>
      </c>
      <c r="D862" t="s">
        <v>3190</v>
      </c>
      <c r="E862" t="s">
        <v>14</v>
      </c>
      <c r="F862" s="2">
        <v>14</v>
      </c>
      <c r="G862" t="s">
        <v>3202</v>
      </c>
      <c r="H862" t="s">
        <v>18</v>
      </c>
      <c r="I862" t="s">
        <v>19</v>
      </c>
      <c r="J862" t="s">
        <v>3207</v>
      </c>
      <c r="K862" t="s">
        <v>21</v>
      </c>
      <c r="L862" s="2">
        <v>30.0105</v>
      </c>
      <c r="M862" t="s">
        <v>3203</v>
      </c>
      <c r="N862">
        <v>1</v>
      </c>
      <c r="O862">
        <v>0</v>
      </c>
      <c r="P862">
        <v>2</v>
      </c>
      <c r="Q862" t="s">
        <v>3204</v>
      </c>
      <c r="R862" t="s">
        <v>3205</v>
      </c>
      <c r="S862" t="s">
        <v>16</v>
      </c>
    </row>
    <row r="863" spans="1:19" x14ac:dyDescent="0.3">
      <c r="A863" t="s">
        <v>655</v>
      </c>
      <c r="B863" t="s">
        <v>1596</v>
      </c>
      <c r="C863" t="s">
        <v>2351</v>
      </c>
      <c r="D863" t="s">
        <v>3189</v>
      </c>
      <c r="E863" t="s">
        <v>9</v>
      </c>
      <c r="F863" s="2">
        <v>20</v>
      </c>
      <c r="G863" t="s">
        <v>3206</v>
      </c>
      <c r="H863" t="s">
        <v>10</v>
      </c>
      <c r="I863" t="s">
        <v>19</v>
      </c>
      <c r="J863" t="s">
        <v>3207</v>
      </c>
      <c r="K863" t="s">
        <v>21</v>
      </c>
      <c r="L863" s="2">
        <v>7.0406000000000004</v>
      </c>
      <c r="M863" t="s">
        <v>3199</v>
      </c>
      <c r="N863">
        <v>0</v>
      </c>
      <c r="O863">
        <v>0</v>
      </c>
      <c r="P863">
        <v>1</v>
      </c>
      <c r="Q863" t="s">
        <v>3200</v>
      </c>
      <c r="R863" t="s">
        <v>3201</v>
      </c>
      <c r="S863" t="s">
        <v>13</v>
      </c>
    </row>
    <row r="864" spans="1:19" x14ac:dyDescent="0.3">
      <c r="A864" t="s">
        <v>656</v>
      </c>
      <c r="B864" t="s">
        <v>1596</v>
      </c>
      <c r="C864" t="s">
        <v>2259</v>
      </c>
      <c r="D864" t="s">
        <v>3189</v>
      </c>
      <c r="E864" t="s">
        <v>9</v>
      </c>
      <c r="F864" s="2">
        <v>36</v>
      </c>
      <c r="G864" t="s">
        <v>3197</v>
      </c>
      <c r="H864" t="s">
        <v>25</v>
      </c>
      <c r="I864" t="s">
        <v>19</v>
      </c>
      <c r="J864" t="s">
        <v>3207</v>
      </c>
      <c r="K864" t="s">
        <v>12</v>
      </c>
      <c r="L864" s="2">
        <v>29.14</v>
      </c>
      <c r="M864" t="s">
        <v>3203</v>
      </c>
      <c r="N864">
        <v>0</v>
      </c>
      <c r="O864">
        <v>1</v>
      </c>
      <c r="P864">
        <v>2</v>
      </c>
      <c r="Q864" t="s">
        <v>3204</v>
      </c>
      <c r="R864" t="s">
        <v>3201</v>
      </c>
      <c r="S864" t="s">
        <v>13</v>
      </c>
    </row>
    <row r="865" spans="1:19" x14ac:dyDescent="0.3">
      <c r="A865" t="s">
        <v>657</v>
      </c>
      <c r="B865" t="s">
        <v>1602</v>
      </c>
      <c r="C865" t="s">
        <v>1606</v>
      </c>
      <c r="D865" t="s">
        <v>3190</v>
      </c>
      <c r="E865" t="s">
        <v>14</v>
      </c>
      <c r="F865" s="2">
        <v>21</v>
      </c>
      <c r="G865" t="s">
        <v>3206</v>
      </c>
      <c r="H865" t="s">
        <v>10</v>
      </c>
      <c r="I865" t="s">
        <v>36</v>
      </c>
      <c r="J865" t="s">
        <v>3213</v>
      </c>
      <c r="K865" t="s">
        <v>37</v>
      </c>
      <c r="L865" s="2">
        <v>7.15</v>
      </c>
      <c r="M865" t="s">
        <v>3199</v>
      </c>
      <c r="N865">
        <v>0</v>
      </c>
      <c r="O865">
        <v>0</v>
      </c>
      <c r="P865">
        <v>1</v>
      </c>
      <c r="Q865" t="s">
        <v>3200</v>
      </c>
      <c r="R865" t="s">
        <v>3201</v>
      </c>
      <c r="S865" t="s">
        <v>13</v>
      </c>
    </row>
    <row r="866" spans="1:19" x14ac:dyDescent="0.3">
      <c r="A866" t="s">
        <v>658</v>
      </c>
      <c r="B866" t="s">
        <v>1612</v>
      </c>
      <c r="C866" t="s">
        <v>2352</v>
      </c>
      <c r="D866" t="s">
        <v>3189</v>
      </c>
      <c r="E866" t="s">
        <v>9</v>
      </c>
      <c r="F866" s="2">
        <v>2</v>
      </c>
      <c r="G866" t="s">
        <v>3208</v>
      </c>
      <c r="H866" t="s">
        <v>18</v>
      </c>
      <c r="I866" t="s">
        <v>11</v>
      </c>
      <c r="J866" t="s">
        <v>3198</v>
      </c>
      <c r="K866" t="s">
        <v>20</v>
      </c>
      <c r="L866" s="2">
        <v>26</v>
      </c>
      <c r="M866" t="s">
        <v>3203</v>
      </c>
      <c r="N866">
        <v>1</v>
      </c>
      <c r="O866">
        <v>1</v>
      </c>
      <c r="P866">
        <v>3</v>
      </c>
      <c r="Q866" t="s">
        <v>3204</v>
      </c>
      <c r="R866" t="s">
        <v>3205</v>
      </c>
      <c r="S866" t="s">
        <v>16</v>
      </c>
    </row>
    <row r="867" spans="1:19" x14ac:dyDescent="0.3">
      <c r="A867" t="s">
        <v>658</v>
      </c>
      <c r="B867" t="s">
        <v>1612</v>
      </c>
      <c r="C867" t="s">
        <v>2353</v>
      </c>
      <c r="D867" t="s">
        <v>3189</v>
      </c>
      <c r="E867" t="s">
        <v>9</v>
      </c>
      <c r="F867" s="2">
        <v>3</v>
      </c>
      <c r="G867" t="s">
        <v>3208</v>
      </c>
      <c r="H867" t="s">
        <v>18</v>
      </c>
      <c r="I867" t="s">
        <v>11</v>
      </c>
      <c r="J867" t="s">
        <v>3198</v>
      </c>
      <c r="K867" t="s">
        <v>20</v>
      </c>
      <c r="L867" s="2">
        <v>26</v>
      </c>
      <c r="M867" t="s">
        <v>3203</v>
      </c>
      <c r="N867">
        <v>1</v>
      </c>
      <c r="O867">
        <v>1</v>
      </c>
      <c r="P867">
        <v>3</v>
      </c>
      <c r="Q867" t="s">
        <v>3204</v>
      </c>
      <c r="R867" t="s">
        <v>3205</v>
      </c>
      <c r="S867" t="s">
        <v>16</v>
      </c>
    </row>
    <row r="868" spans="1:19" x14ac:dyDescent="0.3">
      <c r="A868" t="s">
        <v>658</v>
      </c>
      <c r="B868" t="s">
        <v>1596</v>
      </c>
      <c r="C868" t="s">
        <v>2354</v>
      </c>
      <c r="D868" t="s">
        <v>3189</v>
      </c>
      <c r="E868" t="s">
        <v>9</v>
      </c>
      <c r="F868" s="2">
        <v>32</v>
      </c>
      <c r="G868" t="s">
        <v>3206</v>
      </c>
      <c r="H868" t="s">
        <v>18</v>
      </c>
      <c r="I868" t="s">
        <v>11</v>
      </c>
      <c r="J868" t="s">
        <v>3198</v>
      </c>
      <c r="K868" t="s">
        <v>63</v>
      </c>
      <c r="L868" s="2">
        <v>26</v>
      </c>
      <c r="M868" t="s">
        <v>3203</v>
      </c>
      <c r="N868">
        <v>0</v>
      </c>
      <c r="O868">
        <v>2</v>
      </c>
      <c r="P868">
        <v>3</v>
      </c>
      <c r="Q868" t="s">
        <v>3204</v>
      </c>
      <c r="R868" t="s">
        <v>3201</v>
      </c>
      <c r="S868" t="s">
        <v>13</v>
      </c>
    </row>
    <row r="869" spans="1:19" x14ac:dyDescent="0.3">
      <c r="A869" t="s">
        <v>659</v>
      </c>
      <c r="B869" t="s">
        <v>1596</v>
      </c>
      <c r="C869" t="s">
        <v>2355</v>
      </c>
      <c r="D869" t="s">
        <v>3189</v>
      </c>
      <c r="E869" t="s">
        <v>9</v>
      </c>
      <c r="F869" s="2">
        <v>22</v>
      </c>
      <c r="G869" t="s">
        <v>3206</v>
      </c>
      <c r="H869" t="s">
        <v>10</v>
      </c>
      <c r="I869" t="s">
        <v>11</v>
      </c>
      <c r="J869" t="s">
        <v>3198</v>
      </c>
      <c r="K869" t="s">
        <v>15</v>
      </c>
      <c r="L869" s="2">
        <v>7.1711</v>
      </c>
      <c r="M869" t="s">
        <v>3199</v>
      </c>
      <c r="N869">
        <v>0</v>
      </c>
      <c r="O869">
        <v>0</v>
      </c>
      <c r="P869">
        <v>1</v>
      </c>
      <c r="Q869" t="s">
        <v>3200</v>
      </c>
      <c r="R869" t="s">
        <v>3201</v>
      </c>
      <c r="S869" t="s">
        <v>13</v>
      </c>
    </row>
    <row r="870" spans="1:19" x14ac:dyDescent="0.3">
      <c r="A870" t="s">
        <v>660</v>
      </c>
      <c r="B870" t="s">
        <v>1596</v>
      </c>
      <c r="C870" t="s">
        <v>2356</v>
      </c>
      <c r="D870" t="s">
        <v>3189</v>
      </c>
      <c r="E870" t="s">
        <v>9</v>
      </c>
      <c r="F870" s="2">
        <v>26</v>
      </c>
      <c r="G870" t="s">
        <v>3206</v>
      </c>
      <c r="H870" t="s">
        <v>18</v>
      </c>
      <c r="I870" t="s">
        <v>11</v>
      </c>
      <c r="J870" t="s">
        <v>3198</v>
      </c>
      <c r="K870" t="s">
        <v>15</v>
      </c>
      <c r="L870" s="2">
        <v>13</v>
      </c>
      <c r="M870" t="s">
        <v>3199</v>
      </c>
      <c r="N870">
        <v>0</v>
      </c>
      <c r="O870">
        <v>0</v>
      </c>
      <c r="P870">
        <v>1</v>
      </c>
      <c r="Q870" t="s">
        <v>3200</v>
      </c>
      <c r="R870" t="s">
        <v>3201</v>
      </c>
      <c r="S870" t="s">
        <v>13</v>
      </c>
    </row>
    <row r="871" spans="1:19" x14ac:dyDescent="0.3">
      <c r="A871" t="s">
        <v>661</v>
      </c>
      <c r="B871" t="s">
        <v>1602</v>
      </c>
      <c r="C871" t="s">
        <v>2357</v>
      </c>
      <c r="D871" t="s">
        <v>3190</v>
      </c>
      <c r="E871" t="s">
        <v>14</v>
      </c>
      <c r="F871" s="2">
        <v>31</v>
      </c>
      <c r="G871" t="s">
        <v>3206</v>
      </c>
      <c r="H871" t="s">
        <v>25</v>
      </c>
      <c r="I871" t="s">
        <v>19</v>
      </c>
      <c r="J871" t="s">
        <v>3207</v>
      </c>
      <c r="K871" t="s">
        <v>12</v>
      </c>
      <c r="L871" s="2">
        <v>113.0506</v>
      </c>
      <c r="M871" t="s">
        <v>3209</v>
      </c>
      <c r="N871">
        <v>1</v>
      </c>
      <c r="O871">
        <v>0</v>
      </c>
      <c r="P871">
        <v>2</v>
      </c>
      <c r="Q871" t="s">
        <v>3204</v>
      </c>
      <c r="R871" t="s">
        <v>3205</v>
      </c>
      <c r="S871" t="s">
        <v>16</v>
      </c>
    </row>
    <row r="872" spans="1:19" x14ac:dyDescent="0.3">
      <c r="A872" t="s">
        <v>661</v>
      </c>
      <c r="B872" t="s">
        <v>1602</v>
      </c>
      <c r="C872" t="s">
        <v>2358</v>
      </c>
      <c r="D872" t="s">
        <v>3190</v>
      </c>
      <c r="E872" t="s">
        <v>14</v>
      </c>
      <c r="F872" s="2">
        <v>23</v>
      </c>
      <c r="G872" t="s">
        <v>3206</v>
      </c>
      <c r="H872" t="s">
        <v>25</v>
      </c>
      <c r="I872" t="s">
        <v>19</v>
      </c>
      <c r="J872" t="s">
        <v>3207</v>
      </c>
      <c r="K872" t="s">
        <v>12</v>
      </c>
      <c r="L872" s="2">
        <v>113.0506</v>
      </c>
      <c r="M872" t="s">
        <v>3209</v>
      </c>
      <c r="N872">
        <v>1</v>
      </c>
      <c r="O872">
        <v>0</v>
      </c>
      <c r="P872">
        <v>2</v>
      </c>
      <c r="Q872" t="s">
        <v>3204</v>
      </c>
      <c r="R872" t="s">
        <v>3205</v>
      </c>
      <c r="S872" t="s">
        <v>16</v>
      </c>
    </row>
    <row r="873" spans="1:19" x14ac:dyDescent="0.3">
      <c r="A873" t="s">
        <v>661</v>
      </c>
      <c r="B873" t="s">
        <v>1596</v>
      </c>
      <c r="C873" t="s">
        <v>2359</v>
      </c>
      <c r="D873" t="s">
        <v>3189</v>
      </c>
      <c r="E873" t="s">
        <v>9</v>
      </c>
      <c r="F873" s="2">
        <v>58</v>
      </c>
      <c r="G873" t="s">
        <v>3210</v>
      </c>
      <c r="H873" t="s">
        <v>25</v>
      </c>
      <c r="I873" t="s">
        <v>19</v>
      </c>
      <c r="J873" t="s">
        <v>3207</v>
      </c>
      <c r="K873" t="s">
        <v>12</v>
      </c>
      <c r="L873" s="2">
        <v>113.0506</v>
      </c>
      <c r="M873" t="s">
        <v>3209</v>
      </c>
      <c r="N873">
        <v>0</v>
      </c>
      <c r="O873">
        <v>2</v>
      </c>
      <c r="P873">
        <v>3</v>
      </c>
      <c r="Q873" t="s">
        <v>3204</v>
      </c>
      <c r="R873" t="s">
        <v>3201</v>
      </c>
      <c r="S873" t="s">
        <v>13</v>
      </c>
    </row>
    <row r="874" spans="1:19" x14ac:dyDescent="0.3">
      <c r="A874" t="s">
        <v>662</v>
      </c>
      <c r="B874" t="s">
        <v>1602</v>
      </c>
      <c r="C874" t="s">
        <v>2360</v>
      </c>
      <c r="D874" t="s">
        <v>3190</v>
      </c>
      <c r="E874" t="s">
        <v>14</v>
      </c>
      <c r="F874" s="2">
        <v>19</v>
      </c>
      <c r="G874" t="s">
        <v>3206</v>
      </c>
      <c r="H874" t="s">
        <v>25</v>
      </c>
      <c r="I874" t="s">
        <v>11</v>
      </c>
      <c r="J874" t="s">
        <v>3198</v>
      </c>
      <c r="K874" t="s">
        <v>12</v>
      </c>
      <c r="L874" s="2">
        <v>26.050799999999999</v>
      </c>
      <c r="M874" t="s">
        <v>3203</v>
      </c>
      <c r="N874">
        <v>0</v>
      </c>
      <c r="O874">
        <v>2</v>
      </c>
      <c r="P874">
        <v>3</v>
      </c>
      <c r="Q874" t="s">
        <v>3204</v>
      </c>
      <c r="R874" t="s">
        <v>3205</v>
      </c>
      <c r="S874" t="s">
        <v>16</v>
      </c>
    </row>
    <row r="875" spans="1:19" x14ac:dyDescent="0.3">
      <c r="A875" t="s">
        <v>663</v>
      </c>
      <c r="B875" t="s">
        <v>1596</v>
      </c>
      <c r="C875" t="s">
        <v>1967</v>
      </c>
      <c r="D875" t="s">
        <v>3189</v>
      </c>
      <c r="E875" t="s">
        <v>9</v>
      </c>
      <c r="F875" s="2">
        <v>19</v>
      </c>
      <c r="G875" t="s">
        <v>3206</v>
      </c>
      <c r="H875" t="s">
        <v>18</v>
      </c>
      <c r="I875" t="s">
        <v>11</v>
      </c>
      <c r="J875" t="s">
        <v>3198</v>
      </c>
      <c r="K875" t="s">
        <v>15</v>
      </c>
      <c r="L875" s="2">
        <v>36.15</v>
      </c>
      <c r="M875" t="s">
        <v>3211</v>
      </c>
      <c r="N875">
        <v>1</v>
      </c>
      <c r="O875">
        <v>1</v>
      </c>
      <c r="P875">
        <v>3</v>
      </c>
      <c r="Q875" t="s">
        <v>3204</v>
      </c>
      <c r="R875" t="s">
        <v>3201</v>
      </c>
      <c r="S875" t="s">
        <v>13</v>
      </c>
    </row>
    <row r="876" spans="1:19" x14ac:dyDescent="0.3">
      <c r="A876" t="s">
        <v>664</v>
      </c>
      <c r="B876" t="s">
        <v>1596</v>
      </c>
      <c r="C876" t="s">
        <v>2361</v>
      </c>
      <c r="D876" t="s">
        <v>3189</v>
      </c>
      <c r="E876" t="s">
        <v>9</v>
      </c>
      <c r="F876" s="2">
        <v>60</v>
      </c>
      <c r="G876" t="s">
        <v>3210</v>
      </c>
      <c r="H876" t="s">
        <v>25</v>
      </c>
      <c r="I876" t="s">
        <v>11</v>
      </c>
      <c r="J876" t="s">
        <v>3198</v>
      </c>
      <c r="K876" t="s">
        <v>15</v>
      </c>
      <c r="L876" s="2">
        <v>26</v>
      </c>
      <c r="M876" t="s">
        <v>3203</v>
      </c>
      <c r="N876">
        <v>0</v>
      </c>
      <c r="O876">
        <v>0</v>
      </c>
      <c r="P876">
        <v>1</v>
      </c>
      <c r="Q876" t="s">
        <v>3200</v>
      </c>
      <c r="R876" t="s">
        <v>3201</v>
      </c>
      <c r="S876" t="s">
        <v>13</v>
      </c>
    </row>
    <row r="877" spans="1:19" x14ac:dyDescent="0.3">
      <c r="A877" t="s">
        <v>665</v>
      </c>
      <c r="B877" t="s">
        <v>1602</v>
      </c>
      <c r="C877" t="s">
        <v>2362</v>
      </c>
      <c r="D877" t="s">
        <v>3190</v>
      </c>
      <c r="E877" t="s">
        <v>14</v>
      </c>
      <c r="F877" s="2">
        <v>29</v>
      </c>
      <c r="G877" t="s">
        <v>3206</v>
      </c>
      <c r="H877" t="s">
        <v>10</v>
      </c>
      <c r="I877" t="s">
        <v>11</v>
      </c>
      <c r="J877" t="s">
        <v>3198</v>
      </c>
      <c r="K877" t="s">
        <v>22</v>
      </c>
      <c r="L877" s="2">
        <v>7.1806000000000001</v>
      </c>
      <c r="M877" t="s">
        <v>3199</v>
      </c>
      <c r="N877">
        <v>0</v>
      </c>
      <c r="O877">
        <v>0</v>
      </c>
      <c r="P877">
        <v>1</v>
      </c>
      <c r="Q877" t="s">
        <v>3200</v>
      </c>
      <c r="R877" t="s">
        <v>3201</v>
      </c>
      <c r="S877" t="s">
        <v>13</v>
      </c>
    </row>
    <row r="878" spans="1:19" x14ac:dyDescent="0.3">
      <c r="A878" t="s">
        <v>666</v>
      </c>
      <c r="B878" t="s">
        <v>1596</v>
      </c>
      <c r="C878" t="s">
        <v>1605</v>
      </c>
      <c r="D878" t="s">
        <v>3189</v>
      </c>
      <c r="E878" t="s">
        <v>9</v>
      </c>
      <c r="F878" s="2">
        <v>28</v>
      </c>
      <c r="G878" t="s">
        <v>3206</v>
      </c>
      <c r="H878" t="s">
        <v>10</v>
      </c>
      <c r="I878" t="s">
        <v>11</v>
      </c>
      <c r="J878" t="s">
        <v>3198</v>
      </c>
      <c r="K878" t="s">
        <v>23</v>
      </c>
      <c r="L878" s="2">
        <v>8.01</v>
      </c>
      <c r="M878" t="s">
        <v>3199</v>
      </c>
      <c r="N878">
        <v>0</v>
      </c>
      <c r="O878">
        <v>0</v>
      </c>
      <c r="P878">
        <v>1</v>
      </c>
      <c r="Q878" t="s">
        <v>3200</v>
      </c>
      <c r="R878" t="s">
        <v>3201</v>
      </c>
      <c r="S878" t="s">
        <v>13</v>
      </c>
    </row>
    <row r="879" spans="1:19" x14ac:dyDescent="0.3">
      <c r="A879" t="s">
        <v>667</v>
      </c>
      <c r="B879" t="s">
        <v>1602</v>
      </c>
      <c r="C879" t="s">
        <v>2363</v>
      </c>
      <c r="D879" t="s">
        <v>3190</v>
      </c>
      <c r="E879" t="s">
        <v>14</v>
      </c>
      <c r="F879" s="2">
        <v>18</v>
      </c>
      <c r="G879" t="s">
        <v>3206</v>
      </c>
      <c r="H879" t="s">
        <v>10</v>
      </c>
      <c r="I879" t="s">
        <v>11</v>
      </c>
      <c r="J879" t="s">
        <v>3198</v>
      </c>
      <c r="K879" t="s">
        <v>23</v>
      </c>
      <c r="L879" s="2">
        <v>7.1505999999999998</v>
      </c>
      <c r="M879" t="s">
        <v>3199</v>
      </c>
      <c r="N879">
        <v>0</v>
      </c>
      <c r="O879">
        <v>0</v>
      </c>
      <c r="P879">
        <v>1</v>
      </c>
      <c r="Q879" t="s">
        <v>3200</v>
      </c>
      <c r="R879" t="s">
        <v>3205</v>
      </c>
      <c r="S879" t="s">
        <v>16</v>
      </c>
    </row>
    <row r="880" spans="1:19" x14ac:dyDescent="0.3">
      <c r="A880" t="s">
        <v>667</v>
      </c>
      <c r="B880" t="s">
        <v>1602</v>
      </c>
      <c r="C880" t="s">
        <v>2364</v>
      </c>
      <c r="D880" t="s">
        <v>3190</v>
      </c>
      <c r="E880" t="s">
        <v>14</v>
      </c>
      <c r="F880" s="2">
        <v>26</v>
      </c>
      <c r="G880" t="s">
        <v>3206</v>
      </c>
      <c r="H880" t="s">
        <v>10</v>
      </c>
      <c r="I880" t="s">
        <v>11</v>
      </c>
      <c r="J880" t="s">
        <v>3198</v>
      </c>
      <c r="K880" t="s">
        <v>23</v>
      </c>
      <c r="L880" s="2">
        <v>7.1700999999999997</v>
      </c>
      <c r="M880" t="s">
        <v>3199</v>
      </c>
      <c r="N880">
        <v>0</v>
      </c>
      <c r="O880">
        <v>0</v>
      </c>
      <c r="P880">
        <v>1</v>
      </c>
      <c r="Q880" t="s">
        <v>3200</v>
      </c>
      <c r="R880" t="s">
        <v>3205</v>
      </c>
      <c r="S880" t="s">
        <v>16</v>
      </c>
    </row>
    <row r="881" spans="1:19" x14ac:dyDescent="0.3">
      <c r="A881" t="s">
        <v>667</v>
      </c>
      <c r="B881" t="s">
        <v>1596</v>
      </c>
      <c r="C881" t="s">
        <v>2365</v>
      </c>
      <c r="D881" t="s">
        <v>3189</v>
      </c>
      <c r="E881" t="s">
        <v>9</v>
      </c>
      <c r="F881" s="2">
        <v>21</v>
      </c>
      <c r="G881" t="s">
        <v>3206</v>
      </c>
      <c r="H881" t="s">
        <v>10</v>
      </c>
      <c r="I881" t="s">
        <v>11</v>
      </c>
      <c r="J881" t="s">
        <v>3198</v>
      </c>
      <c r="K881" t="s">
        <v>23</v>
      </c>
      <c r="L881" s="2">
        <v>7.1700999999999997</v>
      </c>
      <c r="M881" t="s">
        <v>3199</v>
      </c>
      <c r="N881">
        <v>0</v>
      </c>
      <c r="O881">
        <v>0</v>
      </c>
      <c r="P881">
        <v>1</v>
      </c>
      <c r="Q881" t="s">
        <v>3200</v>
      </c>
      <c r="R881" t="s">
        <v>3201</v>
      </c>
      <c r="S881" t="s">
        <v>13</v>
      </c>
    </row>
    <row r="882" spans="1:19" x14ac:dyDescent="0.3">
      <c r="A882" t="s">
        <v>668</v>
      </c>
      <c r="B882" t="s">
        <v>1612</v>
      </c>
      <c r="C882" t="s">
        <v>2366</v>
      </c>
      <c r="D882" t="s">
        <v>3189</v>
      </c>
      <c r="E882" t="s">
        <v>9</v>
      </c>
      <c r="F882" s="2">
        <v>11</v>
      </c>
      <c r="G882" t="s">
        <v>3202</v>
      </c>
      <c r="H882" t="s">
        <v>10</v>
      </c>
      <c r="I882" t="s">
        <v>19</v>
      </c>
      <c r="J882" t="s">
        <v>3207</v>
      </c>
      <c r="K882" t="s">
        <v>21</v>
      </c>
      <c r="L882" s="2">
        <v>11.041</v>
      </c>
      <c r="M882" t="s">
        <v>3199</v>
      </c>
      <c r="N882">
        <v>1</v>
      </c>
      <c r="O882">
        <v>0</v>
      </c>
      <c r="P882">
        <v>2</v>
      </c>
      <c r="Q882" t="s">
        <v>3204</v>
      </c>
      <c r="R882" t="s">
        <v>3205</v>
      </c>
      <c r="S882" t="s">
        <v>16</v>
      </c>
    </row>
    <row r="883" spans="1:19" x14ac:dyDescent="0.3">
      <c r="A883" t="s">
        <v>668</v>
      </c>
      <c r="B883" t="s">
        <v>1602</v>
      </c>
      <c r="C883" t="s">
        <v>2367</v>
      </c>
      <c r="D883" t="s">
        <v>3190</v>
      </c>
      <c r="E883" t="s">
        <v>14</v>
      </c>
      <c r="F883" s="2">
        <v>14</v>
      </c>
      <c r="G883" t="s">
        <v>3202</v>
      </c>
      <c r="H883" t="s">
        <v>10</v>
      </c>
      <c r="I883" t="s">
        <v>19</v>
      </c>
      <c r="J883" t="s">
        <v>3207</v>
      </c>
      <c r="K883" t="s">
        <v>21</v>
      </c>
      <c r="L883" s="2">
        <v>11.041</v>
      </c>
      <c r="M883" t="s">
        <v>3199</v>
      </c>
      <c r="N883">
        <v>1</v>
      </c>
      <c r="O883">
        <v>0</v>
      </c>
      <c r="P883">
        <v>2</v>
      </c>
      <c r="Q883" t="s">
        <v>3204</v>
      </c>
      <c r="R883" t="s">
        <v>3205</v>
      </c>
      <c r="S883" t="s">
        <v>16</v>
      </c>
    </row>
    <row r="884" spans="1:19" x14ac:dyDescent="0.3">
      <c r="A884" t="s">
        <v>669</v>
      </c>
      <c r="B884" t="s">
        <v>1596</v>
      </c>
      <c r="C884" t="s">
        <v>2368</v>
      </c>
      <c r="D884" t="s">
        <v>3189</v>
      </c>
      <c r="E884" t="s">
        <v>9</v>
      </c>
      <c r="F884" s="2">
        <v>41</v>
      </c>
      <c r="G884" t="s">
        <v>3197</v>
      </c>
      <c r="H884" t="s">
        <v>10</v>
      </c>
      <c r="I884" t="s">
        <v>11</v>
      </c>
      <c r="J884" t="s">
        <v>3198</v>
      </c>
      <c r="K884" t="s">
        <v>22</v>
      </c>
      <c r="L884" s="2">
        <v>7.0206</v>
      </c>
      <c r="M884" t="s">
        <v>3199</v>
      </c>
      <c r="N884">
        <v>0</v>
      </c>
      <c r="O884">
        <v>0</v>
      </c>
      <c r="P884">
        <v>1</v>
      </c>
      <c r="Q884" t="s">
        <v>3200</v>
      </c>
      <c r="R884" t="s">
        <v>3201</v>
      </c>
      <c r="S884" t="s">
        <v>13</v>
      </c>
    </row>
    <row r="885" spans="1:19" x14ac:dyDescent="0.3">
      <c r="A885" t="s">
        <v>670</v>
      </c>
      <c r="B885" t="s">
        <v>1596</v>
      </c>
      <c r="C885" t="s">
        <v>2369</v>
      </c>
      <c r="D885" t="s">
        <v>3189</v>
      </c>
      <c r="E885" t="s">
        <v>9</v>
      </c>
      <c r="F885" s="2">
        <v>39</v>
      </c>
      <c r="G885" t="s">
        <v>3197</v>
      </c>
      <c r="H885" t="s">
        <v>10</v>
      </c>
      <c r="I885" t="s">
        <v>11</v>
      </c>
      <c r="J885" t="s">
        <v>3198</v>
      </c>
      <c r="K885" t="s">
        <v>12</v>
      </c>
      <c r="L885" s="2">
        <v>7.1806000000000001</v>
      </c>
      <c r="M885" t="s">
        <v>3199</v>
      </c>
      <c r="N885">
        <v>0</v>
      </c>
      <c r="O885">
        <v>0</v>
      </c>
      <c r="P885">
        <v>1</v>
      </c>
      <c r="Q885" t="s">
        <v>3200</v>
      </c>
      <c r="R885" t="s">
        <v>3205</v>
      </c>
      <c r="S885" t="s">
        <v>16</v>
      </c>
    </row>
    <row r="886" spans="1:19" x14ac:dyDescent="0.3">
      <c r="A886" t="s">
        <v>671</v>
      </c>
      <c r="B886" t="s">
        <v>1596</v>
      </c>
      <c r="C886" t="s">
        <v>2370</v>
      </c>
      <c r="D886" t="s">
        <v>3189</v>
      </c>
      <c r="E886" t="s">
        <v>9</v>
      </c>
      <c r="F886" s="2">
        <v>20</v>
      </c>
      <c r="G886" t="s">
        <v>3206</v>
      </c>
      <c r="H886" t="s">
        <v>10</v>
      </c>
      <c r="I886" t="s">
        <v>19</v>
      </c>
      <c r="J886" t="s">
        <v>3207</v>
      </c>
      <c r="K886" t="s">
        <v>21</v>
      </c>
      <c r="L886" s="2">
        <v>7.0407000000000002</v>
      </c>
      <c r="M886" t="s">
        <v>3199</v>
      </c>
      <c r="N886">
        <v>0</v>
      </c>
      <c r="O886">
        <v>0</v>
      </c>
      <c r="P886">
        <v>1</v>
      </c>
      <c r="Q886" t="s">
        <v>3200</v>
      </c>
      <c r="R886" t="s">
        <v>3201</v>
      </c>
      <c r="S886" t="s">
        <v>13</v>
      </c>
    </row>
    <row r="887" spans="1:19" x14ac:dyDescent="0.3">
      <c r="A887" t="s">
        <v>672</v>
      </c>
      <c r="B887" t="s">
        <v>1596</v>
      </c>
      <c r="C887" t="s">
        <v>2371</v>
      </c>
      <c r="D887" t="s">
        <v>3189</v>
      </c>
      <c r="E887" t="s">
        <v>9</v>
      </c>
      <c r="F887" s="2">
        <v>27</v>
      </c>
      <c r="G887" t="s">
        <v>3206</v>
      </c>
      <c r="H887" t="s">
        <v>18</v>
      </c>
      <c r="I887" t="s">
        <v>11</v>
      </c>
      <c r="J887" t="s">
        <v>3198</v>
      </c>
      <c r="K887" t="s">
        <v>43</v>
      </c>
      <c r="L887" s="2">
        <v>13.1</v>
      </c>
      <c r="M887" t="s">
        <v>3199</v>
      </c>
      <c r="N887">
        <v>0</v>
      </c>
      <c r="O887">
        <v>0</v>
      </c>
      <c r="P887">
        <v>1</v>
      </c>
      <c r="Q887" t="s">
        <v>3200</v>
      </c>
      <c r="R887" t="s">
        <v>3201</v>
      </c>
      <c r="S887" t="s">
        <v>13</v>
      </c>
    </row>
    <row r="888" spans="1:19" x14ac:dyDescent="0.3">
      <c r="A888" t="s">
        <v>673</v>
      </c>
      <c r="B888" t="s">
        <v>1596</v>
      </c>
      <c r="C888" t="s">
        <v>2372</v>
      </c>
      <c r="D888" t="s">
        <v>3189</v>
      </c>
      <c r="E888" t="s">
        <v>9</v>
      </c>
      <c r="F888" s="2">
        <v>21</v>
      </c>
      <c r="G888" t="s">
        <v>3206</v>
      </c>
      <c r="H888" t="s">
        <v>10</v>
      </c>
      <c r="I888" t="s">
        <v>11</v>
      </c>
      <c r="J888" t="s">
        <v>3198</v>
      </c>
      <c r="K888" t="s">
        <v>15</v>
      </c>
      <c r="L888" s="2">
        <v>7.16</v>
      </c>
      <c r="M888" t="s">
        <v>3199</v>
      </c>
      <c r="N888">
        <v>0</v>
      </c>
      <c r="O888">
        <v>0</v>
      </c>
      <c r="P888">
        <v>1</v>
      </c>
      <c r="Q888" t="s">
        <v>3200</v>
      </c>
      <c r="R888" t="s">
        <v>3201</v>
      </c>
      <c r="S888" t="s">
        <v>13</v>
      </c>
    </row>
    <row r="889" spans="1:19" x14ac:dyDescent="0.3">
      <c r="A889" t="s">
        <v>674</v>
      </c>
      <c r="B889" t="s">
        <v>1596</v>
      </c>
      <c r="C889" t="s">
        <v>2373</v>
      </c>
      <c r="D889" t="s">
        <v>3189</v>
      </c>
      <c r="E889" t="s">
        <v>9</v>
      </c>
      <c r="F889" s="2">
        <v>20</v>
      </c>
      <c r="G889" t="s">
        <v>3206</v>
      </c>
      <c r="H889" t="s">
        <v>25</v>
      </c>
      <c r="I889" t="s">
        <v>19</v>
      </c>
      <c r="J889" t="s">
        <v>3207</v>
      </c>
      <c r="K889" t="s">
        <v>64</v>
      </c>
      <c r="L889" s="2">
        <v>13.170299999999999</v>
      </c>
      <c r="M889" t="s">
        <v>3199</v>
      </c>
      <c r="N889">
        <v>0</v>
      </c>
      <c r="O889">
        <v>0</v>
      </c>
      <c r="P889">
        <v>1</v>
      </c>
      <c r="Q889" t="s">
        <v>3200</v>
      </c>
      <c r="R889" t="s">
        <v>3205</v>
      </c>
      <c r="S889" t="s">
        <v>16</v>
      </c>
    </row>
    <row r="890" spans="1:19" x14ac:dyDescent="0.3">
      <c r="A890" t="s">
        <v>675</v>
      </c>
      <c r="B890" t="s">
        <v>1600</v>
      </c>
      <c r="C890" t="s">
        <v>1730</v>
      </c>
      <c r="D890" t="s">
        <v>3190</v>
      </c>
      <c r="E890" t="s">
        <v>14</v>
      </c>
      <c r="F890" s="2">
        <v>29</v>
      </c>
      <c r="G890" t="s">
        <v>3206</v>
      </c>
      <c r="H890" t="s">
        <v>18</v>
      </c>
      <c r="I890" t="s">
        <v>11</v>
      </c>
      <c r="J890" t="s">
        <v>3198</v>
      </c>
      <c r="K890" t="s">
        <v>12</v>
      </c>
      <c r="L890" s="2">
        <v>10.1</v>
      </c>
      <c r="M890" t="s">
        <v>3199</v>
      </c>
      <c r="N890">
        <v>0</v>
      </c>
      <c r="O890">
        <v>0</v>
      </c>
      <c r="P890">
        <v>1</v>
      </c>
      <c r="Q890" t="s">
        <v>3200</v>
      </c>
      <c r="R890" t="s">
        <v>3205</v>
      </c>
      <c r="S890" t="s">
        <v>16</v>
      </c>
    </row>
    <row r="891" spans="1:19" x14ac:dyDescent="0.3">
      <c r="A891" t="s">
        <v>676</v>
      </c>
      <c r="B891" t="s">
        <v>1602</v>
      </c>
      <c r="C891" t="s">
        <v>2374</v>
      </c>
      <c r="D891" t="s">
        <v>3190</v>
      </c>
      <c r="E891" t="s">
        <v>14</v>
      </c>
      <c r="F891" s="2">
        <v>22</v>
      </c>
      <c r="G891" t="s">
        <v>3206</v>
      </c>
      <c r="H891" t="s">
        <v>10</v>
      </c>
      <c r="I891" t="s">
        <v>11</v>
      </c>
      <c r="J891" t="s">
        <v>3198</v>
      </c>
      <c r="K891" t="s">
        <v>23</v>
      </c>
      <c r="L891" s="2">
        <v>7.15</v>
      </c>
      <c r="M891" t="s">
        <v>3199</v>
      </c>
      <c r="N891">
        <v>0</v>
      </c>
      <c r="O891">
        <v>0</v>
      </c>
      <c r="P891">
        <v>1</v>
      </c>
      <c r="Q891" t="s">
        <v>3200</v>
      </c>
      <c r="R891" t="s">
        <v>3205</v>
      </c>
      <c r="S891" t="s">
        <v>16</v>
      </c>
    </row>
    <row r="892" spans="1:19" x14ac:dyDescent="0.3">
      <c r="A892" t="s">
        <v>677</v>
      </c>
      <c r="B892" t="s">
        <v>1596</v>
      </c>
      <c r="C892" t="s">
        <v>2375</v>
      </c>
      <c r="D892" t="s">
        <v>3189</v>
      </c>
      <c r="E892" t="s">
        <v>9</v>
      </c>
      <c r="F892" s="2">
        <v>60</v>
      </c>
      <c r="G892" t="s">
        <v>3210</v>
      </c>
      <c r="H892" t="s">
        <v>10</v>
      </c>
      <c r="I892" t="s">
        <v>11</v>
      </c>
      <c r="J892" t="s">
        <v>3198</v>
      </c>
      <c r="K892" t="s">
        <v>17</v>
      </c>
      <c r="L892" s="2">
        <v>6.0408999999999997</v>
      </c>
      <c r="M892" t="s">
        <v>3199</v>
      </c>
      <c r="N892">
        <v>0</v>
      </c>
      <c r="O892">
        <v>0</v>
      </c>
      <c r="P892">
        <v>1</v>
      </c>
      <c r="Q892" t="s">
        <v>3200</v>
      </c>
      <c r="R892" t="s">
        <v>3201</v>
      </c>
      <c r="S892" t="s">
        <v>13</v>
      </c>
    </row>
    <row r="893" spans="1:19" x14ac:dyDescent="0.3">
      <c r="A893" t="s">
        <v>678</v>
      </c>
      <c r="B893" t="s">
        <v>1596</v>
      </c>
      <c r="C893" t="s">
        <v>2237</v>
      </c>
      <c r="D893" t="s">
        <v>3189</v>
      </c>
      <c r="E893" t="s">
        <v>9</v>
      </c>
      <c r="F893" s="2">
        <v>21</v>
      </c>
      <c r="G893" t="s">
        <v>3206</v>
      </c>
      <c r="H893" t="s">
        <v>10</v>
      </c>
      <c r="I893" t="s">
        <v>36</v>
      </c>
      <c r="J893" t="s">
        <v>3213</v>
      </c>
      <c r="K893" t="s">
        <v>37</v>
      </c>
      <c r="L893" s="2">
        <v>7.1607000000000003</v>
      </c>
      <c r="M893" t="s">
        <v>3199</v>
      </c>
      <c r="N893">
        <v>0</v>
      </c>
      <c r="O893">
        <v>0</v>
      </c>
      <c r="P893">
        <v>1</v>
      </c>
      <c r="Q893" t="s">
        <v>3200</v>
      </c>
      <c r="R893" t="s">
        <v>3201</v>
      </c>
      <c r="S893" t="s">
        <v>13</v>
      </c>
    </row>
    <row r="894" spans="1:19" x14ac:dyDescent="0.3">
      <c r="A894" t="s">
        <v>678</v>
      </c>
      <c r="B894" t="s">
        <v>1600</v>
      </c>
      <c r="C894" t="s">
        <v>2376</v>
      </c>
      <c r="D894" t="s">
        <v>3190</v>
      </c>
      <c r="E894" t="s">
        <v>14</v>
      </c>
      <c r="F894" s="2">
        <v>26</v>
      </c>
      <c r="G894" t="s">
        <v>3206</v>
      </c>
      <c r="H894" t="s">
        <v>10</v>
      </c>
      <c r="I894" t="s">
        <v>36</v>
      </c>
      <c r="J894" t="s">
        <v>3213</v>
      </c>
      <c r="K894" t="s">
        <v>37</v>
      </c>
      <c r="L894" s="2">
        <v>15.1</v>
      </c>
      <c r="M894" t="s">
        <v>3203</v>
      </c>
      <c r="N894">
        <v>1</v>
      </c>
      <c r="O894">
        <v>0</v>
      </c>
      <c r="P894">
        <v>2</v>
      </c>
      <c r="Q894" t="s">
        <v>3204</v>
      </c>
      <c r="R894" t="s">
        <v>3205</v>
      </c>
      <c r="S894" t="s">
        <v>16</v>
      </c>
    </row>
    <row r="895" spans="1:19" x14ac:dyDescent="0.3">
      <c r="A895" t="s">
        <v>678</v>
      </c>
      <c r="B895" t="s">
        <v>1596</v>
      </c>
      <c r="C895" t="s">
        <v>1645</v>
      </c>
      <c r="D895" t="s">
        <v>3189</v>
      </c>
      <c r="E895" t="s">
        <v>9</v>
      </c>
      <c r="F895" s="2">
        <v>27</v>
      </c>
      <c r="G895" t="s">
        <v>3206</v>
      </c>
      <c r="H895" t="s">
        <v>10</v>
      </c>
      <c r="I895" t="s">
        <v>36</v>
      </c>
      <c r="J895" t="s">
        <v>3213</v>
      </c>
      <c r="K895" t="s">
        <v>37</v>
      </c>
      <c r="L895" s="2">
        <v>15.1</v>
      </c>
      <c r="M895" t="s">
        <v>3203</v>
      </c>
      <c r="N895">
        <v>1</v>
      </c>
      <c r="O895">
        <v>0</v>
      </c>
      <c r="P895">
        <v>2</v>
      </c>
      <c r="Q895" t="s">
        <v>3204</v>
      </c>
      <c r="R895" t="s">
        <v>3201</v>
      </c>
      <c r="S895" t="s">
        <v>13</v>
      </c>
    </row>
    <row r="896" spans="1:19" x14ac:dyDescent="0.3">
      <c r="A896" t="s">
        <v>679</v>
      </c>
      <c r="B896" t="s">
        <v>1596</v>
      </c>
      <c r="C896" t="s">
        <v>2377</v>
      </c>
      <c r="D896" t="s">
        <v>3189</v>
      </c>
      <c r="E896" t="s">
        <v>9</v>
      </c>
      <c r="F896" s="2">
        <v>18</v>
      </c>
      <c r="G896" t="s">
        <v>3206</v>
      </c>
      <c r="H896" t="s">
        <v>10</v>
      </c>
      <c r="I896" t="s">
        <v>36</v>
      </c>
      <c r="J896" t="s">
        <v>3213</v>
      </c>
      <c r="K896" t="s">
        <v>37</v>
      </c>
      <c r="L896" s="2">
        <v>7.1407999999999996</v>
      </c>
      <c r="M896" t="s">
        <v>3199</v>
      </c>
      <c r="N896">
        <v>0</v>
      </c>
      <c r="O896">
        <v>0</v>
      </c>
      <c r="P896">
        <v>1</v>
      </c>
      <c r="Q896" t="s">
        <v>3200</v>
      </c>
      <c r="R896" t="s">
        <v>3201</v>
      </c>
      <c r="S896" t="s">
        <v>13</v>
      </c>
    </row>
    <row r="897" spans="1:19" x14ac:dyDescent="0.3">
      <c r="A897" t="s">
        <v>680</v>
      </c>
      <c r="B897" t="s">
        <v>1596</v>
      </c>
      <c r="C897" t="s">
        <v>2378</v>
      </c>
      <c r="D897" t="s">
        <v>3189</v>
      </c>
      <c r="E897" t="s">
        <v>9</v>
      </c>
      <c r="F897" s="2">
        <v>17</v>
      </c>
      <c r="G897" t="s">
        <v>3202</v>
      </c>
      <c r="H897" t="s">
        <v>10</v>
      </c>
      <c r="I897" t="s">
        <v>36</v>
      </c>
      <c r="J897" t="s">
        <v>3213</v>
      </c>
      <c r="K897" t="s">
        <v>37</v>
      </c>
      <c r="L897" s="2">
        <v>7.15</v>
      </c>
      <c r="M897" t="s">
        <v>3199</v>
      </c>
      <c r="N897">
        <v>0</v>
      </c>
      <c r="O897">
        <v>0</v>
      </c>
      <c r="P897">
        <v>1</v>
      </c>
      <c r="Q897" t="s">
        <v>3200</v>
      </c>
      <c r="R897" t="s">
        <v>3201</v>
      </c>
      <c r="S897" t="s">
        <v>13</v>
      </c>
    </row>
    <row r="898" spans="1:19" x14ac:dyDescent="0.3">
      <c r="A898" t="s">
        <v>680</v>
      </c>
      <c r="B898" t="s">
        <v>1596</v>
      </c>
      <c r="C898" t="s">
        <v>1792</v>
      </c>
      <c r="D898" t="s">
        <v>3189</v>
      </c>
      <c r="E898" t="s">
        <v>9</v>
      </c>
      <c r="F898" s="2">
        <v>23</v>
      </c>
      <c r="G898" t="s">
        <v>3206</v>
      </c>
      <c r="H898" t="s">
        <v>10</v>
      </c>
      <c r="I898" t="s">
        <v>36</v>
      </c>
      <c r="J898" t="s">
        <v>3213</v>
      </c>
      <c r="K898" t="s">
        <v>37</v>
      </c>
      <c r="L898" s="2">
        <v>7.15</v>
      </c>
      <c r="M898" t="s">
        <v>3199</v>
      </c>
      <c r="N898">
        <v>0</v>
      </c>
      <c r="O898">
        <v>0</v>
      </c>
      <c r="P898">
        <v>1</v>
      </c>
      <c r="Q898" t="s">
        <v>3200</v>
      </c>
      <c r="R898" t="s">
        <v>3201</v>
      </c>
      <c r="S898" t="s">
        <v>13</v>
      </c>
    </row>
    <row r="899" spans="1:19" x14ac:dyDescent="0.3">
      <c r="A899" t="s">
        <v>681</v>
      </c>
      <c r="B899" t="s">
        <v>1596</v>
      </c>
      <c r="C899" t="s">
        <v>2379</v>
      </c>
      <c r="D899" t="s">
        <v>3189</v>
      </c>
      <c r="E899" t="s">
        <v>9</v>
      </c>
      <c r="F899" s="2">
        <v>23</v>
      </c>
      <c r="G899" t="s">
        <v>3206</v>
      </c>
      <c r="H899" t="s">
        <v>10</v>
      </c>
      <c r="I899" t="s">
        <v>11</v>
      </c>
      <c r="J899" t="s">
        <v>3198</v>
      </c>
      <c r="K899" t="s">
        <v>23</v>
      </c>
      <c r="L899" s="2">
        <v>9.0405999999999995</v>
      </c>
      <c r="M899" t="s">
        <v>3199</v>
      </c>
      <c r="N899">
        <v>0</v>
      </c>
      <c r="O899">
        <v>0</v>
      </c>
      <c r="P899">
        <v>1</v>
      </c>
      <c r="Q899" t="s">
        <v>3200</v>
      </c>
      <c r="R899" t="s">
        <v>3201</v>
      </c>
      <c r="S899" t="s">
        <v>13</v>
      </c>
    </row>
    <row r="900" spans="1:19" x14ac:dyDescent="0.3">
      <c r="A900" t="s">
        <v>682</v>
      </c>
      <c r="B900" t="s">
        <v>1602</v>
      </c>
      <c r="C900" t="s">
        <v>1720</v>
      </c>
      <c r="D900" t="s">
        <v>3190</v>
      </c>
      <c r="E900" t="s">
        <v>14</v>
      </c>
      <c r="F900" s="2">
        <v>24</v>
      </c>
      <c r="G900" t="s">
        <v>3206</v>
      </c>
      <c r="H900" t="s">
        <v>10</v>
      </c>
      <c r="I900" t="s">
        <v>36</v>
      </c>
      <c r="J900" t="s">
        <v>3213</v>
      </c>
      <c r="K900" t="s">
        <v>37</v>
      </c>
      <c r="L900" s="2">
        <v>7.1707000000000001</v>
      </c>
      <c r="M900" t="s">
        <v>3199</v>
      </c>
      <c r="N900">
        <v>0</v>
      </c>
      <c r="O900">
        <v>0</v>
      </c>
      <c r="P900">
        <v>1</v>
      </c>
      <c r="Q900" t="s">
        <v>3200</v>
      </c>
      <c r="R900" t="s">
        <v>3205</v>
      </c>
      <c r="S900" t="s">
        <v>16</v>
      </c>
    </row>
    <row r="901" spans="1:19" x14ac:dyDescent="0.3">
      <c r="A901" t="s">
        <v>683</v>
      </c>
      <c r="B901" t="s">
        <v>1602</v>
      </c>
      <c r="C901" t="s">
        <v>2380</v>
      </c>
      <c r="D901" t="s">
        <v>3190</v>
      </c>
      <c r="E901" t="s">
        <v>14</v>
      </c>
      <c r="F901" s="2">
        <v>22</v>
      </c>
      <c r="G901" t="s">
        <v>3206</v>
      </c>
      <c r="H901" t="s">
        <v>10</v>
      </c>
      <c r="I901" t="s">
        <v>11</v>
      </c>
      <c r="J901" t="s">
        <v>3198</v>
      </c>
      <c r="K901" t="s">
        <v>23</v>
      </c>
      <c r="L901" s="2">
        <v>7.1505999999999998</v>
      </c>
      <c r="M901" t="s">
        <v>3199</v>
      </c>
      <c r="N901">
        <v>0</v>
      </c>
      <c r="O901">
        <v>0</v>
      </c>
      <c r="P901">
        <v>1</v>
      </c>
      <c r="Q901" t="s">
        <v>3200</v>
      </c>
      <c r="R901" t="s">
        <v>3205</v>
      </c>
      <c r="S901" t="s">
        <v>16</v>
      </c>
    </row>
    <row r="902" spans="1:19" x14ac:dyDescent="0.3">
      <c r="A902" t="s">
        <v>684</v>
      </c>
      <c r="B902" t="s">
        <v>1596</v>
      </c>
      <c r="C902" t="s">
        <v>1792</v>
      </c>
      <c r="D902" t="s">
        <v>3189</v>
      </c>
      <c r="E902" t="s">
        <v>9</v>
      </c>
      <c r="F902" s="2">
        <v>21</v>
      </c>
      <c r="G902" t="s">
        <v>3206</v>
      </c>
      <c r="H902" t="s">
        <v>10</v>
      </c>
      <c r="I902" t="s">
        <v>36</v>
      </c>
      <c r="J902" t="s">
        <v>3213</v>
      </c>
      <c r="K902" t="s">
        <v>37</v>
      </c>
      <c r="L902" s="2">
        <v>7.15</v>
      </c>
      <c r="M902" t="s">
        <v>3199</v>
      </c>
      <c r="N902">
        <v>0</v>
      </c>
      <c r="O902">
        <v>0</v>
      </c>
      <c r="P902">
        <v>1</v>
      </c>
      <c r="Q902" t="s">
        <v>3200</v>
      </c>
      <c r="R902" t="s">
        <v>3205</v>
      </c>
      <c r="S902" t="s">
        <v>16</v>
      </c>
    </row>
    <row r="903" spans="1:19" x14ac:dyDescent="0.3">
      <c r="A903" t="s">
        <v>685</v>
      </c>
      <c r="B903" t="s">
        <v>1602</v>
      </c>
      <c r="C903" t="s">
        <v>2081</v>
      </c>
      <c r="D903" t="s">
        <v>3190</v>
      </c>
      <c r="E903" t="s">
        <v>14</v>
      </c>
      <c r="F903" s="2">
        <v>16</v>
      </c>
      <c r="G903" t="s">
        <v>3202</v>
      </c>
      <c r="H903" t="s">
        <v>10</v>
      </c>
      <c r="I903" t="s">
        <v>36</v>
      </c>
      <c r="J903" t="s">
        <v>3213</v>
      </c>
      <c r="K903" t="s">
        <v>37</v>
      </c>
      <c r="L903" s="2">
        <v>7.1607000000000003</v>
      </c>
      <c r="M903" t="s">
        <v>3199</v>
      </c>
      <c r="N903">
        <v>0</v>
      </c>
      <c r="O903">
        <v>0</v>
      </c>
      <c r="P903">
        <v>1</v>
      </c>
      <c r="Q903" t="s">
        <v>3200</v>
      </c>
      <c r="R903" t="s">
        <v>3205</v>
      </c>
      <c r="S903" t="s">
        <v>16</v>
      </c>
    </row>
    <row r="904" spans="1:19" x14ac:dyDescent="0.3">
      <c r="A904" t="s">
        <v>686</v>
      </c>
      <c r="B904" t="s">
        <v>2381</v>
      </c>
      <c r="C904" t="s">
        <v>2382</v>
      </c>
      <c r="D904" t="s">
        <v>3190</v>
      </c>
      <c r="E904" t="s">
        <v>14</v>
      </c>
      <c r="F904" s="2">
        <v>39</v>
      </c>
      <c r="G904" t="s">
        <v>3197</v>
      </c>
      <c r="H904" t="s">
        <v>25</v>
      </c>
      <c r="I904" t="s">
        <v>19</v>
      </c>
      <c r="J904" t="s">
        <v>3207</v>
      </c>
      <c r="K904" t="s">
        <v>50</v>
      </c>
      <c r="L904" s="2">
        <v>108.18</v>
      </c>
      <c r="M904" t="s">
        <v>3209</v>
      </c>
      <c r="N904">
        <v>0</v>
      </c>
      <c r="O904">
        <v>0</v>
      </c>
      <c r="P904">
        <v>1</v>
      </c>
      <c r="Q904" t="s">
        <v>3200</v>
      </c>
      <c r="R904" t="s">
        <v>3205</v>
      </c>
      <c r="S904" t="s">
        <v>16</v>
      </c>
    </row>
    <row r="905" spans="1:19" x14ac:dyDescent="0.3">
      <c r="A905" t="s">
        <v>687</v>
      </c>
      <c r="B905" t="s">
        <v>1612</v>
      </c>
      <c r="C905" t="s">
        <v>2383</v>
      </c>
      <c r="D905" t="s">
        <v>3189</v>
      </c>
      <c r="E905" t="s">
        <v>9</v>
      </c>
      <c r="F905" s="2">
        <v>9</v>
      </c>
      <c r="G905" t="s">
        <v>3202</v>
      </c>
      <c r="H905" t="s">
        <v>10</v>
      </c>
      <c r="I905" t="s">
        <v>11</v>
      </c>
      <c r="J905" t="s">
        <v>3198</v>
      </c>
      <c r="K905" t="s">
        <v>17</v>
      </c>
      <c r="L905" s="2">
        <v>3.0305</v>
      </c>
      <c r="M905" t="s">
        <v>3199</v>
      </c>
      <c r="N905">
        <v>0</v>
      </c>
      <c r="O905">
        <v>1</v>
      </c>
      <c r="P905">
        <v>2</v>
      </c>
      <c r="Q905" t="s">
        <v>3204</v>
      </c>
      <c r="R905" t="s">
        <v>3205</v>
      </c>
      <c r="S905" t="s">
        <v>16</v>
      </c>
    </row>
    <row r="906" spans="1:19" x14ac:dyDescent="0.3">
      <c r="A906" t="s">
        <v>687</v>
      </c>
      <c r="B906" t="s">
        <v>1596</v>
      </c>
      <c r="C906" t="s">
        <v>2384</v>
      </c>
      <c r="D906" t="s">
        <v>3189</v>
      </c>
      <c r="E906" t="s">
        <v>9</v>
      </c>
      <c r="F906" s="2">
        <v>28</v>
      </c>
      <c r="G906" t="s">
        <v>3206</v>
      </c>
      <c r="H906" t="s">
        <v>10</v>
      </c>
      <c r="I906" t="s">
        <v>11</v>
      </c>
      <c r="J906" t="s">
        <v>3198</v>
      </c>
      <c r="K906" t="s">
        <v>17</v>
      </c>
      <c r="L906" s="2">
        <v>22.1006</v>
      </c>
      <c r="M906" t="s">
        <v>3203</v>
      </c>
      <c r="N906">
        <v>0</v>
      </c>
      <c r="O906">
        <v>0</v>
      </c>
      <c r="P906">
        <v>1</v>
      </c>
      <c r="Q906" t="s">
        <v>3200</v>
      </c>
      <c r="R906" t="s">
        <v>3201</v>
      </c>
      <c r="S906" t="s">
        <v>13</v>
      </c>
    </row>
    <row r="907" spans="1:19" x14ac:dyDescent="0.3">
      <c r="A907" t="s">
        <v>687</v>
      </c>
      <c r="B907" t="s">
        <v>1596</v>
      </c>
      <c r="C907" t="s">
        <v>2385</v>
      </c>
      <c r="D907" t="s">
        <v>3189</v>
      </c>
      <c r="E907" t="s">
        <v>9</v>
      </c>
      <c r="F907" s="2">
        <v>42</v>
      </c>
      <c r="G907" t="s">
        <v>3197</v>
      </c>
      <c r="H907" t="s">
        <v>10</v>
      </c>
      <c r="I907" t="s">
        <v>11</v>
      </c>
      <c r="J907" t="s">
        <v>3198</v>
      </c>
      <c r="K907" t="s">
        <v>12</v>
      </c>
      <c r="L907" s="2">
        <v>8.0800999999999998</v>
      </c>
      <c r="M907" t="s">
        <v>3199</v>
      </c>
      <c r="N907">
        <v>0</v>
      </c>
      <c r="O907">
        <v>1</v>
      </c>
      <c r="P907">
        <v>2</v>
      </c>
      <c r="Q907" t="s">
        <v>3204</v>
      </c>
      <c r="R907" t="s">
        <v>3201</v>
      </c>
      <c r="S907" t="s">
        <v>13</v>
      </c>
    </row>
    <row r="908" spans="1:19" x14ac:dyDescent="0.3">
      <c r="A908" t="s">
        <v>687</v>
      </c>
      <c r="B908" t="s">
        <v>1596</v>
      </c>
      <c r="C908" t="s">
        <v>2386</v>
      </c>
      <c r="D908" t="s">
        <v>3189</v>
      </c>
      <c r="E908" t="s">
        <v>9</v>
      </c>
      <c r="F908" s="2">
        <v>27</v>
      </c>
      <c r="G908" t="s">
        <v>3206</v>
      </c>
      <c r="H908" t="s">
        <v>10</v>
      </c>
      <c r="I908" t="s">
        <v>11</v>
      </c>
      <c r="J908" t="s">
        <v>3198</v>
      </c>
      <c r="K908" t="s">
        <v>17</v>
      </c>
      <c r="L908" s="2">
        <v>7.0602999999999998</v>
      </c>
      <c r="M908" t="s">
        <v>3199</v>
      </c>
      <c r="N908">
        <v>0</v>
      </c>
      <c r="O908">
        <v>0</v>
      </c>
      <c r="P908">
        <v>1</v>
      </c>
      <c r="Q908" t="s">
        <v>3200</v>
      </c>
      <c r="R908" t="s">
        <v>3201</v>
      </c>
      <c r="S908" t="s">
        <v>13</v>
      </c>
    </row>
    <row r="909" spans="1:19" x14ac:dyDescent="0.3">
      <c r="A909" t="s">
        <v>688</v>
      </c>
      <c r="B909" t="s">
        <v>1602</v>
      </c>
      <c r="C909" t="s">
        <v>2387</v>
      </c>
      <c r="D909" t="s">
        <v>3190</v>
      </c>
      <c r="E909" t="s">
        <v>14</v>
      </c>
      <c r="F909" s="2">
        <v>31</v>
      </c>
      <c r="G909" t="s">
        <v>3206</v>
      </c>
      <c r="H909" t="s">
        <v>10</v>
      </c>
      <c r="I909" t="s">
        <v>11</v>
      </c>
      <c r="J909" t="s">
        <v>3198</v>
      </c>
      <c r="K909" t="s">
        <v>23</v>
      </c>
      <c r="L909" s="2">
        <v>7.1700999999999997</v>
      </c>
      <c r="M909" t="s">
        <v>3199</v>
      </c>
      <c r="N909">
        <v>0</v>
      </c>
      <c r="O909">
        <v>0</v>
      </c>
      <c r="P909">
        <v>1</v>
      </c>
      <c r="Q909" t="s">
        <v>3200</v>
      </c>
      <c r="R909" t="s">
        <v>3201</v>
      </c>
      <c r="S909" t="s">
        <v>13</v>
      </c>
    </row>
    <row r="910" spans="1:19" x14ac:dyDescent="0.3">
      <c r="A910" t="s">
        <v>688</v>
      </c>
      <c r="B910" t="s">
        <v>1596</v>
      </c>
      <c r="C910" t="s">
        <v>2388</v>
      </c>
      <c r="D910" t="s">
        <v>3189</v>
      </c>
      <c r="E910" t="s">
        <v>9</v>
      </c>
      <c r="F910" s="2">
        <v>28</v>
      </c>
      <c r="G910" t="s">
        <v>3206</v>
      </c>
      <c r="H910" t="s">
        <v>10</v>
      </c>
      <c r="I910" t="s">
        <v>11</v>
      </c>
      <c r="J910" t="s">
        <v>3198</v>
      </c>
      <c r="K910" t="s">
        <v>23</v>
      </c>
      <c r="L910" s="2">
        <v>7.1700999999999997</v>
      </c>
      <c r="M910" t="s">
        <v>3199</v>
      </c>
      <c r="N910">
        <v>0</v>
      </c>
      <c r="O910">
        <v>0</v>
      </c>
      <c r="P910">
        <v>1</v>
      </c>
      <c r="Q910" t="s">
        <v>3200</v>
      </c>
      <c r="R910" t="s">
        <v>3201</v>
      </c>
      <c r="S910" t="s">
        <v>13</v>
      </c>
    </row>
    <row r="911" spans="1:19" x14ac:dyDescent="0.3">
      <c r="A911" t="s">
        <v>688</v>
      </c>
      <c r="B911" t="s">
        <v>1596</v>
      </c>
      <c r="C911" t="s">
        <v>2389</v>
      </c>
      <c r="D911" t="s">
        <v>3189</v>
      </c>
      <c r="E911" t="s">
        <v>9</v>
      </c>
      <c r="F911" s="2">
        <v>32</v>
      </c>
      <c r="G911" t="s">
        <v>3206</v>
      </c>
      <c r="H911" t="s">
        <v>10</v>
      </c>
      <c r="I911" t="s">
        <v>11</v>
      </c>
      <c r="J911" t="s">
        <v>3198</v>
      </c>
      <c r="K911" t="s">
        <v>23</v>
      </c>
      <c r="L911" s="2">
        <v>7.1505999999999998</v>
      </c>
      <c r="M911" t="s">
        <v>3199</v>
      </c>
      <c r="N911">
        <v>0</v>
      </c>
      <c r="O911">
        <v>0</v>
      </c>
      <c r="P911">
        <v>1</v>
      </c>
      <c r="Q911" t="s">
        <v>3200</v>
      </c>
      <c r="R911" t="s">
        <v>3205</v>
      </c>
      <c r="S911" t="s">
        <v>16</v>
      </c>
    </row>
    <row r="912" spans="1:19" x14ac:dyDescent="0.3">
      <c r="A912" t="s">
        <v>689</v>
      </c>
      <c r="B912" t="s">
        <v>1596</v>
      </c>
      <c r="C912" t="s">
        <v>2390</v>
      </c>
      <c r="D912" t="s">
        <v>3189</v>
      </c>
      <c r="E912" t="s">
        <v>9</v>
      </c>
      <c r="F912" s="2">
        <v>20</v>
      </c>
      <c r="G912" t="s">
        <v>3206</v>
      </c>
      <c r="H912" t="s">
        <v>10</v>
      </c>
      <c r="I912" t="s">
        <v>11</v>
      </c>
      <c r="J912" t="s">
        <v>3198</v>
      </c>
      <c r="K912" t="s">
        <v>17</v>
      </c>
      <c r="L912" s="2">
        <v>9.0405999999999995</v>
      </c>
      <c r="M912" t="s">
        <v>3199</v>
      </c>
      <c r="N912">
        <v>0</v>
      </c>
      <c r="O912">
        <v>0</v>
      </c>
      <c r="P912">
        <v>1</v>
      </c>
      <c r="Q912" t="s">
        <v>3200</v>
      </c>
      <c r="R912" t="s">
        <v>3201</v>
      </c>
      <c r="S912" t="s">
        <v>13</v>
      </c>
    </row>
    <row r="913" spans="1:19" x14ac:dyDescent="0.3">
      <c r="A913" t="s">
        <v>690</v>
      </c>
      <c r="B913" t="s">
        <v>1596</v>
      </c>
      <c r="C913" t="s">
        <v>2391</v>
      </c>
      <c r="D913" t="s">
        <v>3189</v>
      </c>
      <c r="E913" t="s">
        <v>9</v>
      </c>
      <c r="F913" s="2">
        <v>29</v>
      </c>
      <c r="G913" t="s">
        <v>3206</v>
      </c>
      <c r="H913" t="s">
        <v>25</v>
      </c>
      <c r="I913" t="s">
        <v>19</v>
      </c>
      <c r="J913" t="s">
        <v>3207</v>
      </c>
      <c r="K913" t="s">
        <v>20</v>
      </c>
      <c r="L913" s="2">
        <v>25.140999999999998</v>
      </c>
      <c r="M913" t="s">
        <v>3203</v>
      </c>
      <c r="N913">
        <v>0</v>
      </c>
      <c r="O913">
        <v>0</v>
      </c>
      <c r="P913">
        <v>1</v>
      </c>
      <c r="Q913" t="s">
        <v>3200</v>
      </c>
      <c r="R913" t="s">
        <v>3205</v>
      </c>
      <c r="S913" t="s">
        <v>16</v>
      </c>
    </row>
    <row r="914" spans="1:19" x14ac:dyDescent="0.3">
      <c r="A914" t="s">
        <v>691</v>
      </c>
      <c r="B914" t="s">
        <v>1602</v>
      </c>
      <c r="C914" t="s">
        <v>2392</v>
      </c>
      <c r="D914" t="s">
        <v>3190</v>
      </c>
      <c r="E914" t="s">
        <v>14</v>
      </c>
      <c r="F914" s="2">
        <v>23</v>
      </c>
      <c r="G914" t="s">
        <v>3206</v>
      </c>
      <c r="H914" t="s">
        <v>10</v>
      </c>
      <c r="I914" t="s">
        <v>11</v>
      </c>
      <c r="J914" t="s">
        <v>3198</v>
      </c>
      <c r="K914" t="s">
        <v>65</v>
      </c>
      <c r="L914" s="2">
        <v>8.1303000000000001</v>
      </c>
      <c r="M914" t="s">
        <v>3199</v>
      </c>
      <c r="N914">
        <v>0</v>
      </c>
      <c r="O914">
        <v>0</v>
      </c>
      <c r="P914">
        <v>1</v>
      </c>
      <c r="Q914" t="s">
        <v>3200</v>
      </c>
      <c r="R914" t="s">
        <v>3201</v>
      </c>
      <c r="S914" t="s">
        <v>13</v>
      </c>
    </row>
    <row r="915" spans="1:19" x14ac:dyDescent="0.3">
      <c r="A915" t="s">
        <v>691</v>
      </c>
      <c r="B915" t="s">
        <v>1602</v>
      </c>
      <c r="C915" t="s">
        <v>1781</v>
      </c>
      <c r="D915" t="s">
        <v>3190</v>
      </c>
      <c r="E915" t="s">
        <v>14</v>
      </c>
      <c r="F915" s="2">
        <v>20</v>
      </c>
      <c r="G915" t="s">
        <v>3206</v>
      </c>
      <c r="H915" t="s">
        <v>10</v>
      </c>
      <c r="I915" t="s">
        <v>11</v>
      </c>
      <c r="J915" t="s">
        <v>3198</v>
      </c>
      <c r="K915" t="s">
        <v>65</v>
      </c>
      <c r="L915" s="2">
        <v>8.1303000000000001</v>
      </c>
      <c r="M915" t="s">
        <v>3199</v>
      </c>
      <c r="N915">
        <v>0</v>
      </c>
      <c r="O915">
        <v>0</v>
      </c>
      <c r="P915">
        <v>1</v>
      </c>
      <c r="Q915" t="s">
        <v>3200</v>
      </c>
      <c r="R915" t="s">
        <v>3201</v>
      </c>
      <c r="S915" t="s">
        <v>13</v>
      </c>
    </row>
    <row r="916" spans="1:19" x14ac:dyDescent="0.3">
      <c r="A916" t="s">
        <v>691</v>
      </c>
      <c r="B916" t="s">
        <v>1596</v>
      </c>
      <c r="C916" t="s">
        <v>1783</v>
      </c>
      <c r="D916" t="s">
        <v>3189</v>
      </c>
      <c r="E916" t="s">
        <v>9</v>
      </c>
      <c r="F916" s="2">
        <v>20</v>
      </c>
      <c r="G916" t="s">
        <v>3206</v>
      </c>
      <c r="H916" t="s">
        <v>10</v>
      </c>
      <c r="I916" t="s">
        <v>11</v>
      </c>
      <c r="J916" t="s">
        <v>3198</v>
      </c>
      <c r="K916" t="s">
        <v>65</v>
      </c>
      <c r="L916" s="2">
        <v>8.1303000000000001</v>
      </c>
      <c r="M916" t="s">
        <v>3199</v>
      </c>
      <c r="N916">
        <v>0</v>
      </c>
      <c r="O916">
        <v>0</v>
      </c>
      <c r="P916">
        <v>1</v>
      </c>
      <c r="Q916" t="s">
        <v>3200</v>
      </c>
      <c r="R916" t="s">
        <v>3201</v>
      </c>
      <c r="S916" t="s">
        <v>13</v>
      </c>
    </row>
    <row r="917" spans="1:19" x14ac:dyDescent="0.3">
      <c r="A917" t="s">
        <v>692</v>
      </c>
      <c r="B917" t="s">
        <v>1596</v>
      </c>
      <c r="C917" t="s">
        <v>2393</v>
      </c>
      <c r="D917" t="s">
        <v>3189</v>
      </c>
      <c r="E917" t="s">
        <v>9</v>
      </c>
      <c r="F917" s="2">
        <v>16</v>
      </c>
      <c r="G917" t="s">
        <v>3202</v>
      </c>
      <c r="H917" t="s">
        <v>10</v>
      </c>
      <c r="I917" t="s">
        <v>11</v>
      </c>
      <c r="J917" t="s">
        <v>3198</v>
      </c>
      <c r="K917" t="s">
        <v>23</v>
      </c>
      <c r="L917" s="2">
        <v>9.0404</v>
      </c>
      <c r="M917" t="s">
        <v>3199</v>
      </c>
      <c r="N917">
        <v>0</v>
      </c>
      <c r="O917">
        <v>0</v>
      </c>
      <c r="P917">
        <v>1</v>
      </c>
      <c r="Q917" t="s">
        <v>3200</v>
      </c>
      <c r="R917" t="s">
        <v>3201</v>
      </c>
      <c r="S917" t="s">
        <v>13</v>
      </c>
    </row>
    <row r="918" spans="1:19" x14ac:dyDescent="0.3">
      <c r="A918" t="s">
        <v>693</v>
      </c>
      <c r="B918" t="s">
        <v>1602</v>
      </c>
      <c r="C918" t="s">
        <v>2394</v>
      </c>
      <c r="D918" t="s">
        <v>3190</v>
      </c>
      <c r="E918" t="s">
        <v>14</v>
      </c>
      <c r="F918" s="2">
        <v>22</v>
      </c>
      <c r="G918" t="s">
        <v>3206</v>
      </c>
      <c r="H918" t="s">
        <v>25</v>
      </c>
      <c r="I918" t="s">
        <v>11</v>
      </c>
      <c r="J918" t="s">
        <v>3198</v>
      </c>
      <c r="K918" t="s">
        <v>12</v>
      </c>
      <c r="L918" s="2">
        <v>61.1907</v>
      </c>
      <c r="M918" t="s">
        <v>3211</v>
      </c>
      <c r="N918">
        <v>0</v>
      </c>
      <c r="O918">
        <v>1</v>
      </c>
      <c r="P918">
        <v>2</v>
      </c>
      <c r="Q918" t="s">
        <v>3204</v>
      </c>
      <c r="R918" t="s">
        <v>3205</v>
      </c>
      <c r="S918" t="s">
        <v>16</v>
      </c>
    </row>
    <row r="919" spans="1:19" x14ac:dyDescent="0.3">
      <c r="A919" t="s">
        <v>694</v>
      </c>
      <c r="B919" t="s">
        <v>1596</v>
      </c>
      <c r="C919" t="s">
        <v>2395</v>
      </c>
      <c r="D919" t="s">
        <v>3189</v>
      </c>
      <c r="E919" t="s">
        <v>9</v>
      </c>
      <c r="F919" s="2">
        <v>64</v>
      </c>
      <c r="G919" t="s">
        <v>3210</v>
      </c>
      <c r="H919" t="s">
        <v>25</v>
      </c>
      <c r="I919" t="s">
        <v>11</v>
      </c>
      <c r="J919" t="s">
        <v>3198</v>
      </c>
      <c r="K919" t="s">
        <v>12</v>
      </c>
      <c r="L919" s="2">
        <v>61.1907</v>
      </c>
      <c r="M919" t="s">
        <v>3211</v>
      </c>
      <c r="N919">
        <v>0</v>
      </c>
      <c r="O919">
        <v>1</v>
      </c>
      <c r="P919">
        <v>2</v>
      </c>
      <c r="Q919" t="s">
        <v>3204</v>
      </c>
      <c r="R919" t="s">
        <v>3201</v>
      </c>
      <c r="S919" t="s">
        <v>13</v>
      </c>
    </row>
    <row r="920" spans="1:19" x14ac:dyDescent="0.3">
      <c r="A920" t="s">
        <v>695</v>
      </c>
      <c r="B920" t="s">
        <v>1602</v>
      </c>
      <c r="C920" t="s">
        <v>2396</v>
      </c>
      <c r="D920" t="s">
        <v>3190</v>
      </c>
      <c r="E920" t="s">
        <v>14</v>
      </c>
      <c r="F920" s="2">
        <v>21</v>
      </c>
      <c r="G920" t="s">
        <v>3206</v>
      </c>
      <c r="H920" t="s">
        <v>10</v>
      </c>
      <c r="I920" t="s">
        <v>36</v>
      </c>
      <c r="J920" t="s">
        <v>3213</v>
      </c>
      <c r="K920" t="s">
        <v>37</v>
      </c>
      <c r="L920" s="2">
        <v>7.1207000000000003</v>
      </c>
      <c r="M920" t="s">
        <v>3199</v>
      </c>
      <c r="N920">
        <v>0</v>
      </c>
      <c r="O920">
        <v>0</v>
      </c>
      <c r="P920">
        <v>1</v>
      </c>
      <c r="Q920" t="s">
        <v>3200</v>
      </c>
      <c r="R920" t="s">
        <v>3201</v>
      </c>
      <c r="S920" t="s">
        <v>13</v>
      </c>
    </row>
    <row r="921" spans="1:19" x14ac:dyDescent="0.3">
      <c r="A921" t="s">
        <v>696</v>
      </c>
      <c r="B921" t="s">
        <v>1596</v>
      </c>
      <c r="C921" t="s">
        <v>1996</v>
      </c>
      <c r="D921" t="s">
        <v>3189</v>
      </c>
      <c r="E921" t="s">
        <v>9</v>
      </c>
      <c r="F921" s="2">
        <v>38</v>
      </c>
      <c r="G921" t="s">
        <v>3197</v>
      </c>
      <c r="H921" t="s">
        <v>18</v>
      </c>
      <c r="I921" t="s">
        <v>11</v>
      </c>
      <c r="J921" t="s">
        <v>3198</v>
      </c>
      <c r="K921" t="s">
        <v>12</v>
      </c>
      <c r="L921" s="2">
        <v>13</v>
      </c>
      <c r="M921" t="s">
        <v>3199</v>
      </c>
      <c r="N921">
        <v>0</v>
      </c>
      <c r="O921">
        <v>0</v>
      </c>
      <c r="P921">
        <v>1</v>
      </c>
      <c r="Q921" t="s">
        <v>3200</v>
      </c>
      <c r="R921" t="s">
        <v>3201</v>
      </c>
      <c r="S921" t="s">
        <v>13</v>
      </c>
    </row>
    <row r="922" spans="1:19" x14ac:dyDescent="0.3">
      <c r="A922" t="s">
        <v>697</v>
      </c>
      <c r="B922" t="s">
        <v>1596</v>
      </c>
      <c r="C922" t="s">
        <v>2397</v>
      </c>
      <c r="D922" t="s">
        <v>3189</v>
      </c>
      <c r="E922" t="s">
        <v>9</v>
      </c>
      <c r="F922" s="2">
        <v>36</v>
      </c>
      <c r="G922" t="s">
        <v>3197</v>
      </c>
      <c r="H922" t="s">
        <v>25</v>
      </c>
      <c r="I922" t="s">
        <v>19</v>
      </c>
      <c r="J922" t="s">
        <v>3207</v>
      </c>
      <c r="K922" t="s">
        <v>66</v>
      </c>
      <c r="L922" s="2">
        <v>27.140499999999999</v>
      </c>
      <c r="M922" t="s">
        <v>3203</v>
      </c>
      <c r="N922">
        <v>0</v>
      </c>
      <c r="O922">
        <v>0</v>
      </c>
      <c r="P922">
        <v>1</v>
      </c>
      <c r="Q922" t="s">
        <v>3200</v>
      </c>
      <c r="R922" t="s">
        <v>3201</v>
      </c>
      <c r="S922" t="s">
        <v>13</v>
      </c>
    </row>
    <row r="923" spans="1:19" x14ac:dyDescent="0.3">
      <c r="A923" t="s">
        <v>698</v>
      </c>
      <c r="B923" t="s">
        <v>1596</v>
      </c>
      <c r="C923" t="s">
        <v>2398</v>
      </c>
      <c r="D923" t="s">
        <v>3189</v>
      </c>
      <c r="E923" t="s">
        <v>9</v>
      </c>
      <c r="F923" s="2">
        <v>22</v>
      </c>
      <c r="G923" t="s">
        <v>3206</v>
      </c>
      <c r="H923" t="s">
        <v>18</v>
      </c>
      <c r="I923" t="s">
        <v>11</v>
      </c>
      <c r="J923" t="s">
        <v>3198</v>
      </c>
      <c r="K923" t="s">
        <v>15</v>
      </c>
      <c r="L923" s="2">
        <v>10.1</v>
      </c>
      <c r="M923" t="s">
        <v>3199</v>
      </c>
      <c r="N923">
        <v>0</v>
      </c>
      <c r="O923">
        <v>0</v>
      </c>
      <c r="P923">
        <v>1</v>
      </c>
      <c r="Q923" t="s">
        <v>3200</v>
      </c>
      <c r="R923" t="s">
        <v>3205</v>
      </c>
      <c r="S923" t="s">
        <v>16</v>
      </c>
    </row>
    <row r="924" spans="1:19" x14ac:dyDescent="0.3">
      <c r="A924" t="s">
        <v>699</v>
      </c>
      <c r="B924" t="s">
        <v>1596</v>
      </c>
      <c r="C924" t="s">
        <v>2399</v>
      </c>
      <c r="D924" t="s">
        <v>3189</v>
      </c>
      <c r="E924" t="s">
        <v>9</v>
      </c>
      <c r="F924" s="2">
        <v>27</v>
      </c>
      <c r="G924" t="s">
        <v>3206</v>
      </c>
      <c r="H924" t="s">
        <v>18</v>
      </c>
      <c r="I924" t="s">
        <v>19</v>
      </c>
      <c r="J924" t="s">
        <v>3207</v>
      </c>
      <c r="K924" t="s">
        <v>50</v>
      </c>
      <c r="L924" s="2">
        <v>13.170299999999999</v>
      </c>
      <c r="M924" t="s">
        <v>3199</v>
      </c>
      <c r="N924">
        <v>0</v>
      </c>
      <c r="O924">
        <v>0</v>
      </c>
      <c r="P924">
        <v>1</v>
      </c>
      <c r="Q924" t="s">
        <v>3200</v>
      </c>
      <c r="R924" t="s">
        <v>3205</v>
      </c>
      <c r="S924" t="s">
        <v>16</v>
      </c>
    </row>
    <row r="925" spans="1:19" x14ac:dyDescent="0.3">
      <c r="A925" t="s">
        <v>700</v>
      </c>
      <c r="B925" t="s">
        <v>1749</v>
      </c>
      <c r="C925" t="s">
        <v>2373</v>
      </c>
      <c r="D925" t="s">
        <v>3189</v>
      </c>
      <c r="E925" t="s">
        <v>9</v>
      </c>
      <c r="F925" s="2">
        <v>23</v>
      </c>
      <c r="G925" t="s">
        <v>3206</v>
      </c>
      <c r="H925" t="s">
        <v>18</v>
      </c>
      <c r="I925" t="s">
        <v>11</v>
      </c>
      <c r="J925" t="s">
        <v>3198</v>
      </c>
      <c r="K925" t="s">
        <v>26</v>
      </c>
      <c r="L925" s="2">
        <v>10.1</v>
      </c>
      <c r="M925" t="s">
        <v>3199</v>
      </c>
      <c r="N925">
        <v>0</v>
      </c>
      <c r="O925">
        <v>0</v>
      </c>
      <c r="P925">
        <v>1</v>
      </c>
      <c r="Q925" t="s">
        <v>3200</v>
      </c>
      <c r="R925" t="s">
        <v>3201</v>
      </c>
      <c r="S925" t="s">
        <v>13</v>
      </c>
    </row>
    <row r="926" spans="1:19" x14ac:dyDescent="0.3">
      <c r="A926" t="s">
        <v>701</v>
      </c>
      <c r="B926" t="s">
        <v>2400</v>
      </c>
      <c r="C926" t="s">
        <v>2401</v>
      </c>
      <c r="D926" t="s">
        <v>3189</v>
      </c>
      <c r="E926" t="s">
        <v>9</v>
      </c>
      <c r="F926" s="2">
        <v>29</v>
      </c>
      <c r="G926" t="s">
        <v>3206</v>
      </c>
      <c r="H926" t="s">
        <v>18</v>
      </c>
      <c r="I926" t="s">
        <v>19</v>
      </c>
      <c r="J926" t="s">
        <v>3207</v>
      </c>
      <c r="K926" t="s">
        <v>50</v>
      </c>
      <c r="L926" s="2">
        <v>13.170199999999999</v>
      </c>
      <c r="M926" t="s">
        <v>3199</v>
      </c>
      <c r="N926">
        <v>0</v>
      </c>
      <c r="O926">
        <v>0</v>
      </c>
      <c r="P926">
        <v>1</v>
      </c>
      <c r="Q926" t="s">
        <v>3200</v>
      </c>
      <c r="R926" t="s">
        <v>3205</v>
      </c>
      <c r="S926" t="s">
        <v>16</v>
      </c>
    </row>
    <row r="927" spans="1:19" x14ac:dyDescent="0.3">
      <c r="A927" t="s">
        <v>702</v>
      </c>
      <c r="B927" t="s">
        <v>1612</v>
      </c>
      <c r="C927" t="s">
        <v>2402</v>
      </c>
      <c r="D927" t="s">
        <v>3189</v>
      </c>
      <c r="E927" t="s">
        <v>9</v>
      </c>
      <c r="F927" s="2">
        <v>2</v>
      </c>
      <c r="G927" t="s">
        <v>3208</v>
      </c>
      <c r="H927" t="s">
        <v>10</v>
      </c>
      <c r="I927" t="s">
        <v>11</v>
      </c>
      <c r="J927" t="s">
        <v>3198</v>
      </c>
      <c r="K927" t="s">
        <v>23</v>
      </c>
      <c r="L927" s="2">
        <v>21.0106</v>
      </c>
      <c r="M927" t="s">
        <v>3203</v>
      </c>
      <c r="N927">
        <v>3</v>
      </c>
      <c r="O927">
        <v>1</v>
      </c>
      <c r="P927">
        <v>5</v>
      </c>
      <c r="Q927" t="s">
        <v>3204</v>
      </c>
      <c r="R927" t="s">
        <v>3201</v>
      </c>
      <c r="S927" t="s">
        <v>13</v>
      </c>
    </row>
    <row r="928" spans="1:19" x14ac:dyDescent="0.3">
      <c r="A928" t="s">
        <v>702</v>
      </c>
      <c r="B928" t="s">
        <v>1612</v>
      </c>
      <c r="C928" t="s">
        <v>2403</v>
      </c>
      <c r="D928" t="s">
        <v>3189</v>
      </c>
      <c r="E928" t="s">
        <v>9</v>
      </c>
      <c r="F928" s="2">
        <v>6</v>
      </c>
      <c r="G928" t="s">
        <v>3208</v>
      </c>
      <c r="H928" t="s">
        <v>10</v>
      </c>
      <c r="I928" t="s">
        <v>11</v>
      </c>
      <c r="J928" t="s">
        <v>3198</v>
      </c>
      <c r="K928" t="s">
        <v>23</v>
      </c>
      <c r="L928" s="2">
        <v>21.0106</v>
      </c>
      <c r="M928" t="s">
        <v>3203</v>
      </c>
      <c r="N928">
        <v>3</v>
      </c>
      <c r="O928">
        <v>1</v>
      </c>
      <c r="P928">
        <v>5</v>
      </c>
      <c r="Q928" t="s">
        <v>3204</v>
      </c>
      <c r="R928" t="s">
        <v>3201</v>
      </c>
      <c r="S928" t="s">
        <v>13</v>
      </c>
    </row>
    <row r="929" spans="1:19" x14ac:dyDescent="0.3">
      <c r="A929" t="s">
        <v>702</v>
      </c>
      <c r="B929" t="s">
        <v>1602</v>
      </c>
      <c r="C929" t="s">
        <v>2404</v>
      </c>
      <c r="D929" t="s">
        <v>3190</v>
      </c>
      <c r="E929" t="s">
        <v>14</v>
      </c>
      <c r="F929" s="2">
        <v>3</v>
      </c>
      <c r="G929" t="s">
        <v>3208</v>
      </c>
      <c r="H929" t="s">
        <v>10</v>
      </c>
      <c r="I929" t="s">
        <v>11</v>
      </c>
      <c r="J929" t="s">
        <v>3198</v>
      </c>
      <c r="K929" t="s">
        <v>23</v>
      </c>
      <c r="L929" s="2">
        <v>21.0106</v>
      </c>
      <c r="M929" t="s">
        <v>3203</v>
      </c>
      <c r="N929">
        <v>3</v>
      </c>
      <c r="O929">
        <v>1</v>
      </c>
      <c r="P929">
        <v>5</v>
      </c>
      <c r="Q929" t="s">
        <v>3204</v>
      </c>
      <c r="R929" t="s">
        <v>3201</v>
      </c>
      <c r="S929" t="s">
        <v>13</v>
      </c>
    </row>
    <row r="930" spans="1:19" x14ac:dyDescent="0.3">
      <c r="A930" t="s">
        <v>702</v>
      </c>
      <c r="B930" t="s">
        <v>1602</v>
      </c>
      <c r="C930" t="s">
        <v>2405</v>
      </c>
      <c r="D930" t="s">
        <v>3190</v>
      </c>
      <c r="E930" t="s">
        <v>14</v>
      </c>
      <c r="F930" s="2">
        <v>8</v>
      </c>
      <c r="G930" t="s">
        <v>3208</v>
      </c>
      <c r="H930" t="s">
        <v>10</v>
      </c>
      <c r="I930" t="s">
        <v>11</v>
      </c>
      <c r="J930" t="s">
        <v>3198</v>
      </c>
      <c r="K930" t="s">
        <v>23</v>
      </c>
      <c r="L930" s="2">
        <v>21.0106</v>
      </c>
      <c r="M930" t="s">
        <v>3203</v>
      </c>
      <c r="N930">
        <v>3</v>
      </c>
      <c r="O930">
        <v>1</v>
      </c>
      <c r="P930">
        <v>5</v>
      </c>
      <c r="Q930" t="s">
        <v>3204</v>
      </c>
      <c r="R930" t="s">
        <v>3201</v>
      </c>
      <c r="S930" t="s">
        <v>13</v>
      </c>
    </row>
    <row r="931" spans="1:19" x14ac:dyDescent="0.3">
      <c r="A931" t="s">
        <v>702</v>
      </c>
      <c r="B931" t="s">
        <v>1600</v>
      </c>
      <c r="C931" t="s">
        <v>2406</v>
      </c>
      <c r="D931" t="s">
        <v>3190</v>
      </c>
      <c r="E931" t="s">
        <v>14</v>
      </c>
      <c r="F931" s="2">
        <v>29</v>
      </c>
      <c r="G931" t="s">
        <v>3206</v>
      </c>
      <c r="H931" t="s">
        <v>10</v>
      </c>
      <c r="I931" t="s">
        <v>11</v>
      </c>
      <c r="J931" t="s">
        <v>3198</v>
      </c>
      <c r="K931" t="s">
        <v>23</v>
      </c>
      <c r="L931" s="2">
        <v>21.0106</v>
      </c>
      <c r="M931" t="s">
        <v>3203</v>
      </c>
      <c r="N931">
        <v>0</v>
      </c>
      <c r="O931">
        <v>4</v>
      </c>
      <c r="P931">
        <v>5</v>
      </c>
      <c r="Q931" t="s">
        <v>3204</v>
      </c>
      <c r="R931" t="s">
        <v>3201</v>
      </c>
      <c r="S931" t="s">
        <v>13</v>
      </c>
    </row>
    <row r="932" spans="1:19" x14ac:dyDescent="0.3">
      <c r="A932" t="s">
        <v>703</v>
      </c>
      <c r="B932" t="s">
        <v>1612</v>
      </c>
      <c r="C932" t="s">
        <v>2407</v>
      </c>
      <c r="D932" t="s">
        <v>3189</v>
      </c>
      <c r="E932" t="s">
        <v>9</v>
      </c>
      <c r="F932" s="2">
        <v>1</v>
      </c>
      <c r="G932" t="s">
        <v>3208</v>
      </c>
      <c r="H932" t="s">
        <v>10</v>
      </c>
      <c r="I932" t="s">
        <v>11</v>
      </c>
      <c r="J932" t="s">
        <v>3198</v>
      </c>
      <c r="K932" t="s">
        <v>22</v>
      </c>
      <c r="L932" s="2">
        <v>39.130899999999997</v>
      </c>
      <c r="M932" t="s">
        <v>3211</v>
      </c>
      <c r="N932">
        <v>4</v>
      </c>
      <c r="O932">
        <v>1</v>
      </c>
      <c r="P932">
        <v>6</v>
      </c>
      <c r="Q932" t="s">
        <v>3204</v>
      </c>
      <c r="R932" t="s">
        <v>3201</v>
      </c>
      <c r="S932" t="s">
        <v>13</v>
      </c>
    </row>
    <row r="933" spans="1:19" x14ac:dyDescent="0.3">
      <c r="A933" t="s">
        <v>703</v>
      </c>
      <c r="B933" t="s">
        <v>1612</v>
      </c>
      <c r="C933" t="s">
        <v>2408</v>
      </c>
      <c r="D933" t="s">
        <v>3189</v>
      </c>
      <c r="E933" t="s">
        <v>9</v>
      </c>
      <c r="F933" s="2">
        <v>15</v>
      </c>
      <c r="G933" t="s">
        <v>3202</v>
      </c>
      <c r="H933" t="s">
        <v>10</v>
      </c>
      <c r="I933" t="s">
        <v>11</v>
      </c>
      <c r="J933" t="s">
        <v>3198</v>
      </c>
      <c r="K933" t="s">
        <v>12</v>
      </c>
      <c r="L933" s="2">
        <v>39.130899999999997</v>
      </c>
      <c r="M933" t="s">
        <v>3211</v>
      </c>
      <c r="N933">
        <v>4</v>
      </c>
      <c r="O933">
        <v>1</v>
      </c>
      <c r="P933">
        <v>6</v>
      </c>
      <c r="Q933" t="s">
        <v>3204</v>
      </c>
      <c r="R933" t="s">
        <v>3201</v>
      </c>
      <c r="S933" t="s">
        <v>13</v>
      </c>
    </row>
    <row r="934" spans="1:19" x14ac:dyDescent="0.3">
      <c r="A934" t="s">
        <v>703</v>
      </c>
      <c r="B934" t="s">
        <v>1612</v>
      </c>
      <c r="C934" t="s">
        <v>2409</v>
      </c>
      <c r="D934" t="s">
        <v>3189</v>
      </c>
      <c r="E934" t="s">
        <v>9</v>
      </c>
      <c r="F934" s="2">
        <v>7</v>
      </c>
      <c r="G934" t="s">
        <v>3208</v>
      </c>
      <c r="H934" t="s">
        <v>10</v>
      </c>
      <c r="I934" t="s">
        <v>11</v>
      </c>
      <c r="J934" t="s">
        <v>3198</v>
      </c>
      <c r="K934" t="s">
        <v>22</v>
      </c>
      <c r="L934" s="2">
        <v>39.130899999999997</v>
      </c>
      <c r="M934" t="s">
        <v>3211</v>
      </c>
      <c r="N934">
        <v>4</v>
      </c>
      <c r="O934">
        <v>1</v>
      </c>
      <c r="P934">
        <v>6</v>
      </c>
      <c r="Q934" t="s">
        <v>3204</v>
      </c>
      <c r="R934" t="s">
        <v>3201</v>
      </c>
      <c r="S934" t="s">
        <v>13</v>
      </c>
    </row>
    <row r="935" spans="1:19" x14ac:dyDescent="0.3">
      <c r="A935" t="s">
        <v>703</v>
      </c>
      <c r="B935" t="s">
        <v>1612</v>
      </c>
      <c r="C935" t="s">
        <v>2410</v>
      </c>
      <c r="D935" t="s">
        <v>3189</v>
      </c>
      <c r="E935" t="s">
        <v>9</v>
      </c>
      <c r="F935" s="2">
        <v>2</v>
      </c>
      <c r="G935" t="s">
        <v>3208</v>
      </c>
      <c r="H935" t="s">
        <v>10</v>
      </c>
      <c r="I935" t="s">
        <v>11</v>
      </c>
      <c r="J935" t="s">
        <v>3198</v>
      </c>
      <c r="K935" t="s">
        <v>22</v>
      </c>
      <c r="L935" s="2">
        <v>39.130899999999997</v>
      </c>
      <c r="M935" t="s">
        <v>3211</v>
      </c>
      <c r="N935">
        <v>4</v>
      </c>
      <c r="O935">
        <v>1</v>
      </c>
      <c r="P935">
        <v>6</v>
      </c>
      <c r="Q935" t="s">
        <v>3204</v>
      </c>
      <c r="R935" t="s">
        <v>3201</v>
      </c>
      <c r="S935" t="s">
        <v>13</v>
      </c>
    </row>
    <row r="936" spans="1:19" x14ac:dyDescent="0.3">
      <c r="A936" t="s">
        <v>703</v>
      </c>
      <c r="B936" t="s">
        <v>1596</v>
      </c>
      <c r="C936" t="s">
        <v>2411</v>
      </c>
      <c r="D936" t="s">
        <v>3189</v>
      </c>
      <c r="E936" t="s">
        <v>9</v>
      </c>
      <c r="F936" s="2">
        <v>16</v>
      </c>
      <c r="G936" t="s">
        <v>3202</v>
      </c>
      <c r="H936" t="s">
        <v>10</v>
      </c>
      <c r="I936" t="s">
        <v>11</v>
      </c>
      <c r="J936" t="s">
        <v>3198</v>
      </c>
      <c r="K936" t="s">
        <v>22</v>
      </c>
      <c r="L936" s="2">
        <v>39.130899999999997</v>
      </c>
      <c r="M936" t="s">
        <v>3211</v>
      </c>
      <c r="N936">
        <v>4</v>
      </c>
      <c r="O936">
        <v>1</v>
      </c>
      <c r="P936">
        <v>6</v>
      </c>
      <c r="Q936" t="s">
        <v>3204</v>
      </c>
      <c r="R936" t="s">
        <v>3201</v>
      </c>
      <c r="S936" t="s">
        <v>13</v>
      </c>
    </row>
    <row r="937" spans="1:19" x14ac:dyDescent="0.3">
      <c r="A937" t="s">
        <v>703</v>
      </c>
      <c r="B937" t="s">
        <v>1600</v>
      </c>
      <c r="C937" t="s">
        <v>2412</v>
      </c>
      <c r="D937" t="s">
        <v>3190</v>
      </c>
      <c r="E937" t="s">
        <v>14</v>
      </c>
      <c r="F937" s="2">
        <v>41</v>
      </c>
      <c r="G937" t="s">
        <v>3197</v>
      </c>
      <c r="H937" t="s">
        <v>10</v>
      </c>
      <c r="I937" t="s">
        <v>11</v>
      </c>
      <c r="J937" t="s">
        <v>3198</v>
      </c>
      <c r="K937" t="s">
        <v>22</v>
      </c>
      <c r="L937" s="2">
        <v>39.130899999999997</v>
      </c>
      <c r="M937" t="s">
        <v>3211</v>
      </c>
      <c r="N937">
        <v>0</v>
      </c>
      <c r="O937">
        <v>5</v>
      </c>
      <c r="P937">
        <v>6</v>
      </c>
      <c r="Q937" t="s">
        <v>3204</v>
      </c>
      <c r="R937" t="s">
        <v>3201</v>
      </c>
      <c r="S937" t="s">
        <v>13</v>
      </c>
    </row>
    <row r="938" spans="1:19" x14ac:dyDescent="0.3">
      <c r="A938" t="s">
        <v>704</v>
      </c>
      <c r="B938" t="s">
        <v>1596</v>
      </c>
      <c r="C938" t="s">
        <v>2413</v>
      </c>
      <c r="D938" t="s">
        <v>3189</v>
      </c>
      <c r="E938" t="s">
        <v>9</v>
      </c>
      <c r="F938" s="2">
        <v>17</v>
      </c>
      <c r="G938" t="s">
        <v>3202</v>
      </c>
      <c r="H938" t="s">
        <v>18</v>
      </c>
      <c r="I938" t="s">
        <v>11</v>
      </c>
      <c r="J938" t="s">
        <v>3198</v>
      </c>
      <c r="K938" t="s">
        <v>33</v>
      </c>
      <c r="L938" s="2">
        <v>10.1</v>
      </c>
      <c r="M938" t="s">
        <v>3199</v>
      </c>
      <c r="N938">
        <v>0</v>
      </c>
      <c r="O938">
        <v>0</v>
      </c>
      <c r="P938">
        <v>1</v>
      </c>
      <c r="Q938" t="s">
        <v>3200</v>
      </c>
      <c r="R938" t="s">
        <v>3201</v>
      </c>
      <c r="S938" t="s">
        <v>13</v>
      </c>
    </row>
    <row r="939" spans="1:19" x14ac:dyDescent="0.3">
      <c r="A939" t="s">
        <v>705</v>
      </c>
      <c r="B939" t="s">
        <v>1596</v>
      </c>
      <c r="C939" t="s">
        <v>2414</v>
      </c>
      <c r="D939" t="s">
        <v>3189</v>
      </c>
      <c r="E939" t="s">
        <v>9</v>
      </c>
      <c r="F939" s="2">
        <v>21</v>
      </c>
      <c r="G939" t="s">
        <v>3206</v>
      </c>
      <c r="H939" t="s">
        <v>18</v>
      </c>
      <c r="I939" t="s">
        <v>28</v>
      </c>
      <c r="J939" t="s">
        <v>3212</v>
      </c>
      <c r="K939" t="s">
        <v>29</v>
      </c>
      <c r="L939" s="2">
        <v>33</v>
      </c>
      <c r="M939" t="s">
        <v>3203</v>
      </c>
      <c r="N939">
        <v>0</v>
      </c>
      <c r="O939">
        <v>0</v>
      </c>
      <c r="P939">
        <v>1</v>
      </c>
      <c r="Q939" t="s">
        <v>3200</v>
      </c>
      <c r="R939" t="s">
        <v>3201</v>
      </c>
      <c r="S939" t="s">
        <v>13</v>
      </c>
    </row>
    <row r="940" spans="1:19" x14ac:dyDescent="0.3">
      <c r="A940" t="s">
        <v>706</v>
      </c>
      <c r="B940" t="s">
        <v>1600</v>
      </c>
      <c r="C940" t="s">
        <v>2415</v>
      </c>
      <c r="D940" t="s">
        <v>3190</v>
      </c>
      <c r="E940" t="s">
        <v>14</v>
      </c>
      <c r="F940" s="2">
        <v>59</v>
      </c>
      <c r="G940" t="s">
        <v>3210</v>
      </c>
      <c r="H940" t="s">
        <v>18</v>
      </c>
      <c r="I940" t="s">
        <v>11</v>
      </c>
      <c r="J940" t="s">
        <v>3198</v>
      </c>
      <c r="K940" t="s">
        <v>12</v>
      </c>
      <c r="L940" s="2">
        <v>26</v>
      </c>
      <c r="M940" t="s">
        <v>3203</v>
      </c>
      <c r="N940">
        <v>0</v>
      </c>
      <c r="O940">
        <v>1</v>
      </c>
      <c r="P940">
        <v>2</v>
      </c>
      <c r="Q940" t="s">
        <v>3204</v>
      </c>
      <c r="R940" t="s">
        <v>3205</v>
      </c>
      <c r="S940" t="s">
        <v>16</v>
      </c>
    </row>
    <row r="941" spans="1:19" x14ac:dyDescent="0.3">
      <c r="A941" t="s">
        <v>707</v>
      </c>
      <c r="B941" t="s">
        <v>1596</v>
      </c>
      <c r="C941" t="s">
        <v>2416</v>
      </c>
      <c r="D941" t="s">
        <v>3189</v>
      </c>
      <c r="E941" t="s">
        <v>9</v>
      </c>
      <c r="F941" s="2">
        <v>30</v>
      </c>
      <c r="G941" t="s">
        <v>3206</v>
      </c>
      <c r="H941" t="s">
        <v>25</v>
      </c>
      <c r="I941" t="s">
        <v>28</v>
      </c>
      <c r="J941" t="s">
        <v>3212</v>
      </c>
      <c r="K941" t="s">
        <v>15</v>
      </c>
      <c r="L941" s="2">
        <v>33</v>
      </c>
      <c r="M941" t="s">
        <v>3203</v>
      </c>
      <c r="N941">
        <v>0</v>
      </c>
      <c r="O941">
        <v>0</v>
      </c>
      <c r="P941">
        <v>1</v>
      </c>
      <c r="Q941" t="s">
        <v>3200</v>
      </c>
      <c r="R941" t="s">
        <v>3201</v>
      </c>
      <c r="S941" t="s">
        <v>13</v>
      </c>
    </row>
    <row r="942" spans="1:19" x14ac:dyDescent="0.3">
      <c r="A942" t="s">
        <v>708</v>
      </c>
      <c r="B942" t="s">
        <v>1596</v>
      </c>
      <c r="C942" t="s">
        <v>2417</v>
      </c>
      <c r="D942" t="s">
        <v>3189</v>
      </c>
      <c r="E942" t="s">
        <v>9</v>
      </c>
      <c r="F942" s="2">
        <v>40</v>
      </c>
      <c r="G942" t="s">
        <v>3197</v>
      </c>
      <c r="H942" t="s">
        <v>25</v>
      </c>
      <c r="I942" t="s">
        <v>11</v>
      </c>
      <c r="J942" t="s">
        <v>3198</v>
      </c>
      <c r="K942" t="s">
        <v>15</v>
      </c>
      <c r="L942" s="2">
        <v>28.1</v>
      </c>
      <c r="M942" t="s">
        <v>3203</v>
      </c>
      <c r="N942">
        <v>0</v>
      </c>
      <c r="O942">
        <v>0</v>
      </c>
      <c r="P942">
        <v>1</v>
      </c>
      <c r="Q942" t="s">
        <v>3200</v>
      </c>
      <c r="R942" t="s">
        <v>3201</v>
      </c>
      <c r="S942" t="s">
        <v>13</v>
      </c>
    </row>
    <row r="943" spans="1:19" x14ac:dyDescent="0.3">
      <c r="A943" t="s">
        <v>709</v>
      </c>
      <c r="B943" t="s">
        <v>1596</v>
      </c>
      <c r="C943" t="s">
        <v>1722</v>
      </c>
      <c r="D943" t="s">
        <v>3189</v>
      </c>
      <c r="E943" t="s">
        <v>9</v>
      </c>
      <c r="F943" s="2">
        <v>21</v>
      </c>
      <c r="G943" t="s">
        <v>3206</v>
      </c>
      <c r="H943" t="s">
        <v>10</v>
      </c>
      <c r="I943" t="s">
        <v>11</v>
      </c>
      <c r="J943" t="s">
        <v>3198</v>
      </c>
      <c r="K943" t="s">
        <v>56</v>
      </c>
      <c r="L943" s="2">
        <v>8.1303000000000001</v>
      </c>
      <c r="M943" t="s">
        <v>3199</v>
      </c>
      <c r="N943">
        <v>0</v>
      </c>
      <c r="O943">
        <v>0</v>
      </c>
      <c r="P943">
        <v>1</v>
      </c>
      <c r="Q943" t="s">
        <v>3200</v>
      </c>
      <c r="R943" t="s">
        <v>3201</v>
      </c>
      <c r="S943" t="s">
        <v>13</v>
      </c>
    </row>
    <row r="944" spans="1:19" x14ac:dyDescent="0.3">
      <c r="A944" t="s">
        <v>710</v>
      </c>
      <c r="B944" t="s">
        <v>1596</v>
      </c>
      <c r="C944" t="s">
        <v>2038</v>
      </c>
      <c r="D944" t="s">
        <v>3189</v>
      </c>
      <c r="E944" t="s">
        <v>9</v>
      </c>
      <c r="F944" s="2">
        <v>20</v>
      </c>
      <c r="G944" t="s">
        <v>3206</v>
      </c>
      <c r="H944" t="s">
        <v>10</v>
      </c>
      <c r="I944" t="s">
        <v>11</v>
      </c>
      <c r="J944" t="s">
        <v>3198</v>
      </c>
      <c r="K944" t="s">
        <v>15</v>
      </c>
      <c r="L944" s="2">
        <v>14.1</v>
      </c>
      <c r="M944" t="s">
        <v>3199</v>
      </c>
      <c r="N944">
        <v>0</v>
      </c>
      <c r="O944">
        <v>0</v>
      </c>
      <c r="P944">
        <v>1</v>
      </c>
      <c r="Q944" t="s">
        <v>3200</v>
      </c>
      <c r="R944" t="s">
        <v>3201</v>
      </c>
      <c r="S944" t="s">
        <v>13</v>
      </c>
    </row>
    <row r="945" spans="1:19" x14ac:dyDescent="0.3">
      <c r="A945" t="s">
        <v>711</v>
      </c>
      <c r="B945" t="s">
        <v>1596</v>
      </c>
      <c r="C945" t="s">
        <v>2418</v>
      </c>
      <c r="D945" t="s">
        <v>3189</v>
      </c>
      <c r="E945" t="s">
        <v>9</v>
      </c>
      <c r="F945" s="2">
        <v>32</v>
      </c>
      <c r="G945" t="s">
        <v>3206</v>
      </c>
      <c r="H945" t="s">
        <v>10</v>
      </c>
      <c r="I945" t="s">
        <v>11</v>
      </c>
      <c r="J945" t="s">
        <v>3198</v>
      </c>
      <c r="K945" t="s">
        <v>65</v>
      </c>
      <c r="L945" s="2">
        <v>7.1711</v>
      </c>
      <c r="M945" t="s">
        <v>3199</v>
      </c>
      <c r="N945">
        <v>0</v>
      </c>
      <c r="O945">
        <v>0</v>
      </c>
      <c r="P945">
        <v>1</v>
      </c>
      <c r="Q945" t="s">
        <v>3200</v>
      </c>
      <c r="R945" t="s">
        <v>3201</v>
      </c>
      <c r="S945" t="s">
        <v>13</v>
      </c>
    </row>
    <row r="946" spans="1:19" x14ac:dyDescent="0.3">
      <c r="A946" t="s">
        <v>712</v>
      </c>
      <c r="B946" t="s">
        <v>1596</v>
      </c>
      <c r="C946" t="s">
        <v>2419</v>
      </c>
      <c r="D946" t="s">
        <v>3189</v>
      </c>
      <c r="E946" t="s">
        <v>9</v>
      </c>
      <c r="F946" s="2">
        <v>23</v>
      </c>
      <c r="G946" t="s">
        <v>3206</v>
      </c>
      <c r="H946" t="s">
        <v>25</v>
      </c>
      <c r="I946" t="s">
        <v>11</v>
      </c>
      <c r="J946" t="s">
        <v>3198</v>
      </c>
      <c r="K946" t="s">
        <v>26</v>
      </c>
      <c r="L946" s="2">
        <v>93.1</v>
      </c>
      <c r="M946" t="s">
        <v>3211</v>
      </c>
      <c r="N946">
        <v>0</v>
      </c>
      <c r="O946">
        <v>0</v>
      </c>
      <c r="P946">
        <v>1</v>
      </c>
      <c r="Q946" t="s">
        <v>3200</v>
      </c>
      <c r="R946" t="s">
        <v>3201</v>
      </c>
      <c r="S946" t="s">
        <v>13</v>
      </c>
    </row>
    <row r="947" spans="1:19" x14ac:dyDescent="0.3">
      <c r="A947" t="s">
        <v>713</v>
      </c>
      <c r="B947" t="s">
        <v>1612</v>
      </c>
      <c r="C947" t="s">
        <v>2420</v>
      </c>
      <c r="D947" t="s">
        <v>3189</v>
      </c>
      <c r="E947" t="s">
        <v>9</v>
      </c>
      <c r="F947" s="2">
        <v>0.58333333330000003</v>
      </c>
      <c r="G947" t="s">
        <v>3208</v>
      </c>
      <c r="H947" t="s">
        <v>10</v>
      </c>
      <c r="I947" t="s">
        <v>11</v>
      </c>
      <c r="J947" t="s">
        <v>3198</v>
      </c>
      <c r="K947" t="s">
        <v>15</v>
      </c>
      <c r="L947" s="2">
        <v>13.150600000000001</v>
      </c>
      <c r="M947" t="s">
        <v>3199</v>
      </c>
      <c r="N947">
        <v>1</v>
      </c>
      <c r="O947">
        <v>1</v>
      </c>
      <c r="P947">
        <v>3</v>
      </c>
      <c r="Q947" t="s">
        <v>3204</v>
      </c>
      <c r="R947" t="s">
        <v>3201</v>
      </c>
      <c r="S947" t="s">
        <v>13</v>
      </c>
    </row>
    <row r="948" spans="1:19" x14ac:dyDescent="0.3">
      <c r="A948" t="s">
        <v>713</v>
      </c>
      <c r="B948" t="s">
        <v>1602</v>
      </c>
      <c r="C948" t="s">
        <v>2421</v>
      </c>
      <c r="D948" t="s">
        <v>3190</v>
      </c>
      <c r="E948" t="s">
        <v>14</v>
      </c>
      <c r="F948" s="2">
        <v>4</v>
      </c>
      <c r="G948" t="s">
        <v>3208</v>
      </c>
      <c r="H948" t="s">
        <v>10</v>
      </c>
      <c r="I948" t="s">
        <v>11</v>
      </c>
      <c r="J948" t="s">
        <v>3198</v>
      </c>
      <c r="K948" t="s">
        <v>15</v>
      </c>
      <c r="L948" s="2">
        <v>13.150600000000001</v>
      </c>
      <c r="M948" t="s">
        <v>3199</v>
      </c>
      <c r="N948">
        <v>1</v>
      </c>
      <c r="O948">
        <v>1</v>
      </c>
      <c r="P948">
        <v>3</v>
      </c>
      <c r="Q948" t="s">
        <v>3204</v>
      </c>
      <c r="R948" t="s">
        <v>3201</v>
      </c>
      <c r="S948" t="s">
        <v>13</v>
      </c>
    </row>
    <row r="949" spans="1:19" x14ac:dyDescent="0.3">
      <c r="A949" t="s">
        <v>713</v>
      </c>
      <c r="B949" t="s">
        <v>1600</v>
      </c>
      <c r="C949" t="s">
        <v>2035</v>
      </c>
      <c r="D949" t="s">
        <v>3190</v>
      </c>
      <c r="E949" t="s">
        <v>14</v>
      </c>
      <c r="F949" s="2">
        <v>26</v>
      </c>
      <c r="G949" t="s">
        <v>3206</v>
      </c>
      <c r="H949" t="s">
        <v>10</v>
      </c>
      <c r="I949" t="s">
        <v>11</v>
      </c>
      <c r="J949" t="s">
        <v>3198</v>
      </c>
      <c r="K949" t="s">
        <v>15</v>
      </c>
      <c r="L949" s="2">
        <v>13.150600000000001</v>
      </c>
      <c r="M949" t="s">
        <v>3199</v>
      </c>
      <c r="N949">
        <v>0</v>
      </c>
      <c r="O949">
        <v>2</v>
      </c>
      <c r="P949">
        <v>3</v>
      </c>
      <c r="Q949" t="s">
        <v>3204</v>
      </c>
      <c r="R949" t="s">
        <v>3201</v>
      </c>
      <c r="S949" t="s">
        <v>13</v>
      </c>
    </row>
    <row r="950" spans="1:19" x14ac:dyDescent="0.3">
      <c r="A950" t="s">
        <v>714</v>
      </c>
      <c r="B950" t="s">
        <v>1596</v>
      </c>
      <c r="C950" t="s">
        <v>1794</v>
      </c>
      <c r="D950" t="s">
        <v>3189</v>
      </c>
      <c r="E950" t="s">
        <v>9</v>
      </c>
      <c r="F950" s="2">
        <v>32</v>
      </c>
      <c r="G950" t="s">
        <v>3206</v>
      </c>
      <c r="H950" t="s">
        <v>10</v>
      </c>
      <c r="I950" t="s">
        <v>11</v>
      </c>
      <c r="J950" t="s">
        <v>3198</v>
      </c>
      <c r="K950" t="s">
        <v>15</v>
      </c>
      <c r="L950" s="2">
        <v>7</v>
      </c>
      <c r="M950" t="s">
        <v>3199</v>
      </c>
      <c r="N950">
        <v>0</v>
      </c>
      <c r="O950">
        <v>0</v>
      </c>
      <c r="P950">
        <v>1</v>
      </c>
      <c r="Q950" t="s">
        <v>3200</v>
      </c>
      <c r="R950" t="s">
        <v>3201</v>
      </c>
      <c r="S950" t="s">
        <v>13</v>
      </c>
    </row>
    <row r="951" spans="1:19" x14ac:dyDescent="0.3">
      <c r="A951" t="s">
        <v>715</v>
      </c>
      <c r="B951" t="s">
        <v>1600</v>
      </c>
      <c r="C951" t="s">
        <v>2035</v>
      </c>
      <c r="D951" t="s">
        <v>3190</v>
      </c>
      <c r="E951" t="s">
        <v>14</v>
      </c>
      <c r="F951" s="2">
        <v>22</v>
      </c>
      <c r="G951" t="s">
        <v>3206</v>
      </c>
      <c r="H951" t="s">
        <v>25</v>
      </c>
      <c r="I951" t="s">
        <v>11</v>
      </c>
      <c r="J951" t="s">
        <v>3198</v>
      </c>
      <c r="K951" t="s">
        <v>15</v>
      </c>
      <c r="L951" s="2">
        <v>66.12</v>
      </c>
      <c r="M951" t="s">
        <v>3211</v>
      </c>
      <c r="N951">
        <v>1</v>
      </c>
      <c r="O951">
        <v>0</v>
      </c>
      <c r="P951">
        <v>2</v>
      </c>
      <c r="Q951" t="s">
        <v>3204</v>
      </c>
      <c r="R951" t="s">
        <v>3205</v>
      </c>
      <c r="S951" t="s">
        <v>16</v>
      </c>
    </row>
    <row r="952" spans="1:19" x14ac:dyDescent="0.3">
      <c r="A952" t="s">
        <v>715</v>
      </c>
      <c r="B952" t="s">
        <v>1596</v>
      </c>
      <c r="C952" t="s">
        <v>2422</v>
      </c>
      <c r="D952" t="s">
        <v>3189</v>
      </c>
      <c r="E952" t="s">
        <v>9</v>
      </c>
      <c r="F952" s="2">
        <v>29</v>
      </c>
      <c r="G952" t="s">
        <v>3206</v>
      </c>
      <c r="H952" t="s">
        <v>25</v>
      </c>
      <c r="I952" t="s">
        <v>11</v>
      </c>
      <c r="J952" t="s">
        <v>3198</v>
      </c>
      <c r="K952" t="s">
        <v>15</v>
      </c>
      <c r="L952" s="2">
        <v>66.12</v>
      </c>
      <c r="M952" t="s">
        <v>3211</v>
      </c>
      <c r="N952">
        <v>1</v>
      </c>
      <c r="O952">
        <v>0</v>
      </c>
      <c r="P952">
        <v>2</v>
      </c>
      <c r="Q952" t="s">
        <v>3204</v>
      </c>
      <c r="R952" t="s">
        <v>3201</v>
      </c>
      <c r="S952" t="s">
        <v>13</v>
      </c>
    </row>
    <row r="953" spans="1:19" x14ac:dyDescent="0.3">
      <c r="A953" t="s">
        <v>716</v>
      </c>
      <c r="B953" t="s">
        <v>1596</v>
      </c>
      <c r="C953" t="s">
        <v>2423</v>
      </c>
      <c r="D953" t="s">
        <v>3189</v>
      </c>
      <c r="E953" t="s">
        <v>9</v>
      </c>
      <c r="F953" s="2">
        <v>28</v>
      </c>
      <c r="G953" t="s">
        <v>3206</v>
      </c>
      <c r="H953" t="s">
        <v>10</v>
      </c>
      <c r="I953" t="s">
        <v>11</v>
      </c>
      <c r="J953" t="s">
        <v>3198</v>
      </c>
      <c r="K953" t="s">
        <v>17</v>
      </c>
      <c r="L953" s="2">
        <v>7.1505999999999998</v>
      </c>
      <c r="M953" t="s">
        <v>3199</v>
      </c>
      <c r="N953">
        <v>0</v>
      </c>
      <c r="O953">
        <v>0</v>
      </c>
      <c r="P953">
        <v>1</v>
      </c>
      <c r="Q953" t="s">
        <v>3200</v>
      </c>
      <c r="R953" t="s">
        <v>3201</v>
      </c>
      <c r="S953" t="s">
        <v>13</v>
      </c>
    </row>
    <row r="954" spans="1:19" x14ac:dyDescent="0.3">
      <c r="A954" t="s">
        <v>717</v>
      </c>
      <c r="B954" t="s">
        <v>1596</v>
      </c>
      <c r="C954" t="s">
        <v>2424</v>
      </c>
      <c r="D954" t="s">
        <v>3189</v>
      </c>
      <c r="E954" t="s">
        <v>9</v>
      </c>
      <c r="F954" s="2">
        <v>24</v>
      </c>
      <c r="G954" t="s">
        <v>3206</v>
      </c>
      <c r="H954" t="s">
        <v>10</v>
      </c>
      <c r="I954" t="s">
        <v>11</v>
      </c>
      <c r="J954" t="s">
        <v>3198</v>
      </c>
      <c r="K954" t="s">
        <v>15</v>
      </c>
      <c r="L954" s="2">
        <v>8.01</v>
      </c>
      <c r="M954" t="s">
        <v>3199</v>
      </c>
      <c r="N954">
        <v>0</v>
      </c>
      <c r="O954">
        <v>0</v>
      </c>
      <c r="P954">
        <v>1</v>
      </c>
      <c r="Q954" t="s">
        <v>3200</v>
      </c>
      <c r="R954" t="s">
        <v>3201</v>
      </c>
      <c r="S954" t="s">
        <v>13</v>
      </c>
    </row>
    <row r="955" spans="1:19" x14ac:dyDescent="0.3">
      <c r="A955" t="s">
        <v>718</v>
      </c>
      <c r="B955" t="s">
        <v>1596</v>
      </c>
      <c r="C955" t="s">
        <v>2228</v>
      </c>
      <c r="D955" t="s">
        <v>3189</v>
      </c>
      <c r="E955" t="s">
        <v>9</v>
      </c>
      <c r="F955" s="2">
        <v>21</v>
      </c>
      <c r="G955" t="s">
        <v>3206</v>
      </c>
      <c r="H955" t="s">
        <v>10</v>
      </c>
      <c r="I955" t="s">
        <v>11</v>
      </c>
      <c r="J955" t="s">
        <v>3198</v>
      </c>
      <c r="K955" t="s">
        <v>22</v>
      </c>
      <c r="L955" s="2">
        <v>7.1806000000000001</v>
      </c>
      <c r="M955" t="s">
        <v>3199</v>
      </c>
      <c r="N955">
        <v>0</v>
      </c>
      <c r="O955">
        <v>0</v>
      </c>
      <c r="P955">
        <v>1</v>
      </c>
      <c r="Q955" t="s">
        <v>3200</v>
      </c>
      <c r="R955" t="s">
        <v>3201</v>
      </c>
      <c r="S955" t="s">
        <v>13</v>
      </c>
    </row>
    <row r="956" spans="1:19" x14ac:dyDescent="0.3">
      <c r="A956" t="s">
        <v>719</v>
      </c>
      <c r="B956" t="s">
        <v>1596</v>
      </c>
      <c r="C956" t="s">
        <v>2425</v>
      </c>
      <c r="D956" t="s">
        <v>3189</v>
      </c>
      <c r="E956" t="s">
        <v>9</v>
      </c>
      <c r="F956" s="2">
        <v>25</v>
      </c>
      <c r="G956" t="s">
        <v>3206</v>
      </c>
      <c r="H956" t="s">
        <v>10</v>
      </c>
      <c r="I956" t="s">
        <v>11</v>
      </c>
      <c r="J956" t="s">
        <v>3198</v>
      </c>
      <c r="K956" t="s">
        <v>22</v>
      </c>
      <c r="L956" s="2">
        <v>7.1806000000000001</v>
      </c>
      <c r="M956" t="s">
        <v>3199</v>
      </c>
      <c r="N956">
        <v>0</v>
      </c>
      <c r="O956">
        <v>0</v>
      </c>
      <c r="P956">
        <v>1</v>
      </c>
      <c r="Q956" t="s">
        <v>3200</v>
      </c>
      <c r="R956" t="s">
        <v>3201</v>
      </c>
      <c r="S956" t="s">
        <v>13</v>
      </c>
    </row>
    <row r="957" spans="1:19" x14ac:dyDescent="0.3">
      <c r="A957" t="s">
        <v>720</v>
      </c>
      <c r="B957" t="s">
        <v>1600</v>
      </c>
      <c r="C957" t="s">
        <v>2426</v>
      </c>
      <c r="D957" t="s">
        <v>3190</v>
      </c>
      <c r="E957" t="s">
        <v>14</v>
      </c>
      <c r="F957" s="2">
        <v>22</v>
      </c>
      <c r="G957" t="s">
        <v>3206</v>
      </c>
      <c r="H957" t="s">
        <v>25</v>
      </c>
      <c r="I957" t="s">
        <v>19</v>
      </c>
      <c r="J957" t="s">
        <v>3207</v>
      </c>
      <c r="K957" t="s">
        <v>50</v>
      </c>
      <c r="L957" s="2">
        <v>108.18</v>
      </c>
      <c r="M957" t="s">
        <v>3209</v>
      </c>
      <c r="N957">
        <v>1</v>
      </c>
      <c r="O957">
        <v>0</v>
      </c>
      <c r="P957">
        <v>2</v>
      </c>
      <c r="Q957" t="s">
        <v>3204</v>
      </c>
      <c r="R957" t="s">
        <v>3205</v>
      </c>
      <c r="S957" t="s">
        <v>16</v>
      </c>
    </row>
    <row r="958" spans="1:19" x14ac:dyDescent="0.3">
      <c r="A958" t="s">
        <v>720</v>
      </c>
      <c r="B958" t="s">
        <v>1596</v>
      </c>
      <c r="C958" t="s">
        <v>2427</v>
      </c>
      <c r="D958" t="s">
        <v>3189</v>
      </c>
      <c r="E958" t="s">
        <v>9</v>
      </c>
      <c r="F958" s="2">
        <v>24</v>
      </c>
      <c r="G958" t="s">
        <v>3206</v>
      </c>
      <c r="H958" t="s">
        <v>25</v>
      </c>
      <c r="I958" t="s">
        <v>19</v>
      </c>
      <c r="J958" t="s">
        <v>3207</v>
      </c>
      <c r="K958" t="s">
        <v>50</v>
      </c>
      <c r="L958" s="2">
        <v>108.18</v>
      </c>
      <c r="M958" t="s">
        <v>3209</v>
      </c>
      <c r="N958">
        <v>1</v>
      </c>
      <c r="O958">
        <v>0</v>
      </c>
      <c r="P958">
        <v>2</v>
      </c>
      <c r="Q958" t="s">
        <v>3204</v>
      </c>
      <c r="R958" t="s">
        <v>3201</v>
      </c>
      <c r="S958" t="s">
        <v>13</v>
      </c>
    </row>
    <row r="959" spans="1:19" x14ac:dyDescent="0.3">
      <c r="A959" t="s">
        <v>721</v>
      </c>
      <c r="B959" t="s">
        <v>1596</v>
      </c>
      <c r="C959" t="s">
        <v>2428</v>
      </c>
      <c r="D959" t="s">
        <v>3189</v>
      </c>
      <c r="E959" t="s">
        <v>9</v>
      </c>
      <c r="F959" s="2">
        <v>19</v>
      </c>
      <c r="G959" t="s">
        <v>3206</v>
      </c>
      <c r="H959" t="s">
        <v>18</v>
      </c>
      <c r="I959" t="s">
        <v>11</v>
      </c>
      <c r="J959" t="s">
        <v>3198</v>
      </c>
      <c r="K959" t="s">
        <v>15</v>
      </c>
      <c r="L959" s="2">
        <v>10.1</v>
      </c>
      <c r="M959" t="s">
        <v>3199</v>
      </c>
      <c r="N959">
        <v>0</v>
      </c>
      <c r="O959">
        <v>0</v>
      </c>
      <c r="P959">
        <v>1</v>
      </c>
      <c r="Q959" t="s">
        <v>3200</v>
      </c>
      <c r="R959" t="s">
        <v>3201</v>
      </c>
      <c r="S959" t="s">
        <v>13</v>
      </c>
    </row>
    <row r="960" spans="1:19" x14ac:dyDescent="0.3">
      <c r="A960" t="s">
        <v>722</v>
      </c>
      <c r="B960" t="s">
        <v>1596</v>
      </c>
      <c r="C960" t="s">
        <v>1822</v>
      </c>
      <c r="D960" t="s">
        <v>3189</v>
      </c>
      <c r="E960" t="s">
        <v>9</v>
      </c>
      <c r="F960" s="2">
        <v>24</v>
      </c>
      <c r="G960" t="s">
        <v>3206</v>
      </c>
      <c r="H960" t="s">
        <v>10</v>
      </c>
      <c r="I960" t="s">
        <v>11</v>
      </c>
      <c r="J960" t="s">
        <v>3198</v>
      </c>
      <c r="K960" t="s">
        <v>15</v>
      </c>
      <c r="L960" s="2">
        <v>7.05</v>
      </c>
      <c r="M960" t="s">
        <v>3199</v>
      </c>
      <c r="N960">
        <v>0</v>
      </c>
      <c r="O960">
        <v>0</v>
      </c>
      <c r="P960">
        <v>1</v>
      </c>
      <c r="Q960" t="s">
        <v>3200</v>
      </c>
      <c r="R960" t="s">
        <v>3201</v>
      </c>
      <c r="S960" t="s">
        <v>13</v>
      </c>
    </row>
    <row r="961" spans="1:19" x14ac:dyDescent="0.3">
      <c r="A961" t="s">
        <v>723</v>
      </c>
      <c r="B961" t="s">
        <v>1596</v>
      </c>
      <c r="C961" t="s">
        <v>2429</v>
      </c>
      <c r="D961" t="s">
        <v>3189</v>
      </c>
      <c r="E961" t="s">
        <v>9</v>
      </c>
      <c r="F961" s="2">
        <v>39</v>
      </c>
      <c r="G961" t="s">
        <v>3197</v>
      </c>
      <c r="H961" t="s">
        <v>18</v>
      </c>
      <c r="I961" t="s">
        <v>19</v>
      </c>
      <c r="J961" t="s">
        <v>3207</v>
      </c>
      <c r="K961" t="s">
        <v>20</v>
      </c>
      <c r="L961" s="2">
        <v>15.01</v>
      </c>
      <c r="M961" t="s">
        <v>3203</v>
      </c>
      <c r="N961">
        <v>0</v>
      </c>
      <c r="O961">
        <v>0</v>
      </c>
      <c r="P961">
        <v>1</v>
      </c>
      <c r="Q961" t="s">
        <v>3200</v>
      </c>
      <c r="R961" t="s">
        <v>3201</v>
      </c>
      <c r="S961" t="s">
        <v>13</v>
      </c>
    </row>
    <row r="962" spans="1:19" x14ac:dyDescent="0.3">
      <c r="A962" t="s">
        <v>724</v>
      </c>
      <c r="B962" t="s">
        <v>1602</v>
      </c>
      <c r="C962" t="s">
        <v>2430</v>
      </c>
      <c r="D962" t="s">
        <v>3190</v>
      </c>
      <c r="E962" t="s">
        <v>14</v>
      </c>
      <c r="F962" s="2">
        <v>33</v>
      </c>
      <c r="G962" t="s">
        <v>3206</v>
      </c>
      <c r="H962" t="s">
        <v>25</v>
      </c>
      <c r="I962" t="s">
        <v>11</v>
      </c>
      <c r="J962" t="s">
        <v>3198</v>
      </c>
      <c r="K962" t="s">
        <v>26</v>
      </c>
      <c r="L962" s="2">
        <v>93.1</v>
      </c>
      <c r="M962" t="s">
        <v>3211</v>
      </c>
      <c r="N962">
        <v>0</v>
      </c>
      <c r="O962">
        <v>0</v>
      </c>
      <c r="P962">
        <v>1</v>
      </c>
      <c r="Q962" t="s">
        <v>3200</v>
      </c>
      <c r="R962" t="s">
        <v>3205</v>
      </c>
      <c r="S962" t="s">
        <v>16</v>
      </c>
    </row>
    <row r="963" spans="1:19" x14ac:dyDescent="0.3">
      <c r="A963" t="s">
        <v>725</v>
      </c>
      <c r="B963" t="s">
        <v>1596</v>
      </c>
      <c r="C963" t="s">
        <v>2431</v>
      </c>
      <c r="D963" t="s">
        <v>3189</v>
      </c>
      <c r="E963" t="s">
        <v>9</v>
      </c>
      <c r="F963" s="2">
        <v>25</v>
      </c>
      <c r="G963" t="s">
        <v>3206</v>
      </c>
      <c r="H963" t="s">
        <v>10</v>
      </c>
      <c r="I963" t="s">
        <v>11</v>
      </c>
      <c r="J963" t="s">
        <v>3198</v>
      </c>
      <c r="K963" t="s">
        <v>23</v>
      </c>
      <c r="L963" s="2">
        <v>7.1505999999999998</v>
      </c>
      <c r="M963" t="s">
        <v>3199</v>
      </c>
      <c r="N963">
        <v>1</v>
      </c>
      <c r="O963">
        <v>0</v>
      </c>
      <c r="P963">
        <v>2</v>
      </c>
      <c r="Q963" t="s">
        <v>3204</v>
      </c>
      <c r="R963" t="s">
        <v>3205</v>
      </c>
      <c r="S963" t="s">
        <v>16</v>
      </c>
    </row>
    <row r="964" spans="1:19" x14ac:dyDescent="0.3">
      <c r="A964" t="s">
        <v>726</v>
      </c>
      <c r="B964" t="s">
        <v>1777</v>
      </c>
      <c r="C964" t="s">
        <v>1649</v>
      </c>
      <c r="D964" t="s">
        <v>3189</v>
      </c>
      <c r="E964" t="s">
        <v>9</v>
      </c>
      <c r="F964" s="2">
        <v>41</v>
      </c>
      <c r="G964" t="s">
        <v>3197</v>
      </c>
      <c r="H964" t="s">
        <v>18</v>
      </c>
      <c r="I964" t="s">
        <v>11</v>
      </c>
      <c r="J964" t="s">
        <v>3198</v>
      </c>
      <c r="K964" t="s">
        <v>64</v>
      </c>
      <c r="L964" s="2">
        <v>13</v>
      </c>
      <c r="M964" t="s">
        <v>3199</v>
      </c>
      <c r="N964">
        <v>0</v>
      </c>
      <c r="O964">
        <v>0</v>
      </c>
      <c r="P964">
        <v>1</v>
      </c>
      <c r="Q964" t="s">
        <v>3200</v>
      </c>
      <c r="R964" t="s">
        <v>3201</v>
      </c>
      <c r="S964" t="s">
        <v>13</v>
      </c>
    </row>
    <row r="965" spans="1:19" x14ac:dyDescent="0.3">
      <c r="A965" t="s">
        <v>727</v>
      </c>
      <c r="B965" t="s">
        <v>1602</v>
      </c>
      <c r="C965" t="s">
        <v>2432</v>
      </c>
      <c r="D965" t="s">
        <v>3190</v>
      </c>
      <c r="E965" t="s">
        <v>14</v>
      </c>
      <c r="F965" s="2">
        <v>28</v>
      </c>
      <c r="G965" t="s">
        <v>3206</v>
      </c>
      <c r="H965" t="s">
        <v>10</v>
      </c>
      <c r="I965" t="s">
        <v>11</v>
      </c>
      <c r="J965" t="s">
        <v>3198</v>
      </c>
      <c r="K965" t="s">
        <v>65</v>
      </c>
      <c r="L965" s="2">
        <v>7.1711</v>
      </c>
      <c r="M965" t="s">
        <v>3199</v>
      </c>
      <c r="N965">
        <v>0</v>
      </c>
      <c r="O965">
        <v>0</v>
      </c>
      <c r="P965">
        <v>1</v>
      </c>
      <c r="Q965" t="s">
        <v>3200</v>
      </c>
      <c r="R965" t="s">
        <v>3201</v>
      </c>
      <c r="S965" t="s">
        <v>13</v>
      </c>
    </row>
    <row r="966" spans="1:19" x14ac:dyDescent="0.3">
      <c r="A966" t="s">
        <v>728</v>
      </c>
      <c r="B966" t="s">
        <v>1612</v>
      </c>
      <c r="C966" t="s">
        <v>2433</v>
      </c>
      <c r="D966" t="s">
        <v>3189</v>
      </c>
      <c r="E966" t="s">
        <v>9</v>
      </c>
      <c r="F966" s="2">
        <v>4</v>
      </c>
      <c r="G966" t="s">
        <v>3208</v>
      </c>
      <c r="H966" t="s">
        <v>10</v>
      </c>
      <c r="I966" t="s">
        <v>19</v>
      </c>
      <c r="J966" t="s">
        <v>3207</v>
      </c>
      <c r="K966" t="s">
        <v>21</v>
      </c>
      <c r="L966" s="2">
        <v>22.0702</v>
      </c>
      <c r="M966" t="s">
        <v>3203</v>
      </c>
      <c r="N966">
        <v>1</v>
      </c>
      <c r="O966">
        <v>1</v>
      </c>
      <c r="P966">
        <v>3</v>
      </c>
      <c r="Q966" t="s">
        <v>3204</v>
      </c>
      <c r="R966" t="s">
        <v>3205</v>
      </c>
      <c r="S966" t="s">
        <v>16</v>
      </c>
    </row>
    <row r="967" spans="1:19" x14ac:dyDescent="0.3">
      <c r="A967" t="s">
        <v>728</v>
      </c>
      <c r="B967" t="s">
        <v>1602</v>
      </c>
      <c r="C967" t="s">
        <v>1912</v>
      </c>
      <c r="D967" t="s">
        <v>3190</v>
      </c>
      <c r="E967" t="s">
        <v>14</v>
      </c>
      <c r="F967" s="2">
        <v>2</v>
      </c>
      <c r="G967" t="s">
        <v>3208</v>
      </c>
      <c r="H967" t="s">
        <v>10</v>
      </c>
      <c r="I967" t="s">
        <v>19</v>
      </c>
      <c r="J967" t="s">
        <v>3207</v>
      </c>
      <c r="K967" t="s">
        <v>21</v>
      </c>
      <c r="L967" s="2">
        <v>22.0702</v>
      </c>
      <c r="M967" t="s">
        <v>3203</v>
      </c>
      <c r="N967">
        <v>1</v>
      </c>
      <c r="O967">
        <v>1</v>
      </c>
      <c r="P967">
        <v>3</v>
      </c>
      <c r="Q967" t="s">
        <v>3204</v>
      </c>
      <c r="R967" t="s">
        <v>3205</v>
      </c>
      <c r="S967" t="s">
        <v>16</v>
      </c>
    </row>
    <row r="968" spans="1:19" x14ac:dyDescent="0.3">
      <c r="A968" t="s">
        <v>729</v>
      </c>
      <c r="B968" t="s">
        <v>1596</v>
      </c>
      <c r="C968" t="s">
        <v>2434</v>
      </c>
      <c r="D968" t="s">
        <v>3189</v>
      </c>
      <c r="E968" t="s">
        <v>9</v>
      </c>
      <c r="F968" s="2">
        <v>24</v>
      </c>
      <c r="G968" t="s">
        <v>3206</v>
      </c>
      <c r="H968" t="s">
        <v>10</v>
      </c>
      <c r="I968" t="s">
        <v>11</v>
      </c>
      <c r="J968" t="s">
        <v>3198</v>
      </c>
      <c r="K968" t="s">
        <v>15</v>
      </c>
      <c r="L968" s="2">
        <v>8.01</v>
      </c>
      <c r="M968" t="s">
        <v>3199</v>
      </c>
      <c r="N968">
        <v>0</v>
      </c>
      <c r="O968">
        <v>0</v>
      </c>
      <c r="P968">
        <v>1</v>
      </c>
      <c r="Q968" t="s">
        <v>3200</v>
      </c>
      <c r="R968" t="s">
        <v>3201</v>
      </c>
      <c r="S968" t="s">
        <v>13</v>
      </c>
    </row>
    <row r="969" spans="1:19" x14ac:dyDescent="0.3">
      <c r="A969" t="s">
        <v>730</v>
      </c>
      <c r="B969" t="s">
        <v>1602</v>
      </c>
      <c r="C969" t="s">
        <v>1735</v>
      </c>
      <c r="D969" t="s">
        <v>3190</v>
      </c>
      <c r="E969" t="s">
        <v>14</v>
      </c>
      <c r="F969" s="2">
        <v>28</v>
      </c>
      <c r="G969" t="s">
        <v>3206</v>
      </c>
      <c r="H969" t="s">
        <v>10</v>
      </c>
      <c r="I969" t="s">
        <v>36</v>
      </c>
      <c r="J969" t="s">
        <v>3213</v>
      </c>
      <c r="K969" t="s">
        <v>37</v>
      </c>
      <c r="L969" s="2">
        <v>8.0208999999999993</v>
      </c>
      <c r="M969" t="s">
        <v>3199</v>
      </c>
      <c r="N969">
        <v>0</v>
      </c>
      <c r="O969">
        <v>0</v>
      </c>
      <c r="P969">
        <v>1</v>
      </c>
      <c r="Q969" t="s">
        <v>3200</v>
      </c>
      <c r="R969" t="s">
        <v>3201</v>
      </c>
      <c r="S969" t="s">
        <v>13</v>
      </c>
    </row>
    <row r="970" spans="1:19" x14ac:dyDescent="0.3">
      <c r="A970" t="s">
        <v>731</v>
      </c>
      <c r="B970" t="s">
        <v>1596</v>
      </c>
      <c r="C970" t="s">
        <v>2435</v>
      </c>
      <c r="D970" t="s">
        <v>3189</v>
      </c>
      <c r="E970" t="s">
        <v>9</v>
      </c>
      <c r="F970" s="2">
        <v>19</v>
      </c>
      <c r="G970" t="s">
        <v>3206</v>
      </c>
      <c r="H970" t="s">
        <v>10</v>
      </c>
      <c r="I970" t="s">
        <v>11</v>
      </c>
      <c r="J970" t="s">
        <v>3198</v>
      </c>
      <c r="K970" t="s">
        <v>31</v>
      </c>
      <c r="L970" s="2">
        <v>7.1711</v>
      </c>
      <c r="M970" t="s">
        <v>3199</v>
      </c>
      <c r="N970">
        <v>0</v>
      </c>
      <c r="O970">
        <v>0</v>
      </c>
      <c r="P970">
        <v>1</v>
      </c>
      <c r="Q970" t="s">
        <v>3200</v>
      </c>
      <c r="R970" t="s">
        <v>3201</v>
      </c>
      <c r="S970" t="s">
        <v>13</v>
      </c>
    </row>
    <row r="971" spans="1:19" x14ac:dyDescent="0.3">
      <c r="A971" t="s">
        <v>731</v>
      </c>
      <c r="B971" t="s">
        <v>1596</v>
      </c>
      <c r="C971" t="s">
        <v>2436</v>
      </c>
      <c r="D971" t="s">
        <v>3189</v>
      </c>
      <c r="E971" t="s">
        <v>9</v>
      </c>
      <c r="F971" s="2">
        <v>29</v>
      </c>
      <c r="G971" t="s">
        <v>3206</v>
      </c>
      <c r="H971" t="s">
        <v>10</v>
      </c>
      <c r="I971" t="s">
        <v>11</v>
      </c>
      <c r="J971" t="s">
        <v>3198</v>
      </c>
      <c r="K971" t="s">
        <v>31</v>
      </c>
      <c r="L971" s="2">
        <v>7.1711</v>
      </c>
      <c r="M971" t="s">
        <v>3199</v>
      </c>
      <c r="N971">
        <v>0</v>
      </c>
      <c r="O971">
        <v>0</v>
      </c>
      <c r="P971">
        <v>1</v>
      </c>
      <c r="Q971" t="s">
        <v>3200</v>
      </c>
      <c r="R971" t="s">
        <v>3201</v>
      </c>
      <c r="S971" t="s">
        <v>13</v>
      </c>
    </row>
    <row r="972" spans="1:19" x14ac:dyDescent="0.3">
      <c r="A972" t="s">
        <v>732</v>
      </c>
      <c r="B972" t="s">
        <v>1602</v>
      </c>
      <c r="C972" t="s">
        <v>2437</v>
      </c>
      <c r="D972" t="s">
        <v>3190</v>
      </c>
      <c r="E972" t="s">
        <v>14</v>
      </c>
      <c r="F972" s="2">
        <v>18</v>
      </c>
      <c r="G972" t="s">
        <v>3206</v>
      </c>
      <c r="H972" t="s">
        <v>10</v>
      </c>
      <c r="I972" t="s">
        <v>11</v>
      </c>
      <c r="J972" t="s">
        <v>3198</v>
      </c>
      <c r="K972" t="s">
        <v>23</v>
      </c>
      <c r="L972" s="2">
        <v>7.1505999999999998</v>
      </c>
      <c r="M972" t="s">
        <v>3199</v>
      </c>
      <c r="N972">
        <v>0</v>
      </c>
      <c r="O972">
        <v>0</v>
      </c>
      <c r="P972">
        <v>1</v>
      </c>
      <c r="Q972" t="s">
        <v>3200</v>
      </c>
      <c r="R972" t="s">
        <v>3201</v>
      </c>
      <c r="S972" t="s">
        <v>13</v>
      </c>
    </row>
    <row r="973" spans="1:19" x14ac:dyDescent="0.3">
      <c r="A973" t="s">
        <v>732</v>
      </c>
      <c r="B973" t="s">
        <v>1596</v>
      </c>
      <c r="C973" t="s">
        <v>2438</v>
      </c>
      <c r="D973" t="s">
        <v>3189</v>
      </c>
      <c r="E973" t="s">
        <v>9</v>
      </c>
      <c r="F973" s="2">
        <v>25</v>
      </c>
      <c r="G973" t="s">
        <v>3206</v>
      </c>
      <c r="H973" t="s">
        <v>10</v>
      </c>
      <c r="I973" t="s">
        <v>11</v>
      </c>
      <c r="J973" t="s">
        <v>3198</v>
      </c>
      <c r="K973" t="s">
        <v>23</v>
      </c>
      <c r="L973" s="2">
        <v>7.1505999999999998</v>
      </c>
      <c r="M973" t="s">
        <v>3199</v>
      </c>
      <c r="N973">
        <v>1</v>
      </c>
      <c r="O973">
        <v>0</v>
      </c>
      <c r="P973">
        <v>2</v>
      </c>
      <c r="Q973" t="s">
        <v>3204</v>
      </c>
      <c r="R973" t="s">
        <v>3201</v>
      </c>
      <c r="S973" t="s">
        <v>13</v>
      </c>
    </row>
    <row r="974" spans="1:19" x14ac:dyDescent="0.3">
      <c r="A974" t="s">
        <v>733</v>
      </c>
      <c r="B974" t="s">
        <v>1775</v>
      </c>
      <c r="C974" t="s">
        <v>2439</v>
      </c>
      <c r="D974" t="s">
        <v>3189</v>
      </c>
      <c r="E974" t="s">
        <v>9</v>
      </c>
      <c r="F974" s="2">
        <v>52</v>
      </c>
      <c r="G974" t="s">
        <v>3197</v>
      </c>
      <c r="H974" t="s">
        <v>25</v>
      </c>
      <c r="I974" t="s">
        <v>11</v>
      </c>
      <c r="J974" t="s">
        <v>3198</v>
      </c>
      <c r="K974" t="s">
        <v>26</v>
      </c>
      <c r="L974" s="2">
        <v>30.1</v>
      </c>
      <c r="M974" t="s">
        <v>3203</v>
      </c>
      <c r="N974">
        <v>0</v>
      </c>
      <c r="O974">
        <v>0</v>
      </c>
      <c r="P974">
        <v>1</v>
      </c>
      <c r="Q974" t="s">
        <v>3200</v>
      </c>
      <c r="R974" t="s">
        <v>3205</v>
      </c>
      <c r="S974" t="s">
        <v>16</v>
      </c>
    </row>
    <row r="975" spans="1:19" x14ac:dyDescent="0.3">
      <c r="A975" t="s">
        <v>734</v>
      </c>
      <c r="B975" t="s">
        <v>1602</v>
      </c>
      <c r="C975" t="s">
        <v>2440</v>
      </c>
      <c r="D975" t="s">
        <v>3190</v>
      </c>
      <c r="E975" t="s">
        <v>14</v>
      </c>
      <c r="F975" s="2">
        <v>21</v>
      </c>
      <c r="G975" t="s">
        <v>3206</v>
      </c>
      <c r="H975" t="s">
        <v>18</v>
      </c>
      <c r="I975" t="s">
        <v>11</v>
      </c>
      <c r="J975" t="s">
        <v>3198</v>
      </c>
      <c r="K975" t="s">
        <v>15</v>
      </c>
      <c r="L975" s="2">
        <v>21</v>
      </c>
      <c r="M975" t="s">
        <v>3203</v>
      </c>
      <c r="N975">
        <v>0</v>
      </c>
      <c r="O975">
        <v>1</v>
      </c>
      <c r="P975">
        <v>2</v>
      </c>
      <c r="Q975" t="s">
        <v>3204</v>
      </c>
      <c r="R975" t="s">
        <v>3205</v>
      </c>
      <c r="S975" t="s">
        <v>16</v>
      </c>
    </row>
    <row r="976" spans="1:19" x14ac:dyDescent="0.3">
      <c r="A976" t="s">
        <v>734</v>
      </c>
      <c r="B976" t="s">
        <v>1602</v>
      </c>
      <c r="C976" t="s">
        <v>2441</v>
      </c>
      <c r="D976" t="s">
        <v>3190</v>
      </c>
      <c r="E976" t="s">
        <v>14</v>
      </c>
      <c r="F976" s="2">
        <v>19</v>
      </c>
      <c r="G976" t="s">
        <v>3206</v>
      </c>
      <c r="H976" t="s">
        <v>18</v>
      </c>
      <c r="I976" t="s">
        <v>11</v>
      </c>
      <c r="J976" t="s">
        <v>3198</v>
      </c>
      <c r="K976" t="s">
        <v>15</v>
      </c>
      <c r="L976" s="2">
        <v>26</v>
      </c>
      <c r="M976" t="s">
        <v>3203</v>
      </c>
      <c r="N976">
        <v>0</v>
      </c>
      <c r="O976">
        <v>0</v>
      </c>
      <c r="P976">
        <v>1</v>
      </c>
      <c r="Q976" t="s">
        <v>3200</v>
      </c>
      <c r="R976" t="s">
        <v>3205</v>
      </c>
      <c r="S976" t="s">
        <v>16</v>
      </c>
    </row>
    <row r="977" spans="1:19" x14ac:dyDescent="0.3">
      <c r="A977" t="s">
        <v>734</v>
      </c>
      <c r="B977" t="s">
        <v>1596</v>
      </c>
      <c r="C977" t="s">
        <v>2442</v>
      </c>
      <c r="D977" t="s">
        <v>3189</v>
      </c>
      <c r="E977" t="s">
        <v>9</v>
      </c>
      <c r="F977" s="2">
        <v>43</v>
      </c>
      <c r="G977" t="s">
        <v>3197</v>
      </c>
      <c r="H977" t="s">
        <v>18</v>
      </c>
      <c r="I977" t="s">
        <v>11</v>
      </c>
      <c r="J977" t="s">
        <v>3198</v>
      </c>
      <c r="K977" t="s">
        <v>15</v>
      </c>
      <c r="L977" s="2">
        <v>21</v>
      </c>
      <c r="M977" t="s">
        <v>3203</v>
      </c>
      <c r="N977">
        <v>0</v>
      </c>
      <c r="O977">
        <v>1</v>
      </c>
      <c r="P977">
        <v>2</v>
      </c>
      <c r="Q977" t="s">
        <v>3204</v>
      </c>
      <c r="R977" t="s">
        <v>3201</v>
      </c>
      <c r="S977" t="s">
        <v>13</v>
      </c>
    </row>
    <row r="978" spans="1:19" x14ac:dyDescent="0.3">
      <c r="A978" t="s">
        <v>735</v>
      </c>
      <c r="B978" t="s">
        <v>1596</v>
      </c>
      <c r="C978" t="s">
        <v>2443</v>
      </c>
      <c r="D978" t="s">
        <v>3189</v>
      </c>
      <c r="E978" t="s">
        <v>9</v>
      </c>
      <c r="F978" s="2">
        <v>33</v>
      </c>
      <c r="G978" t="s">
        <v>3206</v>
      </c>
      <c r="H978" t="s">
        <v>10</v>
      </c>
      <c r="I978" t="s">
        <v>11</v>
      </c>
      <c r="J978" t="s">
        <v>3198</v>
      </c>
      <c r="K978" t="s">
        <v>47</v>
      </c>
      <c r="L978" s="2">
        <v>8.01</v>
      </c>
      <c r="M978" t="s">
        <v>3199</v>
      </c>
      <c r="N978">
        <v>0</v>
      </c>
      <c r="O978">
        <v>0</v>
      </c>
      <c r="P978">
        <v>1</v>
      </c>
      <c r="Q978" t="s">
        <v>3200</v>
      </c>
      <c r="R978" t="s">
        <v>3205</v>
      </c>
      <c r="S978" t="s">
        <v>16</v>
      </c>
    </row>
    <row r="979" spans="1:19" x14ac:dyDescent="0.3">
      <c r="A979" t="s">
        <v>736</v>
      </c>
      <c r="B979" t="s">
        <v>1600</v>
      </c>
      <c r="C979" t="s">
        <v>2444</v>
      </c>
      <c r="D979" t="s">
        <v>3190</v>
      </c>
      <c r="E979" t="s">
        <v>14</v>
      </c>
      <c r="F979" s="2">
        <v>32</v>
      </c>
      <c r="G979" t="s">
        <v>3206</v>
      </c>
      <c r="H979" t="s">
        <v>18</v>
      </c>
      <c r="I979" t="s">
        <v>11</v>
      </c>
      <c r="J979" t="s">
        <v>3198</v>
      </c>
      <c r="K979" t="s">
        <v>47</v>
      </c>
      <c r="L979" s="2">
        <v>13</v>
      </c>
      <c r="M979" t="s">
        <v>3199</v>
      </c>
      <c r="N979">
        <v>0</v>
      </c>
      <c r="O979">
        <v>0</v>
      </c>
      <c r="P979">
        <v>1</v>
      </c>
      <c r="Q979" t="s">
        <v>3200</v>
      </c>
      <c r="R979" t="s">
        <v>3205</v>
      </c>
      <c r="S979" t="s">
        <v>16</v>
      </c>
    </row>
    <row r="980" spans="1:19" x14ac:dyDescent="0.3">
      <c r="A980" t="s">
        <v>737</v>
      </c>
      <c r="B980" t="s">
        <v>1596</v>
      </c>
      <c r="C980" t="s">
        <v>2445</v>
      </c>
      <c r="D980" t="s">
        <v>3189</v>
      </c>
      <c r="E980" t="s">
        <v>9</v>
      </c>
      <c r="F980" s="2">
        <v>27</v>
      </c>
      <c r="G980" t="s">
        <v>3206</v>
      </c>
      <c r="H980" t="s">
        <v>10</v>
      </c>
      <c r="I980" t="s">
        <v>11</v>
      </c>
      <c r="J980" t="s">
        <v>3198</v>
      </c>
      <c r="K980" t="s">
        <v>15</v>
      </c>
      <c r="L980" s="2">
        <v>7.1711</v>
      </c>
      <c r="M980" t="s">
        <v>3199</v>
      </c>
      <c r="N980">
        <v>0</v>
      </c>
      <c r="O980">
        <v>0</v>
      </c>
      <c r="P980">
        <v>1</v>
      </c>
      <c r="Q980" t="s">
        <v>3200</v>
      </c>
      <c r="R980" t="s">
        <v>3201</v>
      </c>
      <c r="S980" t="s">
        <v>13</v>
      </c>
    </row>
    <row r="981" spans="1:19" x14ac:dyDescent="0.3">
      <c r="A981" t="s">
        <v>738</v>
      </c>
      <c r="B981" t="s">
        <v>1596</v>
      </c>
      <c r="C981" t="s">
        <v>2446</v>
      </c>
      <c r="D981" t="s">
        <v>3189</v>
      </c>
      <c r="E981" t="s">
        <v>9</v>
      </c>
      <c r="F981" s="2">
        <v>17</v>
      </c>
      <c r="G981" t="s">
        <v>3202</v>
      </c>
      <c r="H981" t="s">
        <v>10</v>
      </c>
      <c r="I981" t="s">
        <v>11</v>
      </c>
      <c r="J981" t="s">
        <v>3198</v>
      </c>
      <c r="K981" t="s">
        <v>65</v>
      </c>
      <c r="L981" s="2">
        <v>8.1303000000000001</v>
      </c>
      <c r="M981" t="s">
        <v>3199</v>
      </c>
      <c r="N981">
        <v>0</v>
      </c>
      <c r="O981">
        <v>0</v>
      </c>
      <c r="P981">
        <v>1</v>
      </c>
      <c r="Q981" t="s">
        <v>3200</v>
      </c>
      <c r="R981" t="s">
        <v>3201</v>
      </c>
      <c r="S981" t="s">
        <v>13</v>
      </c>
    </row>
    <row r="982" spans="1:19" x14ac:dyDescent="0.3">
      <c r="A982" t="s">
        <v>738</v>
      </c>
      <c r="B982" t="s">
        <v>1596</v>
      </c>
      <c r="C982" t="s">
        <v>2447</v>
      </c>
      <c r="D982" t="s">
        <v>3189</v>
      </c>
      <c r="E982" t="s">
        <v>9</v>
      </c>
      <c r="F982" s="2">
        <v>24</v>
      </c>
      <c r="G982" t="s">
        <v>3206</v>
      </c>
      <c r="H982" t="s">
        <v>10</v>
      </c>
      <c r="I982" t="s">
        <v>11</v>
      </c>
      <c r="J982" t="s">
        <v>3198</v>
      </c>
      <c r="K982" t="s">
        <v>65</v>
      </c>
      <c r="L982" s="2">
        <v>8.1303000000000001</v>
      </c>
      <c r="M982" t="s">
        <v>3199</v>
      </c>
      <c r="N982">
        <v>0</v>
      </c>
      <c r="O982">
        <v>0</v>
      </c>
      <c r="P982">
        <v>1</v>
      </c>
      <c r="Q982" t="s">
        <v>3200</v>
      </c>
      <c r="R982" t="s">
        <v>3201</v>
      </c>
      <c r="S982" t="s">
        <v>13</v>
      </c>
    </row>
    <row r="983" spans="1:19" x14ac:dyDescent="0.3">
      <c r="A983" t="s">
        <v>739</v>
      </c>
      <c r="B983" t="s">
        <v>1596</v>
      </c>
      <c r="C983" t="s">
        <v>2002</v>
      </c>
      <c r="D983" t="s">
        <v>3189</v>
      </c>
      <c r="E983" t="s">
        <v>9</v>
      </c>
      <c r="F983" s="2">
        <v>24</v>
      </c>
      <c r="G983" t="s">
        <v>3206</v>
      </c>
      <c r="H983" t="s">
        <v>18</v>
      </c>
      <c r="I983" t="s">
        <v>11</v>
      </c>
      <c r="J983" t="s">
        <v>3198</v>
      </c>
      <c r="K983" t="s">
        <v>15</v>
      </c>
      <c r="L983" s="2">
        <v>13</v>
      </c>
      <c r="M983" t="s">
        <v>3199</v>
      </c>
      <c r="N983">
        <v>0</v>
      </c>
      <c r="O983">
        <v>0</v>
      </c>
      <c r="P983">
        <v>1</v>
      </c>
      <c r="Q983" t="s">
        <v>3200</v>
      </c>
      <c r="R983" t="s">
        <v>3201</v>
      </c>
      <c r="S983" t="s">
        <v>13</v>
      </c>
    </row>
    <row r="984" spans="1:19" x14ac:dyDescent="0.3">
      <c r="A984" t="s">
        <v>740</v>
      </c>
      <c r="B984" t="s">
        <v>1596</v>
      </c>
      <c r="C984" t="s">
        <v>2448</v>
      </c>
      <c r="D984" t="s">
        <v>3189</v>
      </c>
      <c r="E984" t="s">
        <v>9</v>
      </c>
      <c r="F984" s="2">
        <v>30</v>
      </c>
      <c r="G984" t="s">
        <v>3206</v>
      </c>
      <c r="H984" t="s">
        <v>18</v>
      </c>
      <c r="I984" t="s">
        <v>19</v>
      </c>
      <c r="J984" t="s">
        <v>3207</v>
      </c>
      <c r="K984" t="s">
        <v>12</v>
      </c>
      <c r="L984" s="2">
        <v>12.1409</v>
      </c>
      <c r="M984" t="s">
        <v>3199</v>
      </c>
      <c r="N984">
        <v>0</v>
      </c>
      <c r="O984">
        <v>0</v>
      </c>
      <c r="P984">
        <v>1</v>
      </c>
      <c r="Q984" t="s">
        <v>3200</v>
      </c>
      <c r="R984" t="s">
        <v>3205</v>
      </c>
      <c r="S984" t="s">
        <v>16</v>
      </c>
    </row>
    <row r="985" spans="1:19" x14ac:dyDescent="0.3">
      <c r="A985" t="s">
        <v>741</v>
      </c>
      <c r="B985" t="s">
        <v>1596</v>
      </c>
      <c r="C985" t="s">
        <v>2449</v>
      </c>
      <c r="D985" t="s">
        <v>3189</v>
      </c>
      <c r="E985" t="s">
        <v>9</v>
      </c>
      <c r="F985" s="2">
        <v>46</v>
      </c>
      <c r="G985" t="s">
        <v>3197</v>
      </c>
      <c r="H985" t="s">
        <v>25</v>
      </c>
      <c r="I985" t="s">
        <v>11</v>
      </c>
      <c r="J985" t="s">
        <v>3198</v>
      </c>
      <c r="K985" t="s">
        <v>12</v>
      </c>
      <c r="L985" s="2">
        <v>52</v>
      </c>
      <c r="M985" t="s">
        <v>3211</v>
      </c>
      <c r="N985">
        <v>0</v>
      </c>
      <c r="O985">
        <v>0</v>
      </c>
      <c r="P985">
        <v>1</v>
      </c>
      <c r="Q985" t="s">
        <v>3200</v>
      </c>
      <c r="R985" t="s">
        <v>3201</v>
      </c>
      <c r="S985" t="s">
        <v>13</v>
      </c>
    </row>
    <row r="986" spans="1:19" x14ac:dyDescent="0.3">
      <c r="A986" t="s">
        <v>742</v>
      </c>
      <c r="B986" t="s">
        <v>1600</v>
      </c>
      <c r="C986" t="s">
        <v>2450</v>
      </c>
      <c r="D986" t="s">
        <v>3190</v>
      </c>
      <c r="E986" t="s">
        <v>14</v>
      </c>
      <c r="F986" s="2">
        <v>56</v>
      </c>
      <c r="G986" t="s">
        <v>3210</v>
      </c>
      <c r="H986" t="s">
        <v>25</v>
      </c>
      <c r="I986" t="s">
        <v>19</v>
      </c>
      <c r="J986" t="s">
        <v>3207</v>
      </c>
      <c r="K986" t="s">
        <v>12</v>
      </c>
      <c r="L986" s="2">
        <v>83.030199999999994</v>
      </c>
      <c r="M986" t="s">
        <v>3211</v>
      </c>
      <c r="N986">
        <v>0</v>
      </c>
      <c r="O986">
        <v>1</v>
      </c>
      <c r="P986">
        <v>2</v>
      </c>
      <c r="Q986" t="s">
        <v>3204</v>
      </c>
      <c r="R986" t="s">
        <v>3205</v>
      </c>
      <c r="S986" t="s">
        <v>16</v>
      </c>
    </row>
    <row r="987" spans="1:19" x14ac:dyDescent="0.3">
      <c r="A987" t="s">
        <v>743</v>
      </c>
      <c r="B987" t="s">
        <v>1596</v>
      </c>
      <c r="C987" t="s">
        <v>2182</v>
      </c>
      <c r="D987" t="s">
        <v>3189</v>
      </c>
      <c r="E987" t="s">
        <v>9</v>
      </c>
      <c r="F987" s="2">
        <v>27</v>
      </c>
      <c r="G987" t="s">
        <v>3206</v>
      </c>
      <c r="H987" t="s">
        <v>18</v>
      </c>
      <c r="I987" t="s">
        <v>19</v>
      </c>
      <c r="J987" t="s">
        <v>3207</v>
      </c>
      <c r="K987" t="s">
        <v>12</v>
      </c>
      <c r="L987" s="2">
        <v>15</v>
      </c>
      <c r="M987" t="s">
        <v>3199</v>
      </c>
      <c r="N987">
        <v>0</v>
      </c>
      <c r="O987">
        <v>0</v>
      </c>
      <c r="P987">
        <v>1</v>
      </c>
      <c r="Q987" t="s">
        <v>3200</v>
      </c>
      <c r="R987" t="s">
        <v>3201</v>
      </c>
      <c r="S987" t="s">
        <v>13</v>
      </c>
    </row>
    <row r="988" spans="1:19" x14ac:dyDescent="0.3">
      <c r="A988" t="s">
        <v>744</v>
      </c>
      <c r="B988" t="s">
        <v>1596</v>
      </c>
      <c r="C988" t="s">
        <v>2451</v>
      </c>
      <c r="D988" t="s">
        <v>3189</v>
      </c>
      <c r="E988" t="s">
        <v>9</v>
      </c>
      <c r="F988" s="2">
        <v>16</v>
      </c>
      <c r="G988" t="s">
        <v>3202</v>
      </c>
      <c r="H988" t="s">
        <v>10</v>
      </c>
      <c r="I988" t="s">
        <v>19</v>
      </c>
      <c r="J988" t="s">
        <v>3207</v>
      </c>
      <c r="K988" t="s">
        <v>15</v>
      </c>
      <c r="L988" s="2">
        <v>8.1402999999999999</v>
      </c>
      <c r="M988" t="s">
        <v>3199</v>
      </c>
      <c r="N988">
        <v>0</v>
      </c>
      <c r="O988">
        <v>0</v>
      </c>
      <c r="P988">
        <v>1</v>
      </c>
      <c r="Q988" t="s">
        <v>3200</v>
      </c>
      <c r="R988" t="s">
        <v>3201</v>
      </c>
      <c r="S988" t="s">
        <v>13</v>
      </c>
    </row>
    <row r="989" spans="1:19" x14ac:dyDescent="0.3">
      <c r="A989" t="s">
        <v>745</v>
      </c>
      <c r="B989" t="s">
        <v>1602</v>
      </c>
      <c r="C989" t="s">
        <v>2452</v>
      </c>
      <c r="D989" t="s">
        <v>3190</v>
      </c>
      <c r="E989" t="s">
        <v>14</v>
      </c>
      <c r="F989" s="2">
        <v>2</v>
      </c>
      <c r="G989" t="s">
        <v>3208</v>
      </c>
      <c r="H989" t="s">
        <v>18</v>
      </c>
      <c r="I989" t="s">
        <v>11</v>
      </c>
      <c r="J989" t="s">
        <v>3198</v>
      </c>
      <c r="K989" t="s">
        <v>15</v>
      </c>
      <c r="L989" s="2">
        <v>26</v>
      </c>
      <c r="M989" t="s">
        <v>3203</v>
      </c>
      <c r="N989">
        <v>1</v>
      </c>
      <c r="O989">
        <v>1</v>
      </c>
      <c r="P989">
        <v>3</v>
      </c>
      <c r="Q989" t="s">
        <v>3204</v>
      </c>
      <c r="R989" t="s">
        <v>3205</v>
      </c>
      <c r="S989" t="s">
        <v>16</v>
      </c>
    </row>
    <row r="990" spans="1:19" x14ac:dyDescent="0.3">
      <c r="A990" t="s">
        <v>745</v>
      </c>
      <c r="B990" t="s">
        <v>1602</v>
      </c>
      <c r="C990" t="s">
        <v>2453</v>
      </c>
      <c r="D990" t="s">
        <v>3190</v>
      </c>
      <c r="E990" t="s">
        <v>14</v>
      </c>
      <c r="F990" s="2">
        <v>8</v>
      </c>
      <c r="G990" t="s">
        <v>3208</v>
      </c>
      <c r="H990" t="s">
        <v>18</v>
      </c>
      <c r="I990" t="s">
        <v>11</v>
      </c>
      <c r="J990" t="s">
        <v>3198</v>
      </c>
      <c r="K990" t="s">
        <v>15</v>
      </c>
      <c r="L990" s="2">
        <v>26</v>
      </c>
      <c r="M990" t="s">
        <v>3203</v>
      </c>
      <c r="N990">
        <v>1</v>
      </c>
      <c r="O990">
        <v>1</v>
      </c>
      <c r="P990">
        <v>3</v>
      </c>
      <c r="Q990" t="s">
        <v>3204</v>
      </c>
      <c r="R990" t="s">
        <v>3205</v>
      </c>
      <c r="S990" t="s">
        <v>16</v>
      </c>
    </row>
    <row r="991" spans="1:19" x14ac:dyDescent="0.3">
      <c r="A991" t="s">
        <v>745</v>
      </c>
      <c r="B991" t="s">
        <v>1600</v>
      </c>
      <c r="C991" t="s">
        <v>1804</v>
      </c>
      <c r="D991" t="s">
        <v>3190</v>
      </c>
      <c r="E991" t="s">
        <v>14</v>
      </c>
      <c r="F991" s="2">
        <v>33</v>
      </c>
      <c r="G991" t="s">
        <v>3206</v>
      </c>
      <c r="H991" t="s">
        <v>18</v>
      </c>
      <c r="I991" t="s">
        <v>11</v>
      </c>
      <c r="J991" t="s">
        <v>3198</v>
      </c>
      <c r="K991" t="s">
        <v>15</v>
      </c>
      <c r="L991" s="2">
        <v>26</v>
      </c>
      <c r="M991" t="s">
        <v>3203</v>
      </c>
      <c r="N991">
        <v>0</v>
      </c>
      <c r="O991">
        <v>2</v>
      </c>
      <c r="P991">
        <v>3</v>
      </c>
      <c r="Q991" t="s">
        <v>3204</v>
      </c>
      <c r="R991" t="s">
        <v>3205</v>
      </c>
      <c r="S991" t="s">
        <v>16</v>
      </c>
    </row>
    <row r="992" spans="1:19" x14ac:dyDescent="0.3">
      <c r="A992" t="s">
        <v>746</v>
      </c>
      <c r="B992" t="s">
        <v>1596</v>
      </c>
      <c r="C992" t="s">
        <v>2454</v>
      </c>
      <c r="D992" t="s">
        <v>3189</v>
      </c>
      <c r="E992" t="s">
        <v>9</v>
      </c>
      <c r="F992" s="2">
        <v>27</v>
      </c>
      <c r="G992" t="s">
        <v>3206</v>
      </c>
      <c r="H992" t="s">
        <v>10</v>
      </c>
      <c r="I992" t="s">
        <v>11</v>
      </c>
      <c r="J992" t="s">
        <v>3198</v>
      </c>
      <c r="K992" t="s">
        <v>15</v>
      </c>
      <c r="L992" s="2">
        <v>7.1711</v>
      </c>
      <c r="M992" t="s">
        <v>3199</v>
      </c>
      <c r="N992">
        <v>0</v>
      </c>
      <c r="O992">
        <v>0</v>
      </c>
      <c r="P992">
        <v>1</v>
      </c>
      <c r="Q992" t="s">
        <v>3200</v>
      </c>
      <c r="R992" t="s">
        <v>3201</v>
      </c>
      <c r="S992" t="s">
        <v>13</v>
      </c>
    </row>
    <row r="993" spans="1:19" x14ac:dyDescent="0.3">
      <c r="A993" t="s">
        <v>747</v>
      </c>
      <c r="B993" t="s">
        <v>1596</v>
      </c>
      <c r="C993" t="s">
        <v>2455</v>
      </c>
      <c r="D993" t="s">
        <v>3189</v>
      </c>
      <c r="E993" t="s">
        <v>9</v>
      </c>
      <c r="F993" s="2">
        <v>21</v>
      </c>
      <c r="G993" t="s">
        <v>3206</v>
      </c>
      <c r="H993" t="s">
        <v>10</v>
      </c>
      <c r="I993" t="s">
        <v>19</v>
      </c>
      <c r="J993" t="s">
        <v>3207</v>
      </c>
      <c r="K993" t="s">
        <v>21</v>
      </c>
      <c r="L993" s="2">
        <v>7.0406000000000004</v>
      </c>
      <c r="M993" t="s">
        <v>3199</v>
      </c>
      <c r="N993">
        <v>0</v>
      </c>
      <c r="O993">
        <v>0</v>
      </c>
      <c r="P993">
        <v>1</v>
      </c>
      <c r="Q993" t="s">
        <v>3200</v>
      </c>
      <c r="R993" t="s">
        <v>3201</v>
      </c>
      <c r="S993" t="s">
        <v>13</v>
      </c>
    </row>
    <row r="994" spans="1:19" x14ac:dyDescent="0.3">
      <c r="A994" t="s">
        <v>748</v>
      </c>
      <c r="B994" t="s">
        <v>1600</v>
      </c>
      <c r="C994" t="s">
        <v>2456</v>
      </c>
      <c r="D994" t="s">
        <v>3190</v>
      </c>
      <c r="E994" t="s">
        <v>14</v>
      </c>
      <c r="F994" s="2">
        <v>63</v>
      </c>
      <c r="G994" t="s">
        <v>3210</v>
      </c>
      <c r="H994" t="s">
        <v>10</v>
      </c>
      <c r="I994" t="s">
        <v>11</v>
      </c>
      <c r="J994" t="s">
        <v>3198</v>
      </c>
      <c r="K994" t="s">
        <v>17</v>
      </c>
      <c r="L994" s="2">
        <v>8.0203000000000007</v>
      </c>
      <c r="M994" t="s">
        <v>3199</v>
      </c>
      <c r="N994">
        <v>0</v>
      </c>
      <c r="O994">
        <v>0</v>
      </c>
      <c r="P994">
        <v>1</v>
      </c>
      <c r="Q994" t="s">
        <v>3200</v>
      </c>
      <c r="R994" t="s">
        <v>3201</v>
      </c>
      <c r="S994" t="s">
        <v>13</v>
      </c>
    </row>
    <row r="995" spans="1:19" x14ac:dyDescent="0.3">
      <c r="A995" t="s">
        <v>749</v>
      </c>
      <c r="B995" t="s">
        <v>1596</v>
      </c>
      <c r="C995" t="s">
        <v>2457</v>
      </c>
      <c r="D995" t="s">
        <v>3189</v>
      </c>
      <c r="E995" t="s">
        <v>9</v>
      </c>
      <c r="F995" s="2">
        <v>30</v>
      </c>
      <c r="G995" t="s">
        <v>3206</v>
      </c>
      <c r="H995" t="s">
        <v>10</v>
      </c>
      <c r="I995" t="s">
        <v>19</v>
      </c>
      <c r="J995" t="s">
        <v>3207</v>
      </c>
      <c r="K995" t="s">
        <v>21</v>
      </c>
      <c r="L995" s="2">
        <v>7.0407000000000002</v>
      </c>
      <c r="M995" t="s">
        <v>3199</v>
      </c>
      <c r="N995">
        <v>0</v>
      </c>
      <c r="O995">
        <v>0</v>
      </c>
      <c r="P995">
        <v>1</v>
      </c>
      <c r="Q995" t="s">
        <v>3200</v>
      </c>
      <c r="R995" t="s">
        <v>3201</v>
      </c>
      <c r="S995" t="s">
        <v>13</v>
      </c>
    </row>
    <row r="996" spans="1:19" x14ac:dyDescent="0.3">
      <c r="A996" t="s">
        <v>750</v>
      </c>
      <c r="B996" t="s">
        <v>1596</v>
      </c>
      <c r="C996" t="s">
        <v>2458</v>
      </c>
      <c r="D996" t="s">
        <v>3189</v>
      </c>
      <c r="E996" t="s">
        <v>9</v>
      </c>
      <c r="F996" s="2">
        <v>18</v>
      </c>
      <c r="G996" t="s">
        <v>3206</v>
      </c>
      <c r="H996" t="s">
        <v>10</v>
      </c>
      <c r="I996" t="s">
        <v>11</v>
      </c>
      <c r="J996" t="s">
        <v>3198</v>
      </c>
      <c r="K996" t="s">
        <v>40</v>
      </c>
      <c r="L996" s="2">
        <v>7.05</v>
      </c>
      <c r="M996" t="s">
        <v>3199</v>
      </c>
      <c r="N996">
        <v>0</v>
      </c>
      <c r="O996">
        <v>0</v>
      </c>
      <c r="P996">
        <v>1</v>
      </c>
      <c r="Q996" t="s">
        <v>3200</v>
      </c>
      <c r="R996" t="s">
        <v>3201</v>
      </c>
      <c r="S996" t="s">
        <v>13</v>
      </c>
    </row>
    <row r="997" spans="1:19" x14ac:dyDescent="0.3">
      <c r="A997" t="s">
        <v>751</v>
      </c>
      <c r="B997" t="s">
        <v>1596</v>
      </c>
      <c r="C997" t="s">
        <v>1824</v>
      </c>
      <c r="D997" t="s">
        <v>3189</v>
      </c>
      <c r="E997" t="s">
        <v>9</v>
      </c>
      <c r="F997" s="2">
        <v>36</v>
      </c>
      <c r="G997" t="s">
        <v>3197</v>
      </c>
      <c r="H997" t="s">
        <v>18</v>
      </c>
      <c r="I997" t="s">
        <v>11</v>
      </c>
      <c r="J997" t="s">
        <v>3198</v>
      </c>
      <c r="K997" t="s">
        <v>15</v>
      </c>
      <c r="L997" s="2">
        <v>10.1</v>
      </c>
      <c r="M997" t="s">
        <v>3199</v>
      </c>
      <c r="N997">
        <v>0</v>
      </c>
      <c r="O997">
        <v>0</v>
      </c>
      <c r="P997">
        <v>1</v>
      </c>
      <c r="Q997" t="s">
        <v>3200</v>
      </c>
      <c r="R997" t="s">
        <v>3201</v>
      </c>
      <c r="S997" t="s">
        <v>13</v>
      </c>
    </row>
    <row r="998" spans="1:19" x14ac:dyDescent="0.3">
      <c r="A998" t="s">
        <v>752</v>
      </c>
      <c r="B998" t="s">
        <v>1596</v>
      </c>
      <c r="C998" t="s">
        <v>2459</v>
      </c>
      <c r="D998" t="s">
        <v>3189</v>
      </c>
      <c r="E998" t="s">
        <v>9</v>
      </c>
      <c r="F998" s="2">
        <v>38</v>
      </c>
      <c r="G998" t="s">
        <v>3197</v>
      </c>
      <c r="H998" t="s">
        <v>10</v>
      </c>
      <c r="I998" t="s">
        <v>11</v>
      </c>
      <c r="J998" t="s">
        <v>3198</v>
      </c>
      <c r="K998" t="s">
        <v>34</v>
      </c>
      <c r="L998" s="2">
        <v>7.1711</v>
      </c>
      <c r="M998" t="s">
        <v>3199</v>
      </c>
      <c r="N998">
        <v>0</v>
      </c>
      <c r="O998">
        <v>0</v>
      </c>
      <c r="P998">
        <v>1</v>
      </c>
      <c r="Q998" t="s">
        <v>3200</v>
      </c>
      <c r="R998" t="s">
        <v>3201</v>
      </c>
      <c r="S998" t="s">
        <v>13</v>
      </c>
    </row>
    <row r="999" spans="1:19" x14ac:dyDescent="0.3">
      <c r="A999" t="s">
        <v>753</v>
      </c>
      <c r="B999" t="s">
        <v>1596</v>
      </c>
      <c r="C999" t="s">
        <v>2460</v>
      </c>
      <c r="D999" t="s">
        <v>3189</v>
      </c>
      <c r="E999" t="s">
        <v>9</v>
      </c>
      <c r="F999" s="2">
        <v>33</v>
      </c>
      <c r="G999" t="s">
        <v>3206</v>
      </c>
      <c r="H999" t="s">
        <v>18</v>
      </c>
      <c r="I999" t="s">
        <v>11</v>
      </c>
      <c r="J999" t="s">
        <v>3198</v>
      </c>
      <c r="K999" t="s">
        <v>33</v>
      </c>
      <c r="L999" s="2">
        <v>21</v>
      </c>
      <c r="M999" t="s">
        <v>3203</v>
      </c>
      <c r="N999">
        <v>1</v>
      </c>
      <c r="O999">
        <v>0</v>
      </c>
      <c r="P999">
        <v>2</v>
      </c>
      <c r="Q999" t="s">
        <v>3204</v>
      </c>
      <c r="R999" t="s">
        <v>3201</v>
      </c>
      <c r="S999" t="s">
        <v>13</v>
      </c>
    </row>
    <row r="1000" spans="1:19" x14ac:dyDescent="0.3">
      <c r="A1000" t="s">
        <v>753</v>
      </c>
      <c r="B1000" t="s">
        <v>1600</v>
      </c>
      <c r="C1000" t="s">
        <v>2461</v>
      </c>
      <c r="D1000" t="s">
        <v>3190</v>
      </c>
      <c r="E1000" t="s">
        <v>14</v>
      </c>
      <c r="F1000" s="2">
        <v>30</v>
      </c>
      <c r="G1000" t="s">
        <v>3206</v>
      </c>
      <c r="H1000" t="s">
        <v>18</v>
      </c>
      <c r="I1000" t="s">
        <v>11</v>
      </c>
      <c r="J1000" t="s">
        <v>3198</v>
      </c>
      <c r="K1000" t="s">
        <v>33</v>
      </c>
      <c r="L1000" s="2">
        <v>21</v>
      </c>
      <c r="M1000" t="s">
        <v>3203</v>
      </c>
      <c r="N1000">
        <v>3</v>
      </c>
      <c r="O1000">
        <v>0</v>
      </c>
      <c r="P1000">
        <v>4</v>
      </c>
      <c r="Q1000" t="s">
        <v>3204</v>
      </c>
      <c r="R1000" t="s">
        <v>3205</v>
      </c>
      <c r="S1000" t="s">
        <v>16</v>
      </c>
    </row>
    <row r="1001" spans="1:19" x14ac:dyDescent="0.3">
      <c r="A1001" t="s">
        <v>754</v>
      </c>
      <c r="B1001" t="s">
        <v>1596</v>
      </c>
      <c r="C1001" t="s">
        <v>2462</v>
      </c>
      <c r="D1001" t="s">
        <v>3189</v>
      </c>
      <c r="E1001" t="s">
        <v>9</v>
      </c>
      <c r="F1001" s="2">
        <v>37</v>
      </c>
      <c r="G1001" t="s">
        <v>3197</v>
      </c>
      <c r="H1001" t="s">
        <v>25</v>
      </c>
      <c r="I1001" t="s">
        <v>19</v>
      </c>
      <c r="J1001" t="s">
        <v>3207</v>
      </c>
      <c r="K1001" t="s">
        <v>67</v>
      </c>
      <c r="L1001" s="2">
        <v>33</v>
      </c>
      <c r="M1001" t="s">
        <v>3203</v>
      </c>
      <c r="N1001">
        <v>0</v>
      </c>
      <c r="O1001">
        <v>0</v>
      </c>
      <c r="P1001">
        <v>1</v>
      </c>
      <c r="Q1001" t="s">
        <v>3200</v>
      </c>
      <c r="R1001" t="s">
        <v>3201</v>
      </c>
      <c r="S1001" t="s">
        <v>13</v>
      </c>
    </row>
    <row r="1002" spans="1:19" x14ac:dyDescent="0.3">
      <c r="A1002" t="s">
        <v>755</v>
      </c>
      <c r="B1002" t="s">
        <v>1942</v>
      </c>
      <c r="C1002" t="s">
        <v>2463</v>
      </c>
      <c r="D1002" t="s">
        <v>3190</v>
      </c>
      <c r="E1002" t="s">
        <v>14</v>
      </c>
      <c r="F1002" s="2">
        <v>29</v>
      </c>
      <c r="G1002" t="s">
        <v>3206</v>
      </c>
      <c r="H1002" t="s">
        <v>18</v>
      </c>
      <c r="I1002" t="s">
        <v>11</v>
      </c>
      <c r="J1002" t="s">
        <v>3198</v>
      </c>
      <c r="K1002" t="s">
        <v>50</v>
      </c>
      <c r="L1002" s="2">
        <v>13</v>
      </c>
      <c r="M1002" t="s">
        <v>3199</v>
      </c>
      <c r="N1002">
        <v>0</v>
      </c>
      <c r="O1002">
        <v>0</v>
      </c>
      <c r="P1002">
        <v>1</v>
      </c>
      <c r="Q1002" t="s">
        <v>3200</v>
      </c>
      <c r="R1002" t="s">
        <v>3205</v>
      </c>
      <c r="S1002" t="s">
        <v>16</v>
      </c>
    </row>
    <row r="1003" spans="1:19" x14ac:dyDescent="0.3">
      <c r="A1003" t="s">
        <v>756</v>
      </c>
      <c r="B1003" t="s">
        <v>1596</v>
      </c>
      <c r="C1003" t="s">
        <v>2464</v>
      </c>
      <c r="D1003" t="s">
        <v>3189</v>
      </c>
      <c r="E1003" t="s">
        <v>9</v>
      </c>
      <c r="F1003" s="2">
        <v>21</v>
      </c>
      <c r="G1003" t="s">
        <v>3206</v>
      </c>
      <c r="H1003" t="s">
        <v>10</v>
      </c>
      <c r="I1003" t="s">
        <v>11</v>
      </c>
      <c r="J1003" t="s">
        <v>3198</v>
      </c>
      <c r="K1003" t="s">
        <v>15</v>
      </c>
      <c r="L1003" s="2">
        <v>8.01</v>
      </c>
      <c r="M1003" t="s">
        <v>3199</v>
      </c>
      <c r="N1003">
        <v>0</v>
      </c>
      <c r="O1003">
        <v>0</v>
      </c>
      <c r="P1003">
        <v>1</v>
      </c>
      <c r="Q1003" t="s">
        <v>3200</v>
      </c>
      <c r="R1003" t="s">
        <v>3201</v>
      </c>
      <c r="S1003" t="s">
        <v>13</v>
      </c>
    </row>
    <row r="1004" spans="1:19" x14ac:dyDescent="0.3">
      <c r="A1004" t="s">
        <v>757</v>
      </c>
      <c r="B1004" t="s">
        <v>1596</v>
      </c>
      <c r="C1004" t="s">
        <v>2465</v>
      </c>
      <c r="D1004" t="s">
        <v>3189</v>
      </c>
      <c r="E1004" t="s">
        <v>9</v>
      </c>
      <c r="F1004" s="2">
        <v>33</v>
      </c>
      <c r="G1004" t="s">
        <v>3206</v>
      </c>
      <c r="H1004" t="s">
        <v>25</v>
      </c>
      <c r="I1004" t="s">
        <v>19</v>
      </c>
      <c r="J1004" t="s">
        <v>3207</v>
      </c>
      <c r="K1004" t="s">
        <v>12</v>
      </c>
      <c r="L1004" s="2">
        <v>39.119999999999997</v>
      </c>
      <c r="M1004" t="s">
        <v>3211</v>
      </c>
      <c r="N1004">
        <v>0</v>
      </c>
      <c r="O1004">
        <v>0</v>
      </c>
      <c r="P1004">
        <v>1</v>
      </c>
      <c r="Q1004" t="s">
        <v>3200</v>
      </c>
      <c r="R1004" t="s">
        <v>3205</v>
      </c>
      <c r="S1004" t="s">
        <v>16</v>
      </c>
    </row>
    <row r="1005" spans="1:19" x14ac:dyDescent="0.3">
      <c r="A1005" t="s">
        <v>758</v>
      </c>
      <c r="B1005" t="s">
        <v>1612</v>
      </c>
      <c r="C1005" t="s">
        <v>1671</v>
      </c>
      <c r="D1005" t="s">
        <v>3189</v>
      </c>
      <c r="E1005" t="s">
        <v>9</v>
      </c>
      <c r="F1005" s="2">
        <v>10</v>
      </c>
      <c r="G1005" t="s">
        <v>3202</v>
      </c>
      <c r="H1005" t="s">
        <v>10</v>
      </c>
      <c r="I1005" t="s">
        <v>36</v>
      </c>
      <c r="J1005" t="s">
        <v>3213</v>
      </c>
      <c r="K1005" t="s">
        <v>37</v>
      </c>
      <c r="L1005" s="2">
        <v>29.020600000000002</v>
      </c>
      <c r="M1005" t="s">
        <v>3203</v>
      </c>
      <c r="N1005">
        <v>4</v>
      </c>
      <c r="O1005">
        <v>1</v>
      </c>
      <c r="P1005">
        <v>6</v>
      </c>
      <c r="Q1005" t="s">
        <v>3204</v>
      </c>
      <c r="R1005" t="s">
        <v>3201</v>
      </c>
      <c r="S1005" t="s">
        <v>13</v>
      </c>
    </row>
    <row r="1006" spans="1:19" x14ac:dyDescent="0.3">
      <c r="A1006" t="s">
        <v>758</v>
      </c>
      <c r="B1006" t="s">
        <v>1612</v>
      </c>
      <c r="C1006" t="s">
        <v>1976</v>
      </c>
      <c r="D1006" t="s">
        <v>3189</v>
      </c>
      <c r="E1006" t="s">
        <v>9</v>
      </c>
      <c r="F1006" s="2">
        <v>4</v>
      </c>
      <c r="G1006" t="s">
        <v>3208</v>
      </c>
      <c r="H1006" t="s">
        <v>10</v>
      </c>
      <c r="I1006" t="s">
        <v>36</v>
      </c>
      <c r="J1006" t="s">
        <v>3213</v>
      </c>
      <c r="K1006" t="s">
        <v>37</v>
      </c>
      <c r="L1006" s="2">
        <v>29.020600000000002</v>
      </c>
      <c r="M1006" t="s">
        <v>3203</v>
      </c>
      <c r="N1006">
        <v>4</v>
      </c>
      <c r="O1006">
        <v>1</v>
      </c>
      <c r="P1006">
        <v>6</v>
      </c>
      <c r="Q1006" t="s">
        <v>3204</v>
      </c>
      <c r="R1006" t="s">
        <v>3201</v>
      </c>
      <c r="S1006" t="s">
        <v>13</v>
      </c>
    </row>
    <row r="1007" spans="1:19" x14ac:dyDescent="0.3">
      <c r="A1007" t="s">
        <v>758</v>
      </c>
      <c r="B1007" t="s">
        <v>1612</v>
      </c>
      <c r="C1007" t="s">
        <v>2466</v>
      </c>
      <c r="D1007" t="s">
        <v>3189</v>
      </c>
      <c r="E1007" t="s">
        <v>9</v>
      </c>
      <c r="F1007" s="2">
        <v>7</v>
      </c>
      <c r="G1007" t="s">
        <v>3208</v>
      </c>
      <c r="H1007" t="s">
        <v>10</v>
      </c>
      <c r="I1007" t="s">
        <v>36</v>
      </c>
      <c r="J1007" t="s">
        <v>3213</v>
      </c>
      <c r="K1007" t="s">
        <v>37</v>
      </c>
      <c r="L1007" s="2">
        <v>29.020600000000002</v>
      </c>
      <c r="M1007" t="s">
        <v>3203</v>
      </c>
      <c r="N1007">
        <v>4</v>
      </c>
      <c r="O1007">
        <v>1</v>
      </c>
      <c r="P1007">
        <v>6</v>
      </c>
      <c r="Q1007" t="s">
        <v>3204</v>
      </c>
      <c r="R1007" t="s">
        <v>3201</v>
      </c>
      <c r="S1007" t="s">
        <v>13</v>
      </c>
    </row>
    <row r="1008" spans="1:19" x14ac:dyDescent="0.3">
      <c r="A1008" t="s">
        <v>758</v>
      </c>
      <c r="B1008" t="s">
        <v>1612</v>
      </c>
      <c r="C1008" t="s">
        <v>2467</v>
      </c>
      <c r="D1008" t="s">
        <v>3189</v>
      </c>
      <c r="E1008" t="s">
        <v>9</v>
      </c>
      <c r="F1008" s="2">
        <v>2</v>
      </c>
      <c r="G1008" t="s">
        <v>3208</v>
      </c>
      <c r="H1008" t="s">
        <v>10</v>
      </c>
      <c r="I1008" t="s">
        <v>36</v>
      </c>
      <c r="J1008" t="s">
        <v>3213</v>
      </c>
      <c r="K1008" t="s">
        <v>37</v>
      </c>
      <c r="L1008" s="2">
        <v>29.020600000000002</v>
      </c>
      <c r="M1008" t="s">
        <v>3203</v>
      </c>
      <c r="N1008">
        <v>4</v>
      </c>
      <c r="O1008">
        <v>1</v>
      </c>
      <c r="P1008">
        <v>6</v>
      </c>
      <c r="Q1008" t="s">
        <v>3204</v>
      </c>
      <c r="R1008" t="s">
        <v>3201</v>
      </c>
      <c r="S1008" t="s">
        <v>13</v>
      </c>
    </row>
    <row r="1009" spans="1:19" x14ac:dyDescent="0.3">
      <c r="A1009" t="s">
        <v>758</v>
      </c>
      <c r="B1009" t="s">
        <v>1612</v>
      </c>
      <c r="C1009" t="s">
        <v>2468</v>
      </c>
      <c r="D1009" t="s">
        <v>3189</v>
      </c>
      <c r="E1009" t="s">
        <v>9</v>
      </c>
      <c r="F1009" s="2">
        <v>8</v>
      </c>
      <c r="G1009" t="s">
        <v>3208</v>
      </c>
      <c r="H1009" t="s">
        <v>10</v>
      </c>
      <c r="I1009" t="s">
        <v>36</v>
      </c>
      <c r="J1009" t="s">
        <v>3213</v>
      </c>
      <c r="K1009" t="s">
        <v>37</v>
      </c>
      <c r="L1009" s="2">
        <v>29.020600000000002</v>
      </c>
      <c r="M1009" t="s">
        <v>3203</v>
      </c>
      <c r="N1009">
        <v>4</v>
      </c>
      <c r="O1009">
        <v>1</v>
      </c>
      <c r="P1009">
        <v>6</v>
      </c>
      <c r="Q1009" t="s">
        <v>3204</v>
      </c>
      <c r="R1009" t="s">
        <v>3201</v>
      </c>
      <c r="S1009" t="s">
        <v>13</v>
      </c>
    </row>
    <row r="1010" spans="1:19" x14ac:dyDescent="0.3">
      <c r="A1010" t="s">
        <v>758</v>
      </c>
      <c r="B1010" t="s">
        <v>1600</v>
      </c>
      <c r="C1010" t="s">
        <v>1759</v>
      </c>
      <c r="D1010" t="s">
        <v>3190</v>
      </c>
      <c r="E1010" t="s">
        <v>14</v>
      </c>
      <c r="F1010" s="2">
        <v>39</v>
      </c>
      <c r="G1010" t="s">
        <v>3197</v>
      </c>
      <c r="H1010" t="s">
        <v>10</v>
      </c>
      <c r="I1010" t="s">
        <v>36</v>
      </c>
      <c r="J1010" t="s">
        <v>3213</v>
      </c>
      <c r="K1010" t="s">
        <v>37</v>
      </c>
      <c r="L1010" s="2">
        <v>29.020600000000002</v>
      </c>
      <c r="M1010" t="s">
        <v>3203</v>
      </c>
      <c r="N1010">
        <v>0</v>
      </c>
      <c r="O1010">
        <v>5</v>
      </c>
      <c r="P1010">
        <v>6</v>
      </c>
      <c r="Q1010" t="s">
        <v>3204</v>
      </c>
      <c r="R1010" t="s">
        <v>3201</v>
      </c>
      <c r="S1010" t="s">
        <v>13</v>
      </c>
    </row>
    <row r="1011" spans="1:19" x14ac:dyDescent="0.3">
      <c r="A1011" t="s">
        <v>759</v>
      </c>
      <c r="B1011" t="s">
        <v>1596</v>
      </c>
      <c r="C1011" t="s">
        <v>2469</v>
      </c>
      <c r="D1011" t="s">
        <v>3189</v>
      </c>
      <c r="E1011" t="s">
        <v>9</v>
      </c>
      <c r="F1011" s="2">
        <v>23</v>
      </c>
      <c r="G1011" t="s">
        <v>3206</v>
      </c>
      <c r="H1011" t="s">
        <v>18</v>
      </c>
      <c r="I1011" t="s">
        <v>19</v>
      </c>
      <c r="J1011" t="s">
        <v>3207</v>
      </c>
      <c r="K1011" t="s">
        <v>15</v>
      </c>
      <c r="L1011" s="2">
        <v>15</v>
      </c>
      <c r="M1011" t="s">
        <v>3199</v>
      </c>
      <c r="N1011">
        <v>0</v>
      </c>
      <c r="O1011">
        <v>0</v>
      </c>
      <c r="P1011">
        <v>1</v>
      </c>
      <c r="Q1011" t="s">
        <v>3200</v>
      </c>
      <c r="R1011" t="s">
        <v>3201</v>
      </c>
      <c r="S1011" t="s">
        <v>13</v>
      </c>
    </row>
    <row r="1012" spans="1:19" x14ac:dyDescent="0.3">
      <c r="A1012" t="s">
        <v>760</v>
      </c>
      <c r="B1012" t="s">
        <v>1612</v>
      </c>
      <c r="C1012" t="s">
        <v>2470</v>
      </c>
      <c r="D1012" t="s">
        <v>3189</v>
      </c>
      <c r="E1012" t="s">
        <v>9</v>
      </c>
      <c r="F1012" s="2">
        <v>0.75</v>
      </c>
      <c r="G1012" t="s">
        <v>3208</v>
      </c>
      <c r="H1012" t="s">
        <v>18</v>
      </c>
      <c r="I1012" t="s">
        <v>11</v>
      </c>
      <c r="J1012" t="s">
        <v>3198</v>
      </c>
      <c r="K1012" t="s">
        <v>15</v>
      </c>
      <c r="L1012" s="2">
        <v>18.149999999999999</v>
      </c>
      <c r="M1012" t="s">
        <v>3203</v>
      </c>
      <c r="N1012">
        <v>1</v>
      </c>
      <c r="O1012">
        <v>1</v>
      </c>
      <c r="P1012">
        <v>3</v>
      </c>
      <c r="Q1012" t="s">
        <v>3204</v>
      </c>
      <c r="R1012" t="s">
        <v>3205</v>
      </c>
      <c r="S1012" t="s">
        <v>16</v>
      </c>
    </row>
    <row r="1013" spans="1:19" x14ac:dyDescent="0.3">
      <c r="A1013" t="s">
        <v>760</v>
      </c>
      <c r="B1013" t="s">
        <v>1612</v>
      </c>
      <c r="C1013" t="s">
        <v>2471</v>
      </c>
      <c r="D1013" t="s">
        <v>3189</v>
      </c>
      <c r="E1013" t="s">
        <v>9</v>
      </c>
      <c r="F1013" s="2">
        <v>3</v>
      </c>
      <c r="G1013" t="s">
        <v>3208</v>
      </c>
      <c r="H1013" t="s">
        <v>18</v>
      </c>
      <c r="I1013" t="s">
        <v>11</v>
      </c>
      <c r="J1013" t="s">
        <v>3198</v>
      </c>
      <c r="K1013" t="s">
        <v>15</v>
      </c>
      <c r="L1013" s="2">
        <v>18.149999999999999</v>
      </c>
      <c r="M1013" t="s">
        <v>3203</v>
      </c>
      <c r="N1013">
        <v>1</v>
      </c>
      <c r="O1013">
        <v>1</v>
      </c>
      <c r="P1013">
        <v>3</v>
      </c>
      <c r="Q1013" t="s">
        <v>3204</v>
      </c>
      <c r="R1013" t="s">
        <v>3205</v>
      </c>
      <c r="S1013" t="s">
        <v>16</v>
      </c>
    </row>
    <row r="1014" spans="1:19" x14ac:dyDescent="0.3">
      <c r="A1014" t="s">
        <v>760</v>
      </c>
      <c r="B1014" t="s">
        <v>1600</v>
      </c>
      <c r="C1014" t="s">
        <v>2472</v>
      </c>
      <c r="D1014" t="s">
        <v>3190</v>
      </c>
      <c r="E1014" t="s">
        <v>14</v>
      </c>
      <c r="F1014" s="2">
        <v>24</v>
      </c>
      <c r="G1014" t="s">
        <v>3206</v>
      </c>
      <c r="H1014" t="s">
        <v>18</v>
      </c>
      <c r="I1014" t="s">
        <v>11</v>
      </c>
      <c r="J1014" t="s">
        <v>3198</v>
      </c>
      <c r="K1014" t="s">
        <v>15</v>
      </c>
      <c r="L1014" s="2">
        <v>18.149999999999999</v>
      </c>
      <c r="M1014" t="s">
        <v>3203</v>
      </c>
      <c r="N1014">
        <v>2</v>
      </c>
      <c r="O1014">
        <v>3</v>
      </c>
      <c r="P1014">
        <v>6</v>
      </c>
      <c r="Q1014" t="s">
        <v>3204</v>
      </c>
      <c r="R1014" t="s">
        <v>3205</v>
      </c>
      <c r="S1014" t="s">
        <v>16</v>
      </c>
    </row>
    <row r="1015" spans="1:19" x14ac:dyDescent="0.3">
      <c r="A1015" t="s">
        <v>761</v>
      </c>
      <c r="B1015" t="s">
        <v>1602</v>
      </c>
      <c r="C1015" t="s">
        <v>2473</v>
      </c>
      <c r="D1015" t="s">
        <v>3190</v>
      </c>
      <c r="E1015" t="s">
        <v>14</v>
      </c>
      <c r="F1015" s="2">
        <v>58</v>
      </c>
      <c r="G1015" t="s">
        <v>3210</v>
      </c>
      <c r="H1015" t="s">
        <v>18</v>
      </c>
      <c r="I1015" t="s">
        <v>11</v>
      </c>
      <c r="J1015" t="s">
        <v>3198</v>
      </c>
      <c r="K1015" t="s">
        <v>15</v>
      </c>
      <c r="L1015" s="2">
        <v>10.1</v>
      </c>
      <c r="M1015" t="s">
        <v>3199</v>
      </c>
      <c r="N1015">
        <v>0</v>
      </c>
      <c r="O1015">
        <v>0</v>
      </c>
      <c r="P1015">
        <v>1</v>
      </c>
      <c r="Q1015" t="s">
        <v>3200</v>
      </c>
      <c r="R1015" t="s">
        <v>3205</v>
      </c>
      <c r="S1015" t="s">
        <v>16</v>
      </c>
    </row>
    <row r="1016" spans="1:19" x14ac:dyDescent="0.3">
      <c r="A1016" t="s">
        <v>762</v>
      </c>
      <c r="B1016" t="s">
        <v>1596</v>
      </c>
      <c r="C1016" t="s">
        <v>2474</v>
      </c>
      <c r="D1016" t="s">
        <v>3189</v>
      </c>
      <c r="E1016" t="s">
        <v>9</v>
      </c>
      <c r="F1016" s="2">
        <v>22</v>
      </c>
      <c r="G1016" t="s">
        <v>3206</v>
      </c>
      <c r="H1016" t="s">
        <v>25</v>
      </c>
      <c r="I1016" t="s">
        <v>19</v>
      </c>
      <c r="J1016" t="s">
        <v>3207</v>
      </c>
      <c r="K1016" t="s">
        <v>15</v>
      </c>
      <c r="L1016" s="2">
        <v>135.1208</v>
      </c>
      <c r="M1016" t="s">
        <v>3209</v>
      </c>
      <c r="N1016">
        <v>0</v>
      </c>
      <c r="O1016">
        <v>0</v>
      </c>
      <c r="P1016">
        <v>1</v>
      </c>
      <c r="Q1016" t="s">
        <v>3200</v>
      </c>
      <c r="R1016" t="s">
        <v>3201</v>
      </c>
      <c r="S1016" t="s">
        <v>13</v>
      </c>
    </row>
    <row r="1017" spans="1:19" x14ac:dyDescent="0.3">
      <c r="A1017" t="s">
        <v>763</v>
      </c>
      <c r="B1017" t="s">
        <v>1602</v>
      </c>
      <c r="C1017" t="s">
        <v>2475</v>
      </c>
      <c r="D1017" t="s">
        <v>3190</v>
      </c>
      <c r="E1017" t="s">
        <v>14</v>
      </c>
      <c r="F1017" s="2">
        <v>22</v>
      </c>
      <c r="G1017" t="s">
        <v>3206</v>
      </c>
      <c r="H1017" t="s">
        <v>10</v>
      </c>
      <c r="I1017" t="s">
        <v>11</v>
      </c>
      <c r="J1017" t="s">
        <v>3198</v>
      </c>
      <c r="K1017" t="s">
        <v>22</v>
      </c>
      <c r="L1017" s="2">
        <v>39.130899999999997</v>
      </c>
      <c r="M1017" t="s">
        <v>3211</v>
      </c>
      <c r="N1017">
        <v>0</v>
      </c>
      <c r="O1017">
        <v>0</v>
      </c>
      <c r="P1017">
        <v>1</v>
      </c>
      <c r="Q1017" t="s">
        <v>3200</v>
      </c>
      <c r="R1017" t="s">
        <v>3201</v>
      </c>
      <c r="S1017" t="s">
        <v>13</v>
      </c>
    </row>
    <row r="1018" spans="1:19" x14ac:dyDescent="0.3">
      <c r="A1018" t="s">
        <v>764</v>
      </c>
      <c r="B1018" t="s">
        <v>1596</v>
      </c>
      <c r="C1018" t="s">
        <v>2476</v>
      </c>
      <c r="D1018" t="s">
        <v>3189</v>
      </c>
      <c r="E1018" t="s">
        <v>9</v>
      </c>
      <c r="F1018" s="2">
        <v>35</v>
      </c>
      <c r="G1018" t="s">
        <v>3206</v>
      </c>
      <c r="H1018" t="s">
        <v>10</v>
      </c>
      <c r="I1018" t="s">
        <v>11</v>
      </c>
      <c r="J1018" t="s">
        <v>3198</v>
      </c>
      <c r="K1018" t="s">
        <v>22</v>
      </c>
      <c r="L1018" s="2">
        <v>7.0206</v>
      </c>
      <c r="M1018" t="s">
        <v>3199</v>
      </c>
      <c r="N1018">
        <v>0</v>
      </c>
      <c r="O1018">
        <v>0</v>
      </c>
      <c r="P1018">
        <v>1</v>
      </c>
      <c r="Q1018" t="s">
        <v>3200</v>
      </c>
      <c r="R1018" t="s">
        <v>3201</v>
      </c>
      <c r="S1018" t="s">
        <v>13</v>
      </c>
    </row>
    <row r="1019" spans="1:19" x14ac:dyDescent="0.3">
      <c r="A1019" t="s">
        <v>765</v>
      </c>
      <c r="B1019" t="s">
        <v>1602</v>
      </c>
      <c r="C1019" t="s">
        <v>1606</v>
      </c>
      <c r="D1019" t="s">
        <v>3190</v>
      </c>
      <c r="E1019" t="s">
        <v>14</v>
      </c>
      <c r="F1019" s="2">
        <v>22</v>
      </c>
      <c r="G1019" t="s">
        <v>3206</v>
      </c>
      <c r="H1019" t="s">
        <v>10</v>
      </c>
      <c r="I1019" t="s">
        <v>36</v>
      </c>
      <c r="J1019" t="s">
        <v>3213</v>
      </c>
      <c r="K1019" t="s">
        <v>37</v>
      </c>
      <c r="L1019" s="2">
        <v>7.1405000000000003</v>
      </c>
      <c r="M1019" t="s">
        <v>3199</v>
      </c>
      <c r="N1019">
        <v>0</v>
      </c>
      <c r="O1019">
        <v>0</v>
      </c>
      <c r="P1019">
        <v>1</v>
      </c>
      <c r="Q1019" t="s">
        <v>3200</v>
      </c>
      <c r="R1019" t="s">
        <v>3205</v>
      </c>
      <c r="S1019" t="s">
        <v>16</v>
      </c>
    </row>
    <row r="1020" spans="1:19" x14ac:dyDescent="0.3">
      <c r="A1020" t="s">
        <v>766</v>
      </c>
      <c r="B1020" t="s">
        <v>1596</v>
      </c>
      <c r="C1020" t="s">
        <v>2477</v>
      </c>
      <c r="D1020" t="s">
        <v>3189</v>
      </c>
      <c r="E1020" t="s">
        <v>9</v>
      </c>
      <c r="F1020" s="2">
        <v>69</v>
      </c>
      <c r="G1020" t="s">
        <v>3210</v>
      </c>
      <c r="H1020" t="s">
        <v>10</v>
      </c>
      <c r="I1020" t="s">
        <v>11</v>
      </c>
      <c r="J1020" t="s">
        <v>3198</v>
      </c>
      <c r="K1020" t="s">
        <v>15</v>
      </c>
      <c r="L1020" s="2">
        <v>14.1</v>
      </c>
      <c r="M1020" t="s">
        <v>3199</v>
      </c>
      <c r="N1020">
        <v>0</v>
      </c>
      <c r="O1020">
        <v>0</v>
      </c>
      <c r="P1020">
        <v>1</v>
      </c>
      <c r="Q1020" t="s">
        <v>3200</v>
      </c>
      <c r="R1020" t="s">
        <v>3201</v>
      </c>
      <c r="S1020" t="s">
        <v>13</v>
      </c>
    </row>
    <row r="1021" spans="1:19" x14ac:dyDescent="0.3">
      <c r="A1021" t="s">
        <v>766</v>
      </c>
      <c r="B1021" t="s">
        <v>1600</v>
      </c>
      <c r="C1021" t="s">
        <v>2478</v>
      </c>
      <c r="D1021" t="s">
        <v>3190</v>
      </c>
      <c r="E1021" t="s">
        <v>14</v>
      </c>
      <c r="F1021" s="2">
        <v>64</v>
      </c>
      <c r="G1021" t="s">
        <v>3210</v>
      </c>
      <c r="H1021" t="s">
        <v>10</v>
      </c>
      <c r="I1021" t="s">
        <v>11</v>
      </c>
      <c r="J1021" t="s">
        <v>3198</v>
      </c>
      <c r="K1021" t="s">
        <v>15</v>
      </c>
      <c r="L1021" s="2">
        <v>14.1</v>
      </c>
      <c r="M1021" t="s">
        <v>3199</v>
      </c>
      <c r="N1021">
        <v>0</v>
      </c>
      <c r="O1021">
        <v>0</v>
      </c>
      <c r="P1021">
        <v>1</v>
      </c>
      <c r="Q1021" t="s">
        <v>3200</v>
      </c>
      <c r="R1021" t="s">
        <v>3201</v>
      </c>
      <c r="S1021" t="s">
        <v>13</v>
      </c>
    </row>
    <row r="1022" spans="1:19" x14ac:dyDescent="0.3">
      <c r="A1022" t="s">
        <v>767</v>
      </c>
      <c r="B1022" t="s">
        <v>1600</v>
      </c>
      <c r="C1022" t="s">
        <v>1620</v>
      </c>
      <c r="D1022" t="s">
        <v>3190</v>
      </c>
      <c r="E1022" t="s">
        <v>14</v>
      </c>
      <c r="F1022" s="2">
        <v>43</v>
      </c>
      <c r="G1022" t="s">
        <v>3197</v>
      </c>
      <c r="H1022" t="s">
        <v>25</v>
      </c>
      <c r="I1022" t="s">
        <v>11</v>
      </c>
      <c r="J1022" t="s">
        <v>3198</v>
      </c>
      <c r="K1022" t="s">
        <v>12</v>
      </c>
      <c r="L1022" s="2">
        <v>211.0609</v>
      </c>
      <c r="M1022" t="s">
        <v>3209</v>
      </c>
      <c r="N1022">
        <v>0</v>
      </c>
      <c r="O1022">
        <v>1</v>
      </c>
      <c r="P1022">
        <v>2</v>
      </c>
      <c r="Q1022" t="s">
        <v>3204</v>
      </c>
      <c r="R1022" t="s">
        <v>3205</v>
      </c>
      <c r="S1022" t="s">
        <v>16</v>
      </c>
    </row>
    <row r="1023" spans="1:19" x14ac:dyDescent="0.3">
      <c r="A1023" t="s">
        <v>768</v>
      </c>
      <c r="B1023" t="s">
        <v>1596</v>
      </c>
      <c r="C1023" t="s">
        <v>2479</v>
      </c>
      <c r="D1023" t="s">
        <v>3189</v>
      </c>
      <c r="E1023" t="s">
        <v>9</v>
      </c>
      <c r="F1023" s="2">
        <v>50</v>
      </c>
      <c r="G1023" t="s">
        <v>3197</v>
      </c>
      <c r="H1023" t="s">
        <v>10</v>
      </c>
      <c r="I1023" t="s">
        <v>11</v>
      </c>
      <c r="J1023" t="s">
        <v>3198</v>
      </c>
      <c r="K1023" t="s">
        <v>15</v>
      </c>
      <c r="L1023" s="2">
        <v>14.1</v>
      </c>
      <c r="M1023" t="s">
        <v>3199</v>
      </c>
      <c r="N1023">
        <v>1</v>
      </c>
      <c r="O1023">
        <v>0</v>
      </c>
      <c r="P1023">
        <v>2</v>
      </c>
      <c r="Q1023" t="s">
        <v>3204</v>
      </c>
      <c r="R1023" t="s">
        <v>3201</v>
      </c>
      <c r="S1023" t="s">
        <v>13</v>
      </c>
    </row>
    <row r="1024" spans="1:19" x14ac:dyDescent="0.3">
      <c r="A1024" t="s">
        <v>768</v>
      </c>
      <c r="B1024" t="s">
        <v>1600</v>
      </c>
      <c r="C1024" t="s">
        <v>2480</v>
      </c>
      <c r="D1024" t="s">
        <v>3190</v>
      </c>
      <c r="E1024" t="s">
        <v>14</v>
      </c>
      <c r="F1024" s="2">
        <v>48</v>
      </c>
      <c r="G1024" t="s">
        <v>3197</v>
      </c>
      <c r="H1024" t="s">
        <v>10</v>
      </c>
      <c r="I1024" t="s">
        <v>11</v>
      </c>
      <c r="J1024" t="s">
        <v>3198</v>
      </c>
      <c r="K1024" t="s">
        <v>15</v>
      </c>
      <c r="L1024" s="2">
        <v>14.1</v>
      </c>
      <c r="M1024" t="s">
        <v>3199</v>
      </c>
      <c r="N1024">
        <v>1</v>
      </c>
      <c r="O1024">
        <v>0</v>
      </c>
      <c r="P1024">
        <v>2</v>
      </c>
      <c r="Q1024" t="s">
        <v>3204</v>
      </c>
      <c r="R1024" t="s">
        <v>3201</v>
      </c>
      <c r="S1024" t="s">
        <v>13</v>
      </c>
    </row>
    <row r="1025" spans="1:19" x14ac:dyDescent="0.3">
      <c r="A1025" t="s">
        <v>768</v>
      </c>
      <c r="B1025" t="s">
        <v>1596</v>
      </c>
      <c r="C1025" t="s">
        <v>2427</v>
      </c>
      <c r="D1025" t="s">
        <v>3189</v>
      </c>
      <c r="E1025" t="s">
        <v>9</v>
      </c>
      <c r="F1025" s="2">
        <v>45</v>
      </c>
      <c r="G1025" t="s">
        <v>3197</v>
      </c>
      <c r="H1025" t="s">
        <v>25</v>
      </c>
      <c r="I1025" t="s">
        <v>19</v>
      </c>
      <c r="J1025" t="s">
        <v>3207</v>
      </c>
      <c r="K1025" t="s">
        <v>15</v>
      </c>
      <c r="L1025" s="2">
        <v>247.10059999999999</v>
      </c>
      <c r="M1025" t="s">
        <v>3209</v>
      </c>
      <c r="N1025">
        <v>0</v>
      </c>
      <c r="O1025">
        <v>0</v>
      </c>
      <c r="P1025">
        <v>1</v>
      </c>
      <c r="Q1025" t="s">
        <v>3200</v>
      </c>
      <c r="R1025" t="s">
        <v>3201</v>
      </c>
      <c r="S1025" t="s">
        <v>13</v>
      </c>
    </row>
    <row r="1026" spans="1:19" x14ac:dyDescent="0.3">
      <c r="A1026" t="s">
        <v>769</v>
      </c>
      <c r="B1026" t="s">
        <v>1596</v>
      </c>
      <c r="C1026" t="s">
        <v>2481</v>
      </c>
      <c r="D1026" t="s">
        <v>3189</v>
      </c>
      <c r="E1026" t="s">
        <v>9</v>
      </c>
      <c r="F1026" s="2">
        <v>31</v>
      </c>
      <c r="G1026" t="s">
        <v>3206</v>
      </c>
      <c r="H1026" t="s">
        <v>25</v>
      </c>
      <c r="I1026" t="s">
        <v>11</v>
      </c>
      <c r="J1026" t="s">
        <v>3198</v>
      </c>
      <c r="K1026" t="s">
        <v>12</v>
      </c>
      <c r="L1026" s="2">
        <v>50.091099999999997</v>
      </c>
      <c r="M1026" t="s">
        <v>3211</v>
      </c>
      <c r="N1026">
        <v>0</v>
      </c>
      <c r="O1026">
        <v>0</v>
      </c>
      <c r="P1026">
        <v>1</v>
      </c>
      <c r="Q1026" t="s">
        <v>3200</v>
      </c>
      <c r="R1026" t="s">
        <v>3201</v>
      </c>
      <c r="S1026" t="s">
        <v>13</v>
      </c>
    </row>
    <row r="1027" spans="1:19" x14ac:dyDescent="0.3">
      <c r="A1027" t="s">
        <v>770</v>
      </c>
      <c r="B1027" t="s">
        <v>1596</v>
      </c>
      <c r="C1027" t="s">
        <v>2482</v>
      </c>
      <c r="D1027" t="s">
        <v>3189</v>
      </c>
      <c r="E1027" t="s">
        <v>9</v>
      </c>
      <c r="F1027" s="2">
        <v>18</v>
      </c>
      <c r="G1027" t="s">
        <v>3206</v>
      </c>
      <c r="H1027" t="s">
        <v>18</v>
      </c>
      <c r="I1027" t="s">
        <v>11</v>
      </c>
      <c r="J1027" t="s">
        <v>3198</v>
      </c>
      <c r="K1027" t="s">
        <v>15</v>
      </c>
      <c r="L1027" s="2">
        <v>10.1</v>
      </c>
      <c r="M1027" t="s">
        <v>3199</v>
      </c>
      <c r="N1027">
        <v>0</v>
      </c>
      <c r="O1027">
        <v>0</v>
      </c>
      <c r="P1027">
        <v>1</v>
      </c>
      <c r="Q1027" t="s">
        <v>3200</v>
      </c>
      <c r="R1027" t="s">
        <v>3201</v>
      </c>
      <c r="S1027" t="s">
        <v>13</v>
      </c>
    </row>
    <row r="1028" spans="1:19" x14ac:dyDescent="0.3">
      <c r="A1028" t="s">
        <v>770</v>
      </c>
      <c r="B1028" t="s">
        <v>1596</v>
      </c>
      <c r="C1028" t="s">
        <v>1716</v>
      </c>
      <c r="D1028" t="s">
        <v>3189</v>
      </c>
      <c r="E1028" t="s">
        <v>9</v>
      </c>
      <c r="F1028" s="2">
        <v>30</v>
      </c>
      <c r="G1028" t="s">
        <v>3206</v>
      </c>
      <c r="H1028" t="s">
        <v>10</v>
      </c>
      <c r="I1028" t="s">
        <v>11</v>
      </c>
      <c r="J1028" t="s">
        <v>3198</v>
      </c>
      <c r="K1028" t="s">
        <v>40</v>
      </c>
      <c r="L1028" s="2">
        <v>8.01</v>
      </c>
      <c r="M1028" t="s">
        <v>3199</v>
      </c>
      <c r="N1028">
        <v>0</v>
      </c>
      <c r="O1028">
        <v>0</v>
      </c>
      <c r="P1028">
        <v>1</v>
      </c>
      <c r="Q1028" t="s">
        <v>3200</v>
      </c>
      <c r="R1028" t="s">
        <v>3201</v>
      </c>
      <c r="S1028" t="s">
        <v>13</v>
      </c>
    </row>
    <row r="1029" spans="1:19" x14ac:dyDescent="0.3">
      <c r="A1029" t="s">
        <v>771</v>
      </c>
      <c r="B1029" t="s">
        <v>1596</v>
      </c>
      <c r="C1029" t="s">
        <v>2483</v>
      </c>
      <c r="D1029" t="s">
        <v>3189</v>
      </c>
      <c r="E1029" t="s">
        <v>9</v>
      </c>
      <c r="F1029" s="2">
        <v>45</v>
      </c>
      <c r="G1029" t="s">
        <v>3197</v>
      </c>
      <c r="H1029" t="s">
        <v>25</v>
      </c>
      <c r="I1029" t="s">
        <v>11</v>
      </c>
      <c r="J1029" t="s">
        <v>3198</v>
      </c>
      <c r="K1029" t="s">
        <v>12</v>
      </c>
      <c r="L1029" s="2">
        <v>26.11</v>
      </c>
      <c r="M1029" t="s">
        <v>3203</v>
      </c>
      <c r="N1029">
        <v>0</v>
      </c>
      <c r="O1029">
        <v>0</v>
      </c>
      <c r="P1029">
        <v>1</v>
      </c>
      <c r="Q1029" t="s">
        <v>3200</v>
      </c>
      <c r="R1029" t="s">
        <v>3205</v>
      </c>
      <c r="S1029" t="s">
        <v>16</v>
      </c>
    </row>
    <row r="1030" spans="1:19" x14ac:dyDescent="0.3">
      <c r="A1030" t="s">
        <v>772</v>
      </c>
      <c r="B1030" t="s">
        <v>1596</v>
      </c>
      <c r="C1030" t="s">
        <v>2484</v>
      </c>
      <c r="D1030" t="s">
        <v>3189</v>
      </c>
      <c r="E1030" t="s">
        <v>9</v>
      </c>
      <c r="F1030" s="2">
        <v>49</v>
      </c>
      <c r="G1030" t="s">
        <v>3197</v>
      </c>
      <c r="H1030" t="s">
        <v>10</v>
      </c>
      <c r="I1030" t="s">
        <v>11</v>
      </c>
      <c r="J1030" t="s">
        <v>3198</v>
      </c>
      <c r="K1030" t="s">
        <v>17</v>
      </c>
      <c r="L1030" s="2">
        <v>7.1505999999999998</v>
      </c>
      <c r="M1030" t="s">
        <v>3199</v>
      </c>
      <c r="N1030">
        <v>0</v>
      </c>
      <c r="O1030">
        <v>0</v>
      </c>
      <c r="P1030">
        <v>1</v>
      </c>
      <c r="Q1030" t="s">
        <v>3200</v>
      </c>
      <c r="R1030" t="s">
        <v>3201</v>
      </c>
      <c r="S1030" t="s">
        <v>13</v>
      </c>
    </row>
    <row r="1031" spans="1:19" x14ac:dyDescent="0.3">
      <c r="A1031" t="s">
        <v>773</v>
      </c>
      <c r="B1031" t="s">
        <v>1596</v>
      </c>
      <c r="C1031" t="s">
        <v>2485</v>
      </c>
      <c r="D1031" t="s">
        <v>3189</v>
      </c>
      <c r="E1031" t="s">
        <v>9</v>
      </c>
      <c r="F1031" s="2">
        <v>39</v>
      </c>
      <c r="G1031" t="s">
        <v>3197</v>
      </c>
      <c r="H1031" t="s">
        <v>25</v>
      </c>
      <c r="I1031" t="s">
        <v>11</v>
      </c>
      <c r="J1031" t="s">
        <v>3198</v>
      </c>
      <c r="K1031" t="s">
        <v>12</v>
      </c>
      <c r="L1031" s="2">
        <v>50</v>
      </c>
      <c r="M1031" t="s">
        <v>3211</v>
      </c>
      <c r="N1031">
        <v>0</v>
      </c>
      <c r="O1031">
        <v>0</v>
      </c>
      <c r="P1031">
        <v>1</v>
      </c>
      <c r="Q1031" t="s">
        <v>3200</v>
      </c>
      <c r="R1031" t="s">
        <v>3201</v>
      </c>
      <c r="S1031" t="s">
        <v>13</v>
      </c>
    </row>
    <row r="1032" spans="1:19" x14ac:dyDescent="0.3">
      <c r="A1032" t="s">
        <v>774</v>
      </c>
      <c r="B1032" t="s">
        <v>1602</v>
      </c>
      <c r="C1032" t="s">
        <v>2486</v>
      </c>
      <c r="D1032" t="s">
        <v>3190</v>
      </c>
      <c r="E1032" t="s">
        <v>14</v>
      </c>
      <c r="F1032" s="2">
        <v>2</v>
      </c>
      <c r="G1032" t="s">
        <v>3208</v>
      </c>
      <c r="H1032" t="s">
        <v>10</v>
      </c>
      <c r="I1032" t="s">
        <v>11</v>
      </c>
      <c r="J1032" t="s">
        <v>3198</v>
      </c>
      <c r="K1032" t="s">
        <v>22</v>
      </c>
      <c r="L1032" s="2">
        <v>20.040299999999998</v>
      </c>
      <c r="M1032" t="s">
        <v>3203</v>
      </c>
      <c r="N1032">
        <v>1</v>
      </c>
      <c r="O1032">
        <v>1</v>
      </c>
      <c r="P1032">
        <v>3</v>
      </c>
      <c r="Q1032" t="s">
        <v>3204</v>
      </c>
      <c r="R1032" t="s">
        <v>3201</v>
      </c>
      <c r="S1032" t="s">
        <v>13</v>
      </c>
    </row>
    <row r="1033" spans="1:19" x14ac:dyDescent="0.3">
      <c r="A1033" t="s">
        <v>774</v>
      </c>
      <c r="B1033" t="s">
        <v>1600</v>
      </c>
      <c r="C1033" t="s">
        <v>2487</v>
      </c>
      <c r="D1033" t="s">
        <v>3190</v>
      </c>
      <c r="E1033" t="s">
        <v>14</v>
      </c>
      <c r="F1033" s="2">
        <v>41</v>
      </c>
      <c r="G1033" t="s">
        <v>3197</v>
      </c>
      <c r="H1033" t="s">
        <v>10</v>
      </c>
      <c r="I1033" t="s">
        <v>11</v>
      </c>
      <c r="J1033" t="s">
        <v>3198</v>
      </c>
      <c r="K1033" t="s">
        <v>22</v>
      </c>
      <c r="L1033" s="2">
        <v>20.040299999999998</v>
      </c>
      <c r="M1033" t="s">
        <v>3203</v>
      </c>
      <c r="N1033">
        <v>0</v>
      </c>
      <c r="O1033">
        <v>2</v>
      </c>
      <c r="P1033">
        <v>3</v>
      </c>
      <c r="Q1033" t="s">
        <v>3204</v>
      </c>
      <c r="R1033" t="s">
        <v>3201</v>
      </c>
      <c r="S1033" t="s">
        <v>13</v>
      </c>
    </row>
    <row r="1034" spans="1:19" x14ac:dyDescent="0.3">
      <c r="A1034" t="s">
        <v>774</v>
      </c>
      <c r="B1034" t="s">
        <v>1596</v>
      </c>
      <c r="C1034" t="s">
        <v>2488</v>
      </c>
      <c r="D1034" t="s">
        <v>3189</v>
      </c>
      <c r="E1034" t="s">
        <v>9</v>
      </c>
      <c r="F1034" s="2">
        <v>18</v>
      </c>
      <c r="G1034" t="s">
        <v>3206</v>
      </c>
      <c r="H1034" t="s">
        <v>10</v>
      </c>
      <c r="I1034" t="s">
        <v>11</v>
      </c>
      <c r="J1034" t="s">
        <v>3198</v>
      </c>
      <c r="K1034" t="s">
        <v>22</v>
      </c>
      <c r="L1034" s="2">
        <v>20.040299999999998</v>
      </c>
      <c r="M1034" t="s">
        <v>3203</v>
      </c>
      <c r="N1034">
        <v>1</v>
      </c>
      <c r="O1034">
        <v>1</v>
      </c>
      <c r="P1034">
        <v>3</v>
      </c>
      <c r="Q1034" t="s">
        <v>3204</v>
      </c>
      <c r="R1034" t="s">
        <v>3201</v>
      </c>
      <c r="S1034" t="s">
        <v>13</v>
      </c>
    </row>
    <row r="1035" spans="1:19" x14ac:dyDescent="0.3">
      <c r="A1035" t="s">
        <v>775</v>
      </c>
      <c r="B1035" t="s">
        <v>1602</v>
      </c>
      <c r="C1035" t="s">
        <v>2489</v>
      </c>
      <c r="D1035" t="s">
        <v>3190</v>
      </c>
      <c r="E1035" t="s">
        <v>14</v>
      </c>
      <c r="F1035" s="2">
        <v>33</v>
      </c>
      <c r="G1035" t="s">
        <v>3206</v>
      </c>
      <c r="H1035" t="s">
        <v>25</v>
      </c>
      <c r="I1035" t="s">
        <v>19</v>
      </c>
      <c r="J1035" t="s">
        <v>3207</v>
      </c>
      <c r="K1035" t="s">
        <v>20</v>
      </c>
      <c r="L1035" s="2">
        <v>27.140499999999999</v>
      </c>
      <c r="M1035" t="s">
        <v>3203</v>
      </c>
      <c r="N1035">
        <v>0</v>
      </c>
      <c r="O1035">
        <v>0</v>
      </c>
      <c r="P1035">
        <v>1</v>
      </c>
      <c r="Q1035" t="s">
        <v>3200</v>
      </c>
      <c r="R1035" t="s">
        <v>3205</v>
      </c>
      <c r="S1035" t="s">
        <v>16</v>
      </c>
    </row>
    <row r="1036" spans="1:19" x14ac:dyDescent="0.3">
      <c r="A1036" t="s">
        <v>776</v>
      </c>
      <c r="B1036" t="s">
        <v>1596</v>
      </c>
      <c r="C1036" t="s">
        <v>2038</v>
      </c>
      <c r="D1036" t="s">
        <v>3189</v>
      </c>
      <c r="E1036" t="s">
        <v>9</v>
      </c>
      <c r="F1036" s="2">
        <v>46</v>
      </c>
      <c r="G1036" t="s">
        <v>3197</v>
      </c>
      <c r="H1036" t="s">
        <v>25</v>
      </c>
      <c r="I1036" t="s">
        <v>19</v>
      </c>
      <c r="J1036" t="s">
        <v>3207</v>
      </c>
      <c r="K1036" t="s">
        <v>12</v>
      </c>
      <c r="L1036" s="2">
        <v>79</v>
      </c>
      <c r="M1036" t="s">
        <v>3211</v>
      </c>
      <c r="N1036">
        <v>0</v>
      </c>
      <c r="O1036">
        <v>0</v>
      </c>
      <c r="P1036">
        <v>1</v>
      </c>
      <c r="Q1036" t="s">
        <v>3200</v>
      </c>
      <c r="R1036" t="s">
        <v>3201</v>
      </c>
      <c r="S1036" t="s">
        <v>13</v>
      </c>
    </row>
    <row r="1037" spans="1:19" x14ac:dyDescent="0.3">
      <c r="A1037" t="s">
        <v>777</v>
      </c>
      <c r="B1037" t="s">
        <v>1596</v>
      </c>
      <c r="C1037" t="s">
        <v>2490</v>
      </c>
      <c r="D1037" t="s">
        <v>3189</v>
      </c>
      <c r="E1037" t="s">
        <v>9</v>
      </c>
      <c r="F1037" s="2">
        <v>36</v>
      </c>
      <c r="G1037" t="s">
        <v>3197</v>
      </c>
      <c r="H1037" t="s">
        <v>25</v>
      </c>
      <c r="I1037" t="s">
        <v>11</v>
      </c>
      <c r="J1037" t="s">
        <v>3198</v>
      </c>
      <c r="K1037" t="s">
        <v>26</v>
      </c>
      <c r="L1037" s="2">
        <v>40.020600000000002</v>
      </c>
      <c r="M1037" t="s">
        <v>3211</v>
      </c>
      <c r="N1037">
        <v>0</v>
      </c>
      <c r="O1037">
        <v>0</v>
      </c>
      <c r="P1037">
        <v>1</v>
      </c>
      <c r="Q1037" t="s">
        <v>3200</v>
      </c>
      <c r="R1037" t="s">
        <v>3201</v>
      </c>
      <c r="S1037" t="s">
        <v>13</v>
      </c>
    </row>
    <row r="1038" spans="1:19" x14ac:dyDescent="0.3">
      <c r="A1038" t="s">
        <v>778</v>
      </c>
      <c r="B1038" t="s">
        <v>779</v>
      </c>
      <c r="C1038" t="s">
        <v>780</v>
      </c>
      <c r="D1038" t="s">
        <v>3190</v>
      </c>
      <c r="E1038" t="s">
        <v>14</v>
      </c>
      <c r="F1038" s="2">
        <v>33</v>
      </c>
      <c r="G1038" t="s">
        <v>3206</v>
      </c>
      <c r="H1038" t="s">
        <v>25</v>
      </c>
      <c r="I1038" t="s">
        <v>11</v>
      </c>
      <c r="J1038" t="s">
        <v>3198</v>
      </c>
      <c r="K1038" t="s">
        <v>15</v>
      </c>
      <c r="L1038" s="2">
        <v>86.1</v>
      </c>
      <c r="M1038" t="s">
        <v>3211</v>
      </c>
      <c r="N1038">
        <v>0</v>
      </c>
      <c r="O1038">
        <v>0</v>
      </c>
      <c r="P1038">
        <v>1</v>
      </c>
      <c r="Q1038" t="s">
        <v>3200</v>
      </c>
      <c r="R1038" t="s">
        <v>3205</v>
      </c>
      <c r="S1038" t="s">
        <v>16</v>
      </c>
    </row>
    <row r="1039" spans="1:19" x14ac:dyDescent="0.3">
      <c r="A1039" t="s">
        <v>781</v>
      </c>
      <c r="B1039" t="s">
        <v>1602</v>
      </c>
      <c r="C1039" t="s">
        <v>2491</v>
      </c>
      <c r="D1039" t="s">
        <v>3190</v>
      </c>
      <c r="E1039" t="s">
        <v>14</v>
      </c>
      <c r="F1039" s="2">
        <v>26</v>
      </c>
      <c r="G1039" t="s">
        <v>3206</v>
      </c>
      <c r="H1039" t="s">
        <v>10</v>
      </c>
      <c r="I1039" t="s">
        <v>11</v>
      </c>
      <c r="J1039" t="s">
        <v>3198</v>
      </c>
      <c r="K1039" t="s">
        <v>60</v>
      </c>
      <c r="L1039" s="2">
        <v>8.01</v>
      </c>
      <c r="M1039" t="s">
        <v>3199</v>
      </c>
      <c r="N1039">
        <v>0</v>
      </c>
      <c r="O1039">
        <v>0</v>
      </c>
      <c r="P1039">
        <v>1</v>
      </c>
      <c r="Q1039" t="s">
        <v>3200</v>
      </c>
      <c r="R1039" t="s">
        <v>3205</v>
      </c>
      <c r="S1039" t="s">
        <v>16</v>
      </c>
    </row>
    <row r="1040" spans="1:19" x14ac:dyDescent="0.3">
      <c r="A1040" t="s">
        <v>782</v>
      </c>
      <c r="B1040" t="s">
        <v>1596</v>
      </c>
      <c r="C1040" t="s">
        <v>2002</v>
      </c>
      <c r="D1040" t="s">
        <v>3189</v>
      </c>
      <c r="E1040" t="s">
        <v>9</v>
      </c>
      <c r="F1040" s="2">
        <v>46</v>
      </c>
      <c r="G1040" t="s">
        <v>3197</v>
      </c>
      <c r="H1040" t="s">
        <v>25</v>
      </c>
      <c r="I1040" t="s">
        <v>19</v>
      </c>
      <c r="J1040" t="s">
        <v>3207</v>
      </c>
      <c r="K1040" t="s">
        <v>12</v>
      </c>
      <c r="L1040" s="2">
        <v>59.08</v>
      </c>
      <c r="M1040" t="s">
        <v>3211</v>
      </c>
      <c r="N1040">
        <v>1</v>
      </c>
      <c r="O1040">
        <v>0</v>
      </c>
      <c r="P1040">
        <v>2</v>
      </c>
      <c r="Q1040" t="s">
        <v>3204</v>
      </c>
      <c r="R1040" t="s">
        <v>3201</v>
      </c>
      <c r="S1040" t="s">
        <v>13</v>
      </c>
    </row>
    <row r="1041" spans="1:19" x14ac:dyDescent="0.3">
      <c r="A1041" t="s">
        <v>782</v>
      </c>
      <c r="B1041" t="s">
        <v>1600</v>
      </c>
      <c r="C1041" t="s">
        <v>2492</v>
      </c>
      <c r="D1041" t="s">
        <v>3190</v>
      </c>
      <c r="E1041" t="s">
        <v>14</v>
      </c>
      <c r="F1041" s="2">
        <v>54</v>
      </c>
      <c r="G1041" t="s">
        <v>3197</v>
      </c>
      <c r="H1041" t="s">
        <v>25</v>
      </c>
      <c r="I1041" t="s">
        <v>19</v>
      </c>
      <c r="J1041" t="s">
        <v>3207</v>
      </c>
      <c r="K1041" t="s">
        <v>12</v>
      </c>
      <c r="L1041" s="2">
        <v>59.08</v>
      </c>
      <c r="M1041" t="s">
        <v>3211</v>
      </c>
      <c r="N1041">
        <v>1</v>
      </c>
      <c r="O1041">
        <v>0</v>
      </c>
      <c r="P1041">
        <v>2</v>
      </c>
      <c r="Q1041" t="s">
        <v>3204</v>
      </c>
      <c r="R1041" t="s">
        <v>3205</v>
      </c>
      <c r="S1041" t="s">
        <v>16</v>
      </c>
    </row>
    <row r="1042" spans="1:19" x14ac:dyDescent="0.3">
      <c r="A1042" t="s">
        <v>783</v>
      </c>
      <c r="B1042" t="s">
        <v>1596</v>
      </c>
      <c r="C1042" t="s">
        <v>2493</v>
      </c>
      <c r="D1042" t="s">
        <v>3189</v>
      </c>
      <c r="E1042" t="s">
        <v>9</v>
      </c>
      <c r="F1042" s="2">
        <v>55</v>
      </c>
      <c r="G1042" t="s">
        <v>3197</v>
      </c>
      <c r="H1042" t="s">
        <v>10</v>
      </c>
      <c r="I1042" t="s">
        <v>11</v>
      </c>
      <c r="J1042" t="s">
        <v>3198</v>
      </c>
      <c r="K1042" t="s">
        <v>15</v>
      </c>
      <c r="L1042" s="2">
        <v>8.01</v>
      </c>
      <c r="M1042" t="s">
        <v>3199</v>
      </c>
      <c r="N1042">
        <v>0</v>
      </c>
      <c r="O1042">
        <v>0</v>
      </c>
      <c r="P1042">
        <v>1</v>
      </c>
      <c r="Q1042" t="s">
        <v>3200</v>
      </c>
      <c r="R1042" t="s">
        <v>3201</v>
      </c>
      <c r="S1042" t="s">
        <v>13</v>
      </c>
    </row>
    <row r="1043" spans="1:19" x14ac:dyDescent="0.3">
      <c r="A1043" t="s">
        <v>784</v>
      </c>
      <c r="B1043" t="s">
        <v>1596</v>
      </c>
      <c r="C1043" t="s">
        <v>2494</v>
      </c>
      <c r="D1043" t="s">
        <v>3189</v>
      </c>
      <c r="E1043" t="s">
        <v>9</v>
      </c>
      <c r="F1043" s="2">
        <v>59</v>
      </c>
      <c r="G1043" t="s">
        <v>3210</v>
      </c>
      <c r="H1043" t="s">
        <v>25</v>
      </c>
      <c r="I1043" t="s">
        <v>11</v>
      </c>
      <c r="J1043" t="s">
        <v>3198</v>
      </c>
      <c r="K1043" t="s">
        <v>49</v>
      </c>
      <c r="L1043" s="2">
        <v>26.11</v>
      </c>
      <c r="M1043" t="s">
        <v>3203</v>
      </c>
      <c r="N1043">
        <v>0</v>
      </c>
      <c r="O1043">
        <v>0</v>
      </c>
      <c r="P1043">
        <v>1</v>
      </c>
      <c r="Q1043" t="s">
        <v>3200</v>
      </c>
      <c r="R1043" t="s">
        <v>3201</v>
      </c>
      <c r="S1043" t="s">
        <v>13</v>
      </c>
    </row>
    <row r="1044" spans="1:19" x14ac:dyDescent="0.3">
      <c r="A1044" t="s">
        <v>785</v>
      </c>
      <c r="B1044" t="s">
        <v>1602</v>
      </c>
      <c r="C1044" t="s">
        <v>2472</v>
      </c>
      <c r="D1044" t="s">
        <v>3190</v>
      </c>
      <c r="E1044" t="s">
        <v>14</v>
      </c>
      <c r="F1044" s="2">
        <v>22</v>
      </c>
      <c r="G1044" t="s">
        <v>3206</v>
      </c>
      <c r="H1044" t="s">
        <v>18</v>
      </c>
      <c r="I1044" t="s">
        <v>11</v>
      </c>
      <c r="J1044" t="s">
        <v>3198</v>
      </c>
      <c r="K1044" t="s">
        <v>33</v>
      </c>
      <c r="L1044" s="2">
        <v>10.1</v>
      </c>
      <c r="M1044" t="s">
        <v>3199</v>
      </c>
      <c r="N1044">
        <v>0</v>
      </c>
      <c r="O1044">
        <v>0</v>
      </c>
      <c r="P1044">
        <v>1</v>
      </c>
      <c r="Q1044" t="s">
        <v>3200</v>
      </c>
      <c r="R1044" t="s">
        <v>3205</v>
      </c>
      <c r="S1044" t="s">
        <v>16</v>
      </c>
    </row>
    <row r="1045" spans="1:19" x14ac:dyDescent="0.3">
      <c r="A1045" t="s">
        <v>786</v>
      </c>
      <c r="B1045" t="s">
        <v>1596</v>
      </c>
      <c r="C1045" t="s">
        <v>2495</v>
      </c>
      <c r="D1045" t="s">
        <v>3189</v>
      </c>
      <c r="E1045" t="s">
        <v>9</v>
      </c>
      <c r="F1045" s="2">
        <v>17</v>
      </c>
      <c r="G1045" t="s">
        <v>3202</v>
      </c>
      <c r="H1045" t="s">
        <v>10</v>
      </c>
      <c r="I1045" t="s">
        <v>11</v>
      </c>
      <c r="J1045" t="s">
        <v>3198</v>
      </c>
      <c r="K1045" t="s">
        <v>15</v>
      </c>
      <c r="L1045" s="2">
        <v>8.01</v>
      </c>
      <c r="M1045" t="s">
        <v>3199</v>
      </c>
      <c r="N1045">
        <v>0</v>
      </c>
      <c r="O1045">
        <v>0</v>
      </c>
      <c r="P1045">
        <v>1</v>
      </c>
      <c r="Q1045" t="s">
        <v>3200</v>
      </c>
      <c r="R1045" t="s">
        <v>3201</v>
      </c>
      <c r="S1045" t="s">
        <v>13</v>
      </c>
    </row>
    <row r="1046" spans="1:19" x14ac:dyDescent="0.3">
      <c r="A1046" t="s">
        <v>787</v>
      </c>
      <c r="B1046" t="s">
        <v>1596</v>
      </c>
      <c r="C1046" t="s">
        <v>1700</v>
      </c>
      <c r="D1046" t="s">
        <v>3189</v>
      </c>
      <c r="E1046" t="s">
        <v>9</v>
      </c>
      <c r="F1046" s="2">
        <v>24</v>
      </c>
      <c r="G1046" t="s">
        <v>3206</v>
      </c>
      <c r="H1046" t="s">
        <v>10</v>
      </c>
      <c r="I1046" t="s">
        <v>36</v>
      </c>
      <c r="J1046" t="s">
        <v>3213</v>
      </c>
      <c r="K1046" t="s">
        <v>37</v>
      </c>
      <c r="L1046" s="2">
        <v>7.15</v>
      </c>
      <c r="M1046" t="s">
        <v>3199</v>
      </c>
      <c r="N1046">
        <v>0</v>
      </c>
      <c r="O1046">
        <v>0</v>
      </c>
      <c r="P1046">
        <v>1</v>
      </c>
      <c r="Q1046" t="s">
        <v>3200</v>
      </c>
      <c r="R1046" t="s">
        <v>3205</v>
      </c>
      <c r="S1046" t="s">
        <v>16</v>
      </c>
    </row>
    <row r="1047" spans="1:19" x14ac:dyDescent="0.3">
      <c r="A1047" t="s">
        <v>787</v>
      </c>
      <c r="B1047" t="s">
        <v>1596</v>
      </c>
      <c r="C1047" t="s">
        <v>1792</v>
      </c>
      <c r="D1047" t="s">
        <v>3189</v>
      </c>
      <c r="E1047" t="s">
        <v>9</v>
      </c>
      <c r="F1047" s="2">
        <v>30</v>
      </c>
      <c r="G1047" t="s">
        <v>3206</v>
      </c>
      <c r="H1047" t="s">
        <v>10</v>
      </c>
      <c r="I1047" t="s">
        <v>36</v>
      </c>
      <c r="J1047" t="s">
        <v>3213</v>
      </c>
      <c r="K1047" t="s">
        <v>37</v>
      </c>
      <c r="L1047" s="2">
        <v>24.03</v>
      </c>
      <c r="M1047" t="s">
        <v>3203</v>
      </c>
      <c r="N1047">
        <v>0</v>
      </c>
      <c r="O1047">
        <v>0</v>
      </c>
      <c r="P1047">
        <v>1</v>
      </c>
      <c r="Q1047" t="s">
        <v>3200</v>
      </c>
      <c r="R1047" t="s">
        <v>3201</v>
      </c>
      <c r="S1047" t="s">
        <v>13</v>
      </c>
    </row>
    <row r="1048" spans="1:19" x14ac:dyDescent="0.3">
      <c r="A1048" t="s">
        <v>788</v>
      </c>
      <c r="B1048" t="s">
        <v>1612</v>
      </c>
      <c r="C1048" t="s">
        <v>2496</v>
      </c>
      <c r="D1048" t="s">
        <v>3189</v>
      </c>
      <c r="E1048" t="s">
        <v>9</v>
      </c>
      <c r="F1048" s="2">
        <v>13</v>
      </c>
      <c r="G1048" t="s">
        <v>3202</v>
      </c>
      <c r="H1048" t="s">
        <v>25</v>
      </c>
      <c r="I1048" t="s">
        <v>19</v>
      </c>
      <c r="J1048" t="s">
        <v>3207</v>
      </c>
      <c r="K1048" t="s">
        <v>12</v>
      </c>
      <c r="L1048" s="2">
        <v>262.07060000000001</v>
      </c>
      <c r="M1048" t="s">
        <v>3209</v>
      </c>
      <c r="N1048">
        <v>2</v>
      </c>
      <c r="O1048">
        <v>2</v>
      </c>
      <c r="P1048">
        <v>5</v>
      </c>
      <c r="Q1048" t="s">
        <v>3204</v>
      </c>
      <c r="R1048" t="s">
        <v>3205</v>
      </c>
      <c r="S1048" t="s">
        <v>16</v>
      </c>
    </row>
    <row r="1049" spans="1:19" x14ac:dyDescent="0.3">
      <c r="A1049" t="s">
        <v>788</v>
      </c>
      <c r="B1049" t="s">
        <v>1602</v>
      </c>
      <c r="C1049" t="s">
        <v>2497</v>
      </c>
      <c r="D1049" t="s">
        <v>3190</v>
      </c>
      <c r="E1049" t="s">
        <v>14</v>
      </c>
      <c r="F1049" s="2">
        <v>18</v>
      </c>
      <c r="G1049" t="s">
        <v>3206</v>
      </c>
      <c r="H1049" t="s">
        <v>25</v>
      </c>
      <c r="I1049" t="s">
        <v>19</v>
      </c>
      <c r="J1049" t="s">
        <v>3207</v>
      </c>
      <c r="K1049" t="s">
        <v>12</v>
      </c>
      <c r="L1049" s="2">
        <v>262.07060000000001</v>
      </c>
      <c r="M1049" t="s">
        <v>3209</v>
      </c>
      <c r="N1049">
        <v>2</v>
      </c>
      <c r="O1049">
        <v>2</v>
      </c>
      <c r="P1049">
        <v>5</v>
      </c>
      <c r="Q1049" t="s">
        <v>3204</v>
      </c>
      <c r="R1049" t="s">
        <v>3205</v>
      </c>
      <c r="S1049" t="s">
        <v>16</v>
      </c>
    </row>
    <row r="1050" spans="1:19" x14ac:dyDescent="0.3">
      <c r="A1050" t="s">
        <v>788</v>
      </c>
      <c r="B1050" t="s">
        <v>1602</v>
      </c>
      <c r="C1050" t="s">
        <v>2498</v>
      </c>
      <c r="D1050" t="s">
        <v>3190</v>
      </c>
      <c r="E1050" t="s">
        <v>14</v>
      </c>
      <c r="F1050" s="2">
        <v>21</v>
      </c>
      <c r="G1050" t="s">
        <v>3206</v>
      </c>
      <c r="H1050" t="s">
        <v>25</v>
      </c>
      <c r="I1050" t="s">
        <v>19</v>
      </c>
      <c r="J1050" t="s">
        <v>3207</v>
      </c>
      <c r="K1050" t="s">
        <v>12</v>
      </c>
      <c r="L1050" s="2">
        <v>262.07060000000001</v>
      </c>
      <c r="M1050" t="s">
        <v>3209</v>
      </c>
      <c r="N1050">
        <v>2</v>
      </c>
      <c r="O1050">
        <v>2</v>
      </c>
      <c r="P1050">
        <v>5</v>
      </c>
      <c r="Q1050" t="s">
        <v>3204</v>
      </c>
      <c r="R1050" t="s">
        <v>3205</v>
      </c>
      <c r="S1050" t="s">
        <v>16</v>
      </c>
    </row>
    <row r="1051" spans="1:19" x14ac:dyDescent="0.3">
      <c r="A1051" t="s">
        <v>788</v>
      </c>
      <c r="B1051" t="s">
        <v>1596</v>
      </c>
      <c r="C1051" t="s">
        <v>2499</v>
      </c>
      <c r="D1051" t="s">
        <v>3189</v>
      </c>
      <c r="E1051" t="s">
        <v>9</v>
      </c>
      <c r="F1051" s="2">
        <v>61</v>
      </c>
      <c r="G1051" t="s">
        <v>3210</v>
      </c>
      <c r="H1051" t="s">
        <v>25</v>
      </c>
      <c r="I1051" t="s">
        <v>19</v>
      </c>
      <c r="J1051" t="s">
        <v>3207</v>
      </c>
      <c r="K1051" t="s">
        <v>12</v>
      </c>
      <c r="L1051" s="2">
        <v>262.07060000000001</v>
      </c>
      <c r="M1051" t="s">
        <v>3209</v>
      </c>
      <c r="N1051">
        <v>1</v>
      </c>
      <c r="O1051">
        <v>3</v>
      </c>
      <c r="P1051">
        <v>5</v>
      </c>
      <c r="Q1051" t="s">
        <v>3204</v>
      </c>
      <c r="R1051" t="s">
        <v>3201</v>
      </c>
      <c r="S1051" t="s">
        <v>13</v>
      </c>
    </row>
    <row r="1052" spans="1:19" x14ac:dyDescent="0.3">
      <c r="A1052" t="s">
        <v>788</v>
      </c>
      <c r="B1052" t="s">
        <v>1600</v>
      </c>
      <c r="C1052" t="s">
        <v>2500</v>
      </c>
      <c r="D1052" t="s">
        <v>3190</v>
      </c>
      <c r="E1052" t="s">
        <v>14</v>
      </c>
      <c r="F1052" s="2">
        <v>48</v>
      </c>
      <c r="G1052" t="s">
        <v>3197</v>
      </c>
      <c r="H1052" t="s">
        <v>25</v>
      </c>
      <c r="I1052" t="s">
        <v>19</v>
      </c>
      <c r="J1052" t="s">
        <v>3207</v>
      </c>
      <c r="K1052" t="s">
        <v>12</v>
      </c>
      <c r="L1052" s="2">
        <v>262.07060000000001</v>
      </c>
      <c r="M1052" t="s">
        <v>3209</v>
      </c>
      <c r="N1052">
        <v>1</v>
      </c>
      <c r="O1052">
        <v>3</v>
      </c>
      <c r="P1052">
        <v>5</v>
      </c>
      <c r="Q1052" t="s">
        <v>3204</v>
      </c>
      <c r="R1052" t="s">
        <v>3205</v>
      </c>
      <c r="S1052" t="s">
        <v>16</v>
      </c>
    </row>
    <row r="1053" spans="1:19" x14ac:dyDescent="0.3">
      <c r="A1053" t="s">
        <v>789</v>
      </c>
      <c r="B1053" t="s">
        <v>1596</v>
      </c>
      <c r="C1053" t="s">
        <v>2501</v>
      </c>
      <c r="D1053" t="s">
        <v>3189</v>
      </c>
      <c r="E1053" t="s">
        <v>9</v>
      </c>
      <c r="F1053" s="2">
        <v>30</v>
      </c>
      <c r="G1053" t="s">
        <v>3206</v>
      </c>
      <c r="H1053" t="s">
        <v>10</v>
      </c>
      <c r="I1053" t="s">
        <v>19</v>
      </c>
      <c r="J1053" t="s">
        <v>3207</v>
      </c>
      <c r="K1053" t="s">
        <v>21</v>
      </c>
      <c r="L1053" s="2">
        <v>7.0407000000000002</v>
      </c>
      <c r="M1053" t="s">
        <v>3199</v>
      </c>
      <c r="N1053">
        <v>0</v>
      </c>
      <c r="O1053">
        <v>0</v>
      </c>
      <c r="P1053">
        <v>1</v>
      </c>
      <c r="Q1053" t="s">
        <v>3200</v>
      </c>
      <c r="R1053" t="s">
        <v>3201</v>
      </c>
      <c r="S1053" t="s">
        <v>13</v>
      </c>
    </row>
    <row r="1054" spans="1:19" x14ac:dyDescent="0.3">
      <c r="A1054" t="s">
        <v>789</v>
      </c>
      <c r="B1054" t="s">
        <v>1596</v>
      </c>
      <c r="C1054" t="s">
        <v>2502</v>
      </c>
      <c r="D1054" t="s">
        <v>3189</v>
      </c>
      <c r="E1054" t="s">
        <v>9</v>
      </c>
      <c r="F1054" s="2">
        <v>27</v>
      </c>
      <c r="G1054" t="s">
        <v>3206</v>
      </c>
      <c r="H1054" t="s">
        <v>10</v>
      </c>
      <c r="I1054" t="s">
        <v>19</v>
      </c>
      <c r="J1054" t="s">
        <v>3207</v>
      </c>
      <c r="K1054" t="s">
        <v>21</v>
      </c>
      <c r="L1054" s="2">
        <v>7.0406000000000004</v>
      </c>
      <c r="M1054" t="s">
        <v>3199</v>
      </c>
      <c r="N1054">
        <v>0</v>
      </c>
      <c r="O1054">
        <v>0</v>
      </c>
      <c r="P1054">
        <v>1</v>
      </c>
      <c r="Q1054" t="s">
        <v>3200</v>
      </c>
      <c r="R1054" t="s">
        <v>3201</v>
      </c>
      <c r="S1054" t="s">
        <v>13</v>
      </c>
    </row>
    <row r="1055" spans="1:19" x14ac:dyDescent="0.3">
      <c r="A1055" t="s">
        <v>790</v>
      </c>
      <c r="B1055" t="s">
        <v>1596</v>
      </c>
      <c r="C1055" t="s">
        <v>2503</v>
      </c>
      <c r="D1055" t="s">
        <v>3189</v>
      </c>
      <c r="E1055" t="s">
        <v>9</v>
      </c>
      <c r="F1055" s="2">
        <v>47</v>
      </c>
      <c r="G1055" t="s">
        <v>3197</v>
      </c>
      <c r="H1055" t="s">
        <v>25</v>
      </c>
      <c r="I1055" t="s">
        <v>11</v>
      </c>
      <c r="J1055" t="s">
        <v>3198</v>
      </c>
      <c r="K1055" t="s">
        <v>15</v>
      </c>
      <c r="L1055" s="2">
        <v>30.1</v>
      </c>
      <c r="M1055" t="s">
        <v>3203</v>
      </c>
      <c r="N1055">
        <v>0</v>
      </c>
      <c r="O1055">
        <v>0</v>
      </c>
      <c r="P1055">
        <v>1</v>
      </c>
      <c r="Q1055" t="s">
        <v>3200</v>
      </c>
      <c r="R1055" t="s">
        <v>3205</v>
      </c>
      <c r="S1055" t="s">
        <v>16</v>
      </c>
    </row>
    <row r="1056" spans="1:19" x14ac:dyDescent="0.3">
      <c r="A1056" t="s">
        <v>791</v>
      </c>
      <c r="B1056" t="s">
        <v>1596</v>
      </c>
      <c r="C1056" t="s">
        <v>2504</v>
      </c>
      <c r="D1056" t="s">
        <v>3189</v>
      </c>
      <c r="E1056" t="s">
        <v>9</v>
      </c>
      <c r="F1056" s="2">
        <v>19</v>
      </c>
      <c r="G1056" t="s">
        <v>3206</v>
      </c>
      <c r="H1056" t="s">
        <v>10</v>
      </c>
      <c r="I1056" t="s">
        <v>36</v>
      </c>
      <c r="J1056" t="s">
        <v>3213</v>
      </c>
      <c r="K1056" t="s">
        <v>37</v>
      </c>
      <c r="L1056" s="2">
        <v>7.1406999999999998</v>
      </c>
      <c r="M1056" t="s">
        <v>3199</v>
      </c>
      <c r="N1056">
        <v>0</v>
      </c>
      <c r="O1056">
        <v>0</v>
      </c>
      <c r="P1056">
        <v>1</v>
      </c>
      <c r="Q1056" t="s">
        <v>3200</v>
      </c>
      <c r="R1056" t="s">
        <v>3201</v>
      </c>
      <c r="S1056" t="s">
        <v>13</v>
      </c>
    </row>
    <row r="1057" spans="1:19" x14ac:dyDescent="0.3">
      <c r="A1057" t="s">
        <v>792</v>
      </c>
      <c r="B1057" t="s">
        <v>1596</v>
      </c>
      <c r="C1057" t="s">
        <v>1728</v>
      </c>
      <c r="D1057" t="s">
        <v>3189</v>
      </c>
      <c r="E1057" t="s">
        <v>9</v>
      </c>
      <c r="F1057" s="2">
        <v>17</v>
      </c>
      <c r="G1057" t="s">
        <v>3202</v>
      </c>
      <c r="H1057" t="s">
        <v>10</v>
      </c>
      <c r="I1057" t="s">
        <v>11</v>
      </c>
      <c r="J1057" t="s">
        <v>3198</v>
      </c>
      <c r="K1057" t="s">
        <v>15</v>
      </c>
      <c r="L1057" s="2">
        <v>7.1109999999999998</v>
      </c>
      <c r="M1057" t="s">
        <v>3199</v>
      </c>
      <c r="N1057">
        <v>0</v>
      </c>
      <c r="O1057">
        <v>0</v>
      </c>
      <c r="P1057">
        <v>1</v>
      </c>
      <c r="Q1057" t="s">
        <v>3200</v>
      </c>
      <c r="R1057" t="s">
        <v>3201</v>
      </c>
      <c r="S1057" t="s">
        <v>13</v>
      </c>
    </row>
    <row r="1058" spans="1:19" x14ac:dyDescent="0.3">
      <c r="A1058" t="s">
        <v>793</v>
      </c>
      <c r="B1058" t="s">
        <v>1596</v>
      </c>
      <c r="C1058" t="s">
        <v>2505</v>
      </c>
      <c r="D1058" t="s">
        <v>3189</v>
      </c>
      <c r="E1058" t="s">
        <v>9</v>
      </c>
      <c r="F1058" s="2">
        <v>43</v>
      </c>
      <c r="G1058" t="s">
        <v>3197</v>
      </c>
      <c r="H1058" t="s">
        <v>10</v>
      </c>
      <c r="I1058" t="s">
        <v>11</v>
      </c>
      <c r="J1058" t="s">
        <v>3198</v>
      </c>
      <c r="K1058" t="s">
        <v>17</v>
      </c>
      <c r="L1058" s="2">
        <v>7.05</v>
      </c>
      <c r="M1058" t="s">
        <v>3199</v>
      </c>
      <c r="N1058">
        <v>0</v>
      </c>
      <c r="O1058">
        <v>0</v>
      </c>
      <c r="P1058">
        <v>1</v>
      </c>
      <c r="Q1058" t="s">
        <v>3200</v>
      </c>
      <c r="R1058" t="s">
        <v>3201</v>
      </c>
      <c r="S1058" t="s">
        <v>13</v>
      </c>
    </row>
    <row r="1059" spans="1:19" x14ac:dyDescent="0.3">
      <c r="A1059" t="s">
        <v>794</v>
      </c>
      <c r="B1059" t="s">
        <v>1612</v>
      </c>
      <c r="C1059" t="s">
        <v>2506</v>
      </c>
      <c r="D1059" t="s">
        <v>3189</v>
      </c>
      <c r="E1059" t="s">
        <v>9</v>
      </c>
      <c r="F1059" s="2">
        <v>13</v>
      </c>
      <c r="G1059" t="s">
        <v>3202</v>
      </c>
      <c r="H1059" t="s">
        <v>10</v>
      </c>
      <c r="I1059" t="s">
        <v>11</v>
      </c>
      <c r="J1059" t="s">
        <v>3198</v>
      </c>
      <c r="K1059" t="s">
        <v>15</v>
      </c>
      <c r="L1059" s="2">
        <v>69.11</v>
      </c>
      <c r="M1059" t="s">
        <v>3211</v>
      </c>
      <c r="N1059">
        <v>8</v>
      </c>
      <c r="O1059">
        <v>2</v>
      </c>
      <c r="P1059">
        <v>11</v>
      </c>
      <c r="Q1059" t="s">
        <v>3204</v>
      </c>
      <c r="R1059" t="s">
        <v>3201</v>
      </c>
      <c r="S1059" t="s">
        <v>13</v>
      </c>
    </row>
    <row r="1060" spans="1:19" x14ac:dyDescent="0.3">
      <c r="A1060" t="s">
        <v>794</v>
      </c>
      <c r="B1060" t="s">
        <v>1612</v>
      </c>
      <c r="C1060" t="s">
        <v>1857</v>
      </c>
      <c r="D1060" t="s">
        <v>3189</v>
      </c>
      <c r="E1060" t="s">
        <v>9</v>
      </c>
      <c r="F1060" s="2">
        <v>5</v>
      </c>
      <c r="G1060" t="s">
        <v>3208</v>
      </c>
      <c r="H1060" t="s">
        <v>10</v>
      </c>
      <c r="I1060" t="s">
        <v>11</v>
      </c>
      <c r="J1060" t="s">
        <v>3198</v>
      </c>
      <c r="K1060" t="s">
        <v>15</v>
      </c>
      <c r="L1060" s="2">
        <v>69.11</v>
      </c>
      <c r="M1060" t="s">
        <v>3211</v>
      </c>
      <c r="N1060">
        <v>8</v>
      </c>
      <c r="O1060">
        <v>2</v>
      </c>
      <c r="P1060">
        <v>11</v>
      </c>
      <c r="Q1060" t="s">
        <v>3204</v>
      </c>
      <c r="R1060" t="s">
        <v>3201</v>
      </c>
      <c r="S1060" t="s">
        <v>13</v>
      </c>
    </row>
    <row r="1061" spans="1:19" x14ac:dyDescent="0.3">
      <c r="A1061" t="s">
        <v>794</v>
      </c>
      <c r="B1061" t="s">
        <v>1602</v>
      </c>
      <c r="C1061" t="s">
        <v>2507</v>
      </c>
      <c r="D1061" t="s">
        <v>3190</v>
      </c>
      <c r="E1061" t="s">
        <v>14</v>
      </c>
      <c r="F1061" s="2">
        <v>8</v>
      </c>
      <c r="G1061" t="s">
        <v>3208</v>
      </c>
      <c r="H1061" t="s">
        <v>10</v>
      </c>
      <c r="I1061" t="s">
        <v>11</v>
      </c>
      <c r="J1061" t="s">
        <v>3198</v>
      </c>
      <c r="K1061" t="s">
        <v>15</v>
      </c>
      <c r="L1061" s="2">
        <v>69.11</v>
      </c>
      <c r="M1061" t="s">
        <v>3211</v>
      </c>
      <c r="N1061">
        <v>8</v>
      </c>
      <c r="O1061">
        <v>2</v>
      </c>
      <c r="P1061">
        <v>11</v>
      </c>
      <c r="Q1061" t="s">
        <v>3204</v>
      </c>
      <c r="R1061" t="s">
        <v>3201</v>
      </c>
      <c r="S1061" t="s">
        <v>13</v>
      </c>
    </row>
    <row r="1062" spans="1:19" x14ac:dyDescent="0.3">
      <c r="A1062" t="s">
        <v>794</v>
      </c>
      <c r="B1062" t="s">
        <v>1602</v>
      </c>
      <c r="C1062" t="s">
        <v>2062</v>
      </c>
      <c r="D1062" t="s">
        <v>3190</v>
      </c>
      <c r="E1062" t="s">
        <v>14</v>
      </c>
      <c r="F1062" s="2">
        <v>14</v>
      </c>
      <c r="G1062" t="s">
        <v>3202</v>
      </c>
      <c r="H1062" t="s">
        <v>10</v>
      </c>
      <c r="I1062" t="s">
        <v>11</v>
      </c>
      <c r="J1062" t="s">
        <v>3198</v>
      </c>
      <c r="K1062" t="s">
        <v>15</v>
      </c>
      <c r="L1062" s="2">
        <v>69.11</v>
      </c>
      <c r="M1062" t="s">
        <v>3211</v>
      </c>
      <c r="N1062">
        <v>8</v>
      </c>
      <c r="O1062">
        <v>2</v>
      </c>
      <c r="P1062">
        <v>11</v>
      </c>
      <c r="Q1062" t="s">
        <v>3204</v>
      </c>
      <c r="R1062" t="s">
        <v>3201</v>
      </c>
      <c r="S1062" t="s">
        <v>13</v>
      </c>
    </row>
    <row r="1063" spans="1:19" x14ac:dyDescent="0.3">
      <c r="A1063" t="s">
        <v>794</v>
      </c>
      <c r="B1063" t="s">
        <v>1602</v>
      </c>
      <c r="C1063" t="s">
        <v>2508</v>
      </c>
      <c r="D1063" t="s">
        <v>3190</v>
      </c>
      <c r="E1063" t="s">
        <v>14</v>
      </c>
      <c r="F1063" s="2">
        <v>10</v>
      </c>
      <c r="G1063" t="s">
        <v>3202</v>
      </c>
      <c r="H1063" t="s">
        <v>10</v>
      </c>
      <c r="I1063" t="s">
        <v>11</v>
      </c>
      <c r="J1063" t="s">
        <v>3198</v>
      </c>
      <c r="K1063" t="s">
        <v>15</v>
      </c>
      <c r="L1063" s="2">
        <v>69.11</v>
      </c>
      <c r="M1063" t="s">
        <v>3211</v>
      </c>
      <c r="N1063">
        <v>8</v>
      </c>
      <c r="O1063">
        <v>2</v>
      </c>
      <c r="P1063">
        <v>11</v>
      </c>
      <c r="Q1063" t="s">
        <v>3204</v>
      </c>
      <c r="R1063" t="s">
        <v>3201</v>
      </c>
      <c r="S1063" t="s">
        <v>13</v>
      </c>
    </row>
    <row r="1064" spans="1:19" x14ac:dyDescent="0.3">
      <c r="A1064" t="s">
        <v>794</v>
      </c>
      <c r="B1064" t="s">
        <v>1602</v>
      </c>
      <c r="C1064" t="s">
        <v>2509</v>
      </c>
      <c r="D1064" t="s">
        <v>3190</v>
      </c>
      <c r="E1064" t="s">
        <v>14</v>
      </c>
      <c r="F1064" s="2">
        <v>21</v>
      </c>
      <c r="G1064" t="s">
        <v>3206</v>
      </c>
      <c r="H1064" t="s">
        <v>10</v>
      </c>
      <c r="I1064" t="s">
        <v>11</v>
      </c>
      <c r="J1064" t="s">
        <v>3198</v>
      </c>
      <c r="K1064" t="s">
        <v>15</v>
      </c>
      <c r="L1064" s="2">
        <v>69.11</v>
      </c>
      <c r="M1064" t="s">
        <v>3211</v>
      </c>
      <c r="N1064">
        <v>8</v>
      </c>
      <c r="O1064">
        <v>2</v>
      </c>
      <c r="P1064">
        <v>11</v>
      </c>
      <c r="Q1064" t="s">
        <v>3204</v>
      </c>
      <c r="R1064" t="s">
        <v>3201</v>
      </c>
      <c r="S1064" t="s">
        <v>13</v>
      </c>
    </row>
    <row r="1065" spans="1:19" x14ac:dyDescent="0.3">
      <c r="A1065" t="s">
        <v>794</v>
      </c>
      <c r="B1065" t="s">
        <v>1596</v>
      </c>
      <c r="C1065" t="s">
        <v>2510</v>
      </c>
      <c r="D1065" t="s">
        <v>3189</v>
      </c>
      <c r="E1065" t="s">
        <v>9</v>
      </c>
      <c r="F1065" s="2">
        <v>18</v>
      </c>
      <c r="G1065" t="s">
        <v>3206</v>
      </c>
      <c r="H1065" t="s">
        <v>10</v>
      </c>
      <c r="I1065" t="s">
        <v>11</v>
      </c>
      <c r="J1065" t="s">
        <v>3198</v>
      </c>
      <c r="K1065" t="s">
        <v>15</v>
      </c>
      <c r="L1065" s="2">
        <v>69.11</v>
      </c>
      <c r="M1065" t="s">
        <v>3211</v>
      </c>
      <c r="N1065">
        <v>8</v>
      </c>
      <c r="O1065">
        <v>2</v>
      </c>
      <c r="P1065">
        <v>11</v>
      </c>
      <c r="Q1065" t="s">
        <v>3204</v>
      </c>
      <c r="R1065" t="s">
        <v>3201</v>
      </c>
      <c r="S1065" t="s">
        <v>13</v>
      </c>
    </row>
    <row r="1066" spans="1:19" x14ac:dyDescent="0.3">
      <c r="A1066" t="s">
        <v>794</v>
      </c>
      <c r="B1066" t="s">
        <v>1596</v>
      </c>
      <c r="C1066" t="s">
        <v>2511</v>
      </c>
      <c r="D1066" t="s">
        <v>3189</v>
      </c>
      <c r="E1066" t="s">
        <v>9</v>
      </c>
      <c r="F1066" s="2">
        <v>17</v>
      </c>
      <c r="G1066" t="s">
        <v>3202</v>
      </c>
      <c r="H1066" t="s">
        <v>10</v>
      </c>
      <c r="I1066" t="s">
        <v>11</v>
      </c>
      <c r="J1066" t="s">
        <v>3198</v>
      </c>
      <c r="K1066" t="s">
        <v>15</v>
      </c>
      <c r="L1066" s="2">
        <v>69.11</v>
      </c>
      <c r="M1066" t="s">
        <v>3211</v>
      </c>
      <c r="N1066">
        <v>8</v>
      </c>
      <c r="O1066">
        <v>2</v>
      </c>
      <c r="P1066">
        <v>11</v>
      </c>
      <c r="Q1066" t="s">
        <v>3204</v>
      </c>
      <c r="R1066" t="s">
        <v>3201</v>
      </c>
      <c r="S1066" t="s">
        <v>13</v>
      </c>
    </row>
    <row r="1067" spans="1:19" x14ac:dyDescent="0.3">
      <c r="A1067" t="s">
        <v>794</v>
      </c>
      <c r="B1067" t="s">
        <v>1596</v>
      </c>
      <c r="C1067" t="s">
        <v>2512</v>
      </c>
      <c r="D1067" t="s">
        <v>3189</v>
      </c>
      <c r="E1067" t="s">
        <v>9</v>
      </c>
      <c r="F1067" s="2">
        <v>20</v>
      </c>
      <c r="G1067" t="s">
        <v>3206</v>
      </c>
      <c r="H1067" t="s">
        <v>10</v>
      </c>
      <c r="I1067" t="s">
        <v>11</v>
      </c>
      <c r="J1067" t="s">
        <v>3198</v>
      </c>
      <c r="K1067" t="s">
        <v>15</v>
      </c>
      <c r="L1067" s="2">
        <v>69.11</v>
      </c>
      <c r="M1067" t="s">
        <v>3211</v>
      </c>
      <c r="N1067">
        <v>8</v>
      </c>
      <c r="O1067">
        <v>2</v>
      </c>
      <c r="P1067">
        <v>11</v>
      </c>
      <c r="Q1067" t="s">
        <v>3204</v>
      </c>
      <c r="R1067" t="s">
        <v>3201</v>
      </c>
      <c r="S1067" t="s">
        <v>13</v>
      </c>
    </row>
    <row r="1068" spans="1:19" x14ac:dyDescent="0.3">
      <c r="A1068" t="s">
        <v>794</v>
      </c>
      <c r="B1068" t="s">
        <v>1596</v>
      </c>
      <c r="C1068" t="s">
        <v>2513</v>
      </c>
      <c r="D1068" t="s">
        <v>3189</v>
      </c>
      <c r="E1068" t="s">
        <v>9</v>
      </c>
      <c r="F1068" s="2">
        <v>45</v>
      </c>
      <c r="G1068" t="s">
        <v>3197</v>
      </c>
      <c r="H1068" t="s">
        <v>10</v>
      </c>
      <c r="I1068" t="s">
        <v>11</v>
      </c>
      <c r="J1068" t="s">
        <v>3198</v>
      </c>
      <c r="K1068" t="s">
        <v>15</v>
      </c>
      <c r="L1068" s="2">
        <v>69.11</v>
      </c>
      <c r="M1068" t="s">
        <v>3211</v>
      </c>
      <c r="N1068">
        <v>1</v>
      </c>
      <c r="O1068">
        <v>9</v>
      </c>
      <c r="P1068">
        <v>11</v>
      </c>
      <c r="Q1068" t="s">
        <v>3204</v>
      </c>
      <c r="R1068" t="s">
        <v>3201</v>
      </c>
      <c r="S1068" t="s">
        <v>13</v>
      </c>
    </row>
    <row r="1069" spans="1:19" x14ac:dyDescent="0.3">
      <c r="A1069" t="s">
        <v>794</v>
      </c>
      <c r="B1069" t="s">
        <v>1600</v>
      </c>
      <c r="C1069" t="s">
        <v>2514</v>
      </c>
      <c r="D1069" t="s">
        <v>3190</v>
      </c>
      <c r="E1069" t="s">
        <v>14</v>
      </c>
      <c r="F1069" s="2">
        <v>45</v>
      </c>
      <c r="G1069" t="s">
        <v>3197</v>
      </c>
      <c r="H1069" t="s">
        <v>10</v>
      </c>
      <c r="I1069" t="s">
        <v>11</v>
      </c>
      <c r="J1069" t="s">
        <v>3198</v>
      </c>
      <c r="K1069" t="s">
        <v>15</v>
      </c>
      <c r="L1069" s="2">
        <v>69.11</v>
      </c>
      <c r="M1069" t="s">
        <v>3211</v>
      </c>
      <c r="N1069">
        <v>1</v>
      </c>
      <c r="O1069">
        <v>9</v>
      </c>
      <c r="P1069">
        <v>11</v>
      </c>
      <c r="Q1069" t="s">
        <v>3204</v>
      </c>
      <c r="R1069" t="s">
        <v>3201</v>
      </c>
      <c r="S1069" t="s">
        <v>13</v>
      </c>
    </row>
    <row r="1070" spans="1:19" x14ac:dyDescent="0.3">
      <c r="A1070" t="s">
        <v>795</v>
      </c>
      <c r="B1070" t="s">
        <v>2291</v>
      </c>
      <c r="C1070" t="s">
        <v>2515</v>
      </c>
      <c r="D1070" t="s">
        <v>3190</v>
      </c>
      <c r="E1070" t="s">
        <v>14</v>
      </c>
      <c r="F1070" s="2">
        <v>24</v>
      </c>
      <c r="G1070" t="s">
        <v>3206</v>
      </c>
      <c r="H1070" t="s">
        <v>25</v>
      </c>
      <c r="I1070" t="s">
        <v>19</v>
      </c>
      <c r="J1070" t="s">
        <v>3207</v>
      </c>
      <c r="K1070" t="s">
        <v>15</v>
      </c>
      <c r="L1070" s="2">
        <v>69.06</v>
      </c>
      <c r="M1070" t="s">
        <v>3211</v>
      </c>
      <c r="N1070">
        <v>0</v>
      </c>
      <c r="O1070">
        <v>0</v>
      </c>
      <c r="P1070">
        <v>1</v>
      </c>
      <c r="Q1070" t="s">
        <v>3200</v>
      </c>
      <c r="R1070" t="s">
        <v>3205</v>
      </c>
      <c r="S1070" t="s">
        <v>16</v>
      </c>
    </row>
    <row r="1071" spans="1:19" x14ac:dyDescent="0.3">
      <c r="A1071" t="s">
        <v>796</v>
      </c>
      <c r="B1071" t="s">
        <v>1596</v>
      </c>
      <c r="C1071" t="s">
        <v>2151</v>
      </c>
      <c r="D1071" t="s">
        <v>3189</v>
      </c>
      <c r="E1071" t="s">
        <v>9</v>
      </c>
      <c r="F1071" s="2">
        <v>24</v>
      </c>
      <c r="G1071" t="s">
        <v>3206</v>
      </c>
      <c r="H1071" t="s">
        <v>10</v>
      </c>
      <c r="I1071" t="s">
        <v>11</v>
      </c>
      <c r="J1071" t="s">
        <v>3198</v>
      </c>
      <c r="K1071" t="s">
        <v>23</v>
      </c>
      <c r="L1071" s="2">
        <v>9.0606000000000009</v>
      </c>
      <c r="M1071" t="s">
        <v>3199</v>
      </c>
      <c r="N1071">
        <v>0</v>
      </c>
      <c r="O1071">
        <v>0</v>
      </c>
      <c r="P1071">
        <v>1</v>
      </c>
      <c r="Q1071" t="s">
        <v>3200</v>
      </c>
      <c r="R1071" t="s">
        <v>3201</v>
      </c>
      <c r="S1071" t="s">
        <v>13</v>
      </c>
    </row>
    <row r="1072" spans="1:19" x14ac:dyDescent="0.3">
      <c r="A1072" t="s">
        <v>797</v>
      </c>
      <c r="B1072" t="s">
        <v>1602</v>
      </c>
      <c r="C1072" t="s">
        <v>2516</v>
      </c>
      <c r="D1072" t="s">
        <v>3190</v>
      </c>
      <c r="E1072" t="s">
        <v>14</v>
      </c>
      <c r="F1072" s="2">
        <v>21</v>
      </c>
      <c r="G1072" t="s">
        <v>3206</v>
      </c>
      <c r="H1072" t="s">
        <v>10</v>
      </c>
      <c r="I1072" t="s">
        <v>11</v>
      </c>
      <c r="J1072" t="s">
        <v>3198</v>
      </c>
      <c r="K1072" t="s">
        <v>17</v>
      </c>
      <c r="L1072" s="2">
        <v>7.13</v>
      </c>
      <c r="M1072" t="s">
        <v>3199</v>
      </c>
      <c r="N1072">
        <v>0</v>
      </c>
      <c r="O1072">
        <v>0</v>
      </c>
      <c r="P1072">
        <v>1</v>
      </c>
      <c r="Q1072" t="s">
        <v>3200</v>
      </c>
      <c r="R1072" t="s">
        <v>3205</v>
      </c>
      <c r="S1072" t="s">
        <v>16</v>
      </c>
    </row>
    <row r="1073" spans="1:19" x14ac:dyDescent="0.3">
      <c r="A1073" t="s">
        <v>798</v>
      </c>
      <c r="B1073" t="s">
        <v>1596</v>
      </c>
      <c r="C1073" t="s">
        <v>2517</v>
      </c>
      <c r="D1073" t="s">
        <v>3189</v>
      </c>
      <c r="E1073" t="s">
        <v>9</v>
      </c>
      <c r="F1073" s="2">
        <v>43</v>
      </c>
      <c r="G1073" t="s">
        <v>3197</v>
      </c>
      <c r="H1073" t="s">
        <v>25</v>
      </c>
      <c r="I1073" t="s">
        <v>11</v>
      </c>
      <c r="J1073" t="s">
        <v>3198</v>
      </c>
      <c r="K1073" t="s">
        <v>12</v>
      </c>
      <c r="L1073" s="2">
        <v>26</v>
      </c>
      <c r="M1073" t="s">
        <v>3203</v>
      </c>
      <c r="N1073">
        <v>0</v>
      </c>
      <c r="O1073">
        <v>0</v>
      </c>
      <c r="P1073">
        <v>1</v>
      </c>
      <c r="Q1073" t="s">
        <v>3200</v>
      </c>
      <c r="R1073" t="s">
        <v>3205</v>
      </c>
      <c r="S1073" t="s">
        <v>16</v>
      </c>
    </row>
    <row r="1074" spans="1:19" x14ac:dyDescent="0.3">
      <c r="A1074" t="s">
        <v>799</v>
      </c>
      <c r="B1074" t="s">
        <v>1596</v>
      </c>
      <c r="C1074" t="s">
        <v>2518</v>
      </c>
      <c r="D1074" t="s">
        <v>3189</v>
      </c>
      <c r="E1074" t="s">
        <v>9</v>
      </c>
      <c r="F1074" s="2">
        <v>29</v>
      </c>
      <c r="G1074" t="s">
        <v>3206</v>
      </c>
      <c r="H1074" t="s">
        <v>10</v>
      </c>
      <c r="I1074" t="s">
        <v>11</v>
      </c>
      <c r="J1074" t="s">
        <v>3198</v>
      </c>
      <c r="K1074" t="s">
        <v>12</v>
      </c>
      <c r="L1074" s="2">
        <v>7.1806000000000001</v>
      </c>
      <c r="M1074" t="s">
        <v>3199</v>
      </c>
      <c r="N1074">
        <v>0</v>
      </c>
      <c r="O1074">
        <v>0</v>
      </c>
      <c r="P1074">
        <v>1</v>
      </c>
      <c r="Q1074" t="s">
        <v>3200</v>
      </c>
      <c r="R1074" t="s">
        <v>3201</v>
      </c>
      <c r="S1074" t="s">
        <v>13</v>
      </c>
    </row>
    <row r="1075" spans="1:19" x14ac:dyDescent="0.3">
      <c r="A1075" t="s">
        <v>800</v>
      </c>
      <c r="B1075" t="s">
        <v>1596</v>
      </c>
      <c r="C1075" t="s">
        <v>2167</v>
      </c>
      <c r="D1075" t="s">
        <v>3189</v>
      </c>
      <c r="E1075" t="s">
        <v>9</v>
      </c>
      <c r="F1075" s="2">
        <v>17</v>
      </c>
      <c r="G1075" t="s">
        <v>3202</v>
      </c>
      <c r="H1075" t="s">
        <v>10</v>
      </c>
      <c r="I1075" t="s">
        <v>19</v>
      </c>
      <c r="J1075" t="s">
        <v>3207</v>
      </c>
      <c r="K1075" t="s">
        <v>21</v>
      </c>
      <c r="L1075" s="2">
        <v>21.130700000000001</v>
      </c>
      <c r="M1075" t="s">
        <v>3203</v>
      </c>
      <c r="N1075">
        <v>2</v>
      </c>
      <c r="O1075">
        <v>0</v>
      </c>
      <c r="P1075">
        <v>3</v>
      </c>
      <c r="Q1075" t="s">
        <v>3204</v>
      </c>
      <c r="R1075" t="s">
        <v>3201</v>
      </c>
      <c r="S1075" t="s">
        <v>13</v>
      </c>
    </row>
    <row r="1076" spans="1:19" x14ac:dyDescent="0.3">
      <c r="A1076" t="s">
        <v>800</v>
      </c>
      <c r="B1076" t="s">
        <v>1596</v>
      </c>
      <c r="C1076" t="s">
        <v>2519</v>
      </c>
      <c r="D1076" t="s">
        <v>3189</v>
      </c>
      <c r="E1076" t="s">
        <v>9</v>
      </c>
      <c r="F1076" s="2">
        <v>40</v>
      </c>
      <c r="G1076" t="s">
        <v>3197</v>
      </c>
      <c r="H1076" t="s">
        <v>10</v>
      </c>
      <c r="I1076" t="s">
        <v>19</v>
      </c>
      <c r="J1076" t="s">
        <v>3207</v>
      </c>
      <c r="K1076" t="s">
        <v>21</v>
      </c>
      <c r="L1076" s="2">
        <v>21.130700000000001</v>
      </c>
      <c r="M1076" t="s">
        <v>3203</v>
      </c>
      <c r="N1076">
        <v>2</v>
      </c>
      <c r="O1076">
        <v>0</v>
      </c>
      <c r="P1076">
        <v>3</v>
      </c>
      <c r="Q1076" t="s">
        <v>3204</v>
      </c>
      <c r="R1076" t="s">
        <v>3201</v>
      </c>
      <c r="S1076" t="s">
        <v>13</v>
      </c>
    </row>
    <row r="1077" spans="1:19" x14ac:dyDescent="0.3">
      <c r="A1077" t="s">
        <v>800</v>
      </c>
      <c r="B1077" t="s">
        <v>1596</v>
      </c>
      <c r="C1077" t="s">
        <v>2520</v>
      </c>
      <c r="D1077" t="s">
        <v>3189</v>
      </c>
      <c r="E1077" t="s">
        <v>9</v>
      </c>
      <c r="F1077" s="2">
        <v>16</v>
      </c>
      <c r="G1077" t="s">
        <v>3202</v>
      </c>
      <c r="H1077" t="s">
        <v>10</v>
      </c>
      <c r="I1077" t="s">
        <v>19</v>
      </c>
      <c r="J1077" t="s">
        <v>3207</v>
      </c>
      <c r="K1077" t="s">
        <v>21</v>
      </c>
      <c r="L1077" s="2">
        <v>21.130700000000001</v>
      </c>
      <c r="M1077" t="s">
        <v>3203</v>
      </c>
      <c r="N1077">
        <v>2</v>
      </c>
      <c r="O1077">
        <v>0</v>
      </c>
      <c r="P1077">
        <v>3</v>
      </c>
      <c r="Q1077" t="s">
        <v>3204</v>
      </c>
      <c r="R1077" t="s">
        <v>3201</v>
      </c>
      <c r="S1077" t="s">
        <v>13</v>
      </c>
    </row>
    <row r="1078" spans="1:19" x14ac:dyDescent="0.3">
      <c r="A1078" t="s">
        <v>801</v>
      </c>
      <c r="B1078" t="s">
        <v>1602</v>
      </c>
      <c r="C1078" t="s">
        <v>2521</v>
      </c>
      <c r="D1078" t="s">
        <v>3190</v>
      </c>
      <c r="E1078" t="s">
        <v>14</v>
      </c>
      <c r="F1078" s="2">
        <v>1</v>
      </c>
      <c r="G1078" t="s">
        <v>3208</v>
      </c>
      <c r="H1078" t="s">
        <v>10</v>
      </c>
      <c r="I1078" t="s">
        <v>11</v>
      </c>
      <c r="J1078" t="s">
        <v>3198</v>
      </c>
      <c r="K1078" t="s">
        <v>23</v>
      </c>
      <c r="L1078" s="2">
        <v>16.14</v>
      </c>
      <c r="M1078" t="s">
        <v>3203</v>
      </c>
      <c r="N1078">
        <v>1</v>
      </c>
      <c r="O1078">
        <v>1</v>
      </c>
      <c r="P1078">
        <v>3</v>
      </c>
      <c r="Q1078" t="s">
        <v>3204</v>
      </c>
      <c r="R1078" t="s">
        <v>3205</v>
      </c>
      <c r="S1078" t="s">
        <v>16</v>
      </c>
    </row>
    <row r="1079" spans="1:19" x14ac:dyDescent="0.3">
      <c r="A1079" t="s">
        <v>801</v>
      </c>
      <c r="B1079" t="s">
        <v>1602</v>
      </c>
      <c r="C1079" t="s">
        <v>2522</v>
      </c>
      <c r="D1079" t="s">
        <v>3190</v>
      </c>
      <c r="E1079" t="s">
        <v>14</v>
      </c>
      <c r="F1079" s="2">
        <v>4</v>
      </c>
      <c r="G1079" t="s">
        <v>3208</v>
      </c>
      <c r="H1079" t="s">
        <v>10</v>
      </c>
      <c r="I1079" t="s">
        <v>11</v>
      </c>
      <c r="J1079" t="s">
        <v>3198</v>
      </c>
      <c r="K1079" t="s">
        <v>23</v>
      </c>
      <c r="L1079" s="2">
        <v>16.14</v>
      </c>
      <c r="M1079" t="s">
        <v>3203</v>
      </c>
      <c r="N1079">
        <v>1</v>
      </c>
      <c r="O1079">
        <v>1</v>
      </c>
      <c r="P1079">
        <v>3</v>
      </c>
      <c r="Q1079" t="s">
        <v>3204</v>
      </c>
      <c r="R1079" t="s">
        <v>3205</v>
      </c>
      <c r="S1079" t="s">
        <v>16</v>
      </c>
    </row>
    <row r="1080" spans="1:19" x14ac:dyDescent="0.3">
      <c r="A1080" t="s">
        <v>801</v>
      </c>
      <c r="B1080" t="s">
        <v>1600</v>
      </c>
      <c r="C1080" t="s">
        <v>2523</v>
      </c>
      <c r="D1080" t="s">
        <v>3190</v>
      </c>
      <c r="E1080" t="s">
        <v>14</v>
      </c>
      <c r="F1080" s="2">
        <v>24</v>
      </c>
      <c r="G1080" t="s">
        <v>3206</v>
      </c>
      <c r="H1080" t="s">
        <v>10</v>
      </c>
      <c r="I1080" t="s">
        <v>11</v>
      </c>
      <c r="J1080" t="s">
        <v>3198</v>
      </c>
      <c r="K1080" t="s">
        <v>23</v>
      </c>
      <c r="L1080" s="2">
        <v>16.14</v>
      </c>
      <c r="M1080" t="s">
        <v>3203</v>
      </c>
      <c r="N1080">
        <v>0</v>
      </c>
      <c r="O1080">
        <v>2</v>
      </c>
      <c r="P1080">
        <v>3</v>
      </c>
      <c r="Q1080" t="s">
        <v>3204</v>
      </c>
      <c r="R1080" t="s">
        <v>3205</v>
      </c>
      <c r="S1080" t="s">
        <v>16</v>
      </c>
    </row>
    <row r="1081" spans="1:19" x14ac:dyDescent="0.3">
      <c r="A1081" t="s">
        <v>802</v>
      </c>
      <c r="B1081" t="s">
        <v>1596</v>
      </c>
      <c r="C1081" t="s">
        <v>2524</v>
      </c>
      <c r="D1081" t="s">
        <v>3189</v>
      </c>
      <c r="E1081" t="s">
        <v>9</v>
      </c>
      <c r="F1081" s="2">
        <v>21</v>
      </c>
      <c r="G1081" t="s">
        <v>3206</v>
      </c>
      <c r="H1081" t="s">
        <v>10</v>
      </c>
      <c r="I1081" t="s">
        <v>11</v>
      </c>
      <c r="J1081" t="s">
        <v>3198</v>
      </c>
      <c r="K1081" t="s">
        <v>46</v>
      </c>
      <c r="L1081" s="2">
        <v>9.1</v>
      </c>
      <c r="M1081" t="s">
        <v>3199</v>
      </c>
      <c r="N1081">
        <v>0</v>
      </c>
      <c r="O1081">
        <v>0</v>
      </c>
      <c r="P1081">
        <v>1</v>
      </c>
      <c r="Q1081" t="s">
        <v>3200</v>
      </c>
      <c r="R1081" t="s">
        <v>3205</v>
      </c>
      <c r="S1081" t="s">
        <v>16</v>
      </c>
    </row>
    <row r="1082" spans="1:19" x14ac:dyDescent="0.3">
      <c r="A1082" t="s">
        <v>803</v>
      </c>
      <c r="B1082" t="s">
        <v>1596</v>
      </c>
      <c r="C1082" t="s">
        <v>1621</v>
      </c>
      <c r="D1082" t="s">
        <v>3189</v>
      </c>
      <c r="E1082" t="s">
        <v>9</v>
      </c>
      <c r="F1082" s="2">
        <v>19</v>
      </c>
      <c r="G1082" t="s">
        <v>3206</v>
      </c>
      <c r="H1082" t="s">
        <v>10</v>
      </c>
      <c r="I1082" t="s">
        <v>11</v>
      </c>
      <c r="J1082" t="s">
        <v>3198</v>
      </c>
      <c r="K1082" t="s">
        <v>15</v>
      </c>
      <c r="L1082" s="2">
        <v>8.01</v>
      </c>
      <c r="M1082" t="s">
        <v>3199</v>
      </c>
      <c r="N1082">
        <v>0</v>
      </c>
      <c r="O1082">
        <v>0</v>
      </c>
      <c r="P1082">
        <v>1</v>
      </c>
      <c r="Q1082" t="s">
        <v>3200</v>
      </c>
      <c r="R1082" t="s">
        <v>3201</v>
      </c>
      <c r="S1082" t="s">
        <v>13</v>
      </c>
    </row>
    <row r="1083" spans="1:19" x14ac:dyDescent="0.3">
      <c r="A1083" t="s">
        <v>804</v>
      </c>
      <c r="B1083" t="s">
        <v>1596</v>
      </c>
      <c r="C1083" t="s">
        <v>2525</v>
      </c>
      <c r="D1083" t="s">
        <v>3189</v>
      </c>
      <c r="E1083" t="s">
        <v>9</v>
      </c>
      <c r="F1083" s="2">
        <v>24</v>
      </c>
      <c r="G1083" t="s">
        <v>3206</v>
      </c>
      <c r="H1083" t="s">
        <v>10</v>
      </c>
      <c r="I1083" t="s">
        <v>11</v>
      </c>
      <c r="J1083" t="s">
        <v>3198</v>
      </c>
      <c r="K1083" t="s">
        <v>15</v>
      </c>
      <c r="L1083" s="2">
        <v>8.01</v>
      </c>
      <c r="M1083" t="s">
        <v>3199</v>
      </c>
      <c r="N1083">
        <v>0</v>
      </c>
      <c r="O1083">
        <v>0</v>
      </c>
      <c r="P1083">
        <v>1</v>
      </c>
      <c r="Q1083" t="s">
        <v>3200</v>
      </c>
      <c r="R1083" t="s">
        <v>3201</v>
      </c>
      <c r="S1083" t="s">
        <v>13</v>
      </c>
    </row>
    <row r="1084" spans="1:19" x14ac:dyDescent="0.3">
      <c r="A1084" t="s">
        <v>805</v>
      </c>
      <c r="B1084" t="s">
        <v>1596</v>
      </c>
      <c r="C1084" t="s">
        <v>1965</v>
      </c>
      <c r="D1084" t="s">
        <v>3189</v>
      </c>
      <c r="E1084" t="s">
        <v>9</v>
      </c>
      <c r="F1084" s="2">
        <v>22</v>
      </c>
      <c r="G1084" t="s">
        <v>3206</v>
      </c>
      <c r="H1084" t="s">
        <v>10</v>
      </c>
      <c r="I1084" t="s">
        <v>36</v>
      </c>
      <c r="J1084" t="s">
        <v>3213</v>
      </c>
      <c r="K1084" t="s">
        <v>37</v>
      </c>
      <c r="L1084" s="2">
        <v>7.1406000000000001</v>
      </c>
      <c r="M1084" t="s">
        <v>3199</v>
      </c>
      <c r="N1084">
        <v>0</v>
      </c>
      <c r="O1084">
        <v>0</v>
      </c>
      <c r="P1084">
        <v>1</v>
      </c>
      <c r="Q1084" t="s">
        <v>3200</v>
      </c>
      <c r="R1084" t="s">
        <v>3201</v>
      </c>
      <c r="S1084" t="s">
        <v>13</v>
      </c>
    </row>
    <row r="1085" spans="1:19" x14ac:dyDescent="0.3">
      <c r="A1085" t="s">
        <v>806</v>
      </c>
      <c r="B1085" t="s">
        <v>1600</v>
      </c>
      <c r="C1085" t="s">
        <v>2515</v>
      </c>
      <c r="D1085" t="s">
        <v>3190</v>
      </c>
      <c r="E1085" t="s">
        <v>14</v>
      </c>
      <c r="F1085" s="2">
        <v>35</v>
      </c>
      <c r="G1085" t="s">
        <v>3206</v>
      </c>
      <c r="H1085" t="s">
        <v>25</v>
      </c>
      <c r="I1085" t="s">
        <v>19</v>
      </c>
      <c r="J1085" t="s">
        <v>3207</v>
      </c>
      <c r="K1085" t="s">
        <v>64</v>
      </c>
      <c r="L1085" s="2">
        <v>57.15</v>
      </c>
      <c r="M1085" t="s">
        <v>3211</v>
      </c>
      <c r="N1085">
        <v>1</v>
      </c>
      <c r="O1085">
        <v>0</v>
      </c>
      <c r="P1085">
        <v>2</v>
      </c>
      <c r="Q1085" t="s">
        <v>3204</v>
      </c>
      <c r="R1085" t="s">
        <v>3205</v>
      </c>
      <c r="S1085" t="s">
        <v>16</v>
      </c>
    </row>
    <row r="1086" spans="1:19" x14ac:dyDescent="0.3">
      <c r="A1086" t="s">
        <v>807</v>
      </c>
      <c r="B1086" t="s">
        <v>1596</v>
      </c>
      <c r="C1086" t="s">
        <v>2526</v>
      </c>
      <c r="D1086" t="s">
        <v>3189</v>
      </c>
      <c r="E1086" t="s">
        <v>9</v>
      </c>
      <c r="F1086" s="2">
        <v>29</v>
      </c>
      <c r="G1086" t="s">
        <v>3206</v>
      </c>
      <c r="H1086" t="s">
        <v>10</v>
      </c>
      <c r="I1086" t="s">
        <v>11</v>
      </c>
      <c r="J1086" t="s">
        <v>3198</v>
      </c>
      <c r="K1086" t="s">
        <v>46</v>
      </c>
      <c r="L1086" s="2">
        <v>9.1</v>
      </c>
      <c r="M1086" t="s">
        <v>3199</v>
      </c>
      <c r="N1086">
        <v>0</v>
      </c>
      <c r="O1086">
        <v>0</v>
      </c>
      <c r="P1086">
        <v>1</v>
      </c>
      <c r="Q1086" t="s">
        <v>3200</v>
      </c>
      <c r="R1086" t="s">
        <v>3205</v>
      </c>
      <c r="S1086" t="s">
        <v>16</v>
      </c>
    </row>
    <row r="1087" spans="1:19" x14ac:dyDescent="0.3">
      <c r="A1087" t="s">
        <v>808</v>
      </c>
      <c r="B1087" t="s">
        <v>1596</v>
      </c>
      <c r="C1087" t="s">
        <v>2527</v>
      </c>
      <c r="D1087" t="s">
        <v>3189</v>
      </c>
      <c r="E1087" t="s">
        <v>9</v>
      </c>
      <c r="F1087" s="2">
        <v>22</v>
      </c>
      <c r="G1087" t="s">
        <v>3206</v>
      </c>
      <c r="H1087" t="s">
        <v>18</v>
      </c>
      <c r="I1087" t="s">
        <v>11</v>
      </c>
      <c r="J1087" t="s">
        <v>3198</v>
      </c>
      <c r="K1087" t="s">
        <v>15</v>
      </c>
      <c r="L1087" s="2">
        <v>13</v>
      </c>
      <c r="M1087" t="s">
        <v>3199</v>
      </c>
      <c r="N1087">
        <v>0</v>
      </c>
      <c r="O1087">
        <v>0</v>
      </c>
      <c r="P1087">
        <v>1</v>
      </c>
      <c r="Q1087" t="s">
        <v>3200</v>
      </c>
      <c r="R1087" t="s">
        <v>3201</v>
      </c>
      <c r="S1087" t="s">
        <v>13</v>
      </c>
    </row>
    <row r="1088" spans="1:19" x14ac:dyDescent="0.3">
      <c r="A1088" t="s">
        <v>809</v>
      </c>
      <c r="B1088" t="s">
        <v>1596</v>
      </c>
      <c r="C1088" t="s">
        <v>2528</v>
      </c>
      <c r="D1088" t="s">
        <v>3189</v>
      </c>
      <c r="E1088" t="s">
        <v>9</v>
      </c>
      <c r="F1088" s="2">
        <v>42</v>
      </c>
      <c r="G1088" t="s">
        <v>3197</v>
      </c>
      <c r="H1088" t="s">
        <v>10</v>
      </c>
      <c r="I1088" t="s">
        <v>11</v>
      </c>
      <c r="J1088" t="s">
        <v>3198</v>
      </c>
      <c r="K1088" t="s">
        <v>15</v>
      </c>
      <c r="L1088" s="2">
        <v>7.1711</v>
      </c>
      <c r="M1088" t="s">
        <v>3199</v>
      </c>
      <c r="N1088">
        <v>0</v>
      </c>
      <c r="O1088">
        <v>0</v>
      </c>
      <c r="P1088">
        <v>1</v>
      </c>
      <c r="Q1088" t="s">
        <v>3200</v>
      </c>
      <c r="R1088" t="s">
        <v>3201</v>
      </c>
      <c r="S1088" t="s">
        <v>13</v>
      </c>
    </row>
    <row r="1089" spans="1:19" x14ac:dyDescent="0.3">
      <c r="A1089" t="s">
        <v>810</v>
      </c>
      <c r="B1089" t="s">
        <v>1596</v>
      </c>
      <c r="C1089" t="s">
        <v>2529</v>
      </c>
      <c r="D1089" t="s">
        <v>3189</v>
      </c>
      <c r="E1089" t="s">
        <v>9</v>
      </c>
      <c r="F1089" s="2">
        <v>28</v>
      </c>
      <c r="G1089" t="s">
        <v>3206</v>
      </c>
      <c r="H1089" t="s">
        <v>18</v>
      </c>
      <c r="I1089" t="s">
        <v>11</v>
      </c>
      <c r="J1089" t="s">
        <v>3198</v>
      </c>
      <c r="K1089" t="s">
        <v>15</v>
      </c>
      <c r="L1089" s="2">
        <v>13</v>
      </c>
      <c r="M1089" t="s">
        <v>3199</v>
      </c>
      <c r="N1089">
        <v>0</v>
      </c>
      <c r="O1089">
        <v>0</v>
      </c>
      <c r="P1089">
        <v>1</v>
      </c>
      <c r="Q1089" t="s">
        <v>3200</v>
      </c>
      <c r="R1089" t="s">
        <v>3201</v>
      </c>
      <c r="S1089" t="s">
        <v>13</v>
      </c>
    </row>
    <row r="1090" spans="1:19" x14ac:dyDescent="0.3">
      <c r="A1090" t="s">
        <v>811</v>
      </c>
      <c r="B1090" t="s">
        <v>1612</v>
      </c>
      <c r="C1090" t="s">
        <v>2192</v>
      </c>
      <c r="D1090" t="s">
        <v>3189</v>
      </c>
      <c r="E1090" t="s">
        <v>9</v>
      </c>
      <c r="F1090" s="2">
        <v>10</v>
      </c>
      <c r="G1090" t="s">
        <v>3202</v>
      </c>
      <c r="H1090" t="s">
        <v>10</v>
      </c>
      <c r="I1090" t="s">
        <v>19</v>
      </c>
      <c r="J1090" t="s">
        <v>3207</v>
      </c>
      <c r="K1090" t="s">
        <v>21</v>
      </c>
      <c r="L1090" s="2">
        <v>4</v>
      </c>
      <c r="M1090" t="s">
        <v>3199</v>
      </c>
      <c r="N1090">
        <v>0</v>
      </c>
      <c r="O1090">
        <v>0</v>
      </c>
      <c r="P1090">
        <v>1</v>
      </c>
      <c r="Q1090" t="s">
        <v>3200</v>
      </c>
      <c r="R1090" t="s">
        <v>3201</v>
      </c>
      <c r="S1090" t="s">
        <v>13</v>
      </c>
    </row>
    <row r="1091" spans="1:19" x14ac:dyDescent="0.3">
      <c r="A1091" t="s">
        <v>812</v>
      </c>
      <c r="B1091" t="s">
        <v>1602</v>
      </c>
      <c r="C1091" t="s">
        <v>2530</v>
      </c>
      <c r="D1091" t="s">
        <v>3190</v>
      </c>
      <c r="E1091" t="s">
        <v>14</v>
      </c>
      <c r="F1091" s="2">
        <v>30</v>
      </c>
      <c r="G1091" t="s">
        <v>3206</v>
      </c>
      <c r="H1091" t="s">
        <v>25</v>
      </c>
      <c r="I1091" t="s">
        <v>11</v>
      </c>
      <c r="J1091" t="s">
        <v>3198</v>
      </c>
      <c r="K1091" t="s">
        <v>15</v>
      </c>
      <c r="L1091" s="2">
        <v>31</v>
      </c>
      <c r="M1091" t="s">
        <v>3203</v>
      </c>
      <c r="N1091">
        <v>0</v>
      </c>
      <c r="O1091">
        <v>0</v>
      </c>
      <c r="P1091">
        <v>1</v>
      </c>
      <c r="Q1091" t="s">
        <v>3200</v>
      </c>
      <c r="R1091" t="s">
        <v>3205</v>
      </c>
      <c r="S1091" t="s">
        <v>16</v>
      </c>
    </row>
    <row r="1092" spans="1:19" x14ac:dyDescent="0.3">
      <c r="A1092" t="s">
        <v>813</v>
      </c>
      <c r="B1092" t="s">
        <v>1596</v>
      </c>
      <c r="C1092" t="s">
        <v>2531</v>
      </c>
      <c r="D1092" t="s">
        <v>3189</v>
      </c>
      <c r="E1092" t="s">
        <v>9</v>
      </c>
      <c r="F1092" s="2">
        <v>34</v>
      </c>
      <c r="G1092" t="s">
        <v>3206</v>
      </c>
      <c r="H1092" t="s">
        <v>25</v>
      </c>
      <c r="I1092" t="s">
        <v>11</v>
      </c>
      <c r="J1092" t="s">
        <v>3198</v>
      </c>
      <c r="K1092" t="s">
        <v>12</v>
      </c>
      <c r="L1092" s="2">
        <v>26.11</v>
      </c>
      <c r="M1092" t="s">
        <v>3203</v>
      </c>
      <c r="N1092">
        <v>0</v>
      </c>
      <c r="O1092">
        <v>0</v>
      </c>
      <c r="P1092">
        <v>1</v>
      </c>
      <c r="Q1092" t="s">
        <v>3200</v>
      </c>
      <c r="R1092" t="s">
        <v>3205</v>
      </c>
      <c r="S1092" t="s">
        <v>16</v>
      </c>
    </row>
    <row r="1093" spans="1:19" x14ac:dyDescent="0.3">
      <c r="A1093" t="s">
        <v>814</v>
      </c>
      <c r="B1093" t="s">
        <v>1596</v>
      </c>
      <c r="C1093" t="s">
        <v>2532</v>
      </c>
      <c r="D1093" t="s">
        <v>3189</v>
      </c>
      <c r="E1093" t="s">
        <v>9</v>
      </c>
      <c r="F1093" s="2">
        <v>35</v>
      </c>
      <c r="G1093" t="s">
        <v>3206</v>
      </c>
      <c r="H1093" t="s">
        <v>10</v>
      </c>
      <c r="I1093" t="s">
        <v>11</v>
      </c>
      <c r="J1093" t="s">
        <v>3198</v>
      </c>
      <c r="K1093" t="s">
        <v>37</v>
      </c>
      <c r="L1093" s="2">
        <v>33</v>
      </c>
      <c r="M1093" t="s">
        <v>3203</v>
      </c>
      <c r="N1093">
        <v>1</v>
      </c>
      <c r="O1093" t="s">
        <v>30</v>
      </c>
      <c r="P1093" t="e">
        <v>#VALUE!</v>
      </c>
      <c r="Q1093" t="e">
        <v>#VALUE!</v>
      </c>
      <c r="R1093" t="s">
        <v>3201</v>
      </c>
      <c r="S1093" t="s">
        <v>13</v>
      </c>
    </row>
    <row r="1094" spans="1:19" x14ac:dyDescent="0.3">
      <c r="A1094" t="s">
        <v>815</v>
      </c>
      <c r="B1094" t="s">
        <v>1596</v>
      </c>
      <c r="C1094" t="s">
        <v>2533</v>
      </c>
      <c r="D1094" t="s">
        <v>3189</v>
      </c>
      <c r="E1094" t="s">
        <v>9</v>
      </c>
      <c r="F1094" s="2">
        <v>29</v>
      </c>
      <c r="G1094" t="s">
        <v>3206</v>
      </c>
      <c r="H1094" t="s">
        <v>18</v>
      </c>
      <c r="I1094" t="s">
        <v>11</v>
      </c>
      <c r="J1094" t="s">
        <v>3198</v>
      </c>
      <c r="K1094" t="s">
        <v>15</v>
      </c>
      <c r="L1094" s="2">
        <v>26</v>
      </c>
      <c r="M1094" t="s">
        <v>3203</v>
      </c>
      <c r="N1094">
        <v>0</v>
      </c>
      <c r="O1094">
        <v>0</v>
      </c>
      <c r="P1094">
        <v>1</v>
      </c>
      <c r="Q1094" t="s">
        <v>3200</v>
      </c>
      <c r="R1094" t="s">
        <v>3201</v>
      </c>
      <c r="S1094" t="s">
        <v>13</v>
      </c>
    </row>
    <row r="1095" spans="1:19" x14ac:dyDescent="0.3">
      <c r="A1095" t="s">
        <v>816</v>
      </c>
      <c r="B1095" t="s">
        <v>1596</v>
      </c>
      <c r="C1095" t="s">
        <v>1792</v>
      </c>
      <c r="D1095" t="s">
        <v>3189</v>
      </c>
      <c r="E1095" t="s">
        <v>9</v>
      </c>
      <c r="F1095" s="2">
        <v>27</v>
      </c>
      <c r="G1095" t="s">
        <v>3206</v>
      </c>
      <c r="H1095" t="s">
        <v>10</v>
      </c>
      <c r="I1095" t="s">
        <v>36</v>
      </c>
      <c r="J1095" t="s">
        <v>3213</v>
      </c>
      <c r="K1095" t="s">
        <v>37</v>
      </c>
      <c r="L1095" s="2">
        <v>7.15</v>
      </c>
      <c r="M1095" t="s">
        <v>3199</v>
      </c>
      <c r="N1095">
        <v>0</v>
      </c>
      <c r="O1095">
        <v>0</v>
      </c>
      <c r="P1095">
        <v>1</v>
      </c>
      <c r="Q1095" t="s">
        <v>3200</v>
      </c>
      <c r="R1095" t="s">
        <v>3201</v>
      </c>
      <c r="S1095" t="s">
        <v>13</v>
      </c>
    </row>
    <row r="1096" spans="1:19" x14ac:dyDescent="0.3">
      <c r="A1096" t="s">
        <v>817</v>
      </c>
      <c r="B1096" t="s">
        <v>1596</v>
      </c>
      <c r="C1096" t="s">
        <v>2534</v>
      </c>
      <c r="D1096" t="s">
        <v>3189</v>
      </c>
      <c r="E1096" t="s">
        <v>9</v>
      </c>
      <c r="F1096" s="2">
        <v>19</v>
      </c>
      <c r="G1096" t="s">
        <v>3206</v>
      </c>
      <c r="H1096" t="s">
        <v>10</v>
      </c>
      <c r="I1096" t="s">
        <v>19</v>
      </c>
      <c r="J1096" t="s">
        <v>3207</v>
      </c>
      <c r="K1096" t="s">
        <v>15</v>
      </c>
      <c r="L1096" s="2">
        <v>7.0406000000000004</v>
      </c>
      <c r="M1096" t="s">
        <v>3199</v>
      </c>
      <c r="N1096">
        <v>0</v>
      </c>
      <c r="O1096">
        <v>0</v>
      </c>
      <c r="P1096">
        <v>1</v>
      </c>
      <c r="Q1096" t="s">
        <v>3200</v>
      </c>
      <c r="R1096" t="s">
        <v>3201</v>
      </c>
      <c r="S1096" t="s">
        <v>13</v>
      </c>
    </row>
    <row r="1097" spans="1:19" x14ac:dyDescent="0.3">
      <c r="A1097" t="s">
        <v>818</v>
      </c>
      <c r="B1097" t="s">
        <v>1596</v>
      </c>
      <c r="C1097" t="s">
        <v>2535</v>
      </c>
      <c r="D1097" t="s">
        <v>3189</v>
      </c>
      <c r="E1097" t="s">
        <v>9</v>
      </c>
      <c r="F1097" s="2">
        <v>55</v>
      </c>
      <c r="G1097" t="s">
        <v>3197</v>
      </c>
      <c r="H1097" t="s">
        <v>10</v>
      </c>
      <c r="I1097" t="s">
        <v>11</v>
      </c>
      <c r="J1097" t="s">
        <v>3198</v>
      </c>
      <c r="K1097" t="s">
        <v>15</v>
      </c>
      <c r="L1097" s="2">
        <v>15.02</v>
      </c>
      <c r="M1097" t="s">
        <v>3203</v>
      </c>
      <c r="N1097">
        <v>0</v>
      </c>
      <c r="O1097">
        <v>0</v>
      </c>
      <c r="P1097">
        <v>1</v>
      </c>
      <c r="Q1097" t="s">
        <v>3200</v>
      </c>
      <c r="R1097" t="s">
        <v>3201</v>
      </c>
      <c r="S1097" t="s">
        <v>13</v>
      </c>
    </row>
    <row r="1098" spans="1:19" x14ac:dyDescent="0.3">
      <c r="A1098" t="s">
        <v>819</v>
      </c>
      <c r="B1098" t="s">
        <v>1600</v>
      </c>
      <c r="C1098" t="s">
        <v>2536</v>
      </c>
      <c r="D1098" t="s">
        <v>3190</v>
      </c>
      <c r="E1098" t="s">
        <v>14</v>
      </c>
      <c r="F1098" s="2">
        <v>25</v>
      </c>
      <c r="G1098" t="s">
        <v>3206</v>
      </c>
      <c r="H1098" t="s">
        <v>18</v>
      </c>
      <c r="I1098" t="s">
        <v>11</v>
      </c>
      <c r="J1098" t="s">
        <v>3198</v>
      </c>
      <c r="K1098" t="s">
        <v>12</v>
      </c>
      <c r="L1098" s="2">
        <v>26</v>
      </c>
      <c r="M1098" t="s">
        <v>3203</v>
      </c>
      <c r="N1098">
        <v>0</v>
      </c>
      <c r="O1098">
        <v>1</v>
      </c>
      <c r="P1098">
        <v>2</v>
      </c>
      <c r="Q1098" t="s">
        <v>3204</v>
      </c>
      <c r="R1098" t="s">
        <v>3205</v>
      </c>
      <c r="S1098" t="s">
        <v>16</v>
      </c>
    </row>
    <row r="1099" spans="1:19" x14ac:dyDescent="0.3">
      <c r="A1099" t="s">
        <v>820</v>
      </c>
      <c r="B1099" t="s">
        <v>1596</v>
      </c>
      <c r="C1099" t="s">
        <v>2537</v>
      </c>
      <c r="D1099" t="s">
        <v>3189</v>
      </c>
      <c r="E1099" t="s">
        <v>9</v>
      </c>
      <c r="F1099" s="2">
        <v>26</v>
      </c>
      <c r="G1099" t="s">
        <v>3206</v>
      </c>
      <c r="H1099" t="s">
        <v>10</v>
      </c>
      <c r="I1099" t="s">
        <v>19</v>
      </c>
      <c r="J1099" t="s">
        <v>3207</v>
      </c>
      <c r="K1099" t="s">
        <v>21</v>
      </c>
      <c r="L1099" s="2">
        <v>7.0406000000000004</v>
      </c>
      <c r="M1099" t="s">
        <v>3199</v>
      </c>
      <c r="N1099">
        <v>0</v>
      </c>
      <c r="O1099">
        <v>0</v>
      </c>
      <c r="P1099">
        <v>1</v>
      </c>
      <c r="Q1099" t="s">
        <v>3200</v>
      </c>
      <c r="R1099" t="s">
        <v>3201</v>
      </c>
      <c r="S1099" t="s">
        <v>13</v>
      </c>
    </row>
    <row r="1100" spans="1:19" x14ac:dyDescent="0.3">
      <c r="A1100" t="s">
        <v>821</v>
      </c>
      <c r="B1100" t="s">
        <v>1602</v>
      </c>
      <c r="C1100" t="s">
        <v>1720</v>
      </c>
      <c r="D1100" t="s">
        <v>3190</v>
      </c>
      <c r="E1100" t="s">
        <v>14</v>
      </c>
      <c r="F1100" s="2">
        <v>20</v>
      </c>
      <c r="G1100" t="s">
        <v>3206</v>
      </c>
      <c r="H1100" t="s">
        <v>10</v>
      </c>
      <c r="I1100" t="s">
        <v>36</v>
      </c>
      <c r="J1100" t="s">
        <v>3213</v>
      </c>
      <c r="K1100" t="s">
        <v>37</v>
      </c>
      <c r="L1100" s="2">
        <v>7.1607000000000003</v>
      </c>
      <c r="M1100" t="s">
        <v>3199</v>
      </c>
      <c r="N1100">
        <v>0</v>
      </c>
      <c r="O1100">
        <v>0</v>
      </c>
      <c r="P1100">
        <v>1</v>
      </c>
      <c r="Q1100" t="s">
        <v>3200</v>
      </c>
      <c r="R1100" t="s">
        <v>3205</v>
      </c>
      <c r="S1100" t="s">
        <v>16</v>
      </c>
    </row>
    <row r="1101" spans="1:19" x14ac:dyDescent="0.3">
      <c r="A1101" t="s">
        <v>822</v>
      </c>
      <c r="B1101" t="s">
        <v>1596</v>
      </c>
      <c r="C1101" t="s">
        <v>2538</v>
      </c>
      <c r="D1101" t="s">
        <v>3189</v>
      </c>
      <c r="E1101" t="s">
        <v>9</v>
      </c>
      <c r="F1101" s="2">
        <v>22</v>
      </c>
      <c r="G1101" t="s">
        <v>3206</v>
      </c>
      <c r="H1101" t="s">
        <v>10</v>
      </c>
      <c r="I1101" t="s">
        <v>11</v>
      </c>
      <c r="J1101" t="s">
        <v>3198</v>
      </c>
      <c r="K1101" t="s">
        <v>15</v>
      </c>
      <c r="L1101" s="2">
        <v>8.01</v>
      </c>
      <c r="M1101" t="s">
        <v>3199</v>
      </c>
      <c r="N1101">
        <v>0</v>
      </c>
      <c r="O1101">
        <v>0</v>
      </c>
      <c r="P1101">
        <v>1</v>
      </c>
      <c r="Q1101" t="s">
        <v>3200</v>
      </c>
      <c r="R1101" t="s">
        <v>3201</v>
      </c>
      <c r="S1101" t="s">
        <v>13</v>
      </c>
    </row>
    <row r="1102" spans="1:19" x14ac:dyDescent="0.3">
      <c r="A1102" t="s">
        <v>823</v>
      </c>
      <c r="B1102" t="s">
        <v>1602</v>
      </c>
      <c r="C1102" t="s">
        <v>2539</v>
      </c>
      <c r="D1102" t="s">
        <v>3190</v>
      </c>
      <c r="E1102" t="s">
        <v>14</v>
      </c>
      <c r="F1102" s="2">
        <v>40</v>
      </c>
      <c r="G1102" t="s">
        <v>3197</v>
      </c>
      <c r="H1102" t="s">
        <v>25</v>
      </c>
      <c r="I1102" t="s">
        <v>11</v>
      </c>
      <c r="J1102" t="s">
        <v>3198</v>
      </c>
      <c r="K1102" t="s">
        <v>12</v>
      </c>
      <c r="L1102" s="2">
        <v>153.09030000000001</v>
      </c>
      <c r="M1102" t="s">
        <v>3209</v>
      </c>
      <c r="N1102">
        <v>0</v>
      </c>
      <c r="O1102">
        <v>0</v>
      </c>
      <c r="P1102">
        <v>1</v>
      </c>
      <c r="Q1102" t="s">
        <v>3200</v>
      </c>
      <c r="R1102" t="s">
        <v>3205</v>
      </c>
      <c r="S1102" t="s">
        <v>16</v>
      </c>
    </row>
    <row r="1103" spans="1:19" x14ac:dyDescent="0.3">
      <c r="A1103" t="s">
        <v>824</v>
      </c>
      <c r="B1103" t="s">
        <v>1602</v>
      </c>
      <c r="C1103" t="s">
        <v>2540</v>
      </c>
      <c r="D1103" t="s">
        <v>3190</v>
      </c>
      <c r="E1103" t="s">
        <v>14</v>
      </c>
      <c r="F1103" s="2">
        <v>17</v>
      </c>
      <c r="G1103" t="s">
        <v>3202</v>
      </c>
      <c r="H1103" t="s">
        <v>18</v>
      </c>
      <c r="I1103" t="s">
        <v>11</v>
      </c>
      <c r="J1103" t="s">
        <v>3198</v>
      </c>
      <c r="K1103" t="s">
        <v>22</v>
      </c>
      <c r="L1103" s="2">
        <v>13</v>
      </c>
      <c r="M1103" t="s">
        <v>3199</v>
      </c>
      <c r="N1103">
        <v>0</v>
      </c>
      <c r="O1103">
        <v>2</v>
      </c>
      <c r="P1103">
        <v>3</v>
      </c>
      <c r="Q1103" t="s">
        <v>3204</v>
      </c>
      <c r="R1103" t="s">
        <v>3205</v>
      </c>
      <c r="S1103" t="s">
        <v>16</v>
      </c>
    </row>
    <row r="1104" spans="1:19" x14ac:dyDescent="0.3">
      <c r="A1104" t="s">
        <v>825</v>
      </c>
      <c r="B1104" t="s">
        <v>1596</v>
      </c>
      <c r="C1104" t="s">
        <v>2541</v>
      </c>
      <c r="D1104" t="s">
        <v>3189</v>
      </c>
      <c r="E1104" t="s">
        <v>9</v>
      </c>
      <c r="F1104" s="2">
        <v>35</v>
      </c>
      <c r="G1104" t="s">
        <v>3206</v>
      </c>
      <c r="H1104" t="s">
        <v>25</v>
      </c>
      <c r="I1104" t="s">
        <v>11</v>
      </c>
      <c r="J1104" t="s">
        <v>3198</v>
      </c>
      <c r="K1104" t="s">
        <v>12</v>
      </c>
      <c r="L1104" s="2">
        <v>26.050899999999999</v>
      </c>
      <c r="M1104" t="s">
        <v>3203</v>
      </c>
      <c r="N1104">
        <v>0</v>
      </c>
      <c r="O1104">
        <v>0</v>
      </c>
      <c r="P1104">
        <v>1</v>
      </c>
      <c r="Q1104" t="s">
        <v>3200</v>
      </c>
      <c r="R1104" t="s">
        <v>3205</v>
      </c>
      <c r="S1104" t="s">
        <v>16</v>
      </c>
    </row>
    <row r="1105" spans="1:19" x14ac:dyDescent="0.3">
      <c r="A1105" t="s">
        <v>826</v>
      </c>
      <c r="B1105" t="s">
        <v>1600</v>
      </c>
      <c r="C1105" t="s">
        <v>2542</v>
      </c>
      <c r="D1105" t="s">
        <v>3190</v>
      </c>
      <c r="E1105" t="s">
        <v>14</v>
      </c>
      <c r="F1105" s="2">
        <v>39</v>
      </c>
      <c r="G1105" t="s">
        <v>3197</v>
      </c>
      <c r="H1105" t="s">
        <v>25</v>
      </c>
      <c r="I1105" t="s">
        <v>19</v>
      </c>
      <c r="J1105" t="s">
        <v>3207</v>
      </c>
      <c r="K1105" t="s">
        <v>12</v>
      </c>
      <c r="L1105" s="2">
        <v>55.18</v>
      </c>
      <c r="M1105" t="s">
        <v>3211</v>
      </c>
      <c r="N1105">
        <v>1</v>
      </c>
      <c r="O1105">
        <v>0</v>
      </c>
      <c r="P1105">
        <v>2</v>
      </c>
      <c r="Q1105" t="s">
        <v>3204</v>
      </c>
      <c r="R1105" t="s">
        <v>3205</v>
      </c>
      <c r="S1105" t="s">
        <v>16</v>
      </c>
    </row>
    <row r="1106" spans="1:19" x14ac:dyDescent="0.3">
      <c r="A1106" t="s">
        <v>826</v>
      </c>
      <c r="B1106" t="s">
        <v>1596</v>
      </c>
      <c r="C1106" t="s">
        <v>2543</v>
      </c>
      <c r="D1106" t="s">
        <v>3189</v>
      </c>
      <c r="E1106" t="s">
        <v>9</v>
      </c>
      <c r="F1106" s="2">
        <v>51</v>
      </c>
      <c r="G1106" t="s">
        <v>3197</v>
      </c>
      <c r="H1106" t="s">
        <v>25</v>
      </c>
      <c r="I1106" t="s">
        <v>19</v>
      </c>
      <c r="J1106" t="s">
        <v>3207</v>
      </c>
      <c r="K1106" t="s">
        <v>12</v>
      </c>
      <c r="L1106" s="2">
        <v>55.18</v>
      </c>
      <c r="M1106" t="s">
        <v>3211</v>
      </c>
      <c r="N1106">
        <v>1</v>
      </c>
      <c r="O1106">
        <v>0</v>
      </c>
      <c r="P1106">
        <v>2</v>
      </c>
      <c r="Q1106" t="s">
        <v>3204</v>
      </c>
      <c r="R1106" t="s">
        <v>3201</v>
      </c>
      <c r="S1106" t="s">
        <v>13</v>
      </c>
    </row>
    <row r="1107" spans="1:19" x14ac:dyDescent="0.3">
      <c r="A1107" t="s">
        <v>827</v>
      </c>
      <c r="B1107" t="s">
        <v>1596</v>
      </c>
      <c r="C1107" t="s">
        <v>1610</v>
      </c>
      <c r="D1107" t="s">
        <v>3189</v>
      </c>
      <c r="E1107" t="s">
        <v>9</v>
      </c>
      <c r="F1107" s="2">
        <v>40</v>
      </c>
      <c r="G1107" t="s">
        <v>3197</v>
      </c>
      <c r="H1107" t="s">
        <v>10</v>
      </c>
      <c r="I1107" t="s">
        <v>11</v>
      </c>
      <c r="J1107" t="s">
        <v>3198</v>
      </c>
      <c r="K1107" t="s">
        <v>15</v>
      </c>
      <c r="L1107" s="2">
        <v>8.01</v>
      </c>
      <c r="M1107" t="s">
        <v>3199</v>
      </c>
      <c r="N1107">
        <v>0</v>
      </c>
      <c r="O1107">
        <v>0</v>
      </c>
      <c r="P1107">
        <v>1</v>
      </c>
      <c r="Q1107" t="s">
        <v>3200</v>
      </c>
      <c r="R1107" t="s">
        <v>3201</v>
      </c>
      <c r="S1107" t="s">
        <v>13</v>
      </c>
    </row>
    <row r="1108" spans="1:19" x14ac:dyDescent="0.3">
      <c r="A1108" t="s">
        <v>828</v>
      </c>
      <c r="B1108" t="s">
        <v>1596</v>
      </c>
      <c r="C1108" t="s">
        <v>2544</v>
      </c>
      <c r="D1108" t="s">
        <v>3189</v>
      </c>
      <c r="E1108" t="s">
        <v>9</v>
      </c>
      <c r="F1108" s="2">
        <v>56</v>
      </c>
      <c r="G1108" t="s">
        <v>3210</v>
      </c>
      <c r="H1108" t="s">
        <v>25</v>
      </c>
      <c r="I1108" t="s">
        <v>11</v>
      </c>
      <c r="J1108" t="s">
        <v>3198</v>
      </c>
      <c r="K1108" t="s">
        <v>32</v>
      </c>
      <c r="L1108" s="2">
        <v>35.1</v>
      </c>
      <c r="M1108" t="s">
        <v>3211</v>
      </c>
      <c r="N1108">
        <v>0</v>
      </c>
      <c r="O1108">
        <v>0</v>
      </c>
      <c r="P1108">
        <v>1</v>
      </c>
      <c r="Q1108" t="s">
        <v>3200</v>
      </c>
      <c r="R1108" t="s">
        <v>3205</v>
      </c>
      <c r="S1108" t="s">
        <v>16</v>
      </c>
    </row>
    <row r="1109" spans="1:19" x14ac:dyDescent="0.3">
      <c r="A1109" t="s">
        <v>829</v>
      </c>
      <c r="B1109" t="s">
        <v>1602</v>
      </c>
      <c r="C1109" t="s">
        <v>2545</v>
      </c>
      <c r="D1109" t="s">
        <v>3190</v>
      </c>
      <c r="E1109" t="s">
        <v>14</v>
      </c>
      <c r="F1109" s="2">
        <v>20</v>
      </c>
      <c r="G1109" t="s">
        <v>3206</v>
      </c>
      <c r="H1109" t="s">
        <v>18</v>
      </c>
      <c r="I1109" t="s">
        <v>11</v>
      </c>
      <c r="J1109" t="s">
        <v>3198</v>
      </c>
      <c r="K1109" t="s">
        <v>15</v>
      </c>
      <c r="L1109" s="2">
        <v>36.15</v>
      </c>
      <c r="M1109" t="s">
        <v>3211</v>
      </c>
      <c r="N1109">
        <v>0</v>
      </c>
      <c r="O1109">
        <v>0</v>
      </c>
      <c r="P1109">
        <v>1</v>
      </c>
      <c r="Q1109" t="s">
        <v>3200</v>
      </c>
      <c r="R1109" t="s">
        <v>3205</v>
      </c>
      <c r="S1109" t="s">
        <v>16</v>
      </c>
    </row>
    <row r="1110" spans="1:19" x14ac:dyDescent="0.3">
      <c r="A1110" t="s">
        <v>830</v>
      </c>
      <c r="B1110" t="s">
        <v>1602</v>
      </c>
      <c r="C1110" t="s">
        <v>1912</v>
      </c>
      <c r="D1110" t="s">
        <v>3190</v>
      </c>
      <c r="E1110" t="s">
        <v>14</v>
      </c>
      <c r="F1110" s="2">
        <v>30</v>
      </c>
      <c r="G1110" t="s">
        <v>3206</v>
      </c>
      <c r="H1110" t="s">
        <v>18</v>
      </c>
      <c r="I1110" t="s">
        <v>11</v>
      </c>
      <c r="J1110" t="s">
        <v>3198</v>
      </c>
      <c r="K1110" t="s">
        <v>22</v>
      </c>
      <c r="L1110" s="2">
        <v>13</v>
      </c>
      <c r="M1110" t="s">
        <v>3199</v>
      </c>
      <c r="N1110">
        <v>0</v>
      </c>
      <c r="O1110">
        <v>0</v>
      </c>
      <c r="P1110">
        <v>1</v>
      </c>
      <c r="Q1110" t="s">
        <v>3200</v>
      </c>
      <c r="R1110" t="s">
        <v>3205</v>
      </c>
      <c r="S1110" t="s">
        <v>16</v>
      </c>
    </row>
    <row r="1111" spans="1:19" x14ac:dyDescent="0.3">
      <c r="A1111" t="s">
        <v>831</v>
      </c>
      <c r="B1111" t="s">
        <v>1596</v>
      </c>
      <c r="C1111" t="s">
        <v>2546</v>
      </c>
      <c r="D1111" t="s">
        <v>3189</v>
      </c>
      <c r="E1111" t="s">
        <v>9</v>
      </c>
      <c r="F1111" s="2">
        <v>22</v>
      </c>
      <c r="G1111" t="s">
        <v>3206</v>
      </c>
      <c r="H1111" t="s">
        <v>10</v>
      </c>
      <c r="I1111" t="s">
        <v>19</v>
      </c>
      <c r="J1111" t="s">
        <v>3207</v>
      </c>
      <c r="K1111" t="s">
        <v>58</v>
      </c>
      <c r="L1111" s="2">
        <v>7.0407000000000002</v>
      </c>
      <c r="M1111" t="s">
        <v>3199</v>
      </c>
      <c r="N1111">
        <v>0</v>
      </c>
      <c r="O1111">
        <v>0</v>
      </c>
      <c r="P1111">
        <v>1</v>
      </c>
      <c r="Q1111" t="s">
        <v>3200</v>
      </c>
      <c r="R1111" t="s">
        <v>3201</v>
      </c>
      <c r="S1111" t="s">
        <v>13</v>
      </c>
    </row>
    <row r="1112" spans="1:19" x14ac:dyDescent="0.3">
      <c r="A1112" t="s">
        <v>832</v>
      </c>
      <c r="B1112" t="s">
        <v>1596</v>
      </c>
      <c r="C1112" t="s">
        <v>2547</v>
      </c>
      <c r="D1112" t="s">
        <v>3189</v>
      </c>
      <c r="E1112" t="s">
        <v>9</v>
      </c>
      <c r="F1112" s="2">
        <v>20</v>
      </c>
      <c r="G1112" t="s">
        <v>3206</v>
      </c>
      <c r="H1112" t="s">
        <v>10</v>
      </c>
      <c r="I1112" t="s">
        <v>11</v>
      </c>
      <c r="J1112" t="s">
        <v>3198</v>
      </c>
      <c r="K1112" t="s">
        <v>15</v>
      </c>
      <c r="L1112" s="2">
        <v>8.01</v>
      </c>
      <c r="M1112" t="s">
        <v>3199</v>
      </c>
      <c r="N1112">
        <v>0</v>
      </c>
      <c r="O1112">
        <v>0</v>
      </c>
      <c r="P1112">
        <v>1</v>
      </c>
      <c r="Q1112" t="s">
        <v>3200</v>
      </c>
      <c r="R1112" t="s">
        <v>3201</v>
      </c>
      <c r="S1112" t="s">
        <v>13</v>
      </c>
    </row>
    <row r="1113" spans="1:19" x14ac:dyDescent="0.3">
      <c r="A1113" t="s">
        <v>833</v>
      </c>
      <c r="B1113" t="s">
        <v>1596</v>
      </c>
      <c r="C1113" t="s">
        <v>2548</v>
      </c>
      <c r="D1113" t="s">
        <v>3189</v>
      </c>
      <c r="E1113" t="s">
        <v>9</v>
      </c>
      <c r="F1113" s="2">
        <v>40</v>
      </c>
      <c r="G1113" t="s">
        <v>3197</v>
      </c>
      <c r="H1113" t="s">
        <v>10</v>
      </c>
      <c r="I1113" t="s">
        <v>11</v>
      </c>
      <c r="J1113" t="s">
        <v>3198</v>
      </c>
      <c r="K1113" t="s">
        <v>34</v>
      </c>
      <c r="L1113" s="2">
        <v>7.1711</v>
      </c>
      <c r="M1113" t="s">
        <v>3199</v>
      </c>
      <c r="N1113">
        <v>0</v>
      </c>
      <c r="O1113">
        <v>0</v>
      </c>
      <c r="P1113">
        <v>1</v>
      </c>
      <c r="Q1113" t="s">
        <v>3200</v>
      </c>
      <c r="R1113" t="s">
        <v>3201</v>
      </c>
      <c r="S1113" t="s">
        <v>13</v>
      </c>
    </row>
    <row r="1114" spans="1:19" x14ac:dyDescent="0.3">
      <c r="A1114" t="s">
        <v>834</v>
      </c>
      <c r="B1114" t="s">
        <v>1596</v>
      </c>
      <c r="C1114" t="s">
        <v>2549</v>
      </c>
      <c r="D1114" t="s">
        <v>3189</v>
      </c>
      <c r="E1114" t="s">
        <v>9</v>
      </c>
      <c r="F1114" s="2">
        <v>21</v>
      </c>
      <c r="G1114" t="s">
        <v>3206</v>
      </c>
      <c r="H1114" t="s">
        <v>10</v>
      </c>
      <c r="I1114" t="s">
        <v>11</v>
      </c>
      <c r="J1114" t="s">
        <v>3198</v>
      </c>
      <c r="K1114" t="s">
        <v>12</v>
      </c>
      <c r="L1114" s="2">
        <v>7.1806000000000001</v>
      </c>
      <c r="M1114" t="s">
        <v>3199</v>
      </c>
      <c r="N1114">
        <v>0</v>
      </c>
      <c r="O1114">
        <v>0</v>
      </c>
      <c r="P1114">
        <v>1</v>
      </c>
      <c r="Q1114" t="s">
        <v>3200</v>
      </c>
      <c r="R1114" t="s">
        <v>3201</v>
      </c>
      <c r="S1114" t="s">
        <v>13</v>
      </c>
    </row>
    <row r="1115" spans="1:19" x14ac:dyDescent="0.3">
      <c r="A1115" t="s">
        <v>835</v>
      </c>
      <c r="B1115" t="s">
        <v>1602</v>
      </c>
      <c r="C1115" t="s">
        <v>2374</v>
      </c>
      <c r="D1115" t="s">
        <v>3190</v>
      </c>
      <c r="E1115" t="s">
        <v>14</v>
      </c>
      <c r="F1115" s="2">
        <v>18</v>
      </c>
      <c r="G1115" t="s">
        <v>3206</v>
      </c>
      <c r="H1115" t="s">
        <v>10</v>
      </c>
      <c r="I1115" t="s">
        <v>11</v>
      </c>
      <c r="J1115" t="s">
        <v>3198</v>
      </c>
      <c r="K1115" t="s">
        <v>22</v>
      </c>
      <c r="L1115" s="2">
        <v>6.0911</v>
      </c>
      <c r="M1115" t="s">
        <v>3199</v>
      </c>
      <c r="N1115">
        <v>0</v>
      </c>
      <c r="O1115">
        <v>0</v>
      </c>
      <c r="P1115">
        <v>1</v>
      </c>
      <c r="Q1115" t="s">
        <v>3200</v>
      </c>
      <c r="R1115" t="s">
        <v>3205</v>
      </c>
      <c r="S1115" t="s">
        <v>16</v>
      </c>
    </row>
    <row r="1116" spans="1:19" x14ac:dyDescent="0.3">
      <c r="A1116" t="s">
        <v>836</v>
      </c>
      <c r="B1116" t="s">
        <v>1596</v>
      </c>
      <c r="C1116" t="s">
        <v>2550</v>
      </c>
      <c r="D1116" t="s">
        <v>3189</v>
      </c>
      <c r="E1116" t="s">
        <v>9</v>
      </c>
      <c r="F1116" s="2">
        <v>59</v>
      </c>
      <c r="G1116" t="s">
        <v>3210</v>
      </c>
      <c r="H1116" t="s">
        <v>18</v>
      </c>
      <c r="I1116" t="s">
        <v>11</v>
      </c>
      <c r="J1116" t="s">
        <v>3198</v>
      </c>
      <c r="K1116" t="s">
        <v>23</v>
      </c>
      <c r="L1116" s="2">
        <v>13.1</v>
      </c>
      <c r="M1116" t="s">
        <v>3199</v>
      </c>
      <c r="N1116">
        <v>0</v>
      </c>
      <c r="O1116">
        <v>0</v>
      </c>
      <c r="P1116">
        <v>1</v>
      </c>
      <c r="Q1116" t="s">
        <v>3200</v>
      </c>
      <c r="R1116" t="s">
        <v>3201</v>
      </c>
      <c r="S1116" t="s">
        <v>13</v>
      </c>
    </row>
    <row r="1117" spans="1:19" x14ac:dyDescent="0.3">
      <c r="A1117" t="s">
        <v>837</v>
      </c>
      <c r="B1117" t="s">
        <v>1612</v>
      </c>
      <c r="C1117" t="s">
        <v>2551</v>
      </c>
      <c r="D1117" t="s">
        <v>3189</v>
      </c>
      <c r="E1117" t="s">
        <v>9</v>
      </c>
      <c r="F1117" s="2">
        <v>5</v>
      </c>
      <c r="G1117" t="s">
        <v>3208</v>
      </c>
      <c r="H1117" t="s">
        <v>10</v>
      </c>
      <c r="I1117" t="s">
        <v>11</v>
      </c>
      <c r="J1117" t="s">
        <v>3198</v>
      </c>
      <c r="K1117" t="s">
        <v>12</v>
      </c>
      <c r="L1117" s="2">
        <v>27.18</v>
      </c>
      <c r="M1117" t="s">
        <v>3203</v>
      </c>
      <c r="N1117">
        <v>3</v>
      </c>
      <c r="O1117">
        <v>2</v>
      </c>
      <c r="P1117">
        <v>6</v>
      </c>
      <c r="Q1117" t="s">
        <v>3204</v>
      </c>
      <c r="R1117" t="s">
        <v>3201</v>
      </c>
      <c r="S1117" t="s">
        <v>13</v>
      </c>
    </row>
    <row r="1118" spans="1:19" x14ac:dyDescent="0.3">
      <c r="A1118" t="s">
        <v>837</v>
      </c>
      <c r="B1118" t="s">
        <v>1612</v>
      </c>
      <c r="C1118" t="s">
        <v>2552</v>
      </c>
      <c r="D1118" t="s">
        <v>3189</v>
      </c>
      <c r="E1118" t="s">
        <v>9</v>
      </c>
      <c r="F1118" s="2">
        <v>11</v>
      </c>
      <c r="G1118" t="s">
        <v>3202</v>
      </c>
      <c r="H1118" t="s">
        <v>10</v>
      </c>
      <c r="I1118" t="s">
        <v>11</v>
      </c>
      <c r="J1118" t="s">
        <v>3198</v>
      </c>
      <c r="K1118" t="s">
        <v>12</v>
      </c>
      <c r="L1118" s="2">
        <v>27.18</v>
      </c>
      <c r="M1118" t="s">
        <v>3203</v>
      </c>
      <c r="N1118">
        <v>3</v>
      </c>
      <c r="O1118">
        <v>2</v>
      </c>
      <c r="P1118">
        <v>6</v>
      </c>
      <c r="Q1118" t="s">
        <v>3204</v>
      </c>
      <c r="R1118" t="s">
        <v>3201</v>
      </c>
      <c r="S1118" t="s">
        <v>13</v>
      </c>
    </row>
    <row r="1119" spans="1:19" x14ac:dyDescent="0.3">
      <c r="A1119" t="s">
        <v>837</v>
      </c>
      <c r="B1119" t="s">
        <v>1602</v>
      </c>
      <c r="C1119" t="s">
        <v>2553</v>
      </c>
      <c r="D1119" t="s">
        <v>3190</v>
      </c>
      <c r="E1119" t="s">
        <v>14</v>
      </c>
      <c r="F1119" s="2">
        <v>9</v>
      </c>
      <c r="G1119" t="s">
        <v>3202</v>
      </c>
      <c r="H1119" t="s">
        <v>10</v>
      </c>
      <c r="I1119" t="s">
        <v>11</v>
      </c>
      <c r="J1119" t="s">
        <v>3198</v>
      </c>
      <c r="K1119" t="s">
        <v>12</v>
      </c>
      <c r="L1119" s="2">
        <v>27.18</v>
      </c>
      <c r="M1119" t="s">
        <v>3203</v>
      </c>
      <c r="N1119">
        <v>3</v>
      </c>
      <c r="O1119">
        <v>2</v>
      </c>
      <c r="P1119">
        <v>6</v>
      </c>
      <c r="Q1119" t="s">
        <v>3204</v>
      </c>
      <c r="R1119" t="s">
        <v>3201</v>
      </c>
      <c r="S1119" t="s">
        <v>13</v>
      </c>
    </row>
    <row r="1120" spans="1:19" x14ac:dyDescent="0.3">
      <c r="A1120" t="s">
        <v>837</v>
      </c>
      <c r="B1120" t="s">
        <v>1602</v>
      </c>
      <c r="C1120" t="s">
        <v>2554</v>
      </c>
      <c r="D1120" t="s">
        <v>3190</v>
      </c>
      <c r="E1120" t="s">
        <v>14</v>
      </c>
      <c r="F1120" s="2">
        <v>2</v>
      </c>
      <c r="G1120" t="s">
        <v>3208</v>
      </c>
      <c r="H1120" t="s">
        <v>10</v>
      </c>
      <c r="I1120" t="s">
        <v>11</v>
      </c>
      <c r="J1120" t="s">
        <v>3198</v>
      </c>
      <c r="K1120" t="s">
        <v>12</v>
      </c>
      <c r="L1120" s="2">
        <v>27.18</v>
      </c>
      <c r="M1120" t="s">
        <v>3203</v>
      </c>
      <c r="N1120">
        <v>3</v>
      </c>
      <c r="O1120">
        <v>2</v>
      </c>
      <c r="P1120">
        <v>6</v>
      </c>
      <c r="Q1120" t="s">
        <v>3204</v>
      </c>
      <c r="R1120" t="s">
        <v>3201</v>
      </c>
      <c r="S1120" t="s">
        <v>13</v>
      </c>
    </row>
    <row r="1121" spans="1:19" x14ac:dyDescent="0.3">
      <c r="A1121" t="s">
        <v>837</v>
      </c>
      <c r="B1121" t="s">
        <v>1600</v>
      </c>
      <c r="C1121" t="s">
        <v>2555</v>
      </c>
      <c r="D1121" t="s">
        <v>3190</v>
      </c>
      <c r="E1121" t="s">
        <v>14</v>
      </c>
      <c r="F1121" s="2">
        <v>43</v>
      </c>
      <c r="G1121" t="s">
        <v>3197</v>
      </c>
      <c r="H1121" t="s">
        <v>10</v>
      </c>
      <c r="I1121" t="s">
        <v>11</v>
      </c>
      <c r="J1121" t="s">
        <v>3198</v>
      </c>
      <c r="K1121" t="s">
        <v>23</v>
      </c>
      <c r="L1121" s="2">
        <v>27.18</v>
      </c>
      <c r="M1121" t="s">
        <v>3203</v>
      </c>
      <c r="N1121">
        <v>1</v>
      </c>
      <c r="O1121">
        <v>4</v>
      </c>
      <c r="P1121">
        <v>6</v>
      </c>
      <c r="Q1121" t="s">
        <v>3204</v>
      </c>
      <c r="R1121" t="s">
        <v>3201</v>
      </c>
      <c r="S1121" t="s">
        <v>13</v>
      </c>
    </row>
    <row r="1122" spans="1:19" x14ac:dyDescent="0.3">
      <c r="A1122" t="s">
        <v>837</v>
      </c>
      <c r="B1122" t="s">
        <v>1596</v>
      </c>
      <c r="C1122" t="s">
        <v>2556</v>
      </c>
      <c r="D1122" t="s">
        <v>3189</v>
      </c>
      <c r="E1122" t="s">
        <v>9</v>
      </c>
      <c r="F1122" s="2">
        <v>40</v>
      </c>
      <c r="G1122" t="s">
        <v>3197</v>
      </c>
      <c r="H1122" t="s">
        <v>10</v>
      </c>
      <c r="I1122" t="s">
        <v>11</v>
      </c>
      <c r="J1122" t="s">
        <v>3198</v>
      </c>
      <c r="K1122" t="s">
        <v>23</v>
      </c>
      <c r="L1122" s="2">
        <v>27.18</v>
      </c>
      <c r="M1122" t="s">
        <v>3203</v>
      </c>
      <c r="N1122">
        <v>1</v>
      </c>
      <c r="O1122">
        <v>4</v>
      </c>
      <c r="P1122">
        <v>6</v>
      </c>
      <c r="Q1122" t="s">
        <v>3204</v>
      </c>
      <c r="R1122" t="s">
        <v>3201</v>
      </c>
      <c r="S1122" t="s">
        <v>13</v>
      </c>
    </row>
    <row r="1123" spans="1:19" x14ac:dyDescent="0.3">
      <c r="A1123" t="s">
        <v>838</v>
      </c>
      <c r="B1123" t="s">
        <v>1596</v>
      </c>
      <c r="C1123" t="s">
        <v>2557</v>
      </c>
      <c r="D1123" t="s">
        <v>3189</v>
      </c>
      <c r="E1123" t="s">
        <v>9</v>
      </c>
      <c r="F1123" s="2">
        <v>42</v>
      </c>
      <c r="G1123" t="s">
        <v>3197</v>
      </c>
      <c r="H1123" t="s">
        <v>10</v>
      </c>
      <c r="I1123" t="s">
        <v>11</v>
      </c>
      <c r="J1123" t="s">
        <v>3198</v>
      </c>
      <c r="K1123" t="s">
        <v>15</v>
      </c>
      <c r="L1123" s="2">
        <v>7.1711</v>
      </c>
      <c r="M1123" t="s">
        <v>3199</v>
      </c>
      <c r="N1123">
        <v>0</v>
      </c>
      <c r="O1123">
        <v>0</v>
      </c>
      <c r="P1123">
        <v>1</v>
      </c>
      <c r="Q1123" t="s">
        <v>3200</v>
      </c>
      <c r="R1123" t="s">
        <v>3201</v>
      </c>
      <c r="S1123" t="s">
        <v>13</v>
      </c>
    </row>
    <row r="1124" spans="1:19" x14ac:dyDescent="0.3">
      <c r="A1124" t="s">
        <v>839</v>
      </c>
      <c r="B1124" t="s">
        <v>1602</v>
      </c>
      <c r="C1124" t="s">
        <v>2558</v>
      </c>
      <c r="D1124" t="s">
        <v>3190</v>
      </c>
      <c r="E1124" t="s">
        <v>14</v>
      </c>
      <c r="F1124" s="2">
        <v>30</v>
      </c>
      <c r="G1124" t="s">
        <v>3206</v>
      </c>
      <c r="H1124" t="s">
        <v>18</v>
      </c>
      <c r="I1124" t="s">
        <v>36</v>
      </c>
      <c r="J1124" t="s">
        <v>3213</v>
      </c>
      <c r="K1124" t="s">
        <v>26</v>
      </c>
      <c r="L1124" s="2">
        <v>12.07</v>
      </c>
      <c r="M1124" t="s">
        <v>3199</v>
      </c>
      <c r="N1124">
        <v>0</v>
      </c>
      <c r="O1124">
        <v>0</v>
      </c>
      <c r="P1124">
        <v>1</v>
      </c>
      <c r="Q1124" t="s">
        <v>3200</v>
      </c>
      <c r="R1124" t="s">
        <v>3205</v>
      </c>
      <c r="S1124" t="s">
        <v>16</v>
      </c>
    </row>
    <row r="1125" spans="1:19" x14ac:dyDescent="0.3">
      <c r="A1125" t="s">
        <v>840</v>
      </c>
      <c r="B1125" t="s">
        <v>1596</v>
      </c>
      <c r="C1125" t="s">
        <v>2559</v>
      </c>
      <c r="D1125" t="s">
        <v>3189</v>
      </c>
      <c r="E1125" t="s">
        <v>9</v>
      </c>
      <c r="F1125" s="2">
        <v>35</v>
      </c>
      <c r="G1125" t="s">
        <v>3206</v>
      </c>
      <c r="H1125" t="s">
        <v>18</v>
      </c>
      <c r="I1125" t="s">
        <v>11</v>
      </c>
      <c r="J1125" t="s">
        <v>3198</v>
      </c>
      <c r="K1125" t="s">
        <v>15</v>
      </c>
      <c r="L1125" s="2">
        <v>10.1</v>
      </c>
      <c r="M1125" t="s">
        <v>3199</v>
      </c>
      <c r="N1125">
        <v>0</v>
      </c>
      <c r="O1125">
        <v>0</v>
      </c>
      <c r="P1125">
        <v>1</v>
      </c>
      <c r="Q1125" t="s">
        <v>3200</v>
      </c>
      <c r="R1125" t="s">
        <v>3201</v>
      </c>
      <c r="S1125" t="s">
        <v>13</v>
      </c>
    </row>
    <row r="1126" spans="1:19" x14ac:dyDescent="0.3">
      <c r="A1126" t="s">
        <v>841</v>
      </c>
      <c r="B1126" t="s">
        <v>1596</v>
      </c>
      <c r="C1126" t="s">
        <v>2560</v>
      </c>
      <c r="D1126" t="s">
        <v>3189</v>
      </c>
      <c r="E1126" t="s">
        <v>9</v>
      </c>
      <c r="F1126" s="2">
        <v>20</v>
      </c>
      <c r="G1126" t="s">
        <v>3206</v>
      </c>
      <c r="H1126" t="s">
        <v>10</v>
      </c>
      <c r="I1126" t="s">
        <v>11</v>
      </c>
      <c r="J1126" t="s">
        <v>3198</v>
      </c>
      <c r="K1126" t="s">
        <v>15</v>
      </c>
      <c r="L1126" s="2">
        <v>8.01</v>
      </c>
      <c r="M1126" t="s">
        <v>3199</v>
      </c>
      <c r="N1126">
        <v>0</v>
      </c>
      <c r="O1126">
        <v>0</v>
      </c>
      <c r="P1126">
        <v>1</v>
      </c>
      <c r="Q1126" t="s">
        <v>3200</v>
      </c>
      <c r="R1126" t="s">
        <v>3201</v>
      </c>
      <c r="S1126" t="s">
        <v>13</v>
      </c>
    </row>
    <row r="1127" spans="1:19" x14ac:dyDescent="0.3">
      <c r="A1127" t="s">
        <v>842</v>
      </c>
      <c r="B1127" t="s">
        <v>1596</v>
      </c>
      <c r="C1127" t="s">
        <v>2561</v>
      </c>
      <c r="D1127" t="s">
        <v>3189</v>
      </c>
      <c r="E1127" t="s">
        <v>9</v>
      </c>
      <c r="F1127" s="2">
        <v>28</v>
      </c>
      <c r="G1127" t="s">
        <v>3206</v>
      </c>
      <c r="H1127" t="s">
        <v>25</v>
      </c>
      <c r="I1127" t="s">
        <v>11</v>
      </c>
      <c r="J1127" t="s">
        <v>3198</v>
      </c>
      <c r="K1127" t="s">
        <v>12</v>
      </c>
      <c r="L1127" s="2">
        <v>35.1</v>
      </c>
      <c r="M1127" t="s">
        <v>3211</v>
      </c>
      <c r="N1127">
        <v>0</v>
      </c>
      <c r="O1127">
        <v>0</v>
      </c>
      <c r="P1127">
        <v>1</v>
      </c>
      <c r="Q1127" t="s">
        <v>3200</v>
      </c>
      <c r="R1127" t="s">
        <v>3205</v>
      </c>
      <c r="S1127" t="s">
        <v>16</v>
      </c>
    </row>
    <row r="1128" spans="1:19" x14ac:dyDescent="0.3">
      <c r="A1128" t="s">
        <v>843</v>
      </c>
      <c r="B1128" t="s">
        <v>1596</v>
      </c>
      <c r="C1128" t="s">
        <v>2562</v>
      </c>
      <c r="D1128" t="s">
        <v>3189</v>
      </c>
      <c r="E1128" t="s">
        <v>9</v>
      </c>
      <c r="F1128" s="2">
        <v>56</v>
      </c>
      <c r="G1128" t="s">
        <v>3210</v>
      </c>
      <c r="H1128" t="s">
        <v>25</v>
      </c>
      <c r="I1128" t="s">
        <v>11</v>
      </c>
      <c r="J1128" t="s">
        <v>3198</v>
      </c>
      <c r="K1128" t="s">
        <v>15</v>
      </c>
      <c r="L1128" s="2">
        <v>26.11</v>
      </c>
      <c r="M1128" t="s">
        <v>3203</v>
      </c>
      <c r="N1128">
        <v>0</v>
      </c>
      <c r="O1128">
        <v>0</v>
      </c>
      <c r="P1128">
        <v>1</v>
      </c>
      <c r="Q1128" t="s">
        <v>3200</v>
      </c>
      <c r="R1128" t="s">
        <v>3201</v>
      </c>
      <c r="S1128" t="s">
        <v>13</v>
      </c>
    </row>
    <row r="1129" spans="1:19" x14ac:dyDescent="0.3">
      <c r="A1129" t="s">
        <v>844</v>
      </c>
      <c r="B1129" t="s">
        <v>1596</v>
      </c>
      <c r="C1129" t="s">
        <v>2563</v>
      </c>
      <c r="D1129" t="s">
        <v>3189</v>
      </c>
      <c r="E1129" t="s">
        <v>9</v>
      </c>
      <c r="F1129" s="2">
        <v>37</v>
      </c>
      <c r="G1129" t="s">
        <v>3197</v>
      </c>
      <c r="H1129" t="s">
        <v>10</v>
      </c>
      <c r="I1129" t="s">
        <v>11</v>
      </c>
      <c r="J1129" t="s">
        <v>3198</v>
      </c>
      <c r="K1129" t="s">
        <v>65</v>
      </c>
      <c r="L1129" s="2">
        <v>8.1303000000000001</v>
      </c>
      <c r="M1129" t="s">
        <v>3199</v>
      </c>
      <c r="N1129">
        <v>0</v>
      </c>
      <c r="O1129">
        <v>0</v>
      </c>
      <c r="P1129">
        <v>1</v>
      </c>
      <c r="Q1129" t="s">
        <v>3200</v>
      </c>
      <c r="R1129" t="s">
        <v>3201</v>
      </c>
      <c r="S1129" t="s">
        <v>13</v>
      </c>
    </row>
    <row r="1130" spans="1:19" x14ac:dyDescent="0.3">
      <c r="A1130" t="s">
        <v>845</v>
      </c>
      <c r="B1130" t="s">
        <v>1602</v>
      </c>
      <c r="C1130" t="s">
        <v>2564</v>
      </c>
      <c r="D1130" t="s">
        <v>3190</v>
      </c>
      <c r="E1130" t="s">
        <v>14</v>
      </c>
      <c r="F1130" s="2">
        <v>49</v>
      </c>
      <c r="G1130" t="s">
        <v>3197</v>
      </c>
      <c r="H1130" t="s">
        <v>18</v>
      </c>
      <c r="I1130" t="s">
        <v>11</v>
      </c>
      <c r="J1130" t="s">
        <v>3198</v>
      </c>
      <c r="K1130" t="s">
        <v>15</v>
      </c>
      <c r="L1130" s="2">
        <v>13</v>
      </c>
      <c r="M1130" t="s">
        <v>3199</v>
      </c>
      <c r="N1130">
        <v>0</v>
      </c>
      <c r="O1130">
        <v>0</v>
      </c>
      <c r="P1130">
        <v>1</v>
      </c>
      <c r="Q1130" t="s">
        <v>3200</v>
      </c>
      <c r="R1130" t="s">
        <v>3205</v>
      </c>
      <c r="S1130" t="s">
        <v>16</v>
      </c>
    </row>
    <row r="1131" spans="1:19" x14ac:dyDescent="0.3">
      <c r="A1131" t="s">
        <v>845</v>
      </c>
      <c r="B1131" t="s">
        <v>1596</v>
      </c>
      <c r="C1131" t="s">
        <v>2565</v>
      </c>
      <c r="D1131" t="s">
        <v>3189</v>
      </c>
      <c r="E1131" t="s">
        <v>9</v>
      </c>
      <c r="F1131" s="2">
        <v>56</v>
      </c>
      <c r="G1131" t="s">
        <v>3210</v>
      </c>
      <c r="H1131" t="s">
        <v>25</v>
      </c>
      <c r="I1131" t="s">
        <v>19</v>
      </c>
      <c r="J1131" t="s">
        <v>3207</v>
      </c>
      <c r="K1131" t="s">
        <v>20</v>
      </c>
      <c r="L1131" s="2">
        <v>30.1311</v>
      </c>
      <c r="M1131" t="s">
        <v>3203</v>
      </c>
      <c r="N1131">
        <v>0</v>
      </c>
      <c r="O1131">
        <v>0</v>
      </c>
      <c r="P1131">
        <v>1</v>
      </c>
      <c r="Q1131" t="s">
        <v>3200</v>
      </c>
      <c r="R1131" t="s">
        <v>3201</v>
      </c>
      <c r="S1131" t="s">
        <v>13</v>
      </c>
    </row>
    <row r="1132" spans="1:19" x14ac:dyDescent="0.3">
      <c r="A1132" t="s">
        <v>845</v>
      </c>
      <c r="B1132" t="s">
        <v>1596</v>
      </c>
      <c r="C1132" t="s">
        <v>2566</v>
      </c>
      <c r="D1132" t="s">
        <v>3189</v>
      </c>
      <c r="E1132" t="s">
        <v>9</v>
      </c>
      <c r="F1132" s="2">
        <v>24</v>
      </c>
      <c r="G1132" t="s">
        <v>3206</v>
      </c>
      <c r="H1132" t="s">
        <v>25</v>
      </c>
      <c r="I1132" t="s">
        <v>19</v>
      </c>
      <c r="J1132" t="s">
        <v>3207</v>
      </c>
      <c r="K1132" t="s">
        <v>12</v>
      </c>
      <c r="L1132" s="2">
        <v>60</v>
      </c>
      <c r="M1132" t="s">
        <v>3211</v>
      </c>
      <c r="N1132">
        <v>1</v>
      </c>
      <c r="O1132">
        <v>0</v>
      </c>
      <c r="P1132">
        <v>2</v>
      </c>
      <c r="Q1132" t="s">
        <v>3204</v>
      </c>
      <c r="R1132" t="s">
        <v>3201</v>
      </c>
      <c r="S1132" t="s">
        <v>13</v>
      </c>
    </row>
    <row r="1133" spans="1:19" x14ac:dyDescent="0.3">
      <c r="A1133" t="s">
        <v>845</v>
      </c>
      <c r="B1133" t="s">
        <v>1596</v>
      </c>
      <c r="C1133" t="s">
        <v>2567</v>
      </c>
      <c r="D1133" t="s">
        <v>3189</v>
      </c>
      <c r="E1133" t="s">
        <v>9</v>
      </c>
      <c r="F1133" s="2">
        <v>57</v>
      </c>
      <c r="G1133" t="s">
        <v>3210</v>
      </c>
      <c r="H1133" t="s">
        <v>25</v>
      </c>
      <c r="I1133" t="s">
        <v>11</v>
      </c>
      <c r="J1133" t="s">
        <v>3198</v>
      </c>
      <c r="K1133" t="s">
        <v>15</v>
      </c>
      <c r="L1133" s="2">
        <v>26</v>
      </c>
      <c r="M1133" t="s">
        <v>3203</v>
      </c>
      <c r="N1133">
        <v>0</v>
      </c>
      <c r="O1133">
        <v>0</v>
      </c>
      <c r="P1133">
        <v>1</v>
      </c>
      <c r="Q1133" t="s">
        <v>3200</v>
      </c>
      <c r="R1133" t="s">
        <v>3201</v>
      </c>
      <c r="S1133" t="s">
        <v>13</v>
      </c>
    </row>
    <row r="1134" spans="1:19" x14ac:dyDescent="0.3">
      <c r="A1134" t="s">
        <v>845</v>
      </c>
      <c r="B1134" t="s">
        <v>1600</v>
      </c>
      <c r="C1134" t="s">
        <v>2568</v>
      </c>
      <c r="D1134" t="s">
        <v>3190</v>
      </c>
      <c r="E1134" t="s">
        <v>14</v>
      </c>
      <c r="F1134" s="2">
        <v>18</v>
      </c>
      <c r="G1134" t="s">
        <v>3206</v>
      </c>
      <c r="H1134" t="s">
        <v>25</v>
      </c>
      <c r="I1134" t="s">
        <v>19</v>
      </c>
      <c r="J1134" t="s">
        <v>3207</v>
      </c>
      <c r="K1134" t="s">
        <v>12</v>
      </c>
      <c r="L1134" s="2">
        <v>60</v>
      </c>
      <c r="M1134" t="s">
        <v>3211</v>
      </c>
      <c r="N1134">
        <v>1</v>
      </c>
      <c r="O1134">
        <v>0</v>
      </c>
      <c r="P1134">
        <v>2</v>
      </c>
      <c r="Q1134" t="s">
        <v>3204</v>
      </c>
      <c r="R1134" t="s">
        <v>3205</v>
      </c>
      <c r="S1134" t="s">
        <v>16</v>
      </c>
    </row>
    <row r="1135" spans="1:19" x14ac:dyDescent="0.3">
      <c r="A1135" t="s">
        <v>846</v>
      </c>
      <c r="B1135" t="s">
        <v>1602</v>
      </c>
      <c r="C1135" t="s">
        <v>1691</v>
      </c>
      <c r="D1135" t="s">
        <v>3190</v>
      </c>
      <c r="E1135" t="s">
        <v>14</v>
      </c>
      <c r="F1135" s="2">
        <v>18</v>
      </c>
      <c r="G1135" t="s">
        <v>3206</v>
      </c>
      <c r="H1135" t="s">
        <v>10</v>
      </c>
      <c r="I1135" t="s">
        <v>36</v>
      </c>
      <c r="J1135" t="s">
        <v>3213</v>
      </c>
      <c r="K1135" t="s">
        <v>37</v>
      </c>
      <c r="L1135" s="2">
        <v>7.1407999999999996</v>
      </c>
      <c r="M1135" t="s">
        <v>3199</v>
      </c>
      <c r="N1135">
        <v>0</v>
      </c>
      <c r="O1135">
        <v>0</v>
      </c>
      <c r="P1135">
        <v>1</v>
      </c>
      <c r="Q1135" t="s">
        <v>3200</v>
      </c>
      <c r="R1135" t="s">
        <v>3205</v>
      </c>
      <c r="S1135" t="s">
        <v>16</v>
      </c>
    </row>
    <row r="1136" spans="1:19" x14ac:dyDescent="0.3">
      <c r="A1136" t="s">
        <v>846</v>
      </c>
      <c r="B1136" t="s">
        <v>1596</v>
      </c>
      <c r="C1136" t="s">
        <v>1645</v>
      </c>
      <c r="D1136" t="s">
        <v>3189</v>
      </c>
      <c r="E1136" t="s">
        <v>9</v>
      </c>
      <c r="F1136" s="2">
        <v>27</v>
      </c>
      <c r="G1136" t="s">
        <v>3206</v>
      </c>
      <c r="H1136" t="s">
        <v>10</v>
      </c>
      <c r="I1136" t="s">
        <v>36</v>
      </c>
      <c r="J1136" t="s">
        <v>3213</v>
      </c>
      <c r="K1136" t="s">
        <v>37</v>
      </c>
      <c r="L1136" s="2">
        <v>7.15</v>
      </c>
      <c r="M1136" t="s">
        <v>3199</v>
      </c>
      <c r="N1136">
        <v>0</v>
      </c>
      <c r="O1136">
        <v>0</v>
      </c>
      <c r="P1136">
        <v>1</v>
      </c>
      <c r="Q1136" t="s">
        <v>3200</v>
      </c>
      <c r="R1136" t="s">
        <v>3201</v>
      </c>
      <c r="S1136" t="s">
        <v>13</v>
      </c>
    </row>
    <row r="1137" spans="1:19" x14ac:dyDescent="0.3">
      <c r="A1137" t="s">
        <v>847</v>
      </c>
      <c r="B1137" t="s">
        <v>1596</v>
      </c>
      <c r="C1137" t="s">
        <v>2569</v>
      </c>
      <c r="D1137" t="s">
        <v>3189</v>
      </c>
      <c r="E1137" t="s">
        <v>9</v>
      </c>
      <c r="F1137" s="2">
        <v>24</v>
      </c>
      <c r="G1137" t="s">
        <v>3206</v>
      </c>
      <c r="H1137" t="s">
        <v>25</v>
      </c>
      <c r="I1137" t="s">
        <v>11</v>
      </c>
      <c r="J1137" t="s">
        <v>3198</v>
      </c>
      <c r="K1137" t="s">
        <v>12</v>
      </c>
      <c r="L1137" s="2">
        <v>82.050399999999996</v>
      </c>
      <c r="M1137" t="s">
        <v>3211</v>
      </c>
      <c r="N1137">
        <v>1</v>
      </c>
      <c r="O1137">
        <v>0</v>
      </c>
      <c r="P1137">
        <v>2</v>
      </c>
      <c r="Q1137" t="s">
        <v>3204</v>
      </c>
      <c r="R1137" t="s">
        <v>3205</v>
      </c>
      <c r="S1137" t="s">
        <v>16</v>
      </c>
    </row>
    <row r="1138" spans="1:19" x14ac:dyDescent="0.3">
      <c r="A1138" t="s">
        <v>847</v>
      </c>
      <c r="B1138" t="s">
        <v>1600</v>
      </c>
      <c r="C1138" t="s">
        <v>2570</v>
      </c>
      <c r="D1138" t="s">
        <v>3190</v>
      </c>
      <c r="E1138" t="s">
        <v>14</v>
      </c>
      <c r="F1138" s="2">
        <v>23</v>
      </c>
      <c r="G1138" t="s">
        <v>3206</v>
      </c>
      <c r="H1138" t="s">
        <v>25</v>
      </c>
      <c r="I1138" t="s">
        <v>11</v>
      </c>
      <c r="J1138" t="s">
        <v>3198</v>
      </c>
      <c r="K1138" t="s">
        <v>12</v>
      </c>
      <c r="L1138" s="2">
        <v>82.050399999999996</v>
      </c>
      <c r="M1138" t="s">
        <v>3211</v>
      </c>
      <c r="N1138">
        <v>1</v>
      </c>
      <c r="O1138">
        <v>0</v>
      </c>
      <c r="P1138">
        <v>2</v>
      </c>
      <c r="Q1138" t="s">
        <v>3204</v>
      </c>
      <c r="R1138" t="s">
        <v>3205</v>
      </c>
      <c r="S1138" t="s">
        <v>16</v>
      </c>
    </row>
    <row r="1139" spans="1:19" x14ac:dyDescent="0.3">
      <c r="A1139" t="s">
        <v>848</v>
      </c>
      <c r="B1139" t="s">
        <v>1596</v>
      </c>
      <c r="C1139" t="s">
        <v>2571</v>
      </c>
      <c r="D1139" t="s">
        <v>3189</v>
      </c>
      <c r="E1139" t="s">
        <v>9</v>
      </c>
      <c r="F1139" s="2">
        <v>25</v>
      </c>
      <c r="G1139" t="s">
        <v>3206</v>
      </c>
      <c r="H1139" t="s">
        <v>18</v>
      </c>
      <c r="I1139" t="s">
        <v>11</v>
      </c>
      <c r="J1139" t="s">
        <v>3198</v>
      </c>
      <c r="K1139" t="s">
        <v>15</v>
      </c>
      <c r="L1139" s="2">
        <v>13</v>
      </c>
      <c r="M1139" t="s">
        <v>3199</v>
      </c>
      <c r="N1139">
        <v>0</v>
      </c>
      <c r="O1139">
        <v>0</v>
      </c>
      <c r="P1139">
        <v>1</v>
      </c>
      <c r="Q1139" t="s">
        <v>3200</v>
      </c>
      <c r="R1139" t="s">
        <v>3201</v>
      </c>
      <c r="S1139" t="s">
        <v>13</v>
      </c>
    </row>
    <row r="1140" spans="1:19" x14ac:dyDescent="0.3">
      <c r="A1140" t="s">
        <v>849</v>
      </c>
      <c r="B1140" t="s">
        <v>1596</v>
      </c>
      <c r="C1140" t="s">
        <v>2572</v>
      </c>
      <c r="D1140" t="s">
        <v>3189</v>
      </c>
      <c r="E1140" t="s">
        <v>9</v>
      </c>
      <c r="F1140" s="2">
        <v>19</v>
      </c>
      <c r="G1140" t="s">
        <v>3206</v>
      </c>
      <c r="H1140" t="s">
        <v>10</v>
      </c>
      <c r="I1140" t="s">
        <v>11</v>
      </c>
      <c r="J1140" t="s">
        <v>3198</v>
      </c>
      <c r="K1140" t="s">
        <v>17</v>
      </c>
      <c r="L1140" s="2">
        <v>7.13</v>
      </c>
      <c r="M1140" t="s">
        <v>3199</v>
      </c>
      <c r="N1140">
        <v>0</v>
      </c>
      <c r="O1140">
        <v>0</v>
      </c>
      <c r="P1140">
        <v>1</v>
      </c>
      <c r="Q1140" t="s">
        <v>3200</v>
      </c>
      <c r="R1140" t="s">
        <v>3201</v>
      </c>
      <c r="S1140" t="s">
        <v>13</v>
      </c>
    </row>
    <row r="1141" spans="1:19" x14ac:dyDescent="0.3">
      <c r="A1141" t="s">
        <v>850</v>
      </c>
      <c r="B1141" t="s">
        <v>1596</v>
      </c>
      <c r="C1141" t="s">
        <v>2573</v>
      </c>
      <c r="D1141" t="s">
        <v>3189</v>
      </c>
      <c r="E1141" t="s">
        <v>9</v>
      </c>
      <c r="F1141" s="2">
        <v>31</v>
      </c>
      <c r="G1141" t="s">
        <v>3206</v>
      </c>
      <c r="H1141" t="s">
        <v>10</v>
      </c>
      <c r="I1141" t="s">
        <v>11</v>
      </c>
      <c r="J1141" t="s">
        <v>3198</v>
      </c>
      <c r="K1141" t="s">
        <v>15</v>
      </c>
      <c r="L1141" s="2">
        <v>8.01</v>
      </c>
      <c r="M1141" t="s">
        <v>3199</v>
      </c>
      <c r="N1141">
        <v>0</v>
      </c>
      <c r="O1141">
        <v>0</v>
      </c>
      <c r="P1141">
        <v>1</v>
      </c>
      <c r="Q1141" t="s">
        <v>3200</v>
      </c>
      <c r="R1141" t="s">
        <v>3201</v>
      </c>
      <c r="S1141" t="s">
        <v>13</v>
      </c>
    </row>
    <row r="1142" spans="1:19" x14ac:dyDescent="0.3">
      <c r="A1142" t="s">
        <v>851</v>
      </c>
      <c r="B1142" t="s">
        <v>1596</v>
      </c>
      <c r="C1142" t="s">
        <v>2574</v>
      </c>
      <c r="D1142" t="s">
        <v>3189</v>
      </c>
      <c r="E1142" t="s">
        <v>9</v>
      </c>
      <c r="F1142" s="2">
        <v>23</v>
      </c>
      <c r="G1142" t="s">
        <v>3206</v>
      </c>
      <c r="H1142" t="s">
        <v>10</v>
      </c>
      <c r="I1142" t="s">
        <v>11</v>
      </c>
      <c r="J1142" t="s">
        <v>3198</v>
      </c>
      <c r="K1142" t="s">
        <v>15</v>
      </c>
      <c r="L1142" s="2">
        <v>8.01</v>
      </c>
      <c r="M1142" t="s">
        <v>3199</v>
      </c>
      <c r="N1142">
        <v>0</v>
      </c>
      <c r="O1142">
        <v>0</v>
      </c>
      <c r="P1142">
        <v>1</v>
      </c>
      <c r="Q1142" t="s">
        <v>3200</v>
      </c>
      <c r="R1142" t="s">
        <v>3201</v>
      </c>
      <c r="S1142" t="s">
        <v>13</v>
      </c>
    </row>
    <row r="1143" spans="1:19" x14ac:dyDescent="0.3">
      <c r="A1143" t="s">
        <v>852</v>
      </c>
      <c r="B1143" t="s">
        <v>1612</v>
      </c>
      <c r="C1143" t="s">
        <v>2371</v>
      </c>
      <c r="D1143" t="s">
        <v>3189</v>
      </c>
      <c r="E1143" t="s">
        <v>9</v>
      </c>
      <c r="F1143" s="2">
        <v>6</v>
      </c>
      <c r="G1143" t="s">
        <v>3208</v>
      </c>
      <c r="H1143" t="s">
        <v>25</v>
      </c>
      <c r="I1143" t="s">
        <v>19</v>
      </c>
      <c r="J1143" t="s">
        <v>3207</v>
      </c>
      <c r="K1143" t="s">
        <v>12</v>
      </c>
      <c r="L1143" s="2">
        <v>134.1</v>
      </c>
      <c r="M1143" t="s">
        <v>3209</v>
      </c>
      <c r="N1143">
        <v>0</v>
      </c>
      <c r="O1143">
        <v>2</v>
      </c>
      <c r="P1143">
        <v>3</v>
      </c>
      <c r="Q1143" t="s">
        <v>3204</v>
      </c>
      <c r="R1143" t="s">
        <v>3205</v>
      </c>
      <c r="S1143" t="s">
        <v>16</v>
      </c>
    </row>
    <row r="1144" spans="1:19" x14ac:dyDescent="0.3">
      <c r="A1144" t="s">
        <v>852</v>
      </c>
      <c r="B1144" t="s">
        <v>1596</v>
      </c>
      <c r="C1144" t="s">
        <v>2575</v>
      </c>
      <c r="D1144" t="s">
        <v>3189</v>
      </c>
      <c r="E1144" t="s">
        <v>9</v>
      </c>
      <c r="F1144" s="2">
        <v>45</v>
      </c>
      <c r="G1144" t="s">
        <v>3197</v>
      </c>
      <c r="H1144" t="s">
        <v>25</v>
      </c>
      <c r="I1144" t="s">
        <v>19</v>
      </c>
      <c r="J1144" t="s">
        <v>3207</v>
      </c>
      <c r="K1144" t="s">
        <v>12</v>
      </c>
      <c r="L1144" s="2">
        <v>134.1</v>
      </c>
      <c r="M1144" t="s">
        <v>3209</v>
      </c>
      <c r="N1144">
        <v>1</v>
      </c>
      <c r="O1144">
        <v>1</v>
      </c>
      <c r="P1144">
        <v>3</v>
      </c>
      <c r="Q1144" t="s">
        <v>3204</v>
      </c>
      <c r="R1144" t="s">
        <v>3205</v>
      </c>
      <c r="S1144" t="s">
        <v>16</v>
      </c>
    </row>
    <row r="1145" spans="1:19" x14ac:dyDescent="0.3">
      <c r="A1145" t="s">
        <v>852</v>
      </c>
      <c r="B1145" t="s">
        <v>1600</v>
      </c>
      <c r="C1145" t="s">
        <v>2576</v>
      </c>
      <c r="D1145" t="s">
        <v>3190</v>
      </c>
      <c r="E1145" t="s">
        <v>14</v>
      </c>
      <c r="F1145" s="2">
        <v>39</v>
      </c>
      <c r="G1145" t="s">
        <v>3197</v>
      </c>
      <c r="H1145" t="s">
        <v>25</v>
      </c>
      <c r="I1145" t="s">
        <v>19</v>
      </c>
      <c r="J1145" t="s">
        <v>3207</v>
      </c>
      <c r="K1145" t="s">
        <v>12</v>
      </c>
      <c r="L1145" s="2">
        <v>134.1</v>
      </c>
      <c r="M1145" t="s">
        <v>3209</v>
      </c>
      <c r="N1145">
        <v>1</v>
      </c>
      <c r="O1145">
        <v>1</v>
      </c>
      <c r="P1145">
        <v>3</v>
      </c>
      <c r="Q1145" t="s">
        <v>3204</v>
      </c>
      <c r="R1145" t="s">
        <v>3205</v>
      </c>
      <c r="S1145" t="s">
        <v>16</v>
      </c>
    </row>
    <row r="1146" spans="1:19" x14ac:dyDescent="0.3">
      <c r="A1146" t="s">
        <v>853</v>
      </c>
      <c r="B1146" t="s">
        <v>1600</v>
      </c>
      <c r="C1146" t="s">
        <v>2577</v>
      </c>
      <c r="D1146" t="s">
        <v>3190</v>
      </c>
      <c r="E1146" t="s">
        <v>14</v>
      </c>
      <c r="F1146" s="2">
        <v>48</v>
      </c>
      <c r="G1146" t="s">
        <v>3197</v>
      </c>
      <c r="H1146" t="s">
        <v>25</v>
      </c>
      <c r="I1146" t="s">
        <v>19</v>
      </c>
      <c r="J1146" t="s">
        <v>3207</v>
      </c>
      <c r="K1146" t="s">
        <v>12</v>
      </c>
      <c r="L1146" s="2">
        <v>146.10050000000001</v>
      </c>
      <c r="M1146" t="s">
        <v>3209</v>
      </c>
      <c r="N1146">
        <v>1</v>
      </c>
      <c r="O1146">
        <v>0</v>
      </c>
      <c r="P1146">
        <v>2</v>
      </c>
      <c r="Q1146" t="s">
        <v>3204</v>
      </c>
      <c r="R1146" t="s">
        <v>3205</v>
      </c>
      <c r="S1146" t="s">
        <v>16</v>
      </c>
    </row>
    <row r="1147" spans="1:19" x14ac:dyDescent="0.3">
      <c r="A1147" t="s">
        <v>853</v>
      </c>
      <c r="B1147" t="s">
        <v>1596</v>
      </c>
      <c r="C1147" t="s">
        <v>2578</v>
      </c>
      <c r="D1147" t="s">
        <v>3189</v>
      </c>
      <c r="E1147" t="s">
        <v>9</v>
      </c>
      <c r="F1147" s="2">
        <v>57</v>
      </c>
      <c r="G1147" t="s">
        <v>3210</v>
      </c>
      <c r="H1147" t="s">
        <v>25</v>
      </c>
      <c r="I1147" t="s">
        <v>19</v>
      </c>
      <c r="J1147" t="s">
        <v>3207</v>
      </c>
      <c r="K1147" t="s">
        <v>12</v>
      </c>
      <c r="L1147" s="2">
        <v>146.10050000000001</v>
      </c>
      <c r="M1147" t="s">
        <v>3209</v>
      </c>
      <c r="N1147">
        <v>1</v>
      </c>
      <c r="O1147">
        <v>0</v>
      </c>
      <c r="P1147">
        <v>2</v>
      </c>
      <c r="Q1147" t="s">
        <v>3204</v>
      </c>
      <c r="R1147" t="s">
        <v>3201</v>
      </c>
      <c r="S1147" t="s">
        <v>13</v>
      </c>
    </row>
    <row r="1148" spans="1:19" x14ac:dyDescent="0.3">
      <c r="A1148" t="s">
        <v>854</v>
      </c>
      <c r="B1148" t="s">
        <v>1596</v>
      </c>
      <c r="C1148" t="s">
        <v>2579</v>
      </c>
      <c r="D1148" t="s">
        <v>3189</v>
      </c>
      <c r="E1148" t="s">
        <v>9</v>
      </c>
      <c r="F1148" s="2">
        <v>31</v>
      </c>
      <c r="G1148" t="s">
        <v>3206</v>
      </c>
      <c r="H1148" t="s">
        <v>10</v>
      </c>
      <c r="I1148" t="s">
        <v>11</v>
      </c>
      <c r="J1148" t="s">
        <v>3198</v>
      </c>
      <c r="K1148" t="s">
        <v>15</v>
      </c>
      <c r="L1148" s="2">
        <v>8.01</v>
      </c>
      <c r="M1148" t="s">
        <v>3199</v>
      </c>
      <c r="N1148">
        <v>0</v>
      </c>
      <c r="O1148">
        <v>0</v>
      </c>
      <c r="P1148">
        <v>1</v>
      </c>
      <c r="Q1148" t="s">
        <v>3200</v>
      </c>
      <c r="R1148" t="s">
        <v>3201</v>
      </c>
      <c r="S1148" t="s">
        <v>13</v>
      </c>
    </row>
    <row r="1149" spans="1:19" x14ac:dyDescent="0.3">
      <c r="A1149" t="s">
        <v>855</v>
      </c>
      <c r="B1149" t="s">
        <v>1749</v>
      </c>
      <c r="C1149" t="s">
        <v>2580</v>
      </c>
      <c r="D1149" t="s">
        <v>3189</v>
      </c>
      <c r="E1149" t="s">
        <v>9</v>
      </c>
      <c r="F1149" s="2">
        <v>32</v>
      </c>
      <c r="G1149" t="s">
        <v>3206</v>
      </c>
      <c r="H1149" t="s">
        <v>25</v>
      </c>
      <c r="I1149" t="s">
        <v>11</v>
      </c>
      <c r="J1149" t="s">
        <v>3198</v>
      </c>
      <c r="K1149" t="s">
        <v>32</v>
      </c>
      <c r="L1149" s="2">
        <v>30.1</v>
      </c>
      <c r="M1149" t="s">
        <v>3203</v>
      </c>
      <c r="N1149">
        <v>0</v>
      </c>
      <c r="O1149">
        <v>0</v>
      </c>
      <c r="P1149">
        <v>1</v>
      </c>
      <c r="Q1149" t="s">
        <v>3200</v>
      </c>
      <c r="R1149" t="s">
        <v>3205</v>
      </c>
      <c r="S1149" t="s">
        <v>16</v>
      </c>
    </row>
    <row r="1150" spans="1:19" x14ac:dyDescent="0.3">
      <c r="A1150" t="s">
        <v>856</v>
      </c>
      <c r="B1150" t="s">
        <v>1596</v>
      </c>
      <c r="C1150" t="s">
        <v>1864</v>
      </c>
      <c r="D1150" t="s">
        <v>3189</v>
      </c>
      <c r="E1150" t="s">
        <v>9</v>
      </c>
      <c r="F1150" s="2">
        <v>23</v>
      </c>
      <c r="G1150" t="s">
        <v>3206</v>
      </c>
      <c r="H1150" t="s">
        <v>10</v>
      </c>
      <c r="I1150" t="s">
        <v>11</v>
      </c>
      <c r="J1150" t="s">
        <v>3198</v>
      </c>
      <c r="K1150" t="s">
        <v>31</v>
      </c>
      <c r="L1150" s="2">
        <v>7.1711</v>
      </c>
      <c r="M1150" t="s">
        <v>3199</v>
      </c>
      <c r="N1150">
        <v>0</v>
      </c>
      <c r="O1150">
        <v>0</v>
      </c>
      <c r="P1150">
        <v>1</v>
      </c>
      <c r="Q1150" t="s">
        <v>3200</v>
      </c>
      <c r="R1150" t="s">
        <v>3201</v>
      </c>
      <c r="S1150" t="s">
        <v>13</v>
      </c>
    </row>
    <row r="1151" spans="1:19" x14ac:dyDescent="0.3">
      <c r="A1151" t="s">
        <v>857</v>
      </c>
      <c r="B1151" t="s">
        <v>1596</v>
      </c>
      <c r="C1151" t="s">
        <v>1864</v>
      </c>
      <c r="D1151" t="s">
        <v>3189</v>
      </c>
      <c r="E1151" t="s">
        <v>9</v>
      </c>
      <c r="F1151" s="2">
        <v>33</v>
      </c>
      <c r="G1151" t="s">
        <v>3206</v>
      </c>
      <c r="H1151" t="s">
        <v>10</v>
      </c>
      <c r="I1151" t="s">
        <v>19</v>
      </c>
      <c r="J1151" t="s">
        <v>3207</v>
      </c>
      <c r="K1151" t="s">
        <v>65</v>
      </c>
      <c r="L1151" s="2">
        <v>8.1309000000000005</v>
      </c>
      <c r="M1151" t="s">
        <v>3199</v>
      </c>
      <c r="N1151">
        <v>0</v>
      </c>
      <c r="O1151">
        <v>0</v>
      </c>
      <c r="P1151">
        <v>1</v>
      </c>
      <c r="Q1151" t="s">
        <v>3200</v>
      </c>
      <c r="R1151" t="s">
        <v>3201</v>
      </c>
      <c r="S1151" t="s">
        <v>13</v>
      </c>
    </row>
    <row r="1152" spans="1:19" x14ac:dyDescent="0.3">
      <c r="A1152" t="s">
        <v>858</v>
      </c>
      <c r="B1152" t="s">
        <v>1602</v>
      </c>
      <c r="C1152" t="s">
        <v>2581</v>
      </c>
      <c r="D1152" t="s">
        <v>3190</v>
      </c>
      <c r="E1152" t="s">
        <v>14</v>
      </c>
      <c r="F1152" s="2">
        <v>24</v>
      </c>
      <c r="G1152" t="s">
        <v>3206</v>
      </c>
      <c r="H1152" t="s">
        <v>10</v>
      </c>
      <c r="I1152" t="s">
        <v>11</v>
      </c>
      <c r="J1152" t="s">
        <v>3198</v>
      </c>
      <c r="K1152" t="s">
        <v>15</v>
      </c>
      <c r="L1152" s="2">
        <v>7.11</v>
      </c>
      <c r="M1152" t="s">
        <v>3199</v>
      </c>
      <c r="N1152">
        <v>0</v>
      </c>
      <c r="O1152">
        <v>0</v>
      </c>
      <c r="P1152">
        <v>1</v>
      </c>
      <c r="Q1152" t="s">
        <v>3200</v>
      </c>
      <c r="R1152" t="s">
        <v>3205</v>
      </c>
      <c r="S1152" t="s">
        <v>16</v>
      </c>
    </row>
    <row r="1153" spans="1:19" x14ac:dyDescent="0.3">
      <c r="A1153" t="s">
        <v>858</v>
      </c>
      <c r="B1153" t="s">
        <v>1596</v>
      </c>
      <c r="C1153" t="s">
        <v>2582</v>
      </c>
      <c r="D1153" t="s">
        <v>3189</v>
      </c>
      <c r="E1153" t="s">
        <v>9</v>
      </c>
      <c r="F1153" s="2">
        <v>22</v>
      </c>
      <c r="G1153" t="s">
        <v>3206</v>
      </c>
      <c r="H1153" t="s">
        <v>10</v>
      </c>
      <c r="I1153" t="s">
        <v>11</v>
      </c>
      <c r="J1153" t="s">
        <v>3198</v>
      </c>
      <c r="K1153" t="s">
        <v>15</v>
      </c>
      <c r="L1153" s="2">
        <v>8.01</v>
      </c>
      <c r="M1153" t="s">
        <v>3199</v>
      </c>
      <c r="N1153">
        <v>0</v>
      </c>
      <c r="O1153">
        <v>0</v>
      </c>
      <c r="P1153">
        <v>1</v>
      </c>
      <c r="Q1153" t="s">
        <v>3200</v>
      </c>
      <c r="R1153" t="s">
        <v>3201</v>
      </c>
      <c r="S1153" t="s">
        <v>13</v>
      </c>
    </row>
    <row r="1154" spans="1:19" x14ac:dyDescent="0.3">
      <c r="A1154" t="s">
        <v>859</v>
      </c>
      <c r="B1154" t="s">
        <v>1596</v>
      </c>
      <c r="C1154" t="s">
        <v>2583</v>
      </c>
      <c r="D1154" t="s">
        <v>3189</v>
      </c>
      <c r="E1154" t="s">
        <v>9</v>
      </c>
      <c r="F1154" s="2">
        <v>42</v>
      </c>
      <c r="G1154" t="s">
        <v>3197</v>
      </c>
      <c r="H1154" t="s">
        <v>18</v>
      </c>
      <c r="I1154" t="s">
        <v>19</v>
      </c>
      <c r="J1154" t="s">
        <v>3207</v>
      </c>
      <c r="K1154" t="s">
        <v>12</v>
      </c>
      <c r="L1154" s="2">
        <v>15</v>
      </c>
      <c r="M1154" t="s">
        <v>3199</v>
      </c>
      <c r="N1154">
        <v>0</v>
      </c>
      <c r="O1154">
        <v>0</v>
      </c>
      <c r="P1154">
        <v>1</v>
      </c>
      <c r="Q1154" t="s">
        <v>3200</v>
      </c>
      <c r="R1154" t="s">
        <v>3201</v>
      </c>
      <c r="S1154" t="s">
        <v>13</v>
      </c>
    </row>
    <row r="1155" spans="1:19" x14ac:dyDescent="0.3">
      <c r="A1155" t="s">
        <v>860</v>
      </c>
      <c r="B1155" t="s">
        <v>1596</v>
      </c>
      <c r="C1155" t="s">
        <v>1704</v>
      </c>
      <c r="D1155" t="s">
        <v>3189</v>
      </c>
      <c r="E1155" t="s">
        <v>9</v>
      </c>
      <c r="F1155" s="2">
        <v>62</v>
      </c>
      <c r="G1155" t="s">
        <v>3210</v>
      </c>
      <c r="H1155" t="s">
        <v>25</v>
      </c>
      <c r="I1155" t="s">
        <v>11</v>
      </c>
      <c r="J1155" t="s">
        <v>3198</v>
      </c>
      <c r="K1155" t="s">
        <v>15</v>
      </c>
      <c r="L1155" s="2">
        <v>26.11</v>
      </c>
      <c r="M1155" t="s">
        <v>3203</v>
      </c>
      <c r="N1155">
        <v>0</v>
      </c>
      <c r="O1155">
        <v>0</v>
      </c>
      <c r="P1155">
        <v>1</v>
      </c>
      <c r="Q1155" t="s">
        <v>3200</v>
      </c>
      <c r="R1155" t="s">
        <v>3201</v>
      </c>
      <c r="S1155" t="s">
        <v>13</v>
      </c>
    </row>
    <row r="1156" spans="1:19" x14ac:dyDescent="0.3">
      <c r="A1156" t="s">
        <v>861</v>
      </c>
      <c r="B1156" t="s">
        <v>1596</v>
      </c>
      <c r="C1156" t="s">
        <v>2584</v>
      </c>
      <c r="D1156" t="s">
        <v>3189</v>
      </c>
      <c r="E1156" t="s">
        <v>9</v>
      </c>
      <c r="F1156" s="2">
        <v>54</v>
      </c>
      <c r="G1156" t="s">
        <v>3197</v>
      </c>
      <c r="H1156" t="s">
        <v>25</v>
      </c>
      <c r="I1156" t="s">
        <v>19</v>
      </c>
      <c r="J1156" t="s">
        <v>3207</v>
      </c>
      <c r="K1156" t="s">
        <v>12</v>
      </c>
      <c r="L1156" s="2">
        <v>55.081000000000003</v>
      </c>
      <c r="M1156" t="s">
        <v>3211</v>
      </c>
      <c r="N1156">
        <v>1</v>
      </c>
      <c r="O1156">
        <v>0</v>
      </c>
      <c r="P1156">
        <v>2</v>
      </c>
      <c r="Q1156" t="s">
        <v>3204</v>
      </c>
      <c r="R1156" t="s">
        <v>3205</v>
      </c>
      <c r="S1156" t="s">
        <v>16</v>
      </c>
    </row>
    <row r="1157" spans="1:19" x14ac:dyDescent="0.3">
      <c r="A1157" t="s">
        <v>861</v>
      </c>
      <c r="B1157" t="s">
        <v>1600</v>
      </c>
      <c r="C1157" t="s">
        <v>2585</v>
      </c>
      <c r="D1157" t="s">
        <v>3190</v>
      </c>
      <c r="E1157" t="s">
        <v>14</v>
      </c>
      <c r="F1157" s="2">
        <v>43</v>
      </c>
      <c r="G1157" t="s">
        <v>3197</v>
      </c>
      <c r="H1157" t="s">
        <v>25</v>
      </c>
      <c r="I1157" t="s">
        <v>19</v>
      </c>
      <c r="J1157" t="s">
        <v>3207</v>
      </c>
      <c r="K1157" t="s">
        <v>37</v>
      </c>
      <c r="L1157" s="2">
        <v>55.081000000000003</v>
      </c>
      <c r="M1157" t="s">
        <v>3211</v>
      </c>
      <c r="N1157">
        <v>1</v>
      </c>
      <c r="O1157">
        <v>0</v>
      </c>
      <c r="P1157">
        <v>2</v>
      </c>
      <c r="Q1157" t="s">
        <v>3204</v>
      </c>
      <c r="R1157" t="s">
        <v>3205</v>
      </c>
      <c r="S1157" t="s">
        <v>16</v>
      </c>
    </row>
    <row r="1158" spans="1:19" x14ac:dyDescent="0.3">
      <c r="A1158" t="s">
        <v>862</v>
      </c>
      <c r="B1158" t="s">
        <v>1600</v>
      </c>
      <c r="C1158" t="s">
        <v>2586</v>
      </c>
      <c r="D1158" t="s">
        <v>3190</v>
      </c>
      <c r="E1158" t="s">
        <v>14</v>
      </c>
      <c r="F1158" s="2">
        <v>52</v>
      </c>
      <c r="G1158" t="s">
        <v>3197</v>
      </c>
      <c r="H1158" t="s">
        <v>25</v>
      </c>
      <c r="I1158" t="s">
        <v>19</v>
      </c>
      <c r="J1158" t="s">
        <v>3207</v>
      </c>
      <c r="K1158" t="s">
        <v>12</v>
      </c>
      <c r="L1158" s="2">
        <v>78.050399999999996</v>
      </c>
      <c r="M1158" t="s">
        <v>3211</v>
      </c>
      <c r="N1158">
        <v>1</v>
      </c>
      <c r="O1158">
        <v>0</v>
      </c>
      <c r="P1158">
        <v>2</v>
      </c>
      <c r="Q1158" t="s">
        <v>3204</v>
      </c>
      <c r="R1158" t="s">
        <v>3205</v>
      </c>
      <c r="S1158" t="s">
        <v>16</v>
      </c>
    </row>
    <row r="1159" spans="1:19" x14ac:dyDescent="0.3">
      <c r="A1159" t="s">
        <v>863</v>
      </c>
      <c r="B1159" t="s">
        <v>1596</v>
      </c>
      <c r="C1159" t="s">
        <v>2587</v>
      </c>
      <c r="D1159" t="s">
        <v>3189</v>
      </c>
      <c r="E1159" t="s">
        <v>9</v>
      </c>
      <c r="F1159" s="2">
        <v>64</v>
      </c>
      <c r="G1159" t="s">
        <v>3210</v>
      </c>
      <c r="H1159" t="s">
        <v>25</v>
      </c>
      <c r="I1159" t="s">
        <v>19</v>
      </c>
      <c r="J1159" t="s">
        <v>3207</v>
      </c>
      <c r="K1159" t="s">
        <v>12</v>
      </c>
      <c r="L1159" s="2">
        <v>27.140499999999999</v>
      </c>
      <c r="M1159" t="s">
        <v>3203</v>
      </c>
      <c r="N1159">
        <v>0</v>
      </c>
      <c r="O1159">
        <v>0</v>
      </c>
      <c r="P1159">
        <v>1</v>
      </c>
      <c r="Q1159" t="s">
        <v>3200</v>
      </c>
      <c r="R1159" t="s">
        <v>3201</v>
      </c>
      <c r="S1159" t="s">
        <v>13</v>
      </c>
    </row>
    <row r="1160" spans="1:19" x14ac:dyDescent="0.3">
      <c r="A1160" t="s">
        <v>864</v>
      </c>
      <c r="B1160" t="s">
        <v>1596</v>
      </c>
      <c r="C1160" t="s">
        <v>2588</v>
      </c>
      <c r="D1160" t="s">
        <v>3189</v>
      </c>
      <c r="E1160" t="s">
        <v>9</v>
      </c>
      <c r="F1160" s="2">
        <v>24</v>
      </c>
      <c r="G1160" t="s">
        <v>3206</v>
      </c>
      <c r="H1160" t="s">
        <v>18</v>
      </c>
      <c r="I1160" t="s">
        <v>11</v>
      </c>
      <c r="J1160" t="s">
        <v>3198</v>
      </c>
      <c r="K1160" t="s">
        <v>15</v>
      </c>
      <c r="L1160" s="2">
        <v>10.1</v>
      </c>
      <c r="M1160" t="s">
        <v>3199</v>
      </c>
      <c r="N1160">
        <v>0</v>
      </c>
      <c r="O1160">
        <v>0</v>
      </c>
      <c r="P1160">
        <v>1</v>
      </c>
      <c r="Q1160" t="s">
        <v>3200</v>
      </c>
      <c r="R1160" t="s">
        <v>3201</v>
      </c>
      <c r="S1160" t="s">
        <v>13</v>
      </c>
    </row>
    <row r="1161" spans="1:19" x14ac:dyDescent="0.3">
      <c r="A1161" t="s">
        <v>865</v>
      </c>
      <c r="B1161" t="s">
        <v>1600</v>
      </c>
      <c r="C1161" t="s">
        <v>2589</v>
      </c>
      <c r="D1161" t="s">
        <v>3190</v>
      </c>
      <c r="E1161" t="s">
        <v>14</v>
      </c>
      <c r="F1161" s="2">
        <v>61</v>
      </c>
      <c r="G1161" t="s">
        <v>3210</v>
      </c>
      <c r="H1161" t="s">
        <v>25</v>
      </c>
      <c r="I1161" t="s">
        <v>11</v>
      </c>
      <c r="J1161" t="s">
        <v>3198</v>
      </c>
      <c r="K1161" t="s">
        <v>12</v>
      </c>
      <c r="L1161" s="2">
        <v>80</v>
      </c>
      <c r="M1161" t="s">
        <v>3211</v>
      </c>
      <c r="N1161">
        <v>0</v>
      </c>
      <c r="O1161">
        <v>0</v>
      </c>
      <c r="P1161">
        <v>1</v>
      </c>
      <c r="Q1161" t="s">
        <v>3200</v>
      </c>
      <c r="R1161" t="s">
        <v>3205</v>
      </c>
      <c r="S1161" t="s">
        <v>16</v>
      </c>
    </row>
    <row r="1162" spans="1:19" x14ac:dyDescent="0.3">
      <c r="A1162" t="s">
        <v>866</v>
      </c>
      <c r="B1162" t="s">
        <v>1596</v>
      </c>
      <c r="C1162" t="s">
        <v>1645</v>
      </c>
      <c r="D1162" t="s">
        <v>3189</v>
      </c>
      <c r="E1162" t="s">
        <v>9</v>
      </c>
      <c r="F1162" s="2">
        <v>59</v>
      </c>
      <c r="G1162" t="s">
        <v>3210</v>
      </c>
      <c r="H1162" t="s">
        <v>10</v>
      </c>
      <c r="I1162" t="s">
        <v>11</v>
      </c>
      <c r="J1162" t="s">
        <v>3198</v>
      </c>
      <c r="K1162" t="s">
        <v>15</v>
      </c>
      <c r="L1162" s="2">
        <v>33</v>
      </c>
      <c r="M1162" t="s">
        <v>3203</v>
      </c>
      <c r="N1162">
        <v>0</v>
      </c>
      <c r="O1162">
        <v>0</v>
      </c>
      <c r="P1162">
        <v>1</v>
      </c>
      <c r="Q1162" t="s">
        <v>3200</v>
      </c>
      <c r="R1162" t="s">
        <v>3201</v>
      </c>
      <c r="S1162" t="s">
        <v>13</v>
      </c>
    </row>
    <row r="1163" spans="1:19" x14ac:dyDescent="0.3">
      <c r="A1163" t="s">
        <v>867</v>
      </c>
      <c r="B1163" t="s">
        <v>1596</v>
      </c>
      <c r="C1163" t="s">
        <v>2590</v>
      </c>
      <c r="D1163" t="s">
        <v>3189</v>
      </c>
      <c r="E1163" t="s">
        <v>9</v>
      </c>
      <c r="F1163" s="2">
        <v>19</v>
      </c>
      <c r="G1163" t="s">
        <v>3206</v>
      </c>
      <c r="H1163" t="s">
        <v>10</v>
      </c>
      <c r="I1163" t="s">
        <v>11</v>
      </c>
      <c r="J1163" t="s">
        <v>3198</v>
      </c>
      <c r="K1163" t="s">
        <v>31</v>
      </c>
      <c r="L1163" s="2">
        <v>7.1711</v>
      </c>
      <c r="M1163" t="s">
        <v>3199</v>
      </c>
      <c r="N1163">
        <v>0</v>
      </c>
      <c r="O1163">
        <v>0</v>
      </c>
      <c r="P1163">
        <v>1</v>
      </c>
      <c r="Q1163" t="s">
        <v>3200</v>
      </c>
      <c r="R1163" t="s">
        <v>3201</v>
      </c>
      <c r="S1163" t="s">
        <v>13</v>
      </c>
    </row>
    <row r="1164" spans="1:19" x14ac:dyDescent="0.3">
      <c r="A1164" t="s">
        <v>868</v>
      </c>
      <c r="B1164" t="s">
        <v>1602</v>
      </c>
      <c r="C1164" t="s">
        <v>2591</v>
      </c>
      <c r="D1164" t="s">
        <v>3190</v>
      </c>
      <c r="E1164" t="s">
        <v>14</v>
      </c>
      <c r="F1164" s="2">
        <v>22</v>
      </c>
      <c r="G1164" t="s">
        <v>3206</v>
      </c>
      <c r="H1164" t="s">
        <v>10</v>
      </c>
      <c r="I1164" t="s">
        <v>11</v>
      </c>
      <c r="J1164" t="s">
        <v>3198</v>
      </c>
      <c r="K1164" t="s">
        <v>22</v>
      </c>
      <c r="L1164" s="2">
        <v>9.1608999999999998</v>
      </c>
      <c r="M1164" t="s">
        <v>3199</v>
      </c>
      <c r="N1164">
        <v>0</v>
      </c>
      <c r="O1164">
        <v>0</v>
      </c>
      <c r="P1164">
        <v>1</v>
      </c>
      <c r="Q1164" t="s">
        <v>3200</v>
      </c>
      <c r="R1164" t="s">
        <v>3201</v>
      </c>
      <c r="S1164" t="s">
        <v>13</v>
      </c>
    </row>
    <row r="1165" spans="1:19" x14ac:dyDescent="0.3">
      <c r="A1165" t="s">
        <v>869</v>
      </c>
      <c r="B1165" t="s">
        <v>1596</v>
      </c>
      <c r="C1165" t="s">
        <v>2592</v>
      </c>
      <c r="D1165" t="s">
        <v>3189</v>
      </c>
      <c r="E1165" t="s">
        <v>9</v>
      </c>
      <c r="F1165" s="2">
        <v>30</v>
      </c>
      <c r="G1165" t="s">
        <v>3206</v>
      </c>
      <c r="H1165" t="s">
        <v>10</v>
      </c>
      <c r="I1165" t="s">
        <v>11</v>
      </c>
      <c r="J1165" t="s">
        <v>3198</v>
      </c>
      <c r="K1165" t="s">
        <v>22</v>
      </c>
      <c r="L1165" s="2">
        <v>7.1806000000000001</v>
      </c>
      <c r="M1165" t="s">
        <v>3199</v>
      </c>
      <c r="N1165">
        <v>0</v>
      </c>
      <c r="O1165">
        <v>0</v>
      </c>
      <c r="P1165">
        <v>1</v>
      </c>
      <c r="Q1165" t="s">
        <v>3200</v>
      </c>
      <c r="R1165" t="s">
        <v>3205</v>
      </c>
      <c r="S1165" t="s">
        <v>16</v>
      </c>
    </row>
    <row r="1166" spans="1:19" x14ac:dyDescent="0.3">
      <c r="A1166" t="s">
        <v>870</v>
      </c>
      <c r="B1166" t="s">
        <v>1596</v>
      </c>
      <c r="C1166" t="s">
        <v>2593</v>
      </c>
      <c r="D1166" t="s">
        <v>3189</v>
      </c>
      <c r="E1166" t="s">
        <v>9</v>
      </c>
      <c r="F1166" s="2">
        <v>67</v>
      </c>
      <c r="G1166" t="s">
        <v>3210</v>
      </c>
      <c r="H1166" t="s">
        <v>25</v>
      </c>
      <c r="I1166" t="s">
        <v>11</v>
      </c>
      <c r="J1166" t="s">
        <v>3198</v>
      </c>
      <c r="K1166" t="s">
        <v>12</v>
      </c>
      <c r="L1166" s="2">
        <v>221.1507</v>
      </c>
      <c r="M1166" t="s">
        <v>3209</v>
      </c>
      <c r="N1166">
        <v>1</v>
      </c>
      <c r="O1166">
        <v>0</v>
      </c>
      <c r="P1166">
        <v>2</v>
      </c>
      <c r="Q1166" t="s">
        <v>3204</v>
      </c>
      <c r="R1166" t="s">
        <v>3201</v>
      </c>
      <c r="S1166" t="s">
        <v>13</v>
      </c>
    </row>
    <row r="1167" spans="1:19" x14ac:dyDescent="0.3">
      <c r="A1167" t="s">
        <v>870</v>
      </c>
      <c r="B1167" t="s">
        <v>1600</v>
      </c>
      <c r="C1167" t="s">
        <v>2594</v>
      </c>
      <c r="D1167" t="s">
        <v>3190</v>
      </c>
      <c r="E1167" t="s">
        <v>14</v>
      </c>
      <c r="F1167" s="2">
        <v>63</v>
      </c>
      <c r="G1167" t="s">
        <v>3210</v>
      </c>
      <c r="H1167" t="s">
        <v>25</v>
      </c>
      <c r="I1167" t="s">
        <v>11</v>
      </c>
      <c r="J1167" t="s">
        <v>3198</v>
      </c>
      <c r="K1167" t="s">
        <v>64</v>
      </c>
      <c r="L1167" s="2">
        <v>221.1507</v>
      </c>
      <c r="M1167" t="s">
        <v>3209</v>
      </c>
      <c r="N1167">
        <v>1</v>
      </c>
      <c r="O1167">
        <v>0</v>
      </c>
      <c r="P1167">
        <v>2</v>
      </c>
      <c r="Q1167" t="s">
        <v>3204</v>
      </c>
      <c r="R1167" t="s">
        <v>3201</v>
      </c>
      <c r="S1167" t="s">
        <v>13</v>
      </c>
    </row>
    <row r="1168" spans="1:19" x14ac:dyDescent="0.3">
      <c r="A1168" t="s">
        <v>871</v>
      </c>
      <c r="B1168" t="s">
        <v>1596</v>
      </c>
      <c r="C1168" t="s">
        <v>1864</v>
      </c>
      <c r="D1168" t="s">
        <v>3189</v>
      </c>
      <c r="E1168" t="s">
        <v>9</v>
      </c>
      <c r="F1168" s="2">
        <v>27</v>
      </c>
      <c r="G1168" t="s">
        <v>3206</v>
      </c>
      <c r="H1168" t="s">
        <v>10</v>
      </c>
      <c r="I1168" t="s">
        <v>11</v>
      </c>
      <c r="J1168" t="s">
        <v>3198</v>
      </c>
      <c r="K1168" t="s">
        <v>65</v>
      </c>
      <c r="L1168" s="2">
        <v>8.1303000000000001</v>
      </c>
      <c r="M1168" t="s">
        <v>3199</v>
      </c>
      <c r="N1168">
        <v>0</v>
      </c>
      <c r="O1168">
        <v>0</v>
      </c>
      <c r="P1168">
        <v>1</v>
      </c>
      <c r="Q1168" t="s">
        <v>3200</v>
      </c>
      <c r="R1168" t="s">
        <v>3201</v>
      </c>
      <c r="S1168" t="s">
        <v>13</v>
      </c>
    </row>
    <row r="1169" spans="1:19" x14ac:dyDescent="0.3">
      <c r="A1169" t="s">
        <v>872</v>
      </c>
      <c r="B1169" t="s">
        <v>1602</v>
      </c>
      <c r="C1169" t="s">
        <v>2595</v>
      </c>
      <c r="D1169" t="s">
        <v>3190</v>
      </c>
      <c r="E1169" t="s">
        <v>14</v>
      </c>
      <c r="F1169" s="2">
        <v>2</v>
      </c>
      <c r="G1169" t="s">
        <v>3208</v>
      </c>
      <c r="H1169" t="s">
        <v>10</v>
      </c>
      <c r="I1169" t="s">
        <v>11</v>
      </c>
      <c r="J1169" t="s">
        <v>3198</v>
      </c>
      <c r="K1169" t="s">
        <v>12</v>
      </c>
      <c r="L1169" s="2">
        <v>10.090299999999999</v>
      </c>
      <c r="M1169" t="s">
        <v>3199</v>
      </c>
      <c r="N1169">
        <v>0</v>
      </c>
      <c r="O1169">
        <v>1</v>
      </c>
      <c r="P1169">
        <v>2</v>
      </c>
      <c r="Q1169" t="s">
        <v>3204</v>
      </c>
      <c r="R1169" t="s">
        <v>3201</v>
      </c>
      <c r="S1169" t="s">
        <v>13</v>
      </c>
    </row>
    <row r="1170" spans="1:19" x14ac:dyDescent="0.3">
      <c r="A1170" t="s">
        <v>872</v>
      </c>
      <c r="B1170" t="s">
        <v>1600</v>
      </c>
      <c r="C1170" t="s">
        <v>2596</v>
      </c>
      <c r="D1170" t="s">
        <v>3190</v>
      </c>
      <c r="E1170" t="s">
        <v>14</v>
      </c>
      <c r="F1170" s="2">
        <v>29</v>
      </c>
      <c r="G1170" t="s">
        <v>3206</v>
      </c>
      <c r="H1170" t="s">
        <v>10</v>
      </c>
      <c r="I1170" t="s">
        <v>11</v>
      </c>
      <c r="J1170" t="s">
        <v>3198</v>
      </c>
      <c r="K1170" t="s">
        <v>23</v>
      </c>
      <c r="L1170" s="2">
        <v>10.090299999999999</v>
      </c>
      <c r="M1170" t="s">
        <v>3199</v>
      </c>
      <c r="N1170">
        <v>1</v>
      </c>
      <c r="O1170">
        <v>1</v>
      </c>
      <c r="P1170">
        <v>3</v>
      </c>
      <c r="Q1170" t="s">
        <v>3204</v>
      </c>
      <c r="R1170" t="s">
        <v>3201</v>
      </c>
      <c r="S1170" t="s">
        <v>13</v>
      </c>
    </row>
    <row r="1171" spans="1:19" x14ac:dyDescent="0.3">
      <c r="A1171" t="s">
        <v>873</v>
      </c>
      <c r="B1171" t="s">
        <v>1596</v>
      </c>
      <c r="C1171" t="s">
        <v>2597</v>
      </c>
      <c r="D1171" t="s">
        <v>3189</v>
      </c>
      <c r="E1171" t="s">
        <v>9</v>
      </c>
      <c r="F1171" s="2">
        <v>20</v>
      </c>
      <c r="G1171" t="s">
        <v>3206</v>
      </c>
      <c r="H1171" t="s">
        <v>10</v>
      </c>
      <c r="I1171" t="s">
        <v>11</v>
      </c>
      <c r="J1171" t="s">
        <v>3198</v>
      </c>
      <c r="K1171" t="s">
        <v>15</v>
      </c>
      <c r="L1171" s="2">
        <v>8.01</v>
      </c>
      <c r="M1171" t="s">
        <v>3199</v>
      </c>
      <c r="N1171">
        <v>0</v>
      </c>
      <c r="O1171">
        <v>0</v>
      </c>
      <c r="P1171">
        <v>1</v>
      </c>
      <c r="Q1171" t="s">
        <v>3200</v>
      </c>
      <c r="R1171" t="s">
        <v>3205</v>
      </c>
      <c r="S1171" t="s">
        <v>16</v>
      </c>
    </row>
    <row r="1172" spans="1:19" x14ac:dyDescent="0.3">
      <c r="A1172" t="s">
        <v>874</v>
      </c>
      <c r="B1172" t="s">
        <v>1596</v>
      </c>
      <c r="C1172" t="s">
        <v>2598</v>
      </c>
      <c r="D1172" t="s">
        <v>3189</v>
      </c>
      <c r="E1172" t="s">
        <v>9</v>
      </c>
      <c r="F1172" s="2">
        <v>44</v>
      </c>
      <c r="G1172" t="s">
        <v>3197</v>
      </c>
      <c r="H1172" t="s">
        <v>10</v>
      </c>
      <c r="I1172" t="s">
        <v>11</v>
      </c>
      <c r="J1172" t="s">
        <v>3198</v>
      </c>
      <c r="K1172" t="s">
        <v>22</v>
      </c>
      <c r="L1172" s="2">
        <v>7.1806000000000001</v>
      </c>
      <c r="M1172" t="s">
        <v>3199</v>
      </c>
      <c r="N1172">
        <v>0</v>
      </c>
      <c r="O1172">
        <v>0</v>
      </c>
      <c r="P1172">
        <v>1</v>
      </c>
      <c r="Q1172" t="s">
        <v>3200</v>
      </c>
      <c r="R1172" t="s">
        <v>3205</v>
      </c>
      <c r="S1172" t="s">
        <v>16</v>
      </c>
    </row>
    <row r="1173" spans="1:19" x14ac:dyDescent="0.3">
      <c r="A1173" t="s">
        <v>875</v>
      </c>
      <c r="B1173" t="s">
        <v>1596</v>
      </c>
      <c r="C1173" t="s">
        <v>2599</v>
      </c>
      <c r="D1173" t="s">
        <v>3189</v>
      </c>
      <c r="E1173" t="s">
        <v>9</v>
      </c>
      <c r="F1173" s="2">
        <v>25</v>
      </c>
      <c r="G1173" t="s">
        <v>3206</v>
      </c>
      <c r="H1173" t="s">
        <v>10</v>
      </c>
      <c r="I1173" t="s">
        <v>11</v>
      </c>
      <c r="J1173" t="s">
        <v>3198</v>
      </c>
      <c r="K1173" t="s">
        <v>15</v>
      </c>
      <c r="L1173" s="2">
        <v>7.01</v>
      </c>
      <c r="M1173" t="s">
        <v>3199</v>
      </c>
      <c r="N1173">
        <v>0</v>
      </c>
      <c r="O1173">
        <v>0</v>
      </c>
      <c r="P1173">
        <v>1</v>
      </c>
      <c r="Q1173" t="s">
        <v>3200</v>
      </c>
      <c r="R1173" t="s">
        <v>3201</v>
      </c>
      <c r="S1173" t="s">
        <v>13</v>
      </c>
    </row>
    <row r="1174" spans="1:19" x14ac:dyDescent="0.3">
      <c r="A1174" t="s">
        <v>876</v>
      </c>
      <c r="B1174" t="s">
        <v>1596</v>
      </c>
      <c r="C1174" t="s">
        <v>2511</v>
      </c>
      <c r="D1174" t="s">
        <v>3189</v>
      </c>
      <c r="E1174" t="s">
        <v>9</v>
      </c>
      <c r="F1174" s="2">
        <v>61</v>
      </c>
      <c r="G1174" t="s">
        <v>3210</v>
      </c>
      <c r="H1174" t="s">
        <v>25</v>
      </c>
      <c r="I1174" t="s">
        <v>11</v>
      </c>
      <c r="J1174" t="s">
        <v>3198</v>
      </c>
      <c r="K1174" t="s">
        <v>15</v>
      </c>
      <c r="L1174" s="2">
        <v>32.060499999999998</v>
      </c>
      <c r="M1174" t="s">
        <v>3203</v>
      </c>
      <c r="N1174">
        <v>0</v>
      </c>
      <c r="O1174">
        <v>0</v>
      </c>
      <c r="P1174">
        <v>1</v>
      </c>
      <c r="Q1174" t="s">
        <v>3200</v>
      </c>
      <c r="R1174" t="s">
        <v>3201</v>
      </c>
      <c r="S1174" t="s">
        <v>13</v>
      </c>
    </row>
    <row r="1175" spans="1:19" x14ac:dyDescent="0.3">
      <c r="A1175" t="s">
        <v>877</v>
      </c>
      <c r="B1175" t="s">
        <v>1596</v>
      </c>
      <c r="C1175" t="s">
        <v>2600</v>
      </c>
      <c r="D1175" t="s">
        <v>3189</v>
      </c>
      <c r="E1175" t="s">
        <v>9</v>
      </c>
      <c r="F1175" s="2">
        <v>74</v>
      </c>
      <c r="G1175" t="s">
        <v>3210</v>
      </c>
      <c r="H1175" t="s">
        <v>10</v>
      </c>
      <c r="I1175" t="s">
        <v>11</v>
      </c>
      <c r="J1175" t="s">
        <v>3198</v>
      </c>
      <c r="K1175" t="s">
        <v>23</v>
      </c>
      <c r="L1175" s="2">
        <v>7.1505999999999998</v>
      </c>
      <c r="M1175" t="s">
        <v>3199</v>
      </c>
      <c r="N1175">
        <v>0</v>
      </c>
      <c r="O1175">
        <v>0</v>
      </c>
      <c r="P1175">
        <v>1</v>
      </c>
      <c r="Q1175" t="s">
        <v>3200</v>
      </c>
      <c r="R1175" t="s">
        <v>3201</v>
      </c>
      <c r="S1175" t="s">
        <v>13</v>
      </c>
    </row>
    <row r="1176" spans="1:19" x14ac:dyDescent="0.3">
      <c r="A1176" t="s">
        <v>877</v>
      </c>
      <c r="B1176" t="s">
        <v>1596</v>
      </c>
      <c r="C1176" t="s">
        <v>2601</v>
      </c>
      <c r="D1176" t="s">
        <v>3189</v>
      </c>
      <c r="E1176" t="s">
        <v>9</v>
      </c>
      <c r="F1176" s="2">
        <v>14</v>
      </c>
      <c r="G1176" t="s">
        <v>3202</v>
      </c>
      <c r="H1176" t="s">
        <v>10</v>
      </c>
      <c r="I1176" t="s">
        <v>11</v>
      </c>
      <c r="J1176" t="s">
        <v>3198</v>
      </c>
      <c r="K1176" t="s">
        <v>23</v>
      </c>
      <c r="L1176" s="2">
        <v>9.0405999999999995</v>
      </c>
      <c r="M1176" t="s">
        <v>3199</v>
      </c>
      <c r="N1176">
        <v>0</v>
      </c>
      <c r="O1176">
        <v>0</v>
      </c>
      <c r="P1176">
        <v>1</v>
      </c>
      <c r="Q1176" t="s">
        <v>3200</v>
      </c>
      <c r="R1176" t="s">
        <v>3205</v>
      </c>
      <c r="S1176" t="s">
        <v>16</v>
      </c>
    </row>
    <row r="1177" spans="1:19" x14ac:dyDescent="0.3">
      <c r="A1177" t="s">
        <v>877</v>
      </c>
      <c r="B1177" t="s">
        <v>1596</v>
      </c>
      <c r="C1177" t="s">
        <v>2602</v>
      </c>
      <c r="D1177" t="s">
        <v>3189</v>
      </c>
      <c r="E1177" t="s">
        <v>9</v>
      </c>
      <c r="F1177" s="2">
        <v>24</v>
      </c>
      <c r="G1177" t="s">
        <v>3206</v>
      </c>
      <c r="H1177" t="s">
        <v>10</v>
      </c>
      <c r="I1177" t="s">
        <v>11</v>
      </c>
      <c r="J1177" t="s">
        <v>3198</v>
      </c>
      <c r="K1177" t="s">
        <v>23</v>
      </c>
      <c r="L1177" s="2">
        <v>7.1510999999999996</v>
      </c>
      <c r="M1177" t="s">
        <v>3199</v>
      </c>
      <c r="N1177">
        <v>0</v>
      </c>
      <c r="O1177">
        <v>0</v>
      </c>
      <c r="P1177">
        <v>1</v>
      </c>
      <c r="Q1177" t="s">
        <v>3200</v>
      </c>
      <c r="R1177" t="s">
        <v>3201</v>
      </c>
      <c r="S1177" t="s">
        <v>13</v>
      </c>
    </row>
    <row r="1178" spans="1:19" x14ac:dyDescent="0.3">
      <c r="A1178" t="s">
        <v>878</v>
      </c>
      <c r="B1178" t="s">
        <v>1596</v>
      </c>
      <c r="C1178" t="s">
        <v>2038</v>
      </c>
      <c r="D1178" t="s">
        <v>3189</v>
      </c>
      <c r="E1178" t="s">
        <v>9</v>
      </c>
      <c r="F1178" s="2">
        <v>19</v>
      </c>
      <c r="G1178" t="s">
        <v>3206</v>
      </c>
      <c r="H1178" t="s">
        <v>18</v>
      </c>
      <c r="I1178" t="s">
        <v>11</v>
      </c>
      <c r="J1178" t="s">
        <v>3198</v>
      </c>
      <c r="K1178" t="s">
        <v>15</v>
      </c>
      <c r="L1178" s="2">
        <v>13</v>
      </c>
      <c r="M1178" t="s">
        <v>3199</v>
      </c>
      <c r="N1178">
        <v>0</v>
      </c>
      <c r="O1178">
        <v>0</v>
      </c>
      <c r="P1178">
        <v>1</v>
      </c>
      <c r="Q1178" t="s">
        <v>3200</v>
      </c>
      <c r="R1178" t="s">
        <v>3201</v>
      </c>
      <c r="S1178" t="s">
        <v>13</v>
      </c>
    </row>
    <row r="1179" spans="1:19" x14ac:dyDescent="0.3">
      <c r="A1179" t="s">
        <v>879</v>
      </c>
      <c r="B1179" t="s">
        <v>1596</v>
      </c>
      <c r="C1179" t="s">
        <v>2603</v>
      </c>
      <c r="D1179" t="s">
        <v>3189</v>
      </c>
      <c r="E1179" t="s">
        <v>9</v>
      </c>
      <c r="F1179" s="2">
        <v>14</v>
      </c>
      <c r="G1179" t="s">
        <v>3202</v>
      </c>
      <c r="H1179" t="s">
        <v>18</v>
      </c>
      <c r="I1179" t="s">
        <v>11</v>
      </c>
      <c r="J1179" t="s">
        <v>3198</v>
      </c>
      <c r="K1179" t="s">
        <v>15</v>
      </c>
      <c r="L1179" s="2">
        <v>65</v>
      </c>
      <c r="M1179" t="s">
        <v>3211</v>
      </c>
      <c r="N1179">
        <v>0</v>
      </c>
      <c r="O1179">
        <v>0</v>
      </c>
      <c r="P1179">
        <v>1</v>
      </c>
      <c r="Q1179" t="s">
        <v>3200</v>
      </c>
      <c r="R1179" t="s">
        <v>3201</v>
      </c>
      <c r="S1179" t="s">
        <v>13</v>
      </c>
    </row>
    <row r="1180" spans="1:19" x14ac:dyDescent="0.3">
      <c r="A1180" t="s">
        <v>880</v>
      </c>
      <c r="B1180" t="s">
        <v>1600</v>
      </c>
      <c r="C1180" t="s">
        <v>2604</v>
      </c>
      <c r="D1180" t="s">
        <v>3190</v>
      </c>
      <c r="E1180" t="s">
        <v>14</v>
      </c>
      <c r="F1180" s="2">
        <v>46</v>
      </c>
      <c r="G1180" t="s">
        <v>3197</v>
      </c>
      <c r="H1180" t="s">
        <v>25</v>
      </c>
      <c r="I1180" t="s">
        <v>11</v>
      </c>
      <c r="J1180" t="s">
        <v>3198</v>
      </c>
      <c r="K1180" t="s">
        <v>12</v>
      </c>
      <c r="L1180" s="2">
        <v>25.180700000000002</v>
      </c>
      <c r="M1180" t="s">
        <v>3203</v>
      </c>
      <c r="N1180">
        <v>0</v>
      </c>
      <c r="O1180">
        <v>0</v>
      </c>
      <c r="P1180">
        <v>1</v>
      </c>
      <c r="Q1180" t="s">
        <v>3200</v>
      </c>
      <c r="R1180" t="s">
        <v>3205</v>
      </c>
      <c r="S1180" t="s">
        <v>16</v>
      </c>
    </row>
    <row r="1181" spans="1:19" x14ac:dyDescent="0.3">
      <c r="A1181" t="s">
        <v>881</v>
      </c>
      <c r="B1181" t="s">
        <v>1612</v>
      </c>
      <c r="C1181" t="s">
        <v>2605</v>
      </c>
      <c r="D1181" t="s">
        <v>3189</v>
      </c>
      <c r="E1181" t="s">
        <v>9</v>
      </c>
      <c r="F1181" s="2">
        <v>1</v>
      </c>
      <c r="G1181" t="s">
        <v>3208</v>
      </c>
      <c r="H1181" t="s">
        <v>10</v>
      </c>
      <c r="I1181" t="s">
        <v>19</v>
      </c>
      <c r="J1181" t="s">
        <v>3207</v>
      </c>
      <c r="K1181" t="s">
        <v>21</v>
      </c>
      <c r="L1181" s="2">
        <v>8.1004000000000005</v>
      </c>
      <c r="M1181" t="s">
        <v>3199</v>
      </c>
      <c r="N1181">
        <v>0</v>
      </c>
      <c r="O1181">
        <v>1</v>
      </c>
      <c r="P1181">
        <v>2</v>
      </c>
      <c r="Q1181" t="s">
        <v>3204</v>
      </c>
      <c r="R1181" t="s">
        <v>3205</v>
      </c>
      <c r="S1181" t="s">
        <v>16</v>
      </c>
    </row>
    <row r="1182" spans="1:19" x14ac:dyDescent="0.3">
      <c r="A1182" t="s">
        <v>881</v>
      </c>
      <c r="B1182" t="s">
        <v>1596</v>
      </c>
      <c r="C1182" t="s">
        <v>2606</v>
      </c>
      <c r="D1182" t="s">
        <v>3189</v>
      </c>
      <c r="E1182" t="s">
        <v>9</v>
      </c>
      <c r="F1182" s="2">
        <v>30</v>
      </c>
      <c r="G1182" t="s">
        <v>3206</v>
      </c>
      <c r="H1182" t="s">
        <v>10</v>
      </c>
      <c r="I1182" t="s">
        <v>19</v>
      </c>
      <c r="J1182" t="s">
        <v>3207</v>
      </c>
      <c r="K1182" t="s">
        <v>21</v>
      </c>
      <c r="L1182" s="2">
        <v>6.0808999999999997</v>
      </c>
      <c r="M1182" t="s">
        <v>3199</v>
      </c>
      <c r="N1182">
        <v>1</v>
      </c>
      <c r="O1182">
        <v>0</v>
      </c>
      <c r="P1182">
        <v>2</v>
      </c>
      <c r="Q1182" t="s">
        <v>3204</v>
      </c>
      <c r="R1182" t="s">
        <v>3201</v>
      </c>
      <c r="S1182" t="s">
        <v>13</v>
      </c>
    </row>
    <row r="1183" spans="1:19" x14ac:dyDescent="0.3">
      <c r="A1183" t="s">
        <v>881</v>
      </c>
      <c r="B1183" t="s">
        <v>1600</v>
      </c>
      <c r="C1183" t="s">
        <v>2607</v>
      </c>
      <c r="D1183" t="s">
        <v>3190</v>
      </c>
      <c r="E1183" t="s">
        <v>14</v>
      </c>
      <c r="F1183" s="2">
        <v>16</v>
      </c>
      <c r="G1183" t="s">
        <v>3202</v>
      </c>
      <c r="H1183" t="s">
        <v>10</v>
      </c>
      <c r="I1183" t="s">
        <v>19</v>
      </c>
      <c r="J1183" t="s">
        <v>3207</v>
      </c>
      <c r="K1183" t="s">
        <v>21</v>
      </c>
      <c r="L1183" s="2">
        <v>8.1004000000000005</v>
      </c>
      <c r="M1183" t="s">
        <v>3199</v>
      </c>
      <c r="N1183">
        <v>1</v>
      </c>
      <c r="O1183">
        <v>1</v>
      </c>
      <c r="P1183">
        <v>3</v>
      </c>
      <c r="Q1183" t="s">
        <v>3204</v>
      </c>
      <c r="R1183" t="s">
        <v>3205</v>
      </c>
      <c r="S1183" t="s">
        <v>16</v>
      </c>
    </row>
    <row r="1184" spans="1:19" x14ac:dyDescent="0.3">
      <c r="A1184" t="s">
        <v>882</v>
      </c>
      <c r="B1184" t="s">
        <v>1602</v>
      </c>
      <c r="C1184" t="s">
        <v>1924</v>
      </c>
      <c r="D1184" t="s">
        <v>3190</v>
      </c>
      <c r="E1184" t="s">
        <v>14</v>
      </c>
      <c r="F1184" s="2">
        <v>18</v>
      </c>
      <c r="G1184" t="s">
        <v>3206</v>
      </c>
      <c r="H1184" t="s">
        <v>25</v>
      </c>
      <c r="I1184" t="s">
        <v>11</v>
      </c>
      <c r="J1184" t="s">
        <v>3198</v>
      </c>
      <c r="K1184" t="s">
        <v>12</v>
      </c>
      <c r="L1184" s="2">
        <v>79.13</v>
      </c>
      <c r="M1184" t="s">
        <v>3211</v>
      </c>
      <c r="N1184">
        <v>0</v>
      </c>
      <c r="O1184">
        <v>2</v>
      </c>
      <c r="P1184">
        <v>3</v>
      </c>
      <c r="Q1184" t="s">
        <v>3204</v>
      </c>
      <c r="R1184" t="s">
        <v>3205</v>
      </c>
      <c r="S1184" t="s">
        <v>16</v>
      </c>
    </row>
    <row r="1185" spans="1:19" x14ac:dyDescent="0.3">
      <c r="A1185" t="s">
        <v>882</v>
      </c>
      <c r="B1185" t="s">
        <v>1596</v>
      </c>
      <c r="C1185" t="s">
        <v>1831</v>
      </c>
      <c r="D1185" t="s">
        <v>3189</v>
      </c>
      <c r="E1185" t="s">
        <v>9</v>
      </c>
      <c r="F1185" s="2">
        <v>52</v>
      </c>
      <c r="G1185" t="s">
        <v>3197</v>
      </c>
      <c r="H1185" t="s">
        <v>25</v>
      </c>
      <c r="I1185" t="s">
        <v>11</v>
      </c>
      <c r="J1185" t="s">
        <v>3198</v>
      </c>
      <c r="K1185" t="s">
        <v>12</v>
      </c>
      <c r="L1185" s="2">
        <v>79.13</v>
      </c>
      <c r="M1185" t="s">
        <v>3211</v>
      </c>
      <c r="N1185">
        <v>1</v>
      </c>
      <c r="O1185">
        <v>1</v>
      </c>
      <c r="P1185">
        <v>3</v>
      </c>
      <c r="Q1185" t="s">
        <v>3204</v>
      </c>
      <c r="R1185" t="s">
        <v>3201</v>
      </c>
      <c r="S1185" t="s">
        <v>13</v>
      </c>
    </row>
    <row r="1186" spans="1:19" x14ac:dyDescent="0.3">
      <c r="A1186" t="s">
        <v>882</v>
      </c>
      <c r="B1186" t="s">
        <v>1600</v>
      </c>
      <c r="C1186" t="s">
        <v>2608</v>
      </c>
      <c r="D1186" t="s">
        <v>3190</v>
      </c>
      <c r="E1186" t="s">
        <v>14</v>
      </c>
      <c r="F1186" s="2">
        <v>39</v>
      </c>
      <c r="G1186" t="s">
        <v>3197</v>
      </c>
      <c r="H1186" t="s">
        <v>25</v>
      </c>
      <c r="I1186" t="s">
        <v>11</v>
      </c>
      <c r="J1186" t="s">
        <v>3198</v>
      </c>
      <c r="K1186" t="s">
        <v>12</v>
      </c>
      <c r="L1186" s="2">
        <v>79.13</v>
      </c>
      <c r="M1186" t="s">
        <v>3211</v>
      </c>
      <c r="N1186">
        <v>1</v>
      </c>
      <c r="O1186">
        <v>1</v>
      </c>
      <c r="P1186">
        <v>3</v>
      </c>
      <c r="Q1186" t="s">
        <v>3204</v>
      </c>
      <c r="R1186" t="s">
        <v>3205</v>
      </c>
      <c r="S1186" t="s">
        <v>16</v>
      </c>
    </row>
    <row r="1187" spans="1:19" x14ac:dyDescent="0.3">
      <c r="A1187" t="s">
        <v>883</v>
      </c>
      <c r="B1187" t="s">
        <v>1596</v>
      </c>
      <c r="C1187" t="s">
        <v>2609</v>
      </c>
      <c r="D1187" t="s">
        <v>3189</v>
      </c>
      <c r="E1187" t="s">
        <v>9</v>
      </c>
      <c r="F1187" s="2">
        <v>48</v>
      </c>
      <c r="G1187" t="s">
        <v>3197</v>
      </c>
      <c r="H1187" t="s">
        <v>25</v>
      </c>
      <c r="I1187" t="s">
        <v>11</v>
      </c>
      <c r="J1187" t="s">
        <v>3198</v>
      </c>
      <c r="K1187" t="s">
        <v>12</v>
      </c>
      <c r="L1187" s="2">
        <v>52</v>
      </c>
      <c r="M1187" t="s">
        <v>3211</v>
      </c>
      <c r="N1187">
        <v>1</v>
      </c>
      <c r="O1187">
        <v>0</v>
      </c>
      <c r="P1187">
        <v>2</v>
      </c>
      <c r="Q1187" t="s">
        <v>3204</v>
      </c>
      <c r="R1187" t="s">
        <v>3205</v>
      </c>
      <c r="S1187" t="s">
        <v>16</v>
      </c>
    </row>
    <row r="1188" spans="1:19" x14ac:dyDescent="0.3">
      <c r="A1188" t="s">
        <v>883</v>
      </c>
      <c r="B1188" t="s">
        <v>1596</v>
      </c>
      <c r="C1188" t="s">
        <v>2610</v>
      </c>
      <c r="D1188" t="s">
        <v>3189</v>
      </c>
      <c r="E1188" t="s">
        <v>9</v>
      </c>
      <c r="F1188" s="2">
        <v>40</v>
      </c>
      <c r="G1188" t="s">
        <v>3197</v>
      </c>
      <c r="H1188" t="s">
        <v>18</v>
      </c>
      <c r="I1188" t="s">
        <v>11</v>
      </c>
      <c r="J1188" t="s">
        <v>3198</v>
      </c>
      <c r="K1188" t="s">
        <v>15</v>
      </c>
      <c r="L1188" s="2">
        <v>33</v>
      </c>
      <c r="M1188" t="s">
        <v>3203</v>
      </c>
      <c r="N1188">
        <v>1</v>
      </c>
      <c r="O1188" t="s">
        <v>30</v>
      </c>
      <c r="P1188" t="e">
        <v>#VALUE!</v>
      </c>
      <c r="Q1188" t="e">
        <v>#VALUE!</v>
      </c>
      <c r="R1188" t="s">
        <v>3201</v>
      </c>
      <c r="S1188" t="s">
        <v>13</v>
      </c>
    </row>
    <row r="1189" spans="1:19" x14ac:dyDescent="0.3">
      <c r="A1189" t="s">
        <v>883</v>
      </c>
      <c r="B1189" t="s">
        <v>1600</v>
      </c>
      <c r="C1189" t="s">
        <v>2611</v>
      </c>
      <c r="D1189" t="s">
        <v>3190</v>
      </c>
      <c r="E1189" t="s">
        <v>14</v>
      </c>
      <c r="F1189" s="2">
        <v>49</v>
      </c>
      <c r="G1189" t="s">
        <v>3197</v>
      </c>
      <c r="H1189" t="s">
        <v>25</v>
      </c>
      <c r="I1189" t="s">
        <v>11</v>
      </c>
      <c r="J1189" t="s">
        <v>3198</v>
      </c>
      <c r="K1189" t="s">
        <v>12</v>
      </c>
      <c r="L1189" s="2">
        <v>52</v>
      </c>
      <c r="M1189" t="s">
        <v>3211</v>
      </c>
      <c r="N1189">
        <v>1</v>
      </c>
      <c r="O1189">
        <v>0</v>
      </c>
      <c r="P1189">
        <v>2</v>
      </c>
      <c r="Q1189" t="s">
        <v>3204</v>
      </c>
      <c r="R1189" t="s">
        <v>3205</v>
      </c>
      <c r="S1189" t="s">
        <v>16</v>
      </c>
    </row>
    <row r="1190" spans="1:19" x14ac:dyDescent="0.3">
      <c r="A1190" t="s">
        <v>884</v>
      </c>
      <c r="B1190" t="s">
        <v>1596</v>
      </c>
      <c r="C1190" t="s">
        <v>2612</v>
      </c>
      <c r="D1190" t="s">
        <v>3189</v>
      </c>
      <c r="E1190" t="s">
        <v>9</v>
      </c>
      <c r="F1190" s="2">
        <v>25</v>
      </c>
      <c r="G1190" t="s">
        <v>3206</v>
      </c>
      <c r="H1190" t="s">
        <v>10</v>
      </c>
      <c r="I1190" t="s">
        <v>11</v>
      </c>
      <c r="J1190" t="s">
        <v>3198</v>
      </c>
      <c r="K1190" t="s">
        <v>23</v>
      </c>
      <c r="L1190" s="2">
        <v>7.1510999999999996</v>
      </c>
      <c r="M1190" t="s">
        <v>3199</v>
      </c>
      <c r="N1190">
        <v>0</v>
      </c>
      <c r="O1190">
        <v>0</v>
      </c>
      <c r="P1190">
        <v>1</v>
      </c>
      <c r="Q1190" t="s">
        <v>3200</v>
      </c>
      <c r="R1190" t="s">
        <v>3205</v>
      </c>
      <c r="S1190" t="s">
        <v>16</v>
      </c>
    </row>
    <row r="1191" spans="1:19" x14ac:dyDescent="0.3">
      <c r="A1191" t="s">
        <v>885</v>
      </c>
      <c r="B1191" t="s">
        <v>1596</v>
      </c>
      <c r="C1191" t="s">
        <v>2613</v>
      </c>
      <c r="D1191" t="s">
        <v>3189</v>
      </c>
      <c r="E1191" t="s">
        <v>9</v>
      </c>
      <c r="F1191" s="2">
        <v>49</v>
      </c>
      <c r="G1191" t="s">
        <v>3197</v>
      </c>
      <c r="H1191" t="s">
        <v>25</v>
      </c>
      <c r="I1191" t="s">
        <v>19</v>
      </c>
      <c r="J1191" t="s">
        <v>3207</v>
      </c>
      <c r="K1191" t="s">
        <v>12</v>
      </c>
      <c r="L1191" s="2">
        <v>110.1708</v>
      </c>
      <c r="M1191" t="s">
        <v>3209</v>
      </c>
      <c r="N1191">
        <v>1</v>
      </c>
      <c r="O1191">
        <v>1</v>
      </c>
      <c r="P1191">
        <v>3</v>
      </c>
      <c r="Q1191" t="s">
        <v>3204</v>
      </c>
      <c r="R1191" t="s">
        <v>3201</v>
      </c>
      <c r="S1191" t="s">
        <v>13</v>
      </c>
    </row>
    <row r="1192" spans="1:19" x14ac:dyDescent="0.3">
      <c r="A1192" t="s">
        <v>885</v>
      </c>
      <c r="B1192" t="s">
        <v>1596</v>
      </c>
      <c r="C1192" t="s">
        <v>2614</v>
      </c>
      <c r="D1192" t="s">
        <v>3189</v>
      </c>
      <c r="E1192" t="s">
        <v>9</v>
      </c>
      <c r="F1192" s="2">
        <v>17</v>
      </c>
      <c r="G1192" t="s">
        <v>3202</v>
      </c>
      <c r="H1192" t="s">
        <v>25</v>
      </c>
      <c r="I1192" t="s">
        <v>19</v>
      </c>
      <c r="J1192" t="s">
        <v>3207</v>
      </c>
      <c r="K1192" t="s">
        <v>12</v>
      </c>
      <c r="L1192" s="2">
        <v>110.1708</v>
      </c>
      <c r="M1192" t="s">
        <v>3209</v>
      </c>
      <c r="N1192">
        <v>0</v>
      </c>
      <c r="O1192">
        <v>2</v>
      </c>
      <c r="P1192">
        <v>3</v>
      </c>
      <c r="Q1192" t="s">
        <v>3204</v>
      </c>
      <c r="R1192" t="s">
        <v>3205</v>
      </c>
      <c r="S1192" t="s">
        <v>16</v>
      </c>
    </row>
    <row r="1193" spans="1:19" x14ac:dyDescent="0.3">
      <c r="A1193" t="s">
        <v>885</v>
      </c>
      <c r="B1193" t="s">
        <v>1600</v>
      </c>
      <c r="C1193" t="s">
        <v>2615</v>
      </c>
      <c r="D1193" t="s">
        <v>3190</v>
      </c>
      <c r="E1193" t="s">
        <v>14</v>
      </c>
      <c r="F1193" s="2">
        <v>39</v>
      </c>
      <c r="G1193" t="s">
        <v>3197</v>
      </c>
      <c r="H1193" t="s">
        <v>25</v>
      </c>
      <c r="I1193" t="s">
        <v>19</v>
      </c>
      <c r="J1193" t="s">
        <v>3207</v>
      </c>
      <c r="K1193" t="s">
        <v>12</v>
      </c>
      <c r="L1193" s="2">
        <v>110.1708</v>
      </c>
      <c r="M1193" t="s">
        <v>3209</v>
      </c>
      <c r="N1193">
        <v>1</v>
      </c>
      <c r="O1193">
        <v>1</v>
      </c>
      <c r="P1193">
        <v>3</v>
      </c>
      <c r="Q1193" t="s">
        <v>3204</v>
      </c>
      <c r="R1193" t="s">
        <v>3205</v>
      </c>
      <c r="S1193" t="s">
        <v>16</v>
      </c>
    </row>
    <row r="1194" spans="1:19" x14ac:dyDescent="0.3">
      <c r="A1194" t="s">
        <v>886</v>
      </c>
      <c r="B1194" t="s">
        <v>1596</v>
      </c>
      <c r="C1194" t="s">
        <v>2616</v>
      </c>
      <c r="D1194" t="s">
        <v>3189</v>
      </c>
      <c r="E1194" t="s">
        <v>9</v>
      </c>
      <c r="F1194" s="2">
        <v>34</v>
      </c>
      <c r="G1194" t="s">
        <v>3206</v>
      </c>
      <c r="H1194" t="s">
        <v>10</v>
      </c>
      <c r="I1194" t="s">
        <v>11</v>
      </c>
      <c r="J1194" t="s">
        <v>3198</v>
      </c>
      <c r="K1194" t="s">
        <v>15</v>
      </c>
      <c r="L1194" s="2">
        <v>8.01</v>
      </c>
      <c r="M1194" t="s">
        <v>3199</v>
      </c>
      <c r="N1194">
        <v>0</v>
      </c>
      <c r="O1194">
        <v>0</v>
      </c>
      <c r="P1194">
        <v>1</v>
      </c>
      <c r="Q1194" t="s">
        <v>3200</v>
      </c>
      <c r="R1194" t="s">
        <v>3201</v>
      </c>
      <c r="S1194" t="s">
        <v>13</v>
      </c>
    </row>
    <row r="1195" spans="1:19" x14ac:dyDescent="0.3">
      <c r="A1195" t="s">
        <v>887</v>
      </c>
      <c r="B1195" t="s">
        <v>1596</v>
      </c>
      <c r="C1195" t="s">
        <v>1610</v>
      </c>
      <c r="D1195" t="s">
        <v>3189</v>
      </c>
      <c r="E1195" t="s">
        <v>9</v>
      </c>
      <c r="F1195" s="2">
        <v>34</v>
      </c>
      <c r="G1195" t="s">
        <v>3206</v>
      </c>
      <c r="H1195" t="s">
        <v>10</v>
      </c>
      <c r="I1195" t="s">
        <v>19</v>
      </c>
      <c r="J1195" t="s">
        <v>3207</v>
      </c>
      <c r="K1195" t="s">
        <v>15</v>
      </c>
      <c r="L1195" s="2">
        <v>6.0808999999999997</v>
      </c>
      <c r="M1195" t="s">
        <v>3199</v>
      </c>
      <c r="N1195">
        <v>0</v>
      </c>
      <c r="O1195">
        <v>0</v>
      </c>
      <c r="P1195">
        <v>1</v>
      </c>
      <c r="Q1195" t="s">
        <v>3200</v>
      </c>
      <c r="R1195" t="s">
        <v>3201</v>
      </c>
      <c r="S1195" t="s">
        <v>13</v>
      </c>
    </row>
    <row r="1196" spans="1:19" x14ac:dyDescent="0.3">
      <c r="A1196" t="s">
        <v>887</v>
      </c>
      <c r="B1196" t="s">
        <v>1596</v>
      </c>
      <c r="C1196" t="s">
        <v>1882</v>
      </c>
      <c r="D1196" t="s">
        <v>3189</v>
      </c>
      <c r="E1196" t="s">
        <v>9</v>
      </c>
      <c r="F1196" s="2">
        <v>16</v>
      </c>
      <c r="G1196" t="s">
        <v>3202</v>
      </c>
      <c r="H1196" t="s">
        <v>10</v>
      </c>
      <c r="I1196" t="s">
        <v>19</v>
      </c>
      <c r="J1196" t="s">
        <v>3207</v>
      </c>
      <c r="K1196" t="s">
        <v>15</v>
      </c>
      <c r="L1196" s="2">
        <v>7.0406000000000004</v>
      </c>
      <c r="M1196" t="s">
        <v>3199</v>
      </c>
      <c r="N1196">
        <v>0</v>
      </c>
      <c r="O1196">
        <v>0</v>
      </c>
      <c r="P1196">
        <v>1</v>
      </c>
      <c r="Q1196" t="s">
        <v>3200</v>
      </c>
      <c r="R1196" t="s">
        <v>3201</v>
      </c>
      <c r="S1196" t="s">
        <v>13</v>
      </c>
    </row>
    <row r="1197" spans="1:19" x14ac:dyDescent="0.3">
      <c r="A1197" t="s">
        <v>888</v>
      </c>
      <c r="B1197" t="s">
        <v>1596</v>
      </c>
      <c r="C1197" t="s">
        <v>2617</v>
      </c>
      <c r="D1197" t="s">
        <v>3189</v>
      </c>
      <c r="E1197" t="s">
        <v>9</v>
      </c>
      <c r="F1197" s="2">
        <v>37</v>
      </c>
      <c r="G1197" t="s">
        <v>3197</v>
      </c>
      <c r="H1197" t="s">
        <v>10</v>
      </c>
      <c r="I1197" t="s">
        <v>11</v>
      </c>
      <c r="J1197" t="s">
        <v>3198</v>
      </c>
      <c r="K1197" t="s">
        <v>43</v>
      </c>
      <c r="L1197" s="2">
        <v>8.01</v>
      </c>
      <c r="M1197" t="s">
        <v>3199</v>
      </c>
      <c r="N1197">
        <v>0</v>
      </c>
      <c r="O1197">
        <v>0</v>
      </c>
      <c r="P1197">
        <v>1</v>
      </c>
      <c r="Q1197" t="s">
        <v>3200</v>
      </c>
      <c r="R1197" t="s">
        <v>3201</v>
      </c>
      <c r="S1197" t="s">
        <v>13</v>
      </c>
    </row>
    <row r="1198" spans="1:19" x14ac:dyDescent="0.3">
      <c r="A1198" t="s">
        <v>889</v>
      </c>
      <c r="B1198" t="s">
        <v>1602</v>
      </c>
      <c r="C1198" t="s">
        <v>2618</v>
      </c>
      <c r="D1198" t="s">
        <v>3190</v>
      </c>
      <c r="E1198" t="s">
        <v>14</v>
      </c>
      <c r="F1198" s="2">
        <v>38</v>
      </c>
      <c r="G1198" t="s">
        <v>3197</v>
      </c>
      <c r="H1198" t="s">
        <v>25</v>
      </c>
      <c r="I1198" t="s">
        <v>19</v>
      </c>
      <c r="J1198" t="s">
        <v>3207</v>
      </c>
      <c r="K1198" t="s">
        <v>12</v>
      </c>
      <c r="L1198" s="2">
        <v>80</v>
      </c>
      <c r="M1198" t="s">
        <v>3211</v>
      </c>
      <c r="N1198">
        <v>0</v>
      </c>
      <c r="O1198">
        <v>0</v>
      </c>
      <c r="P1198">
        <v>1</v>
      </c>
      <c r="Q1198" t="s">
        <v>3200</v>
      </c>
      <c r="R1198" t="s">
        <v>3205</v>
      </c>
      <c r="S1198" t="s">
        <v>16</v>
      </c>
    </row>
    <row r="1199" spans="1:19" x14ac:dyDescent="0.3">
      <c r="A1199" t="s">
        <v>890</v>
      </c>
      <c r="B1199" t="s">
        <v>1596</v>
      </c>
      <c r="C1199" t="s">
        <v>2533</v>
      </c>
      <c r="D1199" t="s">
        <v>3189</v>
      </c>
      <c r="E1199" t="s">
        <v>9</v>
      </c>
      <c r="F1199" s="2">
        <v>37</v>
      </c>
      <c r="G1199" t="s">
        <v>3197</v>
      </c>
      <c r="H1199" t="s">
        <v>10</v>
      </c>
      <c r="I1199" t="s">
        <v>11</v>
      </c>
      <c r="J1199" t="s">
        <v>3198</v>
      </c>
      <c r="K1199" t="s">
        <v>15</v>
      </c>
      <c r="L1199" s="2">
        <v>16.02</v>
      </c>
      <c r="M1199" t="s">
        <v>3203</v>
      </c>
      <c r="N1199">
        <v>1</v>
      </c>
      <c r="O1199">
        <v>0</v>
      </c>
      <c r="P1199">
        <v>2</v>
      </c>
      <c r="Q1199" t="s">
        <v>3204</v>
      </c>
      <c r="R1199" t="s">
        <v>3201</v>
      </c>
      <c r="S1199" t="s">
        <v>13</v>
      </c>
    </row>
    <row r="1200" spans="1:19" x14ac:dyDescent="0.3">
      <c r="A1200" t="s">
        <v>890</v>
      </c>
      <c r="B1200" t="s">
        <v>1600</v>
      </c>
      <c r="C1200" t="s">
        <v>2619</v>
      </c>
      <c r="D1200" t="s">
        <v>3190</v>
      </c>
      <c r="E1200" t="s">
        <v>14</v>
      </c>
      <c r="F1200" s="2">
        <v>33</v>
      </c>
      <c r="G1200" t="s">
        <v>3206</v>
      </c>
      <c r="H1200" t="s">
        <v>10</v>
      </c>
      <c r="I1200" t="s">
        <v>11</v>
      </c>
      <c r="J1200" t="s">
        <v>3198</v>
      </c>
      <c r="K1200" t="s">
        <v>15</v>
      </c>
      <c r="L1200" s="2">
        <v>16.02</v>
      </c>
      <c r="M1200" t="s">
        <v>3203</v>
      </c>
      <c r="N1200">
        <v>1</v>
      </c>
      <c r="O1200">
        <v>0</v>
      </c>
      <c r="P1200">
        <v>2</v>
      </c>
      <c r="Q1200" t="s">
        <v>3204</v>
      </c>
      <c r="R1200" t="s">
        <v>3205</v>
      </c>
      <c r="S1200" t="s">
        <v>16</v>
      </c>
    </row>
    <row r="1201" spans="1:19" x14ac:dyDescent="0.3">
      <c r="A1201" t="s">
        <v>891</v>
      </c>
      <c r="B1201" t="s">
        <v>1596</v>
      </c>
      <c r="C1201" t="s">
        <v>2620</v>
      </c>
      <c r="D1201" t="s">
        <v>3189</v>
      </c>
      <c r="E1201" t="s">
        <v>9</v>
      </c>
      <c r="F1201" s="2">
        <v>32</v>
      </c>
      <c r="G1201" t="s">
        <v>3206</v>
      </c>
      <c r="H1201" t="s">
        <v>10</v>
      </c>
      <c r="I1201" t="s">
        <v>11</v>
      </c>
      <c r="J1201" t="s">
        <v>3198</v>
      </c>
      <c r="K1201" t="s">
        <v>22</v>
      </c>
      <c r="L1201" s="2">
        <v>7.1806000000000001</v>
      </c>
      <c r="M1201" t="s">
        <v>3199</v>
      </c>
      <c r="N1201">
        <v>0</v>
      </c>
      <c r="O1201">
        <v>0</v>
      </c>
      <c r="P1201">
        <v>1</v>
      </c>
      <c r="Q1201" t="s">
        <v>3200</v>
      </c>
      <c r="R1201" t="s">
        <v>3201</v>
      </c>
      <c r="S1201" t="s">
        <v>13</v>
      </c>
    </row>
    <row r="1202" spans="1:19" x14ac:dyDescent="0.3">
      <c r="A1202" t="s">
        <v>892</v>
      </c>
      <c r="B1202" t="s">
        <v>1596</v>
      </c>
      <c r="C1202" t="s">
        <v>2621</v>
      </c>
      <c r="D1202" t="s">
        <v>3189</v>
      </c>
      <c r="E1202" t="s">
        <v>9</v>
      </c>
      <c r="F1202" s="2">
        <v>20</v>
      </c>
      <c r="G1202" t="s">
        <v>3206</v>
      </c>
      <c r="H1202" t="s">
        <v>10</v>
      </c>
      <c r="I1202" t="s">
        <v>36</v>
      </c>
      <c r="J1202" t="s">
        <v>3213</v>
      </c>
      <c r="K1202" t="s">
        <v>37</v>
      </c>
      <c r="L1202" s="2">
        <v>7.15</v>
      </c>
      <c r="M1202" t="s">
        <v>3199</v>
      </c>
      <c r="N1202">
        <v>0</v>
      </c>
      <c r="O1202">
        <v>0</v>
      </c>
      <c r="P1202">
        <v>1</v>
      </c>
      <c r="Q1202" t="s">
        <v>3200</v>
      </c>
      <c r="R1202" t="s">
        <v>3201</v>
      </c>
      <c r="S1202" t="s">
        <v>13</v>
      </c>
    </row>
    <row r="1203" spans="1:19" x14ac:dyDescent="0.3">
      <c r="A1203" t="s">
        <v>893</v>
      </c>
      <c r="B1203" t="s">
        <v>1596</v>
      </c>
      <c r="C1203" t="s">
        <v>2164</v>
      </c>
      <c r="D1203" t="s">
        <v>3189</v>
      </c>
      <c r="E1203" t="s">
        <v>9</v>
      </c>
      <c r="F1203" s="2">
        <v>23</v>
      </c>
      <c r="G1203" t="s">
        <v>3206</v>
      </c>
      <c r="H1203" t="s">
        <v>10</v>
      </c>
      <c r="I1203" t="s">
        <v>11</v>
      </c>
      <c r="J1203" t="s">
        <v>3198</v>
      </c>
      <c r="K1203" t="s">
        <v>31</v>
      </c>
      <c r="L1203" s="2">
        <v>7.1711</v>
      </c>
      <c r="M1203" t="s">
        <v>3199</v>
      </c>
      <c r="N1203">
        <v>0</v>
      </c>
      <c r="O1203">
        <v>0</v>
      </c>
      <c r="P1203">
        <v>1</v>
      </c>
      <c r="Q1203" t="s">
        <v>3200</v>
      </c>
      <c r="R1203" t="s">
        <v>3201</v>
      </c>
      <c r="S1203" t="s">
        <v>13</v>
      </c>
    </row>
    <row r="1204" spans="1:19" x14ac:dyDescent="0.3">
      <c r="A1204" t="s">
        <v>894</v>
      </c>
      <c r="B1204" t="s">
        <v>1596</v>
      </c>
      <c r="C1204" t="s">
        <v>2622</v>
      </c>
      <c r="D1204" t="s">
        <v>3189</v>
      </c>
      <c r="E1204" t="s">
        <v>9</v>
      </c>
      <c r="F1204" s="2">
        <v>22</v>
      </c>
      <c r="G1204" t="s">
        <v>3206</v>
      </c>
      <c r="H1204" t="s">
        <v>10</v>
      </c>
      <c r="I1204" t="s">
        <v>11</v>
      </c>
      <c r="J1204" t="s">
        <v>3198</v>
      </c>
      <c r="K1204" t="s">
        <v>15</v>
      </c>
      <c r="L1204" s="2">
        <v>8.01</v>
      </c>
      <c r="M1204" t="s">
        <v>3199</v>
      </c>
      <c r="N1204">
        <v>0</v>
      </c>
      <c r="O1204">
        <v>0</v>
      </c>
      <c r="P1204">
        <v>1</v>
      </c>
      <c r="Q1204" t="s">
        <v>3200</v>
      </c>
      <c r="R1204" t="s">
        <v>3201</v>
      </c>
      <c r="S1204" t="s">
        <v>13</v>
      </c>
    </row>
    <row r="1205" spans="1:19" x14ac:dyDescent="0.3">
      <c r="A1205" t="s">
        <v>895</v>
      </c>
      <c r="B1205" t="s">
        <v>1602</v>
      </c>
      <c r="C1205" t="s">
        <v>1689</v>
      </c>
      <c r="D1205" t="s">
        <v>3190</v>
      </c>
      <c r="E1205" t="s">
        <v>14</v>
      </c>
      <c r="F1205" s="2">
        <v>48</v>
      </c>
      <c r="G1205" t="s">
        <v>3197</v>
      </c>
      <c r="H1205" t="s">
        <v>18</v>
      </c>
      <c r="I1205" t="s">
        <v>11</v>
      </c>
      <c r="J1205" t="s">
        <v>3198</v>
      </c>
      <c r="K1205" t="s">
        <v>37</v>
      </c>
      <c r="L1205" s="2">
        <v>10.1</v>
      </c>
      <c r="M1205" t="s">
        <v>3199</v>
      </c>
      <c r="N1205">
        <v>0</v>
      </c>
      <c r="O1205">
        <v>0</v>
      </c>
      <c r="P1205">
        <v>1</v>
      </c>
      <c r="Q1205" t="s">
        <v>3200</v>
      </c>
      <c r="R1205" t="s">
        <v>3205</v>
      </c>
      <c r="S1205" t="s">
        <v>16</v>
      </c>
    </row>
    <row r="1206" spans="1:19" x14ac:dyDescent="0.3">
      <c r="A1206" t="s">
        <v>896</v>
      </c>
      <c r="B1206" t="s">
        <v>1596</v>
      </c>
      <c r="C1206" t="s">
        <v>2623</v>
      </c>
      <c r="D1206" t="s">
        <v>3189</v>
      </c>
      <c r="E1206" t="s">
        <v>9</v>
      </c>
      <c r="F1206" s="2">
        <v>41</v>
      </c>
      <c r="G1206" t="s">
        <v>3197</v>
      </c>
      <c r="H1206" t="s">
        <v>10</v>
      </c>
      <c r="I1206" t="s">
        <v>11</v>
      </c>
      <c r="J1206" t="s">
        <v>3198</v>
      </c>
      <c r="K1206" t="s">
        <v>15</v>
      </c>
      <c r="L1206" s="2">
        <v>8.01</v>
      </c>
      <c r="M1206" t="s">
        <v>3199</v>
      </c>
      <c r="N1206">
        <v>0</v>
      </c>
      <c r="O1206">
        <v>0</v>
      </c>
      <c r="P1206">
        <v>1</v>
      </c>
      <c r="Q1206" t="s">
        <v>3200</v>
      </c>
      <c r="R1206" t="s">
        <v>3201</v>
      </c>
      <c r="S1206" t="s">
        <v>13</v>
      </c>
    </row>
    <row r="1207" spans="1:19" x14ac:dyDescent="0.3">
      <c r="A1207" t="s">
        <v>897</v>
      </c>
      <c r="B1207" t="s">
        <v>1596</v>
      </c>
      <c r="C1207" t="s">
        <v>2624</v>
      </c>
      <c r="D1207" t="s">
        <v>3189</v>
      </c>
      <c r="E1207" t="s">
        <v>9</v>
      </c>
      <c r="F1207" s="2">
        <v>20</v>
      </c>
      <c r="G1207" t="s">
        <v>3206</v>
      </c>
      <c r="H1207" t="s">
        <v>10</v>
      </c>
      <c r="I1207" t="s">
        <v>19</v>
      </c>
      <c r="J1207" t="s">
        <v>3207</v>
      </c>
      <c r="K1207" t="s">
        <v>21</v>
      </c>
      <c r="L1207" s="2">
        <v>7.0407000000000002</v>
      </c>
      <c r="M1207" t="s">
        <v>3199</v>
      </c>
      <c r="N1207">
        <v>0</v>
      </c>
      <c r="O1207">
        <v>0</v>
      </c>
      <c r="P1207">
        <v>1</v>
      </c>
      <c r="Q1207" t="s">
        <v>3200</v>
      </c>
      <c r="R1207" t="s">
        <v>3201</v>
      </c>
      <c r="S1207" t="s">
        <v>13</v>
      </c>
    </row>
    <row r="1208" spans="1:19" x14ac:dyDescent="0.3">
      <c r="A1208" t="s">
        <v>898</v>
      </c>
      <c r="B1208" t="s">
        <v>1596</v>
      </c>
      <c r="C1208" t="s">
        <v>1621</v>
      </c>
      <c r="D1208" t="s">
        <v>3189</v>
      </c>
      <c r="E1208" t="s">
        <v>9</v>
      </c>
      <c r="F1208" s="2">
        <v>26</v>
      </c>
      <c r="G1208" t="s">
        <v>3206</v>
      </c>
      <c r="H1208" t="s">
        <v>10</v>
      </c>
      <c r="I1208" t="s">
        <v>11</v>
      </c>
      <c r="J1208" t="s">
        <v>3198</v>
      </c>
      <c r="K1208" t="s">
        <v>23</v>
      </c>
      <c r="L1208" s="2">
        <v>33</v>
      </c>
      <c r="M1208" t="s">
        <v>3203</v>
      </c>
      <c r="N1208">
        <v>0</v>
      </c>
      <c r="O1208">
        <v>0</v>
      </c>
      <c r="P1208">
        <v>1</v>
      </c>
      <c r="Q1208" t="s">
        <v>3200</v>
      </c>
      <c r="R1208" t="s">
        <v>3205</v>
      </c>
      <c r="S1208" t="s">
        <v>16</v>
      </c>
    </row>
    <row r="1209" spans="1:19" x14ac:dyDescent="0.3">
      <c r="A1209" t="s">
        <v>899</v>
      </c>
      <c r="B1209" t="s">
        <v>1596</v>
      </c>
      <c r="C1209" t="s">
        <v>2625</v>
      </c>
      <c r="D1209" t="s">
        <v>3189</v>
      </c>
      <c r="E1209" t="s">
        <v>9</v>
      </c>
      <c r="F1209" s="2">
        <v>25</v>
      </c>
      <c r="G1209" t="s">
        <v>3206</v>
      </c>
      <c r="H1209" t="s">
        <v>10</v>
      </c>
      <c r="I1209" t="s">
        <v>11</v>
      </c>
      <c r="J1209" t="s">
        <v>3198</v>
      </c>
      <c r="K1209" t="s">
        <v>31</v>
      </c>
      <c r="L1209" s="2">
        <v>7.1711</v>
      </c>
      <c r="M1209" t="s">
        <v>3199</v>
      </c>
      <c r="N1209">
        <v>0</v>
      </c>
      <c r="O1209">
        <v>0</v>
      </c>
      <c r="P1209">
        <v>1</v>
      </c>
      <c r="Q1209" t="s">
        <v>3200</v>
      </c>
      <c r="R1209" t="s">
        <v>3201</v>
      </c>
      <c r="S1209" t="s">
        <v>13</v>
      </c>
    </row>
    <row r="1210" spans="1:19" x14ac:dyDescent="0.3">
      <c r="A1210" t="s">
        <v>900</v>
      </c>
      <c r="B1210" t="s">
        <v>1596</v>
      </c>
      <c r="C1210" t="s">
        <v>2626</v>
      </c>
      <c r="D1210" t="s">
        <v>3189</v>
      </c>
      <c r="E1210" t="s">
        <v>9</v>
      </c>
      <c r="F1210" s="2">
        <v>23</v>
      </c>
      <c r="G1210" t="s">
        <v>3206</v>
      </c>
      <c r="H1210" t="s">
        <v>18</v>
      </c>
      <c r="I1210" t="s">
        <v>11</v>
      </c>
      <c r="J1210" t="s">
        <v>3198</v>
      </c>
      <c r="K1210" t="s">
        <v>15</v>
      </c>
      <c r="L1210" s="2">
        <v>13</v>
      </c>
      <c r="M1210" t="s">
        <v>3199</v>
      </c>
      <c r="N1210">
        <v>0</v>
      </c>
      <c r="O1210">
        <v>0</v>
      </c>
      <c r="P1210">
        <v>1</v>
      </c>
      <c r="Q1210" t="s">
        <v>3200</v>
      </c>
      <c r="R1210" t="s">
        <v>3201</v>
      </c>
      <c r="S1210" t="s">
        <v>13</v>
      </c>
    </row>
    <row r="1211" spans="1:19" x14ac:dyDescent="0.3">
      <c r="A1211" t="s">
        <v>901</v>
      </c>
      <c r="B1211" t="s">
        <v>1600</v>
      </c>
      <c r="C1211" t="s">
        <v>2627</v>
      </c>
      <c r="D1211" t="s">
        <v>3190</v>
      </c>
      <c r="E1211" t="s">
        <v>14</v>
      </c>
      <c r="F1211" s="2">
        <v>27</v>
      </c>
      <c r="G1211" t="s">
        <v>3206</v>
      </c>
      <c r="H1211" t="s">
        <v>18</v>
      </c>
      <c r="I1211" t="s">
        <v>11</v>
      </c>
      <c r="J1211" t="s">
        <v>3198</v>
      </c>
      <c r="K1211" t="s">
        <v>43</v>
      </c>
      <c r="L1211" s="2">
        <v>12.13</v>
      </c>
      <c r="M1211" t="s">
        <v>3199</v>
      </c>
      <c r="N1211">
        <v>0</v>
      </c>
      <c r="O1211">
        <v>0</v>
      </c>
      <c r="P1211">
        <v>1</v>
      </c>
      <c r="Q1211" t="s">
        <v>3200</v>
      </c>
      <c r="R1211" t="s">
        <v>3205</v>
      </c>
      <c r="S1211" t="s">
        <v>16</v>
      </c>
    </row>
    <row r="1212" spans="1:19" x14ac:dyDescent="0.3">
      <c r="A1212" t="s">
        <v>902</v>
      </c>
      <c r="B1212" t="s">
        <v>1602</v>
      </c>
      <c r="C1212" t="s">
        <v>2628</v>
      </c>
      <c r="D1212" t="s">
        <v>3190</v>
      </c>
      <c r="E1212" t="s">
        <v>14</v>
      </c>
      <c r="F1212" s="2">
        <v>27</v>
      </c>
      <c r="G1212" t="s">
        <v>3206</v>
      </c>
      <c r="H1212" t="s">
        <v>18</v>
      </c>
      <c r="I1212" t="s">
        <v>11</v>
      </c>
      <c r="J1212" t="s">
        <v>3198</v>
      </c>
      <c r="K1212" t="s">
        <v>15</v>
      </c>
      <c r="L1212" s="2">
        <v>10.1</v>
      </c>
      <c r="M1212" t="s">
        <v>3199</v>
      </c>
      <c r="N1212">
        <v>0</v>
      </c>
      <c r="O1212">
        <v>0</v>
      </c>
      <c r="P1212">
        <v>1</v>
      </c>
      <c r="Q1212" t="s">
        <v>3200</v>
      </c>
      <c r="R1212" t="s">
        <v>3205</v>
      </c>
      <c r="S1212" t="s">
        <v>16</v>
      </c>
    </row>
    <row r="1213" spans="1:19" x14ac:dyDescent="0.3">
      <c r="A1213" t="s">
        <v>903</v>
      </c>
      <c r="B1213" t="s">
        <v>1596</v>
      </c>
      <c r="C1213" t="s">
        <v>2629</v>
      </c>
      <c r="D1213" t="s">
        <v>3189</v>
      </c>
      <c r="E1213" t="s">
        <v>9</v>
      </c>
      <c r="F1213" s="2">
        <v>31</v>
      </c>
      <c r="G1213" t="s">
        <v>3206</v>
      </c>
      <c r="H1213" t="s">
        <v>25</v>
      </c>
      <c r="I1213" t="s">
        <v>19</v>
      </c>
      <c r="J1213" t="s">
        <v>3207</v>
      </c>
      <c r="K1213" t="s">
        <v>12</v>
      </c>
      <c r="L1213" s="2">
        <v>28.100899999999999</v>
      </c>
      <c r="M1213" t="s">
        <v>3203</v>
      </c>
      <c r="N1213">
        <v>0</v>
      </c>
      <c r="O1213">
        <v>0</v>
      </c>
      <c r="P1213">
        <v>1</v>
      </c>
      <c r="Q1213" t="s">
        <v>3200</v>
      </c>
      <c r="R1213" t="s">
        <v>3205</v>
      </c>
      <c r="S1213" t="s">
        <v>16</v>
      </c>
    </row>
    <row r="1214" spans="1:19" x14ac:dyDescent="0.3">
      <c r="A1214" t="s">
        <v>904</v>
      </c>
      <c r="B1214" t="s">
        <v>1612</v>
      </c>
      <c r="C1214" t="s">
        <v>2630</v>
      </c>
      <c r="D1214" t="s">
        <v>3189</v>
      </c>
      <c r="E1214" t="s">
        <v>9</v>
      </c>
      <c r="F1214" s="2">
        <v>8</v>
      </c>
      <c r="G1214" t="s">
        <v>3208</v>
      </c>
      <c r="H1214" t="s">
        <v>10</v>
      </c>
      <c r="I1214" t="s">
        <v>19</v>
      </c>
      <c r="J1214" t="s">
        <v>3207</v>
      </c>
      <c r="K1214" t="s">
        <v>21</v>
      </c>
      <c r="L1214" s="2">
        <v>15.0411</v>
      </c>
      <c r="M1214" t="s">
        <v>3203</v>
      </c>
      <c r="N1214">
        <v>1</v>
      </c>
      <c r="O1214">
        <v>1</v>
      </c>
      <c r="P1214">
        <v>3</v>
      </c>
      <c r="Q1214" t="s">
        <v>3204</v>
      </c>
      <c r="R1214" t="s">
        <v>3205</v>
      </c>
      <c r="S1214" t="s">
        <v>16</v>
      </c>
    </row>
    <row r="1215" spans="1:19" x14ac:dyDescent="0.3">
      <c r="A1215" t="s">
        <v>904</v>
      </c>
      <c r="B1215" t="s">
        <v>1602</v>
      </c>
      <c r="C1215" t="s">
        <v>2631</v>
      </c>
      <c r="D1215" t="s">
        <v>3190</v>
      </c>
      <c r="E1215" t="s">
        <v>14</v>
      </c>
      <c r="F1215" s="2">
        <v>9</v>
      </c>
      <c r="G1215" t="s">
        <v>3202</v>
      </c>
      <c r="H1215" t="s">
        <v>10</v>
      </c>
      <c r="I1215" t="s">
        <v>19</v>
      </c>
      <c r="J1215" t="s">
        <v>3207</v>
      </c>
      <c r="K1215" t="s">
        <v>21</v>
      </c>
      <c r="L1215" s="2">
        <v>15.0411</v>
      </c>
      <c r="M1215" t="s">
        <v>3203</v>
      </c>
      <c r="N1215">
        <v>1</v>
      </c>
      <c r="O1215">
        <v>1</v>
      </c>
      <c r="P1215">
        <v>3</v>
      </c>
      <c r="Q1215" t="s">
        <v>3204</v>
      </c>
      <c r="R1215" t="s">
        <v>3205</v>
      </c>
      <c r="S1215" t="s">
        <v>16</v>
      </c>
    </row>
    <row r="1216" spans="1:19" x14ac:dyDescent="0.3">
      <c r="A1216" t="s">
        <v>904</v>
      </c>
      <c r="B1216" t="s">
        <v>1600</v>
      </c>
      <c r="C1216" t="s">
        <v>2632</v>
      </c>
      <c r="D1216" t="s">
        <v>3190</v>
      </c>
      <c r="E1216" t="s">
        <v>14</v>
      </c>
      <c r="F1216" s="2">
        <v>27</v>
      </c>
      <c r="G1216" t="s">
        <v>3206</v>
      </c>
      <c r="H1216" t="s">
        <v>10</v>
      </c>
      <c r="I1216" t="s">
        <v>19</v>
      </c>
      <c r="J1216" t="s">
        <v>3207</v>
      </c>
      <c r="K1216" t="s">
        <v>21</v>
      </c>
      <c r="L1216" s="2">
        <v>15.0411</v>
      </c>
      <c r="M1216" t="s">
        <v>3203</v>
      </c>
      <c r="N1216">
        <v>0</v>
      </c>
      <c r="O1216">
        <v>2</v>
      </c>
      <c r="P1216">
        <v>3</v>
      </c>
      <c r="Q1216" t="s">
        <v>3204</v>
      </c>
      <c r="R1216" t="s">
        <v>3205</v>
      </c>
      <c r="S1216" t="s">
        <v>16</v>
      </c>
    </row>
    <row r="1217" spans="1:19" x14ac:dyDescent="0.3">
      <c r="A1217" t="s">
        <v>905</v>
      </c>
      <c r="B1217" t="s">
        <v>1596</v>
      </c>
      <c r="C1217" t="s">
        <v>2633</v>
      </c>
      <c r="D1217" t="s">
        <v>3189</v>
      </c>
      <c r="E1217" t="s">
        <v>9</v>
      </c>
      <c r="F1217" s="2">
        <v>36</v>
      </c>
      <c r="G1217" t="s">
        <v>3197</v>
      </c>
      <c r="H1217" t="s">
        <v>10</v>
      </c>
      <c r="I1217" t="s">
        <v>11</v>
      </c>
      <c r="J1217" t="s">
        <v>3198</v>
      </c>
      <c r="K1217" t="s">
        <v>65</v>
      </c>
      <c r="L1217" s="2">
        <v>7.1711</v>
      </c>
      <c r="M1217" t="s">
        <v>3199</v>
      </c>
      <c r="N1217">
        <v>0</v>
      </c>
      <c r="O1217">
        <v>0</v>
      </c>
      <c r="P1217">
        <v>1</v>
      </c>
      <c r="Q1217" t="s">
        <v>3200</v>
      </c>
      <c r="R1217" t="s">
        <v>3201</v>
      </c>
      <c r="S1217" t="s">
        <v>13</v>
      </c>
    </row>
    <row r="1218" spans="1:19" x14ac:dyDescent="0.3">
      <c r="A1218" t="s">
        <v>906</v>
      </c>
      <c r="B1218" t="s">
        <v>1602</v>
      </c>
      <c r="C1218" t="s">
        <v>2374</v>
      </c>
      <c r="D1218" t="s">
        <v>3190</v>
      </c>
      <c r="E1218" t="s">
        <v>14</v>
      </c>
      <c r="F1218" s="2">
        <v>18</v>
      </c>
      <c r="G1218" t="s">
        <v>3206</v>
      </c>
      <c r="H1218" t="s">
        <v>10</v>
      </c>
      <c r="I1218" t="s">
        <v>11</v>
      </c>
      <c r="J1218" t="s">
        <v>3198</v>
      </c>
      <c r="K1218" t="s">
        <v>22</v>
      </c>
      <c r="L1218" s="2">
        <v>9.1609999999999996</v>
      </c>
      <c r="M1218" t="s">
        <v>3199</v>
      </c>
      <c r="N1218">
        <v>0</v>
      </c>
      <c r="O1218">
        <v>0</v>
      </c>
      <c r="P1218">
        <v>1</v>
      </c>
      <c r="Q1218" t="s">
        <v>3200</v>
      </c>
      <c r="R1218" t="s">
        <v>3205</v>
      </c>
      <c r="S1218" t="s">
        <v>16</v>
      </c>
    </row>
    <row r="1219" spans="1:19" x14ac:dyDescent="0.3">
      <c r="A1219" t="s">
        <v>907</v>
      </c>
      <c r="B1219" t="s">
        <v>1600</v>
      </c>
      <c r="C1219" t="s">
        <v>2634</v>
      </c>
      <c r="D1219" t="s">
        <v>3190</v>
      </c>
      <c r="E1219" t="s">
        <v>14</v>
      </c>
      <c r="F1219" s="2">
        <v>63</v>
      </c>
      <c r="G1219" t="s">
        <v>3210</v>
      </c>
      <c r="H1219" t="s">
        <v>10</v>
      </c>
      <c r="I1219" t="s">
        <v>11</v>
      </c>
      <c r="J1219" t="s">
        <v>3198</v>
      </c>
      <c r="K1219" t="s">
        <v>22</v>
      </c>
      <c r="L1219" s="2">
        <v>9.1109000000000009</v>
      </c>
      <c r="M1219" t="s">
        <v>3199</v>
      </c>
      <c r="N1219">
        <v>0</v>
      </c>
      <c r="O1219">
        <v>0</v>
      </c>
      <c r="P1219">
        <v>1</v>
      </c>
      <c r="Q1219" t="s">
        <v>3200</v>
      </c>
      <c r="R1219" t="s">
        <v>3205</v>
      </c>
      <c r="S1219" t="s">
        <v>16</v>
      </c>
    </row>
    <row r="1220" spans="1:19" x14ac:dyDescent="0.3">
      <c r="A1220" t="s">
        <v>908</v>
      </c>
      <c r="B1220" t="s">
        <v>1600</v>
      </c>
      <c r="C1220" t="s">
        <v>2635</v>
      </c>
      <c r="D1220" t="s">
        <v>3190</v>
      </c>
      <c r="E1220" t="s">
        <v>14</v>
      </c>
      <c r="F1220" s="2">
        <v>26</v>
      </c>
      <c r="G1220" t="s">
        <v>3206</v>
      </c>
      <c r="H1220" t="s">
        <v>18</v>
      </c>
      <c r="I1220" t="s">
        <v>11</v>
      </c>
      <c r="J1220" t="s">
        <v>3198</v>
      </c>
      <c r="K1220" t="s">
        <v>15</v>
      </c>
      <c r="L1220" s="2">
        <v>21</v>
      </c>
      <c r="M1220" t="s">
        <v>3203</v>
      </c>
      <c r="N1220">
        <v>1</v>
      </c>
      <c r="O1220">
        <v>0</v>
      </c>
      <c r="P1220">
        <v>2</v>
      </c>
      <c r="Q1220" t="s">
        <v>3204</v>
      </c>
      <c r="R1220" t="s">
        <v>3201</v>
      </c>
      <c r="S1220" t="s">
        <v>13</v>
      </c>
    </row>
    <row r="1221" spans="1:19" x14ac:dyDescent="0.3">
      <c r="A1221" t="s">
        <v>908</v>
      </c>
      <c r="B1221" t="s">
        <v>1596</v>
      </c>
      <c r="C1221" t="s">
        <v>1716</v>
      </c>
      <c r="D1221" t="s">
        <v>3189</v>
      </c>
      <c r="E1221" t="s">
        <v>9</v>
      </c>
      <c r="F1221" s="2">
        <v>29</v>
      </c>
      <c r="G1221" t="s">
        <v>3206</v>
      </c>
      <c r="H1221" t="s">
        <v>18</v>
      </c>
      <c r="I1221" t="s">
        <v>11</v>
      </c>
      <c r="J1221" t="s">
        <v>3198</v>
      </c>
      <c r="K1221" t="s">
        <v>15</v>
      </c>
      <c r="L1221" s="2">
        <v>21</v>
      </c>
      <c r="M1221" t="s">
        <v>3203</v>
      </c>
      <c r="N1221">
        <v>1</v>
      </c>
      <c r="O1221">
        <v>0</v>
      </c>
      <c r="P1221">
        <v>2</v>
      </c>
      <c r="Q1221" t="s">
        <v>3204</v>
      </c>
      <c r="R1221" t="s">
        <v>3201</v>
      </c>
      <c r="S1221" t="s">
        <v>13</v>
      </c>
    </row>
    <row r="1222" spans="1:19" x14ac:dyDescent="0.3">
      <c r="A1222" t="s">
        <v>909</v>
      </c>
      <c r="B1222" t="s">
        <v>2636</v>
      </c>
      <c r="C1222" t="s">
        <v>2637</v>
      </c>
      <c r="D1222" t="s">
        <v>3189</v>
      </c>
      <c r="E1222" t="s">
        <v>9</v>
      </c>
      <c r="F1222" s="2">
        <v>39</v>
      </c>
      <c r="G1222" t="s">
        <v>3197</v>
      </c>
      <c r="H1222" t="s">
        <v>25</v>
      </c>
      <c r="I1222" t="s">
        <v>19</v>
      </c>
      <c r="J1222" t="s">
        <v>3207</v>
      </c>
      <c r="K1222" t="s">
        <v>68</v>
      </c>
      <c r="L1222" s="2">
        <v>27.140499999999999</v>
      </c>
      <c r="M1222" t="s">
        <v>3203</v>
      </c>
      <c r="N1222">
        <v>0</v>
      </c>
      <c r="O1222">
        <v>0</v>
      </c>
      <c r="P1222">
        <v>1</v>
      </c>
      <c r="Q1222" t="s">
        <v>3200</v>
      </c>
      <c r="R1222" t="s">
        <v>3201</v>
      </c>
      <c r="S1222" t="s">
        <v>13</v>
      </c>
    </row>
    <row r="1223" spans="1:19" x14ac:dyDescent="0.3">
      <c r="A1223" t="s">
        <v>910</v>
      </c>
      <c r="B1223" t="s">
        <v>1612</v>
      </c>
      <c r="C1223" t="s">
        <v>2638</v>
      </c>
      <c r="D1223" t="s">
        <v>3189</v>
      </c>
      <c r="E1223" t="s">
        <v>9</v>
      </c>
      <c r="F1223" s="2">
        <v>10</v>
      </c>
      <c r="G1223" t="s">
        <v>3202</v>
      </c>
      <c r="H1223" t="s">
        <v>10</v>
      </c>
      <c r="I1223" t="s">
        <v>11</v>
      </c>
      <c r="J1223" t="s">
        <v>3198</v>
      </c>
      <c r="K1223" t="s">
        <v>15</v>
      </c>
      <c r="L1223" s="2">
        <v>14.1</v>
      </c>
      <c r="M1223" t="s">
        <v>3199</v>
      </c>
      <c r="N1223">
        <v>1</v>
      </c>
      <c r="O1223">
        <v>1</v>
      </c>
      <c r="P1223">
        <v>3</v>
      </c>
      <c r="Q1223" t="s">
        <v>3204</v>
      </c>
      <c r="R1223" t="s">
        <v>3201</v>
      </c>
      <c r="S1223" t="s">
        <v>13</v>
      </c>
    </row>
    <row r="1224" spans="1:19" x14ac:dyDescent="0.3">
      <c r="A1224" t="s">
        <v>910</v>
      </c>
      <c r="B1224" t="s">
        <v>1612</v>
      </c>
      <c r="C1224" t="s">
        <v>2639</v>
      </c>
      <c r="D1224" t="s">
        <v>3189</v>
      </c>
      <c r="E1224" t="s">
        <v>9</v>
      </c>
      <c r="F1224" s="2">
        <v>9</v>
      </c>
      <c r="G1224" t="s">
        <v>3202</v>
      </c>
      <c r="H1224" t="s">
        <v>10</v>
      </c>
      <c r="I1224" t="s">
        <v>11</v>
      </c>
      <c r="J1224" t="s">
        <v>3198</v>
      </c>
      <c r="K1224" t="s">
        <v>15</v>
      </c>
      <c r="L1224" s="2">
        <v>14.1</v>
      </c>
      <c r="M1224" t="s">
        <v>3199</v>
      </c>
      <c r="N1224">
        <v>1</v>
      </c>
      <c r="O1224">
        <v>1</v>
      </c>
      <c r="P1224">
        <v>3</v>
      </c>
      <c r="Q1224" t="s">
        <v>3204</v>
      </c>
      <c r="R1224" t="s">
        <v>3201</v>
      </c>
      <c r="S1224" t="s">
        <v>13</v>
      </c>
    </row>
    <row r="1225" spans="1:19" x14ac:dyDescent="0.3">
      <c r="A1225" t="s">
        <v>910</v>
      </c>
      <c r="B1225" t="s">
        <v>1596</v>
      </c>
      <c r="C1225" t="s">
        <v>2640</v>
      </c>
      <c r="D1225" t="s">
        <v>3189</v>
      </c>
      <c r="E1225" t="s">
        <v>9</v>
      </c>
      <c r="F1225" s="2">
        <v>35</v>
      </c>
      <c r="G1225" t="s">
        <v>3206</v>
      </c>
      <c r="H1225" t="s">
        <v>10</v>
      </c>
      <c r="I1225" t="s">
        <v>11</v>
      </c>
      <c r="J1225" t="s">
        <v>3198</v>
      </c>
      <c r="K1225" t="s">
        <v>15</v>
      </c>
      <c r="L1225" s="2">
        <v>14.1</v>
      </c>
      <c r="M1225" t="s">
        <v>3199</v>
      </c>
      <c r="N1225">
        <v>0</v>
      </c>
      <c r="O1225">
        <v>2</v>
      </c>
      <c r="P1225">
        <v>3</v>
      </c>
      <c r="Q1225" t="s">
        <v>3204</v>
      </c>
      <c r="R1225" t="s">
        <v>3201</v>
      </c>
      <c r="S1225" t="s">
        <v>13</v>
      </c>
    </row>
    <row r="1226" spans="1:19" x14ac:dyDescent="0.3">
      <c r="A1226" t="s">
        <v>911</v>
      </c>
      <c r="B1226" t="s">
        <v>1596</v>
      </c>
      <c r="C1226" t="s">
        <v>2641</v>
      </c>
      <c r="D1226" t="s">
        <v>3189</v>
      </c>
      <c r="E1226" t="s">
        <v>9</v>
      </c>
      <c r="F1226" s="2">
        <v>28</v>
      </c>
      <c r="G1226" t="s">
        <v>3206</v>
      </c>
      <c r="H1226" t="s">
        <v>10</v>
      </c>
      <c r="I1226" t="s">
        <v>11</v>
      </c>
      <c r="J1226" t="s">
        <v>3198</v>
      </c>
      <c r="K1226" t="s">
        <v>46</v>
      </c>
      <c r="L1226" s="2">
        <v>9.1</v>
      </c>
      <c r="M1226" t="s">
        <v>3199</v>
      </c>
      <c r="N1226">
        <v>0</v>
      </c>
      <c r="O1226">
        <v>0</v>
      </c>
      <c r="P1226">
        <v>1</v>
      </c>
      <c r="Q1226" t="s">
        <v>3200</v>
      </c>
      <c r="R1226" t="s">
        <v>3201</v>
      </c>
      <c r="S1226" t="s">
        <v>13</v>
      </c>
    </row>
    <row r="1227" spans="1:19" x14ac:dyDescent="0.3">
      <c r="A1227" t="s">
        <v>912</v>
      </c>
      <c r="B1227" t="s">
        <v>1596</v>
      </c>
      <c r="C1227" t="s">
        <v>2427</v>
      </c>
      <c r="D1227" t="s">
        <v>3189</v>
      </c>
      <c r="E1227" t="s">
        <v>9</v>
      </c>
      <c r="F1227" s="2">
        <v>46</v>
      </c>
      <c r="G1227" t="s">
        <v>3197</v>
      </c>
      <c r="H1227" t="s">
        <v>10</v>
      </c>
      <c r="I1227" t="s">
        <v>11</v>
      </c>
      <c r="J1227" t="s">
        <v>3198</v>
      </c>
      <c r="K1227" t="s">
        <v>46</v>
      </c>
      <c r="L1227" s="2">
        <v>9</v>
      </c>
      <c r="M1227" t="s">
        <v>3199</v>
      </c>
      <c r="N1227">
        <v>0</v>
      </c>
      <c r="O1227">
        <v>0</v>
      </c>
      <c r="P1227">
        <v>1</v>
      </c>
      <c r="Q1227" t="s">
        <v>3200</v>
      </c>
      <c r="R1227" t="s">
        <v>3201</v>
      </c>
      <c r="S1227" t="s">
        <v>13</v>
      </c>
    </row>
    <row r="1228" spans="1:19" x14ac:dyDescent="0.3">
      <c r="A1228" t="s">
        <v>913</v>
      </c>
      <c r="B1228" t="s">
        <v>1596</v>
      </c>
      <c r="C1228" t="s">
        <v>2642</v>
      </c>
      <c r="D1228" t="s">
        <v>3189</v>
      </c>
      <c r="E1228" t="s">
        <v>9</v>
      </c>
      <c r="F1228" s="2">
        <v>61</v>
      </c>
      <c r="G1228" t="s">
        <v>3210</v>
      </c>
      <c r="H1228" t="s">
        <v>25</v>
      </c>
      <c r="I1228" t="s">
        <v>11</v>
      </c>
      <c r="J1228" t="s">
        <v>3198</v>
      </c>
      <c r="K1228" t="s">
        <v>12</v>
      </c>
      <c r="L1228" s="2">
        <v>33.1</v>
      </c>
      <c r="M1228" t="s">
        <v>3203</v>
      </c>
      <c r="N1228">
        <v>0</v>
      </c>
      <c r="O1228">
        <v>0</v>
      </c>
      <c r="P1228">
        <v>1</v>
      </c>
      <c r="Q1228" t="s">
        <v>3200</v>
      </c>
      <c r="R1228" t="s">
        <v>3201</v>
      </c>
      <c r="S1228" t="s">
        <v>13</v>
      </c>
    </row>
    <row r="1229" spans="1:19" x14ac:dyDescent="0.3">
      <c r="A1229" t="s">
        <v>914</v>
      </c>
      <c r="B1229" t="s">
        <v>1602</v>
      </c>
      <c r="C1229" t="s">
        <v>2643</v>
      </c>
      <c r="D1229" t="s">
        <v>3190</v>
      </c>
      <c r="E1229" t="s">
        <v>14</v>
      </c>
      <c r="F1229" s="2">
        <v>18</v>
      </c>
      <c r="G1229" t="s">
        <v>3206</v>
      </c>
      <c r="H1229" t="s">
        <v>10</v>
      </c>
      <c r="I1229" t="s">
        <v>11</v>
      </c>
      <c r="J1229" t="s">
        <v>3198</v>
      </c>
      <c r="K1229" t="s">
        <v>46</v>
      </c>
      <c r="L1229" s="2">
        <v>18</v>
      </c>
      <c r="M1229" t="s">
        <v>3203</v>
      </c>
      <c r="N1229">
        <v>2</v>
      </c>
      <c r="O1229">
        <v>0</v>
      </c>
      <c r="P1229">
        <v>3</v>
      </c>
      <c r="Q1229" t="s">
        <v>3204</v>
      </c>
      <c r="R1229" t="s">
        <v>3201</v>
      </c>
      <c r="S1229" t="s">
        <v>13</v>
      </c>
    </row>
    <row r="1230" spans="1:19" x14ac:dyDescent="0.3">
      <c r="A1230" t="s">
        <v>914</v>
      </c>
      <c r="B1230" t="s">
        <v>1596</v>
      </c>
      <c r="C1230" t="s">
        <v>2524</v>
      </c>
      <c r="D1230" t="s">
        <v>3189</v>
      </c>
      <c r="E1230" t="s">
        <v>9</v>
      </c>
      <c r="F1230" s="2">
        <v>31</v>
      </c>
      <c r="G1230" t="s">
        <v>3206</v>
      </c>
      <c r="H1230" t="s">
        <v>10</v>
      </c>
      <c r="I1230" t="s">
        <v>11</v>
      </c>
      <c r="J1230" t="s">
        <v>3198</v>
      </c>
      <c r="K1230" t="s">
        <v>46</v>
      </c>
      <c r="L1230" s="2">
        <v>18</v>
      </c>
      <c r="M1230" t="s">
        <v>3203</v>
      </c>
      <c r="N1230">
        <v>3</v>
      </c>
      <c r="O1230">
        <v>0</v>
      </c>
      <c r="P1230">
        <v>4</v>
      </c>
      <c r="Q1230" t="s">
        <v>3204</v>
      </c>
      <c r="R1230" t="s">
        <v>3201</v>
      </c>
      <c r="S1230" t="s">
        <v>13</v>
      </c>
    </row>
    <row r="1231" spans="1:19" x14ac:dyDescent="0.3">
      <c r="A1231" t="s">
        <v>914</v>
      </c>
      <c r="B1231" t="s">
        <v>1596</v>
      </c>
      <c r="C1231" t="s">
        <v>2644</v>
      </c>
      <c r="D1231" t="s">
        <v>3189</v>
      </c>
      <c r="E1231" t="s">
        <v>9</v>
      </c>
      <c r="F1231" s="2">
        <v>15</v>
      </c>
      <c r="G1231" t="s">
        <v>3202</v>
      </c>
      <c r="H1231" t="s">
        <v>10</v>
      </c>
      <c r="I1231" t="s">
        <v>11</v>
      </c>
      <c r="J1231" t="s">
        <v>3198</v>
      </c>
      <c r="K1231" t="s">
        <v>46</v>
      </c>
      <c r="L1231" s="2">
        <v>18</v>
      </c>
      <c r="M1231" t="s">
        <v>3203</v>
      </c>
      <c r="N1231">
        <v>2</v>
      </c>
      <c r="O1231">
        <v>0</v>
      </c>
      <c r="P1231">
        <v>3</v>
      </c>
      <c r="Q1231" t="s">
        <v>3204</v>
      </c>
      <c r="R1231" t="s">
        <v>3201</v>
      </c>
      <c r="S1231" t="s">
        <v>13</v>
      </c>
    </row>
    <row r="1232" spans="1:19" x14ac:dyDescent="0.3">
      <c r="A1232" t="s">
        <v>914</v>
      </c>
      <c r="B1232" t="s">
        <v>1600</v>
      </c>
      <c r="C1232" t="s">
        <v>2645</v>
      </c>
      <c r="D1232" t="s">
        <v>3190</v>
      </c>
      <c r="E1232" t="s">
        <v>14</v>
      </c>
      <c r="F1232" s="2">
        <v>31</v>
      </c>
      <c r="G1232" t="s">
        <v>3206</v>
      </c>
      <c r="H1232" t="s">
        <v>10</v>
      </c>
      <c r="I1232" t="s">
        <v>11</v>
      </c>
      <c r="J1232" t="s">
        <v>3198</v>
      </c>
      <c r="K1232" t="s">
        <v>46</v>
      </c>
      <c r="L1232" s="2">
        <v>18</v>
      </c>
      <c r="M1232" t="s">
        <v>3203</v>
      </c>
      <c r="N1232">
        <v>1</v>
      </c>
      <c r="O1232">
        <v>0</v>
      </c>
      <c r="P1232">
        <v>2</v>
      </c>
      <c r="Q1232" t="s">
        <v>3204</v>
      </c>
      <c r="R1232" t="s">
        <v>3201</v>
      </c>
      <c r="S1232" t="s">
        <v>13</v>
      </c>
    </row>
    <row r="1233" spans="1:19" x14ac:dyDescent="0.3">
      <c r="A1233" t="s">
        <v>915</v>
      </c>
      <c r="B1233" t="s">
        <v>1596</v>
      </c>
      <c r="C1233" t="s">
        <v>2646</v>
      </c>
      <c r="D1233" t="s">
        <v>3189</v>
      </c>
      <c r="E1233" t="s">
        <v>9</v>
      </c>
      <c r="F1233" s="2">
        <v>35</v>
      </c>
      <c r="G1233" t="s">
        <v>3206</v>
      </c>
      <c r="H1233" t="s">
        <v>10</v>
      </c>
      <c r="I1233" t="s">
        <v>11</v>
      </c>
      <c r="J1233" t="s">
        <v>3198</v>
      </c>
      <c r="K1233" t="s">
        <v>46</v>
      </c>
      <c r="L1233" s="2">
        <v>9.1</v>
      </c>
      <c r="M1233" t="s">
        <v>3199</v>
      </c>
      <c r="N1233">
        <v>0</v>
      </c>
      <c r="O1233">
        <v>0</v>
      </c>
      <c r="P1233">
        <v>1</v>
      </c>
      <c r="Q1233" t="s">
        <v>3200</v>
      </c>
      <c r="R1233" t="s">
        <v>3201</v>
      </c>
      <c r="S1233" t="s">
        <v>13</v>
      </c>
    </row>
    <row r="1234" spans="1:19" x14ac:dyDescent="0.3">
      <c r="A1234" t="s">
        <v>916</v>
      </c>
      <c r="B1234" t="s">
        <v>1596</v>
      </c>
      <c r="C1234" t="s">
        <v>2647</v>
      </c>
      <c r="D1234" t="s">
        <v>3189</v>
      </c>
      <c r="E1234" t="s">
        <v>9</v>
      </c>
      <c r="F1234" s="2">
        <v>28</v>
      </c>
      <c r="G1234" t="s">
        <v>3206</v>
      </c>
      <c r="H1234" t="s">
        <v>10</v>
      </c>
      <c r="I1234" t="s">
        <v>11</v>
      </c>
      <c r="J1234" t="s">
        <v>3198</v>
      </c>
      <c r="K1234" t="s">
        <v>46</v>
      </c>
      <c r="L1234" s="2">
        <v>9.1</v>
      </c>
      <c r="M1234" t="s">
        <v>3199</v>
      </c>
      <c r="N1234">
        <v>0</v>
      </c>
      <c r="O1234">
        <v>0</v>
      </c>
      <c r="P1234">
        <v>1</v>
      </c>
      <c r="Q1234" t="s">
        <v>3200</v>
      </c>
      <c r="R1234" t="s">
        <v>3201</v>
      </c>
      <c r="S1234" t="s">
        <v>13</v>
      </c>
    </row>
    <row r="1235" spans="1:19" x14ac:dyDescent="0.3">
      <c r="A1235" t="s">
        <v>917</v>
      </c>
      <c r="B1235" t="s">
        <v>1602</v>
      </c>
      <c r="C1235" t="s">
        <v>2648</v>
      </c>
      <c r="D1235" t="s">
        <v>3190</v>
      </c>
      <c r="E1235" t="s">
        <v>14</v>
      </c>
      <c r="F1235" s="2">
        <v>10</v>
      </c>
      <c r="G1235" t="s">
        <v>3202</v>
      </c>
      <c r="H1235" t="s">
        <v>10</v>
      </c>
      <c r="I1235" t="s">
        <v>11</v>
      </c>
      <c r="J1235" t="s">
        <v>3198</v>
      </c>
      <c r="K1235" t="s">
        <v>46</v>
      </c>
      <c r="L1235" s="2">
        <v>24.03</v>
      </c>
      <c r="M1235" t="s">
        <v>3203</v>
      </c>
      <c r="N1235">
        <v>0</v>
      </c>
      <c r="O1235">
        <v>2</v>
      </c>
      <c r="P1235">
        <v>3</v>
      </c>
      <c r="Q1235" t="s">
        <v>3204</v>
      </c>
      <c r="R1235" t="s">
        <v>3201</v>
      </c>
      <c r="S1235" t="s">
        <v>13</v>
      </c>
    </row>
    <row r="1236" spans="1:19" x14ac:dyDescent="0.3">
      <c r="A1236" t="s">
        <v>917</v>
      </c>
      <c r="B1236" t="s">
        <v>1596</v>
      </c>
      <c r="C1236" t="s">
        <v>2649</v>
      </c>
      <c r="D1236" t="s">
        <v>3189</v>
      </c>
      <c r="E1236" t="s">
        <v>9</v>
      </c>
      <c r="F1236" s="2">
        <v>36</v>
      </c>
      <c r="G1236" t="s">
        <v>3197</v>
      </c>
      <c r="H1236" t="s">
        <v>10</v>
      </c>
      <c r="I1236" t="s">
        <v>11</v>
      </c>
      <c r="J1236" t="s">
        <v>3198</v>
      </c>
      <c r="K1236" t="s">
        <v>46</v>
      </c>
      <c r="L1236" s="2">
        <v>24.03</v>
      </c>
      <c r="M1236" t="s">
        <v>3203</v>
      </c>
      <c r="N1236">
        <v>1</v>
      </c>
      <c r="O1236">
        <v>1</v>
      </c>
      <c r="P1236">
        <v>3</v>
      </c>
      <c r="Q1236" t="s">
        <v>3204</v>
      </c>
      <c r="R1236" t="s">
        <v>3201</v>
      </c>
      <c r="S1236" t="s">
        <v>13</v>
      </c>
    </row>
    <row r="1237" spans="1:19" x14ac:dyDescent="0.3">
      <c r="A1237" t="s">
        <v>917</v>
      </c>
      <c r="B1237" t="s">
        <v>1600</v>
      </c>
      <c r="C1237" t="s">
        <v>2650</v>
      </c>
      <c r="D1237" t="s">
        <v>3190</v>
      </c>
      <c r="E1237" t="s">
        <v>14</v>
      </c>
      <c r="F1237" s="2">
        <v>30</v>
      </c>
      <c r="G1237" t="s">
        <v>3206</v>
      </c>
      <c r="H1237" t="s">
        <v>10</v>
      </c>
      <c r="I1237" t="s">
        <v>11</v>
      </c>
      <c r="J1237" t="s">
        <v>3198</v>
      </c>
      <c r="K1237" t="s">
        <v>46</v>
      </c>
      <c r="L1237" s="2">
        <v>24.03</v>
      </c>
      <c r="M1237" t="s">
        <v>3203</v>
      </c>
      <c r="N1237">
        <v>1</v>
      </c>
      <c r="O1237">
        <v>1</v>
      </c>
      <c r="P1237">
        <v>3</v>
      </c>
      <c r="Q1237" t="s">
        <v>3204</v>
      </c>
      <c r="R1237" t="s">
        <v>3201</v>
      </c>
      <c r="S1237" t="s">
        <v>13</v>
      </c>
    </row>
    <row r="1238" spans="1:19" x14ac:dyDescent="0.3">
      <c r="A1238" t="s">
        <v>918</v>
      </c>
      <c r="B1238" t="s">
        <v>1596</v>
      </c>
      <c r="C1238" t="s">
        <v>2651</v>
      </c>
      <c r="D1238" t="s">
        <v>3189</v>
      </c>
      <c r="E1238" t="s">
        <v>9</v>
      </c>
      <c r="F1238" s="2">
        <v>23</v>
      </c>
      <c r="G1238" t="s">
        <v>3206</v>
      </c>
      <c r="H1238" t="s">
        <v>10</v>
      </c>
      <c r="I1238" t="s">
        <v>11</v>
      </c>
      <c r="J1238" t="s">
        <v>3198</v>
      </c>
      <c r="K1238" t="s">
        <v>46</v>
      </c>
      <c r="L1238" s="2">
        <v>9.1</v>
      </c>
      <c r="M1238" t="s">
        <v>3199</v>
      </c>
      <c r="N1238">
        <v>0</v>
      </c>
      <c r="O1238">
        <v>0</v>
      </c>
      <c r="P1238">
        <v>1</v>
      </c>
      <c r="Q1238" t="s">
        <v>3200</v>
      </c>
      <c r="R1238" t="s">
        <v>3201</v>
      </c>
      <c r="S1238" t="s">
        <v>13</v>
      </c>
    </row>
    <row r="1239" spans="1:19" x14ac:dyDescent="0.3">
      <c r="A1239" t="s">
        <v>919</v>
      </c>
      <c r="B1239" t="s">
        <v>1596</v>
      </c>
      <c r="C1239" t="s">
        <v>1824</v>
      </c>
      <c r="D1239" t="s">
        <v>3189</v>
      </c>
      <c r="E1239" t="s">
        <v>9</v>
      </c>
      <c r="F1239" s="2">
        <v>22</v>
      </c>
      <c r="G1239" t="s">
        <v>3206</v>
      </c>
      <c r="H1239" t="s">
        <v>10</v>
      </c>
      <c r="I1239" t="s">
        <v>19</v>
      </c>
      <c r="J1239" t="s">
        <v>3207</v>
      </c>
      <c r="K1239" t="s">
        <v>58</v>
      </c>
      <c r="L1239" s="2">
        <v>7.0406000000000004</v>
      </c>
      <c r="M1239" t="s">
        <v>3199</v>
      </c>
      <c r="N1239">
        <v>0</v>
      </c>
      <c r="O1239">
        <v>0</v>
      </c>
      <c r="P1239">
        <v>1</v>
      </c>
      <c r="Q1239" t="s">
        <v>3200</v>
      </c>
      <c r="R1239" t="s">
        <v>3205</v>
      </c>
      <c r="S1239" t="s">
        <v>16</v>
      </c>
    </row>
    <row r="1240" spans="1:19" x14ac:dyDescent="0.3">
      <c r="A1240" t="s">
        <v>920</v>
      </c>
      <c r="B1240" t="s">
        <v>1596</v>
      </c>
      <c r="C1240" t="s">
        <v>1965</v>
      </c>
      <c r="D1240" t="s">
        <v>3189</v>
      </c>
      <c r="E1240" t="s">
        <v>9</v>
      </c>
      <c r="F1240" s="2">
        <v>40</v>
      </c>
      <c r="G1240" t="s">
        <v>3197</v>
      </c>
      <c r="H1240" t="s">
        <v>18</v>
      </c>
      <c r="I1240" t="s">
        <v>11</v>
      </c>
      <c r="J1240" t="s">
        <v>3198</v>
      </c>
      <c r="K1240" t="s">
        <v>12</v>
      </c>
      <c r="L1240" s="2">
        <v>13</v>
      </c>
      <c r="M1240" t="s">
        <v>3199</v>
      </c>
      <c r="N1240">
        <v>0</v>
      </c>
      <c r="O1240">
        <v>0</v>
      </c>
      <c r="P1240">
        <v>1</v>
      </c>
      <c r="Q1240" t="s">
        <v>3200</v>
      </c>
      <c r="R1240" t="s">
        <v>3201</v>
      </c>
      <c r="S1240" t="s">
        <v>13</v>
      </c>
    </row>
    <row r="1241" spans="1:19" x14ac:dyDescent="0.3">
      <c r="A1241" t="s">
        <v>921</v>
      </c>
      <c r="B1241" t="s">
        <v>1596</v>
      </c>
      <c r="C1241" t="s">
        <v>2652</v>
      </c>
      <c r="D1241" t="s">
        <v>3189</v>
      </c>
      <c r="E1241" t="s">
        <v>9</v>
      </c>
      <c r="F1241" s="2">
        <v>20</v>
      </c>
      <c r="G1241" t="s">
        <v>3206</v>
      </c>
      <c r="H1241" t="s">
        <v>10</v>
      </c>
      <c r="I1241" t="s">
        <v>11</v>
      </c>
      <c r="J1241" t="s">
        <v>3198</v>
      </c>
      <c r="K1241" t="s">
        <v>23</v>
      </c>
      <c r="L1241" s="2">
        <v>7.1700999999999997</v>
      </c>
      <c r="M1241" t="s">
        <v>3199</v>
      </c>
      <c r="N1241">
        <v>0</v>
      </c>
      <c r="O1241">
        <v>0</v>
      </c>
      <c r="P1241">
        <v>1</v>
      </c>
      <c r="Q1241" t="s">
        <v>3200</v>
      </c>
      <c r="R1241" t="s">
        <v>3201</v>
      </c>
      <c r="S1241" t="s">
        <v>13</v>
      </c>
    </row>
    <row r="1242" spans="1:19" x14ac:dyDescent="0.3">
      <c r="A1242" t="s">
        <v>922</v>
      </c>
      <c r="B1242" t="s">
        <v>1602</v>
      </c>
      <c r="C1242" t="s">
        <v>2653</v>
      </c>
      <c r="D1242" t="s">
        <v>3190</v>
      </c>
      <c r="E1242" t="s">
        <v>14</v>
      </c>
      <c r="F1242" s="2">
        <v>14</v>
      </c>
      <c r="G1242" t="s">
        <v>3202</v>
      </c>
      <c r="H1242" t="s">
        <v>10</v>
      </c>
      <c r="I1242" t="s">
        <v>11</v>
      </c>
      <c r="J1242" t="s">
        <v>3198</v>
      </c>
      <c r="K1242" t="s">
        <v>23</v>
      </c>
      <c r="L1242" s="2">
        <v>7.1700999999999997</v>
      </c>
      <c r="M1242" t="s">
        <v>3199</v>
      </c>
      <c r="N1242">
        <v>0</v>
      </c>
      <c r="O1242">
        <v>0</v>
      </c>
      <c r="P1242">
        <v>1</v>
      </c>
      <c r="Q1242" t="s">
        <v>3200</v>
      </c>
      <c r="R1242" t="s">
        <v>3201</v>
      </c>
      <c r="S1242" t="s">
        <v>13</v>
      </c>
    </row>
    <row r="1243" spans="1:19" x14ac:dyDescent="0.3">
      <c r="A1243" t="s">
        <v>923</v>
      </c>
      <c r="B1243" t="s">
        <v>1596</v>
      </c>
      <c r="C1243" t="s">
        <v>2654</v>
      </c>
      <c r="D1243" t="s">
        <v>3189</v>
      </c>
      <c r="E1243" t="s">
        <v>9</v>
      </c>
      <c r="F1243" s="2">
        <v>21</v>
      </c>
      <c r="G1243" t="s">
        <v>3206</v>
      </c>
      <c r="H1243" t="s">
        <v>10</v>
      </c>
      <c r="I1243" t="s">
        <v>11</v>
      </c>
      <c r="J1243" t="s">
        <v>3198</v>
      </c>
      <c r="K1243" t="s">
        <v>56</v>
      </c>
      <c r="L1243" s="2">
        <v>7.1711</v>
      </c>
      <c r="M1243" t="s">
        <v>3199</v>
      </c>
      <c r="N1243">
        <v>0</v>
      </c>
      <c r="O1243">
        <v>0</v>
      </c>
      <c r="P1243">
        <v>1</v>
      </c>
      <c r="Q1243" t="s">
        <v>3200</v>
      </c>
      <c r="R1243" t="s">
        <v>3201</v>
      </c>
      <c r="S1243" t="s">
        <v>13</v>
      </c>
    </row>
    <row r="1244" spans="1:19" x14ac:dyDescent="0.3">
      <c r="A1244" t="s">
        <v>924</v>
      </c>
      <c r="B1244" t="s">
        <v>1596</v>
      </c>
      <c r="C1244" t="s">
        <v>2655</v>
      </c>
      <c r="D1244" t="s">
        <v>3189</v>
      </c>
      <c r="E1244" t="s">
        <v>9</v>
      </c>
      <c r="F1244" s="2">
        <v>22</v>
      </c>
      <c r="G1244" t="s">
        <v>3206</v>
      </c>
      <c r="H1244" t="s">
        <v>10</v>
      </c>
      <c r="I1244" t="s">
        <v>11</v>
      </c>
      <c r="J1244" t="s">
        <v>3198</v>
      </c>
      <c r="K1244" t="s">
        <v>46</v>
      </c>
      <c r="L1244" s="2">
        <v>9</v>
      </c>
      <c r="M1244" t="s">
        <v>3199</v>
      </c>
      <c r="N1244">
        <v>0</v>
      </c>
      <c r="O1244">
        <v>0</v>
      </c>
      <c r="P1244">
        <v>1</v>
      </c>
      <c r="Q1244" t="s">
        <v>3200</v>
      </c>
      <c r="R1244" t="s">
        <v>3201</v>
      </c>
      <c r="S1244" t="s">
        <v>13</v>
      </c>
    </row>
    <row r="1245" spans="1:19" x14ac:dyDescent="0.3">
      <c r="A1245" t="s">
        <v>925</v>
      </c>
      <c r="B1245" t="s">
        <v>1596</v>
      </c>
      <c r="C1245" t="s">
        <v>2656</v>
      </c>
      <c r="D1245" t="s">
        <v>3189</v>
      </c>
      <c r="E1245" t="s">
        <v>9</v>
      </c>
      <c r="F1245" s="2">
        <v>48</v>
      </c>
      <c r="G1245" t="s">
        <v>3197</v>
      </c>
      <c r="H1245" t="s">
        <v>25</v>
      </c>
      <c r="I1245" t="s">
        <v>11</v>
      </c>
      <c r="J1245" t="s">
        <v>3198</v>
      </c>
      <c r="K1245" t="s">
        <v>12</v>
      </c>
      <c r="L1245" s="2">
        <v>34</v>
      </c>
      <c r="M1245" t="s">
        <v>3203</v>
      </c>
      <c r="N1245">
        <v>0</v>
      </c>
      <c r="O1245">
        <v>0</v>
      </c>
      <c r="P1245">
        <v>1</v>
      </c>
      <c r="Q1245" t="s">
        <v>3200</v>
      </c>
      <c r="R1245" t="s">
        <v>3201</v>
      </c>
      <c r="S1245" t="s">
        <v>13</v>
      </c>
    </row>
    <row r="1246" spans="1:19" x14ac:dyDescent="0.3">
      <c r="A1246" t="s">
        <v>926</v>
      </c>
      <c r="B1246" t="s">
        <v>1602</v>
      </c>
      <c r="C1246" t="s">
        <v>2657</v>
      </c>
      <c r="D1246" t="s">
        <v>3190</v>
      </c>
      <c r="E1246" t="s">
        <v>14</v>
      </c>
      <c r="F1246" s="2">
        <v>36</v>
      </c>
      <c r="G1246" t="s">
        <v>3197</v>
      </c>
      <c r="H1246" t="s">
        <v>18</v>
      </c>
      <c r="I1246" t="s">
        <v>11</v>
      </c>
      <c r="J1246" t="s">
        <v>3198</v>
      </c>
      <c r="K1246" t="s">
        <v>15</v>
      </c>
      <c r="L1246" s="2">
        <v>21</v>
      </c>
      <c r="M1246" t="s">
        <v>3203</v>
      </c>
      <c r="N1246">
        <v>0</v>
      </c>
      <c r="O1246">
        <v>0</v>
      </c>
      <c r="P1246">
        <v>1</v>
      </c>
      <c r="Q1246" t="s">
        <v>3200</v>
      </c>
      <c r="R1246" t="s">
        <v>3205</v>
      </c>
      <c r="S1246" t="s">
        <v>16</v>
      </c>
    </row>
    <row r="1247" spans="1:19" x14ac:dyDescent="0.3">
      <c r="A1247" t="s">
        <v>927</v>
      </c>
      <c r="B1247" t="s">
        <v>1602</v>
      </c>
      <c r="C1247" t="s">
        <v>2658</v>
      </c>
      <c r="D1247" t="s">
        <v>3190</v>
      </c>
      <c r="E1247" t="s">
        <v>14</v>
      </c>
      <c r="F1247" s="2">
        <v>37</v>
      </c>
      <c r="G1247" t="s">
        <v>3197</v>
      </c>
      <c r="H1247" t="s">
        <v>25</v>
      </c>
      <c r="I1247" t="s">
        <v>19</v>
      </c>
      <c r="J1247" t="s">
        <v>3207</v>
      </c>
      <c r="K1247" t="s">
        <v>15</v>
      </c>
      <c r="L1247" s="2">
        <v>512.0607</v>
      </c>
      <c r="M1247" t="s">
        <v>3209</v>
      </c>
      <c r="N1247">
        <v>0</v>
      </c>
      <c r="O1247">
        <v>0</v>
      </c>
      <c r="P1247">
        <v>1</v>
      </c>
      <c r="Q1247" t="s">
        <v>3200</v>
      </c>
      <c r="R1247" t="s">
        <v>3205</v>
      </c>
      <c r="S1247" t="s">
        <v>16</v>
      </c>
    </row>
    <row r="1248" spans="1:19" x14ac:dyDescent="0.3">
      <c r="A1248" t="s">
        <v>928</v>
      </c>
      <c r="B1248" t="s">
        <v>1596</v>
      </c>
      <c r="C1248" t="s">
        <v>2511</v>
      </c>
      <c r="D1248" t="s">
        <v>3189</v>
      </c>
      <c r="E1248" t="s">
        <v>9</v>
      </c>
      <c r="F1248" s="2">
        <v>35</v>
      </c>
      <c r="G1248" t="s">
        <v>3206</v>
      </c>
      <c r="H1248" t="s">
        <v>10</v>
      </c>
      <c r="I1248" t="s">
        <v>11</v>
      </c>
      <c r="J1248" t="s">
        <v>3198</v>
      </c>
      <c r="K1248" t="s">
        <v>15</v>
      </c>
      <c r="L1248" s="2">
        <v>8.01</v>
      </c>
      <c r="M1248" t="s">
        <v>3199</v>
      </c>
      <c r="N1248">
        <v>0</v>
      </c>
      <c r="O1248">
        <v>0</v>
      </c>
      <c r="P1248">
        <v>1</v>
      </c>
      <c r="Q1248" t="s">
        <v>3200</v>
      </c>
      <c r="R1248" t="s">
        <v>3201</v>
      </c>
      <c r="S1248" t="s">
        <v>13</v>
      </c>
    </row>
    <row r="1249" spans="1:19" x14ac:dyDescent="0.3">
      <c r="A1249" t="s">
        <v>928</v>
      </c>
      <c r="B1249" t="s">
        <v>1596</v>
      </c>
      <c r="C1249" t="s">
        <v>1731</v>
      </c>
      <c r="D1249" t="s">
        <v>3189</v>
      </c>
      <c r="E1249" t="s">
        <v>9</v>
      </c>
      <c r="F1249" s="2">
        <v>47</v>
      </c>
      <c r="G1249" t="s">
        <v>3197</v>
      </c>
      <c r="H1249" t="s">
        <v>18</v>
      </c>
      <c r="I1249" t="s">
        <v>11</v>
      </c>
      <c r="J1249" t="s">
        <v>3198</v>
      </c>
      <c r="K1249" t="s">
        <v>15</v>
      </c>
      <c r="L1249" s="2">
        <v>21</v>
      </c>
      <c r="M1249" t="s">
        <v>3203</v>
      </c>
      <c r="N1249">
        <v>1</v>
      </c>
      <c r="O1249">
        <v>0</v>
      </c>
      <c r="P1249">
        <v>2</v>
      </c>
      <c r="Q1249" t="s">
        <v>3204</v>
      </c>
      <c r="R1249" t="s">
        <v>3201</v>
      </c>
      <c r="S1249" t="s">
        <v>13</v>
      </c>
    </row>
    <row r="1250" spans="1:19" x14ac:dyDescent="0.3">
      <c r="A1250" t="s">
        <v>928</v>
      </c>
      <c r="B1250" t="s">
        <v>1600</v>
      </c>
      <c r="C1250" t="s">
        <v>2659</v>
      </c>
      <c r="D1250" t="s">
        <v>3190</v>
      </c>
      <c r="E1250" t="s">
        <v>14</v>
      </c>
      <c r="F1250" s="2">
        <v>32</v>
      </c>
      <c r="G1250" t="s">
        <v>3206</v>
      </c>
      <c r="H1250" t="s">
        <v>18</v>
      </c>
      <c r="I1250" t="s">
        <v>11</v>
      </c>
      <c r="J1250" t="s">
        <v>3198</v>
      </c>
      <c r="K1250" t="s">
        <v>15</v>
      </c>
      <c r="L1250" s="2">
        <v>21</v>
      </c>
      <c r="M1250" t="s">
        <v>3203</v>
      </c>
      <c r="N1250">
        <v>0</v>
      </c>
      <c r="O1250">
        <v>0</v>
      </c>
      <c r="P1250">
        <v>1</v>
      </c>
      <c r="Q1250" t="s">
        <v>3200</v>
      </c>
      <c r="R1250" t="s">
        <v>3205</v>
      </c>
      <c r="S1250" t="s">
        <v>16</v>
      </c>
    </row>
    <row r="1251" spans="1:19" x14ac:dyDescent="0.3">
      <c r="A1251" t="s">
        <v>928</v>
      </c>
      <c r="B1251" t="s">
        <v>1596</v>
      </c>
      <c r="C1251" t="s">
        <v>2660</v>
      </c>
      <c r="D1251" t="s">
        <v>3189</v>
      </c>
      <c r="E1251" t="s">
        <v>9</v>
      </c>
      <c r="F1251" s="2">
        <v>23</v>
      </c>
      <c r="G1251" t="s">
        <v>3206</v>
      </c>
      <c r="H1251" t="s">
        <v>18</v>
      </c>
      <c r="I1251" t="s">
        <v>11</v>
      </c>
      <c r="J1251" t="s">
        <v>3198</v>
      </c>
      <c r="K1251" t="s">
        <v>15</v>
      </c>
      <c r="L1251" s="2">
        <v>10.1</v>
      </c>
      <c r="M1251" t="s">
        <v>3199</v>
      </c>
      <c r="N1251">
        <v>1</v>
      </c>
      <c r="O1251">
        <v>0</v>
      </c>
      <c r="P1251">
        <v>2</v>
      </c>
      <c r="Q1251" t="s">
        <v>3204</v>
      </c>
      <c r="R1251" t="s">
        <v>3201</v>
      </c>
      <c r="S1251" t="s">
        <v>13</v>
      </c>
    </row>
    <row r="1252" spans="1:19" x14ac:dyDescent="0.3">
      <c r="A1252" t="s">
        <v>929</v>
      </c>
      <c r="B1252" t="s">
        <v>1596</v>
      </c>
      <c r="C1252" t="s">
        <v>2661</v>
      </c>
      <c r="D1252" t="s">
        <v>3189</v>
      </c>
      <c r="E1252" t="s">
        <v>9</v>
      </c>
      <c r="F1252" s="2">
        <v>31</v>
      </c>
      <c r="G1252" t="s">
        <v>3206</v>
      </c>
      <c r="H1252" t="s">
        <v>10</v>
      </c>
      <c r="I1252" t="s">
        <v>11</v>
      </c>
      <c r="J1252" t="s">
        <v>3198</v>
      </c>
      <c r="K1252" t="s">
        <v>15</v>
      </c>
      <c r="L1252" s="2">
        <v>7.11</v>
      </c>
      <c r="M1252" t="s">
        <v>3199</v>
      </c>
      <c r="N1252">
        <v>0</v>
      </c>
      <c r="O1252">
        <v>0</v>
      </c>
      <c r="P1252">
        <v>1</v>
      </c>
      <c r="Q1252" t="s">
        <v>3200</v>
      </c>
      <c r="R1252" t="s">
        <v>3201</v>
      </c>
      <c r="S1252" t="s">
        <v>13</v>
      </c>
    </row>
    <row r="1253" spans="1:19" x14ac:dyDescent="0.3">
      <c r="A1253" t="s">
        <v>929</v>
      </c>
      <c r="B1253" t="s">
        <v>1596</v>
      </c>
      <c r="C1253" t="s">
        <v>2662</v>
      </c>
      <c r="D1253" t="s">
        <v>3189</v>
      </c>
      <c r="E1253" t="s">
        <v>9</v>
      </c>
      <c r="F1253" s="2">
        <v>63</v>
      </c>
      <c r="G1253" t="s">
        <v>3210</v>
      </c>
      <c r="H1253" t="s">
        <v>25</v>
      </c>
      <c r="I1253" t="s">
        <v>19</v>
      </c>
      <c r="J1253" t="s">
        <v>3207</v>
      </c>
      <c r="K1253" t="s">
        <v>12</v>
      </c>
      <c r="L1253" s="2">
        <v>75.05</v>
      </c>
      <c r="M1253" t="s">
        <v>3211</v>
      </c>
      <c r="N1253">
        <v>1</v>
      </c>
      <c r="O1253">
        <v>0</v>
      </c>
      <c r="P1253">
        <v>2</v>
      </c>
      <c r="Q1253" t="s">
        <v>3204</v>
      </c>
      <c r="R1253" t="s">
        <v>3201</v>
      </c>
      <c r="S1253" t="s">
        <v>13</v>
      </c>
    </row>
    <row r="1254" spans="1:19" x14ac:dyDescent="0.3">
      <c r="A1254" t="s">
        <v>929</v>
      </c>
      <c r="B1254" t="s">
        <v>1600</v>
      </c>
      <c r="C1254" t="s">
        <v>2663</v>
      </c>
      <c r="D1254" t="s">
        <v>3190</v>
      </c>
      <c r="E1254" t="s">
        <v>14</v>
      </c>
      <c r="F1254" s="2">
        <v>60</v>
      </c>
      <c r="G1254" t="s">
        <v>3210</v>
      </c>
      <c r="H1254" t="s">
        <v>25</v>
      </c>
      <c r="I1254" t="s">
        <v>19</v>
      </c>
      <c r="J1254" t="s">
        <v>3207</v>
      </c>
      <c r="K1254" t="s">
        <v>15</v>
      </c>
      <c r="L1254" s="2">
        <v>75.05</v>
      </c>
      <c r="M1254" t="s">
        <v>3211</v>
      </c>
      <c r="N1254">
        <v>1</v>
      </c>
      <c r="O1254">
        <v>0</v>
      </c>
      <c r="P1254">
        <v>2</v>
      </c>
      <c r="Q1254" t="s">
        <v>3204</v>
      </c>
      <c r="R1254" t="s">
        <v>3205</v>
      </c>
      <c r="S1254" t="s">
        <v>16</v>
      </c>
    </row>
    <row r="1255" spans="1:19" x14ac:dyDescent="0.3">
      <c r="A1255" t="s">
        <v>930</v>
      </c>
      <c r="B1255" t="s">
        <v>1596</v>
      </c>
      <c r="C1255" t="s">
        <v>2664</v>
      </c>
      <c r="D1255" t="s">
        <v>3189</v>
      </c>
      <c r="E1255" t="s">
        <v>9</v>
      </c>
      <c r="F1255" s="2">
        <v>19</v>
      </c>
      <c r="G1255" t="s">
        <v>3206</v>
      </c>
      <c r="H1255" t="s">
        <v>18</v>
      </c>
      <c r="I1255" t="s">
        <v>28</v>
      </c>
      <c r="J1255" t="s">
        <v>3212</v>
      </c>
      <c r="K1255" t="s">
        <v>29</v>
      </c>
      <c r="L1255" s="2">
        <v>33</v>
      </c>
      <c r="M1255" t="s">
        <v>3203</v>
      </c>
      <c r="N1255">
        <v>0</v>
      </c>
      <c r="O1255">
        <v>0</v>
      </c>
      <c r="P1255">
        <v>1</v>
      </c>
      <c r="Q1255" t="s">
        <v>3200</v>
      </c>
      <c r="R1255" t="s">
        <v>3201</v>
      </c>
      <c r="S1255" t="s">
        <v>13</v>
      </c>
    </row>
    <row r="1256" spans="1:19" x14ac:dyDescent="0.3">
      <c r="A1256" t="s">
        <v>931</v>
      </c>
      <c r="B1256" t="s">
        <v>1602</v>
      </c>
      <c r="C1256" t="s">
        <v>2665</v>
      </c>
      <c r="D1256" t="s">
        <v>3190</v>
      </c>
      <c r="E1256" t="s">
        <v>14</v>
      </c>
      <c r="F1256" s="2">
        <v>12</v>
      </c>
      <c r="G1256" t="s">
        <v>3202</v>
      </c>
      <c r="H1256" t="s">
        <v>18</v>
      </c>
      <c r="I1256" t="s">
        <v>11</v>
      </c>
      <c r="J1256" t="s">
        <v>3198</v>
      </c>
      <c r="K1256" t="s">
        <v>43</v>
      </c>
      <c r="L1256" s="2">
        <v>15.15</v>
      </c>
      <c r="M1256" t="s">
        <v>3203</v>
      </c>
      <c r="N1256">
        <v>0</v>
      </c>
      <c r="O1256">
        <v>0</v>
      </c>
      <c r="P1256">
        <v>1</v>
      </c>
      <c r="Q1256" t="s">
        <v>3200</v>
      </c>
      <c r="R1256" t="s">
        <v>3205</v>
      </c>
      <c r="S1256" t="s">
        <v>16</v>
      </c>
    </row>
    <row r="1257" spans="1:19" x14ac:dyDescent="0.3">
      <c r="A1257" t="s">
        <v>931</v>
      </c>
      <c r="B1257" t="s">
        <v>1600</v>
      </c>
      <c r="C1257" t="s">
        <v>1730</v>
      </c>
      <c r="D1257" t="s">
        <v>3190</v>
      </c>
      <c r="E1257" t="s">
        <v>14</v>
      </c>
      <c r="F1257" s="2">
        <v>40</v>
      </c>
      <c r="G1257" t="s">
        <v>3197</v>
      </c>
      <c r="H1257" t="s">
        <v>18</v>
      </c>
      <c r="I1257" t="s">
        <v>11</v>
      </c>
      <c r="J1257" t="s">
        <v>3198</v>
      </c>
      <c r="K1257" t="s">
        <v>43</v>
      </c>
      <c r="L1257" s="2">
        <v>15.15</v>
      </c>
      <c r="M1257" t="s">
        <v>3203</v>
      </c>
      <c r="N1257">
        <v>0</v>
      </c>
      <c r="O1257">
        <v>0</v>
      </c>
      <c r="P1257">
        <v>1</v>
      </c>
      <c r="Q1257" t="s">
        <v>3200</v>
      </c>
      <c r="R1257" t="s">
        <v>3205</v>
      </c>
      <c r="S1257" t="s">
        <v>16</v>
      </c>
    </row>
    <row r="1258" spans="1:19" x14ac:dyDescent="0.3">
      <c r="A1258" t="s">
        <v>932</v>
      </c>
      <c r="B1258" t="s">
        <v>1596</v>
      </c>
      <c r="C1258" t="s">
        <v>2666</v>
      </c>
      <c r="D1258" t="s">
        <v>3189</v>
      </c>
      <c r="E1258" t="s">
        <v>9</v>
      </c>
      <c r="F1258" s="2">
        <v>23</v>
      </c>
      <c r="G1258" t="s">
        <v>3206</v>
      </c>
      <c r="H1258" t="s">
        <v>10</v>
      </c>
      <c r="I1258" t="s">
        <v>19</v>
      </c>
      <c r="J1258" t="s">
        <v>3207</v>
      </c>
      <c r="K1258" t="s">
        <v>21</v>
      </c>
      <c r="L1258" s="2">
        <v>7.0406000000000004</v>
      </c>
      <c r="M1258" t="s">
        <v>3199</v>
      </c>
      <c r="N1258">
        <v>0</v>
      </c>
      <c r="O1258">
        <v>0</v>
      </c>
      <c r="P1258">
        <v>1</v>
      </c>
      <c r="Q1258" t="s">
        <v>3200</v>
      </c>
      <c r="R1258" t="s">
        <v>3201</v>
      </c>
      <c r="S1258" t="s">
        <v>13</v>
      </c>
    </row>
    <row r="1259" spans="1:19" x14ac:dyDescent="0.3">
      <c r="A1259" t="s">
        <v>933</v>
      </c>
      <c r="B1259" t="s">
        <v>1602</v>
      </c>
      <c r="C1259" t="s">
        <v>2667</v>
      </c>
      <c r="D1259" t="s">
        <v>3190</v>
      </c>
      <c r="E1259" t="s">
        <v>14</v>
      </c>
      <c r="F1259" s="2">
        <v>37</v>
      </c>
      <c r="G1259" t="s">
        <v>3197</v>
      </c>
      <c r="H1259" t="s">
        <v>18</v>
      </c>
      <c r="I1259" t="s">
        <v>11</v>
      </c>
      <c r="J1259" t="s">
        <v>3198</v>
      </c>
      <c r="K1259" t="s">
        <v>15</v>
      </c>
      <c r="L1259" s="2">
        <v>13</v>
      </c>
      <c r="M1259" t="s">
        <v>3199</v>
      </c>
      <c r="N1259">
        <v>0</v>
      </c>
      <c r="O1259">
        <v>0</v>
      </c>
      <c r="P1259">
        <v>1</v>
      </c>
      <c r="Q1259" t="s">
        <v>3200</v>
      </c>
      <c r="R1259" t="s">
        <v>3205</v>
      </c>
      <c r="S1259" t="s">
        <v>16</v>
      </c>
    </row>
    <row r="1260" spans="1:19" x14ac:dyDescent="0.3">
      <c r="A1260" t="s">
        <v>933</v>
      </c>
      <c r="B1260" t="s">
        <v>1596</v>
      </c>
      <c r="C1260" t="s">
        <v>1965</v>
      </c>
      <c r="D1260" t="s">
        <v>3189</v>
      </c>
      <c r="E1260" t="s">
        <v>9</v>
      </c>
      <c r="F1260" s="2">
        <v>66</v>
      </c>
      <c r="G1260" t="s">
        <v>3210</v>
      </c>
      <c r="H1260" t="s">
        <v>10</v>
      </c>
      <c r="I1260" t="s">
        <v>11</v>
      </c>
      <c r="J1260" t="s">
        <v>3198</v>
      </c>
      <c r="K1260" t="s">
        <v>15</v>
      </c>
      <c r="L1260" s="2">
        <v>8.01</v>
      </c>
      <c r="M1260" t="s">
        <v>3199</v>
      </c>
      <c r="N1260">
        <v>0</v>
      </c>
      <c r="O1260">
        <v>0</v>
      </c>
      <c r="P1260">
        <v>1</v>
      </c>
      <c r="Q1260" t="s">
        <v>3200</v>
      </c>
      <c r="R1260" t="s">
        <v>3201</v>
      </c>
      <c r="S1260" t="s">
        <v>13</v>
      </c>
    </row>
    <row r="1261" spans="1:19" x14ac:dyDescent="0.3">
      <c r="A1261" t="s">
        <v>934</v>
      </c>
      <c r="B1261" t="s">
        <v>1664</v>
      </c>
      <c r="C1261" t="s">
        <v>1610</v>
      </c>
      <c r="D1261" t="s">
        <v>3189</v>
      </c>
      <c r="E1261" t="s">
        <v>9</v>
      </c>
      <c r="F1261" s="2">
        <v>59</v>
      </c>
      <c r="G1261" t="s">
        <v>3210</v>
      </c>
      <c r="H1261" t="s">
        <v>25</v>
      </c>
      <c r="I1261" t="s">
        <v>11</v>
      </c>
      <c r="J1261" t="s">
        <v>3198</v>
      </c>
      <c r="K1261" t="s">
        <v>12</v>
      </c>
      <c r="L1261" s="2">
        <v>26.11</v>
      </c>
      <c r="M1261" t="s">
        <v>3203</v>
      </c>
      <c r="N1261">
        <v>0</v>
      </c>
      <c r="O1261">
        <v>0</v>
      </c>
      <c r="P1261">
        <v>1</v>
      </c>
      <c r="Q1261" t="s">
        <v>3200</v>
      </c>
      <c r="R1261" t="s">
        <v>3201</v>
      </c>
      <c r="S1261" t="s">
        <v>13</v>
      </c>
    </row>
    <row r="1262" spans="1:19" x14ac:dyDescent="0.3">
      <c r="A1262" t="s">
        <v>935</v>
      </c>
      <c r="B1262" t="s">
        <v>1596</v>
      </c>
      <c r="C1262" t="s">
        <v>2668</v>
      </c>
      <c r="D1262" t="s">
        <v>3189</v>
      </c>
      <c r="E1262" t="s">
        <v>9</v>
      </c>
      <c r="F1262" s="2">
        <v>37</v>
      </c>
      <c r="G1262" t="s">
        <v>3197</v>
      </c>
      <c r="H1262" t="s">
        <v>18</v>
      </c>
      <c r="I1262" t="s">
        <v>11</v>
      </c>
      <c r="J1262" t="s">
        <v>3198</v>
      </c>
      <c r="K1262" t="s">
        <v>35</v>
      </c>
      <c r="L1262" s="2">
        <v>26</v>
      </c>
      <c r="M1262" t="s">
        <v>3203</v>
      </c>
      <c r="N1262">
        <v>1</v>
      </c>
      <c r="O1262">
        <v>0</v>
      </c>
      <c r="P1262">
        <v>2</v>
      </c>
      <c r="Q1262" t="s">
        <v>3204</v>
      </c>
      <c r="R1262" t="s">
        <v>3201</v>
      </c>
      <c r="S1262" t="s">
        <v>13</v>
      </c>
    </row>
    <row r="1263" spans="1:19" x14ac:dyDescent="0.3">
      <c r="A1263" t="s">
        <v>935</v>
      </c>
      <c r="B1263" t="s">
        <v>1600</v>
      </c>
      <c r="C1263" t="s">
        <v>2669</v>
      </c>
      <c r="D1263" t="s">
        <v>3190</v>
      </c>
      <c r="E1263" t="s">
        <v>14</v>
      </c>
      <c r="F1263" s="2">
        <v>37</v>
      </c>
      <c r="G1263" t="s">
        <v>3197</v>
      </c>
      <c r="H1263" t="s">
        <v>18</v>
      </c>
      <c r="I1263" t="s">
        <v>11</v>
      </c>
      <c r="J1263" t="s">
        <v>3198</v>
      </c>
      <c r="K1263" t="s">
        <v>15</v>
      </c>
      <c r="L1263" s="2">
        <v>26</v>
      </c>
      <c r="M1263" t="s">
        <v>3203</v>
      </c>
      <c r="N1263">
        <v>1</v>
      </c>
      <c r="O1263">
        <v>0</v>
      </c>
      <c r="P1263">
        <v>2</v>
      </c>
      <c r="Q1263" t="s">
        <v>3204</v>
      </c>
      <c r="R1263" t="s">
        <v>3205</v>
      </c>
      <c r="S1263" t="s">
        <v>16</v>
      </c>
    </row>
    <row r="1264" spans="1:19" x14ac:dyDescent="0.3">
      <c r="A1264" t="s">
        <v>936</v>
      </c>
      <c r="B1264" t="s">
        <v>1612</v>
      </c>
      <c r="C1264" t="s">
        <v>2670</v>
      </c>
      <c r="D1264" t="s">
        <v>3189</v>
      </c>
      <c r="E1264" t="s">
        <v>9</v>
      </c>
      <c r="F1264" s="2">
        <v>2</v>
      </c>
      <c r="G1264" t="s">
        <v>3208</v>
      </c>
      <c r="H1264" t="s">
        <v>18</v>
      </c>
      <c r="I1264" t="s">
        <v>11</v>
      </c>
      <c r="J1264" t="s">
        <v>3198</v>
      </c>
      <c r="K1264" t="s">
        <v>15</v>
      </c>
      <c r="L1264" s="2">
        <v>23</v>
      </c>
      <c r="M1264" t="s">
        <v>3203</v>
      </c>
      <c r="N1264">
        <v>1</v>
      </c>
      <c r="O1264">
        <v>1</v>
      </c>
      <c r="P1264">
        <v>3</v>
      </c>
      <c r="Q1264" t="s">
        <v>3204</v>
      </c>
      <c r="R1264" t="s">
        <v>3205</v>
      </c>
      <c r="S1264" t="s">
        <v>16</v>
      </c>
    </row>
    <row r="1265" spans="1:19" x14ac:dyDescent="0.3">
      <c r="A1265" t="s">
        <v>936</v>
      </c>
      <c r="B1265" t="s">
        <v>1602</v>
      </c>
      <c r="C1265" t="s">
        <v>2671</v>
      </c>
      <c r="D1265" t="s">
        <v>3190</v>
      </c>
      <c r="E1265" t="s">
        <v>14</v>
      </c>
      <c r="F1265" s="2">
        <v>4</v>
      </c>
      <c r="G1265" t="s">
        <v>3208</v>
      </c>
      <c r="H1265" t="s">
        <v>18</v>
      </c>
      <c r="I1265" t="s">
        <v>11</v>
      </c>
      <c r="J1265" t="s">
        <v>3198</v>
      </c>
      <c r="K1265" t="s">
        <v>15</v>
      </c>
      <c r="L1265" s="2">
        <v>23</v>
      </c>
      <c r="M1265" t="s">
        <v>3203</v>
      </c>
      <c r="N1265">
        <v>1</v>
      </c>
      <c r="O1265">
        <v>1</v>
      </c>
      <c r="P1265">
        <v>3</v>
      </c>
      <c r="Q1265" t="s">
        <v>3204</v>
      </c>
      <c r="R1265" t="s">
        <v>3205</v>
      </c>
      <c r="S1265" t="s">
        <v>16</v>
      </c>
    </row>
    <row r="1266" spans="1:19" x14ac:dyDescent="0.3">
      <c r="A1266" t="s">
        <v>936</v>
      </c>
      <c r="B1266" t="s">
        <v>1600</v>
      </c>
      <c r="C1266" t="s">
        <v>2672</v>
      </c>
      <c r="D1266" t="s">
        <v>3190</v>
      </c>
      <c r="E1266" t="s">
        <v>14</v>
      </c>
      <c r="F1266" s="2">
        <v>29</v>
      </c>
      <c r="G1266" t="s">
        <v>3206</v>
      </c>
      <c r="H1266" t="s">
        <v>18</v>
      </c>
      <c r="I1266" t="s">
        <v>11</v>
      </c>
      <c r="J1266" t="s">
        <v>3198</v>
      </c>
      <c r="K1266" t="s">
        <v>15</v>
      </c>
      <c r="L1266" s="2">
        <v>23</v>
      </c>
      <c r="M1266" t="s">
        <v>3203</v>
      </c>
      <c r="N1266">
        <v>0</v>
      </c>
      <c r="O1266">
        <v>2</v>
      </c>
      <c r="P1266">
        <v>3</v>
      </c>
      <c r="Q1266" t="s">
        <v>3204</v>
      </c>
      <c r="R1266" t="s">
        <v>3205</v>
      </c>
      <c r="S1266" t="s">
        <v>16</v>
      </c>
    </row>
    <row r="1267" spans="1:19" x14ac:dyDescent="0.3">
      <c r="A1267" t="s">
        <v>937</v>
      </c>
      <c r="B1267" t="s">
        <v>1596</v>
      </c>
      <c r="C1267" t="s">
        <v>2156</v>
      </c>
      <c r="D1267" t="s">
        <v>3189</v>
      </c>
      <c r="E1267" t="s">
        <v>9</v>
      </c>
      <c r="F1267" s="2">
        <v>27</v>
      </c>
      <c r="G1267" t="s">
        <v>3206</v>
      </c>
      <c r="H1267" t="s">
        <v>10</v>
      </c>
      <c r="I1267" t="s">
        <v>11</v>
      </c>
      <c r="J1267" t="s">
        <v>3198</v>
      </c>
      <c r="K1267" t="s">
        <v>23</v>
      </c>
      <c r="L1267" s="2">
        <v>7.1510999999999996</v>
      </c>
      <c r="M1267" t="s">
        <v>3199</v>
      </c>
      <c r="N1267">
        <v>0</v>
      </c>
      <c r="O1267">
        <v>0</v>
      </c>
      <c r="P1267">
        <v>1</v>
      </c>
      <c r="Q1267" t="s">
        <v>3200</v>
      </c>
      <c r="R1267" t="s">
        <v>3205</v>
      </c>
      <c r="S1267" t="s">
        <v>16</v>
      </c>
    </row>
    <row r="1268" spans="1:19" x14ac:dyDescent="0.3">
      <c r="A1268" t="s">
        <v>938</v>
      </c>
      <c r="B1268" t="s">
        <v>1602</v>
      </c>
      <c r="C1268" t="s">
        <v>2673</v>
      </c>
      <c r="D1268" t="s">
        <v>3190</v>
      </c>
      <c r="E1268" t="s">
        <v>14</v>
      </c>
      <c r="F1268" s="2">
        <v>0.83333333330000003</v>
      </c>
      <c r="G1268" t="s">
        <v>3208</v>
      </c>
      <c r="H1268" t="s">
        <v>18</v>
      </c>
      <c r="I1268" t="s">
        <v>11</v>
      </c>
      <c r="J1268" t="s">
        <v>3198</v>
      </c>
      <c r="K1268" t="s">
        <v>15</v>
      </c>
      <c r="L1268" s="2">
        <v>27.15</v>
      </c>
      <c r="M1268" t="s">
        <v>3203</v>
      </c>
      <c r="N1268">
        <v>1</v>
      </c>
      <c r="O1268">
        <v>2</v>
      </c>
      <c r="P1268">
        <v>4</v>
      </c>
      <c r="Q1268" t="s">
        <v>3204</v>
      </c>
      <c r="R1268" t="s">
        <v>3205</v>
      </c>
      <c r="S1268" t="s">
        <v>16</v>
      </c>
    </row>
    <row r="1269" spans="1:19" x14ac:dyDescent="0.3">
      <c r="A1269" t="s">
        <v>938</v>
      </c>
      <c r="B1269" t="s">
        <v>1602</v>
      </c>
      <c r="C1269" t="s">
        <v>2674</v>
      </c>
      <c r="D1269" t="s">
        <v>3190</v>
      </c>
      <c r="E1269" t="s">
        <v>14</v>
      </c>
      <c r="F1269" s="2">
        <v>4</v>
      </c>
      <c r="G1269" t="s">
        <v>3208</v>
      </c>
      <c r="H1269" t="s">
        <v>18</v>
      </c>
      <c r="I1269" t="s">
        <v>11</v>
      </c>
      <c r="J1269" t="s">
        <v>3198</v>
      </c>
      <c r="K1269" t="s">
        <v>15</v>
      </c>
      <c r="L1269" s="2">
        <v>27.15</v>
      </c>
      <c r="M1269" t="s">
        <v>3203</v>
      </c>
      <c r="N1269">
        <v>1</v>
      </c>
      <c r="O1269">
        <v>2</v>
      </c>
      <c r="P1269">
        <v>4</v>
      </c>
      <c r="Q1269" t="s">
        <v>3204</v>
      </c>
      <c r="R1269" t="s">
        <v>3205</v>
      </c>
      <c r="S1269" t="s">
        <v>16</v>
      </c>
    </row>
    <row r="1270" spans="1:19" x14ac:dyDescent="0.3">
      <c r="A1270" t="s">
        <v>938</v>
      </c>
      <c r="B1270" t="s">
        <v>1596</v>
      </c>
      <c r="C1270" t="s">
        <v>2675</v>
      </c>
      <c r="D1270" t="s">
        <v>3189</v>
      </c>
      <c r="E1270" t="s">
        <v>9</v>
      </c>
      <c r="F1270" s="2">
        <v>36</v>
      </c>
      <c r="G1270" t="s">
        <v>3197</v>
      </c>
      <c r="H1270" t="s">
        <v>18</v>
      </c>
      <c r="I1270" t="s">
        <v>11</v>
      </c>
      <c r="J1270" t="s">
        <v>3198</v>
      </c>
      <c r="K1270" t="s">
        <v>15</v>
      </c>
      <c r="L1270" s="2">
        <v>27.15</v>
      </c>
      <c r="M1270" t="s">
        <v>3203</v>
      </c>
      <c r="N1270">
        <v>1</v>
      </c>
      <c r="O1270">
        <v>2</v>
      </c>
      <c r="P1270">
        <v>4</v>
      </c>
      <c r="Q1270" t="s">
        <v>3204</v>
      </c>
      <c r="R1270" t="s">
        <v>3201</v>
      </c>
      <c r="S1270" t="s">
        <v>13</v>
      </c>
    </row>
    <row r="1271" spans="1:19" x14ac:dyDescent="0.3">
      <c r="A1271" t="s">
        <v>938</v>
      </c>
      <c r="B1271" t="s">
        <v>1600</v>
      </c>
      <c r="C1271" t="s">
        <v>2676</v>
      </c>
      <c r="D1271" t="s">
        <v>3190</v>
      </c>
      <c r="E1271" t="s">
        <v>14</v>
      </c>
      <c r="F1271" s="2">
        <v>33</v>
      </c>
      <c r="G1271" t="s">
        <v>3206</v>
      </c>
      <c r="H1271" t="s">
        <v>18</v>
      </c>
      <c r="I1271" t="s">
        <v>11</v>
      </c>
      <c r="J1271" t="s">
        <v>3198</v>
      </c>
      <c r="K1271" t="s">
        <v>15</v>
      </c>
      <c r="L1271" s="2">
        <v>27.15</v>
      </c>
      <c r="M1271" t="s">
        <v>3203</v>
      </c>
      <c r="N1271">
        <v>1</v>
      </c>
      <c r="O1271">
        <v>2</v>
      </c>
      <c r="P1271">
        <v>4</v>
      </c>
      <c r="Q1271" t="s">
        <v>3204</v>
      </c>
      <c r="R1271" t="s">
        <v>3205</v>
      </c>
      <c r="S1271" t="s">
        <v>16</v>
      </c>
    </row>
    <row r="1272" spans="1:19" x14ac:dyDescent="0.3">
      <c r="A1272" t="s">
        <v>939</v>
      </c>
      <c r="B1272" t="s">
        <v>1596</v>
      </c>
      <c r="C1272" t="s">
        <v>2677</v>
      </c>
      <c r="D1272" t="s">
        <v>3189</v>
      </c>
      <c r="E1272" t="s">
        <v>9</v>
      </c>
      <c r="F1272" s="2">
        <v>65</v>
      </c>
      <c r="G1272" t="s">
        <v>3210</v>
      </c>
      <c r="H1272" t="s">
        <v>18</v>
      </c>
      <c r="I1272" t="s">
        <v>11</v>
      </c>
      <c r="J1272" t="s">
        <v>3198</v>
      </c>
      <c r="K1272" t="s">
        <v>15</v>
      </c>
      <c r="L1272" s="2">
        <v>10.1</v>
      </c>
      <c r="M1272" t="s">
        <v>3199</v>
      </c>
      <c r="N1272">
        <v>0</v>
      </c>
      <c r="O1272">
        <v>0</v>
      </c>
      <c r="P1272">
        <v>1</v>
      </c>
      <c r="Q1272" t="s">
        <v>3200</v>
      </c>
      <c r="R1272" t="s">
        <v>3201</v>
      </c>
      <c r="S1272" t="s">
        <v>13</v>
      </c>
    </row>
    <row r="1273" spans="1:19" x14ac:dyDescent="0.3">
      <c r="A1273" t="s">
        <v>940</v>
      </c>
      <c r="B1273" t="s">
        <v>1596</v>
      </c>
      <c r="C1273" t="s">
        <v>2678</v>
      </c>
      <c r="D1273" t="s">
        <v>3189</v>
      </c>
      <c r="E1273" t="s">
        <v>9</v>
      </c>
      <c r="F1273" s="2">
        <v>26</v>
      </c>
      <c r="G1273" t="s">
        <v>3206</v>
      </c>
      <c r="H1273" t="s">
        <v>18</v>
      </c>
      <c r="I1273" t="s">
        <v>11</v>
      </c>
      <c r="J1273" t="s">
        <v>3198</v>
      </c>
      <c r="K1273" t="s">
        <v>15</v>
      </c>
      <c r="L1273" s="2">
        <v>12.1706</v>
      </c>
      <c r="M1273" t="s">
        <v>3199</v>
      </c>
      <c r="N1273">
        <v>0</v>
      </c>
      <c r="O1273">
        <v>0</v>
      </c>
      <c r="P1273">
        <v>1</v>
      </c>
      <c r="Q1273" t="s">
        <v>3200</v>
      </c>
      <c r="R1273" t="s">
        <v>3201</v>
      </c>
      <c r="S1273" t="s">
        <v>13</v>
      </c>
    </row>
    <row r="1274" spans="1:19" x14ac:dyDescent="0.3">
      <c r="A1274" t="s">
        <v>941</v>
      </c>
      <c r="B1274" t="s">
        <v>1596</v>
      </c>
      <c r="C1274" t="s">
        <v>2259</v>
      </c>
      <c r="D1274" t="s">
        <v>3189</v>
      </c>
      <c r="E1274" t="s">
        <v>9</v>
      </c>
      <c r="F1274" s="2">
        <v>31</v>
      </c>
      <c r="G1274" t="s">
        <v>3206</v>
      </c>
      <c r="H1274" t="s">
        <v>18</v>
      </c>
      <c r="I1274" t="s">
        <v>11</v>
      </c>
      <c r="J1274" t="s">
        <v>3198</v>
      </c>
      <c r="K1274" t="s">
        <v>15</v>
      </c>
      <c r="L1274" s="2">
        <v>13</v>
      </c>
      <c r="M1274" t="s">
        <v>3199</v>
      </c>
      <c r="N1274">
        <v>0</v>
      </c>
      <c r="O1274">
        <v>0</v>
      </c>
      <c r="P1274">
        <v>1</v>
      </c>
      <c r="Q1274" t="s">
        <v>3200</v>
      </c>
      <c r="R1274" t="s">
        <v>3205</v>
      </c>
      <c r="S1274" t="s">
        <v>16</v>
      </c>
    </row>
    <row r="1275" spans="1:19" x14ac:dyDescent="0.3">
      <c r="A1275" t="s">
        <v>942</v>
      </c>
      <c r="B1275" t="s">
        <v>1596</v>
      </c>
      <c r="C1275" t="s">
        <v>2679</v>
      </c>
      <c r="D1275" t="s">
        <v>3189</v>
      </c>
      <c r="E1275" t="s">
        <v>9</v>
      </c>
      <c r="F1275" s="2">
        <v>54</v>
      </c>
      <c r="G1275" t="s">
        <v>3197</v>
      </c>
      <c r="H1275" t="s">
        <v>25</v>
      </c>
      <c r="I1275" t="s">
        <v>11</v>
      </c>
      <c r="J1275" t="s">
        <v>3198</v>
      </c>
      <c r="K1275" t="s">
        <v>12</v>
      </c>
      <c r="L1275" s="2">
        <v>77.050899999999999</v>
      </c>
      <c r="M1275" t="s">
        <v>3211</v>
      </c>
      <c r="N1275">
        <v>0</v>
      </c>
      <c r="O1275">
        <v>1</v>
      </c>
      <c r="P1275">
        <v>2</v>
      </c>
      <c r="Q1275" t="s">
        <v>3204</v>
      </c>
      <c r="R1275" t="s">
        <v>3201</v>
      </c>
      <c r="S1275" t="s">
        <v>13</v>
      </c>
    </row>
    <row r="1276" spans="1:19" x14ac:dyDescent="0.3">
      <c r="A1276" t="s">
        <v>942</v>
      </c>
      <c r="B1276" t="s">
        <v>1596</v>
      </c>
      <c r="C1276" t="s">
        <v>2680</v>
      </c>
      <c r="D1276" t="s">
        <v>3189</v>
      </c>
      <c r="E1276" t="s">
        <v>9</v>
      </c>
      <c r="F1276" s="2">
        <v>21</v>
      </c>
      <c r="G1276" t="s">
        <v>3206</v>
      </c>
      <c r="H1276" t="s">
        <v>25</v>
      </c>
      <c r="I1276" t="s">
        <v>11</v>
      </c>
      <c r="J1276" t="s">
        <v>3198</v>
      </c>
      <c r="K1276" t="s">
        <v>12</v>
      </c>
      <c r="L1276" s="2">
        <v>77.050899999999999</v>
      </c>
      <c r="M1276" t="s">
        <v>3211</v>
      </c>
      <c r="N1276">
        <v>0</v>
      </c>
      <c r="O1276">
        <v>1</v>
      </c>
      <c r="P1276">
        <v>2</v>
      </c>
      <c r="Q1276" t="s">
        <v>3204</v>
      </c>
      <c r="R1276" t="s">
        <v>3201</v>
      </c>
      <c r="S1276" t="s">
        <v>13</v>
      </c>
    </row>
    <row r="1277" spans="1:19" x14ac:dyDescent="0.3">
      <c r="A1277" t="s">
        <v>942</v>
      </c>
      <c r="B1277" t="s">
        <v>1600</v>
      </c>
      <c r="C1277" t="s">
        <v>2681</v>
      </c>
      <c r="D1277" t="s">
        <v>3190</v>
      </c>
      <c r="E1277" t="s">
        <v>14</v>
      </c>
      <c r="F1277" s="2">
        <v>55</v>
      </c>
      <c r="G1277" t="s">
        <v>3197</v>
      </c>
      <c r="H1277" t="s">
        <v>25</v>
      </c>
      <c r="I1277" t="s">
        <v>19</v>
      </c>
      <c r="J1277" t="s">
        <v>3207</v>
      </c>
      <c r="K1277" t="s">
        <v>15</v>
      </c>
      <c r="L1277" s="2">
        <v>135.1208</v>
      </c>
      <c r="M1277" t="s">
        <v>3209</v>
      </c>
      <c r="N1277">
        <v>0</v>
      </c>
      <c r="O1277">
        <v>0</v>
      </c>
      <c r="P1277">
        <v>1</v>
      </c>
      <c r="Q1277" t="s">
        <v>3200</v>
      </c>
      <c r="R1277" t="s">
        <v>3205</v>
      </c>
      <c r="S1277" t="s">
        <v>16</v>
      </c>
    </row>
    <row r="1278" spans="1:19" x14ac:dyDescent="0.3">
      <c r="A1278" t="s">
        <v>943</v>
      </c>
      <c r="B1278" t="s">
        <v>2682</v>
      </c>
      <c r="C1278" t="s">
        <v>2683</v>
      </c>
      <c r="D1278" t="s">
        <v>3189</v>
      </c>
      <c r="E1278" t="s">
        <v>9</v>
      </c>
      <c r="F1278" s="2">
        <v>57</v>
      </c>
      <c r="G1278" t="s">
        <v>3210</v>
      </c>
      <c r="H1278" t="s">
        <v>25</v>
      </c>
      <c r="I1278" t="s">
        <v>11</v>
      </c>
      <c r="J1278" t="s">
        <v>3198</v>
      </c>
      <c r="K1278" t="s">
        <v>12</v>
      </c>
      <c r="L1278" s="2">
        <v>164.1704</v>
      </c>
      <c r="M1278" t="s">
        <v>3209</v>
      </c>
      <c r="N1278">
        <v>1</v>
      </c>
      <c r="O1278">
        <v>1</v>
      </c>
      <c r="P1278">
        <v>3</v>
      </c>
      <c r="Q1278" t="s">
        <v>3204</v>
      </c>
      <c r="R1278" t="s">
        <v>3201</v>
      </c>
      <c r="S1278" t="s">
        <v>13</v>
      </c>
    </row>
    <row r="1279" spans="1:19" x14ac:dyDescent="0.3">
      <c r="A1279" t="s">
        <v>943</v>
      </c>
      <c r="B1279" t="s">
        <v>1602</v>
      </c>
      <c r="C1279" t="s">
        <v>2684</v>
      </c>
      <c r="D1279" t="s">
        <v>3190</v>
      </c>
      <c r="E1279" t="s">
        <v>14</v>
      </c>
      <c r="F1279" s="2">
        <v>31</v>
      </c>
      <c r="G1279" t="s">
        <v>3206</v>
      </c>
      <c r="H1279" t="s">
        <v>25</v>
      </c>
      <c r="I1279" t="s">
        <v>11</v>
      </c>
      <c r="J1279" t="s">
        <v>3198</v>
      </c>
      <c r="K1279" t="s">
        <v>12</v>
      </c>
      <c r="L1279" s="2">
        <v>164.1704</v>
      </c>
      <c r="M1279" t="s">
        <v>3209</v>
      </c>
      <c r="N1279">
        <v>0</v>
      </c>
      <c r="O1279">
        <v>2</v>
      </c>
      <c r="P1279">
        <v>3</v>
      </c>
      <c r="Q1279" t="s">
        <v>3204</v>
      </c>
      <c r="R1279" t="s">
        <v>3205</v>
      </c>
      <c r="S1279" t="s">
        <v>16</v>
      </c>
    </row>
    <row r="1280" spans="1:19" x14ac:dyDescent="0.3">
      <c r="A1280" t="s">
        <v>943</v>
      </c>
      <c r="B1280" t="s">
        <v>1600</v>
      </c>
      <c r="C1280" t="s">
        <v>2685</v>
      </c>
      <c r="D1280" t="s">
        <v>3190</v>
      </c>
      <c r="E1280" t="s">
        <v>14</v>
      </c>
      <c r="F1280" s="2">
        <v>45</v>
      </c>
      <c r="G1280" t="s">
        <v>3197</v>
      </c>
      <c r="H1280" t="s">
        <v>25</v>
      </c>
      <c r="I1280" t="s">
        <v>11</v>
      </c>
      <c r="J1280" t="s">
        <v>3198</v>
      </c>
      <c r="K1280" t="s">
        <v>12</v>
      </c>
      <c r="L1280" s="2">
        <v>164.1704</v>
      </c>
      <c r="M1280" t="s">
        <v>3209</v>
      </c>
      <c r="N1280">
        <v>1</v>
      </c>
      <c r="O1280">
        <v>1</v>
      </c>
      <c r="P1280">
        <v>3</v>
      </c>
      <c r="Q1280" t="s">
        <v>3204</v>
      </c>
      <c r="R1280" t="s">
        <v>3205</v>
      </c>
      <c r="S1280" t="s">
        <v>16</v>
      </c>
    </row>
    <row r="1281" spans="1:19" x14ac:dyDescent="0.3">
      <c r="A1281" t="s">
        <v>944</v>
      </c>
      <c r="B1281" t="s">
        <v>1596</v>
      </c>
      <c r="C1281" t="s">
        <v>2686</v>
      </c>
      <c r="D1281" t="s">
        <v>3189</v>
      </c>
      <c r="E1281" t="s">
        <v>9</v>
      </c>
      <c r="F1281" s="2">
        <v>51</v>
      </c>
      <c r="G1281" t="s">
        <v>3197</v>
      </c>
      <c r="H1281" t="s">
        <v>10</v>
      </c>
      <c r="I1281" t="s">
        <v>11</v>
      </c>
      <c r="J1281" t="s">
        <v>3198</v>
      </c>
      <c r="K1281" t="s">
        <v>23</v>
      </c>
      <c r="L1281" s="2">
        <v>7.15</v>
      </c>
      <c r="M1281" t="s">
        <v>3199</v>
      </c>
      <c r="N1281">
        <v>0</v>
      </c>
      <c r="O1281">
        <v>0</v>
      </c>
      <c r="P1281">
        <v>1</v>
      </c>
      <c r="Q1281" t="s">
        <v>3200</v>
      </c>
      <c r="R1281" t="s">
        <v>3201</v>
      </c>
      <c r="S1281" t="s">
        <v>13</v>
      </c>
    </row>
    <row r="1282" spans="1:19" x14ac:dyDescent="0.3">
      <c r="A1282" t="s">
        <v>945</v>
      </c>
      <c r="B1282" t="s">
        <v>1596</v>
      </c>
      <c r="C1282" t="s">
        <v>2687</v>
      </c>
      <c r="D1282" t="s">
        <v>3189</v>
      </c>
      <c r="E1282" t="s">
        <v>9</v>
      </c>
      <c r="F1282" s="2">
        <v>50</v>
      </c>
      <c r="G1282" t="s">
        <v>3197</v>
      </c>
      <c r="H1282" t="s">
        <v>25</v>
      </c>
      <c r="I1282" t="s">
        <v>11</v>
      </c>
      <c r="J1282" t="s">
        <v>3198</v>
      </c>
      <c r="K1282" t="s">
        <v>12</v>
      </c>
      <c r="L1282" s="2">
        <v>211.1</v>
      </c>
      <c r="M1282" t="s">
        <v>3209</v>
      </c>
      <c r="N1282">
        <v>1</v>
      </c>
      <c r="O1282">
        <v>1</v>
      </c>
      <c r="P1282">
        <v>3</v>
      </c>
      <c r="Q1282" t="s">
        <v>3204</v>
      </c>
      <c r="R1282" t="s">
        <v>3201</v>
      </c>
      <c r="S1282" t="s">
        <v>13</v>
      </c>
    </row>
    <row r="1283" spans="1:19" x14ac:dyDescent="0.3">
      <c r="A1283" t="s">
        <v>945</v>
      </c>
      <c r="B1283" t="s">
        <v>1596</v>
      </c>
      <c r="C1283" t="s">
        <v>2688</v>
      </c>
      <c r="D1283" t="s">
        <v>3189</v>
      </c>
      <c r="E1283" t="s">
        <v>9</v>
      </c>
      <c r="F1283" s="2">
        <v>27</v>
      </c>
      <c r="G1283" t="s">
        <v>3206</v>
      </c>
      <c r="H1283" t="s">
        <v>25</v>
      </c>
      <c r="I1283" t="s">
        <v>11</v>
      </c>
      <c r="J1283" t="s">
        <v>3198</v>
      </c>
      <c r="K1283" t="s">
        <v>12</v>
      </c>
      <c r="L1283" s="2">
        <v>211.1</v>
      </c>
      <c r="M1283" t="s">
        <v>3209</v>
      </c>
      <c r="N1283">
        <v>0</v>
      </c>
      <c r="O1283">
        <v>2</v>
      </c>
      <c r="P1283">
        <v>3</v>
      </c>
      <c r="Q1283" t="s">
        <v>3204</v>
      </c>
      <c r="R1283" t="s">
        <v>3201</v>
      </c>
      <c r="S1283" t="s">
        <v>13</v>
      </c>
    </row>
    <row r="1284" spans="1:19" x14ac:dyDescent="0.3">
      <c r="A1284" t="s">
        <v>945</v>
      </c>
      <c r="B1284" t="s">
        <v>1600</v>
      </c>
      <c r="C1284" t="s">
        <v>2689</v>
      </c>
      <c r="D1284" t="s">
        <v>3190</v>
      </c>
      <c r="E1284" t="s">
        <v>14</v>
      </c>
      <c r="F1284" s="2">
        <v>50</v>
      </c>
      <c r="G1284" t="s">
        <v>3197</v>
      </c>
      <c r="H1284" t="s">
        <v>25</v>
      </c>
      <c r="I1284" t="s">
        <v>11</v>
      </c>
      <c r="J1284" t="s">
        <v>3198</v>
      </c>
      <c r="K1284" t="s">
        <v>12</v>
      </c>
      <c r="L1284" s="2">
        <v>211.1</v>
      </c>
      <c r="M1284" t="s">
        <v>3209</v>
      </c>
      <c r="N1284">
        <v>1</v>
      </c>
      <c r="O1284">
        <v>1</v>
      </c>
      <c r="P1284">
        <v>3</v>
      </c>
      <c r="Q1284" t="s">
        <v>3204</v>
      </c>
      <c r="R1284" t="s">
        <v>3205</v>
      </c>
      <c r="S1284" t="s">
        <v>16</v>
      </c>
    </row>
    <row r="1285" spans="1:19" x14ac:dyDescent="0.3">
      <c r="A1285" t="s">
        <v>946</v>
      </c>
      <c r="B1285" t="s">
        <v>1596</v>
      </c>
      <c r="C1285" t="s">
        <v>2148</v>
      </c>
      <c r="D1285" t="s">
        <v>3189</v>
      </c>
      <c r="E1285" t="s">
        <v>9</v>
      </c>
      <c r="F1285" s="2">
        <v>18</v>
      </c>
      <c r="G1285" t="s">
        <v>3206</v>
      </c>
      <c r="H1285" t="s">
        <v>10</v>
      </c>
      <c r="I1285" t="s">
        <v>11</v>
      </c>
      <c r="J1285" t="s">
        <v>3198</v>
      </c>
      <c r="K1285" t="s">
        <v>22</v>
      </c>
      <c r="L1285" s="2">
        <v>6.0911</v>
      </c>
      <c r="M1285" t="s">
        <v>3199</v>
      </c>
      <c r="N1285">
        <v>1</v>
      </c>
      <c r="O1285">
        <v>0</v>
      </c>
      <c r="P1285">
        <v>2</v>
      </c>
      <c r="Q1285" t="s">
        <v>3204</v>
      </c>
      <c r="R1285" t="s">
        <v>3201</v>
      </c>
      <c r="S1285" t="s">
        <v>13</v>
      </c>
    </row>
    <row r="1286" spans="1:19" x14ac:dyDescent="0.3">
      <c r="A1286" t="s">
        <v>946</v>
      </c>
      <c r="B1286" t="s">
        <v>1596</v>
      </c>
      <c r="C1286" t="s">
        <v>2151</v>
      </c>
      <c r="D1286" t="s">
        <v>3189</v>
      </c>
      <c r="E1286" t="s">
        <v>9</v>
      </c>
      <c r="F1286" s="2">
        <v>21</v>
      </c>
      <c r="G1286" t="s">
        <v>3206</v>
      </c>
      <c r="H1286" t="s">
        <v>10</v>
      </c>
      <c r="I1286" t="s">
        <v>11</v>
      </c>
      <c r="J1286" t="s">
        <v>3198</v>
      </c>
      <c r="K1286" t="s">
        <v>22</v>
      </c>
      <c r="L1286" s="2">
        <v>6.0911</v>
      </c>
      <c r="M1286" t="s">
        <v>3199</v>
      </c>
      <c r="N1286">
        <v>1</v>
      </c>
      <c r="O1286">
        <v>0</v>
      </c>
      <c r="P1286">
        <v>2</v>
      </c>
      <c r="Q1286" t="s">
        <v>3204</v>
      </c>
      <c r="R1286" t="s">
        <v>3201</v>
      </c>
      <c r="S1286" t="s">
        <v>13</v>
      </c>
    </row>
    <row r="1287" spans="1:19" x14ac:dyDescent="0.3">
      <c r="A1287" t="s">
        <v>947</v>
      </c>
      <c r="B1287" t="s">
        <v>1600</v>
      </c>
      <c r="C1287" t="s">
        <v>1720</v>
      </c>
      <c r="D1287" t="s">
        <v>3190</v>
      </c>
      <c r="E1287" t="s">
        <v>14</v>
      </c>
      <c r="F1287" s="2">
        <v>47</v>
      </c>
      <c r="G1287" t="s">
        <v>3197</v>
      </c>
      <c r="H1287" t="s">
        <v>10</v>
      </c>
      <c r="I1287" t="s">
        <v>11</v>
      </c>
      <c r="J1287" t="s">
        <v>3198</v>
      </c>
      <c r="K1287" t="s">
        <v>15</v>
      </c>
      <c r="L1287" s="2">
        <v>7</v>
      </c>
      <c r="M1287" t="s">
        <v>3199</v>
      </c>
      <c r="N1287">
        <v>1</v>
      </c>
      <c r="O1287">
        <v>0</v>
      </c>
      <c r="P1287">
        <v>2</v>
      </c>
      <c r="Q1287" t="s">
        <v>3204</v>
      </c>
      <c r="R1287" t="s">
        <v>3205</v>
      </c>
      <c r="S1287" t="s">
        <v>16</v>
      </c>
    </row>
    <row r="1288" spans="1:19" x14ac:dyDescent="0.3">
      <c r="A1288" t="s">
        <v>948</v>
      </c>
      <c r="B1288" t="s">
        <v>1600</v>
      </c>
      <c r="C1288" t="s">
        <v>2308</v>
      </c>
      <c r="D1288" t="s">
        <v>3190</v>
      </c>
      <c r="E1288" t="s">
        <v>14</v>
      </c>
      <c r="F1288" s="2">
        <v>30</v>
      </c>
      <c r="G1288" t="s">
        <v>3206</v>
      </c>
      <c r="H1288" t="s">
        <v>18</v>
      </c>
      <c r="I1288" t="s">
        <v>11</v>
      </c>
      <c r="J1288" t="s">
        <v>3198</v>
      </c>
      <c r="K1288" t="s">
        <v>15</v>
      </c>
      <c r="L1288" s="2">
        <v>26</v>
      </c>
      <c r="M1288" t="s">
        <v>3203</v>
      </c>
      <c r="N1288">
        <v>1</v>
      </c>
      <c r="O1288">
        <v>0</v>
      </c>
      <c r="P1288">
        <v>2</v>
      </c>
      <c r="Q1288" t="s">
        <v>3204</v>
      </c>
      <c r="R1288" t="s">
        <v>3205</v>
      </c>
      <c r="S1288" t="s">
        <v>16</v>
      </c>
    </row>
    <row r="1289" spans="1:19" x14ac:dyDescent="0.3">
      <c r="A1289" t="s">
        <v>949</v>
      </c>
      <c r="B1289" t="s">
        <v>1602</v>
      </c>
      <c r="C1289" t="s">
        <v>2690</v>
      </c>
      <c r="D1289" t="s">
        <v>3190</v>
      </c>
      <c r="E1289" t="s">
        <v>14</v>
      </c>
      <c r="F1289" s="2">
        <v>21</v>
      </c>
      <c r="G1289" t="s">
        <v>3206</v>
      </c>
      <c r="H1289" t="s">
        <v>25</v>
      </c>
      <c r="I1289" t="s">
        <v>11</v>
      </c>
      <c r="J1289" t="s">
        <v>3198</v>
      </c>
      <c r="K1289" t="s">
        <v>12</v>
      </c>
      <c r="L1289" s="2">
        <v>26.11</v>
      </c>
      <c r="M1289" t="s">
        <v>3203</v>
      </c>
      <c r="N1289">
        <v>0</v>
      </c>
      <c r="O1289">
        <v>0</v>
      </c>
      <c r="P1289">
        <v>1</v>
      </c>
      <c r="Q1289" t="s">
        <v>3200</v>
      </c>
      <c r="R1289" t="s">
        <v>3205</v>
      </c>
      <c r="S1289" t="s">
        <v>16</v>
      </c>
    </row>
    <row r="1290" spans="1:19" x14ac:dyDescent="0.3">
      <c r="A1290" t="s">
        <v>950</v>
      </c>
      <c r="B1290" t="s">
        <v>1596</v>
      </c>
      <c r="C1290" t="s">
        <v>2691</v>
      </c>
      <c r="D1290" t="s">
        <v>3189</v>
      </c>
      <c r="E1290" t="s">
        <v>9</v>
      </c>
      <c r="F1290" s="2">
        <v>37</v>
      </c>
      <c r="G1290" t="s">
        <v>3197</v>
      </c>
      <c r="H1290" t="s">
        <v>10</v>
      </c>
      <c r="I1290" t="s">
        <v>19</v>
      </c>
      <c r="J1290" t="s">
        <v>3207</v>
      </c>
      <c r="K1290" t="s">
        <v>15</v>
      </c>
      <c r="L1290" s="2">
        <v>8.1402999999999999</v>
      </c>
      <c r="M1290" t="s">
        <v>3199</v>
      </c>
      <c r="N1290">
        <v>0</v>
      </c>
      <c r="O1290">
        <v>0</v>
      </c>
      <c r="P1290">
        <v>1</v>
      </c>
      <c r="Q1290" t="s">
        <v>3200</v>
      </c>
      <c r="R1290" t="s">
        <v>3201</v>
      </c>
      <c r="S1290" t="s">
        <v>13</v>
      </c>
    </row>
    <row r="1291" spans="1:19" x14ac:dyDescent="0.3">
      <c r="A1291" t="s">
        <v>951</v>
      </c>
      <c r="B1291" t="s">
        <v>1596</v>
      </c>
      <c r="C1291" t="s">
        <v>2692</v>
      </c>
      <c r="D1291" t="s">
        <v>3189</v>
      </c>
      <c r="E1291" t="s">
        <v>9</v>
      </c>
      <c r="F1291" s="2">
        <v>21</v>
      </c>
      <c r="G1291" t="s">
        <v>3206</v>
      </c>
      <c r="H1291" t="s">
        <v>10</v>
      </c>
      <c r="I1291" t="s">
        <v>11</v>
      </c>
      <c r="J1291" t="s">
        <v>3198</v>
      </c>
      <c r="K1291" t="s">
        <v>40</v>
      </c>
      <c r="L1291" s="2">
        <v>7.11</v>
      </c>
      <c r="M1291" t="s">
        <v>3199</v>
      </c>
      <c r="N1291">
        <v>0</v>
      </c>
      <c r="O1291">
        <v>0</v>
      </c>
      <c r="P1291">
        <v>1</v>
      </c>
      <c r="Q1291" t="s">
        <v>3200</v>
      </c>
      <c r="R1291" t="s">
        <v>3201</v>
      </c>
      <c r="S1291" t="s">
        <v>13</v>
      </c>
    </row>
    <row r="1292" spans="1:19" x14ac:dyDescent="0.3">
      <c r="A1292" t="s">
        <v>952</v>
      </c>
      <c r="B1292" t="s">
        <v>1596</v>
      </c>
      <c r="C1292" t="s">
        <v>2693</v>
      </c>
      <c r="D1292" t="s">
        <v>3189</v>
      </c>
      <c r="E1292" t="s">
        <v>9</v>
      </c>
      <c r="F1292" s="2">
        <v>51</v>
      </c>
      <c r="G1292" t="s">
        <v>3197</v>
      </c>
      <c r="H1292" t="s">
        <v>25</v>
      </c>
      <c r="I1292" t="s">
        <v>19</v>
      </c>
      <c r="J1292" t="s">
        <v>3207</v>
      </c>
      <c r="K1292" t="s">
        <v>32</v>
      </c>
      <c r="L1292" s="2">
        <v>61.070700000000002</v>
      </c>
      <c r="M1292" t="s">
        <v>3211</v>
      </c>
      <c r="N1292">
        <v>0</v>
      </c>
      <c r="O1292">
        <v>1</v>
      </c>
      <c r="P1292">
        <v>2</v>
      </c>
      <c r="Q1292" t="s">
        <v>3204</v>
      </c>
      <c r="R1292" t="s">
        <v>3201</v>
      </c>
      <c r="S1292" t="s">
        <v>13</v>
      </c>
    </row>
    <row r="1293" spans="1:19" x14ac:dyDescent="0.3">
      <c r="A1293" t="s">
        <v>952</v>
      </c>
      <c r="B1293" t="s">
        <v>1596</v>
      </c>
      <c r="C1293" t="s">
        <v>2694</v>
      </c>
      <c r="D1293" t="s">
        <v>3189</v>
      </c>
      <c r="E1293" t="s">
        <v>9</v>
      </c>
      <c r="F1293" s="2">
        <v>23</v>
      </c>
      <c r="G1293" t="s">
        <v>3206</v>
      </c>
      <c r="H1293" t="s">
        <v>18</v>
      </c>
      <c r="I1293" t="s">
        <v>11</v>
      </c>
      <c r="J1293" t="s">
        <v>3198</v>
      </c>
      <c r="K1293" t="s">
        <v>15</v>
      </c>
      <c r="L1293" s="2">
        <v>13</v>
      </c>
      <c r="M1293" t="s">
        <v>3199</v>
      </c>
      <c r="N1293">
        <v>0</v>
      </c>
      <c r="O1293">
        <v>0</v>
      </c>
      <c r="P1293">
        <v>1</v>
      </c>
      <c r="Q1293" t="s">
        <v>3200</v>
      </c>
      <c r="R1293" t="s">
        <v>3205</v>
      </c>
      <c r="S1293" t="s">
        <v>16</v>
      </c>
    </row>
    <row r="1294" spans="1:19" x14ac:dyDescent="0.3">
      <c r="A1294" t="s">
        <v>952</v>
      </c>
      <c r="B1294" t="s">
        <v>1596</v>
      </c>
      <c r="C1294" t="s">
        <v>2695</v>
      </c>
      <c r="D1294" t="s">
        <v>3189</v>
      </c>
      <c r="E1294" t="s">
        <v>9</v>
      </c>
      <c r="F1294" s="2">
        <v>43</v>
      </c>
      <c r="G1294" t="s">
        <v>3197</v>
      </c>
      <c r="H1294" t="s">
        <v>25</v>
      </c>
      <c r="I1294" t="s">
        <v>11</v>
      </c>
      <c r="J1294" t="s">
        <v>3198</v>
      </c>
      <c r="K1294" t="s">
        <v>12</v>
      </c>
      <c r="L1294" s="2">
        <v>35</v>
      </c>
      <c r="M1294" t="s">
        <v>3203</v>
      </c>
      <c r="N1294">
        <v>0</v>
      </c>
      <c r="O1294">
        <v>0</v>
      </c>
      <c r="P1294">
        <v>1</v>
      </c>
      <c r="Q1294" t="s">
        <v>3200</v>
      </c>
      <c r="R1294" t="s">
        <v>3201</v>
      </c>
      <c r="S1294" t="s">
        <v>13</v>
      </c>
    </row>
    <row r="1295" spans="1:19" x14ac:dyDescent="0.3">
      <c r="A1295" t="s">
        <v>952</v>
      </c>
      <c r="B1295" t="s">
        <v>1596</v>
      </c>
      <c r="C1295" t="s">
        <v>2696</v>
      </c>
      <c r="D1295" t="s">
        <v>3189</v>
      </c>
      <c r="E1295" t="s">
        <v>9</v>
      </c>
      <c r="F1295" s="2">
        <v>28</v>
      </c>
      <c r="G1295" t="s">
        <v>3206</v>
      </c>
      <c r="H1295" t="s">
        <v>10</v>
      </c>
      <c r="I1295" t="s">
        <v>11</v>
      </c>
      <c r="J1295" t="s">
        <v>3198</v>
      </c>
      <c r="K1295" t="s">
        <v>15</v>
      </c>
      <c r="L1295" s="2">
        <v>8.01</v>
      </c>
      <c r="M1295" t="s">
        <v>3199</v>
      </c>
      <c r="N1295">
        <v>0</v>
      </c>
      <c r="O1295">
        <v>0</v>
      </c>
      <c r="P1295">
        <v>1</v>
      </c>
      <c r="Q1295" t="s">
        <v>3200</v>
      </c>
      <c r="R1295" t="s">
        <v>3201</v>
      </c>
      <c r="S1295" t="s">
        <v>13</v>
      </c>
    </row>
    <row r="1296" spans="1:19" x14ac:dyDescent="0.3">
      <c r="A1296" t="s">
        <v>952</v>
      </c>
      <c r="B1296" t="s">
        <v>1596</v>
      </c>
      <c r="C1296" t="s">
        <v>2697</v>
      </c>
      <c r="D1296" t="s">
        <v>3189</v>
      </c>
      <c r="E1296" t="s">
        <v>9</v>
      </c>
      <c r="F1296" s="2">
        <v>28</v>
      </c>
      <c r="G1296" t="s">
        <v>3206</v>
      </c>
      <c r="H1296" t="s">
        <v>10</v>
      </c>
      <c r="I1296" t="s">
        <v>11</v>
      </c>
      <c r="J1296" t="s">
        <v>3198</v>
      </c>
      <c r="K1296" t="s">
        <v>40</v>
      </c>
      <c r="L1296" s="2">
        <v>16.02</v>
      </c>
      <c r="M1296" t="s">
        <v>3203</v>
      </c>
      <c r="N1296">
        <v>0</v>
      </c>
      <c r="O1296">
        <v>0</v>
      </c>
      <c r="P1296">
        <v>1</v>
      </c>
      <c r="Q1296" t="s">
        <v>3200</v>
      </c>
      <c r="R1296" t="s">
        <v>3201</v>
      </c>
      <c r="S1296" t="s">
        <v>13</v>
      </c>
    </row>
    <row r="1297" spans="1:19" x14ac:dyDescent="0.3">
      <c r="A1297" t="s">
        <v>952</v>
      </c>
      <c r="B1297" t="s">
        <v>1596</v>
      </c>
      <c r="C1297" t="s">
        <v>2698</v>
      </c>
      <c r="D1297" t="s">
        <v>3189</v>
      </c>
      <c r="E1297" t="s">
        <v>9</v>
      </c>
      <c r="F1297" s="2">
        <v>21</v>
      </c>
      <c r="G1297" t="s">
        <v>3206</v>
      </c>
      <c r="H1297" t="s">
        <v>25</v>
      </c>
      <c r="I1297" t="s">
        <v>19</v>
      </c>
      <c r="J1297" t="s">
        <v>3207</v>
      </c>
      <c r="K1297" t="s">
        <v>32</v>
      </c>
      <c r="L1297" s="2">
        <v>61.070700000000002</v>
      </c>
      <c r="M1297" t="s">
        <v>3211</v>
      </c>
      <c r="N1297">
        <v>0</v>
      </c>
      <c r="O1297">
        <v>1</v>
      </c>
      <c r="P1297">
        <v>2</v>
      </c>
      <c r="Q1297" t="s">
        <v>3204</v>
      </c>
      <c r="R1297" t="s">
        <v>3205</v>
      </c>
      <c r="S1297" t="s">
        <v>16</v>
      </c>
    </row>
    <row r="1298" spans="1:19" x14ac:dyDescent="0.3">
      <c r="A1298" t="s">
        <v>953</v>
      </c>
      <c r="B1298" t="s">
        <v>1602</v>
      </c>
      <c r="C1298" t="s">
        <v>2699</v>
      </c>
      <c r="D1298" t="s">
        <v>3190</v>
      </c>
      <c r="E1298" t="s">
        <v>14</v>
      </c>
      <c r="F1298" s="2">
        <v>31</v>
      </c>
      <c r="G1298" t="s">
        <v>3206</v>
      </c>
      <c r="H1298" t="s">
        <v>25</v>
      </c>
      <c r="I1298" t="s">
        <v>19</v>
      </c>
      <c r="J1298" t="s">
        <v>3207</v>
      </c>
      <c r="K1298" t="s">
        <v>15</v>
      </c>
      <c r="L1298" s="2">
        <v>134.1</v>
      </c>
      <c r="M1298" t="s">
        <v>3209</v>
      </c>
      <c r="N1298">
        <v>0</v>
      </c>
      <c r="O1298">
        <v>0</v>
      </c>
      <c r="P1298">
        <v>1</v>
      </c>
      <c r="Q1298" t="s">
        <v>3200</v>
      </c>
      <c r="R1298" t="s">
        <v>3205</v>
      </c>
      <c r="S1298" t="s">
        <v>16</v>
      </c>
    </row>
    <row r="1299" spans="1:19" x14ac:dyDescent="0.3">
      <c r="A1299" t="s">
        <v>954</v>
      </c>
      <c r="B1299" t="s">
        <v>1596</v>
      </c>
      <c r="C1299" t="s">
        <v>2700</v>
      </c>
      <c r="D1299" t="s">
        <v>3189</v>
      </c>
      <c r="E1299" t="s">
        <v>9</v>
      </c>
      <c r="F1299" s="2">
        <v>21</v>
      </c>
      <c r="G1299" t="s">
        <v>3206</v>
      </c>
      <c r="H1299" t="s">
        <v>10</v>
      </c>
      <c r="I1299" t="s">
        <v>11</v>
      </c>
      <c r="J1299" t="s">
        <v>3198</v>
      </c>
      <c r="K1299" t="s">
        <v>41</v>
      </c>
      <c r="L1299" s="2">
        <v>7.05</v>
      </c>
      <c r="M1299" t="s">
        <v>3199</v>
      </c>
      <c r="N1299">
        <v>0</v>
      </c>
      <c r="O1299">
        <v>0</v>
      </c>
      <c r="P1299">
        <v>1</v>
      </c>
      <c r="Q1299" t="s">
        <v>3200</v>
      </c>
      <c r="R1299" t="s">
        <v>3201</v>
      </c>
      <c r="S1299" t="s">
        <v>13</v>
      </c>
    </row>
    <row r="1300" spans="1:19" x14ac:dyDescent="0.3">
      <c r="A1300" t="s">
        <v>955</v>
      </c>
      <c r="B1300" t="s">
        <v>1596</v>
      </c>
      <c r="C1300" t="s">
        <v>1671</v>
      </c>
      <c r="D1300" t="s">
        <v>3189</v>
      </c>
      <c r="E1300" t="s">
        <v>9</v>
      </c>
      <c r="F1300" s="2">
        <v>27</v>
      </c>
      <c r="G1300" t="s">
        <v>3206</v>
      </c>
      <c r="H1300" t="s">
        <v>10</v>
      </c>
      <c r="I1300" t="s">
        <v>11</v>
      </c>
      <c r="J1300" t="s">
        <v>3198</v>
      </c>
      <c r="K1300" t="s">
        <v>32</v>
      </c>
      <c r="L1300" s="2">
        <v>8.1303000000000001</v>
      </c>
      <c r="M1300" t="s">
        <v>3199</v>
      </c>
      <c r="N1300">
        <v>0</v>
      </c>
      <c r="O1300">
        <v>0</v>
      </c>
      <c r="P1300">
        <v>1</v>
      </c>
      <c r="Q1300" t="s">
        <v>3200</v>
      </c>
      <c r="R1300" t="s">
        <v>3201</v>
      </c>
      <c r="S1300" t="s">
        <v>13</v>
      </c>
    </row>
    <row r="1301" spans="1:19" x14ac:dyDescent="0.3">
      <c r="A1301" t="s">
        <v>956</v>
      </c>
      <c r="B1301" t="s">
        <v>1596</v>
      </c>
      <c r="C1301" t="s">
        <v>2701</v>
      </c>
      <c r="D1301" t="s">
        <v>3189</v>
      </c>
      <c r="E1301" t="s">
        <v>9</v>
      </c>
      <c r="F1301" s="2">
        <v>54</v>
      </c>
      <c r="G1301" t="s">
        <v>3197</v>
      </c>
      <c r="H1301" t="s">
        <v>10</v>
      </c>
      <c r="I1301" t="s">
        <v>11</v>
      </c>
      <c r="J1301" t="s">
        <v>3198</v>
      </c>
      <c r="K1301" t="s">
        <v>15</v>
      </c>
      <c r="L1301" s="2">
        <v>7.05</v>
      </c>
      <c r="M1301" t="s">
        <v>3199</v>
      </c>
      <c r="N1301">
        <v>0</v>
      </c>
      <c r="O1301">
        <v>0</v>
      </c>
      <c r="P1301">
        <v>1</v>
      </c>
      <c r="Q1301" t="s">
        <v>3200</v>
      </c>
      <c r="R1301" t="s">
        <v>3201</v>
      </c>
      <c r="S1301" t="s">
        <v>13</v>
      </c>
    </row>
    <row r="1302" spans="1:19" x14ac:dyDescent="0.3">
      <c r="A1302" t="s">
        <v>957</v>
      </c>
      <c r="B1302" t="s">
        <v>1596</v>
      </c>
      <c r="C1302" t="s">
        <v>2702</v>
      </c>
      <c r="D1302" t="s">
        <v>3189</v>
      </c>
      <c r="E1302" t="s">
        <v>9</v>
      </c>
      <c r="F1302" s="2">
        <v>36</v>
      </c>
      <c r="G1302" t="s">
        <v>3197</v>
      </c>
      <c r="H1302" t="s">
        <v>10</v>
      </c>
      <c r="I1302" t="s">
        <v>11</v>
      </c>
      <c r="J1302" t="s">
        <v>3198</v>
      </c>
      <c r="K1302" t="s">
        <v>46</v>
      </c>
      <c r="L1302" s="2">
        <v>9.1</v>
      </c>
      <c r="M1302" t="s">
        <v>3199</v>
      </c>
      <c r="N1302">
        <v>0</v>
      </c>
      <c r="O1302">
        <v>0</v>
      </c>
      <c r="P1302">
        <v>1</v>
      </c>
      <c r="Q1302" t="s">
        <v>3200</v>
      </c>
      <c r="R1302" t="s">
        <v>3201</v>
      </c>
      <c r="S1302" t="s">
        <v>13</v>
      </c>
    </row>
    <row r="1303" spans="1:19" x14ac:dyDescent="0.3">
      <c r="A1303" t="s">
        <v>958</v>
      </c>
      <c r="B1303" t="s">
        <v>1596</v>
      </c>
      <c r="C1303" t="s">
        <v>2703</v>
      </c>
      <c r="D1303" t="s">
        <v>3189</v>
      </c>
      <c r="E1303" t="s">
        <v>9</v>
      </c>
      <c r="F1303" s="2">
        <v>32</v>
      </c>
      <c r="G1303" t="s">
        <v>3206</v>
      </c>
      <c r="H1303" t="s">
        <v>18</v>
      </c>
      <c r="I1303" t="s">
        <v>11</v>
      </c>
      <c r="J1303" t="s">
        <v>3198</v>
      </c>
      <c r="K1303" t="s">
        <v>15</v>
      </c>
      <c r="L1303" s="2">
        <v>33</v>
      </c>
      <c r="M1303" t="s">
        <v>3203</v>
      </c>
      <c r="N1303">
        <v>1</v>
      </c>
      <c r="O1303" t="s">
        <v>30</v>
      </c>
      <c r="P1303" t="e">
        <v>#VALUE!</v>
      </c>
      <c r="Q1303" t="e">
        <v>#VALUE!</v>
      </c>
      <c r="R1303" t="s">
        <v>3201</v>
      </c>
      <c r="S1303" t="s">
        <v>13</v>
      </c>
    </row>
    <row r="1304" spans="1:19" x14ac:dyDescent="0.3">
      <c r="A1304" t="s">
        <v>959</v>
      </c>
      <c r="B1304" t="s">
        <v>1596</v>
      </c>
      <c r="C1304" t="s">
        <v>2704</v>
      </c>
      <c r="D1304" t="s">
        <v>3189</v>
      </c>
      <c r="E1304" t="s">
        <v>9</v>
      </c>
      <c r="F1304" s="2">
        <v>46</v>
      </c>
      <c r="G1304" t="s">
        <v>3197</v>
      </c>
      <c r="H1304" t="s">
        <v>25</v>
      </c>
      <c r="I1304" t="s">
        <v>11</v>
      </c>
      <c r="J1304" t="s">
        <v>3198</v>
      </c>
      <c r="K1304" t="s">
        <v>15</v>
      </c>
      <c r="L1304" s="2">
        <v>35.1</v>
      </c>
      <c r="M1304" t="s">
        <v>3211</v>
      </c>
      <c r="N1304">
        <v>0</v>
      </c>
      <c r="O1304">
        <v>0</v>
      </c>
      <c r="P1304">
        <v>1</v>
      </c>
      <c r="Q1304" t="s">
        <v>3200</v>
      </c>
      <c r="R1304" t="s">
        <v>3205</v>
      </c>
      <c r="S1304" t="s">
        <v>16</v>
      </c>
    </row>
    <row r="1305" spans="1:19" x14ac:dyDescent="0.3">
      <c r="A1305" t="s">
        <v>960</v>
      </c>
      <c r="B1305" t="s">
        <v>1602</v>
      </c>
      <c r="C1305" t="s">
        <v>2705</v>
      </c>
      <c r="D1305" t="s">
        <v>3190</v>
      </c>
      <c r="E1305" t="s">
        <v>14</v>
      </c>
      <c r="F1305" s="2">
        <v>26</v>
      </c>
      <c r="G1305" t="s">
        <v>3206</v>
      </c>
      <c r="H1305" t="s">
        <v>18</v>
      </c>
      <c r="I1305" t="s">
        <v>11</v>
      </c>
      <c r="J1305" t="s">
        <v>3198</v>
      </c>
      <c r="K1305" t="s">
        <v>15</v>
      </c>
      <c r="L1305" s="2">
        <v>13.1</v>
      </c>
      <c r="M1305" t="s">
        <v>3199</v>
      </c>
      <c r="N1305">
        <v>0</v>
      </c>
      <c r="O1305">
        <v>0</v>
      </c>
      <c r="P1305">
        <v>1</v>
      </c>
      <c r="Q1305" t="s">
        <v>3200</v>
      </c>
      <c r="R1305" t="s">
        <v>3205</v>
      </c>
      <c r="S1305" t="s">
        <v>16</v>
      </c>
    </row>
    <row r="1306" spans="1:19" x14ac:dyDescent="0.3">
      <c r="A1306" t="s">
        <v>960</v>
      </c>
      <c r="B1306" t="s">
        <v>1596</v>
      </c>
      <c r="C1306" t="s">
        <v>2038</v>
      </c>
      <c r="D1306" t="s">
        <v>3189</v>
      </c>
      <c r="E1306" t="s">
        <v>9</v>
      </c>
      <c r="F1306" s="2">
        <v>62</v>
      </c>
      <c r="G1306" t="s">
        <v>3210</v>
      </c>
      <c r="H1306" t="s">
        <v>25</v>
      </c>
      <c r="I1306" t="s">
        <v>11</v>
      </c>
      <c r="J1306" t="s">
        <v>3198</v>
      </c>
      <c r="K1306" t="s">
        <v>26</v>
      </c>
      <c r="L1306" s="2">
        <v>26.11</v>
      </c>
      <c r="M1306" t="s">
        <v>3203</v>
      </c>
      <c r="N1306">
        <v>0</v>
      </c>
      <c r="O1306">
        <v>0</v>
      </c>
      <c r="P1306">
        <v>1</v>
      </c>
      <c r="Q1306" t="s">
        <v>3200</v>
      </c>
      <c r="R1306" t="s">
        <v>3201</v>
      </c>
      <c r="S1306" t="s">
        <v>13</v>
      </c>
    </row>
    <row r="1307" spans="1:19" x14ac:dyDescent="0.3">
      <c r="A1307" t="s">
        <v>961</v>
      </c>
      <c r="B1307" t="s">
        <v>1596</v>
      </c>
      <c r="C1307" t="s">
        <v>2706</v>
      </c>
      <c r="D1307" t="s">
        <v>3189</v>
      </c>
      <c r="E1307" t="s">
        <v>9</v>
      </c>
      <c r="F1307" s="2">
        <v>27</v>
      </c>
      <c r="G1307" t="s">
        <v>3206</v>
      </c>
      <c r="H1307" t="s">
        <v>10</v>
      </c>
      <c r="I1307" t="s">
        <v>19</v>
      </c>
      <c r="J1307" t="s">
        <v>3207</v>
      </c>
      <c r="K1307" t="s">
        <v>21</v>
      </c>
      <c r="L1307" s="2">
        <v>14.0901</v>
      </c>
      <c r="M1307" t="s">
        <v>3199</v>
      </c>
      <c r="N1307">
        <v>1</v>
      </c>
      <c r="O1307">
        <v>0</v>
      </c>
      <c r="P1307">
        <v>2</v>
      </c>
      <c r="Q1307" t="s">
        <v>3204</v>
      </c>
      <c r="R1307" t="s">
        <v>3201</v>
      </c>
      <c r="S1307" t="s">
        <v>13</v>
      </c>
    </row>
    <row r="1308" spans="1:19" x14ac:dyDescent="0.3">
      <c r="A1308" t="s">
        <v>962</v>
      </c>
      <c r="B1308" t="s">
        <v>1600</v>
      </c>
      <c r="C1308" t="s">
        <v>2707</v>
      </c>
      <c r="D1308" t="s">
        <v>3190</v>
      </c>
      <c r="E1308" t="s">
        <v>14</v>
      </c>
      <c r="F1308" s="2">
        <v>15</v>
      </c>
      <c r="G1308" t="s">
        <v>3202</v>
      </c>
      <c r="H1308" t="s">
        <v>10</v>
      </c>
      <c r="I1308" t="s">
        <v>19</v>
      </c>
      <c r="J1308" t="s">
        <v>3207</v>
      </c>
      <c r="K1308" t="s">
        <v>21</v>
      </c>
      <c r="L1308" s="2">
        <v>14.0901</v>
      </c>
      <c r="M1308" t="s">
        <v>3199</v>
      </c>
      <c r="N1308">
        <v>1</v>
      </c>
      <c r="O1308">
        <v>0</v>
      </c>
      <c r="P1308">
        <v>2</v>
      </c>
      <c r="Q1308" t="s">
        <v>3204</v>
      </c>
      <c r="R1308" t="s">
        <v>3205</v>
      </c>
      <c r="S1308" t="s">
        <v>16</v>
      </c>
    </row>
    <row r="1309" spans="1:19" x14ac:dyDescent="0.3">
      <c r="A1309" t="s">
        <v>963</v>
      </c>
      <c r="B1309" t="s">
        <v>1602</v>
      </c>
      <c r="C1309" t="s">
        <v>2708</v>
      </c>
      <c r="D1309" t="s">
        <v>3190</v>
      </c>
      <c r="E1309" t="s">
        <v>14</v>
      </c>
      <c r="F1309" s="2">
        <v>36</v>
      </c>
      <c r="G1309" t="s">
        <v>3197</v>
      </c>
      <c r="H1309" t="s">
        <v>25</v>
      </c>
      <c r="I1309" t="s">
        <v>19</v>
      </c>
      <c r="J1309" t="s">
        <v>3207</v>
      </c>
      <c r="K1309" t="s">
        <v>12</v>
      </c>
      <c r="L1309" s="2">
        <v>135.1208</v>
      </c>
      <c r="M1309" t="s">
        <v>3209</v>
      </c>
      <c r="N1309">
        <v>0</v>
      </c>
      <c r="O1309">
        <v>0</v>
      </c>
      <c r="P1309">
        <v>1</v>
      </c>
      <c r="Q1309" t="s">
        <v>3200</v>
      </c>
      <c r="R1309" t="s">
        <v>3205</v>
      </c>
      <c r="S1309" t="s">
        <v>16</v>
      </c>
    </row>
    <row r="1310" spans="1:19" x14ac:dyDescent="0.3">
      <c r="A1310" t="s">
        <v>964</v>
      </c>
      <c r="B1310" t="s">
        <v>1596</v>
      </c>
      <c r="C1310" t="s">
        <v>2709</v>
      </c>
      <c r="D1310" t="s">
        <v>3189</v>
      </c>
      <c r="E1310" t="s">
        <v>9</v>
      </c>
      <c r="F1310" s="2">
        <v>26</v>
      </c>
      <c r="G1310" t="s">
        <v>3206</v>
      </c>
      <c r="H1310" t="s">
        <v>10</v>
      </c>
      <c r="I1310" t="s">
        <v>19</v>
      </c>
      <c r="J1310" t="s">
        <v>3207</v>
      </c>
      <c r="K1310" t="s">
        <v>21</v>
      </c>
      <c r="L1310" s="2">
        <v>7.0406000000000004</v>
      </c>
      <c r="M1310" t="s">
        <v>3199</v>
      </c>
      <c r="N1310">
        <v>0</v>
      </c>
      <c r="O1310">
        <v>0</v>
      </c>
      <c r="P1310">
        <v>1</v>
      </c>
      <c r="Q1310" t="s">
        <v>3200</v>
      </c>
      <c r="R1310" t="s">
        <v>3201</v>
      </c>
      <c r="S1310" t="s">
        <v>13</v>
      </c>
    </row>
    <row r="1311" spans="1:19" x14ac:dyDescent="0.3">
      <c r="A1311" t="s">
        <v>965</v>
      </c>
      <c r="B1311" t="s">
        <v>1596</v>
      </c>
      <c r="C1311" t="s">
        <v>2709</v>
      </c>
      <c r="D1311" t="s">
        <v>3189</v>
      </c>
      <c r="E1311" t="s">
        <v>9</v>
      </c>
      <c r="F1311" s="2">
        <v>45</v>
      </c>
      <c r="G1311" t="s">
        <v>3197</v>
      </c>
      <c r="H1311" t="s">
        <v>10</v>
      </c>
      <c r="I1311" t="s">
        <v>19</v>
      </c>
      <c r="J1311" t="s">
        <v>3207</v>
      </c>
      <c r="K1311" t="s">
        <v>21</v>
      </c>
      <c r="L1311" s="2">
        <v>7.0407000000000002</v>
      </c>
      <c r="M1311" t="s">
        <v>3199</v>
      </c>
      <c r="N1311">
        <v>0</v>
      </c>
      <c r="O1311">
        <v>0</v>
      </c>
      <c r="P1311">
        <v>1</v>
      </c>
      <c r="Q1311" t="s">
        <v>3200</v>
      </c>
      <c r="R1311" t="s">
        <v>3201</v>
      </c>
      <c r="S1311" t="s">
        <v>13</v>
      </c>
    </row>
    <row r="1312" spans="1:19" x14ac:dyDescent="0.3">
      <c r="A1312" t="s">
        <v>966</v>
      </c>
      <c r="B1312" t="s">
        <v>1600</v>
      </c>
      <c r="C1312" t="s">
        <v>2710</v>
      </c>
      <c r="D1312" t="s">
        <v>3190</v>
      </c>
      <c r="E1312" t="s">
        <v>14</v>
      </c>
      <c r="F1312" s="2">
        <v>23</v>
      </c>
      <c r="G1312" t="s">
        <v>3206</v>
      </c>
      <c r="H1312" t="s">
        <v>10</v>
      </c>
      <c r="I1312" t="s">
        <v>19</v>
      </c>
      <c r="J1312" t="s">
        <v>3207</v>
      </c>
      <c r="K1312" t="s">
        <v>21</v>
      </c>
      <c r="L1312" s="2">
        <v>22.0702</v>
      </c>
      <c r="M1312" t="s">
        <v>3203</v>
      </c>
      <c r="N1312">
        <v>0</v>
      </c>
      <c r="O1312">
        <v>2</v>
      </c>
      <c r="P1312">
        <v>3</v>
      </c>
      <c r="Q1312" t="s">
        <v>3204</v>
      </c>
      <c r="R1312" t="s">
        <v>3205</v>
      </c>
      <c r="S1312" t="s">
        <v>16</v>
      </c>
    </row>
    <row r="1313" spans="1:19" x14ac:dyDescent="0.3">
      <c r="A1313" t="s">
        <v>967</v>
      </c>
      <c r="B1313" t="s">
        <v>1602</v>
      </c>
      <c r="C1313" t="s">
        <v>2711</v>
      </c>
      <c r="D1313" t="s">
        <v>3190</v>
      </c>
      <c r="E1313" t="s">
        <v>14</v>
      </c>
      <c r="F1313" s="2">
        <v>24</v>
      </c>
      <c r="G1313" t="s">
        <v>3206</v>
      </c>
      <c r="H1313" t="s">
        <v>18</v>
      </c>
      <c r="I1313" t="s">
        <v>11</v>
      </c>
      <c r="J1313" t="s">
        <v>3198</v>
      </c>
      <c r="K1313" t="s">
        <v>20</v>
      </c>
      <c r="L1313" s="2">
        <v>13</v>
      </c>
      <c r="M1313" t="s">
        <v>3199</v>
      </c>
      <c r="N1313">
        <v>0</v>
      </c>
      <c r="O1313">
        <v>0</v>
      </c>
      <c r="P1313">
        <v>1</v>
      </c>
      <c r="Q1313" t="s">
        <v>3200</v>
      </c>
      <c r="R1313" t="s">
        <v>3201</v>
      </c>
      <c r="S1313" t="s">
        <v>13</v>
      </c>
    </row>
    <row r="1314" spans="1:19" x14ac:dyDescent="0.3">
      <c r="A1314" t="s">
        <v>968</v>
      </c>
      <c r="B1314" t="s">
        <v>1596</v>
      </c>
      <c r="C1314" t="s">
        <v>2712</v>
      </c>
      <c r="D1314" t="s">
        <v>3189</v>
      </c>
      <c r="E1314" t="s">
        <v>9</v>
      </c>
      <c r="F1314" s="2">
        <v>22</v>
      </c>
      <c r="G1314" t="s">
        <v>3206</v>
      </c>
      <c r="H1314" t="s">
        <v>10</v>
      </c>
      <c r="I1314" t="s">
        <v>19</v>
      </c>
      <c r="J1314" t="s">
        <v>3207</v>
      </c>
      <c r="K1314" t="s">
        <v>58</v>
      </c>
      <c r="L1314" s="2">
        <v>7.0406000000000004</v>
      </c>
      <c r="M1314" t="s">
        <v>3199</v>
      </c>
      <c r="N1314">
        <v>0</v>
      </c>
      <c r="O1314">
        <v>0</v>
      </c>
      <c r="P1314">
        <v>1</v>
      </c>
      <c r="Q1314" t="s">
        <v>3200</v>
      </c>
      <c r="R1314" t="s">
        <v>3201</v>
      </c>
      <c r="S1314" t="s">
        <v>13</v>
      </c>
    </row>
    <row r="1315" spans="1:19" x14ac:dyDescent="0.3">
      <c r="A1315" t="s">
        <v>968</v>
      </c>
      <c r="B1315" t="s">
        <v>1596</v>
      </c>
      <c r="C1315" t="s">
        <v>2713</v>
      </c>
      <c r="D1315" t="s">
        <v>3189</v>
      </c>
      <c r="E1315" t="s">
        <v>9</v>
      </c>
      <c r="F1315" s="2">
        <v>27</v>
      </c>
      <c r="G1315" t="s">
        <v>3206</v>
      </c>
      <c r="H1315" t="s">
        <v>10</v>
      </c>
      <c r="I1315" t="s">
        <v>19</v>
      </c>
      <c r="J1315" t="s">
        <v>3207</v>
      </c>
      <c r="K1315" t="s">
        <v>58</v>
      </c>
      <c r="L1315" s="2">
        <v>7.0406000000000004</v>
      </c>
      <c r="M1315" t="s">
        <v>3199</v>
      </c>
      <c r="N1315">
        <v>0</v>
      </c>
      <c r="O1315">
        <v>0</v>
      </c>
      <c r="P1315">
        <v>1</v>
      </c>
      <c r="Q1315" t="s">
        <v>3200</v>
      </c>
      <c r="R1315" t="s">
        <v>3201</v>
      </c>
      <c r="S1315" t="s">
        <v>13</v>
      </c>
    </row>
    <row r="1316" spans="1:19" x14ac:dyDescent="0.3">
      <c r="A1316" t="s">
        <v>969</v>
      </c>
      <c r="B1316" t="s">
        <v>1596</v>
      </c>
      <c r="C1316" t="s">
        <v>2195</v>
      </c>
      <c r="D1316" t="s">
        <v>3189</v>
      </c>
      <c r="E1316" t="s">
        <v>9</v>
      </c>
      <c r="F1316" s="2">
        <v>25</v>
      </c>
      <c r="G1316" t="s">
        <v>3206</v>
      </c>
      <c r="H1316" t="s">
        <v>10</v>
      </c>
      <c r="I1316" t="s">
        <v>19</v>
      </c>
      <c r="J1316" t="s">
        <v>3207</v>
      </c>
      <c r="K1316" t="s">
        <v>21</v>
      </c>
      <c r="L1316" s="2">
        <v>7.0406000000000004</v>
      </c>
      <c r="M1316" t="s">
        <v>3199</v>
      </c>
      <c r="N1316">
        <v>0</v>
      </c>
      <c r="O1316">
        <v>0</v>
      </c>
      <c r="P1316">
        <v>1</v>
      </c>
      <c r="Q1316" t="s">
        <v>3200</v>
      </c>
      <c r="R1316" t="s">
        <v>3205</v>
      </c>
      <c r="S1316" t="s">
        <v>16</v>
      </c>
    </row>
    <row r="1317" spans="1:19" x14ac:dyDescent="0.3">
      <c r="A1317" t="s">
        <v>970</v>
      </c>
      <c r="B1317" t="s">
        <v>1596</v>
      </c>
      <c r="C1317" t="s">
        <v>2714</v>
      </c>
      <c r="D1317" t="s">
        <v>3189</v>
      </c>
      <c r="E1317" t="s">
        <v>9</v>
      </c>
      <c r="F1317" s="2">
        <v>29</v>
      </c>
      <c r="G1317" t="s">
        <v>3206</v>
      </c>
      <c r="H1317" t="s">
        <v>10</v>
      </c>
      <c r="I1317" t="s">
        <v>11</v>
      </c>
      <c r="J1317" t="s">
        <v>3198</v>
      </c>
      <c r="K1317" t="s">
        <v>64</v>
      </c>
      <c r="L1317" s="2">
        <v>7.1706000000000003</v>
      </c>
      <c r="M1317" t="s">
        <v>3199</v>
      </c>
      <c r="N1317">
        <v>0</v>
      </c>
      <c r="O1317">
        <v>0</v>
      </c>
      <c r="P1317">
        <v>1</v>
      </c>
      <c r="Q1317" t="s">
        <v>3200</v>
      </c>
      <c r="R1317" t="s">
        <v>3201</v>
      </c>
      <c r="S1317" t="s">
        <v>13</v>
      </c>
    </row>
    <row r="1318" spans="1:19" x14ac:dyDescent="0.3">
      <c r="A1318" t="s">
        <v>74</v>
      </c>
      <c r="B1318" t="s">
        <v>1596</v>
      </c>
      <c r="C1318" t="s">
        <v>2715</v>
      </c>
      <c r="D1318" t="s">
        <v>3189</v>
      </c>
      <c r="E1318" t="s">
        <v>9</v>
      </c>
      <c r="F1318" s="2">
        <v>21</v>
      </c>
      <c r="G1318" t="s">
        <v>3206</v>
      </c>
      <c r="H1318" t="s">
        <v>69</v>
      </c>
      <c r="I1318" t="s">
        <v>11</v>
      </c>
      <c r="J1318" t="s">
        <v>3198</v>
      </c>
      <c r="K1318" t="s">
        <v>15</v>
      </c>
      <c r="L1318" s="2">
        <v>33</v>
      </c>
      <c r="M1318" t="s">
        <v>3203</v>
      </c>
      <c r="N1318">
        <v>1</v>
      </c>
      <c r="O1318" t="s">
        <v>30</v>
      </c>
      <c r="P1318" t="e">
        <v>#VALUE!</v>
      </c>
      <c r="Q1318" t="e">
        <v>#VALUE!</v>
      </c>
      <c r="R1318" t="s">
        <v>3201</v>
      </c>
      <c r="S1318" t="s">
        <v>13</v>
      </c>
    </row>
    <row r="1319" spans="1:19" x14ac:dyDescent="0.3">
      <c r="A1319" t="s">
        <v>971</v>
      </c>
      <c r="B1319" t="s">
        <v>1596</v>
      </c>
      <c r="C1319" t="s">
        <v>1704</v>
      </c>
      <c r="D1319" t="s">
        <v>3189</v>
      </c>
      <c r="E1319" t="s">
        <v>9</v>
      </c>
      <c r="F1319" s="2">
        <v>34</v>
      </c>
      <c r="G1319" t="s">
        <v>3206</v>
      </c>
      <c r="H1319" t="s">
        <v>51</v>
      </c>
      <c r="I1319" t="s">
        <v>11</v>
      </c>
      <c r="J1319" t="s">
        <v>3198</v>
      </c>
      <c r="K1319" t="s">
        <v>15</v>
      </c>
      <c r="L1319" s="2">
        <v>33</v>
      </c>
      <c r="M1319" t="s">
        <v>3203</v>
      </c>
      <c r="N1319">
        <v>1</v>
      </c>
      <c r="O1319" t="s">
        <v>30</v>
      </c>
      <c r="P1319" t="e">
        <v>#VALUE!</v>
      </c>
      <c r="Q1319" t="e">
        <v>#VALUE!</v>
      </c>
      <c r="R1319" t="s">
        <v>3201</v>
      </c>
      <c r="S1319" t="s">
        <v>13</v>
      </c>
    </row>
    <row r="1320" spans="1:19" x14ac:dyDescent="0.3">
      <c r="A1320" t="s">
        <v>80</v>
      </c>
      <c r="B1320" t="s">
        <v>1596</v>
      </c>
      <c r="C1320" t="s">
        <v>2716</v>
      </c>
      <c r="D1320" t="s">
        <v>3189</v>
      </c>
      <c r="E1320" t="s">
        <v>9</v>
      </c>
      <c r="F1320" s="2">
        <v>26</v>
      </c>
      <c r="G1320" t="s">
        <v>3206</v>
      </c>
      <c r="H1320" t="s">
        <v>51</v>
      </c>
      <c r="I1320" t="s">
        <v>11</v>
      </c>
      <c r="J1320" t="s">
        <v>3198</v>
      </c>
      <c r="K1320" t="s">
        <v>15</v>
      </c>
      <c r="L1320" s="2">
        <v>33</v>
      </c>
      <c r="M1320" t="s">
        <v>3203</v>
      </c>
      <c r="N1320">
        <v>1</v>
      </c>
      <c r="O1320" t="s">
        <v>30</v>
      </c>
      <c r="P1320" t="e">
        <v>#VALUE!</v>
      </c>
      <c r="Q1320" t="e">
        <v>#VALUE!</v>
      </c>
      <c r="R1320" t="s">
        <v>3201</v>
      </c>
      <c r="S1320" t="s">
        <v>13</v>
      </c>
    </row>
    <row r="1321" spans="1:19" x14ac:dyDescent="0.3">
      <c r="A1321" t="s">
        <v>972</v>
      </c>
      <c r="B1321" t="s">
        <v>1596</v>
      </c>
      <c r="C1321" t="s">
        <v>2717</v>
      </c>
      <c r="D1321" t="s">
        <v>3189</v>
      </c>
      <c r="E1321" t="s">
        <v>9</v>
      </c>
      <c r="F1321" s="2">
        <v>20</v>
      </c>
      <c r="G1321" t="s">
        <v>3206</v>
      </c>
      <c r="H1321" t="s">
        <v>69</v>
      </c>
      <c r="I1321" t="s">
        <v>11</v>
      </c>
      <c r="J1321" t="s">
        <v>3198</v>
      </c>
      <c r="K1321" t="s">
        <v>33</v>
      </c>
      <c r="L1321" s="2">
        <v>33</v>
      </c>
      <c r="M1321" t="s">
        <v>3203</v>
      </c>
      <c r="N1321">
        <v>1</v>
      </c>
      <c r="O1321" t="s">
        <v>30</v>
      </c>
      <c r="P1321" t="e">
        <v>#VALUE!</v>
      </c>
      <c r="Q1321" t="e">
        <v>#VALUE!</v>
      </c>
      <c r="R1321" t="s">
        <v>3201</v>
      </c>
      <c r="S1321" t="s">
        <v>13</v>
      </c>
    </row>
    <row r="1322" spans="1:19" x14ac:dyDescent="0.3">
      <c r="A1322" t="s">
        <v>973</v>
      </c>
      <c r="B1322" t="s">
        <v>1596</v>
      </c>
      <c r="C1322" t="s">
        <v>2420</v>
      </c>
      <c r="D1322" t="s">
        <v>3189</v>
      </c>
      <c r="E1322" t="s">
        <v>9</v>
      </c>
      <c r="F1322" s="2">
        <v>31</v>
      </c>
      <c r="G1322" t="s">
        <v>3206</v>
      </c>
      <c r="H1322" t="s">
        <v>69</v>
      </c>
      <c r="I1322" t="s">
        <v>11</v>
      </c>
      <c r="J1322" t="s">
        <v>3198</v>
      </c>
      <c r="K1322" t="s">
        <v>15</v>
      </c>
      <c r="L1322" s="2">
        <v>33</v>
      </c>
      <c r="M1322" t="s">
        <v>3203</v>
      </c>
      <c r="N1322">
        <v>1</v>
      </c>
      <c r="O1322" t="s">
        <v>30</v>
      </c>
      <c r="P1322" t="e">
        <v>#VALUE!</v>
      </c>
      <c r="Q1322" t="e">
        <v>#VALUE!</v>
      </c>
      <c r="R1322" t="s">
        <v>3201</v>
      </c>
      <c r="S1322" t="s">
        <v>13</v>
      </c>
    </row>
    <row r="1323" spans="1:19" x14ac:dyDescent="0.3">
      <c r="A1323" t="s">
        <v>973</v>
      </c>
      <c r="B1323" t="s">
        <v>1596</v>
      </c>
      <c r="C1323" t="s">
        <v>2718</v>
      </c>
      <c r="D1323" t="s">
        <v>3189</v>
      </c>
      <c r="E1323" t="s">
        <v>9</v>
      </c>
      <c r="F1323" s="2">
        <v>37</v>
      </c>
      <c r="G1323" t="s">
        <v>3197</v>
      </c>
      <c r="H1323" t="s">
        <v>69</v>
      </c>
      <c r="I1323" t="s">
        <v>11</v>
      </c>
      <c r="J1323" t="s">
        <v>3198</v>
      </c>
      <c r="K1323" t="s">
        <v>15</v>
      </c>
      <c r="L1323" s="2">
        <v>33</v>
      </c>
      <c r="M1323" t="s">
        <v>3203</v>
      </c>
      <c r="N1323">
        <v>1</v>
      </c>
      <c r="O1323" t="s">
        <v>30</v>
      </c>
      <c r="P1323" t="e">
        <v>#VALUE!</v>
      </c>
      <c r="Q1323" t="e">
        <v>#VALUE!</v>
      </c>
      <c r="R1323" t="s">
        <v>3201</v>
      </c>
      <c r="S1323" t="s">
        <v>13</v>
      </c>
    </row>
    <row r="1324" spans="1:19" x14ac:dyDescent="0.3">
      <c r="A1324" t="s">
        <v>974</v>
      </c>
      <c r="B1324" t="s">
        <v>2719</v>
      </c>
      <c r="C1324" t="s">
        <v>2720</v>
      </c>
      <c r="D1324" t="s">
        <v>3189</v>
      </c>
      <c r="E1324" t="s">
        <v>9</v>
      </c>
      <c r="F1324" s="2">
        <v>22</v>
      </c>
      <c r="G1324" t="s">
        <v>3206</v>
      </c>
      <c r="H1324" t="s">
        <v>70</v>
      </c>
      <c r="I1324" t="s">
        <v>11</v>
      </c>
      <c r="J1324" t="s">
        <v>3198</v>
      </c>
      <c r="K1324" t="s">
        <v>15</v>
      </c>
      <c r="L1324" s="2">
        <v>33</v>
      </c>
      <c r="M1324" t="s">
        <v>3203</v>
      </c>
      <c r="N1324">
        <v>1</v>
      </c>
      <c r="O1324" t="s">
        <v>30</v>
      </c>
      <c r="P1324" t="e">
        <v>#VALUE!</v>
      </c>
      <c r="Q1324" t="e">
        <v>#VALUE!</v>
      </c>
      <c r="R1324" t="s">
        <v>3201</v>
      </c>
      <c r="S1324" t="s">
        <v>13</v>
      </c>
    </row>
    <row r="1325" spans="1:19" x14ac:dyDescent="0.3">
      <c r="A1325" t="s">
        <v>87</v>
      </c>
      <c r="B1325" t="s">
        <v>1596</v>
      </c>
      <c r="C1325" t="s">
        <v>2721</v>
      </c>
      <c r="D1325" t="s">
        <v>3189</v>
      </c>
      <c r="E1325" t="s">
        <v>9</v>
      </c>
      <c r="F1325" s="2">
        <v>24</v>
      </c>
      <c r="G1325" t="s">
        <v>3206</v>
      </c>
      <c r="H1325" t="s">
        <v>51</v>
      </c>
      <c r="I1325" t="s">
        <v>11</v>
      </c>
      <c r="J1325" t="s">
        <v>3198</v>
      </c>
      <c r="K1325" t="s">
        <v>15</v>
      </c>
      <c r="L1325" s="2">
        <v>33</v>
      </c>
      <c r="M1325" t="s">
        <v>3203</v>
      </c>
      <c r="N1325">
        <v>1</v>
      </c>
      <c r="O1325" t="s">
        <v>30</v>
      </c>
      <c r="P1325" t="e">
        <v>#VALUE!</v>
      </c>
      <c r="Q1325" t="e">
        <v>#VALUE!</v>
      </c>
      <c r="R1325" t="s">
        <v>3205</v>
      </c>
      <c r="S1325" t="s">
        <v>16</v>
      </c>
    </row>
    <row r="1326" spans="1:19" x14ac:dyDescent="0.3">
      <c r="A1326" t="s">
        <v>87</v>
      </c>
      <c r="B1326" t="s">
        <v>1596</v>
      </c>
      <c r="C1326" t="s">
        <v>2511</v>
      </c>
      <c r="D1326" t="s">
        <v>3189</v>
      </c>
      <c r="E1326" t="s">
        <v>9</v>
      </c>
      <c r="F1326" s="2">
        <v>17</v>
      </c>
      <c r="G1326" t="s">
        <v>3202</v>
      </c>
      <c r="H1326" t="s">
        <v>69</v>
      </c>
      <c r="I1326" t="s">
        <v>11</v>
      </c>
      <c r="J1326" t="s">
        <v>3198</v>
      </c>
      <c r="K1326" t="s">
        <v>15</v>
      </c>
      <c r="L1326" s="2">
        <v>33</v>
      </c>
      <c r="M1326" t="s">
        <v>3203</v>
      </c>
      <c r="N1326">
        <v>1</v>
      </c>
      <c r="O1326" t="s">
        <v>30</v>
      </c>
      <c r="P1326" t="e">
        <v>#VALUE!</v>
      </c>
      <c r="Q1326" t="e">
        <v>#VALUE!</v>
      </c>
      <c r="R1326" t="s">
        <v>3201</v>
      </c>
      <c r="S1326" t="s">
        <v>13</v>
      </c>
    </row>
    <row r="1327" spans="1:19" x14ac:dyDescent="0.3">
      <c r="A1327" t="s">
        <v>87</v>
      </c>
      <c r="B1327" t="s">
        <v>1596</v>
      </c>
      <c r="C1327" t="s">
        <v>2038</v>
      </c>
      <c r="D1327" t="s">
        <v>3189</v>
      </c>
      <c r="E1327" t="s">
        <v>9</v>
      </c>
      <c r="F1327" s="2">
        <v>26</v>
      </c>
      <c r="G1327" t="s">
        <v>3206</v>
      </c>
      <c r="H1327" t="s">
        <v>69</v>
      </c>
      <c r="I1327" t="s">
        <v>11</v>
      </c>
      <c r="J1327" t="s">
        <v>3198</v>
      </c>
      <c r="K1327" t="s">
        <v>15</v>
      </c>
      <c r="L1327" s="2">
        <v>33</v>
      </c>
      <c r="M1327" t="s">
        <v>3203</v>
      </c>
      <c r="N1327">
        <v>1</v>
      </c>
      <c r="O1327" t="s">
        <v>30</v>
      </c>
      <c r="P1327" t="e">
        <v>#VALUE!</v>
      </c>
      <c r="Q1327" t="e">
        <v>#VALUE!</v>
      </c>
      <c r="R1327" t="s">
        <v>3201</v>
      </c>
      <c r="S1327" t="s">
        <v>13</v>
      </c>
    </row>
    <row r="1328" spans="1:19" x14ac:dyDescent="0.3">
      <c r="A1328" t="s">
        <v>87</v>
      </c>
      <c r="B1328" t="s">
        <v>1596</v>
      </c>
      <c r="C1328" t="s">
        <v>1728</v>
      </c>
      <c r="D1328" t="s">
        <v>3189</v>
      </c>
      <c r="E1328" t="s">
        <v>9</v>
      </c>
      <c r="F1328" s="2">
        <v>30</v>
      </c>
      <c r="G1328" t="s">
        <v>3206</v>
      </c>
      <c r="H1328" t="s">
        <v>51</v>
      </c>
      <c r="I1328" t="s">
        <v>11</v>
      </c>
      <c r="J1328" t="s">
        <v>3198</v>
      </c>
      <c r="K1328" t="s">
        <v>15</v>
      </c>
      <c r="L1328" s="2">
        <v>33</v>
      </c>
      <c r="M1328" t="s">
        <v>3203</v>
      </c>
      <c r="N1328">
        <v>1</v>
      </c>
      <c r="O1328" t="s">
        <v>30</v>
      </c>
      <c r="P1328" t="e">
        <v>#VALUE!</v>
      </c>
      <c r="Q1328" t="e">
        <v>#VALUE!</v>
      </c>
      <c r="R1328" t="s">
        <v>3201</v>
      </c>
      <c r="S1328" t="s">
        <v>13</v>
      </c>
    </row>
    <row r="1329" spans="1:19" x14ac:dyDescent="0.3">
      <c r="A1329" t="s">
        <v>87</v>
      </c>
      <c r="B1329" t="s">
        <v>1596</v>
      </c>
      <c r="C1329" t="s">
        <v>2722</v>
      </c>
      <c r="D1329" t="s">
        <v>3189</v>
      </c>
      <c r="E1329" t="s">
        <v>9</v>
      </c>
      <c r="F1329" s="2">
        <v>36</v>
      </c>
      <c r="G1329" t="s">
        <v>3197</v>
      </c>
      <c r="H1329" t="s">
        <v>69</v>
      </c>
      <c r="I1329" t="s">
        <v>11</v>
      </c>
      <c r="J1329" t="s">
        <v>3198</v>
      </c>
      <c r="K1329" t="s">
        <v>15</v>
      </c>
      <c r="L1329" s="2">
        <v>33</v>
      </c>
      <c r="M1329" t="s">
        <v>3203</v>
      </c>
      <c r="N1329">
        <v>1</v>
      </c>
      <c r="O1329" t="s">
        <v>30</v>
      </c>
      <c r="P1329" t="e">
        <v>#VALUE!</v>
      </c>
      <c r="Q1329" t="e">
        <v>#VALUE!</v>
      </c>
      <c r="R1329" t="s">
        <v>3201</v>
      </c>
      <c r="S1329" t="s">
        <v>13</v>
      </c>
    </row>
    <row r="1330" spans="1:19" x14ac:dyDescent="0.3">
      <c r="A1330" t="s">
        <v>975</v>
      </c>
      <c r="B1330" t="s">
        <v>1596</v>
      </c>
      <c r="C1330" t="s">
        <v>2723</v>
      </c>
      <c r="D1330" t="s">
        <v>3189</v>
      </c>
      <c r="E1330" t="s">
        <v>9</v>
      </c>
      <c r="F1330" s="2">
        <v>36</v>
      </c>
      <c r="G1330" t="s">
        <v>3197</v>
      </c>
      <c r="H1330" t="s">
        <v>51</v>
      </c>
      <c r="I1330" t="s">
        <v>28</v>
      </c>
      <c r="J1330" t="s">
        <v>3212</v>
      </c>
      <c r="K1330" t="s">
        <v>15</v>
      </c>
      <c r="L1330" s="2">
        <v>33</v>
      </c>
      <c r="M1330" t="s">
        <v>3203</v>
      </c>
      <c r="N1330">
        <v>1</v>
      </c>
      <c r="O1330" t="s">
        <v>30</v>
      </c>
      <c r="P1330" t="e">
        <v>#VALUE!</v>
      </c>
      <c r="Q1330" t="e">
        <v>#VALUE!</v>
      </c>
      <c r="R1330" t="s">
        <v>3201</v>
      </c>
      <c r="S1330" t="s">
        <v>13</v>
      </c>
    </row>
    <row r="1331" spans="1:19" x14ac:dyDescent="0.3">
      <c r="A1331" t="s">
        <v>975</v>
      </c>
      <c r="B1331" t="s">
        <v>1596</v>
      </c>
      <c r="C1331" t="s">
        <v>2724</v>
      </c>
      <c r="D1331" t="s">
        <v>3189</v>
      </c>
      <c r="E1331" t="s">
        <v>9</v>
      </c>
      <c r="F1331" s="2">
        <v>41</v>
      </c>
      <c r="G1331" t="s">
        <v>3197</v>
      </c>
      <c r="H1331" t="s">
        <v>69</v>
      </c>
      <c r="I1331" t="s">
        <v>28</v>
      </c>
      <c r="J1331" t="s">
        <v>3212</v>
      </c>
      <c r="K1331" t="s">
        <v>15</v>
      </c>
      <c r="L1331" s="2">
        <v>33</v>
      </c>
      <c r="M1331" t="s">
        <v>3203</v>
      </c>
      <c r="N1331">
        <v>1</v>
      </c>
      <c r="O1331" t="s">
        <v>30</v>
      </c>
      <c r="P1331" t="e">
        <v>#VALUE!</v>
      </c>
      <c r="Q1331" t="e">
        <v>#VALUE!</v>
      </c>
      <c r="R1331" t="s">
        <v>3201</v>
      </c>
      <c r="S1331" t="s">
        <v>13</v>
      </c>
    </row>
    <row r="1332" spans="1:19" x14ac:dyDescent="0.3">
      <c r="A1332" t="s">
        <v>93</v>
      </c>
      <c r="B1332" t="s">
        <v>1596</v>
      </c>
      <c r="C1332" t="s">
        <v>1965</v>
      </c>
      <c r="D1332" t="s">
        <v>3189</v>
      </c>
      <c r="E1332" t="s">
        <v>9</v>
      </c>
      <c r="F1332" s="2">
        <v>40</v>
      </c>
      <c r="G1332" t="s">
        <v>3197</v>
      </c>
      <c r="H1332" t="s">
        <v>71</v>
      </c>
      <c r="I1332" t="s">
        <v>11</v>
      </c>
      <c r="J1332" t="s">
        <v>3198</v>
      </c>
      <c r="K1332" t="s">
        <v>15</v>
      </c>
      <c r="L1332" s="2">
        <v>33</v>
      </c>
      <c r="M1332" t="s">
        <v>3203</v>
      </c>
      <c r="N1332">
        <v>1</v>
      </c>
      <c r="O1332" t="s">
        <v>30</v>
      </c>
      <c r="P1332" t="e">
        <v>#VALUE!</v>
      </c>
      <c r="Q1332" t="e">
        <v>#VALUE!</v>
      </c>
      <c r="R1332" t="s">
        <v>3205</v>
      </c>
      <c r="S1332" t="s">
        <v>16</v>
      </c>
    </row>
    <row r="1333" spans="1:19" x14ac:dyDescent="0.3">
      <c r="A1333" t="s">
        <v>93</v>
      </c>
      <c r="B1333" t="s">
        <v>1596</v>
      </c>
      <c r="C1333" t="s">
        <v>2725</v>
      </c>
      <c r="D1333" t="s">
        <v>3189</v>
      </c>
      <c r="E1333" t="s">
        <v>9</v>
      </c>
      <c r="F1333" s="2">
        <v>48</v>
      </c>
      <c r="G1333" t="s">
        <v>3197</v>
      </c>
      <c r="H1333" t="s">
        <v>69</v>
      </c>
      <c r="I1333" t="s">
        <v>11</v>
      </c>
      <c r="J1333" t="s">
        <v>3198</v>
      </c>
      <c r="K1333" t="s">
        <v>15</v>
      </c>
      <c r="L1333" s="2">
        <v>33</v>
      </c>
      <c r="M1333" t="s">
        <v>3203</v>
      </c>
      <c r="N1333">
        <v>1</v>
      </c>
      <c r="O1333" t="s">
        <v>30</v>
      </c>
      <c r="P1333" t="e">
        <v>#VALUE!</v>
      </c>
      <c r="Q1333" t="e">
        <v>#VALUE!</v>
      </c>
      <c r="R1333" t="s">
        <v>3201</v>
      </c>
      <c r="S1333" t="s">
        <v>13</v>
      </c>
    </row>
    <row r="1334" spans="1:19" x14ac:dyDescent="0.3">
      <c r="A1334" t="s">
        <v>97</v>
      </c>
      <c r="B1334" t="s">
        <v>1596</v>
      </c>
      <c r="C1334" t="s">
        <v>1884</v>
      </c>
      <c r="D1334" t="s">
        <v>3189</v>
      </c>
      <c r="E1334" t="s">
        <v>9</v>
      </c>
      <c r="F1334" s="2">
        <v>19</v>
      </c>
      <c r="G1334" t="s">
        <v>3206</v>
      </c>
      <c r="H1334" t="s">
        <v>69</v>
      </c>
      <c r="I1334" t="s">
        <v>11</v>
      </c>
      <c r="J1334" t="s">
        <v>3198</v>
      </c>
      <c r="K1334" t="s">
        <v>15</v>
      </c>
      <c r="L1334" s="2">
        <v>33</v>
      </c>
      <c r="M1334" t="s">
        <v>3203</v>
      </c>
      <c r="N1334">
        <v>1</v>
      </c>
      <c r="O1334" t="s">
        <v>30</v>
      </c>
      <c r="P1334" t="e">
        <v>#VALUE!</v>
      </c>
      <c r="Q1334" t="e">
        <v>#VALUE!</v>
      </c>
      <c r="R1334" t="s">
        <v>3205</v>
      </c>
      <c r="S1334" t="s">
        <v>16</v>
      </c>
    </row>
    <row r="1335" spans="1:19" x14ac:dyDescent="0.3">
      <c r="A1335" t="s">
        <v>976</v>
      </c>
      <c r="B1335" t="s">
        <v>1596</v>
      </c>
      <c r="C1335" t="s">
        <v>2726</v>
      </c>
      <c r="D1335" t="s">
        <v>3189</v>
      </c>
      <c r="E1335" t="s">
        <v>9</v>
      </c>
      <c r="F1335" s="2">
        <v>35</v>
      </c>
      <c r="G1335" t="s">
        <v>3206</v>
      </c>
      <c r="H1335" t="s">
        <v>71</v>
      </c>
      <c r="I1335" t="s">
        <v>11</v>
      </c>
      <c r="J1335" t="s">
        <v>3198</v>
      </c>
      <c r="K1335" t="s">
        <v>15</v>
      </c>
      <c r="L1335" s="2">
        <v>33</v>
      </c>
      <c r="M1335" t="s">
        <v>3203</v>
      </c>
      <c r="N1335">
        <v>1</v>
      </c>
      <c r="O1335" t="s">
        <v>30</v>
      </c>
      <c r="P1335" t="e">
        <v>#VALUE!</v>
      </c>
      <c r="Q1335" t="e">
        <v>#VALUE!</v>
      </c>
      <c r="R1335" t="s">
        <v>3205</v>
      </c>
      <c r="S1335" t="s">
        <v>16</v>
      </c>
    </row>
    <row r="1336" spans="1:19" x14ac:dyDescent="0.3">
      <c r="A1336" t="s">
        <v>977</v>
      </c>
      <c r="B1336" t="s">
        <v>1596</v>
      </c>
      <c r="C1336" t="s">
        <v>2727</v>
      </c>
      <c r="D1336" t="s">
        <v>3189</v>
      </c>
      <c r="E1336" t="s">
        <v>9</v>
      </c>
      <c r="F1336" s="2">
        <v>26</v>
      </c>
      <c r="G1336" t="s">
        <v>3206</v>
      </c>
      <c r="H1336" t="s">
        <v>69</v>
      </c>
      <c r="I1336" t="s">
        <v>11</v>
      </c>
      <c r="J1336" t="s">
        <v>3198</v>
      </c>
      <c r="K1336" t="s">
        <v>15</v>
      </c>
      <c r="L1336" s="2">
        <v>33</v>
      </c>
      <c r="M1336" t="s">
        <v>3203</v>
      </c>
      <c r="N1336">
        <v>1</v>
      </c>
      <c r="O1336" t="s">
        <v>30</v>
      </c>
      <c r="P1336" t="e">
        <v>#VALUE!</v>
      </c>
      <c r="Q1336" t="e">
        <v>#VALUE!</v>
      </c>
      <c r="R1336" t="s">
        <v>3201</v>
      </c>
      <c r="S1336" t="s">
        <v>13</v>
      </c>
    </row>
    <row r="1337" spans="1:19" x14ac:dyDescent="0.3">
      <c r="A1337" t="s">
        <v>978</v>
      </c>
      <c r="B1337" t="s">
        <v>1596</v>
      </c>
      <c r="C1337" t="s">
        <v>2728</v>
      </c>
      <c r="D1337" t="s">
        <v>3189</v>
      </c>
      <c r="E1337" t="s">
        <v>9</v>
      </c>
      <c r="F1337" s="2">
        <v>41</v>
      </c>
      <c r="G1337" t="s">
        <v>3197</v>
      </c>
      <c r="H1337" t="s">
        <v>69</v>
      </c>
      <c r="I1337" t="s">
        <v>11</v>
      </c>
      <c r="J1337" t="s">
        <v>3198</v>
      </c>
      <c r="K1337" t="s">
        <v>37</v>
      </c>
      <c r="L1337" s="2">
        <v>33</v>
      </c>
      <c r="M1337" t="s">
        <v>3203</v>
      </c>
      <c r="N1337">
        <v>1</v>
      </c>
      <c r="O1337" t="s">
        <v>30</v>
      </c>
      <c r="P1337" t="e">
        <v>#VALUE!</v>
      </c>
      <c r="Q1337" t="e">
        <v>#VALUE!</v>
      </c>
      <c r="R1337" t="s">
        <v>3201</v>
      </c>
      <c r="S1337" t="s">
        <v>13</v>
      </c>
    </row>
    <row r="1338" spans="1:19" x14ac:dyDescent="0.3">
      <c r="A1338" t="s">
        <v>979</v>
      </c>
      <c r="B1338" t="s">
        <v>1596</v>
      </c>
      <c r="C1338" t="s">
        <v>2729</v>
      </c>
      <c r="D1338" t="s">
        <v>3189</v>
      </c>
      <c r="E1338" t="s">
        <v>9</v>
      </c>
      <c r="F1338" s="2">
        <v>26</v>
      </c>
      <c r="G1338" t="s">
        <v>3206</v>
      </c>
      <c r="H1338" t="s">
        <v>70</v>
      </c>
      <c r="I1338" t="s">
        <v>11</v>
      </c>
      <c r="J1338" t="s">
        <v>3198</v>
      </c>
      <c r="K1338" t="s">
        <v>15</v>
      </c>
      <c r="L1338" s="2">
        <v>33</v>
      </c>
      <c r="M1338" t="s">
        <v>3203</v>
      </c>
      <c r="N1338">
        <v>1</v>
      </c>
      <c r="O1338" t="s">
        <v>30</v>
      </c>
      <c r="P1338" t="e">
        <v>#VALUE!</v>
      </c>
      <c r="Q1338" t="e">
        <v>#VALUE!</v>
      </c>
      <c r="R1338" t="s">
        <v>3201</v>
      </c>
      <c r="S1338" t="s">
        <v>13</v>
      </c>
    </row>
    <row r="1339" spans="1:19" x14ac:dyDescent="0.3">
      <c r="A1339" t="s">
        <v>980</v>
      </c>
      <c r="B1339" t="s">
        <v>1596</v>
      </c>
      <c r="C1339" t="s">
        <v>2730</v>
      </c>
      <c r="D1339" t="s">
        <v>3189</v>
      </c>
      <c r="E1339" t="s">
        <v>9</v>
      </c>
      <c r="F1339" s="2">
        <v>21</v>
      </c>
      <c r="G1339" t="s">
        <v>3206</v>
      </c>
      <c r="H1339" t="s">
        <v>51</v>
      </c>
      <c r="I1339" t="s">
        <v>11</v>
      </c>
      <c r="J1339" t="s">
        <v>3198</v>
      </c>
      <c r="K1339" t="s">
        <v>15</v>
      </c>
      <c r="L1339" s="2">
        <v>33</v>
      </c>
      <c r="M1339" t="s">
        <v>3203</v>
      </c>
      <c r="N1339">
        <v>1</v>
      </c>
      <c r="O1339" t="s">
        <v>30</v>
      </c>
      <c r="P1339" t="e">
        <v>#VALUE!</v>
      </c>
      <c r="Q1339" t="e">
        <v>#VALUE!</v>
      </c>
      <c r="R1339" t="s">
        <v>3205</v>
      </c>
      <c r="S1339" t="s">
        <v>16</v>
      </c>
    </row>
    <row r="1340" spans="1:19" x14ac:dyDescent="0.3">
      <c r="A1340" t="s">
        <v>981</v>
      </c>
      <c r="B1340" t="s">
        <v>1596</v>
      </c>
      <c r="C1340" t="s">
        <v>2731</v>
      </c>
      <c r="D1340" t="s">
        <v>3189</v>
      </c>
      <c r="E1340" t="s">
        <v>9</v>
      </c>
      <c r="F1340" s="2">
        <v>23</v>
      </c>
      <c r="G1340" t="s">
        <v>3206</v>
      </c>
      <c r="H1340" t="s">
        <v>69</v>
      </c>
      <c r="I1340" t="s">
        <v>11</v>
      </c>
      <c r="J1340" t="s">
        <v>3198</v>
      </c>
      <c r="K1340" t="s">
        <v>15</v>
      </c>
      <c r="L1340" s="2">
        <v>33</v>
      </c>
      <c r="M1340" t="s">
        <v>3203</v>
      </c>
      <c r="N1340">
        <v>1</v>
      </c>
      <c r="O1340" t="s">
        <v>30</v>
      </c>
      <c r="P1340" t="e">
        <v>#VALUE!</v>
      </c>
      <c r="Q1340" t="e">
        <v>#VALUE!</v>
      </c>
      <c r="R1340" t="s">
        <v>3201</v>
      </c>
      <c r="S1340" t="s">
        <v>13</v>
      </c>
    </row>
    <row r="1341" spans="1:19" x14ac:dyDescent="0.3">
      <c r="A1341" t="s">
        <v>982</v>
      </c>
      <c r="B1341" t="s">
        <v>1596</v>
      </c>
      <c r="C1341" t="s">
        <v>2732</v>
      </c>
      <c r="D1341" t="s">
        <v>3189</v>
      </c>
      <c r="E1341" t="s">
        <v>9</v>
      </c>
      <c r="F1341" s="2">
        <v>37</v>
      </c>
      <c r="G1341" t="s">
        <v>3197</v>
      </c>
      <c r="H1341" t="s">
        <v>69</v>
      </c>
      <c r="I1341" t="s">
        <v>28</v>
      </c>
      <c r="J1341" t="s">
        <v>3212</v>
      </c>
      <c r="K1341" t="s">
        <v>15</v>
      </c>
      <c r="L1341" s="2">
        <v>33</v>
      </c>
      <c r="M1341" t="s">
        <v>3203</v>
      </c>
      <c r="N1341">
        <v>1</v>
      </c>
      <c r="O1341" t="s">
        <v>30</v>
      </c>
      <c r="P1341" t="e">
        <v>#VALUE!</v>
      </c>
      <c r="Q1341" t="e">
        <v>#VALUE!</v>
      </c>
      <c r="R1341" t="s">
        <v>3201</v>
      </c>
      <c r="S1341" t="s">
        <v>13</v>
      </c>
    </row>
    <row r="1342" spans="1:19" x14ac:dyDescent="0.3">
      <c r="A1342" t="s">
        <v>983</v>
      </c>
      <c r="B1342" t="s">
        <v>1596</v>
      </c>
      <c r="C1342" t="s">
        <v>2733</v>
      </c>
      <c r="D1342" t="s">
        <v>3189</v>
      </c>
      <c r="E1342" t="s">
        <v>9</v>
      </c>
      <c r="F1342" s="2">
        <v>28</v>
      </c>
      <c r="G1342" t="s">
        <v>3206</v>
      </c>
      <c r="H1342" t="s">
        <v>69</v>
      </c>
      <c r="I1342" t="s">
        <v>11</v>
      </c>
      <c r="J1342" t="s">
        <v>3198</v>
      </c>
      <c r="K1342" t="s">
        <v>15</v>
      </c>
      <c r="L1342" s="2">
        <v>33</v>
      </c>
      <c r="M1342" t="s">
        <v>3203</v>
      </c>
      <c r="N1342">
        <v>1</v>
      </c>
      <c r="O1342" t="s">
        <v>30</v>
      </c>
      <c r="P1342" t="e">
        <v>#VALUE!</v>
      </c>
      <c r="Q1342" t="e">
        <v>#VALUE!</v>
      </c>
      <c r="R1342" t="s">
        <v>3205</v>
      </c>
      <c r="S1342" t="s">
        <v>16</v>
      </c>
    </row>
    <row r="1343" spans="1:19" x14ac:dyDescent="0.3">
      <c r="A1343" t="s">
        <v>984</v>
      </c>
      <c r="B1343" t="s">
        <v>1596</v>
      </c>
      <c r="C1343" t="s">
        <v>2677</v>
      </c>
      <c r="D1343" t="s">
        <v>3189</v>
      </c>
      <c r="E1343" t="s">
        <v>9</v>
      </c>
      <c r="F1343" s="2">
        <v>33</v>
      </c>
      <c r="G1343" t="s">
        <v>3206</v>
      </c>
      <c r="H1343" t="s">
        <v>69</v>
      </c>
      <c r="I1343" t="s">
        <v>11</v>
      </c>
      <c r="J1343" t="s">
        <v>3198</v>
      </c>
      <c r="K1343" t="s">
        <v>15</v>
      </c>
      <c r="L1343" s="2">
        <v>33</v>
      </c>
      <c r="M1343" t="s">
        <v>3203</v>
      </c>
      <c r="N1343">
        <v>1</v>
      </c>
      <c r="O1343" t="s">
        <v>30</v>
      </c>
      <c r="P1343" t="e">
        <v>#VALUE!</v>
      </c>
      <c r="Q1343" t="e">
        <v>#VALUE!</v>
      </c>
      <c r="R1343" t="s">
        <v>3201</v>
      </c>
      <c r="S1343" t="s">
        <v>13</v>
      </c>
    </row>
    <row r="1344" spans="1:19" x14ac:dyDescent="0.3">
      <c r="A1344" t="s">
        <v>119</v>
      </c>
      <c r="B1344" t="s">
        <v>1596</v>
      </c>
      <c r="C1344" t="s">
        <v>2734</v>
      </c>
      <c r="D1344" t="s">
        <v>3189</v>
      </c>
      <c r="E1344" t="s">
        <v>9</v>
      </c>
      <c r="F1344" s="2">
        <v>36</v>
      </c>
      <c r="G1344" t="s">
        <v>3197</v>
      </c>
      <c r="H1344" t="s">
        <v>69</v>
      </c>
      <c r="I1344" t="s">
        <v>28</v>
      </c>
      <c r="J1344" t="s">
        <v>3212</v>
      </c>
      <c r="K1344" t="s">
        <v>15</v>
      </c>
      <c r="L1344" s="2">
        <v>33</v>
      </c>
      <c r="M1344" t="s">
        <v>3203</v>
      </c>
      <c r="N1344">
        <v>1</v>
      </c>
      <c r="O1344" t="s">
        <v>30</v>
      </c>
      <c r="P1344" t="e">
        <v>#VALUE!</v>
      </c>
      <c r="Q1344" t="e">
        <v>#VALUE!</v>
      </c>
      <c r="R1344" t="s">
        <v>3201</v>
      </c>
      <c r="S1344" t="s">
        <v>13</v>
      </c>
    </row>
    <row r="1345" spans="1:19" x14ac:dyDescent="0.3">
      <c r="A1345" t="s">
        <v>119</v>
      </c>
      <c r="B1345" t="s">
        <v>1596</v>
      </c>
      <c r="C1345" t="s">
        <v>2735</v>
      </c>
      <c r="D1345" t="s">
        <v>3189</v>
      </c>
      <c r="E1345" t="s">
        <v>9</v>
      </c>
      <c r="F1345" s="2">
        <v>46</v>
      </c>
      <c r="G1345" t="s">
        <v>3197</v>
      </c>
      <c r="H1345" t="s">
        <v>51</v>
      </c>
      <c r="I1345" t="s">
        <v>11</v>
      </c>
      <c r="J1345" t="s">
        <v>3198</v>
      </c>
      <c r="K1345" t="s">
        <v>40</v>
      </c>
      <c r="L1345" s="2">
        <v>33</v>
      </c>
      <c r="M1345" t="s">
        <v>3203</v>
      </c>
      <c r="N1345">
        <v>1</v>
      </c>
      <c r="O1345" t="s">
        <v>30</v>
      </c>
      <c r="P1345" t="e">
        <v>#VALUE!</v>
      </c>
      <c r="Q1345" t="e">
        <v>#VALUE!</v>
      </c>
      <c r="R1345" t="s">
        <v>3201</v>
      </c>
      <c r="S1345" t="s">
        <v>13</v>
      </c>
    </row>
    <row r="1346" spans="1:19" x14ac:dyDescent="0.3">
      <c r="A1346" t="s">
        <v>119</v>
      </c>
      <c r="B1346" t="s">
        <v>1596</v>
      </c>
      <c r="C1346" t="s">
        <v>2736</v>
      </c>
      <c r="D1346" t="s">
        <v>3189</v>
      </c>
      <c r="E1346" t="s">
        <v>9</v>
      </c>
      <c r="F1346" s="2">
        <v>46</v>
      </c>
      <c r="G1346" t="s">
        <v>3197</v>
      </c>
      <c r="H1346" t="s">
        <v>71</v>
      </c>
      <c r="I1346" t="s">
        <v>11</v>
      </c>
      <c r="J1346" t="s">
        <v>3198</v>
      </c>
      <c r="K1346" t="s">
        <v>15</v>
      </c>
      <c r="L1346" s="2">
        <v>33</v>
      </c>
      <c r="M1346" t="s">
        <v>3203</v>
      </c>
      <c r="N1346">
        <v>1</v>
      </c>
      <c r="O1346" t="s">
        <v>30</v>
      </c>
      <c r="P1346" t="e">
        <v>#VALUE!</v>
      </c>
      <c r="Q1346" t="e">
        <v>#VALUE!</v>
      </c>
      <c r="R1346" t="s">
        <v>3205</v>
      </c>
      <c r="S1346" t="s">
        <v>16</v>
      </c>
    </row>
    <row r="1347" spans="1:19" x14ac:dyDescent="0.3">
      <c r="A1347" t="s">
        <v>985</v>
      </c>
      <c r="B1347" t="s">
        <v>1596</v>
      </c>
      <c r="C1347" t="s">
        <v>1996</v>
      </c>
      <c r="D1347" t="s">
        <v>3189</v>
      </c>
      <c r="E1347" t="s">
        <v>9</v>
      </c>
      <c r="F1347" s="2">
        <v>24</v>
      </c>
      <c r="G1347" t="s">
        <v>3206</v>
      </c>
      <c r="H1347" t="s">
        <v>51</v>
      </c>
      <c r="I1347" t="s">
        <v>11</v>
      </c>
      <c r="J1347" t="s">
        <v>3198</v>
      </c>
      <c r="K1347" t="s">
        <v>15</v>
      </c>
      <c r="L1347" s="2">
        <v>33</v>
      </c>
      <c r="M1347" t="s">
        <v>3203</v>
      </c>
      <c r="N1347">
        <v>1</v>
      </c>
      <c r="O1347" t="s">
        <v>30</v>
      </c>
      <c r="P1347" t="e">
        <v>#VALUE!</v>
      </c>
      <c r="Q1347" t="e">
        <v>#VALUE!</v>
      </c>
      <c r="R1347" t="s">
        <v>3201</v>
      </c>
      <c r="S1347" t="s">
        <v>13</v>
      </c>
    </row>
    <row r="1348" spans="1:19" x14ac:dyDescent="0.3">
      <c r="A1348" t="s">
        <v>986</v>
      </c>
      <c r="B1348" t="s">
        <v>1596</v>
      </c>
      <c r="C1348" t="s">
        <v>1681</v>
      </c>
      <c r="D1348" t="s">
        <v>3189</v>
      </c>
      <c r="E1348" t="s">
        <v>9</v>
      </c>
      <c r="F1348" s="2">
        <v>19</v>
      </c>
      <c r="G1348" t="s">
        <v>3206</v>
      </c>
      <c r="H1348" t="s">
        <v>69</v>
      </c>
      <c r="I1348" t="s">
        <v>11</v>
      </c>
      <c r="J1348" t="s">
        <v>3198</v>
      </c>
      <c r="K1348" t="s">
        <v>15</v>
      </c>
      <c r="L1348" s="2">
        <v>33</v>
      </c>
      <c r="M1348" t="s">
        <v>3203</v>
      </c>
      <c r="N1348">
        <v>1</v>
      </c>
      <c r="O1348" t="s">
        <v>30</v>
      </c>
      <c r="P1348" t="e">
        <v>#VALUE!</v>
      </c>
      <c r="Q1348" t="e">
        <v>#VALUE!</v>
      </c>
      <c r="R1348" t="s">
        <v>3205</v>
      </c>
      <c r="S1348" t="s">
        <v>16</v>
      </c>
    </row>
    <row r="1349" spans="1:19" x14ac:dyDescent="0.3">
      <c r="A1349" t="s">
        <v>987</v>
      </c>
      <c r="B1349" t="s">
        <v>2719</v>
      </c>
      <c r="C1349" t="s">
        <v>2737</v>
      </c>
      <c r="D1349" t="s">
        <v>3189</v>
      </c>
      <c r="E1349" t="s">
        <v>9</v>
      </c>
      <c r="F1349" s="2">
        <v>24</v>
      </c>
      <c r="G1349" t="s">
        <v>3206</v>
      </c>
      <c r="H1349" t="s">
        <v>70</v>
      </c>
      <c r="I1349" t="s">
        <v>11</v>
      </c>
      <c r="J1349" t="s">
        <v>3198</v>
      </c>
      <c r="K1349" t="s">
        <v>15</v>
      </c>
      <c r="L1349" s="2">
        <v>33</v>
      </c>
      <c r="M1349" t="s">
        <v>3203</v>
      </c>
      <c r="N1349">
        <v>1</v>
      </c>
      <c r="O1349" t="s">
        <v>30</v>
      </c>
      <c r="P1349" t="e">
        <v>#VALUE!</v>
      </c>
      <c r="Q1349" t="e">
        <v>#VALUE!</v>
      </c>
      <c r="R1349" t="s">
        <v>3201</v>
      </c>
      <c r="S1349" t="s">
        <v>13</v>
      </c>
    </row>
    <row r="1350" spans="1:19" x14ac:dyDescent="0.3">
      <c r="A1350" t="s">
        <v>988</v>
      </c>
      <c r="B1350" t="s">
        <v>1596</v>
      </c>
      <c r="C1350" t="s">
        <v>2194</v>
      </c>
      <c r="D1350" t="s">
        <v>3189</v>
      </c>
      <c r="E1350" t="s">
        <v>9</v>
      </c>
      <c r="F1350" s="2">
        <v>34</v>
      </c>
      <c r="G1350" t="s">
        <v>3206</v>
      </c>
      <c r="H1350" t="s">
        <v>51</v>
      </c>
      <c r="I1350" t="s">
        <v>11</v>
      </c>
      <c r="J1350" t="s">
        <v>3198</v>
      </c>
      <c r="K1350" t="s">
        <v>15</v>
      </c>
      <c r="L1350" s="2">
        <v>33</v>
      </c>
      <c r="M1350" t="s">
        <v>3203</v>
      </c>
      <c r="N1350">
        <v>1</v>
      </c>
      <c r="O1350" t="s">
        <v>30</v>
      </c>
      <c r="P1350" t="e">
        <v>#VALUE!</v>
      </c>
      <c r="Q1350" t="e">
        <v>#VALUE!</v>
      </c>
      <c r="R1350" t="s">
        <v>3201</v>
      </c>
      <c r="S1350" t="s">
        <v>13</v>
      </c>
    </row>
    <row r="1351" spans="1:19" x14ac:dyDescent="0.3">
      <c r="A1351" t="s">
        <v>989</v>
      </c>
      <c r="B1351" t="s">
        <v>1596</v>
      </c>
      <c r="C1351" t="s">
        <v>2738</v>
      </c>
      <c r="D1351" t="s">
        <v>3189</v>
      </c>
      <c r="E1351" t="s">
        <v>9</v>
      </c>
      <c r="F1351" s="2">
        <v>19</v>
      </c>
      <c r="G1351" t="s">
        <v>3206</v>
      </c>
      <c r="H1351" t="s">
        <v>69</v>
      </c>
      <c r="I1351" t="s">
        <v>11</v>
      </c>
      <c r="J1351" t="s">
        <v>3198</v>
      </c>
      <c r="K1351" t="s">
        <v>15</v>
      </c>
      <c r="L1351" s="2">
        <v>33</v>
      </c>
      <c r="M1351" t="s">
        <v>3203</v>
      </c>
      <c r="N1351">
        <v>1</v>
      </c>
      <c r="O1351" t="s">
        <v>30</v>
      </c>
      <c r="P1351" t="e">
        <v>#VALUE!</v>
      </c>
      <c r="Q1351" t="e">
        <v>#VALUE!</v>
      </c>
      <c r="R1351" t="s">
        <v>3201</v>
      </c>
      <c r="S1351" t="s">
        <v>13</v>
      </c>
    </row>
    <row r="1352" spans="1:19" x14ac:dyDescent="0.3">
      <c r="A1352" t="s">
        <v>989</v>
      </c>
      <c r="B1352" t="s">
        <v>1596</v>
      </c>
      <c r="C1352" t="s">
        <v>2739</v>
      </c>
      <c r="D1352" t="s">
        <v>3189</v>
      </c>
      <c r="E1352" t="s">
        <v>9</v>
      </c>
      <c r="F1352" s="2">
        <v>41</v>
      </c>
      <c r="G1352" t="s">
        <v>3197</v>
      </c>
      <c r="H1352" t="s">
        <v>69</v>
      </c>
      <c r="I1352" t="s">
        <v>11</v>
      </c>
      <c r="J1352" t="s">
        <v>3198</v>
      </c>
      <c r="K1352" t="s">
        <v>15</v>
      </c>
      <c r="L1352" s="2">
        <v>33</v>
      </c>
      <c r="M1352" t="s">
        <v>3203</v>
      </c>
      <c r="N1352">
        <v>1</v>
      </c>
      <c r="O1352" t="s">
        <v>30</v>
      </c>
      <c r="P1352" t="e">
        <v>#VALUE!</v>
      </c>
      <c r="Q1352" t="e">
        <v>#VALUE!</v>
      </c>
      <c r="R1352" t="s">
        <v>3201</v>
      </c>
      <c r="S1352" t="s">
        <v>13</v>
      </c>
    </row>
    <row r="1353" spans="1:19" x14ac:dyDescent="0.3">
      <c r="A1353" t="s">
        <v>989</v>
      </c>
      <c r="B1353" t="s">
        <v>1596</v>
      </c>
      <c r="C1353" t="s">
        <v>2740</v>
      </c>
      <c r="D1353" t="s">
        <v>3189</v>
      </c>
      <c r="E1353" t="s">
        <v>9</v>
      </c>
      <c r="F1353" s="2">
        <v>42</v>
      </c>
      <c r="G1353" t="s">
        <v>3197</v>
      </c>
      <c r="H1353" t="s">
        <v>69</v>
      </c>
      <c r="I1353" t="s">
        <v>28</v>
      </c>
      <c r="J1353" t="s">
        <v>3212</v>
      </c>
      <c r="K1353" t="s">
        <v>15</v>
      </c>
      <c r="L1353" s="2">
        <v>33</v>
      </c>
      <c r="M1353" t="s">
        <v>3203</v>
      </c>
      <c r="N1353">
        <v>1</v>
      </c>
      <c r="O1353" t="s">
        <v>30</v>
      </c>
      <c r="P1353" t="e">
        <v>#VALUE!</v>
      </c>
      <c r="Q1353" t="e">
        <v>#VALUE!</v>
      </c>
      <c r="R1353" t="s">
        <v>3201</v>
      </c>
      <c r="S1353" t="s">
        <v>13</v>
      </c>
    </row>
    <row r="1354" spans="1:19" x14ac:dyDescent="0.3">
      <c r="A1354" t="s">
        <v>990</v>
      </c>
      <c r="B1354" t="s">
        <v>1596</v>
      </c>
      <c r="C1354" t="s">
        <v>2259</v>
      </c>
      <c r="D1354" t="s">
        <v>3189</v>
      </c>
      <c r="E1354" t="s">
        <v>9</v>
      </c>
      <c r="F1354" s="2">
        <v>30</v>
      </c>
      <c r="G1354" t="s">
        <v>3206</v>
      </c>
      <c r="H1354" t="s">
        <v>51</v>
      </c>
      <c r="I1354" t="s">
        <v>11</v>
      </c>
      <c r="J1354" t="s">
        <v>3198</v>
      </c>
      <c r="K1354" t="s">
        <v>15</v>
      </c>
      <c r="L1354" s="2">
        <v>33</v>
      </c>
      <c r="M1354" t="s">
        <v>3203</v>
      </c>
      <c r="N1354">
        <v>1</v>
      </c>
      <c r="O1354" t="s">
        <v>30</v>
      </c>
      <c r="P1354" t="e">
        <v>#VALUE!</v>
      </c>
      <c r="Q1354" t="e">
        <v>#VALUE!</v>
      </c>
      <c r="R1354" t="s">
        <v>3201</v>
      </c>
      <c r="S1354" t="s">
        <v>13</v>
      </c>
    </row>
    <row r="1355" spans="1:19" x14ac:dyDescent="0.3">
      <c r="A1355" t="s">
        <v>990</v>
      </c>
      <c r="B1355" t="s">
        <v>1596</v>
      </c>
      <c r="C1355" t="s">
        <v>2038</v>
      </c>
      <c r="D1355" t="s">
        <v>3189</v>
      </c>
      <c r="E1355" t="s">
        <v>9</v>
      </c>
      <c r="F1355" s="2">
        <v>36</v>
      </c>
      <c r="G1355" t="s">
        <v>3197</v>
      </c>
      <c r="H1355" t="s">
        <v>69</v>
      </c>
      <c r="I1355" t="s">
        <v>11</v>
      </c>
      <c r="J1355" t="s">
        <v>3198</v>
      </c>
      <c r="K1355" t="s">
        <v>15</v>
      </c>
      <c r="L1355" s="2">
        <v>33</v>
      </c>
      <c r="M1355" t="s">
        <v>3203</v>
      </c>
      <c r="N1355">
        <v>1</v>
      </c>
      <c r="O1355" t="s">
        <v>30</v>
      </c>
      <c r="P1355" t="e">
        <v>#VALUE!</v>
      </c>
      <c r="Q1355" t="e">
        <v>#VALUE!</v>
      </c>
      <c r="R1355" t="s">
        <v>3201</v>
      </c>
      <c r="S1355" t="s">
        <v>13</v>
      </c>
    </row>
    <row r="1356" spans="1:19" x14ac:dyDescent="0.3">
      <c r="A1356" t="s">
        <v>991</v>
      </c>
      <c r="B1356" t="s">
        <v>1596</v>
      </c>
      <c r="C1356" t="s">
        <v>2259</v>
      </c>
      <c r="D1356" t="s">
        <v>3189</v>
      </c>
      <c r="E1356" t="s">
        <v>9</v>
      </c>
      <c r="F1356" s="2">
        <v>29</v>
      </c>
      <c r="G1356" t="s">
        <v>3206</v>
      </c>
      <c r="H1356" t="s">
        <v>51</v>
      </c>
      <c r="I1356" t="s">
        <v>11</v>
      </c>
      <c r="J1356" t="s">
        <v>3198</v>
      </c>
      <c r="K1356" t="s">
        <v>15</v>
      </c>
      <c r="L1356" s="2">
        <v>33</v>
      </c>
      <c r="M1356" t="s">
        <v>3203</v>
      </c>
      <c r="N1356">
        <v>1</v>
      </c>
      <c r="O1356" t="s">
        <v>30</v>
      </c>
      <c r="P1356" t="e">
        <v>#VALUE!</v>
      </c>
      <c r="Q1356" t="e">
        <v>#VALUE!</v>
      </c>
      <c r="R1356" t="s">
        <v>3201</v>
      </c>
      <c r="S1356" t="s">
        <v>13</v>
      </c>
    </row>
    <row r="1357" spans="1:19" x14ac:dyDescent="0.3">
      <c r="A1357" t="s">
        <v>991</v>
      </c>
      <c r="B1357" t="s">
        <v>1596</v>
      </c>
      <c r="C1357" t="s">
        <v>2525</v>
      </c>
      <c r="D1357" t="s">
        <v>3189</v>
      </c>
      <c r="E1357" t="s">
        <v>9</v>
      </c>
      <c r="F1357" s="2">
        <v>40</v>
      </c>
      <c r="G1357" t="s">
        <v>3197</v>
      </c>
      <c r="H1357" t="s">
        <v>69</v>
      </c>
      <c r="I1357" t="s">
        <v>11</v>
      </c>
      <c r="J1357" t="s">
        <v>3198</v>
      </c>
      <c r="K1357" t="s">
        <v>15</v>
      </c>
      <c r="L1357" s="2">
        <v>33</v>
      </c>
      <c r="M1357" t="s">
        <v>3203</v>
      </c>
      <c r="N1357">
        <v>1</v>
      </c>
      <c r="O1357" t="s">
        <v>30</v>
      </c>
      <c r="P1357" t="e">
        <v>#VALUE!</v>
      </c>
      <c r="Q1357" t="e">
        <v>#VALUE!</v>
      </c>
      <c r="R1357" t="s">
        <v>3201</v>
      </c>
      <c r="S1357" t="s">
        <v>13</v>
      </c>
    </row>
    <row r="1358" spans="1:19" x14ac:dyDescent="0.3">
      <c r="A1358" t="s">
        <v>991</v>
      </c>
      <c r="B1358" t="s">
        <v>1596</v>
      </c>
      <c r="C1358" t="s">
        <v>1610</v>
      </c>
      <c r="D1358" t="s">
        <v>3189</v>
      </c>
      <c r="E1358" t="s">
        <v>9</v>
      </c>
      <c r="F1358" s="2">
        <v>40</v>
      </c>
      <c r="G1358" t="s">
        <v>3197</v>
      </c>
      <c r="H1358" t="s">
        <v>51</v>
      </c>
      <c r="I1358" t="s">
        <v>11</v>
      </c>
      <c r="J1358" t="s">
        <v>3198</v>
      </c>
      <c r="K1358" t="s">
        <v>15</v>
      </c>
      <c r="L1358" s="2">
        <v>33</v>
      </c>
      <c r="M1358" t="s">
        <v>3203</v>
      </c>
      <c r="N1358">
        <v>1</v>
      </c>
      <c r="O1358" t="s">
        <v>30</v>
      </c>
      <c r="P1358" t="e">
        <v>#VALUE!</v>
      </c>
      <c r="Q1358" t="e">
        <v>#VALUE!</v>
      </c>
      <c r="R1358" t="s">
        <v>3201</v>
      </c>
      <c r="S1358" t="s">
        <v>13</v>
      </c>
    </row>
    <row r="1359" spans="1:19" x14ac:dyDescent="0.3">
      <c r="A1359" t="s">
        <v>992</v>
      </c>
      <c r="B1359" t="s">
        <v>1596</v>
      </c>
      <c r="C1359" t="s">
        <v>1976</v>
      </c>
      <c r="D1359" t="s">
        <v>3189</v>
      </c>
      <c r="E1359" t="s">
        <v>9</v>
      </c>
      <c r="F1359" s="2">
        <v>16</v>
      </c>
      <c r="G1359" t="s">
        <v>3202</v>
      </c>
      <c r="H1359" t="s">
        <v>69</v>
      </c>
      <c r="I1359" t="s">
        <v>11</v>
      </c>
      <c r="J1359" t="s">
        <v>3198</v>
      </c>
      <c r="K1359" t="s">
        <v>15</v>
      </c>
      <c r="L1359" s="2">
        <v>33</v>
      </c>
      <c r="M1359" t="s">
        <v>3203</v>
      </c>
      <c r="N1359">
        <v>1</v>
      </c>
      <c r="O1359" t="s">
        <v>30</v>
      </c>
      <c r="P1359" t="e">
        <v>#VALUE!</v>
      </c>
      <c r="Q1359" t="e">
        <v>#VALUE!</v>
      </c>
      <c r="R1359" t="s">
        <v>3201</v>
      </c>
      <c r="S1359" t="s">
        <v>13</v>
      </c>
    </row>
    <row r="1360" spans="1:19" x14ac:dyDescent="0.3">
      <c r="A1360" t="s">
        <v>993</v>
      </c>
      <c r="B1360" t="s">
        <v>1596</v>
      </c>
      <c r="C1360" t="s">
        <v>2511</v>
      </c>
      <c r="D1360" t="s">
        <v>3189</v>
      </c>
      <c r="E1360" t="s">
        <v>9</v>
      </c>
      <c r="F1360" s="2">
        <v>28</v>
      </c>
      <c r="G1360" t="s">
        <v>3206</v>
      </c>
      <c r="H1360" t="s">
        <v>51</v>
      </c>
      <c r="I1360" t="s">
        <v>11</v>
      </c>
      <c r="J1360" t="s">
        <v>3198</v>
      </c>
      <c r="K1360" t="s">
        <v>15</v>
      </c>
      <c r="L1360" s="2">
        <v>33</v>
      </c>
      <c r="M1360" t="s">
        <v>3203</v>
      </c>
      <c r="N1360">
        <v>1</v>
      </c>
      <c r="O1360" t="s">
        <v>30</v>
      </c>
      <c r="P1360" t="e">
        <v>#VALUE!</v>
      </c>
      <c r="Q1360" t="e">
        <v>#VALUE!</v>
      </c>
      <c r="R1360" t="s">
        <v>3205</v>
      </c>
      <c r="S1360" t="s">
        <v>16</v>
      </c>
    </row>
    <row r="1361" spans="1:19" x14ac:dyDescent="0.3">
      <c r="A1361" t="s">
        <v>993</v>
      </c>
      <c r="B1361" t="s">
        <v>1596</v>
      </c>
      <c r="C1361" t="s">
        <v>2428</v>
      </c>
      <c r="D1361" t="s">
        <v>3189</v>
      </c>
      <c r="E1361" t="s">
        <v>9</v>
      </c>
      <c r="F1361" s="2">
        <v>33</v>
      </c>
      <c r="G1361" t="s">
        <v>3206</v>
      </c>
      <c r="H1361" t="s">
        <v>51</v>
      </c>
      <c r="I1361" t="s">
        <v>11</v>
      </c>
      <c r="J1361" t="s">
        <v>3198</v>
      </c>
      <c r="K1361" t="s">
        <v>15</v>
      </c>
      <c r="L1361" s="2">
        <v>33</v>
      </c>
      <c r="M1361" t="s">
        <v>3203</v>
      </c>
      <c r="N1361">
        <v>1</v>
      </c>
      <c r="O1361" t="s">
        <v>30</v>
      </c>
      <c r="P1361" t="e">
        <v>#VALUE!</v>
      </c>
      <c r="Q1361" t="e">
        <v>#VALUE!</v>
      </c>
      <c r="R1361" t="s">
        <v>3201</v>
      </c>
      <c r="S1361" t="s">
        <v>13</v>
      </c>
    </row>
    <row r="1362" spans="1:19" x14ac:dyDescent="0.3">
      <c r="A1362" t="s">
        <v>994</v>
      </c>
      <c r="B1362" t="s">
        <v>1596</v>
      </c>
      <c r="C1362" t="s">
        <v>2741</v>
      </c>
      <c r="D1362" t="s">
        <v>3189</v>
      </c>
      <c r="E1362" t="s">
        <v>9</v>
      </c>
      <c r="F1362" s="2">
        <v>34</v>
      </c>
      <c r="G1362" t="s">
        <v>3206</v>
      </c>
      <c r="H1362" t="s">
        <v>69</v>
      </c>
      <c r="I1362" t="s">
        <v>28</v>
      </c>
      <c r="J1362" t="s">
        <v>3212</v>
      </c>
      <c r="K1362" t="s">
        <v>15</v>
      </c>
      <c r="L1362" s="2">
        <v>33</v>
      </c>
      <c r="M1362" t="s">
        <v>3203</v>
      </c>
      <c r="N1362">
        <v>1</v>
      </c>
      <c r="O1362" t="s">
        <v>30</v>
      </c>
      <c r="P1362" t="e">
        <v>#VALUE!</v>
      </c>
      <c r="Q1362" t="e">
        <v>#VALUE!</v>
      </c>
      <c r="R1362" t="s">
        <v>3201</v>
      </c>
      <c r="S1362" t="s">
        <v>13</v>
      </c>
    </row>
    <row r="1363" spans="1:19" x14ac:dyDescent="0.3">
      <c r="A1363" t="s">
        <v>995</v>
      </c>
      <c r="B1363" t="s">
        <v>1596</v>
      </c>
      <c r="C1363" t="s">
        <v>2742</v>
      </c>
      <c r="D1363" t="s">
        <v>3189</v>
      </c>
      <c r="E1363" t="s">
        <v>9</v>
      </c>
      <c r="F1363" s="2">
        <v>36</v>
      </c>
      <c r="G1363" t="s">
        <v>3197</v>
      </c>
      <c r="H1363" t="s">
        <v>69</v>
      </c>
      <c r="I1363" t="s">
        <v>11</v>
      </c>
      <c r="J1363" t="s">
        <v>3198</v>
      </c>
      <c r="K1363" t="s">
        <v>15</v>
      </c>
      <c r="L1363" s="2">
        <v>33</v>
      </c>
      <c r="M1363" t="s">
        <v>3203</v>
      </c>
      <c r="N1363">
        <v>1</v>
      </c>
      <c r="O1363" t="s">
        <v>30</v>
      </c>
      <c r="P1363" t="e">
        <v>#VALUE!</v>
      </c>
      <c r="Q1363" t="e">
        <v>#VALUE!</v>
      </c>
      <c r="R1363" t="s">
        <v>3201</v>
      </c>
      <c r="S1363" t="s">
        <v>13</v>
      </c>
    </row>
    <row r="1364" spans="1:19" x14ac:dyDescent="0.3">
      <c r="A1364" t="s">
        <v>996</v>
      </c>
      <c r="B1364" t="s">
        <v>1596</v>
      </c>
      <c r="C1364" t="s">
        <v>1619</v>
      </c>
      <c r="D1364" t="s">
        <v>3189</v>
      </c>
      <c r="E1364" t="s">
        <v>9</v>
      </c>
      <c r="F1364" s="2">
        <v>32</v>
      </c>
      <c r="G1364" t="s">
        <v>3206</v>
      </c>
      <c r="H1364" t="s">
        <v>69</v>
      </c>
      <c r="I1364" t="s">
        <v>11</v>
      </c>
      <c r="J1364" t="s">
        <v>3198</v>
      </c>
      <c r="K1364" t="s">
        <v>15</v>
      </c>
      <c r="L1364" s="2">
        <v>33</v>
      </c>
      <c r="M1364" t="s">
        <v>3203</v>
      </c>
      <c r="N1364">
        <v>1</v>
      </c>
      <c r="O1364" t="s">
        <v>30</v>
      </c>
      <c r="P1364" t="e">
        <v>#VALUE!</v>
      </c>
      <c r="Q1364" t="e">
        <v>#VALUE!</v>
      </c>
      <c r="R1364" t="s">
        <v>3201</v>
      </c>
      <c r="S1364" t="s">
        <v>13</v>
      </c>
    </row>
    <row r="1365" spans="1:19" x14ac:dyDescent="0.3">
      <c r="A1365" t="s">
        <v>129</v>
      </c>
      <c r="B1365" t="s">
        <v>1596</v>
      </c>
      <c r="C1365" t="s">
        <v>2743</v>
      </c>
      <c r="D1365" t="s">
        <v>3189</v>
      </c>
      <c r="E1365" t="s">
        <v>9</v>
      </c>
      <c r="F1365" s="2">
        <v>26</v>
      </c>
      <c r="G1365" t="s">
        <v>3206</v>
      </c>
      <c r="H1365" t="s">
        <v>69</v>
      </c>
      <c r="I1365" t="s">
        <v>11</v>
      </c>
      <c r="J1365" t="s">
        <v>3198</v>
      </c>
      <c r="K1365" t="s">
        <v>15</v>
      </c>
      <c r="L1365" s="2">
        <v>33</v>
      </c>
      <c r="M1365" t="s">
        <v>3203</v>
      </c>
      <c r="N1365">
        <v>1</v>
      </c>
      <c r="O1365" t="s">
        <v>30</v>
      </c>
      <c r="P1365" t="e">
        <v>#VALUE!</v>
      </c>
      <c r="Q1365" t="e">
        <v>#VALUE!</v>
      </c>
      <c r="R1365" t="s">
        <v>3201</v>
      </c>
      <c r="S1365" t="s">
        <v>13</v>
      </c>
    </row>
    <row r="1366" spans="1:19" x14ac:dyDescent="0.3">
      <c r="A1366" t="s">
        <v>997</v>
      </c>
      <c r="B1366" t="s">
        <v>2719</v>
      </c>
      <c r="C1366" t="s">
        <v>2744</v>
      </c>
      <c r="D1366" t="s">
        <v>3189</v>
      </c>
      <c r="E1366" t="s">
        <v>9</v>
      </c>
      <c r="F1366" s="2">
        <v>27</v>
      </c>
      <c r="G1366" t="s">
        <v>3206</v>
      </c>
      <c r="H1366" t="s">
        <v>70</v>
      </c>
      <c r="I1366" t="s">
        <v>11</v>
      </c>
      <c r="J1366" t="s">
        <v>3198</v>
      </c>
      <c r="K1366" t="s">
        <v>15</v>
      </c>
      <c r="L1366" s="2">
        <v>33</v>
      </c>
      <c r="M1366" t="s">
        <v>3203</v>
      </c>
      <c r="N1366">
        <v>1</v>
      </c>
      <c r="O1366" t="s">
        <v>30</v>
      </c>
      <c r="P1366" t="e">
        <v>#VALUE!</v>
      </c>
      <c r="Q1366" t="e">
        <v>#VALUE!</v>
      </c>
      <c r="R1366" t="s">
        <v>3201</v>
      </c>
      <c r="S1366" t="s">
        <v>13</v>
      </c>
    </row>
    <row r="1367" spans="1:19" x14ac:dyDescent="0.3">
      <c r="A1367" t="s">
        <v>134</v>
      </c>
      <c r="B1367" t="s">
        <v>1596</v>
      </c>
      <c r="C1367" t="s">
        <v>2745</v>
      </c>
      <c r="D1367" t="s">
        <v>3189</v>
      </c>
      <c r="E1367" t="s">
        <v>9</v>
      </c>
      <c r="F1367" s="2">
        <v>53</v>
      </c>
      <c r="G1367" t="s">
        <v>3197</v>
      </c>
      <c r="H1367" t="s">
        <v>69</v>
      </c>
      <c r="I1367" t="s">
        <v>11</v>
      </c>
      <c r="J1367" t="s">
        <v>3198</v>
      </c>
      <c r="K1367" t="s">
        <v>15</v>
      </c>
      <c r="L1367" s="2">
        <v>33</v>
      </c>
      <c r="M1367" t="s">
        <v>3203</v>
      </c>
      <c r="N1367">
        <v>1</v>
      </c>
      <c r="O1367" t="s">
        <v>30</v>
      </c>
      <c r="P1367" t="e">
        <v>#VALUE!</v>
      </c>
      <c r="Q1367" t="e">
        <v>#VALUE!</v>
      </c>
      <c r="R1367" t="s">
        <v>3201</v>
      </c>
      <c r="S1367" t="s">
        <v>13</v>
      </c>
    </row>
    <row r="1368" spans="1:19" x14ac:dyDescent="0.3">
      <c r="A1368" t="s">
        <v>134</v>
      </c>
      <c r="B1368" t="s">
        <v>1596</v>
      </c>
      <c r="C1368" t="s">
        <v>2746</v>
      </c>
      <c r="D1368" t="s">
        <v>3189</v>
      </c>
      <c r="E1368" t="s">
        <v>9</v>
      </c>
      <c r="F1368" s="2">
        <v>55</v>
      </c>
      <c r="G1368" t="s">
        <v>3197</v>
      </c>
      <c r="H1368" t="s">
        <v>69</v>
      </c>
      <c r="I1368" t="s">
        <v>11</v>
      </c>
      <c r="J1368" t="s">
        <v>3198</v>
      </c>
      <c r="K1368" t="s">
        <v>43</v>
      </c>
      <c r="L1368" s="2">
        <v>33</v>
      </c>
      <c r="M1368" t="s">
        <v>3203</v>
      </c>
      <c r="N1368">
        <v>1</v>
      </c>
      <c r="O1368" t="s">
        <v>30</v>
      </c>
      <c r="P1368" t="e">
        <v>#VALUE!</v>
      </c>
      <c r="Q1368" t="e">
        <v>#VALUE!</v>
      </c>
      <c r="R1368" t="s">
        <v>3201</v>
      </c>
      <c r="S1368" t="s">
        <v>13</v>
      </c>
    </row>
    <row r="1369" spans="1:19" x14ac:dyDescent="0.3">
      <c r="A1369" t="s">
        <v>998</v>
      </c>
      <c r="B1369" t="s">
        <v>2719</v>
      </c>
      <c r="C1369" t="s">
        <v>2747</v>
      </c>
      <c r="D1369" t="s">
        <v>3189</v>
      </c>
      <c r="E1369" t="s">
        <v>9</v>
      </c>
      <c r="F1369" s="2">
        <v>33</v>
      </c>
      <c r="G1369" t="s">
        <v>3206</v>
      </c>
      <c r="H1369" t="s">
        <v>70</v>
      </c>
      <c r="I1369" t="s">
        <v>11</v>
      </c>
      <c r="J1369" t="s">
        <v>3198</v>
      </c>
      <c r="K1369" t="s">
        <v>15</v>
      </c>
      <c r="L1369" s="2">
        <v>33</v>
      </c>
      <c r="M1369" t="s">
        <v>3203</v>
      </c>
      <c r="N1369">
        <v>1</v>
      </c>
      <c r="O1369" t="s">
        <v>30</v>
      </c>
      <c r="P1369" t="e">
        <v>#VALUE!</v>
      </c>
      <c r="Q1369" t="e">
        <v>#VALUE!</v>
      </c>
      <c r="R1369" t="s">
        <v>3201</v>
      </c>
      <c r="S1369" t="s">
        <v>13</v>
      </c>
    </row>
    <row r="1370" spans="1:19" x14ac:dyDescent="0.3">
      <c r="A1370" t="s">
        <v>136</v>
      </c>
      <c r="B1370" t="s">
        <v>1596</v>
      </c>
      <c r="C1370" t="s">
        <v>1795</v>
      </c>
      <c r="D1370" t="s">
        <v>3189</v>
      </c>
      <c r="E1370" t="s">
        <v>9</v>
      </c>
      <c r="F1370" s="2">
        <v>35</v>
      </c>
      <c r="G1370" t="s">
        <v>3206</v>
      </c>
      <c r="H1370" t="s">
        <v>51</v>
      </c>
      <c r="I1370" t="s">
        <v>28</v>
      </c>
      <c r="J1370" t="s">
        <v>3212</v>
      </c>
      <c r="K1370" t="s">
        <v>29</v>
      </c>
      <c r="L1370" s="2">
        <v>33</v>
      </c>
      <c r="M1370" t="s">
        <v>3203</v>
      </c>
      <c r="N1370">
        <v>1</v>
      </c>
      <c r="O1370" t="s">
        <v>30</v>
      </c>
      <c r="P1370" t="e">
        <v>#VALUE!</v>
      </c>
      <c r="Q1370" t="e">
        <v>#VALUE!</v>
      </c>
      <c r="R1370" t="s">
        <v>3201</v>
      </c>
      <c r="S1370" t="s">
        <v>13</v>
      </c>
    </row>
    <row r="1371" spans="1:19" x14ac:dyDescent="0.3">
      <c r="A1371" t="s">
        <v>137</v>
      </c>
      <c r="B1371" t="s">
        <v>1596</v>
      </c>
      <c r="C1371" t="s">
        <v>2269</v>
      </c>
      <c r="D1371" t="s">
        <v>3189</v>
      </c>
      <c r="E1371" t="s">
        <v>9</v>
      </c>
      <c r="F1371" s="2">
        <v>24</v>
      </c>
      <c r="G1371" t="s">
        <v>3206</v>
      </c>
      <c r="H1371" t="s">
        <v>51</v>
      </c>
      <c r="I1371" t="s">
        <v>11</v>
      </c>
      <c r="J1371" t="s">
        <v>3198</v>
      </c>
      <c r="K1371" t="s">
        <v>15</v>
      </c>
      <c r="L1371" s="2">
        <v>33</v>
      </c>
      <c r="M1371" t="s">
        <v>3203</v>
      </c>
      <c r="N1371">
        <v>1</v>
      </c>
      <c r="O1371" t="s">
        <v>30</v>
      </c>
      <c r="P1371" t="e">
        <v>#VALUE!</v>
      </c>
      <c r="Q1371" t="e">
        <v>#VALUE!</v>
      </c>
      <c r="R1371" t="s">
        <v>3205</v>
      </c>
      <c r="S1371" t="s">
        <v>16</v>
      </c>
    </row>
    <row r="1372" spans="1:19" x14ac:dyDescent="0.3">
      <c r="A1372" t="s">
        <v>999</v>
      </c>
      <c r="B1372" t="s">
        <v>1596</v>
      </c>
      <c r="C1372" t="s">
        <v>2748</v>
      </c>
      <c r="D1372" t="s">
        <v>3189</v>
      </c>
      <c r="E1372" t="s">
        <v>9</v>
      </c>
      <c r="F1372" s="2">
        <v>31</v>
      </c>
      <c r="G1372" t="s">
        <v>3206</v>
      </c>
      <c r="H1372" t="s">
        <v>69</v>
      </c>
      <c r="I1372" t="s">
        <v>11</v>
      </c>
      <c r="J1372" t="s">
        <v>3198</v>
      </c>
      <c r="K1372" t="s">
        <v>15</v>
      </c>
      <c r="L1372" s="2">
        <v>33</v>
      </c>
      <c r="M1372" t="s">
        <v>3203</v>
      </c>
      <c r="N1372">
        <v>1</v>
      </c>
      <c r="O1372" t="s">
        <v>30</v>
      </c>
      <c r="P1372" t="e">
        <v>#VALUE!</v>
      </c>
      <c r="Q1372" t="e">
        <v>#VALUE!</v>
      </c>
      <c r="R1372" t="s">
        <v>3201</v>
      </c>
      <c r="S1372" t="s">
        <v>13</v>
      </c>
    </row>
    <row r="1373" spans="1:19" x14ac:dyDescent="0.3">
      <c r="A1373" t="s">
        <v>1000</v>
      </c>
      <c r="B1373" t="s">
        <v>1596</v>
      </c>
      <c r="C1373" t="s">
        <v>2749</v>
      </c>
      <c r="D1373" t="s">
        <v>3189</v>
      </c>
      <c r="E1373" t="s">
        <v>9</v>
      </c>
      <c r="F1373" s="2">
        <v>35</v>
      </c>
      <c r="G1373" t="s">
        <v>3206</v>
      </c>
      <c r="H1373" t="s">
        <v>69</v>
      </c>
      <c r="I1373" t="s">
        <v>11</v>
      </c>
      <c r="J1373" t="s">
        <v>3198</v>
      </c>
      <c r="K1373" t="s">
        <v>15</v>
      </c>
      <c r="L1373" s="2">
        <v>33</v>
      </c>
      <c r="M1373" t="s">
        <v>3203</v>
      </c>
      <c r="N1373">
        <v>1</v>
      </c>
      <c r="O1373" t="s">
        <v>30</v>
      </c>
      <c r="P1373" t="e">
        <v>#VALUE!</v>
      </c>
      <c r="Q1373" t="e">
        <v>#VALUE!</v>
      </c>
      <c r="R1373" t="s">
        <v>3201</v>
      </c>
      <c r="S1373" t="s">
        <v>13</v>
      </c>
    </row>
    <row r="1374" spans="1:19" x14ac:dyDescent="0.3">
      <c r="A1374" t="s">
        <v>1001</v>
      </c>
      <c r="B1374" t="s">
        <v>1596</v>
      </c>
      <c r="C1374" t="s">
        <v>1619</v>
      </c>
      <c r="D1374" t="s">
        <v>3189</v>
      </c>
      <c r="E1374" t="s">
        <v>9</v>
      </c>
      <c r="F1374" s="2">
        <v>19</v>
      </c>
      <c r="G1374" t="s">
        <v>3206</v>
      </c>
      <c r="H1374" t="s">
        <v>69</v>
      </c>
      <c r="I1374" t="s">
        <v>11</v>
      </c>
      <c r="J1374" t="s">
        <v>3198</v>
      </c>
      <c r="K1374" t="s">
        <v>15</v>
      </c>
      <c r="L1374" s="2">
        <v>33</v>
      </c>
      <c r="M1374" t="s">
        <v>3203</v>
      </c>
      <c r="N1374">
        <v>1</v>
      </c>
      <c r="O1374" t="s">
        <v>30</v>
      </c>
      <c r="P1374" t="e">
        <v>#VALUE!</v>
      </c>
      <c r="Q1374" t="e">
        <v>#VALUE!</v>
      </c>
      <c r="R1374" t="s">
        <v>3201</v>
      </c>
      <c r="S1374" t="s">
        <v>13</v>
      </c>
    </row>
    <row r="1375" spans="1:19" x14ac:dyDescent="0.3">
      <c r="A1375" t="s">
        <v>1002</v>
      </c>
      <c r="B1375" t="s">
        <v>1596</v>
      </c>
      <c r="C1375" t="s">
        <v>1795</v>
      </c>
      <c r="D1375" t="s">
        <v>3189</v>
      </c>
      <c r="E1375" t="s">
        <v>9</v>
      </c>
      <c r="F1375" s="2">
        <v>51</v>
      </c>
      <c r="G1375" t="s">
        <v>3197</v>
      </c>
      <c r="H1375" t="s">
        <v>51</v>
      </c>
      <c r="I1375" t="s">
        <v>28</v>
      </c>
      <c r="J1375" t="s">
        <v>3212</v>
      </c>
      <c r="K1375" t="s">
        <v>15</v>
      </c>
      <c r="L1375" s="2">
        <v>33</v>
      </c>
      <c r="M1375" t="s">
        <v>3203</v>
      </c>
      <c r="N1375">
        <v>1</v>
      </c>
      <c r="O1375" t="s">
        <v>30</v>
      </c>
      <c r="P1375" t="e">
        <v>#VALUE!</v>
      </c>
      <c r="Q1375" t="e">
        <v>#VALUE!</v>
      </c>
      <c r="R1375" t="s">
        <v>3201</v>
      </c>
      <c r="S1375" t="s">
        <v>13</v>
      </c>
    </row>
    <row r="1376" spans="1:19" x14ac:dyDescent="0.3">
      <c r="A1376" t="s">
        <v>1003</v>
      </c>
      <c r="B1376" t="s">
        <v>1596</v>
      </c>
      <c r="C1376" t="s">
        <v>1945</v>
      </c>
      <c r="D1376" t="s">
        <v>3189</v>
      </c>
      <c r="E1376" t="s">
        <v>9</v>
      </c>
      <c r="F1376" s="2">
        <v>24</v>
      </c>
      <c r="G1376" t="s">
        <v>3206</v>
      </c>
      <c r="H1376" t="s">
        <v>51</v>
      </c>
      <c r="I1376" t="s">
        <v>11</v>
      </c>
      <c r="J1376" t="s">
        <v>3198</v>
      </c>
      <c r="K1376" t="s">
        <v>15</v>
      </c>
      <c r="L1376" s="2">
        <v>33</v>
      </c>
      <c r="M1376" t="s">
        <v>3203</v>
      </c>
      <c r="N1376">
        <v>1</v>
      </c>
      <c r="O1376" t="s">
        <v>30</v>
      </c>
      <c r="P1376" t="e">
        <v>#VALUE!</v>
      </c>
      <c r="Q1376" t="e">
        <v>#VALUE!</v>
      </c>
      <c r="R1376" t="s">
        <v>3201</v>
      </c>
      <c r="S1376" t="s">
        <v>13</v>
      </c>
    </row>
    <row r="1377" spans="1:19" x14ac:dyDescent="0.3">
      <c r="A1377" t="s">
        <v>1004</v>
      </c>
      <c r="B1377" t="s">
        <v>1596</v>
      </c>
      <c r="C1377" t="s">
        <v>2750</v>
      </c>
      <c r="D1377" t="s">
        <v>3189</v>
      </c>
      <c r="E1377" t="s">
        <v>9</v>
      </c>
      <c r="F1377" s="2">
        <v>30</v>
      </c>
      <c r="G1377" t="s">
        <v>3206</v>
      </c>
      <c r="H1377" t="s">
        <v>69</v>
      </c>
      <c r="I1377" t="s">
        <v>11</v>
      </c>
      <c r="J1377" t="s">
        <v>3198</v>
      </c>
      <c r="K1377" t="s">
        <v>15</v>
      </c>
      <c r="L1377" s="2">
        <v>33</v>
      </c>
      <c r="M1377" t="s">
        <v>3203</v>
      </c>
      <c r="N1377">
        <v>1</v>
      </c>
      <c r="O1377" t="s">
        <v>30</v>
      </c>
      <c r="P1377" t="e">
        <v>#VALUE!</v>
      </c>
      <c r="Q1377" t="e">
        <v>#VALUE!</v>
      </c>
      <c r="R1377" t="s">
        <v>3201</v>
      </c>
      <c r="S1377" t="s">
        <v>13</v>
      </c>
    </row>
    <row r="1378" spans="1:19" x14ac:dyDescent="0.3">
      <c r="A1378" t="s">
        <v>1005</v>
      </c>
      <c r="B1378" t="s">
        <v>1596</v>
      </c>
      <c r="C1378" t="s">
        <v>2751</v>
      </c>
      <c r="D1378" t="s">
        <v>3189</v>
      </c>
      <c r="E1378" t="s">
        <v>9</v>
      </c>
      <c r="F1378" s="2">
        <v>30</v>
      </c>
      <c r="G1378" t="s">
        <v>3206</v>
      </c>
      <c r="H1378" t="s">
        <v>51</v>
      </c>
      <c r="I1378" t="s">
        <v>11</v>
      </c>
      <c r="J1378" t="s">
        <v>3198</v>
      </c>
      <c r="K1378" t="s">
        <v>15</v>
      </c>
      <c r="L1378" s="2">
        <v>33</v>
      </c>
      <c r="M1378" t="s">
        <v>3203</v>
      </c>
      <c r="N1378">
        <v>1</v>
      </c>
      <c r="O1378" t="s">
        <v>30</v>
      </c>
      <c r="P1378" t="e">
        <v>#VALUE!</v>
      </c>
      <c r="Q1378" t="e">
        <v>#VALUE!</v>
      </c>
      <c r="R1378" t="s">
        <v>3201</v>
      </c>
      <c r="S1378" t="s">
        <v>13</v>
      </c>
    </row>
    <row r="1379" spans="1:19" x14ac:dyDescent="0.3">
      <c r="A1379" t="s">
        <v>1005</v>
      </c>
      <c r="B1379" t="s">
        <v>1600</v>
      </c>
      <c r="C1379" t="s">
        <v>2553</v>
      </c>
      <c r="D1379" t="s">
        <v>3190</v>
      </c>
      <c r="E1379" t="s">
        <v>14</v>
      </c>
      <c r="F1379" s="2">
        <v>33</v>
      </c>
      <c r="G1379" t="s">
        <v>3206</v>
      </c>
      <c r="H1379" t="s">
        <v>69</v>
      </c>
      <c r="I1379" t="s">
        <v>11</v>
      </c>
      <c r="J1379" t="s">
        <v>3198</v>
      </c>
      <c r="K1379" t="s">
        <v>15</v>
      </c>
      <c r="L1379" s="2">
        <v>33</v>
      </c>
      <c r="M1379" t="s">
        <v>3203</v>
      </c>
      <c r="N1379">
        <v>1</v>
      </c>
      <c r="O1379" t="s">
        <v>30</v>
      </c>
      <c r="P1379" t="e">
        <v>#VALUE!</v>
      </c>
      <c r="Q1379" t="e">
        <v>#VALUE!</v>
      </c>
      <c r="R1379" t="s">
        <v>3205</v>
      </c>
      <c r="S1379" t="s">
        <v>16</v>
      </c>
    </row>
    <row r="1380" spans="1:19" x14ac:dyDescent="0.3">
      <c r="A1380" t="s">
        <v>1006</v>
      </c>
      <c r="B1380" t="s">
        <v>1596</v>
      </c>
      <c r="C1380" t="s">
        <v>1700</v>
      </c>
      <c r="D1380" t="s">
        <v>3189</v>
      </c>
      <c r="E1380" t="s">
        <v>9</v>
      </c>
      <c r="F1380" s="2">
        <v>47</v>
      </c>
      <c r="G1380" t="s">
        <v>3197</v>
      </c>
      <c r="H1380" t="s">
        <v>51</v>
      </c>
      <c r="I1380" t="s">
        <v>11</v>
      </c>
      <c r="J1380" t="s">
        <v>3198</v>
      </c>
      <c r="K1380" t="s">
        <v>15</v>
      </c>
      <c r="L1380" s="2">
        <v>33</v>
      </c>
      <c r="M1380" t="s">
        <v>3203</v>
      </c>
      <c r="N1380">
        <v>1</v>
      </c>
      <c r="O1380" t="s">
        <v>30</v>
      </c>
      <c r="P1380" t="e">
        <v>#VALUE!</v>
      </c>
      <c r="Q1380" t="e">
        <v>#VALUE!</v>
      </c>
      <c r="R1380" t="s">
        <v>3201</v>
      </c>
      <c r="S1380" t="s">
        <v>13</v>
      </c>
    </row>
    <row r="1381" spans="1:19" x14ac:dyDescent="0.3">
      <c r="A1381" t="s">
        <v>1007</v>
      </c>
      <c r="B1381" t="s">
        <v>2719</v>
      </c>
      <c r="C1381" t="s">
        <v>2752</v>
      </c>
      <c r="D1381" t="s">
        <v>3189</v>
      </c>
      <c r="E1381" t="s">
        <v>9</v>
      </c>
      <c r="F1381" s="2">
        <v>22</v>
      </c>
      <c r="G1381" t="s">
        <v>3206</v>
      </c>
      <c r="H1381" t="s">
        <v>70</v>
      </c>
      <c r="I1381" t="s">
        <v>11</v>
      </c>
      <c r="J1381" t="s">
        <v>3198</v>
      </c>
      <c r="K1381" t="s">
        <v>15</v>
      </c>
      <c r="L1381" s="2">
        <v>33</v>
      </c>
      <c r="M1381" t="s">
        <v>3203</v>
      </c>
      <c r="N1381">
        <v>1</v>
      </c>
      <c r="O1381" t="s">
        <v>30</v>
      </c>
      <c r="P1381" t="e">
        <v>#VALUE!</v>
      </c>
      <c r="Q1381" t="e">
        <v>#VALUE!</v>
      </c>
      <c r="R1381" t="s">
        <v>3201</v>
      </c>
      <c r="S1381" t="s">
        <v>13</v>
      </c>
    </row>
    <row r="1382" spans="1:19" x14ac:dyDescent="0.3">
      <c r="A1382" t="s">
        <v>1008</v>
      </c>
      <c r="B1382" t="s">
        <v>1596</v>
      </c>
      <c r="C1382" t="s">
        <v>1700</v>
      </c>
      <c r="D1382" t="s">
        <v>3189</v>
      </c>
      <c r="E1382" t="s">
        <v>9</v>
      </c>
      <c r="F1382" s="2">
        <v>31</v>
      </c>
      <c r="G1382" t="s">
        <v>3206</v>
      </c>
      <c r="H1382" t="s">
        <v>69</v>
      </c>
      <c r="I1382" t="s">
        <v>11</v>
      </c>
      <c r="J1382" t="s">
        <v>3198</v>
      </c>
      <c r="K1382" t="s">
        <v>15</v>
      </c>
      <c r="L1382" s="2">
        <v>33</v>
      </c>
      <c r="M1382" t="s">
        <v>3203</v>
      </c>
      <c r="N1382">
        <v>1</v>
      </c>
      <c r="O1382" t="s">
        <v>30</v>
      </c>
      <c r="P1382" t="e">
        <v>#VALUE!</v>
      </c>
      <c r="Q1382" t="e">
        <v>#VALUE!</v>
      </c>
      <c r="R1382" t="s">
        <v>3201</v>
      </c>
      <c r="S1382" t="s">
        <v>13</v>
      </c>
    </row>
    <row r="1383" spans="1:19" x14ac:dyDescent="0.3">
      <c r="A1383" t="s">
        <v>1008</v>
      </c>
      <c r="B1383" t="s">
        <v>1596</v>
      </c>
      <c r="C1383" t="s">
        <v>2753</v>
      </c>
      <c r="D1383" t="s">
        <v>3189</v>
      </c>
      <c r="E1383" t="s">
        <v>9</v>
      </c>
      <c r="F1383" s="2">
        <v>39</v>
      </c>
      <c r="G1383" t="s">
        <v>3197</v>
      </c>
      <c r="H1383" t="s">
        <v>51</v>
      </c>
      <c r="I1383" t="s">
        <v>11</v>
      </c>
      <c r="J1383" t="s">
        <v>3198</v>
      </c>
      <c r="K1383" t="s">
        <v>15</v>
      </c>
      <c r="L1383" s="2">
        <v>33</v>
      </c>
      <c r="M1383" t="s">
        <v>3203</v>
      </c>
      <c r="N1383">
        <v>1</v>
      </c>
      <c r="O1383" t="s">
        <v>30</v>
      </c>
      <c r="P1383" t="e">
        <v>#VALUE!</v>
      </c>
      <c r="Q1383" t="e">
        <v>#VALUE!</v>
      </c>
      <c r="R1383" t="s">
        <v>3201</v>
      </c>
      <c r="S1383" t="s">
        <v>13</v>
      </c>
    </row>
    <row r="1384" spans="1:19" x14ac:dyDescent="0.3">
      <c r="A1384" t="s">
        <v>1009</v>
      </c>
      <c r="B1384" t="s">
        <v>1596</v>
      </c>
      <c r="C1384" t="s">
        <v>2754</v>
      </c>
      <c r="D1384" t="s">
        <v>3189</v>
      </c>
      <c r="E1384" t="s">
        <v>9</v>
      </c>
      <c r="F1384" s="2">
        <v>40</v>
      </c>
      <c r="G1384" t="s">
        <v>3197</v>
      </c>
      <c r="H1384" t="s">
        <v>69</v>
      </c>
      <c r="I1384" t="s">
        <v>28</v>
      </c>
      <c r="J1384" t="s">
        <v>3212</v>
      </c>
      <c r="K1384" t="s">
        <v>15</v>
      </c>
      <c r="L1384" s="2">
        <v>33</v>
      </c>
      <c r="M1384" t="s">
        <v>3203</v>
      </c>
      <c r="N1384">
        <v>1</v>
      </c>
      <c r="O1384" t="s">
        <v>30</v>
      </c>
      <c r="P1384" t="e">
        <v>#VALUE!</v>
      </c>
      <c r="Q1384" t="e">
        <v>#VALUE!</v>
      </c>
      <c r="R1384" t="s">
        <v>3201</v>
      </c>
      <c r="S1384" t="s">
        <v>13</v>
      </c>
    </row>
    <row r="1385" spans="1:19" x14ac:dyDescent="0.3">
      <c r="A1385" t="s">
        <v>1010</v>
      </c>
      <c r="B1385" t="s">
        <v>1596</v>
      </c>
      <c r="C1385" t="s">
        <v>1824</v>
      </c>
      <c r="D1385" t="s">
        <v>3189</v>
      </c>
      <c r="E1385" t="s">
        <v>9</v>
      </c>
      <c r="F1385" s="2">
        <v>26</v>
      </c>
      <c r="G1385" t="s">
        <v>3206</v>
      </c>
      <c r="H1385" t="s">
        <v>70</v>
      </c>
      <c r="I1385" t="s">
        <v>11</v>
      </c>
      <c r="J1385" t="s">
        <v>3198</v>
      </c>
      <c r="K1385" t="s">
        <v>15</v>
      </c>
      <c r="L1385" s="2">
        <v>33</v>
      </c>
      <c r="M1385" t="s">
        <v>3203</v>
      </c>
      <c r="N1385">
        <v>1</v>
      </c>
      <c r="O1385" t="s">
        <v>30</v>
      </c>
      <c r="P1385" t="e">
        <v>#VALUE!</v>
      </c>
      <c r="Q1385" t="e">
        <v>#VALUE!</v>
      </c>
      <c r="R1385" t="s">
        <v>3201</v>
      </c>
      <c r="S1385" t="s">
        <v>13</v>
      </c>
    </row>
    <row r="1386" spans="1:19" x14ac:dyDescent="0.3">
      <c r="A1386" t="s">
        <v>1011</v>
      </c>
      <c r="B1386" t="s">
        <v>1596</v>
      </c>
      <c r="C1386" t="s">
        <v>2755</v>
      </c>
      <c r="D1386" t="s">
        <v>3189</v>
      </c>
      <c r="E1386" t="s">
        <v>9</v>
      </c>
      <c r="F1386" s="2">
        <v>22</v>
      </c>
      <c r="G1386" t="s">
        <v>3206</v>
      </c>
      <c r="H1386" t="s">
        <v>51</v>
      </c>
      <c r="I1386" t="s">
        <v>11</v>
      </c>
      <c r="J1386" t="s">
        <v>3198</v>
      </c>
      <c r="K1386" t="s">
        <v>15</v>
      </c>
      <c r="L1386" s="2">
        <v>33</v>
      </c>
      <c r="M1386" t="s">
        <v>3203</v>
      </c>
      <c r="N1386">
        <v>1</v>
      </c>
      <c r="O1386" t="s">
        <v>30</v>
      </c>
      <c r="P1386" t="e">
        <v>#VALUE!</v>
      </c>
      <c r="Q1386" t="e">
        <v>#VALUE!</v>
      </c>
      <c r="R1386" t="s">
        <v>3201</v>
      </c>
      <c r="S1386" t="s">
        <v>13</v>
      </c>
    </row>
    <row r="1387" spans="1:19" x14ac:dyDescent="0.3">
      <c r="A1387" t="s">
        <v>1012</v>
      </c>
      <c r="B1387" t="s">
        <v>1596</v>
      </c>
      <c r="C1387" t="s">
        <v>1846</v>
      </c>
      <c r="D1387" t="s">
        <v>3189</v>
      </c>
      <c r="E1387" t="s">
        <v>9</v>
      </c>
      <c r="F1387" s="2">
        <v>31</v>
      </c>
      <c r="G1387" t="s">
        <v>3206</v>
      </c>
      <c r="H1387" t="s">
        <v>51</v>
      </c>
      <c r="I1387" t="s">
        <v>11</v>
      </c>
      <c r="J1387" t="s">
        <v>3198</v>
      </c>
      <c r="K1387" t="s">
        <v>15</v>
      </c>
      <c r="L1387" s="2">
        <v>33</v>
      </c>
      <c r="M1387" t="s">
        <v>3203</v>
      </c>
      <c r="N1387">
        <v>1</v>
      </c>
      <c r="O1387" t="s">
        <v>30</v>
      </c>
      <c r="P1387" t="e">
        <v>#VALUE!</v>
      </c>
      <c r="Q1387" t="e">
        <v>#VALUE!</v>
      </c>
      <c r="R1387" t="s">
        <v>3201</v>
      </c>
      <c r="S1387" t="s">
        <v>13</v>
      </c>
    </row>
    <row r="1388" spans="1:19" x14ac:dyDescent="0.3">
      <c r="A1388" t="s">
        <v>1013</v>
      </c>
      <c r="B1388" t="s">
        <v>1596</v>
      </c>
      <c r="C1388" t="s">
        <v>2756</v>
      </c>
      <c r="D1388" t="s">
        <v>3189</v>
      </c>
      <c r="E1388" t="s">
        <v>9</v>
      </c>
      <c r="F1388" s="2">
        <v>28</v>
      </c>
      <c r="G1388" t="s">
        <v>3206</v>
      </c>
      <c r="H1388" t="s">
        <v>70</v>
      </c>
      <c r="I1388" t="s">
        <v>11</v>
      </c>
      <c r="J1388" t="s">
        <v>3198</v>
      </c>
      <c r="K1388" t="s">
        <v>15</v>
      </c>
      <c r="L1388" s="2">
        <v>33</v>
      </c>
      <c r="M1388" t="s">
        <v>3203</v>
      </c>
      <c r="N1388">
        <v>1</v>
      </c>
      <c r="O1388" t="s">
        <v>30</v>
      </c>
      <c r="P1388" t="e">
        <v>#VALUE!</v>
      </c>
      <c r="Q1388" t="e">
        <v>#VALUE!</v>
      </c>
      <c r="R1388" t="s">
        <v>3201</v>
      </c>
      <c r="S1388" t="s">
        <v>13</v>
      </c>
    </row>
    <row r="1389" spans="1:19" x14ac:dyDescent="0.3">
      <c r="A1389" t="s">
        <v>1014</v>
      </c>
      <c r="B1389" t="s">
        <v>1596</v>
      </c>
      <c r="C1389" t="s">
        <v>2757</v>
      </c>
      <c r="D1389" t="s">
        <v>3189</v>
      </c>
      <c r="E1389" t="s">
        <v>9</v>
      </c>
      <c r="F1389" s="2">
        <v>20</v>
      </c>
      <c r="G1389" t="s">
        <v>3206</v>
      </c>
      <c r="H1389" t="s">
        <v>51</v>
      </c>
      <c r="I1389" t="s">
        <v>11</v>
      </c>
      <c r="J1389" t="s">
        <v>3198</v>
      </c>
      <c r="K1389" t="s">
        <v>15</v>
      </c>
      <c r="L1389" s="2">
        <v>33</v>
      </c>
      <c r="M1389" t="s">
        <v>3203</v>
      </c>
      <c r="N1389">
        <v>1</v>
      </c>
      <c r="O1389" t="s">
        <v>30</v>
      </c>
      <c r="P1389" t="e">
        <v>#VALUE!</v>
      </c>
      <c r="Q1389" t="e">
        <v>#VALUE!</v>
      </c>
      <c r="R1389" t="s">
        <v>3201</v>
      </c>
      <c r="S1389" t="s">
        <v>13</v>
      </c>
    </row>
    <row r="1390" spans="1:19" x14ac:dyDescent="0.3">
      <c r="A1390" t="s">
        <v>1015</v>
      </c>
      <c r="B1390" t="s">
        <v>1596</v>
      </c>
      <c r="C1390" t="s">
        <v>1965</v>
      </c>
      <c r="D1390" t="s">
        <v>3189</v>
      </c>
      <c r="E1390" t="s">
        <v>9</v>
      </c>
      <c r="F1390" s="2">
        <v>20</v>
      </c>
      <c r="G1390" t="s">
        <v>3206</v>
      </c>
      <c r="H1390" t="s">
        <v>51</v>
      </c>
      <c r="I1390" t="s">
        <v>11</v>
      </c>
      <c r="J1390" t="s">
        <v>3198</v>
      </c>
      <c r="K1390" t="s">
        <v>15</v>
      </c>
      <c r="L1390" s="2">
        <v>33</v>
      </c>
      <c r="M1390" t="s">
        <v>3203</v>
      </c>
      <c r="N1390">
        <v>1</v>
      </c>
      <c r="O1390" t="s">
        <v>30</v>
      </c>
      <c r="P1390" t="e">
        <v>#VALUE!</v>
      </c>
      <c r="Q1390" t="e">
        <v>#VALUE!</v>
      </c>
      <c r="R1390" t="s">
        <v>3201</v>
      </c>
      <c r="S1390" t="s">
        <v>13</v>
      </c>
    </row>
    <row r="1391" spans="1:19" x14ac:dyDescent="0.3">
      <c r="A1391" t="s">
        <v>1016</v>
      </c>
      <c r="B1391" t="s">
        <v>1596</v>
      </c>
      <c r="C1391" t="s">
        <v>2758</v>
      </c>
      <c r="D1391" t="s">
        <v>3189</v>
      </c>
      <c r="E1391" t="s">
        <v>9</v>
      </c>
      <c r="F1391" s="2">
        <v>20</v>
      </c>
      <c r="G1391" t="s">
        <v>3206</v>
      </c>
      <c r="H1391" t="s">
        <v>51</v>
      </c>
      <c r="I1391" t="s">
        <v>11</v>
      </c>
      <c r="J1391" t="s">
        <v>3198</v>
      </c>
      <c r="K1391" t="s">
        <v>15</v>
      </c>
      <c r="L1391" s="2">
        <v>33</v>
      </c>
      <c r="M1391" t="s">
        <v>3203</v>
      </c>
      <c r="N1391">
        <v>1</v>
      </c>
      <c r="O1391" t="s">
        <v>30</v>
      </c>
      <c r="P1391" t="e">
        <v>#VALUE!</v>
      </c>
      <c r="Q1391" t="e">
        <v>#VALUE!</v>
      </c>
      <c r="R1391" t="s">
        <v>3205</v>
      </c>
      <c r="S1391" t="s">
        <v>16</v>
      </c>
    </row>
    <row r="1392" spans="1:19" x14ac:dyDescent="0.3">
      <c r="A1392" t="s">
        <v>153</v>
      </c>
      <c r="B1392" t="s">
        <v>1596</v>
      </c>
      <c r="C1392" t="s">
        <v>2759</v>
      </c>
      <c r="D1392" t="s">
        <v>3189</v>
      </c>
      <c r="E1392" t="s">
        <v>9</v>
      </c>
      <c r="F1392" s="2">
        <v>34</v>
      </c>
      <c r="G1392" t="s">
        <v>3206</v>
      </c>
      <c r="H1392" t="s">
        <v>69</v>
      </c>
      <c r="I1392" t="s">
        <v>28</v>
      </c>
      <c r="J1392" t="s">
        <v>3212</v>
      </c>
      <c r="K1392" t="s">
        <v>15</v>
      </c>
      <c r="L1392" s="2">
        <v>33</v>
      </c>
      <c r="M1392" t="s">
        <v>3203</v>
      </c>
      <c r="N1392">
        <v>1</v>
      </c>
      <c r="O1392" t="s">
        <v>30</v>
      </c>
      <c r="P1392" t="e">
        <v>#VALUE!</v>
      </c>
      <c r="Q1392" t="e">
        <v>#VALUE!</v>
      </c>
      <c r="R1392" t="s">
        <v>3201</v>
      </c>
      <c r="S1392" t="s">
        <v>13</v>
      </c>
    </row>
    <row r="1393" spans="1:19" x14ac:dyDescent="0.3">
      <c r="A1393" t="s">
        <v>1017</v>
      </c>
      <c r="B1393" t="s">
        <v>1596</v>
      </c>
      <c r="C1393" t="s">
        <v>2420</v>
      </c>
      <c r="D1393" t="s">
        <v>3189</v>
      </c>
      <c r="E1393" t="s">
        <v>9</v>
      </c>
      <c r="F1393" s="2">
        <v>23</v>
      </c>
      <c r="G1393" t="s">
        <v>3206</v>
      </c>
      <c r="H1393" t="s">
        <v>51</v>
      </c>
      <c r="I1393" t="s">
        <v>11</v>
      </c>
      <c r="J1393" t="s">
        <v>3198</v>
      </c>
      <c r="K1393" t="s">
        <v>15</v>
      </c>
      <c r="L1393" s="2">
        <v>33</v>
      </c>
      <c r="M1393" t="s">
        <v>3203</v>
      </c>
      <c r="N1393">
        <v>1</v>
      </c>
      <c r="O1393" t="s">
        <v>30</v>
      </c>
      <c r="P1393" t="e">
        <v>#VALUE!</v>
      </c>
      <c r="Q1393" t="e">
        <v>#VALUE!</v>
      </c>
      <c r="R1393" t="s">
        <v>3201</v>
      </c>
      <c r="S1393" t="s">
        <v>13</v>
      </c>
    </row>
    <row r="1394" spans="1:19" x14ac:dyDescent="0.3">
      <c r="A1394" t="s">
        <v>1018</v>
      </c>
      <c r="B1394" t="s">
        <v>1596</v>
      </c>
      <c r="C1394" t="s">
        <v>2454</v>
      </c>
      <c r="D1394" t="s">
        <v>3189</v>
      </c>
      <c r="E1394" t="s">
        <v>9</v>
      </c>
      <c r="F1394" s="2">
        <v>28</v>
      </c>
      <c r="G1394" t="s">
        <v>3206</v>
      </c>
      <c r="H1394" t="s">
        <v>51</v>
      </c>
      <c r="I1394" t="s">
        <v>11</v>
      </c>
      <c r="J1394" t="s">
        <v>3198</v>
      </c>
      <c r="K1394" t="s">
        <v>15</v>
      </c>
      <c r="L1394" s="2">
        <v>33</v>
      </c>
      <c r="M1394" t="s">
        <v>3203</v>
      </c>
      <c r="N1394">
        <v>1</v>
      </c>
      <c r="O1394" t="s">
        <v>30</v>
      </c>
      <c r="P1394" t="e">
        <v>#VALUE!</v>
      </c>
      <c r="Q1394" t="e">
        <v>#VALUE!</v>
      </c>
      <c r="R1394" t="s">
        <v>3201</v>
      </c>
      <c r="S1394" t="s">
        <v>13</v>
      </c>
    </row>
    <row r="1395" spans="1:19" x14ac:dyDescent="0.3">
      <c r="A1395" t="s">
        <v>1018</v>
      </c>
      <c r="B1395" t="s">
        <v>1596</v>
      </c>
      <c r="C1395" t="s">
        <v>2760</v>
      </c>
      <c r="D1395" t="s">
        <v>3189</v>
      </c>
      <c r="E1395" t="s">
        <v>9</v>
      </c>
      <c r="F1395" s="2">
        <v>41</v>
      </c>
      <c r="G1395" t="s">
        <v>3197</v>
      </c>
      <c r="H1395" t="s">
        <v>51</v>
      </c>
      <c r="I1395" t="s">
        <v>11</v>
      </c>
      <c r="J1395" t="s">
        <v>3198</v>
      </c>
      <c r="K1395" t="s">
        <v>15</v>
      </c>
      <c r="L1395" s="2">
        <v>33</v>
      </c>
      <c r="M1395" t="s">
        <v>3203</v>
      </c>
      <c r="N1395">
        <v>1</v>
      </c>
      <c r="O1395" t="s">
        <v>30</v>
      </c>
      <c r="P1395" t="e">
        <v>#VALUE!</v>
      </c>
      <c r="Q1395" t="e">
        <v>#VALUE!</v>
      </c>
      <c r="R1395" t="s">
        <v>3201</v>
      </c>
      <c r="S1395" t="s">
        <v>13</v>
      </c>
    </row>
    <row r="1396" spans="1:19" x14ac:dyDescent="0.3">
      <c r="A1396" t="s">
        <v>1019</v>
      </c>
      <c r="B1396" t="s">
        <v>1596</v>
      </c>
      <c r="C1396" t="s">
        <v>2761</v>
      </c>
      <c r="D1396" t="s">
        <v>3189</v>
      </c>
      <c r="E1396" t="s">
        <v>9</v>
      </c>
      <c r="F1396" s="2">
        <v>23</v>
      </c>
      <c r="G1396" t="s">
        <v>3206</v>
      </c>
      <c r="H1396" t="s">
        <v>51</v>
      </c>
      <c r="I1396" t="s">
        <v>11</v>
      </c>
      <c r="J1396" t="s">
        <v>3198</v>
      </c>
      <c r="K1396" t="s">
        <v>15</v>
      </c>
      <c r="L1396" s="2">
        <v>33</v>
      </c>
      <c r="M1396" t="s">
        <v>3203</v>
      </c>
      <c r="N1396">
        <v>1</v>
      </c>
      <c r="O1396" t="s">
        <v>30</v>
      </c>
      <c r="P1396" t="e">
        <v>#VALUE!</v>
      </c>
      <c r="Q1396" t="e">
        <v>#VALUE!</v>
      </c>
      <c r="R1396" t="s">
        <v>3205</v>
      </c>
      <c r="S1396" t="s">
        <v>16</v>
      </c>
    </row>
    <row r="1397" spans="1:19" x14ac:dyDescent="0.3">
      <c r="A1397" t="s">
        <v>1019</v>
      </c>
      <c r="B1397" t="s">
        <v>1596</v>
      </c>
      <c r="C1397" t="s">
        <v>2762</v>
      </c>
      <c r="D1397" t="s">
        <v>3189</v>
      </c>
      <c r="E1397" t="s">
        <v>9</v>
      </c>
      <c r="F1397" s="2">
        <v>26</v>
      </c>
      <c r="G1397" t="s">
        <v>3206</v>
      </c>
      <c r="H1397" t="s">
        <v>51</v>
      </c>
      <c r="I1397" t="s">
        <v>28</v>
      </c>
      <c r="J1397" t="s">
        <v>3212</v>
      </c>
      <c r="K1397" t="s">
        <v>15</v>
      </c>
      <c r="L1397" s="2">
        <v>33</v>
      </c>
      <c r="M1397" t="s">
        <v>3203</v>
      </c>
      <c r="N1397">
        <v>1</v>
      </c>
      <c r="O1397" t="s">
        <v>30</v>
      </c>
      <c r="P1397" t="e">
        <v>#VALUE!</v>
      </c>
      <c r="Q1397" t="e">
        <v>#VALUE!</v>
      </c>
      <c r="R1397" t="s">
        <v>3201</v>
      </c>
      <c r="S1397" t="s">
        <v>13</v>
      </c>
    </row>
    <row r="1398" spans="1:19" x14ac:dyDescent="0.3">
      <c r="A1398" t="s">
        <v>1019</v>
      </c>
      <c r="B1398" t="s">
        <v>1596</v>
      </c>
      <c r="C1398" t="s">
        <v>1857</v>
      </c>
      <c r="D1398" t="s">
        <v>3189</v>
      </c>
      <c r="E1398" t="s">
        <v>9</v>
      </c>
      <c r="F1398" s="2">
        <v>37</v>
      </c>
      <c r="G1398" t="s">
        <v>3197</v>
      </c>
      <c r="H1398" t="s">
        <v>51</v>
      </c>
      <c r="I1398" t="s">
        <v>11</v>
      </c>
      <c r="J1398" t="s">
        <v>3198</v>
      </c>
      <c r="K1398" t="s">
        <v>15</v>
      </c>
      <c r="L1398" s="2">
        <v>33</v>
      </c>
      <c r="M1398" t="s">
        <v>3203</v>
      </c>
      <c r="N1398">
        <v>1</v>
      </c>
      <c r="O1398" t="s">
        <v>30</v>
      </c>
      <c r="P1398" t="e">
        <v>#VALUE!</v>
      </c>
      <c r="Q1398" t="e">
        <v>#VALUE!</v>
      </c>
      <c r="R1398" t="s">
        <v>3201</v>
      </c>
      <c r="S1398" t="s">
        <v>13</v>
      </c>
    </row>
    <row r="1399" spans="1:19" x14ac:dyDescent="0.3">
      <c r="A1399" t="s">
        <v>1020</v>
      </c>
      <c r="B1399" t="s">
        <v>1596</v>
      </c>
      <c r="C1399" t="s">
        <v>1965</v>
      </c>
      <c r="D1399" t="s">
        <v>3189</v>
      </c>
      <c r="E1399" t="s">
        <v>9</v>
      </c>
      <c r="F1399" s="2">
        <v>32</v>
      </c>
      <c r="G1399" t="s">
        <v>3206</v>
      </c>
      <c r="H1399" t="s">
        <v>51</v>
      </c>
      <c r="I1399" t="s">
        <v>11</v>
      </c>
      <c r="J1399" t="s">
        <v>3198</v>
      </c>
      <c r="K1399" t="s">
        <v>29</v>
      </c>
      <c r="L1399" s="2">
        <v>33</v>
      </c>
      <c r="M1399" t="s">
        <v>3203</v>
      </c>
      <c r="N1399">
        <v>1</v>
      </c>
      <c r="O1399" t="s">
        <v>30</v>
      </c>
      <c r="P1399" t="e">
        <v>#VALUE!</v>
      </c>
      <c r="Q1399" t="e">
        <v>#VALUE!</v>
      </c>
      <c r="R1399" t="s">
        <v>3201</v>
      </c>
      <c r="S1399" t="s">
        <v>13</v>
      </c>
    </row>
    <row r="1400" spans="1:19" x14ac:dyDescent="0.3">
      <c r="A1400" t="s">
        <v>1021</v>
      </c>
      <c r="B1400" t="s">
        <v>1596</v>
      </c>
      <c r="C1400" t="s">
        <v>2763</v>
      </c>
      <c r="D1400" t="s">
        <v>3189</v>
      </c>
      <c r="E1400" t="s">
        <v>9</v>
      </c>
      <c r="F1400" s="2">
        <v>22</v>
      </c>
      <c r="G1400" t="s">
        <v>3206</v>
      </c>
      <c r="H1400" t="s">
        <v>51</v>
      </c>
      <c r="I1400" t="s">
        <v>11</v>
      </c>
      <c r="J1400" t="s">
        <v>3198</v>
      </c>
      <c r="K1400" t="s">
        <v>15</v>
      </c>
      <c r="L1400" s="2">
        <v>33</v>
      </c>
      <c r="M1400" t="s">
        <v>3203</v>
      </c>
      <c r="N1400">
        <v>1</v>
      </c>
      <c r="O1400" t="s">
        <v>30</v>
      </c>
      <c r="P1400" t="e">
        <v>#VALUE!</v>
      </c>
      <c r="Q1400" t="e">
        <v>#VALUE!</v>
      </c>
      <c r="R1400" t="s">
        <v>3201</v>
      </c>
      <c r="S1400" t="s">
        <v>13</v>
      </c>
    </row>
    <row r="1401" spans="1:19" x14ac:dyDescent="0.3">
      <c r="A1401" t="s">
        <v>1022</v>
      </c>
      <c r="B1401" t="s">
        <v>1600</v>
      </c>
      <c r="C1401" t="s">
        <v>2515</v>
      </c>
      <c r="D1401" t="s">
        <v>3190</v>
      </c>
      <c r="E1401" t="s">
        <v>14</v>
      </c>
      <c r="F1401" s="2">
        <v>45</v>
      </c>
      <c r="G1401" t="s">
        <v>3197</v>
      </c>
      <c r="H1401" t="s">
        <v>69</v>
      </c>
      <c r="I1401" t="s">
        <v>11</v>
      </c>
      <c r="J1401" t="s">
        <v>3198</v>
      </c>
      <c r="K1401" t="s">
        <v>32</v>
      </c>
      <c r="L1401" s="2">
        <v>33</v>
      </c>
      <c r="M1401" t="s">
        <v>3203</v>
      </c>
      <c r="N1401">
        <v>1</v>
      </c>
      <c r="O1401" t="s">
        <v>30</v>
      </c>
      <c r="P1401" t="e">
        <v>#VALUE!</v>
      </c>
      <c r="Q1401" t="e">
        <v>#VALUE!</v>
      </c>
      <c r="R1401" t="s">
        <v>3205</v>
      </c>
      <c r="S1401" t="s">
        <v>16</v>
      </c>
    </row>
    <row r="1402" spans="1:19" x14ac:dyDescent="0.3">
      <c r="A1402" t="s">
        <v>1023</v>
      </c>
      <c r="B1402" t="s">
        <v>1596</v>
      </c>
      <c r="C1402" t="s">
        <v>2649</v>
      </c>
      <c r="D1402" t="s">
        <v>3189</v>
      </c>
      <c r="E1402" t="s">
        <v>9</v>
      </c>
      <c r="F1402" s="2">
        <v>26</v>
      </c>
      <c r="G1402" t="s">
        <v>3206</v>
      </c>
      <c r="H1402" t="s">
        <v>70</v>
      </c>
      <c r="I1402" t="s">
        <v>11</v>
      </c>
      <c r="J1402" t="s">
        <v>3198</v>
      </c>
      <c r="K1402" t="s">
        <v>15</v>
      </c>
      <c r="L1402" s="2">
        <v>33</v>
      </c>
      <c r="M1402" t="s">
        <v>3203</v>
      </c>
      <c r="N1402">
        <v>1</v>
      </c>
      <c r="O1402" t="s">
        <v>30</v>
      </c>
      <c r="P1402" t="e">
        <v>#VALUE!</v>
      </c>
      <c r="Q1402" t="e">
        <v>#VALUE!</v>
      </c>
      <c r="R1402" t="s">
        <v>3201</v>
      </c>
      <c r="S1402" t="s">
        <v>13</v>
      </c>
    </row>
    <row r="1403" spans="1:19" x14ac:dyDescent="0.3">
      <c r="A1403" t="s">
        <v>1024</v>
      </c>
      <c r="B1403" t="s">
        <v>1596</v>
      </c>
      <c r="C1403" t="s">
        <v>2764</v>
      </c>
      <c r="D1403" t="s">
        <v>3189</v>
      </c>
      <c r="E1403" t="s">
        <v>9</v>
      </c>
      <c r="F1403" s="2">
        <v>30</v>
      </c>
      <c r="G1403" t="s">
        <v>3206</v>
      </c>
      <c r="H1403" t="s">
        <v>69</v>
      </c>
      <c r="I1403" t="s">
        <v>11</v>
      </c>
      <c r="J1403" t="s">
        <v>3198</v>
      </c>
      <c r="K1403" t="s">
        <v>15</v>
      </c>
      <c r="L1403" s="2">
        <v>33</v>
      </c>
      <c r="M1403" t="s">
        <v>3203</v>
      </c>
      <c r="N1403">
        <v>1</v>
      </c>
      <c r="O1403" t="s">
        <v>30</v>
      </c>
      <c r="P1403" t="e">
        <v>#VALUE!</v>
      </c>
      <c r="Q1403" t="e">
        <v>#VALUE!</v>
      </c>
      <c r="R1403" t="s">
        <v>3201</v>
      </c>
      <c r="S1403" t="s">
        <v>13</v>
      </c>
    </row>
    <row r="1404" spans="1:19" x14ac:dyDescent="0.3">
      <c r="A1404" t="s">
        <v>1025</v>
      </c>
      <c r="B1404" t="s">
        <v>1596</v>
      </c>
      <c r="C1404" t="s">
        <v>2765</v>
      </c>
      <c r="D1404" t="s">
        <v>3189</v>
      </c>
      <c r="E1404" t="s">
        <v>9</v>
      </c>
      <c r="F1404" s="2">
        <v>43</v>
      </c>
      <c r="G1404" t="s">
        <v>3197</v>
      </c>
      <c r="H1404" t="s">
        <v>70</v>
      </c>
      <c r="I1404" t="s">
        <v>11</v>
      </c>
      <c r="J1404" t="s">
        <v>3198</v>
      </c>
      <c r="K1404" t="s">
        <v>15</v>
      </c>
      <c r="L1404" s="2">
        <v>33</v>
      </c>
      <c r="M1404" t="s">
        <v>3203</v>
      </c>
      <c r="N1404">
        <v>1</v>
      </c>
      <c r="O1404" t="s">
        <v>30</v>
      </c>
      <c r="P1404" t="e">
        <v>#VALUE!</v>
      </c>
      <c r="Q1404" t="e">
        <v>#VALUE!</v>
      </c>
      <c r="R1404" t="s">
        <v>3201</v>
      </c>
      <c r="S1404" t="s">
        <v>13</v>
      </c>
    </row>
    <row r="1405" spans="1:19" x14ac:dyDescent="0.3">
      <c r="A1405" t="s">
        <v>1026</v>
      </c>
      <c r="B1405" t="s">
        <v>1596</v>
      </c>
      <c r="C1405" t="s">
        <v>2766</v>
      </c>
      <c r="D1405" t="s">
        <v>3189</v>
      </c>
      <c r="E1405" t="s">
        <v>9</v>
      </c>
      <c r="F1405" s="2">
        <v>59</v>
      </c>
      <c r="G1405" t="s">
        <v>3210</v>
      </c>
      <c r="H1405" t="s">
        <v>69</v>
      </c>
      <c r="I1405" t="s">
        <v>11</v>
      </c>
      <c r="J1405" t="s">
        <v>3198</v>
      </c>
      <c r="K1405" t="s">
        <v>43</v>
      </c>
      <c r="L1405" s="2">
        <v>33</v>
      </c>
      <c r="M1405" t="s">
        <v>3203</v>
      </c>
      <c r="N1405">
        <v>1</v>
      </c>
      <c r="O1405" t="s">
        <v>30</v>
      </c>
      <c r="P1405" t="e">
        <v>#VALUE!</v>
      </c>
      <c r="Q1405" t="e">
        <v>#VALUE!</v>
      </c>
      <c r="R1405" t="s">
        <v>3201</v>
      </c>
      <c r="S1405" t="s">
        <v>13</v>
      </c>
    </row>
    <row r="1406" spans="1:19" x14ac:dyDescent="0.3">
      <c r="A1406" t="s">
        <v>1027</v>
      </c>
      <c r="B1406" t="s">
        <v>1596</v>
      </c>
      <c r="C1406" t="s">
        <v>2767</v>
      </c>
      <c r="D1406" t="s">
        <v>3189</v>
      </c>
      <c r="E1406" t="s">
        <v>9</v>
      </c>
      <c r="F1406" s="2">
        <v>27</v>
      </c>
      <c r="G1406" t="s">
        <v>3206</v>
      </c>
      <c r="H1406" t="s">
        <v>70</v>
      </c>
      <c r="I1406" t="s">
        <v>11</v>
      </c>
      <c r="J1406" t="s">
        <v>3198</v>
      </c>
      <c r="K1406" t="s">
        <v>15</v>
      </c>
      <c r="L1406" s="2">
        <v>33</v>
      </c>
      <c r="M1406" t="s">
        <v>3203</v>
      </c>
      <c r="N1406">
        <v>1</v>
      </c>
      <c r="O1406" t="s">
        <v>30</v>
      </c>
      <c r="P1406" t="e">
        <v>#VALUE!</v>
      </c>
      <c r="Q1406" t="e">
        <v>#VALUE!</v>
      </c>
      <c r="R1406" t="s">
        <v>3201</v>
      </c>
      <c r="S1406" t="s">
        <v>13</v>
      </c>
    </row>
    <row r="1407" spans="1:19" x14ac:dyDescent="0.3">
      <c r="A1407" t="s">
        <v>1028</v>
      </c>
      <c r="B1407" t="s">
        <v>1596</v>
      </c>
      <c r="C1407" t="s">
        <v>1716</v>
      </c>
      <c r="D1407" t="s">
        <v>3189</v>
      </c>
      <c r="E1407" t="s">
        <v>9</v>
      </c>
      <c r="F1407" s="2">
        <v>40</v>
      </c>
      <c r="G1407" t="s">
        <v>3197</v>
      </c>
      <c r="H1407" t="s">
        <v>69</v>
      </c>
      <c r="I1407" t="s">
        <v>28</v>
      </c>
      <c r="J1407" t="s">
        <v>3212</v>
      </c>
      <c r="K1407" t="s">
        <v>15</v>
      </c>
      <c r="L1407" s="2">
        <v>33</v>
      </c>
      <c r="M1407" t="s">
        <v>3203</v>
      </c>
      <c r="N1407">
        <v>1</v>
      </c>
      <c r="O1407" t="s">
        <v>30</v>
      </c>
      <c r="P1407" t="e">
        <v>#VALUE!</v>
      </c>
      <c r="Q1407" t="e">
        <v>#VALUE!</v>
      </c>
      <c r="R1407" t="s">
        <v>3201</v>
      </c>
      <c r="S1407" t="s">
        <v>13</v>
      </c>
    </row>
    <row r="1408" spans="1:19" x14ac:dyDescent="0.3">
      <c r="A1408" t="s">
        <v>1029</v>
      </c>
      <c r="B1408" t="s">
        <v>1596</v>
      </c>
      <c r="C1408" t="s">
        <v>2768</v>
      </c>
      <c r="D1408" t="s">
        <v>3189</v>
      </c>
      <c r="E1408" t="s">
        <v>9</v>
      </c>
      <c r="F1408" s="2">
        <v>38</v>
      </c>
      <c r="G1408" t="s">
        <v>3197</v>
      </c>
      <c r="H1408" t="s">
        <v>69</v>
      </c>
      <c r="I1408" t="s">
        <v>11</v>
      </c>
      <c r="J1408" t="s">
        <v>3198</v>
      </c>
      <c r="K1408" t="s">
        <v>15</v>
      </c>
      <c r="L1408" s="2">
        <v>33</v>
      </c>
      <c r="M1408" t="s">
        <v>3203</v>
      </c>
      <c r="N1408">
        <v>1</v>
      </c>
      <c r="O1408" t="s">
        <v>30</v>
      </c>
      <c r="P1408" t="e">
        <v>#VALUE!</v>
      </c>
      <c r="Q1408" t="e">
        <v>#VALUE!</v>
      </c>
      <c r="R1408" t="s">
        <v>3201</v>
      </c>
      <c r="S1408" t="s">
        <v>13</v>
      </c>
    </row>
    <row r="1409" spans="1:19" x14ac:dyDescent="0.3">
      <c r="A1409" t="s">
        <v>1030</v>
      </c>
      <c r="B1409" t="s">
        <v>1596</v>
      </c>
      <c r="C1409" t="s">
        <v>1716</v>
      </c>
      <c r="D1409" t="s">
        <v>3189</v>
      </c>
      <c r="E1409" t="s">
        <v>9</v>
      </c>
      <c r="F1409" s="2">
        <v>33</v>
      </c>
      <c r="G1409" t="s">
        <v>3206</v>
      </c>
      <c r="H1409" t="s">
        <v>69</v>
      </c>
      <c r="I1409" t="s">
        <v>28</v>
      </c>
      <c r="J1409" t="s">
        <v>3212</v>
      </c>
      <c r="K1409" t="s">
        <v>15</v>
      </c>
      <c r="L1409" s="2">
        <v>33</v>
      </c>
      <c r="M1409" t="s">
        <v>3203</v>
      </c>
      <c r="N1409">
        <v>1</v>
      </c>
      <c r="O1409" t="s">
        <v>30</v>
      </c>
      <c r="P1409" t="e">
        <v>#VALUE!</v>
      </c>
      <c r="Q1409" t="e">
        <v>#VALUE!</v>
      </c>
      <c r="R1409" t="s">
        <v>3201</v>
      </c>
      <c r="S1409" t="s">
        <v>13</v>
      </c>
    </row>
    <row r="1410" spans="1:19" x14ac:dyDescent="0.3">
      <c r="A1410" t="s">
        <v>1031</v>
      </c>
      <c r="B1410" t="s">
        <v>1596</v>
      </c>
      <c r="C1410" t="s">
        <v>1704</v>
      </c>
      <c r="D1410" t="s">
        <v>3189</v>
      </c>
      <c r="E1410" t="s">
        <v>9</v>
      </c>
      <c r="F1410" s="2">
        <v>46</v>
      </c>
      <c r="G1410" t="s">
        <v>3197</v>
      </c>
      <c r="H1410" t="s">
        <v>51</v>
      </c>
      <c r="I1410" t="s">
        <v>11</v>
      </c>
      <c r="J1410" t="s">
        <v>3198</v>
      </c>
      <c r="K1410" t="s">
        <v>15</v>
      </c>
      <c r="L1410" s="2">
        <v>33</v>
      </c>
      <c r="M1410" t="s">
        <v>3203</v>
      </c>
      <c r="N1410">
        <v>1</v>
      </c>
      <c r="O1410" t="s">
        <v>30</v>
      </c>
      <c r="P1410" t="e">
        <v>#VALUE!</v>
      </c>
      <c r="Q1410" t="e">
        <v>#VALUE!</v>
      </c>
      <c r="R1410" t="s">
        <v>3201</v>
      </c>
      <c r="S1410" t="s">
        <v>13</v>
      </c>
    </row>
    <row r="1411" spans="1:19" x14ac:dyDescent="0.3">
      <c r="A1411" t="s">
        <v>1032</v>
      </c>
      <c r="B1411" t="s">
        <v>1596</v>
      </c>
      <c r="C1411" t="s">
        <v>2769</v>
      </c>
      <c r="D1411" t="s">
        <v>3189</v>
      </c>
      <c r="E1411" t="s">
        <v>9</v>
      </c>
      <c r="F1411" s="2">
        <v>24</v>
      </c>
      <c r="G1411" t="s">
        <v>3206</v>
      </c>
      <c r="H1411" t="s">
        <v>69</v>
      </c>
      <c r="I1411" t="s">
        <v>11</v>
      </c>
      <c r="J1411" t="s">
        <v>3198</v>
      </c>
      <c r="K1411" t="s">
        <v>15</v>
      </c>
      <c r="L1411" s="2">
        <v>33</v>
      </c>
      <c r="M1411" t="s">
        <v>3203</v>
      </c>
      <c r="N1411">
        <v>1</v>
      </c>
      <c r="O1411" t="s">
        <v>30</v>
      </c>
      <c r="P1411" t="e">
        <v>#VALUE!</v>
      </c>
      <c r="Q1411" t="e">
        <v>#VALUE!</v>
      </c>
      <c r="R1411" t="s">
        <v>3201</v>
      </c>
      <c r="S1411" t="s">
        <v>13</v>
      </c>
    </row>
    <row r="1412" spans="1:19" x14ac:dyDescent="0.3">
      <c r="A1412" t="s">
        <v>1033</v>
      </c>
      <c r="B1412" t="s">
        <v>1602</v>
      </c>
      <c r="C1412" t="s">
        <v>2770</v>
      </c>
      <c r="D1412" t="s">
        <v>3190</v>
      </c>
      <c r="E1412" t="s">
        <v>14</v>
      </c>
      <c r="F1412" s="2">
        <v>31</v>
      </c>
      <c r="G1412" t="s">
        <v>3206</v>
      </c>
      <c r="H1412" t="s">
        <v>70</v>
      </c>
      <c r="I1412" t="s">
        <v>11</v>
      </c>
      <c r="J1412" t="s">
        <v>3198</v>
      </c>
      <c r="K1412" t="s">
        <v>15</v>
      </c>
      <c r="L1412" s="2">
        <v>33</v>
      </c>
      <c r="M1412" t="s">
        <v>3203</v>
      </c>
      <c r="N1412">
        <v>1</v>
      </c>
      <c r="O1412" t="s">
        <v>30</v>
      </c>
      <c r="P1412" t="e">
        <v>#VALUE!</v>
      </c>
      <c r="Q1412" t="e">
        <v>#VALUE!</v>
      </c>
      <c r="R1412" t="s">
        <v>3205</v>
      </c>
      <c r="S1412" t="s">
        <v>16</v>
      </c>
    </row>
    <row r="1413" spans="1:19" x14ac:dyDescent="0.3">
      <c r="A1413" t="s">
        <v>1034</v>
      </c>
      <c r="B1413" t="s">
        <v>1596</v>
      </c>
      <c r="C1413" t="s">
        <v>2771</v>
      </c>
      <c r="D1413" t="s">
        <v>3189</v>
      </c>
      <c r="E1413" t="s">
        <v>9</v>
      </c>
      <c r="F1413" s="2">
        <v>28</v>
      </c>
      <c r="G1413" t="s">
        <v>3206</v>
      </c>
      <c r="H1413" t="s">
        <v>71</v>
      </c>
      <c r="I1413" t="s">
        <v>28</v>
      </c>
      <c r="J1413" t="s">
        <v>3212</v>
      </c>
      <c r="K1413" t="s">
        <v>15</v>
      </c>
      <c r="L1413" s="2">
        <v>33</v>
      </c>
      <c r="M1413" t="s">
        <v>3203</v>
      </c>
      <c r="N1413">
        <v>1</v>
      </c>
      <c r="O1413" t="s">
        <v>30</v>
      </c>
      <c r="P1413" t="e">
        <v>#VALUE!</v>
      </c>
      <c r="Q1413" t="e">
        <v>#VALUE!</v>
      </c>
      <c r="R1413" t="s">
        <v>3205</v>
      </c>
      <c r="S1413" t="s">
        <v>16</v>
      </c>
    </row>
    <row r="1414" spans="1:19" x14ac:dyDescent="0.3">
      <c r="A1414" t="s">
        <v>1035</v>
      </c>
      <c r="B1414" t="s">
        <v>1596</v>
      </c>
      <c r="C1414" t="s">
        <v>1610</v>
      </c>
      <c r="D1414" t="s">
        <v>3189</v>
      </c>
      <c r="E1414" t="s">
        <v>9</v>
      </c>
      <c r="F1414" s="2">
        <v>37</v>
      </c>
      <c r="G1414" t="s">
        <v>3197</v>
      </c>
      <c r="H1414" t="s">
        <v>69</v>
      </c>
      <c r="I1414" t="s">
        <v>11</v>
      </c>
      <c r="J1414" t="s">
        <v>3198</v>
      </c>
      <c r="K1414" t="s">
        <v>15</v>
      </c>
      <c r="L1414" s="2">
        <v>33</v>
      </c>
      <c r="M1414" t="s">
        <v>3203</v>
      </c>
      <c r="N1414">
        <v>1</v>
      </c>
      <c r="O1414" t="s">
        <v>30</v>
      </c>
      <c r="P1414" t="e">
        <v>#VALUE!</v>
      </c>
      <c r="Q1414" t="e">
        <v>#VALUE!</v>
      </c>
      <c r="R1414" t="s">
        <v>3201</v>
      </c>
      <c r="S1414" t="s">
        <v>13</v>
      </c>
    </row>
    <row r="1415" spans="1:19" x14ac:dyDescent="0.3">
      <c r="A1415" t="s">
        <v>1036</v>
      </c>
      <c r="B1415" t="s">
        <v>1596</v>
      </c>
      <c r="C1415" t="s">
        <v>1822</v>
      </c>
      <c r="D1415" t="s">
        <v>3189</v>
      </c>
      <c r="E1415" t="s">
        <v>9</v>
      </c>
      <c r="F1415" s="2">
        <v>36</v>
      </c>
      <c r="G1415" t="s">
        <v>3197</v>
      </c>
      <c r="H1415" t="s">
        <v>69</v>
      </c>
      <c r="I1415" t="s">
        <v>28</v>
      </c>
      <c r="J1415" t="s">
        <v>3212</v>
      </c>
      <c r="K1415" t="s">
        <v>15</v>
      </c>
      <c r="L1415" s="2">
        <v>33</v>
      </c>
      <c r="M1415" t="s">
        <v>3203</v>
      </c>
      <c r="N1415">
        <v>1</v>
      </c>
      <c r="O1415" t="s">
        <v>30</v>
      </c>
      <c r="P1415" t="e">
        <v>#VALUE!</v>
      </c>
      <c r="Q1415" t="e">
        <v>#VALUE!</v>
      </c>
      <c r="R1415" t="s">
        <v>3201</v>
      </c>
      <c r="S1415" t="s">
        <v>13</v>
      </c>
    </row>
    <row r="1416" spans="1:19" x14ac:dyDescent="0.3">
      <c r="A1416" t="s">
        <v>167</v>
      </c>
      <c r="B1416" t="s">
        <v>1596</v>
      </c>
      <c r="C1416" t="s">
        <v>2772</v>
      </c>
      <c r="D1416" t="s">
        <v>3189</v>
      </c>
      <c r="E1416" t="s">
        <v>9</v>
      </c>
      <c r="F1416" s="2">
        <v>39</v>
      </c>
      <c r="G1416" t="s">
        <v>3197</v>
      </c>
      <c r="H1416" t="s">
        <v>51</v>
      </c>
      <c r="I1416" t="s">
        <v>11</v>
      </c>
      <c r="J1416" t="s">
        <v>3198</v>
      </c>
      <c r="K1416" t="s">
        <v>15</v>
      </c>
      <c r="L1416" s="2">
        <v>33</v>
      </c>
      <c r="M1416" t="s">
        <v>3203</v>
      </c>
      <c r="N1416">
        <v>1</v>
      </c>
      <c r="O1416" t="s">
        <v>30</v>
      </c>
      <c r="P1416" t="e">
        <v>#VALUE!</v>
      </c>
      <c r="Q1416" t="e">
        <v>#VALUE!</v>
      </c>
      <c r="R1416" t="s">
        <v>3201</v>
      </c>
      <c r="S1416" t="s">
        <v>13</v>
      </c>
    </row>
    <row r="1417" spans="1:19" x14ac:dyDescent="0.3">
      <c r="A1417" t="s">
        <v>167</v>
      </c>
      <c r="B1417" t="s">
        <v>1596</v>
      </c>
      <c r="C1417" t="s">
        <v>2773</v>
      </c>
      <c r="D1417" t="s">
        <v>3189</v>
      </c>
      <c r="E1417" t="s">
        <v>9</v>
      </c>
      <c r="F1417" s="2">
        <v>29</v>
      </c>
      <c r="G1417" t="s">
        <v>3206</v>
      </c>
      <c r="H1417" t="s">
        <v>71</v>
      </c>
      <c r="I1417" t="s">
        <v>11</v>
      </c>
      <c r="J1417" t="s">
        <v>3198</v>
      </c>
      <c r="K1417" t="s">
        <v>15</v>
      </c>
      <c r="L1417" s="2">
        <v>33</v>
      </c>
      <c r="M1417" t="s">
        <v>3203</v>
      </c>
      <c r="N1417">
        <v>1</v>
      </c>
      <c r="O1417" t="s">
        <v>30</v>
      </c>
      <c r="P1417" t="e">
        <v>#VALUE!</v>
      </c>
      <c r="Q1417" t="e">
        <v>#VALUE!</v>
      </c>
      <c r="R1417" t="s">
        <v>3201</v>
      </c>
      <c r="S1417" t="s">
        <v>13</v>
      </c>
    </row>
    <row r="1418" spans="1:19" x14ac:dyDescent="0.3">
      <c r="A1418" t="s">
        <v>1037</v>
      </c>
      <c r="B1418" t="s">
        <v>1596</v>
      </c>
      <c r="C1418" t="s">
        <v>2774</v>
      </c>
      <c r="D1418" t="s">
        <v>3189</v>
      </c>
      <c r="E1418" t="s">
        <v>9</v>
      </c>
      <c r="F1418" s="2">
        <v>43</v>
      </c>
      <c r="G1418" t="s">
        <v>3197</v>
      </c>
      <c r="H1418" t="s">
        <v>69</v>
      </c>
      <c r="I1418" t="s">
        <v>11</v>
      </c>
      <c r="J1418" t="s">
        <v>3198</v>
      </c>
      <c r="K1418" t="s">
        <v>15</v>
      </c>
      <c r="L1418" s="2">
        <v>33</v>
      </c>
      <c r="M1418" t="s">
        <v>3203</v>
      </c>
      <c r="N1418">
        <v>1</v>
      </c>
      <c r="O1418" t="s">
        <v>30</v>
      </c>
      <c r="P1418" t="e">
        <v>#VALUE!</v>
      </c>
      <c r="Q1418" t="e">
        <v>#VALUE!</v>
      </c>
      <c r="R1418" t="s">
        <v>3201</v>
      </c>
      <c r="S1418" t="s">
        <v>13</v>
      </c>
    </row>
    <row r="1419" spans="1:19" x14ac:dyDescent="0.3">
      <c r="A1419" t="s">
        <v>1038</v>
      </c>
      <c r="B1419" t="s">
        <v>1596</v>
      </c>
      <c r="C1419" t="s">
        <v>1630</v>
      </c>
      <c r="D1419" t="s">
        <v>3189</v>
      </c>
      <c r="E1419" t="s">
        <v>9</v>
      </c>
      <c r="F1419" s="2">
        <v>30</v>
      </c>
      <c r="G1419" t="s">
        <v>3206</v>
      </c>
      <c r="H1419" t="s">
        <v>51</v>
      </c>
      <c r="I1419" t="s">
        <v>11</v>
      </c>
      <c r="J1419" t="s">
        <v>3198</v>
      </c>
      <c r="K1419" t="s">
        <v>15</v>
      </c>
      <c r="L1419" s="2">
        <v>33</v>
      </c>
      <c r="M1419" t="s">
        <v>3203</v>
      </c>
      <c r="N1419">
        <v>1</v>
      </c>
      <c r="O1419" t="s">
        <v>30</v>
      </c>
      <c r="P1419" t="e">
        <v>#VALUE!</v>
      </c>
      <c r="Q1419" t="e">
        <v>#VALUE!</v>
      </c>
      <c r="R1419" t="s">
        <v>3201</v>
      </c>
      <c r="S1419" t="s">
        <v>13</v>
      </c>
    </row>
    <row r="1420" spans="1:19" x14ac:dyDescent="0.3">
      <c r="A1420" t="s">
        <v>1039</v>
      </c>
      <c r="B1420" t="s">
        <v>1596</v>
      </c>
      <c r="C1420" t="s">
        <v>2120</v>
      </c>
      <c r="D1420" t="s">
        <v>3189</v>
      </c>
      <c r="E1420" t="s">
        <v>9</v>
      </c>
      <c r="F1420" s="2">
        <v>52</v>
      </c>
      <c r="G1420" t="s">
        <v>3197</v>
      </c>
      <c r="H1420" t="s">
        <v>69</v>
      </c>
      <c r="I1420" t="s">
        <v>28</v>
      </c>
      <c r="J1420" t="s">
        <v>3212</v>
      </c>
      <c r="K1420" t="s">
        <v>15</v>
      </c>
      <c r="L1420" s="2">
        <v>33</v>
      </c>
      <c r="M1420" t="s">
        <v>3203</v>
      </c>
      <c r="N1420">
        <v>1</v>
      </c>
      <c r="O1420" t="s">
        <v>30</v>
      </c>
      <c r="P1420" t="e">
        <v>#VALUE!</v>
      </c>
      <c r="Q1420" t="e">
        <v>#VALUE!</v>
      </c>
      <c r="R1420" t="s">
        <v>3201</v>
      </c>
      <c r="S1420" t="s">
        <v>13</v>
      </c>
    </row>
    <row r="1421" spans="1:19" x14ac:dyDescent="0.3">
      <c r="A1421" t="s">
        <v>1040</v>
      </c>
      <c r="B1421" t="s">
        <v>1596</v>
      </c>
      <c r="C1421" t="s">
        <v>1671</v>
      </c>
      <c r="D1421" t="s">
        <v>3189</v>
      </c>
      <c r="E1421" t="s">
        <v>9</v>
      </c>
      <c r="F1421" s="2">
        <v>34</v>
      </c>
      <c r="G1421" t="s">
        <v>3206</v>
      </c>
      <c r="H1421" t="s">
        <v>51</v>
      </c>
      <c r="I1421" t="s">
        <v>11</v>
      </c>
      <c r="J1421" t="s">
        <v>3198</v>
      </c>
      <c r="K1421" t="s">
        <v>15</v>
      </c>
      <c r="L1421" s="2">
        <v>33</v>
      </c>
      <c r="M1421" t="s">
        <v>3203</v>
      </c>
      <c r="N1421">
        <v>1</v>
      </c>
      <c r="O1421" t="s">
        <v>30</v>
      </c>
      <c r="P1421" t="e">
        <v>#VALUE!</v>
      </c>
      <c r="Q1421" t="e">
        <v>#VALUE!</v>
      </c>
      <c r="R1421" t="s">
        <v>3201</v>
      </c>
      <c r="S1421" t="s">
        <v>13</v>
      </c>
    </row>
    <row r="1422" spans="1:19" x14ac:dyDescent="0.3">
      <c r="A1422" t="s">
        <v>1041</v>
      </c>
      <c r="B1422" t="s">
        <v>1596</v>
      </c>
      <c r="C1422" t="s">
        <v>2768</v>
      </c>
      <c r="D1422" t="s">
        <v>3189</v>
      </c>
      <c r="E1422" t="s">
        <v>9</v>
      </c>
      <c r="F1422" s="2">
        <v>43</v>
      </c>
      <c r="G1422" t="s">
        <v>3197</v>
      </c>
      <c r="H1422" t="s">
        <v>71</v>
      </c>
      <c r="I1422" t="s">
        <v>11</v>
      </c>
      <c r="J1422" t="s">
        <v>3198</v>
      </c>
      <c r="K1422" t="s">
        <v>15</v>
      </c>
      <c r="L1422" s="2">
        <v>33</v>
      </c>
      <c r="M1422" t="s">
        <v>3203</v>
      </c>
      <c r="N1422">
        <v>1</v>
      </c>
      <c r="O1422" t="s">
        <v>30</v>
      </c>
      <c r="P1422" t="e">
        <v>#VALUE!</v>
      </c>
      <c r="Q1422" t="e">
        <v>#VALUE!</v>
      </c>
      <c r="R1422" t="s">
        <v>3205</v>
      </c>
      <c r="S1422" t="s">
        <v>16</v>
      </c>
    </row>
    <row r="1423" spans="1:19" x14ac:dyDescent="0.3">
      <c r="A1423" t="s">
        <v>1042</v>
      </c>
      <c r="B1423" t="s">
        <v>1596</v>
      </c>
      <c r="C1423" t="s">
        <v>2775</v>
      </c>
      <c r="D1423" t="s">
        <v>3189</v>
      </c>
      <c r="E1423" t="s">
        <v>9</v>
      </c>
      <c r="F1423" s="2">
        <v>22</v>
      </c>
      <c r="G1423" t="s">
        <v>3206</v>
      </c>
      <c r="H1423" t="s">
        <v>69</v>
      </c>
      <c r="I1423" t="s">
        <v>28</v>
      </c>
      <c r="J1423" t="s">
        <v>3212</v>
      </c>
      <c r="K1423" t="s">
        <v>15</v>
      </c>
      <c r="L1423" s="2">
        <v>33</v>
      </c>
      <c r="M1423" t="s">
        <v>3203</v>
      </c>
      <c r="N1423">
        <v>1</v>
      </c>
      <c r="O1423" t="s">
        <v>30</v>
      </c>
      <c r="P1423" t="e">
        <v>#VALUE!</v>
      </c>
      <c r="Q1423" t="e">
        <v>#VALUE!</v>
      </c>
      <c r="R1423" t="s">
        <v>3205</v>
      </c>
      <c r="S1423" t="s">
        <v>16</v>
      </c>
    </row>
    <row r="1424" spans="1:19" x14ac:dyDescent="0.3">
      <c r="A1424" t="s">
        <v>1043</v>
      </c>
      <c r="B1424" t="s">
        <v>1596</v>
      </c>
      <c r="C1424" t="s">
        <v>2776</v>
      </c>
      <c r="D1424" t="s">
        <v>3189</v>
      </c>
      <c r="E1424" t="s">
        <v>9</v>
      </c>
      <c r="F1424" s="2">
        <v>42</v>
      </c>
      <c r="G1424" t="s">
        <v>3197</v>
      </c>
      <c r="H1424" t="s">
        <v>71</v>
      </c>
      <c r="I1424" t="s">
        <v>28</v>
      </c>
      <c r="J1424" t="s">
        <v>3212</v>
      </c>
      <c r="K1424" t="s">
        <v>15</v>
      </c>
      <c r="L1424" s="2">
        <v>33</v>
      </c>
      <c r="M1424" t="s">
        <v>3203</v>
      </c>
      <c r="N1424">
        <v>1</v>
      </c>
      <c r="O1424" t="s">
        <v>30</v>
      </c>
      <c r="P1424" t="e">
        <v>#VALUE!</v>
      </c>
      <c r="Q1424" t="e">
        <v>#VALUE!</v>
      </c>
      <c r="R1424" t="s">
        <v>3205</v>
      </c>
      <c r="S1424" t="s">
        <v>16</v>
      </c>
    </row>
    <row r="1425" spans="1:19" x14ac:dyDescent="0.3">
      <c r="A1425" t="s">
        <v>1044</v>
      </c>
      <c r="B1425" t="s">
        <v>1596</v>
      </c>
      <c r="C1425" t="s">
        <v>1630</v>
      </c>
      <c r="D1425" t="s">
        <v>3189</v>
      </c>
      <c r="E1425" t="s">
        <v>9</v>
      </c>
      <c r="F1425" s="2">
        <v>38</v>
      </c>
      <c r="G1425" t="s">
        <v>3197</v>
      </c>
      <c r="H1425" t="s">
        <v>69</v>
      </c>
      <c r="I1425" t="s">
        <v>11</v>
      </c>
      <c r="J1425" t="s">
        <v>3198</v>
      </c>
      <c r="K1425" t="s">
        <v>15</v>
      </c>
      <c r="L1425" s="2">
        <v>33</v>
      </c>
      <c r="M1425" t="s">
        <v>3203</v>
      </c>
      <c r="N1425">
        <v>1</v>
      </c>
      <c r="O1425" t="s">
        <v>30</v>
      </c>
      <c r="P1425" t="e">
        <v>#VALUE!</v>
      </c>
      <c r="Q1425" t="e">
        <v>#VALUE!</v>
      </c>
      <c r="R1425" t="s">
        <v>3201</v>
      </c>
      <c r="S1425" t="s">
        <v>13</v>
      </c>
    </row>
    <row r="1426" spans="1:19" x14ac:dyDescent="0.3">
      <c r="A1426" t="s">
        <v>1044</v>
      </c>
      <c r="B1426" t="s">
        <v>1596</v>
      </c>
      <c r="C1426" t="s">
        <v>2777</v>
      </c>
      <c r="D1426" t="s">
        <v>3189</v>
      </c>
      <c r="E1426" t="s">
        <v>9</v>
      </c>
      <c r="F1426" s="2">
        <v>31</v>
      </c>
      <c r="G1426" t="s">
        <v>3206</v>
      </c>
      <c r="H1426" t="s">
        <v>69</v>
      </c>
      <c r="I1426" t="s">
        <v>11</v>
      </c>
      <c r="J1426" t="s">
        <v>3198</v>
      </c>
      <c r="K1426" t="s">
        <v>15</v>
      </c>
      <c r="L1426" s="2">
        <v>33</v>
      </c>
      <c r="M1426" t="s">
        <v>3203</v>
      </c>
      <c r="N1426">
        <v>1</v>
      </c>
      <c r="O1426" t="s">
        <v>30</v>
      </c>
      <c r="P1426" t="e">
        <v>#VALUE!</v>
      </c>
      <c r="Q1426" t="e">
        <v>#VALUE!</v>
      </c>
      <c r="R1426" t="s">
        <v>3201</v>
      </c>
      <c r="S1426" t="s">
        <v>13</v>
      </c>
    </row>
    <row r="1427" spans="1:19" x14ac:dyDescent="0.3">
      <c r="A1427" t="s">
        <v>1045</v>
      </c>
      <c r="B1427" t="s">
        <v>1596</v>
      </c>
      <c r="C1427" t="s">
        <v>2778</v>
      </c>
      <c r="D1427" t="s">
        <v>3189</v>
      </c>
      <c r="E1427" t="s">
        <v>9</v>
      </c>
      <c r="F1427" s="2">
        <v>28</v>
      </c>
      <c r="G1427" t="s">
        <v>3206</v>
      </c>
      <c r="H1427" t="s">
        <v>69</v>
      </c>
      <c r="I1427" t="s">
        <v>11</v>
      </c>
      <c r="J1427" t="s">
        <v>3198</v>
      </c>
      <c r="K1427" t="s">
        <v>15</v>
      </c>
      <c r="L1427" s="2">
        <v>33</v>
      </c>
      <c r="M1427" t="s">
        <v>3203</v>
      </c>
      <c r="N1427">
        <v>1</v>
      </c>
      <c r="O1427" t="s">
        <v>30</v>
      </c>
      <c r="P1427" t="e">
        <v>#VALUE!</v>
      </c>
      <c r="Q1427" t="e">
        <v>#VALUE!</v>
      </c>
      <c r="R1427" t="s">
        <v>3201</v>
      </c>
      <c r="S1427" t="s">
        <v>13</v>
      </c>
    </row>
    <row r="1428" spans="1:19" x14ac:dyDescent="0.3">
      <c r="A1428" t="s">
        <v>1046</v>
      </c>
      <c r="B1428" t="s">
        <v>1596</v>
      </c>
      <c r="C1428" t="s">
        <v>2779</v>
      </c>
      <c r="D1428" t="s">
        <v>3189</v>
      </c>
      <c r="E1428" t="s">
        <v>9</v>
      </c>
      <c r="F1428" s="2">
        <v>25</v>
      </c>
      <c r="G1428" t="s">
        <v>3206</v>
      </c>
      <c r="H1428" t="s">
        <v>51</v>
      </c>
      <c r="I1428" t="s">
        <v>11</v>
      </c>
      <c r="J1428" t="s">
        <v>3198</v>
      </c>
      <c r="K1428" t="s">
        <v>15</v>
      </c>
      <c r="L1428" s="2">
        <v>33</v>
      </c>
      <c r="M1428" t="s">
        <v>3203</v>
      </c>
      <c r="N1428">
        <v>1</v>
      </c>
      <c r="O1428" t="s">
        <v>30</v>
      </c>
      <c r="P1428" t="e">
        <v>#VALUE!</v>
      </c>
      <c r="Q1428" t="e">
        <v>#VALUE!</v>
      </c>
      <c r="R1428" t="s">
        <v>3201</v>
      </c>
      <c r="S1428" t="s">
        <v>13</v>
      </c>
    </row>
    <row r="1429" spans="1:19" x14ac:dyDescent="0.3">
      <c r="A1429" t="s">
        <v>1047</v>
      </c>
      <c r="B1429" t="s">
        <v>1596</v>
      </c>
      <c r="C1429" t="s">
        <v>2780</v>
      </c>
      <c r="D1429" t="s">
        <v>3189</v>
      </c>
      <c r="E1429" t="s">
        <v>9</v>
      </c>
      <c r="F1429" s="2">
        <v>31</v>
      </c>
      <c r="G1429" t="s">
        <v>3206</v>
      </c>
      <c r="H1429" t="s">
        <v>69</v>
      </c>
      <c r="I1429" t="s">
        <v>11</v>
      </c>
      <c r="J1429" t="s">
        <v>3198</v>
      </c>
      <c r="K1429" t="s">
        <v>15</v>
      </c>
      <c r="L1429" s="2">
        <v>33</v>
      </c>
      <c r="M1429" t="s">
        <v>3203</v>
      </c>
      <c r="N1429">
        <v>1</v>
      </c>
      <c r="O1429" t="s">
        <v>30</v>
      </c>
      <c r="P1429" t="e">
        <v>#VALUE!</v>
      </c>
      <c r="Q1429" t="e">
        <v>#VALUE!</v>
      </c>
      <c r="R1429" t="s">
        <v>3201</v>
      </c>
      <c r="S1429" t="s">
        <v>13</v>
      </c>
    </row>
    <row r="1430" spans="1:19" x14ac:dyDescent="0.3">
      <c r="A1430" t="s">
        <v>1048</v>
      </c>
      <c r="B1430" t="s">
        <v>1596</v>
      </c>
      <c r="C1430" t="s">
        <v>2781</v>
      </c>
      <c r="D1430" t="s">
        <v>3189</v>
      </c>
      <c r="E1430" t="s">
        <v>9</v>
      </c>
      <c r="F1430" s="2">
        <v>33</v>
      </c>
      <c r="G1430" t="s">
        <v>3206</v>
      </c>
      <c r="H1430" t="s">
        <v>69</v>
      </c>
      <c r="I1430" t="s">
        <v>28</v>
      </c>
      <c r="J1430" t="s">
        <v>3212</v>
      </c>
      <c r="K1430" t="s">
        <v>15</v>
      </c>
      <c r="L1430" s="2">
        <v>33</v>
      </c>
      <c r="M1430" t="s">
        <v>3203</v>
      </c>
      <c r="N1430">
        <v>1</v>
      </c>
      <c r="O1430" t="s">
        <v>30</v>
      </c>
      <c r="P1430" t="e">
        <v>#VALUE!</v>
      </c>
      <c r="Q1430" t="e">
        <v>#VALUE!</v>
      </c>
      <c r="R1430" t="s">
        <v>3201</v>
      </c>
      <c r="S1430" t="s">
        <v>13</v>
      </c>
    </row>
    <row r="1431" spans="1:19" x14ac:dyDescent="0.3">
      <c r="A1431" t="s">
        <v>179</v>
      </c>
      <c r="B1431" t="s">
        <v>1596</v>
      </c>
      <c r="C1431" t="s">
        <v>1700</v>
      </c>
      <c r="D1431" t="s">
        <v>3189</v>
      </c>
      <c r="E1431" t="s">
        <v>9</v>
      </c>
      <c r="F1431" s="2">
        <v>34</v>
      </c>
      <c r="G1431" t="s">
        <v>3206</v>
      </c>
      <c r="H1431" t="s">
        <v>69</v>
      </c>
      <c r="I1431" t="s">
        <v>28</v>
      </c>
      <c r="J1431" t="s">
        <v>3212</v>
      </c>
      <c r="K1431" t="s">
        <v>40</v>
      </c>
      <c r="L1431" s="2">
        <v>33</v>
      </c>
      <c r="M1431" t="s">
        <v>3203</v>
      </c>
      <c r="N1431">
        <v>1</v>
      </c>
      <c r="O1431" t="s">
        <v>30</v>
      </c>
      <c r="P1431" t="e">
        <v>#VALUE!</v>
      </c>
      <c r="Q1431" t="e">
        <v>#VALUE!</v>
      </c>
      <c r="R1431" t="s">
        <v>3205</v>
      </c>
      <c r="S1431" t="s">
        <v>16</v>
      </c>
    </row>
    <row r="1432" spans="1:19" x14ac:dyDescent="0.3">
      <c r="A1432" t="s">
        <v>179</v>
      </c>
      <c r="B1432" t="s">
        <v>1596</v>
      </c>
      <c r="C1432" t="s">
        <v>1610</v>
      </c>
      <c r="D1432" t="s">
        <v>3189</v>
      </c>
      <c r="E1432" t="s">
        <v>9</v>
      </c>
      <c r="F1432" s="2">
        <v>28</v>
      </c>
      <c r="G1432" t="s">
        <v>3206</v>
      </c>
      <c r="H1432" t="s">
        <v>51</v>
      </c>
      <c r="I1432" t="s">
        <v>11</v>
      </c>
      <c r="J1432" t="s">
        <v>3198</v>
      </c>
      <c r="K1432" t="s">
        <v>40</v>
      </c>
      <c r="L1432" s="2">
        <v>33</v>
      </c>
      <c r="M1432" t="s">
        <v>3203</v>
      </c>
      <c r="N1432">
        <v>1</v>
      </c>
      <c r="O1432" t="s">
        <v>30</v>
      </c>
      <c r="P1432" t="e">
        <v>#VALUE!</v>
      </c>
      <c r="Q1432" t="e">
        <v>#VALUE!</v>
      </c>
      <c r="R1432" t="s">
        <v>3201</v>
      </c>
      <c r="S1432" t="s">
        <v>13</v>
      </c>
    </row>
    <row r="1433" spans="1:19" x14ac:dyDescent="0.3">
      <c r="A1433" t="s">
        <v>179</v>
      </c>
      <c r="B1433" t="s">
        <v>1596</v>
      </c>
      <c r="C1433" t="s">
        <v>2782</v>
      </c>
      <c r="D1433" t="s">
        <v>3189</v>
      </c>
      <c r="E1433" t="s">
        <v>9</v>
      </c>
      <c r="F1433" s="2">
        <v>25</v>
      </c>
      <c r="G1433" t="s">
        <v>3206</v>
      </c>
      <c r="H1433" t="s">
        <v>51</v>
      </c>
      <c r="I1433" t="s">
        <v>11</v>
      </c>
      <c r="J1433" t="s">
        <v>3198</v>
      </c>
      <c r="K1433" t="s">
        <v>15</v>
      </c>
      <c r="L1433" s="2">
        <v>33</v>
      </c>
      <c r="M1433" t="s">
        <v>3203</v>
      </c>
      <c r="N1433">
        <v>1</v>
      </c>
      <c r="O1433" t="s">
        <v>30</v>
      </c>
      <c r="P1433" t="e">
        <v>#VALUE!</v>
      </c>
      <c r="Q1433" t="e">
        <v>#VALUE!</v>
      </c>
      <c r="R1433" t="s">
        <v>3201</v>
      </c>
      <c r="S1433" t="s">
        <v>13</v>
      </c>
    </row>
    <row r="1434" spans="1:19" x14ac:dyDescent="0.3">
      <c r="A1434" t="s">
        <v>179</v>
      </c>
      <c r="B1434" t="s">
        <v>1596</v>
      </c>
      <c r="C1434" t="s">
        <v>2074</v>
      </c>
      <c r="D1434" t="s">
        <v>3189</v>
      </c>
      <c r="E1434" t="s">
        <v>9</v>
      </c>
      <c r="F1434" s="2">
        <v>41</v>
      </c>
      <c r="G1434" t="s">
        <v>3197</v>
      </c>
      <c r="H1434" t="s">
        <v>69</v>
      </c>
      <c r="I1434" t="s">
        <v>28</v>
      </c>
      <c r="J1434" t="s">
        <v>3212</v>
      </c>
      <c r="K1434" t="s">
        <v>15</v>
      </c>
      <c r="L1434" s="2">
        <v>33</v>
      </c>
      <c r="M1434" t="s">
        <v>3203</v>
      </c>
      <c r="N1434">
        <v>1</v>
      </c>
      <c r="O1434" t="s">
        <v>30</v>
      </c>
      <c r="P1434" t="e">
        <v>#VALUE!</v>
      </c>
      <c r="Q1434" t="e">
        <v>#VALUE!</v>
      </c>
      <c r="R1434" t="s">
        <v>3201</v>
      </c>
      <c r="S1434" t="s">
        <v>13</v>
      </c>
    </row>
    <row r="1435" spans="1:19" x14ac:dyDescent="0.3">
      <c r="A1435" t="s">
        <v>181</v>
      </c>
      <c r="B1435" t="s">
        <v>1596</v>
      </c>
      <c r="C1435" t="s">
        <v>2783</v>
      </c>
      <c r="D1435" t="s">
        <v>3189</v>
      </c>
      <c r="E1435" t="s">
        <v>9</v>
      </c>
      <c r="F1435" s="2">
        <v>34</v>
      </c>
      <c r="G1435" t="s">
        <v>3206</v>
      </c>
      <c r="H1435" t="s">
        <v>69</v>
      </c>
      <c r="I1435" t="s">
        <v>11</v>
      </c>
      <c r="J1435" t="s">
        <v>3198</v>
      </c>
      <c r="K1435" t="s">
        <v>15</v>
      </c>
      <c r="L1435" s="2">
        <v>33</v>
      </c>
      <c r="M1435" t="s">
        <v>3203</v>
      </c>
      <c r="N1435">
        <v>1</v>
      </c>
      <c r="O1435" t="s">
        <v>30</v>
      </c>
      <c r="P1435" t="e">
        <v>#VALUE!</v>
      </c>
      <c r="Q1435" t="e">
        <v>#VALUE!</v>
      </c>
      <c r="R1435" t="s">
        <v>3201</v>
      </c>
      <c r="S1435" t="s">
        <v>13</v>
      </c>
    </row>
    <row r="1436" spans="1:19" x14ac:dyDescent="0.3">
      <c r="A1436" t="s">
        <v>1049</v>
      </c>
      <c r="B1436" t="s">
        <v>1596</v>
      </c>
      <c r="C1436" t="s">
        <v>2692</v>
      </c>
      <c r="D1436" t="s">
        <v>3189</v>
      </c>
      <c r="E1436" t="s">
        <v>9</v>
      </c>
      <c r="F1436" s="2">
        <v>26</v>
      </c>
      <c r="G1436" t="s">
        <v>3206</v>
      </c>
      <c r="H1436" t="s">
        <v>71</v>
      </c>
      <c r="I1436" t="s">
        <v>11</v>
      </c>
      <c r="J1436" t="s">
        <v>3198</v>
      </c>
      <c r="K1436" t="s">
        <v>15</v>
      </c>
      <c r="L1436" s="2">
        <v>33</v>
      </c>
      <c r="M1436" t="s">
        <v>3203</v>
      </c>
      <c r="N1436">
        <v>1</v>
      </c>
      <c r="O1436" t="s">
        <v>30</v>
      </c>
      <c r="P1436" t="e">
        <v>#VALUE!</v>
      </c>
      <c r="Q1436" t="e">
        <v>#VALUE!</v>
      </c>
      <c r="R1436" t="s">
        <v>3205</v>
      </c>
      <c r="S1436" t="s">
        <v>16</v>
      </c>
    </row>
    <row r="1437" spans="1:19" x14ac:dyDescent="0.3">
      <c r="A1437" t="s">
        <v>1050</v>
      </c>
      <c r="B1437" t="s">
        <v>1596</v>
      </c>
      <c r="C1437" t="s">
        <v>2785</v>
      </c>
      <c r="D1437" t="s">
        <v>3189</v>
      </c>
      <c r="E1437" t="s">
        <v>9</v>
      </c>
      <c r="F1437" s="2">
        <v>22</v>
      </c>
      <c r="G1437" t="s">
        <v>3206</v>
      </c>
      <c r="H1437" t="s">
        <v>69</v>
      </c>
      <c r="I1437" t="s">
        <v>11</v>
      </c>
      <c r="J1437" t="s">
        <v>3198</v>
      </c>
      <c r="K1437" t="s">
        <v>15</v>
      </c>
      <c r="L1437" s="2">
        <v>33</v>
      </c>
      <c r="M1437" t="s">
        <v>3203</v>
      </c>
      <c r="N1437">
        <v>1</v>
      </c>
      <c r="O1437" t="s">
        <v>30</v>
      </c>
      <c r="P1437" t="e">
        <v>#VALUE!</v>
      </c>
      <c r="Q1437" t="e">
        <v>#VALUE!</v>
      </c>
      <c r="R1437" t="s">
        <v>3201</v>
      </c>
      <c r="S1437" t="s">
        <v>13</v>
      </c>
    </row>
    <row r="1438" spans="1:19" x14ac:dyDescent="0.3">
      <c r="A1438" t="s">
        <v>1051</v>
      </c>
      <c r="B1438" t="s">
        <v>1596</v>
      </c>
      <c r="C1438" t="s">
        <v>2786</v>
      </c>
      <c r="D1438" t="s">
        <v>3189</v>
      </c>
      <c r="E1438" t="s">
        <v>9</v>
      </c>
      <c r="F1438" s="2">
        <v>37</v>
      </c>
      <c r="G1438" t="s">
        <v>3197</v>
      </c>
      <c r="H1438" t="s">
        <v>69</v>
      </c>
      <c r="I1438" t="s">
        <v>11</v>
      </c>
      <c r="J1438" t="s">
        <v>3198</v>
      </c>
      <c r="K1438" t="s">
        <v>15</v>
      </c>
      <c r="L1438" s="2">
        <v>33</v>
      </c>
      <c r="M1438" t="s">
        <v>3203</v>
      </c>
      <c r="N1438">
        <v>1</v>
      </c>
      <c r="O1438" t="s">
        <v>30</v>
      </c>
      <c r="P1438" t="e">
        <v>#VALUE!</v>
      </c>
      <c r="Q1438" t="e">
        <v>#VALUE!</v>
      </c>
      <c r="R1438" t="s">
        <v>3201</v>
      </c>
      <c r="S1438" t="s">
        <v>13</v>
      </c>
    </row>
    <row r="1439" spans="1:19" x14ac:dyDescent="0.3">
      <c r="A1439" t="s">
        <v>1052</v>
      </c>
      <c r="B1439" t="s">
        <v>1596</v>
      </c>
      <c r="C1439" t="s">
        <v>2787</v>
      </c>
      <c r="D1439" t="s">
        <v>3189</v>
      </c>
      <c r="E1439" t="s">
        <v>9</v>
      </c>
      <c r="F1439" s="2">
        <v>21</v>
      </c>
      <c r="G1439" t="s">
        <v>3206</v>
      </c>
      <c r="H1439" t="s">
        <v>69</v>
      </c>
      <c r="I1439" t="s">
        <v>28</v>
      </c>
      <c r="J1439" t="s">
        <v>3212</v>
      </c>
      <c r="K1439" t="s">
        <v>15</v>
      </c>
      <c r="L1439" s="2">
        <v>33</v>
      </c>
      <c r="M1439" t="s">
        <v>3203</v>
      </c>
      <c r="N1439">
        <v>1</v>
      </c>
      <c r="O1439" t="s">
        <v>30</v>
      </c>
      <c r="P1439" t="e">
        <v>#VALUE!</v>
      </c>
      <c r="Q1439" t="e">
        <v>#VALUE!</v>
      </c>
      <c r="R1439" t="s">
        <v>3201</v>
      </c>
      <c r="S1439" t="s">
        <v>13</v>
      </c>
    </row>
    <row r="1440" spans="1:19" x14ac:dyDescent="0.3">
      <c r="A1440" t="s">
        <v>1053</v>
      </c>
      <c r="B1440" t="s">
        <v>1596</v>
      </c>
      <c r="C1440" t="s">
        <v>2259</v>
      </c>
      <c r="D1440" t="s">
        <v>3189</v>
      </c>
      <c r="E1440" t="s">
        <v>9</v>
      </c>
      <c r="F1440" s="2">
        <v>18</v>
      </c>
      <c r="G1440" t="s">
        <v>3206</v>
      </c>
      <c r="H1440" t="s">
        <v>69</v>
      </c>
      <c r="I1440" t="s">
        <v>11</v>
      </c>
      <c r="J1440" t="s">
        <v>3198</v>
      </c>
      <c r="K1440" t="s">
        <v>15</v>
      </c>
      <c r="L1440" s="2">
        <v>33</v>
      </c>
      <c r="M1440" t="s">
        <v>3203</v>
      </c>
      <c r="N1440">
        <v>1</v>
      </c>
      <c r="O1440" t="s">
        <v>30</v>
      </c>
      <c r="P1440" t="e">
        <v>#VALUE!</v>
      </c>
      <c r="Q1440" t="e">
        <v>#VALUE!</v>
      </c>
      <c r="R1440" t="s">
        <v>3205</v>
      </c>
      <c r="S1440" t="s">
        <v>16</v>
      </c>
    </row>
    <row r="1441" spans="1:19" x14ac:dyDescent="0.3">
      <c r="A1441" t="s">
        <v>184</v>
      </c>
      <c r="B1441" t="s">
        <v>1596</v>
      </c>
      <c r="C1441" t="s">
        <v>2788</v>
      </c>
      <c r="D1441" t="s">
        <v>3189</v>
      </c>
      <c r="E1441" t="s">
        <v>9</v>
      </c>
      <c r="F1441" s="2">
        <v>30</v>
      </c>
      <c r="G1441" t="s">
        <v>3206</v>
      </c>
      <c r="H1441" t="s">
        <v>69</v>
      </c>
      <c r="I1441" t="s">
        <v>28</v>
      </c>
      <c r="J1441" t="s">
        <v>3212</v>
      </c>
      <c r="K1441" t="s">
        <v>15</v>
      </c>
      <c r="L1441" s="2">
        <v>33</v>
      </c>
      <c r="M1441" t="s">
        <v>3203</v>
      </c>
      <c r="N1441">
        <v>1</v>
      </c>
      <c r="O1441" t="s">
        <v>30</v>
      </c>
      <c r="P1441" t="e">
        <v>#VALUE!</v>
      </c>
      <c r="Q1441" t="e">
        <v>#VALUE!</v>
      </c>
      <c r="R1441" t="s">
        <v>3201</v>
      </c>
      <c r="S1441" t="s">
        <v>13</v>
      </c>
    </row>
    <row r="1442" spans="1:19" x14ac:dyDescent="0.3">
      <c r="A1442" t="s">
        <v>184</v>
      </c>
      <c r="B1442" t="s">
        <v>1596</v>
      </c>
      <c r="C1442" t="s">
        <v>1619</v>
      </c>
      <c r="D1442" t="s">
        <v>3189</v>
      </c>
      <c r="E1442" t="s">
        <v>9</v>
      </c>
      <c r="F1442" s="2">
        <v>31</v>
      </c>
      <c r="G1442" t="s">
        <v>3206</v>
      </c>
      <c r="H1442" t="s">
        <v>69</v>
      </c>
      <c r="I1442" t="s">
        <v>28</v>
      </c>
      <c r="J1442" t="s">
        <v>3212</v>
      </c>
      <c r="K1442" t="s">
        <v>37</v>
      </c>
      <c r="L1442" s="2">
        <v>33</v>
      </c>
      <c r="M1442" t="s">
        <v>3203</v>
      </c>
      <c r="N1442">
        <v>1</v>
      </c>
      <c r="O1442" t="s">
        <v>30</v>
      </c>
      <c r="P1442" t="e">
        <v>#VALUE!</v>
      </c>
      <c r="Q1442" t="e">
        <v>#VALUE!</v>
      </c>
      <c r="R1442" t="s">
        <v>3205</v>
      </c>
      <c r="S1442" t="s">
        <v>16</v>
      </c>
    </row>
    <row r="1443" spans="1:19" x14ac:dyDescent="0.3">
      <c r="A1443" t="s">
        <v>1054</v>
      </c>
      <c r="B1443" t="s">
        <v>1596</v>
      </c>
      <c r="C1443" t="s">
        <v>2789</v>
      </c>
      <c r="D1443" t="s">
        <v>3189</v>
      </c>
      <c r="E1443" t="s">
        <v>9</v>
      </c>
      <c r="F1443" s="2">
        <v>20</v>
      </c>
      <c r="G1443" t="s">
        <v>3206</v>
      </c>
      <c r="H1443" t="s">
        <v>69</v>
      </c>
      <c r="I1443" t="s">
        <v>11</v>
      </c>
      <c r="J1443" t="s">
        <v>3198</v>
      </c>
      <c r="K1443" t="s">
        <v>15</v>
      </c>
      <c r="L1443" s="2">
        <v>33</v>
      </c>
      <c r="M1443" t="s">
        <v>3203</v>
      </c>
      <c r="N1443">
        <v>1</v>
      </c>
      <c r="O1443" t="s">
        <v>30</v>
      </c>
      <c r="P1443" t="e">
        <v>#VALUE!</v>
      </c>
      <c r="Q1443" t="e">
        <v>#VALUE!</v>
      </c>
      <c r="R1443" t="s">
        <v>3205</v>
      </c>
      <c r="S1443" t="s">
        <v>16</v>
      </c>
    </row>
    <row r="1444" spans="1:19" x14ac:dyDescent="0.3">
      <c r="A1444" t="s">
        <v>1055</v>
      </c>
      <c r="B1444" t="s">
        <v>1596</v>
      </c>
      <c r="C1444" t="s">
        <v>2790</v>
      </c>
      <c r="D1444" t="s">
        <v>3189</v>
      </c>
      <c r="E1444" t="s">
        <v>9</v>
      </c>
      <c r="F1444" s="2">
        <v>29</v>
      </c>
      <c r="G1444" t="s">
        <v>3206</v>
      </c>
      <c r="H1444" t="s">
        <v>69</v>
      </c>
      <c r="I1444" t="s">
        <v>11</v>
      </c>
      <c r="J1444" t="s">
        <v>3198</v>
      </c>
      <c r="K1444" t="s">
        <v>15</v>
      </c>
      <c r="L1444" s="2">
        <v>33</v>
      </c>
      <c r="M1444" t="s">
        <v>3203</v>
      </c>
      <c r="N1444">
        <v>1</v>
      </c>
      <c r="O1444" t="s">
        <v>30</v>
      </c>
      <c r="P1444" t="e">
        <v>#VALUE!</v>
      </c>
      <c r="Q1444" t="e">
        <v>#VALUE!</v>
      </c>
      <c r="R1444" t="s">
        <v>3201</v>
      </c>
      <c r="S1444" t="s">
        <v>13</v>
      </c>
    </row>
    <row r="1445" spans="1:19" x14ac:dyDescent="0.3">
      <c r="A1445" t="s">
        <v>1056</v>
      </c>
      <c r="B1445" t="s">
        <v>1596</v>
      </c>
      <c r="C1445" t="s">
        <v>2791</v>
      </c>
      <c r="D1445" t="s">
        <v>3189</v>
      </c>
      <c r="E1445" t="s">
        <v>9</v>
      </c>
      <c r="F1445" s="2">
        <v>35</v>
      </c>
      <c r="G1445" t="s">
        <v>3206</v>
      </c>
      <c r="H1445" t="s">
        <v>51</v>
      </c>
      <c r="I1445" t="s">
        <v>11</v>
      </c>
      <c r="J1445" t="s">
        <v>3198</v>
      </c>
      <c r="K1445" t="s">
        <v>15</v>
      </c>
      <c r="L1445" s="2">
        <v>33</v>
      </c>
      <c r="M1445" t="s">
        <v>3203</v>
      </c>
      <c r="N1445">
        <v>1</v>
      </c>
      <c r="O1445" t="s">
        <v>30</v>
      </c>
      <c r="P1445" t="e">
        <v>#VALUE!</v>
      </c>
      <c r="Q1445" t="e">
        <v>#VALUE!</v>
      </c>
      <c r="R1445" t="s">
        <v>3201</v>
      </c>
      <c r="S1445" t="s">
        <v>13</v>
      </c>
    </row>
    <row r="1446" spans="1:19" x14ac:dyDescent="0.3">
      <c r="A1446" t="s">
        <v>1057</v>
      </c>
      <c r="B1446" t="s">
        <v>1596</v>
      </c>
      <c r="C1446" t="s">
        <v>2692</v>
      </c>
      <c r="D1446" t="s">
        <v>3189</v>
      </c>
      <c r="E1446" t="s">
        <v>9</v>
      </c>
      <c r="F1446" s="2">
        <v>35</v>
      </c>
      <c r="G1446" t="s">
        <v>3206</v>
      </c>
      <c r="H1446" t="s">
        <v>51</v>
      </c>
      <c r="I1446" t="s">
        <v>11</v>
      </c>
      <c r="J1446" t="s">
        <v>3198</v>
      </c>
      <c r="K1446" t="s">
        <v>15</v>
      </c>
      <c r="L1446" s="2">
        <v>33</v>
      </c>
      <c r="M1446" t="s">
        <v>3203</v>
      </c>
      <c r="N1446">
        <v>1</v>
      </c>
      <c r="O1446" t="s">
        <v>30</v>
      </c>
      <c r="P1446" t="e">
        <v>#VALUE!</v>
      </c>
      <c r="Q1446" t="e">
        <v>#VALUE!</v>
      </c>
      <c r="R1446" t="s">
        <v>3201</v>
      </c>
      <c r="S1446" t="s">
        <v>13</v>
      </c>
    </row>
    <row r="1447" spans="1:19" x14ac:dyDescent="0.3">
      <c r="A1447" t="s">
        <v>1058</v>
      </c>
      <c r="B1447" t="s">
        <v>1596</v>
      </c>
      <c r="C1447" t="s">
        <v>1610</v>
      </c>
      <c r="D1447" t="s">
        <v>3189</v>
      </c>
      <c r="E1447" t="s">
        <v>9</v>
      </c>
      <c r="F1447" s="2">
        <v>23</v>
      </c>
      <c r="G1447" t="s">
        <v>3206</v>
      </c>
      <c r="H1447" t="s">
        <v>69</v>
      </c>
      <c r="I1447" t="s">
        <v>11</v>
      </c>
      <c r="J1447" t="s">
        <v>3198</v>
      </c>
      <c r="K1447" t="s">
        <v>15</v>
      </c>
      <c r="L1447" s="2">
        <v>33</v>
      </c>
      <c r="M1447" t="s">
        <v>3203</v>
      </c>
      <c r="N1447">
        <v>1</v>
      </c>
      <c r="O1447" t="s">
        <v>30</v>
      </c>
      <c r="P1447" t="e">
        <v>#VALUE!</v>
      </c>
      <c r="Q1447" t="e">
        <v>#VALUE!</v>
      </c>
      <c r="R1447" t="s">
        <v>3201</v>
      </c>
      <c r="S1447" t="s">
        <v>13</v>
      </c>
    </row>
    <row r="1448" spans="1:19" x14ac:dyDescent="0.3">
      <c r="A1448" t="s">
        <v>189</v>
      </c>
      <c r="B1448" t="s">
        <v>1596</v>
      </c>
      <c r="C1448" t="s">
        <v>2792</v>
      </c>
      <c r="D1448" t="s">
        <v>3189</v>
      </c>
      <c r="E1448" t="s">
        <v>9</v>
      </c>
      <c r="F1448" s="2">
        <v>22</v>
      </c>
      <c r="G1448" t="s">
        <v>3206</v>
      </c>
      <c r="H1448" t="s">
        <v>69</v>
      </c>
      <c r="I1448" t="s">
        <v>11</v>
      </c>
      <c r="J1448" t="s">
        <v>3198</v>
      </c>
      <c r="K1448" t="s">
        <v>15</v>
      </c>
      <c r="L1448" s="2">
        <v>33</v>
      </c>
      <c r="M1448" t="s">
        <v>3203</v>
      </c>
      <c r="N1448">
        <v>1</v>
      </c>
      <c r="O1448" t="s">
        <v>30</v>
      </c>
      <c r="P1448" t="e">
        <v>#VALUE!</v>
      </c>
      <c r="Q1448" t="e">
        <v>#VALUE!</v>
      </c>
      <c r="R1448" t="s">
        <v>3201</v>
      </c>
      <c r="S1448" t="s">
        <v>13</v>
      </c>
    </row>
    <row r="1449" spans="1:19" x14ac:dyDescent="0.3">
      <c r="A1449" t="s">
        <v>189</v>
      </c>
      <c r="B1449" t="s">
        <v>1596</v>
      </c>
      <c r="C1449" t="s">
        <v>1716</v>
      </c>
      <c r="D1449" t="s">
        <v>3189</v>
      </c>
      <c r="E1449" t="s">
        <v>9</v>
      </c>
      <c r="F1449" s="2">
        <v>31</v>
      </c>
      <c r="G1449" t="s">
        <v>3206</v>
      </c>
      <c r="H1449" t="s">
        <v>51</v>
      </c>
      <c r="I1449" t="s">
        <v>11</v>
      </c>
      <c r="J1449" t="s">
        <v>3198</v>
      </c>
      <c r="K1449" t="s">
        <v>15</v>
      </c>
      <c r="L1449" s="2">
        <v>33</v>
      </c>
      <c r="M1449" t="s">
        <v>3203</v>
      </c>
      <c r="N1449">
        <v>1</v>
      </c>
      <c r="O1449" t="s">
        <v>30</v>
      </c>
      <c r="P1449" t="e">
        <v>#VALUE!</v>
      </c>
      <c r="Q1449" t="e">
        <v>#VALUE!</v>
      </c>
      <c r="R1449" t="s">
        <v>3201</v>
      </c>
      <c r="S1449" t="s">
        <v>13</v>
      </c>
    </row>
    <row r="1450" spans="1:19" x14ac:dyDescent="0.3">
      <c r="A1450" t="s">
        <v>1059</v>
      </c>
      <c r="B1450" t="s">
        <v>1596</v>
      </c>
      <c r="C1450" t="s">
        <v>2793</v>
      </c>
      <c r="D1450" t="s">
        <v>3189</v>
      </c>
      <c r="E1450" t="s">
        <v>9</v>
      </c>
      <c r="F1450" s="2">
        <v>45</v>
      </c>
      <c r="G1450" t="s">
        <v>3197</v>
      </c>
      <c r="H1450" t="s">
        <v>69</v>
      </c>
      <c r="I1450" t="s">
        <v>11</v>
      </c>
      <c r="J1450" t="s">
        <v>3198</v>
      </c>
      <c r="K1450" t="s">
        <v>15</v>
      </c>
      <c r="L1450" s="2">
        <v>33</v>
      </c>
      <c r="M1450" t="s">
        <v>3203</v>
      </c>
      <c r="N1450">
        <v>1</v>
      </c>
      <c r="O1450" t="s">
        <v>30</v>
      </c>
      <c r="P1450" t="e">
        <v>#VALUE!</v>
      </c>
      <c r="Q1450" t="e">
        <v>#VALUE!</v>
      </c>
      <c r="R1450" t="s">
        <v>3201</v>
      </c>
      <c r="S1450" t="s">
        <v>13</v>
      </c>
    </row>
    <row r="1451" spans="1:19" x14ac:dyDescent="0.3">
      <c r="A1451" t="s">
        <v>1060</v>
      </c>
      <c r="B1451" t="s">
        <v>1596</v>
      </c>
      <c r="C1451" t="s">
        <v>2704</v>
      </c>
      <c r="D1451" t="s">
        <v>3189</v>
      </c>
      <c r="E1451" t="s">
        <v>9</v>
      </c>
      <c r="F1451" s="2">
        <v>30</v>
      </c>
      <c r="G1451" t="s">
        <v>3206</v>
      </c>
      <c r="H1451" t="s">
        <v>51</v>
      </c>
      <c r="I1451" t="s">
        <v>28</v>
      </c>
      <c r="J1451" t="s">
        <v>3212</v>
      </c>
      <c r="K1451" t="s">
        <v>29</v>
      </c>
      <c r="L1451" s="2">
        <v>33</v>
      </c>
      <c r="M1451" t="s">
        <v>3203</v>
      </c>
      <c r="N1451">
        <v>1</v>
      </c>
      <c r="O1451" t="s">
        <v>30</v>
      </c>
      <c r="P1451" t="e">
        <v>#VALUE!</v>
      </c>
      <c r="Q1451" t="e">
        <v>#VALUE!</v>
      </c>
      <c r="R1451" t="s">
        <v>3201</v>
      </c>
      <c r="S1451" t="s">
        <v>13</v>
      </c>
    </row>
    <row r="1452" spans="1:19" x14ac:dyDescent="0.3">
      <c r="A1452" t="s">
        <v>198</v>
      </c>
      <c r="B1452" t="s">
        <v>1596</v>
      </c>
      <c r="C1452" t="s">
        <v>2794</v>
      </c>
      <c r="D1452" t="s">
        <v>3189</v>
      </c>
      <c r="E1452" t="s">
        <v>9</v>
      </c>
      <c r="F1452" s="2">
        <v>25</v>
      </c>
      <c r="G1452" t="s">
        <v>3206</v>
      </c>
      <c r="H1452" t="s">
        <v>69</v>
      </c>
      <c r="I1452" t="s">
        <v>11</v>
      </c>
      <c r="J1452" t="s">
        <v>3198</v>
      </c>
      <c r="K1452" t="s">
        <v>48</v>
      </c>
      <c r="L1452" s="2">
        <v>33</v>
      </c>
      <c r="M1452" t="s">
        <v>3203</v>
      </c>
      <c r="N1452">
        <v>1</v>
      </c>
      <c r="O1452" t="s">
        <v>30</v>
      </c>
      <c r="P1452" t="e">
        <v>#VALUE!</v>
      </c>
      <c r="Q1452" t="e">
        <v>#VALUE!</v>
      </c>
      <c r="R1452" t="s">
        <v>3201</v>
      </c>
      <c r="S1452" t="s">
        <v>13</v>
      </c>
    </row>
    <row r="1453" spans="1:19" x14ac:dyDescent="0.3">
      <c r="A1453" t="s">
        <v>1061</v>
      </c>
      <c r="B1453" t="s">
        <v>1596</v>
      </c>
      <c r="C1453" t="s">
        <v>1610</v>
      </c>
      <c r="D1453" t="s">
        <v>3189</v>
      </c>
      <c r="E1453" t="s">
        <v>9</v>
      </c>
      <c r="F1453" s="2">
        <v>40</v>
      </c>
      <c r="G1453" t="s">
        <v>3197</v>
      </c>
      <c r="H1453" t="s">
        <v>51</v>
      </c>
      <c r="I1453" t="s">
        <v>11</v>
      </c>
      <c r="J1453" t="s">
        <v>3198</v>
      </c>
      <c r="K1453" t="s">
        <v>15</v>
      </c>
      <c r="L1453" s="2">
        <v>33</v>
      </c>
      <c r="M1453" t="s">
        <v>3203</v>
      </c>
      <c r="N1453">
        <v>1</v>
      </c>
      <c r="O1453" t="s">
        <v>30</v>
      </c>
      <c r="P1453" t="e">
        <v>#VALUE!</v>
      </c>
      <c r="Q1453" t="e">
        <v>#VALUE!</v>
      </c>
      <c r="R1453" t="s">
        <v>3201</v>
      </c>
      <c r="S1453" t="s">
        <v>13</v>
      </c>
    </row>
    <row r="1454" spans="1:19" x14ac:dyDescent="0.3">
      <c r="A1454" t="s">
        <v>1062</v>
      </c>
      <c r="B1454" t="s">
        <v>1596</v>
      </c>
      <c r="C1454" t="s">
        <v>1619</v>
      </c>
      <c r="D1454" t="s">
        <v>3189</v>
      </c>
      <c r="E1454" t="s">
        <v>9</v>
      </c>
      <c r="F1454" s="2">
        <v>31</v>
      </c>
      <c r="G1454" t="s">
        <v>3206</v>
      </c>
      <c r="H1454" t="s">
        <v>69</v>
      </c>
      <c r="I1454" t="s">
        <v>11</v>
      </c>
      <c r="J1454" t="s">
        <v>3198</v>
      </c>
      <c r="K1454" t="s">
        <v>15</v>
      </c>
      <c r="L1454" s="2">
        <v>33</v>
      </c>
      <c r="M1454" t="s">
        <v>3203</v>
      </c>
      <c r="N1454">
        <v>1</v>
      </c>
      <c r="O1454" t="s">
        <v>30</v>
      </c>
      <c r="P1454" t="e">
        <v>#VALUE!</v>
      </c>
      <c r="Q1454" t="e">
        <v>#VALUE!</v>
      </c>
      <c r="R1454" t="s">
        <v>3201</v>
      </c>
      <c r="S1454" t="s">
        <v>13</v>
      </c>
    </row>
    <row r="1455" spans="1:19" x14ac:dyDescent="0.3">
      <c r="A1455" t="s">
        <v>208</v>
      </c>
      <c r="B1455" t="s">
        <v>1596</v>
      </c>
      <c r="C1455" t="s">
        <v>2795</v>
      </c>
      <c r="D1455" t="s">
        <v>3189</v>
      </c>
      <c r="E1455" t="s">
        <v>9</v>
      </c>
      <c r="F1455" s="2">
        <v>27</v>
      </c>
      <c r="G1455" t="s">
        <v>3206</v>
      </c>
      <c r="H1455" t="s">
        <v>51</v>
      </c>
      <c r="I1455" t="s">
        <v>11</v>
      </c>
      <c r="J1455" t="s">
        <v>3198</v>
      </c>
      <c r="K1455" t="s">
        <v>15</v>
      </c>
      <c r="L1455" s="2">
        <v>33</v>
      </c>
      <c r="M1455" t="s">
        <v>3203</v>
      </c>
      <c r="N1455">
        <v>1</v>
      </c>
      <c r="O1455" t="s">
        <v>30</v>
      </c>
      <c r="P1455" t="e">
        <v>#VALUE!</v>
      </c>
      <c r="Q1455" t="e">
        <v>#VALUE!</v>
      </c>
      <c r="R1455" t="s">
        <v>3201</v>
      </c>
      <c r="S1455" t="s">
        <v>13</v>
      </c>
    </row>
    <row r="1456" spans="1:19" x14ac:dyDescent="0.3">
      <c r="A1456" t="s">
        <v>1063</v>
      </c>
      <c r="B1456" t="s">
        <v>1596</v>
      </c>
      <c r="C1456" t="s">
        <v>2796</v>
      </c>
      <c r="D1456" t="s">
        <v>3189</v>
      </c>
      <c r="E1456" t="s">
        <v>9</v>
      </c>
      <c r="F1456" s="2">
        <v>46</v>
      </c>
      <c r="G1456" t="s">
        <v>3197</v>
      </c>
      <c r="H1456" t="s">
        <v>51</v>
      </c>
      <c r="I1456" t="s">
        <v>11</v>
      </c>
      <c r="J1456" t="s">
        <v>3198</v>
      </c>
      <c r="K1456" t="s">
        <v>15</v>
      </c>
      <c r="L1456" s="2">
        <v>33</v>
      </c>
      <c r="M1456" t="s">
        <v>3203</v>
      </c>
      <c r="N1456">
        <v>1</v>
      </c>
      <c r="O1456" t="s">
        <v>30</v>
      </c>
      <c r="P1456" t="e">
        <v>#VALUE!</v>
      </c>
      <c r="Q1456" t="e">
        <v>#VALUE!</v>
      </c>
      <c r="R1456" t="s">
        <v>3201</v>
      </c>
      <c r="S1456" t="s">
        <v>13</v>
      </c>
    </row>
    <row r="1457" spans="1:19" x14ac:dyDescent="0.3">
      <c r="A1457" t="s">
        <v>1064</v>
      </c>
      <c r="B1457" t="s">
        <v>1596</v>
      </c>
      <c r="C1457" t="s">
        <v>2793</v>
      </c>
      <c r="D1457" t="s">
        <v>3189</v>
      </c>
      <c r="E1457" t="s">
        <v>9</v>
      </c>
      <c r="F1457" s="2">
        <v>33</v>
      </c>
      <c r="G1457" t="s">
        <v>3206</v>
      </c>
      <c r="H1457" t="s">
        <v>69</v>
      </c>
      <c r="I1457" t="s">
        <v>28</v>
      </c>
      <c r="J1457" t="s">
        <v>3212</v>
      </c>
      <c r="K1457" t="s">
        <v>15</v>
      </c>
      <c r="L1457" s="2">
        <v>33</v>
      </c>
      <c r="M1457" t="s">
        <v>3203</v>
      </c>
      <c r="N1457">
        <v>1</v>
      </c>
      <c r="O1457" t="s">
        <v>30</v>
      </c>
      <c r="P1457" t="e">
        <v>#VALUE!</v>
      </c>
      <c r="Q1457" t="e">
        <v>#VALUE!</v>
      </c>
      <c r="R1457" t="s">
        <v>3201</v>
      </c>
      <c r="S1457" t="s">
        <v>13</v>
      </c>
    </row>
    <row r="1458" spans="1:19" x14ac:dyDescent="0.3">
      <c r="A1458" t="s">
        <v>1065</v>
      </c>
      <c r="B1458" t="s">
        <v>2719</v>
      </c>
      <c r="C1458" t="s">
        <v>2797</v>
      </c>
      <c r="D1458" t="s">
        <v>3189</v>
      </c>
      <c r="E1458" t="s">
        <v>9</v>
      </c>
      <c r="F1458" s="2">
        <v>32</v>
      </c>
      <c r="G1458" t="s">
        <v>3206</v>
      </c>
      <c r="H1458" t="s">
        <v>70</v>
      </c>
      <c r="I1458" t="s">
        <v>11</v>
      </c>
      <c r="J1458" t="s">
        <v>3198</v>
      </c>
      <c r="K1458" t="s">
        <v>38</v>
      </c>
      <c r="L1458" s="2">
        <v>33</v>
      </c>
      <c r="M1458" t="s">
        <v>3203</v>
      </c>
      <c r="N1458">
        <v>1</v>
      </c>
      <c r="O1458" t="s">
        <v>30</v>
      </c>
      <c r="P1458" t="e">
        <v>#VALUE!</v>
      </c>
      <c r="Q1458" t="e">
        <v>#VALUE!</v>
      </c>
      <c r="R1458" t="s">
        <v>3201</v>
      </c>
      <c r="S1458" t="s">
        <v>13</v>
      </c>
    </row>
    <row r="1459" spans="1:19" x14ac:dyDescent="0.3">
      <c r="A1459" t="s">
        <v>1066</v>
      </c>
      <c r="B1459" t="s">
        <v>1596</v>
      </c>
      <c r="C1459" t="s">
        <v>1645</v>
      </c>
      <c r="D1459" t="s">
        <v>3189</v>
      </c>
      <c r="E1459" t="s">
        <v>9</v>
      </c>
      <c r="F1459" s="2">
        <v>44</v>
      </c>
      <c r="G1459" t="s">
        <v>3197</v>
      </c>
      <c r="H1459" t="s">
        <v>51</v>
      </c>
      <c r="I1459" t="s">
        <v>11</v>
      </c>
      <c r="J1459" t="s">
        <v>3198</v>
      </c>
      <c r="K1459" t="s">
        <v>15</v>
      </c>
      <c r="L1459" s="2">
        <v>33</v>
      </c>
      <c r="M1459" t="s">
        <v>3203</v>
      </c>
      <c r="N1459">
        <v>1</v>
      </c>
      <c r="O1459" t="s">
        <v>30</v>
      </c>
      <c r="P1459" t="e">
        <v>#VALUE!</v>
      </c>
      <c r="Q1459" t="e">
        <v>#VALUE!</v>
      </c>
      <c r="R1459" t="s">
        <v>3201</v>
      </c>
      <c r="S1459" t="s">
        <v>13</v>
      </c>
    </row>
    <row r="1460" spans="1:19" x14ac:dyDescent="0.3">
      <c r="A1460" t="s">
        <v>1067</v>
      </c>
      <c r="B1460" t="s">
        <v>1596</v>
      </c>
      <c r="C1460" t="s">
        <v>2259</v>
      </c>
      <c r="D1460" t="s">
        <v>3189</v>
      </c>
      <c r="E1460" t="s">
        <v>9</v>
      </c>
      <c r="F1460" s="2">
        <v>34</v>
      </c>
      <c r="G1460" t="s">
        <v>3206</v>
      </c>
      <c r="H1460" t="s">
        <v>69</v>
      </c>
      <c r="I1460" t="s">
        <v>11</v>
      </c>
      <c r="J1460" t="s">
        <v>3198</v>
      </c>
      <c r="K1460" t="s">
        <v>15</v>
      </c>
      <c r="L1460" s="2">
        <v>33</v>
      </c>
      <c r="M1460" t="s">
        <v>3203</v>
      </c>
      <c r="N1460">
        <v>1</v>
      </c>
      <c r="O1460" t="s">
        <v>30</v>
      </c>
      <c r="P1460" t="e">
        <v>#VALUE!</v>
      </c>
      <c r="Q1460" t="e">
        <v>#VALUE!</v>
      </c>
      <c r="R1460" t="s">
        <v>3201</v>
      </c>
      <c r="S1460" t="s">
        <v>13</v>
      </c>
    </row>
    <row r="1461" spans="1:19" x14ac:dyDescent="0.3">
      <c r="A1461" t="s">
        <v>1068</v>
      </c>
      <c r="B1461" t="s">
        <v>1596</v>
      </c>
      <c r="C1461" t="s">
        <v>1700</v>
      </c>
      <c r="D1461" t="s">
        <v>3189</v>
      </c>
      <c r="E1461" t="s">
        <v>9</v>
      </c>
      <c r="F1461" s="2">
        <v>37</v>
      </c>
      <c r="G1461" t="s">
        <v>3197</v>
      </c>
      <c r="H1461" t="s">
        <v>51</v>
      </c>
      <c r="I1461" t="s">
        <v>11</v>
      </c>
      <c r="J1461" t="s">
        <v>3198</v>
      </c>
      <c r="K1461" t="s">
        <v>15</v>
      </c>
      <c r="L1461" s="2">
        <v>33</v>
      </c>
      <c r="M1461" t="s">
        <v>3203</v>
      </c>
      <c r="N1461">
        <v>1</v>
      </c>
      <c r="O1461" t="s">
        <v>30</v>
      </c>
      <c r="P1461" t="e">
        <v>#VALUE!</v>
      </c>
      <c r="Q1461" t="e">
        <v>#VALUE!</v>
      </c>
      <c r="R1461" t="s">
        <v>3201</v>
      </c>
      <c r="S1461" t="s">
        <v>13</v>
      </c>
    </row>
    <row r="1462" spans="1:19" x14ac:dyDescent="0.3">
      <c r="A1462" t="s">
        <v>1069</v>
      </c>
      <c r="B1462" t="s">
        <v>1602</v>
      </c>
      <c r="C1462" t="s">
        <v>2798</v>
      </c>
      <c r="D1462" t="s">
        <v>3190</v>
      </c>
      <c r="E1462" t="s">
        <v>14</v>
      </c>
      <c r="F1462" s="2">
        <v>33</v>
      </c>
      <c r="G1462" t="s">
        <v>3206</v>
      </c>
      <c r="H1462" t="s">
        <v>69</v>
      </c>
      <c r="I1462" t="s">
        <v>11</v>
      </c>
      <c r="J1462" t="s">
        <v>3198</v>
      </c>
      <c r="K1462" t="s">
        <v>15</v>
      </c>
      <c r="L1462" s="2">
        <v>33</v>
      </c>
      <c r="M1462" t="s">
        <v>3203</v>
      </c>
      <c r="N1462">
        <v>1</v>
      </c>
      <c r="O1462" t="s">
        <v>30</v>
      </c>
      <c r="P1462" t="e">
        <v>#VALUE!</v>
      </c>
      <c r="Q1462" t="e">
        <v>#VALUE!</v>
      </c>
      <c r="R1462" t="s">
        <v>3205</v>
      </c>
      <c r="S1462" t="s">
        <v>16</v>
      </c>
    </row>
    <row r="1463" spans="1:19" x14ac:dyDescent="0.3">
      <c r="A1463" t="s">
        <v>1070</v>
      </c>
      <c r="B1463" t="s">
        <v>1596</v>
      </c>
      <c r="C1463" t="s">
        <v>2799</v>
      </c>
      <c r="D1463" t="s">
        <v>3189</v>
      </c>
      <c r="E1463" t="s">
        <v>9</v>
      </c>
      <c r="F1463" s="2">
        <v>28</v>
      </c>
      <c r="G1463" t="s">
        <v>3206</v>
      </c>
      <c r="H1463" t="s">
        <v>69</v>
      </c>
      <c r="I1463" t="s">
        <v>11</v>
      </c>
      <c r="J1463" t="s">
        <v>3198</v>
      </c>
      <c r="K1463" t="s">
        <v>15</v>
      </c>
      <c r="L1463" s="2">
        <v>33</v>
      </c>
      <c r="M1463" t="s">
        <v>3203</v>
      </c>
      <c r="N1463">
        <v>1</v>
      </c>
      <c r="O1463" t="s">
        <v>30</v>
      </c>
      <c r="P1463" t="e">
        <v>#VALUE!</v>
      </c>
      <c r="Q1463" t="e">
        <v>#VALUE!</v>
      </c>
      <c r="R1463" t="s">
        <v>3201</v>
      </c>
      <c r="S1463" t="s">
        <v>13</v>
      </c>
    </row>
    <row r="1464" spans="1:19" x14ac:dyDescent="0.3">
      <c r="A1464" t="s">
        <v>1071</v>
      </c>
      <c r="B1464" t="s">
        <v>1596</v>
      </c>
      <c r="C1464" t="s">
        <v>2120</v>
      </c>
      <c r="D1464" t="s">
        <v>3189</v>
      </c>
      <c r="E1464" t="s">
        <v>9</v>
      </c>
      <c r="F1464" s="2">
        <v>22</v>
      </c>
      <c r="G1464" t="s">
        <v>3206</v>
      </c>
      <c r="H1464" t="s">
        <v>51</v>
      </c>
      <c r="I1464" t="s">
        <v>11</v>
      </c>
      <c r="J1464" t="s">
        <v>3198</v>
      </c>
      <c r="K1464" t="s">
        <v>15</v>
      </c>
      <c r="L1464" s="2">
        <v>33</v>
      </c>
      <c r="M1464" t="s">
        <v>3203</v>
      </c>
      <c r="N1464">
        <v>1</v>
      </c>
      <c r="O1464" t="s">
        <v>30</v>
      </c>
      <c r="P1464" t="e">
        <v>#VALUE!</v>
      </c>
      <c r="Q1464" t="e">
        <v>#VALUE!</v>
      </c>
      <c r="R1464" t="s">
        <v>3205</v>
      </c>
      <c r="S1464" t="s">
        <v>16</v>
      </c>
    </row>
    <row r="1465" spans="1:19" x14ac:dyDescent="0.3">
      <c r="A1465" t="s">
        <v>1072</v>
      </c>
      <c r="B1465" t="s">
        <v>1596</v>
      </c>
      <c r="C1465" t="s">
        <v>2800</v>
      </c>
      <c r="D1465" t="s">
        <v>3189</v>
      </c>
      <c r="E1465" t="s">
        <v>9</v>
      </c>
      <c r="F1465" s="2">
        <v>39</v>
      </c>
      <c r="G1465" t="s">
        <v>3197</v>
      </c>
      <c r="H1465" t="s">
        <v>69</v>
      </c>
      <c r="I1465" t="s">
        <v>28</v>
      </c>
      <c r="J1465" t="s">
        <v>3212</v>
      </c>
      <c r="K1465" t="s">
        <v>15</v>
      </c>
      <c r="L1465" s="2">
        <v>33</v>
      </c>
      <c r="M1465" t="s">
        <v>3203</v>
      </c>
      <c r="N1465">
        <v>1</v>
      </c>
      <c r="O1465" t="s">
        <v>30</v>
      </c>
      <c r="P1465" t="e">
        <v>#VALUE!</v>
      </c>
      <c r="Q1465" t="e">
        <v>#VALUE!</v>
      </c>
      <c r="R1465" t="s">
        <v>3201</v>
      </c>
      <c r="S1465" t="s">
        <v>13</v>
      </c>
    </row>
    <row r="1466" spans="1:19" x14ac:dyDescent="0.3">
      <c r="A1466" t="s">
        <v>1073</v>
      </c>
      <c r="B1466" t="s">
        <v>1596</v>
      </c>
      <c r="C1466" t="s">
        <v>2801</v>
      </c>
      <c r="D1466" t="s">
        <v>3189</v>
      </c>
      <c r="E1466" t="s">
        <v>9</v>
      </c>
      <c r="F1466" s="2">
        <v>21</v>
      </c>
      <c r="G1466" t="s">
        <v>3206</v>
      </c>
      <c r="H1466" t="s">
        <v>69</v>
      </c>
      <c r="I1466" t="s">
        <v>11</v>
      </c>
      <c r="J1466" t="s">
        <v>3198</v>
      </c>
      <c r="K1466" t="s">
        <v>15</v>
      </c>
      <c r="L1466" s="2">
        <v>33</v>
      </c>
      <c r="M1466" t="s">
        <v>3203</v>
      </c>
      <c r="N1466">
        <v>1</v>
      </c>
      <c r="O1466" t="s">
        <v>30</v>
      </c>
      <c r="P1466" t="e">
        <v>#VALUE!</v>
      </c>
      <c r="Q1466" t="e">
        <v>#VALUE!</v>
      </c>
      <c r="R1466" t="s">
        <v>3201</v>
      </c>
      <c r="S1466" t="s">
        <v>13</v>
      </c>
    </row>
    <row r="1467" spans="1:19" x14ac:dyDescent="0.3">
      <c r="A1467" t="s">
        <v>1074</v>
      </c>
      <c r="B1467" t="s">
        <v>1596</v>
      </c>
      <c r="C1467" t="s">
        <v>2802</v>
      </c>
      <c r="D1467" t="s">
        <v>3189</v>
      </c>
      <c r="E1467" t="s">
        <v>9</v>
      </c>
      <c r="F1467" s="2">
        <v>25</v>
      </c>
      <c r="G1467" t="s">
        <v>3206</v>
      </c>
      <c r="H1467" t="s">
        <v>70</v>
      </c>
      <c r="I1467" t="s">
        <v>11</v>
      </c>
      <c r="J1467" t="s">
        <v>3198</v>
      </c>
      <c r="K1467" t="s">
        <v>15</v>
      </c>
      <c r="L1467" s="2">
        <v>33</v>
      </c>
      <c r="M1467" t="s">
        <v>3203</v>
      </c>
      <c r="N1467">
        <v>1</v>
      </c>
      <c r="O1467" t="s">
        <v>30</v>
      </c>
      <c r="P1467" t="e">
        <v>#VALUE!</v>
      </c>
      <c r="Q1467" t="e">
        <v>#VALUE!</v>
      </c>
      <c r="R1467" t="s">
        <v>3201</v>
      </c>
      <c r="S1467" t="s">
        <v>13</v>
      </c>
    </row>
    <row r="1468" spans="1:19" x14ac:dyDescent="0.3">
      <c r="A1468" t="s">
        <v>217</v>
      </c>
      <c r="B1468" t="s">
        <v>1596</v>
      </c>
      <c r="C1468" t="s">
        <v>1967</v>
      </c>
      <c r="D1468" t="s">
        <v>3189</v>
      </c>
      <c r="E1468" t="s">
        <v>9</v>
      </c>
      <c r="F1468" s="2">
        <v>32</v>
      </c>
      <c r="G1468" t="s">
        <v>3206</v>
      </c>
      <c r="H1468" t="s">
        <v>69</v>
      </c>
      <c r="I1468" t="s">
        <v>11</v>
      </c>
      <c r="J1468" t="s">
        <v>3198</v>
      </c>
      <c r="K1468" t="s">
        <v>15</v>
      </c>
      <c r="L1468" s="2">
        <v>33</v>
      </c>
      <c r="M1468" t="s">
        <v>3203</v>
      </c>
      <c r="N1468">
        <v>1</v>
      </c>
      <c r="O1468" t="s">
        <v>30</v>
      </c>
      <c r="P1468" t="e">
        <v>#VALUE!</v>
      </c>
      <c r="Q1468" t="e">
        <v>#VALUE!</v>
      </c>
      <c r="R1468" t="s">
        <v>3205</v>
      </c>
      <c r="S1468" t="s">
        <v>16</v>
      </c>
    </row>
    <row r="1469" spans="1:19" x14ac:dyDescent="0.3">
      <c r="A1469" t="s">
        <v>1075</v>
      </c>
      <c r="B1469" t="s">
        <v>1596</v>
      </c>
      <c r="C1469" t="s">
        <v>1731</v>
      </c>
      <c r="D1469" t="s">
        <v>3189</v>
      </c>
      <c r="E1469" t="s">
        <v>9</v>
      </c>
      <c r="F1469" s="2">
        <v>25</v>
      </c>
      <c r="G1469" t="s">
        <v>3206</v>
      </c>
      <c r="H1469" t="s">
        <v>69</v>
      </c>
      <c r="I1469" t="s">
        <v>11</v>
      </c>
      <c r="J1469" t="s">
        <v>3198</v>
      </c>
      <c r="K1469" t="s">
        <v>15</v>
      </c>
      <c r="L1469" s="2">
        <v>33</v>
      </c>
      <c r="M1469" t="s">
        <v>3203</v>
      </c>
      <c r="N1469">
        <v>1</v>
      </c>
      <c r="O1469" t="s">
        <v>30</v>
      </c>
      <c r="P1469" t="e">
        <v>#VALUE!</v>
      </c>
      <c r="Q1469" t="e">
        <v>#VALUE!</v>
      </c>
      <c r="R1469" t="s">
        <v>3201</v>
      </c>
      <c r="S1469" t="s">
        <v>13</v>
      </c>
    </row>
    <row r="1470" spans="1:19" x14ac:dyDescent="0.3">
      <c r="A1470" t="s">
        <v>1076</v>
      </c>
      <c r="B1470" t="s">
        <v>1596</v>
      </c>
      <c r="C1470" t="s">
        <v>2803</v>
      </c>
      <c r="D1470" t="s">
        <v>3189</v>
      </c>
      <c r="E1470" t="s">
        <v>9</v>
      </c>
      <c r="F1470" s="2">
        <v>25</v>
      </c>
      <c r="G1470" t="s">
        <v>3206</v>
      </c>
      <c r="H1470" t="s">
        <v>51</v>
      </c>
      <c r="I1470" t="s">
        <v>11</v>
      </c>
      <c r="J1470" t="s">
        <v>3198</v>
      </c>
      <c r="K1470" t="s">
        <v>15</v>
      </c>
      <c r="L1470" s="2">
        <v>33</v>
      </c>
      <c r="M1470" t="s">
        <v>3203</v>
      </c>
      <c r="N1470">
        <v>1</v>
      </c>
      <c r="O1470" t="s">
        <v>30</v>
      </c>
      <c r="P1470" t="e">
        <v>#VALUE!</v>
      </c>
      <c r="Q1470" t="e">
        <v>#VALUE!</v>
      </c>
      <c r="R1470" t="s">
        <v>3201</v>
      </c>
      <c r="S1470" t="s">
        <v>13</v>
      </c>
    </row>
    <row r="1471" spans="1:19" x14ac:dyDescent="0.3">
      <c r="A1471" t="s">
        <v>1077</v>
      </c>
      <c r="B1471" t="s">
        <v>1596</v>
      </c>
      <c r="C1471" t="s">
        <v>2027</v>
      </c>
      <c r="D1471" t="s">
        <v>3189</v>
      </c>
      <c r="E1471" t="s">
        <v>9</v>
      </c>
      <c r="F1471" s="2">
        <v>28</v>
      </c>
      <c r="G1471" t="s">
        <v>3206</v>
      </c>
      <c r="H1471" t="s">
        <v>69</v>
      </c>
      <c r="I1471" t="s">
        <v>28</v>
      </c>
      <c r="J1471" t="s">
        <v>3212</v>
      </c>
      <c r="K1471" t="s">
        <v>15</v>
      </c>
      <c r="L1471" s="2">
        <v>33</v>
      </c>
      <c r="M1471" t="s">
        <v>3203</v>
      </c>
      <c r="N1471">
        <v>1</v>
      </c>
      <c r="O1471" t="s">
        <v>30</v>
      </c>
      <c r="P1471" t="e">
        <v>#VALUE!</v>
      </c>
      <c r="Q1471" t="e">
        <v>#VALUE!</v>
      </c>
      <c r="R1471" t="s">
        <v>3201</v>
      </c>
      <c r="S1471" t="s">
        <v>13</v>
      </c>
    </row>
    <row r="1472" spans="1:19" x14ac:dyDescent="0.3">
      <c r="A1472" t="s">
        <v>1078</v>
      </c>
      <c r="B1472" t="s">
        <v>1596</v>
      </c>
      <c r="C1472" t="s">
        <v>2804</v>
      </c>
      <c r="D1472" t="s">
        <v>3189</v>
      </c>
      <c r="E1472" t="s">
        <v>9</v>
      </c>
      <c r="F1472" s="2">
        <v>37</v>
      </c>
      <c r="G1472" t="s">
        <v>3197</v>
      </c>
      <c r="H1472" t="s">
        <v>51</v>
      </c>
      <c r="I1472" t="s">
        <v>28</v>
      </c>
      <c r="J1472" t="s">
        <v>3212</v>
      </c>
      <c r="K1472" t="s">
        <v>15</v>
      </c>
      <c r="L1472" s="2">
        <v>33</v>
      </c>
      <c r="M1472" t="s">
        <v>3203</v>
      </c>
      <c r="N1472">
        <v>1</v>
      </c>
      <c r="O1472" t="s">
        <v>30</v>
      </c>
      <c r="P1472" t="e">
        <v>#VALUE!</v>
      </c>
      <c r="Q1472" t="e">
        <v>#VALUE!</v>
      </c>
      <c r="R1472" t="s">
        <v>3201</v>
      </c>
      <c r="S1472" t="s">
        <v>13</v>
      </c>
    </row>
    <row r="1473" spans="1:19" x14ac:dyDescent="0.3">
      <c r="A1473" t="s">
        <v>1079</v>
      </c>
      <c r="B1473" t="s">
        <v>1596</v>
      </c>
      <c r="C1473" t="s">
        <v>2805</v>
      </c>
      <c r="D1473" t="s">
        <v>3189</v>
      </c>
      <c r="E1473" t="s">
        <v>9</v>
      </c>
      <c r="F1473" s="2">
        <v>29</v>
      </c>
      <c r="G1473" t="s">
        <v>3206</v>
      </c>
      <c r="H1473" t="s">
        <v>69</v>
      </c>
      <c r="I1473" t="s">
        <v>11</v>
      </c>
      <c r="J1473" t="s">
        <v>3198</v>
      </c>
      <c r="K1473" t="s">
        <v>15</v>
      </c>
      <c r="L1473" s="2">
        <v>33</v>
      </c>
      <c r="M1473" t="s">
        <v>3203</v>
      </c>
      <c r="N1473">
        <v>1</v>
      </c>
      <c r="O1473" t="s">
        <v>30</v>
      </c>
      <c r="P1473" t="e">
        <v>#VALUE!</v>
      </c>
      <c r="Q1473" t="e">
        <v>#VALUE!</v>
      </c>
      <c r="R1473" t="s">
        <v>3201</v>
      </c>
      <c r="S1473" t="s">
        <v>13</v>
      </c>
    </row>
    <row r="1474" spans="1:19" x14ac:dyDescent="0.3">
      <c r="A1474" t="s">
        <v>1079</v>
      </c>
      <c r="B1474" t="s">
        <v>1596</v>
      </c>
      <c r="C1474" t="s">
        <v>2120</v>
      </c>
      <c r="D1474" t="s">
        <v>3189</v>
      </c>
      <c r="E1474" t="s">
        <v>9</v>
      </c>
      <c r="F1474" s="2">
        <v>50</v>
      </c>
      <c r="G1474" t="s">
        <v>3197</v>
      </c>
      <c r="H1474" t="s">
        <v>69</v>
      </c>
      <c r="I1474" t="s">
        <v>11</v>
      </c>
      <c r="J1474" t="s">
        <v>3198</v>
      </c>
      <c r="K1474" t="s">
        <v>15</v>
      </c>
      <c r="L1474" s="2">
        <v>33</v>
      </c>
      <c r="M1474" t="s">
        <v>3203</v>
      </c>
      <c r="N1474">
        <v>1</v>
      </c>
      <c r="O1474" t="s">
        <v>30</v>
      </c>
      <c r="P1474" t="e">
        <v>#VALUE!</v>
      </c>
      <c r="Q1474" t="e">
        <v>#VALUE!</v>
      </c>
      <c r="R1474" t="s">
        <v>3201</v>
      </c>
      <c r="S1474" t="s">
        <v>13</v>
      </c>
    </row>
    <row r="1475" spans="1:19" x14ac:dyDescent="0.3">
      <c r="A1475" t="s">
        <v>1080</v>
      </c>
      <c r="B1475" t="s">
        <v>1596</v>
      </c>
      <c r="C1475" t="s">
        <v>1822</v>
      </c>
      <c r="D1475" t="s">
        <v>3189</v>
      </c>
      <c r="E1475" t="s">
        <v>9</v>
      </c>
      <c r="F1475" s="2">
        <v>25</v>
      </c>
      <c r="G1475" t="s">
        <v>3206</v>
      </c>
      <c r="H1475" t="s">
        <v>51</v>
      </c>
      <c r="I1475" t="s">
        <v>11</v>
      </c>
      <c r="J1475" t="s">
        <v>3198</v>
      </c>
      <c r="K1475" t="s">
        <v>15</v>
      </c>
      <c r="L1475" s="2">
        <v>33</v>
      </c>
      <c r="M1475" t="s">
        <v>3203</v>
      </c>
      <c r="N1475">
        <v>1</v>
      </c>
      <c r="O1475" t="s">
        <v>30</v>
      </c>
      <c r="P1475" t="e">
        <v>#VALUE!</v>
      </c>
      <c r="Q1475" t="e">
        <v>#VALUE!</v>
      </c>
      <c r="R1475" t="s">
        <v>3201</v>
      </c>
      <c r="S1475" t="s">
        <v>13</v>
      </c>
    </row>
    <row r="1476" spans="1:19" x14ac:dyDescent="0.3">
      <c r="A1476" t="s">
        <v>1081</v>
      </c>
      <c r="B1476" t="s">
        <v>1596</v>
      </c>
      <c r="C1476" t="s">
        <v>2806</v>
      </c>
      <c r="D1476" t="s">
        <v>3189</v>
      </c>
      <c r="E1476" t="s">
        <v>9</v>
      </c>
      <c r="F1476" s="2">
        <v>34</v>
      </c>
      <c r="G1476" t="s">
        <v>3206</v>
      </c>
      <c r="H1476" t="s">
        <v>69</v>
      </c>
      <c r="I1476" t="s">
        <v>11</v>
      </c>
      <c r="J1476" t="s">
        <v>3198</v>
      </c>
      <c r="K1476" t="s">
        <v>15</v>
      </c>
      <c r="L1476" s="2">
        <v>33</v>
      </c>
      <c r="M1476" t="s">
        <v>3203</v>
      </c>
      <c r="N1476">
        <v>1</v>
      </c>
      <c r="O1476" t="s">
        <v>30</v>
      </c>
      <c r="P1476" t="e">
        <v>#VALUE!</v>
      </c>
      <c r="Q1476" t="e">
        <v>#VALUE!</v>
      </c>
      <c r="R1476" t="s">
        <v>3201</v>
      </c>
      <c r="S1476" t="s">
        <v>13</v>
      </c>
    </row>
    <row r="1477" spans="1:19" x14ac:dyDescent="0.3">
      <c r="A1477" t="s">
        <v>229</v>
      </c>
      <c r="B1477" t="s">
        <v>1596</v>
      </c>
      <c r="C1477" t="s">
        <v>1619</v>
      </c>
      <c r="D1477" t="s">
        <v>3189</v>
      </c>
      <c r="E1477" t="s">
        <v>9</v>
      </c>
      <c r="F1477" s="2">
        <v>40</v>
      </c>
      <c r="G1477" t="s">
        <v>3197</v>
      </c>
      <c r="H1477" t="s">
        <v>51</v>
      </c>
      <c r="I1477" t="s">
        <v>11</v>
      </c>
      <c r="J1477" t="s">
        <v>3198</v>
      </c>
      <c r="K1477" t="s">
        <v>37</v>
      </c>
      <c r="L1477" s="2">
        <v>33</v>
      </c>
      <c r="M1477" t="s">
        <v>3203</v>
      </c>
      <c r="N1477">
        <v>1</v>
      </c>
      <c r="O1477" t="s">
        <v>30</v>
      </c>
      <c r="P1477" t="e">
        <v>#VALUE!</v>
      </c>
      <c r="Q1477" t="e">
        <v>#VALUE!</v>
      </c>
      <c r="R1477" t="s">
        <v>3205</v>
      </c>
      <c r="S1477" t="s">
        <v>16</v>
      </c>
    </row>
    <row r="1478" spans="1:19" x14ac:dyDescent="0.3">
      <c r="A1478" t="s">
        <v>1082</v>
      </c>
      <c r="B1478" t="s">
        <v>1596</v>
      </c>
      <c r="C1478" t="s">
        <v>2525</v>
      </c>
      <c r="D1478" t="s">
        <v>3189</v>
      </c>
      <c r="E1478" t="s">
        <v>9</v>
      </c>
      <c r="F1478" s="2">
        <v>33</v>
      </c>
      <c r="G1478" t="s">
        <v>3206</v>
      </c>
      <c r="H1478" t="s">
        <v>71</v>
      </c>
      <c r="I1478" t="s">
        <v>11</v>
      </c>
      <c r="J1478" t="s">
        <v>3198</v>
      </c>
      <c r="K1478" t="s">
        <v>15</v>
      </c>
      <c r="L1478" s="2">
        <v>33</v>
      </c>
      <c r="M1478" t="s">
        <v>3203</v>
      </c>
      <c r="N1478">
        <v>1</v>
      </c>
      <c r="O1478" t="s">
        <v>30</v>
      </c>
      <c r="P1478" t="e">
        <v>#VALUE!</v>
      </c>
      <c r="Q1478" t="e">
        <v>#VALUE!</v>
      </c>
      <c r="R1478" t="s">
        <v>3205</v>
      </c>
      <c r="S1478" t="s">
        <v>16</v>
      </c>
    </row>
    <row r="1479" spans="1:19" x14ac:dyDescent="0.3">
      <c r="A1479" t="s">
        <v>1082</v>
      </c>
      <c r="B1479" t="s">
        <v>1596</v>
      </c>
      <c r="C1479" t="s">
        <v>2807</v>
      </c>
      <c r="D1479" t="s">
        <v>3189</v>
      </c>
      <c r="E1479" t="s">
        <v>9</v>
      </c>
      <c r="F1479" s="2">
        <v>31</v>
      </c>
      <c r="G1479" t="s">
        <v>3206</v>
      </c>
      <c r="H1479" t="s">
        <v>71</v>
      </c>
      <c r="I1479" t="s">
        <v>11</v>
      </c>
      <c r="J1479" t="s">
        <v>3198</v>
      </c>
      <c r="K1479" t="s">
        <v>15</v>
      </c>
      <c r="L1479" s="2">
        <v>33</v>
      </c>
      <c r="M1479" t="s">
        <v>3203</v>
      </c>
      <c r="N1479">
        <v>1</v>
      </c>
      <c r="O1479" t="s">
        <v>30</v>
      </c>
      <c r="P1479" t="e">
        <v>#VALUE!</v>
      </c>
      <c r="Q1479" t="e">
        <v>#VALUE!</v>
      </c>
      <c r="R1479" t="s">
        <v>3201</v>
      </c>
      <c r="S1479" t="s">
        <v>13</v>
      </c>
    </row>
    <row r="1480" spans="1:19" x14ac:dyDescent="0.3">
      <c r="A1480" t="s">
        <v>1083</v>
      </c>
      <c r="B1480" t="s">
        <v>1596</v>
      </c>
      <c r="C1480" t="s">
        <v>1630</v>
      </c>
      <c r="D1480" t="s">
        <v>3189</v>
      </c>
      <c r="E1480" t="s">
        <v>9</v>
      </c>
      <c r="F1480" s="2">
        <v>22</v>
      </c>
      <c r="G1480" t="s">
        <v>3206</v>
      </c>
      <c r="H1480" t="s">
        <v>51</v>
      </c>
      <c r="I1480" t="s">
        <v>11</v>
      </c>
      <c r="J1480" t="s">
        <v>3198</v>
      </c>
      <c r="K1480" t="s">
        <v>15</v>
      </c>
      <c r="L1480" s="2">
        <v>33</v>
      </c>
      <c r="M1480" t="s">
        <v>3203</v>
      </c>
      <c r="N1480">
        <v>1</v>
      </c>
      <c r="O1480" t="s">
        <v>30</v>
      </c>
      <c r="P1480" t="e">
        <v>#VALUE!</v>
      </c>
      <c r="Q1480" t="e">
        <v>#VALUE!</v>
      </c>
      <c r="R1480" t="s">
        <v>3201</v>
      </c>
      <c r="S1480" t="s">
        <v>13</v>
      </c>
    </row>
    <row r="1481" spans="1:19" x14ac:dyDescent="0.3">
      <c r="A1481" t="s">
        <v>1084</v>
      </c>
      <c r="B1481" t="s">
        <v>1596</v>
      </c>
      <c r="C1481" t="s">
        <v>2420</v>
      </c>
      <c r="D1481" t="s">
        <v>3189</v>
      </c>
      <c r="E1481" t="s">
        <v>9</v>
      </c>
      <c r="F1481" s="2">
        <v>29</v>
      </c>
      <c r="G1481" t="s">
        <v>3206</v>
      </c>
      <c r="H1481" t="s">
        <v>69</v>
      </c>
      <c r="I1481" t="s">
        <v>11</v>
      </c>
      <c r="J1481" t="s">
        <v>3198</v>
      </c>
      <c r="K1481" t="s">
        <v>15</v>
      </c>
      <c r="L1481" s="2">
        <v>33</v>
      </c>
      <c r="M1481" t="s">
        <v>3203</v>
      </c>
      <c r="N1481">
        <v>1</v>
      </c>
      <c r="O1481" t="s">
        <v>30</v>
      </c>
      <c r="P1481" t="e">
        <v>#VALUE!</v>
      </c>
      <c r="Q1481" t="e">
        <v>#VALUE!</v>
      </c>
      <c r="R1481" t="s">
        <v>3201</v>
      </c>
      <c r="S1481" t="s">
        <v>13</v>
      </c>
    </row>
    <row r="1482" spans="1:19" x14ac:dyDescent="0.3">
      <c r="A1482" t="s">
        <v>1084</v>
      </c>
      <c r="B1482" t="s">
        <v>1596</v>
      </c>
      <c r="C1482" t="s">
        <v>1610</v>
      </c>
      <c r="D1482" t="s">
        <v>3189</v>
      </c>
      <c r="E1482" t="s">
        <v>9</v>
      </c>
      <c r="F1482" s="2">
        <v>58</v>
      </c>
      <c r="G1482" t="s">
        <v>3210</v>
      </c>
      <c r="H1482" t="s">
        <v>51</v>
      </c>
      <c r="I1482" t="s">
        <v>28</v>
      </c>
      <c r="J1482" t="s">
        <v>3212</v>
      </c>
      <c r="K1482" t="s">
        <v>37</v>
      </c>
      <c r="L1482" s="2">
        <v>33</v>
      </c>
      <c r="M1482" t="s">
        <v>3203</v>
      </c>
      <c r="N1482">
        <v>1</v>
      </c>
      <c r="O1482" t="s">
        <v>30</v>
      </c>
      <c r="P1482" t="e">
        <v>#VALUE!</v>
      </c>
      <c r="Q1482" t="e">
        <v>#VALUE!</v>
      </c>
      <c r="R1482" t="s">
        <v>3201</v>
      </c>
      <c r="S1482" t="s">
        <v>13</v>
      </c>
    </row>
    <row r="1483" spans="1:19" x14ac:dyDescent="0.3">
      <c r="A1483" t="s">
        <v>1085</v>
      </c>
      <c r="B1483" t="s">
        <v>1596</v>
      </c>
      <c r="C1483" t="s">
        <v>2784</v>
      </c>
      <c r="D1483" t="s">
        <v>3189</v>
      </c>
      <c r="E1483" t="s">
        <v>9</v>
      </c>
      <c r="F1483" s="2">
        <v>33</v>
      </c>
      <c r="G1483" t="s">
        <v>3206</v>
      </c>
      <c r="H1483" t="s">
        <v>69</v>
      </c>
      <c r="I1483" t="s">
        <v>11</v>
      </c>
      <c r="J1483" t="s">
        <v>3198</v>
      </c>
      <c r="K1483" t="s">
        <v>15</v>
      </c>
      <c r="L1483" s="2">
        <v>33</v>
      </c>
      <c r="M1483" t="s">
        <v>3203</v>
      </c>
      <c r="N1483">
        <v>1</v>
      </c>
      <c r="O1483" t="s">
        <v>30</v>
      </c>
      <c r="P1483" t="e">
        <v>#VALUE!</v>
      </c>
      <c r="Q1483" t="e">
        <v>#VALUE!</v>
      </c>
      <c r="R1483" t="s">
        <v>3205</v>
      </c>
      <c r="S1483" t="s">
        <v>16</v>
      </c>
    </row>
    <row r="1484" spans="1:19" x14ac:dyDescent="0.3">
      <c r="A1484" t="s">
        <v>1086</v>
      </c>
      <c r="B1484" t="s">
        <v>1596</v>
      </c>
      <c r="C1484" t="s">
        <v>1610</v>
      </c>
      <c r="D1484" t="s">
        <v>3189</v>
      </c>
      <c r="E1484" t="s">
        <v>9</v>
      </c>
      <c r="F1484" s="2">
        <v>17</v>
      </c>
      <c r="G1484" t="s">
        <v>3202</v>
      </c>
      <c r="H1484" t="s">
        <v>69</v>
      </c>
      <c r="I1484" t="s">
        <v>11</v>
      </c>
      <c r="J1484" t="s">
        <v>3198</v>
      </c>
      <c r="K1484" t="s">
        <v>29</v>
      </c>
      <c r="L1484" s="2">
        <v>33</v>
      </c>
      <c r="M1484" t="s">
        <v>3203</v>
      </c>
      <c r="N1484">
        <v>1</v>
      </c>
      <c r="O1484" t="s">
        <v>30</v>
      </c>
      <c r="P1484" t="e">
        <v>#VALUE!</v>
      </c>
      <c r="Q1484" t="e">
        <v>#VALUE!</v>
      </c>
      <c r="R1484" t="s">
        <v>3205</v>
      </c>
      <c r="S1484" t="s">
        <v>16</v>
      </c>
    </row>
    <row r="1485" spans="1:19" x14ac:dyDescent="0.3">
      <c r="A1485" t="s">
        <v>1087</v>
      </c>
      <c r="B1485" t="s">
        <v>1596</v>
      </c>
      <c r="C1485" t="s">
        <v>2038</v>
      </c>
      <c r="D1485" t="s">
        <v>3189</v>
      </c>
      <c r="E1485" t="s">
        <v>9</v>
      </c>
      <c r="F1485" s="2">
        <v>34</v>
      </c>
      <c r="G1485" t="s">
        <v>3206</v>
      </c>
      <c r="H1485" t="s">
        <v>51</v>
      </c>
      <c r="I1485" t="s">
        <v>11</v>
      </c>
      <c r="J1485" t="s">
        <v>3198</v>
      </c>
      <c r="K1485" t="s">
        <v>15</v>
      </c>
      <c r="L1485" s="2">
        <v>33</v>
      </c>
      <c r="M1485" t="s">
        <v>3203</v>
      </c>
      <c r="N1485">
        <v>1</v>
      </c>
      <c r="O1485" t="s">
        <v>30</v>
      </c>
      <c r="P1485" t="e">
        <v>#VALUE!</v>
      </c>
      <c r="Q1485" t="e">
        <v>#VALUE!</v>
      </c>
      <c r="R1485" t="s">
        <v>3205</v>
      </c>
      <c r="S1485" t="s">
        <v>16</v>
      </c>
    </row>
    <row r="1486" spans="1:19" x14ac:dyDescent="0.3">
      <c r="A1486" t="s">
        <v>1088</v>
      </c>
      <c r="B1486" t="s">
        <v>1596</v>
      </c>
      <c r="C1486" t="s">
        <v>2808</v>
      </c>
      <c r="D1486" t="s">
        <v>3189</v>
      </c>
      <c r="E1486" t="s">
        <v>9</v>
      </c>
      <c r="F1486" s="2">
        <v>25</v>
      </c>
      <c r="G1486" t="s">
        <v>3206</v>
      </c>
      <c r="H1486" t="s">
        <v>69</v>
      </c>
      <c r="I1486" t="s">
        <v>28</v>
      </c>
      <c r="J1486" t="s">
        <v>3212</v>
      </c>
      <c r="K1486" t="s">
        <v>15</v>
      </c>
      <c r="L1486" s="2">
        <v>33</v>
      </c>
      <c r="M1486" t="s">
        <v>3203</v>
      </c>
      <c r="N1486">
        <v>1</v>
      </c>
      <c r="O1486" t="s">
        <v>30</v>
      </c>
      <c r="P1486" t="e">
        <v>#VALUE!</v>
      </c>
      <c r="Q1486" t="e">
        <v>#VALUE!</v>
      </c>
      <c r="R1486" t="s">
        <v>3201</v>
      </c>
      <c r="S1486" t="s">
        <v>13</v>
      </c>
    </row>
    <row r="1487" spans="1:19" x14ac:dyDescent="0.3">
      <c r="A1487" t="s">
        <v>247</v>
      </c>
      <c r="B1487" t="s">
        <v>1596</v>
      </c>
      <c r="C1487" t="s">
        <v>2809</v>
      </c>
      <c r="D1487" t="s">
        <v>3189</v>
      </c>
      <c r="E1487" t="s">
        <v>9</v>
      </c>
      <c r="F1487" s="2">
        <v>32</v>
      </c>
      <c r="G1487" t="s">
        <v>3206</v>
      </c>
      <c r="H1487" t="s">
        <v>69</v>
      </c>
      <c r="I1487" t="s">
        <v>11</v>
      </c>
      <c r="J1487" t="s">
        <v>3198</v>
      </c>
      <c r="K1487" t="s">
        <v>15</v>
      </c>
      <c r="L1487" s="2">
        <v>33</v>
      </c>
      <c r="M1487" t="s">
        <v>3203</v>
      </c>
      <c r="N1487">
        <v>1</v>
      </c>
      <c r="O1487" t="s">
        <v>30</v>
      </c>
      <c r="P1487" t="e">
        <v>#VALUE!</v>
      </c>
      <c r="Q1487" t="e">
        <v>#VALUE!</v>
      </c>
      <c r="R1487" t="s">
        <v>3201</v>
      </c>
      <c r="S1487" t="s">
        <v>13</v>
      </c>
    </row>
    <row r="1488" spans="1:19" x14ac:dyDescent="0.3">
      <c r="A1488" t="s">
        <v>1089</v>
      </c>
      <c r="B1488" t="s">
        <v>1596</v>
      </c>
      <c r="C1488" t="s">
        <v>2810</v>
      </c>
      <c r="D1488" t="s">
        <v>3189</v>
      </c>
      <c r="E1488" t="s">
        <v>9</v>
      </c>
      <c r="F1488" s="2">
        <v>45</v>
      </c>
      <c r="G1488" t="s">
        <v>3197</v>
      </c>
      <c r="H1488" t="s">
        <v>69</v>
      </c>
      <c r="I1488" t="s">
        <v>11</v>
      </c>
      <c r="J1488" t="s">
        <v>3198</v>
      </c>
      <c r="K1488" t="s">
        <v>15</v>
      </c>
      <c r="L1488" s="2">
        <v>33</v>
      </c>
      <c r="M1488" t="s">
        <v>3203</v>
      </c>
      <c r="N1488">
        <v>1</v>
      </c>
      <c r="O1488" t="s">
        <v>30</v>
      </c>
      <c r="P1488" t="e">
        <v>#VALUE!</v>
      </c>
      <c r="Q1488" t="e">
        <v>#VALUE!</v>
      </c>
      <c r="R1488" t="s">
        <v>3201</v>
      </c>
      <c r="S1488" t="s">
        <v>13</v>
      </c>
    </row>
    <row r="1489" spans="1:19" x14ac:dyDescent="0.3">
      <c r="A1489" t="s">
        <v>1090</v>
      </c>
      <c r="B1489" t="s">
        <v>1596</v>
      </c>
      <c r="C1489" t="s">
        <v>1630</v>
      </c>
      <c r="D1489" t="s">
        <v>3189</v>
      </c>
      <c r="E1489" t="s">
        <v>9</v>
      </c>
      <c r="F1489" s="2">
        <v>26</v>
      </c>
      <c r="G1489" t="s">
        <v>3206</v>
      </c>
      <c r="H1489" t="s">
        <v>51</v>
      </c>
      <c r="I1489" t="s">
        <v>11</v>
      </c>
      <c r="J1489" t="s">
        <v>3198</v>
      </c>
      <c r="K1489" t="s">
        <v>15</v>
      </c>
      <c r="L1489" s="2">
        <v>33</v>
      </c>
      <c r="M1489" t="s">
        <v>3203</v>
      </c>
      <c r="N1489">
        <v>1</v>
      </c>
      <c r="O1489" t="s">
        <v>30</v>
      </c>
      <c r="P1489" t="e">
        <v>#VALUE!</v>
      </c>
      <c r="Q1489" t="e">
        <v>#VALUE!</v>
      </c>
      <c r="R1489" t="s">
        <v>3201</v>
      </c>
      <c r="S1489" t="s">
        <v>13</v>
      </c>
    </row>
    <row r="1490" spans="1:19" x14ac:dyDescent="0.3">
      <c r="A1490" t="s">
        <v>1090</v>
      </c>
      <c r="B1490" t="s">
        <v>1596</v>
      </c>
      <c r="C1490" t="s">
        <v>2793</v>
      </c>
      <c r="D1490" t="s">
        <v>3189</v>
      </c>
      <c r="E1490" t="s">
        <v>9</v>
      </c>
      <c r="F1490" s="2">
        <v>26</v>
      </c>
      <c r="G1490" t="s">
        <v>3206</v>
      </c>
      <c r="H1490" t="s">
        <v>51</v>
      </c>
      <c r="I1490" t="s">
        <v>11</v>
      </c>
      <c r="J1490" t="s">
        <v>3198</v>
      </c>
      <c r="K1490" t="s">
        <v>15</v>
      </c>
      <c r="L1490" s="2">
        <v>33</v>
      </c>
      <c r="M1490" t="s">
        <v>3203</v>
      </c>
      <c r="N1490">
        <v>1</v>
      </c>
      <c r="O1490" t="s">
        <v>30</v>
      </c>
      <c r="P1490" t="e">
        <v>#VALUE!</v>
      </c>
      <c r="Q1490" t="e">
        <v>#VALUE!</v>
      </c>
      <c r="R1490" t="s">
        <v>3201</v>
      </c>
      <c r="S1490" t="s">
        <v>13</v>
      </c>
    </row>
    <row r="1491" spans="1:19" x14ac:dyDescent="0.3">
      <c r="A1491" t="s">
        <v>1091</v>
      </c>
      <c r="B1491" t="s">
        <v>1596</v>
      </c>
      <c r="C1491" t="s">
        <v>2811</v>
      </c>
      <c r="D1491" t="s">
        <v>3189</v>
      </c>
      <c r="E1491" t="s">
        <v>9</v>
      </c>
      <c r="F1491" s="2">
        <v>28</v>
      </c>
      <c r="G1491" t="s">
        <v>3206</v>
      </c>
      <c r="H1491" t="s">
        <v>51</v>
      </c>
      <c r="I1491" t="s">
        <v>11</v>
      </c>
      <c r="J1491" t="s">
        <v>3198</v>
      </c>
      <c r="K1491" t="s">
        <v>15</v>
      </c>
      <c r="L1491" s="2">
        <v>33</v>
      </c>
      <c r="M1491" t="s">
        <v>3203</v>
      </c>
      <c r="N1491">
        <v>1</v>
      </c>
      <c r="O1491" t="s">
        <v>30</v>
      </c>
      <c r="P1491" t="e">
        <v>#VALUE!</v>
      </c>
      <c r="Q1491" t="e">
        <v>#VALUE!</v>
      </c>
      <c r="R1491" t="s">
        <v>3201</v>
      </c>
      <c r="S1491" t="s">
        <v>13</v>
      </c>
    </row>
    <row r="1492" spans="1:19" x14ac:dyDescent="0.3">
      <c r="A1492" t="s">
        <v>1092</v>
      </c>
      <c r="B1492" t="s">
        <v>1596</v>
      </c>
      <c r="C1492" t="s">
        <v>2812</v>
      </c>
      <c r="D1492" t="s">
        <v>3189</v>
      </c>
      <c r="E1492" t="s">
        <v>9</v>
      </c>
      <c r="F1492" s="2">
        <v>27</v>
      </c>
      <c r="G1492" t="s">
        <v>3206</v>
      </c>
      <c r="H1492" t="s">
        <v>69</v>
      </c>
      <c r="I1492" t="s">
        <v>11</v>
      </c>
      <c r="J1492" t="s">
        <v>3198</v>
      </c>
      <c r="K1492" t="s">
        <v>15</v>
      </c>
      <c r="L1492" s="2">
        <v>33</v>
      </c>
      <c r="M1492" t="s">
        <v>3203</v>
      </c>
      <c r="N1492">
        <v>1</v>
      </c>
      <c r="O1492" t="s">
        <v>30</v>
      </c>
      <c r="P1492" t="e">
        <v>#VALUE!</v>
      </c>
      <c r="Q1492" t="e">
        <v>#VALUE!</v>
      </c>
      <c r="R1492" t="s">
        <v>3201</v>
      </c>
      <c r="S1492" t="s">
        <v>13</v>
      </c>
    </row>
    <row r="1493" spans="1:19" x14ac:dyDescent="0.3">
      <c r="A1493" t="s">
        <v>1093</v>
      </c>
      <c r="B1493" t="s">
        <v>1596</v>
      </c>
      <c r="C1493" t="s">
        <v>2813</v>
      </c>
      <c r="D1493" t="s">
        <v>3189</v>
      </c>
      <c r="E1493" t="s">
        <v>9</v>
      </c>
      <c r="F1493" s="2">
        <v>33</v>
      </c>
      <c r="G1493" t="s">
        <v>3206</v>
      </c>
      <c r="H1493" t="s">
        <v>51</v>
      </c>
      <c r="I1493" t="s">
        <v>11</v>
      </c>
      <c r="J1493" t="s">
        <v>3198</v>
      </c>
      <c r="K1493" t="s">
        <v>15</v>
      </c>
      <c r="L1493" s="2">
        <v>33</v>
      </c>
      <c r="M1493" t="s">
        <v>3203</v>
      </c>
      <c r="N1493">
        <v>1</v>
      </c>
      <c r="O1493" t="s">
        <v>30</v>
      </c>
      <c r="P1493" t="e">
        <v>#VALUE!</v>
      </c>
      <c r="Q1493" t="e">
        <v>#VALUE!</v>
      </c>
      <c r="R1493" t="s">
        <v>3201</v>
      </c>
      <c r="S1493" t="s">
        <v>13</v>
      </c>
    </row>
    <row r="1494" spans="1:19" x14ac:dyDescent="0.3">
      <c r="A1494" t="s">
        <v>1094</v>
      </c>
      <c r="B1494" t="s">
        <v>1596</v>
      </c>
      <c r="C1494" t="s">
        <v>2814</v>
      </c>
      <c r="D1494" t="s">
        <v>3189</v>
      </c>
      <c r="E1494" t="s">
        <v>9</v>
      </c>
      <c r="F1494" s="2">
        <v>19</v>
      </c>
      <c r="G1494" t="s">
        <v>3206</v>
      </c>
      <c r="H1494" t="s">
        <v>70</v>
      </c>
      <c r="I1494" t="s">
        <v>11</v>
      </c>
      <c r="J1494" t="s">
        <v>3198</v>
      </c>
      <c r="K1494" t="s">
        <v>15</v>
      </c>
      <c r="L1494" s="2">
        <v>33</v>
      </c>
      <c r="M1494" t="s">
        <v>3203</v>
      </c>
      <c r="N1494">
        <v>1</v>
      </c>
      <c r="O1494" t="s">
        <v>30</v>
      </c>
      <c r="P1494" t="e">
        <v>#VALUE!</v>
      </c>
      <c r="Q1494" t="e">
        <v>#VALUE!</v>
      </c>
      <c r="R1494" t="s">
        <v>3201</v>
      </c>
      <c r="S1494" t="s">
        <v>13</v>
      </c>
    </row>
    <row r="1495" spans="1:19" x14ac:dyDescent="0.3">
      <c r="A1495" t="s">
        <v>1095</v>
      </c>
      <c r="B1495" t="s">
        <v>1596</v>
      </c>
      <c r="C1495" t="s">
        <v>2373</v>
      </c>
      <c r="D1495" t="s">
        <v>3189</v>
      </c>
      <c r="E1495" t="s">
        <v>9</v>
      </c>
      <c r="F1495" s="2">
        <v>36</v>
      </c>
      <c r="G1495" t="s">
        <v>3197</v>
      </c>
      <c r="H1495" t="s">
        <v>51</v>
      </c>
      <c r="I1495" t="s">
        <v>11</v>
      </c>
      <c r="J1495" t="s">
        <v>3198</v>
      </c>
      <c r="K1495" t="s">
        <v>15</v>
      </c>
      <c r="L1495" s="2">
        <v>33</v>
      </c>
      <c r="M1495" t="s">
        <v>3203</v>
      </c>
      <c r="N1495">
        <v>1</v>
      </c>
      <c r="O1495" t="s">
        <v>30</v>
      </c>
      <c r="P1495" t="e">
        <v>#VALUE!</v>
      </c>
      <c r="Q1495" t="e">
        <v>#VALUE!</v>
      </c>
      <c r="R1495" t="s">
        <v>3201</v>
      </c>
      <c r="S1495" t="s">
        <v>13</v>
      </c>
    </row>
    <row r="1496" spans="1:19" x14ac:dyDescent="0.3">
      <c r="A1496" t="s">
        <v>1096</v>
      </c>
      <c r="B1496" t="s">
        <v>1596</v>
      </c>
      <c r="C1496" t="s">
        <v>1945</v>
      </c>
      <c r="D1496" t="s">
        <v>3189</v>
      </c>
      <c r="E1496" t="s">
        <v>9</v>
      </c>
      <c r="F1496" s="2">
        <v>28</v>
      </c>
      <c r="G1496" t="s">
        <v>3206</v>
      </c>
      <c r="H1496" t="s">
        <v>71</v>
      </c>
      <c r="I1496" t="s">
        <v>11</v>
      </c>
      <c r="J1496" t="s">
        <v>3198</v>
      </c>
      <c r="K1496" t="s">
        <v>15</v>
      </c>
      <c r="L1496" s="2">
        <v>33</v>
      </c>
      <c r="M1496" t="s">
        <v>3203</v>
      </c>
      <c r="N1496">
        <v>1</v>
      </c>
      <c r="O1496" t="s">
        <v>30</v>
      </c>
      <c r="P1496" t="e">
        <v>#VALUE!</v>
      </c>
      <c r="Q1496" t="e">
        <v>#VALUE!</v>
      </c>
      <c r="R1496" t="s">
        <v>3201</v>
      </c>
      <c r="S1496" t="s">
        <v>13</v>
      </c>
    </row>
    <row r="1497" spans="1:19" x14ac:dyDescent="0.3">
      <c r="A1497" t="s">
        <v>1096</v>
      </c>
      <c r="B1497" t="s">
        <v>1596</v>
      </c>
      <c r="C1497" t="s">
        <v>2755</v>
      </c>
      <c r="D1497" t="s">
        <v>3189</v>
      </c>
      <c r="E1497" t="s">
        <v>9</v>
      </c>
      <c r="F1497" s="2">
        <v>49</v>
      </c>
      <c r="G1497" t="s">
        <v>3197</v>
      </c>
      <c r="H1497" t="s">
        <v>51</v>
      </c>
      <c r="I1497" t="s">
        <v>11</v>
      </c>
      <c r="J1497" t="s">
        <v>3198</v>
      </c>
      <c r="K1497" t="s">
        <v>15</v>
      </c>
      <c r="L1497" s="2">
        <v>33</v>
      </c>
      <c r="M1497" t="s">
        <v>3203</v>
      </c>
      <c r="N1497">
        <v>1</v>
      </c>
      <c r="O1497" t="s">
        <v>30</v>
      </c>
      <c r="P1497" t="e">
        <v>#VALUE!</v>
      </c>
      <c r="Q1497" t="e">
        <v>#VALUE!</v>
      </c>
      <c r="R1497" t="s">
        <v>3201</v>
      </c>
      <c r="S1497" t="s">
        <v>13</v>
      </c>
    </row>
    <row r="1498" spans="1:19" x14ac:dyDescent="0.3">
      <c r="A1498" t="s">
        <v>1097</v>
      </c>
      <c r="B1498" t="s">
        <v>1596</v>
      </c>
      <c r="C1498" t="s">
        <v>2815</v>
      </c>
      <c r="D1498" t="s">
        <v>3189</v>
      </c>
      <c r="E1498" t="s">
        <v>9</v>
      </c>
      <c r="F1498" s="2">
        <v>30</v>
      </c>
      <c r="G1498" t="s">
        <v>3206</v>
      </c>
      <c r="H1498" t="s">
        <v>51</v>
      </c>
      <c r="I1498" t="s">
        <v>11</v>
      </c>
      <c r="J1498" t="s">
        <v>3198</v>
      </c>
      <c r="K1498" t="s">
        <v>15</v>
      </c>
      <c r="L1498" s="2">
        <v>33</v>
      </c>
      <c r="M1498" t="s">
        <v>3203</v>
      </c>
      <c r="N1498">
        <v>1</v>
      </c>
      <c r="O1498" t="s">
        <v>30</v>
      </c>
      <c r="P1498" t="e">
        <v>#VALUE!</v>
      </c>
      <c r="Q1498" t="e">
        <v>#VALUE!</v>
      </c>
      <c r="R1498" t="s">
        <v>3205</v>
      </c>
      <c r="S1498" t="s">
        <v>16</v>
      </c>
    </row>
    <row r="1499" spans="1:19" x14ac:dyDescent="0.3">
      <c r="A1499" t="s">
        <v>1098</v>
      </c>
      <c r="B1499" t="s">
        <v>1596</v>
      </c>
      <c r="C1499" t="s">
        <v>2816</v>
      </c>
      <c r="D1499" t="s">
        <v>3189</v>
      </c>
      <c r="E1499" t="s">
        <v>9</v>
      </c>
      <c r="F1499" s="2">
        <v>28</v>
      </c>
      <c r="G1499" t="s">
        <v>3206</v>
      </c>
      <c r="H1499" t="s">
        <v>70</v>
      </c>
      <c r="I1499" t="s">
        <v>11</v>
      </c>
      <c r="J1499" t="s">
        <v>3198</v>
      </c>
      <c r="K1499" t="s">
        <v>20</v>
      </c>
      <c r="L1499" s="2">
        <v>33</v>
      </c>
      <c r="M1499" t="s">
        <v>3203</v>
      </c>
      <c r="N1499">
        <v>1</v>
      </c>
      <c r="O1499" t="s">
        <v>30</v>
      </c>
      <c r="P1499" t="e">
        <v>#VALUE!</v>
      </c>
      <c r="Q1499" t="e">
        <v>#VALUE!</v>
      </c>
      <c r="R1499" t="s">
        <v>3201</v>
      </c>
      <c r="S1499" t="s">
        <v>13</v>
      </c>
    </row>
    <row r="1500" spans="1:19" x14ac:dyDescent="0.3">
      <c r="A1500" t="s">
        <v>1099</v>
      </c>
      <c r="B1500" t="s">
        <v>1596</v>
      </c>
      <c r="C1500" t="s">
        <v>2817</v>
      </c>
      <c r="D1500" t="s">
        <v>3189</v>
      </c>
      <c r="E1500" t="s">
        <v>9</v>
      </c>
      <c r="F1500" s="2">
        <v>30</v>
      </c>
      <c r="G1500" t="s">
        <v>3206</v>
      </c>
      <c r="H1500" t="s">
        <v>69</v>
      </c>
      <c r="I1500" t="s">
        <v>11</v>
      </c>
      <c r="J1500" t="s">
        <v>3198</v>
      </c>
      <c r="K1500" t="s">
        <v>15</v>
      </c>
      <c r="L1500" s="2">
        <v>33</v>
      </c>
      <c r="M1500" t="s">
        <v>3203</v>
      </c>
      <c r="N1500">
        <v>1</v>
      </c>
      <c r="O1500" t="s">
        <v>30</v>
      </c>
      <c r="P1500" t="e">
        <v>#VALUE!</v>
      </c>
      <c r="Q1500" t="e">
        <v>#VALUE!</v>
      </c>
      <c r="R1500" t="s">
        <v>3201</v>
      </c>
      <c r="S1500" t="s">
        <v>13</v>
      </c>
    </row>
    <row r="1501" spans="1:19" x14ac:dyDescent="0.3">
      <c r="A1501" t="s">
        <v>1100</v>
      </c>
      <c r="B1501" t="s">
        <v>1596</v>
      </c>
      <c r="C1501" t="s">
        <v>2818</v>
      </c>
      <c r="D1501" t="s">
        <v>3189</v>
      </c>
      <c r="E1501" t="s">
        <v>9</v>
      </c>
      <c r="F1501" s="2">
        <v>27</v>
      </c>
      <c r="G1501" t="s">
        <v>3206</v>
      </c>
      <c r="H1501" t="s">
        <v>51</v>
      </c>
      <c r="I1501" t="s">
        <v>28</v>
      </c>
      <c r="J1501" t="s">
        <v>3212</v>
      </c>
      <c r="K1501" t="s">
        <v>15</v>
      </c>
      <c r="L1501" s="2">
        <v>33</v>
      </c>
      <c r="M1501" t="s">
        <v>3203</v>
      </c>
      <c r="N1501">
        <v>1</v>
      </c>
      <c r="O1501" t="s">
        <v>30</v>
      </c>
      <c r="P1501" t="e">
        <v>#VALUE!</v>
      </c>
      <c r="Q1501" t="e">
        <v>#VALUE!</v>
      </c>
      <c r="R1501" t="s">
        <v>3201</v>
      </c>
      <c r="S1501" t="s">
        <v>13</v>
      </c>
    </row>
    <row r="1502" spans="1:19" x14ac:dyDescent="0.3">
      <c r="A1502" t="s">
        <v>1101</v>
      </c>
      <c r="B1502" t="s">
        <v>1596</v>
      </c>
      <c r="C1502" t="s">
        <v>1703</v>
      </c>
      <c r="D1502" t="s">
        <v>3189</v>
      </c>
      <c r="E1502" t="s">
        <v>9</v>
      </c>
      <c r="F1502" s="2">
        <v>23</v>
      </c>
      <c r="G1502" t="s">
        <v>3206</v>
      </c>
      <c r="H1502" t="s">
        <v>51</v>
      </c>
      <c r="I1502" t="s">
        <v>11</v>
      </c>
      <c r="J1502" t="s">
        <v>3198</v>
      </c>
      <c r="K1502" t="s">
        <v>15</v>
      </c>
      <c r="L1502" s="2">
        <v>33</v>
      </c>
      <c r="M1502" t="s">
        <v>3203</v>
      </c>
      <c r="N1502">
        <v>1</v>
      </c>
      <c r="O1502" t="s">
        <v>30</v>
      </c>
      <c r="P1502" t="e">
        <v>#VALUE!</v>
      </c>
      <c r="Q1502" t="e">
        <v>#VALUE!</v>
      </c>
      <c r="R1502" t="s">
        <v>3201</v>
      </c>
      <c r="S1502" t="s">
        <v>13</v>
      </c>
    </row>
    <row r="1503" spans="1:19" x14ac:dyDescent="0.3">
      <c r="A1503" t="s">
        <v>1102</v>
      </c>
      <c r="B1503" t="s">
        <v>1596</v>
      </c>
      <c r="C1503" t="s">
        <v>2819</v>
      </c>
      <c r="D1503" t="s">
        <v>3189</v>
      </c>
      <c r="E1503" t="s">
        <v>9</v>
      </c>
      <c r="F1503" s="2">
        <v>20</v>
      </c>
      <c r="G1503" t="s">
        <v>3206</v>
      </c>
      <c r="H1503" t="s">
        <v>69</v>
      </c>
      <c r="I1503" t="s">
        <v>11</v>
      </c>
      <c r="J1503" t="s">
        <v>3198</v>
      </c>
      <c r="K1503" t="s">
        <v>15</v>
      </c>
      <c r="L1503" s="2">
        <v>33</v>
      </c>
      <c r="M1503" t="s">
        <v>3203</v>
      </c>
      <c r="N1503">
        <v>1</v>
      </c>
      <c r="O1503" t="s">
        <v>30</v>
      </c>
      <c r="P1503" t="e">
        <v>#VALUE!</v>
      </c>
      <c r="Q1503" t="e">
        <v>#VALUE!</v>
      </c>
      <c r="R1503" t="s">
        <v>3205</v>
      </c>
      <c r="S1503" t="s">
        <v>16</v>
      </c>
    </row>
    <row r="1504" spans="1:19" x14ac:dyDescent="0.3">
      <c r="A1504" t="s">
        <v>1103</v>
      </c>
      <c r="B1504" t="s">
        <v>1596</v>
      </c>
      <c r="C1504" t="s">
        <v>2820</v>
      </c>
      <c r="D1504" t="s">
        <v>3189</v>
      </c>
      <c r="E1504" t="s">
        <v>9</v>
      </c>
      <c r="F1504" s="2">
        <v>43</v>
      </c>
      <c r="G1504" t="s">
        <v>3197</v>
      </c>
      <c r="H1504" t="s">
        <v>69</v>
      </c>
      <c r="I1504" t="s">
        <v>28</v>
      </c>
      <c r="J1504" t="s">
        <v>3212</v>
      </c>
      <c r="K1504" t="s">
        <v>15</v>
      </c>
      <c r="L1504" s="2">
        <v>33</v>
      </c>
      <c r="M1504" t="s">
        <v>3203</v>
      </c>
      <c r="N1504">
        <v>1</v>
      </c>
      <c r="O1504" t="s">
        <v>30</v>
      </c>
      <c r="P1504" t="e">
        <v>#VALUE!</v>
      </c>
      <c r="Q1504" t="e">
        <v>#VALUE!</v>
      </c>
      <c r="R1504" t="s">
        <v>3205</v>
      </c>
      <c r="S1504" t="s">
        <v>16</v>
      </c>
    </row>
    <row r="1505" spans="1:19" x14ac:dyDescent="0.3">
      <c r="A1505" t="s">
        <v>1104</v>
      </c>
      <c r="B1505" t="s">
        <v>1596</v>
      </c>
      <c r="C1505" t="s">
        <v>2821</v>
      </c>
      <c r="D1505" t="s">
        <v>3189</v>
      </c>
      <c r="E1505" t="s">
        <v>9</v>
      </c>
      <c r="F1505" s="2">
        <v>45</v>
      </c>
      <c r="G1505" t="s">
        <v>3197</v>
      </c>
      <c r="H1505" t="s">
        <v>51</v>
      </c>
      <c r="I1505" t="s">
        <v>28</v>
      </c>
      <c r="J1505" t="s">
        <v>3212</v>
      </c>
      <c r="K1505" t="s">
        <v>15</v>
      </c>
      <c r="L1505" s="2">
        <v>33</v>
      </c>
      <c r="M1505" t="s">
        <v>3203</v>
      </c>
      <c r="N1505">
        <v>1</v>
      </c>
      <c r="O1505" t="s">
        <v>30</v>
      </c>
      <c r="P1505" t="e">
        <v>#VALUE!</v>
      </c>
      <c r="Q1505" t="e">
        <v>#VALUE!</v>
      </c>
      <c r="R1505" t="s">
        <v>3201</v>
      </c>
      <c r="S1505" t="s">
        <v>13</v>
      </c>
    </row>
    <row r="1506" spans="1:19" x14ac:dyDescent="0.3">
      <c r="A1506" t="s">
        <v>1105</v>
      </c>
      <c r="B1506" t="s">
        <v>1596</v>
      </c>
      <c r="C1506" t="s">
        <v>1965</v>
      </c>
      <c r="D1506" t="s">
        <v>3189</v>
      </c>
      <c r="E1506" t="s">
        <v>9</v>
      </c>
      <c r="F1506" s="2">
        <v>21</v>
      </c>
      <c r="G1506" t="s">
        <v>3206</v>
      </c>
      <c r="H1506" t="s">
        <v>51</v>
      </c>
      <c r="I1506" t="s">
        <v>11</v>
      </c>
      <c r="J1506" t="s">
        <v>3198</v>
      </c>
      <c r="K1506" t="s">
        <v>15</v>
      </c>
      <c r="L1506" s="2">
        <v>33</v>
      </c>
      <c r="M1506" t="s">
        <v>3203</v>
      </c>
      <c r="N1506">
        <v>1</v>
      </c>
      <c r="O1506" t="s">
        <v>30</v>
      </c>
      <c r="P1506" t="e">
        <v>#VALUE!</v>
      </c>
      <c r="Q1506" t="e">
        <v>#VALUE!</v>
      </c>
      <c r="R1506" t="s">
        <v>3205</v>
      </c>
      <c r="S1506" t="s">
        <v>16</v>
      </c>
    </row>
    <row r="1507" spans="1:19" x14ac:dyDescent="0.3">
      <c r="A1507" t="s">
        <v>1106</v>
      </c>
      <c r="B1507" t="s">
        <v>1596</v>
      </c>
      <c r="C1507" t="s">
        <v>1619</v>
      </c>
      <c r="D1507" t="s">
        <v>3189</v>
      </c>
      <c r="E1507" t="s">
        <v>9</v>
      </c>
      <c r="F1507" s="2">
        <v>33</v>
      </c>
      <c r="G1507" t="s">
        <v>3206</v>
      </c>
      <c r="H1507" t="s">
        <v>69</v>
      </c>
      <c r="I1507" t="s">
        <v>11</v>
      </c>
      <c r="J1507" t="s">
        <v>3198</v>
      </c>
      <c r="K1507" t="s">
        <v>15</v>
      </c>
      <c r="L1507" s="2">
        <v>33</v>
      </c>
      <c r="M1507" t="s">
        <v>3203</v>
      </c>
      <c r="N1507">
        <v>1</v>
      </c>
      <c r="O1507" t="s">
        <v>30</v>
      </c>
      <c r="P1507" t="e">
        <v>#VALUE!</v>
      </c>
      <c r="Q1507" t="e">
        <v>#VALUE!</v>
      </c>
      <c r="R1507" t="s">
        <v>3201</v>
      </c>
      <c r="S1507" t="s">
        <v>13</v>
      </c>
    </row>
    <row r="1508" spans="1:19" x14ac:dyDescent="0.3">
      <c r="A1508" t="s">
        <v>1107</v>
      </c>
      <c r="B1508" t="s">
        <v>1596</v>
      </c>
      <c r="C1508" t="s">
        <v>2822</v>
      </c>
      <c r="D1508" t="s">
        <v>3189</v>
      </c>
      <c r="E1508" t="s">
        <v>9</v>
      </c>
      <c r="F1508" s="2">
        <v>39</v>
      </c>
      <c r="G1508" t="s">
        <v>3197</v>
      </c>
      <c r="H1508" t="s">
        <v>69</v>
      </c>
      <c r="I1508" t="s">
        <v>28</v>
      </c>
      <c r="J1508" t="s">
        <v>3212</v>
      </c>
      <c r="K1508" t="s">
        <v>15</v>
      </c>
      <c r="L1508" s="2">
        <v>33</v>
      </c>
      <c r="M1508" t="s">
        <v>3203</v>
      </c>
      <c r="N1508">
        <v>1</v>
      </c>
      <c r="O1508" t="s">
        <v>30</v>
      </c>
      <c r="P1508" t="e">
        <v>#VALUE!</v>
      </c>
      <c r="Q1508" t="e">
        <v>#VALUE!</v>
      </c>
      <c r="R1508" t="s">
        <v>3201</v>
      </c>
      <c r="S1508" t="s">
        <v>13</v>
      </c>
    </row>
    <row r="1509" spans="1:19" x14ac:dyDescent="0.3">
      <c r="A1509" t="s">
        <v>1108</v>
      </c>
      <c r="B1509" t="s">
        <v>1596</v>
      </c>
      <c r="C1509" t="s">
        <v>2823</v>
      </c>
      <c r="D1509" t="s">
        <v>3189</v>
      </c>
      <c r="E1509" t="s">
        <v>9</v>
      </c>
      <c r="F1509" s="2">
        <v>45</v>
      </c>
      <c r="G1509" t="s">
        <v>3197</v>
      </c>
      <c r="H1509" t="s">
        <v>69</v>
      </c>
      <c r="I1509" t="s">
        <v>11</v>
      </c>
      <c r="J1509" t="s">
        <v>3198</v>
      </c>
      <c r="K1509" t="s">
        <v>15</v>
      </c>
      <c r="L1509" s="2">
        <v>33</v>
      </c>
      <c r="M1509" t="s">
        <v>3203</v>
      </c>
      <c r="N1509">
        <v>1</v>
      </c>
      <c r="O1509" t="s">
        <v>30</v>
      </c>
      <c r="P1509" t="e">
        <v>#VALUE!</v>
      </c>
      <c r="Q1509" t="e">
        <v>#VALUE!</v>
      </c>
      <c r="R1509" t="s">
        <v>3201</v>
      </c>
      <c r="S1509" t="s">
        <v>13</v>
      </c>
    </row>
    <row r="1510" spans="1:19" x14ac:dyDescent="0.3">
      <c r="A1510" t="s">
        <v>1109</v>
      </c>
      <c r="B1510" t="s">
        <v>1596</v>
      </c>
      <c r="C1510" t="s">
        <v>1754</v>
      </c>
      <c r="D1510" t="s">
        <v>3189</v>
      </c>
      <c r="E1510" t="s">
        <v>9</v>
      </c>
      <c r="F1510" s="2">
        <v>44</v>
      </c>
      <c r="G1510" t="s">
        <v>3197</v>
      </c>
      <c r="H1510" t="s">
        <v>51</v>
      </c>
      <c r="I1510" t="s">
        <v>11</v>
      </c>
      <c r="J1510" t="s">
        <v>3198</v>
      </c>
      <c r="K1510" t="s">
        <v>15</v>
      </c>
      <c r="L1510" s="2">
        <v>33</v>
      </c>
      <c r="M1510" t="s">
        <v>3203</v>
      </c>
      <c r="N1510">
        <v>1</v>
      </c>
      <c r="O1510" t="s">
        <v>30</v>
      </c>
      <c r="P1510" t="e">
        <v>#VALUE!</v>
      </c>
      <c r="Q1510" t="e">
        <v>#VALUE!</v>
      </c>
      <c r="R1510" t="s">
        <v>3201</v>
      </c>
      <c r="S1510" t="s">
        <v>13</v>
      </c>
    </row>
    <row r="1511" spans="1:19" x14ac:dyDescent="0.3">
      <c r="A1511" t="s">
        <v>1110</v>
      </c>
      <c r="B1511" t="s">
        <v>2719</v>
      </c>
      <c r="C1511" t="s">
        <v>1968</v>
      </c>
      <c r="D1511" t="s">
        <v>3189</v>
      </c>
      <c r="E1511" t="s">
        <v>9</v>
      </c>
      <c r="F1511" s="2">
        <v>17</v>
      </c>
      <c r="G1511" t="s">
        <v>3202</v>
      </c>
      <c r="H1511" t="s">
        <v>70</v>
      </c>
      <c r="I1511" t="s">
        <v>11</v>
      </c>
      <c r="J1511" t="s">
        <v>3198</v>
      </c>
      <c r="K1511" t="s">
        <v>15</v>
      </c>
      <c r="L1511" s="2">
        <v>33</v>
      </c>
      <c r="M1511" t="s">
        <v>3203</v>
      </c>
      <c r="N1511">
        <v>1</v>
      </c>
      <c r="O1511" t="s">
        <v>30</v>
      </c>
      <c r="P1511" t="e">
        <v>#VALUE!</v>
      </c>
      <c r="Q1511" t="e">
        <v>#VALUE!</v>
      </c>
      <c r="R1511" t="s">
        <v>3201</v>
      </c>
      <c r="S1511" t="s">
        <v>13</v>
      </c>
    </row>
    <row r="1512" spans="1:19" x14ac:dyDescent="0.3">
      <c r="A1512" t="s">
        <v>1111</v>
      </c>
      <c r="B1512" t="s">
        <v>1596</v>
      </c>
      <c r="C1512" t="s">
        <v>2603</v>
      </c>
      <c r="D1512" t="s">
        <v>3189</v>
      </c>
      <c r="E1512" t="s">
        <v>9</v>
      </c>
      <c r="F1512" s="2">
        <v>30</v>
      </c>
      <c r="G1512" t="s">
        <v>3206</v>
      </c>
      <c r="H1512" t="s">
        <v>69</v>
      </c>
      <c r="I1512" t="s">
        <v>11</v>
      </c>
      <c r="J1512" t="s">
        <v>3198</v>
      </c>
      <c r="K1512" t="s">
        <v>15</v>
      </c>
      <c r="L1512" s="2">
        <v>33</v>
      </c>
      <c r="M1512" t="s">
        <v>3203</v>
      </c>
      <c r="N1512">
        <v>1</v>
      </c>
      <c r="O1512" t="s">
        <v>30</v>
      </c>
      <c r="P1512" t="e">
        <v>#VALUE!</v>
      </c>
      <c r="Q1512" t="e">
        <v>#VALUE!</v>
      </c>
      <c r="R1512" t="s">
        <v>3205</v>
      </c>
      <c r="S1512" t="s">
        <v>16</v>
      </c>
    </row>
    <row r="1513" spans="1:19" x14ac:dyDescent="0.3">
      <c r="A1513" t="s">
        <v>1112</v>
      </c>
      <c r="B1513" t="s">
        <v>1596</v>
      </c>
      <c r="C1513" t="s">
        <v>2824</v>
      </c>
      <c r="D1513" t="s">
        <v>3189</v>
      </c>
      <c r="E1513" t="s">
        <v>9</v>
      </c>
      <c r="F1513" s="2">
        <v>35</v>
      </c>
      <c r="G1513" t="s">
        <v>3206</v>
      </c>
      <c r="H1513" t="s">
        <v>69</v>
      </c>
      <c r="I1513" t="s">
        <v>28</v>
      </c>
      <c r="J1513" t="s">
        <v>3212</v>
      </c>
      <c r="K1513" t="s">
        <v>15</v>
      </c>
      <c r="L1513" s="2">
        <v>33</v>
      </c>
      <c r="M1513" t="s">
        <v>3203</v>
      </c>
      <c r="N1513">
        <v>1</v>
      </c>
      <c r="O1513" t="s">
        <v>30</v>
      </c>
      <c r="P1513" t="e">
        <v>#VALUE!</v>
      </c>
      <c r="Q1513" t="e">
        <v>#VALUE!</v>
      </c>
      <c r="R1513" t="s">
        <v>3201</v>
      </c>
      <c r="S1513" t="s">
        <v>13</v>
      </c>
    </row>
    <row r="1514" spans="1:19" x14ac:dyDescent="0.3">
      <c r="A1514" t="s">
        <v>1113</v>
      </c>
      <c r="B1514" t="s">
        <v>1596</v>
      </c>
      <c r="C1514" t="s">
        <v>2825</v>
      </c>
      <c r="D1514" t="s">
        <v>3189</v>
      </c>
      <c r="E1514" t="s">
        <v>9</v>
      </c>
      <c r="F1514" s="2">
        <v>49</v>
      </c>
      <c r="G1514" t="s">
        <v>3197</v>
      </c>
      <c r="H1514" t="s">
        <v>69</v>
      </c>
      <c r="I1514" t="s">
        <v>28</v>
      </c>
      <c r="J1514" t="s">
        <v>3212</v>
      </c>
      <c r="K1514" t="s">
        <v>15</v>
      </c>
      <c r="L1514" s="2">
        <v>33</v>
      </c>
      <c r="M1514" t="s">
        <v>3203</v>
      </c>
      <c r="N1514">
        <v>1</v>
      </c>
      <c r="O1514" t="s">
        <v>30</v>
      </c>
      <c r="P1514" t="e">
        <v>#VALUE!</v>
      </c>
      <c r="Q1514" t="e">
        <v>#VALUE!</v>
      </c>
      <c r="R1514" t="s">
        <v>3205</v>
      </c>
      <c r="S1514" t="s">
        <v>16</v>
      </c>
    </row>
    <row r="1515" spans="1:19" x14ac:dyDescent="0.3">
      <c r="A1515" t="s">
        <v>263</v>
      </c>
      <c r="B1515" t="s">
        <v>1596</v>
      </c>
      <c r="C1515" t="s">
        <v>2826</v>
      </c>
      <c r="D1515" t="s">
        <v>3189</v>
      </c>
      <c r="E1515" t="s">
        <v>9</v>
      </c>
      <c r="F1515" s="2">
        <v>38</v>
      </c>
      <c r="G1515" t="s">
        <v>3197</v>
      </c>
      <c r="H1515" t="s">
        <v>69</v>
      </c>
      <c r="I1515" t="s">
        <v>28</v>
      </c>
      <c r="J1515" t="s">
        <v>3212</v>
      </c>
      <c r="K1515" t="s">
        <v>43</v>
      </c>
      <c r="L1515" s="2">
        <v>33</v>
      </c>
      <c r="M1515" t="s">
        <v>3203</v>
      </c>
      <c r="N1515">
        <v>1</v>
      </c>
      <c r="O1515" t="s">
        <v>30</v>
      </c>
      <c r="P1515" t="e">
        <v>#VALUE!</v>
      </c>
      <c r="Q1515" t="e">
        <v>#VALUE!</v>
      </c>
      <c r="R1515" t="s">
        <v>3205</v>
      </c>
      <c r="S1515" t="s">
        <v>16</v>
      </c>
    </row>
    <row r="1516" spans="1:19" x14ac:dyDescent="0.3">
      <c r="A1516" t="s">
        <v>263</v>
      </c>
      <c r="B1516" t="s">
        <v>1596</v>
      </c>
      <c r="C1516" t="s">
        <v>2296</v>
      </c>
      <c r="D1516" t="s">
        <v>3189</v>
      </c>
      <c r="E1516" t="s">
        <v>9</v>
      </c>
      <c r="F1516" s="2">
        <v>35</v>
      </c>
      <c r="G1516" t="s">
        <v>3206</v>
      </c>
      <c r="H1516" t="s">
        <v>51</v>
      </c>
      <c r="I1516" t="s">
        <v>11</v>
      </c>
      <c r="J1516" t="s">
        <v>3198</v>
      </c>
      <c r="K1516" t="s">
        <v>15</v>
      </c>
      <c r="L1516" s="2">
        <v>33</v>
      </c>
      <c r="M1516" t="s">
        <v>3203</v>
      </c>
      <c r="N1516">
        <v>1</v>
      </c>
      <c r="O1516" t="s">
        <v>30</v>
      </c>
      <c r="P1516" t="e">
        <v>#VALUE!</v>
      </c>
      <c r="Q1516" t="e">
        <v>#VALUE!</v>
      </c>
      <c r="R1516" t="s">
        <v>3201</v>
      </c>
      <c r="S1516" t="s">
        <v>13</v>
      </c>
    </row>
    <row r="1517" spans="1:19" x14ac:dyDescent="0.3">
      <c r="A1517" t="s">
        <v>1114</v>
      </c>
      <c r="B1517" t="s">
        <v>1596</v>
      </c>
      <c r="C1517" t="s">
        <v>1976</v>
      </c>
      <c r="D1517" t="s">
        <v>3189</v>
      </c>
      <c r="E1517" t="s">
        <v>9</v>
      </c>
      <c r="F1517" s="2">
        <v>26</v>
      </c>
      <c r="G1517" t="s">
        <v>3206</v>
      </c>
      <c r="H1517" t="s">
        <v>51</v>
      </c>
      <c r="I1517" t="s">
        <v>11</v>
      </c>
      <c r="J1517" t="s">
        <v>3198</v>
      </c>
      <c r="K1517" t="s">
        <v>15</v>
      </c>
      <c r="L1517" s="2">
        <v>33</v>
      </c>
      <c r="M1517" t="s">
        <v>3203</v>
      </c>
      <c r="N1517">
        <v>1</v>
      </c>
      <c r="O1517" t="s">
        <v>30</v>
      </c>
      <c r="P1517" t="e">
        <v>#VALUE!</v>
      </c>
      <c r="Q1517" t="e">
        <v>#VALUE!</v>
      </c>
      <c r="R1517" t="s">
        <v>3201</v>
      </c>
      <c r="S1517" t="s">
        <v>13</v>
      </c>
    </row>
    <row r="1518" spans="1:19" x14ac:dyDescent="0.3">
      <c r="A1518" t="s">
        <v>271</v>
      </c>
      <c r="B1518" t="s">
        <v>1596</v>
      </c>
      <c r="C1518" t="s">
        <v>2827</v>
      </c>
      <c r="D1518" t="s">
        <v>3189</v>
      </c>
      <c r="E1518" t="s">
        <v>9</v>
      </c>
      <c r="F1518" s="2">
        <v>18</v>
      </c>
      <c r="G1518" t="s">
        <v>3206</v>
      </c>
      <c r="H1518" t="s">
        <v>69</v>
      </c>
      <c r="I1518" t="s">
        <v>11</v>
      </c>
      <c r="J1518" t="s">
        <v>3198</v>
      </c>
      <c r="K1518" t="s">
        <v>15</v>
      </c>
      <c r="L1518" s="2">
        <v>33</v>
      </c>
      <c r="M1518" t="s">
        <v>3203</v>
      </c>
      <c r="N1518">
        <v>1</v>
      </c>
      <c r="O1518" t="s">
        <v>30</v>
      </c>
      <c r="P1518" t="e">
        <v>#VALUE!</v>
      </c>
      <c r="Q1518" t="e">
        <v>#VALUE!</v>
      </c>
      <c r="R1518" t="s">
        <v>3205</v>
      </c>
      <c r="S1518" t="s">
        <v>16</v>
      </c>
    </row>
    <row r="1519" spans="1:19" x14ac:dyDescent="0.3">
      <c r="A1519" t="s">
        <v>1115</v>
      </c>
      <c r="B1519" t="s">
        <v>1596</v>
      </c>
      <c r="C1519" t="s">
        <v>2828</v>
      </c>
      <c r="D1519" t="s">
        <v>3189</v>
      </c>
      <c r="E1519" t="s">
        <v>9</v>
      </c>
      <c r="F1519" s="2">
        <v>18</v>
      </c>
      <c r="G1519" t="s">
        <v>3206</v>
      </c>
      <c r="H1519" t="s">
        <v>69</v>
      </c>
      <c r="I1519" t="s">
        <v>11</v>
      </c>
      <c r="J1519" t="s">
        <v>3198</v>
      </c>
      <c r="K1519" t="s">
        <v>15</v>
      </c>
      <c r="L1519" s="2">
        <v>33</v>
      </c>
      <c r="M1519" t="s">
        <v>3203</v>
      </c>
      <c r="N1519">
        <v>1</v>
      </c>
      <c r="O1519" t="s">
        <v>30</v>
      </c>
      <c r="P1519" t="e">
        <v>#VALUE!</v>
      </c>
      <c r="Q1519" t="e">
        <v>#VALUE!</v>
      </c>
      <c r="R1519" t="s">
        <v>3201</v>
      </c>
      <c r="S1519" t="s">
        <v>13</v>
      </c>
    </row>
    <row r="1520" spans="1:19" x14ac:dyDescent="0.3">
      <c r="A1520" t="s">
        <v>274</v>
      </c>
      <c r="B1520" t="s">
        <v>1596</v>
      </c>
      <c r="C1520" t="s">
        <v>2829</v>
      </c>
      <c r="D1520" t="s">
        <v>3189</v>
      </c>
      <c r="E1520" t="s">
        <v>9</v>
      </c>
      <c r="F1520" s="2">
        <v>32</v>
      </c>
      <c r="G1520" t="s">
        <v>3206</v>
      </c>
      <c r="H1520" t="s">
        <v>69</v>
      </c>
      <c r="I1520" t="s">
        <v>28</v>
      </c>
      <c r="J1520" t="s">
        <v>3212</v>
      </c>
      <c r="K1520" t="s">
        <v>15</v>
      </c>
      <c r="L1520" s="2">
        <v>33</v>
      </c>
      <c r="M1520" t="s">
        <v>3203</v>
      </c>
      <c r="N1520">
        <v>1</v>
      </c>
      <c r="O1520" t="s">
        <v>30</v>
      </c>
      <c r="P1520" t="e">
        <v>#VALUE!</v>
      </c>
      <c r="Q1520" t="e">
        <v>#VALUE!</v>
      </c>
      <c r="R1520" t="s">
        <v>3201</v>
      </c>
      <c r="S1520" t="s">
        <v>13</v>
      </c>
    </row>
    <row r="1521" spans="1:19" x14ac:dyDescent="0.3">
      <c r="A1521" t="s">
        <v>274</v>
      </c>
      <c r="B1521" t="s">
        <v>1596</v>
      </c>
      <c r="C1521" t="s">
        <v>2830</v>
      </c>
      <c r="D1521" t="s">
        <v>3189</v>
      </c>
      <c r="E1521" t="s">
        <v>9</v>
      </c>
      <c r="F1521" s="2">
        <v>26</v>
      </c>
      <c r="G1521" t="s">
        <v>3206</v>
      </c>
      <c r="H1521" t="s">
        <v>69</v>
      </c>
      <c r="I1521" t="s">
        <v>28</v>
      </c>
      <c r="J1521" t="s">
        <v>3212</v>
      </c>
      <c r="K1521" t="s">
        <v>40</v>
      </c>
      <c r="L1521" s="2">
        <v>33</v>
      </c>
      <c r="M1521" t="s">
        <v>3203</v>
      </c>
      <c r="N1521">
        <v>1</v>
      </c>
      <c r="O1521" t="s">
        <v>30</v>
      </c>
      <c r="P1521" t="e">
        <v>#VALUE!</v>
      </c>
      <c r="Q1521" t="e">
        <v>#VALUE!</v>
      </c>
      <c r="R1521" t="s">
        <v>3201</v>
      </c>
      <c r="S1521" t="s">
        <v>13</v>
      </c>
    </row>
    <row r="1522" spans="1:19" x14ac:dyDescent="0.3">
      <c r="A1522" t="s">
        <v>274</v>
      </c>
      <c r="B1522" t="s">
        <v>1596</v>
      </c>
      <c r="C1522" t="s">
        <v>1645</v>
      </c>
      <c r="D1522" t="s">
        <v>3189</v>
      </c>
      <c r="E1522" t="s">
        <v>9</v>
      </c>
      <c r="F1522" s="2">
        <v>33</v>
      </c>
      <c r="G1522" t="s">
        <v>3206</v>
      </c>
      <c r="H1522" t="s">
        <v>51</v>
      </c>
      <c r="I1522" t="s">
        <v>11</v>
      </c>
      <c r="J1522" t="s">
        <v>3198</v>
      </c>
      <c r="K1522" t="s">
        <v>15</v>
      </c>
      <c r="L1522" s="2">
        <v>33</v>
      </c>
      <c r="M1522" t="s">
        <v>3203</v>
      </c>
      <c r="N1522">
        <v>1</v>
      </c>
      <c r="O1522" t="s">
        <v>30</v>
      </c>
      <c r="P1522" t="e">
        <v>#VALUE!</v>
      </c>
      <c r="Q1522" t="e">
        <v>#VALUE!</v>
      </c>
      <c r="R1522" t="s">
        <v>3201</v>
      </c>
      <c r="S1522" t="s">
        <v>13</v>
      </c>
    </row>
    <row r="1523" spans="1:19" x14ac:dyDescent="0.3">
      <c r="A1523" t="s">
        <v>275</v>
      </c>
      <c r="B1523" t="s">
        <v>1596</v>
      </c>
      <c r="C1523" t="s">
        <v>1610</v>
      </c>
      <c r="D1523" t="s">
        <v>3189</v>
      </c>
      <c r="E1523" t="s">
        <v>9</v>
      </c>
      <c r="F1523" s="2">
        <v>29</v>
      </c>
      <c r="G1523" t="s">
        <v>3206</v>
      </c>
      <c r="H1523" t="s">
        <v>69</v>
      </c>
      <c r="I1523" t="s">
        <v>28</v>
      </c>
      <c r="J1523" t="s">
        <v>3212</v>
      </c>
      <c r="K1523" t="s">
        <v>15</v>
      </c>
      <c r="L1523" s="2">
        <v>33</v>
      </c>
      <c r="M1523" t="s">
        <v>3203</v>
      </c>
      <c r="N1523">
        <v>1</v>
      </c>
      <c r="O1523" t="s">
        <v>30</v>
      </c>
      <c r="P1523" t="e">
        <v>#VALUE!</v>
      </c>
      <c r="Q1523" t="e">
        <v>#VALUE!</v>
      </c>
      <c r="R1523" t="s">
        <v>3201</v>
      </c>
      <c r="S1523" t="s">
        <v>13</v>
      </c>
    </row>
    <row r="1524" spans="1:19" x14ac:dyDescent="0.3">
      <c r="A1524" t="s">
        <v>275</v>
      </c>
      <c r="B1524" t="s">
        <v>1596</v>
      </c>
      <c r="C1524" t="s">
        <v>2831</v>
      </c>
      <c r="D1524" t="s">
        <v>3189</v>
      </c>
      <c r="E1524" t="s">
        <v>9</v>
      </c>
      <c r="F1524" s="2">
        <v>39</v>
      </c>
      <c r="G1524" t="s">
        <v>3197</v>
      </c>
      <c r="H1524" t="s">
        <v>71</v>
      </c>
      <c r="I1524" t="s">
        <v>11</v>
      </c>
      <c r="J1524" t="s">
        <v>3198</v>
      </c>
      <c r="K1524" t="s">
        <v>15</v>
      </c>
      <c r="L1524" s="2">
        <v>33</v>
      </c>
      <c r="M1524" t="s">
        <v>3203</v>
      </c>
      <c r="N1524">
        <v>1</v>
      </c>
      <c r="O1524" t="s">
        <v>30</v>
      </c>
      <c r="P1524" t="e">
        <v>#VALUE!</v>
      </c>
      <c r="Q1524" t="e">
        <v>#VALUE!</v>
      </c>
      <c r="R1524" t="s">
        <v>3201</v>
      </c>
      <c r="S1524" t="s">
        <v>13</v>
      </c>
    </row>
    <row r="1525" spans="1:19" x14ac:dyDescent="0.3">
      <c r="A1525" t="s">
        <v>1116</v>
      </c>
      <c r="B1525" t="s">
        <v>1596</v>
      </c>
      <c r="C1525" t="s">
        <v>1795</v>
      </c>
      <c r="D1525" t="s">
        <v>3189</v>
      </c>
      <c r="E1525" t="s">
        <v>9</v>
      </c>
      <c r="F1525" s="2">
        <v>23</v>
      </c>
      <c r="G1525" t="s">
        <v>3206</v>
      </c>
      <c r="H1525" t="s">
        <v>51</v>
      </c>
      <c r="I1525" t="s">
        <v>11</v>
      </c>
      <c r="J1525" t="s">
        <v>3198</v>
      </c>
      <c r="K1525" t="s">
        <v>15</v>
      </c>
      <c r="L1525" s="2">
        <v>33</v>
      </c>
      <c r="M1525" t="s">
        <v>3203</v>
      </c>
      <c r="N1525">
        <v>1</v>
      </c>
      <c r="O1525" t="s">
        <v>30</v>
      </c>
      <c r="P1525" t="e">
        <v>#VALUE!</v>
      </c>
      <c r="Q1525" t="e">
        <v>#VALUE!</v>
      </c>
      <c r="R1525" t="s">
        <v>3201</v>
      </c>
      <c r="S1525" t="s">
        <v>13</v>
      </c>
    </row>
    <row r="1526" spans="1:19" x14ac:dyDescent="0.3">
      <c r="A1526" t="s">
        <v>278</v>
      </c>
      <c r="B1526" t="s">
        <v>1596</v>
      </c>
      <c r="C1526" t="s">
        <v>2832</v>
      </c>
      <c r="D1526" t="s">
        <v>3189</v>
      </c>
      <c r="E1526" t="s">
        <v>9</v>
      </c>
      <c r="F1526" s="2">
        <v>19</v>
      </c>
      <c r="G1526" t="s">
        <v>3206</v>
      </c>
      <c r="H1526" t="s">
        <v>69</v>
      </c>
      <c r="I1526" t="s">
        <v>11</v>
      </c>
      <c r="J1526" t="s">
        <v>3198</v>
      </c>
      <c r="K1526" t="s">
        <v>15</v>
      </c>
      <c r="L1526" s="2">
        <v>33</v>
      </c>
      <c r="M1526" t="s">
        <v>3203</v>
      </c>
      <c r="N1526">
        <v>1</v>
      </c>
      <c r="O1526" t="s">
        <v>30</v>
      </c>
      <c r="P1526" t="e">
        <v>#VALUE!</v>
      </c>
      <c r="Q1526" t="e">
        <v>#VALUE!</v>
      </c>
      <c r="R1526" t="s">
        <v>3201</v>
      </c>
      <c r="S1526" t="s">
        <v>13</v>
      </c>
    </row>
    <row r="1527" spans="1:19" x14ac:dyDescent="0.3">
      <c r="A1527" t="s">
        <v>1117</v>
      </c>
      <c r="B1527" t="s">
        <v>1596</v>
      </c>
      <c r="C1527" t="s">
        <v>2833</v>
      </c>
      <c r="D1527" t="s">
        <v>3189</v>
      </c>
      <c r="E1527" t="s">
        <v>9</v>
      </c>
      <c r="F1527" s="2">
        <v>18</v>
      </c>
      <c r="G1527" t="s">
        <v>3206</v>
      </c>
      <c r="H1527" t="s">
        <v>70</v>
      </c>
      <c r="I1527" t="s">
        <v>11</v>
      </c>
      <c r="J1527" t="s">
        <v>3198</v>
      </c>
      <c r="K1527" t="s">
        <v>15</v>
      </c>
      <c r="L1527" s="2">
        <v>33</v>
      </c>
      <c r="M1527" t="s">
        <v>3203</v>
      </c>
      <c r="N1527">
        <v>1</v>
      </c>
      <c r="O1527" t="s">
        <v>30</v>
      </c>
      <c r="P1527" t="e">
        <v>#VALUE!</v>
      </c>
      <c r="Q1527" t="e">
        <v>#VALUE!</v>
      </c>
      <c r="R1527" t="s">
        <v>3201</v>
      </c>
      <c r="S1527" t="s">
        <v>13</v>
      </c>
    </row>
    <row r="1528" spans="1:19" x14ac:dyDescent="0.3">
      <c r="A1528" t="s">
        <v>1118</v>
      </c>
      <c r="B1528" t="s">
        <v>1596</v>
      </c>
      <c r="C1528" t="s">
        <v>2834</v>
      </c>
      <c r="D1528" t="s">
        <v>3189</v>
      </c>
      <c r="E1528" t="s">
        <v>9</v>
      </c>
      <c r="F1528" s="2">
        <v>35</v>
      </c>
      <c r="G1528" t="s">
        <v>3206</v>
      </c>
      <c r="H1528" t="s">
        <v>69</v>
      </c>
      <c r="I1528" t="s">
        <v>28</v>
      </c>
      <c r="J1528" t="s">
        <v>3212</v>
      </c>
      <c r="K1528" t="s">
        <v>15</v>
      </c>
      <c r="L1528" s="2">
        <v>33</v>
      </c>
      <c r="M1528" t="s">
        <v>3203</v>
      </c>
      <c r="N1528">
        <v>1</v>
      </c>
      <c r="O1528" t="s">
        <v>30</v>
      </c>
      <c r="P1528" t="e">
        <v>#VALUE!</v>
      </c>
      <c r="Q1528" t="e">
        <v>#VALUE!</v>
      </c>
      <c r="R1528" t="s">
        <v>3201</v>
      </c>
      <c r="S1528" t="s">
        <v>13</v>
      </c>
    </row>
    <row r="1529" spans="1:19" x14ac:dyDescent="0.3">
      <c r="A1529" t="s">
        <v>1119</v>
      </c>
      <c r="B1529" t="s">
        <v>2719</v>
      </c>
      <c r="C1529" t="s">
        <v>2835</v>
      </c>
      <c r="D1529" t="s">
        <v>3189</v>
      </c>
      <c r="E1529" t="s">
        <v>9</v>
      </c>
      <c r="F1529" s="2">
        <v>20</v>
      </c>
      <c r="G1529" t="s">
        <v>3206</v>
      </c>
      <c r="H1529" t="s">
        <v>70</v>
      </c>
      <c r="I1529" t="s">
        <v>11</v>
      </c>
      <c r="J1529" t="s">
        <v>3198</v>
      </c>
      <c r="K1529" t="s">
        <v>15</v>
      </c>
      <c r="L1529" s="2">
        <v>33</v>
      </c>
      <c r="M1529" t="s">
        <v>3203</v>
      </c>
      <c r="N1529">
        <v>1</v>
      </c>
      <c r="O1529" t="s">
        <v>30</v>
      </c>
      <c r="P1529" t="e">
        <v>#VALUE!</v>
      </c>
      <c r="Q1529" t="e">
        <v>#VALUE!</v>
      </c>
      <c r="R1529" t="s">
        <v>3201</v>
      </c>
      <c r="S1529" t="s">
        <v>13</v>
      </c>
    </row>
    <row r="1530" spans="1:19" x14ac:dyDescent="0.3">
      <c r="A1530" t="s">
        <v>1120</v>
      </c>
      <c r="B1530" t="s">
        <v>1596</v>
      </c>
      <c r="C1530" t="s">
        <v>2836</v>
      </c>
      <c r="D1530" t="s">
        <v>3189</v>
      </c>
      <c r="E1530" t="s">
        <v>9</v>
      </c>
      <c r="F1530" s="2">
        <v>29</v>
      </c>
      <c r="G1530" t="s">
        <v>3206</v>
      </c>
      <c r="H1530" t="s">
        <v>69</v>
      </c>
      <c r="I1530" t="s">
        <v>28</v>
      </c>
      <c r="J1530" t="s">
        <v>3212</v>
      </c>
      <c r="K1530" t="s">
        <v>15</v>
      </c>
      <c r="L1530" s="2">
        <v>33</v>
      </c>
      <c r="M1530" t="s">
        <v>3203</v>
      </c>
      <c r="N1530">
        <v>1</v>
      </c>
      <c r="O1530" t="s">
        <v>30</v>
      </c>
      <c r="P1530" t="e">
        <v>#VALUE!</v>
      </c>
      <c r="Q1530" t="e">
        <v>#VALUE!</v>
      </c>
      <c r="R1530" t="s">
        <v>3201</v>
      </c>
      <c r="S1530" t="s">
        <v>13</v>
      </c>
    </row>
    <row r="1531" spans="1:19" x14ac:dyDescent="0.3">
      <c r="A1531" t="s">
        <v>1121</v>
      </c>
      <c r="B1531" t="s">
        <v>1596</v>
      </c>
      <c r="C1531" t="s">
        <v>2837</v>
      </c>
      <c r="D1531" t="s">
        <v>3189</v>
      </c>
      <c r="E1531" t="s">
        <v>9</v>
      </c>
      <c r="F1531" s="2">
        <v>38</v>
      </c>
      <c r="G1531" t="s">
        <v>3197</v>
      </c>
      <c r="H1531" t="s">
        <v>69</v>
      </c>
      <c r="I1531" t="s">
        <v>11</v>
      </c>
      <c r="J1531" t="s">
        <v>3198</v>
      </c>
      <c r="K1531" t="s">
        <v>15</v>
      </c>
      <c r="L1531" s="2">
        <v>33</v>
      </c>
      <c r="M1531" t="s">
        <v>3203</v>
      </c>
      <c r="N1531">
        <v>1</v>
      </c>
      <c r="O1531" t="s">
        <v>30</v>
      </c>
      <c r="P1531" t="e">
        <v>#VALUE!</v>
      </c>
      <c r="Q1531" t="e">
        <v>#VALUE!</v>
      </c>
      <c r="R1531" t="s">
        <v>3201</v>
      </c>
      <c r="S1531" t="s">
        <v>13</v>
      </c>
    </row>
    <row r="1532" spans="1:19" x14ac:dyDescent="0.3">
      <c r="A1532" t="s">
        <v>1122</v>
      </c>
      <c r="B1532" t="s">
        <v>1596</v>
      </c>
      <c r="C1532" t="s">
        <v>2838</v>
      </c>
      <c r="D1532" t="s">
        <v>3189</v>
      </c>
      <c r="E1532" t="s">
        <v>9</v>
      </c>
      <c r="F1532" s="2">
        <v>20</v>
      </c>
      <c r="G1532" t="s">
        <v>3206</v>
      </c>
      <c r="H1532" t="s">
        <v>70</v>
      </c>
      <c r="I1532" t="s">
        <v>11</v>
      </c>
      <c r="J1532" t="s">
        <v>3198</v>
      </c>
      <c r="K1532" t="s">
        <v>15</v>
      </c>
      <c r="L1532" s="2">
        <v>33</v>
      </c>
      <c r="M1532" t="s">
        <v>3203</v>
      </c>
      <c r="N1532">
        <v>1</v>
      </c>
      <c r="O1532" t="s">
        <v>30</v>
      </c>
      <c r="P1532" t="e">
        <v>#VALUE!</v>
      </c>
      <c r="Q1532" t="e">
        <v>#VALUE!</v>
      </c>
      <c r="R1532" t="s">
        <v>3201</v>
      </c>
      <c r="S1532" t="s">
        <v>13</v>
      </c>
    </row>
    <row r="1533" spans="1:19" x14ac:dyDescent="0.3">
      <c r="A1533" t="s">
        <v>1123</v>
      </c>
      <c r="B1533" t="s">
        <v>1596</v>
      </c>
      <c r="C1533" t="s">
        <v>2194</v>
      </c>
      <c r="D1533" t="s">
        <v>3189</v>
      </c>
      <c r="E1533" t="s">
        <v>9</v>
      </c>
      <c r="F1533" s="2">
        <v>27</v>
      </c>
      <c r="G1533" t="s">
        <v>3206</v>
      </c>
      <c r="H1533" t="s">
        <v>51</v>
      </c>
      <c r="I1533" t="s">
        <v>11</v>
      </c>
      <c r="J1533" t="s">
        <v>3198</v>
      </c>
      <c r="K1533" t="s">
        <v>15</v>
      </c>
      <c r="L1533" s="2">
        <v>33</v>
      </c>
      <c r="M1533" t="s">
        <v>3203</v>
      </c>
      <c r="N1533">
        <v>1</v>
      </c>
      <c r="O1533" t="s">
        <v>30</v>
      </c>
      <c r="P1533" t="e">
        <v>#VALUE!</v>
      </c>
      <c r="Q1533" t="e">
        <v>#VALUE!</v>
      </c>
      <c r="R1533" t="s">
        <v>3205</v>
      </c>
      <c r="S1533" t="s">
        <v>16</v>
      </c>
    </row>
    <row r="1534" spans="1:19" x14ac:dyDescent="0.3">
      <c r="A1534" t="s">
        <v>1124</v>
      </c>
      <c r="B1534" t="s">
        <v>1596</v>
      </c>
      <c r="C1534" t="s">
        <v>1619</v>
      </c>
      <c r="D1534" t="s">
        <v>3189</v>
      </c>
      <c r="E1534" t="s">
        <v>9</v>
      </c>
      <c r="F1534" s="2">
        <v>37</v>
      </c>
      <c r="G1534" t="s">
        <v>3197</v>
      </c>
      <c r="H1534" t="s">
        <v>51</v>
      </c>
      <c r="I1534" t="s">
        <v>11</v>
      </c>
      <c r="J1534" t="s">
        <v>3198</v>
      </c>
      <c r="K1534" t="s">
        <v>15</v>
      </c>
      <c r="L1534" s="2">
        <v>33</v>
      </c>
      <c r="M1534" t="s">
        <v>3203</v>
      </c>
      <c r="N1534">
        <v>1</v>
      </c>
      <c r="O1534" t="s">
        <v>30</v>
      </c>
      <c r="P1534" t="e">
        <v>#VALUE!</v>
      </c>
      <c r="Q1534" t="e">
        <v>#VALUE!</v>
      </c>
      <c r="R1534" t="s">
        <v>3201</v>
      </c>
      <c r="S1534" t="s">
        <v>13</v>
      </c>
    </row>
    <row r="1535" spans="1:19" x14ac:dyDescent="0.3">
      <c r="A1535" t="s">
        <v>1125</v>
      </c>
      <c r="B1535" t="s">
        <v>1596</v>
      </c>
      <c r="C1535" t="s">
        <v>1610</v>
      </c>
      <c r="D1535" t="s">
        <v>3189</v>
      </c>
      <c r="E1535" t="s">
        <v>9</v>
      </c>
      <c r="F1535" s="2">
        <v>30</v>
      </c>
      <c r="G1535" t="s">
        <v>3206</v>
      </c>
      <c r="H1535" t="s">
        <v>51</v>
      </c>
      <c r="I1535" t="s">
        <v>11</v>
      </c>
      <c r="J1535" t="s">
        <v>3198</v>
      </c>
      <c r="K1535" t="s">
        <v>15</v>
      </c>
      <c r="L1535" s="2">
        <v>33</v>
      </c>
      <c r="M1535" t="s">
        <v>3203</v>
      </c>
      <c r="N1535">
        <v>1</v>
      </c>
      <c r="O1535" t="s">
        <v>30</v>
      </c>
      <c r="P1535" t="e">
        <v>#VALUE!</v>
      </c>
      <c r="Q1535" t="e">
        <v>#VALUE!</v>
      </c>
      <c r="R1535" t="s">
        <v>3205</v>
      </c>
      <c r="S1535" t="s">
        <v>16</v>
      </c>
    </row>
    <row r="1536" spans="1:19" x14ac:dyDescent="0.3">
      <c r="A1536" t="s">
        <v>1126</v>
      </c>
      <c r="B1536" t="s">
        <v>1596</v>
      </c>
      <c r="C1536" t="s">
        <v>2839</v>
      </c>
      <c r="D1536" t="s">
        <v>3189</v>
      </c>
      <c r="E1536" t="s">
        <v>9</v>
      </c>
      <c r="F1536" s="2">
        <v>34</v>
      </c>
      <c r="G1536" t="s">
        <v>3206</v>
      </c>
      <c r="H1536" t="s">
        <v>51</v>
      </c>
      <c r="I1536" t="s">
        <v>11</v>
      </c>
      <c r="J1536" t="s">
        <v>3198</v>
      </c>
      <c r="K1536" t="s">
        <v>15</v>
      </c>
      <c r="L1536" s="2">
        <v>33</v>
      </c>
      <c r="M1536" t="s">
        <v>3203</v>
      </c>
      <c r="N1536">
        <v>1</v>
      </c>
      <c r="O1536" t="s">
        <v>30</v>
      </c>
      <c r="P1536" t="e">
        <v>#VALUE!</v>
      </c>
      <c r="Q1536" t="e">
        <v>#VALUE!</v>
      </c>
      <c r="R1536" t="s">
        <v>3205</v>
      </c>
      <c r="S1536" t="s">
        <v>16</v>
      </c>
    </row>
    <row r="1537" spans="1:19" x14ac:dyDescent="0.3">
      <c r="A1537" t="s">
        <v>1127</v>
      </c>
      <c r="B1537" t="s">
        <v>1596</v>
      </c>
      <c r="C1537" t="s">
        <v>2840</v>
      </c>
      <c r="D1537" t="s">
        <v>3189</v>
      </c>
      <c r="E1537" t="s">
        <v>9</v>
      </c>
      <c r="F1537" s="2">
        <v>49</v>
      </c>
      <c r="G1537" t="s">
        <v>3197</v>
      </c>
      <c r="H1537" t="s">
        <v>69</v>
      </c>
      <c r="I1537" t="s">
        <v>11</v>
      </c>
      <c r="J1537" t="s">
        <v>3198</v>
      </c>
      <c r="K1537" t="s">
        <v>15</v>
      </c>
      <c r="L1537" s="2">
        <v>33</v>
      </c>
      <c r="M1537" t="s">
        <v>3203</v>
      </c>
      <c r="N1537">
        <v>1</v>
      </c>
      <c r="O1537" t="s">
        <v>30</v>
      </c>
      <c r="P1537" t="e">
        <v>#VALUE!</v>
      </c>
      <c r="Q1537" t="e">
        <v>#VALUE!</v>
      </c>
      <c r="R1537" t="s">
        <v>3201</v>
      </c>
      <c r="S1537" t="s">
        <v>13</v>
      </c>
    </row>
    <row r="1538" spans="1:19" x14ac:dyDescent="0.3">
      <c r="A1538" t="s">
        <v>1128</v>
      </c>
      <c r="B1538" t="s">
        <v>1596</v>
      </c>
      <c r="C1538" t="s">
        <v>2757</v>
      </c>
      <c r="D1538" t="s">
        <v>3189</v>
      </c>
      <c r="E1538" t="s">
        <v>9</v>
      </c>
      <c r="F1538" s="2">
        <v>39</v>
      </c>
      <c r="G1538" t="s">
        <v>3197</v>
      </c>
      <c r="H1538" t="s">
        <v>51</v>
      </c>
      <c r="I1538" t="s">
        <v>28</v>
      </c>
      <c r="J1538" t="s">
        <v>3212</v>
      </c>
      <c r="K1538" t="s">
        <v>15</v>
      </c>
      <c r="L1538" s="2">
        <v>33</v>
      </c>
      <c r="M1538" t="s">
        <v>3203</v>
      </c>
      <c r="N1538">
        <v>1</v>
      </c>
      <c r="O1538" t="s">
        <v>30</v>
      </c>
      <c r="P1538" t="e">
        <v>#VALUE!</v>
      </c>
      <c r="Q1538" t="e">
        <v>#VALUE!</v>
      </c>
      <c r="R1538" t="s">
        <v>3201</v>
      </c>
      <c r="S1538" t="s">
        <v>13</v>
      </c>
    </row>
    <row r="1539" spans="1:19" x14ac:dyDescent="0.3">
      <c r="A1539" t="s">
        <v>1128</v>
      </c>
      <c r="B1539" t="s">
        <v>1596</v>
      </c>
      <c r="C1539" t="s">
        <v>2841</v>
      </c>
      <c r="D1539" t="s">
        <v>3189</v>
      </c>
      <c r="E1539" t="s">
        <v>9</v>
      </c>
      <c r="F1539" s="2">
        <v>44</v>
      </c>
      <c r="G1539" t="s">
        <v>3197</v>
      </c>
      <c r="H1539" t="s">
        <v>69</v>
      </c>
      <c r="I1539" t="s">
        <v>28</v>
      </c>
      <c r="J1539" t="s">
        <v>3212</v>
      </c>
      <c r="K1539" t="s">
        <v>15</v>
      </c>
      <c r="L1539" s="2">
        <v>33</v>
      </c>
      <c r="M1539" t="s">
        <v>3203</v>
      </c>
      <c r="N1539">
        <v>1</v>
      </c>
      <c r="O1539" t="s">
        <v>30</v>
      </c>
      <c r="P1539" t="e">
        <v>#VALUE!</v>
      </c>
      <c r="Q1539" t="e">
        <v>#VALUE!</v>
      </c>
      <c r="R1539" t="s">
        <v>3201</v>
      </c>
      <c r="S1539" t="s">
        <v>13</v>
      </c>
    </row>
    <row r="1540" spans="1:19" x14ac:dyDescent="0.3">
      <c r="A1540" t="s">
        <v>1129</v>
      </c>
      <c r="B1540" t="s">
        <v>1596</v>
      </c>
      <c r="C1540" t="s">
        <v>2842</v>
      </c>
      <c r="D1540" t="s">
        <v>3189</v>
      </c>
      <c r="E1540" t="s">
        <v>9</v>
      </c>
      <c r="F1540" s="2">
        <v>27</v>
      </c>
      <c r="G1540" t="s">
        <v>3206</v>
      </c>
      <c r="H1540" t="s">
        <v>51</v>
      </c>
      <c r="I1540" t="s">
        <v>11</v>
      </c>
      <c r="J1540" t="s">
        <v>3198</v>
      </c>
      <c r="K1540" t="s">
        <v>72</v>
      </c>
      <c r="L1540" s="2">
        <v>33</v>
      </c>
      <c r="M1540" t="s">
        <v>3203</v>
      </c>
      <c r="N1540">
        <v>1</v>
      </c>
      <c r="O1540" t="s">
        <v>30</v>
      </c>
      <c r="P1540" t="e">
        <v>#VALUE!</v>
      </c>
      <c r="Q1540" t="e">
        <v>#VALUE!</v>
      </c>
      <c r="R1540" t="s">
        <v>3201</v>
      </c>
      <c r="S1540" t="s">
        <v>13</v>
      </c>
    </row>
    <row r="1541" spans="1:19" x14ac:dyDescent="0.3">
      <c r="A1541" t="s">
        <v>1130</v>
      </c>
      <c r="B1541" t="s">
        <v>1596</v>
      </c>
      <c r="C1541" t="s">
        <v>2511</v>
      </c>
      <c r="D1541" t="s">
        <v>3189</v>
      </c>
      <c r="E1541" t="s">
        <v>9</v>
      </c>
      <c r="F1541" s="2">
        <v>22</v>
      </c>
      <c r="G1541" t="s">
        <v>3206</v>
      </c>
      <c r="H1541" t="s">
        <v>51</v>
      </c>
      <c r="I1541" t="s">
        <v>11</v>
      </c>
      <c r="J1541" t="s">
        <v>3198</v>
      </c>
      <c r="K1541" t="s">
        <v>15</v>
      </c>
      <c r="L1541" s="2">
        <v>33</v>
      </c>
      <c r="M1541" t="s">
        <v>3203</v>
      </c>
      <c r="N1541">
        <v>1</v>
      </c>
      <c r="O1541" t="s">
        <v>30</v>
      </c>
      <c r="P1541" t="e">
        <v>#VALUE!</v>
      </c>
      <c r="Q1541" t="e">
        <v>#VALUE!</v>
      </c>
      <c r="R1541" t="s">
        <v>3205</v>
      </c>
      <c r="S1541" t="s">
        <v>16</v>
      </c>
    </row>
    <row r="1542" spans="1:19" x14ac:dyDescent="0.3">
      <c r="A1542" t="s">
        <v>1131</v>
      </c>
      <c r="B1542" t="s">
        <v>1596</v>
      </c>
      <c r="C1542" t="s">
        <v>1795</v>
      </c>
      <c r="D1542" t="s">
        <v>3189</v>
      </c>
      <c r="E1542" t="s">
        <v>9</v>
      </c>
      <c r="F1542" s="2">
        <v>39</v>
      </c>
      <c r="G1542" t="s">
        <v>3197</v>
      </c>
      <c r="H1542" t="s">
        <v>69</v>
      </c>
      <c r="I1542" t="s">
        <v>28</v>
      </c>
      <c r="J1542" t="s">
        <v>3212</v>
      </c>
      <c r="K1542" t="s">
        <v>15</v>
      </c>
      <c r="L1542" s="2">
        <v>33</v>
      </c>
      <c r="M1542" t="s">
        <v>3203</v>
      </c>
      <c r="N1542">
        <v>1</v>
      </c>
      <c r="O1542" t="s">
        <v>30</v>
      </c>
      <c r="P1542" t="e">
        <v>#VALUE!</v>
      </c>
      <c r="Q1542" t="e">
        <v>#VALUE!</v>
      </c>
      <c r="R1542" t="s">
        <v>3201</v>
      </c>
      <c r="S1542" t="s">
        <v>13</v>
      </c>
    </row>
    <row r="1543" spans="1:19" x14ac:dyDescent="0.3">
      <c r="A1543" t="s">
        <v>1132</v>
      </c>
      <c r="B1543" t="s">
        <v>2719</v>
      </c>
      <c r="C1543" t="s">
        <v>2843</v>
      </c>
      <c r="D1543" t="s">
        <v>3189</v>
      </c>
      <c r="E1543" t="s">
        <v>9</v>
      </c>
      <c r="F1543" s="2">
        <v>17</v>
      </c>
      <c r="G1543" t="s">
        <v>3202</v>
      </c>
      <c r="H1543" t="s">
        <v>70</v>
      </c>
      <c r="I1543" t="s">
        <v>11</v>
      </c>
      <c r="J1543" t="s">
        <v>3198</v>
      </c>
      <c r="K1543" t="s">
        <v>38</v>
      </c>
      <c r="L1543" s="2">
        <v>33</v>
      </c>
      <c r="M1543" t="s">
        <v>3203</v>
      </c>
      <c r="N1543">
        <v>1</v>
      </c>
      <c r="O1543" t="s">
        <v>30</v>
      </c>
      <c r="P1543" t="e">
        <v>#VALUE!</v>
      </c>
      <c r="Q1543" t="e">
        <v>#VALUE!</v>
      </c>
      <c r="R1543" t="s">
        <v>3201</v>
      </c>
      <c r="S1543" t="s">
        <v>13</v>
      </c>
    </row>
    <row r="1544" spans="1:19" x14ac:dyDescent="0.3">
      <c r="A1544" t="s">
        <v>1133</v>
      </c>
      <c r="B1544" t="s">
        <v>1596</v>
      </c>
      <c r="C1544" t="s">
        <v>2844</v>
      </c>
      <c r="D1544" t="s">
        <v>3189</v>
      </c>
      <c r="E1544" t="s">
        <v>9</v>
      </c>
      <c r="F1544" s="2">
        <v>35</v>
      </c>
      <c r="G1544" t="s">
        <v>3206</v>
      </c>
      <c r="H1544" t="s">
        <v>69</v>
      </c>
      <c r="I1544" t="s">
        <v>28</v>
      </c>
      <c r="J1544" t="s">
        <v>3212</v>
      </c>
      <c r="K1544" t="s">
        <v>15</v>
      </c>
      <c r="L1544" s="2">
        <v>33</v>
      </c>
      <c r="M1544" t="s">
        <v>3203</v>
      </c>
      <c r="N1544">
        <v>1</v>
      </c>
      <c r="O1544" t="s">
        <v>30</v>
      </c>
      <c r="P1544" t="e">
        <v>#VALUE!</v>
      </c>
      <c r="Q1544" t="e">
        <v>#VALUE!</v>
      </c>
      <c r="R1544" t="s">
        <v>3201</v>
      </c>
      <c r="S1544" t="s">
        <v>13</v>
      </c>
    </row>
    <row r="1545" spans="1:19" x14ac:dyDescent="0.3">
      <c r="A1545" t="s">
        <v>1134</v>
      </c>
      <c r="B1545" t="s">
        <v>1596</v>
      </c>
      <c r="C1545" t="s">
        <v>2845</v>
      </c>
      <c r="D1545" t="s">
        <v>3189</v>
      </c>
      <c r="E1545" t="s">
        <v>9</v>
      </c>
      <c r="F1545" s="2">
        <v>23</v>
      </c>
      <c r="G1545" t="s">
        <v>3206</v>
      </c>
      <c r="H1545" t="s">
        <v>51</v>
      </c>
      <c r="I1545" t="s">
        <v>11</v>
      </c>
      <c r="J1545" t="s">
        <v>3198</v>
      </c>
      <c r="K1545" t="s">
        <v>15</v>
      </c>
      <c r="L1545" s="2">
        <v>33</v>
      </c>
      <c r="M1545" t="s">
        <v>3203</v>
      </c>
      <c r="N1545">
        <v>1</v>
      </c>
      <c r="O1545" t="s">
        <v>30</v>
      </c>
      <c r="P1545" t="e">
        <v>#VALUE!</v>
      </c>
      <c r="Q1545" t="e">
        <v>#VALUE!</v>
      </c>
      <c r="R1545" t="s">
        <v>3205</v>
      </c>
      <c r="S1545" t="s">
        <v>16</v>
      </c>
    </row>
    <row r="1546" spans="1:19" x14ac:dyDescent="0.3">
      <c r="A1546" t="s">
        <v>1135</v>
      </c>
      <c r="B1546" t="s">
        <v>1596</v>
      </c>
      <c r="C1546" t="s">
        <v>2846</v>
      </c>
      <c r="D1546" t="s">
        <v>3189</v>
      </c>
      <c r="E1546" t="s">
        <v>9</v>
      </c>
      <c r="F1546" s="2">
        <v>20</v>
      </c>
      <c r="G1546" t="s">
        <v>3206</v>
      </c>
      <c r="H1546" t="s">
        <v>70</v>
      </c>
      <c r="I1546" t="s">
        <v>11</v>
      </c>
      <c r="J1546" t="s">
        <v>3198</v>
      </c>
      <c r="K1546" t="s">
        <v>15</v>
      </c>
      <c r="L1546" s="2">
        <v>33</v>
      </c>
      <c r="M1546" t="s">
        <v>3203</v>
      </c>
      <c r="N1546">
        <v>1</v>
      </c>
      <c r="O1546" t="s">
        <v>30</v>
      </c>
      <c r="P1546" t="e">
        <v>#VALUE!</v>
      </c>
      <c r="Q1546" t="e">
        <v>#VALUE!</v>
      </c>
      <c r="R1546" t="s">
        <v>3201</v>
      </c>
      <c r="S1546" t="s">
        <v>13</v>
      </c>
    </row>
    <row r="1547" spans="1:19" x14ac:dyDescent="0.3">
      <c r="A1547" t="s">
        <v>1136</v>
      </c>
      <c r="B1547" t="s">
        <v>1596</v>
      </c>
      <c r="C1547" t="s">
        <v>2768</v>
      </c>
      <c r="D1547" t="s">
        <v>3189</v>
      </c>
      <c r="E1547" t="s">
        <v>9</v>
      </c>
      <c r="F1547" s="2">
        <v>22</v>
      </c>
      <c r="G1547" t="s">
        <v>3206</v>
      </c>
      <c r="H1547" t="s">
        <v>69</v>
      </c>
      <c r="I1547" t="s">
        <v>11</v>
      </c>
      <c r="J1547" t="s">
        <v>3198</v>
      </c>
      <c r="K1547" t="s">
        <v>15</v>
      </c>
      <c r="L1547" s="2">
        <v>33</v>
      </c>
      <c r="M1547" t="s">
        <v>3203</v>
      </c>
      <c r="N1547">
        <v>1</v>
      </c>
      <c r="O1547" t="s">
        <v>30</v>
      </c>
      <c r="P1547" t="e">
        <v>#VALUE!</v>
      </c>
      <c r="Q1547" t="e">
        <v>#VALUE!</v>
      </c>
      <c r="R1547" t="s">
        <v>3201</v>
      </c>
      <c r="S1547" t="s">
        <v>13</v>
      </c>
    </row>
    <row r="1548" spans="1:19" x14ac:dyDescent="0.3">
      <c r="A1548" t="s">
        <v>302</v>
      </c>
      <c r="B1548" t="s">
        <v>1596</v>
      </c>
      <c r="C1548" t="s">
        <v>2003</v>
      </c>
      <c r="D1548" t="s">
        <v>3189</v>
      </c>
      <c r="E1548" t="s">
        <v>9</v>
      </c>
      <c r="F1548" s="2">
        <v>27</v>
      </c>
      <c r="G1548" t="s">
        <v>3206</v>
      </c>
      <c r="H1548" t="s">
        <v>51</v>
      </c>
      <c r="I1548" t="s">
        <v>11</v>
      </c>
      <c r="J1548" t="s">
        <v>3198</v>
      </c>
      <c r="K1548" t="s">
        <v>15</v>
      </c>
      <c r="L1548" s="2">
        <v>33</v>
      </c>
      <c r="M1548" t="s">
        <v>3203</v>
      </c>
      <c r="N1548">
        <v>1</v>
      </c>
      <c r="O1548" t="s">
        <v>30</v>
      </c>
      <c r="P1548" t="e">
        <v>#VALUE!</v>
      </c>
      <c r="Q1548" t="e">
        <v>#VALUE!</v>
      </c>
      <c r="R1548" t="s">
        <v>3201</v>
      </c>
      <c r="S1548" t="s">
        <v>13</v>
      </c>
    </row>
    <row r="1549" spans="1:19" x14ac:dyDescent="0.3">
      <c r="A1549" t="s">
        <v>1137</v>
      </c>
      <c r="B1549" t="s">
        <v>1596</v>
      </c>
      <c r="C1549" t="s">
        <v>2847</v>
      </c>
      <c r="D1549" t="s">
        <v>3189</v>
      </c>
      <c r="E1549" t="s">
        <v>9</v>
      </c>
      <c r="F1549" s="2">
        <v>36</v>
      </c>
      <c r="G1549" t="s">
        <v>3197</v>
      </c>
      <c r="H1549" t="s">
        <v>51</v>
      </c>
      <c r="I1549" t="s">
        <v>28</v>
      </c>
      <c r="J1549" t="s">
        <v>3212</v>
      </c>
      <c r="K1549" t="s">
        <v>37</v>
      </c>
      <c r="L1549" s="2">
        <v>33</v>
      </c>
      <c r="M1549" t="s">
        <v>3203</v>
      </c>
      <c r="N1549">
        <v>1</v>
      </c>
      <c r="O1549" t="s">
        <v>30</v>
      </c>
      <c r="P1549" t="e">
        <v>#VALUE!</v>
      </c>
      <c r="Q1549" t="e">
        <v>#VALUE!</v>
      </c>
      <c r="R1549" t="s">
        <v>3201</v>
      </c>
      <c r="S1549" t="s">
        <v>13</v>
      </c>
    </row>
    <row r="1550" spans="1:19" x14ac:dyDescent="0.3">
      <c r="A1550" t="s">
        <v>1138</v>
      </c>
      <c r="B1550" t="s">
        <v>1596</v>
      </c>
      <c r="C1550" t="s">
        <v>1619</v>
      </c>
      <c r="D1550" t="s">
        <v>3189</v>
      </c>
      <c r="E1550" t="s">
        <v>9</v>
      </c>
      <c r="F1550" s="2">
        <v>48</v>
      </c>
      <c r="G1550" t="s">
        <v>3197</v>
      </c>
      <c r="H1550" t="s">
        <v>69</v>
      </c>
      <c r="I1550" t="s">
        <v>11</v>
      </c>
      <c r="J1550" t="s">
        <v>3198</v>
      </c>
      <c r="K1550" t="s">
        <v>15</v>
      </c>
      <c r="L1550" s="2">
        <v>33</v>
      </c>
      <c r="M1550" t="s">
        <v>3203</v>
      </c>
      <c r="N1550">
        <v>1</v>
      </c>
      <c r="O1550" t="s">
        <v>30</v>
      </c>
      <c r="P1550" t="e">
        <v>#VALUE!</v>
      </c>
      <c r="Q1550" t="e">
        <v>#VALUE!</v>
      </c>
      <c r="R1550" t="s">
        <v>3201</v>
      </c>
      <c r="S1550" t="s">
        <v>13</v>
      </c>
    </row>
    <row r="1551" spans="1:19" x14ac:dyDescent="0.3">
      <c r="A1551" t="s">
        <v>1139</v>
      </c>
      <c r="B1551" t="s">
        <v>1596</v>
      </c>
      <c r="C1551" t="s">
        <v>1965</v>
      </c>
      <c r="D1551" t="s">
        <v>3189</v>
      </c>
      <c r="E1551" t="s">
        <v>9</v>
      </c>
      <c r="F1551" s="2">
        <v>38</v>
      </c>
      <c r="G1551" t="s">
        <v>3197</v>
      </c>
      <c r="H1551" t="s">
        <v>51</v>
      </c>
      <c r="I1551" t="s">
        <v>11</v>
      </c>
      <c r="J1551" t="s">
        <v>3198</v>
      </c>
      <c r="K1551" t="s">
        <v>15</v>
      </c>
      <c r="L1551" s="2">
        <v>33</v>
      </c>
      <c r="M1551" t="s">
        <v>3203</v>
      </c>
      <c r="N1551">
        <v>1</v>
      </c>
      <c r="O1551" t="s">
        <v>30</v>
      </c>
      <c r="P1551" t="e">
        <v>#VALUE!</v>
      </c>
      <c r="Q1551" t="e">
        <v>#VALUE!</v>
      </c>
      <c r="R1551" t="s">
        <v>3201</v>
      </c>
      <c r="S1551" t="s">
        <v>13</v>
      </c>
    </row>
    <row r="1552" spans="1:19" x14ac:dyDescent="0.3">
      <c r="A1552" t="s">
        <v>1140</v>
      </c>
      <c r="B1552" t="s">
        <v>1596</v>
      </c>
      <c r="C1552" t="s">
        <v>2848</v>
      </c>
      <c r="D1552" t="s">
        <v>3189</v>
      </c>
      <c r="E1552" t="s">
        <v>9</v>
      </c>
      <c r="F1552" s="2">
        <v>24</v>
      </c>
      <c r="G1552" t="s">
        <v>3206</v>
      </c>
      <c r="H1552" t="s">
        <v>51</v>
      </c>
      <c r="I1552" t="s">
        <v>28</v>
      </c>
      <c r="J1552" t="s">
        <v>3212</v>
      </c>
      <c r="K1552" t="s">
        <v>39</v>
      </c>
      <c r="L1552" s="2">
        <v>33</v>
      </c>
      <c r="M1552" t="s">
        <v>3203</v>
      </c>
      <c r="N1552">
        <v>1</v>
      </c>
      <c r="O1552" t="s">
        <v>30</v>
      </c>
      <c r="P1552" t="e">
        <v>#VALUE!</v>
      </c>
      <c r="Q1552" t="e">
        <v>#VALUE!</v>
      </c>
      <c r="R1552" t="s">
        <v>3201</v>
      </c>
      <c r="S1552" t="s">
        <v>13</v>
      </c>
    </row>
    <row r="1553" spans="1:19" x14ac:dyDescent="0.3">
      <c r="A1553" t="s">
        <v>1140</v>
      </c>
      <c r="B1553" t="s">
        <v>1596</v>
      </c>
      <c r="C1553" t="s">
        <v>1621</v>
      </c>
      <c r="D1553" t="s">
        <v>3189</v>
      </c>
      <c r="E1553" t="s">
        <v>9</v>
      </c>
      <c r="F1553" s="2">
        <v>33</v>
      </c>
      <c r="G1553" t="s">
        <v>3206</v>
      </c>
      <c r="H1553" t="s">
        <v>69</v>
      </c>
      <c r="I1553" t="s">
        <v>11</v>
      </c>
      <c r="J1553" t="s">
        <v>3198</v>
      </c>
      <c r="K1553" t="s">
        <v>15</v>
      </c>
      <c r="L1553" s="2">
        <v>33</v>
      </c>
      <c r="M1553" t="s">
        <v>3203</v>
      </c>
      <c r="N1553">
        <v>1</v>
      </c>
      <c r="O1553" t="s">
        <v>30</v>
      </c>
      <c r="P1553" t="e">
        <v>#VALUE!</v>
      </c>
      <c r="Q1553" t="e">
        <v>#VALUE!</v>
      </c>
      <c r="R1553" t="s">
        <v>3201</v>
      </c>
      <c r="S1553" t="s">
        <v>13</v>
      </c>
    </row>
    <row r="1554" spans="1:19" x14ac:dyDescent="0.3">
      <c r="A1554" t="s">
        <v>1141</v>
      </c>
      <c r="B1554" t="s">
        <v>1596</v>
      </c>
      <c r="C1554" t="s">
        <v>1945</v>
      </c>
      <c r="D1554" t="s">
        <v>3189</v>
      </c>
      <c r="E1554" t="s">
        <v>9</v>
      </c>
      <c r="F1554" s="2">
        <v>41</v>
      </c>
      <c r="G1554" t="s">
        <v>3197</v>
      </c>
      <c r="H1554" t="s">
        <v>51</v>
      </c>
      <c r="I1554" t="s">
        <v>11</v>
      </c>
      <c r="J1554" t="s">
        <v>3198</v>
      </c>
      <c r="K1554" t="s">
        <v>15</v>
      </c>
      <c r="L1554" s="2">
        <v>33</v>
      </c>
      <c r="M1554" t="s">
        <v>3203</v>
      </c>
      <c r="N1554">
        <v>1</v>
      </c>
      <c r="O1554" t="s">
        <v>30</v>
      </c>
      <c r="P1554" t="e">
        <v>#VALUE!</v>
      </c>
      <c r="Q1554" t="e">
        <v>#VALUE!</v>
      </c>
      <c r="R1554" t="s">
        <v>3205</v>
      </c>
      <c r="S1554" t="s">
        <v>16</v>
      </c>
    </row>
    <row r="1555" spans="1:19" x14ac:dyDescent="0.3">
      <c r="A1555" t="s">
        <v>1142</v>
      </c>
      <c r="B1555" t="s">
        <v>1596</v>
      </c>
      <c r="C1555" t="s">
        <v>1898</v>
      </c>
      <c r="D1555" t="s">
        <v>3189</v>
      </c>
      <c r="E1555" t="s">
        <v>9</v>
      </c>
      <c r="F1555" s="2">
        <v>22</v>
      </c>
      <c r="G1555" t="s">
        <v>3206</v>
      </c>
      <c r="H1555" t="s">
        <v>51</v>
      </c>
      <c r="I1555" t="s">
        <v>11</v>
      </c>
      <c r="J1555" t="s">
        <v>3198</v>
      </c>
      <c r="K1555" t="s">
        <v>15</v>
      </c>
      <c r="L1555" s="2">
        <v>33</v>
      </c>
      <c r="M1555" t="s">
        <v>3203</v>
      </c>
      <c r="N1555">
        <v>1</v>
      </c>
      <c r="O1555" t="s">
        <v>30</v>
      </c>
      <c r="P1555" t="e">
        <v>#VALUE!</v>
      </c>
      <c r="Q1555" t="e">
        <v>#VALUE!</v>
      </c>
      <c r="R1555" t="s">
        <v>3201</v>
      </c>
      <c r="S1555" t="s">
        <v>13</v>
      </c>
    </row>
    <row r="1556" spans="1:19" x14ac:dyDescent="0.3">
      <c r="A1556" t="s">
        <v>1143</v>
      </c>
      <c r="B1556" t="s">
        <v>1596</v>
      </c>
      <c r="C1556" t="s">
        <v>2259</v>
      </c>
      <c r="D1556" t="s">
        <v>3189</v>
      </c>
      <c r="E1556" t="s">
        <v>9</v>
      </c>
      <c r="F1556" s="2">
        <v>44</v>
      </c>
      <c r="G1556" t="s">
        <v>3197</v>
      </c>
      <c r="H1556" t="s">
        <v>51</v>
      </c>
      <c r="I1556" t="s">
        <v>11</v>
      </c>
      <c r="J1556" t="s">
        <v>3198</v>
      </c>
      <c r="K1556" t="s">
        <v>15</v>
      </c>
      <c r="L1556" s="2">
        <v>33</v>
      </c>
      <c r="M1556" t="s">
        <v>3203</v>
      </c>
      <c r="N1556">
        <v>1</v>
      </c>
      <c r="O1556" t="s">
        <v>30</v>
      </c>
      <c r="P1556" t="e">
        <v>#VALUE!</v>
      </c>
      <c r="Q1556" t="e">
        <v>#VALUE!</v>
      </c>
      <c r="R1556" t="s">
        <v>3201</v>
      </c>
      <c r="S1556" t="s">
        <v>13</v>
      </c>
    </row>
    <row r="1557" spans="1:19" x14ac:dyDescent="0.3">
      <c r="A1557" t="s">
        <v>1144</v>
      </c>
      <c r="B1557" t="s">
        <v>1596</v>
      </c>
      <c r="C1557" t="s">
        <v>2849</v>
      </c>
      <c r="D1557" t="s">
        <v>3189</v>
      </c>
      <c r="E1557" t="s">
        <v>9</v>
      </c>
      <c r="F1557" s="2">
        <v>23</v>
      </c>
      <c r="G1557" t="s">
        <v>3206</v>
      </c>
      <c r="H1557" t="s">
        <v>69</v>
      </c>
      <c r="I1557" t="s">
        <v>11</v>
      </c>
      <c r="J1557" t="s">
        <v>3198</v>
      </c>
      <c r="K1557" t="s">
        <v>15</v>
      </c>
      <c r="L1557" s="2">
        <v>33</v>
      </c>
      <c r="M1557" t="s">
        <v>3203</v>
      </c>
      <c r="N1557">
        <v>1</v>
      </c>
      <c r="O1557" t="s">
        <v>30</v>
      </c>
      <c r="P1557" t="e">
        <v>#VALUE!</v>
      </c>
      <c r="Q1557" t="e">
        <v>#VALUE!</v>
      </c>
      <c r="R1557" t="s">
        <v>3201</v>
      </c>
      <c r="S1557" t="s">
        <v>13</v>
      </c>
    </row>
    <row r="1558" spans="1:19" x14ac:dyDescent="0.3">
      <c r="A1558" t="s">
        <v>1145</v>
      </c>
      <c r="B1558" t="s">
        <v>1596</v>
      </c>
      <c r="C1558" t="s">
        <v>2850</v>
      </c>
      <c r="D1558" t="s">
        <v>3189</v>
      </c>
      <c r="E1558" t="s">
        <v>9</v>
      </c>
      <c r="F1558" s="2">
        <v>23</v>
      </c>
      <c r="G1558" t="s">
        <v>3206</v>
      </c>
      <c r="H1558" t="s">
        <v>69</v>
      </c>
      <c r="I1558" t="s">
        <v>11</v>
      </c>
      <c r="J1558" t="s">
        <v>3198</v>
      </c>
      <c r="K1558" t="s">
        <v>15</v>
      </c>
      <c r="L1558" s="2">
        <v>33</v>
      </c>
      <c r="M1558" t="s">
        <v>3203</v>
      </c>
      <c r="N1558">
        <v>1</v>
      </c>
      <c r="O1558" t="s">
        <v>30</v>
      </c>
      <c r="P1558" t="e">
        <v>#VALUE!</v>
      </c>
      <c r="Q1558" t="e">
        <v>#VALUE!</v>
      </c>
      <c r="R1558" t="s">
        <v>3201</v>
      </c>
      <c r="S1558" t="s">
        <v>13</v>
      </c>
    </row>
    <row r="1559" spans="1:19" x14ac:dyDescent="0.3">
      <c r="A1559" t="s">
        <v>1146</v>
      </c>
      <c r="B1559" t="s">
        <v>1596</v>
      </c>
      <c r="C1559" t="s">
        <v>2428</v>
      </c>
      <c r="D1559" t="s">
        <v>3189</v>
      </c>
      <c r="E1559" t="s">
        <v>9</v>
      </c>
      <c r="F1559" s="2">
        <v>39</v>
      </c>
      <c r="G1559" t="s">
        <v>3197</v>
      </c>
      <c r="H1559" t="s">
        <v>69</v>
      </c>
      <c r="I1559" t="s">
        <v>11</v>
      </c>
      <c r="J1559" t="s">
        <v>3198</v>
      </c>
      <c r="K1559" t="s">
        <v>15</v>
      </c>
      <c r="L1559" s="2">
        <v>33</v>
      </c>
      <c r="M1559" t="s">
        <v>3203</v>
      </c>
      <c r="N1559">
        <v>1</v>
      </c>
      <c r="O1559" t="s">
        <v>30</v>
      </c>
      <c r="P1559" t="e">
        <v>#VALUE!</v>
      </c>
      <c r="Q1559" t="e">
        <v>#VALUE!</v>
      </c>
      <c r="R1559" t="s">
        <v>3201</v>
      </c>
      <c r="S1559" t="s">
        <v>13</v>
      </c>
    </row>
    <row r="1560" spans="1:19" x14ac:dyDescent="0.3">
      <c r="A1560" t="s">
        <v>1147</v>
      </c>
      <c r="B1560" t="s">
        <v>1596</v>
      </c>
      <c r="C1560" t="s">
        <v>2851</v>
      </c>
      <c r="D1560" t="s">
        <v>3189</v>
      </c>
      <c r="E1560" t="s">
        <v>9</v>
      </c>
      <c r="F1560" s="2">
        <v>39</v>
      </c>
      <c r="G1560" t="s">
        <v>3197</v>
      </c>
      <c r="H1560" t="s">
        <v>69</v>
      </c>
      <c r="I1560" t="s">
        <v>11</v>
      </c>
      <c r="J1560" t="s">
        <v>3198</v>
      </c>
      <c r="K1560" t="s">
        <v>40</v>
      </c>
      <c r="L1560" s="2">
        <v>33</v>
      </c>
      <c r="M1560" t="s">
        <v>3203</v>
      </c>
      <c r="N1560">
        <v>1</v>
      </c>
      <c r="O1560" t="s">
        <v>30</v>
      </c>
      <c r="P1560" t="e">
        <v>#VALUE!</v>
      </c>
      <c r="Q1560" t="e">
        <v>#VALUE!</v>
      </c>
      <c r="R1560" t="s">
        <v>3201</v>
      </c>
      <c r="S1560" t="s">
        <v>13</v>
      </c>
    </row>
    <row r="1561" spans="1:19" x14ac:dyDescent="0.3">
      <c r="A1561" t="s">
        <v>1148</v>
      </c>
      <c r="B1561" t="s">
        <v>1596</v>
      </c>
      <c r="C1561" t="s">
        <v>1621</v>
      </c>
      <c r="D1561" t="s">
        <v>3189</v>
      </c>
      <c r="E1561" t="s">
        <v>9</v>
      </c>
      <c r="F1561" s="2">
        <v>48</v>
      </c>
      <c r="G1561" t="s">
        <v>3197</v>
      </c>
      <c r="H1561" t="s">
        <v>69</v>
      </c>
      <c r="I1561" t="s">
        <v>11</v>
      </c>
      <c r="J1561" t="s">
        <v>3198</v>
      </c>
      <c r="K1561" t="s">
        <v>15</v>
      </c>
      <c r="L1561" s="2">
        <v>33</v>
      </c>
      <c r="M1561" t="s">
        <v>3203</v>
      </c>
      <c r="N1561">
        <v>1</v>
      </c>
      <c r="O1561" t="s">
        <v>30</v>
      </c>
      <c r="P1561" t="e">
        <v>#VALUE!</v>
      </c>
      <c r="Q1561" t="e">
        <v>#VALUE!</v>
      </c>
      <c r="R1561" t="s">
        <v>3201</v>
      </c>
      <c r="S1561" t="s">
        <v>13</v>
      </c>
    </row>
    <row r="1562" spans="1:19" x14ac:dyDescent="0.3">
      <c r="A1562" t="s">
        <v>1149</v>
      </c>
      <c r="B1562" t="s">
        <v>1596</v>
      </c>
      <c r="C1562" t="s">
        <v>2852</v>
      </c>
      <c r="D1562" t="s">
        <v>3189</v>
      </c>
      <c r="E1562" t="s">
        <v>9</v>
      </c>
      <c r="F1562" s="2">
        <v>23</v>
      </c>
      <c r="G1562" t="s">
        <v>3206</v>
      </c>
      <c r="H1562" t="s">
        <v>51</v>
      </c>
      <c r="I1562" t="s">
        <v>11</v>
      </c>
      <c r="J1562" t="s">
        <v>3198</v>
      </c>
      <c r="K1562" t="s">
        <v>15</v>
      </c>
      <c r="L1562" s="2">
        <v>33</v>
      </c>
      <c r="M1562" t="s">
        <v>3203</v>
      </c>
      <c r="N1562">
        <v>1</v>
      </c>
      <c r="O1562" t="s">
        <v>30</v>
      </c>
      <c r="P1562" t="e">
        <v>#VALUE!</v>
      </c>
      <c r="Q1562" t="e">
        <v>#VALUE!</v>
      </c>
      <c r="R1562" t="s">
        <v>3201</v>
      </c>
      <c r="S1562" t="s">
        <v>13</v>
      </c>
    </row>
    <row r="1563" spans="1:19" x14ac:dyDescent="0.3">
      <c r="A1563" t="s">
        <v>1150</v>
      </c>
      <c r="B1563" t="s">
        <v>1596</v>
      </c>
      <c r="C1563" t="s">
        <v>2853</v>
      </c>
      <c r="D1563" t="s">
        <v>3189</v>
      </c>
      <c r="E1563" t="s">
        <v>9</v>
      </c>
      <c r="F1563" s="2">
        <v>29</v>
      </c>
      <c r="G1563" t="s">
        <v>3206</v>
      </c>
      <c r="H1563" t="s">
        <v>69</v>
      </c>
      <c r="I1563" t="s">
        <v>11</v>
      </c>
      <c r="J1563" t="s">
        <v>3198</v>
      </c>
      <c r="K1563" t="s">
        <v>15</v>
      </c>
      <c r="L1563" s="2">
        <v>33</v>
      </c>
      <c r="M1563" t="s">
        <v>3203</v>
      </c>
      <c r="N1563">
        <v>1</v>
      </c>
      <c r="O1563" t="s">
        <v>30</v>
      </c>
      <c r="P1563" t="e">
        <v>#VALUE!</v>
      </c>
      <c r="Q1563" t="e">
        <v>#VALUE!</v>
      </c>
      <c r="R1563" t="s">
        <v>3205</v>
      </c>
      <c r="S1563" t="s">
        <v>16</v>
      </c>
    </row>
    <row r="1564" spans="1:19" x14ac:dyDescent="0.3">
      <c r="A1564" t="s">
        <v>1151</v>
      </c>
      <c r="B1564" t="s">
        <v>1596</v>
      </c>
      <c r="C1564" t="s">
        <v>2069</v>
      </c>
      <c r="D1564" t="s">
        <v>3189</v>
      </c>
      <c r="E1564" t="s">
        <v>9</v>
      </c>
      <c r="F1564" s="2">
        <v>34</v>
      </c>
      <c r="G1564" t="s">
        <v>3206</v>
      </c>
      <c r="H1564" t="s">
        <v>69</v>
      </c>
      <c r="I1564" t="s">
        <v>11</v>
      </c>
      <c r="J1564" t="s">
        <v>3198</v>
      </c>
      <c r="K1564" t="s">
        <v>15</v>
      </c>
      <c r="L1564" s="2">
        <v>33</v>
      </c>
      <c r="M1564" t="s">
        <v>3203</v>
      </c>
      <c r="N1564">
        <v>1</v>
      </c>
      <c r="O1564" t="s">
        <v>30</v>
      </c>
      <c r="P1564" t="e">
        <v>#VALUE!</v>
      </c>
      <c r="Q1564" t="e">
        <v>#VALUE!</v>
      </c>
      <c r="R1564" t="s">
        <v>3201</v>
      </c>
      <c r="S1564" t="s">
        <v>13</v>
      </c>
    </row>
    <row r="1565" spans="1:19" x14ac:dyDescent="0.3">
      <c r="A1565" t="s">
        <v>1152</v>
      </c>
      <c r="B1565" t="s">
        <v>1596</v>
      </c>
      <c r="C1565" t="s">
        <v>2854</v>
      </c>
      <c r="D1565" t="s">
        <v>3189</v>
      </c>
      <c r="E1565" t="s">
        <v>9</v>
      </c>
      <c r="F1565" s="2">
        <v>18</v>
      </c>
      <c r="G1565" t="s">
        <v>3206</v>
      </c>
      <c r="H1565" t="s">
        <v>51</v>
      </c>
      <c r="I1565" t="s">
        <v>28</v>
      </c>
      <c r="J1565" t="s">
        <v>3212</v>
      </c>
      <c r="K1565" t="s">
        <v>29</v>
      </c>
      <c r="L1565" s="2">
        <v>33</v>
      </c>
      <c r="M1565" t="s">
        <v>3203</v>
      </c>
      <c r="N1565">
        <v>1</v>
      </c>
      <c r="O1565" t="s">
        <v>30</v>
      </c>
      <c r="P1565" t="e">
        <v>#VALUE!</v>
      </c>
      <c r="Q1565" t="e">
        <v>#VALUE!</v>
      </c>
      <c r="R1565" t="s">
        <v>3201</v>
      </c>
      <c r="S1565" t="s">
        <v>13</v>
      </c>
    </row>
    <row r="1566" spans="1:19" x14ac:dyDescent="0.3">
      <c r="A1566" t="s">
        <v>1153</v>
      </c>
      <c r="B1566" t="s">
        <v>1596</v>
      </c>
      <c r="C1566" t="s">
        <v>2330</v>
      </c>
      <c r="D1566" t="s">
        <v>3189</v>
      </c>
      <c r="E1566" t="s">
        <v>9</v>
      </c>
      <c r="F1566" s="2">
        <v>43</v>
      </c>
      <c r="G1566" t="s">
        <v>3197</v>
      </c>
      <c r="H1566" t="s">
        <v>69</v>
      </c>
      <c r="I1566" t="s">
        <v>28</v>
      </c>
      <c r="J1566" t="s">
        <v>3212</v>
      </c>
      <c r="K1566" t="s">
        <v>15</v>
      </c>
      <c r="L1566" s="2">
        <v>33</v>
      </c>
      <c r="M1566" t="s">
        <v>3203</v>
      </c>
      <c r="N1566">
        <v>1</v>
      </c>
      <c r="O1566" t="s">
        <v>30</v>
      </c>
      <c r="P1566" t="e">
        <v>#VALUE!</v>
      </c>
      <c r="Q1566" t="e">
        <v>#VALUE!</v>
      </c>
      <c r="R1566" t="s">
        <v>3205</v>
      </c>
      <c r="S1566" t="s">
        <v>16</v>
      </c>
    </row>
    <row r="1567" spans="1:19" x14ac:dyDescent="0.3">
      <c r="A1567" t="s">
        <v>328</v>
      </c>
      <c r="B1567" t="s">
        <v>1596</v>
      </c>
      <c r="C1567" t="s">
        <v>2855</v>
      </c>
      <c r="D1567" t="s">
        <v>3189</v>
      </c>
      <c r="E1567" t="s">
        <v>9</v>
      </c>
      <c r="F1567" s="2">
        <v>25</v>
      </c>
      <c r="G1567" t="s">
        <v>3206</v>
      </c>
      <c r="H1567" t="s">
        <v>71</v>
      </c>
      <c r="I1567" t="s">
        <v>11</v>
      </c>
      <c r="J1567" t="s">
        <v>3198</v>
      </c>
      <c r="K1567" t="s">
        <v>15</v>
      </c>
      <c r="L1567" s="2">
        <v>33</v>
      </c>
      <c r="M1567" t="s">
        <v>3203</v>
      </c>
      <c r="N1567">
        <v>1</v>
      </c>
      <c r="O1567" t="s">
        <v>30</v>
      </c>
      <c r="P1567" t="e">
        <v>#VALUE!</v>
      </c>
      <c r="Q1567" t="e">
        <v>#VALUE!</v>
      </c>
      <c r="R1567" t="s">
        <v>3205</v>
      </c>
      <c r="S1567" t="s">
        <v>16</v>
      </c>
    </row>
    <row r="1568" spans="1:19" x14ac:dyDescent="0.3">
      <c r="A1568" t="s">
        <v>328</v>
      </c>
      <c r="B1568" t="s">
        <v>1596</v>
      </c>
      <c r="C1568" t="s">
        <v>2856</v>
      </c>
      <c r="D1568" t="s">
        <v>3189</v>
      </c>
      <c r="E1568" t="s">
        <v>9</v>
      </c>
      <c r="F1568" s="2">
        <v>27</v>
      </c>
      <c r="G1568" t="s">
        <v>3206</v>
      </c>
      <c r="H1568" t="s">
        <v>71</v>
      </c>
      <c r="I1568" t="s">
        <v>11</v>
      </c>
      <c r="J1568" t="s">
        <v>3198</v>
      </c>
      <c r="K1568" t="s">
        <v>15</v>
      </c>
      <c r="L1568" s="2">
        <v>33</v>
      </c>
      <c r="M1568" t="s">
        <v>3203</v>
      </c>
      <c r="N1568">
        <v>1</v>
      </c>
      <c r="O1568" t="s">
        <v>30</v>
      </c>
      <c r="P1568" t="e">
        <v>#VALUE!</v>
      </c>
      <c r="Q1568" t="e">
        <v>#VALUE!</v>
      </c>
      <c r="R1568" t="s">
        <v>3205</v>
      </c>
      <c r="S1568" t="s">
        <v>16</v>
      </c>
    </row>
    <row r="1569" spans="1:19" x14ac:dyDescent="0.3">
      <c r="A1569" t="s">
        <v>328</v>
      </c>
      <c r="B1569" t="s">
        <v>1596</v>
      </c>
      <c r="C1569" t="s">
        <v>2857</v>
      </c>
      <c r="D1569" t="s">
        <v>3189</v>
      </c>
      <c r="E1569" t="s">
        <v>9</v>
      </c>
      <c r="F1569" s="2">
        <v>27</v>
      </c>
      <c r="G1569" t="s">
        <v>3206</v>
      </c>
      <c r="H1569" t="s">
        <v>69</v>
      </c>
      <c r="I1569" t="s">
        <v>28</v>
      </c>
      <c r="J1569" t="s">
        <v>3212</v>
      </c>
      <c r="K1569" t="s">
        <v>15</v>
      </c>
      <c r="L1569" s="2">
        <v>33</v>
      </c>
      <c r="M1569" t="s">
        <v>3203</v>
      </c>
      <c r="N1569">
        <v>1</v>
      </c>
      <c r="O1569" t="s">
        <v>30</v>
      </c>
      <c r="P1569" t="e">
        <v>#VALUE!</v>
      </c>
      <c r="Q1569" t="e">
        <v>#VALUE!</v>
      </c>
      <c r="R1569" t="s">
        <v>3201</v>
      </c>
      <c r="S1569" t="s">
        <v>13</v>
      </c>
    </row>
    <row r="1570" spans="1:19" x14ac:dyDescent="0.3">
      <c r="A1570" t="s">
        <v>328</v>
      </c>
      <c r="B1570" t="s">
        <v>1596</v>
      </c>
      <c r="C1570" t="s">
        <v>1704</v>
      </c>
      <c r="D1570" t="s">
        <v>3189</v>
      </c>
      <c r="E1570" t="s">
        <v>9</v>
      </c>
      <c r="F1570" s="2">
        <v>33</v>
      </c>
      <c r="G1570" t="s">
        <v>3206</v>
      </c>
      <c r="H1570" t="s">
        <v>51</v>
      </c>
      <c r="I1570" t="s">
        <v>11</v>
      </c>
      <c r="J1570" t="s">
        <v>3198</v>
      </c>
      <c r="K1570" t="s">
        <v>15</v>
      </c>
      <c r="L1570" s="2">
        <v>33</v>
      </c>
      <c r="M1570" t="s">
        <v>3203</v>
      </c>
      <c r="N1570">
        <v>1</v>
      </c>
      <c r="O1570" t="s">
        <v>30</v>
      </c>
      <c r="P1570" t="e">
        <v>#VALUE!</v>
      </c>
      <c r="Q1570" t="e">
        <v>#VALUE!</v>
      </c>
      <c r="R1570" t="s">
        <v>3201</v>
      </c>
      <c r="S1570" t="s">
        <v>13</v>
      </c>
    </row>
    <row r="1571" spans="1:19" x14ac:dyDescent="0.3">
      <c r="A1571" t="s">
        <v>1154</v>
      </c>
      <c r="B1571" t="s">
        <v>1596</v>
      </c>
      <c r="C1571" t="s">
        <v>2858</v>
      </c>
      <c r="D1571" t="s">
        <v>3189</v>
      </c>
      <c r="E1571" t="s">
        <v>9</v>
      </c>
      <c r="F1571" s="2">
        <v>38</v>
      </c>
      <c r="G1571" t="s">
        <v>3197</v>
      </c>
      <c r="H1571" t="s">
        <v>69</v>
      </c>
      <c r="I1571" t="s">
        <v>28</v>
      </c>
      <c r="J1571" t="s">
        <v>3212</v>
      </c>
      <c r="K1571" t="s">
        <v>15</v>
      </c>
      <c r="L1571" s="2">
        <v>33</v>
      </c>
      <c r="M1571" t="s">
        <v>3203</v>
      </c>
      <c r="N1571">
        <v>1</v>
      </c>
      <c r="O1571" t="s">
        <v>30</v>
      </c>
      <c r="P1571" t="e">
        <v>#VALUE!</v>
      </c>
      <c r="Q1571" t="e">
        <v>#VALUE!</v>
      </c>
      <c r="R1571" t="s">
        <v>3201</v>
      </c>
      <c r="S1571" t="s">
        <v>13</v>
      </c>
    </row>
    <row r="1572" spans="1:19" x14ac:dyDescent="0.3">
      <c r="A1572" t="s">
        <v>1155</v>
      </c>
      <c r="B1572" t="s">
        <v>1596</v>
      </c>
      <c r="C1572" t="s">
        <v>2859</v>
      </c>
      <c r="D1572" t="s">
        <v>3189</v>
      </c>
      <c r="E1572" t="s">
        <v>9</v>
      </c>
      <c r="F1572" s="2">
        <v>22</v>
      </c>
      <c r="G1572" t="s">
        <v>3206</v>
      </c>
      <c r="H1572" t="s">
        <v>69</v>
      </c>
      <c r="I1572" t="s">
        <v>28</v>
      </c>
      <c r="J1572" t="s">
        <v>3212</v>
      </c>
      <c r="K1572" t="s">
        <v>15</v>
      </c>
      <c r="L1572" s="2">
        <v>33</v>
      </c>
      <c r="M1572" t="s">
        <v>3203</v>
      </c>
      <c r="N1572">
        <v>1</v>
      </c>
      <c r="O1572" t="s">
        <v>30</v>
      </c>
      <c r="P1572" t="e">
        <v>#VALUE!</v>
      </c>
      <c r="Q1572" t="e">
        <v>#VALUE!</v>
      </c>
      <c r="R1572" t="s">
        <v>3201</v>
      </c>
      <c r="S1572" t="s">
        <v>13</v>
      </c>
    </row>
    <row r="1573" spans="1:19" x14ac:dyDescent="0.3">
      <c r="A1573" t="s">
        <v>1156</v>
      </c>
      <c r="B1573" t="s">
        <v>1596</v>
      </c>
      <c r="C1573" t="s">
        <v>2094</v>
      </c>
      <c r="D1573" t="s">
        <v>3189</v>
      </c>
      <c r="E1573" t="s">
        <v>9</v>
      </c>
      <c r="F1573" s="2">
        <v>39</v>
      </c>
      <c r="G1573" t="s">
        <v>3197</v>
      </c>
      <c r="H1573" t="s">
        <v>51</v>
      </c>
      <c r="I1573" t="s">
        <v>28</v>
      </c>
      <c r="J1573" t="s">
        <v>3212</v>
      </c>
      <c r="K1573" t="s">
        <v>15</v>
      </c>
      <c r="L1573" s="2">
        <v>33</v>
      </c>
      <c r="M1573" t="s">
        <v>3203</v>
      </c>
      <c r="N1573">
        <v>1</v>
      </c>
      <c r="O1573" t="s">
        <v>30</v>
      </c>
      <c r="P1573" t="e">
        <v>#VALUE!</v>
      </c>
      <c r="Q1573" t="e">
        <v>#VALUE!</v>
      </c>
      <c r="R1573" t="s">
        <v>3201</v>
      </c>
      <c r="S1573" t="s">
        <v>13</v>
      </c>
    </row>
    <row r="1574" spans="1:19" x14ac:dyDescent="0.3">
      <c r="A1574" t="s">
        <v>1157</v>
      </c>
      <c r="B1574" t="s">
        <v>1596</v>
      </c>
      <c r="C1574" t="s">
        <v>2860</v>
      </c>
      <c r="D1574" t="s">
        <v>3189</v>
      </c>
      <c r="E1574" t="s">
        <v>9</v>
      </c>
      <c r="F1574" s="2">
        <v>37</v>
      </c>
      <c r="G1574" t="s">
        <v>3197</v>
      </c>
      <c r="H1574" t="s">
        <v>69</v>
      </c>
      <c r="I1574" t="s">
        <v>28</v>
      </c>
      <c r="J1574" t="s">
        <v>3212</v>
      </c>
      <c r="K1574" t="s">
        <v>15</v>
      </c>
      <c r="L1574" s="2">
        <v>33</v>
      </c>
      <c r="M1574" t="s">
        <v>3203</v>
      </c>
      <c r="N1574">
        <v>1</v>
      </c>
      <c r="O1574" t="s">
        <v>30</v>
      </c>
      <c r="P1574" t="e">
        <v>#VALUE!</v>
      </c>
      <c r="Q1574" t="e">
        <v>#VALUE!</v>
      </c>
      <c r="R1574" t="s">
        <v>3205</v>
      </c>
      <c r="S1574" t="s">
        <v>16</v>
      </c>
    </row>
    <row r="1575" spans="1:19" x14ac:dyDescent="0.3">
      <c r="A1575" t="s">
        <v>1158</v>
      </c>
      <c r="B1575" t="s">
        <v>1596</v>
      </c>
      <c r="C1575" t="s">
        <v>2295</v>
      </c>
      <c r="D1575" t="s">
        <v>3189</v>
      </c>
      <c r="E1575" t="s">
        <v>9</v>
      </c>
      <c r="F1575" s="2">
        <v>30</v>
      </c>
      <c r="G1575" t="s">
        <v>3206</v>
      </c>
      <c r="H1575" t="s">
        <v>51</v>
      </c>
      <c r="I1575" t="s">
        <v>11</v>
      </c>
      <c r="J1575" t="s">
        <v>3198</v>
      </c>
      <c r="K1575" t="s">
        <v>15</v>
      </c>
      <c r="L1575" s="2">
        <v>33</v>
      </c>
      <c r="M1575" t="s">
        <v>3203</v>
      </c>
      <c r="N1575">
        <v>1</v>
      </c>
      <c r="O1575" t="s">
        <v>30</v>
      </c>
      <c r="P1575" t="e">
        <v>#VALUE!</v>
      </c>
      <c r="Q1575" t="e">
        <v>#VALUE!</v>
      </c>
      <c r="R1575" t="s">
        <v>3201</v>
      </c>
      <c r="S1575" t="s">
        <v>13</v>
      </c>
    </row>
    <row r="1576" spans="1:19" x14ac:dyDescent="0.3">
      <c r="A1576" t="s">
        <v>1159</v>
      </c>
      <c r="B1576" t="s">
        <v>1596</v>
      </c>
      <c r="C1576" t="s">
        <v>1898</v>
      </c>
      <c r="D1576" t="s">
        <v>3189</v>
      </c>
      <c r="E1576" t="s">
        <v>9</v>
      </c>
      <c r="F1576" s="2">
        <v>29</v>
      </c>
      <c r="G1576" t="s">
        <v>3206</v>
      </c>
      <c r="H1576" t="s">
        <v>69</v>
      </c>
      <c r="I1576" t="s">
        <v>28</v>
      </c>
      <c r="J1576" t="s">
        <v>3212</v>
      </c>
      <c r="K1576" t="s">
        <v>15</v>
      </c>
      <c r="L1576" s="2">
        <v>33</v>
      </c>
      <c r="M1576" t="s">
        <v>3203</v>
      </c>
      <c r="N1576">
        <v>1</v>
      </c>
      <c r="O1576" t="s">
        <v>30</v>
      </c>
      <c r="P1576" t="e">
        <v>#VALUE!</v>
      </c>
      <c r="Q1576" t="e">
        <v>#VALUE!</v>
      </c>
      <c r="R1576" t="s">
        <v>3201</v>
      </c>
      <c r="S1576" t="s">
        <v>13</v>
      </c>
    </row>
    <row r="1577" spans="1:19" x14ac:dyDescent="0.3">
      <c r="A1577" t="s">
        <v>1160</v>
      </c>
      <c r="B1577" t="s">
        <v>1596</v>
      </c>
      <c r="C1577" t="s">
        <v>2269</v>
      </c>
      <c r="D1577" t="s">
        <v>3189</v>
      </c>
      <c r="E1577" t="s">
        <v>9</v>
      </c>
      <c r="F1577" s="2">
        <v>42</v>
      </c>
      <c r="G1577" t="s">
        <v>3197</v>
      </c>
      <c r="H1577" t="s">
        <v>69</v>
      </c>
      <c r="I1577" t="s">
        <v>11</v>
      </c>
      <c r="J1577" t="s">
        <v>3198</v>
      </c>
      <c r="K1577" t="s">
        <v>15</v>
      </c>
      <c r="L1577" s="2">
        <v>33</v>
      </c>
      <c r="M1577" t="s">
        <v>3203</v>
      </c>
      <c r="N1577">
        <v>1</v>
      </c>
      <c r="O1577" t="s">
        <v>30</v>
      </c>
      <c r="P1577" t="e">
        <v>#VALUE!</v>
      </c>
      <c r="Q1577" t="e">
        <v>#VALUE!</v>
      </c>
      <c r="R1577" t="s">
        <v>3201</v>
      </c>
      <c r="S1577" t="s">
        <v>13</v>
      </c>
    </row>
    <row r="1578" spans="1:19" x14ac:dyDescent="0.3">
      <c r="A1578" t="s">
        <v>1161</v>
      </c>
      <c r="B1578" t="s">
        <v>1596</v>
      </c>
      <c r="C1578" t="s">
        <v>2861</v>
      </c>
      <c r="D1578" t="s">
        <v>3189</v>
      </c>
      <c r="E1578" t="s">
        <v>9</v>
      </c>
      <c r="F1578" s="2">
        <v>33</v>
      </c>
      <c r="G1578" t="s">
        <v>3206</v>
      </c>
      <c r="H1578" t="s">
        <v>51</v>
      </c>
      <c r="I1578" t="s">
        <v>11</v>
      </c>
      <c r="J1578" t="s">
        <v>3198</v>
      </c>
      <c r="K1578" t="s">
        <v>15</v>
      </c>
      <c r="L1578" s="2">
        <v>33</v>
      </c>
      <c r="M1578" t="s">
        <v>3203</v>
      </c>
      <c r="N1578">
        <v>1</v>
      </c>
      <c r="O1578" t="s">
        <v>30</v>
      </c>
      <c r="P1578" t="e">
        <v>#VALUE!</v>
      </c>
      <c r="Q1578" t="e">
        <v>#VALUE!</v>
      </c>
      <c r="R1578" t="s">
        <v>3201</v>
      </c>
      <c r="S1578" t="s">
        <v>13</v>
      </c>
    </row>
    <row r="1579" spans="1:19" x14ac:dyDescent="0.3">
      <c r="A1579" t="s">
        <v>1162</v>
      </c>
      <c r="B1579" t="s">
        <v>1596</v>
      </c>
      <c r="C1579" t="s">
        <v>1619</v>
      </c>
      <c r="D1579" t="s">
        <v>3189</v>
      </c>
      <c r="E1579" t="s">
        <v>9</v>
      </c>
      <c r="F1579" s="2">
        <v>39</v>
      </c>
      <c r="G1579" t="s">
        <v>3197</v>
      </c>
      <c r="H1579" t="s">
        <v>51</v>
      </c>
      <c r="I1579" t="s">
        <v>11</v>
      </c>
      <c r="J1579" t="s">
        <v>3198</v>
      </c>
      <c r="K1579" t="s">
        <v>15</v>
      </c>
      <c r="L1579" s="2">
        <v>33</v>
      </c>
      <c r="M1579" t="s">
        <v>3203</v>
      </c>
      <c r="N1579">
        <v>1</v>
      </c>
      <c r="O1579" t="s">
        <v>30</v>
      </c>
      <c r="P1579" t="e">
        <v>#VALUE!</v>
      </c>
      <c r="Q1579" t="e">
        <v>#VALUE!</v>
      </c>
      <c r="R1579" t="s">
        <v>3201</v>
      </c>
      <c r="S1579" t="s">
        <v>13</v>
      </c>
    </row>
    <row r="1580" spans="1:19" x14ac:dyDescent="0.3">
      <c r="A1580" t="s">
        <v>1163</v>
      </c>
      <c r="B1580" t="s">
        <v>2719</v>
      </c>
      <c r="C1580" t="s">
        <v>2862</v>
      </c>
      <c r="D1580" t="s">
        <v>3189</v>
      </c>
      <c r="E1580" t="s">
        <v>9</v>
      </c>
      <c r="F1580" s="2">
        <v>30</v>
      </c>
      <c r="G1580" t="s">
        <v>3206</v>
      </c>
      <c r="H1580" t="s">
        <v>70</v>
      </c>
      <c r="I1580" t="s">
        <v>11</v>
      </c>
      <c r="J1580" t="s">
        <v>3198</v>
      </c>
      <c r="K1580" t="s">
        <v>15</v>
      </c>
      <c r="L1580" s="2">
        <v>33</v>
      </c>
      <c r="M1580" t="s">
        <v>3203</v>
      </c>
      <c r="N1580">
        <v>1</v>
      </c>
      <c r="O1580" t="s">
        <v>30</v>
      </c>
      <c r="P1580" t="e">
        <v>#VALUE!</v>
      </c>
      <c r="Q1580" t="e">
        <v>#VALUE!</v>
      </c>
      <c r="R1580" t="s">
        <v>3201</v>
      </c>
      <c r="S1580" t="s">
        <v>13</v>
      </c>
    </row>
    <row r="1581" spans="1:19" x14ac:dyDescent="0.3">
      <c r="A1581" t="s">
        <v>1164</v>
      </c>
      <c r="B1581" t="s">
        <v>1596</v>
      </c>
      <c r="C1581" t="s">
        <v>2863</v>
      </c>
      <c r="D1581" t="s">
        <v>3189</v>
      </c>
      <c r="E1581" t="s">
        <v>9</v>
      </c>
      <c r="F1581" s="2">
        <v>19</v>
      </c>
      <c r="G1581" t="s">
        <v>3206</v>
      </c>
      <c r="H1581" t="s">
        <v>69</v>
      </c>
      <c r="I1581" t="s">
        <v>11</v>
      </c>
      <c r="J1581" t="s">
        <v>3198</v>
      </c>
      <c r="K1581" t="s">
        <v>15</v>
      </c>
      <c r="L1581" s="2">
        <v>33</v>
      </c>
      <c r="M1581" t="s">
        <v>3203</v>
      </c>
      <c r="N1581">
        <v>1</v>
      </c>
      <c r="O1581" t="s">
        <v>30</v>
      </c>
      <c r="P1581" t="e">
        <v>#VALUE!</v>
      </c>
      <c r="Q1581" t="e">
        <v>#VALUE!</v>
      </c>
      <c r="R1581" t="s">
        <v>3201</v>
      </c>
      <c r="S1581" t="s">
        <v>13</v>
      </c>
    </row>
    <row r="1582" spans="1:19" x14ac:dyDescent="0.3">
      <c r="A1582" t="s">
        <v>1165</v>
      </c>
      <c r="B1582" t="s">
        <v>2719</v>
      </c>
      <c r="C1582" t="s">
        <v>2864</v>
      </c>
      <c r="D1582" t="s">
        <v>3189</v>
      </c>
      <c r="E1582" t="s">
        <v>9</v>
      </c>
      <c r="F1582" s="2">
        <v>23</v>
      </c>
      <c r="G1582" t="s">
        <v>3206</v>
      </c>
      <c r="H1582" t="s">
        <v>70</v>
      </c>
      <c r="I1582" t="s">
        <v>11</v>
      </c>
      <c r="J1582" t="s">
        <v>3198</v>
      </c>
      <c r="K1582" t="s">
        <v>15</v>
      </c>
      <c r="L1582" s="2">
        <v>33</v>
      </c>
      <c r="M1582" t="s">
        <v>3203</v>
      </c>
      <c r="N1582">
        <v>1</v>
      </c>
      <c r="O1582" t="s">
        <v>30</v>
      </c>
      <c r="P1582" t="e">
        <v>#VALUE!</v>
      </c>
      <c r="Q1582" t="e">
        <v>#VALUE!</v>
      </c>
      <c r="R1582" t="s">
        <v>3201</v>
      </c>
      <c r="S1582" t="s">
        <v>13</v>
      </c>
    </row>
    <row r="1583" spans="1:19" x14ac:dyDescent="0.3">
      <c r="A1583" t="s">
        <v>1166</v>
      </c>
      <c r="B1583" t="s">
        <v>1596</v>
      </c>
      <c r="C1583" t="s">
        <v>2865</v>
      </c>
      <c r="D1583" t="s">
        <v>3189</v>
      </c>
      <c r="E1583" t="s">
        <v>9</v>
      </c>
      <c r="F1583" s="2">
        <v>21</v>
      </c>
      <c r="G1583" t="s">
        <v>3206</v>
      </c>
      <c r="H1583" t="s">
        <v>51</v>
      </c>
      <c r="I1583" t="s">
        <v>11</v>
      </c>
      <c r="J1583" t="s">
        <v>3198</v>
      </c>
      <c r="K1583" t="s">
        <v>15</v>
      </c>
      <c r="L1583" s="2">
        <v>33</v>
      </c>
      <c r="M1583" t="s">
        <v>3203</v>
      </c>
      <c r="N1583">
        <v>1</v>
      </c>
      <c r="O1583" t="s">
        <v>30</v>
      </c>
      <c r="P1583" t="e">
        <v>#VALUE!</v>
      </c>
      <c r="Q1583" t="e">
        <v>#VALUE!</v>
      </c>
      <c r="R1583" t="s">
        <v>3205</v>
      </c>
      <c r="S1583" t="s">
        <v>16</v>
      </c>
    </row>
    <row r="1584" spans="1:19" x14ac:dyDescent="0.3">
      <c r="A1584" t="s">
        <v>1166</v>
      </c>
      <c r="B1584" t="s">
        <v>1596</v>
      </c>
      <c r="C1584" t="s">
        <v>2866</v>
      </c>
      <c r="D1584" t="s">
        <v>3189</v>
      </c>
      <c r="E1584" t="s">
        <v>9</v>
      </c>
      <c r="F1584" s="2">
        <v>29</v>
      </c>
      <c r="G1584" t="s">
        <v>3206</v>
      </c>
      <c r="H1584" t="s">
        <v>51</v>
      </c>
      <c r="I1584" t="s">
        <v>28</v>
      </c>
      <c r="J1584" t="s">
        <v>3212</v>
      </c>
      <c r="K1584" t="s">
        <v>15</v>
      </c>
      <c r="L1584" s="2">
        <v>33</v>
      </c>
      <c r="M1584" t="s">
        <v>3203</v>
      </c>
      <c r="N1584">
        <v>1</v>
      </c>
      <c r="O1584" t="s">
        <v>30</v>
      </c>
      <c r="P1584" t="e">
        <v>#VALUE!</v>
      </c>
      <c r="Q1584" t="e">
        <v>#VALUE!</v>
      </c>
      <c r="R1584" t="s">
        <v>3201</v>
      </c>
      <c r="S1584" t="s">
        <v>13</v>
      </c>
    </row>
    <row r="1585" spans="1:19" x14ac:dyDescent="0.3">
      <c r="A1585" t="s">
        <v>1167</v>
      </c>
      <c r="B1585" t="s">
        <v>1596</v>
      </c>
      <c r="C1585" t="s">
        <v>1700</v>
      </c>
      <c r="D1585" t="s">
        <v>3189</v>
      </c>
      <c r="E1585" t="s">
        <v>9</v>
      </c>
      <c r="F1585" s="2">
        <v>52</v>
      </c>
      <c r="G1585" t="s">
        <v>3197</v>
      </c>
      <c r="H1585" t="s">
        <v>51</v>
      </c>
      <c r="I1585" t="s">
        <v>11</v>
      </c>
      <c r="J1585" t="s">
        <v>3198</v>
      </c>
      <c r="K1585" t="s">
        <v>15</v>
      </c>
      <c r="L1585" s="2">
        <v>33</v>
      </c>
      <c r="M1585" t="s">
        <v>3203</v>
      </c>
      <c r="N1585">
        <v>1</v>
      </c>
      <c r="O1585" t="s">
        <v>30</v>
      </c>
      <c r="P1585" t="e">
        <v>#VALUE!</v>
      </c>
      <c r="Q1585" t="e">
        <v>#VALUE!</v>
      </c>
      <c r="R1585" t="s">
        <v>3205</v>
      </c>
      <c r="S1585" t="s">
        <v>16</v>
      </c>
    </row>
    <row r="1586" spans="1:19" x14ac:dyDescent="0.3">
      <c r="A1586" t="s">
        <v>1168</v>
      </c>
      <c r="B1586" t="s">
        <v>1596</v>
      </c>
      <c r="C1586" t="s">
        <v>2511</v>
      </c>
      <c r="D1586" t="s">
        <v>3189</v>
      </c>
      <c r="E1586" t="s">
        <v>9</v>
      </c>
      <c r="F1586" s="2">
        <v>24</v>
      </c>
      <c r="G1586" t="s">
        <v>3206</v>
      </c>
      <c r="H1586" t="s">
        <v>71</v>
      </c>
      <c r="I1586" t="s">
        <v>28</v>
      </c>
      <c r="J1586" t="s">
        <v>3212</v>
      </c>
      <c r="K1586" t="s">
        <v>15</v>
      </c>
      <c r="L1586" s="2">
        <v>33</v>
      </c>
      <c r="M1586" t="s">
        <v>3203</v>
      </c>
      <c r="N1586">
        <v>1</v>
      </c>
      <c r="O1586" t="s">
        <v>30</v>
      </c>
      <c r="P1586" t="e">
        <v>#VALUE!</v>
      </c>
      <c r="Q1586" t="e">
        <v>#VALUE!</v>
      </c>
      <c r="R1586" t="s">
        <v>3205</v>
      </c>
      <c r="S1586" t="s">
        <v>16</v>
      </c>
    </row>
    <row r="1587" spans="1:19" x14ac:dyDescent="0.3">
      <c r="A1587" t="s">
        <v>1169</v>
      </c>
      <c r="B1587" t="s">
        <v>1596</v>
      </c>
      <c r="C1587" t="s">
        <v>1903</v>
      </c>
      <c r="D1587" t="s">
        <v>3189</v>
      </c>
      <c r="E1587" t="s">
        <v>9</v>
      </c>
      <c r="F1587" s="2">
        <v>26</v>
      </c>
      <c r="G1587" t="s">
        <v>3206</v>
      </c>
      <c r="H1587" t="s">
        <v>69</v>
      </c>
      <c r="I1587" t="s">
        <v>28</v>
      </c>
      <c r="J1587" t="s">
        <v>3212</v>
      </c>
      <c r="K1587" t="s">
        <v>15</v>
      </c>
      <c r="L1587" s="2">
        <v>33</v>
      </c>
      <c r="M1587" t="s">
        <v>3203</v>
      </c>
      <c r="N1587">
        <v>1</v>
      </c>
      <c r="O1587" t="s">
        <v>30</v>
      </c>
      <c r="P1587" t="e">
        <v>#VALUE!</v>
      </c>
      <c r="Q1587" t="e">
        <v>#VALUE!</v>
      </c>
      <c r="R1587" t="s">
        <v>3201</v>
      </c>
      <c r="S1587" t="s">
        <v>13</v>
      </c>
    </row>
    <row r="1588" spans="1:19" x14ac:dyDescent="0.3">
      <c r="A1588" t="s">
        <v>341</v>
      </c>
      <c r="B1588" t="s">
        <v>1596</v>
      </c>
      <c r="C1588" t="s">
        <v>1610</v>
      </c>
      <c r="D1588" t="s">
        <v>3189</v>
      </c>
      <c r="E1588" t="s">
        <v>9</v>
      </c>
      <c r="F1588" s="2">
        <v>46</v>
      </c>
      <c r="G1588" t="s">
        <v>3197</v>
      </c>
      <c r="H1588" t="s">
        <v>71</v>
      </c>
      <c r="I1588" t="s">
        <v>28</v>
      </c>
      <c r="J1588" t="s">
        <v>3212</v>
      </c>
      <c r="K1588" t="s">
        <v>37</v>
      </c>
      <c r="L1588" s="2">
        <v>33</v>
      </c>
      <c r="M1588" t="s">
        <v>3203</v>
      </c>
      <c r="N1588">
        <v>1</v>
      </c>
      <c r="O1588" t="s">
        <v>30</v>
      </c>
      <c r="P1588" t="e">
        <v>#VALUE!</v>
      </c>
      <c r="Q1588" t="e">
        <v>#VALUE!</v>
      </c>
      <c r="R1588" t="s">
        <v>3205</v>
      </c>
      <c r="S1588" t="s">
        <v>16</v>
      </c>
    </row>
    <row r="1589" spans="1:19" x14ac:dyDescent="0.3">
      <c r="A1589" t="s">
        <v>341</v>
      </c>
      <c r="B1589" t="s">
        <v>1596</v>
      </c>
      <c r="C1589" t="s">
        <v>2867</v>
      </c>
      <c r="D1589" t="s">
        <v>3189</v>
      </c>
      <c r="E1589" t="s">
        <v>9</v>
      </c>
      <c r="F1589" s="2">
        <v>22</v>
      </c>
      <c r="G1589" t="s">
        <v>3206</v>
      </c>
      <c r="H1589" t="s">
        <v>69</v>
      </c>
      <c r="I1589" t="s">
        <v>11</v>
      </c>
      <c r="J1589" t="s">
        <v>3198</v>
      </c>
      <c r="K1589" t="s">
        <v>40</v>
      </c>
      <c r="L1589" s="2">
        <v>33</v>
      </c>
      <c r="M1589" t="s">
        <v>3203</v>
      </c>
      <c r="N1589">
        <v>1</v>
      </c>
      <c r="O1589" t="s">
        <v>30</v>
      </c>
      <c r="P1589" t="e">
        <v>#VALUE!</v>
      </c>
      <c r="Q1589" t="e">
        <v>#VALUE!</v>
      </c>
      <c r="R1589" t="s">
        <v>3205</v>
      </c>
      <c r="S1589" t="s">
        <v>16</v>
      </c>
    </row>
    <row r="1590" spans="1:19" x14ac:dyDescent="0.3">
      <c r="A1590" t="s">
        <v>343</v>
      </c>
      <c r="B1590" t="s">
        <v>1596</v>
      </c>
      <c r="C1590" t="s">
        <v>1794</v>
      </c>
      <c r="D1590" t="s">
        <v>3189</v>
      </c>
      <c r="E1590" t="s">
        <v>9</v>
      </c>
      <c r="F1590" s="2">
        <v>33</v>
      </c>
      <c r="G1590" t="s">
        <v>3206</v>
      </c>
      <c r="H1590" t="s">
        <v>69</v>
      </c>
      <c r="I1590" t="s">
        <v>11</v>
      </c>
      <c r="J1590" t="s">
        <v>3198</v>
      </c>
      <c r="K1590" t="s">
        <v>15</v>
      </c>
      <c r="L1590" s="2">
        <v>33</v>
      </c>
      <c r="M1590" t="s">
        <v>3203</v>
      </c>
      <c r="N1590">
        <v>1</v>
      </c>
      <c r="O1590" t="s">
        <v>30</v>
      </c>
      <c r="P1590" t="e">
        <v>#VALUE!</v>
      </c>
      <c r="Q1590" t="e">
        <v>#VALUE!</v>
      </c>
      <c r="R1590" t="s">
        <v>3201</v>
      </c>
      <c r="S1590" t="s">
        <v>13</v>
      </c>
    </row>
    <row r="1591" spans="1:19" x14ac:dyDescent="0.3">
      <c r="A1591" t="s">
        <v>343</v>
      </c>
      <c r="B1591" t="s">
        <v>1596</v>
      </c>
      <c r="C1591" t="s">
        <v>2414</v>
      </c>
      <c r="D1591" t="s">
        <v>3189</v>
      </c>
      <c r="E1591" t="s">
        <v>9</v>
      </c>
      <c r="F1591" s="2">
        <v>44</v>
      </c>
      <c r="G1591" t="s">
        <v>3197</v>
      </c>
      <c r="H1591" t="s">
        <v>69</v>
      </c>
      <c r="I1591" t="s">
        <v>11</v>
      </c>
      <c r="J1591" t="s">
        <v>3198</v>
      </c>
      <c r="K1591" t="s">
        <v>15</v>
      </c>
      <c r="L1591" s="2">
        <v>33</v>
      </c>
      <c r="M1591" t="s">
        <v>3203</v>
      </c>
      <c r="N1591">
        <v>1</v>
      </c>
      <c r="O1591" t="s">
        <v>30</v>
      </c>
      <c r="P1591" t="e">
        <v>#VALUE!</v>
      </c>
      <c r="Q1591" t="e">
        <v>#VALUE!</v>
      </c>
      <c r="R1591" t="s">
        <v>3201</v>
      </c>
      <c r="S1591" t="s">
        <v>13</v>
      </c>
    </row>
    <row r="1592" spans="1:19" x14ac:dyDescent="0.3">
      <c r="A1592" t="s">
        <v>343</v>
      </c>
      <c r="B1592" t="s">
        <v>1596</v>
      </c>
      <c r="C1592" t="s">
        <v>2783</v>
      </c>
      <c r="D1592" t="s">
        <v>3189</v>
      </c>
      <c r="E1592" t="s">
        <v>9</v>
      </c>
      <c r="F1592" s="2">
        <v>22</v>
      </c>
      <c r="G1592" t="s">
        <v>3206</v>
      </c>
      <c r="H1592" t="s">
        <v>51</v>
      </c>
      <c r="I1592" t="s">
        <v>11</v>
      </c>
      <c r="J1592" t="s">
        <v>3198</v>
      </c>
      <c r="K1592" t="s">
        <v>15</v>
      </c>
      <c r="L1592" s="2">
        <v>33</v>
      </c>
      <c r="M1592" t="s">
        <v>3203</v>
      </c>
      <c r="N1592">
        <v>1</v>
      </c>
      <c r="O1592" t="s">
        <v>30</v>
      </c>
      <c r="P1592" t="e">
        <v>#VALUE!</v>
      </c>
      <c r="Q1592" t="e">
        <v>#VALUE!</v>
      </c>
      <c r="R1592" t="s">
        <v>3201</v>
      </c>
      <c r="S1592" t="s">
        <v>13</v>
      </c>
    </row>
    <row r="1593" spans="1:19" x14ac:dyDescent="0.3">
      <c r="A1593" t="s">
        <v>343</v>
      </c>
      <c r="B1593" t="s">
        <v>1596</v>
      </c>
      <c r="C1593" t="s">
        <v>1645</v>
      </c>
      <c r="D1593" t="s">
        <v>3189</v>
      </c>
      <c r="E1593" t="s">
        <v>9</v>
      </c>
      <c r="F1593" s="2">
        <v>33</v>
      </c>
      <c r="G1593" t="s">
        <v>3206</v>
      </c>
      <c r="H1593" t="s">
        <v>51</v>
      </c>
      <c r="I1593" t="s">
        <v>11</v>
      </c>
      <c r="J1593" t="s">
        <v>3198</v>
      </c>
      <c r="K1593" t="s">
        <v>15</v>
      </c>
      <c r="L1593" s="2">
        <v>33</v>
      </c>
      <c r="M1593" t="s">
        <v>3203</v>
      </c>
      <c r="N1593">
        <v>1</v>
      </c>
      <c r="O1593" t="s">
        <v>30</v>
      </c>
      <c r="P1593" t="e">
        <v>#VALUE!</v>
      </c>
      <c r="Q1593" t="e">
        <v>#VALUE!</v>
      </c>
      <c r="R1593" t="s">
        <v>3201</v>
      </c>
      <c r="S1593" t="s">
        <v>13</v>
      </c>
    </row>
    <row r="1594" spans="1:19" x14ac:dyDescent="0.3">
      <c r="A1594" t="s">
        <v>1170</v>
      </c>
      <c r="B1594" t="s">
        <v>1596</v>
      </c>
      <c r="C1594" t="s">
        <v>1965</v>
      </c>
      <c r="D1594" t="s">
        <v>3189</v>
      </c>
      <c r="E1594" t="s">
        <v>9</v>
      </c>
      <c r="F1594" s="2">
        <v>27</v>
      </c>
      <c r="G1594" t="s">
        <v>3206</v>
      </c>
      <c r="H1594" t="s">
        <v>71</v>
      </c>
      <c r="I1594" t="s">
        <v>11</v>
      </c>
      <c r="J1594" t="s">
        <v>3198</v>
      </c>
      <c r="K1594" t="s">
        <v>15</v>
      </c>
      <c r="L1594" s="2">
        <v>33</v>
      </c>
      <c r="M1594" t="s">
        <v>3203</v>
      </c>
      <c r="N1594">
        <v>1</v>
      </c>
      <c r="O1594" t="s">
        <v>30</v>
      </c>
      <c r="P1594" t="e">
        <v>#VALUE!</v>
      </c>
      <c r="Q1594" t="e">
        <v>#VALUE!</v>
      </c>
      <c r="R1594" t="s">
        <v>3205</v>
      </c>
      <c r="S1594" t="s">
        <v>16</v>
      </c>
    </row>
    <row r="1595" spans="1:19" x14ac:dyDescent="0.3">
      <c r="A1595" t="s">
        <v>1171</v>
      </c>
      <c r="B1595" t="s">
        <v>1596</v>
      </c>
      <c r="C1595" t="s">
        <v>2868</v>
      </c>
      <c r="D1595" t="s">
        <v>3189</v>
      </c>
      <c r="E1595" t="s">
        <v>9</v>
      </c>
      <c r="F1595" s="2">
        <v>37</v>
      </c>
      <c r="G1595" t="s">
        <v>3197</v>
      </c>
      <c r="H1595" t="s">
        <v>51</v>
      </c>
      <c r="I1595" t="s">
        <v>28</v>
      </c>
      <c r="J1595" t="s">
        <v>3212</v>
      </c>
      <c r="K1595" t="s">
        <v>15</v>
      </c>
      <c r="L1595" s="2">
        <v>33</v>
      </c>
      <c r="M1595" t="s">
        <v>3203</v>
      </c>
      <c r="N1595">
        <v>1</v>
      </c>
      <c r="O1595" t="s">
        <v>30</v>
      </c>
      <c r="P1595" t="e">
        <v>#VALUE!</v>
      </c>
      <c r="Q1595" t="e">
        <v>#VALUE!</v>
      </c>
      <c r="R1595" t="s">
        <v>3201</v>
      </c>
      <c r="S1595" t="s">
        <v>13</v>
      </c>
    </row>
    <row r="1596" spans="1:19" x14ac:dyDescent="0.3">
      <c r="A1596" t="s">
        <v>346</v>
      </c>
      <c r="B1596" t="s">
        <v>1596</v>
      </c>
      <c r="C1596" t="s">
        <v>1704</v>
      </c>
      <c r="D1596" t="s">
        <v>3189</v>
      </c>
      <c r="E1596" t="s">
        <v>9</v>
      </c>
      <c r="F1596" s="2">
        <v>27</v>
      </c>
      <c r="G1596" t="s">
        <v>3206</v>
      </c>
      <c r="H1596" t="s">
        <v>69</v>
      </c>
      <c r="I1596" t="s">
        <v>11</v>
      </c>
      <c r="J1596" t="s">
        <v>3198</v>
      </c>
      <c r="K1596" t="s">
        <v>15</v>
      </c>
      <c r="L1596" s="2">
        <v>33</v>
      </c>
      <c r="M1596" t="s">
        <v>3203</v>
      </c>
      <c r="N1596">
        <v>1</v>
      </c>
      <c r="O1596" t="s">
        <v>30</v>
      </c>
      <c r="P1596" t="e">
        <v>#VALUE!</v>
      </c>
      <c r="Q1596" t="e">
        <v>#VALUE!</v>
      </c>
      <c r="R1596" t="s">
        <v>3201</v>
      </c>
      <c r="S1596" t="s">
        <v>13</v>
      </c>
    </row>
    <row r="1597" spans="1:19" x14ac:dyDescent="0.3">
      <c r="A1597" t="s">
        <v>348</v>
      </c>
      <c r="B1597" t="s">
        <v>1596</v>
      </c>
      <c r="C1597" t="s">
        <v>2869</v>
      </c>
      <c r="D1597" t="s">
        <v>3189</v>
      </c>
      <c r="E1597" t="s">
        <v>9</v>
      </c>
      <c r="F1597" s="2">
        <v>28</v>
      </c>
      <c r="G1597" t="s">
        <v>3206</v>
      </c>
      <c r="H1597" t="s">
        <v>69</v>
      </c>
      <c r="I1597" t="s">
        <v>11</v>
      </c>
      <c r="J1597" t="s">
        <v>3198</v>
      </c>
      <c r="K1597" t="s">
        <v>15</v>
      </c>
      <c r="L1597" s="2">
        <v>33</v>
      </c>
      <c r="M1597" t="s">
        <v>3203</v>
      </c>
      <c r="N1597">
        <v>1</v>
      </c>
      <c r="O1597" t="s">
        <v>30</v>
      </c>
      <c r="P1597" t="e">
        <v>#VALUE!</v>
      </c>
      <c r="Q1597" t="e">
        <v>#VALUE!</v>
      </c>
      <c r="R1597" t="s">
        <v>3201</v>
      </c>
      <c r="S1597" t="s">
        <v>13</v>
      </c>
    </row>
    <row r="1598" spans="1:19" x14ac:dyDescent="0.3">
      <c r="A1598" t="s">
        <v>1172</v>
      </c>
      <c r="B1598" t="s">
        <v>1596</v>
      </c>
      <c r="C1598" t="s">
        <v>2779</v>
      </c>
      <c r="D1598" t="s">
        <v>3189</v>
      </c>
      <c r="E1598" t="s">
        <v>9</v>
      </c>
      <c r="F1598" s="2">
        <v>30</v>
      </c>
      <c r="G1598" t="s">
        <v>3206</v>
      </c>
      <c r="H1598" t="s">
        <v>51</v>
      </c>
      <c r="I1598" t="s">
        <v>11</v>
      </c>
      <c r="J1598" t="s">
        <v>3198</v>
      </c>
      <c r="K1598" t="s">
        <v>15</v>
      </c>
      <c r="L1598" s="2">
        <v>33</v>
      </c>
      <c r="M1598" t="s">
        <v>3203</v>
      </c>
      <c r="N1598">
        <v>1</v>
      </c>
      <c r="O1598" t="s">
        <v>30</v>
      </c>
      <c r="P1598" t="e">
        <v>#VALUE!</v>
      </c>
      <c r="Q1598" t="e">
        <v>#VALUE!</v>
      </c>
      <c r="R1598" t="s">
        <v>3201</v>
      </c>
      <c r="S1598" t="s">
        <v>13</v>
      </c>
    </row>
    <row r="1599" spans="1:19" x14ac:dyDescent="0.3">
      <c r="A1599" t="s">
        <v>1172</v>
      </c>
      <c r="B1599" t="s">
        <v>1596</v>
      </c>
      <c r="C1599" t="s">
        <v>1965</v>
      </c>
      <c r="D1599" t="s">
        <v>3189</v>
      </c>
      <c r="E1599" t="s">
        <v>9</v>
      </c>
      <c r="F1599" s="2">
        <v>30</v>
      </c>
      <c r="G1599" t="s">
        <v>3206</v>
      </c>
      <c r="H1599" t="s">
        <v>51</v>
      </c>
      <c r="I1599" t="s">
        <v>28</v>
      </c>
      <c r="J1599" t="s">
        <v>3212</v>
      </c>
      <c r="K1599" t="s">
        <v>43</v>
      </c>
      <c r="L1599" s="2">
        <v>33</v>
      </c>
      <c r="M1599" t="s">
        <v>3203</v>
      </c>
      <c r="N1599">
        <v>1</v>
      </c>
      <c r="O1599" t="s">
        <v>30</v>
      </c>
      <c r="P1599" t="e">
        <v>#VALUE!</v>
      </c>
      <c r="Q1599" t="e">
        <v>#VALUE!</v>
      </c>
      <c r="R1599" t="s">
        <v>3201</v>
      </c>
      <c r="S1599" t="s">
        <v>13</v>
      </c>
    </row>
    <row r="1600" spans="1:19" x14ac:dyDescent="0.3">
      <c r="A1600" t="s">
        <v>1173</v>
      </c>
      <c r="B1600" t="s">
        <v>1596</v>
      </c>
      <c r="C1600" t="s">
        <v>2870</v>
      </c>
      <c r="D1600" t="s">
        <v>3189</v>
      </c>
      <c r="E1600" t="s">
        <v>9</v>
      </c>
      <c r="F1600" s="2">
        <v>21</v>
      </c>
      <c r="G1600" t="s">
        <v>3206</v>
      </c>
      <c r="H1600" t="s">
        <v>51</v>
      </c>
      <c r="I1600" t="s">
        <v>11</v>
      </c>
      <c r="J1600" t="s">
        <v>3198</v>
      </c>
      <c r="K1600" t="s">
        <v>15</v>
      </c>
      <c r="L1600" s="2">
        <v>33</v>
      </c>
      <c r="M1600" t="s">
        <v>3203</v>
      </c>
      <c r="N1600">
        <v>1</v>
      </c>
      <c r="O1600" t="s">
        <v>30</v>
      </c>
      <c r="P1600" t="e">
        <v>#VALUE!</v>
      </c>
      <c r="Q1600" t="e">
        <v>#VALUE!</v>
      </c>
      <c r="R1600" t="s">
        <v>3205</v>
      </c>
      <c r="S1600" t="s">
        <v>16</v>
      </c>
    </row>
    <row r="1601" spans="1:19" x14ac:dyDescent="0.3">
      <c r="A1601" t="s">
        <v>1174</v>
      </c>
      <c r="B1601" t="s">
        <v>1596</v>
      </c>
      <c r="C1601" t="s">
        <v>2871</v>
      </c>
      <c r="D1601" t="s">
        <v>3189</v>
      </c>
      <c r="E1601" t="s">
        <v>9</v>
      </c>
      <c r="F1601" s="2">
        <v>45</v>
      </c>
      <c r="G1601" t="s">
        <v>3197</v>
      </c>
      <c r="H1601" t="s">
        <v>69</v>
      </c>
      <c r="I1601" t="s">
        <v>28</v>
      </c>
      <c r="J1601" t="s">
        <v>3212</v>
      </c>
      <c r="K1601" t="s">
        <v>15</v>
      </c>
      <c r="L1601" s="2">
        <v>33</v>
      </c>
      <c r="M1601" t="s">
        <v>3203</v>
      </c>
      <c r="N1601">
        <v>1</v>
      </c>
      <c r="O1601" t="s">
        <v>30</v>
      </c>
      <c r="P1601" t="e">
        <v>#VALUE!</v>
      </c>
      <c r="Q1601" t="e">
        <v>#VALUE!</v>
      </c>
      <c r="R1601" t="s">
        <v>3201</v>
      </c>
      <c r="S1601" t="s">
        <v>13</v>
      </c>
    </row>
    <row r="1602" spans="1:19" x14ac:dyDescent="0.3">
      <c r="A1602" t="s">
        <v>1175</v>
      </c>
      <c r="B1602" t="s">
        <v>1596</v>
      </c>
      <c r="C1602" t="s">
        <v>2872</v>
      </c>
      <c r="D1602" t="s">
        <v>3189</v>
      </c>
      <c r="E1602" t="s">
        <v>9</v>
      </c>
      <c r="F1602" s="2">
        <v>29</v>
      </c>
      <c r="G1602" t="s">
        <v>3206</v>
      </c>
      <c r="H1602" t="s">
        <v>51</v>
      </c>
      <c r="I1602" t="s">
        <v>11</v>
      </c>
      <c r="J1602" t="s">
        <v>3198</v>
      </c>
      <c r="K1602" t="s">
        <v>15</v>
      </c>
      <c r="L1602" s="2">
        <v>33</v>
      </c>
      <c r="M1602" t="s">
        <v>3203</v>
      </c>
      <c r="N1602">
        <v>1</v>
      </c>
      <c r="O1602" t="s">
        <v>30</v>
      </c>
      <c r="P1602" t="e">
        <v>#VALUE!</v>
      </c>
      <c r="Q1602" t="e">
        <v>#VALUE!</v>
      </c>
      <c r="R1602" t="s">
        <v>3205</v>
      </c>
      <c r="S1602" t="s">
        <v>16</v>
      </c>
    </row>
    <row r="1603" spans="1:19" x14ac:dyDescent="0.3">
      <c r="A1603" t="s">
        <v>1176</v>
      </c>
      <c r="B1603" t="s">
        <v>2719</v>
      </c>
      <c r="C1603" t="s">
        <v>2873</v>
      </c>
      <c r="D1603" t="s">
        <v>3189</v>
      </c>
      <c r="E1603" t="s">
        <v>9</v>
      </c>
      <c r="F1603" s="2">
        <v>37</v>
      </c>
      <c r="G1603" t="s">
        <v>3197</v>
      </c>
      <c r="H1603" t="s">
        <v>70</v>
      </c>
      <c r="I1603" t="s">
        <v>11</v>
      </c>
      <c r="J1603" t="s">
        <v>3198</v>
      </c>
      <c r="K1603" t="s">
        <v>15</v>
      </c>
      <c r="L1603" s="2">
        <v>33</v>
      </c>
      <c r="M1603" t="s">
        <v>3203</v>
      </c>
      <c r="N1603">
        <v>1</v>
      </c>
      <c r="O1603" t="s">
        <v>30</v>
      </c>
      <c r="P1603" t="e">
        <v>#VALUE!</v>
      </c>
      <c r="Q1603" t="e">
        <v>#VALUE!</v>
      </c>
      <c r="R1603" t="s">
        <v>3201</v>
      </c>
      <c r="S1603" t="s">
        <v>13</v>
      </c>
    </row>
    <row r="1604" spans="1:19" x14ac:dyDescent="0.3">
      <c r="A1604" t="s">
        <v>1177</v>
      </c>
      <c r="B1604" t="s">
        <v>1596</v>
      </c>
      <c r="C1604" t="s">
        <v>2874</v>
      </c>
      <c r="D1604" t="s">
        <v>3189</v>
      </c>
      <c r="E1604" t="s">
        <v>9</v>
      </c>
      <c r="F1604" s="2">
        <v>32</v>
      </c>
      <c r="G1604" t="s">
        <v>3206</v>
      </c>
      <c r="H1604" t="s">
        <v>69</v>
      </c>
      <c r="I1604" t="s">
        <v>11</v>
      </c>
      <c r="J1604" t="s">
        <v>3198</v>
      </c>
      <c r="K1604" t="s">
        <v>15</v>
      </c>
      <c r="L1604" s="2">
        <v>33</v>
      </c>
      <c r="M1604" t="s">
        <v>3203</v>
      </c>
      <c r="N1604">
        <v>1</v>
      </c>
      <c r="O1604" t="s">
        <v>30</v>
      </c>
      <c r="P1604" t="e">
        <v>#VALUE!</v>
      </c>
      <c r="Q1604" t="e">
        <v>#VALUE!</v>
      </c>
      <c r="R1604" t="s">
        <v>3201</v>
      </c>
      <c r="S1604" t="s">
        <v>13</v>
      </c>
    </row>
    <row r="1605" spans="1:19" x14ac:dyDescent="0.3">
      <c r="A1605" t="s">
        <v>1178</v>
      </c>
      <c r="B1605" t="s">
        <v>1596</v>
      </c>
      <c r="C1605" t="s">
        <v>2875</v>
      </c>
      <c r="D1605" t="s">
        <v>3189</v>
      </c>
      <c r="E1605" t="s">
        <v>9</v>
      </c>
      <c r="F1605" s="2">
        <v>26</v>
      </c>
      <c r="G1605" t="s">
        <v>3206</v>
      </c>
      <c r="H1605" t="s">
        <v>51</v>
      </c>
      <c r="I1605" t="s">
        <v>11</v>
      </c>
      <c r="J1605" t="s">
        <v>3198</v>
      </c>
      <c r="K1605" t="s">
        <v>15</v>
      </c>
      <c r="L1605" s="2">
        <v>33</v>
      </c>
      <c r="M1605" t="s">
        <v>3203</v>
      </c>
      <c r="N1605">
        <v>1</v>
      </c>
      <c r="O1605" t="s">
        <v>30</v>
      </c>
      <c r="P1605" t="e">
        <v>#VALUE!</v>
      </c>
      <c r="Q1605" t="e">
        <v>#VALUE!</v>
      </c>
      <c r="R1605" t="s">
        <v>3201</v>
      </c>
      <c r="S1605" t="s">
        <v>13</v>
      </c>
    </row>
    <row r="1606" spans="1:19" x14ac:dyDescent="0.3">
      <c r="A1606" t="s">
        <v>1179</v>
      </c>
      <c r="B1606" t="s">
        <v>1596</v>
      </c>
      <c r="C1606" t="s">
        <v>2876</v>
      </c>
      <c r="D1606" t="s">
        <v>3189</v>
      </c>
      <c r="E1606" t="s">
        <v>9</v>
      </c>
      <c r="F1606" s="2">
        <v>36</v>
      </c>
      <c r="G1606" t="s">
        <v>3197</v>
      </c>
      <c r="H1606" t="s">
        <v>69</v>
      </c>
      <c r="I1606" t="s">
        <v>11</v>
      </c>
      <c r="J1606" t="s">
        <v>3198</v>
      </c>
      <c r="K1606" t="s">
        <v>15</v>
      </c>
      <c r="L1606" s="2">
        <v>33</v>
      </c>
      <c r="M1606" t="s">
        <v>3203</v>
      </c>
      <c r="N1606">
        <v>1</v>
      </c>
      <c r="O1606" t="s">
        <v>30</v>
      </c>
      <c r="P1606" t="e">
        <v>#VALUE!</v>
      </c>
      <c r="Q1606" t="e">
        <v>#VALUE!</v>
      </c>
      <c r="R1606" t="s">
        <v>3205</v>
      </c>
      <c r="S1606" t="s">
        <v>16</v>
      </c>
    </row>
    <row r="1607" spans="1:19" x14ac:dyDescent="0.3">
      <c r="A1607" t="s">
        <v>1180</v>
      </c>
      <c r="B1607" t="s">
        <v>2719</v>
      </c>
      <c r="C1607" t="s">
        <v>2877</v>
      </c>
      <c r="D1607" t="s">
        <v>3189</v>
      </c>
      <c r="E1607" t="s">
        <v>9</v>
      </c>
      <c r="F1607" s="2">
        <v>31</v>
      </c>
      <c r="G1607" t="s">
        <v>3206</v>
      </c>
      <c r="H1607" t="s">
        <v>70</v>
      </c>
      <c r="I1607" t="s">
        <v>11</v>
      </c>
      <c r="J1607" t="s">
        <v>3198</v>
      </c>
      <c r="K1607" t="s">
        <v>15</v>
      </c>
      <c r="L1607" s="2">
        <v>33</v>
      </c>
      <c r="M1607" t="s">
        <v>3203</v>
      </c>
      <c r="N1607">
        <v>1</v>
      </c>
      <c r="O1607" t="s">
        <v>30</v>
      </c>
      <c r="P1607" t="e">
        <v>#VALUE!</v>
      </c>
      <c r="Q1607" t="e">
        <v>#VALUE!</v>
      </c>
      <c r="R1607" t="s">
        <v>3201</v>
      </c>
      <c r="S1607" t="s">
        <v>13</v>
      </c>
    </row>
    <row r="1608" spans="1:19" x14ac:dyDescent="0.3">
      <c r="A1608" t="s">
        <v>371</v>
      </c>
      <c r="B1608" t="s">
        <v>1596</v>
      </c>
      <c r="C1608" t="s">
        <v>2878</v>
      </c>
      <c r="D1608" t="s">
        <v>3189</v>
      </c>
      <c r="E1608" t="s">
        <v>9</v>
      </c>
      <c r="F1608" s="2">
        <v>32</v>
      </c>
      <c r="G1608" t="s">
        <v>3206</v>
      </c>
      <c r="H1608" t="s">
        <v>69</v>
      </c>
      <c r="I1608" t="s">
        <v>11</v>
      </c>
      <c r="J1608" t="s">
        <v>3198</v>
      </c>
      <c r="K1608" t="s">
        <v>15</v>
      </c>
      <c r="L1608" s="2">
        <v>33</v>
      </c>
      <c r="M1608" t="s">
        <v>3203</v>
      </c>
      <c r="N1608">
        <v>1</v>
      </c>
      <c r="O1608" t="s">
        <v>30</v>
      </c>
      <c r="P1608" t="e">
        <v>#VALUE!</v>
      </c>
      <c r="Q1608" t="e">
        <v>#VALUE!</v>
      </c>
      <c r="R1608" t="s">
        <v>3201</v>
      </c>
      <c r="S1608" t="s">
        <v>13</v>
      </c>
    </row>
    <row r="1609" spans="1:19" x14ac:dyDescent="0.3">
      <c r="A1609" t="s">
        <v>374</v>
      </c>
      <c r="B1609" t="s">
        <v>1596</v>
      </c>
      <c r="C1609" t="s">
        <v>2879</v>
      </c>
      <c r="D1609" t="s">
        <v>3189</v>
      </c>
      <c r="E1609" t="s">
        <v>9</v>
      </c>
      <c r="F1609" s="2">
        <v>38</v>
      </c>
      <c r="G1609" t="s">
        <v>3197</v>
      </c>
      <c r="H1609" t="s">
        <v>69</v>
      </c>
      <c r="I1609" t="s">
        <v>28</v>
      </c>
      <c r="J1609" t="s">
        <v>3212</v>
      </c>
      <c r="K1609" t="s">
        <v>15</v>
      </c>
      <c r="L1609" s="2">
        <v>33</v>
      </c>
      <c r="M1609" t="s">
        <v>3203</v>
      </c>
      <c r="N1609">
        <v>1</v>
      </c>
      <c r="O1609" t="s">
        <v>30</v>
      </c>
      <c r="P1609" t="e">
        <v>#VALUE!</v>
      </c>
      <c r="Q1609" t="e">
        <v>#VALUE!</v>
      </c>
      <c r="R1609" t="s">
        <v>3201</v>
      </c>
      <c r="S1609" t="s">
        <v>13</v>
      </c>
    </row>
    <row r="1610" spans="1:19" x14ac:dyDescent="0.3">
      <c r="A1610" t="s">
        <v>374</v>
      </c>
      <c r="B1610" t="s">
        <v>1596</v>
      </c>
      <c r="C1610" t="s">
        <v>1792</v>
      </c>
      <c r="D1610" t="s">
        <v>3189</v>
      </c>
      <c r="E1610" t="s">
        <v>9</v>
      </c>
      <c r="F1610" s="2">
        <v>38</v>
      </c>
      <c r="G1610" t="s">
        <v>3197</v>
      </c>
      <c r="H1610" t="s">
        <v>69</v>
      </c>
      <c r="I1610" t="s">
        <v>11</v>
      </c>
      <c r="J1610" t="s">
        <v>3198</v>
      </c>
      <c r="K1610" t="s">
        <v>15</v>
      </c>
      <c r="L1610" s="2">
        <v>33</v>
      </c>
      <c r="M1610" t="s">
        <v>3203</v>
      </c>
      <c r="N1610">
        <v>1</v>
      </c>
      <c r="O1610" t="s">
        <v>30</v>
      </c>
      <c r="P1610" t="e">
        <v>#VALUE!</v>
      </c>
      <c r="Q1610" t="e">
        <v>#VALUE!</v>
      </c>
      <c r="R1610" t="s">
        <v>3201</v>
      </c>
      <c r="S1610" t="s">
        <v>13</v>
      </c>
    </row>
    <row r="1611" spans="1:19" x14ac:dyDescent="0.3">
      <c r="A1611" t="s">
        <v>1181</v>
      </c>
      <c r="B1611" t="s">
        <v>1596</v>
      </c>
      <c r="C1611" t="s">
        <v>2880</v>
      </c>
      <c r="D1611" t="s">
        <v>3189</v>
      </c>
      <c r="E1611" t="s">
        <v>9</v>
      </c>
      <c r="F1611" s="2">
        <v>61</v>
      </c>
      <c r="G1611" t="s">
        <v>3210</v>
      </c>
      <c r="H1611" t="s">
        <v>51</v>
      </c>
      <c r="I1611" t="s">
        <v>11</v>
      </c>
      <c r="J1611" t="s">
        <v>3198</v>
      </c>
      <c r="K1611" t="s">
        <v>15</v>
      </c>
      <c r="L1611" s="2">
        <v>33</v>
      </c>
      <c r="M1611" t="s">
        <v>3203</v>
      </c>
      <c r="N1611">
        <v>1</v>
      </c>
      <c r="O1611" t="s">
        <v>30</v>
      </c>
      <c r="P1611" t="e">
        <v>#VALUE!</v>
      </c>
      <c r="Q1611" t="e">
        <v>#VALUE!</v>
      </c>
      <c r="R1611" t="s">
        <v>3205</v>
      </c>
      <c r="S1611" t="s">
        <v>16</v>
      </c>
    </row>
    <row r="1612" spans="1:19" x14ac:dyDescent="0.3">
      <c r="A1612" t="s">
        <v>1182</v>
      </c>
      <c r="B1612" t="s">
        <v>1596</v>
      </c>
      <c r="C1612" t="s">
        <v>2525</v>
      </c>
      <c r="D1612" t="s">
        <v>3189</v>
      </c>
      <c r="E1612" t="s">
        <v>9</v>
      </c>
      <c r="F1612" s="2">
        <v>36</v>
      </c>
      <c r="G1612" t="s">
        <v>3197</v>
      </c>
      <c r="H1612" t="s">
        <v>51</v>
      </c>
      <c r="I1612" t="s">
        <v>11</v>
      </c>
      <c r="J1612" t="s">
        <v>3198</v>
      </c>
      <c r="K1612" t="s">
        <v>15</v>
      </c>
      <c r="L1612" s="2">
        <v>33</v>
      </c>
      <c r="M1612" t="s">
        <v>3203</v>
      </c>
      <c r="N1612">
        <v>1</v>
      </c>
      <c r="O1612" t="s">
        <v>30</v>
      </c>
      <c r="P1612" t="e">
        <v>#VALUE!</v>
      </c>
      <c r="Q1612" t="e">
        <v>#VALUE!</v>
      </c>
      <c r="R1612" t="s">
        <v>3201</v>
      </c>
      <c r="S1612" t="s">
        <v>13</v>
      </c>
    </row>
    <row r="1613" spans="1:19" x14ac:dyDescent="0.3">
      <c r="A1613" t="s">
        <v>1183</v>
      </c>
      <c r="B1613" t="s">
        <v>1596</v>
      </c>
      <c r="C1613" t="s">
        <v>2881</v>
      </c>
      <c r="D1613" t="s">
        <v>3189</v>
      </c>
      <c r="E1613" t="s">
        <v>9</v>
      </c>
      <c r="F1613" s="2">
        <v>32</v>
      </c>
      <c r="G1613" t="s">
        <v>3206</v>
      </c>
      <c r="H1613" t="s">
        <v>51</v>
      </c>
      <c r="I1613" t="s">
        <v>11</v>
      </c>
      <c r="J1613" t="s">
        <v>3198</v>
      </c>
      <c r="K1613" t="s">
        <v>15</v>
      </c>
      <c r="L1613" s="2">
        <v>33</v>
      </c>
      <c r="M1613" t="s">
        <v>3203</v>
      </c>
      <c r="N1613">
        <v>1</v>
      </c>
      <c r="O1613" t="s">
        <v>30</v>
      </c>
      <c r="P1613" t="e">
        <v>#VALUE!</v>
      </c>
      <c r="Q1613" t="e">
        <v>#VALUE!</v>
      </c>
      <c r="R1613" t="s">
        <v>3201</v>
      </c>
      <c r="S1613" t="s">
        <v>13</v>
      </c>
    </row>
    <row r="1614" spans="1:19" x14ac:dyDescent="0.3">
      <c r="A1614" t="s">
        <v>1184</v>
      </c>
      <c r="B1614" t="s">
        <v>1600</v>
      </c>
      <c r="C1614" t="s">
        <v>2883</v>
      </c>
      <c r="D1614" t="s">
        <v>3190</v>
      </c>
      <c r="E1614" t="s">
        <v>14</v>
      </c>
      <c r="F1614" s="2">
        <v>45</v>
      </c>
      <c r="G1614" t="s">
        <v>3197</v>
      </c>
      <c r="H1614" t="s">
        <v>69</v>
      </c>
      <c r="I1614" t="s">
        <v>11</v>
      </c>
      <c r="J1614" t="s">
        <v>3198</v>
      </c>
      <c r="K1614" t="s">
        <v>15</v>
      </c>
      <c r="L1614" s="2">
        <v>33</v>
      </c>
      <c r="M1614" t="s">
        <v>3203</v>
      </c>
      <c r="N1614">
        <v>1</v>
      </c>
      <c r="O1614" t="s">
        <v>30</v>
      </c>
      <c r="P1614" t="e">
        <v>#VALUE!</v>
      </c>
      <c r="Q1614" t="e">
        <v>#VALUE!</v>
      </c>
      <c r="R1614" t="s">
        <v>3205</v>
      </c>
      <c r="S1614" t="s">
        <v>16</v>
      </c>
    </row>
    <row r="1615" spans="1:19" x14ac:dyDescent="0.3">
      <c r="A1615" t="s">
        <v>1185</v>
      </c>
      <c r="B1615" t="s">
        <v>1596</v>
      </c>
      <c r="C1615" t="s">
        <v>2884</v>
      </c>
      <c r="D1615" t="s">
        <v>3189</v>
      </c>
      <c r="E1615" t="s">
        <v>9</v>
      </c>
      <c r="F1615" s="2">
        <v>28</v>
      </c>
      <c r="G1615" t="s">
        <v>3206</v>
      </c>
      <c r="H1615" t="s">
        <v>69</v>
      </c>
      <c r="I1615" t="s">
        <v>11</v>
      </c>
      <c r="J1615" t="s">
        <v>3198</v>
      </c>
      <c r="K1615" t="s">
        <v>15</v>
      </c>
      <c r="L1615" s="2">
        <v>33</v>
      </c>
      <c r="M1615" t="s">
        <v>3203</v>
      </c>
      <c r="N1615">
        <v>1</v>
      </c>
      <c r="O1615" t="s">
        <v>30</v>
      </c>
      <c r="P1615" t="e">
        <v>#VALUE!</v>
      </c>
      <c r="Q1615" t="e">
        <v>#VALUE!</v>
      </c>
      <c r="R1615" t="s">
        <v>3201</v>
      </c>
      <c r="S1615" t="s">
        <v>13</v>
      </c>
    </row>
    <row r="1616" spans="1:19" x14ac:dyDescent="0.3">
      <c r="A1616" t="s">
        <v>1186</v>
      </c>
      <c r="B1616" t="s">
        <v>1596</v>
      </c>
      <c r="C1616" t="s">
        <v>2779</v>
      </c>
      <c r="D1616" t="s">
        <v>3189</v>
      </c>
      <c r="E1616" t="s">
        <v>9</v>
      </c>
      <c r="F1616" s="2">
        <v>29</v>
      </c>
      <c r="G1616" t="s">
        <v>3206</v>
      </c>
      <c r="H1616" t="s">
        <v>51</v>
      </c>
      <c r="I1616" t="s">
        <v>11</v>
      </c>
      <c r="J1616" t="s">
        <v>3198</v>
      </c>
      <c r="K1616" t="s">
        <v>15</v>
      </c>
      <c r="L1616" s="2">
        <v>33</v>
      </c>
      <c r="M1616" t="s">
        <v>3203</v>
      </c>
      <c r="N1616">
        <v>1</v>
      </c>
      <c r="O1616" t="s">
        <v>30</v>
      </c>
      <c r="P1616" t="e">
        <v>#VALUE!</v>
      </c>
      <c r="Q1616" t="e">
        <v>#VALUE!</v>
      </c>
      <c r="R1616" t="s">
        <v>3201</v>
      </c>
      <c r="S1616" t="s">
        <v>13</v>
      </c>
    </row>
    <row r="1617" spans="1:19" x14ac:dyDescent="0.3">
      <c r="A1617" t="s">
        <v>1187</v>
      </c>
      <c r="B1617" t="s">
        <v>1596</v>
      </c>
      <c r="C1617" t="s">
        <v>1945</v>
      </c>
      <c r="D1617" t="s">
        <v>3189</v>
      </c>
      <c r="E1617" t="s">
        <v>9</v>
      </c>
      <c r="F1617" s="2">
        <v>41</v>
      </c>
      <c r="G1617" t="s">
        <v>3197</v>
      </c>
      <c r="H1617" t="s">
        <v>51</v>
      </c>
      <c r="I1617" t="s">
        <v>11</v>
      </c>
      <c r="J1617" t="s">
        <v>3198</v>
      </c>
      <c r="K1617" t="s">
        <v>15</v>
      </c>
      <c r="L1617" s="2">
        <v>33</v>
      </c>
      <c r="M1617" t="s">
        <v>3203</v>
      </c>
      <c r="N1617">
        <v>1</v>
      </c>
      <c r="O1617" t="s">
        <v>30</v>
      </c>
      <c r="P1617" t="e">
        <v>#VALUE!</v>
      </c>
      <c r="Q1617" t="e">
        <v>#VALUE!</v>
      </c>
      <c r="R1617" t="s">
        <v>3201</v>
      </c>
      <c r="S1617" t="s">
        <v>13</v>
      </c>
    </row>
    <row r="1618" spans="1:19" x14ac:dyDescent="0.3">
      <c r="A1618" t="s">
        <v>1188</v>
      </c>
      <c r="B1618" t="s">
        <v>1596</v>
      </c>
      <c r="C1618" t="s">
        <v>1898</v>
      </c>
      <c r="D1618" t="s">
        <v>3189</v>
      </c>
      <c r="E1618" t="s">
        <v>9</v>
      </c>
      <c r="F1618" s="2">
        <v>40</v>
      </c>
      <c r="G1618" t="s">
        <v>3197</v>
      </c>
      <c r="H1618" t="s">
        <v>69</v>
      </c>
      <c r="I1618" t="s">
        <v>28</v>
      </c>
      <c r="J1618" t="s">
        <v>3212</v>
      </c>
      <c r="K1618" t="s">
        <v>15</v>
      </c>
      <c r="L1618" s="2">
        <v>33</v>
      </c>
      <c r="M1618" t="s">
        <v>3203</v>
      </c>
      <c r="N1618">
        <v>1</v>
      </c>
      <c r="O1618" t="s">
        <v>30</v>
      </c>
      <c r="P1618" t="e">
        <v>#VALUE!</v>
      </c>
      <c r="Q1618" t="e">
        <v>#VALUE!</v>
      </c>
      <c r="R1618" t="s">
        <v>3201</v>
      </c>
      <c r="S1618" t="s">
        <v>13</v>
      </c>
    </row>
    <row r="1619" spans="1:19" x14ac:dyDescent="0.3">
      <c r="A1619" t="s">
        <v>1189</v>
      </c>
      <c r="B1619" t="s">
        <v>1596</v>
      </c>
      <c r="C1619" t="s">
        <v>2885</v>
      </c>
      <c r="D1619" t="s">
        <v>3189</v>
      </c>
      <c r="E1619" t="s">
        <v>9</v>
      </c>
      <c r="F1619" s="2">
        <v>22</v>
      </c>
      <c r="G1619" t="s">
        <v>3206</v>
      </c>
      <c r="H1619" t="s">
        <v>51</v>
      </c>
      <c r="I1619" t="s">
        <v>11</v>
      </c>
      <c r="J1619" t="s">
        <v>3198</v>
      </c>
      <c r="K1619" t="s">
        <v>15</v>
      </c>
      <c r="L1619" s="2">
        <v>33</v>
      </c>
      <c r="M1619" t="s">
        <v>3203</v>
      </c>
      <c r="N1619">
        <v>1</v>
      </c>
      <c r="O1619" t="s">
        <v>30</v>
      </c>
      <c r="P1619" t="e">
        <v>#VALUE!</v>
      </c>
      <c r="Q1619" t="e">
        <v>#VALUE!</v>
      </c>
      <c r="R1619" t="s">
        <v>3201</v>
      </c>
      <c r="S1619" t="s">
        <v>13</v>
      </c>
    </row>
    <row r="1620" spans="1:19" x14ac:dyDescent="0.3">
      <c r="A1620" t="s">
        <v>1189</v>
      </c>
      <c r="B1620" t="s">
        <v>1596</v>
      </c>
      <c r="C1620" t="s">
        <v>2886</v>
      </c>
      <c r="D1620" t="s">
        <v>3189</v>
      </c>
      <c r="E1620" t="s">
        <v>9</v>
      </c>
      <c r="F1620" s="2">
        <v>26</v>
      </c>
      <c r="G1620" t="s">
        <v>3206</v>
      </c>
      <c r="H1620" t="s">
        <v>51</v>
      </c>
      <c r="I1620" t="s">
        <v>11</v>
      </c>
      <c r="J1620" t="s">
        <v>3198</v>
      </c>
      <c r="K1620" t="s">
        <v>15</v>
      </c>
      <c r="L1620" s="2">
        <v>33</v>
      </c>
      <c r="M1620" t="s">
        <v>3203</v>
      </c>
      <c r="N1620">
        <v>1</v>
      </c>
      <c r="O1620" t="s">
        <v>30</v>
      </c>
      <c r="P1620" t="e">
        <v>#VALUE!</v>
      </c>
      <c r="Q1620" t="e">
        <v>#VALUE!</v>
      </c>
      <c r="R1620" t="s">
        <v>3201</v>
      </c>
      <c r="S1620" t="s">
        <v>13</v>
      </c>
    </row>
    <row r="1621" spans="1:19" x14ac:dyDescent="0.3">
      <c r="A1621" t="s">
        <v>1190</v>
      </c>
      <c r="B1621" t="s">
        <v>1596</v>
      </c>
      <c r="C1621" t="s">
        <v>2726</v>
      </c>
      <c r="D1621" t="s">
        <v>3189</v>
      </c>
      <c r="E1621" t="s">
        <v>9</v>
      </c>
      <c r="F1621" s="2">
        <v>22</v>
      </c>
      <c r="G1621" t="s">
        <v>3206</v>
      </c>
      <c r="H1621" t="s">
        <v>51</v>
      </c>
      <c r="I1621" t="s">
        <v>11</v>
      </c>
      <c r="J1621" t="s">
        <v>3198</v>
      </c>
      <c r="K1621" t="s">
        <v>15</v>
      </c>
      <c r="L1621" s="2">
        <v>33</v>
      </c>
      <c r="M1621" t="s">
        <v>3203</v>
      </c>
      <c r="N1621">
        <v>1</v>
      </c>
      <c r="O1621" t="s">
        <v>30</v>
      </c>
      <c r="P1621" t="e">
        <v>#VALUE!</v>
      </c>
      <c r="Q1621" t="e">
        <v>#VALUE!</v>
      </c>
      <c r="R1621" t="s">
        <v>3201</v>
      </c>
      <c r="S1621" t="s">
        <v>13</v>
      </c>
    </row>
    <row r="1622" spans="1:19" x14ac:dyDescent="0.3">
      <c r="A1622" t="s">
        <v>383</v>
      </c>
      <c r="B1622" t="s">
        <v>1596</v>
      </c>
      <c r="C1622" t="s">
        <v>2887</v>
      </c>
      <c r="D1622" t="s">
        <v>3189</v>
      </c>
      <c r="E1622" t="s">
        <v>9</v>
      </c>
      <c r="F1622" s="2">
        <v>28</v>
      </c>
      <c r="G1622" t="s">
        <v>3206</v>
      </c>
      <c r="H1622" t="s">
        <v>51</v>
      </c>
      <c r="I1622" t="s">
        <v>28</v>
      </c>
      <c r="J1622" t="s">
        <v>3212</v>
      </c>
      <c r="K1622" t="s">
        <v>29</v>
      </c>
      <c r="L1622" s="2">
        <v>33</v>
      </c>
      <c r="M1622" t="s">
        <v>3203</v>
      </c>
      <c r="N1622">
        <v>1</v>
      </c>
      <c r="O1622" t="s">
        <v>30</v>
      </c>
      <c r="P1622" t="e">
        <v>#VALUE!</v>
      </c>
      <c r="Q1622" t="e">
        <v>#VALUE!</v>
      </c>
      <c r="R1622" t="s">
        <v>3205</v>
      </c>
      <c r="S1622" t="s">
        <v>16</v>
      </c>
    </row>
    <row r="1623" spans="1:19" x14ac:dyDescent="0.3">
      <c r="A1623" t="s">
        <v>1191</v>
      </c>
      <c r="B1623" t="s">
        <v>1596</v>
      </c>
      <c r="C1623" t="s">
        <v>1824</v>
      </c>
      <c r="D1623" t="s">
        <v>3189</v>
      </c>
      <c r="E1623" t="s">
        <v>9</v>
      </c>
      <c r="F1623" s="2">
        <v>43</v>
      </c>
      <c r="G1623" t="s">
        <v>3197</v>
      </c>
      <c r="H1623" t="s">
        <v>51</v>
      </c>
      <c r="I1623" t="s">
        <v>11</v>
      </c>
      <c r="J1623" t="s">
        <v>3198</v>
      </c>
      <c r="K1623" t="s">
        <v>15</v>
      </c>
      <c r="L1623" s="2">
        <v>33</v>
      </c>
      <c r="M1623" t="s">
        <v>3203</v>
      </c>
      <c r="N1623">
        <v>1</v>
      </c>
      <c r="O1623" t="s">
        <v>30</v>
      </c>
      <c r="P1623" t="e">
        <v>#VALUE!</v>
      </c>
      <c r="Q1623" t="e">
        <v>#VALUE!</v>
      </c>
      <c r="R1623" t="s">
        <v>3201</v>
      </c>
      <c r="S1623" t="s">
        <v>13</v>
      </c>
    </row>
    <row r="1624" spans="1:19" x14ac:dyDescent="0.3">
      <c r="A1624" t="s">
        <v>1192</v>
      </c>
      <c r="B1624" t="s">
        <v>1602</v>
      </c>
      <c r="C1624" t="s">
        <v>1734</v>
      </c>
      <c r="D1624" t="s">
        <v>3190</v>
      </c>
      <c r="E1624" t="s">
        <v>14</v>
      </c>
      <c r="F1624" s="2">
        <v>45</v>
      </c>
      <c r="G1624" t="s">
        <v>3197</v>
      </c>
      <c r="H1624" t="s">
        <v>69</v>
      </c>
      <c r="I1624" t="s">
        <v>11</v>
      </c>
      <c r="J1624" t="s">
        <v>3198</v>
      </c>
      <c r="K1624" t="s">
        <v>15</v>
      </c>
      <c r="L1624" s="2">
        <v>33</v>
      </c>
      <c r="M1624" t="s">
        <v>3203</v>
      </c>
      <c r="N1624">
        <v>1</v>
      </c>
      <c r="O1624" t="s">
        <v>30</v>
      </c>
      <c r="P1624" t="e">
        <v>#VALUE!</v>
      </c>
      <c r="Q1624" t="e">
        <v>#VALUE!</v>
      </c>
      <c r="R1624" t="s">
        <v>3205</v>
      </c>
      <c r="S1624" t="s">
        <v>16</v>
      </c>
    </row>
    <row r="1625" spans="1:19" x14ac:dyDescent="0.3">
      <c r="A1625" t="s">
        <v>1193</v>
      </c>
      <c r="B1625" t="s">
        <v>1596</v>
      </c>
      <c r="C1625" t="s">
        <v>2888</v>
      </c>
      <c r="D1625" t="s">
        <v>3189</v>
      </c>
      <c r="E1625" t="s">
        <v>9</v>
      </c>
      <c r="F1625" s="2">
        <v>24</v>
      </c>
      <c r="G1625" t="s">
        <v>3206</v>
      </c>
      <c r="H1625" t="s">
        <v>70</v>
      </c>
      <c r="I1625" t="s">
        <v>11</v>
      </c>
      <c r="J1625" t="s">
        <v>3198</v>
      </c>
      <c r="K1625" t="s">
        <v>15</v>
      </c>
      <c r="L1625" s="2">
        <v>33</v>
      </c>
      <c r="M1625" t="s">
        <v>3203</v>
      </c>
      <c r="N1625">
        <v>1</v>
      </c>
      <c r="O1625" t="s">
        <v>30</v>
      </c>
      <c r="P1625" t="e">
        <v>#VALUE!</v>
      </c>
      <c r="Q1625" t="e">
        <v>#VALUE!</v>
      </c>
      <c r="R1625" t="s">
        <v>3201</v>
      </c>
      <c r="S1625" t="s">
        <v>13</v>
      </c>
    </row>
    <row r="1626" spans="1:19" x14ac:dyDescent="0.3">
      <c r="A1626" t="s">
        <v>1194</v>
      </c>
      <c r="B1626" t="s">
        <v>1596</v>
      </c>
      <c r="C1626" t="s">
        <v>2038</v>
      </c>
      <c r="D1626" t="s">
        <v>3189</v>
      </c>
      <c r="E1626" t="s">
        <v>9</v>
      </c>
      <c r="F1626" s="2">
        <v>24</v>
      </c>
      <c r="G1626" t="s">
        <v>3206</v>
      </c>
      <c r="H1626" t="s">
        <v>51</v>
      </c>
      <c r="I1626" t="s">
        <v>11</v>
      </c>
      <c r="J1626" t="s">
        <v>3198</v>
      </c>
      <c r="K1626" t="s">
        <v>15</v>
      </c>
      <c r="L1626" s="2">
        <v>33</v>
      </c>
      <c r="M1626" t="s">
        <v>3203</v>
      </c>
      <c r="N1626">
        <v>1</v>
      </c>
      <c r="O1626" t="s">
        <v>30</v>
      </c>
      <c r="P1626" t="e">
        <v>#VALUE!</v>
      </c>
      <c r="Q1626" t="e">
        <v>#VALUE!</v>
      </c>
      <c r="R1626" t="s">
        <v>3201</v>
      </c>
      <c r="S1626" t="s">
        <v>13</v>
      </c>
    </row>
    <row r="1627" spans="1:19" x14ac:dyDescent="0.3">
      <c r="A1627" t="s">
        <v>1195</v>
      </c>
      <c r="B1627" t="s">
        <v>1596</v>
      </c>
      <c r="C1627" t="s">
        <v>2889</v>
      </c>
      <c r="D1627" t="s">
        <v>3189</v>
      </c>
      <c r="E1627" t="s">
        <v>9</v>
      </c>
      <c r="F1627" s="2">
        <v>30</v>
      </c>
      <c r="G1627" t="s">
        <v>3206</v>
      </c>
      <c r="H1627" t="s">
        <v>69</v>
      </c>
      <c r="I1627" t="s">
        <v>11</v>
      </c>
      <c r="J1627" t="s">
        <v>3198</v>
      </c>
      <c r="K1627" t="s">
        <v>15</v>
      </c>
      <c r="L1627" s="2">
        <v>33</v>
      </c>
      <c r="M1627" t="s">
        <v>3203</v>
      </c>
      <c r="N1627">
        <v>1</v>
      </c>
      <c r="O1627" t="s">
        <v>30</v>
      </c>
      <c r="P1627" t="e">
        <v>#VALUE!</v>
      </c>
      <c r="Q1627" t="e">
        <v>#VALUE!</v>
      </c>
      <c r="R1627" t="s">
        <v>3201</v>
      </c>
      <c r="S1627" t="s">
        <v>13</v>
      </c>
    </row>
    <row r="1628" spans="1:19" x14ac:dyDescent="0.3">
      <c r="A1628" t="s">
        <v>1196</v>
      </c>
      <c r="B1628" t="s">
        <v>1596</v>
      </c>
      <c r="C1628" t="s">
        <v>2890</v>
      </c>
      <c r="D1628" t="s">
        <v>3189</v>
      </c>
      <c r="E1628" t="s">
        <v>9</v>
      </c>
      <c r="F1628" s="2">
        <v>29</v>
      </c>
      <c r="G1628" t="s">
        <v>3206</v>
      </c>
      <c r="H1628" t="s">
        <v>69</v>
      </c>
      <c r="I1628" t="s">
        <v>11</v>
      </c>
      <c r="J1628" t="s">
        <v>3198</v>
      </c>
      <c r="K1628" t="s">
        <v>15</v>
      </c>
      <c r="L1628" s="2">
        <v>33</v>
      </c>
      <c r="M1628" t="s">
        <v>3203</v>
      </c>
      <c r="N1628">
        <v>1</v>
      </c>
      <c r="O1628" t="s">
        <v>30</v>
      </c>
      <c r="P1628" t="e">
        <v>#VALUE!</v>
      </c>
      <c r="Q1628" t="e">
        <v>#VALUE!</v>
      </c>
      <c r="R1628" t="s">
        <v>3205</v>
      </c>
      <c r="S1628" t="s">
        <v>16</v>
      </c>
    </row>
    <row r="1629" spans="1:19" x14ac:dyDescent="0.3">
      <c r="A1629" t="s">
        <v>1197</v>
      </c>
      <c r="B1629" t="s">
        <v>1596</v>
      </c>
      <c r="C1629" t="s">
        <v>2891</v>
      </c>
      <c r="D1629" t="s">
        <v>3189</v>
      </c>
      <c r="E1629" t="s">
        <v>9</v>
      </c>
      <c r="F1629" s="2">
        <v>37</v>
      </c>
      <c r="G1629" t="s">
        <v>3197</v>
      </c>
      <c r="H1629" t="s">
        <v>69</v>
      </c>
      <c r="I1629" t="s">
        <v>11</v>
      </c>
      <c r="J1629" t="s">
        <v>3198</v>
      </c>
      <c r="K1629" t="s">
        <v>12</v>
      </c>
      <c r="L1629" s="2">
        <v>33</v>
      </c>
      <c r="M1629" t="s">
        <v>3203</v>
      </c>
      <c r="N1629">
        <v>1</v>
      </c>
      <c r="O1629" t="s">
        <v>30</v>
      </c>
      <c r="P1629" t="e">
        <v>#VALUE!</v>
      </c>
      <c r="Q1629" t="e">
        <v>#VALUE!</v>
      </c>
      <c r="R1629" t="s">
        <v>3201</v>
      </c>
      <c r="S1629" t="s">
        <v>13</v>
      </c>
    </row>
    <row r="1630" spans="1:19" x14ac:dyDescent="0.3">
      <c r="A1630" t="s">
        <v>1198</v>
      </c>
      <c r="B1630" t="s">
        <v>1596</v>
      </c>
      <c r="C1630" t="s">
        <v>1610</v>
      </c>
      <c r="D1630" t="s">
        <v>3189</v>
      </c>
      <c r="E1630" t="s">
        <v>9</v>
      </c>
      <c r="F1630" s="2">
        <v>35</v>
      </c>
      <c r="G1630" t="s">
        <v>3206</v>
      </c>
      <c r="H1630" t="s">
        <v>51</v>
      </c>
      <c r="I1630" t="s">
        <v>28</v>
      </c>
      <c r="J1630" t="s">
        <v>3212</v>
      </c>
      <c r="K1630" t="s">
        <v>29</v>
      </c>
      <c r="L1630" s="2">
        <v>33</v>
      </c>
      <c r="M1630" t="s">
        <v>3203</v>
      </c>
      <c r="N1630">
        <v>1</v>
      </c>
      <c r="O1630" t="s">
        <v>30</v>
      </c>
      <c r="P1630" t="e">
        <v>#VALUE!</v>
      </c>
      <c r="Q1630" t="e">
        <v>#VALUE!</v>
      </c>
      <c r="R1630" t="s">
        <v>3205</v>
      </c>
      <c r="S1630" t="s">
        <v>16</v>
      </c>
    </row>
    <row r="1631" spans="1:19" x14ac:dyDescent="0.3">
      <c r="A1631" t="s">
        <v>1199</v>
      </c>
      <c r="B1631" t="s">
        <v>1596</v>
      </c>
      <c r="C1631" t="s">
        <v>1671</v>
      </c>
      <c r="D1631" t="s">
        <v>3189</v>
      </c>
      <c r="E1631" t="s">
        <v>9</v>
      </c>
      <c r="F1631" s="2">
        <v>31</v>
      </c>
      <c r="G1631" t="s">
        <v>3206</v>
      </c>
      <c r="H1631" t="s">
        <v>71</v>
      </c>
      <c r="I1631" t="s">
        <v>28</v>
      </c>
      <c r="J1631" t="s">
        <v>3212</v>
      </c>
      <c r="K1631" t="s">
        <v>15</v>
      </c>
      <c r="L1631" s="2">
        <v>33</v>
      </c>
      <c r="M1631" t="s">
        <v>3203</v>
      </c>
      <c r="N1631">
        <v>1</v>
      </c>
      <c r="O1631" t="s">
        <v>30</v>
      </c>
      <c r="P1631" t="e">
        <v>#VALUE!</v>
      </c>
      <c r="Q1631" t="e">
        <v>#VALUE!</v>
      </c>
      <c r="R1631" t="s">
        <v>3205</v>
      </c>
      <c r="S1631" t="s">
        <v>16</v>
      </c>
    </row>
    <row r="1632" spans="1:19" x14ac:dyDescent="0.3">
      <c r="A1632" t="s">
        <v>1200</v>
      </c>
      <c r="B1632" t="s">
        <v>1596</v>
      </c>
      <c r="C1632" t="s">
        <v>2892</v>
      </c>
      <c r="D1632" t="s">
        <v>3189</v>
      </c>
      <c r="E1632" t="s">
        <v>9</v>
      </c>
      <c r="F1632" s="2">
        <v>22</v>
      </c>
      <c r="G1632" t="s">
        <v>3206</v>
      </c>
      <c r="H1632" t="s">
        <v>69</v>
      </c>
      <c r="I1632" t="s">
        <v>11</v>
      </c>
      <c r="J1632" t="s">
        <v>3198</v>
      </c>
      <c r="K1632" t="s">
        <v>15</v>
      </c>
      <c r="L1632" s="2">
        <v>33</v>
      </c>
      <c r="M1632" t="s">
        <v>3203</v>
      </c>
      <c r="N1632">
        <v>1</v>
      </c>
      <c r="O1632" t="s">
        <v>30</v>
      </c>
      <c r="P1632" t="e">
        <v>#VALUE!</v>
      </c>
      <c r="Q1632" t="e">
        <v>#VALUE!</v>
      </c>
      <c r="R1632" t="s">
        <v>3205</v>
      </c>
      <c r="S1632" t="s">
        <v>16</v>
      </c>
    </row>
    <row r="1633" spans="1:19" x14ac:dyDescent="0.3">
      <c r="A1633" t="s">
        <v>1201</v>
      </c>
      <c r="B1633" t="s">
        <v>1596</v>
      </c>
      <c r="C1633" t="s">
        <v>2804</v>
      </c>
      <c r="D1633" t="s">
        <v>3189</v>
      </c>
      <c r="E1633" t="s">
        <v>9</v>
      </c>
      <c r="F1633" s="2">
        <v>23</v>
      </c>
      <c r="G1633" t="s">
        <v>3206</v>
      </c>
      <c r="H1633" t="s">
        <v>51</v>
      </c>
      <c r="I1633" t="s">
        <v>11</v>
      </c>
      <c r="J1633" t="s">
        <v>3198</v>
      </c>
      <c r="K1633" t="s">
        <v>15</v>
      </c>
      <c r="L1633" s="2">
        <v>33</v>
      </c>
      <c r="M1633" t="s">
        <v>3203</v>
      </c>
      <c r="N1633">
        <v>1</v>
      </c>
      <c r="O1633" t="s">
        <v>30</v>
      </c>
      <c r="P1633" t="e">
        <v>#VALUE!</v>
      </c>
      <c r="Q1633" t="e">
        <v>#VALUE!</v>
      </c>
      <c r="R1633" t="s">
        <v>3201</v>
      </c>
      <c r="S1633" t="s">
        <v>13</v>
      </c>
    </row>
    <row r="1634" spans="1:19" x14ac:dyDescent="0.3">
      <c r="A1634" t="s">
        <v>1202</v>
      </c>
      <c r="B1634" t="s">
        <v>1596</v>
      </c>
      <c r="C1634" t="s">
        <v>2893</v>
      </c>
      <c r="D1634" t="s">
        <v>3189</v>
      </c>
      <c r="E1634" t="s">
        <v>9</v>
      </c>
      <c r="F1634" s="2">
        <v>41</v>
      </c>
      <c r="G1634" t="s">
        <v>3197</v>
      </c>
      <c r="H1634" t="s">
        <v>69</v>
      </c>
      <c r="I1634" t="s">
        <v>11</v>
      </c>
      <c r="J1634" t="s">
        <v>3198</v>
      </c>
      <c r="K1634" t="s">
        <v>15</v>
      </c>
      <c r="L1634" s="2">
        <v>33</v>
      </c>
      <c r="M1634" t="s">
        <v>3203</v>
      </c>
      <c r="N1634">
        <v>1</v>
      </c>
      <c r="O1634" t="s">
        <v>30</v>
      </c>
      <c r="P1634" t="e">
        <v>#VALUE!</v>
      </c>
      <c r="Q1634" t="e">
        <v>#VALUE!</v>
      </c>
      <c r="R1634" t="s">
        <v>3201</v>
      </c>
      <c r="S1634" t="s">
        <v>13</v>
      </c>
    </row>
    <row r="1635" spans="1:19" x14ac:dyDescent="0.3">
      <c r="A1635" t="s">
        <v>1202</v>
      </c>
      <c r="B1635" t="s">
        <v>1596</v>
      </c>
      <c r="C1635" t="s">
        <v>2779</v>
      </c>
      <c r="D1635" t="s">
        <v>3189</v>
      </c>
      <c r="E1635" t="s">
        <v>9</v>
      </c>
      <c r="F1635" s="2">
        <v>32</v>
      </c>
      <c r="G1635" t="s">
        <v>3206</v>
      </c>
      <c r="H1635" t="s">
        <v>51</v>
      </c>
      <c r="I1635" t="s">
        <v>11</v>
      </c>
      <c r="J1635" t="s">
        <v>3198</v>
      </c>
      <c r="K1635" t="s">
        <v>15</v>
      </c>
      <c r="L1635" s="2">
        <v>33</v>
      </c>
      <c r="M1635" t="s">
        <v>3203</v>
      </c>
      <c r="N1635">
        <v>1</v>
      </c>
      <c r="O1635" t="s">
        <v>30</v>
      </c>
      <c r="P1635" t="e">
        <v>#VALUE!</v>
      </c>
      <c r="Q1635" t="e">
        <v>#VALUE!</v>
      </c>
      <c r="R1635" t="s">
        <v>3201</v>
      </c>
      <c r="S1635" t="s">
        <v>13</v>
      </c>
    </row>
    <row r="1636" spans="1:19" x14ac:dyDescent="0.3">
      <c r="A1636" t="s">
        <v>1203</v>
      </c>
      <c r="B1636" t="s">
        <v>1596</v>
      </c>
      <c r="C1636" t="s">
        <v>2894</v>
      </c>
      <c r="D1636" t="s">
        <v>3189</v>
      </c>
      <c r="E1636" t="s">
        <v>9</v>
      </c>
      <c r="F1636" s="2">
        <v>47</v>
      </c>
      <c r="G1636" t="s">
        <v>3197</v>
      </c>
      <c r="H1636" t="s">
        <v>69</v>
      </c>
      <c r="I1636" t="s">
        <v>11</v>
      </c>
      <c r="J1636" t="s">
        <v>3198</v>
      </c>
      <c r="K1636" t="s">
        <v>15</v>
      </c>
      <c r="L1636" s="2">
        <v>33</v>
      </c>
      <c r="M1636" t="s">
        <v>3203</v>
      </c>
      <c r="N1636">
        <v>1</v>
      </c>
      <c r="O1636" t="s">
        <v>30</v>
      </c>
      <c r="P1636" t="e">
        <v>#VALUE!</v>
      </c>
      <c r="Q1636" t="e">
        <v>#VALUE!</v>
      </c>
      <c r="R1636" t="s">
        <v>3201</v>
      </c>
      <c r="S1636" t="s">
        <v>13</v>
      </c>
    </row>
    <row r="1637" spans="1:19" x14ac:dyDescent="0.3">
      <c r="A1637" t="s">
        <v>1204</v>
      </c>
      <c r="B1637" t="s">
        <v>1596</v>
      </c>
      <c r="C1637" t="s">
        <v>1794</v>
      </c>
      <c r="D1637" t="s">
        <v>3189</v>
      </c>
      <c r="E1637" t="s">
        <v>9</v>
      </c>
      <c r="F1637" s="2">
        <v>25</v>
      </c>
      <c r="G1637" t="s">
        <v>3206</v>
      </c>
      <c r="H1637" t="s">
        <v>69</v>
      </c>
      <c r="I1637" t="s">
        <v>28</v>
      </c>
      <c r="J1637" t="s">
        <v>3212</v>
      </c>
      <c r="K1637" t="s">
        <v>15</v>
      </c>
      <c r="L1637" s="2">
        <v>33</v>
      </c>
      <c r="M1637" t="s">
        <v>3203</v>
      </c>
      <c r="N1637">
        <v>1</v>
      </c>
      <c r="O1637" t="s">
        <v>30</v>
      </c>
      <c r="P1637" t="e">
        <v>#VALUE!</v>
      </c>
      <c r="Q1637" t="e">
        <v>#VALUE!</v>
      </c>
      <c r="R1637" t="s">
        <v>3201</v>
      </c>
      <c r="S1637" t="s">
        <v>13</v>
      </c>
    </row>
    <row r="1638" spans="1:19" x14ac:dyDescent="0.3">
      <c r="A1638" t="s">
        <v>1205</v>
      </c>
      <c r="B1638" t="s">
        <v>1596</v>
      </c>
      <c r="C1638" t="s">
        <v>2296</v>
      </c>
      <c r="D1638" t="s">
        <v>3189</v>
      </c>
      <c r="E1638" t="s">
        <v>9</v>
      </c>
      <c r="F1638" s="2">
        <v>54</v>
      </c>
      <c r="G1638" t="s">
        <v>3197</v>
      </c>
      <c r="H1638" t="s">
        <v>51</v>
      </c>
      <c r="I1638" t="s">
        <v>11</v>
      </c>
      <c r="J1638" t="s">
        <v>3198</v>
      </c>
      <c r="K1638" t="s">
        <v>37</v>
      </c>
      <c r="L1638" s="2">
        <v>33</v>
      </c>
      <c r="M1638" t="s">
        <v>3203</v>
      </c>
      <c r="N1638">
        <v>1</v>
      </c>
      <c r="O1638" t="s">
        <v>30</v>
      </c>
      <c r="P1638" t="e">
        <v>#VALUE!</v>
      </c>
      <c r="Q1638" t="e">
        <v>#VALUE!</v>
      </c>
      <c r="R1638" t="s">
        <v>3201</v>
      </c>
      <c r="S1638" t="s">
        <v>13</v>
      </c>
    </row>
    <row r="1639" spans="1:19" x14ac:dyDescent="0.3">
      <c r="A1639" t="s">
        <v>1206</v>
      </c>
      <c r="B1639" t="s">
        <v>1596</v>
      </c>
      <c r="C1639" t="s">
        <v>2038</v>
      </c>
      <c r="D1639" t="s">
        <v>3189</v>
      </c>
      <c r="E1639" t="s">
        <v>9</v>
      </c>
      <c r="F1639" s="2">
        <v>30</v>
      </c>
      <c r="G1639" t="s">
        <v>3206</v>
      </c>
      <c r="H1639" t="s">
        <v>51</v>
      </c>
      <c r="I1639" t="s">
        <v>11</v>
      </c>
      <c r="J1639" t="s">
        <v>3198</v>
      </c>
      <c r="K1639" t="s">
        <v>15</v>
      </c>
      <c r="L1639" s="2">
        <v>33</v>
      </c>
      <c r="M1639" t="s">
        <v>3203</v>
      </c>
      <c r="N1639">
        <v>1</v>
      </c>
      <c r="O1639" t="s">
        <v>30</v>
      </c>
      <c r="P1639" t="e">
        <v>#VALUE!</v>
      </c>
      <c r="Q1639" t="e">
        <v>#VALUE!</v>
      </c>
      <c r="R1639" t="s">
        <v>3201</v>
      </c>
      <c r="S1639" t="s">
        <v>13</v>
      </c>
    </row>
    <row r="1640" spans="1:19" x14ac:dyDescent="0.3">
      <c r="A1640" t="s">
        <v>401</v>
      </c>
      <c r="B1640" t="s">
        <v>1596</v>
      </c>
      <c r="C1640" t="s">
        <v>1619</v>
      </c>
      <c r="D1640" t="s">
        <v>3189</v>
      </c>
      <c r="E1640" t="s">
        <v>9</v>
      </c>
      <c r="F1640" s="2">
        <v>39</v>
      </c>
      <c r="G1640" t="s">
        <v>3197</v>
      </c>
      <c r="H1640" t="s">
        <v>71</v>
      </c>
      <c r="I1640" t="s">
        <v>11</v>
      </c>
      <c r="J1640" t="s">
        <v>3198</v>
      </c>
      <c r="K1640" t="s">
        <v>15</v>
      </c>
      <c r="L1640" s="2">
        <v>33</v>
      </c>
      <c r="M1640" t="s">
        <v>3203</v>
      </c>
      <c r="N1640">
        <v>1</v>
      </c>
      <c r="O1640" t="s">
        <v>30</v>
      </c>
      <c r="P1640" t="e">
        <v>#VALUE!</v>
      </c>
      <c r="Q1640" t="e">
        <v>#VALUE!</v>
      </c>
      <c r="R1640" t="s">
        <v>3205</v>
      </c>
      <c r="S1640" t="s">
        <v>16</v>
      </c>
    </row>
    <row r="1641" spans="1:19" x14ac:dyDescent="0.3">
      <c r="A1641" t="s">
        <v>1207</v>
      </c>
      <c r="B1641" t="s">
        <v>1596</v>
      </c>
      <c r="C1641" t="s">
        <v>1811</v>
      </c>
      <c r="D1641" t="s">
        <v>3189</v>
      </c>
      <c r="E1641" t="s">
        <v>9</v>
      </c>
      <c r="F1641" s="2">
        <v>21</v>
      </c>
      <c r="G1641" t="s">
        <v>3206</v>
      </c>
      <c r="H1641" t="s">
        <v>69</v>
      </c>
      <c r="I1641" t="s">
        <v>11</v>
      </c>
      <c r="J1641" t="s">
        <v>3198</v>
      </c>
      <c r="K1641" t="s">
        <v>15</v>
      </c>
      <c r="L1641" s="2">
        <v>33</v>
      </c>
      <c r="M1641" t="s">
        <v>3203</v>
      </c>
      <c r="N1641">
        <v>1</v>
      </c>
      <c r="O1641" t="s">
        <v>30</v>
      </c>
      <c r="P1641" t="e">
        <v>#VALUE!</v>
      </c>
      <c r="Q1641" t="e">
        <v>#VALUE!</v>
      </c>
      <c r="R1641" t="s">
        <v>3201</v>
      </c>
      <c r="S1641" t="s">
        <v>13</v>
      </c>
    </row>
    <row r="1642" spans="1:19" x14ac:dyDescent="0.3">
      <c r="A1642" t="s">
        <v>1208</v>
      </c>
      <c r="B1642" t="s">
        <v>1596</v>
      </c>
      <c r="C1642" t="s">
        <v>2050</v>
      </c>
      <c r="D1642" t="s">
        <v>3189</v>
      </c>
      <c r="E1642" t="s">
        <v>9</v>
      </c>
      <c r="F1642" s="2">
        <v>21</v>
      </c>
      <c r="G1642" t="s">
        <v>3206</v>
      </c>
      <c r="H1642" t="s">
        <v>69</v>
      </c>
      <c r="I1642" t="s">
        <v>11</v>
      </c>
      <c r="J1642" t="s">
        <v>3198</v>
      </c>
      <c r="K1642" t="s">
        <v>15</v>
      </c>
      <c r="L1642" s="2">
        <v>33</v>
      </c>
      <c r="M1642" t="s">
        <v>3203</v>
      </c>
      <c r="N1642">
        <v>1</v>
      </c>
      <c r="O1642" t="s">
        <v>30</v>
      </c>
      <c r="P1642" t="e">
        <v>#VALUE!</v>
      </c>
      <c r="Q1642" t="e">
        <v>#VALUE!</v>
      </c>
      <c r="R1642" t="s">
        <v>3205</v>
      </c>
      <c r="S1642" t="s">
        <v>16</v>
      </c>
    </row>
    <row r="1643" spans="1:19" x14ac:dyDescent="0.3">
      <c r="A1643" t="s">
        <v>1209</v>
      </c>
      <c r="B1643" t="s">
        <v>1596</v>
      </c>
      <c r="C1643" t="s">
        <v>1610</v>
      </c>
      <c r="D1643" t="s">
        <v>3189</v>
      </c>
      <c r="E1643" t="s">
        <v>9</v>
      </c>
      <c r="F1643" s="2">
        <v>40</v>
      </c>
      <c r="G1643" t="s">
        <v>3197</v>
      </c>
      <c r="H1643" t="s">
        <v>69</v>
      </c>
      <c r="I1643" t="s">
        <v>28</v>
      </c>
      <c r="J1643" t="s">
        <v>3212</v>
      </c>
      <c r="K1643" t="s">
        <v>15</v>
      </c>
      <c r="L1643" s="2">
        <v>33</v>
      </c>
      <c r="M1643" t="s">
        <v>3203</v>
      </c>
      <c r="N1643">
        <v>1</v>
      </c>
      <c r="O1643" t="s">
        <v>30</v>
      </c>
      <c r="P1643" t="e">
        <v>#VALUE!</v>
      </c>
      <c r="Q1643" t="e">
        <v>#VALUE!</v>
      </c>
      <c r="R1643" t="s">
        <v>3205</v>
      </c>
      <c r="S1643" t="s">
        <v>16</v>
      </c>
    </row>
    <row r="1644" spans="1:19" x14ac:dyDescent="0.3">
      <c r="A1644" t="s">
        <v>406</v>
      </c>
      <c r="B1644" t="s">
        <v>1596</v>
      </c>
      <c r="C1644" t="s">
        <v>2895</v>
      </c>
      <c r="D1644" t="s">
        <v>3189</v>
      </c>
      <c r="E1644" t="s">
        <v>9</v>
      </c>
      <c r="F1644" s="2">
        <v>24</v>
      </c>
      <c r="G1644" t="s">
        <v>3206</v>
      </c>
      <c r="H1644" t="s">
        <v>51</v>
      </c>
      <c r="I1644" t="s">
        <v>11</v>
      </c>
      <c r="J1644" t="s">
        <v>3198</v>
      </c>
      <c r="K1644" t="s">
        <v>15</v>
      </c>
      <c r="L1644" s="2">
        <v>33</v>
      </c>
      <c r="M1644" t="s">
        <v>3203</v>
      </c>
      <c r="N1644">
        <v>1</v>
      </c>
      <c r="O1644" t="s">
        <v>30</v>
      </c>
      <c r="P1644" t="e">
        <v>#VALUE!</v>
      </c>
      <c r="Q1644" t="e">
        <v>#VALUE!</v>
      </c>
      <c r="R1644" t="s">
        <v>3201</v>
      </c>
      <c r="S1644" t="s">
        <v>13</v>
      </c>
    </row>
    <row r="1645" spans="1:19" x14ac:dyDescent="0.3">
      <c r="A1645" t="s">
        <v>406</v>
      </c>
      <c r="B1645" t="s">
        <v>1596</v>
      </c>
      <c r="C1645" t="s">
        <v>2661</v>
      </c>
      <c r="D1645" t="s">
        <v>3189</v>
      </c>
      <c r="E1645" t="s">
        <v>9</v>
      </c>
      <c r="F1645" s="2">
        <v>19</v>
      </c>
      <c r="G1645" t="s">
        <v>3206</v>
      </c>
      <c r="H1645" t="s">
        <v>69</v>
      </c>
      <c r="I1645" t="s">
        <v>11</v>
      </c>
      <c r="J1645" t="s">
        <v>3198</v>
      </c>
      <c r="K1645" t="s">
        <v>15</v>
      </c>
      <c r="L1645" s="2">
        <v>33</v>
      </c>
      <c r="M1645" t="s">
        <v>3203</v>
      </c>
      <c r="N1645">
        <v>1</v>
      </c>
      <c r="O1645" t="s">
        <v>30</v>
      </c>
      <c r="P1645" t="e">
        <v>#VALUE!</v>
      </c>
      <c r="Q1645" t="e">
        <v>#VALUE!</v>
      </c>
      <c r="R1645" t="s">
        <v>3201</v>
      </c>
      <c r="S1645" t="s">
        <v>13</v>
      </c>
    </row>
    <row r="1646" spans="1:19" x14ac:dyDescent="0.3">
      <c r="A1646" t="s">
        <v>406</v>
      </c>
      <c r="B1646" t="s">
        <v>1596</v>
      </c>
      <c r="C1646" t="s">
        <v>2896</v>
      </c>
      <c r="D1646" t="s">
        <v>3189</v>
      </c>
      <c r="E1646" t="s">
        <v>9</v>
      </c>
      <c r="F1646" s="2">
        <v>17</v>
      </c>
      <c r="G1646" t="s">
        <v>3202</v>
      </c>
      <c r="H1646" t="s">
        <v>69</v>
      </c>
      <c r="I1646" t="s">
        <v>11</v>
      </c>
      <c r="J1646" t="s">
        <v>3198</v>
      </c>
      <c r="K1646" t="s">
        <v>15</v>
      </c>
      <c r="L1646" s="2">
        <v>33</v>
      </c>
      <c r="M1646" t="s">
        <v>3203</v>
      </c>
      <c r="N1646">
        <v>1</v>
      </c>
      <c r="O1646" t="s">
        <v>30</v>
      </c>
      <c r="P1646" t="e">
        <v>#VALUE!</v>
      </c>
      <c r="Q1646" t="e">
        <v>#VALUE!</v>
      </c>
      <c r="R1646" t="s">
        <v>3201</v>
      </c>
      <c r="S1646" t="s">
        <v>13</v>
      </c>
    </row>
    <row r="1647" spans="1:19" x14ac:dyDescent="0.3">
      <c r="A1647" t="s">
        <v>406</v>
      </c>
      <c r="B1647" t="s">
        <v>1596</v>
      </c>
      <c r="C1647" t="s">
        <v>2692</v>
      </c>
      <c r="D1647" t="s">
        <v>3189</v>
      </c>
      <c r="E1647" t="s">
        <v>9</v>
      </c>
      <c r="F1647" s="2">
        <v>29</v>
      </c>
      <c r="G1647" t="s">
        <v>3206</v>
      </c>
      <c r="H1647" t="s">
        <v>51</v>
      </c>
      <c r="I1647" t="s">
        <v>11</v>
      </c>
      <c r="J1647" t="s">
        <v>3198</v>
      </c>
      <c r="K1647" t="s">
        <v>15</v>
      </c>
      <c r="L1647" s="2">
        <v>33</v>
      </c>
      <c r="M1647" t="s">
        <v>3203</v>
      </c>
      <c r="N1647">
        <v>1</v>
      </c>
      <c r="O1647" t="s">
        <v>30</v>
      </c>
      <c r="P1647" t="e">
        <v>#VALUE!</v>
      </c>
      <c r="Q1647" t="e">
        <v>#VALUE!</v>
      </c>
      <c r="R1647" t="s">
        <v>3201</v>
      </c>
      <c r="S1647" t="s">
        <v>13</v>
      </c>
    </row>
    <row r="1648" spans="1:19" x14ac:dyDescent="0.3">
      <c r="A1648" t="s">
        <v>406</v>
      </c>
      <c r="B1648" t="s">
        <v>1596</v>
      </c>
      <c r="C1648" t="s">
        <v>2897</v>
      </c>
      <c r="D1648" t="s">
        <v>3189</v>
      </c>
      <c r="E1648" t="s">
        <v>9</v>
      </c>
      <c r="F1648" s="2">
        <v>17</v>
      </c>
      <c r="G1648" t="s">
        <v>3202</v>
      </c>
      <c r="H1648" t="s">
        <v>69</v>
      </c>
      <c r="I1648" t="s">
        <v>11</v>
      </c>
      <c r="J1648" t="s">
        <v>3198</v>
      </c>
      <c r="K1648" t="s">
        <v>15</v>
      </c>
      <c r="L1648" s="2">
        <v>33</v>
      </c>
      <c r="M1648" t="s">
        <v>3203</v>
      </c>
      <c r="N1648">
        <v>1</v>
      </c>
      <c r="O1648" t="s">
        <v>30</v>
      </c>
      <c r="P1648" t="e">
        <v>#VALUE!</v>
      </c>
      <c r="Q1648" t="e">
        <v>#VALUE!</v>
      </c>
      <c r="R1648" t="s">
        <v>3201</v>
      </c>
      <c r="S1648" t="s">
        <v>13</v>
      </c>
    </row>
    <row r="1649" spans="1:19" x14ac:dyDescent="0.3">
      <c r="A1649" t="s">
        <v>406</v>
      </c>
      <c r="B1649" t="s">
        <v>1596</v>
      </c>
      <c r="C1649" t="s">
        <v>2511</v>
      </c>
      <c r="D1649" t="s">
        <v>3189</v>
      </c>
      <c r="E1649" t="s">
        <v>9</v>
      </c>
      <c r="F1649" s="2">
        <v>39</v>
      </c>
      <c r="G1649" t="s">
        <v>3197</v>
      </c>
      <c r="H1649" t="s">
        <v>51</v>
      </c>
      <c r="I1649" t="s">
        <v>11</v>
      </c>
      <c r="J1649" t="s">
        <v>3198</v>
      </c>
      <c r="K1649" t="s">
        <v>15</v>
      </c>
      <c r="L1649" s="2">
        <v>33</v>
      </c>
      <c r="M1649" t="s">
        <v>3203</v>
      </c>
      <c r="N1649">
        <v>1</v>
      </c>
      <c r="O1649" t="s">
        <v>30</v>
      </c>
      <c r="P1649" t="e">
        <v>#VALUE!</v>
      </c>
      <c r="Q1649" t="e">
        <v>#VALUE!</v>
      </c>
      <c r="R1649" t="s">
        <v>3205</v>
      </c>
      <c r="S1649" t="s">
        <v>16</v>
      </c>
    </row>
    <row r="1650" spans="1:19" x14ac:dyDescent="0.3">
      <c r="A1650" t="s">
        <v>407</v>
      </c>
      <c r="B1650" t="s">
        <v>1596</v>
      </c>
      <c r="C1650" t="s">
        <v>2898</v>
      </c>
      <c r="D1650" t="s">
        <v>3189</v>
      </c>
      <c r="E1650" t="s">
        <v>9</v>
      </c>
      <c r="F1650" s="2">
        <v>40</v>
      </c>
      <c r="G1650" t="s">
        <v>3197</v>
      </c>
      <c r="H1650" t="s">
        <v>69</v>
      </c>
      <c r="I1650" t="s">
        <v>11</v>
      </c>
      <c r="J1650" t="s">
        <v>3198</v>
      </c>
      <c r="K1650" t="s">
        <v>15</v>
      </c>
      <c r="L1650" s="2">
        <v>33</v>
      </c>
      <c r="M1650" t="s">
        <v>3203</v>
      </c>
      <c r="N1650">
        <v>1</v>
      </c>
      <c r="O1650" t="s">
        <v>30</v>
      </c>
      <c r="P1650" t="e">
        <v>#VALUE!</v>
      </c>
      <c r="Q1650" t="e">
        <v>#VALUE!</v>
      </c>
      <c r="R1650" t="s">
        <v>3205</v>
      </c>
      <c r="S1650" t="s">
        <v>16</v>
      </c>
    </row>
    <row r="1651" spans="1:19" x14ac:dyDescent="0.3">
      <c r="A1651" t="s">
        <v>407</v>
      </c>
      <c r="B1651" t="s">
        <v>1596</v>
      </c>
      <c r="C1651" t="s">
        <v>2899</v>
      </c>
      <c r="D1651" t="s">
        <v>3189</v>
      </c>
      <c r="E1651" t="s">
        <v>9</v>
      </c>
      <c r="F1651" s="2">
        <v>38</v>
      </c>
      <c r="G1651" t="s">
        <v>3197</v>
      </c>
      <c r="H1651" t="s">
        <v>51</v>
      </c>
      <c r="I1651" t="s">
        <v>28</v>
      </c>
      <c r="J1651" t="s">
        <v>3212</v>
      </c>
      <c r="K1651" t="s">
        <v>15</v>
      </c>
      <c r="L1651" s="2">
        <v>33</v>
      </c>
      <c r="M1651" t="s">
        <v>3203</v>
      </c>
      <c r="N1651">
        <v>1</v>
      </c>
      <c r="O1651" t="s">
        <v>30</v>
      </c>
      <c r="P1651" t="e">
        <v>#VALUE!</v>
      </c>
      <c r="Q1651" t="e">
        <v>#VALUE!</v>
      </c>
      <c r="R1651" t="s">
        <v>3201</v>
      </c>
      <c r="S1651" t="s">
        <v>13</v>
      </c>
    </row>
    <row r="1652" spans="1:19" x14ac:dyDescent="0.3">
      <c r="A1652" t="s">
        <v>409</v>
      </c>
      <c r="B1652" t="s">
        <v>1596</v>
      </c>
      <c r="C1652" t="s">
        <v>1965</v>
      </c>
      <c r="D1652" t="s">
        <v>3189</v>
      </c>
      <c r="E1652" t="s">
        <v>9</v>
      </c>
      <c r="F1652" s="2">
        <v>54</v>
      </c>
      <c r="G1652" t="s">
        <v>3197</v>
      </c>
      <c r="H1652" t="s">
        <v>51</v>
      </c>
      <c r="I1652" t="s">
        <v>11</v>
      </c>
      <c r="J1652" t="s">
        <v>3198</v>
      </c>
      <c r="K1652" t="s">
        <v>15</v>
      </c>
      <c r="L1652" s="2">
        <v>33</v>
      </c>
      <c r="M1652" t="s">
        <v>3203</v>
      </c>
      <c r="N1652">
        <v>1</v>
      </c>
      <c r="O1652" t="s">
        <v>30</v>
      </c>
      <c r="P1652" t="e">
        <v>#VALUE!</v>
      </c>
      <c r="Q1652" t="e">
        <v>#VALUE!</v>
      </c>
      <c r="R1652" t="s">
        <v>3201</v>
      </c>
      <c r="S1652" t="s">
        <v>13</v>
      </c>
    </row>
    <row r="1653" spans="1:19" x14ac:dyDescent="0.3">
      <c r="A1653" t="s">
        <v>409</v>
      </c>
      <c r="B1653" t="s">
        <v>1596</v>
      </c>
      <c r="C1653" t="s">
        <v>2273</v>
      </c>
      <c r="D1653" t="s">
        <v>3189</v>
      </c>
      <c r="E1653" t="s">
        <v>9</v>
      </c>
      <c r="F1653" s="2">
        <v>32</v>
      </c>
      <c r="G1653" t="s">
        <v>3206</v>
      </c>
      <c r="H1653" t="s">
        <v>69</v>
      </c>
      <c r="I1653" t="s">
        <v>11</v>
      </c>
      <c r="J1653" t="s">
        <v>3198</v>
      </c>
      <c r="K1653" t="s">
        <v>15</v>
      </c>
      <c r="L1653" s="2">
        <v>33</v>
      </c>
      <c r="M1653" t="s">
        <v>3203</v>
      </c>
      <c r="N1653">
        <v>1</v>
      </c>
      <c r="O1653" t="s">
        <v>30</v>
      </c>
      <c r="P1653" t="e">
        <v>#VALUE!</v>
      </c>
      <c r="Q1653" t="e">
        <v>#VALUE!</v>
      </c>
      <c r="R1653" t="s">
        <v>3205</v>
      </c>
      <c r="S1653" t="s">
        <v>16</v>
      </c>
    </row>
    <row r="1654" spans="1:19" x14ac:dyDescent="0.3">
      <c r="A1654" t="s">
        <v>1210</v>
      </c>
      <c r="B1654" t="s">
        <v>1596</v>
      </c>
      <c r="C1654" t="s">
        <v>2900</v>
      </c>
      <c r="D1654" t="s">
        <v>3189</v>
      </c>
      <c r="E1654" t="s">
        <v>9</v>
      </c>
      <c r="F1654" s="2">
        <v>21</v>
      </c>
      <c r="G1654" t="s">
        <v>3206</v>
      </c>
      <c r="H1654" t="s">
        <v>69</v>
      </c>
      <c r="I1654" t="s">
        <v>11</v>
      </c>
      <c r="J1654" t="s">
        <v>3198</v>
      </c>
      <c r="K1654" t="s">
        <v>15</v>
      </c>
      <c r="L1654" s="2">
        <v>33</v>
      </c>
      <c r="M1654" t="s">
        <v>3203</v>
      </c>
      <c r="N1654">
        <v>1</v>
      </c>
      <c r="O1654" t="s">
        <v>30</v>
      </c>
      <c r="P1654" t="e">
        <v>#VALUE!</v>
      </c>
      <c r="Q1654" t="e">
        <v>#VALUE!</v>
      </c>
      <c r="R1654" t="s">
        <v>3205</v>
      </c>
      <c r="S1654" t="s">
        <v>16</v>
      </c>
    </row>
    <row r="1655" spans="1:19" x14ac:dyDescent="0.3">
      <c r="A1655" t="s">
        <v>1211</v>
      </c>
      <c r="B1655" t="s">
        <v>1596</v>
      </c>
      <c r="C1655" t="s">
        <v>2901</v>
      </c>
      <c r="D1655" t="s">
        <v>3189</v>
      </c>
      <c r="E1655" t="s">
        <v>9</v>
      </c>
      <c r="F1655" s="2">
        <v>34</v>
      </c>
      <c r="G1655" t="s">
        <v>3206</v>
      </c>
      <c r="H1655" t="s">
        <v>51</v>
      </c>
      <c r="I1655" t="s">
        <v>28</v>
      </c>
      <c r="J1655" t="s">
        <v>3212</v>
      </c>
      <c r="K1655" t="s">
        <v>29</v>
      </c>
      <c r="L1655" s="2">
        <v>33</v>
      </c>
      <c r="M1655" t="s">
        <v>3203</v>
      </c>
      <c r="N1655">
        <v>1</v>
      </c>
      <c r="O1655" t="s">
        <v>30</v>
      </c>
      <c r="P1655" t="e">
        <v>#VALUE!</v>
      </c>
      <c r="Q1655" t="e">
        <v>#VALUE!</v>
      </c>
      <c r="R1655" t="s">
        <v>3201</v>
      </c>
      <c r="S1655" t="s">
        <v>13</v>
      </c>
    </row>
    <row r="1656" spans="1:19" x14ac:dyDescent="0.3">
      <c r="A1656" t="s">
        <v>1212</v>
      </c>
      <c r="B1656" t="s">
        <v>1596</v>
      </c>
      <c r="C1656" t="s">
        <v>2704</v>
      </c>
      <c r="D1656" t="s">
        <v>3189</v>
      </c>
      <c r="E1656" t="s">
        <v>9</v>
      </c>
      <c r="F1656" s="2">
        <v>23</v>
      </c>
      <c r="G1656" t="s">
        <v>3206</v>
      </c>
      <c r="H1656" t="s">
        <v>69</v>
      </c>
      <c r="I1656" t="s">
        <v>11</v>
      </c>
      <c r="J1656" t="s">
        <v>3198</v>
      </c>
      <c r="K1656" t="s">
        <v>15</v>
      </c>
      <c r="L1656" s="2">
        <v>33</v>
      </c>
      <c r="M1656" t="s">
        <v>3203</v>
      </c>
      <c r="N1656">
        <v>1</v>
      </c>
      <c r="O1656" t="s">
        <v>30</v>
      </c>
      <c r="P1656" t="e">
        <v>#VALUE!</v>
      </c>
      <c r="Q1656" t="e">
        <v>#VALUE!</v>
      </c>
      <c r="R1656" t="s">
        <v>3201</v>
      </c>
      <c r="S1656" t="s">
        <v>13</v>
      </c>
    </row>
    <row r="1657" spans="1:19" x14ac:dyDescent="0.3">
      <c r="A1657" t="s">
        <v>1213</v>
      </c>
      <c r="B1657" t="s">
        <v>1596</v>
      </c>
      <c r="C1657" t="s">
        <v>1965</v>
      </c>
      <c r="D1657" t="s">
        <v>3189</v>
      </c>
      <c r="E1657" t="s">
        <v>9</v>
      </c>
      <c r="F1657" s="2">
        <v>52</v>
      </c>
      <c r="G1657" t="s">
        <v>3197</v>
      </c>
      <c r="H1657" t="s">
        <v>69</v>
      </c>
      <c r="I1657" t="s">
        <v>11</v>
      </c>
      <c r="J1657" t="s">
        <v>3198</v>
      </c>
      <c r="K1657" t="s">
        <v>15</v>
      </c>
      <c r="L1657" s="2">
        <v>33</v>
      </c>
      <c r="M1657" t="s">
        <v>3203</v>
      </c>
      <c r="N1657">
        <v>1</v>
      </c>
      <c r="O1657" t="s">
        <v>30</v>
      </c>
      <c r="P1657" t="e">
        <v>#VALUE!</v>
      </c>
      <c r="Q1657" t="e">
        <v>#VALUE!</v>
      </c>
      <c r="R1657" t="s">
        <v>3201</v>
      </c>
      <c r="S1657" t="s">
        <v>13</v>
      </c>
    </row>
    <row r="1658" spans="1:19" x14ac:dyDescent="0.3">
      <c r="A1658" t="s">
        <v>1213</v>
      </c>
      <c r="B1658" t="s">
        <v>1596</v>
      </c>
      <c r="C1658" t="s">
        <v>2902</v>
      </c>
      <c r="D1658" t="s">
        <v>3189</v>
      </c>
      <c r="E1658" t="s">
        <v>9</v>
      </c>
      <c r="F1658" s="2">
        <v>43</v>
      </c>
      <c r="G1658" t="s">
        <v>3197</v>
      </c>
      <c r="H1658" t="s">
        <v>69</v>
      </c>
      <c r="I1658" t="s">
        <v>11</v>
      </c>
      <c r="J1658" t="s">
        <v>3198</v>
      </c>
      <c r="K1658" t="s">
        <v>15</v>
      </c>
      <c r="L1658" s="2">
        <v>33</v>
      </c>
      <c r="M1658" t="s">
        <v>3203</v>
      </c>
      <c r="N1658">
        <v>1</v>
      </c>
      <c r="O1658" t="s">
        <v>30</v>
      </c>
      <c r="P1658" t="e">
        <v>#VALUE!</v>
      </c>
      <c r="Q1658" t="e">
        <v>#VALUE!</v>
      </c>
      <c r="R1658" t="s">
        <v>3201</v>
      </c>
      <c r="S1658" t="s">
        <v>13</v>
      </c>
    </row>
    <row r="1659" spans="1:19" x14ac:dyDescent="0.3">
      <c r="A1659" t="s">
        <v>1214</v>
      </c>
      <c r="B1659" t="s">
        <v>1596</v>
      </c>
      <c r="C1659" t="s">
        <v>1976</v>
      </c>
      <c r="D1659" t="s">
        <v>3189</v>
      </c>
      <c r="E1659" t="s">
        <v>9</v>
      </c>
      <c r="F1659" s="2">
        <v>45</v>
      </c>
      <c r="G1659" t="s">
        <v>3197</v>
      </c>
      <c r="H1659" t="s">
        <v>69</v>
      </c>
      <c r="I1659" t="s">
        <v>28</v>
      </c>
      <c r="J1659" t="s">
        <v>3212</v>
      </c>
      <c r="K1659" t="s">
        <v>15</v>
      </c>
      <c r="L1659" s="2">
        <v>33</v>
      </c>
      <c r="M1659" t="s">
        <v>3203</v>
      </c>
      <c r="N1659">
        <v>1</v>
      </c>
      <c r="O1659" t="s">
        <v>30</v>
      </c>
      <c r="P1659" t="e">
        <v>#VALUE!</v>
      </c>
      <c r="Q1659" t="e">
        <v>#VALUE!</v>
      </c>
      <c r="R1659" t="s">
        <v>3201</v>
      </c>
      <c r="S1659" t="s">
        <v>13</v>
      </c>
    </row>
    <row r="1660" spans="1:19" x14ac:dyDescent="0.3">
      <c r="A1660" t="s">
        <v>413</v>
      </c>
      <c r="B1660" t="s">
        <v>1596</v>
      </c>
      <c r="C1660" t="s">
        <v>2373</v>
      </c>
      <c r="D1660" t="s">
        <v>3189</v>
      </c>
      <c r="E1660" t="s">
        <v>9</v>
      </c>
      <c r="F1660" s="2">
        <v>24</v>
      </c>
      <c r="G1660" t="s">
        <v>3206</v>
      </c>
      <c r="H1660" t="s">
        <v>51</v>
      </c>
      <c r="I1660" t="s">
        <v>11</v>
      </c>
      <c r="J1660" t="s">
        <v>3198</v>
      </c>
      <c r="K1660" t="s">
        <v>15</v>
      </c>
      <c r="L1660" s="2">
        <v>33</v>
      </c>
      <c r="M1660" t="s">
        <v>3203</v>
      </c>
      <c r="N1660">
        <v>1</v>
      </c>
      <c r="O1660" t="s">
        <v>30</v>
      </c>
      <c r="P1660" t="e">
        <v>#VALUE!</v>
      </c>
      <c r="Q1660" t="e">
        <v>#VALUE!</v>
      </c>
      <c r="R1660" t="s">
        <v>3201</v>
      </c>
      <c r="S1660" t="s">
        <v>13</v>
      </c>
    </row>
    <row r="1661" spans="1:19" x14ac:dyDescent="0.3">
      <c r="A1661" t="s">
        <v>1215</v>
      </c>
      <c r="B1661" t="s">
        <v>1596</v>
      </c>
      <c r="C1661" t="s">
        <v>1616</v>
      </c>
      <c r="D1661" t="s">
        <v>3189</v>
      </c>
      <c r="E1661" t="s">
        <v>9</v>
      </c>
      <c r="F1661" s="2">
        <v>22</v>
      </c>
      <c r="G1661" t="s">
        <v>3206</v>
      </c>
      <c r="H1661" t="s">
        <v>51</v>
      </c>
      <c r="I1661" t="s">
        <v>11</v>
      </c>
      <c r="J1661" t="s">
        <v>3198</v>
      </c>
      <c r="K1661" t="s">
        <v>15</v>
      </c>
      <c r="L1661" s="2">
        <v>33</v>
      </c>
      <c r="M1661" t="s">
        <v>3203</v>
      </c>
      <c r="N1661">
        <v>1</v>
      </c>
      <c r="O1661" t="s">
        <v>30</v>
      </c>
      <c r="P1661" t="e">
        <v>#VALUE!</v>
      </c>
      <c r="Q1661" t="e">
        <v>#VALUE!</v>
      </c>
      <c r="R1661" t="s">
        <v>3205</v>
      </c>
      <c r="S1661" t="s">
        <v>16</v>
      </c>
    </row>
    <row r="1662" spans="1:19" x14ac:dyDescent="0.3">
      <c r="A1662" t="s">
        <v>1216</v>
      </c>
      <c r="B1662" t="s">
        <v>1596</v>
      </c>
      <c r="C1662" t="s">
        <v>2903</v>
      </c>
      <c r="D1662" t="s">
        <v>3189</v>
      </c>
      <c r="E1662" t="s">
        <v>9</v>
      </c>
      <c r="F1662" s="2">
        <v>30</v>
      </c>
      <c r="G1662" t="s">
        <v>3206</v>
      </c>
      <c r="H1662" t="s">
        <v>69</v>
      </c>
      <c r="I1662" t="s">
        <v>11</v>
      </c>
      <c r="J1662" t="s">
        <v>3198</v>
      </c>
      <c r="K1662" t="s">
        <v>15</v>
      </c>
      <c r="L1662" s="2">
        <v>33</v>
      </c>
      <c r="M1662" t="s">
        <v>3203</v>
      </c>
      <c r="N1662">
        <v>1</v>
      </c>
      <c r="O1662" t="s">
        <v>30</v>
      </c>
      <c r="P1662" t="e">
        <v>#VALUE!</v>
      </c>
      <c r="Q1662" t="e">
        <v>#VALUE!</v>
      </c>
      <c r="R1662" t="s">
        <v>3201</v>
      </c>
      <c r="S1662" t="s">
        <v>13</v>
      </c>
    </row>
    <row r="1663" spans="1:19" x14ac:dyDescent="0.3">
      <c r="A1663" t="s">
        <v>1217</v>
      </c>
      <c r="B1663" t="s">
        <v>1596</v>
      </c>
      <c r="C1663" t="s">
        <v>2904</v>
      </c>
      <c r="D1663" t="s">
        <v>3189</v>
      </c>
      <c r="E1663" t="s">
        <v>9</v>
      </c>
      <c r="F1663" s="2">
        <v>43</v>
      </c>
      <c r="G1663" t="s">
        <v>3197</v>
      </c>
      <c r="H1663" t="s">
        <v>71</v>
      </c>
      <c r="I1663" t="s">
        <v>28</v>
      </c>
      <c r="J1663" t="s">
        <v>3212</v>
      </c>
      <c r="K1663" t="s">
        <v>15</v>
      </c>
      <c r="L1663" s="2">
        <v>33</v>
      </c>
      <c r="M1663" t="s">
        <v>3203</v>
      </c>
      <c r="N1663">
        <v>1</v>
      </c>
      <c r="O1663" t="s">
        <v>30</v>
      </c>
      <c r="P1663" t="e">
        <v>#VALUE!</v>
      </c>
      <c r="Q1663" t="e">
        <v>#VALUE!</v>
      </c>
      <c r="R1663" t="s">
        <v>3205</v>
      </c>
      <c r="S1663" t="s">
        <v>16</v>
      </c>
    </row>
    <row r="1664" spans="1:19" x14ac:dyDescent="0.3">
      <c r="A1664" t="s">
        <v>1218</v>
      </c>
      <c r="B1664" t="s">
        <v>1596</v>
      </c>
      <c r="C1664" t="s">
        <v>2905</v>
      </c>
      <c r="D1664" t="s">
        <v>3189</v>
      </c>
      <c r="E1664" t="s">
        <v>9</v>
      </c>
      <c r="F1664" s="2">
        <v>28</v>
      </c>
      <c r="G1664" t="s">
        <v>3206</v>
      </c>
      <c r="H1664" t="s">
        <v>51</v>
      </c>
      <c r="I1664" t="s">
        <v>11</v>
      </c>
      <c r="J1664" t="s">
        <v>3198</v>
      </c>
      <c r="K1664" t="s">
        <v>15</v>
      </c>
      <c r="L1664" s="2">
        <v>33</v>
      </c>
      <c r="M1664" t="s">
        <v>3203</v>
      </c>
      <c r="N1664">
        <v>1</v>
      </c>
      <c r="O1664" t="s">
        <v>30</v>
      </c>
      <c r="P1664" t="e">
        <v>#VALUE!</v>
      </c>
      <c r="Q1664" t="e">
        <v>#VALUE!</v>
      </c>
      <c r="R1664" t="s">
        <v>3205</v>
      </c>
      <c r="S1664" t="s">
        <v>16</v>
      </c>
    </row>
    <row r="1665" spans="1:19" x14ac:dyDescent="0.3">
      <c r="A1665" t="s">
        <v>1219</v>
      </c>
      <c r="B1665" t="s">
        <v>1596</v>
      </c>
      <c r="C1665" t="s">
        <v>2906</v>
      </c>
      <c r="D1665" t="s">
        <v>3189</v>
      </c>
      <c r="E1665" t="s">
        <v>9</v>
      </c>
      <c r="F1665" s="2">
        <v>40</v>
      </c>
      <c r="G1665" t="s">
        <v>3197</v>
      </c>
      <c r="H1665" t="s">
        <v>69</v>
      </c>
      <c r="I1665" t="s">
        <v>28</v>
      </c>
      <c r="J1665" t="s">
        <v>3212</v>
      </c>
      <c r="K1665" t="s">
        <v>15</v>
      </c>
      <c r="L1665" s="2">
        <v>33</v>
      </c>
      <c r="M1665" t="s">
        <v>3203</v>
      </c>
      <c r="N1665">
        <v>1</v>
      </c>
      <c r="O1665" t="s">
        <v>30</v>
      </c>
      <c r="P1665" t="e">
        <v>#VALUE!</v>
      </c>
      <c r="Q1665" t="e">
        <v>#VALUE!</v>
      </c>
      <c r="R1665" t="s">
        <v>3201</v>
      </c>
      <c r="S1665" t="s">
        <v>13</v>
      </c>
    </row>
    <row r="1666" spans="1:19" x14ac:dyDescent="0.3">
      <c r="A1666" t="s">
        <v>1220</v>
      </c>
      <c r="B1666" t="s">
        <v>1596</v>
      </c>
      <c r="C1666" t="s">
        <v>2907</v>
      </c>
      <c r="D1666" t="s">
        <v>3189</v>
      </c>
      <c r="E1666" t="s">
        <v>9</v>
      </c>
      <c r="F1666" s="2">
        <v>26</v>
      </c>
      <c r="G1666" t="s">
        <v>3206</v>
      </c>
      <c r="H1666" t="s">
        <v>69</v>
      </c>
      <c r="I1666" t="s">
        <v>11</v>
      </c>
      <c r="J1666" t="s">
        <v>3198</v>
      </c>
      <c r="K1666" t="s">
        <v>15</v>
      </c>
      <c r="L1666" s="2">
        <v>33</v>
      </c>
      <c r="M1666" t="s">
        <v>3203</v>
      </c>
      <c r="N1666">
        <v>1</v>
      </c>
      <c r="O1666" t="s">
        <v>30</v>
      </c>
      <c r="P1666" t="e">
        <v>#VALUE!</v>
      </c>
      <c r="Q1666" t="e">
        <v>#VALUE!</v>
      </c>
      <c r="R1666" t="s">
        <v>3201</v>
      </c>
      <c r="S1666" t="s">
        <v>13</v>
      </c>
    </row>
    <row r="1667" spans="1:19" x14ac:dyDescent="0.3">
      <c r="A1667" t="s">
        <v>1221</v>
      </c>
      <c r="B1667" t="s">
        <v>1596</v>
      </c>
      <c r="C1667" t="s">
        <v>1822</v>
      </c>
      <c r="D1667" t="s">
        <v>3189</v>
      </c>
      <c r="E1667" t="s">
        <v>9</v>
      </c>
      <c r="F1667" s="2">
        <v>33</v>
      </c>
      <c r="G1667" t="s">
        <v>3206</v>
      </c>
      <c r="H1667" t="s">
        <v>51</v>
      </c>
      <c r="I1667" t="s">
        <v>28</v>
      </c>
      <c r="J1667" t="s">
        <v>3212</v>
      </c>
      <c r="K1667" t="s">
        <v>15</v>
      </c>
      <c r="L1667" s="2">
        <v>33</v>
      </c>
      <c r="M1667" t="s">
        <v>3203</v>
      </c>
      <c r="N1667">
        <v>1</v>
      </c>
      <c r="O1667" t="s">
        <v>30</v>
      </c>
      <c r="P1667" t="e">
        <v>#VALUE!</v>
      </c>
      <c r="Q1667" t="e">
        <v>#VALUE!</v>
      </c>
      <c r="R1667" t="s">
        <v>3201</v>
      </c>
      <c r="S1667" t="s">
        <v>13</v>
      </c>
    </row>
    <row r="1668" spans="1:19" x14ac:dyDescent="0.3">
      <c r="A1668" t="s">
        <v>1222</v>
      </c>
      <c r="B1668" t="s">
        <v>1596</v>
      </c>
      <c r="C1668" t="s">
        <v>1965</v>
      </c>
      <c r="D1668" t="s">
        <v>3189</v>
      </c>
      <c r="E1668" t="s">
        <v>9</v>
      </c>
      <c r="F1668" s="2">
        <v>45</v>
      </c>
      <c r="G1668" t="s">
        <v>3197</v>
      </c>
      <c r="H1668" t="s">
        <v>51</v>
      </c>
      <c r="I1668" t="s">
        <v>11</v>
      </c>
      <c r="J1668" t="s">
        <v>3198</v>
      </c>
      <c r="K1668" t="s">
        <v>15</v>
      </c>
      <c r="L1668" s="2">
        <v>33</v>
      </c>
      <c r="M1668" t="s">
        <v>3203</v>
      </c>
      <c r="N1668">
        <v>1</v>
      </c>
      <c r="O1668" t="s">
        <v>30</v>
      </c>
      <c r="P1668" t="e">
        <v>#VALUE!</v>
      </c>
      <c r="Q1668" t="e">
        <v>#VALUE!</v>
      </c>
      <c r="R1668" t="s">
        <v>3201</v>
      </c>
      <c r="S1668" t="s">
        <v>13</v>
      </c>
    </row>
    <row r="1669" spans="1:19" x14ac:dyDescent="0.3">
      <c r="A1669" t="s">
        <v>1223</v>
      </c>
      <c r="B1669" t="s">
        <v>1596</v>
      </c>
      <c r="C1669" t="s">
        <v>1645</v>
      </c>
      <c r="D1669" t="s">
        <v>3189</v>
      </c>
      <c r="E1669" t="s">
        <v>9</v>
      </c>
      <c r="F1669" s="2">
        <v>37</v>
      </c>
      <c r="G1669" t="s">
        <v>3197</v>
      </c>
      <c r="H1669" t="s">
        <v>69</v>
      </c>
      <c r="I1669" t="s">
        <v>28</v>
      </c>
      <c r="J1669" t="s">
        <v>3212</v>
      </c>
      <c r="K1669" t="s">
        <v>15</v>
      </c>
      <c r="L1669" s="2">
        <v>33</v>
      </c>
      <c r="M1669" t="s">
        <v>3203</v>
      </c>
      <c r="N1669">
        <v>1</v>
      </c>
      <c r="O1669" t="s">
        <v>30</v>
      </c>
      <c r="P1669" t="e">
        <v>#VALUE!</v>
      </c>
      <c r="Q1669" t="e">
        <v>#VALUE!</v>
      </c>
      <c r="R1669" t="s">
        <v>3201</v>
      </c>
      <c r="S1669" t="s">
        <v>13</v>
      </c>
    </row>
    <row r="1670" spans="1:19" x14ac:dyDescent="0.3">
      <c r="A1670" t="s">
        <v>1224</v>
      </c>
      <c r="B1670" t="s">
        <v>1596</v>
      </c>
      <c r="C1670" t="s">
        <v>2208</v>
      </c>
      <c r="D1670" t="s">
        <v>3189</v>
      </c>
      <c r="E1670" t="s">
        <v>9</v>
      </c>
      <c r="F1670" s="2">
        <v>29</v>
      </c>
      <c r="G1670" t="s">
        <v>3206</v>
      </c>
      <c r="H1670" t="s">
        <v>71</v>
      </c>
      <c r="I1670" t="s">
        <v>11</v>
      </c>
      <c r="J1670" t="s">
        <v>3198</v>
      </c>
      <c r="K1670" t="s">
        <v>15</v>
      </c>
      <c r="L1670" s="2">
        <v>33</v>
      </c>
      <c r="M1670" t="s">
        <v>3203</v>
      </c>
      <c r="N1670">
        <v>1</v>
      </c>
      <c r="O1670" t="s">
        <v>30</v>
      </c>
      <c r="P1670" t="e">
        <v>#VALUE!</v>
      </c>
      <c r="Q1670" t="e">
        <v>#VALUE!</v>
      </c>
      <c r="R1670" t="s">
        <v>3205</v>
      </c>
      <c r="S1670" t="s">
        <v>16</v>
      </c>
    </row>
    <row r="1671" spans="1:19" x14ac:dyDescent="0.3">
      <c r="A1671" t="s">
        <v>1225</v>
      </c>
      <c r="B1671" t="s">
        <v>1596</v>
      </c>
      <c r="C1671" t="s">
        <v>2783</v>
      </c>
      <c r="D1671" t="s">
        <v>3189</v>
      </c>
      <c r="E1671" t="s">
        <v>9</v>
      </c>
      <c r="F1671" s="2">
        <v>36</v>
      </c>
      <c r="G1671" t="s">
        <v>3197</v>
      </c>
      <c r="H1671" t="s">
        <v>69</v>
      </c>
      <c r="I1671" t="s">
        <v>11</v>
      </c>
      <c r="J1671" t="s">
        <v>3198</v>
      </c>
      <c r="K1671" t="s">
        <v>15</v>
      </c>
      <c r="L1671" s="2">
        <v>33</v>
      </c>
      <c r="M1671" t="s">
        <v>3203</v>
      </c>
      <c r="N1671">
        <v>1</v>
      </c>
      <c r="O1671" t="s">
        <v>30</v>
      </c>
      <c r="P1671" t="e">
        <v>#VALUE!</v>
      </c>
      <c r="Q1671" t="e">
        <v>#VALUE!</v>
      </c>
      <c r="R1671" t="s">
        <v>3201</v>
      </c>
      <c r="S1671" t="s">
        <v>13</v>
      </c>
    </row>
    <row r="1672" spans="1:19" x14ac:dyDescent="0.3">
      <c r="A1672" t="s">
        <v>1225</v>
      </c>
      <c r="B1672" t="s">
        <v>1596</v>
      </c>
      <c r="C1672" t="s">
        <v>1965</v>
      </c>
      <c r="D1672" t="s">
        <v>3189</v>
      </c>
      <c r="E1672" t="s">
        <v>9</v>
      </c>
      <c r="F1672" s="2">
        <v>25</v>
      </c>
      <c r="G1672" t="s">
        <v>3206</v>
      </c>
      <c r="H1672" t="s">
        <v>51</v>
      </c>
      <c r="I1672" t="s">
        <v>11</v>
      </c>
      <c r="J1672" t="s">
        <v>3198</v>
      </c>
      <c r="K1672" t="s">
        <v>15</v>
      </c>
      <c r="L1672" s="2">
        <v>33</v>
      </c>
      <c r="M1672" t="s">
        <v>3203</v>
      </c>
      <c r="N1672">
        <v>1</v>
      </c>
      <c r="O1672" t="s">
        <v>30</v>
      </c>
      <c r="P1672" t="e">
        <v>#VALUE!</v>
      </c>
      <c r="Q1672" t="e">
        <v>#VALUE!</v>
      </c>
      <c r="R1672" t="s">
        <v>3201</v>
      </c>
      <c r="S1672" t="s">
        <v>13</v>
      </c>
    </row>
    <row r="1673" spans="1:19" x14ac:dyDescent="0.3">
      <c r="A1673" t="s">
        <v>1225</v>
      </c>
      <c r="B1673" t="s">
        <v>1596</v>
      </c>
      <c r="C1673" t="s">
        <v>2908</v>
      </c>
      <c r="D1673" t="s">
        <v>3189</v>
      </c>
      <c r="E1673" t="s">
        <v>9</v>
      </c>
      <c r="F1673" s="2">
        <v>43</v>
      </c>
      <c r="G1673" t="s">
        <v>3197</v>
      </c>
      <c r="H1673" t="s">
        <v>69</v>
      </c>
      <c r="I1673" t="s">
        <v>28</v>
      </c>
      <c r="J1673" t="s">
        <v>3212</v>
      </c>
      <c r="K1673" t="s">
        <v>15</v>
      </c>
      <c r="L1673" s="2">
        <v>33</v>
      </c>
      <c r="M1673" t="s">
        <v>3203</v>
      </c>
      <c r="N1673">
        <v>1</v>
      </c>
      <c r="O1673" t="s">
        <v>30</v>
      </c>
      <c r="P1673" t="e">
        <v>#VALUE!</v>
      </c>
      <c r="Q1673" t="e">
        <v>#VALUE!</v>
      </c>
      <c r="R1673" t="s">
        <v>3201</v>
      </c>
      <c r="S1673" t="s">
        <v>13</v>
      </c>
    </row>
    <row r="1674" spans="1:19" x14ac:dyDescent="0.3">
      <c r="A1674" t="s">
        <v>1226</v>
      </c>
      <c r="B1674" t="s">
        <v>1596</v>
      </c>
      <c r="C1674" t="s">
        <v>2909</v>
      </c>
      <c r="D1674" t="s">
        <v>3189</v>
      </c>
      <c r="E1674" t="s">
        <v>9</v>
      </c>
      <c r="F1674" s="2">
        <v>40</v>
      </c>
      <c r="G1674" t="s">
        <v>3197</v>
      </c>
      <c r="H1674" t="s">
        <v>69</v>
      </c>
      <c r="I1674" t="s">
        <v>11</v>
      </c>
      <c r="J1674" t="s">
        <v>3198</v>
      </c>
      <c r="K1674" t="s">
        <v>15</v>
      </c>
      <c r="L1674" s="2">
        <v>33</v>
      </c>
      <c r="M1674" t="s">
        <v>3203</v>
      </c>
      <c r="N1674">
        <v>1</v>
      </c>
      <c r="O1674" t="s">
        <v>30</v>
      </c>
      <c r="P1674" t="e">
        <v>#VALUE!</v>
      </c>
      <c r="Q1674" t="e">
        <v>#VALUE!</v>
      </c>
      <c r="R1674" t="s">
        <v>3201</v>
      </c>
      <c r="S1674" t="s">
        <v>13</v>
      </c>
    </row>
    <row r="1675" spans="1:19" x14ac:dyDescent="0.3">
      <c r="A1675" t="s">
        <v>1227</v>
      </c>
      <c r="B1675" t="s">
        <v>1596</v>
      </c>
      <c r="C1675" t="s">
        <v>2094</v>
      </c>
      <c r="D1675" t="s">
        <v>3189</v>
      </c>
      <c r="E1675" t="s">
        <v>9</v>
      </c>
      <c r="F1675" s="2">
        <v>36</v>
      </c>
      <c r="G1675" t="s">
        <v>3197</v>
      </c>
      <c r="H1675" t="s">
        <v>69</v>
      </c>
      <c r="I1675" t="s">
        <v>11</v>
      </c>
      <c r="J1675" t="s">
        <v>3198</v>
      </c>
      <c r="K1675" t="s">
        <v>15</v>
      </c>
      <c r="L1675" s="2">
        <v>33</v>
      </c>
      <c r="M1675" t="s">
        <v>3203</v>
      </c>
      <c r="N1675">
        <v>1</v>
      </c>
      <c r="O1675" t="s">
        <v>30</v>
      </c>
      <c r="P1675" t="e">
        <v>#VALUE!</v>
      </c>
      <c r="Q1675" t="e">
        <v>#VALUE!</v>
      </c>
      <c r="R1675" t="s">
        <v>3201</v>
      </c>
      <c r="S1675" t="s">
        <v>13</v>
      </c>
    </row>
    <row r="1676" spans="1:19" x14ac:dyDescent="0.3">
      <c r="A1676" t="s">
        <v>1228</v>
      </c>
      <c r="B1676" t="s">
        <v>1596</v>
      </c>
      <c r="C1676" t="s">
        <v>2910</v>
      </c>
      <c r="D1676" t="s">
        <v>3189</v>
      </c>
      <c r="E1676" t="s">
        <v>9</v>
      </c>
      <c r="F1676" s="2">
        <v>31</v>
      </c>
      <c r="G1676" t="s">
        <v>3206</v>
      </c>
      <c r="H1676" t="s">
        <v>51</v>
      </c>
      <c r="I1676" t="s">
        <v>11</v>
      </c>
      <c r="J1676" t="s">
        <v>3198</v>
      </c>
      <c r="K1676" t="s">
        <v>15</v>
      </c>
      <c r="L1676" s="2">
        <v>33</v>
      </c>
      <c r="M1676" t="s">
        <v>3203</v>
      </c>
      <c r="N1676">
        <v>1</v>
      </c>
      <c r="O1676" t="s">
        <v>30</v>
      </c>
      <c r="P1676" t="e">
        <v>#VALUE!</v>
      </c>
      <c r="Q1676" t="e">
        <v>#VALUE!</v>
      </c>
      <c r="R1676" t="s">
        <v>3201</v>
      </c>
      <c r="S1676" t="s">
        <v>13</v>
      </c>
    </row>
    <row r="1677" spans="1:19" x14ac:dyDescent="0.3">
      <c r="A1677" t="s">
        <v>1229</v>
      </c>
      <c r="B1677" t="s">
        <v>1596</v>
      </c>
      <c r="C1677" t="s">
        <v>2911</v>
      </c>
      <c r="D1677" t="s">
        <v>3189</v>
      </c>
      <c r="E1677" t="s">
        <v>9</v>
      </c>
      <c r="F1677" s="2">
        <v>25</v>
      </c>
      <c r="G1677" t="s">
        <v>3206</v>
      </c>
      <c r="H1677" t="s">
        <v>69</v>
      </c>
      <c r="I1677" t="s">
        <v>11</v>
      </c>
      <c r="J1677" t="s">
        <v>3198</v>
      </c>
      <c r="K1677" t="s">
        <v>15</v>
      </c>
      <c r="L1677" s="2">
        <v>33</v>
      </c>
      <c r="M1677" t="s">
        <v>3203</v>
      </c>
      <c r="N1677">
        <v>1</v>
      </c>
      <c r="O1677" t="s">
        <v>30</v>
      </c>
      <c r="P1677" t="e">
        <v>#VALUE!</v>
      </c>
      <c r="Q1677" t="e">
        <v>#VALUE!</v>
      </c>
      <c r="R1677" t="s">
        <v>3201</v>
      </c>
      <c r="S1677" t="s">
        <v>13</v>
      </c>
    </row>
    <row r="1678" spans="1:19" x14ac:dyDescent="0.3">
      <c r="A1678" t="s">
        <v>1230</v>
      </c>
      <c r="B1678" t="s">
        <v>1596</v>
      </c>
      <c r="C1678" t="s">
        <v>2912</v>
      </c>
      <c r="D1678" t="s">
        <v>3189</v>
      </c>
      <c r="E1678" t="s">
        <v>9</v>
      </c>
      <c r="F1678" s="2">
        <v>19</v>
      </c>
      <c r="G1678" t="s">
        <v>3206</v>
      </c>
      <c r="H1678" t="s">
        <v>69</v>
      </c>
      <c r="I1678" t="s">
        <v>28</v>
      </c>
      <c r="J1678" t="s">
        <v>3212</v>
      </c>
      <c r="K1678" t="s">
        <v>15</v>
      </c>
      <c r="L1678" s="2">
        <v>33</v>
      </c>
      <c r="M1678" t="s">
        <v>3203</v>
      </c>
      <c r="N1678">
        <v>1</v>
      </c>
      <c r="O1678" t="s">
        <v>30</v>
      </c>
      <c r="P1678" t="e">
        <v>#VALUE!</v>
      </c>
      <c r="Q1678" t="e">
        <v>#VALUE!</v>
      </c>
      <c r="R1678" t="s">
        <v>3201</v>
      </c>
      <c r="S1678" t="s">
        <v>13</v>
      </c>
    </row>
    <row r="1679" spans="1:19" x14ac:dyDescent="0.3">
      <c r="A1679" t="s">
        <v>1231</v>
      </c>
      <c r="B1679" t="s">
        <v>1596</v>
      </c>
      <c r="C1679" t="s">
        <v>2913</v>
      </c>
      <c r="D1679" t="s">
        <v>3189</v>
      </c>
      <c r="E1679" t="s">
        <v>9</v>
      </c>
      <c r="F1679" s="2">
        <v>29</v>
      </c>
      <c r="G1679" t="s">
        <v>3206</v>
      </c>
      <c r="H1679" t="s">
        <v>51</v>
      </c>
      <c r="I1679" t="s">
        <v>28</v>
      </c>
      <c r="J1679" t="s">
        <v>3212</v>
      </c>
      <c r="K1679" t="s">
        <v>15</v>
      </c>
      <c r="L1679" s="2">
        <v>33</v>
      </c>
      <c r="M1679" t="s">
        <v>3203</v>
      </c>
      <c r="N1679">
        <v>1</v>
      </c>
      <c r="O1679" t="s">
        <v>30</v>
      </c>
      <c r="P1679" t="e">
        <v>#VALUE!</v>
      </c>
      <c r="Q1679" t="e">
        <v>#VALUE!</v>
      </c>
      <c r="R1679" t="s">
        <v>3201</v>
      </c>
      <c r="S1679" t="s">
        <v>13</v>
      </c>
    </row>
    <row r="1680" spans="1:19" x14ac:dyDescent="0.3">
      <c r="A1680" t="s">
        <v>433</v>
      </c>
      <c r="B1680" t="s">
        <v>1596</v>
      </c>
      <c r="C1680" t="s">
        <v>2882</v>
      </c>
      <c r="D1680" t="s">
        <v>3189</v>
      </c>
      <c r="E1680" t="s">
        <v>9</v>
      </c>
      <c r="F1680" s="2">
        <v>26</v>
      </c>
      <c r="G1680" t="s">
        <v>3206</v>
      </c>
      <c r="H1680" t="s">
        <v>51</v>
      </c>
      <c r="I1680" t="s">
        <v>11</v>
      </c>
      <c r="J1680" t="s">
        <v>3198</v>
      </c>
      <c r="K1680" t="s">
        <v>15</v>
      </c>
      <c r="L1680" s="2">
        <v>33</v>
      </c>
      <c r="M1680" t="s">
        <v>3203</v>
      </c>
      <c r="N1680">
        <v>1</v>
      </c>
      <c r="O1680" t="s">
        <v>30</v>
      </c>
      <c r="P1680" t="e">
        <v>#VALUE!</v>
      </c>
      <c r="Q1680" t="e">
        <v>#VALUE!</v>
      </c>
      <c r="R1680" t="s">
        <v>3201</v>
      </c>
      <c r="S1680" t="s">
        <v>13</v>
      </c>
    </row>
    <row r="1681" spans="1:19" x14ac:dyDescent="0.3">
      <c r="A1681" t="s">
        <v>1232</v>
      </c>
      <c r="B1681" t="s">
        <v>1596</v>
      </c>
      <c r="C1681" t="s">
        <v>2914</v>
      </c>
      <c r="D1681" t="s">
        <v>3189</v>
      </c>
      <c r="E1681" t="s">
        <v>9</v>
      </c>
      <c r="F1681" s="2">
        <v>46</v>
      </c>
      <c r="G1681" t="s">
        <v>3197</v>
      </c>
      <c r="H1681" t="s">
        <v>51</v>
      </c>
      <c r="I1681" t="s">
        <v>28</v>
      </c>
      <c r="J1681" t="s">
        <v>3212</v>
      </c>
      <c r="K1681" t="s">
        <v>15</v>
      </c>
      <c r="L1681" s="2">
        <v>33</v>
      </c>
      <c r="M1681" t="s">
        <v>3203</v>
      </c>
      <c r="N1681">
        <v>1</v>
      </c>
      <c r="O1681" t="s">
        <v>30</v>
      </c>
      <c r="P1681" t="e">
        <v>#VALUE!</v>
      </c>
      <c r="Q1681" t="e">
        <v>#VALUE!</v>
      </c>
      <c r="R1681" t="s">
        <v>3201</v>
      </c>
      <c r="S1681" t="s">
        <v>13</v>
      </c>
    </row>
    <row r="1682" spans="1:19" x14ac:dyDescent="0.3">
      <c r="A1682" t="s">
        <v>1233</v>
      </c>
      <c r="B1682" t="s">
        <v>1596</v>
      </c>
      <c r="C1682" t="s">
        <v>2661</v>
      </c>
      <c r="D1682" t="s">
        <v>3189</v>
      </c>
      <c r="E1682" t="s">
        <v>9</v>
      </c>
      <c r="F1682" s="2">
        <v>43</v>
      </c>
      <c r="G1682" t="s">
        <v>3197</v>
      </c>
      <c r="H1682" t="s">
        <v>69</v>
      </c>
      <c r="I1682" t="s">
        <v>11</v>
      </c>
      <c r="J1682" t="s">
        <v>3198</v>
      </c>
      <c r="K1682" t="s">
        <v>15</v>
      </c>
      <c r="L1682" s="2">
        <v>33</v>
      </c>
      <c r="M1682" t="s">
        <v>3203</v>
      </c>
      <c r="N1682">
        <v>1</v>
      </c>
      <c r="O1682" t="s">
        <v>30</v>
      </c>
      <c r="P1682" t="e">
        <v>#VALUE!</v>
      </c>
      <c r="Q1682" t="e">
        <v>#VALUE!</v>
      </c>
      <c r="R1682" t="s">
        <v>3201</v>
      </c>
      <c r="S1682" t="s">
        <v>13</v>
      </c>
    </row>
    <row r="1683" spans="1:19" x14ac:dyDescent="0.3">
      <c r="A1683" t="s">
        <v>1233</v>
      </c>
      <c r="B1683" t="s">
        <v>1596</v>
      </c>
      <c r="C1683" t="s">
        <v>2751</v>
      </c>
      <c r="D1683" t="s">
        <v>3189</v>
      </c>
      <c r="E1683" t="s">
        <v>9</v>
      </c>
      <c r="F1683" s="2">
        <v>29</v>
      </c>
      <c r="G1683" t="s">
        <v>3206</v>
      </c>
      <c r="H1683" t="s">
        <v>71</v>
      </c>
      <c r="I1683" t="s">
        <v>28</v>
      </c>
      <c r="J1683" t="s">
        <v>3212</v>
      </c>
      <c r="K1683" t="s">
        <v>15</v>
      </c>
      <c r="L1683" s="2">
        <v>33</v>
      </c>
      <c r="M1683" t="s">
        <v>3203</v>
      </c>
      <c r="N1683">
        <v>1</v>
      </c>
      <c r="O1683" t="s">
        <v>30</v>
      </c>
      <c r="P1683" t="e">
        <v>#VALUE!</v>
      </c>
      <c r="Q1683" t="e">
        <v>#VALUE!</v>
      </c>
      <c r="R1683" t="s">
        <v>3205</v>
      </c>
      <c r="S1683" t="s">
        <v>16</v>
      </c>
    </row>
    <row r="1684" spans="1:19" x14ac:dyDescent="0.3">
      <c r="A1684" t="s">
        <v>1234</v>
      </c>
      <c r="B1684" t="s">
        <v>1596</v>
      </c>
      <c r="C1684" t="s">
        <v>2784</v>
      </c>
      <c r="D1684" t="s">
        <v>3189</v>
      </c>
      <c r="E1684" t="s">
        <v>9</v>
      </c>
      <c r="F1684" s="2">
        <v>22</v>
      </c>
      <c r="G1684" t="s">
        <v>3206</v>
      </c>
      <c r="H1684" t="s">
        <v>69</v>
      </c>
      <c r="I1684" t="s">
        <v>11</v>
      </c>
      <c r="J1684" t="s">
        <v>3198</v>
      </c>
      <c r="K1684" t="s">
        <v>15</v>
      </c>
      <c r="L1684" s="2">
        <v>33</v>
      </c>
      <c r="M1684" t="s">
        <v>3203</v>
      </c>
      <c r="N1684">
        <v>1</v>
      </c>
      <c r="O1684" t="s">
        <v>30</v>
      </c>
      <c r="P1684" t="e">
        <v>#VALUE!</v>
      </c>
      <c r="Q1684" t="e">
        <v>#VALUE!</v>
      </c>
      <c r="R1684" t="s">
        <v>3201</v>
      </c>
      <c r="S1684" t="s">
        <v>13</v>
      </c>
    </row>
    <row r="1685" spans="1:19" x14ac:dyDescent="0.3">
      <c r="A1685" t="s">
        <v>1235</v>
      </c>
      <c r="B1685" t="s">
        <v>1596</v>
      </c>
      <c r="C1685" t="s">
        <v>1645</v>
      </c>
      <c r="D1685" t="s">
        <v>3189</v>
      </c>
      <c r="E1685" t="s">
        <v>9</v>
      </c>
      <c r="F1685" s="2">
        <v>28</v>
      </c>
      <c r="G1685" t="s">
        <v>3206</v>
      </c>
      <c r="H1685" t="s">
        <v>69</v>
      </c>
      <c r="I1685" t="s">
        <v>28</v>
      </c>
      <c r="J1685" t="s">
        <v>3212</v>
      </c>
      <c r="K1685" t="s">
        <v>15</v>
      </c>
      <c r="L1685" s="2">
        <v>33</v>
      </c>
      <c r="M1685" t="s">
        <v>3203</v>
      </c>
      <c r="N1685">
        <v>1</v>
      </c>
      <c r="O1685" t="s">
        <v>30</v>
      </c>
      <c r="P1685" t="e">
        <v>#VALUE!</v>
      </c>
      <c r="Q1685" t="e">
        <v>#VALUE!</v>
      </c>
      <c r="R1685" t="s">
        <v>3201</v>
      </c>
      <c r="S1685" t="s">
        <v>13</v>
      </c>
    </row>
    <row r="1686" spans="1:19" x14ac:dyDescent="0.3">
      <c r="A1686" t="s">
        <v>1236</v>
      </c>
      <c r="B1686" t="s">
        <v>1596</v>
      </c>
      <c r="C1686" t="s">
        <v>2915</v>
      </c>
      <c r="D1686" t="s">
        <v>3189</v>
      </c>
      <c r="E1686" t="s">
        <v>9</v>
      </c>
      <c r="F1686" s="2">
        <v>24</v>
      </c>
      <c r="G1686" t="s">
        <v>3206</v>
      </c>
      <c r="H1686" t="s">
        <v>69</v>
      </c>
      <c r="I1686" t="s">
        <v>11</v>
      </c>
      <c r="J1686" t="s">
        <v>3198</v>
      </c>
      <c r="K1686" t="s">
        <v>15</v>
      </c>
      <c r="L1686" s="2">
        <v>33</v>
      </c>
      <c r="M1686" t="s">
        <v>3203</v>
      </c>
      <c r="N1686">
        <v>1</v>
      </c>
      <c r="O1686" t="s">
        <v>30</v>
      </c>
      <c r="P1686" t="e">
        <v>#VALUE!</v>
      </c>
      <c r="Q1686" t="e">
        <v>#VALUE!</v>
      </c>
      <c r="R1686" t="s">
        <v>3201</v>
      </c>
      <c r="S1686" t="s">
        <v>13</v>
      </c>
    </row>
    <row r="1687" spans="1:19" x14ac:dyDescent="0.3">
      <c r="A1687" t="s">
        <v>1237</v>
      </c>
      <c r="B1687" t="s">
        <v>1596</v>
      </c>
      <c r="C1687" t="s">
        <v>1630</v>
      </c>
      <c r="D1687" t="s">
        <v>3189</v>
      </c>
      <c r="E1687" t="s">
        <v>9</v>
      </c>
      <c r="F1687" s="2">
        <v>29</v>
      </c>
      <c r="G1687" t="s">
        <v>3206</v>
      </c>
      <c r="H1687" t="s">
        <v>71</v>
      </c>
      <c r="I1687" t="s">
        <v>28</v>
      </c>
      <c r="J1687" t="s">
        <v>3212</v>
      </c>
      <c r="K1687" t="s">
        <v>15</v>
      </c>
      <c r="L1687" s="2">
        <v>33</v>
      </c>
      <c r="M1687" t="s">
        <v>3203</v>
      </c>
      <c r="N1687">
        <v>1</v>
      </c>
      <c r="O1687" t="s">
        <v>30</v>
      </c>
      <c r="P1687" t="e">
        <v>#VALUE!</v>
      </c>
      <c r="Q1687" t="e">
        <v>#VALUE!</v>
      </c>
      <c r="R1687" t="s">
        <v>3201</v>
      </c>
      <c r="S1687" t="s">
        <v>13</v>
      </c>
    </row>
    <row r="1688" spans="1:19" x14ac:dyDescent="0.3">
      <c r="A1688" t="s">
        <v>1238</v>
      </c>
      <c r="B1688" t="s">
        <v>1596</v>
      </c>
      <c r="C1688" t="s">
        <v>2916</v>
      </c>
      <c r="D1688" t="s">
        <v>3189</v>
      </c>
      <c r="E1688" t="s">
        <v>9</v>
      </c>
      <c r="F1688" s="2">
        <v>29</v>
      </c>
      <c r="G1688" t="s">
        <v>3206</v>
      </c>
      <c r="H1688" t="s">
        <v>51</v>
      </c>
      <c r="I1688" t="s">
        <v>11</v>
      </c>
      <c r="J1688" t="s">
        <v>3198</v>
      </c>
      <c r="K1688" t="s">
        <v>15</v>
      </c>
      <c r="L1688" s="2">
        <v>33</v>
      </c>
      <c r="M1688" t="s">
        <v>3203</v>
      </c>
      <c r="N1688">
        <v>1</v>
      </c>
      <c r="O1688" t="s">
        <v>30</v>
      </c>
      <c r="P1688" t="e">
        <v>#VALUE!</v>
      </c>
      <c r="Q1688" t="e">
        <v>#VALUE!</v>
      </c>
      <c r="R1688" t="s">
        <v>3201</v>
      </c>
      <c r="S1688" t="s">
        <v>13</v>
      </c>
    </row>
    <row r="1689" spans="1:19" x14ac:dyDescent="0.3">
      <c r="A1689" t="s">
        <v>1239</v>
      </c>
      <c r="B1689" t="s">
        <v>1596</v>
      </c>
      <c r="C1689" t="s">
        <v>2428</v>
      </c>
      <c r="D1689" t="s">
        <v>3189</v>
      </c>
      <c r="E1689" t="s">
        <v>9</v>
      </c>
      <c r="F1689" s="2">
        <v>15</v>
      </c>
      <c r="G1689" t="s">
        <v>3202</v>
      </c>
      <c r="H1689" t="s">
        <v>69</v>
      </c>
      <c r="I1689" t="s">
        <v>11</v>
      </c>
      <c r="J1689" t="s">
        <v>3198</v>
      </c>
      <c r="K1689" t="s">
        <v>15</v>
      </c>
      <c r="L1689" s="2">
        <v>33</v>
      </c>
      <c r="M1689" t="s">
        <v>3203</v>
      </c>
      <c r="N1689">
        <v>1</v>
      </c>
      <c r="O1689" t="s">
        <v>30</v>
      </c>
      <c r="P1689" t="e">
        <v>#VALUE!</v>
      </c>
      <c r="Q1689" t="e">
        <v>#VALUE!</v>
      </c>
      <c r="R1689" t="s">
        <v>3201</v>
      </c>
      <c r="S1689" t="s">
        <v>13</v>
      </c>
    </row>
    <row r="1690" spans="1:19" x14ac:dyDescent="0.3">
      <c r="A1690" t="s">
        <v>1239</v>
      </c>
      <c r="B1690" t="s">
        <v>1596</v>
      </c>
      <c r="C1690" t="s">
        <v>2716</v>
      </c>
      <c r="D1690" t="s">
        <v>3189</v>
      </c>
      <c r="E1690" t="s">
        <v>9</v>
      </c>
      <c r="F1690" s="2">
        <v>40</v>
      </c>
      <c r="G1690" t="s">
        <v>3197</v>
      </c>
      <c r="H1690" t="s">
        <v>71</v>
      </c>
      <c r="I1690" t="s">
        <v>11</v>
      </c>
      <c r="J1690" t="s">
        <v>3198</v>
      </c>
      <c r="K1690" t="s">
        <v>15</v>
      </c>
      <c r="L1690" s="2">
        <v>33</v>
      </c>
      <c r="M1690" t="s">
        <v>3203</v>
      </c>
      <c r="N1690">
        <v>1</v>
      </c>
      <c r="O1690" t="s">
        <v>30</v>
      </c>
      <c r="P1690" t="e">
        <v>#VALUE!</v>
      </c>
      <c r="Q1690" t="e">
        <v>#VALUE!</v>
      </c>
      <c r="R1690" t="s">
        <v>3205</v>
      </c>
      <c r="S1690" t="s">
        <v>16</v>
      </c>
    </row>
    <row r="1691" spans="1:19" x14ac:dyDescent="0.3">
      <c r="A1691" t="s">
        <v>1240</v>
      </c>
      <c r="B1691" t="s">
        <v>1596</v>
      </c>
      <c r="C1691" t="s">
        <v>2917</v>
      </c>
      <c r="D1691" t="s">
        <v>3189</v>
      </c>
      <c r="E1691" t="s">
        <v>9</v>
      </c>
      <c r="F1691" s="2">
        <v>33</v>
      </c>
      <c r="G1691" t="s">
        <v>3206</v>
      </c>
      <c r="H1691" t="s">
        <v>71</v>
      </c>
      <c r="I1691" t="s">
        <v>11</v>
      </c>
      <c r="J1691" t="s">
        <v>3198</v>
      </c>
      <c r="K1691" t="s">
        <v>15</v>
      </c>
      <c r="L1691" s="2">
        <v>33</v>
      </c>
      <c r="M1691" t="s">
        <v>3203</v>
      </c>
      <c r="N1691">
        <v>1</v>
      </c>
      <c r="O1691" t="s">
        <v>30</v>
      </c>
      <c r="P1691" t="e">
        <v>#VALUE!</v>
      </c>
      <c r="Q1691" t="e">
        <v>#VALUE!</v>
      </c>
      <c r="R1691" t="s">
        <v>3205</v>
      </c>
      <c r="S1691" t="s">
        <v>16</v>
      </c>
    </row>
    <row r="1692" spans="1:19" x14ac:dyDescent="0.3">
      <c r="A1692" t="s">
        <v>1241</v>
      </c>
      <c r="B1692" t="s">
        <v>1596</v>
      </c>
      <c r="C1692" t="s">
        <v>2567</v>
      </c>
      <c r="D1692" t="s">
        <v>3189</v>
      </c>
      <c r="E1692" t="s">
        <v>9</v>
      </c>
      <c r="F1692" s="2">
        <v>23</v>
      </c>
      <c r="G1692" t="s">
        <v>3206</v>
      </c>
      <c r="H1692" t="s">
        <v>51</v>
      </c>
      <c r="I1692" t="s">
        <v>11</v>
      </c>
      <c r="J1692" t="s">
        <v>3198</v>
      </c>
      <c r="K1692" t="s">
        <v>15</v>
      </c>
      <c r="L1692" s="2">
        <v>33</v>
      </c>
      <c r="M1692" t="s">
        <v>3203</v>
      </c>
      <c r="N1692">
        <v>1</v>
      </c>
      <c r="O1692" t="s">
        <v>30</v>
      </c>
      <c r="P1692" t="e">
        <v>#VALUE!</v>
      </c>
      <c r="Q1692" t="e">
        <v>#VALUE!</v>
      </c>
      <c r="R1692" t="s">
        <v>3201</v>
      </c>
      <c r="S1692" t="s">
        <v>13</v>
      </c>
    </row>
    <row r="1693" spans="1:19" x14ac:dyDescent="0.3">
      <c r="A1693" t="s">
        <v>1242</v>
      </c>
      <c r="B1693" t="s">
        <v>1596</v>
      </c>
      <c r="C1693" t="s">
        <v>2918</v>
      </c>
      <c r="D1693" t="s">
        <v>3189</v>
      </c>
      <c r="E1693" t="s">
        <v>9</v>
      </c>
      <c r="F1693" s="2">
        <v>36</v>
      </c>
      <c r="G1693" t="s">
        <v>3197</v>
      </c>
      <c r="H1693" t="s">
        <v>51</v>
      </c>
      <c r="I1693" t="s">
        <v>28</v>
      </c>
      <c r="J1693" t="s">
        <v>3212</v>
      </c>
      <c r="K1693" t="s">
        <v>15</v>
      </c>
      <c r="L1693" s="2">
        <v>33</v>
      </c>
      <c r="M1693" t="s">
        <v>3203</v>
      </c>
      <c r="N1693">
        <v>1</v>
      </c>
      <c r="O1693" t="s">
        <v>30</v>
      </c>
      <c r="P1693" t="e">
        <v>#VALUE!</v>
      </c>
      <c r="Q1693" t="e">
        <v>#VALUE!</v>
      </c>
      <c r="R1693" t="s">
        <v>3201</v>
      </c>
      <c r="S1693" t="s">
        <v>13</v>
      </c>
    </row>
    <row r="1694" spans="1:19" x14ac:dyDescent="0.3">
      <c r="A1694" t="s">
        <v>1243</v>
      </c>
      <c r="B1694" t="s">
        <v>1596</v>
      </c>
      <c r="C1694" t="s">
        <v>1716</v>
      </c>
      <c r="D1694" t="s">
        <v>3189</v>
      </c>
      <c r="E1694" t="s">
        <v>9</v>
      </c>
      <c r="F1694" s="2">
        <v>38</v>
      </c>
      <c r="G1694" t="s">
        <v>3197</v>
      </c>
      <c r="H1694" t="s">
        <v>69</v>
      </c>
      <c r="I1694" t="s">
        <v>28</v>
      </c>
      <c r="J1694" t="s">
        <v>3212</v>
      </c>
      <c r="K1694" t="s">
        <v>15</v>
      </c>
      <c r="L1694" s="2">
        <v>33</v>
      </c>
      <c r="M1694" t="s">
        <v>3203</v>
      </c>
      <c r="N1694">
        <v>1</v>
      </c>
      <c r="O1694" t="s">
        <v>30</v>
      </c>
      <c r="P1694" t="e">
        <v>#VALUE!</v>
      </c>
      <c r="Q1694" t="e">
        <v>#VALUE!</v>
      </c>
      <c r="R1694" t="s">
        <v>3201</v>
      </c>
      <c r="S1694" t="s">
        <v>13</v>
      </c>
    </row>
    <row r="1695" spans="1:19" x14ac:dyDescent="0.3">
      <c r="A1695" t="s">
        <v>1244</v>
      </c>
      <c r="B1695" t="s">
        <v>1596</v>
      </c>
      <c r="C1695" t="s">
        <v>2919</v>
      </c>
      <c r="D1695" t="s">
        <v>3189</v>
      </c>
      <c r="E1695" t="s">
        <v>9</v>
      </c>
      <c r="F1695" s="2">
        <v>31</v>
      </c>
      <c r="G1695" t="s">
        <v>3206</v>
      </c>
      <c r="H1695" t="s">
        <v>69</v>
      </c>
      <c r="I1695" t="s">
        <v>28</v>
      </c>
      <c r="J1695" t="s">
        <v>3212</v>
      </c>
      <c r="K1695" t="s">
        <v>15</v>
      </c>
      <c r="L1695" s="2">
        <v>33</v>
      </c>
      <c r="M1695" t="s">
        <v>3203</v>
      </c>
      <c r="N1695">
        <v>1</v>
      </c>
      <c r="O1695" t="s">
        <v>30</v>
      </c>
      <c r="P1695" t="e">
        <v>#VALUE!</v>
      </c>
      <c r="Q1695" t="e">
        <v>#VALUE!</v>
      </c>
      <c r="R1695" t="s">
        <v>3201</v>
      </c>
      <c r="S1695" t="s">
        <v>13</v>
      </c>
    </row>
    <row r="1696" spans="1:19" x14ac:dyDescent="0.3">
      <c r="A1696" t="s">
        <v>1245</v>
      </c>
      <c r="B1696" t="s">
        <v>1596</v>
      </c>
      <c r="C1696" t="s">
        <v>1704</v>
      </c>
      <c r="D1696" t="s">
        <v>3189</v>
      </c>
      <c r="E1696" t="s">
        <v>9</v>
      </c>
      <c r="F1696" s="2">
        <v>34</v>
      </c>
      <c r="G1696" t="s">
        <v>3206</v>
      </c>
      <c r="H1696" t="s">
        <v>69</v>
      </c>
      <c r="I1696" t="s">
        <v>11</v>
      </c>
      <c r="J1696" t="s">
        <v>3198</v>
      </c>
      <c r="K1696" t="s">
        <v>15</v>
      </c>
      <c r="L1696" s="2">
        <v>33</v>
      </c>
      <c r="M1696" t="s">
        <v>3203</v>
      </c>
      <c r="N1696">
        <v>1</v>
      </c>
      <c r="O1696" t="s">
        <v>30</v>
      </c>
      <c r="P1696" t="e">
        <v>#VALUE!</v>
      </c>
      <c r="Q1696" t="e">
        <v>#VALUE!</v>
      </c>
      <c r="R1696" t="s">
        <v>3201</v>
      </c>
      <c r="S1696" t="s">
        <v>13</v>
      </c>
    </row>
    <row r="1697" spans="1:19" x14ac:dyDescent="0.3">
      <c r="A1697" t="s">
        <v>1246</v>
      </c>
      <c r="B1697" t="s">
        <v>1596</v>
      </c>
      <c r="C1697" t="s">
        <v>2525</v>
      </c>
      <c r="D1697" t="s">
        <v>3189</v>
      </c>
      <c r="E1697" t="s">
        <v>9</v>
      </c>
      <c r="F1697" s="2">
        <v>18</v>
      </c>
      <c r="G1697" t="s">
        <v>3206</v>
      </c>
      <c r="H1697" t="s">
        <v>69</v>
      </c>
      <c r="I1697" t="s">
        <v>11</v>
      </c>
      <c r="J1697" t="s">
        <v>3198</v>
      </c>
      <c r="K1697" t="s">
        <v>15</v>
      </c>
      <c r="L1697" s="2">
        <v>33</v>
      </c>
      <c r="M1697" t="s">
        <v>3203</v>
      </c>
      <c r="N1697">
        <v>1</v>
      </c>
      <c r="O1697" t="s">
        <v>30</v>
      </c>
      <c r="P1697" t="e">
        <v>#VALUE!</v>
      </c>
      <c r="Q1697" t="e">
        <v>#VALUE!</v>
      </c>
      <c r="R1697" t="s">
        <v>3201</v>
      </c>
      <c r="S1697" t="s">
        <v>13</v>
      </c>
    </row>
    <row r="1698" spans="1:19" x14ac:dyDescent="0.3">
      <c r="A1698" t="s">
        <v>1247</v>
      </c>
      <c r="B1698" t="s">
        <v>1596</v>
      </c>
      <c r="C1698" t="s">
        <v>2920</v>
      </c>
      <c r="D1698" t="s">
        <v>3189</v>
      </c>
      <c r="E1698" t="s">
        <v>9</v>
      </c>
      <c r="F1698" s="2">
        <v>32</v>
      </c>
      <c r="G1698" t="s">
        <v>3206</v>
      </c>
      <c r="H1698" t="s">
        <v>69</v>
      </c>
      <c r="I1698" t="s">
        <v>11</v>
      </c>
      <c r="J1698" t="s">
        <v>3198</v>
      </c>
      <c r="K1698" t="s">
        <v>15</v>
      </c>
      <c r="L1698" s="2">
        <v>33</v>
      </c>
      <c r="M1698" t="s">
        <v>3203</v>
      </c>
      <c r="N1698">
        <v>1</v>
      </c>
      <c r="O1698" t="s">
        <v>30</v>
      </c>
      <c r="P1698" t="e">
        <v>#VALUE!</v>
      </c>
      <c r="Q1698" t="e">
        <v>#VALUE!</v>
      </c>
      <c r="R1698" t="s">
        <v>3201</v>
      </c>
      <c r="S1698" t="s">
        <v>13</v>
      </c>
    </row>
    <row r="1699" spans="1:19" x14ac:dyDescent="0.3">
      <c r="A1699" t="s">
        <v>1247</v>
      </c>
      <c r="B1699" t="s">
        <v>1596</v>
      </c>
      <c r="C1699" t="s">
        <v>2915</v>
      </c>
      <c r="D1699" t="s">
        <v>3189</v>
      </c>
      <c r="E1699" t="s">
        <v>9</v>
      </c>
      <c r="F1699" s="2">
        <v>53</v>
      </c>
      <c r="G1699" t="s">
        <v>3197</v>
      </c>
      <c r="H1699" t="s">
        <v>71</v>
      </c>
      <c r="I1699" t="s">
        <v>11</v>
      </c>
      <c r="J1699" t="s">
        <v>3198</v>
      </c>
      <c r="K1699" t="s">
        <v>15</v>
      </c>
      <c r="L1699" s="2">
        <v>33</v>
      </c>
      <c r="M1699" t="s">
        <v>3203</v>
      </c>
      <c r="N1699">
        <v>1</v>
      </c>
      <c r="O1699" t="s">
        <v>30</v>
      </c>
      <c r="P1699" t="e">
        <v>#VALUE!</v>
      </c>
      <c r="Q1699" t="e">
        <v>#VALUE!</v>
      </c>
      <c r="R1699" t="s">
        <v>3205</v>
      </c>
      <c r="S1699" t="s">
        <v>16</v>
      </c>
    </row>
    <row r="1700" spans="1:19" x14ac:dyDescent="0.3">
      <c r="A1700" t="s">
        <v>448</v>
      </c>
      <c r="B1700" t="s">
        <v>1596</v>
      </c>
      <c r="C1700" t="s">
        <v>2921</v>
      </c>
      <c r="D1700" t="s">
        <v>3189</v>
      </c>
      <c r="E1700" t="s">
        <v>9</v>
      </c>
      <c r="F1700" s="2">
        <v>23</v>
      </c>
      <c r="G1700" t="s">
        <v>3206</v>
      </c>
      <c r="H1700" t="s">
        <v>51</v>
      </c>
      <c r="I1700" t="s">
        <v>11</v>
      </c>
      <c r="J1700" t="s">
        <v>3198</v>
      </c>
      <c r="K1700" t="s">
        <v>15</v>
      </c>
      <c r="L1700" s="2">
        <v>33</v>
      </c>
      <c r="M1700" t="s">
        <v>3203</v>
      </c>
      <c r="N1700">
        <v>1</v>
      </c>
      <c r="O1700" t="s">
        <v>30</v>
      </c>
      <c r="P1700" t="e">
        <v>#VALUE!</v>
      </c>
      <c r="Q1700" t="e">
        <v>#VALUE!</v>
      </c>
      <c r="R1700" t="s">
        <v>3205</v>
      </c>
      <c r="S1700" t="s">
        <v>16</v>
      </c>
    </row>
    <row r="1701" spans="1:19" x14ac:dyDescent="0.3">
      <c r="A1701" t="s">
        <v>448</v>
      </c>
      <c r="B1701" t="s">
        <v>1596</v>
      </c>
      <c r="C1701" t="s">
        <v>2922</v>
      </c>
      <c r="D1701" t="s">
        <v>3189</v>
      </c>
      <c r="E1701" t="s">
        <v>9</v>
      </c>
      <c r="F1701" s="2">
        <v>27</v>
      </c>
      <c r="G1701" t="s">
        <v>3206</v>
      </c>
      <c r="H1701" t="s">
        <v>51</v>
      </c>
      <c r="I1701" t="s">
        <v>11</v>
      </c>
      <c r="J1701" t="s">
        <v>3198</v>
      </c>
      <c r="K1701" t="s">
        <v>15</v>
      </c>
      <c r="L1701" s="2">
        <v>33</v>
      </c>
      <c r="M1701" t="s">
        <v>3203</v>
      </c>
      <c r="N1701">
        <v>1</v>
      </c>
      <c r="O1701" t="s">
        <v>30</v>
      </c>
      <c r="P1701" t="e">
        <v>#VALUE!</v>
      </c>
      <c r="Q1701" t="e">
        <v>#VALUE!</v>
      </c>
      <c r="R1701" t="s">
        <v>3201</v>
      </c>
      <c r="S1701" t="s">
        <v>13</v>
      </c>
    </row>
    <row r="1702" spans="1:19" x14ac:dyDescent="0.3">
      <c r="A1702" t="s">
        <v>1248</v>
      </c>
      <c r="B1702" t="s">
        <v>1596</v>
      </c>
      <c r="C1702" t="s">
        <v>2923</v>
      </c>
      <c r="D1702" t="s">
        <v>3189</v>
      </c>
      <c r="E1702" t="s">
        <v>9</v>
      </c>
      <c r="F1702" s="2">
        <v>41</v>
      </c>
      <c r="G1702" t="s">
        <v>3197</v>
      </c>
      <c r="H1702" t="s">
        <v>51</v>
      </c>
      <c r="I1702" t="s">
        <v>11</v>
      </c>
      <c r="J1702" t="s">
        <v>3198</v>
      </c>
      <c r="K1702" t="s">
        <v>15</v>
      </c>
      <c r="L1702" s="2">
        <v>33</v>
      </c>
      <c r="M1702" t="s">
        <v>3203</v>
      </c>
      <c r="N1702">
        <v>1</v>
      </c>
      <c r="O1702" t="s">
        <v>30</v>
      </c>
      <c r="P1702" t="e">
        <v>#VALUE!</v>
      </c>
      <c r="Q1702" t="e">
        <v>#VALUE!</v>
      </c>
      <c r="R1702" t="s">
        <v>3201</v>
      </c>
      <c r="S1702" t="s">
        <v>13</v>
      </c>
    </row>
    <row r="1703" spans="1:19" x14ac:dyDescent="0.3">
      <c r="A1703" t="s">
        <v>1248</v>
      </c>
      <c r="B1703" t="s">
        <v>1596</v>
      </c>
      <c r="C1703" t="s">
        <v>2069</v>
      </c>
      <c r="D1703" t="s">
        <v>3189</v>
      </c>
      <c r="E1703" t="s">
        <v>9</v>
      </c>
      <c r="F1703" s="2">
        <v>23</v>
      </c>
      <c r="G1703" t="s">
        <v>3206</v>
      </c>
      <c r="H1703" t="s">
        <v>51</v>
      </c>
      <c r="I1703" t="s">
        <v>11</v>
      </c>
      <c r="J1703" t="s">
        <v>3198</v>
      </c>
      <c r="K1703" t="s">
        <v>15</v>
      </c>
      <c r="L1703" s="2">
        <v>33</v>
      </c>
      <c r="M1703" t="s">
        <v>3203</v>
      </c>
      <c r="N1703">
        <v>1</v>
      </c>
      <c r="O1703" t="s">
        <v>30</v>
      </c>
      <c r="P1703" t="e">
        <v>#VALUE!</v>
      </c>
      <c r="Q1703" t="e">
        <v>#VALUE!</v>
      </c>
      <c r="R1703" t="s">
        <v>3205</v>
      </c>
      <c r="S1703" t="s">
        <v>16</v>
      </c>
    </row>
    <row r="1704" spans="1:19" x14ac:dyDescent="0.3">
      <c r="A1704" t="s">
        <v>1249</v>
      </c>
      <c r="B1704" t="s">
        <v>1596</v>
      </c>
      <c r="C1704" t="s">
        <v>1965</v>
      </c>
      <c r="D1704" t="s">
        <v>3189</v>
      </c>
      <c r="E1704" t="s">
        <v>9</v>
      </c>
      <c r="F1704" s="2">
        <v>31</v>
      </c>
      <c r="G1704" t="s">
        <v>3206</v>
      </c>
      <c r="H1704" t="s">
        <v>69</v>
      </c>
      <c r="I1704" t="s">
        <v>11</v>
      </c>
      <c r="J1704" t="s">
        <v>3198</v>
      </c>
      <c r="K1704" t="s">
        <v>15</v>
      </c>
      <c r="L1704" s="2">
        <v>33</v>
      </c>
      <c r="M1704" t="s">
        <v>3203</v>
      </c>
      <c r="N1704">
        <v>1</v>
      </c>
      <c r="O1704" t="s">
        <v>30</v>
      </c>
      <c r="P1704" t="e">
        <v>#VALUE!</v>
      </c>
      <c r="Q1704" t="e">
        <v>#VALUE!</v>
      </c>
      <c r="R1704" t="s">
        <v>3201</v>
      </c>
      <c r="S1704" t="s">
        <v>13</v>
      </c>
    </row>
    <row r="1705" spans="1:19" x14ac:dyDescent="0.3">
      <c r="A1705" t="s">
        <v>1249</v>
      </c>
      <c r="B1705" t="s">
        <v>1596</v>
      </c>
      <c r="C1705" t="s">
        <v>2261</v>
      </c>
      <c r="D1705" t="s">
        <v>3189</v>
      </c>
      <c r="E1705" t="s">
        <v>9</v>
      </c>
      <c r="F1705" s="2">
        <v>28</v>
      </c>
      <c r="G1705" t="s">
        <v>3206</v>
      </c>
      <c r="H1705" t="s">
        <v>71</v>
      </c>
      <c r="I1705" t="s">
        <v>28</v>
      </c>
      <c r="J1705" t="s">
        <v>3212</v>
      </c>
      <c r="K1705" t="s">
        <v>15</v>
      </c>
      <c r="L1705" s="2">
        <v>33</v>
      </c>
      <c r="M1705" t="s">
        <v>3203</v>
      </c>
      <c r="N1705">
        <v>1</v>
      </c>
      <c r="O1705" t="s">
        <v>30</v>
      </c>
      <c r="P1705" t="e">
        <v>#VALUE!</v>
      </c>
      <c r="Q1705" t="e">
        <v>#VALUE!</v>
      </c>
      <c r="R1705" t="s">
        <v>3201</v>
      </c>
      <c r="S1705" t="s">
        <v>13</v>
      </c>
    </row>
    <row r="1706" spans="1:19" x14ac:dyDescent="0.3">
      <c r="A1706" t="s">
        <v>1250</v>
      </c>
      <c r="B1706" t="s">
        <v>1596</v>
      </c>
      <c r="C1706" t="s">
        <v>2924</v>
      </c>
      <c r="D1706" t="s">
        <v>3189</v>
      </c>
      <c r="E1706" t="s">
        <v>9</v>
      </c>
      <c r="F1706" s="2">
        <v>19</v>
      </c>
      <c r="G1706" t="s">
        <v>3206</v>
      </c>
      <c r="H1706" t="s">
        <v>69</v>
      </c>
      <c r="I1706" t="s">
        <v>11</v>
      </c>
      <c r="J1706" t="s">
        <v>3198</v>
      </c>
      <c r="K1706" t="s">
        <v>15</v>
      </c>
      <c r="L1706" s="2">
        <v>33</v>
      </c>
      <c r="M1706" t="s">
        <v>3203</v>
      </c>
      <c r="N1706">
        <v>1</v>
      </c>
      <c r="O1706" t="s">
        <v>30</v>
      </c>
      <c r="P1706" t="e">
        <v>#VALUE!</v>
      </c>
      <c r="Q1706" t="e">
        <v>#VALUE!</v>
      </c>
      <c r="R1706" t="s">
        <v>3205</v>
      </c>
      <c r="S1706" t="s">
        <v>16</v>
      </c>
    </row>
    <row r="1707" spans="1:19" x14ac:dyDescent="0.3">
      <c r="A1707" t="s">
        <v>1251</v>
      </c>
      <c r="B1707" t="s">
        <v>1596</v>
      </c>
      <c r="C1707" t="s">
        <v>2925</v>
      </c>
      <c r="D1707" t="s">
        <v>3189</v>
      </c>
      <c r="E1707" t="s">
        <v>9</v>
      </c>
      <c r="F1707" s="2">
        <v>31</v>
      </c>
      <c r="G1707" t="s">
        <v>3206</v>
      </c>
      <c r="H1707" t="s">
        <v>69</v>
      </c>
      <c r="I1707" t="s">
        <v>11</v>
      </c>
      <c r="J1707" t="s">
        <v>3198</v>
      </c>
      <c r="K1707" t="s">
        <v>15</v>
      </c>
      <c r="L1707" s="2">
        <v>33</v>
      </c>
      <c r="M1707" t="s">
        <v>3203</v>
      </c>
      <c r="N1707">
        <v>1</v>
      </c>
      <c r="O1707" t="s">
        <v>30</v>
      </c>
      <c r="P1707" t="e">
        <v>#VALUE!</v>
      </c>
      <c r="Q1707" t="e">
        <v>#VALUE!</v>
      </c>
      <c r="R1707" t="s">
        <v>3201</v>
      </c>
      <c r="S1707" t="s">
        <v>13</v>
      </c>
    </row>
    <row r="1708" spans="1:19" x14ac:dyDescent="0.3">
      <c r="A1708" t="s">
        <v>1252</v>
      </c>
      <c r="B1708" t="s">
        <v>1596</v>
      </c>
      <c r="C1708" t="s">
        <v>2038</v>
      </c>
      <c r="D1708" t="s">
        <v>3189</v>
      </c>
      <c r="E1708" t="s">
        <v>9</v>
      </c>
      <c r="F1708" s="2">
        <v>19</v>
      </c>
      <c r="G1708" t="s">
        <v>3206</v>
      </c>
      <c r="H1708" t="s">
        <v>51</v>
      </c>
      <c r="I1708" t="s">
        <v>11</v>
      </c>
      <c r="J1708" t="s">
        <v>3198</v>
      </c>
      <c r="K1708" t="s">
        <v>15</v>
      </c>
      <c r="L1708" s="2">
        <v>33</v>
      </c>
      <c r="M1708" t="s">
        <v>3203</v>
      </c>
      <c r="N1708">
        <v>1</v>
      </c>
      <c r="O1708" t="s">
        <v>30</v>
      </c>
      <c r="P1708" t="e">
        <v>#VALUE!</v>
      </c>
      <c r="Q1708" t="e">
        <v>#VALUE!</v>
      </c>
      <c r="R1708" t="s">
        <v>3201</v>
      </c>
      <c r="S1708" t="s">
        <v>13</v>
      </c>
    </row>
    <row r="1709" spans="1:19" x14ac:dyDescent="0.3">
      <c r="A1709" t="s">
        <v>1253</v>
      </c>
      <c r="B1709" t="s">
        <v>1596</v>
      </c>
      <c r="C1709" t="s">
        <v>1728</v>
      </c>
      <c r="D1709" t="s">
        <v>3189</v>
      </c>
      <c r="E1709" t="s">
        <v>9</v>
      </c>
      <c r="F1709" s="2">
        <v>21</v>
      </c>
      <c r="G1709" t="s">
        <v>3206</v>
      </c>
      <c r="H1709" t="s">
        <v>69</v>
      </c>
      <c r="I1709" t="s">
        <v>11</v>
      </c>
      <c r="J1709" t="s">
        <v>3198</v>
      </c>
      <c r="K1709" t="s">
        <v>15</v>
      </c>
      <c r="L1709" s="2">
        <v>33</v>
      </c>
      <c r="M1709" t="s">
        <v>3203</v>
      </c>
      <c r="N1709">
        <v>1</v>
      </c>
      <c r="O1709" t="s">
        <v>30</v>
      </c>
      <c r="P1709" t="e">
        <v>#VALUE!</v>
      </c>
      <c r="Q1709" t="e">
        <v>#VALUE!</v>
      </c>
      <c r="R1709" t="s">
        <v>3201</v>
      </c>
      <c r="S1709" t="s">
        <v>13</v>
      </c>
    </row>
    <row r="1710" spans="1:19" x14ac:dyDescent="0.3">
      <c r="A1710" t="s">
        <v>1254</v>
      </c>
      <c r="B1710" t="s">
        <v>1596</v>
      </c>
      <c r="C1710" t="s">
        <v>1810</v>
      </c>
      <c r="D1710" t="s">
        <v>3189</v>
      </c>
      <c r="E1710" t="s">
        <v>9</v>
      </c>
      <c r="F1710" s="2">
        <v>20</v>
      </c>
      <c r="G1710" t="s">
        <v>3206</v>
      </c>
      <c r="H1710" t="s">
        <v>69</v>
      </c>
      <c r="I1710" t="s">
        <v>11</v>
      </c>
      <c r="J1710" t="s">
        <v>3198</v>
      </c>
      <c r="K1710" t="s">
        <v>15</v>
      </c>
      <c r="L1710" s="2">
        <v>33</v>
      </c>
      <c r="M1710" t="s">
        <v>3203</v>
      </c>
      <c r="N1710">
        <v>1</v>
      </c>
      <c r="O1710" t="s">
        <v>30</v>
      </c>
      <c r="P1710" t="e">
        <v>#VALUE!</v>
      </c>
      <c r="Q1710" t="e">
        <v>#VALUE!</v>
      </c>
      <c r="R1710" t="s">
        <v>3201</v>
      </c>
      <c r="S1710" t="s">
        <v>13</v>
      </c>
    </row>
    <row r="1711" spans="1:19" x14ac:dyDescent="0.3">
      <c r="A1711" t="s">
        <v>1255</v>
      </c>
      <c r="B1711" t="s">
        <v>1596</v>
      </c>
      <c r="C1711" t="s">
        <v>2773</v>
      </c>
      <c r="D1711" t="s">
        <v>3189</v>
      </c>
      <c r="E1711" t="s">
        <v>9</v>
      </c>
      <c r="F1711" s="2">
        <v>33</v>
      </c>
      <c r="G1711" t="s">
        <v>3206</v>
      </c>
      <c r="H1711" t="s">
        <v>51</v>
      </c>
      <c r="I1711" t="s">
        <v>11</v>
      </c>
      <c r="J1711" t="s">
        <v>3198</v>
      </c>
      <c r="K1711" t="s">
        <v>15</v>
      </c>
      <c r="L1711" s="2">
        <v>33</v>
      </c>
      <c r="M1711" t="s">
        <v>3203</v>
      </c>
      <c r="N1711">
        <v>1</v>
      </c>
      <c r="O1711" t="s">
        <v>30</v>
      </c>
      <c r="P1711" t="e">
        <v>#VALUE!</v>
      </c>
      <c r="Q1711" t="e">
        <v>#VALUE!</v>
      </c>
      <c r="R1711" t="s">
        <v>3201</v>
      </c>
      <c r="S1711" t="s">
        <v>13</v>
      </c>
    </row>
    <row r="1712" spans="1:19" x14ac:dyDescent="0.3">
      <c r="A1712" t="s">
        <v>1256</v>
      </c>
      <c r="B1712" t="s">
        <v>1596</v>
      </c>
      <c r="C1712" t="s">
        <v>1822</v>
      </c>
      <c r="D1712" t="s">
        <v>3189</v>
      </c>
      <c r="E1712" t="s">
        <v>9</v>
      </c>
      <c r="F1712" s="2">
        <v>30</v>
      </c>
      <c r="G1712" t="s">
        <v>3206</v>
      </c>
      <c r="H1712" t="s">
        <v>51</v>
      </c>
      <c r="I1712" t="s">
        <v>11</v>
      </c>
      <c r="J1712" t="s">
        <v>3198</v>
      </c>
      <c r="K1712" t="s">
        <v>15</v>
      </c>
      <c r="L1712" s="2">
        <v>33</v>
      </c>
      <c r="M1712" t="s">
        <v>3203</v>
      </c>
      <c r="N1712">
        <v>1</v>
      </c>
      <c r="O1712" t="s">
        <v>30</v>
      </c>
      <c r="P1712" t="e">
        <v>#VALUE!</v>
      </c>
      <c r="Q1712" t="e">
        <v>#VALUE!</v>
      </c>
      <c r="R1712" t="s">
        <v>3201</v>
      </c>
      <c r="S1712" t="s">
        <v>13</v>
      </c>
    </row>
    <row r="1713" spans="1:19" x14ac:dyDescent="0.3">
      <c r="A1713" t="s">
        <v>1257</v>
      </c>
      <c r="B1713" t="s">
        <v>1596</v>
      </c>
      <c r="C1713" t="s">
        <v>2926</v>
      </c>
      <c r="D1713" t="s">
        <v>3189</v>
      </c>
      <c r="E1713" t="s">
        <v>9</v>
      </c>
      <c r="F1713" s="2">
        <v>22</v>
      </c>
      <c r="G1713" t="s">
        <v>3206</v>
      </c>
      <c r="H1713" t="s">
        <v>69</v>
      </c>
      <c r="I1713" t="s">
        <v>28</v>
      </c>
      <c r="J1713" t="s">
        <v>3212</v>
      </c>
      <c r="K1713" t="s">
        <v>15</v>
      </c>
      <c r="L1713" s="2">
        <v>33</v>
      </c>
      <c r="M1713" t="s">
        <v>3203</v>
      </c>
      <c r="N1713">
        <v>1</v>
      </c>
      <c r="O1713" t="s">
        <v>30</v>
      </c>
      <c r="P1713" t="e">
        <v>#VALUE!</v>
      </c>
      <c r="Q1713" t="e">
        <v>#VALUE!</v>
      </c>
      <c r="R1713" t="s">
        <v>3201</v>
      </c>
      <c r="S1713" t="s">
        <v>13</v>
      </c>
    </row>
    <row r="1714" spans="1:19" x14ac:dyDescent="0.3">
      <c r="A1714" t="s">
        <v>1258</v>
      </c>
      <c r="B1714" t="s">
        <v>1596</v>
      </c>
      <c r="C1714" t="s">
        <v>1795</v>
      </c>
      <c r="D1714" t="s">
        <v>3189</v>
      </c>
      <c r="E1714" t="s">
        <v>9</v>
      </c>
      <c r="F1714" s="2">
        <v>59</v>
      </c>
      <c r="G1714" t="s">
        <v>3210</v>
      </c>
      <c r="H1714" t="s">
        <v>51</v>
      </c>
      <c r="I1714" t="s">
        <v>11</v>
      </c>
      <c r="J1714" t="s">
        <v>3198</v>
      </c>
      <c r="K1714" t="s">
        <v>15</v>
      </c>
      <c r="L1714" s="2">
        <v>33</v>
      </c>
      <c r="M1714" t="s">
        <v>3203</v>
      </c>
      <c r="N1714">
        <v>1</v>
      </c>
      <c r="O1714" t="s">
        <v>30</v>
      </c>
      <c r="P1714" t="e">
        <v>#VALUE!</v>
      </c>
      <c r="Q1714" t="e">
        <v>#VALUE!</v>
      </c>
      <c r="R1714" t="s">
        <v>3201</v>
      </c>
      <c r="S1714" t="s">
        <v>13</v>
      </c>
    </row>
    <row r="1715" spans="1:19" x14ac:dyDescent="0.3">
      <c r="A1715" t="s">
        <v>1259</v>
      </c>
      <c r="B1715" t="s">
        <v>1596</v>
      </c>
      <c r="C1715" t="s">
        <v>2927</v>
      </c>
      <c r="D1715" t="s">
        <v>3189</v>
      </c>
      <c r="E1715" t="s">
        <v>9</v>
      </c>
      <c r="F1715" s="2">
        <v>38</v>
      </c>
      <c r="G1715" t="s">
        <v>3197</v>
      </c>
      <c r="H1715" t="s">
        <v>70</v>
      </c>
      <c r="I1715" t="s">
        <v>11</v>
      </c>
      <c r="J1715" t="s">
        <v>3198</v>
      </c>
      <c r="K1715" t="s">
        <v>20</v>
      </c>
      <c r="L1715" s="2">
        <v>33</v>
      </c>
      <c r="M1715" t="s">
        <v>3203</v>
      </c>
      <c r="N1715">
        <v>1</v>
      </c>
      <c r="O1715" t="s">
        <v>30</v>
      </c>
      <c r="P1715" t="e">
        <v>#VALUE!</v>
      </c>
      <c r="Q1715" t="e">
        <v>#VALUE!</v>
      </c>
      <c r="R1715" t="s">
        <v>3201</v>
      </c>
      <c r="S1715" t="s">
        <v>13</v>
      </c>
    </row>
    <row r="1716" spans="1:19" x14ac:dyDescent="0.3">
      <c r="A1716" t="s">
        <v>1260</v>
      </c>
      <c r="B1716" t="s">
        <v>1596</v>
      </c>
      <c r="C1716" t="s">
        <v>1645</v>
      </c>
      <c r="D1716" t="s">
        <v>3189</v>
      </c>
      <c r="E1716" t="s">
        <v>9</v>
      </c>
      <c r="F1716" s="2">
        <v>27</v>
      </c>
      <c r="G1716" t="s">
        <v>3206</v>
      </c>
      <c r="H1716" t="s">
        <v>51</v>
      </c>
      <c r="I1716" t="s">
        <v>11</v>
      </c>
      <c r="J1716" t="s">
        <v>3198</v>
      </c>
      <c r="K1716" t="s">
        <v>40</v>
      </c>
      <c r="L1716" s="2">
        <v>33</v>
      </c>
      <c r="M1716" t="s">
        <v>3203</v>
      </c>
      <c r="N1716">
        <v>1</v>
      </c>
      <c r="O1716" t="s">
        <v>30</v>
      </c>
      <c r="P1716" t="e">
        <v>#VALUE!</v>
      </c>
      <c r="Q1716" t="e">
        <v>#VALUE!</v>
      </c>
      <c r="R1716" t="s">
        <v>3201</v>
      </c>
      <c r="S1716" t="s">
        <v>13</v>
      </c>
    </row>
    <row r="1717" spans="1:19" x14ac:dyDescent="0.3">
      <c r="A1717" t="s">
        <v>1261</v>
      </c>
      <c r="B1717" t="s">
        <v>1596</v>
      </c>
      <c r="C1717" t="s">
        <v>2928</v>
      </c>
      <c r="D1717" t="s">
        <v>3189</v>
      </c>
      <c r="E1717" t="s">
        <v>9</v>
      </c>
      <c r="F1717" s="2">
        <v>35</v>
      </c>
      <c r="G1717" t="s">
        <v>3206</v>
      </c>
      <c r="H1717" t="s">
        <v>69</v>
      </c>
      <c r="I1717" t="s">
        <v>28</v>
      </c>
      <c r="J1717" t="s">
        <v>3212</v>
      </c>
      <c r="K1717" t="s">
        <v>15</v>
      </c>
      <c r="L1717" s="2">
        <v>33</v>
      </c>
      <c r="M1717" t="s">
        <v>3203</v>
      </c>
      <c r="N1717">
        <v>1</v>
      </c>
      <c r="O1717" t="s">
        <v>30</v>
      </c>
      <c r="P1717" t="e">
        <v>#VALUE!</v>
      </c>
      <c r="Q1717" t="e">
        <v>#VALUE!</v>
      </c>
      <c r="R1717" t="s">
        <v>3201</v>
      </c>
      <c r="S1717" t="s">
        <v>13</v>
      </c>
    </row>
    <row r="1718" spans="1:19" x14ac:dyDescent="0.3">
      <c r="A1718" t="s">
        <v>1262</v>
      </c>
      <c r="B1718" t="s">
        <v>1596</v>
      </c>
      <c r="C1718" t="s">
        <v>2929</v>
      </c>
      <c r="D1718" t="s">
        <v>3189</v>
      </c>
      <c r="E1718" t="s">
        <v>9</v>
      </c>
      <c r="F1718" s="2">
        <v>29</v>
      </c>
      <c r="G1718" t="s">
        <v>3206</v>
      </c>
      <c r="H1718" t="s">
        <v>70</v>
      </c>
      <c r="I1718" t="s">
        <v>11</v>
      </c>
      <c r="J1718" t="s">
        <v>3198</v>
      </c>
      <c r="K1718" t="s">
        <v>15</v>
      </c>
      <c r="L1718" s="2">
        <v>33</v>
      </c>
      <c r="M1718" t="s">
        <v>3203</v>
      </c>
      <c r="N1718">
        <v>1</v>
      </c>
      <c r="O1718" t="s">
        <v>30</v>
      </c>
      <c r="P1718" t="e">
        <v>#VALUE!</v>
      </c>
      <c r="Q1718" t="e">
        <v>#VALUE!</v>
      </c>
      <c r="R1718" t="s">
        <v>3201</v>
      </c>
      <c r="S1718" t="s">
        <v>13</v>
      </c>
    </row>
    <row r="1719" spans="1:19" x14ac:dyDescent="0.3">
      <c r="A1719" t="s">
        <v>1263</v>
      </c>
      <c r="B1719" t="s">
        <v>1596</v>
      </c>
      <c r="C1719" t="s">
        <v>1754</v>
      </c>
      <c r="D1719" t="s">
        <v>3189</v>
      </c>
      <c r="E1719" t="s">
        <v>9</v>
      </c>
      <c r="F1719" s="2">
        <v>28</v>
      </c>
      <c r="G1719" t="s">
        <v>3206</v>
      </c>
      <c r="H1719" t="s">
        <v>70</v>
      </c>
      <c r="I1719" t="s">
        <v>11</v>
      </c>
      <c r="J1719" t="s">
        <v>3198</v>
      </c>
      <c r="K1719" t="s">
        <v>15</v>
      </c>
      <c r="L1719" s="2">
        <v>33</v>
      </c>
      <c r="M1719" t="s">
        <v>3203</v>
      </c>
      <c r="N1719">
        <v>1</v>
      </c>
      <c r="O1719" t="s">
        <v>30</v>
      </c>
      <c r="P1719" t="e">
        <v>#VALUE!</v>
      </c>
      <c r="Q1719" t="e">
        <v>#VALUE!</v>
      </c>
      <c r="R1719" t="s">
        <v>3201</v>
      </c>
      <c r="S1719" t="s">
        <v>13</v>
      </c>
    </row>
    <row r="1720" spans="1:19" x14ac:dyDescent="0.3">
      <c r="A1720" t="s">
        <v>1264</v>
      </c>
      <c r="B1720" t="s">
        <v>1596</v>
      </c>
      <c r="C1720" t="s">
        <v>2930</v>
      </c>
      <c r="D1720" t="s">
        <v>3189</v>
      </c>
      <c r="E1720" t="s">
        <v>9</v>
      </c>
      <c r="F1720" s="2">
        <v>55</v>
      </c>
      <c r="G1720" t="s">
        <v>3197</v>
      </c>
      <c r="H1720" t="s">
        <v>69</v>
      </c>
      <c r="I1720" t="s">
        <v>28</v>
      </c>
      <c r="J1720" t="s">
        <v>3212</v>
      </c>
      <c r="K1720" t="s">
        <v>15</v>
      </c>
      <c r="L1720" s="2">
        <v>33</v>
      </c>
      <c r="M1720" t="s">
        <v>3203</v>
      </c>
      <c r="N1720">
        <v>1</v>
      </c>
      <c r="O1720" t="s">
        <v>30</v>
      </c>
      <c r="P1720" t="e">
        <v>#VALUE!</v>
      </c>
      <c r="Q1720" t="e">
        <v>#VALUE!</v>
      </c>
      <c r="R1720" t="s">
        <v>3201</v>
      </c>
      <c r="S1720" t="s">
        <v>13</v>
      </c>
    </row>
    <row r="1721" spans="1:19" x14ac:dyDescent="0.3">
      <c r="A1721" t="s">
        <v>467</v>
      </c>
      <c r="B1721" t="s">
        <v>1596</v>
      </c>
      <c r="C1721" t="s">
        <v>2931</v>
      </c>
      <c r="D1721" t="s">
        <v>3189</v>
      </c>
      <c r="E1721" t="s">
        <v>9</v>
      </c>
      <c r="F1721" s="2">
        <v>25</v>
      </c>
      <c r="G1721" t="s">
        <v>3206</v>
      </c>
      <c r="H1721" t="s">
        <v>69</v>
      </c>
      <c r="I1721" t="s">
        <v>11</v>
      </c>
      <c r="J1721" t="s">
        <v>3198</v>
      </c>
      <c r="K1721" t="s">
        <v>15</v>
      </c>
      <c r="L1721" s="2">
        <v>33</v>
      </c>
      <c r="M1721" t="s">
        <v>3203</v>
      </c>
      <c r="N1721">
        <v>1</v>
      </c>
      <c r="O1721" t="s">
        <v>30</v>
      </c>
      <c r="P1721" t="e">
        <v>#VALUE!</v>
      </c>
      <c r="Q1721" t="e">
        <v>#VALUE!</v>
      </c>
      <c r="R1721" t="s">
        <v>3201</v>
      </c>
      <c r="S1721" t="s">
        <v>13</v>
      </c>
    </row>
    <row r="1722" spans="1:19" x14ac:dyDescent="0.3">
      <c r="A1722" t="s">
        <v>1265</v>
      </c>
      <c r="B1722" t="s">
        <v>1602</v>
      </c>
      <c r="C1722" t="s">
        <v>2932</v>
      </c>
      <c r="D1722" t="s">
        <v>3190</v>
      </c>
      <c r="E1722" t="s">
        <v>14</v>
      </c>
      <c r="F1722" s="2">
        <v>24</v>
      </c>
      <c r="G1722" t="s">
        <v>3206</v>
      </c>
      <c r="H1722" t="s">
        <v>69</v>
      </c>
      <c r="I1722" t="s">
        <v>11</v>
      </c>
      <c r="J1722" t="s">
        <v>3198</v>
      </c>
      <c r="K1722" t="s">
        <v>15</v>
      </c>
      <c r="L1722" s="2">
        <v>33</v>
      </c>
      <c r="M1722" t="s">
        <v>3203</v>
      </c>
      <c r="N1722">
        <v>1</v>
      </c>
      <c r="O1722" t="s">
        <v>30</v>
      </c>
      <c r="P1722" t="e">
        <v>#VALUE!</v>
      </c>
      <c r="Q1722" t="e">
        <v>#VALUE!</v>
      </c>
      <c r="R1722" t="s">
        <v>3205</v>
      </c>
      <c r="S1722" t="s">
        <v>16</v>
      </c>
    </row>
    <row r="1723" spans="1:19" x14ac:dyDescent="0.3">
      <c r="A1723" t="s">
        <v>1266</v>
      </c>
      <c r="B1723" t="s">
        <v>1596</v>
      </c>
      <c r="C1723" t="s">
        <v>2933</v>
      </c>
      <c r="D1723" t="s">
        <v>3189</v>
      </c>
      <c r="E1723" t="s">
        <v>9</v>
      </c>
      <c r="F1723" s="2">
        <v>23</v>
      </c>
      <c r="G1723" t="s">
        <v>3206</v>
      </c>
      <c r="H1723" t="s">
        <v>71</v>
      </c>
      <c r="I1723" t="s">
        <v>28</v>
      </c>
      <c r="J1723" t="s">
        <v>3212</v>
      </c>
      <c r="K1723" t="s">
        <v>15</v>
      </c>
      <c r="L1723" s="2">
        <v>33</v>
      </c>
      <c r="M1723" t="s">
        <v>3203</v>
      </c>
      <c r="N1723">
        <v>1</v>
      </c>
      <c r="O1723" t="s">
        <v>30</v>
      </c>
      <c r="P1723" t="e">
        <v>#VALUE!</v>
      </c>
      <c r="Q1723" t="e">
        <v>#VALUE!</v>
      </c>
      <c r="R1723" t="s">
        <v>3205</v>
      </c>
      <c r="S1723" t="s">
        <v>16</v>
      </c>
    </row>
    <row r="1724" spans="1:19" x14ac:dyDescent="0.3">
      <c r="A1724" t="s">
        <v>1267</v>
      </c>
      <c r="B1724" t="s">
        <v>1596</v>
      </c>
      <c r="C1724" t="s">
        <v>2934</v>
      </c>
      <c r="D1724" t="s">
        <v>3189</v>
      </c>
      <c r="E1724" t="s">
        <v>9</v>
      </c>
      <c r="F1724" s="2">
        <v>38</v>
      </c>
      <c r="G1724" t="s">
        <v>3197</v>
      </c>
      <c r="H1724" t="s">
        <v>51</v>
      </c>
      <c r="I1724" t="s">
        <v>11</v>
      </c>
      <c r="J1724" t="s">
        <v>3198</v>
      </c>
      <c r="K1724" t="s">
        <v>15</v>
      </c>
      <c r="L1724" s="2">
        <v>33</v>
      </c>
      <c r="M1724" t="s">
        <v>3203</v>
      </c>
      <c r="N1724">
        <v>1</v>
      </c>
      <c r="O1724" t="s">
        <v>30</v>
      </c>
      <c r="P1724" t="e">
        <v>#VALUE!</v>
      </c>
      <c r="Q1724" t="e">
        <v>#VALUE!</v>
      </c>
      <c r="R1724" t="s">
        <v>3201</v>
      </c>
      <c r="S1724" t="s">
        <v>13</v>
      </c>
    </row>
    <row r="1725" spans="1:19" x14ac:dyDescent="0.3">
      <c r="A1725" t="s">
        <v>475</v>
      </c>
      <c r="B1725" t="s">
        <v>1596</v>
      </c>
      <c r="C1725" t="s">
        <v>1965</v>
      </c>
      <c r="D1725" t="s">
        <v>3189</v>
      </c>
      <c r="E1725" t="s">
        <v>9</v>
      </c>
      <c r="F1725" s="2">
        <v>41</v>
      </c>
      <c r="G1725" t="s">
        <v>3197</v>
      </c>
      <c r="H1725" t="s">
        <v>69</v>
      </c>
      <c r="I1725" t="s">
        <v>28</v>
      </c>
      <c r="J1725" t="s">
        <v>3212</v>
      </c>
      <c r="K1725" t="s">
        <v>15</v>
      </c>
      <c r="L1725" s="2">
        <v>33</v>
      </c>
      <c r="M1725" t="s">
        <v>3203</v>
      </c>
      <c r="N1725">
        <v>1</v>
      </c>
      <c r="O1725" t="s">
        <v>30</v>
      </c>
      <c r="P1725" t="e">
        <v>#VALUE!</v>
      </c>
      <c r="Q1725" t="e">
        <v>#VALUE!</v>
      </c>
      <c r="R1725" t="s">
        <v>3205</v>
      </c>
      <c r="S1725" t="s">
        <v>16</v>
      </c>
    </row>
    <row r="1726" spans="1:19" x14ac:dyDescent="0.3">
      <c r="A1726" t="s">
        <v>476</v>
      </c>
      <c r="B1726" t="s">
        <v>1596</v>
      </c>
      <c r="C1726" t="s">
        <v>2935</v>
      </c>
      <c r="D1726" t="s">
        <v>3189</v>
      </c>
      <c r="E1726" t="s">
        <v>9</v>
      </c>
      <c r="F1726" s="2">
        <v>17</v>
      </c>
      <c r="G1726" t="s">
        <v>3202</v>
      </c>
      <c r="H1726" t="s">
        <v>69</v>
      </c>
      <c r="I1726" t="s">
        <v>11</v>
      </c>
      <c r="J1726" t="s">
        <v>3198</v>
      </c>
      <c r="K1726" t="s">
        <v>15</v>
      </c>
      <c r="L1726" s="2">
        <v>33</v>
      </c>
      <c r="M1726" t="s">
        <v>3203</v>
      </c>
      <c r="N1726">
        <v>1</v>
      </c>
      <c r="O1726" t="s">
        <v>30</v>
      </c>
      <c r="P1726" t="e">
        <v>#VALUE!</v>
      </c>
      <c r="Q1726" t="e">
        <v>#VALUE!</v>
      </c>
      <c r="R1726" t="s">
        <v>3201</v>
      </c>
      <c r="S1726" t="s">
        <v>13</v>
      </c>
    </row>
    <row r="1727" spans="1:19" x14ac:dyDescent="0.3">
      <c r="A1727" t="s">
        <v>476</v>
      </c>
      <c r="B1727" t="s">
        <v>1596</v>
      </c>
      <c r="C1727" t="s">
        <v>2361</v>
      </c>
      <c r="D1727" t="s">
        <v>3189</v>
      </c>
      <c r="E1727" t="s">
        <v>9</v>
      </c>
      <c r="F1727" s="2">
        <v>37</v>
      </c>
      <c r="G1727" t="s">
        <v>3197</v>
      </c>
      <c r="H1727" t="s">
        <v>69</v>
      </c>
      <c r="I1727" t="s">
        <v>11</v>
      </c>
      <c r="J1727" t="s">
        <v>3198</v>
      </c>
      <c r="K1727" t="s">
        <v>15</v>
      </c>
      <c r="L1727" s="2">
        <v>33</v>
      </c>
      <c r="M1727" t="s">
        <v>3203</v>
      </c>
      <c r="N1727">
        <v>1</v>
      </c>
      <c r="O1727" t="s">
        <v>30</v>
      </c>
      <c r="P1727" t="e">
        <v>#VALUE!</v>
      </c>
      <c r="Q1727" t="e">
        <v>#VALUE!</v>
      </c>
      <c r="R1727" t="s">
        <v>3201</v>
      </c>
      <c r="S1727" t="s">
        <v>13</v>
      </c>
    </row>
    <row r="1728" spans="1:19" x14ac:dyDescent="0.3">
      <c r="A1728" t="s">
        <v>476</v>
      </c>
      <c r="B1728" t="s">
        <v>1596</v>
      </c>
      <c r="C1728" t="s">
        <v>2936</v>
      </c>
      <c r="D1728" t="s">
        <v>3189</v>
      </c>
      <c r="E1728" t="s">
        <v>9</v>
      </c>
      <c r="F1728" s="2">
        <v>29</v>
      </c>
      <c r="G1728" t="s">
        <v>3206</v>
      </c>
      <c r="H1728" t="s">
        <v>69</v>
      </c>
      <c r="I1728" t="s">
        <v>11</v>
      </c>
      <c r="J1728" t="s">
        <v>3198</v>
      </c>
      <c r="K1728" t="s">
        <v>15</v>
      </c>
      <c r="L1728" s="2">
        <v>33</v>
      </c>
      <c r="M1728" t="s">
        <v>3203</v>
      </c>
      <c r="N1728">
        <v>1</v>
      </c>
      <c r="O1728" t="s">
        <v>30</v>
      </c>
      <c r="P1728" t="e">
        <v>#VALUE!</v>
      </c>
      <c r="Q1728" t="e">
        <v>#VALUE!</v>
      </c>
      <c r="R1728" t="s">
        <v>3201</v>
      </c>
      <c r="S1728" t="s">
        <v>13</v>
      </c>
    </row>
    <row r="1729" spans="1:19" x14ac:dyDescent="0.3">
      <c r="A1729" t="s">
        <v>476</v>
      </c>
      <c r="B1729" t="s">
        <v>1596</v>
      </c>
      <c r="C1729" t="s">
        <v>2937</v>
      </c>
      <c r="D1729" t="s">
        <v>3189</v>
      </c>
      <c r="E1729" t="s">
        <v>9</v>
      </c>
      <c r="F1729" s="2">
        <v>32</v>
      </c>
      <c r="G1729" t="s">
        <v>3206</v>
      </c>
      <c r="H1729" t="s">
        <v>71</v>
      </c>
      <c r="I1729" t="s">
        <v>11</v>
      </c>
      <c r="J1729" t="s">
        <v>3198</v>
      </c>
      <c r="K1729" t="s">
        <v>15</v>
      </c>
      <c r="L1729" s="2">
        <v>33</v>
      </c>
      <c r="M1729" t="s">
        <v>3203</v>
      </c>
      <c r="N1729">
        <v>1</v>
      </c>
      <c r="O1729" t="s">
        <v>30</v>
      </c>
      <c r="P1729" t="e">
        <v>#VALUE!</v>
      </c>
      <c r="Q1729" t="e">
        <v>#VALUE!</v>
      </c>
      <c r="R1729" t="s">
        <v>3205</v>
      </c>
      <c r="S1729" t="s">
        <v>16</v>
      </c>
    </row>
    <row r="1730" spans="1:19" x14ac:dyDescent="0.3">
      <c r="A1730" t="s">
        <v>476</v>
      </c>
      <c r="B1730" t="s">
        <v>1596</v>
      </c>
      <c r="C1730" t="s">
        <v>2938</v>
      </c>
      <c r="D1730" t="s">
        <v>3189</v>
      </c>
      <c r="E1730" t="s">
        <v>9</v>
      </c>
      <c r="F1730" s="2">
        <v>21</v>
      </c>
      <c r="G1730" t="s">
        <v>3206</v>
      </c>
      <c r="H1730" t="s">
        <v>69</v>
      </c>
      <c r="I1730" t="s">
        <v>11</v>
      </c>
      <c r="J1730" t="s">
        <v>3198</v>
      </c>
      <c r="K1730" t="s">
        <v>15</v>
      </c>
      <c r="L1730" s="2">
        <v>33</v>
      </c>
      <c r="M1730" t="s">
        <v>3203</v>
      </c>
      <c r="N1730">
        <v>1</v>
      </c>
      <c r="O1730" t="s">
        <v>30</v>
      </c>
      <c r="P1730" t="e">
        <v>#VALUE!</v>
      </c>
      <c r="Q1730" t="e">
        <v>#VALUE!</v>
      </c>
      <c r="R1730" t="s">
        <v>3201</v>
      </c>
      <c r="S1730" t="s">
        <v>13</v>
      </c>
    </row>
    <row r="1731" spans="1:19" x14ac:dyDescent="0.3">
      <c r="A1731" t="s">
        <v>1268</v>
      </c>
      <c r="B1731" t="s">
        <v>1596</v>
      </c>
      <c r="C1731" t="s">
        <v>2939</v>
      </c>
      <c r="D1731" t="s">
        <v>3189</v>
      </c>
      <c r="E1731" t="s">
        <v>9</v>
      </c>
      <c r="F1731" s="2">
        <v>24</v>
      </c>
      <c r="G1731" t="s">
        <v>3206</v>
      </c>
      <c r="H1731" t="s">
        <v>70</v>
      </c>
      <c r="I1731" t="s">
        <v>11</v>
      </c>
      <c r="J1731" t="s">
        <v>3198</v>
      </c>
      <c r="K1731" t="s">
        <v>15</v>
      </c>
      <c r="L1731" s="2">
        <v>33</v>
      </c>
      <c r="M1731" t="s">
        <v>3203</v>
      </c>
      <c r="N1731">
        <v>1</v>
      </c>
      <c r="O1731" t="s">
        <v>30</v>
      </c>
      <c r="P1731" t="e">
        <v>#VALUE!</v>
      </c>
      <c r="Q1731" t="e">
        <v>#VALUE!</v>
      </c>
      <c r="R1731" t="s">
        <v>3201</v>
      </c>
      <c r="S1731" t="s">
        <v>13</v>
      </c>
    </row>
    <row r="1732" spans="1:19" x14ac:dyDescent="0.3">
      <c r="A1732" t="s">
        <v>1269</v>
      </c>
      <c r="B1732" t="s">
        <v>1596</v>
      </c>
      <c r="C1732" t="s">
        <v>2923</v>
      </c>
      <c r="D1732" t="s">
        <v>3189</v>
      </c>
      <c r="E1732" t="s">
        <v>9</v>
      </c>
      <c r="F1732" s="2">
        <v>32</v>
      </c>
      <c r="G1732" t="s">
        <v>3206</v>
      </c>
      <c r="H1732" t="s">
        <v>69</v>
      </c>
      <c r="I1732" t="s">
        <v>28</v>
      </c>
      <c r="J1732" t="s">
        <v>3212</v>
      </c>
      <c r="K1732" t="s">
        <v>15</v>
      </c>
      <c r="L1732" s="2">
        <v>33</v>
      </c>
      <c r="M1732" t="s">
        <v>3203</v>
      </c>
      <c r="N1732">
        <v>1</v>
      </c>
      <c r="O1732" t="s">
        <v>30</v>
      </c>
      <c r="P1732" t="e">
        <v>#VALUE!</v>
      </c>
      <c r="Q1732" t="e">
        <v>#VALUE!</v>
      </c>
      <c r="R1732" t="s">
        <v>3205</v>
      </c>
      <c r="S1732" t="s">
        <v>16</v>
      </c>
    </row>
    <row r="1733" spans="1:19" x14ac:dyDescent="0.3">
      <c r="A1733" t="s">
        <v>1270</v>
      </c>
      <c r="B1733" t="s">
        <v>1596</v>
      </c>
      <c r="C1733" t="s">
        <v>1884</v>
      </c>
      <c r="D1733" t="s">
        <v>3189</v>
      </c>
      <c r="E1733" t="s">
        <v>9</v>
      </c>
      <c r="F1733" s="2">
        <v>31</v>
      </c>
      <c r="G1733" t="s">
        <v>3206</v>
      </c>
      <c r="H1733" t="s">
        <v>51</v>
      </c>
      <c r="I1733" t="s">
        <v>11</v>
      </c>
      <c r="J1733" t="s">
        <v>3198</v>
      </c>
      <c r="K1733" t="s">
        <v>15</v>
      </c>
      <c r="L1733" s="2">
        <v>33</v>
      </c>
      <c r="M1733" t="s">
        <v>3203</v>
      </c>
      <c r="N1733">
        <v>1</v>
      </c>
      <c r="O1733" t="s">
        <v>30</v>
      </c>
      <c r="P1733" t="e">
        <v>#VALUE!</v>
      </c>
      <c r="Q1733" t="e">
        <v>#VALUE!</v>
      </c>
      <c r="R1733" t="s">
        <v>3205</v>
      </c>
      <c r="S1733" t="s">
        <v>16</v>
      </c>
    </row>
    <row r="1734" spans="1:19" x14ac:dyDescent="0.3">
      <c r="A1734" t="s">
        <v>1271</v>
      </c>
      <c r="B1734" t="s">
        <v>1596</v>
      </c>
      <c r="C1734" t="s">
        <v>1703</v>
      </c>
      <c r="D1734" t="s">
        <v>3189</v>
      </c>
      <c r="E1734" t="s">
        <v>9</v>
      </c>
      <c r="F1734" s="2">
        <v>38</v>
      </c>
      <c r="G1734" t="s">
        <v>3197</v>
      </c>
      <c r="H1734" t="s">
        <v>51</v>
      </c>
      <c r="I1734" t="s">
        <v>11</v>
      </c>
      <c r="J1734" t="s">
        <v>3198</v>
      </c>
      <c r="K1734" t="s">
        <v>15</v>
      </c>
      <c r="L1734" s="2">
        <v>33</v>
      </c>
      <c r="M1734" t="s">
        <v>3203</v>
      </c>
      <c r="N1734">
        <v>1</v>
      </c>
      <c r="O1734" t="s">
        <v>30</v>
      </c>
      <c r="P1734" t="e">
        <v>#VALUE!</v>
      </c>
      <c r="Q1734" t="e">
        <v>#VALUE!</v>
      </c>
      <c r="R1734" t="s">
        <v>3201</v>
      </c>
      <c r="S1734" t="s">
        <v>13</v>
      </c>
    </row>
    <row r="1735" spans="1:19" x14ac:dyDescent="0.3">
      <c r="A1735" t="s">
        <v>1272</v>
      </c>
      <c r="B1735" t="s">
        <v>1596</v>
      </c>
      <c r="C1735" t="s">
        <v>2940</v>
      </c>
      <c r="D1735" t="s">
        <v>3189</v>
      </c>
      <c r="E1735" t="s">
        <v>9</v>
      </c>
      <c r="F1735" s="2">
        <v>30</v>
      </c>
      <c r="G1735" t="s">
        <v>3206</v>
      </c>
      <c r="H1735" t="s">
        <v>51</v>
      </c>
      <c r="I1735" t="s">
        <v>11</v>
      </c>
      <c r="J1735" t="s">
        <v>3198</v>
      </c>
      <c r="K1735" t="s">
        <v>15</v>
      </c>
      <c r="L1735" s="2">
        <v>33</v>
      </c>
      <c r="M1735" t="s">
        <v>3203</v>
      </c>
      <c r="N1735">
        <v>1</v>
      </c>
      <c r="O1735" t="s">
        <v>30</v>
      </c>
      <c r="P1735" t="e">
        <v>#VALUE!</v>
      </c>
      <c r="Q1735" t="e">
        <v>#VALUE!</v>
      </c>
      <c r="R1735" t="s">
        <v>3201</v>
      </c>
      <c r="S1735" t="s">
        <v>13</v>
      </c>
    </row>
    <row r="1736" spans="1:19" x14ac:dyDescent="0.3">
      <c r="A1736" t="s">
        <v>1273</v>
      </c>
      <c r="B1736" t="s">
        <v>1596</v>
      </c>
      <c r="C1736" t="s">
        <v>2941</v>
      </c>
      <c r="D1736" t="s">
        <v>3189</v>
      </c>
      <c r="E1736" t="s">
        <v>9</v>
      </c>
      <c r="F1736" s="2">
        <v>40</v>
      </c>
      <c r="G1736" t="s">
        <v>3197</v>
      </c>
      <c r="H1736" t="s">
        <v>51</v>
      </c>
      <c r="I1736" t="s">
        <v>11</v>
      </c>
      <c r="J1736" t="s">
        <v>3198</v>
      </c>
      <c r="K1736" t="s">
        <v>15</v>
      </c>
      <c r="L1736" s="2">
        <v>33</v>
      </c>
      <c r="M1736" t="s">
        <v>3203</v>
      </c>
      <c r="N1736">
        <v>1</v>
      </c>
      <c r="O1736" t="s">
        <v>30</v>
      </c>
      <c r="P1736" t="e">
        <v>#VALUE!</v>
      </c>
      <c r="Q1736" t="e">
        <v>#VALUE!</v>
      </c>
      <c r="R1736" t="s">
        <v>3205</v>
      </c>
      <c r="S1736" t="s">
        <v>16</v>
      </c>
    </row>
    <row r="1737" spans="1:19" x14ac:dyDescent="0.3">
      <c r="A1737" t="s">
        <v>1274</v>
      </c>
      <c r="B1737" t="s">
        <v>1596</v>
      </c>
      <c r="C1737" t="s">
        <v>1821</v>
      </c>
      <c r="D1737" t="s">
        <v>3189</v>
      </c>
      <c r="E1737" t="s">
        <v>9</v>
      </c>
      <c r="F1737" s="2">
        <v>44</v>
      </c>
      <c r="G1737" t="s">
        <v>3197</v>
      </c>
      <c r="H1737" t="s">
        <v>51</v>
      </c>
      <c r="I1737" t="s">
        <v>11</v>
      </c>
      <c r="J1737" t="s">
        <v>3198</v>
      </c>
      <c r="K1737" t="s">
        <v>15</v>
      </c>
      <c r="L1737" s="2">
        <v>33</v>
      </c>
      <c r="M1737" t="s">
        <v>3203</v>
      </c>
      <c r="N1737">
        <v>1</v>
      </c>
      <c r="O1737" t="s">
        <v>30</v>
      </c>
      <c r="P1737" t="e">
        <v>#VALUE!</v>
      </c>
      <c r="Q1737" t="e">
        <v>#VALUE!</v>
      </c>
      <c r="R1737" t="s">
        <v>3201</v>
      </c>
      <c r="S1737" t="s">
        <v>13</v>
      </c>
    </row>
    <row r="1738" spans="1:19" x14ac:dyDescent="0.3">
      <c r="A1738" t="s">
        <v>1274</v>
      </c>
      <c r="B1738" t="s">
        <v>1596</v>
      </c>
      <c r="C1738" t="s">
        <v>2034</v>
      </c>
      <c r="D1738" t="s">
        <v>3189</v>
      </c>
      <c r="E1738" t="s">
        <v>9</v>
      </c>
      <c r="F1738" s="2">
        <v>25</v>
      </c>
      <c r="G1738" t="s">
        <v>3206</v>
      </c>
      <c r="H1738" t="s">
        <v>51</v>
      </c>
      <c r="I1738" t="s">
        <v>11</v>
      </c>
      <c r="J1738" t="s">
        <v>3198</v>
      </c>
      <c r="K1738" t="s">
        <v>15</v>
      </c>
      <c r="L1738" s="2">
        <v>33</v>
      </c>
      <c r="M1738" t="s">
        <v>3203</v>
      </c>
      <c r="N1738">
        <v>1</v>
      </c>
      <c r="O1738" t="s">
        <v>30</v>
      </c>
      <c r="P1738" t="e">
        <v>#VALUE!</v>
      </c>
      <c r="Q1738" t="e">
        <v>#VALUE!</v>
      </c>
      <c r="R1738" t="s">
        <v>3201</v>
      </c>
      <c r="S1738" t="s">
        <v>13</v>
      </c>
    </row>
    <row r="1739" spans="1:19" x14ac:dyDescent="0.3">
      <c r="A1739" t="s">
        <v>1275</v>
      </c>
      <c r="B1739" t="s">
        <v>1596</v>
      </c>
      <c r="C1739" t="s">
        <v>2942</v>
      </c>
      <c r="D1739" t="s">
        <v>3189</v>
      </c>
      <c r="E1739" t="s">
        <v>9</v>
      </c>
      <c r="F1739" s="2">
        <v>30</v>
      </c>
      <c r="G1739" t="s">
        <v>3206</v>
      </c>
      <c r="H1739" t="s">
        <v>69</v>
      </c>
      <c r="I1739" t="s">
        <v>11</v>
      </c>
      <c r="J1739" t="s">
        <v>3198</v>
      </c>
      <c r="K1739" t="s">
        <v>15</v>
      </c>
      <c r="L1739" s="2">
        <v>33</v>
      </c>
      <c r="M1739" t="s">
        <v>3203</v>
      </c>
      <c r="N1739">
        <v>1</v>
      </c>
      <c r="O1739" t="s">
        <v>30</v>
      </c>
      <c r="P1739" t="e">
        <v>#VALUE!</v>
      </c>
      <c r="Q1739" t="e">
        <v>#VALUE!</v>
      </c>
      <c r="R1739" t="s">
        <v>3205</v>
      </c>
      <c r="S1739" t="s">
        <v>16</v>
      </c>
    </row>
    <row r="1740" spans="1:19" x14ac:dyDescent="0.3">
      <c r="A1740" t="s">
        <v>1276</v>
      </c>
      <c r="B1740" t="s">
        <v>1596</v>
      </c>
      <c r="C1740" t="s">
        <v>1645</v>
      </c>
      <c r="D1740" t="s">
        <v>3189</v>
      </c>
      <c r="E1740" t="s">
        <v>9</v>
      </c>
      <c r="F1740" s="2">
        <v>18</v>
      </c>
      <c r="G1740" t="s">
        <v>3206</v>
      </c>
      <c r="H1740" t="s">
        <v>69</v>
      </c>
      <c r="I1740" t="s">
        <v>11</v>
      </c>
      <c r="J1740" t="s">
        <v>3198</v>
      </c>
      <c r="K1740" t="s">
        <v>15</v>
      </c>
      <c r="L1740" s="2">
        <v>33</v>
      </c>
      <c r="M1740" t="s">
        <v>3203</v>
      </c>
      <c r="N1740">
        <v>1</v>
      </c>
      <c r="O1740" t="s">
        <v>30</v>
      </c>
      <c r="P1740" t="e">
        <v>#VALUE!</v>
      </c>
      <c r="Q1740" t="e">
        <v>#VALUE!</v>
      </c>
      <c r="R1740" t="s">
        <v>3201</v>
      </c>
      <c r="S1740" t="s">
        <v>13</v>
      </c>
    </row>
    <row r="1741" spans="1:19" x14ac:dyDescent="0.3">
      <c r="A1741" t="s">
        <v>494</v>
      </c>
      <c r="B1741" t="s">
        <v>1596</v>
      </c>
      <c r="C1741" t="s">
        <v>1619</v>
      </c>
      <c r="D1741" t="s">
        <v>3189</v>
      </c>
      <c r="E1741" t="s">
        <v>9</v>
      </c>
      <c r="F1741" s="2">
        <v>23</v>
      </c>
      <c r="G1741" t="s">
        <v>3206</v>
      </c>
      <c r="H1741" t="s">
        <v>51</v>
      </c>
      <c r="I1741" t="s">
        <v>28</v>
      </c>
      <c r="J1741" t="s">
        <v>3212</v>
      </c>
      <c r="K1741" t="s">
        <v>43</v>
      </c>
      <c r="L1741" s="2">
        <v>33</v>
      </c>
      <c r="M1741" t="s">
        <v>3203</v>
      </c>
      <c r="N1741">
        <v>1</v>
      </c>
      <c r="O1741" t="s">
        <v>30</v>
      </c>
      <c r="P1741" t="e">
        <v>#VALUE!</v>
      </c>
      <c r="Q1741" t="e">
        <v>#VALUE!</v>
      </c>
      <c r="R1741" t="s">
        <v>3201</v>
      </c>
      <c r="S1741" t="s">
        <v>13</v>
      </c>
    </row>
    <row r="1742" spans="1:19" x14ac:dyDescent="0.3">
      <c r="A1742" t="s">
        <v>1277</v>
      </c>
      <c r="B1742" t="s">
        <v>1596</v>
      </c>
      <c r="C1742" t="s">
        <v>2038</v>
      </c>
      <c r="D1742" t="s">
        <v>3189</v>
      </c>
      <c r="E1742" t="s">
        <v>9</v>
      </c>
      <c r="F1742" s="2">
        <v>22</v>
      </c>
      <c r="G1742" t="s">
        <v>3206</v>
      </c>
      <c r="H1742" t="s">
        <v>51</v>
      </c>
      <c r="I1742" t="s">
        <v>11</v>
      </c>
      <c r="J1742" t="s">
        <v>3198</v>
      </c>
      <c r="K1742" t="s">
        <v>15</v>
      </c>
      <c r="L1742" s="2">
        <v>33</v>
      </c>
      <c r="M1742" t="s">
        <v>3203</v>
      </c>
      <c r="N1742">
        <v>1</v>
      </c>
      <c r="O1742" t="s">
        <v>30</v>
      </c>
      <c r="P1742" t="e">
        <v>#VALUE!</v>
      </c>
      <c r="Q1742" t="e">
        <v>#VALUE!</v>
      </c>
      <c r="R1742" t="s">
        <v>3205</v>
      </c>
      <c r="S1742" t="s">
        <v>16</v>
      </c>
    </row>
    <row r="1743" spans="1:19" x14ac:dyDescent="0.3">
      <c r="A1743" t="s">
        <v>1278</v>
      </c>
      <c r="B1743" t="s">
        <v>1596</v>
      </c>
      <c r="C1743" t="s">
        <v>2943</v>
      </c>
      <c r="D1743" t="s">
        <v>3189</v>
      </c>
      <c r="E1743" t="s">
        <v>9</v>
      </c>
      <c r="F1743" s="2">
        <v>43</v>
      </c>
      <c r="G1743" t="s">
        <v>3197</v>
      </c>
      <c r="H1743" t="s">
        <v>51</v>
      </c>
      <c r="I1743" t="s">
        <v>28</v>
      </c>
      <c r="J1743" t="s">
        <v>3212</v>
      </c>
      <c r="K1743" t="s">
        <v>15</v>
      </c>
      <c r="L1743" s="2">
        <v>33</v>
      </c>
      <c r="M1743" t="s">
        <v>3203</v>
      </c>
      <c r="N1743">
        <v>1</v>
      </c>
      <c r="O1743" t="s">
        <v>30</v>
      </c>
      <c r="P1743" t="e">
        <v>#VALUE!</v>
      </c>
      <c r="Q1743" t="e">
        <v>#VALUE!</v>
      </c>
      <c r="R1743" t="s">
        <v>3201</v>
      </c>
      <c r="S1743" t="s">
        <v>13</v>
      </c>
    </row>
    <row r="1744" spans="1:19" x14ac:dyDescent="0.3">
      <c r="A1744" t="s">
        <v>1279</v>
      </c>
      <c r="B1744" t="s">
        <v>1596</v>
      </c>
      <c r="C1744" t="s">
        <v>2525</v>
      </c>
      <c r="D1744" t="s">
        <v>3189</v>
      </c>
      <c r="E1744" t="s">
        <v>9</v>
      </c>
      <c r="F1744" s="2">
        <v>37</v>
      </c>
      <c r="G1744" t="s">
        <v>3197</v>
      </c>
      <c r="H1744" t="s">
        <v>51</v>
      </c>
      <c r="I1744" t="s">
        <v>11</v>
      </c>
      <c r="J1744" t="s">
        <v>3198</v>
      </c>
      <c r="K1744" t="s">
        <v>15</v>
      </c>
      <c r="L1744" s="2">
        <v>33</v>
      </c>
      <c r="M1744" t="s">
        <v>3203</v>
      </c>
      <c r="N1744">
        <v>1</v>
      </c>
      <c r="O1744" t="s">
        <v>30</v>
      </c>
      <c r="P1744" t="e">
        <v>#VALUE!</v>
      </c>
      <c r="Q1744" t="e">
        <v>#VALUE!</v>
      </c>
      <c r="R1744" t="s">
        <v>3201</v>
      </c>
      <c r="S1744" t="s">
        <v>13</v>
      </c>
    </row>
    <row r="1745" spans="1:19" x14ac:dyDescent="0.3">
      <c r="A1745" t="s">
        <v>1280</v>
      </c>
      <c r="B1745" t="s">
        <v>1596</v>
      </c>
      <c r="C1745" t="s">
        <v>2259</v>
      </c>
      <c r="D1745" t="s">
        <v>3189</v>
      </c>
      <c r="E1745" t="s">
        <v>9</v>
      </c>
      <c r="F1745" s="2">
        <v>30</v>
      </c>
      <c r="G1745" t="s">
        <v>3206</v>
      </c>
      <c r="H1745" t="s">
        <v>69</v>
      </c>
      <c r="I1745" t="s">
        <v>11</v>
      </c>
      <c r="J1745" t="s">
        <v>3198</v>
      </c>
      <c r="K1745" t="s">
        <v>15</v>
      </c>
      <c r="L1745" s="2">
        <v>33</v>
      </c>
      <c r="M1745" t="s">
        <v>3203</v>
      </c>
      <c r="N1745">
        <v>1</v>
      </c>
      <c r="O1745" t="s">
        <v>30</v>
      </c>
      <c r="P1745" t="e">
        <v>#VALUE!</v>
      </c>
      <c r="Q1745" t="e">
        <v>#VALUE!</v>
      </c>
      <c r="R1745" t="s">
        <v>3201</v>
      </c>
      <c r="S1745" t="s">
        <v>13</v>
      </c>
    </row>
    <row r="1746" spans="1:19" x14ac:dyDescent="0.3">
      <c r="A1746" t="s">
        <v>1281</v>
      </c>
      <c r="B1746" t="s">
        <v>1596</v>
      </c>
      <c r="C1746" t="s">
        <v>2156</v>
      </c>
      <c r="D1746" t="s">
        <v>3189</v>
      </c>
      <c r="E1746" t="s">
        <v>9</v>
      </c>
      <c r="F1746" s="2">
        <v>44</v>
      </c>
      <c r="G1746" t="s">
        <v>3197</v>
      </c>
      <c r="H1746" t="s">
        <v>51</v>
      </c>
      <c r="I1746" t="s">
        <v>28</v>
      </c>
      <c r="J1746" t="s">
        <v>3212</v>
      </c>
      <c r="K1746" t="s">
        <v>15</v>
      </c>
      <c r="L1746" s="2">
        <v>33</v>
      </c>
      <c r="M1746" t="s">
        <v>3203</v>
      </c>
      <c r="N1746">
        <v>1</v>
      </c>
      <c r="O1746" t="s">
        <v>30</v>
      </c>
      <c r="P1746" t="e">
        <v>#VALUE!</v>
      </c>
      <c r="Q1746" t="e">
        <v>#VALUE!</v>
      </c>
      <c r="R1746" t="s">
        <v>3201</v>
      </c>
      <c r="S1746" t="s">
        <v>13</v>
      </c>
    </row>
    <row r="1747" spans="1:19" x14ac:dyDescent="0.3">
      <c r="A1747" t="s">
        <v>1282</v>
      </c>
      <c r="B1747" t="s">
        <v>1596</v>
      </c>
      <c r="C1747" t="s">
        <v>1704</v>
      </c>
      <c r="D1747" t="s">
        <v>3189</v>
      </c>
      <c r="E1747" t="s">
        <v>9</v>
      </c>
      <c r="F1747" s="2">
        <v>28</v>
      </c>
      <c r="G1747" t="s">
        <v>3206</v>
      </c>
      <c r="H1747" t="s">
        <v>69</v>
      </c>
      <c r="I1747" t="s">
        <v>11</v>
      </c>
      <c r="J1747" t="s">
        <v>3198</v>
      </c>
      <c r="K1747" t="s">
        <v>15</v>
      </c>
      <c r="L1747" s="2">
        <v>33</v>
      </c>
      <c r="M1747" t="s">
        <v>3203</v>
      </c>
      <c r="N1747">
        <v>1</v>
      </c>
      <c r="O1747" t="s">
        <v>30</v>
      </c>
      <c r="P1747" t="e">
        <v>#VALUE!</v>
      </c>
      <c r="Q1747" t="e">
        <v>#VALUE!</v>
      </c>
      <c r="R1747" t="s">
        <v>3201</v>
      </c>
      <c r="S1747" t="s">
        <v>13</v>
      </c>
    </row>
    <row r="1748" spans="1:19" x14ac:dyDescent="0.3">
      <c r="A1748" t="s">
        <v>1283</v>
      </c>
      <c r="B1748" t="s">
        <v>1596</v>
      </c>
      <c r="C1748" t="s">
        <v>2944</v>
      </c>
      <c r="D1748" t="s">
        <v>3189</v>
      </c>
      <c r="E1748" t="s">
        <v>9</v>
      </c>
      <c r="F1748" s="2">
        <v>26</v>
      </c>
      <c r="G1748" t="s">
        <v>3206</v>
      </c>
      <c r="H1748" t="s">
        <v>51</v>
      </c>
      <c r="I1748" t="s">
        <v>11</v>
      </c>
      <c r="J1748" t="s">
        <v>3198</v>
      </c>
      <c r="K1748" t="s">
        <v>43</v>
      </c>
      <c r="L1748" s="2">
        <v>33</v>
      </c>
      <c r="M1748" t="s">
        <v>3203</v>
      </c>
      <c r="N1748">
        <v>1</v>
      </c>
      <c r="O1748" t="s">
        <v>30</v>
      </c>
      <c r="P1748" t="e">
        <v>#VALUE!</v>
      </c>
      <c r="Q1748" t="e">
        <v>#VALUE!</v>
      </c>
      <c r="R1748" t="s">
        <v>3201</v>
      </c>
      <c r="S1748" t="s">
        <v>13</v>
      </c>
    </row>
    <row r="1749" spans="1:19" x14ac:dyDescent="0.3">
      <c r="A1749" t="s">
        <v>1284</v>
      </c>
      <c r="B1749" t="s">
        <v>1596</v>
      </c>
      <c r="C1749" t="s">
        <v>1728</v>
      </c>
      <c r="D1749" t="s">
        <v>3189</v>
      </c>
      <c r="E1749" t="s">
        <v>9</v>
      </c>
      <c r="F1749" s="2">
        <v>36</v>
      </c>
      <c r="G1749" t="s">
        <v>3197</v>
      </c>
      <c r="H1749" t="s">
        <v>69</v>
      </c>
      <c r="I1749" t="s">
        <v>28</v>
      </c>
      <c r="J1749" t="s">
        <v>3212</v>
      </c>
      <c r="K1749" t="s">
        <v>15</v>
      </c>
      <c r="L1749" s="2">
        <v>33</v>
      </c>
      <c r="M1749" t="s">
        <v>3203</v>
      </c>
      <c r="N1749">
        <v>1</v>
      </c>
      <c r="O1749" t="s">
        <v>30</v>
      </c>
      <c r="P1749" t="e">
        <v>#VALUE!</v>
      </c>
      <c r="Q1749" t="e">
        <v>#VALUE!</v>
      </c>
      <c r="R1749" t="s">
        <v>3201</v>
      </c>
      <c r="S1749" t="s">
        <v>13</v>
      </c>
    </row>
    <row r="1750" spans="1:19" x14ac:dyDescent="0.3">
      <c r="A1750" t="s">
        <v>1285</v>
      </c>
      <c r="B1750" t="s">
        <v>1596</v>
      </c>
      <c r="C1750" t="s">
        <v>2945</v>
      </c>
      <c r="D1750" t="s">
        <v>3189</v>
      </c>
      <c r="E1750" t="s">
        <v>9</v>
      </c>
      <c r="F1750" s="2">
        <v>34</v>
      </c>
      <c r="G1750" t="s">
        <v>3206</v>
      </c>
      <c r="H1750" t="s">
        <v>69</v>
      </c>
      <c r="I1750" t="s">
        <v>11</v>
      </c>
      <c r="J1750" t="s">
        <v>3198</v>
      </c>
      <c r="K1750" t="s">
        <v>37</v>
      </c>
      <c r="L1750" s="2">
        <v>33</v>
      </c>
      <c r="M1750" t="s">
        <v>3203</v>
      </c>
      <c r="N1750">
        <v>1</v>
      </c>
      <c r="O1750" t="s">
        <v>30</v>
      </c>
      <c r="P1750" t="e">
        <v>#VALUE!</v>
      </c>
      <c r="Q1750" t="e">
        <v>#VALUE!</v>
      </c>
      <c r="R1750" t="s">
        <v>3201</v>
      </c>
      <c r="S1750" t="s">
        <v>13</v>
      </c>
    </row>
    <row r="1751" spans="1:19" x14ac:dyDescent="0.3">
      <c r="A1751" t="s">
        <v>1285</v>
      </c>
      <c r="B1751" t="s">
        <v>1596</v>
      </c>
      <c r="C1751" t="s">
        <v>2638</v>
      </c>
      <c r="D1751" t="s">
        <v>3189</v>
      </c>
      <c r="E1751" t="s">
        <v>9</v>
      </c>
      <c r="F1751" s="2">
        <v>35</v>
      </c>
      <c r="G1751" t="s">
        <v>3206</v>
      </c>
      <c r="H1751" t="s">
        <v>69</v>
      </c>
      <c r="I1751" t="s">
        <v>11</v>
      </c>
      <c r="J1751" t="s">
        <v>3198</v>
      </c>
      <c r="K1751" t="s">
        <v>15</v>
      </c>
      <c r="L1751" s="2">
        <v>33</v>
      </c>
      <c r="M1751" t="s">
        <v>3203</v>
      </c>
      <c r="N1751">
        <v>1</v>
      </c>
      <c r="O1751" t="s">
        <v>30</v>
      </c>
      <c r="P1751" t="e">
        <v>#VALUE!</v>
      </c>
      <c r="Q1751" t="e">
        <v>#VALUE!</v>
      </c>
      <c r="R1751" t="s">
        <v>3201</v>
      </c>
      <c r="S1751" t="s">
        <v>13</v>
      </c>
    </row>
    <row r="1752" spans="1:19" x14ac:dyDescent="0.3">
      <c r="A1752" t="s">
        <v>1286</v>
      </c>
      <c r="B1752" t="s">
        <v>1596</v>
      </c>
      <c r="C1752" t="s">
        <v>2946</v>
      </c>
      <c r="D1752" t="s">
        <v>3189</v>
      </c>
      <c r="E1752" t="s">
        <v>9</v>
      </c>
      <c r="F1752" s="2">
        <v>18</v>
      </c>
      <c r="G1752" t="s">
        <v>3206</v>
      </c>
      <c r="H1752" t="s">
        <v>69</v>
      </c>
      <c r="I1752" t="s">
        <v>11</v>
      </c>
      <c r="J1752" t="s">
        <v>3198</v>
      </c>
      <c r="K1752" t="s">
        <v>15</v>
      </c>
      <c r="L1752" s="2">
        <v>33</v>
      </c>
      <c r="M1752" t="s">
        <v>3203</v>
      </c>
      <c r="N1752">
        <v>1</v>
      </c>
      <c r="O1752" t="s">
        <v>30</v>
      </c>
      <c r="P1752" t="e">
        <v>#VALUE!</v>
      </c>
      <c r="Q1752" t="e">
        <v>#VALUE!</v>
      </c>
      <c r="R1752" t="s">
        <v>3201</v>
      </c>
      <c r="S1752" t="s">
        <v>13</v>
      </c>
    </row>
    <row r="1753" spans="1:19" x14ac:dyDescent="0.3">
      <c r="A1753" t="s">
        <v>1286</v>
      </c>
      <c r="B1753" t="s">
        <v>1596</v>
      </c>
      <c r="C1753" t="s">
        <v>2947</v>
      </c>
      <c r="D1753" t="s">
        <v>3189</v>
      </c>
      <c r="E1753" t="s">
        <v>9</v>
      </c>
      <c r="F1753" s="2">
        <v>28</v>
      </c>
      <c r="G1753" t="s">
        <v>3206</v>
      </c>
      <c r="H1753" t="s">
        <v>69</v>
      </c>
      <c r="I1753" t="s">
        <v>11</v>
      </c>
      <c r="J1753" t="s">
        <v>3198</v>
      </c>
      <c r="K1753" t="s">
        <v>37</v>
      </c>
      <c r="L1753" s="2">
        <v>33</v>
      </c>
      <c r="M1753" t="s">
        <v>3203</v>
      </c>
      <c r="N1753">
        <v>1</v>
      </c>
      <c r="O1753" t="s">
        <v>30</v>
      </c>
      <c r="P1753" t="e">
        <v>#VALUE!</v>
      </c>
      <c r="Q1753" t="e">
        <v>#VALUE!</v>
      </c>
      <c r="R1753" t="s">
        <v>3201</v>
      </c>
      <c r="S1753" t="s">
        <v>13</v>
      </c>
    </row>
    <row r="1754" spans="1:19" x14ac:dyDescent="0.3">
      <c r="A1754" t="s">
        <v>1286</v>
      </c>
      <c r="B1754" t="s">
        <v>1596</v>
      </c>
      <c r="C1754" t="s">
        <v>2948</v>
      </c>
      <c r="D1754" t="s">
        <v>3189</v>
      </c>
      <c r="E1754" t="s">
        <v>9</v>
      </c>
      <c r="F1754" s="2">
        <v>20</v>
      </c>
      <c r="G1754" t="s">
        <v>3206</v>
      </c>
      <c r="H1754" t="s">
        <v>69</v>
      </c>
      <c r="I1754" t="s">
        <v>11</v>
      </c>
      <c r="J1754" t="s">
        <v>3198</v>
      </c>
      <c r="K1754" t="s">
        <v>15</v>
      </c>
      <c r="L1754" s="2">
        <v>33</v>
      </c>
      <c r="M1754" t="s">
        <v>3203</v>
      </c>
      <c r="N1754">
        <v>1</v>
      </c>
      <c r="O1754" t="s">
        <v>30</v>
      </c>
      <c r="P1754" t="e">
        <v>#VALUE!</v>
      </c>
      <c r="Q1754" t="e">
        <v>#VALUE!</v>
      </c>
      <c r="R1754" t="s">
        <v>3201</v>
      </c>
      <c r="S1754" t="s">
        <v>13</v>
      </c>
    </row>
    <row r="1755" spans="1:19" x14ac:dyDescent="0.3">
      <c r="A1755" t="s">
        <v>1286</v>
      </c>
      <c r="B1755" t="s">
        <v>1596</v>
      </c>
      <c r="C1755" t="s">
        <v>2949</v>
      </c>
      <c r="D1755" t="s">
        <v>3189</v>
      </c>
      <c r="E1755" t="s">
        <v>9</v>
      </c>
      <c r="F1755" s="2">
        <v>42</v>
      </c>
      <c r="G1755" t="s">
        <v>3197</v>
      </c>
      <c r="H1755" t="s">
        <v>71</v>
      </c>
      <c r="I1755" t="s">
        <v>11</v>
      </c>
      <c r="J1755" t="s">
        <v>3198</v>
      </c>
      <c r="K1755" t="s">
        <v>15</v>
      </c>
      <c r="L1755" s="2">
        <v>33</v>
      </c>
      <c r="M1755" t="s">
        <v>3203</v>
      </c>
      <c r="N1755">
        <v>1</v>
      </c>
      <c r="O1755" t="s">
        <v>30</v>
      </c>
      <c r="P1755" t="e">
        <v>#VALUE!</v>
      </c>
      <c r="Q1755" t="e">
        <v>#VALUE!</v>
      </c>
      <c r="R1755" t="s">
        <v>3201</v>
      </c>
      <c r="S1755" t="s">
        <v>13</v>
      </c>
    </row>
    <row r="1756" spans="1:19" x14ac:dyDescent="0.3">
      <c r="A1756" t="s">
        <v>1287</v>
      </c>
      <c r="B1756" t="s">
        <v>1596</v>
      </c>
      <c r="C1756" t="s">
        <v>2950</v>
      </c>
      <c r="D1756" t="s">
        <v>3189</v>
      </c>
      <c r="E1756" t="s">
        <v>9</v>
      </c>
      <c r="F1756" s="2">
        <v>48</v>
      </c>
      <c r="G1756" t="s">
        <v>3197</v>
      </c>
      <c r="H1756" t="s">
        <v>69</v>
      </c>
      <c r="I1756" t="s">
        <v>11</v>
      </c>
      <c r="J1756" t="s">
        <v>3198</v>
      </c>
      <c r="K1756" t="s">
        <v>15</v>
      </c>
      <c r="L1756" s="2">
        <v>33</v>
      </c>
      <c r="M1756" t="s">
        <v>3203</v>
      </c>
      <c r="N1756">
        <v>1</v>
      </c>
      <c r="O1756" t="s">
        <v>30</v>
      </c>
      <c r="P1756" t="e">
        <v>#VALUE!</v>
      </c>
      <c r="Q1756" t="e">
        <v>#VALUE!</v>
      </c>
      <c r="R1756" t="s">
        <v>3201</v>
      </c>
      <c r="S1756" t="s">
        <v>13</v>
      </c>
    </row>
    <row r="1757" spans="1:19" x14ac:dyDescent="0.3">
      <c r="A1757" t="s">
        <v>1288</v>
      </c>
      <c r="B1757" t="s">
        <v>1596</v>
      </c>
      <c r="C1757" t="s">
        <v>2951</v>
      </c>
      <c r="D1757" t="s">
        <v>3189</v>
      </c>
      <c r="E1757" t="s">
        <v>9</v>
      </c>
      <c r="F1757" s="2">
        <v>30</v>
      </c>
      <c r="G1757" t="s">
        <v>3206</v>
      </c>
      <c r="H1757" t="s">
        <v>51</v>
      </c>
      <c r="I1757" t="s">
        <v>11</v>
      </c>
      <c r="J1757" t="s">
        <v>3198</v>
      </c>
      <c r="K1757" t="s">
        <v>15</v>
      </c>
      <c r="L1757" s="2">
        <v>33</v>
      </c>
      <c r="M1757" t="s">
        <v>3203</v>
      </c>
      <c r="N1757">
        <v>1</v>
      </c>
      <c r="O1757" t="s">
        <v>30</v>
      </c>
      <c r="P1757" t="e">
        <v>#VALUE!</v>
      </c>
      <c r="Q1757" t="e">
        <v>#VALUE!</v>
      </c>
      <c r="R1757" t="s">
        <v>3201</v>
      </c>
      <c r="S1757" t="s">
        <v>13</v>
      </c>
    </row>
    <row r="1758" spans="1:19" x14ac:dyDescent="0.3">
      <c r="A1758" t="s">
        <v>1289</v>
      </c>
      <c r="B1758" t="s">
        <v>1596</v>
      </c>
      <c r="C1758" t="s">
        <v>2952</v>
      </c>
      <c r="D1758" t="s">
        <v>3189</v>
      </c>
      <c r="E1758" t="s">
        <v>9</v>
      </c>
      <c r="F1758" s="2">
        <v>36</v>
      </c>
      <c r="G1758" t="s">
        <v>3197</v>
      </c>
      <c r="H1758" t="s">
        <v>69</v>
      </c>
      <c r="I1758" t="s">
        <v>11</v>
      </c>
      <c r="J1758" t="s">
        <v>3198</v>
      </c>
      <c r="K1758" t="s">
        <v>15</v>
      </c>
      <c r="L1758" s="2">
        <v>33</v>
      </c>
      <c r="M1758" t="s">
        <v>3203</v>
      </c>
      <c r="N1758">
        <v>1</v>
      </c>
      <c r="O1758" t="s">
        <v>30</v>
      </c>
      <c r="P1758" t="e">
        <v>#VALUE!</v>
      </c>
      <c r="Q1758" t="e">
        <v>#VALUE!</v>
      </c>
      <c r="R1758" t="s">
        <v>3201</v>
      </c>
      <c r="S1758" t="s">
        <v>13</v>
      </c>
    </row>
    <row r="1759" spans="1:19" x14ac:dyDescent="0.3">
      <c r="A1759" t="s">
        <v>1290</v>
      </c>
      <c r="B1759" t="s">
        <v>1596</v>
      </c>
      <c r="C1759" t="s">
        <v>1965</v>
      </c>
      <c r="D1759" t="s">
        <v>3189</v>
      </c>
      <c r="E1759" t="s">
        <v>9</v>
      </c>
      <c r="F1759" s="2">
        <v>43</v>
      </c>
      <c r="G1759" t="s">
        <v>3197</v>
      </c>
      <c r="H1759" t="s">
        <v>51</v>
      </c>
      <c r="I1759" t="s">
        <v>11</v>
      </c>
      <c r="J1759" t="s">
        <v>3198</v>
      </c>
      <c r="K1759" t="s">
        <v>15</v>
      </c>
      <c r="L1759" s="2">
        <v>33</v>
      </c>
      <c r="M1759" t="s">
        <v>3203</v>
      </c>
      <c r="N1759">
        <v>1</v>
      </c>
      <c r="O1759" t="s">
        <v>30</v>
      </c>
      <c r="P1759" t="e">
        <v>#VALUE!</v>
      </c>
      <c r="Q1759" t="e">
        <v>#VALUE!</v>
      </c>
      <c r="R1759" t="s">
        <v>3201</v>
      </c>
      <c r="S1759" t="s">
        <v>13</v>
      </c>
    </row>
    <row r="1760" spans="1:19" x14ac:dyDescent="0.3">
      <c r="A1760" t="s">
        <v>1291</v>
      </c>
      <c r="B1760" t="s">
        <v>1596</v>
      </c>
      <c r="C1760" t="s">
        <v>2953</v>
      </c>
      <c r="D1760" t="s">
        <v>3189</v>
      </c>
      <c r="E1760" t="s">
        <v>9</v>
      </c>
      <c r="F1760" s="2">
        <v>31</v>
      </c>
      <c r="G1760" t="s">
        <v>3206</v>
      </c>
      <c r="H1760" t="s">
        <v>69</v>
      </c>
      <c r="I1760" t="s">
        <v>11</v>
      </c>
      <c r="J1760" t="s">
        <v>3198</v>
      </c>
      <c r="K1760" t="s">
        <v>15</v>
      </c>
      <c r="L1760" s="2">
        <v>33</v>
      </c>
      <c r="M1760" t="s">
        <v>3203</v>
      </c>
      <c r="N1760">
        <v>1</v>
      </c>
      <c r="O1760" t="s">
        <v>30</v>
      </c>
      <c r="P1760" t="e">
        <v>#VALUE!</v>
      </c>
      <c r="Q1760" t="e">
        <v>#VALUE!</v>
      </c>
      <c r="R1760" t="s">
        <v>3201</v>
      </c>
      <c r="S1760" t="s">
        <v>13</v>
      </c>
    </row>
    <row r="1761" spans="1:19" x14ac:dyDescent="0.3">
      <c r="A1761" t="s">
        <v>1292</v>
      </c>
      <c r="B1761" t="s">
        <v>1596</v>
      </c>
      <c r="C1761" t="s">
        <v>2800</v>
      </c>
      <c r="D1761" t="s">
        <v>3189</v>
      </c>
      <c r="E1761" t="s">
        <v>9</v>
      </c>
      <c r="F1761" s="2">
        <v>33</v>
      </c>
      <c r="G1761" t="s">
        <v>3206</v>
      </c>
      <c r="H1761" t="s">
        <v>69</v>
      </c>
      <c r="I1761" t="s">
        <v>11</v>
      </c>
      <c r="J1761" t="s">
        <v>3198</v>
      </c>
      <c r="K1761" t="s">
        <v>15</v>
      </c>
      <c r="L1761" s="2">
        <v>33</v>
      </c>
      <c r="M1761" t="s">
        <v>3203</v>
      </c>
      <c r="N1761">
        <v>1</v>
      </c>
      <c r="O1761" t="s">
        <v>30</v>
      </c>
      <c r="P1761" t="e">
        <v>#VALUE!</v>
      </c>
      <c r="Q1761" t="e">
        <v>#VALUE!</v>
      </c>
      <c r="R1761" t="s">
        <v>3201</v>
      </c>
      <c r="S1761" t="s">
        <v>13</v>
      </c>
    </row>
    <row r="1762" spans="1:19" x14ac:dyDescent="0.3">
      <c r="A1762" t="s">
        <v>507</v>
      </c>
      <c r="B1762" t="s">
        <v>1596</v>
      </c>
      <c r="C1762" t="s">
        <v>2038</v>
      </c>
      <c r="D1762" t="s">
        <v>3189</v>
      </c>
      <c r="E1762" t="s">
        <v>9</v>
      </c>
      <c r="F1762" s="2">
        <v>49</v>
      </c>
      <c r="G1762" t="s">
        <v>3197</v>
      </c>
      <c r="H1762" t="s">
        <v>69</v>
      </c>
      <c r="I1762" t="s">
        <v>11</v>
      </c>
      <c r="J1762" t="s">
        <v>3198</v>
      </c>
      <c r="K1762" t="s">
        <v>15</v>
      </c>
      <c r="L1762" s="2">
        <v>33</v>
      </c>
      <c r="M1762" t="s">
        <v>3203</v>
      </c>
      <c r="N1762">
        <v>1</v>
      </c>
      <c r="O1762" t="s">
        <v>30</v>
      </c>
      <c r="P1762" t="e">
        <v>#VALUE!</v>
      </c>
      <c r="Q1762" t="e">
        <v>#VALUE!</v>
      </c>
      <c r="R1762" t="s">
        <v>3205</v>
      </c>
      <c r="S1762" t="s">
        <v>16</v>
      </c>
    </row>
    <row r="1763" spans="1:19" x14ac:dyDescent="0.3">
      <c r="A1763" t="s">
        <v>507</v>
      </c>
      <c r="B1763" t="s">
        <v>1596</v>
      </c>
      <c r="C1763" t="s">
        <v>2954</v>
      </c>
      <c r="D1763" t="s">
        <v>3189</v>
      </c>
      <c r="E1763" t="s">
        <v>9</v>
      </c>
      <c r="F1763" s="2">
        <v>21</v>
      </c>
      <c r="G1763" t="s">
        <v>3206</v>
      </c>
      <c r="H1763" t="s">
        <v>69</v>
      </c>
      <c r="I1763" t="s">
        <v>11</v>
      </c>
      <c r="J1763" t="s">
        <v>3198</v>
      </c>
      <c r="K1763" t="s">
        <v>15</v>
      </c>
      <c r="L1763" s="2">
        <v>33</v>
      </c>
      <c r="M1763" t="s">
        <v>3203</v>
      </c>
      <c r="N1763">
        <v>1</v>
      </c>
      <c r="O1763" t="s">
        <v>30</v>
      </c>
      <c r="P1763" t="e">
        <v>#VALUE!</v>
      </c>
      <c r="Q1763" t="e">
        <v>#VALUE!</v>
      </c>
      <c r="R1763" t="s">
        <v>3201</v>
      </c>
      <c r="S1763" t="s">
        <v>13</v>
      </c>
    </row>
    <row r="1764" spans="1:19" x14ac:dyDescent="0.3">
      <c r="A1764" t="s">
        <v>1293</v>
      </c>
      <c r="B1764" t="s">
        <v>1596</v>
      </c>
      <c r="C1764" t="s">
        <v>1645</v>
      </c>
      <c r="D1764" t="s">
        <v>3189</v>
      </c>
      <c r="E1764" t="s">
        <v>9</v>
      </c>
      <c r="F1764" s="2">
        <v>43</v>
      </c>
      <c r="G1764" t="s">
        <v>3197</v>
      </c>
      <c r="H1764" t="s">
        <v>51</v>
      </c>
      <c r="I1764" t="s">
        <v>11</v>
      </c>
      <c r="J1764" t="s">
        <v>3198</v>
      </c>
      <c r="K1764" t="s">
        <v>15</v>
      </c>
      <c r="L1764" s="2">
        <v>33</v>
      </c>
      <c r="M1764" t="s">
        <v>3203</v>
      </c>
      <c r="N1764">
        <v>1</v>
      </c>
      <c r="O1764" t="s">
        <v>30</v>
      </c>
      <c r="P1764" t="e">
        <v>#VALUE!</v>
      </c>
      <c r="Q1764" t="e">
        <v>#VALUE!</v>
      </c>
      <c r="R1764" t="s">
        <v>3205</v>
      </c>
      <c r="S1764" t="s">
        <v>16</v>
      </c>
    </row>
    <row r="1765" spans="1:19" x14ac:dyDescent="0.3">
      <c r="A1765" t="s">
        <v>1294</v>
      </c>
      <c r="B1765" t="s">
        <v>1596</v>
      </c>
      <c r="C1765" t="s">
        <v>2955</v>
      </c>
      <c r="D1765" t="s">
        <v>3189</v>
      </c>
      <c r="E1765" t="s">
        <v>9</v>
      </c>
      <c r="F1765" s="2">
        <v>20</v>
      </c>
      <c r="G1765" t="s">
        <v>3206</v>
      </c>
      <c r="H1765" t="s">
        <v>69</v>
      </c>
      <c r="I1765" t="s">
        <v>11</v>
      </c>
      <c r="J1765" t="s">
        <v>3198</v>
      </c>
      <c r="K1765" t="s">
        <v>15</v>
      </c>
      <c r="L1765" s="2">
        <v>33</v>
      </c>
      <c r="M1765" t="s">
        <v>3203</v>
      </c>
      <c r="N1765">
        <v>1</v>
      </c>
      <c r="O1765" t="s">
        <v>30</v>
      </c>
      <c r="P1765" t="e">
        <v>#VALUE!</v>
      </c>
      <c r="Q1765" t="e">
        <v>#VALUE!</v>
      </c>
      <c r="R1765" t="s">
        <v>3201</v>
      </c>
      <c r="S1765" t="s">
        <v>13</v>
      </c>
    </row>
    <row r="1766" spans="1:19" x14ac:dyDescent="0.3">
      <c r="A1766" t="s">
        <v>1295</v>
      </c>
      <c r="B1766" t="s">
        <v>1596</v>
      </c>
      <c r="C1766" t="s">
        <v>2773</v>
      </c>
      <c r="D1766" t="s">
        <v>3189</v>
      </c>
      <c r="E1766" t="s">
        <v>9</v>
      </c>
      <c r="F1766" s="2">
        <v>41</v>
      </c>
      <c r="G1766" t="s">
        <v>3197</v>
      </c>
      <c r="H1766" t="s">
        <v>51</v>
      </c>
      <c r="I1766" t="s">
        <v>11</v>
      </c>
      <c r="J1766" t="s">
        <v>3198</v>
      </c>
      <c r="K1766" t="s">
        <v>15</v>
      </c>
      <c r="L1766" s="2">
        <v>33</v>
      </c>
      <c r="M1766" t="s">
        <v>3203</v>
      </c>
      <c r="N1766">
        <v>1</v>
      </c>
      <c r="O1766" t="s">
        <v>30</v>
      </c>
      <c r="P1766" t="e">
        <v>#VALUE!</v>
      </c>
      <c r="Q1766" t="e">
        <v>#VALUE!</v>
      </c>
      <c r="R1766" t="s">
        <v>3201</v>
      </c>
      <c r="S1766" t="s">
        <v>13</v>
      </c>
    </row>
    <row r="1767" spans="1:19" x14ac:dyDescent="0.3">
      <c r="A1767" t="s">
        <v>1296</v>
      </c>
      <c r="B1767" t="s">
        <v>1596</v>
      </c>
      <c r="C1767" t="s">
        <v>1619</v>
      </c>
      <c r="D1767" t="s">
        <v>3189</v>
      </c>
      <c r="E1767" t="s">
        <v>9</v>
      </c>
      <c r="F1767" s="2">
        <v>46</v>
      </c>
      <c r="G1767" t="s">
        <v>3197</v>
      </c>
      <c r="H1767" t="s">
        <v>69</v>
      </c>
      <c r="I1767" t="s">
        <v>28</v>
      </c>
      <c r="J1767" t="s">
        <v>3212</v>
      </c>
      <c r="K1767" t="s">
        <v>15</v>
      </c>
      <c r="L1767" s="2">
        <v>33</v>
      </c>
      <c r="M1767" t="s">
        <v>3203</v>
      </c>
      <c r="N1767">
        <v>1</v>
      </c>
      <c r="O1767" t="s">
        <v>30</v>
      </c>
      <c r="P1767" t="e">
        <v>#VALUE!</v>
      </c>
      <c r="Q1767" t="e">
        <v>#VALUE!</v>
      </c>
      <c r="R1767" t="s">
        <v>3201</v>
      </c>
      <c r="S1767" t="s">
        <v>13</v>
      </c>
    </row>
    <row r="1768" spans="1:19" x14ac:dyDescent="0.3">
      <c r="A1768" t="s">
        <v>520</v>
      </c>
      <c r="B1768" t="s">
        <v>1596</v>
      </c>
      <c r="C1768" t="s">
        <v>2420</v>
      </c>
      <c r="D1768" t="s">
        <v>3189</v>
      </c>
      <c r="E1768" t="s">
        <v>9</v>
      </c>
      <c r="F1768" s="2">
        <v>34</v>
      </c>
      <c r="G1768" t="s">
        <v>3206</v>
      </c>
      <c r="H1768" t="s">
        <v>69</v>
      </c>
      <c r="I1768" t="s">
        <v>11</v>
      </c>
      <c r="J1768" t="s">
        <v>3198</v>
      </c>
      <c r="K1768" t="s">
        <v>15</v>
      </c>
      <c r="L1768" s="2">
        <v>33</v>
      </c>
      <c r="M1768" t="s">
        <v>3203</v>
      </c>
      <c r="N1768">
        <v>1</v>
      </c>
      <c r="O1768" t="s">
        <v>30</v>
      </c>
      <c r="P1768" t="e">
        <v>#VALUE!</v>
      </c>
      <c r="Q1768" t="e">
        <v>#VALUE!</v>
      </c>
      <c r="R1768" t="s">
        <v>3201</v>
      </c>
      <c r="S1768" t="s">
        <v>13</v>
      </c>
    </row>
    <row r="1769" spans="1:19" x14ac:dyDescent="0.3">
      <c r="A1769" t="s">
        <v>1297</v>
      </c>
      <c r="B1769" t="s">
        <v>1596</v>
      </c>
      <c r="C1769" t="s">
        <v>2185</v>
      </c>
      <c r="D1769" t="s">
        <v>3189</v>
      </c>
      <c r="E1769" t="s">
        <v>9</v>
      </c>
      <c r="F1769" s="2">
        <v>55</v>
      </c>
      <c r="G1769" t="s">
        <v>3197</v>
      </c>
      <c r="H1769" t="s">
        <v>69</v>
      </c>
      <c r="I1769" t="s">
        <v>28</v>
      </c>
      <c r="J1769" t="s">
        <v>3212</v>
      </c>
      <c r="K1769" t="s">
        <v>15</v>
      </c>
      <c r="L1769" s="2">
        <v>33</v>
      </c>
      <c r="M1769" t="s">
        <v>3203</v>
      </c>
      <c r="N1769">
        <v>1</v>
      </c>
      <c r="O1769" t="s">
        <v>30</v>
      </c>
      <c r="P1769" t="e">
        <v>#VALUE!</v>
      </c>
      <c r="Q1769" t="e">
        <v>#VALUE!</v>
      </c>
      <c r="R1769" t="s">
        <v>3201</v>
      </c>
      <c r="S1769" t="s">
        <v>13</v>
      </c>
    </row>
    <row r="1770" spans="1:19" x14ac:dyDescent="0.3">
      <c r="A1770" t="s">
        <v>1298</v>
      </c>
      <c r="B1770" t="s">
        <v>1602</v>
      </c>
      <c r="C1770" t="s">
        <v>1730</v>
      </c>
      <c r="D1770" t="s">
        <v>3190</v>
      </c>
      <c r="E1770" t="s">
        <v>14</v>
      </c>
      <c r="F1770" s="2">
        <v>40</v>
      </c>
      <c r="G1770" t="s">
        <v>3197</v>
      </c>
      <c r="H1770" t="s">
        <v>69</v>
      </c>
      <c r="I1770" t="s">
        <v>11</v>
      </c>
      <c r="J1770" t="s">
        <v>3198</v>
      </c>
      <c r="K1770" t="s">
        <v>15</v>
      </c>
      <c r="L1770" s="2">
        <v>33</v>
      </c>
      <c r="M1770" t="s">
        <v>3203</v>
      </c>
      <c r="N1770">
        <v>1</v>
      </c>
      <c r="O1770" t="s">
        <v>30</v>
      </c>
      <c r="P1770" t="e">
        <v>#VALUE!</v>
      </c>
      <c r="Q1770" t="e">
        <v>#VALUE!</v>
      </c>
      <c r="R1770" t="s">
        <v>3205</v>
      </c>
      <c r="S1770" t="s">
        <v>16</v>
      </c>
    </row>
    <row r="1771" spans="1:19" x14ac:dyDescent="0.3">
      <c r="A1771" t="s">
        <v>1299</v>
      </c>
      <c r="B1771" t="s">
        <v>1596</v>
      </c>
      <c r="C1771" t="s">
        <v>1976</v>
      </c>
      <c r="D1771" t="s">
        <v>3189</v>
      </c>
      <c r="E1771" t="s">
        <v>9</v>
      </c>
      <c r="F1771" s="2">
        <v>36</v>
      </c>
      <c r="G1771" t="s">
        <v>3197</v>
      </c>
      <c r="H1771" t="s">
        <v>69</v>
      </c>
      <c r="I1771" t="s">
        <v>28</v>
      </c>
      <c r="J1771" t="s">
        <v>3212</v>
      </c>
      <c r="K1771" t="s">
        <v>15</v>
      </c>
      <c r="L1771" s="2">
        <v>33</v>
      </c>
      <c r="M1771" t="s">
        <v>3203</v>
      </c>
      <c r="N1771">
        <v>1</v>
      </c>
      <c r="O1771" t="s">
        <v>30</v>
      </c>
      <c r="P1771" t="e">
        <v>#VALUE!</v>
      </c>
      <c r="Q1771" t="e">
        <v>#VALUE!</v>
      </c>
      <c r="R1771" t="s">
        <v>3201</v>
      </c>
      <c r="S1771" t="s">
        <v>13</v>
      </c>
    </row>
    <row r="1772" spans="1:19" x14ac:dyDescent="0.3">
      <c r="A1772" t="s">
        <v>524</v>
      </c>
      <c r="B1772" t="s">
        <v>1596</v>
      </c>
      <c r="C1772" t="s">
        <v>2032</v>
      </c>
      <c r="D1772" t="s">
        <v>3189</v>
      </c>
      <c r="E1772" t="s">
        <v>9</v>
      </c>
      <c r="F1772" s="2">
        <v>22</v>
      </c>
      <c r="G1772" t="s">
        <v>3206</v>
      </c>
      <c r="H1772" t="s">
        <v>69</v>
      </c>
      <c r="I1772" t="s">
        <v>11</v>
      </c>
      <c r="J1772" t="s">
        <v>3198</v>
      </c>
      <c r="K1772" t="s">
        <v>15</v>
      </c>
      <c r="L1772" s="2">
        <v>33</v>
      </c>
      <c r="M1772" t="s">
        <v>3203</v>
      </c>
      <c r="N1772">
        <v>1</v>
      </c>
      <c r="O1772" t="s">
        <v>30</v>
      </c>
      <c r="P1772" t="e">
        <v>#VALUE!</v>
      </c>
      <c r="Q1772" t="e">
        <v>#VALUE!</v>
      </c>
      <c r="R1772" t="s">
        <v>3201</v>
      </c>
      <c r="S1772" t="s">
        <v>13</v>
      </c>
    </row>
    <row r="1773" spans="1:19" x14ac:dyDescent="0.3">
      <c r="A1773" t="s">
        <v>1300</v>
      </c>
      <c r="B1773" t="s">
        <v>1600</v>
      </c>
      <c r="C1773" t="s">
        <v>2956</v>
      </c>
      <c r="D1773" t="s">
        <v>3190</v>
      </c>
      <c r="E1773" t="s">
        <v>14</v>
      </c>
      <c r="F1773" s="2">
        <v>50</v>
      </c>
      <c r="G1773" t="s">
        <v>3197</v>
      </c>
      <c r="H1773" t="s">
        <v>69</v>
      </c>
      <c r="I1773" t="s">
        <v>11</v>
      </c>
      <c r="J1773" t="s">
        <v>3198</v>
      </c>
      <c r="K1773" t="s">
        <v>15</v>
      </c>
      <c r="L1773" s="2">
        <v>33</v>
      </c>
      <c r="M1773" t="s">
        <v>3203</v>
      </c>
      <c r="N1773">
        <v>1</v>
      </c>
      <c r="O1773" t="s">
        <v>30</v>
      </c>
      <c r="P1773" t="e">
        <v>#VALUE!</v>
      </c>
      <c r="Q1773" t="e">
        <v>#VALUE!</v>
      </c>
      <c r="R1773" t="s">
        <v>3205</v>
      </c>
      <c r="S1773" t="s">
        <v>16</v>
      </c>
    </row>
    <row r="1774" spans="1:19" x14ac:dyDescent="0.3">
      <c r="A1774" t="s">
        <v>1301</v>
      </c>
      <c r="B1774" t="s">
        <v>1596</v>
      </c>
      <c r="C1774" t="s">
        <v>2783</v>
      </c>
      <c r="D1774" t="s">
        <v>3189</v>
      </c>
      <c r="E1774" t="s">
        <v>9</v>
      </c>
      <c r="F1774" s="2">
        <v>18</v>
      </c>
      <c r="G1774" t="s">
        <v>3206</v>
      </c>
      <c r="H1774" t="s">
        <v>51</v>
      </c>
      <c r="I1774" t="s">
        <v>11</v>
      </c>
      <c r="J1774" t="s">
        <v>3198</v>
      </c>
      <c r="K1774" t="s">
        <v>15</v>
      </c>
      <c r="L1774" s="2">
        <v>33</v>
      </c>
      <c r="M1774" t="s">
        <v>3203</v>
      </c>
      <c r="N1774">
        <v>1</v>
      </c>
      <c r="O1774" t="s">
        <v>30</v>
      </c>
      <c r="P1774" t="e">
        <v>#VALUE!</v>
      </c>
      <c r="Q1774" t="e">
        <v>#VALUE!</v>
      </c>
      <c r="R1774" t="s">
        <v>3201</v>
      </c>
      <c r="S1774" t="s">
        <v>13</v>
      </c>
    </row>
    <row r="1775" spans="1:19" x14ac:dyDescent="0.3">
      <c r="A1775" t="s">
        <v>1301</v>
      </c>
      <c r="B1775" t="s">
        <v>1596</v>
      </c>
      <c r="C1775" t="s">
        <v>2957</v>
      </c>
      <c r="D1775" t="s">
        <v>3189</v>
      </c>
      <c r="E1775" t="s">
        <v>9</v>
      </c>
      <c r="F1775" s="2">
        <v>29</v>
      </c>
      <c r="G1775" t="s">
        <v>3206</v>
      </c>
      <c r="H1775" t="s">
        <v>69</v>
      </c>
      <c r="I1775" t="s">
        <v>11</v>
      </c>
      <c r="J1775" t="s">
        <v>3198</v>
      </c>
      <c r="K1775" t="s">
        <v>15</v>
      </c>
      <c r="L1775" s="2">
        <v>33</v>
      </c>
      <c r="M1775" t="s">
        <v>3203</v>
      </c>
      <c r="N1775">
        <v>1</v>
      </c>
      <c r="O1775" t="s">
        <v>30</v>
      </c>
      <c r="P1775" t="e">
        <v>#VALUE!</v>
      </c>
      <c r="Q1775" t="e">
        <v>#VALUE!</v>
      </c>
      <c r="R1775" t="s">
        <v>3205</v>
      </c>
      <c r="S1775" t="s">
        <v>16</v>
      </c>
    </row>
    <row r="1776" spans="1:19" x14ac:dyDescent="0.3">
      <c r="A1776" t="s">
        <v>1301</v>
      </c>
      <c r="B1776" t="s">
        <v>1596</v>
      </c>
      <c r="C1776" t="s">
        <v>2958</v>
      </c>
      <c r="D1776" t="s">
        <v>3189</v>
      </c>
      <c r="E1776" t="s">
        <v>9</v>
      </c>
      <c r="F1776" s="2">
        <v>41</v>
      </c>
      <c r="G1776" t="s">
        <v>3197</v>
      </c>
      <c r="H1776" t="s">
        <v>71</v>
      </c>
      <c r="I1776" t="s">
        <v>11</v>
      </c>
      <c r="J1776" t="s">
        <v>3198</v>
      </c>
      <c r="K1776" t="s">
        <v>15</v>
      </c>
      <c r="L1776" s="2">
        <v>33</v>
      </c>
      <c r="M1776" t="s">
        <v>3203</v>
      </c>
      <c r="N1776">
        <v>1</v>
      </c>
      <c r="O1776" t="s">
        <v>30</v>
      </c>
      <c r="P1776" t="e">
        <v>#VALUE!</v>
      </c>
      <c r="Q1776" t="e">
        <v>#VALUE!</v>
      </c>
      <c r="R1776" t="s">
        <v>3205</v>
      </c>
      <c r="S1776" t="s">
        <v>16</v>
      </c>
    </row>
    <row r="1777" spans="1:19" x14ac:dyDescent="0.3">
      <c r="A1777" t="s">
        <v>525</v>
      </c>
      <c r="B1777" t="s">
        <v>1596</v>
      </c>
      <c r="C1777" t="s">
        <v>2959</v>
      </c>
      <c r="D1777" t="s">
        <v>3189</v>
      </c>
      <c r="E1777" t="s">
        <v>9</v>
      </c>
      <c r="F1777" s="2">
        <v>35</v>
      </c>
      <c r="G1777" t="s">
        <v>3206</v>
      </c>
      <c r="H1777" t="s">
        <v>69</v>
      </c>
      <c r="I1777" t="s">
        <v>11</v>
      </c>
      <c r="J1777" t="s">
        <v>3198</v>
      </c>
      <c r="K1777" t="s">
        <v>15</v>
      </c>
      <c r="L1777" s="2">
        <v>33</v>
      </c>
      <c r="M1777" t="s">
        <v>3203</v>
      </c>
      <c r="N1777">
        <v>1</v>
      </c>
      <c r="O1777" t="s">
        <v>30</v>
      </c>
      <c r="P1777" t="e">
        <v>#VALUE!</v>
      </c>
      <c r="Q1777" t="e">
        <v>#VALUE!</v>
      </c>
      <c r="R1777" t="s">
        <v>3201</v>
      </c>
      <c r="S1777" t="s">
        <v>13</v>
      </c>
    </row>
    <row r="1778" spans="1:19" x14ac:dyDescent="0.3">
      <c r="A1778" t="s">
        <v>1302</v>
      </c>
      <c r="B1778" t="s">
        <v>1596</v>
      </c>
      <c r="C1778" t="s">
        <v>2504</v>
      </c>
      <c r="D1778" t="s">
        <v>3189</v>
      </c>
      <c r="E1778" t="s">
        <v>9</v>
      </c>
      <c r="F1778" s="2">
        <v>25</v>
      </c>
      <c r="G1778" t="s">
        <v>3206</v>
      </c>
      <c r="H1778" t="s">
        <v>69</v>
      </c>
      <c r="I1778" t="s">
        <v>28</v>
      </c>
      <c r="J1778" t="s">
        <v>3212</v>
      </c>
      <c r="K1778" t="s">
        <v>12</v>
      </c>
      <c r="L1778" s="2">
        <v>33</v>
      </c>
      <c r="M1778" t="s">
        <v>3203</v>
      </c>
      <c r="N1778">
        <v>1</v>
      </c>
      <c r="O1778" t="s">
        <v>30</v>
      </c>
      <c r="P1778" t="e">
        <v>#VALUE!</v>
      </c>
      <c r="Q1778" t="e">
        <v>#VALUE!</v>
      </c>
      <c r="R1778" t="s">
        <v>3201</v>
      </c>
      <c r="S1778" t="s">
        <v>13</v>
      </c>
    </row>
    <row r="1779" spans="1:19" x14ac:dyDescent="0.3">
      <c r="A1779" t="s">
        <v>1303</v>
      </c>
      <c r="B1779" t="s">
        <v>1596</v>
      </c>
      <c r="C1779" t="s">
        <v>2751</v>
      </c>
      <c r="D1779" t="s">
        <v>3189</v>
      </c>
      <c r="E1779" t="s">
        <v>9</v>
      </c>
      <c r="F1779" s="2">
        <v>26</v>
      </c>
      <c r="G1779" t="s">
        <v>3206</v>
      </c>
      <c r="H1779" t="s">
        <v>69</v>
      </c>
      <c r="I1779" t="s">
        <v>28</v>
      </c>
      <c r="J1779" t="s">
        <v>3212</v>
      </c>
      <c r="K1779" t="s">
        <v>15</v>
      </c>
      <c r="L1779" s="2">
        <v>33</v>
      </c>
      <c r="M1779" t="s">
        <v>3203</v>
      </c>
      <c r="N1779">
        <v>1</v>
      </c>
      <c r="O1779" t="s">
        <v>30</v>
      </c>
      <c r="P1779" t="e">
        <v>#VALUE!</v>
      </c>
      <c r="Q1779" t="e">
        <v>#VALUE!</v>
      </c>
      <c r="R1779" t="s">
        <v>3201</v>
      </c>
      <c r="S1779" t="s">
        <v>13</v>
      </c>
    </row>
    <row r="1780" spans="1:19" x14ac:dyDescent="0.3">
      <c r="A1780" t="s">
        <v>1304</v>
      </c>
      <c r="B1780" t="s">
        <v>1596</v>
      </c>
      <c r="C1780" t="s">
        <v>2960</v>
      </c>
      <c r="D1780" t="s">
        <v>3189</v>
      </c>
      <c r="E1780" t="s">
        <v>9</v>
      </c>
      <c r="F1780" s="2">
        <v>27</v>
      </c>
      <c r="G1780" t="s">
        <v>3206</v>
      </c>
      <c r="H1780" t="s">
        <v>69</v>
      </c>
      <c r="I1780" t="s">
        <v>11</v>
      </c>
      <c r="J1780" t="s">
        <v>3198</v>
      </c>
      <c r="K1780" t="s">
        <v>15</v>
      </c>
      <c r="L1780" s="2">
        <v>33</v>
      </c>
      <c r="M1780" t="s">
        <v>3203</v>
      </c>
      <c r="N1780">
        <v>1</v>
      </c>
      <c r="O1780" t="s">
        <v>30</v>
      </c>
      <c r="P1780" t="e">
        <v>#VALUE!</v>
      </c>
      <c r="Q1780" t="e">
        <v>#VALUE!</v>
      </c>
      <c r="R1780" t="s">
        <v>3205</v>
      </c>
      <c r="S1780" t="s">
        <v>16</v>
      </c>
    </row>
    <row r="1781" spans="1:19" x14ac:dyDescent="0.3">
      <c r="A1781" t="s">
        <v>1305</v>
      </c>
      <c r="B1781" t="s">
        <v>1596</v>
      </c>
      <c r="C1781" t="s">
        <v>1884</v>
      </c>
      <c r="D1781" t="s">
        <v>3189</v>
      </c>
      <c r="E1781" t="s">
        <v>9</v>
      </c>
      <c r="F1781" s="2">
        <v>24</v>
      </c>
      <c r="G1781" t="s">
        <v>3206</v>
      </c>
      <c r="H1781" t="s">
        <v>69</v>
      </c>
      <c r="I1781" t="s">
        <v>11</v>
      </c>
      <c r="J1781" t="s">
        <v>3198</v>
      </c>
      <c r="K1781" t="s">
        <v>15</v>
      </c>
      <c r="L1781" s="2">
        <v>33</v>
      </c>
      <c r="M1781" t="s">
        <v>3203</v>
      </c>
      <c r="N1781">
        <v>1</v>
      </c>
      <c r="O1781" t="s">
        <v>30</v>
      </c>
      <c r="P1781" t="e">
        <v>#VALUE!</v>
      </c>
      <c r="Q1781" t="e">
        <v>#VALUE!</v>
      </c>
      <c r="R1781" t="s">
        <v>3201</v>
      </c>
      <c r="S1781" t="s">
        <v>13</v>
      </c>
    </row>
    <row r="1782" spans="1:19" x14ac:dyDescent="0.3">
      <c r="A1782" t="s">
        <v>1305</v>
      </c>
      <c r="B1782" t="s">
        <v>1596</v>
      </c>
      <c r="C1782" t="s">
        <v>2961</v>
      </c>
      <c r="D1782" t="s">
        <v>3189</v>
      </c>
      <c r="E1782" t="s">
        <v>9</v>
      </c>
      <c r="F1782" s="2">
        <v>20</v>
      </c>
      <c r="G1782" t="s">
        <v>3206</v>
      </c>
      <c r="H1782" t="s">
        <v>51</v>
      </c>
      <c r="I1782" t="s">
        <v>11</v>
      </c>
      <c r="J1782" t="s">
        <v>3198</v>
      </c>
      <c r="K1782" t="s">
        <v>15</v>
      </c>
      <c r="L1782" s="2">
        <v>33</v>
      </c>
      <c r="M1782" t="s">
        <v>3203</v>
      </c>
      <c r="N1782">
        <v>1</v>
      </c>
      <c r="O1782" t="s">
        <v>30</v>
      </c>
      <c r="P1782" t="e">
        <v>#VALUE!</v>
      </c>
      <c r="Q1782" t="e">
        <v>#VALUE!</v>
      </c>
      <c r="R1782" t="s">
        <v>3201</v>
      </c>
      <c r="S1782" t="s">
        <v>13</v>
      </c>
    </row>
    <row r="1783" spans="1:19" x14ac:dyDescent="0.3">
      <c r="A1783" t="s">
        <v>1305</v>
      </c>
      <c r="B1783" t="s">
        <v>1596</v>
      </c>
      <c r="C1783" t="s">
        <v>2882</v>
      </c>
      <c r="D1783" t="s">
        <v>3189</v>
      </c>
      <c r="E1783" t="s">
        <v>9</v>
      </c>
      <c r="F1783" s="2">
        <v>47</v>
      </c>
      <c r="G1783" t="s">
        <v>3197</v>
      </c>
      <c r="H1783" t="s">
        <v>51</v>
      </c>
      <c r="I1783" t="s">
        <v>11</v>
      </c>
      <c r="J1783" t="s">
        <v>3198</v>
      </c>
      <c r="K1783" t="s">
        <v>15</v>
      </c>
      <c r="L1783" s="2">
        <v>33</v>
      </c>
      <c r="M1783" t="s">
        <v>3203</v>
      </c>
      <c r="N1783">
        <v>1</v>
      </c>
      <c r="O1783" t="s">
        <v>30</v>
      </c>
      <c r="P1783" t="e">
        <v>#VALUE!</v>
      </c>
      <c r="Q1783" t="e">
        <v>#VALUE!</v>
      </c>
      <c r="R1783" t="s">
        <v>3201</v>
      </c>
      <c r="S1783" t="s">
        <v>13</v>
      </c>
    </row>
    <row r="1784" spans="1:19" x14ac:dyDescent="0.3">
      <c r="A1784" t="s">
        <v>1306</v>
      </c>
      <c r="B1784" t="s">
        <v>1596</v>
      </c>
      <c r="C1784" t="s">
        <v>2962</v>
      </c>
      <c r="D1784" t="s">
        <v>3189</v>
      </c>
      <c r="E1784" t="s">
        <v>9</v>
      </c>
      <c r="F1784" s="2">
        <v>38</v>
      </c>
      <c r="G1784" t="s">
        <v>3197</v>
      </c>
      <c r="H1784" t="s">
        <v>71</v>
      </c>
      <c r="I1784" t="s">
        <v>28</v>
      </c>
      <c r="J1784" t="s">
        <v>3212</v>
      </c>
      <c r="K1784" t="s">
        <v>15</v>
      </c>
      <c r="L1784" s="2">
        <v>33</v>
      </c>
      <c r="M1784" t="s">
        <v>3203</v>
      </c>
      <c r="N1784">
        <v>1</v>
      </c>
      <c r="O1784" t="s">
        <v>30</v>
      </c>
      <c r="P1784" t="e">
        <v>#VALUE!</v>
      </c>
      <c r="Q1784" t="e">
        <v>#VALUE!</v>
      </c>
      <c r="R1784" t="s">
        <v>3205</v>
      </c>
      <c r="S1784" t="s">
        <v>16</v>
      </c>
    </row>
    <row r="1785" spans="1:19" x14ac:dyDescent="0.3">
      <c r="A1785" t="s">
        <v>1307</v>
      </c>
      <c r="B1785" t="s">
        <v>1596</v>
      </c>
      <c r="C1785" t="s">
        <v>2963</v>
      </c>
      <c r="D1785" t="s">
        <v>3189</v>
      </c>
      <c r="E1785" t="s">
        <v>9</v>
      </c>
      <c r="F1785" s="2">
        <v>30</v>
      </c>
      <c r="G1785" t="s">
        <v>3206</v>
      </c>
      <c r="H1785" t="s">
        <v>51</v>
      </c>
      <c r="I1785" t="s">
        <v>11</v>
      </c>
      <c r="J1785" t="s">
        <v>3198</v>
      </c>
      <c r="K1785" t="s">
        <v>15</v>
      </c>
      <c r="L1785" s="2">
        <v>33</v>
      </c>
      <c r="M1785" t="s">
        <v>3203</v>
      </c>
      <c r="N1785">
        <v>1</v>
      </c>
      <c r="O1785" t="s">
        <v>30</v>
      </c>
      <c r="P1785" t="e">
        <v>#VALUE!</v>
      </c>
      <c r="Q1785" t="e">
        <v>#VALUE!</v>
      </c>
      <c r="R1785" t="s">
        <v>3205</v>
      </c>
      <c r="S1785" t="s">
        <v>16</v>
      </c>
    </row>
    <row r="1786" spans="1:19" x14ac:dyDescent="0.3">
      <c r="A1786" t="s">
        <v>1308</v>
      </c>
      <c r="B1786" t="s">
        <v>1596</v>
      </c>
      <c r="C1786" t="s">
        <v>2964</v>
      </c>
      <c r="D1786" t="s">
        <v>3189</v>
      </c>
      <c r="E1786" t="s">
        <v>9</v>
      </c>
      <c r="F1786" s="2">
        <v>40</v>
      </c>
      <c r="G1786" t="s">
        <v>3197</v>
      </c>
      <c r="H1786" t="s">
        <v>69</v>
      </c>
      <c r="I1786" t="s">
        <v>28</v>
      </c>
      <c r="J1786" t="s">
        <v>3212</v>
      </c>
      <c r="K1786" t="s">
        <v>15</v>
      </c>
      <c r="L1786" s="2">
        <v>33</v>
      </c>
      <c r="M1786" t="s">
        <v>3203</v>
      </c>
      <c r="N1786">
        <v>1</v>
      </c>
      <c r="O1786" t="s">
        <v>30</v>
      </c>
      <c r="P1786" t="e">
        <v>#VALUE!</v>
      </c>
      <c r="Q1786" t="e">
        <v>#VALUE!</v>
      </c>
      <c r="R1786" t="s">
        <v>3205</v>
      </c>
      <c r="S1786" t="s">
        <v>16</v>
      </c>
    </row>
    <row r="1787" spans="1:19" x14ac:dyDescent="0.3">
      <c r="A1787" t="s">
        <v>1309</v>
      </c>
      <c r="B1787" t="s">
        <v>1596</v>
      </c>
      <c r="C1787" t="s">
        <v>2920</v>
      </c>
      <c r="D1787" t="s">
        <v>3189</v>
      </c>
      <c r="E1787" t="s">
        <v>9</v>
      </c>
      <c r="F1787" s="2">
        <v>41</v>
      </c>
      <c r="G1787" t="s">
        <v>3197</v>
      </c>
      <c r="H1787" t="s">
        <v>69</v>
      </c>
      <c r="I1787" t="s">
        <v>28</v>
      </c>
      <c r="J1787" t="s">
        <v>3212</v>
      </c>
      <c r="K1787" t="s">
        <v>15</v>
      </c>
      <c r="L1787" s="2">
        <v>33</v>
      </c>
      <c r="M1787" t="s">
        <v>3203</v>
      </c>
      <c r="N1787">
        <v>1</v>
      </c>
      <c r="O1787" t="s">
        <v>30</v>
      </c>
      <c r="P1787" t="e">
        <v>#VALUE!</v>
      </c>
      <c r="Q1787" t="e">
        <v>#VALUE!</v>
      </c>
      <c r="R1787" t="s">
        <v>3201</v>
      </c>
      <c r="S1787" t="s">
        <v>13</v>
      </c>
    </row>
    <row r="1788" spans="1:19" x14ac:dyDescent="0.3">
      <c r="A1788" t="s">
        <v>1309</v>
      </c>
      <c r="B1788" t="s">
        <v>1596</v>
      </c>
      <c r="C1788" t="s">
        <v>1619</v>
      </c>
      <c r="D1788" t="s">
        <v>3189</v>
      </c>
      <c r="E1788" t="s">
        <v>9</v>
      </c>
      <c r="F1788" s="2">
        <v>29</v>
      </c>
      <c r="G1788" t="s">
        <v>3206</v>
      </c>
      <c r="H1788" t="s">
        <v>51</v>
      </c>
      <c r="I1788" t="s">
        <v>11</v>
      </c>
      <c r="J1788" t="s">
        <v>3198</v>
      </c>
      <c r="K1788" t="s">
        <v>15</v>
      </c>
      <c r="L1788" s="2">
        <v>33</v>
      </c>
      <c r="M1788" t="s">
        <v>3203</v>
      </c>
      <c r="N1788">
        <v>1</v>
      </c>
      <c r="O1788" t="s">
        <v>30</v>
      </c>
      <c r="P1788" t="e">
        <v>#VALUE!</v>
      </c>
      <c r="Q1788" t="e">
        <v>#VALUE!</v>
      </c>
      <c r="R1788" t="s">
        <v>3201</v>
      </c>
      <c r="S1788" t="s">
        <v>13</v>
      </c>
    </row>
    <row r="1789" spans="1:19" x14ac:dyDescent="0.3">
      <c r="A1789" t="s">
        <v>1310</v>
      </c>
      <c r="B1789" t="s">
        <v>1596</v>
      </c>
      <c r="C1789" t="s">
        <v>2965</v>
      </c>
      <c r="D1789" t="s">
        <v>3189</v>
      </c>
      <c r="E1789" t="s">
        <v>9</v>
      </c>
      <c r="F1789" s="2">
        <v>33</v>
      </c>
      <c r="G1789" t="s">
        <v>3206</v>
      </c>
      <c r="H1789" t="s">
        <v>69</v>
      </c>
      <c r="I1789" t="s">
        <v>11</v>
      </c>
      <c r="J1789" t="s">
        <v>3198</v>
      </c>
      <c r="K1789" t="s">
        <v>15</v>
      </c>
      <c r="L1789" s="2">
        <v>33</v>
      </c>
      <c r="M1789" t="s">
        <v>3203</v>
      </c>
      <c r="N1789">
        <v>1</v>
      </c>
      <c r="O1789" t="s">
        <v>30</v>
      </c>
      <c r="P1789" t="e">
        <v>#VALUE!</v>
      </c>
      <c r="Q1789" t="e">
        <v>#VALUE!</v>
      </c>
      <c r="R1789" t="s">
        <v>3201</v>
      </c>
      <c r="S1789" t="s">
        <v>13</v>
      </c>
    </row>
    <row r="1790" spans="1:19" x14ac:dyDescent="0.3">
      <c r="A1790" t="s">
        <v>553</v>
      </c>
      <c r="B1790" t="s">
        <v>1596</v>
      </c>
      <c r="C1790" t="s">
        <v>1945</v>
      </c>
      <c r="D1790" t="s">
        <v>3189</v>
      </c>
      <c r="E1790" t="s">
        <v>9</v>
      </c>
      <c r="F1790" s="2">
        <v>31</v>
      </c>
      <c r="G1790" t="s">
        <v>3206</v>
      </c>
      <c r="H1790" t="s">
        <v>51</v>
      </c>
      <c r="I1790" t="s">
        <v>11</v>
      </c>
      <c r="J1790" t="s">
        <v>3198</v>
      </c>
      <c r="K1790" t="s">
        <v>15</v>
      </c>
      <c r="L1790" s="2">
        <v>33</v>
      </c>
      <c r="M1790" t="s">
        <v>3203</v>
      </c>
      <c r="N1790">
        <v>1</v>
      </c>
      <c r="O1790" t="s">
        <v>30</v>
      </c>
      <c r="P1790" t="e">
        <v>#VALUE!</v>
      </c>
      <c r="Q1790" t="e">
        <v>#VALUE!</v>
      </c>
      <c r="R1790" t="s">
        <v>3201</v>
      </c>
      <c r="S1790" t="s">
        <v>13</v>
      </c>
    </row>
    <row r="1791" spans="1:19" x14ac:dyDescent="0.3">
      <c r="A1791" t="s">
        <v>553</v>
      </c>
      <c r="B1791" t="s">
        <v>1596</v>
      </c>
      <c r="C1791" t="s">
        <v>1619</v>
      </c>
      <c r="D1791" t="s">
        <v>3189</v>
      </c>
      <c r="E1791" t="s">
        <v>9</v>
      </c>
      <c r="F1791" s="2">
        <v>36</v>
      </c>
      <c r="G1791" t="s">
        <v>3197</v>
      </c>
      <c r="H1791" t="s">
        <v>51</v>
      </c>
      <c r="I1791" t="s">
        <v>11</v>
      </c>
      <c r="J1791" t="s">
        <v>3198</v>
      </c>
      <c r="K1791" t="s">
        <v>15</v>
      </c>
      <c r="L1791" s="2">
        <v>33</v>
      </c>
      <c r="M1791" t="s">
        <v>3203</v>
      </c>
      <c r="N1791">
        <v>1</v>
      </c>
      <c r="O1791" t="s">
        <v>30</v>
      </c>
      <c r="P1791" t="e">
        <v>#VALUE!</v>
      </c>
      <c r="Q1791" t="e">
        <v>#VALUE!</v>
      </c>
      <c r="R1791" t="s">
        <v>3201</v>
      </c>
      <c r="S1791" t="s">
        <v>13</v>
      </c>
    </row>
    <row r="1792" spans="1:19" x14ac:dyDescent="0.3">
      <c r="A1792" t="s">
        <v>1311</v>
      </c>
      <c r="B1792" t="s">
        <v>1596</v>
      </c>
      <c r="C1792" t="s">
        <v>2966</v>
      </c>
      <c r="D1792" t="s">
        <v>3189</v>
      </c>
      <c r="E1792" t="s">
        <v>9</v>
      </c>
      <c r="F1792" s="2">
        <v>20</v>
      </c>
      <c r="G1792" t="s">
        <v>3206</v>
      </c>
      <c r="H1792" t="s">
        <v>69</v>
      </c>
      <c r="I1792" t="s">
        <v>11</v>
      </c>
      <c r="J1792" t="s">
        <v>3198</v>
      </c>
      <c r="K1792" t="s">
        <v>15</v>
      </c>
      <c r="L1792" s="2">
        <v>33</v>
      </c>
      <c r="M1792" t="s">
        <v>3203</v>
      </c>
      <c r="N1792">
        <v>1</v>
      </c>
      <c r="O1792" t="s">
        <v>30</v>
      </c>
      <c r="P1792" t="e">
        <v>#VALUE!</v>
      </c>
      <c r="Q1792" t="e">
        <v>#VALUE!</v>
      </c>
      <c r="R1792" t="s">
        <v>3201</v>
      </c>
      <c r="S1792" t="s">
        <v>13</v>
      </c>
    </row>
    <row r="1793" spans="1:19" x14ac:dyDescent="0.3">
      <c r="A1793" t="s">
        <v>556</v>
      </c>
      <c r="B1793" t="s">
        <v>1596</v>
      </c>
      <c r="C1793" t="s">
        <v>1610</v>
      </c>
      <c r="D1793" t="s">
        <v>3189</v>
      </c>
      <c r="E1793" t="s">
        <v>9</v>
      </c>
      <c r="F1793" s="2">
        <v>37</v>
      </c>
      <c r="G1793" t="s">
        <v>3197</v>
      </c>
      <c r="H1793" t="s">
        <v>69</v>
      </c>
      <c r="I1793" t="s">
        <v>11</v>
      </c>
      <c r="J1793" t="s">
        <v>3198</v>
      </c>
      <c r="K1793" t="s">
        <v>15</v>
      </c>
      <c r="L1793" s="2">
        <v>33</v>
      </c>
      <c r="M1793" t="s">
        <v>3203</v>
      </c>
      <c r="N1793">
        <v>1</v>
      </c>
      <c r="O1793" t="s">
        <v>30</v>
      </c>
      <c r="P1793" t="e">
        <v>#VALUE!</v>
      </c>
      <c r="Q1793" t="e">
        <v>#VALUE!</v>
      </c>
      <c r="R1793" t="s">
        <v>3201</v>
      </c>
      <c r="S1793" t="s">
        <v>13</v>
      </c>
    </row>
    <row r="1794" spans="1:19" x14ac:dyDescent="0.3">
      <c r="A1794" t="s">
        <v>1312</v>
      </c>
      <c r="B1794" t="s">
        <v>1596</v>
      </c>
      <c r="C1794" t="s">
        <v>2967</v>
      </c>
      <c r="D1794" t="s">
        <v>3189</v>
      </c>
      <c r="E1794" t="s">
        <v>9</v>
      </c>
      <c r="F1794" s="2">
        <v>29</v>
      </c>
      <c r="G1794" t="s">
        <v>3206</v>
      </c>
      <c r="H1794" t="s">
        <v>71</v>
      </c>
      <c r="I1794" t="s">
        <v>28</v>
      </c>
      <c r="J1794" t="s">
        <v>3212</v>
      </c>
      <c r="K1794" t="s">
        <v>40</v>
      </c>
      <c r="L1794" s="2">
        <v>33</v>
      </c>
      <c r="M1794" t="s">
        <v>3203</v>
      </c>
      <c r="N1794">
        <v>1</v>
      </c>
      <c r="O1794" t="s">
        <v>30</v>
      </c>
      <c r="P1794" t="e">
        <v>#VALUE!</v>
      </c>
      <c r="Q1794" t="e">
        <v>#VALUE!</v>
      </c>
      <c r="R1794" t="s">
        <v>3205</v>
      </c>
      <c r="S1794" t="s">
        <v>16</v>
      </c>
    </row>
    <row r="1795" spans="1:19" x14ac:dyDescent="0.3">
      <c r="A1795" t="s">
        <v>1313</v>
      </c>
      <c r="B1795" t="s">
        <v>1596</v>
      </c>
      <c r="C1795" t="s">
        <v>2254</v>
      </c>
      <c r="D1795" t="s">
        <v>3189</v>
      </c>
      <c r="E1795" t="s">
        <v>9</v>
      </c>
      <c r="F1795" s="2">
        <v>25</v>
      </c>
      <c r="G1795" t="s">
        <v>3206</v>
      </c>
      <c r="H1795" t="s">
        <v>71</v>
      </c>
      <c r="I1795" t="s">
        <v>11</v>
      </c>
      <c r="J1795" t="s">
        <v>3198</v>
      </c>
      <c r="K1795" t="s">
        <v>15</v>
      </c>
      <c r="L1795" s="2">
        <v>33</v>
      </c>
      <c r="M1795" t="s">
        <v>3203</v>
      </c>
      <c r="N1795">
        <v>1</v>
      </c>
      <c r="O1795" t="s">
        <v>30</v>
      </c>
      <c r="P1795" t="e">
        <v>#VALUE!</v>
      </c>
      <c r="Q1795" t="e">
        <v>#VALUE!</v>
      </c>
      <c r="R1795" t="s">
        <v>3205</v>
      </c>
      <c r="S1795" t="s">
        <v>16</v>
      </c>
    </row>
    <row r="1796" spans="1:19" x14ac:dyDescent="0.3">
      <c r="A1796" t="s">
        <v>1313</v>
      </c>
      <c r="B1796" t="s">
        <v>1596</v>
      </c>
      <c r="C1796" t="s">
        <v>2968</v>
      </c>
      <c r="D1796" t="s">
        <v>3189</v>
      </c>
      <c r="E1796" t="s">
        <v>9</v>
      </c>
      <c r="F1796" s="2">
        <v>31</v>
      </c>
      <c r="G1796" t="s">
        <v>3206</v>
      </c>
      <c r="H1796" t="s">
        <v>69</v>
      </c>
      <c r="I1796" t="s">
        <v>28</v>
      </c>
      <c r="J1796" t="s">
        <v>3212</v>
      </c>
      <c r="K1796" t="s">
        <v>15</v>
      </c>
      <c r="L1796" s="2">
        <v>33</v>
      </c>
      <c r="M1796" t="s">
        <v>3203</v>
      </c>
      <c r="N1796">
        <v>1</v>
      </c>
      <c r="O1796" t="s">
        <v>30</v>
      </c>
      <c r="P1796" t="e">
        <v>#VALUE!</v>
      </c>
      <c r="Q1796" t="e">
        <v>#VALUE!</v>
      </c>
      <c r="R1796" t="s">
        <v>3205</v>
      </c>
      <c r="S1796" t="s">
        <v>16</v>
      </c>
    </row>
    <row r="1797" spans="1:19" x14ac:dyDescent="0.3">
      <c r="A1797" t="s">
        <v>1314</v>
      </c>
      <c r="B1797" t="s">
        <v>1596</v>
      </c>
      <c r="C1797" t="s">
        <v>2259</v>
      </c>
      <c r="D1797" t="s">
        <v>3189</v>
      </c>
      <c r="E1797" t="s">
        <v>9</v>
      </c>
      <c r="F1797" s="2">
        <v>45</v>
      </c>
      <c r="G1797" t="s">
        <v>3197</v>
      </c>
      <c r="H1797" t="s">
        <v>69</v>
      </c>
      <c r="I1797" t="s">
        <v>11</v>
      </c>
      <c r="J1797" t="s">
        <v>3198</v>
      </c>
      <c r="K1797" t="s">
        <v>15</v>
      </c>
      <c r="L1797" s="2">
        <v>33</v>
      </c>
      <c r="M1797" t="s">
        <v>3203</v>
      </c>
      <c r="N1797">
        <v>1</v>
      </c>
      <c r="O1797" t="s">
        <v>30</v>
      </c>
      <c r="P1797" t="e">
        <v>#VALUE!</v>
      </c>
      <c r="Q1797" t="e">
        <v>#VALUE!</v>
      </c>
      <c r="R1797" t="s">
        <v>3201</v>
      </c>
      <c r="S1797" t="s">
        <v>13</v>
      </c>
    </row>
    <row r="1798" spans="1:19" x14ac:dyDescent="0.3">
      <c r="A1798" t="s">
        <v>1315</v>
      </c>
      <c r="B1798" t="s">
        <v>1596</v>
      </c>
      <c r="C1798" t="s">
        <v>1621</v>
      </c>
      <c r="D1798" t="s">
        <v>3189</v>
      </c>
      <c r="E1798" t="s">
        <v>9</v>
      </c>
      <c r="F1798" s="2">
        <v>26</v>
      </c>
      <c r="G1798" t="s">
        <v>3206</v>
      </c>
      <c r="H1798" t="s">
        <v>71</v>
      </c>
      <c r="I1798" t="s">
        <v>11</v>
      </c>
      <c r="J1798" t="s">
        <v>3198</v>
      </c>
      <c r="K1798" t="s">
        <v>37</v>
      </c>
      <c r="L1798" s="2">
        <v>33</v>
      </c>
      <c r="M1798" t="s">
        <v>3203</v>
      </c>
      <c r="N1798">
        <v>1</v>
      </c>
      <c r="O1798" t="s">
        <v>30</v>
      </c>
      <c r="P1798" t="e">
        <v>#VALUE!</v>
      </c>
      <c r="Q1798" t="e">
        <v>#VALUE!</v>
      </c>
      <c r="R1798" t="s">
        <v>3201</v>
      </c>
      <c r="S1798" t="s">
        <v>13</v>
      </c>
    </row>
    <row r="1799" spans="1:19" x14ac:dyDescent="0.3">
      <c r="A1799" t="s">
        <v>1316</v>
      </c>
      <c r="B1799" t="s">
        <v>1596</v>
      </c>
      <c r="C1799" t="s">
        <v>2969</v>
      </c>
      <c r="D1799" t="s">
        <v>3189</v>
      </c>
      <c r="E1799" t="s">
        <v>9</v>
      </c>
      <c r="F1799" s="2">
        <v>24</v>
      </c>
      <c r="G1799" t="s">
        <v>3206</v>
      </c>
      <c r="H1799" t="s">
        <v>69</v>
      </c>
      <c r="I1799" t="s">
        <v>11</v>
      </c>
      <c r="J1799" t="s">
        <v>3198</v>
      </c>
      <c r="K1799" t="s">
        <v>15</v>
      </c>
      <c r="L1799" s="2">
        <v>33</v>
      </c>
      <c r="M1799" t="s">
        <v>3203</v>
      </c>
      <c r="N1799">
        <v>1</v>
      </c>
      <c r="O1799" t="s">
        <v>30</v>
      </c>
      <c r="P1799" t="e">
        <v>#VALUE!</v>
      </c>
      <c r="Q1799" t="e">
        <v>#VALUE!</v>
      </c>
      <c r="R1799" t="s">
        <v>3201</v>
      </c>
      <c r="S1799" t="s">
        <v>13</v>
      </c>
    </row>
    <row r="1800" spans="1:19" x14ac:dyDescent="0.3">
      <c r="A1800" t="s">
        <v>1317</v>
      </c>
      <c r="B1800" t="s">
        <v>1596</v>
      </c>
      <c r="C1800" t="s">
        <v>2269</v>
      </c>
      <c r="D1800" t="s">
        <v>3189</v>
      </c>
      <c r="E1800" t="s">
        <v>9</v>
      </c>
      <c r="F1800" s="2">
        <v>34</v>
      </c>
      <c r="G1800" t="s">
        <v>3206</v>
      </c>
      <c r="H1800" t="s">
        <v>69</v>
      </c>
      <c r="I1800" t="s">
        <v>11</v>
      </c>
      <c r="J1800" t="s">
        <v>3198</v>
      </c>
      <c r="K1800" t="s">
        <v>15</v>
      </c>
      <c r="L1800" s="2">
        <v>33</v>
      </c>
      <c r="M1800" t="s">
        <v>3203</v>
      </c>
      <c r="N1800">
        <v>1</v>
      </c>
      <c r="O1800" t="s">
        <v>30</v>
      </c>
      <c r="P1800" t="e">
        <v>#VALUE!</v>
      </c>
      <c r="Q1800" t="e">
        <v>#VALUE!</v>
      </c>
      <c r="R1800" t="s">
        <v>3201</v>
      </c>
      <c r="S1800" t="s">
        <v>13</v>
      </c>
    </row>
    <row r="1801" spans="1:19" x14ac:dyDescent="0.3">
      <c r="A1801" t="s">
        <v>1318</v>
      </c>
      <c r="B1801" t="s">
        <v>1596</v>
      </c>
      <c r="C1801" t="s">
        <v>2970</v>
      </c>
      <c r="D1801" t="s">
        <v>3189</v>
      </c>
      <c r="E1801" t="s">
        <v>9</v>
      </c>
      <c r="F1801" s="2">
        <v>32</v>
      </c>
      <c r="G1801" t="s">
        <v>3206</v>
      </c>
      <c r="H1801" t="s">
        <v>51</v>
      </c>
      <c r="I1801" t="s">
        <v>28</v>
      </c>
      <c r="J1801" t="s">
        <v>3212</v>
      </c>
      <c r="K1801" t="s">
        <v>43</v>
      </c>
      <c r="L1801" s="2">
        <v>33</v>
      </c>
      <c r="M1801" t="s">
        <v>3203</v>
      </c>
      <c r="N1801">
        <v>1</v>
      </c>
      <c r="O1801" t="s">
        <v>30</v>
      </c>
      <c r="P1801" t="e">
        <v>#VALUE!</v>
      </c>
      <c r="Q1801" t="e">
        <v>#VALUE!</v>
      </c>
      <c r="R1801" t="s">
        <v>3201</v>
      </c>
      <c r="S1801" t="s">
        <v>13</v>
      </c>
    </row>
    <row r="1802" spans="1:19" x14ac:dyDescent="0.3">
      <c r="A1802" t="s">
        <v>1319</v>
      </c>
      <c r="B1802" t="s">
        <v>1596</v>
      </c>
      <c r="C1802" t="s">
        <v>2971</v>
      </c>
      <c r="D1802" t="s">
        <v>3189</v>
      </c>
      <c r="E1802" t="s">
        <v>9</v>
      </c>
      <c r="F1802" s="2">
        <v>36</v>
      </c>
      <c r="G1802" t="s">
        <v>3197</v>
      </c>
      <c r="H1802" t="s">
        <v>69</v>
      </c>
      <c r="I1802" t="s">
        <v>28</v>
      </c>
      <c r="J1802" t="s">
        <v>3212</v>
      </c>
      <c r="K1802" t="s">
        <v>15</v>
      </c>
      <c r="L1802" s="2">
        <v>33</v>
      </c>
      <c r="M1802" t="s">
        <v>3203</v>
      </c>
      <c r="N1802">
        <v>1</v>
      </c>
      <c r="O1802" t="s">
        <v>30</v>
      </c>
      <c r="P1802" t="e">
        <v>#VALUE!</v>
      </c>
      <c r="Q1802" t="e">
        <v>#VALUE!</v>
      </c>
      <c r="R1802" t="s">
        <v>3201</v>
      </c>
      <c r="S1802" t="s">
        <v>13</v>
      </c>
    </row>
    <row r="1803" spans="1:19" x14ac:dyDescent="0.3">
      <c r="A1803" t="s">
        <v>1319</v>
      </c>
      <c r="B1803" t="s">
        <v>1596</v>
      </c>
      <c r="C1803" t="s">
        <v>1955</v>
      </c>
      <c r="D1803" t="s">
        <v>3189</v>
      </c>
      <c r="E1803" t="s">
        <v>9</v>
      </c>
      <c r="F1803" s="2">
        <v>32</v>
      </c>
      <c r="G1803" t="s">
        <v>3206</v>
      </c>
      <c r="H1803" t="s">
        <v>51</v>
      </c>
      <c r="I1803" t="s">
        <v>11</v>
      </c>
      <c r="J1803" t="s">
        <v>3198</v>
      </c>
      <c r="K1803" t="s">
        <v>15</v>
      </c>
      <c r="L1803" s="2">
        <v>33</v>
      </c>
      <c r="M1803" t="s">
        <v>3203</v>
      </c>
      <c r="N1803">
        <v>1</v>
      </c>
      <c r="O1803" t="s">
        <v>30</v>
      </c>
      <c r="P1803" t="e">
        <v>#VALUE!</v>
      </c>
      <c r="Q1803" t="e">
        <v>#VALUE!</v>
      </c>
      <c r="R1803" t="s">
        <v>3205</v>
      </c>
      <c r="S1803" t="s">
        <v>16</v>
      </c>
    </row>
    <row r="1804" spans="1:19" x14ac:dyDescent="0.3">
      <c r="A1804" t="s">
        <v>1320</v>
      </c>
      <c r="B1804" t="s">
        <v>1596</v>
      </c>
      <c r="C1804" t="s">
        <v>2972</v>
      </c>
      <c r="D1804" t="s">
        <v>3189</v>
      </c>
      <c r="E1804" t="s">
        <v>9</v>
      </c>
      <c r="F1804" s="2">
        <v>40</v>
      </c>
      <c r="G1804" t="s">
        <v>3197</v>
      </c>
      <c r="H1804" t="s">
        <v>69</v>
      </c>
      <c r="I1804" t="s">
        <v>11</v>
      </c>
      <c r="J1804" t="s">
        <v>3198</v>
      </c>
      <c r="K1804" t="s">
        <v>15</v>
      </c>
      <c r="L1804" s="2">
        <v>33</v>
      </c>
      <c r="M1804" t="s">
        <v>3203</v>
      </c>
      <c r="N1804">
        <v>1</v>
      </c>
      <c r="O1804" t="s">
        <v>30</v>
      </c>
      <c r="P1804" t="e">
        <v>#VALUE!</v>
      </c>
      <c r="Q1804" t="e">
        <v>#VALUE!</v>
      </c>
      <c r="R1804" t="s">
        <v>3201</v>
      </c>
      <c r="S1804" t="s">
        <v>13</v>
      </c>
    </row>
    <row r="1805" spans="1:19" x14ac:dyDescent="0.3">
      <c r="A1805" t="s">
        <v>1321</v>
      </c>
      <c r="B1805" t="s">
        <v>1596</v>
      </c>
      <c r="C1805" t="s">
        <v>2973</v>
      </c>
      <c r="D1805" t="s">
        <v>3189</v>
      </c>
      <c r="E1805" t="s">
        <v>9</v>
      </c>
      <c r="F1805" s="2">
        <v>50</v>
      </c>
      <c r="G1805" t="s">
        <v>3197</v>
      </c>
      <c r="H1805" t="s">
        <v>69</v>
      </c>
      <c r="I1805" t="s">
        <v>11</v>
      </c>
      <c r="J1805" t="s">
        <v>3198</v>
      </c>
      <c r="K1805" t="s">
        <v>12</v>
      </c>
      <c r="L1805" s="2">
        <v>33</v>
      </c>
      <c r="M1805" t="s">
        <v>3203</v>
      </c>
      <c r="N1805">
        <v>1</v>
      </c>
      <c r="O1805" t="s">
        <v>30</v>
      </c>
      <c r="P1805" t="e">
        <v>#VALUE!</v>
      </c>
      <c r="Q1805" t="e">
        <v>#VALUE!</v>
      </c>
      <c r="R1805" t="s">
        <v>3201</v>
      </c>
      <c r="S1805" t="s">
        <v>13</v>
      </c>
    </row>
    <row r="1806" spans="1:19" x14ac:dyDescent="0.3">
      <c r="A1806" t="s">
        <v>1322</v>
      </c>
      <c r="B1806" t="s">
        <v>1596</v>
      </c>
      <c r="C1806" t="s">
        <v>2512</v>
      </c>
      <c r="D1806" t="s">
        <v>3189</v>
      </c>
      <c r="E1806" t="s">
        <v>9</v>
      </c>
      <c r="F1806" s="2">
        <v>27</v>
      </c>
      <c r="G1806" t="s">
        <v>3206</v>
      </c>
      <c r="H1806" t="s">
        <v>51</v>
      </c>
      <c r="I1806" t="s">
        <v>11</v>
      </c>
      <c r="J1806" t="s">
        <v>3198</v>
      </c>
      <c r="K1806" t="s">
        <v>15</v>
      </c>
      <c r="L1806" s="2">
        <v>33</v>
      </c>
      <c r="M1806" t="s">
        <v>3203</v>
      </c>
      <c r="N1806">
        <v>1</v>
      </c>
      <c r="O1806" t="s">
        <v>30</v>
      </c>
      <c r="P1806" t="e">
        <v>#VALUE!</v>
      </c>
      <c r="Q1806" t="e">
        <v>#VALUE!</v>
      </c>
      <c r="R1806" t="s">
        <v>3201</v>
      </c>
      <c r="S1806" t="s">
        <v>13</v>
      </c>
    </row>
    <row r="1807" spans="1:19" x14ac:dyDescent="0.3">
      <c r="A1807" t="s">
        <v>1323</v>
      </c>
      <c r="B1807" t="s">
        <v>1596</v>
      </c>
      <c r="C1807" t="s">
        <v>1965</v>
      </c>
      <c r="D1807" t="s">
        <v>3189</v>
      </c>
      <c r="E1807" t="s">
        <v>9</v>
      </c>
      <c r="F1807" s="2">
        <v>27</v>
      </c>
      <c r="G1807" t="s">
        <v>3206</v>
      </c>
      <c r="H1807" t="s">
        <v>69</v>
      </c>
      <c r="I1807" t="s">
        <v>11</v>
      </c>
      <c r="J1807" t="s">
        <v>3198</v>
      </c>
      <c r="K1807" t="s">
        <v>43</v>
      </c>
      <c r="L1807" s="2">
        <v>33</v>
      </c>
      <c r="M1807" t="s">
        <v>3203</v>
      </c>
      <c r="N1807">
        <v>1</v>
      </c>
      <c r="O1807" t="s">
        <v>30</v>
      </c>
      <c r="P1807" t="e">
        <v>#VALUE!</v>
      </c>
      <c r="Q1807" t="e">
        <v>#VALUE!</v>
      </c>
      <c r="R1807" t="s">
        <v>3201</v>
      </c>
      <c r="S1807" t="s">
        <v>13</v>
      </c>
    </row>
    <row r="1808" spans="1:19" x14ac:dyDescent="0.3">
      <c r="A1808" t="s">
        <v>1324</v>
      </c>
      <c r="B1808" t="s">
        <v>1596</v>
      </c>
      <c r="C1808" t="s">
        <v>2974</v>
      </c>
      <c r="D1808" t="s">
        <v>3189</v>
      </c>
      <c r="E1808" t="s">
        <v>9</v>
      </c>
      <c r="F1808" s="2">
        <v>21</v>
      </c>
      <c r="G1808" t="s">
        <v>3206</v>
      </c>
      <c r="H1808" t="s">
        <v>69</v>
      </c>
      <c r="I1808" t="s">
        <v>11</v>
      </c>
      <c r="J1808" t="s">
        <v>3198</v>
      </c>
      <c r="K1808" t="s">
        <v>15</v>
      </c>
      <c r="L1808" s="2">
        <v>33</v>
      </c>
      <c r="M1808" t="s">
        <v>3203</v>
      </c>
      <c r="N1808">
        <v>1</v>
      </c>
      <c r="O1808" t="s">
        <v>30</v>
      </c>
      <c r="P1808" t="e">
        <v>#VALUE!</v>
      </c>
      <c r="Q1808" t="e">
        <v>#VALUE!</v>
      </c>
      <c r="R1808" t="s">
        <v>3201</v>
      </c>
      <c r="S1808" t="s">
        <v>13</v>
      </c>
    </row>
    <row r="1809" spans="1:19" x14ac:dyDescent="0.3">
      <c r="A1809" t="s">
        <v>1325</v>
      </c>
      <c r="B1809" t="s">
        <v>1602</v>
      </c>
      <c r="C1809" t="s">
        <v>2975</v>
      </c>
      <c r="D1809" t="s">
        <v>3190</v>
      </c>
      <c r="E1809" t="s">
        <v>14</v>
      </c>
      <c r="F1809" s="2">
        <v>28</v>
      </c>
      <c r="G1809" t="s">
        <v>3206</v>
      </c>
      <c r="H1809" t="s">
        <v>69</v>
      </c>
      <c r="I1809" t="s">
        <v>11</v>
      </c>
      <c r="J1809" t="s">
        <v>3198</v>
      </c>
      <c r="K1809" t="s">
        <v>15</v>
      </c>
      <c r="L1809" s="2">
        <v>33</v>
      </c>
      <c r="M1809" t="s">
        <v>3203</v>
      </c>
      <c r="N1809">
        <v>1</v>
      </c>
      <c r="O1809" t="s">
        <v>30</v>
      </c>
      <c r="P1809" t="e">
        <v>#VALUE!</v>
      </c>
      <c r="Q1809" t="e">
        <v>#VALUE!</v>
      </c>
      <c r="R1809" t="s">
        <v>3205</v>
      </c>
      <c r="S1809" t="s">
        <v>16</v>
      </c>
    </row>
    <row r="1810" spans="1:19" x14ac:dyDescent="0.3">
      <c r="A1810" t="s">
        <v>1326</v>
      </c>
      <c r="B1810" t="s">
        <v>1596</v>
      </c>
      <c r="C1810" t="s">
        <v>2525</v>
      </c>
      <c r="D1810" t="s">
        <v>3189</v>
      </c>
      <c r="E1810" t="s">
        <v>9</v>
      </c>
      <c r="F1810" s="2">
        <v>40</v>
      </c>
      <c r="G1810" t="s">
        <v>3197</v>
      </c>
      <c r="H1810" t="s">
        <v>51</v>
      </c>
      <c r="I1810" t="s">
        <v>11</v>
      </c>
      <c r="J1810" t="s">
        <v>3198</v>
      </c>
      <c r="K1810" t="s">
        <v>15</v>
      </c>
      <c r="L1810" s="2">
        <v>33</v>
      </c>
      <c r="M1810" t="s">
        <v>3203</v>
      </c>
      <c r="N1810">
        <v>1</v>
      </c>
      <c r="O1810" t="s">
        <v>30</v>
      </c>
      <c r="P1810" t="e">
        <v>#VALUE!</v>
      </c>
      <c r="Q1810" t="e">
        <v>#VALUE!</v>
      </c>
      <c r="R1810" t="s">
        <v>3201</v>
      </c>
      <c r="S1810" t="s">
        <v>13</v>
      </c>
    </row>
    <row r="1811" spans="1:19" x14ac:dyDescent="0.3">
      <c r="A1811" t="s">
        <v>1327</v>
      </c>
      <c r="B1811" t="s">
        <v>1602</v>
      </c>
      <c r="C1811" t="s">
        <v>2976</v>
      </c>
      <c r="D1811" t="s">
        <v>3190</v>
      </c>
      <c r="E1811" t="s">
        <v>14</v>
      </c>
      <c r="F1811" s="2">
        <v>20</v>
      </c>
      <c r="G1811" t="s">
        <v>3206</v>
      </c>
      <c r="H1811" t="s">
        <v>70</v>
      </c>
      <c r="I1811" t="s">
        <v>11</v>
      </c>
      <c r="J1811" t="s">
        <v>3198</v>
      </c>
      <c r="K1811" t="s">
        <v>15</v>
      </c>
      <c r="L1811" s="2">
        <v>33</v>
      </c>
      <c r="M1811" t="s">
        <v>3203</v>
      </c>
      <c r="N1811">
        <v>1</v>
      </c>
      <c r="O1811" t="s">
        <v>30</v>
      </c>
      <c r="P1811" t="e">
        <v>#VALUE!</v>
      </c>
      <c r="Q1811" t="e">
        <v>#VALUE!</v>
      </c>
      <c r="R1811" t="s">
        <v>3205</v>
      </c>
      <c r="S1811" t="s">
        <v>16</v>
      </c>
    </row>
    <row r="1812" spans="1:19" x14ac:dyDescent="0.3">
      <c r="A1812" t="s">
        <v>1327</v>
      </c>
      <c r="B1812" t="s">
        <v>1600</v>
      </c>
      <c r="C1812" t="s">
        <v>2977</v>
      </c>
      <c r="D1812" t="s">
        <v>3190</v>
      </c>
      <c r="E1812" t="s">
        <v>14</v>
      </c>
      <c r="F1812" s="2">
        <v>39</v>
      </c>
      <c r="G1812" t="s">
        <v>3197</v>
      </c>
      <c r="H1812" t="s">
        <v>69</v>
      </c>
      <c r="I1812" t="s">
        <v>11</v>
      </c>
      <c r="J1812" t="s">
        <v>3198</v>
      </c>
      <c r="K1812" t="s">
        <v>33</v>
      </c>
      <c r="L1812" s="2">
        <v>33</v>
      </c>
      <c r="M1812" t="s">
        <v>3203</v>
      </c>
      <c r="N1812">
        <v>1</v>
      </c>
      <c r="O1812" t="s">
        <v>30</v>
      </c>
      <c r="P1812" t="e">
        <v>#VALUE!</v>
      </c>
      <c r="Q1812" t="e">
        <v>#VALUE!</v>
      </c>
      <c r="R1812" t="s">
        <v>3205</v>
      </c>
      <c r="S1812" t="s">
        <v>16</v>
      </c>
    </row>
    <row r="1813" spans="1:19" x14ac:dyDescent="0.3">
      <c r="A1813" t="s">
        <v>1328</v>
      </c>
      <c r="B1813" t="s">
        <v>1596</v>
      </c>
      <c r="C1813" t="s">
        <v>2978</v>
      </c>
      <c r="D1813" t="s">
        <v>3189</v>
      </c>
      <c r="E1813" t="s">
        <v>9</v>
      </c>
      <c r="F1813" s="2">
        <v>25</v>
      </c>
      <c r="G1813" t="s">
        <v>3206</v>
      </c>
      <c r="H1813" t="s">
        <v>51</v>
      </c>
      <c r="I1813" t="s">
        <v>11</v>
      </c>
      <c r="J1813" t="s">
        <v>3198</v>
      </c>
      <c r="K1813" t="s">
        <v>15</v>
      </c>
      <c r="L1813" s="2">
        <v>33</v>
      </c>
      <c r="M1813" t="s">
        <v>3203</v>
      </c>
      <c r="N1813">
        <v>1</v>
      </c>
      <c r="O1813" t="s">
        <v>30</v>
      </c>
      <c r="P1813" t="e">
        <v>#VALUE!</v>
      </c>
      <c r="Q1813" t="e">
        <v>#VALUE!</v>
      </c>
      <c r="R1813" t="s">
        <v>3201</v>
      </c>
      <c r="S1813" t="s">
        <v>13</v>
      </c>
    </row>
    <row r="1814" spans="1:19" x14ac:dyDescent="0.3">
      <c r="A1814" t="s">
        <v>1329</v>
      </c>
      <c r="B1814" t="s">
        <v>1596</v>
      </c>
      <c r="C1814" t="s">
        <v>2979</v>
      </c>
      <c r="D1814" t="s">
        <v>3189</v>
      </c>
      <c r="E1814" t="s">
        <v>9</v>
      </c>
      <c r="F1814" s="2">
        <v>32</v>
      </c>
      <c r="G1814" t="s">
        <v>3206</v>
      </c>
      <c r="H1814" t="s">
        <v>51</v>
      </c>
      <c r="I1814" t="s">
        <v>11</v>
      </c>
      <c r="J1814" t="s">
        <v>3198</v>
      </c>
      <c r="K1814" t="s">
        <v>15</v>
      </c>
      <c r="L1814" s="2">
        <v>33</v>
      </c>
      <c r="M1814" t="s">
        <v>3203</v>
      </c>
      <c r="N1814">
        <v>1</v>
      </c>
      <c r="O1814" t="s">
        <v>30</v>
      </c>
      <c r="P1814" t="e">
        <v>#VALUE!</v>
      </c>
      <c r="Q1814" t="e">
        <v>#VALUE!</v>
      </c>
      <c r="R1814" t="s">
        <v>3205</v>
      </c>
      <c r="S1814" t="s">
        <v>16</v>
      </c>
    </row>
    <row r="1815" spans="1:19" x14ac:dyDescent="0.3">
      <c r="A1815" t="s">
        <v>1329</v>
      </c>
      <c r="B1815" t="s">
        <v>1596</v>
      </c>
      <c r="C1815" t="s">
        <v>2779</v>
      </c>
      <c r="D1815" t="s">
        <v>3189</v>
      </c>
      <c r="E1815" t="s">
        <v>9</v>
      </c>
      <c r="F1815" s="2">
        <v>39</v>
      </c>
      <c r="G1815" t="s">
        <v>3197</v>
      </c>
      <c r="H1815" t="s">
        <v>51</v>
      </c>
      <c r="I1815" t="s">
        <v>11</v>
      </c>
      <c r="J1815" t="s">
        <v>3198</v>
      </c>
      <c r="K1815" t="s">
        <v>15</v>
      </c>
      <c r="L1815" s="2">
        <v>33</v>
      </c>
      <c r="M1815" t="s">
        <v>3203</v>
      </c>
      <c r="N1815">
        <v>1</v>
      </c>
      <c r="O1815" t="s">
        <v>30</v>
      </c>
      <c r="P1815" t="e">
        <v>#VALUE!</v>
      </c>
      <c r="Q1815" t="e">
        <v>#VALUE!</v>
      </c>
      <c r="R1815" t="s">
        <v>3201</v>
      </c>
      <c r="S1815" t="s">
        <v>13</v>
      </c>
    </row>
    <row r="1816" spans="1:19" x14ac:dyDescent="0.3">
      <c r="A1816" t="s">
        <v>1330</v>
      </c>
      <c r="B1816" t="s">
        <v>1596</v>
      </c>
      <c r="C1816" t="s">
        <v>1824</v>
      </c>
      <c r="D1816" t="s">
        <v>3189</v>
      </c>
      <c r="E1816" t="s">
        <v>9</v>
      </c>
      <c r="F1816" s="2">
        <v>30</v>
      </c>
      <c r="G1816" t="s">
        <v>3206</v>
      </c>
      <c r="H1816" t="s">
        <v>71</v>
      </c>
      <c r="I1816" t="s">
        <v>11</v>
      </c>
      <c r="J1816" t="s">
        <v>3198</v>
      </c>
      <c r="K1816" t="s">
        <v>15</v>
      </c>
      <c r="L1816" s="2">
        <v>33</v>
      </c>
      <c r="M1816" t="s">
        <v>3203</v>
      </c>
      <c r="N1816">
        <v>1</v>
      </c>
      <c r="O1816" t="s">
        <v>30</v>
      </c>
      <c r="P1816" t="e">
        <v>#VALUE!</v>
      </c>
      <c r="Q1816" t="e">
        <v>#VALUE!</v>
      </c>
      <c r="R1816" t="s">
        <v>3201</v>
      </c>
      <c r="S1816" t="s">
        <v>13</v>
      </c>
    </row>
    <row r="1817" spans="1:19" x14ac:dyDescent="0.3">
      <c r="A1817" t="s">
        <v>1331</v>
      </c>
      <c r="B1817" t="s">
        <v>1596</v>
      </c>
      <c r="C1817" t="s">
        <v>2980</v>
      </c>
      <c r="D1817" t="s">
        <v>3189</v>
      </c>
      <c r="E1817" t="s">
        <v>9</v>
      </c>
      <c r="F1817" s="2">
        <v>29</v>
      </c>
      <c r="G1817" t="s">
        <v>3206</v>
      </c>
      <c r="H1817" t="s">
        <v>71</v>
      </c>
      <c r="I1817" t="s">
        <v>11</v>
      </c>
      <c r="J1817" t="s">
        <v>3198</v>
      </c>
      <c r="K1817" t="s">
        <v>40</v>
      </c>
      <c r="L1817" s="2">
        <v>33</v>
      </c>
      <c r="M1817" t="s">
        <v>3203</v>
      </c>
      <c r="N1817">
        <v>1</v>
      </c>
      <c r="O1817" t="s">
        <v>30</v>
      </c>
      <c r="P1817" t="e">
        <v>#VALUE!</v>
      </c>
      <c r="Q1817" t="e">
        <v>#VALUE!</v>
      </c>
      <c r="R1817" t="s">
        <v>3201</v>
      </c>
      <c r="S1817" t="s">
        <v>13</v>
      </c>
    </row>
    <row r="1818" spans="1:19" x14ac:dyDescent="0.3">
      <c r="A1818" t="s">
        <v>1332</v>
      </c>
      <c r="B1818" t="s">
        <v>2719</v>
      </c>
      <c r="C1818" t="s">
        <v>2981</v>
      </c>
      <c r="D1818" t="s">
        <v>3189</v>
      </c>
      <c r="E1818" t="s">
        <v>9</v>
      </c>
      <c r="F1818" s="2">
        <v>20</v>
      </c>
      <c r="G1818" t="s">
        <v>3206</v>
      </c>
      <c r="H1818" t="s">
        <v>70</v>
      </c>
      <c r="I1818" t="s">
        <v>11</v>
      </c>
      <c r="J1818" t="s">
        <v>3198</v>
      </c>
      <c r="K1818" t="s">
        <v>15</v>
      </c>
      <c r="L1818" s="2">
        <v>33</v>
      </c>
      <c r="M1818" t="s">
        <v>3203</v>
      </c>
      <c r="N1818">
        <v>1</v>
      </c>
      <c r="O1818" t="s">
        <v>30</v>
      </c>
      <c r="P1818" t="e">
        <v>#VALUE!</v>
      </c>
      <c r="Q1818" t="e">
        <v>#VALUE!</v>
      </c>
      <c r="R1818" t="s">
        <v>3201</v>
      </c>
      <c r="S1818" t="s">
        <v>13</v>
      </c>
    </row>
    <row r="1819" spans="1:19" x14ac:dyDescent="0.3">
      <c r="A1819" t="s">
        <v>1333</v>
      </c>
      <c r="B1819" t="s">
        <v>1596</v>
      </c>
      <c r="C1819" t="s">
        <v>2982</v>
      </c>
      <c r="D1819" t="s">
        <v>3189</v>
      </c>
      <c r="E1819" t="s">
        <v>9</v>
      </c>
      <c r="F1819" s="2">
        <v>25</v>
      </c>
      <c r="G1819" t="s">
        <v>3206</v>
      </c>
      <c r="H1819" t="s">
        <v>70</v>
      </c>
      <c r="I1819" t="s">
        <v>11</v>
      </c>
      <c r="J1819" t="s">
        <v>3198</v>
      </c>
      <c r="K1819" t="s">
        <v>15</v>
      </c>
      <c r="L1819" s="2">
        <v>33</v>
      </c>
      <c r="M1819" t="s">
        <v>3203</v>
      </c>
      <c r="N1819">
        <v>1</v>
      </c>
      <c r="O1819" t="s">
        <v>30</v>
      </c>
      <c r="P1819" t="e">
        <v>#VALUE!</v>
      </c>
      <c r="Q1819" t="e">
        <v>#VALUE!</v>
      </c>
      <c r="R1819" t="s">
        <v>3205</v>
      </c>
      <c r="S1819" t="s">
        <v>16</v>
      </c>
    </row>
    <row r="1820" spans="1:19" x14ac:dyDescent="0.3">
      <c r="A1820" t="s">
        <v>1334</v>
      </c>
      <c r="B1820" t="s">
        <v>1596</v>
      </c>
      <c r="C1820" t="s">
        <v>1610</v>
      </c>
      <c r="D1820" t="s">
        <v>3189</v>
      </c>
      <c r="E1820" t="s">
        <v>9</v>
      </c>
      <c r="F1820" s="2">
        <v>30</v>
      </c>
      <c r="G1820" t="s">
        <v>3206</v>
      </c>
      <c r="H1820" t="s">
        <v>71</v>
      </c>
      <c r="I1820" t="s">
        <v>28</v>
      </c>
      <c r="J1820" t="s">
        <v>3212</v>
      </c>
      <c r="K1820" t="s">
        <v>15</v>
      </c>
      <c r="L1820" s="2">
        <v>33</v>
      </c>
      <c r="M1820" t="s">
        <v>3203</v>
      </c>
      <c r="N1820">
        <v>1</v>
      </c>
      <c r="O1820" t="s">
        <v>30</v>
      </c>
      <c r="P1820" t="e">
        <v>#VALUE!</v>
      </c>
      <c r="Q1820" t="e">
        <v>#VALUE!</v>
      </c>
      <c r="R1820" t="s">
        <v>3201</v>
      </c>
      <c r="S1820" t="s">
        <v>13</v>
      </c>
    </row>
    <row r="1821" spans="1:19" x14ac:dyDescent="0.3">
      <c r="A1821" t="s">
        <v>1335</v>
      </c>
      <c r="B1821" t="s">
        <v>1596</v>
      </c>
      <c r="C1821" t="s">
        <v>2741</v>
      </c>
      <c r="D1821" t="s">
        <v>3189</v>
      </c>
      <c r="E1821" t="s">
        <v>9</v>
      </c>
      <c r="F1821" s="2">
        <v>22</v>
      </c>
      <c r="G1821" t="s">
        <v>3206</v>
      </c>
      <c r="H1821" t="s">
        <v>51</v>
      </c>
      <c r="I1821" t="s">
        <v>11</v>
      </c>
      <c r="J1821" t="s">
        <v>3198</v>
      </c>
      <c r="K1821" t="s">
        <v>15</v>
      </c>
      <c r="L1821" s="2">
        <v>33</v>
      </c>
      <c r="M1821" t="s">
        <v>3203</v>
      </c>
      <c r="N1821">
        <v>1</v>
      </c>
      <c r="O1821" t="s">
        <v>30</v>
      </c>
      <c r="P1821" t="e">
        <v>#VALUE!</v>
      </c>
      <c r="Q1821" t="e">
        <v>#VALUE!</v>
      </c>
      <c r="R1821" t="s">
        <v>3201</v>
      </c>
      <c r="S1821" t="s">
        <v>13</v>
      </c>
    </row>
    <row r="1822" spans="1:19" x14ac:dyDescent="0.3">
      <c r="A1822" t="s">
        <v>1336</v>
      </c>
      <c r="B1822" t="s">
        <v>1596</v>
      </c>
      <c r="C1822" t="s">
        <v>2983</v>
      </c>
      <c r="D1822" t="s">
        <v>3189</v>
      </c>
      <c r="E1822" t="s">
        <v>9</v>
      </c>
      <c r="F1822" s="2">
        <v>31</v>
      </c>
      <c r="G1822" t="s">
        <v>3206</v>
      </c>
      <c r="H1822" t="s">
        <v>69</v>
      </c>
      <c r="I1822" t="s">
        <v>28</v>
      </c>
      <c r="J1822" t="s">
        <v>3212</v>
      </c>
      <c r="K1822" t="s">
        <v>15</v>
      </c>
      <c r="L1822" s="2">
        <v>33</v>
      </c>
      <c r="M1822" t="s">
        <v>3203</v>
      </c>
      <c r="N1822">
        <v>1</v>
      </c>
      <c r="O1822" t="s">
        <v>30</v>
      </c>
      <c r="P1822" t="e">
        <v>#VALUE!</v>
      </c>
      <c r="Q1822" t="e">
        <v>#VALUE!</v>
      </c>
      <c r="R1822" t="s">
        <v>3205</v>
      </c>
      <c r="S1822" t="s">
        <v>16</v>
      </c>
    </row>
    <row r="1823" spans="1:19" x14ac:dyDescent="0.3">
      <c r="A1823" t="s">
        <v>1337</v>
      </c>
      <c r="B1823" t="s">
        <v>1596</v>
      </c>
      <c r="C1823" t="s">
        <v>2984</v>
      </c>
      <c r="D1823" t="s">
        <v>3189</v>
      </c>
      <c r="E1823" t="s">
        <v>9</v>
      </c>
      <c r="F1823" s="2">
        <v>28</v>
      </c>
      <c r="G1823" t="s">
        <v>3206</v>
      </c>
      <c r="H1823" t="s">
        <v>51</v>
      </c>
      <c r="I1823" t="s">
        <v>11</v>
      </c>
      <c r="J1823" t="s">
        <v>3198</v>
      </c>
      <c r="K1823" t="s">
        <v>15</v>
      </c>
      <c r="L1823" s="2">
        <v>33</v>
      </c>
      <c r="M1823" t="s">
        <v>3203</v>
      </c>
      <c r="N1823">
        <v>1</v>
      </c>
      <c r="O1823" t="s">
        <v>30</v>
      </c>
      <c r="P1823" t="e">
        <v>#VALUE!</v>
      </c>
      <c r="Q1823" t="e">
        <v>#VALUE!</v>
      </c>
      <c r="R1823" t="s">
        <v>3201</v>
      </c>
      <c r="S1823" t="s">
        <v>13</v>
      </c>
    </row>
    <row r="1824" spans="1:19" x14ac:dyDescent="0.3">
      <c r="A1824" t="s">
        <v>1338</v>
      </c>
      <c r="B1824" t="s">
        <v>1596</v>
      </c>
      <c r="C1824" t="s">
        <v>2373</v>
      </c>
      <c r="D1824" t="s">
        <v>3189</v>
      </c>
      <c r="E1824" t="s">
        <v>9</v>
      </c>
      <c r="F1824" s="2">
        <v>53</v>
      </c>
      <c r="G1824" t="s">
        <v>3197</v>
      </c>
      <c r="H1824" t="s">
        <v>69</v>
      </c>
      <c r="I1824" t="s">
        <v>28</v>
      </c>
      <c r="J1824" t="s">
        <v>3212</v>
      </c>
      <c r="K1824" t="s">
        <v>15</v>
      </c>
      <c r="L1824" s="2">
        <v>33</v>
      </c>
      <c r="M1824" t="s">
        <v>3203</v>
      </c>
      <c r="N1824">
        <v>1</v>
      </c>
      <c r="O1824" t="s">
        <v>30</v>
      </c>
      <c r="P1824" t="e">
        <v>#VALUE!</v>
      </c>
      <c r="Q1824" t="e">
        <v>#VALUE!</v>
      </c>
      <c r="R1824" t="s">
        <v>3201</v>
      </c>
      <c r="S1824" t="s">
        <v>13</v>
      </c>
    </row>
    <row r="1825" spans="1:19" x14ac:dyDescent="0.3">
      <c r="A1825" t="s">
        <v>1339</v>
      </c>
      <c r="B1825" t="s">
        <v>1596</v>
      </c>
      <c r="C1825" t="s">
        <v>2985</v>
      </c>
      <c r="D1825" t="s">
        <v>3189</v>
      </c>
      <c r="E1825" t="s">
        <v>9</v>
      </c>
      <c r="F1825" s="2">
        <v>25</v>
      </c>
      <c r="G1825" t="s">
        <v>3206</v>
      </c>
      <c r="H1825" t="s">
        <v>51</v>
      </c>
      <c r="I1825" t="s">
        <v>11</v>
      </c>
      <c r="J1825" t="s">
        <v>3198</v>
      </c>
      <c r="K1825" t="s">
        <v>15</v>
      </c>
      <c r="L1825" s="2">
        <v>33</v>
      </c>
      <c r="M1825" t="s">
        <v>3203</v>
      </c>
      <c r="N1825">
        <v>1</v>
      </c>
      <c r="O1825" t="s">
        <v>30</v>
      </c>
      <c r="P1825" t="e">
        <v>#VALUE!</v>
      </c>
      <c r="Q1825" t="e">
        <v>#VALUE!</v>
      </c>
      <c r="R1825" t="s">
        <v>3205</v>
      </c>
      <c r="S1825" t="s">
        <v>16</v>
      </c>
    </row>
    <row r="1826" spans="1:19" x14ac:dyDescent="0.3">
      <c r="A1826" t="s">
        <v>1340</v>
      </c>
      <c r="B1826" t="s">
        <v>1596</v>
      </c>
      <c r="C1826" t="s">
        <v>2839</v>
      </c>
      <c r="D1826" t="s">
        <v>3189</v>
      </c>
      <c r="E1826" t="s">
        <v>9</v>
      </c>
      <c r="F1826" s="2">
        <v>38</v>
      </c>
      <c r="G1826" t="s">
        <v>3197</v>
      </c>
      <c r="H1826" t="s">
        <v>51</v>
      </c>
      <c r="I1826" t="s">
        <v>11</v>
      </c>
      <c r="J1826" t="s">
        <v>3198</v>
      </c>
      <c r="K1826" t="s">
        <v>15</v>
      </c>
      <c r="L1826" s="2">
        <v>33</v>
      </c>
      <c r="M1826" t="s">
        <v>3203</v>
      </c>
      <c r="N1826">
        <v>1</v>
      </c>
      <c r="O1826" t="s">
        <v>30</v>
      </c>
      <c r="P1826" t="e">
        <v>#VALUE!</v>
      </c>
      <c r="Q1826" t="e">
        <v>#VALUE!</v>
      </c>
      <c r="R1826" t="s">
        <v>3201</v>
      </c>
      <c r="S1826" t="s">
        <v>13</v>
      </c>
    </row>
    <row r="1827" spans="1:19" x14ac:dyDescent="0.3">
      <c r="A1827" t="s">
        <v>1341</v>
      </c>
      <c r="B1827" t="s">
        <v>1596</v>
      </c>
      <c r="C1827" t="s">
        <v>1619</v>
      </c>
      <c r="D1827" t="s">
        <v>3189</v>
      </c>
      <c r="E1827" t="s">
        <v>9</v>
      </c>
      <c r="F1827" s="2">
        <v>23</v>
      </c>
      <c r="G1827" t="s">
        <v>3206</v>
      </c>
      <c r="H1827" t="s">
        <v>51</v>
      </c>
      <c r="I1827" t="s">
        <v>11</v>
      </c>
      <c r="J1827" t="s">
        <v>3198</v>
      </c>
      <c r="K1827" t="s">
        <v>15</v>
      </c>
      <c r="L1827" s="2">
        <v>33</v>
      </c>
      <c r="M1827" t="s">
        <v>3203</v>
      </c>
      <c r="N1827">
        <v>1</v>
      </c>
      <c r="O1827" t="s">
        <v>30</v>
      </c>
      <c r="P1827" t="e">
        <v>#VALUE!</v>
      </c>
      <c r="Q1827" t="e">
        <v>#VALUE!</v>
      </c>
      <c r="R1827" t="s">
        <v>3201</v>
      </c>
      <c r="S1827" t="s">
        <v>13</v>
      </c>
    </row>
    <row r="1828" spans="1:19" x14ac:dyDescent="0.3">
      <c r="A1828" t="s">
        <v>592</v>
      </c>
      <c r="B1828" t="s">
        <v>1596</v>
      </c>
      <c r="C1828" t="s">
        <v>1685</v>
      </c>
      <c r="D1828" t="s">
        <v>3189</v>
      </c>
      <c r="E1828" t="s">
        <v>9</v>
      </c>
      <c r="F1828" s="2">
        <v>38</v>
      </c>
      <c r="G1828" t="s">
        <v>3197</v>
      </c>
      <c r="H1828" t="s">
        <v>69</v>
      </c>
      <c r="I1828" t="s">
        <v>11</v>
      </c>
      <c r="J1828" t="s">
        <v>3198</v>
      </c>
      <c r="K1828" t="s">
        <v>15</v>
      </c>
      <c r="L1828" s="2">
        <v>33</v>
      </c>
      <c r="M1828" t="s">
        <v>3203</v>
      </c>
      <c r="N1828">
        <v>1</v>
      </c>
      <c r="O1828" t="s">
        <v>30</v>
      </c>
      <c r="P1828" t="e">
        <v>#VALUE!</v>
      </c>
      <c r="Q1828" t="e">
        <v>#VALUE!</v>
      </c>
      <c r="R1828" t="s">
        <v>3201</v>
      </c>
      <c r="S1828" t="s">
        <v>13</v>
      </c>
    </row>
    <row r="1829" spans="1:19" x14ac:dyDescent="0.3">
      <c r="A1829" t="s">
        <v>592</v>
      </c>
      <c r="B1829" t="s">
        <v>1596</v>
      </c>
      <c r="C1829" t="s">
        <v>1619</v>
      </c>
      <c r="D1829" t="s">
        <v>3189</v>
      </c>
      <c r="E1829" t="s">
        <v>9</v>
      </c>
      <c r="F1829" s="2">
        <v>47</v>
      </c>
      <c r="G1829" t="s">
        <v>3197</v>
      </c>
      <c r="H1829" t="s">
        <v>71</v>
      </c>
      <c r="I1829" t="s">
        <v>11</v>
      </c>
      <c r="J1829" t="s">
        <v>3198</v>
      </c>
      <c r="K1829" t="s">
        <v>37</v>
      </c>
      <c r="L1829" s="2">
        <v>33</v>
      </c>
      <c r="M1829" t="s">
        <v>3203</v>
      </c>
      <c r="N1829">
        <v>1</v>
      </c>
      <c r="O1829" t="s">
        <v>30</v>
      </c>
      <c r="P1829" t="e">
        <v>#VALUE!</v>
      </c>
      <c r="Q1829" t="e">
        <v>#VALUE!</v>
      </c>
      <c r="R1829" t="s">
        <v>3205</v>
      </c>
      <c r="S1829" t="s">
        <v>16</v>
      </c>
    </row>
    <row r="1830" spans="1:19" x14ac:dyDescent="0.3">
      <c r="A1830" t="s">
        <v>1342</v>
      </c>
      <c r="B1830" t="s">
        <v>1596</v>
      </c>
      <c r="C1830" t="s">
        <v>2882</v>
      </c>
      <c r="D1830" t="s">
        <v>3189</v>
      </c>
      <c r="E1830" t="s">
        <v>9</v>
      </c>
      <c r="F1830" s="2">
        <v>38</v>
      </c>
      <c r="G1830" t="s">
        <v>3197</v>
      </c>
      <c r="H1830" t="s">
        <v>51</v>
      </c>
      <c r="I1830" t="s">
        <v>11</v>
      </c>
      <c r="J1830" t="s">
        <v>3198</v>
      </c>
      <c r="K1830" t="s">
        <v>15</v>
      </c>
      <c r="L1830" s="2">
        <v>33</v>
      </c>
      <c r="M1830" t="s">
        <v>3203</v>
      </c>
      <c r="N1830">
        <v>1</v>
      </c>
      <c r="O1830" t="s">
        <v>30</v>
      </c>
      <c r="P1830" t="e">
        <v>#VALUE!</v>
      </c>
      <c r="Q1830" t="e">
        <v>#VALUE!</v>
      </c>
      <c r="R1830" t="s">
        <v>3201</v>
      </c>
      <c r="S1830" t="s">
        <v>13</v>
      </c>
    </row>
    <row r="1831" spans="1:19" x14ac:dyDescent="0.3">
      <c r="A1831" t="s">
        <v>1343</v>
      </c>
      <c r="B1831" t="s">
        <v>1596</v>
      </c>
      <c r="C1831" t="s">
        <v>2986</v>
      </c>
      <c r="D1831" t="s">
        <v>3189</v>
      </c>
      <c r="E1831" t="s">
        <v>9</v>
      </c>
      <c r="F1831" s="2">
        <v>36</v>
      </c>
      <c r="G1831" t="s">
        <v>3197</v>
      </c>
      <c r="H1831" t="s">
        <v>69</v>
      </c>
      <c r="I1831" t="s">
        <v>28</v>
      </c>
      <c r="J1831" t="s">
        <v>3212</v>
      </c>
      <c r="K1831" t="s">
        <v>43</v>
      </c>
      <c r="L1831" s="2">
        <v>33</v>
      </c>
      <c r="M1831" t="s">
        <v>3203</v>
      </c>
      <c r="N1831">
        <v>1</v>
      </c>
      <c r="O1831" t="s">
        <v>30</v>
      </c>
      <c r="P1831" t="e">
        <v>#VALUE!</v>
      </c>
      <c r="Q1831" t="e">
        <v>#VALUE!</v>
      </c>
      <c r="R1831" t="s">
        <v>3201</v>
      </c>
      <c r="S1831" t="s">
        <v>13</v>
      </c>
    </row>
    <row r="1832" spans="1:19" x14ac:dyDescent="0.3">
      <c r="A1832" t="s">
        <v>1344</v>
      </c>
      <c r="B1832" t="s">
        <v>1596</v>
      </c>
      <c r="C1832" t="s">
        <v>2987</v>
      </c>
      <c r="D1832" t="s">
        <v>3189</v>
      </c>
      <c r="E1832" t="s">
        <v>9</v>
      </c>
      <c r="F1832" s="2">
        <v>37</v>
      </c>
      <c r="G1832" t="s">
        <v>3197</v>
      </c>
      <c r="H1832" t="s">
        <v>69</v>
      </c>
      <c r="I1832" t="s">
        <v>11</v>
      </c>
      <c r="J1832" t="s">
        <v>3198</v>
      </c>
      <c r="K1832" t="s">
        <v>15</v>
      </c>
      <c r="L1832" s="2">
        <v>33</v>
      </c>
      <c r="M1832" t="s">
        <v>3203</v>
      </c>
      <c r="N1832">
        <v>1</v>
      </c>
      <c r="O1832" t="s">
        <v>30</v>
      </c>
      <c r="P1832" t="e">
        <v>#VALUE!</v>
      </c>
      <c r="Q1832" t="e">
        <v>#VALUE!</v>
      </c>
      <c r="R1832" t="s">
        <v>3201</v>
      </c>
      <c r="S1832" t="s">
        <v>13</v>
      </c>
    </row>
    <row r="1833" spans="1:19" x14ac:dyDescent="0.3">
      <c r="A1833" t="s">
        <v>1345</v>
      </c>
      <c r="B1833" t="s">
        <v>1596</v>
      </c>
      <c r="C1833" t="s">
        <v>1965</v>
      </c>
      <c r="D1833" t="s">
        <v>3189</v>
      </c>
      <c r="E1833" t="s">
        <v>9</v>
      </c>
      <c r="F1833" s="2">
        <v>29</v>
      </c>
      <c r="G1833" t="s">
        <v>3206</v>
      </c>
      <c r="H1833" t="s">
        <v>51</v>
      </c>
      <c r="I1833" t="s">
        <v>11</v>
      </c>
      <c r="J1833" t="s">
        <v>3198</v>
      </c>
      <c r="K1833" t="s">
        <v>15</v>
      </c>
      <c r="L1833" s="2">
        <v>33</v>
      </c>
      <c r="M1833" t="s">
        <v>3203</v>
      </c>
      <c r="N1833">
        <v>1</v>
      </c>
      <c r="O1833" t="s">
        <v>30</v>
      </c>
      <c r="P1833" t="e">
        <v>#VALUE!</v>
      </c>
      <c r="Q1833" t="e">
        <v>#VALUE!</v>
      </c>
      <c r="R1833" t="s">
        <v>3205</v>
      </c>
      <c r="S1833" t="s">
        <v>16</v>
      </c>
    </row>
    <row r="1834" spans="1:19" x14ac:dyDescent="0.3">
      <c r="A1834" t="s">
        <v>1346</v>
      </c>
      <c r="B1834" t="s">
        <v>1596</v>
      </c>
      <c r="C1834" t="s">
        <v>2988</v>
      </c>
      <c r="D1834" t="s">
        <v>3189</v>
      </c>
      <c r="E1834" t="s">
        <v>9</v>
      </c>
      <c r="F1834" s="2">
        <v>34</v>
      </c>
      <c r="G1834" t="s">
        <v>3206</v>
      </c>
      <c r="H1834" t="s">
        <v>51</v>
      </c>
      <c r="I1834" t="s">
        <v>11</v>
      </c>
      <c r="J1834" t="s">
        <v>3198</v>
      </c>
      <c r="K1834" t="s">
        <v>15</v>
      </c>
      <c r="L1834" s="2">
        <v>33</v>
      </c>
      <c r="M1834" t="s">
        <v>3203</v>
      </c>
      <c r="N1834">
        <v>1</v>
      </c>
      <c r="O1834" t="s">
        <v>30</v>
      </c>
      <c r="P1834" t="e">
        <v>#VALUE!</v>
      </c>
      <c r="Q1834" t="e">
        <v>#VALUE!</v>
      </c>
      <c r="R1834" t="s">
        <v>3201</v>
      </c>
      <c r="S1834" t="s">
        <v>13</v>
      </c>
    </row>
    <row r="1835" spans="1:19" x14ac:dyDescent="0.3">
      <c r="A1835" t="s">
        <v>1347</v>
      </c>
      <c r="B1835" t="s">
        <v>1596</v>
      </c>
      <c r="C1835" t="s">
        <v>2989</v>
      </c>
      <c r="D1835" t="s">
        <v>3189</v>
      </c>
      <c r="E1835" t="s">
        <v>9</v>
      </c>
      <c r="F1835" s="2">
        <v>30</v>
      </c>
      <c r="G1835" t="s">
        <v>3206</v>
      </c>
      <c r="H1835" t="s">
        <v>51</v>
      </c>
      <c r="I1835" t="s">
        <v>11</v>
      </c>
      <c r="J1835" t="s">
        <v>3198</v>
      </c>
      <c r="K1835" t="s">
        <v>15</v>
      </c>
      <c r="L1835" s="2">
        <v>33</v>
      </c>
      <c r="M1835" t="s">
        <v>3203</v>
      </c>
      <c r="N1835">
        <v>1</v>
      </c>
      <c r="O1835" t="s">
        <v>30</v>
      </c>
      <c r="P1835" t="e">
        <v>#VALUE!</v>
      </c>
      <c r="Q1835" t="e">
        <v>#VALUE!</v>
      </c>
      <c r="R1835" t="s">
        <v>3201</v>
      </c>
      <c r="S1835" t="s">
        <v>13</v>
      </c>
    </row>
    <row r="1836" spans="1:19" x14ac:dyDescent="0.3">
      <c r="A1836" t="s">
        <v>599</v>
      </c>
      <c r="B1836" t="s">
        <v>1596</v>
      </c>
      <c r="C1836" t="s">
        <v>2990</v>
      </c>
      <c r="D1836" t="s">
        <v>3189</v>
      </c>
      <c r="E1836" t="s">
        <v>9</v>
      </c>
      <c r="F1836" s="2">
        <v>36</v>
      </c>
      <c r="G1836" t="s">
        <v>3197</v>
      </c>
      <c r="H1836" t="s">
        <v>71</v>
      </c>
      <c r="I1836" t="s">
        <v>11</v>
      </c>
      <c r="J1836" t="s">
        <v>3198</v>
      </c>
      <c r="K1836" t="s">
        <v>37</v>
      </c>
      <c r="L1836" s="2">
        <v>33</v>
      </c>
      <c r="M1836" t="s">
        <v>3203</v>
      </c>
      <c r="N1836">
        <v>1</v>
      </c>
      <c r="O1836" t="s">
        <v>30</v>
      </c>
      <c r="P1836" t="e">
        <v>#VALUE!</v>
      </c>
      <c r="Q1836" t="e">
        <v>#VALUE!</v>
      </c>
      <c r="R1836" t="s">
        <v>3205</v>
      </c>
      <c r="S1836" t="s">
        <v>16</v>
      </c>
    </row>
    <row r="1837" spans="1:19" x14ac:dyDescent="0.3">
      <c r="A1837" t="s">
        <v>1348</v>
      </c>
      <c r="B1837" t="s">
        <v>1596</v>
      </c>
      <c r="C1837" t="s">
        <v>1965</v>
      </c>
      <c r="D1837" t="s">
        <v>3189</v>
      </c>
      <c r="E1837" t="s">
        <v>9</v>
      </c>
      <c r="F1837" s="2">
        <v>17</v>
      </c>
      <c r="G1837" t="s">
        <v>3202</v>
      </c>
      <c r="H1837" t="s">
        <v>69</v>
      </c>
      <c r="I1837" t="s">
        <v>11</v>
      </c>
      <c r="J1837" t="s">
        <v>3198</v>
      </c>
      <c r="K1837" t="s">
        <v>15</v>
      </c>
      <c r="L1837" s="2">
        <v>33</v>
      </c>
      <c r="M1837" t="s">
        <v>3203</v>
      </c>
      <c r="N1837">
        <v>1</v>
      </c>
      <c r="O1837" t="s">
        <v>30</v>
      </c>
      <c r="P1837" t="e">
        <v>#VALUE!</v>
      </c>
      <c r="Q1837" t="e">
        <v>#VALUE!</v>
      </c>
      <c r="R1837" t="s">
        <v>3201</v>
      </c>
      <c r="S1837" t="s">
        <v>13</v>
      </c>
    </row>
    <row r="1838" spans="1:19" x14ac:dyDescent="0.3">
      <c r="A1838" t="s">
        <v>1349</v>
      </c>
      <c r="B1838" t="s">
        <v>1596</v>
      </c>
      <c r="C1838" t="s">
        <v>1645</v>
      </c>
      <c r="D1838" t="s">
        <v>3189</v>
      </c>
      <c r="E1838" t="s">
        <v>9</v>
      </c>
      <c r="F1838" s="2">
        <v>38</v>
      </c>
      <c r="G1838" t="s">
        <v>3197</v>
      </c>
      <c r="H1838" t="s">
        <v>51</v>
      </c>
      <c r="I1838" t="s">
        <v>11</v>
      </c>
      <c r="J1838" t="s">
        <v>3198</v>
      </c>
      <c r="K1838" t="s">
        <v>15</v>
      </c>
      <c r="L1838" s="2">
        <v>33</v>
      </c>
      <c r="M1838" t="s">
        <v>3203</v>
      </c>
      <c r="N1838">
        <v>1</v>
      </c>
      <c r="O1838" t="s">
        <v>30</v>
      </c>
      <c r="P1838" t="e">
        <v>#VALUE!</v>
      </c>
      <c r="Q1838" t="e">
        <v>#VALUE!</v>
      </c>
      <c r="R1838" t="s">
        <v>3201</v>
      </c>
      <c r="S1838" t="s">
        <v>13</v>
      </c>
    </row>
    <row r="1839" spans="1:19" x14ac:dyDescent="0.3">
      <c r="A1839" t="s">
        <v>1350</v>
      </c>
      <c r="B1839" t="s">
        <v>1596</v>
      </c>
      <c r="C1839" t="s">
        <v>1619</v>
      </c>
      <c r="D1839" t="s">
        <v>3189</v>
      </c>
      <c r="E1839" t="s">
        <v>9</v>
      </c>
      <c r="F1839" s="2">
        <v>21</v>
      </c>
      <c r="G1839" t="s">
        <v>3206</v>
      </c>
      <c r="H1839" t="s">
        <v>51</v>
      </c>
      <c r="I1839" t="s">
        <v>11</v>
      </c>
      <c r="J1839" t="s">
        <v>3198</v>
      </c>
      <c r="K1839" t="s">
        <v>15</v>
      </c>
      <c r="L1839" s="2">
        <v>33</v>
      </c>
      <c r="M1839" t="s">
        <v>3203</v>
      </c>
      <c r="N1839">
        <v>1</v>
      </c>
      <c r="O1839" t="s">
        <v>30</v>
      </c>
      <c r="P1839" t="e">
        <v>#VALUE!</v>
      </c>
      <c r="Q1839" t="e">
        <v>#VALUE!</v>
      </c>
      <c r="R1839" t="s">
        <v>3205</v>
      </c>
      <c r="S1839" t="s">
        <v>16</v>
      </c>
    </row>
    <row r="1840" spans="1:19" x14ac:dyDescent="0.3">
      <c r="A1840" t="s">
        <v>1351</v>
      </c>
      <c r="B1840" t="s">
        <v>1596</v>
      </c>
      <c r="C1840" t="s">
        <v>2991</v>
      </c>
      <c r="D1840" t="s">
        <v>3189</v>
      </c>
      <c r="E1840" t="s">
        <v>9</v>
      </c>
      <c r="F1840" s="2">
        <v>30</v>
      </c>
      <c r="G1840" t="s">
        <v>3206</v>
      </c>
      <c r="H1840" t="s">
        <v>69</v>
      </c>
      <c r="I1840" t="s">
        <v>28</v>
      </c>
      <c r="J1840" t="s">
        <v>3212</v>
      </c>
      <c r="K1840" t="s">
        <v>15</v>
      </c>
      <c r="L1840" s="2">
        <v>33</v>
      </c>
      <c r="M1840" t="s">
        <v>3203</v>
      </c>
      <c r="N1840">
        <v>1</v>
      </c>
      <c r="O1840" t="s">
        <v>30</v>
      </c>
      <c r="P1840" t="e">
        <v>#VALUE!</v>
      </c>
      <c r="Q1840" t="e">
        <v>#VALUE!</v>
      </c>
      <c r="R1840" t="s">
        <v>3205</v>
      </c>
      <c r="S1840" t="s">
        <v>16</v>
      </c>
    </row>
    <row r="1841" spans="1:19" x14ac:dyDescent="0.3">
      <c r="A1841" t="s">
        <v>1352</v>
      </c>
      <c r="B1841" t="s">
        <v>1600</v>
      </c>
      <c r="C1841" t="s">
        <v>2992</v>
      </c>
      <c r="D1841" t="s">
        <v>3190</v>
      </c>
      <c r="E1841" t="s">
        <v>14</v>
      </c>
      <c r="F1841" s="2">
        <v>40</v>
      </c>
      <c r="G1841" t="s">
        <v>3197</v>
      </c>
      <c r="H1841" t="s">
        <v>69</v>
      </c>
      <c r="I1841" t="s">
        <v>11</v>
      </c>
      <c r="J1841" t="s">
        <v>3198</v>
      </c>
      <c r="K1841" t="s">
        <v>15</v>
      </c>
      <c r="L1841" s="2">
        <v>33</v>
      </c>
      <c r="M1841" t="s">
        <v>3203</v>
      </c>
      <c r="N1841">
        <v>1</v>
      </c>
      <c r="O1841" t="s">
        <v>30</v>
      </c>
      <c r="P1841" t="e">
        <v>#VALUE!</v>
      </c>
      <c r="Q1841" t="e">
        <v>#VALUE!</v>
      </c>
      <c r="R1841" t="s">
        <v>3205</v>
      </c>
      <c r="S1841" t="s">
        <v>16</v>
      </c>
    </row>
    <row r="1842" spans="1:19" x14ac:dyDescent="0.3">
      <c r="A1842" t="s">
        <v>1353</v>
      </c>
      <c r="B1842" t="s">
        <v>1596</v>
      </c>
      <c r="C1842" t="s">
        <v>1976</v>
      </c>
      <c r="D1842" t="s">
        <v>3189</v>
      </c>
      <c r="E1842" t="s">
        <v>9</v>
      </c>
      <c r="F1842" s="2">
        <v>23</v>
      </c>
      <c r="G1842" t="s">
        <v>3206</v>
      </c>
      <c r="H1842" t="s">
        <v>69</v>
      </c>
      <c r="I1842" t="s">
        <v>28</v>
      </c>
      <c r="J1842" t="s">
        <v>3212</v>
      </c>
      <c r="K1842" t="s">
        <v>15</v>
      </c>
      <c r="L1842" s="2">
        <v>33</v>
      </c>
      <c r="M1842" t="s">
        <v>3203</v>
      </c>
      <c r="N1842">
        <v>1</v>
      </c>
      <c r="O1842" t="s">
        <v>30</v>
      </c>
      <c r="P1842" t="e">
        <v>#VALUE!</v>
      </c>
      <c r="Q1842" t="e">
        <v>#VALUE!</v>
      </c>
      <c r="R1842" t="s">
        <v>3205</v>
      </c>
      <c r="S1842" t="s">
        <v>16</v>
      </c>
    </row>
    <row r="1843" spans="1:19" x14ac:dyDescent="0.3">
      <c r="A1843" t="s">
        <v>1353</v>
      </c>
      <c r="B1843" t="s">
        <v>1596</v>
      </c>
      <c r="C1843" t="s">
        <v>2993</v>
      </c>
      <c r="D1843" t="s">
        <v>3189</v>
      </c>
      <c r="E1843" t="s">
        <v>9</v>
      </c>
      <c r="F1843" s="2">
        <v>21</v>
      </c>
      <c r="G1843" t="s">
        <v>3206</v>
      </c>
      <c r="H1843" t="s">
        <v>69</v>
      </c>
      <c r="I1843" t="s">
        <v>28</v>
      </c>
      <c r="J1843" t="s">
        <v>3212</v>
      </c>
      <c r="K1843" t="s">
        <v>15</v>
      </c>
      <c r="L1843" s="2">
        <v>33</v>
      </c>
      <c r="M1843" t="s">
        <v>3203</v>
      </c>
      <c r="N1843">
        <v>1</v>
      </c>
      <c r="O1843" t="s">
        <v>30</v>
      </c>
      <c r="P1843" t="e">
        <v>#VALUE!</v>
      </c>
      <c r="Q1843" t="e">
        <v>#VALUE!</v>
      </c>
      <c r="R1843" t="s">
        <v>3201</v>
      </c>
      <c r="S1843" t="s">
        <v>13</v>
      </c>
    </row>
    <row r="1844" spans="1:19" x14ac:dyDescent="0.3">
      <c r="A1844" t="s">
        <v>1354</v>
      </c>
      <c r="B1844" t="s">
        <v>1596</v>
      </c>
      <c r="C1844" t="s">
        <v>2994</v>
      </c>
      <c r="D1844" t="s">
        <v>3189</v>
      </c>
      <c r="E1844" t="s">
        <v>9</v>
      </c>
      <c r="F1844" s="2">
        <v>36</v>
      </c>
      <c r="G1844" t="s">
        <v>3197</v>
      </c>
      <c r="H1844" t="s">
        <v>69</v>
      </c>
      <c r="I1844" t="s">
        <v>28</v>
      </c>
      <c r="J1844" t="s">
        <v>3212</v>
      </c>
      <c r="K1844" t="s">
        <v>15</v>
      </c>
      <c r="L1844" s="2">
        <v>33</v>
      </c>
      <c r="M1844" t="s">
        <v>3203</v>
      </c>
      <c r="N1844">
        <v>1</v>
      </c>
      <c r="O1844" t="s">
        <v>30</v>
      </c>
      <c r="P1844" t="e">
        <v>#VALUE!</v>
      </c>
      <c r="Q1844" t="e">
        <v>#VALUE!</v>
      </c>
      <c r="R1844" t="s">
        <v>3201</v>
      </c>
      <c r="S1844" t="s">
        <v>13</v>
      </c>
    </row>
    <row r="1845" spans="1:19" x14ac:dyDescent="0.3">
      <c r="A1845" t="s">
        <v>1355</v>
      </c>
      <c r="B1845" t="s">
        <v>1596</v>
      </c>
      <c r="C1845" t="s">
        <v>1619</v>
      </c>
      <c r="D1845" t="s">
        <v>3189</v>
      </c>
      <c r="E1845" t="s">
        <v>9</v>
      </c>
      <c r="F1845" s="2">
        <v>44</v>
      </c>
      <c r="G1845" t="s">
        <v>3197</v>
      </c>
      <c r="H1845" t="s">
        <v>69</v>
      </c>
      <c r="I1845" t="s">
        <v>28</v>
      </c>
      <c r="J1845" t="s">
        <v>3212</v>
      </c>
      <c r="K1845" t="s">
        <v>15</v>
      </c>
      <c r="L1845" s="2">
        <v>33</v>
      </c>
      <c r="M1845" t="s">
        <v>3203</v>
      </c>
      <c r="N1845">
        <v>1</v>
      </c>
      <c r="O1845" t="s">
        <v>30</v>
      </c>
      <c r="P1845" t="e">
        <v>#VALUE!</v>
      </c>
      <c r="Q1845" t="e">
        <v>#VALUE!</v>
      </c>
      <c r="R1845" t="s">
        <v>3201</v>
      </c>
      <c r="S1845" t="s">
        <v>13</v>
      </c>
    </row>
    <row r="1846" spans="1:19" x14ac:dyDescent="0.3">
      <c r="A1846" t="s">
        <v>1356</v>
      </c>
      <c r="B1846" t="s">
        <v>1596</v>
      </c>
      <c r="C1846" t="s">
        <v>1619</v>
      </c>
      <c r="D1846" t="s">
        <v>3189</v>
      </c>
      <c r="E1846" t="s">
        <v>9</v>
      </c>
      <c r="F1846" s="2">
        <v>26</v>
      </c>
      <c r="G1846" t="s">
        <v>3206</v>
      </c>
      <c r="H1846" t="s">
        <v>51</v>
      </c>
      <c r="I1846" t="s">
        <v>28</v>
      </c>
      <c r="J1846" t="s">
        <v>3212</v>
      </c>
      <c r="K1846" t="s">
        <v>29</v>
      </c>
      <c r="L1846" s="2">
        <v>33</v>
      </c>
      <c r="M1846" t="s">
        <v>3203</v>
      </c>
      <c r="N1846">
        <v>1</v>
      </c>
      <c r="O1846" t="s">
        <v>30</v>
      </c>
      <c r="P1846" t="e">
        <v>#VALUE!</v>
      </c>
      <c r="Q1846" t="e">
        <v>#VALUE!</v>
      </c>
      <c r="R1846" t="s">
        <v>3201</v>
      </c>
      <c r="S1846" t="s">
        <v>13</v>
      </c>
    </row>
    <row r="1847" spans="1:19" x14ac:dyDescent="0.3">
      <c r="A1847" t="s">
        <v>1357</v>
      </c>
      <c r="B1847" t="s">
        <v>1596</v>
      </c>
      <c r="C1847" t="s">
        <v>2995</v>
      </c>
      <c r="D1847" t="s">
        <v>3189</v>
      </c>
      <c r="E1847" t="s">
        <v>9</v>
      </c>
      <c r="F1847" s="2">
        <v>32</v>
      </c>
      <c r="G1847" t="s">
        <v>3206</v>
      </c>
      <c r="H1847" t="s">
        <v>51</v>
      </c>
      <c r="I1847" t="s">
        <v>11</v>
      </c>
      <c r="J1847" t="s">
        <v>3198</v>
      </c>
      <c r="K1847" t="s">
        <v>15</v>
      </c>
      <c r="L1847" s="2">
        <v>33</v>
      </c>
      <c r="M1847" t="s">
        <v>3203</v>
      </c>
      <c r="N1847">
        <v>1</v>
      </c>
      <c r="O1847" t="s">
        <v>30</v>
      </c>
      <c r="P1847" t="e">
        <v>#VALUE!</v>
      </c>
      <c r="Q1847" t="e">
        <v>#VALUE!</v>
      </c>
      <c r="R1847" t="s">
        <v>3201</v>
      </c>
      <c r="S1847" t="s">
        <v>13</v>
      </c>
    </row>
    <row r="1848" spans="1:19" x14ac:dyDescent="0.3">
      <c r="A1848" t="s">
        <v>1358</v>
      </c>
      <c r="B1848" t="s">
        <v>1596</v>
      </c>
      <c r="C1848" t="s">
        <v>1619</v>
      </c>
      <c r="D1848" t="s">
        <v>3189</v>
      </c>
      <c r="E1848" t="s">
        <v>9</v>
      </c>
      <c r="F1848" s="2">
        <v>22</v>
      </c>
      <c r="G1848" t="s">
        <v>3206</v>
      </c>
      <c r="H1848" t="s">
        <v>51</v>
      </c>
      <c r="I1848" t="s">
        <v>28</v>
      </c>
      <c r="J1848" t="s">
        <v>3212</v>
      </c>
      <c r="K1848" t="s">
        <v>29</v>
      </c>
      <c r="L1848" s="2">
        <v>33</v>
      </c>
      <c r="M1848" t="s">
        <v>3203</v>
      </c>
      <c r="N1848">
        <v>1</v>
      </c>
      <c r="O1848" t="s">
        <v>30</v>
      </c>
      <c r="P1848" t="e">
        <v>#VALUE!</v>
      </c>
      <c r="Q1848" t="e">
        <v>#VALUE!</v>
      </c>
      <c r="R1848" t="s">
        <v>3201</v>
      </c>
      <c r="S1848" t="s">
        <v>13</v>
      </c>
    </row>
    <row r="1849" spans="1:19" x14ac:dyDescent="0.3">
      <c r="A1849" t="s">
        <v>1359</v>
      </c>
      <c r="B1849" t="s">
        <v>1596</v>
      </c>
      <c r="C1849" t="s">
        <v>1976</v>
      </c>
      <c r="D1849" t="s">
        <v>3189</v>
      </c>
      <c r="E1849" t="s">
        <v>9</v>
      </c>
      <c r="F1849" s="2">
        <v>34</v>
      </c>
      <c r="G1849" t="s">
        <v>3206</v>
      </c>
      <c r="H1849" t="s">
        <v>69</v>
      </c>
      <c r="I1849" t="s">
        <v>11</v>
      </c>
      <c r="J1849" t="s">
        <v>3198</v>
      </c>
      <c r="K1849" t="s">
        <v>15</v>
      </c>
      <c r="L1849" s="2">
        <v>33</v>
      </c>
      <c r="M1849" t="s">
        <v>3203</v>
      </c>
      <c r="N1849">
        <v>1</v>
      </c>
      <c r="O1849" t="s">
        <v>30</v>
      </c>
      <c r="P1849" t="e">
        <v>#VALUE!</v>
      </c>
      <c r="Q1849" t="e">
        <v>#VALUE!</v>
      </c>
      <c r="R1849" t="s">
        <v>3201</v>
      </c>
      <c r="S1849" t="s">
        <v>13</v>
      </c>
    </row>
    <row r="1850" spans="1:19" x14ac:dyDescent="0.3">
      <c r="A1850" t="s">
        <v>1360</v>
      </c>
      <c r="B1850" t="s">
        <v>1596</v>
      </c>
      <c r="C1850" t="s">
        <v>2996</v>
      </c>
      <c r="D1850" t="s">
        <v>3189</v>
      </c>
      <c r="E1850" t="s">
        <v>9</v>
      </c>
      <c r="F1850" s="2">
        <v>27</v>
      </c>
      <c r="G1850" t="s">
        <v>3206</v>
      </c>
      <c r="H1850" t="s">
        <v>51</v>
      </c>
      <c r="I1850" t="s">
        <v>28</v>
      </c>
      <c r="J1850" t="s">
        <v>3212</v>
      </c>
      <c r="K1850" t="s">
        <v>37</v>
      </c>
      <c r="L1850" s="2">
        <v>33</v>
      </c>
      <c r="M1850" t="s">
        <v>3203</v>
      </c>
      <c r="N1850">
        <v>1</v>
      </c>
      <c r="O1850" t="s">
        <v>30</v>
      </c>
      <c r="P1850" t="e">
        <v>#VALUE!</v>
      </c>
      <c r="Q1850" t="e">
        <v>#VALUE!</v>
      </c>
      <c r="R1850" t="s">
        <v>3201</v>
      </c>
      <c r="S1850" t="s">
        <v>13</v>
      </c>
    </row>
    <row r="1851" spans="1:19" x14ac:dyDescent="0.3">
      <c r="A1851" t="s">
        <v>1360</v>
      </c>
      <c r="B1851" t="s">
        <v>1596</v>
      </c>
      <c r="C1851" t="s">
        <v>2997</v>
      </c>
      <c r="D1851" t="s">
        <v>3189</v>
      </c>
      <c r="E1851" t="s">
        <v>9</v>
      </c>
      <c r="F1851" s="2">
        <v>28</v>
      </c>
      <c r="G1851" t="s">
        <v>3206</v>
      </c>
      <c r="H1851" t="s">
        <v>69</v>
      </c>
      <c r="I1851" t="s">
        <v>11</v>
      </c>
      <c r="J1851" t="s">
        <v>3198</v>
      </c>
      <c r="K1851" t="s">
        <v>15</v>
      </c>
      <c r="L1851" s="2">
        <v>33</v>
      </c>
      <c r="M1851" t="s">
        <v>3203</v>
      </c>
      <c r="N1851">
        <v>1</v>
      </c>
      <c r="O1851" t="s">
        <v>30</v>
      </c>
      <c r="P1851" t="e">
        <v>#VALUE!</v>
      </c>
      <c r="Q1851" t="e">
        <v>#VALUE!</v>
      </c>
      <c r="R1851" t="s">
        <v>3201</v>
      </c>
      <c r="S1851" t="s">
        <v>13</v>
      </c>
    </row>
    <row r="1852" spans="1:19" x14ac:dyDescent="0.3">
      <c r="A1852" t="s">
        <v>1361</v>
      </c>
      <c r="B1852" t="s">
        <v>1596</v>
      </c>
      <c r="C1852" t="s">
        <v>2038</v>
      </c>
      <c r="D1852" t="s">
        <v>3189</v>
      </c>
      <c r="E1852" t="s">
        <v>9</v>
      </c>
      <c r="F1852" s="2">
        <v>28</v>
      </c>
      <c r="G1852" t="s">
        <v>3206</v>
      </c>
      <c r="H1852" t="s">
        <v>51</v>
      </c>
      <c r="I1852" t="s">
        <v>11</v>
      </c>
      <c r="J1852" t="s">
        <v>3198</v>
      </c>
      <c r="K1852" t="s">
        <v>15</v>
      </c>
      <c r="L1852" s="2">
        <v>33</v>
      </c>
      <c r="M1852" t="s">
        <v>3203</v>
      </c>
      <c r="N1852">
        <v>1</v>
      </c>
      <c r="O1852" t="s">
        <v>30</v>
      </c>
      <c r="P1852" t="e">
        <v>#VALUE!</v>
      </c>
      <c r="Q1852" t="e">
        <v>#VALUE!</v>
      </c>
      <c r="R1852" t="s">
        <v>3201</v>
      </c>
      <c r="S1852" t="s">
        <v>13</v>
      </c>
    </row>
    <row r="1853" spans="1:19" x14ac:dyDescent="0.3">
      <c r="A1853" t="s">
        <v>1362</v>
      </c>
      <c r="B1853" t="s">
        <v>1596</v>
      </c>
      <c r="C1853" t="s">
        <v>2208</v>
      </c>
      <c r="D1853" t="s">
        <v>3189</v>
      </c>
      <c r="E1853" t="s">
        <v>9</v>
      </c>
      <c r="F1853" s="2">
        <v>26</v>
      </c>
      <c r="G1853" t="s">
        <v>3206</v>
      </c>
      <c r="H1853" t="s">
        <v>51</v>
      </c>
      <c r="I1853" t="s">
        <v>28</v>
      </c>
      <c r="J1853" t="s">
        <v>3212</v>
      </c>
      <c r="K1853" t="s">
        <v>43</v>
      </c>
      <c r="L1853" s="2">
        <v>33</v>
      </c>
      <c r="M1853" t="s">
        <v>3203</v>
      </c>
      <c r="N1853">
        <v>1</v>
      </c>
      <c r="O1853" t="s">
        <v>30</v>
      </c>
      <c r="P1853" t="e">
        <v>#VALUE!</v>
      </c>
      <c r="Q1853" t="e">
        <v>#VALUE!</v>
      </c>
      <c r="R1853" t="s">
        <v>3201</v>
      </c>
      <c r="S1853" t="s">
        <v>13</v>
      </c>
    </row>
    <row r="1854" spans="1:19" x14ac:dyDescent="0.3">
      <c r="A1854" t="s">
        <v>1362</v>
      </c>
      <c r="B1854" t="s">
        <v>1596</v>
      </c>
      <c r="C1854" t="s">
        <v>1645</v>
      </c>
      <c r="D1854" t="s">
        <v>3189</v>
      </c>
      <c r="E1854" t="s">
        <v>9</v>
      </c>
      <c r="F1854" s="2">
        <v>32</v>
      </c>
      <c r="G1854" t="s">
        <v>3206</v>
      </c>
      <c r="H1854" t="s">
        <v>51</v>
      </c>
      <c r="I1854" t="s">
        <v>28</v>
      </c>
      <c r="J1854" t="s">
        <v>3212</v>
      </c>
      <c r="K1854" t="s">
        <v>29</v>
      </c>
      <c r="L1854" s="2">
        <v>33</v>
      </c>
      <c r="M1854" t="s">
        <v>3203</v>
      </c>
      <c r="N1854">
        <v>1</v>
      </c>
      <c r="O1854" t="s">
        <v>30</v>
      </c>
      <c r="P1854" t="e">
        <v>#VALUE!</v>
      </c>
      <c r="Q1854" t="e">
        <v>#VALUE!</v>
      </c>
      <c r="R1854" t="s">
        <v>3201</v>
      </c>
      <c r="S1854" t="s">
        <v>13</v>
      </c>
    </row>
    <row r="1855" spans="1:19" x14ac:dyDescent="0.3">
      <c r="A1855" t="s">
        <v>1363</v>
      </c>
      <c r="B1855" t="s">
        <v>1596</v>
      </c>
      <c r="C1855" t="s">
        <v>2078</v>
      </c>
      <c r="D1855" t="s">
        <v>3189</v>
      </c>
      <c r="E1855" t="s">
        <v>9</v>
      </c>
      <c r="F1855" s="2">
        <v>51</v>
      </c>
      <c r="G1855" t="s">
        <v>3197</v>
      </c>
      <c r="H1855" t="s">
        <v>69</v>
      </c>
      <c r="I1855" t="s">
        <v>11</v>
      </c>
      <c r="J1855" t="s">
        <v>3198</v>
      </c>
      <c r="K1855" t="s">
        <v>15</v>
      </c>
      <c r="L1855" s="2">
        <v>33</v>
      </c>
      <c r="M1855" t="s">
        <v>3203</v>
      </c>
      <c r="N1855">
        <v>1</v>
      </c>
      <c r="O1855" t="s">
        <v>30</v>
      </c>
      <c r="P1855" t="e">
        <v>#VALUE!</v>
      </c>
      <c r="Q1855" t="e">
        <v>#VALUE!</v>
      </c>
      <c r="R1855" t="s">
        <v>3205</v>
      </c>
      <c r="S1855" t="s">
        <v>16</v>
      </c>
    </row>
    <row r="1856" spans="1:19" x14ac:dyDescent="0.3">
      <c r="A1856" t="s">
        <v>1364</v>
      </c>
      <c r="B1856" t="s">
        <v>1596</v>
      </c>
      <c r="C1856" t="s">
        <v>1619</v>
      </c>
      <c r="D1856" t="s">
        <v>3189</v>
      </c>
      <c r="E1856" t="s">
        <v>9</v>
      </c>
      <c r="F1856" s="2">
        <v>46</v>
      </c>
      <c r="G1856" t="s">
        <v>3197</v>
      </c>
      <c r="H1856" t="s">
        <v>51</v>
      </c>
      <c r="I1856" t="s">
        <v>11</v>
      </c>
      <c r="J1856" t="s">
        <v>3198</v>
      </c>
      <c r="K1856" t="s">
        <v>15</v>
      </c>
      <c r="L1856" s="2">
        <v>33</v>
      </c>
      <c r="M1856" t="s">
        <v>3203</v>
      </c>
      <c r="N1856">
        <v>1</v>
      </c>
      <c r="O1856" t="s">
        <v>30</v>
      </c>
      <c r="P1856" t="e">
        <v>#VALUE!</v>
      </c>
      <c r="Q1856" t="e">
        <v>#VALUE!</v>
      </c>
      <c r="R1856" t="s">
        <v>3201</v>
      </c>
      <c r="S1856" t="s">
        <v>13</v>
      </c>
    </row>
    <row r="1857" spans="1:19" x14ac:dyDescent="0.3">
      <c r="A1857" t="s">
        <v>1365</v>
      </c>
      <c r="B1857" t="s">
        <v>1596</v>
      </c>
      <c r="C1857" t="s">
        <v>2998</v>
      </c>
      <c r="D1857" t="s">
        <v>3189</v>
      </c>
      <c r="E1857" t="s">
        <v>9</v>
      </c>
      <c r="F1857" s="2">
        <v>53</v>
      </c>
      <c r="G1857" t="s">
        <v>3197</v>
      </c>
      <c r="H1857" t="s">
        <v>69</v>
      </c>
      <c r="I1857" t="s">
        <v>28</v>
      </c>
      <c r="J1857" t="s">
        <v>3212</v>
      </c>
      <c r="K1857" t="s">
        <v>21</v>
      </c>
      <c r="L1857" s="2">
        <v>33</v>
      </c>
      <c r="M1857" t="s">
        <v>3203</v>
      </c>
      <c r="N1857">
        <v>1</v>
      </c>
      <c r="O1857" t="s">
        <v>30</v>
      </c>
      <c r="P1857" t="e">
        <v>#VALUE!</v>
      </c>
      <c r="Q1857" t="e">
        <v>#VALUE!</v>
      </c>
      <c r="R1857" t="s">
        <v>3201</v>
      </c>
      <c r="S1857" t="s">
        <v>13</v>
      </c>
    </row>
    <row r="1858" spans="1:19" x14ac:dyDescent="0.3">
      <c r="A1858" t="s">
        <v>622</v>
      </c>
      <c r="B1858" t="s">
        <v>1596</v>
      </c>
      <c r="C1858" t="s">
        <v>2999</v>
      </c>
      <c r="D1858" t="s">
        <v>3189</v>
      </c>
      <c r="E1858" t="s">
        <v>9</v>
      </c>
      <c r="F1858" s="2">
        <v>19</v>
      </c>
      <c r="G1858" t="s">
        <v>3206</v>
      </c>
      <c r="H1858" t="s">
        <v>51</v>
      </c>
      <c r="I1858" t="s">
        <v>11</v>
      </c>
      <c r="J1858" t="s">
        <v>3198</v>
      </c>
      <c r="K1858" t="s">
        <v>15</v>
      </c>
      <c r="L1858" s="2">
        <v>33</v>
      </c>
      <c r="M1858" t="s">
        <v>3203</v>
      </c>
      <c r="N1858">
        <v>1</v>
      </c>
      <c r="O1858" t="s">
        <v>30</v>
      </c>
      <c r="P1858" t="e">
        <v>#VALUE!</v>
      </c>
      <c r="Q1858" t="e">
        <v>#VALUE!</v>
      </c>
      <c r="R1858" t="s">
        <v>3201</v>
      </c>
      <c r="S1858" t="s">
        <v>13</v>
      </c>
    </row>
    <row r="1859" spans="1:19" x14ac:dyDescent="0.3">
      <c r="A1859" t="s">
        <v>1366</v>
      </c>
      <c r="B1859" t="s">
        <v>2400</v>
      </c>
      <c r="C1859" t="s">
        <v>3000</v>
      </c>
      <c r="D1859" t="s">
        <v>3189</v>
      </c>
      <c r="E1859" t="s">
        <v>9</v>
      </c>
      <c r="F1859" s="2">
        <v>20</v>
      </c>
      <c r="G1859" t="s">
        <v>3206</v>
      </c>
      <c r="H1859" t="s">
        <v>70</v>
      </c>
      <c r="I1859" t="s">
        <v>11</v>
      </c>
      <c r="J1859" t="s">
        <v>3198</v>
      </c>
      <c r="K1859" t="s">
        <v>50</v>
      </c>
      <c r="L1859" s="2">
        <v>33</v>
      </c>
      <c r="M1859" t="s">
        <v>3203</v>
      </c>
      <c r="N1859">
        <v>1</v>
      </c>
      <c r="O1859" t="s">
        <v>30</v>
      </c>
      <c r="P1859" t="e">
        <v>#VALUE!</v>
      </c>
      <c r="Q1859" t="e">
        <v>#VALUE!</v>
      </c>
      <c r="R1859" t="s">
        <v>3201</v>
      </c>
      <c r="S1859" t="s">
        <v>13</v>
      </c>
    </row>
    <row r="1860" spans="1:19" x14ac:dyDescent="0.3">
      <c r="A1860" t="s">
        <v>1367</v>
      </c>
      <c r="B1860" t="s">
        <v>2719</v>
      </c>
      <c r="C1860" t="s">
        <v>2744</v>
      </c>
      <c r="D1860" t="s">
        <v>3189</v>
      </c>
      <c r="E1860" t="s">
        <v>9</v>
      </c>
      <c r="F1860" s="2">
        <v>23</v>
      </c>
      <c r="G1860" t="s">
        <v>3206</v>
      </c>
      <c r="H1860" t="s">
        <v>70</v>
      </c>
      <c r="I1860" t="s">
        <v>11</v>
      </c>
      <c r="J1860" t="s">
        <v>3198</v>
      </c>
      <c r="K1860" t="s">
        <v>15</v>
      </c>
      <c r="L1860" s="2">
        <v>33</v>
      </c>
      <c r="M1860" t="s">
        <v>3203</v>
      </c>
      <c r="N1860">
        <v>1</v>
      </c>
      <c r="O1860" t="s">
        <v>30</v>
      </c>
      <c r="P1860" t="e">
        <v>#VALUE!</v>
      </c>
      <c r="Q1860" t="e">
        <v>#VALUE!</v>
      </c>
      <c r="R1860" t="s">
        <v>3201</v>
      </c>
      <c r="S1860" t="s">
        <v>13</v>
      </c>
    </row>
    <row r="1861" spans="1:19" x14ac:dyDescent="0.3">
      <c r="A1861" t="s">
        <v>1368</v>
      </c>
      <c r="B1861" t="s">
        <v>1596</v>
      </c>
      <c r="C1861" t="s">
        <v>3001</v>
      </c>
      <c r="D1861" t="s">
        <v>3189</v>
      </c>
      <c r="E1861" t="s">
        <v>9</v>
      </c>
      <c r="F1861" s="2">
        <v>24</v>
      </c>
      <c r="G1861" t="s">
        <v>3206</v>
      </c>
      <c r="H1861" t="s">
        <v>71</v>
      </c>
      <c r="I1861" t="s">
        <v>28</v>
      </c>
      <c r="J1861" t="s">
        <v>3212</v>
      </c>
      <c r="K1861" t="s">
        <v>15</v>
      </c>
      <c r="L1861" s="2">
        <v>33</v>
      </c>
      <c r="M1861" t="s">
        <v>3203</v>
      </c>
      <c r="N1861">
        <v>1</v>
      </c>
      <c r="O1861" t="s">
        <v>30</v>
      </c>
      <c r="P1861" t="e">
        <v>#VALUE!</v>
      </c>
      <c r="Q1861" t="e">
        <v>#VALUE!</v>
      </c>
      <c r="R1861" t="s">
        <v>3201</v>
      </c>
      <c r="S1861" t="s">
        <v>13</v>
      </c>
    </row>
    <row r="1862" spans="1:19" x14ac:dyDescent="0.3">
      <c r="A1862" t="s">
        <v>629</v>
      </c>
      <c r="B1862" t="s">
        <v>1596</v>
      </c>
      <c r="C1862" t="s">
        <v>3002</v>
      </c>
      <c r="D1862" t="s">
        <v>3189</v>
      </c>
      <c r="E1862" t="s">
        <v>9</v>
      </c>
      <c r="F1862" s="2">
        <v>39</v>
      </c>
      <c r="G1862" t="s">
        <v>3197</v>
      </c>
      <c r="H1862" t="s">
        <v>69</v>
      </c>
      <c r="I1862" t="s">
        <v>11</v>
      </c>
      <c r="J1862" t="s">
        <v>3198</v>
      </c>
      <c r="K1862" t="s">
        <v>15</v>
      </c>
      <c r="L1862" s="2">
        <v>33</v>
      </c>
      <c r="M1862" t="s">
        <v>3203</v>
      </c>
      <c r="N1862">
        <v>1</v>
      </c>
      <c r="O1862" t="s">
        <v>30</v>
      </c>
      <c r="P1862" t="e">
        <v>#VALUE!</v>
      </c>
      <c r="Q1862" t="e">
        <v>#VALUE!</v>
      </c>
      <c r="R1862" t="s">
        <v>3201</v>
      </c>
      <c r="S1862" t="s">
        <v>13</v>
      </c>
    </row>
    <row r="1863" spans="1:19" x14ac:dyDescent="0.3">
      <c r="A1863" t="s">
        <v>629</v>
      </c>
      <c r="B1863" t="s">
        <v>1596</v>
      </c>
      <c r="C1863" t="s">
        <v>2751</v>
      </c>
      <c r="D1863" t="s">
        <v>3189</v>
      </c>
      <c r="E1863" t="s">
        <v>9</v>
      </c>
      <c r="F1863" s="2">
        <v>32</v>
      </c>
      <c r="G1863" t="s">
        <v>3206</v>
      </c>
      <c r="H1863" t="s">
        <v>71</v>
      </c>
      <c r="I1863" t="s">
        <v>11</v>
      </c>
      <c r="J1863" t="s">
        <v>3198</v>
      </c>
      <c r="K1863" t="s">
        <v>15</v>
      </c>
      <c r="L1863" s="2">
        <v>33</v>
      </c>
      <c r="M1863" t="s">
        <v>3203</v>
      </c>
      <c r="N1863">
        <v>1</v>
      </c>
      <c r="O1863" t="s">
        <v>30</v>
      </c>
      <c r="P1863" t="e">
        <v>#VALUE!</v>
      </c>
      <c r="Q1863" t="e">
        <v>#VALUE!</v>
      </c>
      <c r="R1863" t="s">
        <v>3205</v>
      </c>
      <c r="S1863" t="s">
        <v>16</v>
      </c>
    </row>
    <row r="1864" spans="1:19" x14ac:dyDescent="0.3">
      <c r="A1864" t="s">
        <v>629</v>
      </c>
      <c r="B1864" t="s">
        <v>1596</v>
      </c>
      <c r="C1864" t="s">
        <v>2218</v>
      </c>
      <c r="D1864" t="s">
        <v>3189</v>
      </c>
      <c r="E1864" t="s">
        <v>9</v>
      </c>
      <c r="F1864" s="2">
        <v>29</v>
      </c>
      <c r="G1864" t="s">
        <v>3206</v>
      </c>
      <c r="H1864" t="s">
        <v>51</v>
      </c>
      <c r="I1864" t="s">
        <v>11</v>
      </c>
      <c r="J1864" t="s">
        <v>3198</v>
      </c>
      <c r="K1864" t="s">
        <v>15</v>
      </c>
      <c r="L1864" s="2">
        <v>33</v>
      </c>
      <c r="M1864" t="s">
        <v>3203</v>
      </c>
      <c r="N1864">
        <v>1</v>
      </c>
      <c r="O1864" t="s">
        <v>30</v>
      </c>
      <c r="P1864" t="e">
        <v>#VALUE!</v>
      </c>
      <c r="Q1864" t="e">
        <v>#VALUE!</v>
      </c>
      <c r="R1864" t="s">
        <v>3205</v>
      </c>
      <c r="S1864" t="s">
        <v>16</v>
      </c>
    </row>
    <row r="1865" spans="1:19" x14ac:dyDescent="0.3">
      <c r="A1865" t="s">
        <v>629</v>
      </c>
      <c r="B1865" t="s">
        <v>1596</v>
      </c>
      <c r="C1865" t="s">
        <v>2014</v>
      </c>
      <c r="D1865" t="s">
        <v>3189</v>
      </c>
      <c r="E1865" t="s">
        <v>9</v>
      </c>
      <c r="F1865" s="2">
        <v>22</v>
      </c>
      <c r="G1865" t="s">
        <v>3206</v>
      </c>
      <c r="H1865" t="s">
        <v>51</v>
      </c>
      <c r="I1865" t="s">
        <v>11</v>
      </c>
      <c r="J1865" t="s">
        <v>3198</v>
      </c>
      <c r="K1865" t="s">
        <v>15</v>
      </c>
      <c r="L1865" s="2">
        <v>33</v>
      </c>
      <c r="M1865" t="s">
        <v>3203</v>
      </c>
      <c r="N1865">
        <v>1</v>
      </c>
      <c r="O1865" t="s">
        <v>30</v>
      </c>
      <c r="P1865" t="e">
        <v>#VALUE!</v>
      </c>
      <c r="Q1865" t="e">
        <v>#VALUE!</v>
      </c>
      <c r="R1865" t="s">
        <v>3201</v>
      </c>
      <c r="S1865" t="s">
        <v>13</v>
      </c>
    </row>
    <row r="1866" spans="1:19" x14ac:dyDescent="0.3">
      <c r="A1866" t="s">
        <v>1369</v>
      </c>
      <c r="B1866" t="s">
        <v>1596</v>
      </c>
      <c r="C1866" t="s">
        <v>2493</v>
      </c>
      <c r="D1866" t="s">
        <v>3189</v>
      </c>
      <c r="E1866" t="s">
        <v>9</v>
      </c>
      <c r="F1866" s="2">
        <v>44</v>
      </c>
      <c r="G1866" t="s">
        <v>3197</v>
      </c>
      <c r="H1866" t="s">
        <v>51</v>
      </c>
      <c r="I1866" t="s">
        <v>11</v>
      </c>
      <c r="J1866" t="s">
        <v>3198</v>
      </c>
      <c r="K1866" t="s">
        <v>15</v>
      </c>
      <c r="L1866" s="2">
        <v>33</v>
      </c>
      <c r="M1866" t="s">
        <v>3203</v>
      </c>
      <c r="N1866">
        <v>1</v>
      </c>
      <c r="O1866" t="s">
        <v>30</v>
      </c>
      <c r="P1866" t="e">
        <v>#VALUE!</v>
      </c>
      <c r="Q1866" t="e">
        <v>#VALUE!</v>
      </c>
      <c r="R1866" t="s">
        <v>3201</v>
      </c>
      <c r="S1866" t="s">
        <v>13</v>
      </c>
    </row>
    <row r="1867" spans="1:19" x14ac:dyDescent="0.3">
      <c r="A1867" t="s">
        <v>1370</v>
      </c>
      <c r="B1867" t="s">
        <v>1596</v>
      </c>
      <c r="C1867" t="s">
        <v>2732</v>
      </c>
      <c r="D1867" t="s">
        <v>3189</v>
      </c>
      <c r="E1867" t="s">
        <v>9</v>
      </c>
      <c r="F1867" s="2">
        <v>42</v>
      </c>
      <c r="G1867" t="s">
        <v>3197</v>
      </c>
      <c r="H1867" t="s">
        <v>69</v>
      </c>
      <c r="I1867" t="s">
        <v>11</v>
      </c>
      <c r="J1867" t="s">
        <v>3198</v>
      </c>
      <c r="K1867" t="s">
        <v>15</v>
      </c>
      <c r="L1867" s="2">
        <v>33</v>
      </c>
      <c r="M1867" t="s">
        <v>3203</v>
      </c>
      <c r="N1867">
        <v>1</v>
      </c>
      <c r="O1867" t="s">
        <v>30</v>
      </c>
      <c r="P1867" t="e">
        <v>#VALUE!</v>
      </c>
      <c r="Q1867" t="e">
        <v>#VALUE!</v>
      </c>
      <c r="R1867" t="s">
        <v>3201</v>
      </c>
      <c r="S1867" t="s">
        <v>13</v>
      </c>
    </row>
    <row r="1868" spans="1:19" x14ac:dyDescent="0.3">
      <c r="A1868" t="s">
        <v>1371</v>
      </c>
      <c r="B1868" t="s">
        <v>1596</v>
      </c>
      <c r="C1868" t="s">
        <v>3003</v>
      </c>
      <c r="D1868" t="s">
        <v>3189</v>
      </c>
      <c r="E1868" t="s">
        <v>9</v>
      </c>
      <c r="F1868" s="2">
        <v>27</v>
      </c>
      <c r="G1868" t="s">
        <v>3206</v>
      </c>
      <c r="H1868" t="s">
        <v>51</v>
      </c>
      <c r="I1868" t="s">
        <v>11</v>
      </c>
      <c r="J1868" t="s">
        <v>3198</v>
      </c>
      <c r="K1868" t="s">
        <v>15</v>
      </c>
      <c r="L1868" s="2">
        <v>33</v>
      </c>
      <c r="M1868" t="s">
        <v>3203</v>
      </c>
      <c r="N1868">
        <v>1</v>
      </c>
      <c r="O1868" t="s">
        <v>30</v>
      </c>
      <c r="P1868" t="e">
        <v>#VALUE!</v>
      </c>
      <c r="Q1868" t="e">
        <v>#VALUE!</v>
      </c>
      <c r="R1868" t="s">
        <v>3201</v>
      </c>
      <c r="S1868" t="s">
        <v>13</v>
      </c>
    </row>
    <row r="1869" spans="1:19" x14ac:dyDescent="0.3">
      <c r="A1869" t="s">
        <v>1371</v>
      </c>
      <c r="B1869" t="s">
        <v>1596</v>
      </c>
      <c r="C1869" t="s">
        <v>3004</v>
      </c>
      <c r="D1869" t="s">
        <v>3189</v>
      </c>
      <c r="E1869" t="s">
        <v>9</v>
      </c>
      <c r="F1869" s="2">
        <v>26</v>
      </c>
      <c r="G1869" t="s">
        <v>3206</v>
      </c>
      <c r="H1869" t="s">
        <v>51</v>
      </c>
      <c r="I1869" t="s">
        <v>11</v>
      </c>
      <c r="J1869" t="s">
        <v>3198</v>
      </c>
      <c r="K1869" t="s">
        <v>15</v>
      </c>
      <c r="L1869" s="2">
        <v>33</v>
      </c>
      <c r="M1869" t="s">
        <v>3203</v>
      </c>
      <c r="N1869">
        <v>1</v>
      </c>
      <c r="O1869" t="s">
        <v>30</v>
      </c>
      <c r="P1869" t="e">
        <v>#VALUE!</v>
      </c>
      <c r="Q1869" t="e">
        <v>#VALUE!</v>
      </c>
      <c r="R1869" t="s">
        <v>3201</v>
      </c>
      <c r="S1869" t="s">
        <v>13</v>
      </c>
    </row>
    <row r="1870" spans="1:19" x14ac:dyDescent="0.3">
      <c r="A1870" t="s">
        <v>1372</v>
      </c>
      <c r="B1870" t="s">
        <v>1596</v>
      </c>
      <c r="C1870" t="s">
        <v>1976</v>
      </c>
      <c r="D1870" t="s">
        <v>3189</v>
      </c>
      <c r="E1870" t="s">
        <v>9</v>
      </c>
      <c r="F1870" s="2">
        <v>30</v>
      </c>
      <c r="G1870" t="s">
        <v>3206</v>
      </c>
      <c r="H1870" t="s">
        <v>51</v>
      </c>
      <c r="I1870" t="s">
        <v>11</v>
      </c>
      <c r="J1870" t="s">
        <v>3198</v>
      </c>
      <c r="K1870" t="s">
        <v>15</v>
      </c>
      <c r="L1870" s="2">
        <v>33</v>
      </c>
      <c r="M1870" t="s">
        <v>3203</v>
      </c>
      <c r="N1870">
        <v>1</v>
      </c>
      <c r="O1870" t="s">
        <v>30</v>
      </c>
      <c r="P1870" t="e">
        <v>#VALUE!</v>
      </c>
      <c r="Q1870" t="e">
        <v>#VALUE!</v>
      </c>
      <c r="R1870" t="s">
        <v>3201</v>
      </c>
      <c r="S1870" t="s">
        <v>13</v>
      </c>
    </row>
    <row r="1871" spans="1:19" x14ac:dyDescent="0.3">
      <c r="A1871" t="s">
        <v>1372</v>
      </c>
      <c r="B1871" t="s">
        <v>1596</v>
      </c>
      <c r="C1871" t="s">
        <v>3005</v>
      </c>
      <c r="D1871" t="s">
        <v>3189</v>
      </c>
      <c r="E1871" t="s">
        <v>9</v>
      </c>
      <c r="F1871" s="2">
        <v>28</v>
      </c>
      <c r="G1871" t="s">
        <v>3206</v>
      </c>
      <c r="H1871" t="s">
        <v>69</v>
      </c>
      <c r="I1871" t="s">
        <v>28</v>
      </c>
      <c r="J1871" t="s">
        <v>3212</v>
      </c>
      <c r="K1871" t="s">
        <v>15</v>
      </c>
      <c r="L1871" s="2">
        <v>33</v>
      </c>
      <c r="M1871" t="s">
        <v>3203</v>
      </c>
      <c r="N1871">
        <v>1</v>
      </c>
      <c r="O1871" t="s">
        <v>30</v>
      </c>
      <c r="P1871" t="e">
        <v>#VALUE!</v>
      </c>
      <c r="Q1871" t="e">
        <v>#VALUE!</v>
      </c>
      <c r="R1871" t="s">
        <v>3205</v>
      </c>
      <c r="S1871" t="s">
        <v>16</v>
      </c>
    </row>
    <row r="1872" spans="1:19" x14ac:dyDescent="0.3">
      <c r="A1872" t="s">
        <v>1372</v>
      </c>
      <c r="B1872" t="s">
        <v>1596</v>
      </c>
      <c r="C1872" t="s">
        <v>2094</v>
      </c>
      <c r="D1872" t="s">
        <v>3189</v>
      </c>
      <c r="E1872" t="s">
        <v>9</v>
      </c>
      <c r="F1872" s="2">
        <v>23</v>
      </c>
      <c r="G1872" t="s">
        <v>3206</v>
      </c>
      <c r="H1872" t="s">
        <v>51</v>
      </c>
      <c r="I1872" t="s">
        <v>11</v>
      </c>
      <c r="J1872" t="s">
        <v>3198</v>
      </c>
      <c r="K1872" t="s">
        <v>15</v>
      </c>
      <c r="L1872" s="2">
        <v>33</v>
      </c>
      <c r="M1872" t="s">
        <v>3203</v>
      </c>
      <c r="N1872">
        <v>1</v>
      </c>
      <c r="O1872" t="s">
        <v>30</v>
      </c>
      <c r="P1872" t="e">
        <v>#VALUE!</v>
      </c>
      <c r="Q1872" t="e">
        <v>#VALUE!</v>
      </c>
      <c r="R1872" t="s">
        <v>3201</v>
      </c>
      <c r="S1872" t="s">
        <v>13</v>
      </c>
    </row>
    <row r="1873" spans="1:19" x14ac:dyDescent="0.3">
      <c r="A1873" t="s">
        <v>635</v>
      </c>
      <c r="B1873" t="s">
        <v>1596</v>
      </c>
      <c r="C1873" t="s">
        <v>1619</v>
      </c>
      <c r="D1873" t="s">
        <v>3189</v>
      </c>
      <c r="E1873" t="s">
        <v>9</v>
      </c>
      <c r="F1873" s="2">
        <v>36</v>
      </c>
      <c r="G1873" t="s">
        <v>3197</v>
      </c>
      <c r="H1873" t="s">
        <v>69</v>
      </c>
      <c r="I1873" t="s">
        <v>28</v>
      </c>
      <c r="J1873" t="s">
        <v>3212</v>
      </c>
      <c r="K1873" t="s">
        <v>15</v>
      </c>
      <c r="L1873" s="2">
        <v>33</v>
      </c>
      <c r="M1873" t="s">
        <v>3203</v>
      </c>
      <c r="N1873">
        <v>1</v>
      </c>
      <c r="O1873" t="s">
        <v>30</v>
      </c>
      <c r="P1873" t="e">
        <v>#VALUE!</v>
      </c>
      <c r="Q1873" t="e">
        <v>#VALUE!</v>
      </c>
      <c r="R1873" t="s">
        <v>3201</v>
      </c>
      <c r="S1873" t="s">
        <v>13</v>
      </c>
    </row>
    <row r="1874" spans="1:19" x14ac:dyDescent="0.3">
      <c r="A1874" t="s">
        <v>1373</v>
      </c>
      <c r="B1874" t="s">
        <v>1596</v>
      </c>
      <c r="C1874" t="s">
        <v>3006</v>
      </c>
      <c r="D1874" t="s">
        <v>3189</v>
      </c>
      <c r="E1874" t="s">
        <v>9</v>
      </c>
      <c r="F1874" s="2">
        <v>24</v>
      </c>
      <c r="G1874" t="s">
        <v>3206</v>
      </c>
      <c r="H1874" t="s">
        <v>51</v>
      </c>
      <c r="I1874" t="s">
        <v>28</v>
      </c>
      <c r="J1874" t="s">
        <v>3212</v>
      </c>
      <c r="K1874" t="s">
        <v>43</v>
      </c>
      <c r="L1874" s="2">
        <v>33</v>
      </c>
      <c r="M1874" t="s">
        <v>3203</v>
      </c>
      <c r="N1874">
        <v>1</v>
      </c>
      <c r="O1874" t="s">
        <v>30</v>
      </c>
      <c r="P1874" t="e">
        <v>#VALUE!</v>
      </c>
      <c r="Q1874" t="e">
        <v>#VALUE!</v>
      </c>
      <c r="R1874" t="s">
        <v>3201</v>
      </c>
      <c r="S1874" t="s">
        <v>13</v>
      </c>
    </row>
    <row r="1875" spans="1:19" x14ac:dyDescent="0.3">
      <c r="A1875" t="s">
        <v>1374</v>
      </c>
      <c r="B1875" t="s">
        <v>1596</v>
      </c>
      <c r="C1875" t="s">
        <v>3007</v>
      </c>
      <c r="D1875" t="s">
        <v>3189</v>
      </c>
      <c r="E1875" t="s">
        <v>9</v>
      </c>
      <c r="F1875" s="2">
        <v>37</v>
      </c>
      <c r="G1875" t="s">
        <v>3197</v>
      </c>
      <c r="H1875" t="s">
        <v>69</v>
      </c>
      <c r="I1875" t="s">
        <v>11</v>
      </c>
      <c r="J1875" t="s">
        <v>3198</v>
      </c>
      <c r="K1875" t="s">
        <v>15</v>
      </c>
      <c r="L1875" s="2">
        <v>33</v>
      </c>
      <c r="M1875" t="s">
        <v>3203</v>
      </c>
      <c r="N1875">
        <v>1</v>
      </c>
      <c r="O1875" t="s">
        <v>30</v>
      </c>
      <c r="P1875" t="e">
        <v>#VALUE!</v>
      </c>
      <c r="Q1875" t="e">
        <v>#VALUE!</v>
      </c>
      <c r="R1875" t="s">
        <v>3201</v>
      </c>
      <c r="S1875" t="s">
        <v>13</v>
      </c>
    </row>
    <row r="1876" spans="1:19" x14ac:dyDescent="0.3">
      <c r="A1876" t="s">
        <v>640</v>
      </c>
      <c r="B1876" t="s">
        <v>1596</v>
      </c>
      <c r="C1876" t="s">
        <v>1645</v>
      </c>
      <c r="D1876" t="s">
        <v>3189</v>
      </c>
      <c r="E1876" t="s">
        <v>9</v>
      </c>
      <c r="F1876" s="2">
        <v>20</v>
      </c>
      <c r="G1876" t="s">
        <v>3206</v>
      </c>
      <c r="H1876" t="s">
        <v>69</v>
      </c>
      <c r="I1876" t="s">
        <v>11</v>
      </c>
      <c r="J1876" t="s">
        <v>3198</v>
      </c>
      <c r="K1876" t="s">
        <v>43</v>
      </c>
      <c r="L1876" s="2">
        <v>33</v>
      </c>
      <c r="M1876" t="s">
        <v>3203</v>
      </c>
      <c r="N1876">
        <v>1</v>
      </c>
      <c r="O1876" t="s">
        <v>30</v>
      </c>
      <c r="P1876" t="e">
        <v>#VALUE!</v>
      </c>
      <c r="Q1876" t="e">
        <v>#VALUE!</v>
      </c>
      <c r="R1876" t="s">
        <v>3201</v>
      </c>
      <c r="S1876" t="s">
        <v>13</v>
      </c>
    </row>
    <row r="1877" spans="1:19" x14ac:dyDescent="0.3">
      <c r="A1877" t="s">
        <v>1375</v>
      </c>
      <c r="B1877" t="s">
        <v>1596</v>
      </c>
      <c r="C1877" t="s">
        <v>3008</v>
      </c>
      <c r="D1877" t="s">
        <v>3189</v>
      </c>
      <c r="E1877" t="s">
        <v>9</v>
      </c>
      <c r="F1877" s="2">
        <v>39</v>
      </c>
      <c r="G1877" t="s">
        <v>3197</v>
      </c>
      <c r="H1877" t="s">
        <v>71</v>
      </c>
      <c r="I1877" t="s">
        <v>28</v>
      </c>
      <c r="J1877" t="s">
        <v>3212</v>
      </c>
      <c r="K1877" t="s">
        <v>43</v>
      </c>
      <c r="L1877" s="2">
        <v>33</v>
      </c>
      <c r="M1877" t="s">
        <v>3203</v>
      </c>
      <c r="N1877">
        <v>1</v>
      </c>
      <c r="O1877" t="s">
        <v>30</v>
      </c>
      <c r="P1877" t="e">
        <v>#VALUE!</v>
      </c>
      <c r="Q1877" t="e">
        <v>#VALUE!</v>
      </c>
      <c r="R1877" t="s">
        <v>3201</v>
      </c>
      <c r="S1877" t="s">
        <v>13</v>
      </c>
    </row>
    <row r="1878" spans="1:19" x14ac:dyDescent="0.3">
      <c r="A1878" t="s">
        <v>1376</v>
      </c>
      <c r="B1878" t="s">
        <v>2719</v>
      </c>
      <c r="C1878" t="s">
        <v>3009</v>
      </c>
      <c r="D1878" t="s">
        <v>3189</v>
      </c>
      <c r="E1878" t="s">
        <v>9</v>
      </c>
      <c r="F1878" s="2">
        <v>42</v>
      </c>
      <c r="G1878" t="s">
        <v>3197</v>
      </c>
      <c r="H1878" t="s">
        <v>70</v>
      </c>
      <c r="I1878" t="s">
        <v>11</v>
      </c>
      <c r="J1878" t="s">
        <v>3198</v>
      </c>
      <c r="K1878" t="s">
        <v>38</v>
      </c>
      <c r="L1878" s="2">
        <v>33</v>
      </c>
      <c r="M1878" t="s">
        <v>3203</v>
      </c>
      <c r="N1878">
        <v>1</v>
      </c>
      <c r="O1878" t="s">
        <v>30</v>
      </c>
      <c r="P1878" t="e">
        <v>#VALUE!</v>
      </c>
      <c r="Q1878" t="e">
        <v>#VALUE!</v>
      </c>
      <c r="R1878" t="s">
        <v>3201</v>
      </c>
      <c r="S1878" t="s">
        <v>13</v>
      </c>
    </row>
    <row r="1879" spans="1:19" x14ac:dyDescent="0.3">
      <c r="A1879" t="s">
        <v>1377</v>
      </c>
      <c r="B1879" t="s">
        <v>1596</v>
      </c>
      <c r="C1879" t="s">
        <v>3010</v>
      </c>
      <c r="D1879" t="s">
        <v>3189</v>
      </c>
      <c r="E1879" t="s">
        <v>9</v>
      </c>
      <c r="F1879" s="2">
        <v>26</v>
      </c>
      <c r="G1879" t="s">
        <v>3206</v>
      </c>
      <c r="H1879" t="s">
        <v>69</v>
      </c>
      <c r="I1879" t="s">
        <v>11</v>
      </c>
      <c r="J1879" t="s">
        <v>3198</v>
      </c>
      <c r="K1879" t="s">
        <v>15</v>
      </c>
      <c r="L1879" s="2">
        <v>33</v>
      </c>
      <c r="M1879" t="s">
        <v>3203</v>
      </c>
      <c r="N1879">
        <v>1</v>
      </c>
      <c r="O1879" t="s">
        <v>30</v>
      </c>
      <c r="P1879" t="e">
        <v>#VALUE!</v>
      </c>
      <c r="Q1879" t="e">
        <v>#VALUE!</v>
      </c>
      <c r="R1879" t="s">
        <v>3205</v>
      </c>
      <c r="S1879" t="s">
        <v>16</v>
      </c>
    </row>
    <row r="1880" spans="1:19" x14ac:dyDescent="0.3">
      <c r="A1880" t="s">
        <v>1378</v>
      </c>
      <c r="B1880" t="s">
        <v>1596</v>
      </c>
      <c r="C1880" t="s">
        <v>3011</v>
      </c>
      <c r="D1880" t="s">
        <v>3189</v>
      </c>
      <c r="E1880" t="s">
        <v>9</v>
      </c>
      <c r="F1880" s="2">
        <v>30</v>
      </c>
      <c r="G1880" t="s">
        <v>3206</v>
      </c>
      <c r="H1880" t="s">
        <v>51</v>
      </c>
      <c r="I1880" t="s">
        <v>11</v>
      </c>
      <c r="J1880" t="s">
        <v>3198</v>
      </c>
      <c r="K1880" t="s">
        <v>15</v>
      </c>
      <c r="L1880" s="2">
        <v>33</v>
      </c>
      <c r="M1880" t="s">
        <v>3203</v>
      </c>
      <c r="N1880">
        <v>1</v>
      </c>
      <c r="O1880" t="s">
        <v>30</v>
      </c>
      <c r="P1880" t="e">
        <v>#VALUE!</v>
      </c>
      <c r="Q1880" t="e">
        <v>#VALUE!</v>
      </c>
      <c r="R1880" t="s">
        <v>3201</v>
      </c>
      <c r="S1880" t="s">
        <v>13</v>
      </c>
    </row>
    <row r="1881" spans="1:19" x14ac:dyDescent="0.3">
      <c r="A1881" t="s">
        <v>1379</v>
      </c>
      <c r="B1881" t="s">
        <v>1596</v>
      </c>
      <c r="C1881" t="s">
        <v>2801</v>
      </c>
      <c r="D1881" t="s">
        <v>3189</v>
      </c>
      <c r="E1881" t="s">
        <v>9</v>
      </c>
      <c r="F1881" s="2">
        <v>33</v>
      </c>
      <c r="G1881" t="s">
        <v>3206</v>
      </c>
      <c r="H1881" t="s">
        <v>51</v>
      </c>
      <c r="I1881" t="s">
        <v>11</v>
      </c>
      <c r="J1881" t="s">
        <v>3198</v>
      </c>
      <c r="K1881" t="s">
        <v>15</v>
      </c>
      <c r="L1881" s="2">
        <v>33</v>
      </c>
      <c r="M1881" t="s">
        <v>3203</v>
      </c>
      <c r="N1881">
        <v>1</v>
      </c>
      <c r="O1881" t="s">
        <v>30</v>
      </c>
      <c r="P1881" t="e">
        <v>#VALUE!</v>
      </c>
      <c r="Q1881" t="e">
        <v>#VALUE!</v>
      </c>
      <c r="R1881" t="s">
        <v>3201</v>
      </c>
      <c r="S1881" t="s">
        <v>13</v>
      </c>
    </row>
    <row r="1882" spans="1:19" x14ac:dyDescent="0.3">
      <c r="A1882" t="s">
        <v>663</v>
      </c>
      <c r="B1882" t="s">
        <v>1596</v>
      </c>
      <c r="C1882" t="s">
        <v>2915</v>
      </c>
      <c r="D1882" t="s">
        <v>3189</v>
      </c>
      <c r="E1882" t="s">
        <v>9</v>
      </c>
      <c r="F1882" s="2">
        <v>39</v>
      </c>
      <c r="G1882" t="s">
        <v>3197</v>
      </c>
      <c r="H1882" t="s">
        <v>69</v>
      </c>
      <c r="I1882" t="s">
        <v>11</v>
      </c>
      <c r="J1882" t="s">
        <v>3198</v>
      </c>
      <c r="K1882" t="s">
        <v>15</v>
      </c>
      <c r="L1882" s="2">
        <v>33</v>
      </c>
      <c r="M1882" t="s">
        <v>3203</v>
      </c>
      <c r="N1882">
        <v>1</v>
      </c>
      <c r="O1882" t="s">
        <v>30</v>
      </c>
      <c r="P1882" t="e">
        <v>#VALUE!</v>
      </c>
      <c r="Q1882" t="e">
        <v>#VALUE!</v>
      </c>
      <c r="R1882" t="s">
        <v>3201</v>
      </c>
      <c r="S1882" t="s">
        <v>13</v>
      </c>
    </row>
    <row r="1883" spans="1:19" x14ac:dyDescent="0.3">
      <c r="A1883" t="s">
        <v>1380</v>
      </c>
      <c r="B1883" t="s">
        <v>1596</v>
      </c>
      <c r="C1883" t="s">
        <v>3012</v>
      </c>
      <c r="D1883" t="s">
        <v>3189</v>
      </c>
      <c r="E1883" t="s">
        <v>9</v>
      </c>
      <c r="F1883" s="2">
        <v>48</v>
      </c>
      <c r="G1883" t="s">
        <v>3197</v>
      </c>
      <c r="H1883" t="s">
        <v>71</v>
      </c>
      <c r="I1883" t="s">
        <v>28</v>
      </c>
      <c r="J1883" t="s">
        <v>3212</v>
      </c>
      <c r="K1883" t="s">
        <v>48</v>
      </c>
      <c r="L1883" s="2">
        <v>33</v>
      </c>
      <c r="M1883" t="s">
        <v>3203</v>
      </c>
      <c r="N1883">
        <v>1</v>
      </c>
      <c r="O1883" t="s">
        <v>30</v>
      </c>
      <c r="P1883" t="e">
        <v>#VALUE!</v>
      </c>
      <c r="Q1883" t="e">
        <v>#VALUE!</v>
      </c>
      <c r="R1883" t="s">
        <v>3201</v>
      </c>
      <c r="S1883" t="s">
        <v>13</v>
      </c>
    </row>
    <row r="1884" spans="1:19" x14ac:dyDescent="0.3">
      <c r="A1884" t="s">
        <v>1380</v>
      </c>
      <c r="B1884" t="s">
        <v>1596</v>
      </c>
      <c r="C1884" t="s">
        <v>1976</v>
      </c>
      <c r="D1884" t="s">
        <v>3189</v>
      </c>
      <c r="E1884" t="s">
        <v>9</v>
      </c>
      <c r="F1884" s="2">
        <v>46</v>
      </c>
      <c r="G1884" t="s">
        <v>3197</v>
      </c>
      <c r="H1884" t="s">
        <v>69</v>
      </c>
      <c r="I1884" t="s">
        <v>11</v>
      </c>
      <c r="J1884" t="s">
        <v>3198</v>
      </c>
      <c r="K1884" t="s">
        <v>15</v>
      </c>
      <c r="L1884" s="2">
        <v>33</v>
      </c>
      <c r="M1884" t="s">
        <v>3203</v>
      </c>
      <c r="N1884">
        <v>1</v>
      </c>
      <c r="O1884" t="s">
        <v>30</v>
      </c>
      <c r="P1884" t="e">
        <v>#VALUE!</v>
      </c>
      <c r="Q1884" t="e">
        <v>#VALUE!</v>
      </c>
      <c r="R1884" t="s">
        <v>3201</v>
      </c>
      <c r="S1884" t="s">
        <v>13</v>
      </c>
    </row>
    <row r="1885" spans="1:19" x14ac:dyDescent="0.3">
      <c r="A1885" t="s">
        <v>1380</v>
      </c>
      <c r="B1885" t="s">
        <v>1596</v>
      </c>
      <c r="C1885" t="s">
        <v>3013</v>
      </c>
      <c r="D1885" t="s">
        <v>3189</v>
      </c>
      <c r="E1885" t="s">
        <v>9</v>
      </c>
      <c r="F1885" s="2">
        <v>35</v>
      </c>
      <c r="G1885" t="s">
        <v>3206</v>
      </c>
      <c r="H1885" t="s">
        <v>69</v>
      </c>
      <c r="I1885" t="s">
        <v>11</v>
      </c>
      <c r="J1885" t="s">
        <v>3198</v>
      </c>
      <c r="K1885" t="s">
        <v>15</v>
      </c>
      <c r="L1885" s="2">
        <v>33</v>
      </c>
      <c r="M1885" t="s">
        <v>3203</v>
      </c>
      <c r="N1885">
        <v>1</v>
      </c>
      <c r="O1885" t="s">
        <v>30</v>
      </c>
      <c r="P1885" t="e">
        <v>#VALUE!</v>
      </c>
      <c r="Q1885" t="e">
        <v>#VALUE!</v>
      </c>
      <c r="R1885" t="s">
        <v>3205</v>
      </c>
      <c r="S1885" t="s">
        <v>16</v>
      </c>
    </row>
    <row r="1886" spans="1:19" x14ac:dyDescent="0.3">
      <c r="A1886" t="s">
        <v>1381</v>
      </c>
      <c r="B1886" t="s">
        <v>1596</v>
      </c>
      <c r="C1886" t="s">
        <v>3014</v>
      </c>
      <c r="D1886" t="s">
        <v>3189</v>
      </c>
      <c r="E1886" t="s">
        <v>9</v>
      </c>
      <c r="F1886" s="2">
        <v>30</v>
      </c>
      <c r="G1886" t="s">
        <v>3206</v>
      </c>
      <c r="H1886" t="s">
        <v>51</v>
      </c>
      <c r="I1886" t="s">
        <v>11</v>
      </c>
      <c r="J1886" t="s">
        <v>3198</v>
      </c>
      <c r="K1886" t="s">
        <v>43</v>
      </c>
      <c r="L1886" s="2">
        <v>33</v>
      </c>
      <c r="M1886" t="s">
        <v>3203</v>
      </c>
      <c r="N1886">
        <v>1</v>
      </c>
      <c r="O1886" t="s">
        <v>30</v>
      </c>
      <c r="P1886" t="e">
        <v>#VALUE!</v>
      </c>
      <c r="Q1886" t="e">
        <v>#VALUE!</v>
      </c>
      <c r="R1886" t="s">
        <v>3201</v>
      </c>
      <c r="S1886" t="s">
        <v>13</v>
      </c>
    </row>
    <row r="1887" spans="1:19" x14ac:dyDescent="0.3">
      <c r="A1887" t="s">
        <v>1382</v>
      </c>
      <c r="B1887" t="s">
        <v>1596</v>
      </c>
      <c r="C1887" t="s">
        <v>3015</v>
      </c>
      <c r="D1887" t="s">
        <v>3189</v>
      </c>
      <c r="E1887" t="s">
        <v>9</v>
      </c>
      <c r="F1887" s="2">
        <v>42</v>
      </c>
      <c r="G1887" t="s">
        <v>3197</v>
      </c>
      <c r="H1887" t="s">
        <v>51</v>
      </c>
      <c r="I1887" t="s">
        <v>11</v>
      </c>
      <c r="J1887" t="s">
        <v>3198</v>
      </c>
      <c r="K1887" t="s">
        <v>15</v>
      </c>
      <c r="L1887" s="2">
        <v>33</v>
      </c>
      <c r="M1887" t="s">
        <v>3203</v>
      </c>
      <c r="N1887">
        <v>1</v>
      </c>
      <c r="O1887" t="s">
        <v>30</v>
      </c>
      <c r="P1887" t="e">
        <v>#VALUE!</v>
      </c>
      <c r="Q1887" t="e">
        <v>#VALUE!</v>
      </c>
      <c r="R1887" t="s">
        <v>3201</v>
      </c>
      <c r="S1887" t="s">
        <v>13</v>
      </c>
    </row>
    <row r="1888" spans="1:19" x14ac:dyDescent="0.3">
      <c r="A1888" t="s">
        <v>1383</v>
      </c>
      <c r="B1888" t="s">
        <v>1596</v>
      </c>
      <c r="C1888" t="s">
        <v>1965</v>
      </c>
      <c r="D1888" t="s">
        <v>3189</v>
      </c>
      <c r="E1888" t="s">
        <v>9</v>
      </c>
      <c r="F1888" s="2">
        <v>22</v>
      </c>
      <c r="G1888" t="s">
        <v>3206</v>
      </c>
      <c r="H1888" t="s">
        <v>51</v>
      </c>
      <c r="I1888" t="s">
        <v>11</v>
      </c>
      <c r="J1888" t="s">
        <v>3198</v>
      </c>
      <c r="K1888" t="s">
        <v>15</v>
      </c>
      <c r="L1888" s="2">
        <v>33</v>
      </c>
      <c r="M1888" t="s">
        <v>3203</v>
      </c>
      <c r="N1888">
        <v>1</v>
      </c>
      <c r="O1888" t="s">
        <v>30</v>
      </c>
      <c r="P1888" t="e">
        <v>#VALUE!</v>
      </c>
      <c r="Q1888" t="e">
        <v>#VALUE!</v>
      </c>
      <c r="R1888" t="s">
        <v>3201</v>
      </c>
      <c r="S1888" t="s">
        <v>13</v>
      </c>
    </row>
    <row r="1889" spans="1:19" x14ac:dyDescent="0.3">
      <c r="A1889" t="s">
        <v>1384</v>
      </c>
      <c r="B1889" t="s">
        <v>1596</v>
      </c>
      <c r="C1889" t="s">
        <v>3016</v>
      </c>
      <c r="D1889" t="s">
        <v>3189</v>
      </c>
      <c r="E1889" t="s">
        <v>9</v>
      </c>
      <c r="F1889" s="2">
        <v>21</v>
      </c>
      <c r="G1889" t="s">
        <v>3206</v>
      </c>
      <c r="H1889" t="s">
        <v>51</v>
      </c>
      <c r="I1889" t="s">
        <v>11</v>
      </c>
      <c r="J1889" t="s">
        <v>3198</v>
      </c>
      <c r="K1889" t="s">
        <v>15</v>
      </c>
      <c r="L1889" s="2">
        <v>33</v>
      </c>
      <c r="M1889" t="s">
        <v>3203</v>
      </c>
      <c r="N1889">
        <v>1</v>
      </c>
      <c r="O1889" t="s">
        <v>30</v>
      </c>
      <c r="P1889" t="e">
        <v>#VALUE!</v>
      </c>
      <c r="Q1889" t="e">
        <v>#VALUE!</v>
      </c>
      <c r="R1889" t="s">
        <v>3201</v>
      </c>
      <c r="S1889" t="s">
        <v>13</v>
      </c>
    </row>
    <row r="1890" spans="1:19" x14ac:dyDescent="0.3">
      <c r="A1890" t="s">
        <v>1384</v>
      </c>
      <c r="B1890" t="s">
        <v>1596</v>
      </c>
      <c r="C1890" t="s">
        <v>1728</v>
      </c>
      <c r="D1890" t="s">
        <v>3189</v>
      </c>
      <c r="E1890" t="s">
        <v>9</v>
      </c>
      <c r="F1890" s="2">
        <v>30</v>
      </c>
      <c r="G1890" t="s">
        <v>3206</v>
      </c>
      <c r="H1890" t="s">
        <v>51</v>
      </c>
      <c r="I1890" t="s">
        <v>11</v>
      </c>
      <c r="J1890" t="s">
        <v>3198</v>
      </c>
      <c r="K1890" t="s">
        <v>15</v>
      </c>
      <c r="L1890" s="2">
        <v>33</v>
      </c>
      <c r="M1890" t="s">
        <v>3203</v>
      </c>
      <c r="N1890">
        <v>1</v>
      </c>
      <c r="O1890" t="s">
        <v>30</v>
      </c>
      <c r="P1890" t="e">
        <v>#VALUE!</v>
      </c>
      <c r="Q1890" t="e">
        <v>#VALUE!</v>
      </c>
      <c r="R1890" t="s">
        <v>3205</v>
      </c>
      <c r="S1890" t="s">
        <v>16</v>
      </c>
    </row>
    <row r="1891" spans="1:19" x14ac:dyDescent="0.3">
      <c r="A1891" t="s">
        <v>1385</v>
      </c>
      <c r="B1891" t="s">
        <v>1596</v>
      </c>
      <c r="C1891" t="s">
        <v>1619</v>
      </c>
      <c r="D1891" t="s">
        <v>3189</v>
      </c>
      <c r="E1891" t="s">
        <v>9</v>
      </c>
      <c r="F1891" s="2">
        <v>30</v>
      </c>
      <c r="G1891" t="s">
        <v>3206</v>
      </c>
      <c r="H1891" t="s">
        <v>51</v>
      </c>
      <c r="I1891" t="s">
        <v>11</v>
      </c>
      <c r="J1891" t="s">
        <v>3198</v>
      </c>
      <c r="K1891" t="s">
        <v>15</v>
      </c>
      <c r="L1891" s="2">
        <v>33</v>
      </c>
      <c r="M1891" t="s">
        <v>3203</v>
      </c>
      <c r="N1891">
        <v>1</v>
      </c>
      <c r="O1891" t="s">
        <v>30</v>
      </c>
      <c r="P1891" t="e">
        <v>#VALUE!</v>
      </c>
      <c r="Q1891" t="e">
        <v>#VALUE!</v>
      </c>
      <c r="R1891" t="s">
        <v>3205</v>
      </c>
      <c r="S1891" t="s">
        <v>16</v>
      </c>
    </row>
    <row r="1892" spans="1:19" x14ac:dyDescent="0.3">
      <c r="A1892" t="s">
        <v>680</v>
      </c>
      <c r="B1892" t="s">
        <v>1596</v>
      </c>
      <c r="C1892" t="s">
        <v>1610</v>
      </c>
      <c r="D1892" t="s">
        <v>3189</v>
      </c>
      <c r="E1892" t="s">
        <v>9</v>
      </c>
      <c r="F1892" s="2">
        <v>29</v>
      </c>
      <c r="G1892" t="s">
        <v>3206</v>
      </c>
      <c r="H1892" t="s">
        <v>51</v>
      </c>
      <c r="I1892" t="s">
        <v>11</v>
      </c>
      <c r="J1892" t="s">
        <v>3198</v>
      </c>
      <c r="K1892" t="s">
        <v>15</v>
      </c>
      <c r="L1892" s="2">
        <v>33</v>
      </c>
      <c r="M1892" t="s">
        <v>3203</v>
      </c>
      <c r="N1892">
        <v>1</v>
      </c>
      <c r="O1892" t="s">
        <v>30</v>
      </c>
      <c r="P1892" t="e">
        <v>#VALUE!</v>
      </c>
      <c r="Q1892" t="e">
        <v>#VALUE!</v>
      </c>
      <c r="R1892" t="s">
        <v>3205</v>
      </c>
      <c r="S1892" t="s">
        <v>16</v>
      </c>
    </row>
    <row r="1893" spans="1:19" x14ac:dyDescent="0.3">
      <c r="A1893" t="s">
        <v>680</v>
      </c>
      <c r="B1893" t="s">
        <v>1596</v>
      </c>
      <c r="C1893" t="s">
        <v>3017</v>
      </c>
      <c r="D1893" t="s">
        <v>3189</v>
      </c>
      <c r="E1893" t="s">
        <v>9</v>
      </c>
      <c r="F1893" s="2">
        <v>44</v>
      </c>
      <c r="G1893" t="s">
        <v>3197</v>
      </c>
      <c r="H1893" t="s">
        <v>69</v>
      </c>
      <c r="I1893" t="s">
        <v>28</v>
      </c>
      <c r="J1893" t="s">
        <v>3212</v>
      </c>
      <c r="K1893" t="s">
        <v>15</v>
      </c>
      <c r="L1893" s="2">
        <v>33</v>
      </c>
      <c r="M1893" t="s">
        <v>3203</v>
      </c>
      <c r="N1893">
        <v>1</v>
      </c>
      <c r="O1893" t="s">
        <v>30</v>
      </c>
      <c r="P1893" t="e">
        <v>#VALUE!</v>
      </c>
      <c r="Q1893" t="e">
        <v>#VALUE!</v>
      </c>
      <c r="R1893" t="s">
        <v>3201</v>
      </c>
      <c r="S1893" t="s">
        <v>13</v>
      </c>
    </row>
    <row r="1894" spans="1:19" x14ac:dyDescent="0.3">
      <c r="A1894" t="s">
        <v>1386</v>
      </c>
      <c r="B1894" t="s">
        <v>1596</v>
      </c>
      <c r="C1894" t="s">
        <v>2259</v>
      </c>
      <c r="D1894" t="s">
        <v>3189</v>
      </c>
      <c r="E1894" t="s">
        <v>9</v>
      </c>
      <c r="F1894" s="2">
        <v>31</v>
      </c>
      <c r="G1894" t="s">
        <v>3206</v>
      </c>
      <c r="H1894" t="s">
        <v>51</v>
      </c>
      <c r="I1894" t="s">
        <v>11</v>
      </c>
      <c r="J1894" t="s">
        <v>3198</v>
      </c>
      <c r="K1894" t="s">
        <v>15</v>
      </c>
      <c r="L1894" s="2">
        <v>33</v>
      </c>
      <c r="M1894" t="s">
        <v>3203</v>
      </c>
      <c r="N1894">
        <v>1</v>
      </c>
      <c r="O1894" t="s">
        <v>30</v>
      </c>
      <c r="P1894" t="e">
        <v>#VALUE!</v>
      </c>
      <c r="Q1894" t="e">
        <v>#VALUE!</v>
      </c>
      <c r="R1894" t="s">
        <v>3201</v>
      </c>
      <c r="S1894" t="s">
        <v>13</v>
      </c>
    </row>
    <row r="1895" spans="1:19" x14ac:dyDescent="0.3">
      <c r="A1895" t="s">
        <v>1386</v>
      </c>
      <c r="B1895" t="s">
        <v>1596</v>
      </c>
      <c r="C1895" t="s">
        <v>3018</v>
      </c>
      <c r="D1895" t="s">
        <v>3189</v>
      </c>
      <c r="E1895" t="s">
        <v>9</v>
      </c>
      <c r="F1895" s="2">
        <v>27</v>
      </c>
      <c r="G1895" t="s">
        <v>3206</v>
      </c>
      <c r="H1895" t="s">
        <v>69</v>
      </c>
      <c r="I1895" t="s">
        <v>11</v>
      </c>
      <c r="J1895" t="s">
        <v>3198</v>
      </c>
      <c r="K1895" t="s">
        <v>15</v>
      </c>
      <c r="L1895" s="2">
        <v>33</v>
      </c>
      <c r="M1895" t="s">
        <v>3203</v>
      </c>
      <c r="N1895">
        <v>1</v>
      </c>
      <c r="O1895" t="s">
        <v>30</v>
      </c>
      <c r="P1895" t="e">
        <v>#VALUE!</v>
      </c>
      <c r="Q1895" t="e">
        <v>#VALUE!</v>
      </c>
      <c r="R1895" t="s">
        <v>3201</v>
      </c>
      <c r="S1895" t="s">
        <v>13</v>
      </c>
    </row>
    <row r="1896" spans="1:19" x14ac:dyDescent="0.3">
      <c r="A1896" t="s">
        <v>1387</v>
      </c>
      <c r="B1896" t="s">
        <v>1596</v>
      </c>
      <c r="C1896" t="s">
        <v>2783</v>
      </c>
      <c r="D1896" t="s">
        <v>3189</v>
      </c>
      <c r="E1896" t="s">
        <v>9</v>
      </c>
      <c r="F1896" s="2">
        <v>32</v>
      </c>
      <c r="G1896" t="s">
        <v>3206</v>
      </c>
      <c r="H1896" t="s">
        <v>51</v>
      </c>
      <c r="I1896" t="s">
        <v>11</v>
      </c>
      <c r="J1896" t="s">
        <v>3198</v>
      </c>
      <c r="K1896" t="s">
        <v>15</v>
      </c>
      <c r="L1896" s="2">
        <v>33</v>
      </c>
      <c r="M1896" t="s">
        <v>3203</v>
      </c>
      <c r="N1896">
        <v>1</v>
      </c>
      <c r="O1896" t="s">
        <v>30</v>
      </c>
      <c r="P1896" t="e">
        <v>#VALUE!</v>
      </c>
      <c r="Q1896" t="e">
        <v>#VALUE!</v>
      </c>
      <c r="R1896" t="s">
        <v>3205</v>
      </c>
      <c r="S1896" t="s">
        <v>16</v>
      </c>
    </row>
    <row r="1897" spans="1:19" x14ac:dyDescent="0.3">
      <c r="A1897" t="s">
        <v>1388</v>
      </c>
      <c r="B1897" t="s">
        <v>1596</v>
      </c>
      <c r="C1897" t="s">
        <v>1811</v>
      </c>
      <c r="D1897" t="s">
        <v>3189</v>
      </c>
      <c r="E1897" t="s">
        <v>9</v>
      </c>
      <c r="F1897" s="2">
        <v>27</v>
      </c>
      <c r="G1897" t="s">
        <v>3206</v>
      </c>
      <c r="H1897" t="s">
        <v>71</v>
      </c>
      <c r="I1897" t="s">
        <v>28</v>
      </c>
      <c r="J1897" t="s">
        <v>3212</v>
      </c>
      <c r="K1897" t="s">
        <v>33</v>
      </c>
      <c r="L1897" s="2">
        <v>33</v>
      </c>
      <c r="M1897" t="s">
        <v>3203</v>
      </c>
      <c r="N1897">
        <v>1</v>
      </c>
      <c r="O1897" t="s">
        <v>30</v>
      </c>
      <c r="P1897" t="e">
        <v>#VALUE!</v>
      </c>
      <c r="Q1897" t="e">
        <v>#VALUE!</v>
      </c>
      <c r="R1897" t="s">
        <v>3205</v>
      </c>
      <c r="S1897" t="s">
        <v>16</v>
      </c>
    </row>
    <row r="1898" spans="1:19" x14ac:dyDescent="0.3">
      <c r="A1898" t="s">
        <v>1389</v>
      </c>
      <c r="B1898" t="s">
        <v>1749</v>
      </c>
      <c r="C1898" t="s">
        <v>3019</v>
      </c>
      <c r="D1898" t="s">
        <v>3189</v>
      </c>
      <c r="E1898" t="s">
        <v>9</v>
      </c>
      <c r="F1898" s="2">
        <v>63</v>
      </c>
      <c r="G1898" t="s">
        <v>3210</v>
      </c>
      <c r="H1898" t="s">
        <v>71</v>
      </c>
      <c r="I1898" t="s">
        <v>28</v>
      </c>
      <c r="J1898" t="s">
        <v>3212</v>
      </c>
      <c r="K1898" t="s">
        <v>15</v>
      </c>
      <c r="L1898" s="2">
        <v>33</v>
      </c>
      <c r="M1898" t="s">
        <v>3203</v>
      </c>
      <c r="N1898">
        <v>1</v>
      </c>
      <c r="O1898" t="s">
        <v>30</v>
      </c>
      <c r="P1898" t="e">
        <v>#VALUE!</v>
      </c>
      <c r="Q1898" t="e">
        <v>#VALUE!</v>
      </c>
      <c r="R1898" t="s">
        <v>3201</v>
      </c>
      <c r="S1898" t="s">
        <v>13</v>
      </c>
    </row>
    <row r="1899" spans="1:19" x14ac:dyDescent="0.3">
      <c r="A1899" t="s">
        <v>1390</v>
      </c>
      <c r="B1899" t="s">
        <v>1596</v>
      </c>
      <c r="C1899" t="s">
        <v>3020</v>
      </c>
      <c r="D1899" t="s">
        <v>3189</v>
      </c>
      <c r="E1899" t="s">
        <v>9</v>
      </c>
      <c r="F1899" s="2">
        <v>31</v>
      </c>
      <c r="G1899" t="s">
        <v>3206</v>
      </c>
      <c r="H1899" t="s">
        <v>69</v>
      </c>
      <c r="I1899" t="s">
        <v>11</v>
      </c>
      <c r="J1899" t="s">
        <v>3198</v>
      </c>
      <c r="K1899" t="s">
        <v>15</v>
      </c>
      <c r="L1899" s="2">
        <v>33</v>
      </c>
      <c r="M1899" t="s">
        <v>3203</v>
      </c>
      <c r="N1899">
        <v>1</v>
      </c>
      <c r="O1899" t="s">
        <v>30</v>
      </c>
      <c r="P1899" t="e">
        <v>#VALUE!</v>
      </c>
      <c r="Q1899" t="e">
        <v>#VALUE!</v>
      </c>
      <c r="R1899" t="s">
        <v>3201</v>
      </c>
      <c r="S1899" t="s">
        <v>13</v>
      </c>
    </row>
    <row r="1900" spans="1:19" x14ac:dyDescent="0.3">
      <c r="A1900" t="s">
        <v>1391</v>
      </c>
      <c r="B1900" t="s">
        <v>1596</v>
      </c>
      <c r="C1900" t="s">
        <v>1965</v>
      </c>
      <c r="D1900" t="s">
        <v>3189</v>
      </c>
      <c r="E1900" t="s">
        <v>9</v>
      </c>
      <c r="F1900" s="2">
        <v>39</v>
      </c>
      <c r="G1900" t="s">
        <v>3197</v>
      </c>
      <c r="H1900" t="s">
        <v>69</v>
      </c>
      <c r="I1900" t="s">
        <v>11</v>
      </c>
      <c r="J1900" t="s">
        <v>3198</v>
      </c>
      <c r="K1900" t="s">
        <v>43</v>
      </c>
      <c r="L1900" s="2">
        <v>33</v>
      </c>
      <c r="M1900" t="s">
        <v>3203</v>
      </c>
      <c r="N1900">
        <v>1</v>
      </c>
      <c r="O1900" t="s">
        <v>30</v>
      </c>
      <c r="P1900" t="e">
        <v>#VALUE!</v>
      </c>
      <c r="Q1900" t="e">
        <v>#VALUE!</v>
      </c>
      <c r="R1900" t="s">
        <v>3201</v>
      </c>
      <c r="S1900" t="s">
        <v>13</v>
      </c>
    </row>
    <row r="1901" spans="1:19" x14ac:dyDescent="0.3">
      <c r="A1901" t="s">
        <v>1392</v>
      </c>
      <c r="B1901" t="s">
        <v>1596</v>
      </c>
      <c r="C1901" t="s">
        <v>2094</v>
      </c>
      <c r="D1901" t="s">
        <v>3189</v>
      </c>
      <c r="E1901" t="s">
        <v>9</v>
      </c>
      <c r="F1901" s="2">
        <v>32</v>
      </c>
      <c r="G1901" t="s">
        <v>3206</v>
      </c>
      <c r="H1901" t="s">
        <v>69</v>
      </c>
      <c r="I1901" t="s">
        <v>28</v>
      </c>
      <c r="J1901" t="s">
        <v>3212</v>
      </c>
      <c r="K1901" t="s">
        <v>15</v>
      </c>
      <c r="L1901" s="2">
        <v>33</v>
      </c>
      <c r="M1901" t="s">
        <v>3203</v>
      </c>
      <c r="N1901">
        <v>1</v>
      </c>
      <c r="O1901" t="s">
        <v>30</v>
      </c>
      <c r="P1901" t="e">
        <v>#VALUE!</v>
      </c>
      <c r="Q1901" t="e">
        <v>#VALUE!</v>
      </c>
      <c r="R1901" t="s">
        <v>3201</v>
      </c>
      <c r="S1901" t="s">
        <v>13</v>
      </c>
    </row>
    <row r="1902" spans="1:19" x14ac:dyDescent="0.3">
      <c r="A1902" t="s">
        <v>1393</v>
      </c>
      <c r="B1902" t="s">
        <v>1596</v>
      </c>
      <c r="C1902" t="s">
        <v>1945</v>
      </c>
      <c r="D1902" t="s">
        <v>3189</v>
      </c>
      <c r="E1902" t="s">
        <v>9</v>
      </c>
      <c r="F1902" s="2">
        <v>27</v>
      </c>
      <c r="G1902" t="s">
        <v>3206</v>
      </c>
      <c r="H1902" t="s">
        <v>71</v>
      </c>
      <c r="I1902" t="s">
        <v>11</v>
      </c>
      <c r="J1902" t="s">
        <v>3198</v>
      </c>
      <c r="K1902" t="s">
        <v>15</v>
      </c>
      <c r="L1902" s="2">
        <v>33</v>
      </c>
      <c r="M1902" t="s">
        <v>3203</v>
      </c>
      <c r="N1902">
        <v>1</v>
      </c>
      <c r="O1902" t="s">
        <v>30</v>
      </c>
      <c r="P1902" t="e">
        <v>#VALUE!</v>
      </c>
      <c r="Q1902" t="e">
        <v>#VALUE!</v>
      </c>
      <c r="R1902" t="s">
        <v>3205</v>
      </c>
      <c r="S1902" t="s">
        <v>16</v>
      </c>
    </row>
    <row r="1903" spans="1:19" x14ac:dyDescent="0.3">
      <c r="A1903" t="s">
        <v>1394</v>
      </c>
      <c r="B1903" t="s">
        <v>1596</v>
      </c>
      <c r="C1903" t="s">
        <v>3021</v>
      </c>
      <c r="D1903" t="s">
        <v>3189</v>
      </c>
      <c r="E1903" t="s">
        <v>9</v>
      </c>
      <c r="F1903" s="2">
        <v>36</v>
      </c>
      <c r="G1903" t="s">
        <v>3197</v>
      </c>
      <c r="H1903" t="s">
        <v>51</v>
      </c>
      <c r="I1903" t="s">
        <v>11</v>
      </c>
      <c r="J1903" t="s">
        <v>3198</v>
      </c>
      <c r="K1903" t="s">
        <v>15</v>
      </c>
      <c r="L1903" s="2">
        <v>33</v>
      </c>
      <c r="M1903" t="s">
        <v>3203</v>
      </c>
      <c r="N1903">
        <v>1</v>
      </c>
      <c r="O1903" t="s">
        <v>30</v>
      </c>
      <c r="P1903" t="e">
        <v>#VALUE!</v>
      </c>
      <c r="Q1903" t="e">
        <v>#VALUE!</v>
      </c>
      <c r="R1903" t="s">
        <v>3205</v>
      </c>
      <c r="S1903" t="s">
        <v>16</v>
      </c>
    </row>
    <row r="1904" spans="1:19" x14ac:dyDescent="0.3">
      <c r="A1904" t="s">
        <v>1395</v>
      </c>
      <c r="B1904" t="s">
        <v>1596</v>
      </c>
      <c r="C1904" t="s">
        <v>2090</v>
      </c>
      <c r="D1904" t="s">
        <v>3189</v>
      </c>
      <c r="E1904" t="s">
        <v>9</v>
      </c>
      <c r="F1904" s="2">
        <v>43</v>
      </c>
      <c r="G1904" t="s">
        <v>3197</v>
      </c>
      <c r="H1904" t="s">
        <v>69</v>
      </c>
      <c r="I1904" t="s">
        <v>11</v>
      </c>
      <c r="J1904" t="s">
        <v>3198</v>
      </c>
      <c r="K1904" t="s">
        <v>40</v>
      </c>
      <c r="L1904" s="2">
        <v>33</v>
      </c>
      <c r="M1904" t="s">
        <v>3203</v>
      </c>
      <c r="N1904">
        <v>1</v>
      </c>
      <c r="O1904" t="s">
        <v>30</v>
      </c>
      <c r="P1904" t="e">
        <v>#VALUE!</v>
      </c>
      <c r="Q1904" t="e">
        <v>#VALUE!</v>
      </c>
      <c r="R1904" t="s">
        <v>3201</v>
      </c>
      <c r="S1904" t="s">
        <v>13</v>
      </c>
    </row>
    <row r="1905" spans="1:19" x14ac:dyDescent="0.3">
      <c r="A1905" t="s">
        <v>1396</v>
      </c>
      <c r="B1905" t="s">
        <v>1596</v>
      </c>
      <c r="C1905" t="s">
        <v>3022</v>
      </c>
      <c r="D1905" t="s">
        <v>3189</v>
      </c>
      <c r="E1905" t="s">
        <v>9</v>
      </c>
      <c r="F1905" s="2">
        <v>17</v>
      </c>
      <c r="G1905" t="s">
        <v>3202</v>
      </c>
      <c r="H1905" t="s">
        <v>69</v>
      </c>
      <c r="I1905" t="s">
        <v>11</v>
      </c>
      <c r="J1905" t="s">
        <v>3198</v>
      </c>
      <c r="K1905" t="s">
        <v>15</v>
      </c>
      <c r="L1905" s="2">
        <v>33</v>
      </c>
      <c r="M1905" t="s">
        <v>3203</v>
      </c>
      <c r="N1905">
        <v>1</v>
      </c>
      <c r="O1905" t="s">
        <v>30</v>
      </c>
      <c r="P1905" t="e">
        <v>#VALUE!</v>
      </c>
      <c r="Q1905" t="e">
        <v>#VALUE!</v>
      </c>
      <c r="R1905" t="s">
        <v>3201</v>
      </c>
      <c r="S1905" t="s">
        <v>13</v>
      </c>
    </row>
    <row r="1906" spans="1:19" x14ac:dyDescent="0.3">
      <c r="A1906" t="s">
        <v>1397</v>
      </c>
      <c r="B1906" t="s">
        <v>2719</v>
      </c>
      <c r="C1906" t="s">
        <v>3023</v>
      </c>
      <c r="D1906" t="s">
        <v>3189</v>
      </c>
      <c r="E1906" t="s">
        <v>9</v>
      </c>
      <c r="F1906" s="2">
        <v>19</v>
      </c>
      <c r="G1906" t="s">
        <v>3206</v>
      </c>
      <c r="H1906" t="s">
        <v>70</v>
      </c>
      <c r="I1906" t="s">
        <v>11</v>
      </c>
      <c r="J1906" t="s">
        <v>3198</v>
      </c>
      <c r="K1906" t="s">
        <v>15</v>
      </c>
      <c r="L1906" s="2">
        <v>33</v>
      </c>
      <c r="M1906" t="s">
        <v>3203</v>
      </c>
      <c r="N1906">
        <v>1</v>
      </c>
      <c r="O1906" t="s">
        <v>30</v>
      </c>
      <c r="P1906" t="e">
        <v>#VALUE!</v>
      </c>
      <c r="Q1906" t="e">
        <v>#VALUE!</v>
      </c>
      <c r="R1906" t="s">
        <v>3201</v>
      </c>
      <c r="S1906" t="s">
        <v>13</v>
      </c>
    </row>
    <row r="1907" spans="1:19" x14ac:dyDescent="0.3">
      <c r="A1907" t="s">
        <v>1398</v>
      </c>
      <c r="B1907" t="s">
        <v>1596</v>
      </c>
      <c r="C1907" t="s">
        <v>3024</v>
      </c>
      <c r="D1907" t="s">
        <v>3189</v>
      </c>
      <c r="E1907" t="s">
        <v>9</v>
      </c>
      <c r="F1907" s="2">
        <v>32</v>
      </c>
      <c r="G1907" t="s">
        <v>3206</v>
      </c>
      <c r="H1907" t="s">
        <v>51</v>
      </c>
      <c r="I1907" t="s">
        <v>11</v>
      </c>
      <c r="J1907" t="s">
        <v>3198</v>
      </c>
      <c r="K1907" t="s">
        <v>15</v>
      </c>
      <c r="L1907" s="2">
        <v>33</v>
      </c>
      <c r="M1907" t="s">
        <v>3203</v>
      </c>
      <c r="N1907">
        <v>1</v>
      </c>
      <c r="O1907" t="s">
        <v>30</v>
      </c>
      <c r="P1907" t="e">
        <v>#VALUE!</v>
      </c>
      <c r="Q1907" t="e">
        <v>#VALUE!</v>
      </c>
      <c r="R1907" t="s">
        <v>3201</v>
      </c>
      <c r="S1907" t="s">
        <v>13</v>
      </c>
    </row>
    <row r="1908" spans="1:19" x14ac:dyDescent="0.3">
      <c r="A1908" t="s">
        <v>1399</v>
      </c>
      <c r="B1908" t="s">
        <v>1596</v>
      </c>
      <c r="C1908" t="s">
        <v>2259</v>
      </c>
      <c r="D1908" t="s">
        <v>3189</v>
      </c>
      <c r="E1908" t="s">
        <v>9</v>
      </c>
      <c r="F1908" s="2">
        <v>32</v>
      </c>
      <c r="G1908" t="s">
        <v>3206</v>
      </c>
      <c r="H1908" t="s">
        <v>51</v>
      </c>
      <c r="I1908" t="s">
        <v>11</v>
      </c>
      <c r="J1908" t="s">
        <v>3198</v>
      </c>
      <c r="K1908" t="s">
        <v>15</v>
      </c>
      <c r="L1908" s="2">
        <v>33</v>
      </c>
      <c r="M1908" t="s">
        <v>3203</v>
      </c>
      <c r="N1908">
        <v>1</v>
      </c>
      <c r="O1908" t="s">
        <v>30</v>
      </c>
      <c r="P1908" t="e">
        <v>#VALUE!</v>
      </c>
      <c r="Q1908" t="e">
        <v>#VALUE!</v>
      </c>
      <c r="R1908" t="s">
        <v>3201</v>
      </c>
      <c r="S1908" t="s">
        <v>13</v>
      </c>
    </row>
    <row r="1909" spans="1:19" x14ac:dyDescent="0.3">
      <c r="A1909" t="s">
        <v>1399</v>
      </c>
      <c r="B1909" t="s">
        <v>1596</v>
      </c>
      <c r="C1909" t="s">
        <v>1945</v>
      </c>
      <c r="D1909" t="s">
        <v>3189</v>
      </c>
      <c r="E1909" t="s">
        <v>9</v>
      </c>
      <c r="F1909" s="2">
        <v>29</v>
      </c>
      <c r="G1909" t="s">
        <v>3206</v>
      </c>
      <c r="H1909" t="s">
        <v>51</v>
      </c>
      <c r="I1909" t="s">
        <v>11</v>
      </c>
      <c r="J1909" t="s">
        <v>3198</v>
      </c>
      <c r="K1909" t="s">
        <v>15</v>
      </c>
      <c r="L1909" s="2">
        <v>33</v>
      </c>
      <c r="M1909" t="s">
        <v>3203</v>
      </c>
      <c r="N1909">
        <v>1</v>
      </c>
      <c r="O1909" t="s">
        <v>30</v>
      </c>
      <c r="P1909" t="e">
        <v>#VALUE!</v>
      </c>
      <c r="Q1909" t="e">
        <v>#VALUE!</v>
      </c>
      <c r="R1909" t="s">
        <v>3201</v>
      </c>
      <c r="S1909" t="s">
        <v>13</v>
      </c>
    </row>
    <row r="1910" spans="1:19" x14ac:dyDescent="0.3">
      <c r="A1910" t="s">
        <v>1400</v>
      </c>
      <c r="B1910" t="s">
        <v>1596</v>
      </c>
      <c r="C1910" t="s">
        <v>3025</v>
      </c>
      <c r="D1910" t="s">
        <v>3189</v>
      </c>
      <c r="E1910" t="s">
        <v>9</v>
      </c>
      <c r="F1910" s="2">
        <v>29</v>
      </c>
      <c r="G1910" t="s">
        <v>3206</v>
      </c>
      <c r="H1910" t="s">
        <v>69</v>
      </c>
      <c r="I1910" t="s">
        <v>11</v>
      </c>
      <c r="J1910" t="s">
        <v>3198</v>
      </c>
      <c r="K1910" t="s">
        <v>15</v>
      </c>
      <c r="L1910" s="2">
        <v>33</v>
      </c>
      <c r="M1910" t="s">
        <v>3203</v>
      </c>
      <c r="N1910">
        <v>1</v>
      </c>
      <c r="O1910" t="s">
        <v>30</v>
      </c>
      <c r="P1910" t="e">
        <v>#VALUE!</v>
      </c>
      <c r="Q1910" t="e">
        <v>#VALUE!</v>
      </c>
      <c r="R1910" t="s">
        <v>3201</v>
      </c>
      <c r="S1910" t="s">
        <v>13</v>
      </c>
    </row>
    <row r="1911" spans="1:19" x14ac:dyDescent="0.3">
      <c r="A1911" t="s">
        <v>1401</v>
      </c>
      <c r="B1911" t="s">
        <v>1596</v>
      </c>
      <c r="C1911" t="s">
        <v>3026</v>
      </c>
      <c r="D1911" t="s">
        <v>3189</v>
      </c>
      <c r="E1911" t="s">
        <v>9</v>
      </c>
      <c r="F1911" s="2">
        <v>45</v>
      </c>
      <c r="G1911" t="s">
        <v>3197</v>
      </c>
      <c r="H1911" t="s">
        <v>51</v>
      </c>
      <c r="I1911" t="s">
        <v>28</v>
      </c>
      <c r="J1911" t="s">
        <v>3212</v>
      </c>
      <c r="K1911" t="s">
        <v>15</v>
      </c>
      <c r="L1911" s="2">
        <v>33</v>
      </c>
      <c r="M1911" t="s">
        <v>3203</v>
      </c>
      <c r="N1911">
        <v>1</v>
      </c>
      <c r="O1911" t="s">
        <v>30</v>
      </c>
      <c r="P1911" t="e">
        <v>#VALUE!</v>
      </c>
      <c r="Q1911" t="e">
        <v>#VALUE!</v>
      </c>
      <c r="R1911" t="s">
        <v>3201</v>
      </c>
      <c r="S1911" t="s">
        <v>13</v>
      </c>
    </row>
    <row r="1912" spans="1:19" x14ac:dyDescent="0.3">
      <c r="A1912" t="s">
        <v>1402</v>
      </c>
      <c r="B1912" t="s">
        <v>1596</v>
      </c>
      <c r="C1912" t="s">
        <v>1700</v>
      </c>
      <c r="D1912" t="s">
        <v>3189</v>
      </c>
      <c r="E1912" t="s">
        <v>9</v>
      </c>
      <c r="F1912" s="2">
        <v>37</v>
      </c>
      <c r="G1912" t="s">
        <v>3197</v>
      </c>
      <c r="H1912" t="s">
        <v>69</v>
      </c>
      <c r="I1912" t="s">
        <v>11</v>
      </c>
      <c r="J1912" t="s">
        <v>3198</v>
      </c>
      <c r="K1912" t="s">
        <v>15</v>
      </c>
      <c r="L1912" s="2">
        <v>33</v>
      </c>
      <c r="M1912" t="s">
        <v>3203</v>
      </c>
      <c r="N1912">
        <v>1</v>
      </c>
      <c r="O1912" t="s">
        <v>30</v>
      </c>
      <c r="P1912" t="e">
        <v>#VALUE!</v>
      </c>
      <c r="Q1912" t="e">
        <v>#VALUE!</v>
      </c>
      <c r="R1912" t="s">
        <v>3201</v>
      </c>
      <c r="S1912" t="s">
        <v>13</v>
      </c>
    </row>
    <row r="1913" spans="1:19" x14ac:dyDescent="0.3">
      <c r="A1913" t="s">
        <v>1402</v>
      </c>
      <c r="B1913" t="s">
        <v>1596</v>
      </c>
      <c r="C1913" t="s">
        <v>3027</v>
      </c>
      <c r="D1913" t="s">
        <v>3189</v>
      </c>
      <c r="E1913" t="s">
        <v>9</v>
      </c>
      <c r="F1913" s="2">
        <v>27</v>
      </c>
      <c r="G1913" t="s">
        <v>3206</v>
      </c>
      <c r="H1913" t="s">
        <v>51</v>
      </c>
      <c r="I1913" t="s">
        <v>28</v>
      </c>
      <c r="J1913" t="s">
        <v>3212</v>
      </c>
      <c r="K1913" t="s">
        <v>15</v>
      </c>
      <c r="L1913" s="2">
        <v>33</v>
      </c>
      <c r="M1913" t="s">
        <v>3203</v>
      </c>
      <c r="N1913">
        <v>1</v>
      </c>
      <c r="O1913" t="s">
        <v>30</v>
      </c>
      <c r="P1913" t="e">
        <v>#VALUE!</v>
      </c>
      <c r="Q1913" t="e">
        <v>#VALUE!</v>
      </c>
      <c r="R1913" t="s">
        <v>3201</v>
      </c>
      <c r="S1913" t="s">
        <v>13</v>
      </c>
    </row>
    <row r="1914" spans="1:19" x14ac:dyDescent="0.3">
      <c r="A1914" t="s">
        <v>1402</v>
      </c>
      <c r="B1914" t="s">
        <v>1596</v>
      </c>
      <c r="C1914" t="s">
        <v>2493</v>
      </c>
      <c r="D1914" t="s">
        <v>3189</v>
      </c>
      <c r="E1914" t="s">
        <v>9</v>
      </c>
      <c r="F1914" s="2">
        <v>18</v>
      </c>
      <c r="G1914" t="s">
        <v>3206</v>
      </c>
      <c r="H1914" t="s">
        <v>69</v>
      </c>
      <c r="I1914" t="s">
        <v>11</v>
      </c>
      <c r="J1914" t="s">
        <v>3198</v>
      </c>
      <c r="K1914" t="s">
        <v>15</v>
      </c>
      <c r="L1914" s="2">
        <v>33</v>
      </c>
      <c r="M1914" t="s">
        <v>3203</v>
      </c>
      <c r="N1914">
        <v>1</v>
      </c>
      <c r="O1914" t="s">
        <v>30</v>
      </c>
      <c r="P1914" t="e">
        <v>#VALUE!</v>
      </c>
      <c r="Q1914" t="e">
        <v>#VALUE!</v>
      </c>
      <c r="R1914" t="s">
        <v>3201</v>
      </c>
      <c r="S1914" t="s">
        <v>13</v>
      </c>
    </row>
    <row r="1915" spans="1:19" x14ac:dyDescent="0.3">
      <c r="A1915" t="s">
        <v>1403</v>
      </c>
      <c r="B1915" t="s">
        <v>1596</v>
      </c>
      <c r="C1915" t="s">
        <v>3028</v>
      </c>
      <c r="D1915" t="s">
        <v>3189</v>
      </c>
      <c r="E1915" t="s">
        <v>9</v>
      </c>
      <c r="F1915" s="2">
        <v>45</v>
      </c>
      <c r="G1915" t="s">
        <v>3197</v>
      </c>
      <c r="H1915" t="s">
        <v>71</v>
      </c>
      <c r="I1915" t="s">
        <v>11</v>
      </c>
      <c r="J1915" t="s">
        <v>3198</v>
      </c>
      <c r="K1915" t="s">
        <v>15</v>
      </c>
      <c r="L1915" s="2">
        <v>33</v>
      </c>
      <c r="M1915" t="s">
        <v>3203</v>
      </c>
      <c r="N1915">
        <v>1</v>
      </c>
      <c r="O1915" t="s">
        <v>30</v>
      </c>
      <c r="P1915" t="e">
        <v>#VALUE!</v>
      </c>
      <c r="Q1915" t="e">
        <v>#VALUE!</v>
      </c>
      <c r="R1915" t="s">
        <v>3205</v>
      </c>
      <c r="S1915" t="s">
        <v>16</v>
      </c>
    </row>
    <row r="1916" spans="1:19" x14ac:dyDescent="0.3">
      <c r="A1916" t="s">
        <v>714</v>
      </c>
      <c r="B1916" t="s">
        <v>1596</v>
      </c>
      <c r="C1916" t="s">
        <v>2875</v>
      </c>
      <c r="D1916" t="s">
        <v>3189</v>
      </c>
      <c r="E1916" t="s">
        <v>9</v>
      </c>
      <c r="F1916" s="2">
        <v>24</v>
      </c>
      <c r="G1916" t="s">
        <v>3206</v>
      </c>
      <c r="H1916" t="s">
        <v>69</v>
      </c>
      <c r="I1916" t="s">
        <v>11</v>
      </c>
      <c r="J1916" t="s">
        <v>3198</v>
      </c>
      <c r="K1916" t="s">
        <v>15</v>
      </c>
      <c r="L1916" s="2">
        <v>33</v>
      </c>
      <c r="M1916" t="s">
        <v>3203</v>
      </c>
      <c r="N1916">
        <v>1</v>
      </c>
      <c r="O1916" t="s">
        <v>30</v>
      </c>
      <c r="P1916" t="e">
        <v>#VALUE!</v>
      </c>
      <c r="Q1916" t="e">
        <v>#VALUE!</v>
      </c>
      <c r="R1916" t="s">
        <v>3201</v>
      </c>
      <c r="S1916" t="s">
        <v>13</v>
      </c>
    </row>
    <row r="1917" spans="1:19" x14ac:dyDescent="0.3">
      <c r="A1917" t="s">
        <v>714</v>
      </c>
      <c r="B1917" t="s">
        <v>1596</v>
      </c>
      <c r="C1917" t="s">
        <v>1610</v>
      </c>
      <c r="D1917" t="s">
        <v>3189</v>
      </c>
      <c r="E1917" t="s">
        <v>9</v>
      </c>
      <c r="F1917" s="2">
        <v>28</v>
      </c>
      <c r="G1917" t="s">
        <v>3206</v>
      </c>
      <c r="H1917" t="s">
        <v>51</v>
      </c>
      <c r="I1917" t="s">
        <v>11</v>
      </c>
      <c r="J1917" t="s">
        <v>3198</v>
      </c>
      <c r="K1917" t="s">
        <v>15</v>
      </c>
      <c r="L1917" s="2">
        <v>33</v>
      </c>
      <c r="M1917" t="s">
        <v>3203</v>
      </c>
      <c r="N1917">
        <v>1</v>
      </c>
      <c r="O1917" t="s">
        <v>30</v>
      </c>
      <c r="P1917" t="e">
        <v>#VALUE!</v>
      </c>
      <c r="Q1917" t="e">
        <v>#VALUE!</v>
      </c>
      <c r="R1917" t="s">
        <v>3205</v>
      </c>
      <c r="S1917" t="s">
        <v>16</v>
      </c>
    </row>
    <row r="1918" spans="1:19" x14ac:dyDescent="0.3">
      <c r="A1918" t="s">
        <v>1404</v>
      </c>
      <c r="B1918" t="s">
        <v>1596</v>
      </c>
      <c r="C1918" t="s">
        <v>3029</v>
      </c>
      <c r="D1918" t="s">
        <v>3189</v>
      </c>
      <c r="E1918" t="s">
        <v>9</v>
      </c>
      <c r="F1918" s="2">
        <v>25</v>
      </c>
      <c r="G1918" t="s">
        <v>3206</v>
      </c>
      <c r="H1918" t="s">
        <v>69</v>
      </c>
      <c r="I1918" t="s">
        <v>11</v>
      </c>
      <c r="J1918" t="s">
        <v>3198</v>
      </c>
      <c r="K1918" t="s">
        <v>15</v>
      </c>
      <c r="L1918" s="2">
        <v>33</v>
      </c>
      <c r="M1918" t="s">
        <v>3203</v>
      </c>
      <c r="N1918">
        <v>1</v>
      </c>
      <c r="O1918" t="s">
        <v>30</v>
      </c>
      <c r="P1918" t="e">
        <v>#VALUE!</v>
      </c>
      <c r="Q1918" t="e">
        <v>#VALUE!</v>
      </c>
      <c r="R1918" t="s">
        <v>3205</v>
      </c>
      <c r="S1918" t="s">
        <v>16</v>
      </c>
    </row>
    <row r="1919" spans="1:19" x14ac:dyDescent="0.3">
      <c r="A1919" t="s">
        <v>1405</v>
      </c>
      <c r="B1919" t="s">
        <v>2719</v>
      </c>
      <c r="C1919" t="s">
        <v>3030</v>
      </c>
      <c r="D1919" t="s">
        <v>3189</v>
      </c>
      <c r="E1919" t="s">
        <v>9</v>
      </c>
      <c r="F1919" s="2">
        <v>21</v>
      </c>
      <c r="G1919" t="s">
        <v>3206</v>
      </c>
      <c r="H1919" t="s">
        <v>70</v>
      </c>
      <c r="I1919" t="s">
        <v>11</v>
      </c>
      <c r="J1919" t="s">
        <v>3198</v>
      </c>
      <c r="K1919" t="s">
        <v>15</v>
      </c>
      <c r="L1919" s="2">
        <v>33</v>
      </c>
      <c r="M1919" t="s">
        <v>3203</v>
      </c>
      <c r="N1919">
        <v>1</v>
      </c>
      <c r="O1919" t="s">
        <v>30</v>
      </c>
      <c r="P1919" t="e">
        <v>#VALUE!</v>
      </c>
      <c r="Q1919" t="e">
        <v>#VALUE!</v>
      </c>
      <c r="R1919" t="s">
        <v>3201</v>
      </c>
      <c r="S1919" t="s">
        <v>13</v>
      </c>
    </row>
    <row r="1920" spans="1:19" x14ac:dyDescent="0.3">
      <c r="A1920" t="s">
        <v>1406</v>
      </c>
      <c r="B1920" t="s">
        <v>1596</v>
      </c>
      <c r="C1920" t="s">
        <v>2038</v>
      </c>
      <c r="D1920" t="s">
        <v>3189</v>
      </c>
      <c r="E1920" t="s">
        <v>9</v>
      </c>
      <c r="F1920" s="2">
        <v>39</v>
      </c>
      <c r="G1920" t="s">
        <v>3197</v>
      </c>
      <c r="H1920" t="s">
        <v>51</v>
      </c>
      <c r="I1920" t="s">
        <v>11</v>
      </c>
      <c r="J1920" t="s">
        <v>3198</v>
      </c>
      <c r="K1920" t="s">
        <v>15</v>
      </c>
      <c r="L1920" s="2">
        <v>33</v>
      </c>
      <c r="M1920" t="s">
        <v>3203</v>
      </c>
      <c r="N1920">
        <v>1</v>
      </c>
      <c r="O1920" t="s">
        <v>30</v>
      </c>
      <c r="P1920" t="e">
        <v>#VALUE!</v>
      </c>
      <c r="Q1920" t="e">
        <v>#VALUE!</v>
      </c>
      <c r="R1920" t="s">
        <v>3205</v>
      </c>
      <c r="S1920" t="s">
        <v>16</v>
      </c>
    </row>
    <row r="1921" spans="1:19" x14ac:dyDescent="0.3">
      <c r="A1921" t="s">
        <v>1407</v>
      </c>
      <c r="B1921" t="s">
        <v>1596</v>
      </c>
      <c r="C1921" t="s">
        <v>3031</v>
      </c>
      <c r="D1921" t="s">
        <v>3189</v>
      </c>
      <c r="E1921" t="s">
        <v>9</v>
      </c>
      <c r="F1921" s="2">
        <v>34</v>
      </c>
      <c r="G1921" t="s">
        <v>3206</v>
      </c>
      <c r="H1921" t="s">
        <v>69</v>
      </c>
      <c r="I1921" t="s">
        <v>11</v>
      </c>
      <c r="J1921" t="s">
        <v>3198</v>
      </c>
      <c r="K1921" t="s">
        <v>15</v>
      </c>
      <c r="L1921" s="2">
        <v>33</v>
      </c>
      <c r="M1921" t="s">
        <v>3203</v>
      </c>
      <c r="N1921">
        <v>1</v>
      </c>
      <c r="O1921" t="s">
        <v>30</v>
      </c>
      <c r="P1921" t="e">
        <v>#VALUE!</v>
      </c>
      <c r="Q1921" t="e">
        <v>#VALUE!</v>
      </c>
      <c r="R1921" t="s">
        <v>3201</v>
      </c>
      <c r="S1921" t="s">
        <v>13</v>
      </c>
    </row>
    <row r="1922" spans="1:19" x14ac:dyDescent="0.3">
      <c r="A1922" t="s">
        <v>1408</v>
      </c>
      <c r="B1922" t="s">
        <v>1596</v>
      </c>
      <c r="C1922" t="s">
        <v>3032</v>
      </c>
      <c r="D1922" t="s">
        <v>3189</v>
      </c>
      <c r="E1922" t="s">
        <v>9</v>
      </c>
      <c r="F1922" s="2">
        <v>31</v>
      </c>
      <c r="G1922" t="s">
        <v>3206</v>
      </c>
      <c r="H1922" t="s">
        <v>69</v>
      </c>
      <c r="I1922" t="s">
        <v>11</v>
      </c>
      <c r="J1922" t="s">
        <v>3198</v>
      </c>
      <c r="K1922" t="s">
        <v>15</v>
      </c>
      <c r="L1922" s="2">
        <v>33</v>
      </c>
      <c r="M1922" t="s">
        <v>3203</v>
      </c>
      <c r="N1922">
        <v>1</v>
      </c>
      <c r="O1922" t="s">
        <v>30</v>
      </c>
      <c r="P1922" t="e">
        <v>#VALUE!</v>
      </c>
      <c r="Q1922" t="e">
        <v>#VALUE!</v>
      </c>
      <c r="R1922" t="s">
        <v>3201</v>
      </c>
      <c r="S1922" t="s">
        <v>13</v>
      </c>
    </row>
    <row r="1923" spans="1:19" x14ac:dyDescent="0.3">
      <c r="A1923" t="s">
        <v>1409</v>
      </c>
      <c r="B1923" t="s">
        <v>1596</v>
      </c>
      <c r="C1923" t="s">
        <v>3033</v>
      </c>
      <c r="D1923" t="s">
        <v>3189</v>
      </c>
      <c r="E1923" t="s">
        <v>9</v>
      </c>
      <c r="F1923" s="2">
        <v>49</v>
      </c>
      <c r="G1923" t="s">
        <v>3197</v>
      </c>
      <c r="H1923" t="s">
        <v>69</v>
      </c>
      <c r="I1923" t="s">
        <v>28</v>
      </c>
      <c r="J1923" t="s">
        <v>3212</v>
      </c>
      <c r="K1923" t="s">
        <v>15</v>
      </c>
      <c r="L1923" s="2">
        <v>33</v>
      </c>
      <c r="M1923" t="s">
        <v>3203</v>
      </c>
      <c r="N1923">
        <v>1</v>
      </c>
      <c r="O1923" t="s">
        <v>30</v>
      </c>
      <c r="P1923" t="e">
        <v>#VALUE!</v>
      </c>
      <c r="Q1923" t="e">
        <v>#VALUE!</v>
      </c>
      <c r="R1923" t="s">
        <v>3201</v>
      </c>
      <c r="S1923" t="s">
        <v>13</v>
      </c>
    </row>
    <row r="1924" spans="1:19" x14ac:dyDescent="0.3">
      <c r="A1924" t="s">
        <v>1410</v>
      </c>
      <c r="B1924" t="s">
        <v>2719</v>
      </c>
      <c r="C1924" t="s">
        <v>3034</v>
      </c>
      <c r="D1924" t="s">
        <v>3189</v>
      </c>
      <c r="E1924" t="s">
        <v>9</v>
      </c>
      <c r="F1924" s="2">
        <v>20</v>
      </c>
      <c r="G1924" t="s">
        <v>3206</v>
      </c>
      <c r="H1924" t="s">
        <v>70</v>
      </c>
      <c r="I1924" t="s">
        <v>11</v>
      </c>
      <c r="J1924" t="s">
        <v>3198</v>
      </c>
      <c r="K1924" t="s">
        <v>15</v>
      </c>
      <c r="L1924" s="2">
        <v>33</v>
      </c>
      <c r="M1924" t="s">
        <v>3203</v>
      </c>
      <c r="N1924">
        <v>1</v>
      </c>
      <c r="O1924" t="s">
        <v>30</v>
      </c>
      <c r="P1924" t="e">
        <v>#VALUE!</v>
      </c>
      <c r="Q1924" t="e">
        <v>#VALUE!</v>
      </c>
      <c r="R1924" t="s">
        <v>3201</v>
      </c>
      <c r="S1924" t="s">
        <v>13</v>
      </c>
    </row>
    <row r="1925" spans="1:19" x14ac:dyDescent="0.3">
      <c r="A1925" t="s">
        <v>1410</v>
      </c>
      <c r="B1925" t="s">
        <v>2719</v>
      </c>
      <c r="C1925" t="s">
        <v>1910</v>
      </c>
      <c r="D1925" t="s">
        <v>3189</v>
      </c>
      <c r="E1925" t="s">
        <v>9</v>
      </c>
      <c r="F1925" s="2">
        <v>17</v>
      </c>
      <c r="G1925" t="s">
        <v>3202</v>
      </c>
      <c r="H1925" t="s">
        <v>70</v>
      </c>
      <c r="I1925" t="s">
        <v>11</v>
      </c>
      <c r="J1925" t="s">
        <v>3198</v>
      </c>
      <c r="K1925" t="s">
        <v>15</v>
      </c>
      <c r="L1925" s="2">
        <v>33</v>
      </c>
      <c r="M1925" t="s">
        <v>3203</v>
      </c>
      <c r="N1925">
        <v>1</v>
      </c>
      <c r="O1925" t="s">
        <v>30</v>
      </c>
      <c r="P1925" t="e">
        <v>#VALUE!</v>
      </c>
      <c r="Q1925" t="e">
        <v>#VALUE!</v>
      </c>
      <c r="R1925" t="s">
        <v>3201</v>
      </c>
      <c r="S1925" t="s">
        <v>13</v>
      </c>
    </row>
    <row r="1926" spans="1:19" x14ac:dyDescent="0.3">
      <c r="A1926" t="s">
        <v>1411</v>
      </c>
      <c r="B1926" t="s">
        <v>1596</v>
      </c>
      <c r="C1926" t="s">
        <v>3035</v>
      </c>
      <c r="D1926" t="s">
        <v>3189</v>
      </c>
      <c r="E1926" t="s">
        <v>9</v>
      </c>
      <c r="F1926" s="2">
        <v>22</v>
      </c>
      <c r="G1926" t="s">
        <v>3206</v>
      </c>
      <c r="H1926" t="s">
        <v>69</v>
      </c>
      <c r="I1926" t="s">
        <v>11</v>
      </c>
      <c r="J1926" t="s">
        <v>3198</v>
      </c>
      <c r="K1926" t="s">
        <v>15</v>
      </c>
      <c r="L1926" s="2">
        <v>33</v>
      </c>
      <c r="M1926" t="s">
        <v>3203</v>
      </c>
      <c r="N1926">
        <v>1</v>
      </c>
      <c r="O1926" t="s">
        <v>30</v>
      </c>
      <c r="P1926" t="e">
        <v>#VALUE!</v>
      </c>
      <c r="Q1926" t="e">
        <v>#VALUE!</v>
      </c>
      <c r="R1926" t="s">
        <v>3201</v>
      </c>
      <c r="S1926" t="s">
        <v>13</v>
      </c>
    </row>
    <row r="1927" spans="1:19" x14ac:dyDescent="0.3">
      <c r="A1927" t="s">
        <v>1412</v>
      </c>
      <c r="B1927" t="s">
        <v>1596</v>
      </c>
      <c r="C1927" t="s">
        <v>2639</v>
      </c>
      <c r="D1927" t="s">
        <v>3189</v>
      </c>
      <c r="E1927" t="s">
        <v>9</v>
      </c>
      <c r="F1927" s="2">
        <v>37</v>
      </c>
      <c r="G1927" t="s">
        <v>3197</v>
      </c>
      <c r="H1927" t="s">
        <v>71</v>
      </c>
      <c r="I1927" t="s">
        <v>28</v>
      </c>
      <c r="J1927" t="s">
        <v>3212</v>
      </c>
      <c r="K1927" t="s">
        <v>15</v>
      </c>
      <c r="L1927" s="2">
        <v>33</v>
      </c>
      <c r="M1927" t="s">
        <v>3203</v>
      </c>
      <c r="N1927">
        <v>1</v>
      </c>
      <c r="O1927" t="s">
        <v>30</v>
      </c>
      <c r="P1927" t="e">
        <v>#VALUE!</v>
      </c>
      <c r="Q1927" t="e">
        <v>#VALUE!</v>
      </c>
      <c r="R1927" t="s">
        <v>3205</v>
      </c>
      <c r="S1927" t="s">
        <v>16</v>
      </c>
    </row>
    <row r="1928" spans="1:19" x14ac:dyDescent="0.3">
      <c r="A1928" t="s">
        <v>1413</v>
      </c>
      <c r="B1928" t="s">
        <v>2719</v>
      </c>
      <c r="C1928" t="s">
        <v>3036</v>
      </c>
      <c r="D1928" t="s">
        <v>3189</v>
      </c>
      <c r="E1928" t="s">
        <v>9</v>
      </c>
      <c r="F1928" s="2">
        <v>20</v>
      </c>
      <c r="G1928" t="s">
        <v>3206</v>
      </c>
      <c r="H1928" t="s">
        <v>70</v>
      </c>
      <c r="I1928" t="s">
        <v>11</v>
      </c>
      <c r="J1928" t="s">
        <v>3198</v>
      </c>
      <c r="K1928" t="s">
        <v>15</v>
      </c>
      <c r="L1928" s="2">
        <v>33</v>
      </c>
      <c r="M1928" t="s">
        <v>3203</v>
      </c>
      <c r="N1928">
        <v>1</v>
      </c>
      <c r="O1928" t="s">
        <v>30</v>
      </c>
      <c r="P1928" t="e">
        <v>#VALUE!</v>
      </c>
      <c r="Q1928" t="e">
        <v>#VALUE!</v>
      </c>
      <c r="R1928" t="s">
        <v>3201</v>
      </c>
      <c r="S1928" t="s">
        <v>13</v>
      </c>
    </row>
    <row r="1929" spans="1:19" x14ac:dyDescent="0.3">
      <c r="A1929" t="s">
        <v>1414</v>
      </c>
      <c r="B1929" t="s">
        <v>1596</v>
      </c>
      <c r="C1929" t="s">
        <v>2963</v>
      </c>
      <c r="D1929" t="s">
        <v>3189</v>
      </c>
      <c r="E1929" t="s">
        <v>9</v>
      </c>
      <c r="F1929" s="2">
        <v>48</v>
      </c>
      <c r="G1929" t="s">
        <v>3197</v>
      </c>
      <c r="H1929" t="s">
        <v>69</v>
      </c>
      <c r="I1929" t="s">
        <v>11</v>
      </c>
      <c r="J1929" t="s">
        <v>3198</v>
      </c>
      <c r="K1929" t="s">
        <v>15</v>
      </c>
      <c r="L1929" s="2">
        <v>33</v>
      </c>
      <c r="M1929" t="s">
        <v>3203</v>
      </c>
      <c r="N1929">
        <v>1</v>
      </c>
      <c r="O1929" t="s">
        <v>30</v>
      </c>
      <c r="P1929" t="e">
        <v>#VALUE!</v>
      </c>
      <c r="Q1929" t="e">
        <v>#VALUE!</v>
      </c>
      <c r="R1929" t="s">
        <v>3201</v>
      </c>
      <c r="S1929" t="s">
        <v>13</v>
      </c>
    </row>
    <row r="1930" spans="1:19" x14ac:dyDescent="0.3">
      <c r="A1930" t="s">
        <v>1415</v>
      </c>
      <c r="B1930" t="s">
        <v>1596</v>
      </c>
      <c r="C1930" t="s">
        <v>3037</v>
      </c>
      <c r="D1930" t="s">
        <v>3189</v>
      </c>
      <c r="E1930" t="s">
        <v>9</v>
      </c>
      <c r="F1930" s="2">
        <v>32</v>
      </c>
      <c r="G1930" t="s">
        <v>3206</v>
      </c>
      <c r="H1930" t="s">
        <v>69</v>
      </c>
      <c r="I1930" t="s">
        <v>11</v>
      </c>
      <c r="J1930" t="s">
        <v>3198</v>
      </c>
      <c r="K1930" t="s">
        <v>15</v>
      </c>
      <c r="L1930" s="2">
        <v>33</v>
      </c>
      <c r="M1930" t="s">
        <v>3203</v>
      </c>
      <c r="N1930">
        <v>1</v>
      </c>
      <c r="O1930" t="s">
        <v>30</v>
      </c>
      <c r="P1930" t="e">
        <v>#VALUE!</v>
      </c>
      <c r="Q1930" t="e">
        <v>#VALUE!</v>
      </c>
      <c r="R1930" t="s">
        <v>3201</v>
      </c>
      <c r="S1930" t="s">
        <v>13</v>
      </c>
    </row>
    <row r="1931" spans="1:19" x14ac:dyDescent="0.3">
      <c r="A1931" t="s">
        <v>1416</v>
      </c>
      <c r="B1931" t="s">
        <v>1596</v>
      </c>
      <c r="C1931" t="s">
        <v>3038</v>
      </c>
      <c r="D1931" t="s">
        <v>3189</v>
      </c>
      <c r="E1931" t="s">
        <v>9</v>
      </c>
      <c r="F1931" s="2">
        <v>19</v>
      </c>
      <c r="G1931" t="s">
        <v>3206</v>
      </c>
      <c r="H1931" t="s">
        <v>51</v>
      </c>
      <c r="I1931" t="s">
        <v>11</v>
      </c>
      <c r="J1931" t="s">
        <v>3198</v>
      </c>
      <c r="K1931" t="s">
        <v>15</v>
      </c>
      <c r="L1931" s="2">
        <v>33</v>
      </c>
      <c r="M1931" t="s">
        <v>3203</v>
      </c>
      <c r="N1931">
        <v>1</v>
      </c>
      <c r="O1931" t="s">
        <v>30</v>
      </c>
      <c r="P1931" t="e">
        <v>#VALUE!</v>
      </c>
      <c r="Q1931" t="e">
        <v>#VALUE!</v>
      </c>
      <c r="R1931" t="s">
        <v>3205</v>
      </c>
      <c r="S1931" t="s">
        <v>16</v>
      </c>
    </row>
    <row r="1932" spans="1:19" x14ac:dyDescent="0.3">
      <c r="A1932" t="s">
        <v>1416</v>
      </c>
      <c r="B1932" t="s">
        <v>1596</v>
      </c>
      <c r="C1932" t="s">
        <v>3039</v>
      </c>
      <c r="D1932" t="s">
        <v>3189</v>
      </c>
      <c r="E1932" t="s">
        <v>9</v>
      </c>
      <c r="F1932" s="2">
        <v>23</v>
      </c>
      <c r="G1932" t="s">
        <v>3206</v>
      </c>
      <c r="H1932" t="s">
        <v>51</v>
      </c>
      <c r="I1932" t="s">
        <v>11</v>
      </c>
      <c r="J1932" t="s">
        <v>3198</v>
      </c>
      <c r="K1932" t="s">
        <v>15</v>
      </c>
      <c r="L1932" s="2">
        <v>33</v>
      </c>
      <c r="M1932" t="s">
        <v>3203</v>
      </c>
      <c r="N1932">
        <v>1</v>
      </c>
      <c r="O1932" t="s">
        <v>30</v>
      </c>
      <c r="P1932" t="e">
        <v>#VALUE!</v>
      </c>
      <c r="Q1932" t="e">
        <v>#VALUE!</v>
      </c>
      <c r="R1932" t="s">
        <v>3201</v>
      </c>
      <c r="S1932" t="s">
        <v>13</v>
      </c>
    </row>
    <row r="1933" spans="1:19" x14ac:dyDescent="0.3">
      <c r="A1933" t="s">
        <v>730</v>
      </c>
      <c r="B1933" t="s">
        <v>1596</v>
      </c>
      <c r="C1933" t="s">
        <v>3040</v>
      </c>
      <c r="D1933" t="s">
        <v>3189</v>
      </c>
      <c r="E1933" t="s">
        <v>9</v>
      </c>
      <c r="F1933" s="2">
        <v>26</v>
      </c>
      <c r="G1933" t="s">
        <v>3206</v>
      </c>
      <c r="H1933" t="s">
        <v>71</v>
      </c>
      <c r="I1933" t="s">
        <v>11</v>
      </c>
      <c r="J1933" t="s">
        <v>3198</v>
      </c>
      <c r="K1933" t="s">
        <v>15</v>
      </c>
      <c r="L1933" s="2">
        <v>33</v>
      </c>
      <c r="M1933" t="s">
        <v>3203</v>
      </c>
      <c r="N1933">
        <v>1</v>
      </c>
      <c r="O1933" t="s">
        <v>30</v>
      </c>
      <c r="P1933" t="e">
        <v>#VALUE!</v>
      </c>
      <c r="Q1933" t="e">
        <v>#VALUE!</v>
      </c>
      <c r="R1933" t="s">
        <v>3205</v>
      </c>
      <c r="S1933" t="s">
        <v>16</v>
      </c>
    </row>
    <row r="1934" spans="1:19" x14ac:dyDescent="0.3">
      <c r="A1934" t="s">
        <v>1417</v>
      </c>
      <c r="B1934" t="s">
        <v>1596</v>
      </c>
      <c r="C1934" t="s">
        <v>3041</v>
      </c>
      <c r="D1934" t="s">
        <v>3189</v>
      </c>
      <c r="E1934" t="s">
        <v>9</v>
      </c>
      <c r="F1934" s="2">
        <v>25</v>
      </c>
      <c r="G1934" t="s">
        <v>3206</v>
      </c>
      <c r="H1934" t="s">
        <v>69</v>
      </c>
      <c r="I1934" t="s">
        <v>11</v>
      </c>
      <c r="J1934" t="s">
        <v>3198</v>
      </c>
      <c r="K1934" t="s">
        <v>15</v>
      </c>
      <c r="L1934" s="2">
        <v>33</v>
      </c>
      <c r="M1934" t="s">
        <v>3203</v>
      </c>
      <c r="N1934">
        <v>1</v>
      </c>
      <c r="O1934" t="s">
        <v>30</v>
      </c>
      <c r="P1934" t="e">
        <v>#VALUE!</v>
      </c>
      <c r="Q1934" t="e">
        <v>#VALUE!</v>
      </c>
      <c r="R1934" t="s">
        <v>3201</v>
      </c>
      <c r="S1934" t="s">
        <v>13</v>
      </c>
    </row>
    <row r="1935" spans="1:19" x14ac:dyDescent="0.3">
      <c r="A1935" t="s">
        <v>1418</v>
      </c>
      <c r="B1935" t="s">
        <v>1596</v>
      </c>
      <c r="C1935" t="s">
        <v>3042</v>
      </c>
      <c r="D1935" t="s">
        <v>3189</v>
      </c>
      <c r="E1935" t="s">
        <v>9</v>
      </c>
      <c r="F1935" s="2">
        <v>30</v>
      </c>
      <c r="G1935" t="s">
        <v>3206</v>
      </c>
      <c r="H1935" t="s">
        <v>69</v>
      </c>
      <c r="I1935" t="s">
        <v>11</v>
      </c>
      <c r="J1935" t="s">
        <v>3198</v>
      </c>
      <c r="K1935" t="s">
        <v>64</v>
      </c>
      <c r="L1935" s="2">
        <v>33</v>
      </c>
      <c r="M1935" t="s">
        <v>3203</v>
      </c>
      <c r="N1935">
        <v>1</v>
      </c>
      <c r="O1935" t="s">
        <v>30</v>
      </c>
      <c r="P1935" t="e">
        <v>#VALUE!</v>
      </c>
      <c r="Q1935" t="e">
        <v>#VALUE!</v>
      </c>
      <c r="R1935" t="s">
        <v>3205</v>
      </c>
      <c r="S1935" t="s">
        <v>16</v>
      </c>
    </row>
    <row r="1936" spans="1:19" x14ac:dyDescent="0.3">
      <c r="A1936" t="s">
        <v>1419</v>
      </c>
      <c r="B1936" t="s">
        <v>1596</v>
      </c>
      <c r="C1936" t="s">
        <v>3043</v>
      </c>
      <c r="D1936" t="s">
        <v>3189</v>
      </c>
      <c r="E1936" t="s">
        <v>9</v>
      </c>
      <c r="F1936" s="2">
        <v>23</v>
      </c>
      <c r="G1936" t="s">
        <v>3206</v>
      </c>
      <c r="H1936" t="s">
        <v>69</v>
      </c>
      <c r="I1936" t="s">
        <v>28</v>
      </c>
      <c r="J1936" t="s">
        <v>3212</v>
      </c>
      <c r="K1936" t="s">
        <v>15</v>
      </c>
      <c r="L1936" s="2">
        <v>33</v>
      </c>
      <c r="M1936" t="s">
        <v>3203</v>
      </c>
      <c r="N1936">
        <v>1</v>
      </c>
      <c r="O1936" t="s">
        <v>30</v>
      </c>
      <c r="P1936" t="e">
        <v>#VALUE!</v>
      </c>
      <c r="Q1936" t="e">
        <v>#VALUE!</v>
      </c>
      <c r="R1936" t="s">
        <v>3205</v>
      </c>
      <c r="S1936" t="s">
        <v>16</v>
      </c>
    </row>
    <row r="1937" spans="1:19" x14ac:dyDescent="0.3">
      <c r="A1937" t="s">
        <v>734</v>
      </c>
      <c r="B1937" t="s">
        <v>1596</v>
      </c>
      <c r="C1937" t="s">
        <v>2965</v>
      </c>
      <c r="D1937" t="s">
        <v>3189</v>
      </c>
      <c r="E1937" t="s">
        <v>9</v>
      </c>
      <c r="F1937" s="2">
        <v>27</v>
      </c>
      <c r="G1937" t="s">
        <v>3206</v>
      </c>
      <c r="H1937" t="s">
        <v>51</v>
      </c>
      <c r="I1937" t="s">
        <v>11</v>
      </c>
      <c r="J1937" t="s">
        <v>3198</v>
      </c>
      <c r="K1937" t="s">
        <v>15</v>
      </c>
      <c r="L1937" s="2">
        <v>33</v>
      </c>
      <c r="M1937" t="s">
        <v>3203</v>
      </c>
      <c r="N1937">
        <v>1</v>
      </c>
      <c r="O1937" t="s">
        <v>30</v>
      </c>
      <c r="P1937" t="e">
        <v>#VALUE!</v>
      </c>
      <c r="Q1937" t="e">
        <v>#VALUE!</v>
      </c>
      <c r="R1937" t="s">
        <v>3201</v>
      </c>
      <c r="S1937" t="s">
        <v>13</v>
      </c>
    </row>
    <row r="1938" spans="1:19" x14ac:dyDescent="0.3">
      <c r="A1938" t="s">
        <v>734</v>
      </c>
      <c r="B1938" t="s">
        <v>1596</v>
      </c>
      <c r="C1938" t="s">
        <v>2513</v>
      </c>
      <c r="D1938" t="s">
        <v>3189</v>
      </c>
      <c r="E1938" t="s">
        <v>9</v>
      </c>
      <c r="F1938" s="2">
        <v>25</v>
      </c>
      <c r="G1938" t="s">
        <v>3206</v>
      </c>
      <c r="H1938" t="s">
        <v>69</v>
      </c>
      <c r="I1938" t="s">
        <v>28</v>
      </c>
      <c r="J1938" t="s">
        <v>3212</v>
      </c>
      <c r="K1938" t="s">
        <v>15</v>
      </c>
      <c r="L1938" s="2">
        <v>33</v>
      </c>
      <c r="M1938" t="s">
        <v>3203</v>
      </c>
      <c r="N1938">
        <v>1</v>
      </c>
      <c r="O1938" t="s">
        <v>30</v>
      </c>
      <c r="P1938" t="e">
        <v>#VALUE!</v>
      </c>
      <c r="Q1938" t="e">
        <v>#VALUE!</v>
      </c>
      <c r="R1938" t="s">
        <v>3201</v>
      </c>
      <c r="S1938" t="s">
        <v>13</v>
      </c>
    </row>
    <row r="1939" spans="1:19" x14ac:dyDescent="0.3">
      <c r="A1939" t="s">
        <v>734</v>
      </c>
      <c r="B1939" t="s">
        <v>1596</v>
      </c>
      <c r="C1939" t="s">
        <v>2639</v>
      </c>
      <c r="D1939" t="s">
        <v>3189</v>
      </c>
      <c r="E1939" t="s">
        <v>9</v>
      </c>
      <c r="F1939" s="2">
        <v>35</v>
      </c>
      <c r="G1939" t="s">
        <v>3206</v>
      </c>
      <c r="H1939" t="s">
        <v>70</v>
      </c>
      <c r="I1939" t="s">
        <v>11</v>
      </c>
      <c r="J1939" t="s">
        <v>3198</v>
      </c>
      <c r="K1939" t="s">
        <v>15</v>
      </c>
      <c r="L1939" s="2">
        <v>33</v>
      </c>
      <c r="M1939" t="s">
        <v>3203</v>
      </c>
      <c r="N1939">
        <v>1</v>
      </c>
      <c r="O1939" t="s">
        <v>30</v>
      </c>
      <c r="P1939" t="e">
        <v>#VALUE!</v>
      </c>
      <c r="Q1939" t="e">
        <v>#VALUE!</v>
      </c>
      <c r="R1939" t="s">
        <v>3201</v>
      </c>
      <c r="S1939" t="s">
        <v>13</v>
      </c>
    </row>
    <row r="1940" spans="1:19" x14ac:dyDescent="0.3">
      <c r="A1940" t="s">
        <v>1420</v>
      </c>
      <c r="B1940" t="s">
        <v>2719</v>
      </c>
      <c r="C1940" t="s">
        <v>2951</v>
      </c>
      <c r="D1940" t="s">
        <v>3189</v>
      </c>
      <c r="E1940" t="s">
        <v>9</v>
      </c>
      <c r="F1940" s="2">
        <v>17</v>
      </c>
      <c r="G1940" t="s">
        <v>3202</v>
      </c>
      <c r="H1940" t="s">
        <v>70</v>
      </c>
      <c r="I1940" t="s">
        <v>11</v>
      </c>
      <c r="J1940" t="s">
        <v>3198</v>
      </c>
      <c r="K1940" t="s">
        <v>15</v>
      </c>
      <c r="L1940" s="2">
        <v>33</v>
      </c>
      <c r="M1940" t="s">
        <v>3203</v>
      </c>
      <c r="N1940">
        <v>1</v>
      </c>
      <c r="O1940" t="s">
        <v>30</v>
      </c>
      <c r="P1940" t="e">
        <v>#VALUE!</v>
      </c>
      <c r="Q1940" t="e">
        <v>#VALUE!</v>
      </c>
      <c r="R1940" t="s">
        <v>3201</v>
      </c>
      <c r="S1940" t="s">
        <v>13</v>
      </c>
    </row>
    <row r="1941" spans="1:19" x14ac:dyDescent="0.3">
      <c r="A1941" t="s">
        <v>1421</v>
      </c>
      <c r="B1941" t="s">
        <v>2719</v>
      </c>
      <c r="C1941" t="s">
        <v>3044</v>
      </c>
      <c r="D1941" t="s">
        <v>3189</v>
      </c>
      <c r="E1941" t="s">
        <v>9</v>
      </c>
      <c r="F1941" s="2">
        <v>33</v>
      </c>
      <c r="G1941" t="s">
        <v>3206</v>
      </c>
      <c r="H1941" t="s">
        <v>70</v>
      </c>
      <c r="I1941" t="s">
        <v>11</v>
      </c>
      <c r="J1941" t="s">
        <v>3198</v>
      </c>
      <c r="K1941" t="s">
        <v>15</v>
      </c>
      <c r="L1941" s="2">
        <v>33</v>
      </c>
      <c r="M1941" t="s">
        <v>3203</v>
      </c>
      <c r="N1941">
        <v>1</v>
      </c>
      <c r="O1941" t="s">
        <v>30</v>
      </c>
      <c r="P1941" t="e">
        <v>#VALUE!</v>
      </c>
      <c r="Q1941" t="e">
        <v>#VALUE!</v>
      </c>
      <c r="R1941" t="s">
        <v>3201</v>
      </c>
      <c r="S1941" t="s">
        <v>13</v>
      </c>
    </row>
    <row r="1942" spans="1:19" x14ac:dyDescent="0.3">
      <c r="A1942" t="s">
        <v>1422</v>
      </c>
      <c r="B1942" t="s">
        <v>1596</v>
      </c>
      <c r="C1942" t="s">
        <v>1955</v>
      </c>
      <c r="D1942" t="s">
        <v>3189</v>
      </c>
      <c r="E1942" t="s">
        <v>9</v>
      </c>
      <c r="F1942" s="2">
        <v>25</v>
      </c>
      <c r="G1942" t="s">
        <v>3206</v>
      </c>
      <c r="H1942" t="s">
        <v>51</v>
      </c>
      <c r="I1942" t="s">
        <v>11</v>
      </c>
      <c r="J1942" t="s">
        <v>3198</v>
      </c>
      <c r="K1942" t="s">
        <v>15</v>
      </c>
      <c r="L1942" s="2">
        <v>33</v>
      </c>
      <c r="M1942" t="s">
        <v>3203</v>
      </c>
      <c r="N1942">
        <v>1</v>
      </c>
      <c r="O1942" t="s">
        <v>30</v>
      </c>
      <c r="P1942" t="e">
        <v>#VALUE!</v>
      </c>
      <c r="Q1942" t="e">
        <v>#VALUE!</v>
      </c>
      <c r="R1942" t="s">
        <v>3201</v>
      </c>
      <c r="S1942" t="s">
        <v>13</v>
      </c>
    </row>
    <row r="1943" spans="1:19" x14ac:dyDescent="0.3">
      <c r="A1943" t="s">
        <v>1423</v>
      </c>
      <c r="B1943" t="s">
        <v>1596</v>
      </c>
      <c r="C1943" t="s">
        <v>3045</v>
      </c>
      <c r="D1943" t="s">
        <v>3189</v>
      </c>
      <c r="E1943" t="s">
        <v>9</v>
      </c>
      <c r="F1943" s="2">
        <v>34</v>
      </c>
      <c r="G1943" t="s">
        <v>3206</v>
      </c>
      <c r="H1943" t="s">
        <v>71</v>
      </c>
      <c r="I1943" t="s">
        <v>28</v>
      </c>
      <c r="J1943" t="s">
        <v>3212</v>
      </c>
      <c r="K1943" t="s">
        <v>15</v>
      </c>
      <c r="L1943" s="2">
        <v>33</v>
      </c>
      <c r="M1943" t="s">
        <v>3203</v>
      </c>
      <c r="N1943">
        <v>1</v>
      </c>
      <c r="O1943" t="s">
        <v>30</v>
      </c>
      <c r="P1943" t="e">
        <v>#VALUE!</v>
      </c>
      <c r="Q1943" t="e">
        <v>#VALUE!</v>
      </c>
      <c r="R1943" t="s">
        <v>3205</v>
      </c>
      <c r="S1943" t="s">
        <v>16</v>
      </c>
    </row>
    <row r="1944" spans="1:19" x14ac:dyDescent="0.3">
      <c r="A1944" t="s">
        <v>1424</v>
      </c>
      <c r="B1944" t="s">
        <v>1596</v>
      </c>
      <c r="C1944" t="s">
        <v>3046</v>
      </c>
      <c r="D1944" t="s">
        <v>3189</v>
      </c>
      <c r="E1944" t="s">
        <v>9</v>
      </c>
      <c r="F1944" s="2">
        <v>18</v>
      </c>
      <c r="G1944" t="s">
        <v>3206</v>
      </c>
      <c r="H1944" t="s">
        <v>69</v>
      </c>
      <c r="I1944" t="s">
        <v>11</v>
      </c>
      <c r="J1944" t="s">
        <v>3198</v>
      </c>
      <c r="K1944" t="s">
        <v>15</v>
      </c>
      <c r="L1944" s="2">
        <v>33</v>
      </c>
      <c r="M1944" t="s">
        <v>3203</v>
      </c>
      <c r="N1944">
        <v>1</v>
      </c>
      <c r="O1944" t="s">
        <v>30</v>
      </c>
      <c r="P1944" t="e">
        <v>#VALUE!</v>
      </c>
      <c r="Q1944" t="e">
        <v>#VALUE!</v>
      </c>
      <c r="R1944" t="s">
        <v>3201</v>
      </c>
      <c r="S1944" t="s">
        <v>13</v>
      </c>
    </row>
    <row r="1945" spans="1:19" x14ac:dyDescent="0.3">
      <c r="A1945" t="s">
        <v>1425</v>
      </c>
      <c r="B1945" t="s">
        <v>1596</v>
      </c>
      <c r="C1945" t="s">
        <v>3047</v>
      </c>
      <c r="D1945" t="s">
        <v>3189</v>
      </c>
      <c r="E1945" t="s">
        <v>9</v>
      </c>
      <c r="F1945" s="2">
        <v>24</v>
      </c>
      <c r="G1945" t="s">
        <v>3206</v>
      </c>
      <c r="H1945" t="s">
        <v>51</v>
      </c>
      <c r="I1945" t="s">
        <v>11</v>
      </c>
      <c r="J1945" t="s">
        <v>3198</v>
      </c>
      <c r="K1945" t="s">
        <v>15</v>
      </c>
      <c r="L1945" s="2">
        <v>33</v>
      </c>
      <c r="M1945" t="s">
        <v>3203</v>
      </c>
      <c r="N1945">
        <v>1</v>
      </c>
      <c r="O1945" t="s">
        <v>30</v>
      </c>
      <c r="P1945" t="e">
        <v>#VALUE!</v>
      </c>
      <c r="Q1945" t="e">
        <v>#VALUE!</v>
      </c>
      <c r="R1945" t="s">
        <v>3205</v>
      </c>
      <c r="S1945" t="s">
        <v>16</v>
      </c>
    </row>
    <row r="1946" spans="1:19" x14ac:dyDescent="0.3">
      <c r="A1946" t="s">
        <v>1426</v>
      </c>
      <c r="B1946" t="s">
        <v>2719</v>
      </c>
      <c r="C1946" t="s">
        <v>3048</v>
      </c>
      <c r="D1946" t="s">
        <v>3189</v>
      </c>
      <c r="E1946" t="s">
        <v>9</v>
      </c>
      <c r="F1946" s="2">
        <v>28</v>
      </c>
      <c r="G1946" t="s">
        <v>3206</v>
      </c>
      <c r="H1946" t="s">
        <v>70</v>
      </c>
      <c r="I1946" t="s">
        <v>11</v>
      </c>
      <c r="J1946" t="s">
        <v>3198</v>
      </c>
      <c r="K1946" t="s">
        <v>15</v>
      </c>
      <c r="L1946" s="2">
        <v>33</v>
      </c>
      <c r="M1946" t="s">
        <v>3203</v>
      </c>
      <c r="N1946">
        <v>1</v>
      </c>
      <c r="O1946" t="s">
        <v>30</v>
      </c>
      <c r="P1946" t="e">
        <v>#VALUE!</v>
      </c>
      <c r="Q1946" t="e">
        <v>#VALUE!</v>
      </c>
      <c r="R1946" t="s">
        <v>3201</v>
      </c>
      <c r="S1946" t="s">
        <v>13</v>
      </c>
    </row>
    <row r="1947" spans="1:19" x14ac:dyDescent="0.3">
      <c r="A1947" t="s">
        <v>1427</v>
      </c>
      <c r="B1947" t="s">
        <v>1596</v>
      </c>
      <c r="C1947" t="s">
        <v>3015</v>
      </c>
      <c r="D1947" t="s">
        <v>3189</v>
      </c>
      <c r="E1947" t="s">
        <v>9</v>
      </c>
      <c r="F1947" s="2">
        <v>33</v>
      </c>
      <c r="G1947" t="s">
        <v>3206</v>
      </c>
      <c r="H1947" t="s">
        <v>71</v>
      </c>
      <c r="I1947" t="s">
        <v>11</v>
      </c>
      <c r="J1947" t="s">
        <v>3198</v>
      </c>
      <c r="K1947" t="s">
        <v>33</v>
      </c>
      <c r="L1947" s="2">
        <v>33</v>
      </c>
      <c r="M1947" t="s">
        <v>3203</v>
      </c>
      <c r="N1947">
        <v>1</v>
      </c>
      <c r="O1947" t="s">
        <v>30</v>
      </c>
      <c r="P1947" t="e">
        <v>#VALUE!</v>
      </c>
      <c r="Q1947" t="e">
        <v>#VALUE!</v>
      </c>
      <c r="R1947" t="s">
        <v>3205</v>
      </c>
      <c r="S1947" t="s">
        <v>16</v>
      </c>
    </row>
    <row r="1948" spans="1:19" x14ac:dyDescent="0.3">
      <c r="A1948" t="s">
        <v>1428</v>
      </c>
      <c r="B1948" t="s">
        <v>1596</v>
      </c>
      <c r="C1948" t="s">
        <v>2038</v>
      </c>
      <c r="D1948" t="s">
        <v>3189</v>
      </c>
      <c r="E1948" t="s">
        <v>9</v>
      </c>
      <c r="F1948" s="2">
        <v>33</v>
      </c>
      <c r="G1948" t="s">
        <v>3206</v>
      </c>
      <c r="H1948" t="s">
        <v>51</v>
      </c>
      <c r="I1948" t="s">
        <v>11</v>
      </c>
      <c r="J1948" t="s">
        <v>3198</v>
      </c>
      <c r="K1948" t="s">
        <v>15</v>
      </c>
      <c r="L1948" s="2">
        <v>33</v>
      </c>
      <c r="M1948" t="s">
        <v>3203</v>
      </c>
      <c r="N1948">
        <v>1</v>
      </c>
      <c r="O1948" t="s">
        <v>30</v>
      </c>
      <c r="P1948" t="e">
        <v>#VALUE!</v>
      </c>
      <c r="Q1948" t="e">
        <v>#VALUE!</v>
      </c>
      <c r="R1948" t="s">
        <v>3201</v>
      </c>
      <c r="S1948" t="s">
        <v>13</v>
      </c>
    </row>
    <row r="1949" spans="1:19" x14ac:dyDescent="0.3">
      <c r="A1949" t="s">
        <v>1429</v>
      </c>
      <c r="B1949" t="s">
        <v>1596</v>
      </c>
      <c r="C1949" t="s">
        <v>3049</v>
      </c>
      <c r="D1949" t="s">
        <v>3189</v>
      </c>
      <c r="E1949" t="s">
        <v>9</v>
      </c>
      <c r="F1949" s="2">
        <v>36</v>
      </c>
      <c r="G1949" t="s">
        <v>3197</v>
      </c>
      <c r="H1949" t="s">
        <v>69</v>
      </c>
      <c r="I1949" t="s">
        <v>11</v>
      </c>
      <c r="J1949" t="s">
        <v>3198</v>
      </c>
      <c r="K1949" t="s">
        <v>15</v>
      </c>
      <c r="L1949" s="2">
        <v>33</v>
      </c>
      <c r="M1949" t="s">
        <v>3203</v>
      </c>
      <c r="N1949">
        <v>1</v>
      </c>
      <c r="O1949" t="s">
        <v>30</v>
      </c>
      <c r="P1949" t="e">
        <v>#VALUE!</v>
      </c>
      <c r="Q1949" t="e">
        <v>#VALUE!</v>
      </c>
      <c r="R1949" t="s">
        <v>3201</v>
      </c>
      <c r="S1949" t="s">
        <v>13</v>
      </c>
    </row>
    <row r="1950" spans="1:19" x14ac:dyDescent="0.3">
      <c r="A1950" t="s">
        <v>1430</v>
      </c>
      <c r="B1950" t="s">
        <v>1596</v>
      </c>
      <c r="C1950" t="s">
        <v>1857</v>
      </c>
      <c r="D1950" t="s">
        <v>3189</v>
      </c>
      <c r="E1950" t="s">
        <v>9</v>
      </c>
      <c r="F1950" s="2">
        <v>34</v>
      </c>
      <c r="G1950" t="s">
        <v>3206</v>
      </c>
      <c r="H1950" t="s">
        <v>69</v>
      </c>
      <c r="I1950" t="s">
        <v>11</v>
      </c>
      <c r="J1950" t="s">
        <v>3198</v>
      </c>
      <c r="K1950" t="s">
        <v>15</v>
      </c>
      <c r="L1950" s="2">
        <v>33</v>
      </c>
      <c r="M1950" t="s">
        <v>3203</v>
      </c>
      <c r="N1950">
        <v>1</v>
      </c>
      <c r="O1950" t="s">
        <v>30</v>
      </c>
      <c r="P1950" t="e">
        <v>#VALUE!</v>
      </c>
      <c r="Q1950" t="e">
        <v>#VALUE!</v>
      </c>
      <c r="R1950" t="s">
        <v>3201</v>
      </c>
      <c r="S1950" t="s">
        <v>13</v>
      </c>
    </row>
    <row r="1951" spans="1:19" x14ac:dyDescent="0.3">
      <c r="A1951" t="s">
        <v>1431</v>
      </c>
      <c r="B1951" t="s">
        <v>1596</v>
      </c>
      <c r="C1951" t="s">
        <v>1945</v>
      </c>
      <c r="D1951" t="s">
        <v>3189</v>
      </c>
      <c r="E1951" t="s">
        <v>9</v>
      </c>
      <c r="F1951" s="2">
        <v>22</v>
      </c>
      <c r="G1951" t="s">
        <v>3206</v>
      </c>
      <c r="H1951" t="s">
        <v>69</v>
      </c>
      <c r="I1951" t="s">
        <v>11</v>
      </c>
      <c r="J1951" t="s">
        <v>3198</v>
      </c>
      <c r="K1951" t="s">
        <v>15</v>
      </c>
      <c r="L1951" s="2">
        <v>33</v>
      </c>
      <c r="M1951" t="s">
        <v>3203</v>
      </c>
      <c r="N1951">
        <v>1</v>
      </c>
      <c r="O1951" t="s">
        <v>30</v>
      </c>
      <c r="P1951" t="e">
        <v>#VALUE!</v>
      </c>
      <c r="Q1951" t="e">
        <v>#VALUE!</v>
      </c>
      <c r="R1951" t="s">
        <v>3205</v>
      </c>
      <c r="S1951" t="s">
        <v>16</v>
      </c>
    </row>
    <row r="1952" spans="1:19" x14ac:dyDescent="0.3">
      <c r="A1952" t="s">
        <v>1432</v>
      </c>
      <c r="B1952" t="s">
        <v>1596</v>
      </c>
      <c r="C1952" t="s">
        <v>2804</v>
      </c>
      <c r="D1952" t="s">
        <v>3189</v>
      </c>
      <c r="E1952" t="s">
        <v>9</v>
      </c>
      <c r="F1952" s="2">
        <v>30</v>
      </c>
      <c r="G1952" t="s">
        <v>3206</v>
      </c>
      <c r="H1952" t="s">
        <v>51</v>
      </c>
      <c r="I1952" t="s">
        <v>11</v>
      </c>
      <c r="J1952" t="s">
        <v>3198</v>
      </c>
      <c r="K1952" t="s">
        <v>15</v>
      </c>
      <c r="L1952" s="2">
        <v>33</v>
      </c>
      <c r="M1952" t="s">
        <v>3203</v>
      </c>
      <c r="N1952">
        <v>1</v>
      </c>
      <c r="O1952" t="s">
        <v>30</v>
      </c>
      <c r="P1952" t="e">
        <v>#VALUE!</v>
      </c>
      <c r="Q1952" t="e">
        <v>#VALUE!</v>
      </c>
      <c r="R1952" t="s">
        <v>3205</v>
      </c>
      <c r="S1952" t="s">
        <v>16</v>
      </c>
    </row>
    <row r="1953" spans="1:19" x14ac:dyDescent="0.3">
      <c r="A1953" t="s">
        <v>1433</v>
      </c>
      <c r="B1953" t="s">
        <v>1596</v>
      </c>
      <c r="C1953" t="s">
        <v>3050</v>
      </c>
      <c r="D1953" t="s">
        <v>3189</v>
      </c>
      <c r="E1953" t="s">
        <v>9</v>
      </c>
      <c r="F1953" s="2">
        <v>23</v>
      </c>
      <c r="G1953" t="s">
        <v>3206</v>
      </c>
      <c r="H1953" t="s">
        <v>69</v>
      </c>
      <c r="I1953" t="s">
        <v>11</v>
      </c>
      <c r="J1953" t="s">
        <v>3198</v>
      </c>
      <c r="K1953" t="s">
        <v>15</v>
      </c>
      <c r="L1953" s="2">
        <v>33</v>
      </c>
      <c r="M1953" t="s">
        <v>3203</v>
      </c>
      <c r="N1953">
        <v>1</v>
      </c>
      <c r="O1953" t="s">
        <v>30</v>
      </c>
      <c r="P1953" t="e">
        <v>#VALUE!</v>
      </c>
      <c r="Q1953" t="e">
        <v>#VALUE!</v>
      </c>
      <c r="R1953" t="s">
        <v>3205</v>
      </c>
      <c r="S1953" t="s">
        <v>16</v>
      </c>
    </row>
    <row r="1954" spans="1:19" x14ac:dyDescent="0.3">
      <c r="A1954" t="s">
        <v>1434</v>
      </c>
      <c r="B1954" t="s">
        <v>1596</v>
      </c>
      <c r="C1954" t="s">
        <v>3051</v>
      </c>
      <c r="D1954" t="s">
        <v>3189</v>
      </c>
      <c r="E1954" t="s">
        <v>9</v>
      </c>
      <c r="F1954" s="2">
        <v>20</v>
      </c>
      <c r="G1954" t="s">
        <v>3206</v>
      </c>
      <c r="H1954" t="s">
        <v>51</v>
      </c>
      <c r="I1954" t="s">
        <v>11</v>
      </c>
      <c r="J1954" t="s">
        <v>3198</v>
      </c>
      <c r="K1954" t="s">
        <v>15</v>
      </c>
      <c r="L1954" s="2">
        <v>33</v>
      </c>
      <c r="M1954" t="s">
        <v>3203</v>
      </c>
      <c r="N1954">
        <v>1</v>
      </c>
      <c r="O1954" t="s">
        <v>30</v>
      </c>
      <c r="P1954" t="e">
        <v>#VALUE!</v>
      </c>
      <c r="Q1954" t="e">
        <v>#VALUE!</v>
      </c>
      <c r="R1954" t="s">
        <v>3201</v>
      </c>
      <c r="S1954" t="s">
        <v>13</v>
      </c>
    </row>
    <row r="1955" spans="1:19" x14ac:dyDescent="0.3">
      <c r="A1955" t="s">
        <v>1435</v>
      </c>
      <c r="B1955" t="s">
        <v>1596</v>
      </c>
      <c r="C1955" t="s">
        <v>3052</v>
      </c>
      <c r="D1955" t="s">
        <v>3189</v>
      </c>
      <c r="E1955" t="s">
        <v>9</v>
      </c>
      <c r="F1955" s="2">
        <v>17</v>
      </c>
      <c r="G1955" t="s">
        <v>3202</v>
      </c>
      <c r="H1955" t="s">
        <v>70</v>
      </c>
      <c r="I1955" t="s">
        <v>11</v>
      </c>
      <c r="J1955" t="s">
        <v>3198</v>
      </c>
      <c r="K1955" t="s">
        <v>15</v>
      </c>
      <c r="L1955" s="2">
        <v>33</v>
      </c>
      <c r="M1955" t="s">
        <v>3203</v>
      </c>
      <c r="N1955">
        <v>1</v>
      </c>
      <c r="O1955" t="s">
        <v>30</v>
      </c>
      <c r="P1955" t="e">
        <v>#VALUE!</v>
      </c>
      <c r="Q1955" t="e">
        <v>#VALUE!</v>
      </c>
      <c r="R1955" t="s">
        <v>3201</v>
      </c>
      <c r="S1955" t="s">
        <v>13</v>
      </c>
    </row>
    <row r="1956" spans="1:19" x14ac:dyDescent="0.3">
      <c r="A1956" t="s">
        <v>1436</v>
      </c>
      <c r="B1956" t="s">
        <v>1600</v>
      </c>
      <c r="C1956" t="s">
        <v>3053</v>
      </c>
      <c r="D1956" t="s">
        <v>3190</v>
      </c>
      <c r="E1956" t="s">
        <v>14</v>
      </c>
      <c r="F1956" s="2">
        <v>36</v>
      </c>
      <c r="G1956" t="s">
        <v>3197</v>
      </c>
      <c r="H1956" t="s">
        <v>69</v>
      </c>
      <c r="I1956" t="s">
        <v>11</v>
      </c>
      <c r="J1956" t="s">
        <v>3198</v>
      </c>
      <c r="K1956" t="s">
        <v>15</v>
      </c>
      <c r="L1956" s="2">
        <v>33</v>
      </c>
      <c r="M1956" t="s">
        <v>3203</v>
      </c>
      <c r="N1956">
        <v>1</v>
      </c>
      <c r="O1956" t="s">
        <v>30</v>
      </c>
      <c r="P1956" t="e">
        <v>#VALUE!</v>
      </c>
      <c r="Q1956" t="e">
        <v>#VALUE!</v>
      </c>
      <c r="R1956" t="s">
        <v>3205</v>
      </c>
      <c r="S1956" t="s">
        <v>16</v>
      </c>
    </row>
    <row r="1957" spans="1:19" x14ac:dyDescent="0.3">
      <c r="A1957" t="s">
        <v>1437</v>
      </c>
      <c r="B1957" t="s">
        <v>1596</v>
      </c>
      <c r="C1957" t="s">
        <v>3054</v>
      </c>
      <c r="D1957" t="s">
        <v>3189</v>
      </c>
      <c r="E1957" t="s">
        <v>9</v>
      </c>
      <c r="F1957" s="2">
        <v>23</v>
      </c>
      <c r="G1957" t="s">
        <v>3206</v>
      </c>
      <c r="H1957" t="s">
        <v>69</v>
      </c>
      <c r="I1957" t="s">
        <v>11</v>
      </c>
      <c r="J1957" t="s">
        <v>3198</v>
      </c>
      <c r="K1957" t="s">
        <v>15</v>
      </c>
      <c r="L1957" s="2">
        <v>33</v>
      </c>
      <c r="M1957" t="s">
        <v>3203</v>
      </c>
      <c r="N1957">
        <v>1</v>
      </c>
      <c r="O1957" t="s">
        <v>30</v>
      </c>
      <c r="P1957" t="e">
        <v>#VALUE!</v>
      </c>
      <c r="Q1957" t="e">
        <v>#VALUE!</v>
      </c>
      <c r="R1957" t="s">
        <v>3201</v>
      </c>
      <c r="S1957" t="s">
        <v>13</v>
      </c>
    </row>
    <row r="1958" spans="1:19" x14ac:dyDescent="0.3">
      <c r="A1958" t="s">
        <v>1438</v>
      </c>
      <c r="B1958" t="s">
        <v>1596</v>
      </c>
      <c r="C1958" t="s">
        <v>2776</v>
      </c>
      <c r="D1958" t="s">
        <v>3189</v>
      </c>
      <c r="E1958" t="s">
        <v>9</v>
      </c>
      <c r="F1958" s="2">
        <v>24</v>
      </c>
      <c r="G1958" t="s">
        <v>3206</v>
      </c>
      <c r="H1958" t="s">
        <v>51</v>
      </c>
      <c r="I1958" t="s">
        <v>11</v>
      </c>
      <c r="J1958" t="s">
        <v>3198</v>
      </c>
      <c r="K1958" t="s">
        <v>15</v>
      </c>
      <c r="L1958" s="2">
        <v>33</v>
      </c>
      <c r="M1958" t="s">
        <v>3203</v>
      </c>
      <c r="N1958">
        <v>1</v>
      </c>
      <c r="O1958" t="s">
        <v>30</v>
      </c>
      <c r="P1958" t="e">
        <v>#VALUE!</v>
      </c>
      <c r="Q1958" t="e">
        <v>#VALUE!</v>
      </c>
      <c r="R1958" t="s">
        <v>3205</v>
      </c>
      <c r="S1958" t="s">
        <v>16</v>
      </c>
    </row>
    <row r="1959" spans="1:19" x14ac:dyDescent="0.3">
      <c r="A1959" t="s">
        <v>1439</v>
      </c>
      <c r="B1959" t="s">
        <v>1596</v>
      </c>
      <c r="C1959" t="s">
        <v>3055</v>
      </c>
      <c r="D1959" t="s">
        <v>3189</v>
      </c>
      <c r="E1959" t="s">
        <v>9</v>
      </c>
      <c r="F1959" s="2">
        <v>21</v>
      </c>
      <c r="G1959" t="s">
        <v>3206</v>
      </c>
      <c r="H1959" t="s">
        <v>69</v>
      </c>
      <c r="I1959" t="s">
        <v>11</v>
      </c>
      <c r="J1959" t="s">
        <v>3198</v>
      </c>
      <c r="K1959" t="s">
        <v>15</v>
      </c>
      <c r="L1959" s="2">
        <v>33</v>
      </c>
      <c r="M1959" t="s">
        <v>3203</v>
      </c>
      <c r="N1959">
        <v>1</v>
      </c>
      <c r="O1959" t="s">
        <v>30</v>
      </c>
      <c r="P1959" t="e">
        <v>#VALUE!</v>
      </c>
      <c r="Q1959" t="e">
        <v>#VALUE!</v>
      </c>
      <c r="R1959" t="s">
        <v>3205</v>
      </c>
      <c r="S1959" t="s">
        <v>16</v>
      </c>
    </row>
    <row r="1960" spans="1:19" x14ac:dyDescent="0.3">
      <c r="A1960" t="s">
        <v>1440</v>
      </c>
      <c r="B1960" t="s">
        <v>1596</v>
      </c>
      <c r="C1960" t="s">
        <v>2259</v>
      </c>
      <c r="D1960" t="s">
        <v>3189</v>
      </c>
      <c r="E1960" t="s">
        <v>9</v>
      </c>
      <c r="F1960" s="2">
        <v>46</v>
      </c>
      <c r="G1960" t="s">
        <v>3197</v>
      </c>
      <c r="H1960" t="s">
        <v>69</v>
      </c>
      <c r="I1960" t="s">
        <v>28</v>
      </c>
      <c r="J1960" t="s">
        <v>3212</v>
      </c>
      <c r="K1960" t="s">
        <v>15</v>
      </c>
      <c r="L1960" s="2">
        <v>33</v>
      </c>
      <c r="M1960" t="s">
        <v>3203</v>
      </c>
      <c r="N1960">
        <v>1</v>
      </c>
      <c r="O1960" t="s">
        <v>30</v>
      </c>
      <c r="P1960" t="e">
        <v>#VALUE!</v>
      </c>
      <c r="Q1960" t="e">
        <v>#VALUE!</v>
      </c>
      <c r="R1960" t="s">
        <v>3201</v>
      </c>
      <c r="S1960" t="s">
        <v>13</v>
      </c>
    </row>
    <row r="1961" spans="1:19" x14ac:dyDescent="0.3">
      <c r="A1961" t="s">
        <v>1441</v>
      </c>
      <c r="B1961" t="s">
        <v>1596</v>
      </c>
      <c r="C1961" t="s">
        <v>3056</v>
      </c>
      <c r="D1961" t="s">
        <v>3189</v>
      </c>
      <c r="E1961" t="s">
        <v>9</v>
      </c>
      <c r="F1961" s="2">
        <v>22</v>
      </c>
      <c r="G1961" t="s">
        <v>3206</v>
      </c>
      <c r="H1961" t="s">
        <v>51</v>
      </c>
      <c r="I1961" t="s">
        <v>11</v>
      </c>
      <c r="J1961" t="s">
        <v>3198</v>
      </c>
      <c r="K1961" t="s">
        <v>15</v>
      </c>
      <c r="L1961" s="2">
        <v>33</v>
      </c>
      <c r="M1961" t="s">
        <v>3203</v>
      </c>
      <c r="N1961">
        <v>1</v>
      </c>
      <c r="O1961" t="s">
        <v>30</v>
      </c>
      <c r="P1961" t="e">
        <v>#VALUE!</v>
      </c>
      <c r="Q1961" t="e">
        <v>#VALUE!</v>
      </c>
      <c r="R1961" t="s">
        <v>3201</v>
      </c>
      <c r="S1961" t="s">
        <v>13</v>
      </c>
    </row>
    <row r="1962" spans="1:19" x14ac:dyDescent="0.3">
      <c r="A1962" t="s">
        <v>1442</v>
      </c>
      <c r="B1962" t="s">
        <v>1596</v>
      </c>
      <c r="C1962" t="s">
        <v>2661</v>
      </c>
      <c r="D1962" t="s">
        <v>3189</v>
      </c>
      <c r="E1962" t="s">
        <v>9</v>
      </c>
      <c r="F1962" s="2">
        <v>23</v>
      </c>
      <c r="G1962" t="s">
        <v>3206</v>
      </c>
      <c r="H1962" t="s">
        <v>69</v>
      </c>
      <c r="I1962" t="s">
        <v>11</v>
      </c>
      <c r="J1962" t="s">
        <v>3198</v>
      </c>
      <c r="K1962" t="s">
        <v>15</v>
      </c>
      <c r="L1962" s="2">
        <v>33</v>
      </c>
      <c r="M1962" t="s">
        <v>3203</v>
      </c>
      <c r="N1962">
        <v>1</v>
      </c>
      <c r="O1962" t="s">
        <v>30</v>
      </c>
      <c r="P1962" t="e">
        <v>#VALUE!</v>
      </c>
      <c r="Q1962" t="e">
        <v>#VALUE!</v>
      </c>
      <c r="R1962" t="s">
        <v>3201</v>
      </c>
      <c r="S1962" t="s">
        <v>13</v>
      </c>
    </row>
    <row r="1963" spans="1:19" x14ac:dyDescent="0.3">
      <c r="A1963" t="s">
        <v>1443</v>
      </c>
      <c r="B1963" t="s">
        <v>1596</v>
      </c>
      <c r="C1963" t="s">
        <v>2373</v>
      </c>
      <c r="D1963" t="s">
        <v>3189</v>
      </c>
      <c r="E1963" t="s">
        <v>9</v>
      </c>
      <c r="F1963" s="2">
        <v>20</v>
      </c>
      <c r="G1963" t="s">
        <v>3206</v>
      </c>
      <c r="H1963" t="s">
        <v>69</v>
      </c>
      <c r="I1963" t="s">
        <v>11</v>
      </c>
      <c r="J1963" t="s">
        <v>3198</v>
      </c>
      <c r="K1963" t="s">
        <v>15</v>
      </c>
      <c r="L1963" s="2">
        <v>33</v>
      </c>
      <c r="M1963" t="s">
        <v>3203</v>
      </c>
      <c r="N1963">
        <v>1</v>
      </c>
      <c r="O1963" t="s">
        <v>30</v>
      </c>
      <c r="P1963" t="e">
        <v>#VALUE!</v>
      </c>
      <c r="Q1963" t="e">
        <v>#VALUE!</v>
      </c>
      <c r="R1963" t="s">
        <v>3205</v>
      </c>
      <c r="S1963" t="s">
        <v>16</v>
      </c>
    </row>
    <row r="1964" spans="1:19" x14ac:dyDescent="0.3">
      <c r="A1964" t="s">
        <v>1443</v>
      </c>
      <c r="B1964" t="s">
        <v>1596</v>
      </c>
      <c r="C1964" t="s">
        <v>3057</v>
      </c>
      <c r="D1964" t="s">
        <v>3189</v>
      </c>
      <c r="E1964" t="s">
        <v>9</v>
      </c>
      <c r="F1964" s="2">
        <v>31</v>
      </c>
      <c r="G1964" t="s">
        <v>3206</v>
      </c>
      <c r="H1964" t="s">
        <v>51</v>
      </c>
      <c r="I1964" t="s">
        <v>11</v>
      </c>
      <c r="J1964" t="s">
        <v>3198</v>
      </c>
      <c r="K1964" t="s">
        <v>15</v>
      </c>
      <c r="L1964" s="2">
        <v>33</v>
      </c>
      <c r="M1964" t="s">
        <v>3203</v>
      </c>
      <c r="N1964">
        <v>1</v>
      </c>
      <c r="O1964" t="s">
        <v>30</v>
      </c>
      <c r="P1964" t="e">
        <v>#VALUE!</v>
      </c>
      <c r="Q1964" t="e">
        <v>#VALUE!</v>
      </c>
      <c r="R1964" t="s">
        <v>3201</v>
      </c>
      <c r="S1964" t="s">
        <v>13</v>
      </c>
    </row>
    <row r="1965" spans="1:19" x14ac:dyDescent="0.3">
      <c r="A1965" t="s">
        <v>1444</v>
      </c>
      <c r="B1965" t="s">
        <v>1596</v>
      </c>
      <c r="C1965" t="s">
        <v>3058</v>
      </c>
      <c r="D1965" t="s">
        <v>3189</v>
      </c>
      <c r="E1965" t="s">
        <v>9</v>
      </c>
      <c r="F1965" s="2">
        <v>22</v>
      </c>
      <c r="G1965" t="s">
        <v>3206</v>
      </c>
      <c r="H1965" t="s">
        <v>51</v>
      </c>
      <c r="I1965" t="s">
        <v>11</v>
      </c>
      <c r="J1965" t="s">
        <v>3198</v>
      </c>
      <c r="K1965" t="s">
        <v>15</v>
      </c>
      <c r="L1965" s="2">
        <v>33</v>
      </c>
      <c r="M1965" t="s">
        <v>3203</v>
      </c>
      <c r="N1965">
        <v>1</v>
      </c>
      <c r="O1965" t="s">
        <v>30</v>
      </c>
      <c r="P1965" t="e">
        <v>#VALUE!</v>
      </c>
      <c r="Q1965" t="e">
        <v>#VALUE!</v>
      </c>
      <c r="R1965" t="s">
        <v>3205</v>
      </c>
      <c r="S1965" t="s">
        <v>16</v>
      </c>
    </row>
    <row r="1966" spans="1:19" x14ac:dyDescent="0.3">
      <c r="A1966" t="s">
        <v>1445</v>
      </c>
      <c r="B1966" t="s">
        <v>1596</v>
      </c>
      <c r="C1966" t="s">
        <v>2273</v>
      </c>
      <c r="D1966" t="s">
        <v>3189</v>
      </c>
      <c r="E1966" t="s">
        <v>9</v>
      </c>
      <c r="F1966" s="2">
        <v>44</v>
      </c>
      <c r="G1966" t="s">
        <v>3197</v>
      </c>
      <c r="H1966" t="s">
        <v>69</v>
      </c>
      <c r="I1966" t="s">
        <v>28</v>
      </c>
      <c r="J1966" t="s">
        <v>3212</v>
      </c>
      <c r="K1966" t="s">
        <v>15</v>
      </c>
      <c r="L1966" s="2">
        <v>33</v>
      </c>
      <c r="M1966" t="s">
        <v>3203</v>
      </c>
      <c r="N1966">
        <v>1</v>
      </c>
      <c r="O1966" t="s">
        <v>30</v>
      </c>
      <c r="P1966" t="e">
        <v>#VALUE!</v>
      </c>
      <c r="Q1966" t="e">
        <v>#VALUE!</v>
      </c>
      <c r="R1966" t="s">
        <v>3201</v>
      </c>
      <c r="S1966" t="s">
        <v>13</v>
      </c>
    </row>
    <row r="1967" spans="1:19" x14ac:dyDescent="0.3">
      <c r="A1967" t="s">
        <v>1446</v>
      </c>
      <c r="B1967" t="s">
        <v>1596</v>
      </c>
      <c r="C1967" t="s">
        <v>3059</v>
      </c>
      <c r="D1967" t="s">
        <v>3189</v>
      </c>
      <c r="E1967" t="s">
        <v>9</v>
      </c>
      <c r="F1967" s="2">
        <v>29</v>
      </c>
      <c r="G1967" t="s">
        <v>3206</v>
      </c>
      <c r="H1967" t="s">
        <v>69</v>
      </c>
      <c r="I1967" t="s">
        <v>11</v>
      </c>
      <c r="J1967" t="s">
        <v>3198</v>
      </c>
      <c r="K1967" t="s">
        <v>15</v>
      </c>
      <c r="L1967" s="2">
        <v>33</v>
      </c>
      <c r="M1967" t="s">
        <v>3203</v>
      </c>
      <c r="N1967">
        <v>1</v>
      </c>
      <c r="O1967" t="s">
        <v>30</v>
      </c>
      <c r="P1967" t="e">
        <v>#VALUE!</v>
      </c>
      <c r="Q1967" t="e">
        <v>#VALUE!</v>
      </c>
      <c r="R1967" t="s">
        <v>3201</v>
      </c>
      <c r="S1967" t="s">
        <v>13</v>
      </c>
    </row>
    <row r="1968" spans="1:19" x14ac:dyDescent="0.3">
      <c r="A1968" t="s">
        <v>1447</v>
      </c>
      <c r="B1968" t="s">
        <v>1596</v>
      </c>
      <c r="C1968" t="s">
        <v>1645</v>
      </c>
      <c r="D1968" t="s">
        <v>3189</v>
      </c>
      <c r="E1968" t="s">
        <v>9</v>
      </c>
      <c r="F1968" s="2">
        <v>29</v>
      </c>
      <c r="G1968" t="s">
        <v>3206</v>
      </c>
      <c r="H1968" t="s">
        <v>51</v>
      </c>
      <c r="I1968" t="s">
        <v>11</v>
      </c>
      <c r="J1968" t="s">
        <v>3198</v>
      </c>
      <c r="K1968" t="s">
        <v>15</v>
      </c>
      <c r="L1968" s="2">
        <v>33</v>
      </c>
      <c r="M1968" t="s">
        <v>3203</v>
      </c>
      <c r="N1968">
        <v>1</v>
      </c>
      <c r="O1968" t="s">
        <v>30</v>
      </c>
      <c r="P1968" t="e">
        <v>#VALUE!</v>
      </c>
      <c r="Q1968" t="e">
        <v>#VALUE!</v>
      </c>
      <c r="R1968" t="s">
        <v>3205</v>
      </c>
      <c r="S1968" t="s">
        <v>16</v>
      </c>
    </row>
    <row r="1969" spans="1:19" x14ac:dyDescent="0.3">
      <c r="A1969" t="s">
        <v>1448</v>
      </c>
      <c r="B1969" t="s">
        <v>1596</v>
      </c>
      <c r="C1969" t="s">
        <v>3060</v>
      </c>
      <c r="D1969" t="s">
        <v>3189</v>
      </c>
      <c r="E1969" t="s">
        <v>9</v>
      </c>
      <c r="F1969" s="2">
        <v>50</v>
      </c>
      <c r="G1969" t="s">
        <v>3197</v>
      </c>
      <c r="H1969" t="s">
        <v>69</v>
      </c>
      <c r="I1969" t="s">
        <v>28</v>
      </c>
      <c r="J1969" t="s">
        <v>3212</v>
      </c>
      <c r="K1969" t="s">
        <v>15</v>
      </c>
      <c r="L1969" s="2">
        <v>33</v>
      </c>
      <c r="M1969" t="s">
        <v>3203</v>
      </c>
      <c r="N1969">
        <v>1</v>
      </c>
      <c r="O1969" t="s">
        <v>30</v>
      </c>
      <c r="P1969" t="e">
        <v>#VALUE!</v>
      </c>
      <c r="Q1969" t="e">
        <v>#VALUE!</v>
      </c>
      <c r="R1969" t="s">
        <v>3201</v>
      </c>
      <c r="S1969" t="s">
        <v>13</v>
      </c>
    </row>
    <row r="1970" spans="1:19" x14ac:dyDescent="0.3">
      <c r="A1970" t="s">
        <v>1449</v>
      </c>
      <c r="B1970" t="s">
        <v>1596</v>
      </c>
      <c r="C1970" t="s">
        <v>1621</v>
      </c>
      <c r="D1970" t="s">
        <v>3189</v>
      </c>
      <c r="E1970" t="s">
        <v>9</v>
      </c>
      <c r="F1970" s="2">
        <v>38</v>
      </c>
      <c r="G1970" t="s">
        <v>3197</v>
      </c>
      <c r="H1970" t="s">
        <v>69</v>
      </c>
      <c r="I1970" t="s">
        <v>28</v>
      </c>
      <c r="J1970" t="s">
        <v>3212</v>
      </c>
      <c r="K1970" t="s">
        <v>33</v>
      </c>
      <c r="L1970" s="2">
        <v>33</v>
      </c>
      <c r="M1970" t="s">
        <v>3203</v>
      </c>
      <c r="N1970">
        <v>1</v>
      </c>
      <c r="O1970" t="s">
        <v>30</v>
      </c>
      <c r="P1970" t="e">
        <v>#VALUE!</v>
      </c>
      <c r="Q1970" t="e">
        <v>#VALUE!</v>
      </c>
      <c r="R1970" t="s">
        <v>3201</v>
      </c>
      <c r="S1970" t="s">
        <v>13</v>
      </c>
    </row>
    <row r="1971" spans="1:19" x14ac:dyDescent="0.3">
      <c r="A1971" t="s">
        <v>1450</v>
      </c>
      <c r="B1971" t="s">
        <v>2719</v>
      </c>
      <c r="C1971" t="s">
        <v>3061</v>
      </c>
      <c r="D1971" t="s">
        <v>3189</v>
      </c>
      <c r="E1971" t="s">
        <v>9</v>
      </c>
      <c r="F1971" s="2">
        <v>21</v>
      </c>
      <c r="G1971" t="s">
        <v>3206</v>
      </c>
      <c r="H1971" t="s">
        <v>70</v>
      </c>
      <c r="I1971" t="s">
        <v>11</v>
      </c>
      <c r="J1971" t="s">
        <v>3198</v>
      </c>
      <c r="K1971" t="s">
        <v>15</v>
      </c>
      <c r="L1971" s="2">
        <v>33</v>
      </c>
      <c r="M1971" t="s">
        <v>3203</v>
      </c>
      <c r="N1971">
        <v>1</v>
      </c>
      <c r="O1971" t="s">
        <v>30</v>
      </c>
      <c r="P1971" t="e">
        <v>#VALUE!</v>
      </c>
      <c r="Q1971" t="e">
        <v>#VALUE!</v>
      </c>
      <c r="R1971" t="s">
        <v>3201</v>
      </c>
      <c r="S1971" t="s">
        <v>13</v>
      </c>
    </row>
    <row r="1972" spans="1:19" x14ac:dyDescent="0.3">
      <c r="A1972" t="s">
        <v>1451</v>
      </c>
      <c r="B1972" t="s">
        <v>1596</v>
      </c>
      <c r="C1972" t="s">
        <v>3062</v>
      </c>
      <c r="D1972" t="s">
        <v>3189</v>
      </c>
      <c r="E1972" t="s">
        <v>9</v>
      </c>
      <c r="F1972" s="2">
        <v>32</v>
      </c>
      <c r="G1972" t="s">
        <v>3206</v>
      </c>
      <c r="H1972" t="s">
        <v>69</v>
      </c>
      <c r="I1972" t="s">
        <v>28</v>
      </c>
      <c r="J1972" t="s">
        <v>3212</v>
      </c>
      <c r="K1972" t="s">
        <v>15</v>
      </c>
      <c r="L1972" s="2">
        <v>33</v>
      </c>
      <c r="M1972" t="s">
        <v>3203</v>
      </c>
      <c r="N1972">
        <v>1</v>
      </c>
      <c r="O1972" t="s">
        <v>30</v>
      </c>
      <c r="P1972" t="e">
        <v>#VALUE!</v>
      </c>
      <c r="Q1972" t="e">
        <v>#VALUE!</v>
      </c>
      <c r="R1972" t="s">
        <v>3205</v>
      </c>
      <c r="S1972" t="s">
        <v>16</v>
      </c>
    </row>
    <row r="1973" spans="1:19" x14ac:dyDescent="0.3">
      <c r="A1973" t="s">
        <v>1452</v>
      </c>
      <c r="B1973" t="s">
        <v>1596</v>
      </c>
      <c r="C1973" t="s">
        <v>1795</v>
      </c>
      <c r="D1973" t="s">
        <v>3189</v>
      </c>
      <c r="E1973" t="s">
        <v>9</v>
      </c>
      <c r="F1973" s="2">
        <v>20</v>
      </c>
      <c r="G1973" t="s">
        <v>3206</v>
      </c>
      <c r="H1973" t="s">
        <v>51</v>
      </c>
      <c r="I1973" t="s">
        <v>11</v>
      </c>
      <c r="J1973" t="s">
        <v>3198</v>
      </c>
      <c r="K1973" t="s">
        <v>15</v>
      </c>
      <c r="L1973" s="2">
        <v>33</v>
      </c>
      <c r="M1973" t="s">
        <v>3203</v>
      </c>
      <c r="N1973">
        <v>1</v>
      </c>
      <c r="O1973" t="s">
        <v>30</v>
      </c>
      <c r="P1973" t="e">
        <v>#VALUE!</v>
      </c>
      <c r="Q1973" t="e">
        <v>#VALUE!</v>
      </c>
      <c r="R1973" t="s">
        <v>3201</v>
      </c>
      <c r="S1973" t="s">
        <v>13</v>
      </c>
    </row>
    <row r="1974" spans="1:19" x14ac:dyDescent="0.3">
      <c r="A1974" t="s">
        <v>750</v>
      </c>
      <c r="B1974" t="s">
        <v>1596</v>
      </c>
      <c r="C1974" t="s">
        <v>3063</v>
      </c>
      <c r="D1974" t="s">
        <v>3189</v>
      </c>
      <c r="E1974" t="s">
        <v>9</v>
      </c>
      <c r="F1974" s="2">
        <v>55</v>
      </c>
      <c r="G1974" t="s">
        <v>3197</v>
      </c>
      <c r="H1974" t="s">
        <v>69</v>
      </c>
      <c r="I1974" t="s">
        <v>11</v>
      </c>
      <c r="J1974" t="s">
        <v>3198</v>
      </c>
      <c r="K1974" t="s">
        <v>15</v>
      </c>
      <c r="L1974" s="2">
        <v>33</v>
      </c>
      <c r="M1974" t="s">
        <v>3203</v>
      </c>
      <c r="N1974">
        <v>1</v>
      </c>
      <c r="O1974" t="s">
        <v>30</v>
      </c>
      <c r="P1974" t="e">
        <v>#VALUE!</v>
      </c>
      <c r="Q1974" t="e">
        <v>#VALUE!</v>
      </c>
      <c r="R1974" t="s">
        <v>3201</v>
      </c>
      <c r="S1974" t="s">
        <v>13</v>
      </c>
    </row>
    <row r="1975" spans="1:19" x14ac:dyDescent="0.3">
      <c r="A1975" t="s">
        <v>751</v>
      </c>
      <c r="B1975" t="s">
        <v>1596</v>
      </c>
      <c r="C1975" t="s">
        <v>3064</v>
      </c>
      <c r="D1975" t="s">
        <v>3189</v>
      </c>
      <c r="E1975" t="s">
        <v>9</v>
      </c>
      <c r="F1975" s="2">
        <v>34</v>
      </c>
      <c r="G1975" t="s">
        <v>3206</v>
      </c>
      <c r="H1975" t="s">
        <v>51</v>
      </c>
      <c r="I1975" t="s">
        <v>11</v>
      </c>
      <c r="J1975" t="s">
        <v>3198</v>
      </c>
      <c r="K1975" t="s">
        <v>15</v>
      </c>
      <c r="L1975" s="2">
        <v>33</v>
      </c>
      <c r="M1975" t="s">
        <v>3203</v>
      </c>
      <c r="N1975">
        <v>1</v>
      </c>
      <c r="O1975" t="s">
        <v>30</v>
      </c>
      <c r="P1975" t="e">
        <v>#VALUE!</v>
      </c>
      <c r="Q1975" t="e">
        <v>#VALUE!</v>
      </c>
      <c r="R1975" t="s">
        <v>3201</v>
      </c>
      <c r="S1975" t="s">
        <v>13</v>
      </c>
    </row>
    <row r="1976" spans="1:19" x14ac:dyDescent="0.3">
      <c r="A1976" t="s">
        <v>1453</v>
      </c>
      <c r="B1976" t="s">
        <v>1596</v>
      </c>
      <c r="C1976" t="s">
        <v>3065</v>
      </c>
      <c r="D1976" t="s">
        <v>3189</v>
      </c>
      <c r="E1976" t="s">
        <v>9</v>
      </c>
      <c r="F1976" s="2">
        <v>30</v>
      </c>
      <c r="G1976" t="s">
        <v>3206</v>
      </c>
      <c r="H1976" t="s">
        <v>51</v>
      </c>
      <c r="I1976" t="s">
        <v>11</v>
      </c>
      <c r="J1976" t="s">
        <v>3198</v>
      </c>
      <c r="K1976" t="s">
        <v>15</v>
      </c>
      <c r="L1976" s="2">
        <v>33</v>
      </c>
      <c r="M1976" t="s">
        <v>3203</v>
      </c>
      <c r="N1976">
        <v>1</v>
      </c>
      <c r="O1976" t="s">
        <v>30</v>
      </c>
      <c r="P1976" t="e">
        <v>#VALUE!</v>
      </c>
      <c r="Q1976" t="e">
        <v>#VALUE!</v>
      </c>
      <c r="R1976" t="s">
        <v>3201</v>
      </c>
      <c r="S1976" t="s">
        <v>13</v>
      </c>
    </row>
    <row r="1977" spans="1:19" x14ac:dyDescent="0.3">
      <c r="A1977" t="s">
        <v>1454</v>
      </c>
      <c r="B1977" t="s">
        <v>1596</v>
      </c>
      <c r="C1977" t="s">
        <v>3066</v>
      </c>
      <c r="D1977" t="s">
        <v>3189</v>
      </c>
      <c r="E1977" t="s">
        <v>9</v>
      </c>
      <c r="F1977" s="2">
        <v>31</v>
      </c>
      <c r="G1977" t="s">
        <v>3206</v>
      </c>
      <c r="H1977" t="s">
        <v>69</v>
      </c>
      <c r="I1977" t="s">
        <v>28</v>
      </c>
      <c r="J1977" t="s">
        <v>3212</v>
      </c>
      <c r="K1977" t="s">
        <v>15</v>
      </c>
      <c r="L1977" s="2">
        <v>33</v>
      </c>
      <c r="M1977" t="s">
        <v>3203</v>
      </c>
      <c r="N1977">
        <v>1</v>
      </c>
      <c r="O1977" t="s">
        <v>30</v>
      </c>
      <c r="P1977" t="e">
        <v>#VALUE!</v>
      </c>
      <c r="Q1977" t="e">
        <v>#VALUE!</v>
      </c>
      <c r="R1977" t="s">
        <v>3201</v>
      </c>
      <c r="S1977" t="s">
        <v>13</v>
      </c>
    </row>
    <row r="1978" spans="1:19" x14ac:dyDescent="0.3">
      <c r="A1978" t="s">
        <v>1455</v>
      </c>
      <c r="B1978" t="s">
        <v>2719</v>
      </c>
      <c r="C1978" t="s">
        <v>3067</v>
      </c>
      <c r="D1978" t="s">
        <v>3189</v>
      </c>
      <c r="E1978" t="s">
        <v>9</v>
      </c>
      <c r="F1978" s="2">
        <v>22</v>
      </c>
      <c r="G1978" t="s">
        <v>3206</v>
      </c>
      <c r="H1978" t="s">
        <v>70</v>
      </c>
      <c r="I1978" t="s">
        <v>11</v>
      </c>
      <c r="J1978" t="s">
        <v>3198</v>
      </c>
      <c r="K1978" t="s">
        <v>15</v>
      </c>
      <c r="L1978" s="2">
        <v>33</v>
      </c>
      <c r="M1978" t="s">
        <v>3203</v>
      </c>
      <c r="N1978">
        <v>1</v>
      </c>
      <c r="O1978" t="s">
        <v>30</v>
      </c>
      <c r="P1978" t="e">
        <v>#VALUE!</v>
      </c>
      <c r="Q1978" t="e">
        <v>#VALUE!</v>
      </c>
      <c r="R1978" t="s">
        <v>3201</v>
      </c>
      <c r="S1978" t="s">
        <v>13</v>
      </c>
    </row>
    <row r="1979" spans="1:19" x14ac:dyDescent="0.3">
      <c r="A1979" t="s">
        <v>758</v>
      </c>
      <c r="B1979" t="s">
        <v>1596</v>
      </c>
      <c r="C1979" t="s">
        <v>2259</v>
      </c>
      <c r="D1979" t="s">
        <v>3189</v>
      </c>
      <c r="E1979" t="s">
        <v>9</v>
      </c>
      <c r="F1979" s="2">
        <v>32</v>
      </c>
      <c r="G1979" t="s">
        <v>3206</v>
      </c>
      <c r="H1979" t="s">
        <v>51</v>
      </c>
      <c r="I1979" t="s">
        <v>11</v>
      </c>
      <c r="J1979" t="s">
        <v>3198</v>
      </c>
      <c r="K1979" t="s">
        <v>15</v>
      </c>
      <c r="L1979" s="2">
        <v>33</v>
      </c>
      <c r="M1979" t="s">
        <v>3203</v>
      </c>
      <c r="N1979">
        <v>1</v>
      </c>
      <c r="O1979" t="s">
        <v>30</v>
      </c>
      <c r="P1979" t="e">
        <v>#VALUE!</v>
      </c>
      <c r="Q1979" t="e">
        <v>#VALUE!</v>
      </c>
      <c r="R1979" t="s">
        <v>3205</v>
      </c>
      <c r="S1979" t="s">
        <v>16</v>
      </c>
    </row>
    <row r="1980" spans="1:19" x14ac:dyDescent="0.3">
      <c r="A1980" t="s">
        <v>758</v>
      </c>
      <c r="B1980" t="s">
        <v>1596</v>
      </c>
      <c r="C1980" t="s">
        <v>3068</v>
      </c>
      <c r="D1980" t="s">
        <v>3189</v>
      </c>
      <c r="E1980" t="s">
        <v>9</v>
      </c>
      <c r="F1980" s="2">
        <v>25</v>
      </c>
      <c r="G1980" t="s">
        <v>3206</v>
      </c>
      <c r="H1980" t="s">
        <v>69</v>
      </c>
      <c r="I1980" t="s">
        <v>11</v>
      </c>
      <c r="J1980" t="s">
        <v>3198</v>
      </c>
      <c r="K1980" t="s">
        <v>15</v>
      </c>
      <c r="L1980" s="2">
        <v>33</v>
      </c>
      <c r="M1980" t="s">
        <v>3203</v>
      </c>
      <c r="N1980">
        <v>1</v>
      </c>
      <c r="O1980" t="s">
        <v>30</v>
      </c>
      <c r="P1980" t="e">
        <v>#VALUE!</v>
      </c>
      <c r="Q1980" t="e">
        <v>#VALUE!</v>
      </c>
      <c r="R1980" t="s">
        <v>3201</v>
      </c>
      <c r="S1980" t="s">
        <v>13</v>
      </c>
    </row>
    <row r="1981" spans="1:19" x14ac:dyDescent="0.3">
      <c r="A1981" t="s">
        <v>758</v>
      </c>
      <c r="B1981" t="s">
        <v>1596</v>
      </c>
      <c r="C1981" t="s">
        <v>1681</v>
      </c>
      <c r="D1981" t="s">
        <v>3189</v>
      </c>
      <c r="E1981" t="s">
        <v>9</v>
      </c>
      <c r="F1981" s="2">
        <v>19</v>
      </c>
      <c r="G1981" t="s">
        <v>3206</v>
      </c>
      <c r="H1981" t="s">
        <v>69</v>
      </c>
      <c r="I1981" t="s">
        <v>11</v>
      </c>
      <c r="J1981" t="s">
        <v>3198</v>
      </c>
      <c r="K1981" t="s">
        <v>15</v>
      </c>
      <c r="L1981" s="2">
        <v>33</v>
      </c>
      <c r="M1981" t="s">
        <v>3203</v>
      </c>
      <c r="N1981">
        <v>1</v>
      </c>
      <c r="O1981" t="s">
        <v>30</v>
      </c>
      <c r="P1981" t="e">
        <v>#VALUE!</v>
      </c>
      <c r="Q1981" t="e">
        <v>#VALUE!</v>
      </c>
      <c r="R1981" t="s">
        <v>3201</v>
      </c>
      <c r="S1981" t="s">
        <v>13</v>
      </c>
    </row>
    <row r="1982" spans="1:19" x14ac:dyDescent="0.3">
      <c r="A1982" t="s">
        <v>760</v>
      </c>
      <c r="B1982" t="s">
        <v>1596</v>
      </c>
      <c r="C1982" t="s">
        <v>2782</v>
      </c>
      <c r="D1982" t="s">
        <v>3189</v>
      </c>
      <c r="E1982" t="s">
        <v>9</v>
      </c>
      <c r="F1982" s="2">
        <v>30</v>
      </c>
      <c r="G1982" t="s">
        <v>3206</v>
      </c>
      <c r="H1982" t="s">
        <v>51</v>
      </c>
      <c r="I1982" t="s">
        <v>11</v>
      </c>
      <c r="J1982" t="s">
        <v>3198</v>
      </c>
      <c r="K1982" t="s">
        <v>15</v>
      </c>
      <c r="L1982" s="2">
        <v>33</v>
      </c>
      <c r="M1982" t="s">
        <v>3203</v>
      </c>
      <c r="N1982">
        <v>1</v>
      </c>
      <c r="O1982" t="s">
        <v>30</v>
      </c>
      <c r="P1982" t="e">
        <v>#VALUE!</v>
      </c>
      <c r="Q1982" t="e">
        <v>#VALUE!</v>
      </c>
      <c r="R1982" t="s">
        <v>3201</v>
      </c>
      <c r="S1982" t="s">
        <v>13</v>
      </c>
    </row>
    <row r="1983" spans="1:19" x14ac:dyDescent="0.3">
      <c r="A1983" t="s">
        <v>1456</v>
      </c>
      <c r="B1983" t="s">
        <v>1596</v>
      </c>
      <c r="C1983" t="s">
        <v>3069</v>
      </c>
      <c r="D1983" t="s">
        <v>3189</v>
      </c>
      <c r="E1983" t="s">
        <v>9</v>
      </c>
      <c r="F1983" s="2">
        <v>36</v>
      </c>
      <c r="G1983" t="s">
        <v>3197</v>
      </c>
      <c r="H1983" t="s">
        <v>51</v>
      </c>
      <c r="I1983" t="s">
        <v>11</v>
      </c>
      <c r="J1983" t="s">
        <v>3198</v>
      </c>
      <c r="K1983" t="s">
        <v>15</v>
      </c>
      <c r="L1983" s="2">
        <v>33</v>
      </c>
      <c r="M1983" t="s">
        <v>3203</v>
      </c>
      <c r="N1983">
        <v>1</v>
      </c>
      <c r="O1983" t="s">
        <v>30</v>
      </c>
      <c r="P1983" t="e">
        <v>#VALUE!</v>
      </c>
      <c r="Q1983" t="e">
        <v>#VALUE!</v>
      </c>
      <c r="R1983" t="s">
        <v>3201</v>
      </c>
      <c r="S1983" t="s">
        <v>13</v>
      </c>
    </row>
    <row r="1984" spans="1:19" x14ac:dyDescent="0.3">
      <c r="A1984" t="s">
        <v>1457</v>
      </c>
      <c r="B1984" t="s">
        <v>1596</v>
      </c>
      <c r="C1984" t="s">
        <v>3070</v>
      </c>
      <c r="D1984" t="s">
        <v>3189</v>
      </c>
      <c r="E1984" t="s">
        <v>9</v>
      </c>
      <c r="F1984" s="2">
        <v>22</v>
      </c>
      <c r="G1984" t="s">
        <v>3206</v>
      </c>
      <c r="H1984" t="s">
        <v>69</v>
      </c>
      <c r="I1984" t="s">
        <v>11</v>
      </c>
      <c r="J1984" t="s">
        <v>3198</v>
      </c>
      <c r="K1984" t="s">
        <v>15</v>
      </c>
      <c r="L1984" s="2">
        <v>33</v>
      </c>
      <c r="M1984" t="s">
        <v>3203</v>
      </c>
      <c r="N1984">
        <v>1</v>
      </c>
      <c r="O1984" t="s">
        <v>30</v>
      </c>
      <c r="P1984" t="e">
        <v>#VALUE!</v>
      </c>
      <c r="Q1984" t="e">
        <v>#VALUE!</v>
      </c>
      <c r="R1984" t="s">
        <v>3201</v>
      </c>
      <c r="S1984" t="s">
        <v>13</v>
      </c>
    </row>
    <row r="1985" spans="1:19" x14ac:dyDescent="0.3">
      <c r="A1985" t="s">
        <v>1458</v>
      </c>
      <c r="B1985" t="s">
        <v>1596</v>
      </c>
      <c r="C1985" t="s">
        <v>3071</v>
      </c>
      <c r="D1985" t="s">
        <v>3189</v>
      </c>
      <c r="E1985" t="s">
        <v>9</v>
      </c>
      <c r="F1985" s="2">
        <v>30</v>
      </c>
      <c r="G1985" t="s">
        <v>3206</v>
      </c>
      <c r="H1985" t="s">
        <v>69</v>
      </c>
      <c r="I1985" t="s">
        <v>11</v>
      </c>
      <c r="J1985" t="s">
        <v>3198</v>
      </c>
      <c r="K1985" t="s">
        <v>15</v>
      </c>
      <c r="L1985" s="2">
        <v>33</v>
      </c>
      <c r="M1985" t="s">
        <v>3203</v>
      </c>
      <c r="N1985">
        <v>1</v>
      </c>
      <c r="O1985" t="s">
        <v>30</v>
      </c>
      <c r="P1985" t="e">
        <v>#VALUE!</v>
      </c>
      <c r="Q1985" t="e">
        <v>#VALUE!</v>
      </c>
      <c r="R1985" t="s">
        <v>3201</v>
      </c>
      <c r="S1985" t="s">
        <v>13</v>
      </c>
    </row>
    <row r="1986" spans="1:19" x14ac:dyDescent="0.3">
      <c r="A1986" t="s">
        <v>1459</v>
      </c>
      <c r="B1986" t="s">
        <v>2719</v>
      </c>
      <c r="C1986" t="s">
        <v>3072</v>
      </c>
      <c r="D1986" t="s">
        <v>3189</v>
      </c>
      <c r="E1986" t="s">
        <v>9</v>
      </c>
      <c r="F1986" s="2">
        <v>22</v>
      </c>
      <c r="G1986" t="s">
        <v>3206</v>
      </c>
      <c r="H1986" t="s">
        <v>70</v>
      </c>
      <c r="I1986" t="s">
        <v>11</v>
      </c>
      <c r="J1986" t="s">
        <v>3198</v>
      </c>
      <c r="K1986" t="s">
        <v>15</v>
      </c>
      <c r="L1986" s="2">
        <v>33</v>
      </c>
      <c r="M1986" t="s">
        <v>3203</v>
      </c>
      <c r="N1986">
        <v>1</v>
      </c>
      <c r="O1986" t="s">
        <v>30</v>
      </c>
      <c r="P1986" t="e">
        <v>#VALUE!</v>
      </c>
      <c r="Q1986" t="e">
        <v>#VALUE!</v>
      </c>
      <c r="R1986" t="s">
        <v>3201</v>
      </c>
      <c r="S1986" t="s">
        <v>13</v>
      </c>
    </row>
    <row r="1987" spans="1:19" x14ac:dyDescent="0.3">
      <c r="A1987" t="s">
        <v>1460</v>
      </c>
      <c r="B1987" t="s">
        <v>1596</v>
      </c>
      <c r="C1987" t="s">
        <v>3073</v>
      </c>
      <c r="D1987" t="s">
        <v>3189</v>
      </c>
      <c r="E1987" t="s">
        <v>9</v>
      </c>
      <c r="F1987" s="2">
        <v>29</v>
      </c>
      <c r="G1987" t="s">
        <v>3206</v>
      </c>
      <c r="H1987" t="s">
        <v>69</v>
      </c>
      <c r="I1987" t="s">
        <v>11</v>
      </c>
      <c r="J1987" t="s">
        <v>3198</v>
      </c>
      <c r="K1987" t="s">
        <v>15</v>
      </c>
      <c r="L1987" s="2">
        <v>33</v>
      </c>
      <c r="M1987" t="s">
        <v>3203</v>
      </c>
      <c r="N1987">
        <v>1</v>
      </c>
      <c r="O1987" t="s">
        <v>30</v>
      </c>
      <c r="P1987" t="e">
        <v>#VALUE!</v>
      </c>
      <c r="Q1987" t="e">
        <v>#VALUE!</v>
      </c>
      <c r="R1987" t="s">
        <v>3201</v>
      </c>
      <c r="S1987" t="s">
        <v>13</v>
      </c>
    </row>
    <row r="1988" spans="1:19" x14ac:dyDescent="0.3">
      <c r="A1988" t="s">
        <v>1461</v>
      </c>
      <c r="B1988" t="s">
        <v>1596</v>
      </c>
      <c r="C1988" t="s">
        <v>2034</v>
      </c>
      <c r="D1988" t="s">
        <v>3189</v>
      </c>
      <c r="E1988" t="s">
        <v>9</v>
      </c>
      <c r="F1988" s="2">
        <v>19</v>
      </c>
      <c r="G1988" t="s">
        <v>3206</v>
      </c>
      <c r="H1988" t="s">
        <v>69</v>
      </c>
      <c r="I1988" t="s">
        <v>11</v>
      </c>
      <c r="J1988" t="s">
        <v>3198</v>
      </c>
      <c r="K1988" t="s">
        <v>15</v>
      </c>
      <c r="L1988" s="2">
        <v>33</v>
      </c>
      <c r="M1988" t="s">
        <v>3203</v>
      </c>
      <c r="N1988">
        <v>1</v>
      </c>
      <c r="O1988" t="s">
        <v>30</v>
      </c>
      <c r="P1988" t="e">
        <v>#VALUE!</v>
      </c>
      <c r="Q1988" t="e">
        <v>#VALUE!</v>
      </c>
      <c r="R1988" t="s">
        <v>3201</v>
      </c>
      <c r="S1988" t="s">
        <v>13</v>
      </c>
    </row>
    <row r="1989" spans="1:19" x14ac:dyDescent="0.3">
      <c r="A1989" t="s">
        <v>1462</v>
      </c>
      <c r="B1989" t="s">
        <v>1596</v>
      </c>
      <c r="C1989" t="s">
        <v>2022</v>
      </c>
      <c r="D1989" t="s">
        <v>3189</v>
      </c>
      <c r="E1989" t="s">
        <v>9</v>
      </c>
      <c r="F1989" s="2">
        <v>37</v>
      </c>
      <c r="G1989" t="s">
        <v>3197</v>
      </c>
      <c r="H1989" t="s">
        <v>69</v>
      </c>
      <c r="I1989" t="s">
        <v>28</v>
      </c>
      <c r="J1989" t="s">
        <v>3212</v>
      </c>
      <c r="K1989" t="s">
        <v>15</v>
      </c>
      <c r="L1989" s="2">
        <v>33</v>
      </c>
      <c r="M1989" t="s">
        <v>3203</v>
      </c>
      <c r="N1989">
        <v>1</v>
      </c>
      <c r="O1989" t="s">
        <v>30</v>
      </c>
      <c r="P1989" t="e">
        <v>#VALUE!</v>
      </c>
      <c r="Q1989" t="e">
        <v>#VALUE!</v>
      </c>
      <c r="R1989" t="s">
        <v>3201</v>
      </c>
      <c r="S1989" t="s">
        <v>13</v>
      </c>
    </row>
    <row r="1990" spans="1:19" x14ac:dyDescent="0.3">
      <c r="A1990" t="s">
        <v>1462</v>
      </c>
      <c r="B1990" t="s">
        <v>1596</v>
      </c>
      <c r="C1990" t="s">
        <v>3074</v>
      </c>
      <c r="D1990" t="s">
        <v>3189</v>
      </c>
      <c r="E1990" t="s">
        <v>9</v>
      </c>
      <c r="F1990" s="2">
        <v>40</v>
      </c>
      <c r="G1990" t="s">
        <v>3197</v>
      </c>
      <c r="H1990" t="s">
        <v>69</v>
      </c>
      <c r="I1990" t="s">
        <v>28</v>
      </c>
      <c r="J1990" t="s">
        <v>3212</v>
      </c>
      <c r="K1990" t="s">
        <v>40</v>
      </c>
      <c r="L1990" s="2">
        <v>33</v>
      </c>
      <c r="M1990" t="s">
        <v>3203</v>
      </c>
      <c r="N1990">
        <v>1</v>
      </c>
      <c r="O1990" t="s">
        <v>30</v>
      </c>
      <c r="P1990" t="e">
        <v>#VALUE!</v>
      </c>
      <c r="Q1990" t="e">
        <v>#VALUE!</v>
      </c>
      <c r="R1990" t="s">
        <v>3201</v>
      </c>
      <c r="S1990" t="s">
        <v>13</v>
      </c>
    </row>
    <row r="1991" spans="1:19" x14ac:dyDescent="0.3">
      <c r="A1991" t="s">
        <v>1462</v>
      </c>
      <c r="B1991" t="s">
        <v>1596</v>
      </c>
      <c r="C1991" t="s">
        <v>3075</v>
      </c>
      <c r="D1991" t="s">
        <v>3189</v>
      </c>
      <c r="E1991" t="s">
        <v>9</v>
      </c>
      <c r="F1991" s="2">
        <v>35</v>
      </c>
      <c r="G1991" t="s">
        <v>3206</v>
      </c>
      <c r="H1991" t="s">
        <v>51</v>
      </c>
      <c r="I1991" t="s">
        <v>11</v>
      </c>
      <c r="J1991" t="s">
        <v>3198</v>
      </c>
      <c r="K1991" t="s">
        <v>15</v>
      </c>
      <c r="L1991" s="2">
        <v>33</v>
      </c>
      <c r="M1991" t="s">
        <v>3203</v>
      </c>
      <c r="N1991">
        <v>1</v>
      </c>
      <c r="O1991" t="s">
        <v>30</v>
      </c>
      <c r="P1991" t="e">
        <v>#VALUE!</v>
      </c>
      <c r="Q1991" t="e">
        <v>#VALUE!</v>
      </c>
      <c r="R1991" t="s">
        <v>3201</v>
      </c>
      <c r="S1991" t="s">
        <v>13</v>
      </c>
    </row>
    <row r="1992" spans="1:19" x14ac:dyDescent="0.3">
      <c r="A1992" t="s">
        <v>1462</v>
      </c>
      <c r="B1992" t="s">
        <v>1600</v>
      </c>
      <c r="C1992" t="s">
        <v>3076</v>
      </c>
      <c r="D1992" t="s">
        <v>3190</v>
      </c>
      <c r="E1992" t="s">
        <v>14</v>
      </c>
      <c r="F1992" s="2">
        <v>41</v>
      </c>
      <c r="G1992" t="s">
        <v>3197</v>
      </c>
      <c r="H1992" t="s">
        <v>69</v>
      </c>
      <c r="I1992" t="s">
        <v>11</v>
      </c>
      <c r="J1992" t="s">
        <v>3198</v>
      </c>
      <c r="K1992" t="s">
        <v>15</v>
      </c>
      <c r="L1992" s="2">
        <v>33</v>
      </c>
      <c r="M1992" t="s">
        <v>3203</v>
      </c>
      <c r="N1992">
        <v>1</v>
      </c>
      <c r="O1992" t="s">
        <v>30</v>
      </c>
      <c r="P1992" t="e">
        <v>#VALUE!</v>
      </c>
      <c r="Q1992" t="e">
        <v>#VALUE!</v>
      </c>
      <c r="R1992" t="s">
        <v>3205</v>
      </c>
      <c r="S1992" t="s">
        <v>16</v>
      </c>
    </row>
    <row r="1993" spans="1:19" x14ac:dyDescent="0.3">
      <c r="A1993" t="s">
        <v>1463</v>
      </c>
      <c r="B1993" t="s">
        <v>1596</v>
      </c>
      <c r="C1993" t="s">
        <v>2638</v>
      </c>
      <c r="D1993" t="s">
        <v>3189</v>
      </c>
      <c r="E1993" t="s">
        <v>9</v>
      </c>
      <c r="F1993" s="2">
        <v>30</v>
      </c>
      <c r="G1993" t="s">
        <v>3206</v>
      </c>
      <c r="H1993" t="s">
        <v>69</v>
      </c>
      <c r="I1993" t="s">
        <v>11</v>
      </c>
      <c r="J1993" t="s">
        <v>3198</v>
      </c>
      <c r="K1993" t="s">
        <v>15</v>
      </c>
      <c r="L1993" s="2">
        <v>33</v>
      </c>
      <c r="M1993" t="s">
        <v>3203</v>
      </c>
      <c r="N1993">
        <v>1</v>
      </c>
      <c r="O1993" t="s">
        <v>30</v>
      </c>
      <c r="P1993" t="e">
        <v>#VALUE!</v>
      </c>
      <c r="Q1993" t="e">
        <v>#VALUE!</v>
      </c>
      <c r="R1993" t="s">
        <v>3201</v>
      </c>
      <c r="S1993" t="s">
        <v>13</v>
      </c>
    </row>
    <row r="1994" spans="1:19" x14ac:dyDescent="0.3">
      <c r="A1994" t="s">
        <v>1463</v>
      </c>
      <c r="B1994" t="s">
        <v>1600</v>
      </c>
      <c r="C1994" t="s">
        <v>2798</v>
      </c>
      <c r="D1994" t="s">
        <v>3190</v>
      </c>
      <c r="E1994" t="s">
        <v>14</v>
      </c>
      <c r="F1994" s="2">
        <v>41</v>
      </c>
      <c r="G1994" t="s">
        <v>3197</v>
      </c>
      <c r="H1994" t="s">
        <v>69</v>
      </c>
      <c r="I1994" t="s">
        <v>11</v>
      </c>
      <c r="J1994" t="s">
        <v>3198</v>
      </c>
      <c r="K1994" t="s">
        <v>15</v>
      </c>
      <c r="L1994" s="2">
        <v>33</v>
      </c>
      <c r="M1994" t="s">
        <v>3203</v>
      </c>
      <c r="N1994">
        <v>1</v>
      </c>
      <c r="O1994" t="s">
        <v>30</v>
      </c>
      <c r="P1994" t="e">
        <v>#VALUE!</v>
      </c>
      <c r="Q1994" t="e">
        <v>#VALUE!</v>
      </c>
      <c r="R1994" t="s">
        <v>3205</v>
      </c>
      <c r="S1994" t="s">
        <v>16</v>
      </c>
    </row>
    <row r="1995" spans="1:19" x14ac:dyDescent="0.3">
      <c r="A1995" t="s">
        <v>770</v>
      </c>
      <c r="B1995" t="s">
        <v>1596</v>
      </c>
      <c r="C1995" t="s">
        <v>3077</v>
      </c>
      <c r="D1995" t="s">
        <v>3189</v>
      </c>
      <c r="E1995" t="s">
        <v>9</v>
      </c>
      <c r="F1995" s="2">
        <v>31</v>
      </c>
      <c r="G1995" t="s">
        <v>3206</v>
      </c>
      <c r="H1995" t="s">
        <v>69</v>
      </c>
      <c r="I1995" t="s">
        <v>11</v>
      </c>
      <c r="J1995" t="s">
        <v>3198</v>
      </c>
      <c r="K1995" t="s">
        <v>15</v>
      </c>
      <c r="L1995" s="2">
        <v>33</v>
      </c>
      <c r="M1995" t="s">
        <v>3203</v>
      </c>
      <c r="N1995">
        <v>1</v>
      </c>
      <c r="O1995" t="s">
        <v>30</v>
      </c>
      <c r="P1995" t="e">
        <v>#VALUE!</v>
      </c>
      <c r="Q1995" t="e">
        <v>#VALUE!</v>
      </c>
      <c r="R1995" t="s">
        <v>3201</v>
      </c>
      <c r="S1995" t="s">
        <v>13</v>
      </c>
    </row>
    <row r="1996" spans="1:19" x14ac:dyDescent="0.3">
      <c r="A1996" t="s">
        <v>770</v>
      </c>
      <c r="B1996" t="s">
        <v>1596</v>
      </c>
      <c r="C1996" t="s">
        <v>1858</v>
      </c>
      <c r="D1996" t="s">
        <v>3189</v>
      </c>
      <c r="E1996" t="s">
        <v>9</v>
      </c>
      <c r="F1996" s="2">
        <v>27</v>
      </c>
      <c r="G1996" t="s">
        <v>3206</v>
      </c>
      <c r="H1996" t="s">
        <v>69</v>
      </c>
      <c r="I1996" t="s">
        <v>11</v>
      </c>
      <c r="J1996" t="s">
        <v>3198</v>
      </c>
      <c r="K1996" t="s">
        <v>37</v>
      </c>
      <c r="L1996" s="2">
        <v>33</v>
      </c>
      <c r="M1996" t="s">
        <v>3203</v>
      </c>
      <c r="N1996">
        <v>1</v>
      </c>
      <c r="O1996" t="s">
        <v>30</v>
      </c>
      <c r="P1996" t="e">
        <v>#VALUE!</v>
      </c>
      <c r="Q1996" t="e">
        <v>#VALUE!</v>
      </c>
      <c r="R1996" t="s">
        <v>3201</v>
      </c>
      <c r="S1996" t="s">
        <v>13</v>
      </c>
    </row>
    <row r="1997" spans="1:19" x14ac:dyDescent="0.3">
      <c r="A1997" t="s">
        <v>777</v>
      </c>
      <c r="B1997" t="s">
        <v>1596</v>
      </c>
      <c r="C1997" t="s">
        <v>3078</v>
      </c>
      <c r="D1997" t="s">
        <v>3189</v>
      </c>
      <c r="E1997" t="s">
        <v>9</v>
      </c>
      <c r="F1997" s="2">
        <v>36</v>
      </c>
      <c r="G1997" t="s">
        <v>3197</v>
      </c>
      <c r="H1997" t="s">
        <v>69</v>
      </c>
      <c r="I1997" t="s">
        <v>11</v>
      </c>
      <c r="J1997" t="s">
        <v>3198</v>
      </c>
      <c r="K1997" t="s">
        <v>15</v>
      </c>
      <c r="L1997" s="2">
        <v>33</v>
      </c>
      <c r="M1997" t="s">
        <v>3203</v>
      </c>
      <c r="N1997">
        <v>1</v>
      </c>
      <c r="O1997" t="s">
        <v>30</v>
      </c>
      <c r="P1997" t="e">
        <v>#VALUE!</v>
      </c>
      <c r="Q1997" t="e">
        <v>#VALUE!</v>
      </c>
      <c r="R1997" t="s">
        <v>3205</v>
      </c>
      <c r="S1997" t="s">
        <v>16</v>
      </c>
    </row>
    <row r="1998" spans="1:19" x14ac:dyDescent="0.3">
      <c r="A1998" t="s">
        <v>1464</v>
      </c>
      <c r="B1998" t="s">
        <v>2719</v>
      </c>
      <c r="C1998" t="s">
        <v>3079</v>
      </c>
      <c r="D1998" t="s">
        <v>3189</v>
      </c>
      <c r="E1998" t="s">
        <v>9</v>
      </c>
      <c r="F1998" s="2">
        <v>23</v>
      </c>
      <c r="G1998" t="s">
        <v>3206</v>
      </c>
      <c r="H1998" t="s">
        <v>70</v>
      </c>
      <c r="I1998" t="s">
        <v>11</v>
      </c>
      <c r="J1998" t="s">
        <v>3198</v>
      </c>
      <c r="K1998" t="s">
        <v>15</v>
      </c>
      <c r="L1998" s="2">
        <v>33</v>
      </c>
      <c r="M1998" t="s">
        <v>3203</v>
      </c>
      <c r="N1998">
        <v>1</v>
      </c>
      <c r="O1998" t="s">
        <v>30</v>
      </c>
      <c r="P1998" t="e">
        <v>#VALUE!</v>
      </c>
      <c r="Q1998" t="e">
        <v>#VALUE!</v>
      </c>
      <c r="R1998" t="s">
        <v>3201</v>
      </c>
      <c r="S1998" t="s">
        <v>13</v>
      </c>
    </row>
    <row r="1999" spans="1:19" x14ac:dyDescent="0.3">
      <c r="A1999" t="s">
        <v>1465</v>
      </c>
      <c r="B1999" t="s">
        <v>1596</v>
      </c>
      <c r="C1999" t="s">
        <v>2776</v>
      </c>
      <c r="D1999" t="s">
        <v>3189</v>
      </c>
      <c r="E1999" t="s">
        <v>9</v>
      </c>
      <c r="F1999" s="2">
        <v>26</v>
      </c>
      <c r="G1999" t="s">
        <v>3206</v>
      </c>
      <c r="H1999" t="s">
        <v>51</v>
      </c>
      <c r="I1999" t="s">
        <v>28</v>
      </c>
      <c r="J1999" t="s">
        <v>3212</v>
      </c>
      <c r="K1999" t="s">
        <v>15</v>
      </c>
      <c r="L1999" s="2">
        <v>33</v>
      </c>
      <c r="M1999" t="s">
        <v>3203</v>
      </c>
      <c r="N1999">
        <v>1</v>
      </c>
      <c r="O1999" t="s">
        <v>30</v>
      </c>
      <c r="P1999" t="e">
        <v>#VALUE!</v>
      </c>
      <c r="Q1999" t="e">
        <v>#VALUE!</v>
      </c>
      <c r="R1999" t="s">
        <v>3201</v>
      </c>
      <c r="S1999" t="s">
        <v>13</v>
      </c>
    </row>
    <row r="2000" spans="1:19" x14ac:dyDescent="0.3">
      <c r="A2000" t="s">
        <v>1466</v>
      </c>
      <c r="B2000" t="s">
        <v>1596</v>
      </c>
      <c r="C2000" t="s">
        <v>2283</v>
      </c>
      <c r="D2000" t="s">
        <v>3189</v>
      </c>
      <c r="E2000" t="s">
        <v>9</v>
      </c>
      <c r="F2000" s="2">
        <v>49</v>
      </c>
      <c r="G2000" t="s">
        <v>3197</v>
      </c>
      <c r="H2000" t="s">
        <v>70</v>
      </c>
      <c r="I2000" t="s">
        <v>11</v>
      </c>
      <c r="J2000" t="s">
        <v>3198</v>
      </c>
      <c r="K2000" t="s">
        <v>15</v>
      </c>
      <c r="L2000" s="2">
        <v>33</v>
      </c>
      <c r="M2000" t="s">
        <v>3203</v>
      </c>
      <c r="N2000">
        <v>1</v>
      </c>
      <c r="O2000" t="s">
        <v>30</v>
      </c>
      <c r="P2000" t="e">
        <v>#VALUE!</v>
      </c>
      <c r="Q2000" t="e">
        <v>#VALUE!</v>
      </c>
      <c r="R2000" t="s">
        <v>3201</v>
      </c>
      <c r="S2000" t="s">
        <v>13</v>
      </c>
    </row>
    <row r="2001" spans="1:19" x14ac:dyDescent="0.3">
      <c r="A2001" t="s">
        <v>784</v>
      </c>
      <c r="B2001" t="s">
        <v>1596</v>
      </c>
      <c r="C2001" t="s">
        <v>3080</v>
      </c>
      <c r="D2001" t="s">
        <v>3189</v>
      </c>
      <c r="E2001" t="s">
        <v>9</v>
      </c>
      <c r="F2001" s="2">
        <v>31</v>
      </c>
      <c r="G2001" t="s">
        <v>3206</v>
      </c>
      <c r="H2001" t="s">
        <v>69</v>
      </c>
      <c r="I2001" t="s">
        <v>28</v>
      </c>
      <c r="J2001" t="s">
        <v>3212</v>
      </c>
      <c r="K2001" t="s">
        <v>15</v>
      </c>
      <c r="L2001" s="2">
        <v>33</v>
      </c>
      <c r="M2001" t="s">
        <v>3203</v>
      </c>
      <c r="N2001">
        <v>1</v>
      </c>
      <c r="O2001" t="s">
        <v>30</v>
      </c>
      <c r="P2001" t="e">
        <v>#VALUE!</v>
      </c>
      <c r="Q2001" t="e">
        <v>#VALUE!</v>
      </c>
      <c r="R2001" t="s">
        <v>3201</v>
      </c>
      <c r="S2001" t="s">
        <v>13</v>
      </c>
    </row>
    <row r="2002" spans="1:19" x14ac:dyDescent="0.3">
      <c r="A2002" t="s">
        <v>784</v>
      </c>
      <c r="B2002" t="s">
        <v>1596</v>
      </c>
      <c r="C2002" t="s">
        <v>3081</v>
      </c>
      <c r="D2002" t="s">
        <v>3189</v>
      </c>
      <c r="E2002" t="s">
        <v>9</v>
      </c>
      <c r="F2002" s="2">
        <v>32</v>
      </c>
      <c r="G2002" t="s">
        <v>3206</v>
      </c>
      <c r="H2002" t="s">
        <v>71</v>
      </c>
      <c r="I2002" t="s">
        <v>28</v>
      </c>
      <c r="J2002" t="s">
        <v>3212</v>
      </c>
      <c r="K2002" t="s">
        <v>15</v>
      </c>
      <c r="L2002" s="2">
        <v>33</v>
      </c>
      <c r="M2002" t="s">
        <v>3203</v>
      </c>
      <c r="N2002">
        <v>1</v>
      </c>
      <c r="O2002" t="s">
        <v>30</v>
      </c>
      <c r="P2002" t="e">
        <v>#VALUE!</v>
      </c>
      <c r="Q2002" t="e">
        <v>#VALUE!</v>
      </c>
      <c r="R2002" t="s">
        <v>3205</v>
      </c>
      <c r="S2002" t="s">
        <v>16</v>
      </c>
    </row>
    <row r="2003" spans="1:19" x14ac:dyDescent="0.3">
      <c r="A2003" t="s">
        <v>1467</v>
      </c>
      <c r="B2003" t="s">
        <v>1596</v>
      </c>
      <c r="C2003" t="s">
        <v>1728</v>
      </c>
      <c r="D2003" t="s">
        <v>3189</v>
      </c>
      <c r="E2003" t="s">
        <v>9</v>
      </c>
      <c r="F2003" s="2">
        <v>24</v>
      </c>
      <c r="G2003" t="s">
        <v>3206</v>
      </c>
      <c r="H2003" t="s">
        <v>51</v>
      </c>
      <c r="I2003" t="s">
        <v>11</v>
      </c>
      <c r="J2003" t="s">
        <v>3198</v>
      </c>
      <c r="K2003" t="s">
        <v>15</v>
      </c>
      <c r="L2003" s="2">
        <v>33</v>
      </c>
      <c r="M2003" t="s">
        <v>3203</v>
      </c>
      <c r="N2003">
        <v>1</v>
      </c>
      <c r="O2003" t="s">
        <v>30</v>
      </c>
      <c r="P2003" t="e">
        <v>#VALUE!</v>
      </c>
      <c r="Q2003" t="e">
        <v>#VALUE!</v>
      </c>
      <c r="R2003" t="s">
        <v>3201</v>
      </c>
      <c r="S2003" t="s">
        <v>13</v>
      </c>
    </row>
    <row r="2004" spans="1:19" x14ac:dyDescent="0.3">
      <c r="A2004" t="s">
        <v>1468</v>
      </c>
      <c r="B2004" t="s">
        <v>1596</v>
      </c>
      <c r="C2004" t="s">
        <v>3082</v>
      </c>
      <c r="D2004" t="s">
        <v>3189</v>
      </c>
      <c r="E2004" t="s">
        <v>9</v>
      </c>
      <c r="F2004" s="2">
        <v>58</v>
      </c>
      <c r="G2004" t="s">
        <v>3210</v>
      </c>
      <c r="H2004" t="s">
        <v>69</v>
      </c>
      <c r="I2004" t="s">
        <v>28</v>
      </c>
      <c r="J2004" t="s">
        <v>3212</v>
      </c>
      <c r="K2004" t="s">
        <v>15</v>
      </c>
      <c r="L2004" s="2">
        <v>33</v>
      </c>
      <c r="M2004" t="s">
        <v>3203</v>
      </c>
      <c r="N2004">
        <v>1</v>
      </c>
      <c r="O2004" t="s">
        <v>30</v>
      </c>
      <c r="P2004" t="e">
        <v>#VALUE!</v>
      </c>
      <c r="Q2004" t="e">
        <v>#VALUE!</v>
      </c>
      <c r="R2004" t="s">
        <v>3205</v>
      </c>
      <c r="S2004" t="s">
        <v>16</v>
      </c>
    </row>
    <row r="2005" spans="1:19" x14ac:dyDescent="0.3">
      <c r="A2005" t="s">
        <v>1469</v>
      </c>
      <c r="B2005" t="s">
        <v>1596</v>
      </c>
      <c r="C2005" t="s">
        <v>3083</v>
      </c>
      <c r="D2005" t="s">
        <v>3189</v>
      </c>
      <c r="E2005" t="s">
        <v>9</v>
      </c>
      <c r="F2005" s="2">
        <v>17</v>
      </c>
      <c r="G2005" t="s">
        <v>3202</v>
      </c>
      <c r="H2005" t="s">
        <v>69</v>
      </c>
      <c r="I2005" t="s">
        <v>11</v>
      </c>
      <c r="J2005" t="s">
        <v>3198</v>
      </c>
      <c r="K2005" t="s">
        <v>15</v>
      </c>
      <c r="L2005" s="2">
        <v>33</v>
      </c>
      <c r="M2005" t="s">
        <v>3203</v>
      </c>
      <c r="N2005">
        <v>1</v>
      </c>
      <c r="O2005" t="s">
        <v>30</v>
      </c>
      <c r="P2005" t="e">
        <v>#VALUE!</v>
      </c>
      <c r="Q2005" t="e">
        <v>#VALUE!</v>
      </c>
      <c r="R2005" t="s">
        <v>3201</v>
      </c>
      <c r="S2005" t="s">
        <v>13</v>
      </c>
    </row>
    <row r="2006" spans="1:19" x14ac:dyDescent="0.3">
      <c r="A2006" t="s">
        <v>1470</v>
      </c>
      <c r="B2006" t="s">
        <v>1596</v>
      </c>
      <c r="C2006" t="s">
        <v>3084</v>
      </c>
      <c r="D2006" t="s">
        <v>3189</v>
      </c>
      <c r="E2006" t="s">
        <v>9</v>
      </c>
      <c r="F2006" s="2">
        <v>27</v>
      </c>
      <c r="G2006" t="s">
        <v>3206</v>
      </c>
      <c r="H2006" t="s">
        <v>51</v>
      </c>
      <c r="I2006" t="s">
        <v>11</v>
      </c>
      <c r="J2006" t="s">
        <v>3198</v>
      </c>
      <c r="K2006" t="s">
        <v>15</v>
      </c>
      <c r="L2006" s="2">
        <v>33</v>
      </c>
      <c r="M2006" t="s">
        <v>3203</v>
      </c>
      <c r="N2006">
        <v>1</v>
      </c>
      <c r="O2006" t="s">
        <v>30</v>
      </c>
      <c r="P2006" t="e">
        <v>#VALUE!</v>
      </c>
      <c r="Q2006" t="e">
        <v>#VALUE!</v>
      </c>
      <c r="R2006" t="s">
        <v>3201</v>
      </c>
      <c r="S2006" t="s">
        <v>13</v>
      </c>
    </row>
    <row r="2007" spans="1:19" x14ac:dyDescent="0.3">
      <c r="A2007" t="s">
        <v>787</v>
      </c>
      <c r="B2007" t="s">
        <v>1596</v>
      </c>
      <c r="C2007" t="s">
        <v>1645</v>
      </c>
      <c r="D2007" t="s">
        <v>3189</v>
      </c>
      <c r="E2007" t="s">
        <v>9</v>
      </c>
      <c r="F2007" s="2">
        <v>28</v>
      </c>
      <c r="G2007" t="s">
        <v>3206</v>
      </c>
      <c r="H2007" t="s">
        <v>69</v>
      </c>
      <c r="I2007" t="s">
        <v>11</v>
      </c>
      <c r="J2007" t="s">
        <v>3198</v>
      </c>
      <c r="K2007" t="s">
        <v>33</v>
      </c>
      <c r="L2007" s="2">
        <v>33</v>
      </c>
      <c r="M2007" t="s">
        <v>3203</v>
      </c>
      <c r="N2007">
        <v>1</v>
      </c>
      <c r="O2007" t="s">
        <v>30</v>
      </c>
      <c r="P2007" t="e">
        <v>#VALUE!</v>
      </c>
      <c r="Q2007" t="e">
        <v>#VALUE!</v>
      </c>
      <c r="R2007" t="s">
        <v>3201</v>
      </c>
      <c r="S2007" t="s">
        <v>13</v>
      </c>
    </row>
    <row r="2008" spans="1:19" x14ac:dyDescent="0.3">
      <c r="A2008" t="s">
        <v>788</v>
      </c>
      <c r="B2008" t="s">
        <v>1596</v>
      </c>
      <c r="C2008" t="s">
        <v>3085</v>
      </c>
      <c r="D2008" t="s">
        <v>3189</v>
      </c>
      <c r="E2008" t="s">
        <v>9</v>
      </c>
      <c r="F2008" s="2">
        <v>33</v>
      </c>
      <c r="G2008" t="s">
        <v>3206</v>
      </c>
      <c r="H2008" t="s">
        <v>69</v>
      </c>
      <c r="I2008" t="s">
        <v>11</v>
      </c>
      <c r="J2008" t="s">
        <v>3198</v>
      </c>
      <c r="K2008" t="s">
        <v>26</v>
      </c>
      <c r="L2008" s="2">
        <v>33</v>
      </c>
      <c r="M2008" t="s">
        <v>3203</v>
      </c>
      <c r="N2008">
        <v>1</v>
      </c>
      <c r="O2008" t="s">
        <v>30</v>
      </c>
      <c r="P2008" t="e">
        <v>#VALUE!</v>
      </c>
      <c r="Q2008" t="e">
        <v>#VALUE!</v>
      </c>
      <c r="R2008" t="s">
        <v>3205</v>
      </c>
      <c r="S2008" t="s">
        <v>16</v>
      </c>
    </row>
    <row r="2009" spans="1:19" x14ac:dyDescent="0.3">
      <c r="A2009" t="s">
        <v>1471</v>
      </c>
      <c r="B2009" t="s">
        <v>2719</v>
      </c>
      <c r="C2009" t="s">
        <v>3086</v>
      </c>
      <c r="D2009" t="s">
        <v>3189</v>
      </c>
      <c r="E2009" t="s">
        <v>9</v>
      </c>
      <c r="F2009" s="2">
        <v>24</v>
      </c>
      <c r="G2009" t="s">
        <v>3206</v>
      </c>
      <c r="H2009" t="s">
        <v>70</v>
      </c>
      <c r="I2009" t="s">
        <v>11</v>
      </c>
      <c r="J2009" t="s">
        <v>3198</v>
      </c>
      <c r="K2009" t="s">
        <v>38</v>
      </c>
      <c r="L2009" s="2">
        <v>33</v>
      </c>
      <c r="M2009" t="s">
        <v>3203</v>
      </c>
      <c r="N2009">
        <v>1</v>
      </c>
      <c r="O2009" t="s">
        <v>30</v>
      </c>
      <c r="P2009" t="e">
        <v>#VALUE!</v>
      </c>
      <c r="Q2009" t="e">
        <v>#VALUE!</v>
      </c>
      <c r="R2009" t="s">
        <v>3201</v>
      </c>
      <c r="S2009" t="s">
        <v>13</v>
      </c>
    </row>
    <row r="2010" spans="1:19" x14ac:dyDescent="0.3">
      <c r="A2010" t="s">
        <v>1472</v>
      </c>
      <c r="B2010" t="s">
        <v>2719</v>
      </c>
      <c r="C2010" t="s">
        <v>2835</v>
      </c>
      <c r="D2010" t="s">
        <v>3189</v>
      </c>
      <c r="E2010" t="s">
        <v>9</v>
      </c>
      <c r="F2010" s="2">
        <v>25</v>
      </c>
      <c r="G2010" t="s">
        <v>3206</v>
      </c>
      <c r="H2010" t="s">
        <v>70</v>
      </c>
      <c r="I2010" t="s">
        <v>11</v>
      </c>
      <c r="J2010" t="s">
        <v>3198</v>
      </c>
      <c r="K2010" t="s">
        <v>15</v>
      </c>
      <c r="L2010" s="2">
        <v>33</v>
      </c>
      <c r="M2010" t="s">
        <v>3203</v>
      </c>
      <c r="N2010">
        <v>1</v>
      </c>
      <c r="O2010" t="s">
        <v>30</v>
      </c>
      <c r="P2010" t="e">
        <v>#VALUE!</v>
      </c>
      <c r="Q2010" t="e">
        <v>#VALUE!</v>
      </c>
      <c r="R2010" t="s">
        <v>3201</v>
      </c>
      <c r="S2010" t="s">
        <v>13</v>
      </c>
    </row>
    <row r="2011" spans="1:19" x14ac:dyDescent="0.3">
      <c r="A2011" t="s">
        <v>1473</v>
      </c>
      <c r="B2011" t="s">
        <v>1596</v>
      </c>
      <c r="C2011" t="s">
        <v>3087</v>
      </c>
      <c r="D2011" t="s">
        <v>3189</v>
      </c>
      <c r="E2011" t="s">
        <v>9</v>
      </c>
      <c r="F2011" s="2">
        <v>47</v>
      </c>
      <c r="G2011" t="s">
        <v>3197</v>
      </c>
      <c r="H2011" t="s">
        <v>69</v>
      </c>
      <c r="I2011" t="s">
        <v>11</v>
      </c>
      <c r="J2011" t="s">
        <v>3198</v>
      </c>
      <c r="K2011" t="s">
        <v>40</v>
      </c>
      <c r="L2011" s="2">
        <v>33</v>
      </c>
      <c r="M2011" t="s">
        <v>3203</v>
      </c>
      <c r="N2011">
        <v>1</v>
      </c>
      <c r="O2011" t="s">
        <v>30</v>
      </c>
      <c r="P2011" t="e">
        <v>#VALUE!</v>
      </c>
      <c r="Q2011" t="e">
        <v>#VALUE!</v>
      </c>
      <c r="R2011" t="s">
        <v>3201</v>
      </c>
      <c r="S2011" t="s">
        <v>13</v>
      </c>
    </row>
    <row r="2012" spans="1:19" x14ac:dyDescent="0.3">
      <c r="A2012" t="s">
        <v>1474</v>
      </c>
      <c r="B2012" t="s">
        <v>1596</v>
      </c>
      <c r="C2012" t="s">
        <v>1884</v>
      </c>
      <c r="D2012" t="s">
        <v>3189</v>
      </c>
      <c r="E2012" t="s">
        <v>9</v>
      </c>
      <c r="F2012" s="2">
        <v>30</v>
      </c>
      <c r="G2012" t="s">
        <v>3206</v>
      </c>
      <c r="H2012" t="s">
        <v>51</v>
      </c>
      <c r="I2012" t="s">
        <v>11</v>
      </c>
      <c r="J2012" t="s">
        <v>3198</v>
      </c>
      <c r="K2012" t="s">
        <v>15</v>
      </c>
      <c r="L2012" s="2">
        <v>33</v>
      </c>
      <c r="M2012" t="s">
        <v>3203</v>
      </c>
      <c r="N2012">
        <v>1</v>
      </c>
      <c r="O2012" t="s">
        <v>30</v>
      </c>
      <c r="P2012" t="e">
        <v>#VALUE!</v>
      </c>
      <c r="Q2012" t="e">
        <v>#VALUE!</v>
      </c>
      <c r="R2012" t="s">
        <v>3201</v>
      </c>
      <c r="S2012" t="s">
        <v>13</v>
      </c>
    </row>
    <row r="2013" spans="1:19" x14ac:dyDescent="0.3">
      <c r="A2013" t="s">
        <v>1475</v>
      </c>
      <c r="B2013" t="s">
        <v>2719</v>
      </c>
      <c r="C2013" t="s">
        <v>2318</v>
      </c>
      <c r="D2013" t="s">
        <v>3189</v>
      </c>
      <c r="E2013" t="s">
        <v>9</v>
      </c>
      <c r="F2013" s="2">
        <v>24</v>
      </c>
      <c r="G2013" t="s">
        <v>3206</v>
      </c>
      <c r="H2013" t="s">
        <v>70</v>
      </c>
      <c r="I2013" t="s">
        <v>11</v>
      </c>
      <c r="J2013" t="s">
        <v>3198</v>
      </c>
      <c r="K2013" t="s">
        <v>15</v>
      </c>
      <c r="L2013" s="2">
        <v>33</v>
      </c>
      <c r="M2013" t="s">
        <v>3203</v>
      </c>
      <c r="N2013">
        <v>1</v>
      </c>
      <c r="O2013" t="s">
        <v>30</v>
      </c>
      <c r="P2013" t="e">
        <v>#VALUE!</v>
      </c>
      <c r="Q2013" t="e">
        <v>#VALUE!</v>
      </c>
      <c r="R2013" t="s">
        <v>3201</v>
      </c>
      <c r="S2013" t="s">
        <v>13</v>
      </c>
    </row>
    <row r="2014" spans="1:19" x14ac:dyDescent="0.3">
      <c r="A2014" t="s">
        <v>1476</v>
      </c>
      <c r="B2014" t="s">
        <v>1596</v>
      </c>
      <c r="C2014" t="s">
        <v>2760</v>
      </c>
      <c r="D2014" t="s">
        <v>3189</v>
      </c>
      <c r="E2014" t="s">
        <v>9</v>
      </c>
      <c r="F2014" s="2">
        <v>26</v>
      </c>
      <c r="G2014" t="s">
        <v>3206</v>
      </c>
      <c r="H2014" t="s">
        <v>69</v>
      </c>
      <c r="I2014" t="s">
        <v>11</v>
      </c>
      <c r="J2014" t="s">
        <v>3198</v>
      </c>
      <c r="K2014" t="s">
        <v>15</v>
      </c>
      <c r="L2014" s="2">
        <v>33</v>
      </c>
      <c r="M2014" t="s">
        <v>3203</v>
      </c>
      <c r="N2014">
        <v>1</v>
      </c>
      <c r="O2014" t="s">
        <v>30</v>
      </c>
      <c r="P2014" t="e">
        <v>#VALUE!</v>
      </c>
      <c r="Q2014" t="e">
        <v>#VALUE!</v>
      </c>
      <c r="R2014" t="s">
        <v>3201</v>
      </c>
      <c r="S2014" t="s">
        <v>13</v>
      </c>
    </row>
    <row r="2015" spans="1:19" x14ac:dyDescent="0.3">
      <c r="A2015" t="s">
        <v>1476</v>
      </c>
      <c r="B2015" t="s">
        <v>1596</v>
      </c>
      <c r="C2015" t="s">
        <v>2884</v>
      </c>
      <c r="D2015" t="s">
        <v>3189</v>
      </c>
      <c r="E2015" t="s">
        <v>9</v>
      </c>
      <c r="F2015" s="2">
        <v>22</v>
      </c>
      <c r="G2015" t="s">
        <v>3206</v>
      </c>
      <c r="H2015" t="s">
        <v>51</v>
      </c>
      <c r="I2015" t="s">
        <v>11</v>
      </c>
      <c r="J2015" t="s">
        <v>3198</v>
      </c>
      <c r="K2015" t="s">
        <v>15</v>
      </c>
      <c r="L2015" s="2">
        <v>33</v>
      </c>
      <c r="M2015" t="s">
        <v>3203</v>
      </c>
      <c r="N2015">
        <v>1</v>
      </c>
      <c r="O2015" t="s">
        <v>30</v>
      </c>
      <c r="P2015" t="e">
        <v>#VALUE!</v>
      </c>
      <c r="Q2015" t="e">
        <v>#VALUE!</v>
      </c>
      <c r="R2015" t="s">
        <v>3201</v>
      </c>
      <c r="S2015" t="s">
        <v>13</v>
      </c>
    </row>
    <row r="2016" spans="1:19" x14ac:dyDescent="0.3">
      <c r="A2016" t="s">
        <v>1476</v>
      </c>
      <c r="B2016" t="s">
        <v>1596</v>
      </c>
      <c r="C2016" t="s">
        <v>2882</v>
      </c>
      <c r="D2016" t="s">
        <v>3189</v>
      </c>
      <c r="E2016" t="s">
        <v>9</v>
      </c>
      <c r="F2016" s="2">
        <v>23</v>
      </c>
      <c r="G2016" t="s">
        <v>3206</v>
      </c>
      <c r="H2016" t="s">
        <v>51</v>
      </c>
      <c r="I2016" t="s">
        <v>11</v>
      </c>
      <c r="J2016" t="s">
        <v>3198</v>
      </c>
      <c r="K2016" t="s">
        <v>15</v>
      </c>
      <c r="L2016" s="2">
        <v>33</v>
      </c>
      <c r="M2016" t="s">
        <v>3203</v>
      </c>
      <c r="N2016">
        <v>1</v>
      </c>
      <c r="O2016" t="s">
        <v>30</v>
      </c>
      <c r="P2016" t="e">
        <v>#VALUE!</v>
      </c>
      <c r="Q2016" t="e">
        <v>#VALUE!</v>
      </c>
      <c r="R2016" t="s">
        <v>3201</v>
      </c>
      <c r="S2016" t="s">
        <v>13</v>
      </c>
    </row>
    <row r="2017" spans="1:19" x14ac:dyDescent="0.3">
      <c r="A2017" t="s">
        <v>1476</v>
      </c>
      <c r="B2017" t="s">
        <v>1596</v>
      </c>
      <c r="C2017" t="s">
        <v>3088</v>
      </c>
      <c r="D2017" t="s">
        <v>3189</v>
      </c>
      <c r="E2017" t="s">
        <v>9</v>
      </c>
      <c r="F2017" s="2">
        <v>23</v>
      </c>
      <c r="G2017" t="s">
        <v>3206</v>
      </c>
      <c r="H2017" t="s">
        <v>51</v>
      </c>
      <c r="I2017" t="s">
        <v>11</v>
      </c>
      <c r="J2017" t="s">
        <v>3198</v>
      </c>
      <c r="K2017" t="s">
        <v>15</v>
      </c>
      <c r="L2017" s="2">
        <v>33</v>
      </c>
      <c r="M2017" t="s">
        <v>3203</v>
      </c>
      <c r="N2017">
        <v>1</v>
      </c>
      <c r="O2017" t="s">
        <v>30</v>
      </c>
      <c r="P2017" t="e">
        <v>#VALUE!</v>
      </c>
      <c r="Q2017" t="e">
        <v>#VALUE!</v>
      </c>
      <c r="R2017" t="s">
        <v>3201</v>
      </c>
      <c r="S2017" t="s">
        <v>13</v>
      </c>
    </row>
    <row r="2018" spans="1:19" x14ac:dyDescent="0.3">
      <c r="A2018" t="s">
        <v>1477</v>
      </c>
      <c r="B2018" t="s">
        <v>1596</v>
      </c>
      <c r="C2018" t="s">
        <v>2538</v>
      </c>
      <c r="D2018" t="s">
        <v>3189</v>
      </c>
      <c r="E2018" t="s">
        <v>9</v>
      </c>
      <c r="F2018" s="2">
        <v>23</v>
      </c>
      <c r="G2018" t="s">
        <v>3206</v>
      </c>
      <c r="H2018" t="s">
        <v>69</v>
      </c>
      <c r="I2018" t="s">
        <v>11</v>
      </c>
      <c r="J2018" t="s">
        <v>3198</v>
      </c>
      <c r="K2018" t="s">
        <v>15</v>
      </c>
      <c r="L2018" s="2">
        <v>33</v>
      </c>
      <c r="M2018" t="s">
        <v>3203</v>
      </c>
      <c r="N2018">
        <v>1</v>
      </c>
      <c r="O2018" t="s">
        <v>30</v>
      </c>
      <c r="P2018" t="e">
        <v>#VALUE!</v>
      </c>
      <c r="Q2018" t="e">
        <v>#VALUE!</v>
      </c>
      <c r="R2018" t="s">
        <v>3205</v>
      </c>
      <c r="S2018" t="s">
        <v>16</v>
      </c>
    </row>
    <row r="2019" spans="1:19" x14ac:dyDescent="0.3">
      <c r="A2019" t="s">
        <v>804</v>
      </c>
      <c r="B2019" t="s">
        <v>1596</v>
      </c>
      <c r="C2019" t="s">
        <v>1695</v>
      </c>
      <c r="D2019" t="s">
        <v>3189</v>
      </c>
      <c r="E2019" t="s">
        <v>9</v>
      </c>
      <c r="F2019" s="2">
        <v>31</v>
      </c>
      <c r="G2019" t="s">
        <v>3206</v>
      </c>
      <c r="H2019" t="s">
        <v>71</v>
      </c>
      <c r="I2019" t="s">
        <v>11</v>
      </c>
      <c r="J2019" t="s">
        <v>3198</v>
      </c>
      <c r="K2019" t="s">
        <v>15</v>
      </c>
      <c r="L2019" s="2">
        <v>33</v>
      </c>
      <c r="M2019" t="s">
        <v>3203</v>
      </c>
      <c r="N2019">
        <v>1</v>
      </c>
      <c r="O2019" t="s">
        <v>30</v>
      </c>
      <c r="P2019" t="e">
        <v>#VALUE!</v>
      </c>
      <c r="Q2019" t="e">
        <v>#VALUE!</v>
      </c>
      <c r="R2019" t="s">
        <v>3201</v>
      </c>
      <c r="S2019" t="s">
        <v>13</v>
      </c>
    </row>
    <row r="2020" spans="1:19" x14ac:dyDescent="0.3">
      <c r="A2020" t="s">
        <v>1478</v>
      </c>
      <c r="B2020" t="s">
        <v>1596</v>
      </c>
      <c r="C2020" t="s">
        <v>3089</v>
      </c>
      <c r="D2020" t="s">
        <v>3189</v>
      </c>
      <c r="E2020" t="s">
        <v>9</v>
      </c>
      <c r="F2020" s="2">
        <v>33</v>
      </c>
      <c r="G2020" t="s">
        <v>3206</v>
      </c>
      <c r="H2020" t="s">
        <v>71</v>
      </c>
      <c r="I2020" t="s">
        <v>11</v>
      </c>
      <c r="J2020" t="s">
        <v>3198</v>
      </c>
      <c r="K2020" t="s">
        <v>15</v>
      </c>
      <c r="L2020" s="2">
        <v>33</v>
      </c>
      <c r="M2020" t="s">
        <v>3203</v>
      </c>
      <c r="N2020">
        <v>1</v>
      </c>
      <c r="O2020" t="s">
        <v>30</v>
      </c>
      <c r="P2020" t="e">
        <v>#VALUE!</v>
      </c>
      <c r="Q2020" t="e">
        <v>#VALUE!</v>
      </c>
      <c r="R2020" t="s">
        <v>3205</v>
      </c>
      <c r="S2020" t="s">
        <v>16</v>
      </c>
    </row>
    <row r="2021" spans="1:19" x14ac:dyDescent="0.3">
      <c r="A2021" t="s">
        <v>1479</v>
      </c>
      <c r="B2021" t="s">
        <v>2719</v>
      </c>
      <c r="C2021" t="s">
        <v>3090</v>
      </c>
      <c r="D2021" t="s">
        <v>3189</v>
      </c>
      <c r="E2021" t="s">
        <v>9</v>
      </c>
      <c r="F2021" s="2">
        <v>42</v>
      </c>
      <c r="G2021" t="s">
        <v>3197</v>
      </c>
      <c r="H2021" t="s">
        <v>70</v>
      </c>
      <c r="I2021" t="s">
        <v>11</v>
      </c>
      <c r="J2021" t="s">
        <v>3198</v>
      </c>
      <c r="K2021" t="s">
        <v>38</v>
      </c>
      <c r="L2021" s="2">
        <v>33</v>
      </c>
      <c r="M2021" t="s">
        <v>3203</v>
      </c>
      <c r="N2021">
        <v>1</v>
      </c>
      <c r="O2021" t="s">
        <v>30</v>
      </c>
      <c r="P2021" t="e">
        <v>#VALUE!</v>
      </c>
      <c r="Q2021" t="e">
        <v>#VALUE!</v>
      </c>
      <c r="R2021" t="s">
        <v>3201</v>
      </c>
      <c r="S2021" t="s">
        <v>13</v>
      </c>
    </row>
    <row r="2022" spans="1:19" x14ac:dyDescent="0.3">
      <c r="A2022" t="s">
        <v>1480</v>
      </c>
      <c r="B2022" t="s">
        <v>1596</v>
      </c>
      <c r="C2022" t="s">
        <v>2032</v>
      </c>
      <c r="D2022" t="s">
        <v>3189</v>
      </c>
      <c r="E2022" t="s">
        <v>9</v>
      </c>
      <c r="F2022" s="2">
        <v>41</v>
      </c>
      <c r="G2022" t="s">
        <v>3197</v>
      </c>
      <c r="H2022" t="s">
        <v>51</v>
      </c>
      <c r="I2022" t="s">
        <v>11</v>
      </c>
      <c r="J2022" t="s">
        <v>3198</v>
      </c>
      <c r="K2022" t="s">
        <v>29</v>
      </c>
      <c r="L2022" s="2">
        <v>33</v>
      </c>
      <c r="M2022" t="s">
        <v>3203</v>
      </c>
      <c r="N2022">
        <v>1</v>
      </c>
      <c r="O2022" t="s">
        <v>30</v>
      </c>
      <c r="P2022" t="e">
        <v>#VALUE!</v>
      </c>
      <c r="Q2022" t="e">
        <v>#VALUE!</v>
      </c>
      <c r="R2022" t="s">
        <v>3201</v>
      </c>
      <c r="S2022" t="s">
        <v>13</v>
      </c>
    </row>
    <row r="2023" spans="1:19" x14ac:dyDescent="0.3">
      <c r="A2023" t="s">
        <v>1480</v>
      </c>
      <c r="B2023" t="s">
        <v>1596</v>
      </c>
      <c r="C2023" t="s">
        <v>2428</v>
      </c>
      <c r="D2023" t="s">
        <v>3189</v>
      </c>
      <c r="E2023" t="s">
        <v>9</v>
      </c>
      <c r="F2023" s="2">
        <v>28</v>
      </c>
      <c r="G2023" t="s">
        <v>3206</v>
      </c>
      <c r="H2023" t="s">
        <v>51</v>
      </c>
      <c r="I2023" t="s">
        <v>11</v>
      </c>
      <c r="J2023" t="s">
        <v>3198</v>
      </c>
      <c r="K2023" t="s">
        <v>15</v>
      </c>
      <c r="L2023" s="2">
        <v>33</v>
      </c>
      <c r="M2023" t="s">
        <v>3203</v>
      </c>
      <c r="N2023">
        <v>1</v>
      </c>
      <c r="O2023" t="s">
        <v>30</v>
      </c>
      <c r="P2023" t="e">
        <v>#VALUE!</v>
      </c>
      <c r="Q2023" t="e">
        <v>#VALUE!</v>
      </c>
      <c r="R2023" t="s">
        <v>3205</v>
      </c>
      <c r="S2023" t="s">
        <v>16</v>
      </c>
    </row>
    <row r="2024" spans="1:19" x14ac:dyDescent="0.3">
      <c r="A2024" t="s">
        <v>1480</v>
      </c>
      <c r="B2024" t="s">
        <v>1596</v>
      </c>
      <c r="C2024" t="s">
        <v>1610</v>
      </c>
      <c r="D2024" t="s">
        <v>3189</v>
      </c>
      <c r="E2024" t="s">
        <v>9</v>
      </c>
      <c r="F2024" s="2">
        <v>20</v>
      </c>
      <c r="G2024" t="s">
        <v>3206</v>
      </c>
      <c r="H2024" t="s">
        <v>69</v>
      </c>
      <c r="I2024" t="s">
        <v>11</v>
      </c>
      <c r="J2024" t="s">
        <v>3198</v>
      </c>
      <c r="K2024" t="s">
        <v>15</v>
      </c>
      <c r="L2024" s="2">
        <v>33</v>
      </c>
      <c r="M2024" t="s">
        <v>3203</v>
      </c>
      <c r="N2024">
        <v>1</v>
      </c>
      <c r="O2024" t="s">
        <v>30</v>
      </c>
      <c r="P2024" t="e">
        <v>#VALUE!</v>
      </c>
      <c r="Q2024" t="e">
        <v>#VALUE!</v>
      </c>
      <c r="R2024" t="s">
        <v>3201</v>
      </c>
      <c r="S2024" t="s">
        <v>13</v>
      </c>
    </row>
    <row r="2025" spans="1:19" x14ac:dyDescent="0.3">
      <c r="A2025" t="s">
        <v>1481</v>
      </c>
      <c r="B2025" t="s">
        <v>1596</v>
      </c>
      <c r="C2025" t="s">
        <v>2208</v>
      </c>
      <c r="D2025" t="s">
        <v>3189</v>
      </c>
      <c r="E2025" t="s">
        <v>9</v>
      </c>
      <c r="F2025" s="2">
        <v>55</v>
      </c>
      <c r="G2025" t="s">
        <v>3197</v>
      </c>
      <c r="H2025" t="s">
        <v>69</v>
      </c>
      <c r="I2025" t="s">
        <v>11</v>
      </c>
      <c r="J2025" t="s">
        <v>3198</v>
      </c>
      <c r="K2025" t="s">
        <v>15</v>
      </c>
      <c r="L2025" s="2">
        <v>33</v>
      </c>
      <c r="M2025" t="s">
        <v>3203</v>
      </c>
      <c r="N2025">
        <v>1</v>
      </c>
      <c r="O2025" t="s">
        <v>30</v>
      </c>
      <c r="P2025" t="e">
        <v>#VALUE!</v>
      </c>
      <c r="Q2025" t="e">
        <v>#VALUE!</v>
      </c>
      <c r="R2025" t="s">
        <v>3201</v>
      </c>
      <c r="S2025" t="s">
        <v>13</v>
      </c>
    </row>
    <row r="2026" spans="1:19" x14ac:dyDescent="0.3">
      <c r="A2026" t="s">
        <v>1482</v>
      </c>
      <c r="B2026" t="s">
        <v>1596</v>
      </c>
      <c r="C2026" t="s">
        <v>3091</v>
      </c>
      <c r="D2026" t="s">
        <v>3189</v>
      </c>
      <c r="E2026" t="s">
        <v>9</v>
      </c>
      <c r="F2026" s="2">
        <v>25</v>
      </c>
      <c r="G2026" t="s">
        <v>3206</v>
      </c>
      <c r="H2026" t="s">
        <v>69</v>
      </c>
      <c r="I2026" t="s">
        <v>11</v>
      </c>
      <c r="J2026" t="s">
        <v>3198</v>
      </c>
      <c r="K2026" t="s">
        <v>15</v>
      </c>
      <c r="L2026" s="2">
        <v>33</v>
      </c>
      <c r="M2026" t="s">
        <v>3203</v>
      </c>
      <c r="N2026">
        <v>1</v>
      </c>
      <c r="O2026" t="s">
        <v>30</v>
      </c>
      <c r="P2026" t="e">
        <v>#VALUE!</v>
      </c>
      <c r="Q2026" t="e">
        <v>#VALUE!</v>
      </c>
      <c r="R2026" t="s">
        <v>3201</v>
      </c>
      <c r="S2026" t="s">
        <v>13</v>
      </c>
    </row>
    <row r="2027" spans="1:19" x14ac:dyDescent="0.3">
      <c r="A2027" t="s">
        <v>1483</v>
      </c>
      <c r="B2027" t="s">
        <v>1596</v>
      </c>
      <c r="C2027" t="s">
        <v>3092</v>
      </c>
      <c r="D2027" t="s">
        <v>3189</v>
      </c>
      <c r="E2027" t="s">
        <v>9</v>
      </c>
      <c r="F2027" s="2">
        <v>24</v>
      </c>
      <c r="G2027" t="s">
        <v>3206</v>
      </c>
      <c r="H2027" t="s">
        <v>51</v>
      </c>
      <c r="I2027" t="s">
        <v>11</v>
      </c>
      <c r="J2027" t="s">
        <v>3198</v>
      </c>
      <c r="K2027" t="s">
        <v>15</v>
      </c>
      <c r="L2027" s="2">
        <v>33</v>
      </c>
      <c r="M2027" t="s">
        <v>3203</v>
      </c>
      <c r="N2027">
        <v>1</v>
      </c>
      <c r="O2027" t="s">
        <v>30</v>
      </c>
      <c r="P2027" t="e">
        <v>#VALUE!</v>
      </c>
      <c r="Q2027" t="e">
        <v>#VALUE!</v>
      </c>
      <c r="R2027" t="s">
        <v>3205</v>
      </c>
      <c r="S2027" t="s">
        <v>16</v>
      </c>
    </row>
    <row r="2028" spans="1:19" x14ac:dyDescent="0.3">
      <c r="A2028" t="s">
        <v>1483</v>
      </c>
      <c r="B2028" t="s">
        <v>1596</v>
      </c>
      <c r="C2028" t="s">
        <v>3093</v>
      </c>
      <c r="D2028" t="s">
        <v>3189</v>
      </c>
      <c r="E2028" t="s">
        <v>9</v>
      </c>
      <c r="F2028" s="2">
        <v>40</v>
      </c>
      <c r="G2028" t="s">
        <v>3197</v>
      </c>
      <c r="H2028" t="s">
        <v>51</v>
      </c>
      <c r="I2028" t="s">
        <v>11</v>
      </c>
      <c r="J2028" t="s">
        <v>3198</v>
      </c>
      <c r="K2028" t="s">
        <v>15</v>
      </c>
      <c r="L2028" s="2">
        <v>33</v>
      </c>
      <c r="M2028" t="s">
        <v>3203</v>
      </c>
      <c r="N2028">
        <v>1</v>
      </c>
      <c r="O2028" t="s">
        <v>30</v>
      </c>
      <c r="P2028" t="e">
        <v>#VALUE!</v>
      </c>
      <c r="Q2028" t="e">
        <v>#VALUE!</v>
      </c>
      <c r="R2028" t="s">
        <v>3201</v>
      </c>
      <c r="S2028" t="s">
        <v>13</v>
      </c>
    </row>
    <row r="2029" spans="1:19" x14ac:dyDescent="0.3">
      <c r="A2029" t="s">
        <v>1484</v>
      </c>
      <c r="B2029" t="s">
        <v>1596</v>
      </c>
      <c r="C2029" t="s">
        <v>1630</v>
      </c>
      <c r="D2029" t="s">
        <v>3189</v>
      </c>
      <c r="E2029" t="s">
        <v>9</v>
      </c>
      <c r="F2029" s="2">
        <v>31</v>
      </c>
      <c r="G2029" t="s">
        <v>3206</v>
      </c>
      <c r="H2029" t="s">
        <v>51</v>
      </c>
      <c r="I2029" t="s">
        <v>11</v>
      </c>
      <c r="J2029" t="s">
        <v>3198</v>
      </c>
      <c r="K2029" t="s">
        <v>15</v>
      </c>
      <c r="L2029" s="2">
        <v>33</v>
      </c>
      <c r="M2029" t="s">
        <v>3203</v>
      </c>
      <c r="N2029">
        <v>1</v>
      </c>
      <c r="O2029" t="s">
        <v>30</v>
      </c>
      <c r="P2029" t="e">
        <v>#VALUE!</v>
      </c>
      <c r="Q2029" t="e">
        <v>#VALUE!</v>
      </c>
      <c r="R2029" t="s">
        <v>3205</v>
      </c>
      <c r="S2029" t="s">
        <v>16</v>
      </c>
    </row>
    <row r="2030" spans="1:19" x14ac:dyDescent="0.3">
      <c r="A2030" t="s">
        <v>1485</v>
      </c>
      <c r="B2030" t="s">
        <v>2719</v>
      </c>
      <c r="C2030" t="s">
        <v>3094</v>
      </c>
      <c r="D2030" t="s">
        <v>3189</v>
      </c>
      <c r="E2030" t="s">
        <v>9</v>
      </c>
      <c r="F2030" s="2">
        <v>24</v>
      </c>
      <c r="G2030" t="s">
        <v>3206</v>
      </c>
      <c r="H2030" t="s">
        <v>70</v>
      </c>
      <c r="I2030" t="s">
        <v>11</v>
      </c>
      <c r="J2030" t="s">
        <v>3198</v>
      </c>
      <c r="K2030" t="s">
        <v>15</v>
      </c>
      <c r="L2030" s="2">
        <v>33</v>
      </c>
      <c r="M2030" t="s">
        <v>3203</v>
      </c>
      <c r="N2030">
        <v>1</v>
      </c>
      <c r="O2030" t="s">
        <v>30</v>
      </c>
      <c r="P2030" t="e">
        <v>#VALUE!</v>
      </c>
      <c r="Q2030" t="e">
        <v>#VALUE!</v>
      </c>
      <c r="R2030" t="s">
        <v>3201</v>
      </c>
      <c r="S2030" t="s">
        <v>13</v>
      </c>
    </row>
    <row r="2031" spans="1:19" x14ac:dyDescent="0.3">
      <c r="A2031" t="s">
        <v>813</v>
      </c>
      <c r="B2031" t="s">
        <v>1596</v>
      </c>
      <c r="C2031" t="s">
        <v>3095</v>
      </c>
      <c r="D2031" t="s">
        <v>3189</v>
      </c>
      <c r="E2031" t="s">
        <v>9</v>
      </c>
      <c r="F2031" s="2">
        <v>25</v>
      </c>
      <c r="G2031" t="s">
        <v>3206</v>
      </c>
      <c r="H2031" t="s">
        <v>69</v>
      </c>
      <c r="I2031" t="s">
        <v>11</v>
      </c>
      <c r="J2031" t="s">
        <v>3198</v>
      </c>
      <c r="K2031" t="s">
        <v>15</v>
      </c>
      <c r="L2031" s="2">
        <v>33</v>
      </c>
      <c r="M2031" t="s">
        <v>3203</v>
      </c>
      <c r="N2031">
        <v>1</v>
      </c>
      <c r="O2031" t="s">
        <v>30</v>
      </c>
      <c r="P2031" t="e">
        <v>#VALUE!</v>
      </c>
      <c r="Q2031" t="e">
        <v>#VALUE!</v>
      </c>
      <c r="R2031" t="s">
        <v>3205</v>
      </c>
      <c r="S2031" t="s">
        <v>16</v>
      </c>
    </row>
    <row r="2032" spans="1:19" x14ac:dyDescent="0.3">
      <c r="A2032" t="s">
        <v>1486</v>
      </c>
      <c r="B2032" t="s">
        <v>1596</v>
      </c>
      <c r="C2032" t="s">
        <v>1728</v>
      </c>
      <c r="D2032" t="s">
        <v>3189</v>
      </c>
      <c r="E2032" t="s">
        <v>9</v>
      </c>
      <c r="F2032" s="2">
        <v>42</v>
      </c>
      <c r="G2032" t="s">
        <v>3197</v>
      </c>
      <c r="H2032" t="s">
        <v>69</v>
      </c>
      <c r="I2032" t="s">
        <v>11</v>
      </c>
      <c r="J2032" t="s">
        <v>3198</v>
      </c>
      <c r="K2032" t="s">
        <v>15</v>
      </c>
      <c r="L2032" s="2">
        <v>33</v>
      </c>
      <c r="M2032" t="s">
        <v>3203</v>
      </c>
      <c r="N2032">
        <v>1</v>
      </c>
      <c r="O2032" t="s">
        <v>30</v>
      </c>
      <c r="P2032" t="e">
        <v>#VALUE!</v>
      </c>
      <c r="Q2032" t="e">
        <v>#VALUE!</v>
      </c>
      <c r="R2032" t="s">
        <v>3201</v>
      </c>
      <c r="S2032" t="s">
        <v>13</v>
      </c>
    </row>
    <row r="2033" spans="1:19" x14ac:dyDescent="0.3">
      <c r="A2033" t="s">
        <v>1487</v>
      </c>
      <c r="B2033" t="s">
        <v>1596</v>
      </c>
      <c r="C2033" t="s">
        <v>2194</v>
      </c>
      <c r="D2033" t="s">
        <v>3189</v>
      </c>
      <c r="E2033" t="s">
        <v>9</v>
      </c>
      <c r="F2033" s="2">
        <v>40</v>
      </c>
      <c r="G2033" t="s">
        <v>3197</v>
      </c>
      <c r="H2033" t="s">
        <v>69</v>
      </c>
      <c r="I2033" t="s">
        <v>28</v>
      </c>
      <c r="J2033" t="s">
        <v>3212</v>
      </c>
      <c r="K2033" t="s">
        <v>15</v>
      </c>
      <c r="L2033" s="2">
        <v>33</v>
      </c>
      <c r="M2033" t="s">
        <v>3203</v>
      </c>
      <c r="N2033">
        <v>1</v>
      </c>
      <c r="O2033" t="s">
        <v>30</v>
      </c>
      <c r="P2033" t="e">
        <v>#VALUE!</v>
      </c>
      <c r="Q2033" t="e">
        <v>#VALUE!</v>
      </c>
      <c r="R2033" t="s">
        <v>3201</v>
      </c>
      <c r="S2033" t="s">
        <v>13</v>
      </c>
    </row>
    <row r="2034" spans="1:19" x14ac:dyDescent="0.3">
      <c r="A2034" t="s">
        <v>1487</v>
      </c>
      <c r="B2034" t="s">
        <v>1596</v>
      </c>
      <c r="C2034" t="s">
        <v>1645</v>
      </c>
      <c r="D2034" t="s">
        <v>3189</v>
      </c>
      <c r="E2034" t="s">
        <v>9</v>
      </c>
      <c r="F2034" s="2">
        <v>32</v>
      </c>
      <c r="G2034" t="s">
        <v>3206</v>
      </c>
      <c r="H2034" t="s">
        <v>51</v>
      </c>
      <c r="I2034" t="s">
        <v>11</v>
      </c>
      <c r="J2034" t="s">
        <v>3198</v>
      </c>
      <c r="K2034" t="s">
        <v>15</v>
      </c>
      <c r="L2034" s="2">
        <v>33</v>
      </c>
      <c r="M2034" t="s">
        <v>3203</v>
      </c>
      <c r="N2034">
        <v>1</v>
      </c>
      <c r="O2034" t="s">
        <v>30</v>
      </c>
      <c r="P2034" t="e">
        <v>#VALUE!</v>
      </c>
      <c r="Q2034" t="e">
        <v>#VALUE!</v>
      </c>
      <c r="R2034" t="s">
        <v>3201</v>
      </c>
      <c r="S2034" t="s">
        <v>13</v>
      </c>
    </row>
    <row r="2035" spans="1:19" x14ac:dyDescent="0.3">
      <c r="A2035" t="s">
        <v>1488</v>
      </c>
      <c r="B2035" t="s">
        <v>1596</v>
      </c>
      <c r="C2035" t="s">
        <v>2511</v>
      </c>
      <c r="D2035" t="s">
        <v>3189</v>
      </c>
      <c r="E2035" t="s">
        <v>9</v>
      </c>
      <c r="F2035" s="2">
        <v>20</v>
      </c>
      <c r="G2035" t="s">
        <v>3206</v>
      </c>
      <c r="H2035" t="s">
        <v>51</v>
      </c>
      <c r="I2035" t="s">
        <v>11</v>
      </c>
      <c r="J2035" t="s">
        <v>3198</v>
      </c>
      <c r="K2035" t="s">
        <v>15</v>
      </c>
      <c r="L2035" s="2">
        <v>33</v>
      </c>
      <c r="M2035" t="s">
        <v>3203</v>
      </c>
      <c r="N2035">
        <v>1</v>
      </c>
      <c r="O2035" t="s">
        <v>30</v>
      </c>
      <c r="P2035" t="e">
        <v>#VALUE!</v>
      </c>
      <c r="Q2035" t="e">
        <v>#VALUE!</v>
      </c>
      <c r="R2035" t="s">
        <v>3205</v>
      </c>
      <c r="S2035" t="s">
        <v>16</v>
      </c>
    </row>
    <row r="2036" spans="1:19" x14ac:dyDescent="0.3">
      <c r="A2036" t="s">
        <v>1489</v>
      </c>
      <c r="B2036" t="s">
        <v>1596</v>
      </c>
      <c r="C2036" t="s">
        <v>3096</v>
      </c>
      <c r="D2036" t="s">
        <v>3189</v>
      </c>
      <c r="E2036" t="s">
        <v>9</v>
      </c>
      <c r="F2036" s="2">
        <v>32</v>
      </c>
      <c r="G2036" t="s">
        <v>3206</v>
      </c>
      <c r="H2036" t="s">
        <v>51</v>
      </c>
      <c r="I2036" t="s">
        <v>11</v>
      </c>
      <c r="J2036" t="s">
        <v>3198</v>
      </c>
      <c r="K2036" t="s">
        <v>15</v>
      </c>
      <c r="L2036" s="2">
        <v>33</v>
      </c>
      <c r="M2036" t="s">
        <v>3203</v>
      </c>
      <c r="N2036">
        <v>1</v>
      </c>
      <c r="O2036" t="s">
        <v>30</v>
      </c>
      <c r="P2036" t="e">
        <v>#VALUE!</v>
      </c>
      <c r="Q2036" t="e">
        <v>#VALUE!</v>
      </c>
      <c r="R2036" t="s">
        <v>3201</v>
      </c>
      <c r="S2036" t="s">
        <v>13</v>
      </c>
    </row>
    <row r="2037" spans="1:19" x14ac:dyDescent="0.3">
      <c r="A2037" t="s">
        <v>1490</v>
      </c>
      <c r="B2037" t="s">
        <v>1596</v>
      </c>
      <c r="C2037" t="s">
        <v>2868</v>
      </c>
      <c r="D2037" t="s">
        <v>3189</v>
      </c>
      <c r="E2037" t="s">
        <v>9</v>
      </c>
      <c r="F2037" s="2">
        <v>25</v>
      </c>
      <c r="G2037" t="s">
        <v>3206</v>
      </c>
      <c r="H2037" t="s">
        <v>51</v>
      </c>
      <c r="I2037" t="s">
        <v>11</v>
      </c>
      <c r="J2037" t="s">
        <v>3198</v>
      </c>
      <c r="K2037" t="s">
        <v>15</v>
      </c>
      <c r="L2037" s="2">
        <v>33</v>
      </c>
      <c r="M2037" t="s">
        <v>3203</v>
      </c>
      <c r="N2037">
        <v>1</v>
      </c>
      <c r="O2037" t="s">
        <v>30</v>
      </c>
      <c r="P2037" t="e">
        <v>#VALUE!</v>
      </c>
      <c r="Q2037" t="e">
        <v>#VALUE!</v>
      </c>
      <c r="R2037" t="s">
        <v>3205</v>
      </c>
      <c r="S2037" t="s">
        <v>16</v>
      </c>
    </row>
    <row r="2038" spans="1:19" x14ac:dyDescent="0.3">
      <c r="A2038" t="s">
        <v>1491</v>
      </c>
      <c r="B2038" t="s">
        <v>1596</v>
      </c>
      <c r="C2038" t="s">
        <v>2732</v>
      </c>
      <c r="D2038" t="s">
        <v>3189</v>
      </c>
      <c r="E2038" t="s">
        <v>9</v>
      </c>
      <c r="F2038" s="2">
        <v>19</v>
      </c>
      <c r="G2038" t="s">
        <v>3206</v>
      </c>
      <c r="H2038" t="s">
        <v>51</v>
      </c>
      <c r="I2038" t="s">
        <v>11</v>
      </c>
      <c r="J2038" t="s">
        <v>3198</v>
      </c>
      <c r="K2038" t="s">
        <v>15</v>
      </c>
      <c r="L2038" s="2">
        <v>33</v>
      </c>
      <c r="M2038" t="s">
        <v>3203</v>
      </c>
      <c r="N2038">
        <v>1</v>
      </c>
      <c r="O2038" t="s">
        <v>30</v>
      </c>
      <c r="P2038" t="e">
        <v>#VALUE!</v>
      </c>
      <c r="Q2038" t="e">
        <v>#VALUE!</v>
      </c>
      <c r="R2038" t="s">
        <v>3201</v>
      </c>
      <c r="S2038" t="s">
        <v>13</v>
      </c>
    </row>
    <row r="2039" spans="1:19" x14ac:dyDescent="0.3">
      <c r="A2039" t="s">
        <v>1492</v>
      </c>
      <c r="B2039" t="s">
        <v>1596</v>
      </c>
      <c r="C2039" t="s">
        <v>3097</v>
      </c>
      <c r="D2039" t="s">
        <v>3189</v>
      </c>
      <c r="E2039" t="s">
        <v>9</v>
      </c>
      <c r="F2039" s="2">
        <v>29</v>
      </c>
      <c r="G2039" t="s">
        <v>3206</v>
      </c>
      <c r="H2039" t="s">
        <v>69</v>
      </c>
      <c r="I2039" t="s">
        <v>28</v>
      </c>
      <c r="J2039" t="s">
        <v>3212</v>
      </c>
      <c r="K2039" t="s">
        <v>15</v>
      </c>
      <c r="L2039" s="2">
        <v>33</v>
      </c>
      <c r="M2039" t="s">
        <v>3203</v>
      </c>
      <c r="N2039">
        <v>1</v>
      </c>
      <c r="O2039" t="s">
        <v>30</v>
      </c>
      <c r="P2039" t="e">
        <v>#VALUE!</v>
      </c>
      <c r="Q2039" t="e">
        <v>#VALUE!</v>
      </c>
      <c r="R2039" t="s">
        <v>3201</v>
      </c>
      <c r="S2039" t="s">
        <v>13</v>
      </c>
    </row>
    <row r="2040" spans="1:19" x14ac:dyDescent="0.3">
      <c r="A2040" t="s">
        <v>827</v>
      </c>
      <c r="B2040" t="s">
        <v>1596</v>
      </c>
      <c r="C2040" t="s">
        <v>3098</v>
      </c>
      <c r="D2040" t="s">
        <v>3189</v>
      </c>
      <c r="E2040" t="s">
        <v>9</v>
      </c>
      <c r="F2040" s="2">
        <v>31</v>
      </c>
      <c r="G2040" t="s">
        <v>3206</v>
      </c>
      <c r="H2040" t="s">
        <v>69</v>
      </c>
      <c r="I2040" t="s">
        <v>11</v>
      </c>
      <c r="J2040" t="s">
        <v>3198</v>
      </c>
      <c r="K2040" t="s">
        <v>15</v>
      </c>
      <c r="L2040" s="2">
        <v>33</v>
      </c>
      <c r="M2040" t="s">
        <v>3203</v>
      </c>
      <c r="N2040">
        <v>1</v>
      </c>
      <c r="O2040" t="s">
        <v>30</v>
      </c>
      <c r="P2040" t="e">
        <v>#VALUE!</v>
      </c>
      <c r="Q2040" t="e">
        <v>#VALUE!</v>
      </c>
      <c r="R2040" t="s">
        <v>3205</v>
      </c>
      <c r="S2040" t="s">
        <v>16</v>
      </c>
    </row>
    <row r="2041" spans="1:19" x14ac:dyDescent="0.3">
      <c r="A2041" t="s">
        <v>827</v>
      </c>
      <c r="B2041" t="s">
        <v>1596</v>
      </c>
      <c r="C2041" t="s">
        <v>2525</v>
      </c>
      <c r="D2041" t="s">
        <v>3189</v>
      </c>
      <c r="E2041" t="s">
        <v>9</v>
      </c>
      <c r="F2041" s="2">
        <v>24</v>
      </c>
      <c r="G2041" t="s">
        <v>3206</v>
      </c>
      <c r="H2041" t="s">
        <v>69</v>
      </c>
      <c r="I2041" t="s">
        <v>11</v>
      </c>
      <c r="J2041" t="s">
        <v>3198</v>
      </c>
      <c r="K2041" t="s">
        <v>15</v>
      </c>
      <c r="L2041" s="2">
        <v>33</v>
      </c>
      <c r="M2041" t="s">
        <v>3203</v>
      </c>
      <c r="N2041">
        <v>1</v>
      </c>
      <c r="O2041" t="s">
        <v>30</v>
      </c>
      <c r="P2041" t="e">
        <v>#VALUE!</v>
      </c>
      <c r="Q2041" t="e">
        <v>#VALUE!</v>
      </c>
      <c r="R2041" t="s">
        <v>3201</v>
      </c>
      <c r="S2041" t="s">
        <v>13</v>
      </c>
    </row>
    <row r="2042" spans="1:19" x14ac:dyDescent="0.3">
      <c r="A2042" t="s">
        <v>827</v>
      </c>
      <c r="B2042" t="s">
        <v>1596</v>
      </c>
      <c r="C2042" t="s">
        <v>3099</v>
      </c>
      <c r="D2042" t="s">
        <v>3189</v>
      </c>
      <c r="E2042" t="s">
        <v>9</v>
      </c>
      <c r="F2042" s="2">
        <v>37</v>
      </c>
      <c r="G2042" t="s">
        <v>3197</v>
      </c>
      <c r="H2042" t="s">
        <v>69</v>
      </c>
      <c r="I2042" t="s">
        <v>11</v>
      </c>
      <c r="J2042" t="s">
        <v>3198</v>
      </c>
      <c r="K2042" t="s">
        <v>15</v>
      </c>
      <c r="L2042" s="2">
        <v>33</v>
      </c>
      <c r="M2042" t="s">
        <v>3203</v>
      </c>
      <c r="N2042">
        <v>1</v>
      </c>
      <c r="O2042" t="s">
        <v>30</v>
      </c>
      <c r="P2042" t="e">
        <v>#VALUE!</v>
      </c>
      <c r="Q2042" t="e">
        <v>#VALUE!</v>
      </c>
      <c r="R2042" t="s">
        <v>3201</v>
      </c>
      <c r="S2042" t="s">
        <v>13</v>
      </c>
    </row>
    <row r="2043" spans="1:19" x14ac:dyDescent="0.3">
      <c r="A2043" t="s">
        <v>1493</v>
      </c>
      <c r="B2043" t="s">
        <v>1749</v>
      </c>
      <c r="C2043" t="s">
        <v>2273</v>
      </c>
      <c r="D2043" t="s">
        <v>3189</v>
      </c>
      <c r="E2043" t="s">
        <v>9</v>
      </c>
      <c r="F2043" s="2">
        <v>37</v>
      </c>
      <c r="G2043" t="s">
        <v>3197</v>
      </c>
      <c r="H2043" t="s">
        <v>71</v>
      </c>
      <c r="I2043" t="s">
        <v>11</v>
      </c>
      <c r="J2043" t="s">
        <v>3198</v>
      </c>
      <c r="K2043" t="s">
        <v>29</v>
      </c>
      <c r="L2043" s="2">
        <v>33</v>
      </c>
      <c r="M2043" t="s">
        <v>3203</v>
      </c>
      <c r="N2043">
        <v>1</v>
      </c>
      <c r="O2043" t="s">
        <v>30</v>
      </c>
      <c r="P2043" t="e">
        <v>#VALUE!</v>
      </c>
      <c r="Q2043" t="e">
        <v>#VALUE!</v>
      </c>
      <c r="R2043" t="s">
        <v>3201</v>
      </c>
      <c r="S2043" t="s">
        <v>13</v>
      </c>
    </row>
    <row r="2044" spans="1:19" x14ac:dyDescent="0.3">
      <c r="A2044" t="s">
        <v>1494</v>
      </c>
      <c r="B2044" t="s">
        <v>1596</v>
      </c>
      <c r="C2044" t="s">
        <v>1619</v>
      </c>
      <c r="D2044" t="s">
        <v>3189</v>
      </c>
      <c r="E2044" t="s">
        <v>9</v>
      </c>
      <c r="F2044" s="2">
        <v>23</v>
      </c>
      <c r="G2044" t="s">
        <v>3206</v>
      </c>
      <c r="H2044" t="s">
        <v>69</v>
      </c>
      <c r="I2044" t="s">
        <v>11</v>
      </c>
      <c r="J2044" t="s">
        <v>3198</v>
      </c>
      <c r="K2044" t="s">
        <v>15</v>
      </c>
      <c r="L2044" s="2">
        <v>33</v>
      </c>
      <c r="M2044" t="s">
        <v>3203</v>
      </c>
      <c r="N2044">
        <v>1</v>
      </c>
      <c r="O2044" t="s">
        <v>30</v>
      </c>
      <c r="P2044" t="e">
        <v>#VALUE!</v>
      </c>
      <c r="Q2044" t="e">
        <v>#VALUE!</v>
      </c>
      <c r="R2044" t="s">
        <v>3201</v>
      </c>
      <c r="S2044" t="s">
        <v>13</v>
      </c>
    </row>
    <row r="2045" spans="1:19" x14ac:dyDescent="0.3">
      <c r="A2045" t="s">
        <v>1495</v>
      </c>
      <c r="B2045" t="s">
        <v>1596</v>
      </c>
      <c r="C2045" t="s">
        <v>1619</v>
      </c>
      <c r="D2045" t="s">
        <v>3189</v>
      </c>
      <c r="E2045" t="s">
        <v>9</v>
      </c>
      <c r="F2045" s="2">
        <v>23</v>
      </c>
      <c r="G2045" t="s">
        <v>3206</v>
      </c>
      <c r="H2045" t="s">
        <v>51</v>
      </c>
      <c r="I2045" t="s">
        <v>11</v>
      </c>
      <c r="J2045" t="s">
        <v>3198</v>
      </c>
      <c r="K2045" t="s">
        <v>15</v>
      </c>
      <c r="L2045" s="2">
        <v>33</v>
      </c>
      <c r="M2045" t="s">
        <v>3203</v>
      </c>
      <c r="N2045">
        <v>1</v>
      </c>
      <c r="O2045" t="s">
        <v>30</v>
      </c>
      <c r="P2045" t="e">
        <v>#VALUE!</v>
      </c>
      <c r="Q2045" t="e">
        <v>#VALUE!</v>
      </c>
      <c r="R2045" t="s">
        <v>3201</v>
      </c>
      <c r="S2045" t="s">
        <v>13</v>
      </c>
    </row>
    <row r="2046" spans="1:19" x14ac:dyDescent="0.3">
      <c r="A2046" t="s">
        <v>1496</v>
      </c>
      <c r="B2046" t="s">
        <v>1596</v>
      </c>
      <c r="C2046" t="s">
        <v>1700</v>
      </c>
      <c r="D2046" t="s">
        <v>3189</v>
      </c>
      <c r="E2046" t="s">
        <v>9</v>
      </c>
      <c r="F2046" s="2">
        <v>41</v>
      </c>
      <c r="G2046" t="s">
        <v>3197</v>
      </c>
      <c r="H2046" t="s">
        <v>69</v>
      </c>
      <c r="I2046" t="s">
        <v>28</v>
      </c>
      <c r="J2046" t="s">
        <v>3212</v>
      </c>
      <c r="K2046" t="s">
        <v>15</v>
      </c>
      <c r="L2046" s="2">
        <v>33</v>
      </c>
      <c r="M2046" t="s">
        <v>3203</v>
      </c>
      <c r="N2046">
        <v>1</v>
      </c>
      <c r="O2046" t="s">
        <v>30</v>
      </c>
      <c r="P2046" t="e">
        <v>#VALUE!</v>
      </c>
      <c r="Q2046" t="e">
        <v>#VALUE!</v>
      </c>
      <c r="R2046" t="s">
        <v>3201</v>
      </c>
      <c r="S2046" t="s">
        <v>13</v>
      </c>
    </row>
    <row r="2047" spans="1:19" x14ac:dyDescent="0.3">
      <c r="A2047" t="s">
        <v>1497</v>
      </c>
      <c r="B2047" t="s">
        <v>1596</v>
      </c>
      <c r="C2047" t="s">
        <v>2925</v>
      </c>
      <c r="D2047" t="s">
        <v>3189</v>
      </c>
      <c r="E2047" t="s">
        <v>9</v>
      </c>
      <c r="F2047" s="2">
        <v>33</v>
      </c>
      <c r="G2047" t="s">
        <v>3206</v>
      </c>
      <c r="H2047" t="s">
        <v>69</v>
      </c>
      <c r="I2047" t="s">
        <v>11</v>
      </c>
      <c r="J2047" t="s">
        <v>3198</v>
      </c>
      <c r="K2047" t="s">
        <v>15</v>
      </c>
      <c r="L2047" s="2">
        <v>33</v>
      </c>
      <c r="M2047" t="s">
        <v>3203</v>
      </c>
      <c r="N2047">
        <v>1</v>
      </c>
      <c r="O2047" t="s">
        <v>30</v>
      </c>
      <c r="P2047" t="e">
        <v>#VALUE!</v>
      </c>
      <c r="Q2047" t="e">
        <v>#VALUE!</v>
      </c>
      <c r="R2047" t="s">
        <v>3201</v>
      </c>
      <c r="S2047" t="s">
        <v>13</v>
      </c>
    </row>
    <row r="2048" spans="1:19" x14ac:dyDescent="0.3">
      <c r="A2048" t="s">
        <v>1497</v>
      </c>
      <c r="B2048" t="s">
        <v>1596</v>
      </c>
      <c r="C2048" t="s">
        <v>3100</v>
      </c>
      <c r="D2048" t="s">
        <v>3189</v>
      </c>
      <c r="E2048" t="s">
        <v>9</v>
      </c>
      <c r="F2048" s="2">
        <v>36</v>
      </c>
      <c r="G2048" t="s">
        <v>3197</v>
      </c>
      <c r="H2048" t="s">
        <v>69</v>
      </c>
      <c r="I2048" t="s">
        <v>28</v>
      </c>
      <c r="J2048" t="s">
        <v>3212</v>
      </c>
      <c r="K2048" t="s">
        <v>15</v>
      </c>
      <c r="L2048" s="2">
        <v>33</v>
      </c>
      <c r="M2048" t="s">
        <v>3203</v>
      </c>
      <c r="N2048">
        <v>1</v>
      </c>
      <c r="O2048" t="s">
        <v>30</v>
      </c>
      <c r="P2048" t="e">
        <v>#VALUE!</v>
      </c>
      <c r="Q2048" t="e">
        <v>#VALUE!</v>
      </c>
      <c r="R2048" t="s">
        <v>3201</v>
      </c>
      <c r="S2048" t="s">
        <v>13</v>
      </c>
    </row>
    <row r="2049" spans="1:19" x14ac:dyDescent="0.3">
      <c r="A2049" t="s">
        <v>1498</v>
      </c>
      <c r="B2049" t="s">
        <v>1602</v>
      </c>
      <c r="C2049" t="s">
        <v>1734</v>
      </c>
      <c r="D2049" t="s">
        <v>3190</v>
      </c>
      <c r="E2049" t="s">
        <v>14</v>
      </c>
      <c r="F2049" s="2">
        <v>28</v>
      </c>
      <c r="G2049" t="s">
        <v>3206</v>
      </c>
      <c r="H2049" t="s">
        <v>69</v>
      </c>
      <c r="I2049" t="s">
        <v>11</v>
      </c>
      <c r="J2049" t="s">
        <v>3198</v>
      </c>
      <c r="K2049" t="s">
        <v>29</v>
      </c>
      <c r="L2049" s="2">
        <v>33</v>
      </c>
      <c r="M2049" t="s">
        <v>3203</v>
      </c>
      <c r="N2049">
        <v>1</v>
      </c>
      <c r="O2049" t="s">
        <v>30</v>
      </c>
      <c r="P2049" t="e">
        <v>#VALUE!</v>
      </c>
      <c r="Q2049" t="e">
        <v>#VALUE!</v>
      </c>
      <c r="R2049" t="s">
        <v>3205</v>
      </c>
      <c r="S2049" t="s">
        <v>16</v>
      </c>
    </row>
    <row r="2050" spans="1:19" x14ac:dyDescent="0.3">
      <c r="A2050" t="s">
        <v>1498</v>
      </c>
      <c r="B2050" t="s">
        <v>1596</v>
      </c>
      <c r="C2050" t="s">
        <v>3101</v>
      </c>
      <c r="D2050" t="s">
        <v>3189</v>
      </c>
      <c r="E2050" t="s">
        <v>9</v>
      </c>
      <c r="F2050" s="2">
        <v>31</v>
      </c>
      <c r="G2050" t="s">
        <v>3206</v>
      </c>
      <c r="H2050" t="s">
        <v>51</v>
      </c>
      <c r="I2050" t="s">
        <v>28</v>
      </c>
      <c r="J2050" t="s">
        <v>3212</v>
      </c>
      <c r="K2050" t="s">
        <v>15</v>
      </c>
      <c r="L2050" s="2">
        <v>33</v>
      </c>
      <c r="M2050" t="s">
        <v>3203</v>
      </c>
      <c r="N2050">
        <v>1</v>
      </c>
      <c r="O2050" t="s">
        <v>30</v>
      </c>
      <c r="P2050" t="e">
        <v>#VALUE!</v>
      </c>
      <c r="Q2050" t="e">
        <v>#VALUE!</v>
      </c>
      <c r="R2050" t="s">
        <v>3201</v>
      </c>
      <c r="S2050" t="s">
        <v>13</v>
      </c>
    </row>
    <row r="2051" spans="1:19" x14ac:dyDescent="0.3">
      <c r="A2051" t="s">
        <v>1499</v>
      </c>
      <c r="B2051" t="s">
        <v>1600</v>
      </c>
      <c r="C2051" t="s">
        <v>3102</v>
      </c>
      <c r="D2051" t="s">
        <v>3190</v>
      </c>
      <c r="E2051" t="s">
        <v>14</v>
      </c>
      <c r="F2051" s="2">
        <v>30</v>
      </c>
      <c r="G2051" t="s">
        <v>3206</v>
      </c>
      <c r="H2051" t="s">
        <v>69</v>
      </c>
      <c r="I2051" t="s">
        <v>11</v>
      </c>
      <c r="J2051" t="s">
        <v>3198</v>
      </c>
      <c r="K2051" t="s">
        <v>15</v>
      </c>
      <c r="L2051" s="2">
        <v>33</v>
      </c>
      <c r="M2051" t="s">
        <v>3203</v>
      </c>
      <c r="N2051">
        <v>1</v>
      </c>
      <c r="O2051" t="s">
        <v>30</v>
      </c>
      <c r="P2051" t="e">
        <v>#VALUE!</v>
      </c>
      <c r="Q2051" t="e">
        <v>#VALUE!</v>
      </c>
      <c r="R2051" t="s">
        <v>3205</v>
      </c>
      <c r="S2051" t="s">
        <v>16</v>
      </c>
    </row>
    <row r="2052" spans="1:19" x14ac:dyDescent="0.3">
      <c r="A2052" t="s">
        <v>1500</v>
      </c>
      <c r="B2052" t="s">
        <v>1596</v>
      </c>
      <c r="C2052" t="s">
        <v>1619</v>
      </c>
      <c r="D2052" t="s">
        <v>3189</v>
      </c>
      <c r="E2052" t="s">
        <v>9</v>
      </c>
      <c r="F2052" s="2">
        <v>40</v>
      </c>
      <c r="G2052" t="s">
        <v>3197</v>
      </c>
      <c r="H2052" t="s">
        <v>51</v>
      </c>
      <c r="I2052" t="s">
        <v>11</v>
      </c>
      <c r="J2052" t="s">
        <v>3198</v>
      </c>
      <c r="K2052" t="s">
        <v>15</v>
      </c>
      <c r="L2052" s="2">
        <v>33</v>
      </c>
      <c r="M2052" t="s">
        <v>3203</v>
      </c>
      <c r="N2052">
        <v>1</v>
      </c>
      <c r="O2052" t="s">
        <v>30</v>
      </c>
      <c r="P2052" t="e">
        <v>#VALUE!</v>
      </c>
      <c r="Q2052" t="e">
        <v>#VALUE!</v>
      </c>
      <c r="R2052" t="s">
        <v>3201</v>
      </c>
      <c r="S2052" t="s">
        <v>13</v>
      </c>
    </row>
    <row r="2053" spans="1:19" x14ac:dyDescent="0.3">
      <c r="A2053" t="s">
        <v>1501</v>
      </c>
      <c r="B2053" t="s">
        <v>1596</v>
      </c>
      <c r="C2053" t="s">
        <v>1610</v>
      </c>
      <c r="D2053" t="s">
        <v>3189</v>
      </c>
      <c r="E2053" t="s">
        <v>9</v>
      </c>
      <c r="F2053" s="2">
        <v>29</v>
      </c>
      <c r="G2053" t="s">
        <v>3206</v>
      </c>
      <c r="H2053" t="s">
        <v>69</v>
      </c>
      <c r="I2053" t="s">
        <v>28</v>
      </c>
      <c r="J2053" t="s">
        <v>3212</v>
      </c>
      <c r="K2053" t="s">
        <v>43</v>
      </c>
      <c r="L2053" s="2">
        <v>33</v>
      </c>
      <c r="M2053" t="s">
        <v>3203</v>
      </c>
      <c r="N2053">
        <v>1</v>
      </c>
      <c r="O2053" t="s">
        <v>30</v>
      </c>
      <c r="P2053" t="e">
        <v>#VALUE!</v>
      </c>
      <c r="Q2053" t="e">
        <v>#VALUE!</v>
      </c>
      <c r="R2053" t="s">
        <v>3201</v>
      </c>
      <c r="S2053" t="s">
        <v>13</v>
      </c>
    </row>
    <row r="2054" spans="1:19" x14ac:dyDescent="0.3">
      <c r="A2054" t="s">
        <v>845</v>
      </c>
      <c r="B2054" t="s">
        <v>1874</v>
      </c>
      <c r="C2054" t="s">
        <v>2692</v>
      </c>
      <c r="D2054" t="s">
        <v>3189</v>
      </c>
      <c r="E2054" t="s">
        <v>9</v>
      </c>
      <c r="F2054" s="2">
        <v>62</v>
      </c>
      <c r="G2054" t="s">
        <v>3210</v>
      </c>
      <c r="H2054" t="s">
        <v>71</v>
      </c>
      <c r="I2054" t="s">
        <v>11</v>
      </c>
      <c r="J2054" t="s">
        <v>3198</v>
      </c>
      <c r="K2054" t="s">
        <v>15</v>
      </c>
      <c r="L2054" s="2">
        <v>33</v>
      </c>
      <c r="M2054" t="s">
        <v>3203</v>
      </c>
      <c r="N2054">
        <v>1</v>
      </c>
      <c r="O2054" t="s">
        <v>30</v>
      </c>
      <c r="P2054" t="e">
        <v>#VALUE!</v>
      </c>
      <c r="Q2054" t="e">
        <v>#VALUE!</v>
      </c>
      <c r="R2054" t="s">
        <v>3201</v>
      </c>
      <c r="S2054" t="s">
        <v>13</v>
      </c>
    </row>
    <row r="2055" spans="1:19" x14ac:dyDescent="0.3">
      <c r="A2055" t="s">
        <v>1502</v>
      </c>
      <c r="B2055" t="s">
        <v>1596</v>
      </c>
      <c r="C2055" t="s">
        <v>3103</v>
      </c>
      <c r="D2055" t="s">
        <v>3189</v>
      </c>
      <c r="E2055" t="s">
        <v>9</v>
      </c>
      <c r="F2055" s="2">
        <v>22</v>
      </c>
      <c r="G2055" t="s">
        <v>3206</v>
      </c>
      <c r="H2055" t="s">
        <v>51</v>
      </c>
      <c r="I2055" t="s">
        <v>11</v>
      </c>
      <c r="J2055" t="s">
        <v>3198</v>
      </c>
      <c r="K2055" t="s">
        <v>15</v>
      </c>
      <c r="L2055" s="2">
        <v>33</v>
      </c>
      <c r="M2055" t="s">
        <v>3203</v>
      </c>
      <c r="N2055">
        <v>1</v>
      </c>
      <c r="O2055" t="s">
        <v>30</v>
      </c>
      <c r="P2055" t="e">
        <v>#VALUE!</v>
      </c>
      <c r="Q2055" t="e">
        <v>#VALUE!</v>
      </c>
      <c r="R2055" t="s">
        <v>3201</v>
      </c>
      <c r="S2055" t="s">
        <v>13</v>
      </c>
    </row>
    <row r="2056" spans="1:19" x14ac:dyDescent="0.3">
      <c r="A2056" t="s">
        <v>845</v>
      </c>
      <c r="B2056" t="s">
        <v>1602</v>
      </c>
      <c r="C2056" t="s">
        <v>3104</v>
      </c>
      <c r="D2056" t="s">
        <v>3190</v>
      </c>
      <c r="E2056" t="s">
        <v>14</v>
      </c>
      <c r="F2056" s="2">
        <v>45</v>
      </c>
      <c r="G2056" t="s">
        <v>3197</v>
      </c>
      <c r="H2056" t="s">
        <v>69</v>
      </c>
      <c r="I2056" t="s">
        <v>11</v>
      </c>
      <c r="J2056" t="s">
        <v>3198</v>
      </c>
      <c r="K2056" t="s">
        <v>15</v>
      </c>
      <c r="L2056" s="2">
        <v>33</v>
      </c>
      <c r="M2056" t="s">
        <v>3203</v>
      </c>
      <c r="N2056">
        <v>1</v>
      </c>
      <c r="O2056" t="s">
        <v>30</v>
      </c>
      <c r="P2056" t="e">
        <v>#VALUE!</v>
      </c>
      <c r="Q2056" t="e">
        <v>#VALUE!</v>
      </c>
      <c r="R2056" t="s">
        <v>3205</v>
      </c>
      <c r="S2056" t="s">
        <v>16</v>
      </c>
    </row>
    <row r="2057" spans="1:19" x14ac:dyDescent="0.3">
      <c r="A2057" t="s">
        <v>845</v>
      </c>
      <c r="B2057" t="s">
        <v>1596</v>
      </c>
      <c r="C2057" t="s">
        <v>3105</v>
      </c>
      <c r="D2057" t="s">
        <v>3189</v>
      </c>
      <c r="E2057" t="s">
        <v>9</v>
      </c>
      <c r="F2057" s="2">
        <v>40</v>
      </c>
      <c r="G2057" t="s">
        <v>3197</v>
      </c>
      <c r="H2057" t="s">
        <v>69</v>
      </c>
      <c r="I2057" t="s">
        <v>11</v>
      </c>
      <c r="J2057" t="s">
        <v>3198</v>
      </c>
      <c r="K2057" t="s">
        <v>15</v>
      </c>
      <c r="L2057" s="2">
        <v>33</v>
      </c>
      <c r="M2057" t="s">
        <v>3203</v>
      </c>
      <c r="N2057">
        <v>1</v>
      </c>
      <c r="O2057" t="s">
        <v>30</v>
      </c>
      <c r="P2057" t="e">
        <v>#VALUE!</v>
      </c>
      <c r="Q2057" t="e">
        <v>#VALUE!</v>
      </c>
      <c r="R2057" t="s">
        <v>3201</v>
      </c>
      <c r="S2057" t="s">
        <v>13</v>
      </c>
    </row>
    <row r="2058" spans="1:19" x14ac:dyDescent="0.3">
      <c r="A2058" t="s">
        <v>845</v>
      </c>
      <c r="B2058" t="s">
        <v>1596</v>
      </c>
      <c r="C2058" t="s">
        <v>3106</v>
      </c>
      <c r="D2058" t="s">
        <v>3189</v>
      </c>
      <c r="E2058" t="s">
        <v>9</v>
      </c>
      <c r="F2058" s="2">
        <v>38</v>
      </c>
      <c r="G2058" t="s">
        <v>3197</v>
      </c>
      <c r="H2058" t="s">
        <v>69</v>
      </c>
      <c r="I2058" t="s">
        <v>11</v>
      </c>
      <c r="J2058" t="s">
        <v>3198</v>
      </c>
      <c r="K2058" t="s">
        <v>15</v>
      </c>
      <c r="L2058" s="2">
        <v>33</v>
      </c>
      <c r="M2058" t="s">
        <v>3203</v>
      </c>
      <c r="N2058">
        <v>1</v>
      </c>
      <c r="O2058" t="s">
        <v>30</v>
      </c>
      <c r="P2058" t="e">
        <v>#VALUE!</v>
      </c>
      <c r="Q2058" t="e">
        <v>#VALUE!</v>
      </c>
      <c r="R2058" t="s">
        <v>3201</v>
      </c>
      <c r="S2058" t="s">
        <v>13</v>
      </c>
    </row>
    <row r="2059" spans="1:19" x14ac:dyDescent="0.3">
      <c r="A2059" t="s">
        <v>845</v>
      </c>
      <c r="B2059" t="s">
        <v>1596</v>
      </c>
      <c r="C2059" t="s">
        <v>3107</v>
      </c>
      <c r="D2059" t="s">
        <v>3189</v>
      </c>
      <c r="E2059" t="s">
        <v>9</v>
      </c>
      <c r="F2059" s="2">
        <v>27</v>
      </c>
      <c r="G2059" t="s">
        <v>3206</v>
      </c>
      <c r="H2059" t="s">
        <v>51</v>
      </c>
      <c r="I2059" t="s">
        <v>11</v>
      </c>
      <c r="J2059" t="s">
        <v>3198</v>
      </c>
      <c r="K2059" t="s">
        <v>15</v>
      </c>
      <c r="L2059" s="2">
        <v>33</v>
      </c>
      <c r="M2059" t="s">
        <v>3203</v>
      </c>
      <c r="N2059">
        <v>1</v>
      </c>
      <c r="O2059" t="s">
        <v>30</v>
      </c>
      <c r="P2059" t="e">
        <v>#VALUE!</v>
      </c>
      <c r="Q2059" t="e">
        <v>#VALUE!</v>
      </c>
      <c r="R2059" t="s">
        <v>3201</v>
      </c>
      <c r="S2059" t="s">
        <v>13</v>
      </c>
    </row>
    <row r="2060" spans="1:19" x14ac:dyDescent="0.3">
      <c r="A2060" t="s">
        <v>845</v>
      </c>
      <c r="B2060" t="s">
        <v>1596</v>
      </c>
      <c r="C2060" t="s">
        <v>2884</v>
      </c>
      <c r="D2060" t="s">
        <v>3189</v>
      </c>
      <c r="E2060" t="s">
        <v>9</v>
      </c>
      <c r="F2060" s="2">
        <v>20</v>
      </c>
      <c r="G2060" t="s">
        <v>3206</v>
      </c>
      <c r="H2060" t="s">
        <v>69</v>
      </c>
      <c r="I2060" t="s">
        <v>28</v>
      </c>
      <c r="J2060" t="s">
        <v>3212</v>
      </c>
      <c r="K2060" t="s">
        <v>15</v>
      </c>
      <c r="L2060" s="2">
        <v>33</v>
      </c>
      <c r="M2060" t="s">
        <v>3203</v>
      </c>
      <c r="N2060">
        <v>1</v>
      </c>
      <c r="O2060" t="s">
        <v>30</v>
      </c>
      <c r="P2060" t="e">
        <v>#VALUE!</v>
      </c>
      <c r="Q2060" t="e">
        <v>#VALUE!</v>
      </c>
      <c r="R2060" t="s">
        <v>3201</v>
      </c>
      <c r="S2060" t="s">
        <v>13</v>
      </c>
    </row>
    <row r="2061" spans="1:19" x14ac:dyDescent="0.3">
      <c r="A2061" t="s">
        <v>845</v>
      </c>
      <c r="B2061" t="s">
        <v>1596</v>
      </c>
      <c r="C2061" t="s">
        <v>3108</v>
      </c>
      <c r="D2061" t="s">
        <v>3189</v>
      </c>
      <c r="E2061" t="s">
        <v>9</v>
      </c>
      <c r="F2061" s="2">
        <v>39</v>
      </c>
      <c r="G2061" t="s">
        <v>3197</v>
      </c>
      <c r="H2061" t="s">
        <v>51</v>
      </c>
      <c r="I2061" t="s">
        <v>28</v>
      </c>
      <c r="J2061" t="s">
        <v>3212</v>
      </c>
      <c r="K2061" t="s">
        <v>43</v>
      </c>
      <c r="L2061" s="2">
        <v>33</v>
      </c>
      <c r="M2061" t="s">
        <v>3203</v>
      </c>
      <c r="N2061">
        <v>1</v>
      </c>
      <c r="O2061" t="s">
        <v>30</v>
      </c>
      <c r="P2061" t="e">
        <v>#VALUE!</v>
      </c>
      <c r="Q2061" t="e">
        <v>#VALUE!</v>
      </c>
      <c r="R2061" t="s">
        <v>3201</v>
      </c>
      <c r="S2061" t="s">
        <v>13</v>
      </c>
    </row>
    <row r="2062" spans="1:19" x14ac:dyDescent="0.3">
      <c r="A2062" t="s">
        <v>845</v>
      </c>
      <c r="B2062" t="s">
        <v>1596</v>
      </c>
      <c r="C2062" t="s">
        <v>2638</v>
      </c>
      <c r="D2062" t="s">
        <v>3189</v>
      </c>
      <c r="E2062" t="s">
        <v>9</v>
      </c>
      <c r="F2062" s="2">
        <v>24</v>
      </c>
      <c r="G2062" t="s">
        <v>3206</v>
      </c>
      <c r="H2062" t="s">
        <v>69</v>
      </c>
      <c r="I2062" t="s">
        <v>11</v>
      </c>
      <c r="J2062" t="s">
        <v>3198</v>
      </c>
      <c r="K2062" t="s">
        <v>15</v>
      </c>
      <c r="L2062" s="2">
        <v>33</v>
      </c>
      <c r="M2062" t="s">
        <v>3203</v>
      </c>
      <c r="N2062">
        <v>1</v>
      </c>
      <c r="O2062" t="s">
        <v>30</v>
      </c>
      <c r="P2062" t="e">
        <v>#VALUE!</v>
      </c>
      <c r="Q2062" t="e">
        <v>#VALUE!</v>
      </c>
      <c r="R2062" t="s">
        <v>3201</v>
      </c>
      <c r="S2062" t="s">
        <v>13</v>
      </c>
    </row>
    <row r="2063" spans="1:19" x14ac:dyDescent="0.3">
      <c r="A2063" t="s">
        <v>845</v>
      </c>
      <c r="B2063" t="s">
        <v>1596</v>
      </c>
      <c r="C2063" t="s">
        <v>3109</v>
      </c>
      <c r="D2063" t="s">
        <v>3189</v>
      </c>
      <c r="E2063" t="s">
        <v>9</v>
      </c>
      <c r="F2063" s="2">
        <v>35</v>
      </c>
      <c r="G2063" t="s">
        <v>3206</v>
      </c>
      <c r="H2063" t="s">
        <v>69</v>
      </c>
      <c r="I2063" t="s">
        <v>11</v>
      </c>
      <c r="J2063" t="s">
        <v>3198</v>
      </c>
      <c r="K2063" t="s">
        <v>15</v>
      </c>
      <c r="L2063" s="2">
        <v>33</v>
      </c>
      <c r="M2063" t="s">
        <v>3203</v>
      </c>
      <c r="N2063">
        <v>1</v>
      </c>
      <c r="O2063" t="s">
        <v>30</v>
      </c>
      <c r="P2063" t="e">
        <v>#VALUE!</v>
      </c>
      <c r="Q2063" t="e">
        <v>#VALUE!</v>
      </c>
      <c r="R2063" t="s">
        <v>3201</v>
      </c>
      <c r="S2063" t="s">
        <v>13</v>
      </c>
    </row>
    <row r="2064" spans="1:19" x14ac:dyDescent="0.3">
      <c r="A2064" t="s">
        <v>845</v>
      </c>
      <c r="B2064" t="s">
        <v>1596</v>
      </c>
      <c r="C2064" t="s">
        <v>3110</v>
      </c>
      <c r="D2064" t="s">
        <v>3189</v>
      </c>
      <c r="E2064" t="s">
        <v>9</v>
      </c>
      <c r="F2064" s="2">
        <v>33</v>
      </c>
      <c r="G2064" t="s">
        <v>3206</v>
      </c>
      <c r="H2064" t="s">
        <v>69</v>
      </c>
      <c r="I2064" t="s">
        <v>11</v>
      </c>
      <c r="J2064" t="s">
        <v>3198</v>
      </c>
      <c r="K2064" t="s">
        <v>15</v>
      </c>
      <c r="L2064" s="2">
        <v>33</v>
      </c>
      <c r="M2064" t="s">
        <v>3203</v>
      </c>
      <c r="N2064">
        <v>1</v>
      </c>
      <c r="O2064" t="s">
        <v>30</v>
      </c>
      <c r="P2064" t="e">
        <v>#VALUE!</v>
      </c>
      <c r="Q2064" t="e">
        <v>#VALUE!</v>
      </c>
      <c r="R2064" t="s">
        <v>3201</v>
      </c>
      <c r="S2064" t="s">
        <v>13</v>
      </c>
    </row>
    <row r="2065" spans="1:19" x14ac:dyDescent="0.3">
      <c r="A2065" t="s">
        <v>845</v>
      </c>
      <c r="B2065" t="s">
        <v>1596</v>
      </c>
      <c r="C2065" t="s">
        <v>1619</v>
      </c>
      <c r="D2065" t="s">
        <v>3189</v>
      </c>
      <c r="E2065" t="s">
        <v>9</v>
      </c>
      <c r="F2065" s="2">
        <v>26</v>
      </c>
      <c r="G2065" t="s">
        <v>3206</v>
      </c>
      <c r="H2065" t="s">
        <v>71</v>
      </c>
      <c r="I2065" t="s">
        <v>11</v>
      </c>
      <c r="J2065" t="s">
        <v>3198</v>
      </c>
      <c r="K2065" t="s">
        <v>15</v>
      </c>
      <c r="L2065" s="2">
        <v>33</v>
      </c>
      <c r="M2065" t="s">
        <v>3203</v>
      </c>
      <c r="N2065">
        <v>1</v>
      </c>
      <c r="O2065" t="s">
        <v>30</v>
      </c>
      <c r="P2065" t="e">
        <v>#VALUE!</v>
      </c>
      <c r="Q2065" t="e">
        <v>#VALUE!</v>
      </c>
      <c r="R2065" t="s">
        <v>3201</v>
      </c>
      <c r="S2065" t="s">
        <v>13</v>
      </c>
    </row>
    <row r="2066" spans="1:19" x14ac:dyDescent="0.3">
      <c r="A2066" t="s">
        <v>1503</v>
      </c>
      <c r="B2066" t="s">
        <v>1600</v>
      </c>
      <c r="C2066" t="s">
        <v>3111</v>
      </c>
      <c r="D2066" t="s">
        <v>3190</v>
      </c>
      <c r="E2066" t="s">
        <v>14</v>
      </c>
      <c r="F2066" s="2">
        <v>22</v>
      </c>
      <c r="G2066" t="s">
        <v>3206</v>
      </c>
      <c r="H2066" t="s">
        <v>69</v>
      </c>
      <c r="I2066" t="s">
        <v>11</v>
      </c>
      <c r="J2066" t="s">
        <v>3198</v>
      </c>
      <c r="K2066" t="s">
        <v>15</v>
      </c>
      <c r="L2066" s="2">
        <v>33</v>
      </c>
      <c r="M2066" t="s">
        <v>3203</v>
      </c>
      <c r="N2066">
        <v>1</v>
      </c>
      <c r="O2066" t="s">
        <v>30</v>
      </c>
      <c r="P2066" t="e">
        <v>#VALUE!</v>
      </c>
      <c r="Q2066" t="e">
        <v>#VALUE!</v>
      </c>
      <c r="R2066" t="s">
        <v>3201</v>
      </c>
      <c r="S2066" t="s">
        <v>13</v>
      </c>
    </row>
    <row r="2067" spans="1:19" x14ac:dyDescent="0.3">
      <c r="A2067" t="s">
        <v>1504</v>
      </c>
      <c r="B2067" t="s">
        <v>1596</v>
      </c>
      <c r="C2067" t="s">
        <v>2038</v>
      </c>
      <c r="D2067" t="s">
        <v>3189</v>
      </c>
      <c r="E2067" t="s">
        <v>9</v>
      </c>
      <c r="F2067" s="2">
        <v>41</v>
      </c>
      <c r="G2067" t="s">
        <v>3197</v>
      </c>
      <c r="H2067" t="s">
        <v>51</v>
      </c>
      <c r="I2067" t="s">
        <v>11</v>
      </c>
      <c r="J2067" t="s">
        <v>3198</v>
      </c>
      <c r="K2067" t="s">
        <v>15</v>
      </c>
      <c r="L2067" s="2">
        <v>33</v>
      </c>
      <c r="M2067" t="s">
        <v>3203</v>
      </c>
      <c r="N2067">
        <v>1</v>
      </c>
      <c r="O2067" t="s">
        <v>30</v>
      </c>
      <c r="P2067" t="e">
        <v>#VALUE!</v>
      </c>
      <c r="Q2067" t="e">
        <v>#VALUE!</v>
      </c>
      <c r="R2067" t="s">
        <v>3201</v>
      </c>
      <c r="S2067" t="s">
        <v>13</v>
      </c>
    </row>
    <row r="2068" spans="1:19" x14ac:dyDescent="0.3">
      <c r="A2068" t="s">
        <v>1505</v>
      </c>
      <c r="B2068" t="s">
        <v>1596</v>
      </c>
      <c r="C2068" t="s">
        <v>2882</v>
      </c>
      <c r="D2068" t="s">
        <v>3189</v>
      </c>
      <c r="E2068" t="s">
        <v>9</v>
      </c>
      <c r="F2068" s="2">
        <v>26</v>
      </c>
      <c r="G2068" t="s">
        <v>3206</v>
      </c>
      <c r="H2068" t="s">
        <v>51</v>
      </c>
      <c r="I2068" t="s">
        <v>11</v>
      </c>
      <c r="J2068" t="s">
        <v>3198</v>
      </c>
      <c r="K2068" t="s">
        <v>15</v>
      </c>
      <c r="L2068" s="2">
        <v>33</v>
      </c>
      <c r="M2068" t="s">
        <v>3203</v>
      </c>
      <c r="N2068">
        <v>1</v>
      </c>
      <c r="O2068" t="s">
        <v>30</v>
      </c>
      <c r="P2068" t="e">
        <v>#VALUE!</v>
      </c>
      <c r="Q2068" t="e">
        <v>#VALUE!</v>
      </c>
      <c r="R2068" t="s">
        <v>3201</v>
      </c>
      <c r="S2068" t="s">
        <v>13</v>
      </c>
    </row>
    <row r="2069" spans="1:19" x14ac:dyDescent="0.3">
      <c r="A2069" t="s">
        <v>1506</v>
      </c>
      <c r="B2069" t="s">
        <v>1596</v>
      </c>
      <c r="C2069" t="s">
        <v>3112</v>
      </c>
      <c r="D2069" t="s">
        <v>3189</v>
      </c>
      <c r="E2069" t="s">
        <v>9</v>
      </c>
      <c r="F2069" s="2">
        <v>21</v>
      </c>
      <c r="G2069" t="s">
        <v>3206</v>
      </c>
      <c r="H2069" t="s">
        <v>51</v>
      </c>
      <c r="I2069" t="s">
        <v>11</v>
      </c>
      <c r="J2069" t="s">
        <v>3198</v>
      </c>
      <c r="K2069" t="s">
        <v>15</v>
      </c>
      <c r="L2069" s="2">
        <v>33</v>
      </c>
      <c r="M2069" t="s">
        <v>3203</v>
      </c>
      <c r="N2069">
        <v>1</v>
      </c>
      <c r="O2069" t="s">
        <v>30</v>
      </c>
      <c r="P2069" t="e">
        <v>#VALUE!</v>
      </c>
      <c r="Q2069" t="e">
        <v>#VALUE!</v>
      </c>
      <c r="R2069" t="s">
        <v>3205</v>
      </c>
      <c r="S2069" t="s">
        <v>16</v>
      </c>
    </row>
    <row r="2070" spans="1:19" x14ac:dyDescent="0.3">
      <c r="A2070" t="s">
        <v>1507</v>
      </c>
      <c r="B2070" t="s">
        <v>1596</v>
      </c>
      <c r="C2070" t="s">
        <v>1989</v>
      </c>
      <c r="D2070" t="s">
        <v>3189</v>
      </c>
      <c r="E2070" t="s">
        <v>9</v>
      </c>
      <c r="F2070" s="2">
        <v>36</v>
      </c>
      <c r="G2070" t="s">
        <v>3197</v>
      </c>
      <c r="H2070" t="s">
        <v>51</v>
      </c>
      <c r="I2070" t="s">
        <v>11</v>
      </c>
      <c r="J2070" t="s">
        <v>3198</v>
      </c>
      <c r="K2070" t="s">
        <v>15</v>
      </c>
      <c r="L2070" s="2">
        <v>33</v>
      </c>
      <c r="M2070" t="s">
        <v>3203</v>
      </c>
      <c r="N2070">
        <v>1</v>
      </c>
      <c r="O2070" t="s">
        <v>30</v>
      </c>
      <c r="P2070" t="e">
        <v>#VALUE!</v>
      </c>
      <c r="Q2070" t="e">
        <v>#VALUE!</v>
      </c>
      <c r="R2070" t="s">
        <v>3205</v>
      </c>
      <c r="S2070" t="s">
        <v>16</v>
      </c>
    </row>
    <row r="2071" spans="1:19" x14ac:dyDescent="0.3">
      <c r="A2071" t="s">
        <v>1508</v>
      </c>
      <c r="B2071" t="s">
        <v>1596</v>
      </c>
      <c r="C2071" t="s">
        <v>1822</v>
      </c>
      <c r="D2071" t="s">
        <v>3189</v>
      </c>
      <c r="E2071" t="s">
        <v>9</v>
      </c>
      <c r="F2071" s="2">
        <v>38</v>
      </c>
      <c r="G2071" t="s">
        <v>3197</v>
      </c>
      <c r="H2071" t="s">
        <v>69</v>
      </c>
      <c r="I2071" t="s">
        <v>11</v>
      </c>
      <c r="J2071" t="s">
        <v>3198</v>
      </c>
      <c r="K2071" t="s">
        <v>15</v>
      </c>
      <c r="L2071" s="2">
        <v>33</v>
      </c>
      <c r="M2071" t="s">
        <v>3203</v>
      </c>
      <c r="N2071">
        <v>1</v>
      </c>
      <c r="O2071" t="s">
        <v>30</v>
      </c>
      <c r="P2071" t="e">
        <v>#VALUE!</v>
      </c>
      <c r="Q2071" t="e">
        <v>#VALUE!</v>
      </c>
      <c r="R2071" t="s">
        <v>3201</v>
      </c>
      <c r="S2071" t="s">
        <v>13</v>
      </c>
    </row>
    <row r="2072" spans="1:19" x14ac:dyDescent="0.3">
      <c r="A2072" t="s">
        <v>1509</v>
      </c>
      <c r="B2072" t="s">
        <v>1596</v>
      </c>
      <c r="C2072" t="s">
        <v>3113</v>
      </c>
      <c r="D2072" t="s">
        <v>3189</v>
      </c>
      <c r="E2072" t="s">
        <v>9</v>
      </c>
      <c r="F2072" s="2">
        <v>31</v>
      </c>
      <c r="G2072" t="s">
        <v>3206</v>
      </c>
      <c r="H2072" t="s">
        <v>51</v>
      </c>
      <c r="I2072" t="s">
        <v>11</v>
      </c>
      <c r="J2072" t="s">
        <v>3198</v>
      </c>
      <c r="K2072" t="s">
        <v>15</v>
      </c>
      <c r="L2072" s="2">
        <v>33</v>
      </c>
      <c r="M2072" t="s">
        <v>3203</v>
      </c>
      <c r="N2072">
        <v>1</v>
      </c>
      <c r="O2072" t="s">
        <v>30</v>
      </c>
      <c r="P2072" t="e">
        <v>#VALUE!</v>
      </c>
      <c r="Q2072" t="e">
        <v>#VALUE!</v>
      </c>
      <c r="R2072" t="s">
        <v>3201</v>
      </c>
      <c r="S2072" t="s">
        <v>13</v>
      </c>
    </row>
    <row r="2073" spans="1:19" x14ac:dyDescent="0.3">
      <c r="A2073" t="s">
        <v>1510</v>
      </c>
      <c r="B2073" t="s">
        <v>1602</v>
      </c>
      <c r="C2073" t="s">
        <v>3114</v>
      </c>
      <c r="D2073" t="s">
        <v>3190</v>
      </c>
      <c r="E2073" t="s">
        <v>14</v>
      </c>
      <c r="F2073" s="2">
        <v>47</v>
      </c>
      <c r="G2073" t="s">
        <v>3197</v>
      </c>
      <c r="H2073" t="s">
        <v>69</v>
      </c>
      <c r="I2073" t="s">
        <v>11</v>
      </c>
      <c r="J2073" t="s">
        <v>3198</v>
      </c>
      <c r="K2073" t="s">
        <v>15</v>
      </c>
      <c r="L2073" s="2">
        <v>33</v>
      </c>
      <c r="M2073" t="s">
        <v>3203</v>
      </c>
      <c r="N2073">
        <v>1</v>
      </c>
      <c r="O2073" t="s">
        <v>30</v>
      </c>
      <c r="P2073" t="e">
        <v>#VALUE!</v>
      </c>
      <c r="Q2073" t="e">
        <v>#VALUE!</v>
      </c>
      <c r="R2073" t="s">
        <v>3205</v>
      </c>
      <c r="S2073" t="s">
        <v>16</v>
      </c>
    </row>
    <row r="2074" spans="1:19" x14ac:dyDescent="0.3">
      <c r="A2074" t="s">
        <v>1511</v>
      </c>
      <c r="B2074" t="s">
        <v>1596</v>
      </c>
      <c r="C2074" t="s">
        <v>3115</v>
      </c>
      <c r="D2074" t="s">
        <v>3189</v>
      </c>
      <c r="E2074" t="s">
        <v>9</v>
      </c>
      <c r="F2074" s="2">
        <v>36</v>
      </c>
      <c r="G2074" t="s">
        <v>3197</v>
      </c>
      <c r="H2074" t="s">
        <v>69</v>
      </c>
      <c r="I2074" t="s">
        <v>28</v>
      </c>
      <c r="J2074" t="s">
        <v>3212</v>
      </c>
      <c r="K2074" t="s">
        <v>15</v>
      </c>
      <c r="L2074" s="2">
        <v>33</v>
      </c>
      <c r="M2074" t="s">
        <v>3203</v>
      </c>
      <c r="N2074">
        <v>1</v>
      </c>
      <c r="O2074" t="s">
        <v>30</v>
      </c>
      <c r="P2074" t="e">
        <v>#VALUE!</v>
      </c>
      <c r="Q2074" t="e">
        <v>#VALUE!</v>
      </c>
      <c r="R2074" t="s">
        <v>3201</v>
      </c>
      <c r="S2074" t="s">
        <v>13</v>
      </c>
    </row>
    <row r="2075" spans="1:19" x14ac:dyDescent="0.3">
      <c r="A2075" t="s">
        <v>1512</v>
      </c>
      <c r="B2075" t="s">
        <v>1596</v>
      </c>
      <c r="C2075" t="s">
        <v>3116</v>
      </c>
      <c r="D2075" t="s">
        <v>3189</v>
      </c>
      <c r="E2075" t="s">
        <v>9</v>
      </c>
      <c r="F2075" s="2">
        <v>30</v>
      </c>
      <c r="G2075" t="s">
        <v>3206</v>
      </c>
      <c r="H2075" t="s">
        <v>51</v>
      </c>
      <c r="I2075" t="s">
        <v>11</v>
      </c>
      <c r="J2075" t="s">
        <v>3198</v>
      </c>
      <c r="K2075" t="s">
        <v>15</v>
      </c>
      <c r="L2075" s="2">
        <v>33</v>
      </c>
      <c r="M2075" t="s">
        <v>3203</v>
      </c>
      <c r="N2075">
        <v>1</v>
      </c>
      <c r="O2075" t="s">
        <v>30</v>
      </c>
      <c r="P2075" t="e">
        <v>#VALUE!</v>
      </c>
      <c r="Q2075" t="e">
        <v>#VALUE!</v>
      </c>
      <c r="R2075" t="s">
        <v>3201</v>
      </c>
      <c r="S2075" t="s">
        <v>13</v>
      </c>
    </row>
    <row r="2076" spans="1:19" x14ac:dyDescent="0.3">
      <c r="A2076" t="s">
        <v>863</v>
      </c>
      <c r="B2076" t="s">
        <v>1596</v>
      </c>
      <c r="C2076" t="s">
        <v>1610</v>
      </c>
      <c r="D2076" t="s">
        <v>3189</v>
      </c>
      <c r="E2076" t="s">
        <v>9</v>
      </c>
      <c r="F2076" s="2">
        <v>28</v>
      </c>
      <c r="G2076" t="s">
        <v>3206</v>
      </c>
      <c r="H2076" t="s">
        <v>69</v>
      </c>
      <c r="I2076" t="s">
        <v>28</v>
      </c>
      <c r="J2076" t="s">
        <v>3212</v>
      </c>
      <c r="K2076" t="s">
        <v>43</v>
      </c>
      <c r="L2076" s="2">
        <v>33</v>
      </c>
      <c r="M2076" t="s">
        <v>3203</v>
      </c>
      <c r="N2076">
        <v>1</v>
      </c>
      <c r="O2076" t="s">
        <v>30</v>
      </c>
      <c r="P2076" t="e">
        <v>#VALUE!</v>
      </c>
      <c r="Q2076" t="e">
        <v>#VALUE!</v>
      </c>
      <c r="R2076" t="s">
        <v>3205</v>
      </c>
      <c r="S2076" t="s">
        <v>16</v>
      </c>
    </row>
    <row r="2077" spans="1:19" x14ac:dyDescent="0.3">
      <c r="A2077" t="s">
        <v>1513</v>
      </c>
      <c r="B2077" t="s">
        <v>1596</v>
      </c>
      <c r="C2077" t="s">
        <v>3117</v>
      </c>
      <c r="D2077" t="s">
        <v>3189</v>
      </c>
      <c r="E2077" t="s">
        <v>9</v>
      </c>
      <c r="F2077" s="2">
        <v>20</v>
      </c>
      <c r="G2077" t="s">
        <v>3206</v>
      </c>
      <c r="H2077" t="s">
        <v>51</v>
      </c>
      <c r="I2077" t="s">
        <v>11</v>
      </c>
      <c r="J2077" t="s">
        <v>3198</v>
      </c>
      <c r="K2077" t="s">
        <v>15</v>
      </c>
      <c r="L2077" s="2">
        <v>33</v>
      </c>
      <c r="M2077" t="s">
        <v>3203</v>
      </c>
      <c r="N2077">
        <v>1</v>
      </c>
      <c r="O2077" t="s">
        <v>30</v>
      </c>
      <c r="P2077" t="e">
        <v>#VALUE!</v>
      </c>
      <c r="Q2077" t="e">
        <v>#VALUE!</v>
      </c>
      <c r="R2077" t="s">
        <v>3201</v>
      </c>
      <c r="S2077" t="s">
        <v>13</v>
      </c>
    </row>
    <row r="2078" spans="1:19" x14ac:dyDescent="0.3">
      <c r="A2078" t="s">
        <v>865</v>
      </c>
      <c r="B2078" t="s">
        <v>1596</v>
      </c>
      <c r="C2078" t="s">
        <v>3118</v>
      </c>
      <c r="D2078" t="s">
        <v>3189</v>
      </c>
      <c r="E2078" t="s">
        <v>9</v>
      </c>
      <c r="F2078" s="2">
        <v>33</v>
      </c>
      <c r="G2078" t="s">
        <v>3206</v>
      </c>
      <c r="H2078" t="s">
        <v>69</v>
      </c>
      <c r="I2078" t="s">
        <v>11</v>
      </c>
      <c r="J2078" t="s">
        <v>3198</v>
      </c>
      <c r="K2078" t="s">
        <v>15</v>
      </c>
      <c r="L2078" s="2">
        <v>33</v>
      </c>
      <c r="M2078" t="s">
        <v>3203</v>
      </c>
      <c r="N2078">
        <v>1</v>
      </c>
      <c r="O2078" t="s">
        <v>30</v>
      </c>
      <c r="P2078" t="e">
        <v>#VALUE!</v>
      </c>
      <c r="Q2078" t="e">
        <v>#VALUE!</v>
      </c>
      <c r="R2078" t="s">
        <v>3201</v>
      </c>
      <c r="S2078" t="s">
        <v>13</v>
      </c>
    </row>
    <row r="2079" spans="1:19" x14ac:dyDescent="0.3">
      <c r="A2079" t="s">
        <v>865</v>
      </c>
      <c r="B2079" t="s">
        <v>1596</v>
      </c>
      <c r="C2079" t="s">
        <v>2255</v>
      </c>
      <c r="D2079" t="s">
        <v>3189</v>
      </c>
      <c r="E2079" t="s">
        <v>9</v>
      </c>
      <c r="F2079" s="2">
        <v>29</v>
      </c>
      <c r="G2079" t="s">
        <v>3206</v>
      </c>
      <c r="H2079" t="s">
        <v>69</v>
      </c>
      <c r="I2079" t="s">
        <v>11</v>
      </c>
      <c r="J2079" t="s">
        <v>3198</v>
      </c>
      <c r="K2079" t="s">
        <v>15</v>
      </c>
      <c r="L2079" s="2">
        <v>33</v>
      </c>
      <c r="M2079" t="s">
        <v>3203</v>
      </c>
      <c r="N2079">
        <v>1</v>
      </c>
      <c r="O2079" t="s">
        <v>30</v>
      </c>
      <c r="P2079" t="e">
        <v>#VALUE!</v>
      </c>
      <c r="Q2079" t="e">
        <v>#VALUE!</v>
      </c>
      <c r="R2079" t="s">
        <v>3201</v>
      </c>
      <c r="S2079" t="s">
        <v>13</v>
      </c>
    </row>
    <row r="2080" spans="1:19" x14ac:dyDescent="0.3">
      <c r="A2080" t="s">
        <v>1514</v>
      </c>
      <c r="B2080" t="s">
        <v>1596</v>
      </c>
      <c r="C2080" t="s">
        <v>3119</v>
      </c>
      <c r="D2080" t="s">
        <v>3189</v>
      </c>
      <c r="E2080" t="s">
        <v>9</v>
      </c>
      <c r="F2080" s="2">
        <v>25</v>
      </c>
      <c r="G2080" t="s">
        <v>3206</v>
      </c>
      <c r="H2080" t="s">
        <v>51</v>
      </c>
      <c r="I2080" t="s">
        <v>11</v>
      </c>
      <c r="J2080" t="s">
        <v>3198</v>
      </c>
      <c r="K2080" t="s">
        <v>15</v>
      </c>
      <c r="L2080" s="2">
        <v>33</v>
      </c>
      <c r="M2080" t="s">
        <v>3203</v>
      </c>
      <c r="N2080">
        <v>1</v>
      </c>
      <c r="O2080" t="s">
        <v>30</v>
      </c>
      <c r="P2080" t="e">
        <v>#VALUE!</v>
      </c>
      <c r="Q2080" t="e">
        <v>#VALUE!</v>
      </c>
      <c r="R2080" t="s">
        <v>3205</v>
      </c>
      <c r="S2080" t="s">
        <v>16</v>
      </c>
    </row>
    <row r="2081" spans="1:19" x14ac:dyDescent="0.3">
      <c r="A2081" t="s">
        <v>1515</v>
      </c>
      <c r="B2081" t="s">
        <v>1596</v>
      </c>
      <c r="C2081" t="s">
        <v>3120</v>
      </c>
      <c r="D2081" t="s">
        <v>3189</v>
      </c>
      <c r="E2081" t="s">
        <v>9</v>
      </c>
      <c r="F2081" s="2">
        <v>19</v>
      </c>
      <c r="G2081" t="s">
        <v>3206</v>
      </c>
      <c r="H2081" t="s">
        <v>69</v>
      </c>
      <c r="I2081" t="s">
        <v>11</v>
      </c>
      <c r="J2081" t="s">
        <v>3198</v>
      </c>
      <c r="K2081" t="s">
        <v>15</v>
      </c>
      <c r="L2081" s="2">
        <v>33</v>
      </c>
      <c r="M2081" t="s">
        <v>3203</v>
      </c>
      <c r="N2081">
        <v>1</v>
      </c>
      <c r="O2081" t="s">
        <v>30</v>
      </c>
      <c r="P2081" t="e">
        <v>#VALUE!</v>
      </c>
      <c r="Q2081" t="e">
        <v>#VALUE!</v>
      </c>
      <c r="R2081" t="s">
        <v>3201</v>
      </c>
      <c r="S2081" t="s">
        <v>13</v>
      </c>
    </row>
    <row r="2082" spans="1:19" x14ac:dyDescent="0.3">
      <c r="A2082" t="s">
        <v>1515</v>
      </c>
      <c r="B2082" t="s">
        <v>1596</v>
      </c>
      <c r="C2082" t="s">
        <v>2925</v>
      </c>
      <c r="D2082" t="s">
        <v>3189</v>
      </c>
      <c r="E2082" t="s">
        <v>9</v>
      </c>
      <c r="F2082" s="2">
        <v>35</v>
      </c>
      <c r="G2082" t="s">
        <v>3206</v>
      </c>
      <c r="H2082" t="s">
        <v>69</v>
      </c>
      <c r="I2082" t="s">
        <v>11</v>
      </c>
      <c r="J2082" t="s">
        <v>3198</v>
      </c>
      <c r="K2082" t="s">
        <v>15</v>
      </c>
      <c r="L2082" s="2">
        <v>33</v>
      </c>
      <c r="M2082" t="s">
        <v>3203</v>
      </c>
      <c r="N2082">
        <v>1</v>
      </c>
      <c r="O2082" t="s">
        <v>30</v>
      </c>
      <c r="P2082" t="e">
        <v>#VALUE!</v>
      </c>
      <c r="Q2082" t="e">
        <v>#VALUE!</v>
      </c>
      <c r="R2082" t="s">
        <v>3201</v>
      </c>
      <c r="S2082" t="s">
        <v>13</v>
      </c>
    </row>
    <row r="2083" spans="1:19" x14ac:dyDescent="0.3">
      <c r="A2083" t="s">
        <v>1516</v>
      </c>
      <c r="B2083" t="s">
        <v>1596</v>
      </c>
      <c r="C2083" t="s">
        <v>3121</v>
      </c>
      <c r="D2083" t="s">
        <v>3189</v>
      </c>
      <c r="E2083" t="s">
        <v>9</v>
      </c>
      <c r="F2083" s="2">
        <v>34</v>
      </c>
      <c r="G2083" t="s">
        <v>3206</v>
      </c>
      <c r="H2083" t="s">
        <v>69</v>
      </c>
      <c r="I2083" t="s">
        <v>28</v>
      </c>
      <c r="J2083" t="s">
        <v>3212</v>
      </c>
      <c r="K2083" t="s">
        <v>15</v>
      </c>
      <c r="L2083" s="2">
        <v>33</v>
      </c>
      <c r="M2083" t="s">
        <v>3203</v>
      </c>
      <c r="N2083">
        <v>1</v>
      </c>
      <c r="O2083" t="s">
        <v>30</v>
      </c>
      <c r="P2083" t="e">
        <v>#VALUE!</v>
      </c>
      <c r="Q2083" t="e">
        <v>#VALUE!</v>
      </c>
      <c r="R2083" t="s">
        <v>3201</v>
      </c>
      <c r="S2083" t="s">
        <v>13</v>
      </c>
    </row>
    <row r="2084" spans="1:19" x14ac:dyDescent="0.3">
      <c r="A2084" t="s">
        <v>1517</v>
      </c>
      <c r="B2084" t="s">
        <v>1596</v>
      </c>
      <c r="C2084" t="s">
        <v>3122</v>
      </c>
      <c r="D2084" t="s">
        <v>3189</v>
      </c>
      <c r="E2084" t="s">
        <v>9</v>
      </c>
      <c r="F2084" s="2">
        <v>31</v>
      </c>
      <c r="G2084" t="s">
        <v>3206</v>
      </c>
      <c r="H2084" t="s">
        <v>69</v>
      </c>
      <c r="I2084" t="s">
        <v>28</v>
      </c>
      <c r="J2084" t="s">
        <v>3212</v>
      </c>
      <c r="K2084" t="s">
        <v>15</v>
      </c>
      <c r="L2084" s="2">
        <v>33</v>
      </c>
      <c r="M2084" t="s">
        <v>3203</v>
      </c>
      <c r="N2084">
        <v>1</v>
      </c>
      <c r="O2084" t="s">
        <v>30</v>
      </c>
      <c r="P2084" t="e">
        <v>#VALUE!</v>
      </c>
      <c r="Q2084" t="e">
        <v>#VALUE!</v>
      </c>
      <c r="R2084" t="s">
        <v>3201</v>
      </c>
      <c r="S2084" t="s">
        <v>13</v>
      </c>
    </row>
    <row r="2085" spans="1:19" x14ac:dyDescent="0.3">
      <c r="A2085" t="s">
        <v>1518</v>
      </c>
      <c r="B2085" t="s">
        <v>1596</v>
      </c>
      <c r="C2085" t="s">
        <v>3123</v>
      </c>
      <c r="D2085" t="s">
        <v>3189</v>
      </c>
      <c r="E2085" t="s">
        <v>9</v>
      </c>
      <c r="F2085" s="2">
        <v>28</v>
      </c>
      <c r="G2085" t="s">
        <v>3206</v>
      </c>
      <c r="H2085" t="s">
        <v>51</v>
      </c>
      <c r="I2085" t="s">
        <v>11</v>
      </c>
      <c r="J2085" t="s">
        <v>3198</v>
      </c>
      <c r="K2085" t="s">
        <v>15</v>
      </c>
      <c r="L2085" s="2">
        <v>33</v>
      </c>
      <c r="M2085" t="s">
        <v>3203</v>
      </c>
      <c r="N2085">
        <v>1</v>
      </c>
      <c r="O2085" t="s">
        <v>30</v>
      </c>
      <c r="P2085" t="e">
        <v>#VALUE!</v>
      </c>
      <c r="Q2085" t="e">
        <v>#VALUE!</v>
      </c>
      <c r="R2085" t="s">
        <v>3201</v>
      </c>
      <c r="S2085" t="s">
        <v>13</v>
      </c>
    </row>
    <row r="2086" spans="1:19" x14ac:dyDescent="0.3">
      <c r="A2086" t="s">
        <v>1519</v>
      </c>
      <c r="B2086" t="s">
        <v>1596</v>
      </c>
      <c r="C2086" t="s">
        <v>2886</v>
      </c>
      <c r="D2086" t="s">
        <v>3189</v>
      </c>
      <c r="E2086" t="s">
        <v>9</v>
      </c>
      <c r="F2086" s="2">
        <v>25</v>
      </c>
      <c r="G2086" t="s">
        <v>3206</v>
      </c>
      <c r="H2086" t="s">
        <v>51</v>
      </c>
      <c r="I2086" t="s">
        <v>11</v>
      </c>
      <c r="J2086" t="s">
        <v>3198</v>
      </c>
      <c r="K2086" t="s">
        <v>15</v>
      </c>
      <c r="L2086" s="2">
        <v>33</v>
      </c>
      <c r="M2086" t="s">
        <v>3203</v>
      </c>
      <c r="N2086">
        <v>1</v>
      </c>
      <c r="O2086" t="s">
        <v>30</v>
      </c>
      <c r="P2086" t="e">
        <v>#VALUE!</v>
      </c>
      <c r="Q2086" t="e">
        <v>#VALUE!</v>
      </c>
      <c r="R2086" t="s">
        <v>3201</v>
      </c>
      <c r="S2086" t="s">
        <v>13</v>
      </c>
    </row>
    <row r="2087" spans="1:19" x14ac:dyDescent="0.3">
      <c r="A2087" t="s">
        <v>1520</v>
      </c>
      <c r="B2087" t="s">
        <v>1596</v>
      </c>
      <c r="C2087" t="s">
        <v>1619</v>
      </c>
      <c r="D2087" t="s">
        <v>3189</v>
      </c>
      <c r="E2087" t="s">
        <v>9</v>
      </c>
      <c r="F2087" s="2">
        <v>48</v>
      </c>
      <c r="G2087" t="s">
        <v>3197</v>
      </c>
      <c r="H2087" t="s">
        <v>69</v>
      </c>
      <c r="I2087" t="s">
        <v>28</v>
      </c>
      <c r="J2087" t="s">
        <v>3212</v>
      </c>
      <c r="K2087" t="s">
        <v>29</v>
      </c>
      <c r="L2087" s="2">
        <v>33</v>
      </c>
      <c r="M2087" t="s">
        <v>3203</v>
      </c>
      <c r="N2087">
        <v>1</v>
      </c>
      <c r="O2087" t="s">
        <v>30</v>
      </c>
      <c r="P2087" t="e">
        <v>#VALUE!</v>
      </c>
      <c r="Q2087" t="e">
        <v>#VALUE!</v>
      </c>
      <c r="R2087" t="s">
        <v>3201</v>
      </c>
      <c r="S2087" t="s">
        <v>13</v>
      </c>
    </row>
    <row r="2088" spans="1:19" x14ac:dyDescent="0.3">
      <c r="A2088" t="s">
        <v>1521</v>
      </c>
      <c r="B2088" t="s">
        <v>1596</v>
      </c>
      <c r="C2088" t="s">
        <v>3124</v>
      </c>
      <c r="D2088" t="s">
        <v>3189</v>
      </c>
      <c r="E2088" t="s">
        <v>9</v>
      </c>
      <c r="F2088" s="2">
        <v>45</v>
      </c>
      <c r="G2088" t="s">
        <v>3197</v>
      </c>
      <c r="H2088" t="s">
        <v>69</v>
      </c>
      <c r="I2088" t="s">
        <v>28</v>
      </c>
      <c r="J2088" t="s">
        <v>3212</v>
      </c>
      <c r="K2088" t="s">
        <v>15</v>
      </c>
      <c r="L2088" s="2">
        <v>33</v>
      </c>
      <c r="M2088" t="s">
        <v>3203</v>
      </c>
      <c r="N2088">
        <v>1</v>
      </c>
      <c r="O2088" t="s">
        <v>30</v>
      </c>
      <c r="P2088" t="e">
        <v>#VALUE!</v>
      </c>
      <c r="Q2088" t="e">
        <v>#VALUE!</v>
      </c>
      <c r="R2088" t="s">
        <v>3201</v>
      </c>
      <c r="S2088" t="s">
        <v>13</v>
      </c>
    </row>
    <row r="2089" spans="1:19" x14ac:dyDescent="0.3">
      <c r="A2089" t="s">
        <v>1522</v>
      </c>
      <c r="B2089" t="s">
        <v>1596</v>
      </c>
      <c r="C2089" t="s">
        <v>3125</v>
      </c>
      <c r="D2089" t="s">
        <v>3189</v>
      </c>
      <c r="E2089" t="s">
        <v>9</v>
      </c>
      <c r="F2089" s="2">
        <v>24</v>
      </c>
      <c r="G2089" t="s">
        <v>3206</v>
      </c>
      <c r="H2089" t="s">
        <v>71</v>
      </c>
      <c r="I2089" t="s">
        <v>11</v>
      </c>
      <c r="J2089" t="s">
        <v>3198</v>
      </c>
      <c r="K2089" t="s">
        <v>15</v>
      </c>
      <c r="L2089" s="2">
        <v>33</v>
      </c>
      <c r="M2089" t="s">
        <v>3203</v>
      </c>
      <c r="N2089">
        <v>1</v>
      </c>
      <c r="O2089" t="s">
        <v>30</v>
      </c>
      <c r="P2089" t="e">
        <v>#VALUE!</v>
      </c>
      <c r="Q2089" t="e">
        <v>#VALUE!</v>
      </c>
      <c r="R2089" t="s">
        <v>3205</v>
      </c>
      <c r="S2089" t="s">
        <v>16</v>
      </c>
    </row>
    <row r="2090" spans="1:19" x14ac:dyDescent="0.3">
      <c r="A2090" t="s">
        <v>1523</v>
      </c>
      <c r="B2090" t="s">
        <v>1596</v>
      </c>
      <c r="C2090" t="s">
        <v>3126</v>
      </c>
      <c r="D2090" t="s">
        <v>3189</v>
      </c>
      <c r="E2090" t="s">
        <v>9</v>
      </c>
      <c r="F2090" s="2">
        <v>20</v>
      </c>
      <c r="G2090" t="s">
        <v>3206</v>
      </c>
      <c r="H2090" t="s">
        <v>69</v>
      </c>
      <c r="I2090" t="s">
        <v>11</v>
      </c>
      <c r="J2090" t="s">
        <v>3198</v>
      </c>
      <c r="K2090" t="s">
        <v>15</v>
      </c>
      <c r="L2090" s="2">
        <v>33</v>
      </c>
      <c r="M2090" t="s">
        <v>3203</v>
      </c>
      <c r="N2090">
        <v>1</v>
      </c>
      <c r="O2090" t="s">
        <v>30</v>
      </c>
      <c r="P2090" t="e">
        <v>#VALUE!</v>
      </c>
      <c r="Q2090" t="e">
        <v>#VALUE!</v>
      </c>
      <c r="R2090" t="s">
        <v>3201</v>
      </c>
      <c r="S2090" t="s">
        <v>13</v>
      </c>
    </row>
    <row r="2091" spans="1:19" x14ac:dyDescent="0.3">
      <c r="A2091" t="s">
        <v>1524</v>
      </c>
      <c r="B2091" t="s">
        <v>1596</v>
      </c>
      <c r="C2091" t="s">
        <v>2511</v>
      </c>
      <c r="D2091" t="s">
        <v>3189</v>
      </c>
      <c r="E2091" t="s">
        <v>9</v>
      </c>
      <c r="F2091" s="2">
        <v>24</v>
      </c>
      <c r="G2091" t="s">
        <v>3206</v>
      </c>
      <c r="H2091" t="s">
        <v>71</v>
      </c>
      <c r="I2091" t="s">
        <v>11</v>
      </c>
      <c r="J2091" t="s">
        <v>3198</v>
      </c>
      <c r="K2091" t="s">
        <v>15</v>
      </c>
      <c r="L2091" s="2">
        <v>33</v>
      </c>
      <c r="M2091" t="s">
        <v>3203</v>
      </c>
      <c r="N2091">
        <v>1</v>
      </c>
      <c r="O2091" t="s">
        <v>30</v>
      </c>
      <c r="P2091" t="e">
        <v>#VALUE!</v>
      </c>
      <c r="Q2091" t="e">
        <v>#VALUE!</v>
      </c>
      <c r="R2091" t="s">
        <v>3201</v>
      </c>
      <c r="S2091" t="s">
        <v>13</v>
      </c>
    </row>
    <row r="2092" spans="1:19" x14ac:dyDescent="0.3">
      <c r="A2092" t="s">
        <v>883</v>
      </c>
      <c r="B2092" t="s">
        <v>1596</v>
      </c>
      <c r="C2092" t="s">
        <v>3127</v>
      </c>
      <c r="D2092" t="s">
        <v>3189</v>
      </c>
      <c r="E2092" t="s">
        <v>9</v>
      </c>
      <c r="F2092" s="2">
        <v>22</v>
      </c>
      <c r="G2092" t="s">
        <v>3206</v>
      </c>
      <c r="H2092" t="s">
        <v>69</v>
      </c>
      <c r="I2092" t="s">
        <v>11</v>
      </c>
      <c r="J2092" t="s">
        <v>3198</v>
      </c>
      <c r="K2092" t="s">
        <v>15</v>
      </c>
      <c r="L2092" s="2">
        <v>33</v>
      </c>
      <c r="M2092" t="s">
        <v>3203</v>
      </c>
      <c r="N2092">
        <v>1</v>
      </c>
      <c r="O2092" t="s">
        <v>30</v>
      </c>
      <c r="P2092" t="e">
        <v>#VALUE!</v>
      </c>
      <c r="Q2092" t="e">
        <v>#VALUE!</v>
      </c>
      <c r="R2092" t="s">
        <v>3201</v>
      </c>
      <c r="S2092" t="s">
        <v>13</v>
      </c>
    </row>
    <row r="2093" spans="1:19" x14ac:dyDescent="0.3">
      <c r="A2093" t="s">
        <v>883</v>
      </c>
      <c r="B2093" t="s">
        <v>1596</v>
      </c>
      <c r="C2093" t="s">
        <v>3128</v>
      </c>
      <c r="D2093" t="s">
        <v>3189</v>
      </c>
      <c r="E2093" t="s">
        <v>9</v>
      </c>
      <c r="F2093" s="2">
        <v>40</v>
      </c>
      <c r="G2093" t="s">
        <v>3197</v>
      </c>
      <c r="H2093" t="s">
        <v>71</v>
      </c>
      <c r="I2093" t="s">
        <v>11</v>
      </c>
      <c r="J2093" t="s">
        <v>3198</v>
      </c>
      <c r="K2093" t="s">
        <v>15</v>
      </c>
      <c r="L2093" s="2">
        <v>33</v>
      </c>
      <c r="M2093" t="s">
        <v>3203</v>
      </c>
      <c r="N2093">
        <v>1</v>
      </c>
      <c r="O2093" t="s">
        <v>30</v>
      </c>
      <c r="P2093" t="e">
        <v>#VALUE!</v>
      </c>
      <c r="Q2093" t="e">
        <v>#VALUE!</v>
      </c>
      <c r="R2093" t="s">
        <v>3201</v>
      </c>
      <c r="S2093" t="s">
        <v>13</v>
      </c>
    </row>
    <row r="2094" spans="1:19" x14ac:dyDescent="0.3">
      <c r="A2094" t="s">
        <v>883</v>
      </c>
      <c r="B2094" t="s">
        <v>1596</v>
      </c>
      <c r="C2094" t="s">
        <v>2038</v>
      </c>
      <c r="D2094" t="s">
        <v>3189</v>
      </c>
      <c r="E2094" t="s">
        <v>9</v>
      </c>
      <c r="F2094" s="2">
        <v>24</v>
      </c>
      <c r="G2094" t="s">
        <v>3206</v>
      </c>
      <c r="H2094" t="s">
        <v>51</v>
      </c>
      <c r="I2094" t="s">
        <v>11</v>
      </c>
      <c r="J2094" t="s">
        <v>3198</v>
      </c>
      <c r="K2094" t="s">
        <v>15</v>
      </c>
      <c r="L2094" s="2">
        <v>33</v>
      </c>
      <c r="M2094" t="s">
        <v>3203</v>
      </c>
      <c r="N2094">
        <v>1</v>
      </c>
      <c r="O2094" t="s">
        <v>30</v>
      </c>
      <c r="P2094" t="e">
        <v>#VALUE!</v>
      </c>
      <c r="Q2094" t="e">
        <v>#VALUE!</v>
      </c>
      <c r="R2094" t="s">
        <v>3205</v>
      </c>
      <c r="S2094" t="s">
        <v>16</v>
      </c>
    </row>
    <row r="2095" spans="1:19" x14ac:dyDescent="0.3">
      <c r="A2095" t="s">
        <v>883</v>
      </c>
      <c r="B2095" t="s">
        <v>1596</v>
      </c>
      <c r="C2095" t="s">
        <v>2779</v>
      </c>
      <c r="D2095" t="s">
        <v>3189</v>
      </c>
      <c r="E2095" t="s">
        <v>9</v>
      </c>
      <c r="F2095" s="2">
        <v>42</v>
      </c>
      <c r="G2095" t="s">
        <v>3197</v>
      </c>
      <c r="H2095" t="s">
        <v>51</v>
      </c>
      <c r="I2095" t="s">
        <v>11</v>
      </c>
      <c r="J2095" t="s">
        <v>3198</v>
      </c>
      <c r="K2095" t="s">
        <v>15</v>
      </c>
      <c r="L2095" s="2">
        <v>33</v>
      </c>
      <c r="M2095" t="s">
        <v>3203</v>
      </c>
      <c r="N2095">
        <v>1</v>
      </c>
      <c r="O2095" t="s">
        <v>30</v>
      </c>
      <c r="P2095" t="e">
        <v>#VALUE!</v>
      </c>
      <c r="Q2095" t="e">
        <v>#VALUE!</v>
      </c>
      <c r="R2095" t="s">
        <v>3201</v>
      </c>
      <c r="S2095" t="s">
        <v>13</v>
      </c>
    </row>
    <row r="2096" spans="1:19" x14ac:dyDescent="0.3">
      <c r="A2096" t="s">
        <v>883</v>
      </c>
      <c r="B2096" t="s">
        <v>1596</v>
      </c>
      <c r="C2096" t="s">
        <v>1822</v>
      </c>
      <c r="D2096" t="s">
        <v>3189</v>
      </c>
      <c r="E2096" t="s">
        <v>9</v>
      </c>
      <c r="F2096" s="2">
        <v>49</v>
      </c>
      <c r="G2096" t="s">
        <v>3197</v>
      </c>
      <c r="H2096" t="s">
        <v>51</v>
      </c>
      <c r="I2096" t="s">
        <v>11</v>
      </c>
      <c r="J2096" t="s">
        <v>3198</v>
      </c>
      <c r="K2096" t="s">
        <v>15</v>
      </c>
      <c r="L2096" s="2">
        <v>33</v>
      </c>
      <c r="M2096" t="s">
        <v>3203</v>
      </c>
      <c r="N2096">
        <v>1</v>
      </c>
      <c r="O2096" t="s">
        <v>30</v>
      </c>
      <c r="P2096" t="e">
        <v>#VALUE!</v>
      </c>
      <c r="Q2096" t="e">
        <v>#VALUE!</v>
      </c>
      <c r="R2096" t="s">
        <v>3201</v>
      </c>
      <c r="S2096" t="s">
        <v>13</v>
      </c>
    </row>
    <row r="2097" spans="1:19" x14ac:dyDescent="0.3">
      <c r="A2097" t="s">
        <v>883</v>
      </c>
      <c r="B2097" t="s">
        <v>1596</v>
      </c>
      <c r="C2097" t="s">
        <v>2914</v>
      </c>
      <c r="D2097" t="s">
        <v>3189</v>
      </c>
      <c r="E2097" t="s">
        <v>9</v>
      </c>
      <c r="F2097" s="2">
        <v>19</v>
      </c>
      <c r="G2097" t="s">
        <v>3206</v>
      </c>
      <c r="H2097" t="s">
        <v>69</v>
      </c>
      <c r="I2097" t="s">
        <v>11</v>
      </c>
      <c r="J2097" t="s">
        <v>3198</v>
      </c>
      <c r="K2097" t="s">
        <v>15</v>
      </c>
      <c r="L2097" s="2">
        <v>33</v>
      </c>
      <c r="M2097" t="s">
        <v>3203</v>
      </c>
      <c r="N2097">
        <v>1</v>
      </c>
      <c r="O2097" t="s">
        <v>30</v>
      </c>
      <c r="P2097" t="e">
        <v>#VALUE!</v>
      </c>
      <c r="Q2097" t="e">
        <v>#VALUE!</v>
      </c>
      <c r="R2097" t="s">
        <v>3201</v>
      </c>
      <c r="S2097" t="s">
        <v>13</v>
      </c>
    </row>
    <row r="2098" spans="1:19" x14ac:dyDescent="0.3">
      <c r="A2098" t="s">
        <v>883</v>
      </c>
      <c r="B2098" t="s">
        <v>1596</v>
      </c>
      <c r="C2098" t="s">
        <v>1621</v>
      </c>
      <c r="D2098" t="s">
        <v>3189</v>
      </c>
      <c r="E2098" t="s">
        <v>9</v>
      </c>
      <c r="F2098" s="2">
        <v>28</v>
      </c>
      <c r="G2098" t="s">
        <v>3206</v>
      </c>
      <c r="H2098" t="s">
        <v>51</v>
      </c>
      <c r="I2098" t="s">
        <v>11</v>
      </c>
      <c r="J2098" t="s">
        <v>3198</v>
      </c>
      <c r="K2098" t="s">
        <v>15</v>
      </c>
      <c r="L2098" s="2">
        <v>33</v>
      </c>
      <c r="M2098" t="s">
        <v>3203</v>
      </c>
      <c r="N2098">
        <v>1</v>
      </c>
      <c r="O2098" t="s">
        <v>30</v>
      </c>
      <c r="P2098" t="e">
        <v>#VALUE!</v>
      </c>
      <c r="Q2098" t="e">
        <v>#VALUE!</v>
      </c>
      <c r="R2098" t="s">
        <v>3205</v>
      </c>
      <c r="S2098" t="s">
        <v>16</v>
      </c>
    </row>
    <row r="2099" spans="1:19" x14ac:dyDescent="0.3">
      <c r="A2099" t="s">
        <v>883</v>
      </c>
      <c r="B2099" t="s">
        <v>1596</v>
      </c>
      <c r="C2099" t="s">
        <v>1716</v>
      </c>
      <c r="D2099" t="s">
        <v>3189</v>
      </c>
      <c r="E2099" t="s">
        <v>9</v>
      </c>
      <c r="F2099" s="2">
        <v>32</v>
      </c>
      <c r="G2099" t="s">
        <v>3206</v>
      </c>
      <c r="H2099" t="s">
        <v>69</v>
      </c>
      <c r="I2099" t="s">
        <v>11</v>
      </c>
      <c r="J2099" t="s">
        <v>3198</v>
      </c>
      <c r="K2099" t="s">
        <v>15</v>
      </c>
      <c r="L2099" s="2">
        <v>33</v>
      </c>
      <c r="M2099" t="s">
        <v>3203</v>
      </c>
      <c r="N2099">
        <v>1</v>
      </c>
      <c r="O2099" t="s">
        <v>30</v>
      </c>
      <c r="P2099" t="e">
        <v>#VALUE!</v>
      </c>
      <c r="Q2099" t="e">
        <v>#VALUE!</v>
      </c>
      <c r="R2099" t="s">
        <v>3201</v>
      </c>
      <c r="S2099" t="s">
        <v>13</v>
      </c>
    </row>
    <row r="2100" spans="1:19" x14ac:dyDescent="0.3">
      <c r="A2100" t="s">
        <v>1525</v>
      </c>
      <c r="B2100" t="s">
        <v>1596</v>
      </c>
      <c r="C2100" t="s">
        <v>3129</v>
      </c>
      <c r="D2100" t="s">
        <v>3189</v>
      </c>
      <c r="E2100" t="s">
        <v>9</v>
      </c>
      <c r="F2100" s="2">
        <v>19</v>
      </c>
      <c r="G2100" t="s">
        <v>3206</v>
      </c>
      <c r="H2100" t="s">
        <v>71</v>
      </c>
      <c r="I2100" t="s">
        <v>11</v>
      </c>
      <c r="J2100" t="s">
        <v>3198</v>
      </c>
      <c r="K2100" t="s">
        <v>15</v>
      </c>
      <c r="L2100" s="2">
        <v>33</v>
      </c>
      <c r="M2100" t="s">
        <v>3203</v>
      </c>
      <c r="N2100">
        <v>1</v>
      </c>
      <c r="O2100" t="s">
        <v>30</v>
      </c>
      <c r="P2100" t="e">
        <v>#VALUE!</v>
      </c>
      <c r="Q2100" t="e">
        <v>#VALUE!</v>
      </c>
      <c r="R2100" t="s">
        <v>3201</v>
      </c>
      <c r="S2100" t="s">
        <v>13</v>
      </c>
    </row>
    <row r="2101" spans="1:19" x14ac:dyDescent="0.3">
      <c r="A2101" t="s">
        <v>1525</v>
      </c>
      <c r="B2101" t="s">
        <v>1596</v>
      </c>
      <c r="C2101" t="s">
        <v>1945</v>
      </c>
      <c r="D2101" t="s">
        <v>3189</v>
      </c>
      <c r="E2101" t="s">
        <v>9</v>
      </c>
      <c r="F2101" s="2">
        <v>27</v>
      </c>
      <c r="G2101" t="s">
        <v>3206</v>
      </c>
      <c r="H2101" t="s">
        <v>69</v>
      </c>
      <c r="I2101" t="s">
        <v>11</v>
      </c>
      <c r="J2101" t="s">
        <v>3198</v>
      </c>
      <c r="K2101" t="s">
        <v>15</v>
      </c>
      <c r="L2101" s="2">
        <v>33</v>
      </c>
      <c r="M2101" t="s">
        <v>3203</v>
      </c>
      <c r="N2101">
        <v>1</v>
      </c>
      <c r="O2101" t="s">
        <v>30</v>
      </c>
      <c r="P2101" t="e">
        <v>#VALUE!</v>
      </c>
      <c r="Q2101" t="e">
        <v>#VALUE!</v>
      </c>
      <c r="R2101" t="s">
        <v>3205</v>
      </c>
      <c r="S2101" t="s">
        <v>16</v>
      </c>
    </row>
    <row r="2102" spans="1:19" x14ac:dyDescent="0.3">
      <c r="A2102" t="s">
        <v>1526</v>
      </c>
      <c r="B2102" t="s">
        <v>2719</v>
      </c>
      <c r="C2102" t="s">
        <v>3130</v>
      </c>
      <c r="D2102" t="s">
        <v>3189</v>
      </c>
      <c r="E2102" t="s">
        <v>9</v>
      </c>
      <c r="F2102" s="2">
        <v>23</v>
      </c>
      <c r="G2102" t="s">
        <v>3206</v>
      </c>
      <c r="H2102" t="s">
        <v>70</v>
      </c>
      <c r="I2102" t="s">
        <v>11</v>
      </c>
      <c r="J2102" t="s">
        <v>3198</v>
      </c>
      <c r="K2102" t="s">
        <v>15</v>
      </c>
      <c r="L2102" s="2">
        <v>33</v>
      </c>
      <c r="M2102" t="s">
        <v>3203</v>
      </c>
      <c r="N2102">
        <v>1</v>
      </c>
      <c r="O2102" t="s">
        <v>30</v>
      </c>
      <c r="P2102" t="e">
        <v>#VALUE!</v>
      </c>
      <c r="Q2102" t="e">
        <v>#VALUE!</v>
      </c>
      <c r="R2102" t="s">
        <v>3201</v>
      </c>
      <c r="S2102" t="s">
        <v>13</v>
      </c>
    </row>
    <row r="2103" spans="1:19" x14ac:dyDescent="0.3">
      <c r="A2103" t="s">
        <v>1527</v>
      </c>
      <c r="B2103" t="s">
        <v>1596</v>
      </c>
      <c r="C2103" t="s">
        <v>3131</v>
      </c>
      <c r="D2103" t="s">
        <v>3189</v>
      </c>
      <c r="E2103" t="s">
        <v>9</v>
      </c>
      <c r="F2103" s="2">
        <v>35</v>
      </c>
      <c r="G2103" t="s">
        <v>3206</v>
      </c>
      <c r="H2103" t="s">
        <v>69</v>
      </c>
      <c r="I2103" t="s">
        <v>11</v>
      </c>
      <c r="J2103" t="s">
        <v>3198</v>
      </c>
      <c r="K2103" t="s">
        <v>15</v>
      </c>
      <c r="L2103" s="2">
        <v>33</v>
      </c>
      <c r="M2103" t="s">
        <v>3203</v>
      </c>
      <c r="N2103">
        <v>1</v>
      </c>
      <c r="O2103" t="s">
        <v>30</v>
      </c>
      <c r="P2103" t="e">
        <v>#VALUE!</v>
      </c>
      <c r="Q2103" t="e">
        <v>#VALUE!</v>
      </c>
      <c r="R2103" t="s">
        <v>3201</v>
      </c>
      <c r="S2103" t="s">
        <v>13</v>
      </c>
    </row>
    <row r="2104" spans="1:19" x14ac:dyDescent="0.3">
      <c r="A2104" t="s">
        <v>1528</v>
      </c>
      <c r="B2104" t="s">
        <v>1596</v>
      </c>
      <c r="C2104" t="s">
        <v>3132</v>
      </c>
      <c r="D2104" t="s">
        <v>3189</v>
      </c>
      <c r="E2104" t="s">
        <v>9</v>
      </c>
      <c r="F2104" s="2">
        <v>17</v>
      </c>
      <c r="G2104" t="s">
        <v>3202</v>
      </c>
      <c r="H2104" t="s">
        <v>69</v>
      </c>
      <c r="I2104" t="s">
        <v>11</v>
      </c>
      <c r="J2104" t="s">
        <v>3198</v>
      </c>
      <c r="K2104" t="s">
        <v>15</v>
      </c>
      <c r="L2104" s="2">
        <v>33</v>
      </c>
      <c r="M2104" t="s">
        <v>3203</v>
      </c>
      <c r="N2104">
        <v>1</v>
      </c>
      <c r="O2104" t="s">
        <v>30</v>
      </c>
      <c r="P2104" t="e">
        <v>#VALUE!</v>
      </c>
      <c r="Q2104" t="e">
        <v>#VALUE!</v>
      </c>
      <c r="R2104" t="s">
        <v>3201</v>
      </c>
      <c r="S2104" t="s">
        <v>13</v>
      </c>
    </row>
    <row r="2105" spans="1:19" x14ac:dyDescent="0.3">
      <c r="A2105" t="s">
        <v>1529</v>
      </c>
      <c r="B2105" t="s">
        <v>1596</v>
      </c>
      <c r="C2105" t="s">
        <v>2373</v>
      </c>
      <c r="D2105" t="s">
        <v>3189</v>
      </c>
      <c r="E2105" t="s">
        <v>9</v>
      </c>
      <c r="F2105" s="2">
        <v>46</v>
      </c>
      <c r="G2105" t="s">
        <v>3197</v>
      </c>
      <c r="H2105" t="s">
        <v>69</v>
      </c>
      <c r="I2105" t="s">
        <v>11</v>
      </c>
      <c r="J2105" t="s">
        <v>3198</v>
      </c>
      <c r="K2105" t="s">
        <v>15</v>
      </c>
      <c r="L2105" s="2">
        <v>33</v>
      </c>
      <c r="M2105" t="s">
        <v>3203</v>
      </c>
      <c r="N2105">
        <v>1</v>
      </c>
      <c r="O2105" t="s">
        <v>30</v>
      </c>
      <c r="P2105" t="e">
        <v>#VALUE!</v>
      </c>
      <c r="Q2105" t="e">
        <v>#VALUE!</v>
      </c>
      <c r="R2105" t="s">
        <v>3205</v>
      </c>
      <c r="S2105" t="s">
        <v>16</v>
      </c>
    </row>
    <row r="2106" spans="1:19" x14ac:dyDescent="0.3">
      <c r="A2106" t="s">
        <v>1530</v>
      </c>
      <c r="B2106" t="s">
        <v>1596</v>
      </c>
      <c r="C2106" t="s">
        <v>3133</v>
      </c>
      <c r="D2106" t="s">
        <v>3189</v>
      </c>
      <c r="E2106" t="s">
        <v>9</v>
      </c>
      <c r="F2106" s="2">
        <v>23</v>
      </c>
      <c r="G2106" t="s">
        <v>3206</v>
      </c>
      <c r="H2106" t="s">
        <v>69</v>
      </c>
      <c r="I2106" t="s">
        <v>11</v>
      </c>
      <c r="J2106" t="s">
        <v>3198</v>
      </c>
      <c r="K2106" t="s">
        <v>15</v>
      </c>
      <c r="L2106" s="2">
        <v>33</v>
      </c>
      <c r="M2106" t="s">
        <v>3203</v>
      </c>
      <c r="N2106">
        <v>1</v>
      </c>
      <c r="O2106" t="s">
        <v>30</v>
      </c>
      <c r="P2106" t="e">
        <v>#VALUE!</v>
      </c>
      <c r="Q2106" t="e">
        <v>#VALUE!</v>
      </c>
      <c r="R2106" t="s">
        <v>3205</v>
      </c>
      <c r="S2106" t="s">
        <v>16</v>
      </c>
    </row>
    <row r="2107" spans="1:19" x14ac:dyDescent="0.3">
      <c r="A2107" t="s">
        <v>1530</v>
      </c>
      <c r="B2107" t="s">
        <v>1596</v>
      </c>
      <c r="C2107" t="s">
        <v>3134</v>
      </c>
      <c r="D2107" t="s">
        <v>3189</v>
      </c>
      <c r="E2107" t="s">
        <v>9</v>
      </c>
      <c r="F2107" s="2">
        <v>30</v>
      </c>
      <c r="G2107" t="s">
        <v>3206</v>
      </c>
      <c r="H2107" t="s">
        <v>69</v>
      </c>
      <c r="I2107" t="s">
        <v>28</v>
      </c>
      <c r="J2107" t="s">
        <v>3212</v>
      </c>
      <c r="K2107" t="s">
        <v>15</v>
      </c>
      <c r="L2107" s="2">
        <v>33</v>
      </c>
      <c r="M2107" t="s">
        <v>3203</v>
      </c>
      <c r="N2107">
        <v>1</v>
      </c>
      <c r="O2107" t="s">
        <v>30</v>
      </c>
      <c r="P2107" t="e">
        <v>#VALUE!</v>
      </c>
      <c r="Q2107" t="e">
        <v>#VALUE!</v>
      </c>
      <c r="R2107" t="s">
        <v>3205</v>
      </c>
      <c r="S2107" t="s">
        <v>16</v>
      </c>
    </row>
    <row r="2108" spans="1:19" x14ac:dyDescent="0.3">
      <c r="A2108" t="s">
        <v>1530</v>
      </c>
      <c r="B2108" t="s">
        <v>1596</v>
      </c>
      <c r="C2108" t="s">
        <v>3135</v>
      </c>
      <c r="D2108" t="s">
        <v>3189</v>
      </c>
      <c r="E2108" t="s">
        <v>9</v>
      </c>
      <c r="F2108" s="2">
        <v>24</v>
      </c>
      <c r="G2108" t="s">
        <v>3206</v>
      </c>
      <c r="H2108" t="s">
        <v>51</v>
      </c>
      <c r="I2108" t="s">
        <v>11</v>
      </c>
      <c r="J2108" t="s">
        <v>3198</v>
      </c>
      <c r="K2108" t="s">
        <v>15</v>
      </c>
      <c r="L2108" s="2">
        <v>33</v>
      </c>
      <c r="M2108" t="s">
        <v>3203</v>
      </c>
      <c r="N2108">
        <v>1</v>
      </c>
      <c r="O2108" t="s">
        <v>30</v>
      </c>
      <c r="P2108" t="e">
        <v>#VALUE!</v>
      </c>
      <c r="Q2108" t="e">
        <v>#VALUE!</v>
      </c>
      <c r="R2108" t="s">
        <v>3201</v>
      </c>
      <c r="S2108" t="s">
        <v>13</v>
      </c>
    </row>
    <row r="2109" spans="1:19" x14ac:dyDescent="0.3">
      <c r="A2109" t="s">
        <v>888</v>
      </c>
      <c r="B2109" t="s">
        <v>1596</v>
      </c>
      <c r="C2109" t="s">
        <v>2092</v>
      </c>
      <c r="D2109" t="s">
        <v>3189</v>
      </c>
      <c r="E2109" t="s">
        <v>9</v>
      </c>
      <c r="F2109" s="2">
        <v>25</v>
      </c>
      <c r="G2109" t="s">
        <v>3206</v>
      </c>
      <c r="H2109" t="s">
        <v>69</v>
      </c>
      <c r="I2109" t="s">
        <v>28</v>
      </c>
      <c r="J2109" t="s">
        <v>3212</v>
      </c>
      <c r="K2109" t="s">
        <v>15</v>
      </c>
      <c r="L2109" s="2">
        <v>33</v>
      </c>
      <c r="M2109" t="s">
        <v>3203</v>
      </c>
      <c r="N2109">
        <v>1</v>
      </c>
      <c r="O2109" t="s">
        <v>30</v>
      </c>
      <c r="P2109" t="e">
        <v>#VALUE!</v>
      </c>
      <c r="Q2109" t="e">
        <v>#VALUE!</v>
      </c>
      <c r="R2109" t="s">
        <v>3201</v>
      </c>
      <c r="S2109" t="s">
        <v>13</v>
      </c>
    </row>
    <row r="2110" spans="1:19" x14ac:dyDescent="0.3">
      <c r="A2110" t="s">
        <v>888</v>
      </c>
      <c r="B2110" t="s">
        <v>1596</v>
      </c>
      <c r="C2110" t="s">
        <v>2974</v>
      </c>
      <c r="D2110" t="s">
        <v>3189</v>
      </c>
      <c r="E2110" t="s">
        <v>9</v>
      </c>
      <c r="F2110" s="2">
        <v>35</v>
      </c>
      <c r="G2110" t="s">
        <v>3206</v>
      </c>
      <c r="H2110" t="s">
        <v>51</v>
      </c>
      <c r="I2110" t="s">
        <v>11</v>
      </c>
      <c r="J2110" t="s">
        <v>3198</v>
      </c>
      <c r="K2110" t="s">
        <v>15</v>
      </c>
      <c r="L2110" s="2">
        <v>33</v>
      </c>
      <c r="M2110" t="s">
        <v>3203</v>
      </c>
      <c r="N2110">
        <v>1</v>
      </c>
      <c r="O2110" t="s">
        <v>30</v>
      </c>
      <c r="P2110" t="e">
        <v>#VALUE!</v>
      </c>
      <c r="Q2110" t="e">
        <v>#VALUE!</v>
      </c>
      <c r="R2110" t="s">
        <v>3205</v>
      </c>
      <c r="S2110" t="s">
        <v>16</v>
      </c>
    </row>
    <row r="2111" spans="1:19" x14ac:dyDescent="0.3">
      <c r="A2111" t="s">
        <v>1531</v>
      </c>
      <c r="B2111" t="s">
        <v>1596</v>
      </c>
      <c r="C2111" t="s">
        <v>1619</v>
      </c>
      <c r="D2111" t="s">
        <v>3189</v>
      </c>
      <c r="E2111" t="s">
        <v>9</v>
      </c>
      <c r="F2111" s="2">
        <v>39</v>
      </c>
      <c r="G2111" t="s">
        <v>3197</v>
      </c>
      <c r="H2111" t="s">
        <v>69</v>
      </c>
      <c r="I2111" t="s">
        <v>11</v>
      </c>
      <c r="J2111" t="s">
        <v>3198</v>
      </c>
      <c r="K2111" t="s">
        <v>15</v>
      </c>
      <c r="L2111" s="2">
        <v>33</v>
      </c>
      <c r="M2111" t="s">
        <v>3203</v>
      </c>
      <c r="N2111">
        <v>1</v>
      </c>
      <c r="O2111" t="s">
        <v>30</v>
      </c>
      <c r="P2111" t="e">
        <v>#VALUE!</v>
      </c>
      <c r="Q2111" t="e">
        <v>#VALUE!</v>
      </c>
      <c r="R2111" t="s">
        <v>3201</v>
      </c>
      <c r="S2111" t="s">
        <v>13</v>
      </c>
    </row>
    <row r="2112" spans="1:19" x14ac:dyDescent="0.3">
      <c r="A2112" t="s">
        <v>1532</v>
      </c>
      <c r="B2112" t="s">
        <v>1596</v>
      </c>
      <c r="C2112" t="s">
        <v>1630</v>
      </c>
      <c r="D2112" t="s">
        <v>3189</v>
      </c>
      <c r="E2112" t="s">
        <v>9</v>
      </c>
      <c r="F2112" s="2">
        <v>25</v>
      </c>
      <c r="G2112" t="s">
        <v>3206</v>
      </c>
      <c r="H2112" t="s">
        <v>69</v>
      </c>
      <c r="I2112" t="s">
        <v>11</v>
      </c>
      <c r="J2112" t="s">
        <v>3198</v>
      </c>
      <c r="K2112" t="s">
        <v>15</v>
      </c>
      <c r="L2112" s="2">
        <v>33</v>
      </c>
      <c r="M2112" t="s">
        <v>3203</v>
      </c>
      <c r="N2112">
        <v>1</v>
      </c>
      <c r="O2112" t="s">
        <v>30</v>
      </c>
      <c r="P2112" t="e">
        <v>#VALUE!</v>
      </c>
      <c r="Q2112" t="e">
        <v>#VALUE!</v>
      </c>
      <c r="R2112" t="s">
        <v>3201</v>
      </c>
      <c r="S2112" t="s">
        <v>13</v>
      </c>
    </row>
    <row r="2113" spans="1:19" x14ac:dyDescent="0.3">
      <c r="A2113" t="s">
        <v>1533</v>
      </c>
      <c r="B2113" t="s">
        <v>1596</v>
      </c>
      <c r="C2113" t="s">
        <v>1645</v>
      </c>
      <c r="D2113" t="s">
        <v>3189</v>
      </c>
      <c r="E2113" t="s">
        <v>9</v>
      </c>
      <c r="F2113" s="2">
        <v>44</v>
      </c>
      <c r="G2113" t="s">
        <v>3197</v>
      </c>
      <c r="H2113" t="s">
        <v>51</v>
      </c>
      <c r="I2113" t="s">
        <v>11</v>
      </c>
      <c r="J2113" t="s">
        <v>3198</v>
      </c>
      <c r="K2113" t="s">
        <v>15</v>
      </c>
      <c r="L2113" s="2">
        <v>33</v>
      </c>
      <c r="M2113" t="s">
        <v>3203</v>
      </c>
      <c r="N2113">
        <v>1</v>
      </c>
      <c r="O2113" t="s">
        <v>30</v>
      </c>
      <c r="P2113" t="e">
        <v>#VALUE!</v>
      </c>
      <c r="Q2113" t="e">
        <v>#VALUE!</v>
      </c>
      <c r="R2113" t="s">
        <v>3205</v>
      </c>
      <c r="S2113" t="s">
        <v>16</v>
      </c>
    </row>
    <row r="2114" spans="1:19" x14ac:dyDescent="0.3">
      <c r="A2114" t="s">
        <v>1534</v>
      </c>
      <c r="B2114" t="s">
        <v>1596</v>
      </c>
      <c r="C2114" t="s">
        <v>3136</v>
      </c>
      <c r="D2114" t="s">
        <v>3189</v>
      </c>
      <c r="E2114" t="s">
        <v>9</v>
      </c>
      <c r="F2114" s="2">
        <v>25</v>
      </c>
      <c r="G2114" t="s">
        <v>3206</v>
      </c>
      <c r="H2114" t="s">
        <v>51</v>
      </c>
      <c r="I2114" t="s">
        <v>11</v>
      </c>
      <c r="J2114" t="s">
        <v>3198</v>
      </c>
      <c r="K2114" t="s">
        <v>15</v>
      </c>
      <c r="L2114" s="2">
        <v>33</v>
      </c>
      <c r="M2114" t="s">
        <v>3203</v>
      </c>
      <c r="N2114">
        <v>1</v>
      </c>
      <c r="O2114" t="s">
        <v>30</v>
      </c>
      <c r="P2114" t="e">
        <v>#VALUE!</v>
      </c>
      <c r="Q2114" t="e">
        <v>#VALUE!</v>
      </c>
      <c r="R2114" t="s">
        <v>3205</v>
      </c>
      <c r="S2114" t="s">
        <v>16</v>
      </c>
    </row>
    <row r="2115" spans="1:19" x14ac:dyDescent="0.3">
      <c r="A2115" t="s">
        <v>1535</v>
      </c>
      <c r="B2115" t="s">
        <v>2719</v>
      </c>
      <c r="C2115" t="s">
        <v>3137</v>
      </c>
      <c r="D2115" t="s">
        <v>3189</v>
      </c>
      <c r="E2115" t="s">
        <v>9</v>
      </c>
      <c r="F2115" s="2">
        <v>27</v>
      </c>
      <c r="G2115" t="s">
        <v>3206</v>
      </c>
      <c r="H2115" t="s">
        <v>70</v>
      </c>
      <c r="I2115" t="s">
        <v>11</v>
      </c>
      <c r="J2115" t="s">
        <v>3198</v>
      </c>
      <c r="K2115" t="s">
        <v>15</v>
      </c>
      <c r="L2115" s="2">
        <v>33</v>
      </c>
      <c r="M2115" t="s">
        <v>3203</v>
      </c>
      <c r="N2115">
        <v>1</v>
      </c>
      <c r="O2115" t="s">
        <v>30</v>
      </c>
      <c r="P2115" t="e">
        <v>#VALUE!</v>
      </c>
      <c r="Q2115" t="e">
        <v>#VALUE!</v>
      </c>
      <c r="R2115" t="s">
        <v>3201</v>
      </c>
      <c r="S2115" t="s">
        <v>13</v>
      </c>
    </row>
    <row r="2116" spans="1:19" x14ac:dyDescent="0.3">
      <c r="A2116" t="s">
        <v>1536</v>
      </c>
      <c r="B2116" t="s">
        <v>1596</v>
      </c>
      <c r="C2116" t="s">
        <v>3138</v>
      </c>
      <c r="D2116" t="s">
        <v>3189</v>
      </c>
      <c r="E2116" t="s">
        <v>9</v>
      </c>
      <c r="F2116" s="2">
        <v>31</v>
      </c>
      <c r="G2116" t="s">
        <v>3206</v>
      </c>
      <c r="H2116" t="s">
        <v>51</v>
      </c>
      <c r="I2116" t="s">
        <v>11</v>
      </c>
      <c r="J2116" t="s">
        <v>3198</v>
      </c>
      <c r="K2116" t="s">
        <v>15</v>
      </c>
      <c r="L2116" s="2">
        <v>33</v>
      </c>
      <c r="M2116" t="s">
        <v>3203</v>
      </c>
      <c r="N2116">
        <v>1</v>
      </c>
      <c r="O2116" t="s">
        <v>30</v>
      </c>
      <c r="P2116" t="e">
        <v>#VALUE!</v>
      </c>
      <c r="Q2116" t="e">
        <v>#VALUE!</v>
      </c>
      <c r="R2116" t="s">
        <v>3201</v>
      </c>
      <c r="S2116" t="s">
        <v>13</v>
      </c>
    </row>
    <row r="2117" spans="1:19" x14ac:dyDescent="0.3">
      <c r="A2117" t="s">
        <v>1537</v>
      </c>
      <c r="B2117" t="s">
        <v>1596</v>
      </c>
      <c r="C2117" t="s">
        <v>2900</v>
      </c>
      <c r="D2117" t="s">
        <v>3189</v>
      </c>
      <c r="E2117" t="s">
        <v>9</v>
      </c>
      <c r="F2117" s="2">
        <v>29</v>
      </c>
      <c r="G2117" t="s">
        <v>3206</v>
      </c>
      <c r="H2117" t="s">
        <v>69</v>
      </c>
      <c r="I2117" t="s">
        <v>28</v>
      </c>
      <c r="J2117" t="s">
        <v>3212</v>
      </c>
      <c r="K2117" t="s">
        <v>15</v>
      </c>
      <c r="L2117" s="2">
        <v>33</v>
      </c>
      <c r="M2117" t="s">
        <v>3203</v>
      </c>
      <c r="N2117">
        <v>1</v>
      </c>
      <c r="O2117" t="s">
        <v>30</v>
      </c>
      <c r="P2117" t="e">
        <v>#VALUE!</v>
      </c>
      <c r="Q2117" t="e">
        <v>#VALUE!</v>
      </c>
      <c r="R2117" t="s">
        <v>3205</v>
      </c>
      <c r="S2117" t="s">
        <v>16</v>
      </c>
    </row>
    <row r="2118" spans="1:19" x14ac:dyDescent="0.3">
      <c r="A2118" t="s">
        <v>1538</v>
      </c>
      <c r="B2118" t="s">
        <v>1596</v>
      </c>
      <c r="C2118" t="s">
        <v>1645</v>
      </c>
      <c r="D2118" t="s">
        <v>3189</v>
      </c>
      <c r="E2118" t="s">
        <v>9</v>
      </c>
      <c r="F2118" s="2">
        <v>28</v>
      </c>
      <c r="G2118" t="s">
        <v>3206</v>
      </c>
      <c r="H2118" t="s">
        <v>69</v>
      </c>
      <c r="I2118" t="s">
        <v>11</v>
      </c>
      <c r="J2118" t="s">
        <v>3198</v>
      </c>
      <c r="K2118" t="s">
        <v>15</v>
      </c>
      <c r="L2118" s="2">
        <v>33</v>
      </c>
      <c r="M2118" t="s">
        <v>3203</v>
      </c>
      <c r="N2118">
        <v>1</v>
      </c>
      <c r="O2118" t="s">
        <v>30</v>
      </c>
      <c r="P2118" t="e">
        <v>#VALUE!</v>
      </c>
      <c r="Q2118" t="e">
        <v>#VALUE!</v>
      </c>
      <c r="R2118" t="s">
        <v>3201</v>
      </c>
      <c r="S2118" t="s">
        <v>13</v>
      </c>
    </row>
    <row r="2119" spans="1:19" x14ac:dyDescent="0.3">
      <c r="A2119" t="s">
        <v>1539</v>
      </c>
      <c r="B2119" t="s">
        <v>1596</v>
      </c>
      <c r="C2119" t="s">
        <v>3139</v>
      </c>
      <c r="D2119" t="s">
        <v>3189</v>
      </c>
      <c r="E2119" t="s">
        <v>9</v>
      </c>
      <c r="F2119" s="2">
        <v>30</v>
      </c>
      <c r="G2119" t="s">
        <v>3206</v>
      </c>
      <c r="H2119" t="s">
        <v>69</v>
      </c>
      <c r="I2119" t="s">
        <v>11</v>
      </c>
      <c r="J2119" t="s">
        <v>3198</v>
      </c>
      <c r="K2119" t="s">
        <v>43</v>
      </c>
      <c r="L2119" s="2">
        <v>33</v>
      </c>
      <c r="M2119" t="s">
        <v>3203</v>
      </c>
      <c r="N2119">
        <v>1</v>
      </c>
      <c r="O2119" t="s">
        <v>30</v>
      </c>
      <c r="P2119" t="e">
        <v>#VALUE!</v>
      </c>
      <c r="Q2119" t="e">
        <v>#VALUE!</v>
      </c>
      <c r="R2119" t="s">
        <v>3201</v>
      </c>
      <c r="S2119" t="s">
        <v>13</v>
      </c>
    </row>
    <row r="2120" spans="1:19" x14ac:dyDescent="0.3">
      <c r="A2120" t="s">
        <v>1540</v>
      </c>
      <c r="B2120" t="s">
        <v>1596</v>
      </c>
      <c r="C2120" t="s">
        <v>1965</v>
      </c>
      <c r="D2120" t="s">
        <v>3189</v>
      </c>
      <c r="E2120" t="s">
        <v>9</v>
      </c>
      <c r="F2120" s="2">
        <v>32</v>
      </c>
      <c r="G2120" t="s">
        <v>3206</v>
      </c>
      <c r="H2120" t="s">
        <v>51</v>
      </c>
      <c r="I2120" t="s">
        <v>11</v>
      </c>
      <c r="J2120" t="s">
        <v>3198</v>
      </c>
      <c r="K2120" t="s">
        <v>15</v>
      </c>
      <c r="L2120" s="2">
        <v>33</v>
      </c>
      <c r="M2120" t="s">
        <v>3203</v>
      </c>
      <c r="N2120">
        <v>1</v>
      </c>
      <c r="O2120" t="s">
        <v>30</v>
      </c>
      <c r="P2120" t="e">
        <v>#VALUE!</v>
      </c>
      <c r="Q2120" t="e">
        <v>#VALUE!</v>
      </c>
      <c r="R2120" t="s">
        <v>3201</v>
      </c>
      <c r="S2120" t="s">
        <v>13</v>
      </c>
    </row>
    <row r="2121" spans="1:19" x14ac:dyDescent="0.3">
      <c r="A2121" t="s">
        <v>1541</v>
      </c>
      <c r="B2121" t="s">
        <v>1596</v>
      </c>
      <c r="C2121" t="s">
        <v>3140</v>
      </c>
      <c r="D2121" t="s">
        <v>3189</v>
      </c>
      <c r="E2121" t="s">
        <v>9</v>
      </c>
      <c r="F2121" s="2">
        <v>39</v>
      </c>
      <c r="G2121" t="s">
        <v>3197</v>
      </c>
      <c r="H2121" t="s">
        <v>51</v>
      </c>
      <c r="I2121" t="s">
        <v>11</v>
      </c>
      <c r="J2121" t="s">
        <v>3198</v>
      </c>
      <c r="K2121" t="s">
        <v>15</v>
      </c>
      <c r="L2121" s="2">
        <v>33</v>
      </c>
      <c r="M2121" t="s">
        <v>3203</v>
      </c>
      <c r="N2121">
        <v>1</v>
      </c>
      <c r="O2121" t="s">
        <v>30</v>
      </c>
      <c r="P2121" t="e">
        <v>#VALUE!</v>
      </c>
      <c r="Q2121" t="e">
        <v>#VALUE!</v>
      </c>
      <c r="R2121" t="s">
        <v>3205</v>
      </c>
      <c r="S2121" t="s">
        <v>16</v>
      </c>
    </row>
    <row r="2122" spans="1:19" x14ac:dyDescent="0.3">
      <c r="A2122" t="s">
        <v>1542</v>
      </c>
      <c r="B2122" t="s">
        <v>1596</v>
      </c>
      <c r="C2122" t="s">
        <v>1996</v>
      </c>
      <c r="D2122" t="s">
        <v>3189</v>
      </c>
      <c r="E2122" t="s">
        <v>9</v>
      </c>
      <c r="F2122" s="2">
        <v>37</v>
      </c>
      <c r="G2122" t="s">
        <v>3197</v>
      </c>
      <c r="H2122" t="s">
        <v>51</v>
      </c>
      <c r="I2122" t="s">
        <v>28</v>
      </c>
      <c r="J2122" t="s">
        <v>3212</v>
      </c>
      <c r="K2122" t="s">
        <v>37</v>
      </c>
      <c r="L2122" s="2">
        <v>33</v>
      </c>
      <c r="M2122" t="s">
        <v>3203</v>
      </c>
      <c r="N2122">
        <v>1</v>
      </c>
      <c r="O2122" t="s">
        <v>30</v>
      </c>
      <c r="P2122" t="e">
        <v>#VALUE!</v>
      </c>
      <c r="Q2122" t="e">
        <v>#VALUE!</v>
      </c>
      <c r="R2122" t="s">
        <v>3201</v>
      </c>
      <c r="S2122" t="s">
        <v>13</v>
      </c>
    </row>
    <row r="2123" spans="1:19" x14ac:dyDescent="0.3">
      <c r="A2123" t="s">
        <v>1543</v>
      </c>
      <c r="B2123" t="s">
        <v>1596</v>
      </c>
      <c r="C2123" t="s">
        <v>2603</v>
      </c>
      <c r="D2123" t="s">
        <v>3189</v>
      </c>
      <c r="E2123" t="s">
        <v>9</v>
      </c>
      <c r="F2123" s="2">
        <v>42</v>
      </c>
      <c r="G2123" t="s">
        <v>3197</v>
      </c>
      <c r="H2123" t="s">
        <v>69</v>
      </c>
      <c r="I2123" t="s">
        <v>11</v>
      </c>
      <c r="J2123" t="s">
        <v>3198</v>
      </c>
      <c r="K2123" t="s">
        <v>15</v>
      </c>
      <c r="L2123" s="2">
        <v>33</v>
      </c>
      <c r="M2123" t="s">
        <v>3203</v>
      </c>
      <c r="N2123">
        <v>1</v>
      </c>
      <c r="O2123" t="s">
        <v>30</v>
      </c>
      <c r="P2123" t="e">
        <v>#VALUE!</v>
      </c>
      <c r="Q2123" t="e">
        <v>#VALUE!</v>
      </c>
      <c r="R2123" t="s">
        <v>3201</v>
      </c>
      <c r="S2123" t="s">
        <v>13</v>
      </c>
    </row>
    <row r="2124" spans="1:19" x14ac:dyDescent="0.3">
      <c r="A2124" t="s">
        <v>1543</v>
      </c>
      <c r="B2124" t="s">
        <v>1596</v>
      </c>
      <c r="C2124" t="s">
        <v>3141</v>
      </c>
      <c r="D2124" t="s">
        <v>3189</v>
      </c>
      <c r="E2124" t="s">
        <v>9</v>
      </c>
      <c r="F2124" s="2">
        <v>28</v>
      </c>
      <c r="G2124" t="s">
        <v>3206</v>
      </c>
      <c r="H2124" t="s">
        <v>69</v>
      </c>
      <c r="I2124" t="s">
        <v>28</v>
      </c>
      <c r="J2124" t="s">
        <v>3212</v>
      </c>
      <c r="K2124" t="s">
        <v>15</v>
      </c>
      <c r="L2124" s="2">
        <v>33</v>
      </c>
      <c r="M2124" t="s">
        <v>3203</v>
      </c>
      <c r="N2124">
        <v>1</v>
      </c>
      <c r="O2124" t="s">
        <v>30</v>
      </c>
      <c r="P2124" t="e">
        <v>#VALUE!</v>
      </c>
      <c r="Q2124" t="e">
        <v>#VALUE!</v>
      </c>
      <c r="R2124" t="s">
        <v>3201</v>
      </c>
      <c r="S2124" t="s">
        <v>13</v>
      </c>
    </row>
    <row r="2125" spans="1:19" x14ac:dyDescent="0.3">
      <c r="A2125" t="s">
        <v>1544</v>
      </c>
      <c r="B2125" t="s">
        <v>1596</v>
      </c>
      <c r="C2125" t="s">
        <v>2801</v>
      </c>
      <c r="D2125" t="s">
        <v>3189</v>
      </c>
      <c r="E2125" t="s">
        <v>9</v>
      </c>
      <c r="F2125" s="2">
        <v>17</v>
      </c>
      <c r="G2125" t="s">
        <v>3202</v>
      </c>
      <c r="H2125" t="s">
        <v>70</v>
      </c>
      <c r="I2125" t="s">
        <v>11</v>
      </c>
      <c r="J2125" t="s">
        <v>3198</v>
      </c>
      <c r="K2125" t="s">
        <v>15</v>
      </c>
      <c r="L2125" s="2">
        <v>33</v>
      </c>
      <c r="M2125" t="s">
        <v>3203</v>
      </c>
      <c r="N2125">
        <v>1</v>
      </c>
      <c r="O2125" t="s">
        <v>30</v>
      </c>
      <c r="P2125" t="e">
        <v>#VALUE!</v>
      </c>
      <c r="Q2125" t="e">
        <v>#VALUE!</v>
      </c>
      <c r="R2125" t="s">
        <v>3201</v>
      </c>
      <c r="S2125" t="s">
        <v>13</v>
      </c>
    </row>
    <row r="2126" spans="1:19" x14ac:dyDescent="0.3">
      <c r="A2126" t="s">
        <v>1545</v>
      </c>
      <c r="B2126" t="s">
        <v>2719</v>
      </c>
      <c r="C2126" t="s">
        <v>3142</v>
      </c>
      <c r="D2126" t="s">
        <v>3189</v>
      </c>
      <c r="E2126" t="s">
        <v>9</v>
      </c>
      <c r="F2126" s="2">
        <v>20</v>
      </c>
      <c r="G2126" t="s">
        <v>3206</v>
      </c>
      <c r="H2126" t="s">
        <v>70</v>
      </c>
      <c r="I2126" t="s">
        <v>11</v>
      </c>
      <c r="J2126" t="s">
        <v>3198</v>
      </c>
      <c r="K2126" t="s">
        <v>38</v>
      </c>
      <c r="L2126" s="2">
        <v>33</v>
      </c>
      <c r="M2126" t="s">
        <v>3203</v>
      </c>
      <c r="N2126">
        <v>1</v>
      </c>
      <c r="O2126" t="s">
        <v>30</v>
      </c>
      <c r="P2126" t="e">
        <v>#VALUE!</v>
      </c>
      <c r="Q2126" t="e">
        <v>#VALUE!</v>
      </c>
      <c r="R2126" t="s">
        <v>3201</v>
      </c>
      <c r="S2126" t="s">
        <v>13</v>
      </c>
    </row>
    <row r="2127" spans="1:19" x14ac:dyDescent="0.3">
      <c r="A2127" t="s">
        <v>1546</v>
      </c>
      <c r="B2127" t="s">
        <v>2719</v>
      </c>
      <c r="C2127" t="s">
        <v>3143</v>
      </c>
      <c r="D2127" t="s">
        <v>3189</v>
      </c>
      <c r="E2127" t="s">
        <v>9</v>
      </c>
      <c r="F2127" s="2">
        <v>35</v>
      </c>
      <c r="G2127" t="s">
        <v>3206</v>
      </c>
      <c r="H2127" t="s">
        <v>70</v>
      </c>
      <c r="I2127" t="s">
        <v>11</v>
      </c>
      <c r="J2127" t="s">
        <v>3198</v>
      </c>
      <c r="K2127" t="s">
        <v>15</v>
      </c>
      <c r="L2127" s="2">
        <v>33</v>
      </c>
      <c r="M2127" t="s">
        <v>3203</v>
      </c>
      <c r="N2127">
        <v>1</v>
      </c>
      <c r="O2127" t="s">
        <v>30</v>
      </c>
      <c r="P2127" t="e">
        <v>#VALUE!</v>
      </c>
      <c r="Q2127" t="e">
        <v>#VALUE!</v>
      </c>
      <c r="R2127" t="s">
        <v>3201</v>
      </c>
      <c r="S2127" t="s">
        <v>13</v>
      </c>
    </row>
    <row r="2128" spans="1:19" x14ac:dyDescent="0.3">
      <c r="A2128" t="s">
        <v>1547</v>
      </c>
      <c r="B2128" t="s">
        <v>1596</v>
      </c>
      <c r="C2128" t="s">
        <v>3144</v>
      </c>
      <c r="D2128" t="s">
        <v>3189</v>
      </c>
      <c r="E2128" t="s">
        <v>9</v>
      </c>
      <c r="F2128" s="2">
        <v>38</v>
      </c>
      <c r="G2128" t="s">
        <v>3197</v>
      </c>
      <c r="H2128" t="s">
        <v>51</v>
      </c>
      <c r="I2128" t="s">
        <v>11</v>
      </c>
      <c r="J2128" t="s">
        <v>3198</v>
      </c>
      <c r="K2128" t="s">
        <v>67</v>
      </c>
      <c r="L2128" s="2">
        <v>33</v>
      </c>
      <c r="M2128" t="s">
        <v>3203</v>
      </c>
      <c r="N2128">
        <v>1</v>
      </c>
      <c r="O2128" t="s">
        <v>30</v>
      </c>
      <c r="P2128" t="e">
        <v>#VALUE!</v>
      </c>
      <c r="Q2128" t="e">
        <v>#VALUE!</v>
      </c>
      <c r="R2128" t="s">
        <v>3201</v>
      </c>
      <c r="S2128" t="s">
        <v>13</v>
      </c>
    </row>
    <row r="2129" spans="1:19" x14ac:dyDescent="0.3">
      <c r="A2129" t="s">
        <v>920</v>
      </c>
      <c r="B2129" t="s">
        <v>1596</v>
      </c>
      <c r="C2129" t="s">
        <v>1976</v>
      </c>
      <c r="D2129" t="s">
        <v>3189</v>
      </c>
      <c r="E2129" t="s">
        <v>9</v>
      </c>
      <c r="F2129" s="2">
        <v>36</v>
      </c>
      <c r="G2129" t="s">
        <v>3197</v>
      </c>
      <c r="H2129" t="s">
        <v>51</v>
      </c>
      <c r="I2129" t="s">
        <v>11</v>
      </c>
      <c r="J2129" t="s">
        <v>3198</v>
      </c>
      <c r="K2129" t="s">
        <v>15</v>
      </c>
      <c r="L2129" s="2">
        <v>33</v>
      </c>
      <c r="M2129" t="s">
        <v>3203</v>
      </c>
      <c r="N2129">
        <v>1</v>
      </c>
      <c r="O2129" t="s">
        <v>30</v>
      </c>
      <c r="P2129" t="e">
        <v>#VALUE!</v>
      </c>
      <c r="Q2129" t="e">
        <v>#VALUE!</v>
      </c>
      <c r="R2129" t="s">
        <v>3201</v>
      </c>
      <c r="S2129" t="s">
        <v>13</v>
      </c>
    </row>
    <row r="2130" spans="1:19" x14ac:dyDescent="0.3">
      <c r="A2130" t="s">
        <v>920</v>
      </c>
      <c r="B2130" t="s">
        <v>1596</v>
      </c>
      <c r="C2130" t="s">
        <v>3145</v>
      </c>
      <c r="D2130" t="s">
        <v>3189</v>
      </c>
      <c r="E2130" t="s">
        <v>9</v>
      </c>
      <c r="F2130" s="2">
        <v>38</v>
      </c>
      <c r="G2130" t="s">
        <v>3197</v>
      </c>
      <c r="H2130" t="s">
        <v>69</v>
      </c>
      <c r="I2130" t="s">
        <v>11</v>
      </c>
      <c r="J2130" t="s">
        <v>3198</v>
      </c>
      <c r="K2130" t="s">
        <v>15</v>
      </c>
      <c r="L2130" s="2">
        <v>33</v>
      </c>
      <c r="M2130" t="s">
        <v>3203</v>
      </c>
      <c r="N2130">
        <v>1</v>
      </c>
      <c r="O2130" t="s">
        <v>30</v>
      </c>
      <c r="P2130" t="e">
        <v>#VALUE!</v>
      </c>
      <c r="Q2130" t="e">
        <v>#VALUE!</v>
      </c>
      <c r="R2130" t="s">
        <v>3201</v>
      </c>
      <c r="S2130" t="s">
        <v>13</v>
      </c>
    </row>
    <row r="2131" spans="1:19" x14ac:dyDescent="0.3">
      <c r="A2131" t="s">
        <v>1548</v>
      </c>
      <c r="B2131" t="s">
        <v>1596</v>
      </c>
      <c r="C2131" t="s">
        <v>1728</v>
      </c>
      <c r="D2131" t="s">
        <v>3189</v>
      </c>
      <c r="E2131" t="s">
        <v>9</v>
      </c>
      <c r="F2131" s="2">
        <v>33</v>
      </c>
      <c r="G2131" t="s">
        <v>3206</v>
      </c>
      <c r="H2131" t="s">
        <v>51</v>
      </c>
      <c r="I2131" t="s">
        <v>11</v>
      </c>
      <c r="J2131" t="s">
        <v>3198</v>
      </c>
      <c r="K2131" t="s">
        <v>15</v>
      </c>
      <c r="L2131" s="2">
        <v>33</v>
      </c>
      <c r="M2131" t="s">
        <v>3203</v>
      </c>
      <c r="N2131">
        <v>1</v>
      </c>
      <c r="O2131" t="s">
        <v>30</v>
      </c>
      <c r="P2131" t="e">
        <v>#VALUE!</v>
      </c>
      <c r="Q2131" t="e">
        <v>#VALUE!</v>
      </c>
      <c r="R2131" t="s">
        <v>3201</v>
      </c>
      <c r="S2131" t="s">
        <v>13</v>
      </c>
    </row>
    <row r="2132" spans="1:19" x14ac:dyDescent="0.3">
      <c r="A2132" t="s">
        <v>1548</v>
      </c>
      <c r="B2132" t="s">
        <v>1596</v>
      </c>
      <c r="C2132" t="s">
        <v>1619</v>
      </c>
      <c r="D2132" t="s">
        <v>3189</v>
      </c>
      <c r="E2132" t="s">
        <v>9</v>
      </c>
      <c r="F2132" s="2">
        <v>34</v>
      </c>
      <c r="G2132" t="s">
        <v>3206</v>
      </c>
      <c r="H2132" t="s">
        <v>51</v>
      </c>
      <c r="I2132" t="s">
        <v>11</v>
      </c>
      <c r="J2132" t="s">
        <v>3198</v>
      </c>
      <c r="K2132" t="s">
        <v>15</v>
      </c>
      <c r="L2132" s="2">
        <v>33</v>
      </c>
      <c r="M2132" t="s">
        <v>3203</v>
      </c>
      <c r="N2132">
        <v>1</v>
      </c>
      <c r="O2132" t="s">
        <v>30</v>
      </c>
      <c r="P2132" t="e">
        <v>#VALUE!</v>
      </c>
      <c r="Q2132" t="e">
        <v>#VALUE!</v>
      </c>
      <c r="R2132" t="s">
        <v>3201</v>
      </c>
      <c r="S2132" t="s">
        <v>13</v>
      </c>
    </row>
    <row r="2133" spans="1:19" x14ac:dyDescent="0.3">
      <c r="A2133" t="s">
        <v>1549</v>
      </c>
      <c r="B2133" t="s">
        <v>2719</v>
      </c>
      <c r="C2133" t="s">
        <v>3146</v>
      </c>
      <c r="D2133" t="s">
        <v>3189</v>
      </c>
      <c r="E2133" t="s">
        <v>9</v>
      </c>
      <c r="F2133" s="2">
        <v>21</v>
      </c>
      <c r="G2133" t="s">
        <v>3206</v>
      </c>
      <c r="H2133" t="s">
        <v>70</v>
      </c>
      <c r="I2133" t="s">
        <v>11</v>
      </c>
      <c r="J2133" t="s">
        <v>3198</v>
      </c>
      <c r="K2133" t="s">
        <v>15</v>
      </c>
      <c r="L2133" s="2">
        <v>33</v>
      </c>
      <c r="M2133" t="s">
        <v>3203</v>
      </c>
      <c r="N2133">
        <v>1</v>
      </c>
      <c r="O2133" t="s">
        <v>30</v>
      </c>
      <c r="P2133" t="e">
        <v>#VALUE!</v>
      </c>
      <c r="Q2133" t="e">
        <v>#VALUE!</v>
      </c>
      <c r="R2133" t="s">
        <v>3201</v>
      </c>
      <c r="S2133" t="s">
        <v>13</v>
      </c>
    </row>
    <row r="2134" spans="1:19" x14ac:dyDescent="0.3">
      <c r="A2134" t="s">
        <v>1550</v>
      </c>
      <c r="B2134" t="s">
        <v>1596</v>
      </c>
      <c r="C2134" t="s">
        <v>3147</v>
      </c>
      <c r="D2134" t="s">
        <v>3189</v>
      </c>
      <c r="E2134" t="s">
        <v>9</v>
      </c>
      <c r="F2134" s="2">
        <v>32</v>
      </c>
      <c r="G2134" t="s">
        <v>3206</v>
      </c>
      <c r="H2134" t="s">
        <v>71</v>
      </c>
      <c r="I2134" t="s">
        <v>11</v>
      </c>
      <c r="J2134" t="s">
        <v>3198</v>
      </c>
      <c r="K2134" t="s">
        <v>33</v>
      </c>
      <c r="L2134" s="2">
        <v>33</v>
      </c>
      <c r="M2134" t="s">
        <v>3203</v>
      </c>
      <c r="N2134">
        <v>1</v>
      </c>
      <c r="O2134" t="s">
        <v>30</v>
      </c>
      <c r="P2134" t="e">
        <v>#VALUE!</v>
      </c>
      <c r="Q2134" t="e">
        <v>#VALUE!</v>
      </c>
      <c r="R2134" t="s">
        <v>3205</v>
      </c>
      <c r="S2134" t="s">
        <v>16</v>
      </c>
    </row>
    <row r="2135" spans="1:19" x14ac:dyDescent="0.3">
      <c r="A2135" t="s">
        <v>1551</v>
      </c>
      <c r="B2135" t="s">
        <v>1596</v>
      </c>
      <c r="C2135" t="s">
        <v>3148</v>
      </c>
      <c r="D2135" t="s">
        <v>3189</v>
      </c>
      <c r="E2135" t="s">
        <v>9</v>
      </c>
      <c r="F2135" s="2">
        <v>19</v>
      </c>
      <c r="G2135" t="s">
        <v>3206</v>
      </c>
      <c r="H2135" t="s">
        <v>70</v>
      </c>
      <c r="I2135" t="s">
        <v>11</v>
      </c>
      <c r="J2135" t="s">
        <v>3198</v>
      </c>
      <c r="K2135" t="s">
        <v>15</v>
      </c>
      <c r="L2135" s="2">
        <v>33</v>
      </c>
      <c r="M2135" t="s">
        <v>3203</v>
      </c>
      <c r="N2135">
        <v>1</v>
      </c>
      <c r="O2135" t="s">
        <v>30</v>
      </c>
      <c r="P2135" t="e">
        <v>#VALUE!</v>
      </c>
      <c r="Q2135" t="e">
        <v>#VALUE!</v>
      </c>
      <c r="R2135" t="s">
        <v>3201</v>
      </c>
      <c r="S2135" t="s">
        <v>13</v>
      </c>
    </row>
    <row r="2136" spans="1:19" x14ac:dyDescent="0.3">
      <c r="A2136" t="s">
        <v>1552</v>
      </c>
      <c r="B2136" t="s">
        <v>1596</v>
      </c>
      <c r="C2136" t="s">
        <v>3149</v>
      </c>
      <c r="D2136" t="s">
        <v>3189</v>
      </c>
      <c r="E2136" t="s">
        <v>9</v>
      </c>
      <c r="F2136" s="2">
        <v>18</v>
      </c>
      <c r="G2136" t="s">
        <v>3206</v>
      </c>
      <c r="H2136" t="s">
        <v>70</v>
      </c>
      <c r="I2136" t="s">
        <v>11</v>
      </c>
      <c r="J2136" t="s">
        <v>3198</v>
      </c>
      <c r="K2136" t="s">
        <v>15</v>
      </c>
      <c r="L2136" s="2">
        <v>33</v>
      </c>
      <c r="M2136" t="s">
        <v>3203</v>
      </c>
      <c r="N2136">
        <v>1</v>
      </c>
      <c r="O2136" t="s">
        <v>30</v>
      </c>
      <c r="P2136" t="e">
        <v>#VALUE!</v>
      </c>
      <c r="Q2136" t="e">
        <v>#VALUE!</v>
      </c>
      <c r="R2136" t="s">
        <v>3201</v>
      </c>
      <c r="S2136" t="s">
        <v>13</v>
      </c>
    </row>
    <row r="2137" spans="1:19" x14ac:dyDescent="0.3">
      <c r="A2137" t="s">
        <v>1553</v>
      </c>
      <c r="B2137" t="s">
        <v>2719</v>
      </c>
      <c r="C2137" t="s">
        <v>3142</v>
      </c>
      <c r="D2137" t="s">
        <v>3189</v>
      </c>
      <c r="E2137" t="s">
        <v>9</v>
      </c>
      <c r="F2137" s="2">
        <v>25</v>
      </c>
      <c r="G2137" t="s">
        <v>3206</v>
      </c>
      <c r="H2137" t="s">
        <v>70</v>
      </c>
      <c r="I2137" t="s">
        <v>11</v>
      </c>
      <c r="J2137" t="s">
        <v>3198</v>
      </c>
      <c r="K2137" t="s">
        <v>38</v>
      </c>
      <c r="L2137" s="2">
        <v>33</v>
      </c>
      <c r="M2137" t="s">
        <v>3203</v>
      </c>
      <c r="N2137">
        <v>1</v>
      </c>
      <c r="O2137" t="s">
        <v>30</v>
      </c>
      <c r="P2137" t="e">
        <v>#VALUE!</v>
      </c>
      <c r="Q2137" t="e">
        <v>#VALUE!</v>
      </c>
      <c r="R2137" t="s">
        <v>3201</v>
      </c>
      <c r="S2137" t="s">
        <v>13</v>
      </c>
    </row>
    <row r="2138" spans="1:19" x14ac:dyDescent="0.3">
      <c r="A2138" t="s">
        <v>1554</v>
      </c>
      <c r="B2138" t="s">
        <v>2719</v>
      </c>
      <c r="C2138" t="s">
        <v>3150</v>
      </c>
      <c r="D2138" t="s">
        <v>3189</v>
      </c>
      <c r="E2138" t="s">
        <v>9</v>
      </c>
      <c r="F2138" s="2">
        <v>35</v>
      </c>
      <c r="G2138" t="s">
        <v>3206</v>
      </c>
      <c r="H2138" t="s">
        <v>70</v>
      </c>
      <c r="I2138" t="s">
        <v>11</v>
      </c>
      <c r="J2138" t="s">
        <v>3198</v>
      </c>
      <c r="K2138" t="s">
        <v>15</v>
      </c>
      <c r="L2138" s="2">
        <v>33</v>
      </c>
      <c r="M2138" t="s">
        <v>3203</v>
      </c>
      <c r="N2138">
        <v>1</v>
      </c>
      <c r="O2138" t="s">
        <v>30</v>
      </c>
      <c r="P2138" t="e">
        <v>#VALUE!</v>
      </c>
      <c r="Q2138" t="e">
        <v>#VALUE!</v>
      </c>
      <c r="R2138" t="s">
        <v>3201</v>
      </c>
      <c r="S2138" t="s">
        <v>13</v>
      </c>
    </row>
    <row r="2139" spans="1:19" x14ac:dyDescent="0.3">
      <c r="A2139" t="s">
        <v>1555</v>
      </c>
      <c r="B2139" t="s">
        <v>1596</v>
      </c>
      <c r="C2139" t="s">
        <v>1681</v>
      </c>
      <c r="D2139" t="s">
        <v>3189</v>
      </c>
      <c r="E2139" t="s">
        <v>9</v>
      </c>
      <c r="F2139" s="2">
        <v>37</v>
      </c>
      <c r="G2139" t="s">
        <v>3197</v>
      </c>
      <c r="H2139" t="s">
        <v>69</v>
      </c>
      <c r="I2139" t="s">
        <v>11</v>
      </c>
      <c r="J2139" t="s">
        <v>3198</v>
      </c>
      <c r="K2139" t="s">
        <v>15</v>
      </c>
      <c r="L2139" s="2">
        <v>33</v>
      </c>
      <c r="M2139" t="s">
        <v>3203</v>
      </c>
      <c r="N2139">
        <v>1</v>
      </c>
      <c r="O2139" t="s">
        <v>30</v>
      </c>
      <c r="P2139" t="e">
        <v>#VALUE!</v>
      </c>
      <c r="Q2139" t="e">
        <v>#VALUE!</v>
      </c>
      <c r="R2139" t="s">
        <v>3201</v>
      </c>
      <c r="S2139" t="s">
        <v>13</v>
      </c>
    </row>
    <row r="2140" spans="1:19" x14ac:dyDescent="0.3">
      <c r="A2140" t="s">
        <v>1556</v>
      </c>
      <c r="B2140" t="s">
        <v>1600</v>
      </c>
      <c r="C2140" t="s">
        <v>3151</v>
      </c>
      <c r="D2140" t="s">
        <v>3190</v>
      </c>
      <c r="E2140" t="s">
        <v>14</v>
      </c>
      <c r="F2140" s="2">
        <v>36</v>
      </c>
      <c r="G2140" t="s">
        <v>3197</v>
      </c>
      <c r="H2140" t="s">
        <v>69</v>
      </c>
      <c r="I2140" t="s">
        <v>11</v>
      </c>
      <c r="J2140" t="s">
        <v>3198</v>
      </c>
      <c r="K2140" t="s">
        <v>15</v>
      </c>
      <c r="L2140" s="2">
        <v>33</v>
      </c>
      <c r="M2140" t="s">
        <v>3203</v>
      </c>
      <c r="N2140">
        <v>1</v>
      </c>
      <c r="O2140" t="s">
        <v>30</v>
      </c>
      <c r="P2140" t="e">
        <v>#VALUE!</v>
      </c>
      <c r="Q2140" t="e">
        <v>#VALUE!</v>
      </c>
      <c r="R2140" t="s">
        <v>3201</v>
      </c>
      <c r="S2140" t="s">
        <v>13</v>
      </c>
    </row>
    <row r="2141" spans="1:19" x14ac:dyDescent="0.3">
      <c r="A2141" t="s">
        <v>1557</v>
      </c>
      <c r="B2141" t="s">
        <v>1596</v>
      </c>
      <c r="C2141" t="s">
        <v>1965</v>
      </c>
      <c r="D2141" t="s">
        <v>3189</v>
      </c>
      <c r="E2141" t="s">
        <v>9</v>
      </c>
      <c r="F2141" s="2">
        <v>48</v>
      </c>
      <c r="G2141" t="s">
        <v>3197</v>
      </c>
      <c r="H2141" t="s">
        <v>69</v>
      </c>
      <c r="I2141" t="s">
        <v>28</v>
      </c>
      <c r="J2141" t="s">
        <v>3212</v>
      </c>
      <c r="K2141" t="s">
        <v>15</v>
      </c>
      <c r="L2141" s="2">
        <v>33</v>
      </c>
      <c r="M2141" t="s">
        <v>3203</v>
      </c>
      <c r="N2141">
        <v>1</v>
      </c>
      <c r="O2141" t="s">
        <v>30</v>
      </c>
      <c r="P2141" t="e">
        <v>#VALUE!</v>
      </c>
      <c r="Q2141" t="e">
        <v>#VALUE!</v>
      </c>
      <c r="R2141" t="s">
        <v>3201</v>
      </c>
      <c r="S2141" t="s">
        <v>13</v>
      </c>
    </row>
    <row r="2142" spans="1:19" x14ac:dyDescent="0.3">
      <c r="A2142" t="s">
        <v>1558</v>
      </c>
      <c r="B2142" t="s">
        <v>1602</v>
      </c>
      <c r="C2142" t="s">
        <v>1735</v>
      </c>
      <c r="D2142" t="s">
        <v>3190</v>
      </c>
      <c r="E2142" t="s">
        <v>14</v>
      </c>
      <c r="F2142" s="2">
        <v>32</v>
      </c>
      <c r="G2142" t="s">
        <v>3206</v>
      </c>
      <c r="H2142" t="s">
        <v>69</v>
      </c>
      <c r="I2142" t="s">
        <v>11</v>
      </c>
      <c r="J2142" t="s">
        <v>3198</v>
      </c>
      <c r="K2142" t="s">
        <v>37</v>
      </c>
      <c r="L2142" s="2">
        <v>33</v>
      </c>
      <c r="M2142" t="s">
        <v>3203</v>
      </c>
      <c r="N2142">
        <v>1</v>
      </c>
      <c r="O2142" t="s">
        <v>30</v>
      </c>
      <c r="P2142" t="e">
        <v>#VALUE!</v>
      </c>
      <c r="Q2142" t="e">
        <v>#VALUE!</v>
      </c>
      <c r="R2142" t="s">
        <v>3201</v>
      </c>
      <c r="S2142" t="s">
        <v>13</v>
      </c>
    </row>
    <row r="2143" spans="1:19" x14ac:dyDescent="0.3">
      <c r="A2143" t="s">
        <v>927</v>
      </c>
      <c r="B2143" t="s">
        <v>1596</v>
      </c>
      <c r="C2143" t="s">
        <v>1976</v>
      </c>
      <c r="D2143" t="s">
        <v>3189</v>
      </c>
      <c r="E2143" t="s">
        <v>9</v>
      </c>
      <c r="F2143" s="2">
        <v>23</v>
      </c>
      <c r="G2143" t="s">
        <v>3206</v>
      </c>
      <c r="H2143" t="s">
        <v>51</v>
      </c>
      <c r="I2143" t="s">
        <v>28</v>
      </c>
      <c r="J2143" t="s">
        <v>3212</v>
      </c>
      <c r="K2143" t="s">
        <v>15</v>
      </c>
      <c r="L2143" s="2">
        <v>33</v>
      </c>
      <c r="M2143" t="s">
        <v>3203</v>
      </c>
      <c r="N2143">
        <v>1</v>
      </c>
      <c r="O2143" t="s">
        <v>30</v>
      </c>
      <c r="P2143" t="e">
        <v>#VALUE!</v>
      </c>
      <c r="Q2143" t="e">
        <v>#VALUE!</v>
      </c>
      <c r="R2143" t="s">
        <v>3201</v>
      </c>
      <c r="S2143" t="s">
        <v>13</v>
      </c>
    </row>
    <row r="2144" spans="1:19" x14ac:dyDescent="0.3">
      <c r="A2144" t="s">
        <v>927</v>
      </c>
      <c r="B2144" t="s">
        <v>1596</v>
      </c>
      <c r="C2144" t="s">
        <v>1700</v>
      </c>
      <c r="D2144" t="s">
        <v>3189</v>
      </c>
      <c r="E2144" t="s">
        <v>9</v>
      </c>
      <c r="F2144" s="2">
        <v>34</v>
      </c>
      <c r="G2144" t="s">
        <v>3206</v>
      </c>
      <c r="H2144" t="s">
        <v>69</v>
      </c>
      <c r="I2144" t="s">
        <v>28</v>
      </c>
      <c r="J2144" t="s">
        <v>3212</v>
      </c>
      <c r="K2144" t="s">
        <v>15</v>
      </c>
      <c r="L2144" s="2">
        <v>33</v>
      </c>
      <c r="M2144" t="s">
        <v>3203</v>
      </c>
      <c r="N2144">
        <v>1</v>
      </c>
      <c r="O2144" t="s">
        <v>30</v>
      </c>
      <c r="P2144" t="e">
        <v>#VALUE!</v>
      </c>
      <c r="Q2144" t="e">
        <v>#VALUE!</v>
      </c>
      <c r="R2144" t="s">
        <v>3201</v>
      </c>
      <c r="S2144" t="s">
        <v>13</v>
      </c>
    </row>
    <row r="2145" spans="1:19" x14ac:dyDescent="0.3">
      <c r="A2145" t="s">
        <v>927</v>
      </c>
      <c r="B2145" t="s">
        <v>1596</v>
      </c>
      <c r="C2145" t="s">
        <v>2638</v>
      </c>
      <c r="D2145" t="s">
        <v>3189</v>
      </c>
      <c r="E2145" t="s">
        <v>9</v>
      </c>
      <c r="F2145" s="2">
        <v>31</v>
      </c>
      <c r="G2145" t="s">
        <v>3206</v>
      </c>
      <c r="H2145" t="s">
        <v>51</v>
      </c>
      <c r="I2145" t="s">
        <v>11</v>
      </c>
      <c r="J2145" t="s">
        <v>3198</v>
      </c>
      <c r="K2145" t="s">
        <v>15</v>
      </c>
      <c r="L2145" s="2">
        <v>33</v>
      </c>
      <c r="M2145" t="s">
        <v>3203</v>
      </c>
      <c r="N2145">
        <v>1</v>
      </c>
      <c r="O2145" t="s">
        <v>30</v>
      </c>
      <c r="P2145" t="e">
        <v>#VALUE!</v>
      </c>
      <c r="Q2145" t="e">
        <v>#VALUE!</v>
      </c>
      <c r="R2145" t="s">
        <v>3201</v>
      </c>
      <c r="S2145" t="s">
        <v>13</v>
      </c>
    </row>
    <row r="2146" spans="1:19" x14ac:dyDescent="0.3">
      <c r="A2146" t="s">
        <v>927</v>
      </c>
      <c r="B2146" t="s">
        <v>1596</v>
      </c>
      <c r="C2146" t="s">
        <v>2398</v>
      </c>
      <c r="D2146" t="s">
        <v>3189</v>
      </c>
      <c r="E2146" t="s">
        <v>9</v>
      </c>
      <c r="F2146" s="2">
        <v>40</v>
      </c>
      <c r="G2146" t="s">
        <v>3197</v>
      </c>
      <c r="H2146" t="s">
        <v>69</v>
      </c>
      <c r="I2146" t="s">
        <v>28</v>
      </c>
      <c r="J2146" t="s">
        <v>3212</v>
      </c>
      <c r="K2146" t="s">
        <v>15</v>
      </c>
      <c r="L2146" s="2">
        <v>33</v>
      </c>
      <c r="M2146" t="s">
        <v>3203</v>
      </c>
      <c r="N2146">
        <v>1</v>
      </c>
      <c r="O2146" t="s">
        <v>30</v>
      </c>
      <c r="P2146" t="e">
        <v>#VALUE!</v>
      </c>
      <c r="Q2146" t="e">
        <v>#VALUE!</v>
      </c>
      <c r="R2146" t="s">
        <v>3201</v>
      </c>
      <c r="S2146" t="s">
        <v>13</v>
      </c>
    </row>
    <row r="2147" spans="1:19" x14ac:dyDescent="0.3">
      <c r="A2147" t="s">
        <v>927</v>
      </c>
      <c r="B2147" t="s">
        <v>1596</v>
      </c>
      <c r="C2147" t="s">
        <v>1619</v>
      </c>
      <c r="D2147" t="s">
        <v>3189</v>
      </c>
      <c r="E2147" t="s">
        <v>9</v>
      </c>
      <c r="F2147" s="2">
        <v>37</v>
      </c>
      <c r="G2147" t="s">
        <v>3197</v>
      </c>
      <c r="H2147" t="s">
        <v>69</v>
      </c>
      <c r="I2147" t="s">
        <v>11</v>
      </c>
      <c r="J2147" t="s">
        <v>3198</v>
      </c>
      <c r="K2147" t="s">
        <v>15</v>
      </c>
      <c r="L2147" s="2">
        <v>33</v>
      </c>
      <c r="M2147" t="s">
        <v>3203</v>
      </c>
      <c r="N2147">
        <v>1</v>
      </c>
      <c r="O2147" t="s">
        <v>30</v>
      </c>
      <c r="P2147" t="e">
        <v>#VALUE!</v>
      </c>
      <c r="Q2147" t="e">
        <v>#VALUE!</v>
      </c>
      <c r="R2147" t="s">
        <v>3205</v>
      </c>
      <c r="S2147" t="s">
        <v>16</v>
      </c>
    </row>
    <row r="2148" spans="1:19" x14ac:dyDescent="0.3">
      <c r="A2148" t="s">
        <v>1559</v>
      </c>
      <c r="B2148" t="s">
        <v>1596</v>
      </c>
      <c r="C2148" t="s">
        <v>3152</v>
      </c>
      <c r="D2148" t="s">
        <v>3189</v>
      </c>
      <c r="E2148" t="s">
        <v>9</v>
      </c>
      <c r="F2148" s="2">
        <v>40</v>
      </c>
      <c r="G2148" t="s">
        <v>3197</v>
      </c>
      <c r="H2148" t="s">
        <v>51</v>
      </c>
      <c r="I2148" t="s">
        <v>11</v>
      </c>
      <c r="J2148" t="s">
        <v>3198</v>
      </c>
      <c r="K2148" t="s">
        <v>15</v>
      </c>
      <c r="L2148" s="2">
        <v>33</v>
      </c>
      <c r="M2148" t="s">
        <v>3203</v>
      </c>
      <c r="N2148">
        <v>1</v>
      </c>
      <c r="O2148" t="s">
        <v>30</v>
      </c>
      <c r="P2148" t="e">
        <v>#VALUE!</v>
      </c>
      <c r="Q2148" t="e">
        <v>#VALUE!</v>
      </c>
      <c r="R2148" t="s">
        <v>3201</v>
      </c>
      <c r="S2148" t="s">
        <v>13</v>
      </c>
    </row>
    <row r="2149" spans="1:19" x14ac:dyDescent="0.3">
      <c r="A2149" t="s">
        <v>1560</v>
      </c>
      <c r="B2149" t="s">
        <v>1596</v>
      </c>
      <c r="C2149" t="s">
        <v>3153</v>
      </c>
      <c r="D2149" t="s">
        <v>3189</v>
      </c>
      <c r="E2149" t="s">
        <v>9</v>
      </c>
      <c r="F2149" s="2">
        <v>37</v>
      </c>
      <c r="G2149" t="s">
        <v>3197</v>
      </c>
      <c r="H2149" t="s">
        <v>69</v>
      </c>
      <c r="I2149" t="s">
        <v>28</v>
      </c>
      <c r="J2149" t="s">
        <v>3212</v>
      </c>
      <c r="K2149" t="s">
        <v>15</v>
      </c>
      <c r="L2149" s="2">
        <v>33</v>
      </c>
      <c r="M2149" t="s">
        <v>3203</v>
      </c>
      <c r="N2149">
        <v>1</v>
      </c>
      <c r="O2149" t="s">
        <v>30</v>
      </c>
      <c r="P2149" t="e">
        <v>#VALUE!</v>
      </c>
      <c r="Q2149" t="e">
        <v>#VALUE!</v>
      </c>
      <c r="R2149" t="s">
        <v>3201</v>
      </c>
      <c r="S2149" t="s">
        <v>13</v>
      </c>
    </row>
    <row r="2150" spans="1:19" x14ac:dyDescent="0.3">
      <c r="A2150" t="s">
        <v>1561</v>
      </c>
      <c r="B2150" t="s">
        <v>1596</v>
      </c>
      <c r="C2150" t="s">
        <v>2922</v>
      </c>
      <c r="D2150" t="s">
        <v>3189</v>
      </c>
      <c r="E2150" t="s">
        <v>9</v>
      </c>
      <c r="F2150" s="2">
        <v>26</v>
      </c>
      <c r="G2150" t="s">
        <v>3206</v>
      </c>
      <c r="H2150" t="s">
        <v>69</v>
      </c>
      <c r="I2150" t="s">
        <v>11</v>
      </c>
      <c r="J2150" t="s">
        <v>3198</v>
      </c>
      <c r="K2150" t="s">
        <v>15</v>
      </c>
      <c r="L2150" s="2">
        <v>33</v>
      </c>
      <c r="M2150" t="s">
        <v>3203</v>
      </c>
      <c r="N2150">
        <v>1</v>
      </c>
      <c r="O2150" t="s">
        <v>30</v>
      </c>
      <c r="P2150" t="e">
        <v>#VALUE!</v>
      </c>
      <c r="Q2150" t="e">
        <v>#VALUE!</v>
      </c>
      <c r="R2150" t="s">
        <v>3201</v>
      </c>
      <c r="S2150" t="s">
        <v>13</v>
      </c>
    </row>
    <row r="2151" spans="1:19" x14ac:dyDescent="0.3">
      <c r="A2151" t="s">
        <v>1562</v>
      </c>
      <c r="B2151" t="s">
        <v>1596</v>
      </c>
      <c r="C2151" t="s">
        <v>3154</v>
      </c>
      <c r="D2151" t="s">
        <v>3189</v>
      </c>
      <c r="E2151" t="s">
        <v>9</v>
      </c>
      <c r="F2151" s="2">
        <v>26</v>
      </c>
      <c r="G2151" t="s">
        <v>3206</v>
      </c>
      <c r="H2151" t="s">
        <v>51</v>
      </c>
      <c r="I2151" t="s">
        <v>11</v>
      </c>
      <c r="J2151" t="s">
        <v>3198</v>
      </c>
      <c r="K2151" t="s">
        <v>15</v>
      </c>
      <c r="L2151" s="2">
        <v>33</v>
      </c>
      <c r="M2151" t="s">
        <v>3203</v>
      </c>
      <c r="N2151">
        <v>1</v>
      </c>
      <c r="O2151" t="s">
        <v>30</v>
      </c>
      <c r="P2151" t="e">
        <v>#VALUE!</v>
      </c>
      <c r="Q2151" t="e">
        <v>#VALUE!</v>
      </c>
      <c r="R2151" t="s">
        <v>3201</v>
      </c>
      <c r="S2151" t="s">
        <v>13</v>
      </c>
    </row>
    <row r="2152" spans="1:19" x14ac:dyDescent="0.3">
      <c r="A2152" t="s">
        <v>930</v>
      </c>
      <c r="B2152" t="s">
        <v>1596</v>
      </c>
      <c r="C2152" t="s">
        <v>1616</v>
      </c>
      <c r="D2152" t="s">
        <v>3189</v>
      </c>
      <c r="E2152" t="s">
        <v>9</v>
      </c>
      <c r="F2152" s="2">
        <v>15</v>
      </c>
      <c r="G2152" t="s">
        <v>3202</v>
      </c>
      <c r="H2152" t="s">
        <v>69</v>
      </c>
      <c r="I2152" t="s">
        <v>11</v>
      </c>
      <c r="J2152" t="s">
        <v>3198</v>
      </c>
      <c r="K2152" t="s">
        <v>15</v>
      </c>
      <c r="L2152" s="2">
        <v>33</v>
      </c>
      <c r="M2152" t="s">
        <v>3203</v>
      </c>
      <c r="N2152">
        <v>1</v>
      </c>
      <c r="O2152" t="s">
        <v>30</v>
      </c>
      <c r="P2152" t="e">
        <v>#VALUE!</v>
      </c>
      <c r="Q2152" t="e">
        <v>#VALUE!</v>
      </c>
      <c r="R2152" t="s">
        <v>3201</v>
      </c>
      <c r="S2152" t="s">
        <v>13</v>
      </c>
    </row>
    <row r="2153" spans="1:19" x14ac:dyDescent="0.3">
      <c r="A2153" t="s">
        <v>930</v>
      </c>
      <c r="B2153" t="s">
        <v>1596</v>
      </c>
      <c r="C2153" t="s">
        <v>3155</v>
      </c>
      <c r="D2153" t="s">
        <v>3189</v>
      </c>
      <c r="E2153" t="s">
        <v>9</v>
      </c>
      <c r="F2153" s="2">
        <v>27</v>
      </c>
      <c r="G2153" t="s">
        <v>3206</v>
      </c>
      <c r="H2153" t="s">
        <v>51</v>
      </c>
      <c r="I2153" t="s">
        <v>11</v>
      </c>
      <c r="J2153" t="s">
        <v>3198</v>
      </c>
      <c r="K2153" t="s">
        <v>15</v>
      </c>
      <c r="L2153" s="2">
        <v>33</v>
      </c>
      <c r="M2153" t="s">
        <v>3203</v>
      </c>
      <c r="N2153">
        <v>1</v>
      </c>
      <c r="O2153" t="s">
        <v>30</v>
      </c>
      <c r="P2153" t="e">
        <v>#VALUE!</v>
      </c>
      <c r="Q2153" t="e">
        <v>#VALUE!</v>
      </c>
      <c r="R2153" t="s">
        <v>3201</v>
      </c>
      <c r="S2153" t="s">
        <v>13</v>
      </c>
    </row>
    <row r="2154" spans="1:19" x14ac:dyDescent="0.3">
      <c r="A2154" t="s">
        <v>1563</v>
      </c>
      <c r="B2154" t="s">
        <v>1596</v>
      </c>
      <c r="C2154" t="s">
        <v>3156</v>
      </c>
      <c r="D2154" t="s">
        <v>3189</v>
      </c>
      <c r="E2154" t="s">
        <v>9</v>
      </c>
      <c r="F2154" s="2">
        <v>25</v>
      </c>
      <c r="G2154" t="s">
        <v>3206</v>
      </c>
      <c r="H2154" t="s">
        <v>69</v>
      </c>
      <c r="I2154" t="s">
        <v>28</v>
      </c>
      <c r="J2154" t="s">
        <v>3212</v>
      </c>
      <c r="K2154" t="s">
        <v>15</v>
      </c>
      <c r="L2154" s="2">
        <v>33</v>
      </c>
      <c r="M2154" t="s">
        <v>3203</v>
      </c>
      <c r="N2154">
        <v>1</v>
      </c>
      <c r="O2154" t="s">
        <v>30</v>
      </c>
      <c r="P2154" t="e">
        <v>#VALUE!</v>
      </c>
      <c r="Q2154" t="e">
        <v>#VALUE!</v>
      </c>
      <c r="R2154" t="s">
        <v>3201</v>
      </c>
      <c r="S2154" t="s">
        <v>13</v>
      </c>
    </row>
    <row r="2155" spans="1:19" x14ac:dyDescent="0.3">
      <c r="A2155" t="s">
        <v>933</v>
      </c>
      <c r="B2155" t="s">
        <v>1596</v>
      </c>
      <c r="C2155" t="s">
        <v>3157</v>
      </c>
      <c r="D2155" t="s">
        <v>3189</v>
      </c>
      <c r="E2155" t="s">
        <v>9</v>
      </c>
      <c r="F2155" s="2">
        <v>31</v>
      </c>
      <c r="G2155" t="s">
        <v>3206</v>
      </c>
      <c r="H2155" t="s">
        <v>51</v>
      </c>
      <c r="I2155" t="s">
        <v>11</v>
      </c>
      <c r="J2155" t="s">
        <v>3198</v>
      </c>
      <c r="K2155" t="s">
        <v>15</v>
      </c>
      <c r="L2155" s="2">
        <v>33</v>
      </c>
      <c r="M2155" t="s">
        <v>3203</v>
      </c>
      <c r="N2155">
        <v>1</v>
      </c>
      <c r="O2155" t="s">
        <v>30</v>
      </c>
      <c r="P2155" t="e">
        <v>#VALUE!</v>
      </c>
      <c r="Q2155" t="e">
        <v>#VALUE!</v>
      </c>
      <c r="R2155" t="s">
        <v>3201</v>
      </c>
      <c r="S2155" t="s">
        <v>13</v>
      </c>
    </row>
    <row r="2156" spans="1:19" x14ac:dyDescent="0.3">
      <c r="A2156" t="s">
        <v>1564</v>
      </c>
      <c r="B2156" t="s">
        <v>1596</v>
      </c>
      <c r="C2156" t="s">
        <v>3158</v>
      </c>
      <c r="D2156" t="s">
        <v>3189</v>
      </c>
      <c r="E2156" t="s">
        <v>9</v>
      </c>
      <c r="F2156" s="2">
        <v>50</v>
      </c>
      <c r="G2156" t="s">
        <v>3197</v>
      </c>
      <c r="H2156" t="s">
        <v>69</v>
      </c>
      <c r="I2156" t="s">
        <v>28</v>
      </c>
      <c r="J2156" t="s">
        <v>3212</v>
      </c>
      <c r="K2156" t="s">
        <v>15</v>
      </c>
      <c r="L2156" s="2">
        <v>33</v>
      </c>
      <c r="M2156" t="s">
        <v>3203</v>
      </c>
      <c r="N2156">
        <v>1</v>
      </c>
      <c r="O2156" t="s">
        <v>30</v>
      </c>
      <c r="P2156" t="e">
        <v>#VALUE!</v>
      </c>
      <c r="Q2156" t="e">
        <v>#VALUE!</v>
      </c>
      <c r="R2156" t="s">
        <v>3201</v>
      </c>
      <c r="S2156" t="s">
        <v>13</v>
      </c>
    </row>
    <row r="2157" spans="1:19" x14ac:dyDescent="0.3">
      <c r="A2157" t="s">
        <v>1564</v>
      </c>
      <c r="B2157" t="s">
        <v>1596</v>
      </c>
      <c r="C2157" t="s">
        <v>3091</v>
      </c>
      <c r="D2157" t="s">
        <v>3189</v>
      </c>
      <c r="E2157" t="s">
        <v>9</v>
      </c>
      <c r="F2157" s="2">
        <v>28</v>
      </c>
      <c r="G2157" t="s">
        <v>3206</v>
      </c>
      <c r="H2157" t="s">
        <v>51</v>
      </c>
      <c r="I2157" t="s">
        <v>11</v>
      </c>
      <c r="J2157" t="s">
        <v>3198</v>
      </c>
      <c r="K2157" t="s">
        <v>15</v>
      </c>
      <c r="L2157" s="2">
        <v>33</v>
      </c>
      <c r="M2157" t="s">
        <v>3203</v>
      </c>
      <c r="N2157">
        <v>1</v>
      </c>
      <c r="O2157" t="s">
        <v>30</v>
      </c>
      <c r="P2157" t="e">
        <v>#VALUE!</v>
      </c>
      <c r="Q2157" t="e">
        <v>#VALUE!</v>
      </c>
      <c r="R2157" t="s">
        <v>3201</v>
      </c>
      <c r="S2157" t="s">
        <v>13</v>
      </c>
    </row>
    <row r="2158" spans="1:19" x14ac:dyDescent="0.3">
      <c r="A2158" t="s">
        <v>1565</v>
      </c>
      <c r="B2158" t="s">
        <v>1596</v>
      </c>
      <c r="C2158" t="s">
        <v>1615</v>
      </c>
      <c r="D2158" t="s">
        <v>3189</v>
      </c>
      <c r="E2158" t="s">
        <v>9</v>
      </c>
      <c r="F2158" s="2">
        <v>52</v>
      </c>
      <c r="G2158" t="s">
        <v>3197</v>
      </c>
      <c r="H2158" t="s">
        <v>69</v>
      </c>
      <c r="I2158" t="s">
        <v>11</v>
      </c>
      <c r="J2158" t="s">
        <v>3198</v>
      </c>
      <c r="K2158" t="s">
        <v>12</v>
      </c>
      <c r="L2158" s="2">
        <v>33</v>
      </c>
      <c r="M2158" t="s">
        <v>3203</v>
      </c>
      <c r="N2158">
        <v>1</v>
      </c>
      <c r="O2158" t="s">
        <v>30</v>
      </c>
      <c r="P2158" t="e">
        <v>#VALUE!</v>
      </c>
      <c r="Q2158" t="e">
        <v>#VALUE!</v>
      </c>
      <c r="R2158" t="s">
        <v>3205</v>
      </c>
      <c r="S2158" t="s">
        <v>16</v>
      </c>
    </row>
    <row r="2159" spans="1:19" x14ac:dyDescent="0.3">
      <c r="A2159" t="s">
        <v>1566</v>
      </c>
      <c r="B2159" t="s">
        <v>1596</v>
      </c>
      <c r="C2159" t="s">
        <v>3159</v>
      </c>
      <c r="D2159" t="s">
        <v>3189</v>
      </c>
      <c r="E2159" t="s">
        <v>9</v>
      </c>
      <c r="F2159" s="2">
        <v>21</v>
      </c>
      <c r="G2159" t="s">
        <v>3206</v>
      </c>
      <c r="H2159" t="s">
        <v>69</v>
      </c>
      <c r="I2159" t="s">
        <v>11</v>
      </c>
      <c r="J2159" t="s">
        <v>3198</v>
      </c>
      <c r="K2159" t="s">
        <v>15</v>
      </c>
      <c r="L2159" s="2">
        <v>33</v>
      </c>
      <c r="M2159" t="s">
        <v>3203</v>
      </c>
      <c r="N2159">
        <v>1</v>
      </c>
      <c r="O2159" t="s">
        <v>30</v>
      </c>
      <c r="P2159" t="e">
        <v>#VALUE!</v>
      </c>
      <c r="Q2159" t="e">
        <v>#VALUE!</v>
      </c>
      <c r="R2159" t="s">
        <v>3201</v>
      </c>
      <c r="S2159" t="s">
        <v>13</v>
      </c>
    </row>
    <row r="2160" spans="1:19" x14ac:dyDescent="0.3">
      <c r="A2160" t="s">
        <v>1567</v>
      </c>
      <c r="B2160" t="s">
        <v>1596</v>
      </c>
      <c r="C2160" t="s">
        <v>3160</v>
      </c>
      <c r="D2160" t="s">
        <v>3189</v>
      </c>
      <c r="E2160" t="s">
        <v>9</v>
      </c>
      <c r="F2160" s="2">
        <v>30</v>
      </c>
      <c r="G2160" t="s">
        <v>3206</v>
      </c>
      <c r="H2160" t="s">
        <v>71</v>
      </c>
      <c r="I2160" t="s">
        <v>28</v>
      </c>
      <c r="J2160" t="s">
        <v>3212</v>
      </c>
      <c r="K2160" t="s">
        <v>15</v>
      </c>
      <c r="L2160" s="2">
        <v>33</v>
      </c>
      <c r="M2160" t="s">
        <v>3203</v>
      </c>
      <c r="N2160">
        <v>1</v>
      </c>
      <c r="O2160" t="s">
        <v>30</v>
      </c>
      <c r="P2160" t="e">
        <v>#VALUE!</v>
      </c>
      <c r="Q2160" t="e">
        <v>#VALUE!</v>
      </c>
      <c r="R2160" t="s">
        <v>3205</v>
      </c>
      <c r="S2160" t="s">
        <v>16</v>
      </c>
    </row>
    <row r="2161" spans="1:19" x14ac:dyDescent="0.3">
      <c r="A2161" t="s">
        <v>1568</v>
      </c>
      <c r="B2161" t="s">
        <v>1596</v>
      </c>
      <c r="C2161" t="s">
        <v>3161</v>
      </c>
      <c r="D2161" t="s">
        <v>3189</v>
      </c>
      <c r="E2161" t="s">
        <v>9</v>
      </c>
      <c r="F2161" s="2">
        <v>30</v>
      </c>
      <c r="G2161" t="s">
        <v>3206</v>
      </c>
      <c r="H2161" t="s">
        <v>69</v>
      </c>
      <c r="I2161" t="s">
        <v>28</v>
      </c>
      <c r="J2161" t="s">
        <v>3212</v>
      </c>
      <c r="K2161" t="s">
        <v>15</v>
      </c>
      <c r="L2161" s="2">
        <v>33</v>
      </c>
      <c r="M2161" t="s">
        <v>3203</v>
      </c>
      <c r="N2161">
        <v>1</v>
      </c>
      <c r="O2161" t="s">
        <v>30</v>
      </c>
      <c r="P2161" t="e">
        <v>#VALUE!</v>
      </c>
      <c r="Q2161" t="e">
        <v>#VALUE!</v>
      </c>
      <c r="R2161" t="s">
        <v>3205</v>
      </c>
      <c r="S2161" t="s">
        <v>16</v>
      </c>
    </row>
    <row r="2162" spans="1:19" x14ac:dyDescent="0.3">
      <c r="A2162" t="s">
        <v>1569</v>
      </c>
      <c r="B2162" t="s">
        <v>1596</v>
      </c>
      <c r="C2162" t="s">
        <v>3162</v>
      </c>
      <c r="D2162" t="s">
        <v>3189</v>
      </c>
      <c r="E2162" t="s">
        <v>9</v>
      </c>
      <c r="F2162" s="2">
        <v>29</v>
      </c>
      <c r="G2162" t="s">
        <v>3206</v>
      </c>
      <c r="H2162" t="s">
        <v>69</v>
      </c>
      <c r="I2162" t="s">
        <v>28</v>
      </c>
      <c r="J2162" t="s">
        <v>3212</v>
      </c>
      <c r="K2162" t="s">
        <v>15</v>
      </c>
      <c r="L2162" s="2">
        <v>33</v>
      </c>
      <c r="M2162" t="s">
        <v>3203</v>
      </c>
      <c r="N2162">
        <v>1</v>
      </c>
      <c r="O2162" t="s">
        <v>30</v>
      </c>
      <c r="P2162" t="e">
        <v>#VALUE!</v>
      </c>
      <c r="Q2162" t="e">
        <v>#VALUE!</v>
      </c>
      <c r="R2162" t="s">
        <v>3205</v>
      </c>
      <c r="S2162" t="s">
        <v>16</v>
      </c>
    </row>
    <row r="2163" spans="1:19" x14ac:dyDescent="0.3">
      <c r="A2163" t="s">
        <v>1570</v>
      </c>
      <c r="B2163" t="s">
        <v>1596</v>
      </c>
      <c r="C2163" t="s">
        <v>3163</v>
      </c>
      <c r="D2163" t="s">
        <v>3189</v>
      </c>
      <c r="E2163" t="s">
        <v>9</v>
      </c>
      <c r="F2163" s="2">
        <v>18</v>
      </c>
      <c r="G2163" t="s">
        <v>3206</v>
      </c>
      <c r="H2163" t="s">
        <v>69</v>
      </c>
      <c r="I2163" t="s">
        <v>11</v>
      </c>
      <c r="J2163" t="s">
        <v>3198</v>
      </c>
      <c r="K2163" t="s">
        <v>15</v>
      </c>
      <c r="L2163" s="2">
        <v>33</v>
      </c>
      <c r="M2163" t="s">
        <v>3203</v>
      </c>
      <c r="N2163">
        <v>1</v>
      </c>
      <c r="O2163" t="s">
        <v>30</v>
      </c>
      <c r="P2163" t="e">
        <v>#VALUE!</v>
      </c>
      <c r="Q2163" t="e">
        <v>#VALUE!</v>
      </c>
      <c r="R2163" t="s">
        <v>3205</v>
      </c>
      <c r="S2163" t="s">
        <v>16</v>
      </c>
    </row>
    <row r="2164" spans="1:19" x14ac:dyDescent="0.3">
      <c r="A2164" t="s">
        <v>942</v>
      </c>
      <c r="B2164" t="s">
        <v>1596</v>
      </c>
      <c r="C2164" t="s">
        <v>1671</v>
      </c>
      <c r="D2164" t="s">
        <v>3189</v>
      </c>
      <c r="E2164" t="s">
        <v>9</v>
      </c>
      <c r="F2164" s="2">
        <v>21</v>
      </c>
      <c r="G2164" t="s">
        <v>3206</v>
      </c>
      <c r="H2164" t="s">
        <v>51</v>
      </c>
      <c r="I2164" t="s">
        <v>11</v>
      </c>
      <c r="J2164" t="s">
        <v>3198</v>
      </c>
      <c r="K2164" t="s">
        <v>15</v>
      </c>
      <c r="L2164" s="2">
        <v>33</v>
      </c>
      <c r="M2164" t="s">
        <v>3203</v>
      </c>
      <c r="N2164">
        <v>1</v>
      </c>
      <c r="O2164" t="s">
        <v>30</v>
      </c>
      <c r="P2164" t="e">
        <v>#VALUE!</v>
      </c>
      <c r="Q2164" t="e">
        <v>#VALUE!</v>
      </c>
      <c r="R2164" t="s">
        <v>3201</v>
      </c>
      <c r="S2164" t="s">
        <v>13</v>
      </c>
    </row>
    <row r="2165" spans="1:19" x14ac:dyDescent="0.3">
      <c r="A2165" t="s">
        <v>942</v>
      </c>
      <c r="B2165" t="s">
        <v>1596</v>
      </c>
      <c r="C2165" t="s">
        <v>2373</v>
      </c>
      <c r="D2165" t="s">
        <v>3189</v>
      </c>
      <c r="E2165" t="s">
        <v>9</v>
      </c>
      <c r="F2165" s="2">
        <v>32</v>
      </c>
      <c r="G2165" t="s">
        <v>3206</v>
      </c>
      <c r="H2165" t="s">
        <v>51</v>
      </c>
      <c r="I2165" t="s">
        <v>11</v>
      </c>
      <c r="J2165" t="s">
        <v>3198</v>
      </c>
      <c r="K2165" t="s">
        <v>15</v>
      </c>
      <c r="L2165" s="2">
        <v>33</v>
      </c>
      <c r="M2165" t="s">
        <v>3203</v>
      </c>
      <c r="N2165">
        <v>1</v>
      </c>
      <c r="O2165" t="s">
        <v>30</v>
      </c>
      <c r="P2165" t="e">
        <v>#VALUE!</v>
      </c>
      <c r="Q2165" t="e">
        <v>#VALUE!</v>
      </c>
      <c r="R2165" t="s">
        <v>3205</v>
      </c>
      <c r="S2165" t="s">
        <v>16</v>
      </c>
    </row>
    <row r="2166" spans="1:19" x14ac:dyDescent="0.3">
      <c r="A2166" t="s">
        <v>942</v>
      </c>
      <c r="B2166" t="s">
        <v>1596</v>
      </c>
      <c r="C2166" t="s">
        <v>1976</v>
      </c>
      <c r="D2166" t="s">
        <v>3189</v>
      </c>
      <c r="E2166" t="s">
        <v>9</v>
      </c>
      <c r="F2166" s="2">
        <v>37</v>
      </c>
      <c r="G2166" t="s">
        <v>3197</v>
      </c>
      <c r="H2166" t="s">
        <v>69</v>
      </c>
      <c r="I2166" t="s">
        <v>11</v>
      </c>
      <c r="J2166" t="s">
        <v>3198</v>
      </c>
      <c r="K2166" t="s">
        <v>15</v>
      </c>
      <c r="L2166" s="2">
        <v>33</v>
      </c>
      <c r="M2166" t="s">
        <v>3203</v>
      </c>
      <c r="N2166">
        <v>1</v>
      </c>
      <c r="O2166" t="s">
        <v>30</v>
      </c>
      <c r="P2166" t="e">
        <v>#VALUE!</v>
      </c>
      <c r="Q2166" t="e">
        <v>#VALUE!</v>
      </c>
      <c r="R2166" t="s">
        <v>3201</v>
      </c>
      <c r="S2166" t="s">
        <v>13</v>
      </c>
    </row>
    <row r="2167" spans="1:19" x14ac:dyDescent="0.3">
      <c r="A2167" t="s">
        <v>942</v>
      </c>
      <c r="B2167" t="s">
        <v>1596</v>
      </c>
      <c r="C2167" t="s">
        <v>2988</v>
      </c>
      <c r="D2167" t="s">
        <v>3189</v>
      </c>
      <c r="E2167" t="s">
        <v>9</v>
      </c>
      <c r="F2167" s="2">
        <v>27</v>
      </c>
      <c r="G2167" t="s">
        <v>3206</v>
      </c>
      <c r="H2167" t="s">
        <v>69</v>
      </c>
      <c r="I2167" t="s">
        <v>11</v>
      </c>
      <c r="J2167" t="s">
        <v>3198</v>
      </c>
      <c r="K2167" t="s">
        <v>15</v>
      </c>
      <c r="L2167" s="2">
        <v>33</v>
      </c>
      <c r="M2167" t="s">
        <v>3203</v>
      </c>
      <c r="N2167">
        <v>1</v>
      </c>
      <c r="O2167" t="s">
        <v>30</v>
      </c>
      <c r="P2167" t="e">
        <v>#VALUE!</v>
      </c>
      <c r="Q2167" t="e">
        <v>#VALUE!</v>
      </c>
      <c r="R2167" t="s">
        <v>3201</v>
      </c>
      <c r="S2167" t="s">
        <v>13</v>
      </c>
    </row>
    <row r="2168" spans="1:19" x14ac:dyDescent="0.3">
      <c r="A2168" t="s">
        <v>942</v>
      </c>
      <c r="B2168" t="s">
        <v>1596</v>
      </c>
      <c r="C2168" t="s">
        <v>3164</v>
      </c>
      <c r="D2168" t="s">
        <v>3189</v>
      </c>
      <c r="E2168" t="s">
        <v>9</v>
      </c>
      <c r="F2168" s="2">
        <v>28</v>
      </c>
      <c r="G2168" t="s">
        <v>3206</v>
      </c>
      <c r="H2168" t="s">
        <v>51</v>
      </c>
      <c r="I2168" t="s">
        <v>11</v>
      </c>
      <c r="J2168" t="s">
        <v>3198</v>
      </c>
      <c r="K2168" t="s">
        <v>15</v>
      </c>
      <c r="L2168" s="2">
        <v>33</v>
      </c>
      <c r="M2168" t="s">
        <v>3203</v>
      </c>
      <c r="N2168">
        <v>1</v>
      </c>
      <c r="O2168" t="s">
        <v>30</v>
      </c>
      <c r="P2168" t="e">
        <v>#VALUE!</v>
      </c>
      <c r="Q2168" t="e">
        <v>#VALUE!</v>
      </c>
      <c r="R2168" t="s">
        <v>3201</v>
      </c>
      <c r="S2168" t="s">
        <v>13</v>
      </c>
    </row>
    <row r="2169" spans="1:19" x14ac:dyDescent="0.3">
      <c r="A2169" t="s">
        <v>942</v>
      </c>
      <c r="B2169" t="s">
        <v>1596</v>
      </c>
      <c r="C2169" t="s">
        <v>3165</v>
      </c>
      <c r="D2169" t="s">
        <v>3189</v>
      </c>
      <c r="E2169" t="s">
        <v>9</v>
      </c>
      <c r="F2169" s="2">
        <v>32</v>
      </c>
      <c r="G2169" t="s">
        <v>3206</v>
      </c>
      <c r="H2169" t="s">
        <v>69</v>
      </c>
      <c r="I2169" t="s">
        <v>28</v>
      </c>
      <c r="J2169" t="s">
        <v>3212</v>
      </c>
      <c r="K2169" t="s">
        <v>48</v>
      </c>
      <c r="L2169" s="2">
        <v>33</v>
      </c>
      <c r="M2169" t="s">
        <v>3203</v>
      </c>
      <c r="N2169">
        <v>1</v>
      </c>
      <c r="O2169" t="s">
        <v>30</v>
      </c>
      <c r="P2169" t="e">
        <v>#VALUE!</v>
      </c>
      <c r="Q2169" t="e">
        <v>#VALUE!</v>
      </c>
      <c r="R2169" t="s">
        <v>3201</v>
      </c>
      <c r="S2169" t="s">
        <v>13</v>
      </c>
    </row>
    <row r="2170" spans="1:19" x14ac:dyDescent="0.3">
      <c r="A2170" t="s">
        <v>942</v>
      </c>
      <c r="B2170" t="s">
        <v>1596</v>
      </c>
      <c r="C2170" t="s">
        <v>2828</v>
      </c>
      <c r="D2170" t="s">
        <v>3189</v>
      </c>
      <c r="E2170" t="s">
        <v>9</v>
      </c>
      <c r="F2170" s="2">
        <v>23</v>
      </c>
      <c r="G2170" t="s">
        <v>3206</v>
      </c>
      <c r="H2170" t="s">
        <v>51</v>
      </c>
      <c r="I2170" t="s">
        <v>11</v>
      </c>
      <c r="J2170" t="s">
        <v>3198</v>
      </c>
      <c r="K2170" t="s">
        <v>15</v>
      </c>
      <c r="L2170" s="2">
        <v>33</v>
      </c>
      <c r="M2170" t="s">
        <v>3203</v>
      </c>
      <c r="N2170">
        <v>1</v>
      </c>
      <c r="O2170" t="s">
        <v>30</v>
      </c>
      <c r="P2170" t="e">
        <v>#VALUE!</v>
      </c>
      <c r="Q2170" t="e">
        <v>#VALUE!</v>
      </c>
      <c r="R2170" t="s">
        <v>3205</v>
      </c>
      <c r="S2170" t="s">
        <v>16</v>
      </c>
    </row>
    <row r="2171" spans="1:19" x14ac:dyDescent="0.3">
      <c r="A2171" t="s">
        <v>1571</v>
      </c>
      <c r="B2171" t="s">
        <v>1596</v>
      </c>
      <c r="C2171" t="s">
        <v>3093</v>
      </c>
      <c r="D2171" t="s">
        <v>3189</v>
      </c>
      <c r="E2171" t="s">
        <v>9</v>
      </c>
      <c r="F2171" s="2">
        <v>39</v>
      </c>
      <c r="G2171" t="s">
        <v>3197</v>
      </c>
      <c r="H2171" t="s">
        <v>69</v>
      </c>
      <c r="I2171" t="s">
        <v>11</v>
      </c>
      <c r="J2171" t="s">
        <v>3198</v>
      </c>
      <c r="K2171" t="s">
        <v>15</v>
      </c>
      <c r="L2171" s="2">
        <v>33</v>
      </c>
      <c r="M2171" t="s">
        <v>3203</v>
      </c>
      <c r="N2171">
        <v>1</v>
      </c>
      <c r="O2171" t="s">
        <v>30</v>
      </c>
      <c r="P2171" t="e">
        <v>#VALUE!</v>
      </c>
      <c r="Q2171" t="e">
        <v>#VALUE!</v>
      </c>
      <c r="R2171" t="s">
        <v>3201</v>
      </c>
      <c r="S2171" t="s">
        <v>13</v>
      </c>
    </row>
    <row r="2172" spans="1:19" x14ac:dyDescent="0.3">
      <c r="A2172" t="s">
        <v>1572</v>
      </c>
      <c r="B2172" t="s">
        <v>1596</v>
      </c>
      <c r="C2172" t="s">
        <v>3166</v>
      </c>
      <c r="D2172" t="s">
        <v>3189</v>
      </c>
      <c r="E2172" t="s">
        <v>9</v>
      </c>
      <c r="F2172" s="2">
        <v>37</v>
      </c>
      <c r="G2172" t="s">
        <v>3197</v>
      </c>
      <c r="H2172" t="s">
        <v>69</v>
      </c>
      <c r="I2172" t="s">
        <v>11</v>
      </c>
      <c r="J2172" t="s">
        <v>3198</v>
      </c>
      <c r="K2172" t="s">
        <v>15</v>
      </c>
      <c r="L2172" s="2">
        <v>33</v>
      </c>
      <c r="M2172" t="s">
        <v>3203</v>
      </c>
      <c r="N2172">
        <v>1</v>
      </c>
      <c r="O2172" t="s">
        <v>30</v>
      </c>
      <c r="P2172" t="e">
        <v>#VALUE!</v>
      </c>
      <c r="Q2172" t="e">
        <v>#VALUE!</v>
      </c>
      <c r="R2172" t="s">
        <v>3205</v>
      </c>
      <c r="S2172" t="s">
        <v>16</v>
      </c>
    </row>
    <row r="2173" spans="1:19" x14ac:dyDescent="0.3">
      <c r="A2173" t="s">
        <v>1573</v>
      </c>
      <c r="B2173" t="s">
        <v>1596</v>
      </c>
      <c r="C2173" t="s">
        <v>3167</v>
      </c>
      <c r="D2173" t="s">
        <v>3189</v>
      </c>
      <c r="E2173" t="s">
        <v>9</v>
      </c>
      <c r="F2173" s="2">
        <v>39</v>
      </c>
      <c r="G2173" t="s">
        <v>3197</v>
      </c>
      <c r="H2173" t="s">
        <v>71</v>
      </c>
      <c r="I2173" t="s">
        <v>11</v>
      </c>
      <c r="J2173" t="s">
        <v>3198</v>
      </c>
      <c r="K2173" t="s">
        <v>15</v>
      </c>
      <c r="L2173" s="2">
        <v>33</v>
      </c>
      <c r="M2173" t="s">
        <v>3203</v>
      </c>
      <c r="N2173">
        <v>1</v>
      </c>
      <c r="O2173" t="s">
        <v>30</v>
      </c>
      <c r="P2173" t="e">
        <v>#VALUE!</v>
      </c>
      <c r="Q2173" t="e">
        <v>#VALUE!</v>
      </c>
      <c r="R2173" t="s">
        <v>3201</v>
      </c>
      <c r="S2173" t="s">
        <v>13</v>
      </c>
    </row>
    <row r="2174" spans="1:19" x14ac:dyDescent="0.3">
      <c r="A2174" t="s">
        <v>952</v>
      </c>
      <c r="B2174" t="s">
        <v>1596</v>
      </c>
      <c r="C2174" t="s">
        <v>2776</v>
      </c>
      <c r="D2174" t="s">
        <v>3189</v>
      </c>
      <c r="E2174" t="s">
        <v>9</v>
      </c>
      <c r="F2174" s="2">
        <v>42</v>
      </c>
      <c r="G2174" t="s">
        <v>3197</v>
      </c>
      <c r="H2174" t="s">
        <v>69</v>
      </c>
      <c r="I2174" t="s">
        <v>11</v>
      </c>
      <c r="J2174" t="s">
        <v>3198</v>
      </c>
      <c r="K2174" t="s">
        <v>15</v>
      </c>
      <c r="L2174" s="2">
        <v>33</v>
      </c>
      <c r="M2174" t="s">
        <v>3203</v>
      </c>
      <c r="N2174">
        <v>1</v>
      </c>
      <c r="O2174" t="s">
        <v>30</v>
      </c>
      <c r="P2174" t="e">
        <v>#VALUE!</v>
      </c>
      <c r="Q2174" t="e">
        <v>#VALUE!</v>
      </c>
      <c r="R2174" t="s">
        <v>3201</v>
      </c>
      <c r="S2174" t="s">
        <v>13</v>
      </c>
    </row>
    <row r="2175" spans="1:19" x14ac:dyDescent="0.3">
      <c r="A2175" t="s">
        <v>952</v>
      </c>
      <c r="B2175" t="s">
        <v>1596</v>
      </c>
      <c r="C2175" t="s">
        <v>3168</v>
      </c>
      <c r="D2175" t="s">
        <v>3189</v>
      </c>
      <c r="E2175" t="s">
        <v>9</v>
      </c>
      <c r="F2175" s="2">
        <v>26</v>
      </c>
      <c r="G2175" t="s">
        <v>3206</v>
      </c>
      <c r="H2175" t="s">
        <v>51</v>
      </c>
      <c r="I2175" t="s">
        <v>11</v>
      </c>
      <c r="J2175" t="s">
        <v>3198</v>
      </c>
      <c r="K2175" t="s">
        <v>15</v>
      </c>
      <c r="L2175" s="2">
        <v>33</v>
      </c>
      <c r="M2175" t="s">
        <v>3203</v>
      </c>
      <c r="N2175">
        <v>1</v>
      </c>
      <c r="O2175" t="s">
        <v>30</v>
      </c>
      <c r="P2175" t="e">
        <v>#VALUE!</v>
      </c>
      <c r="Q2175" t="e">
        <v>#VALUE!</v>
      </c>
      <c r="R2175" t="s">
        <v>3201</v>
      </c>
      <c r="S2175" t="s">
        <v>13</v>
      </c>
    </row>
    <row r="2176" spans="1:19" x14ac:dyDescent="0.3">
      <c r="A2176" t="s">
        <v>952</v>
      </c>
      <c r="B2176" t="s">
        <v>1596</v>
      </c>
      <c r="C2176" t="s">
        <v>2639</v>
      </c>
      <c r="D2176" t="s">
        <v>3189</v>
      </c>
      <c r="E2176" t="s">
        <v>9</v>
      </c>
      <c r="F2176" s="2">
        <v>28</v>
      </c>
      <c r="G2176" t="s">
        <v>3206</v>
      </c>
      <c r="H2176" t="s">
        <v>69</v>
      </c>
      <c r="I2176" t="s">
        <v>11</v>
      </c>
      <c r="J2176" t="s">
        <v>3198</v>
      </c>
      <c r="K2176" t="s">
        <v>15</v>
      </c>
      <c r="L2176" s="2">
        <v>33</v>
      </c>
      <c r="M2176" t="s">
        <v>3203</v>
      </c>
      <c r="N2176">
        <v>1</v>
      </c>
      <c r="O2176" t="s">
        <v>30</v>
      </c>
      <c r="P2176" t="e">
        <v>#VALUE!</v>
      </c>
      <c r="Q2176" t="e">
        <v>#VALUE!</v>
      </c>
      <c r="R2176" t="s">
        <v>3205</v>
      </c>
      <c r="S2176" t="s">
        <v>16</v>
      </c>
    </row>
    <row r="2177" spans="1:19" x14ac:dyDescent="0.3">
      <c r="A2177" t="s">
        <v>1574</v>
      </c>
      <c r="B2177" t="s">
        <v>1596</v>
      </c>
      <c r="C2177" t="s">
        <v>3169</v>
      </c>
      <c r="D2177" t="s">
        <v>3189</v>
      </c>
      <c r="E2177" t="s">
        <v>9</v>
      </c>
      <c r="F2177" s="2">
        <v>35</v>
      </c>
      <c r="G2177" t="s">
        <v>3206</v>
      </c>
      <c r="H2177" t="s">
        <v>69</v>
      </c>
      <c r="I2177" t="s">
        <v>11</v>
      </c>
      <c r="J2177" t="s">
        <v>3198</v>
      </c>
      <c r="K2177" t="s">
        <v>37</v>
      </c>
      <c r="L2177" s="2">
        <v>33</v>
      </c>
      <c r="M2177" t="s">
        <v>3203</v>
      </c>
      <c r="N2177">
        <v>1</v>
      </c>
      <c r="O2177" t="s">
        <v>30</v>
      </c>
      <c r="P2177" t="e">
        <v>#VALUE!</v>
      </c>
      <c r="Q2177" t="e">
        <v>#VALUE!</v>
      </c>
      <c r="R2177" t="s">
        <v>3201</v>
      </c>
      <c r="S2177" t="s">
        <v>13</v>
      </c>
    </row>
    <row r="2178" spans="1:19" x14ac:dyDescent="0.3">
      <c r="A2178" t="s">
        <v>1575</v>
      </c>
      <c r="B2178" t="s">
        <v>1596</v>
      </c>
      <c r="C2178" t="s">
        <v>1619</v>
      </c>
      <c r="D2178" t="s">
        <v>3189</v>
      </c>
      <c r="E2178" t="s">
        <v>9</v>
      </c>
      <c r="F2178" s="2">
        <v>59</v>
      </c>
      <c r="G2178" t="s">
        <v>3210</v>
      </c>
      <c r="H2178" t="s">
        <v>69</v>
      </c>
      <c r="I2178" t="s">
        <v>11</v>
      </c>
      <c r="J2178" t="s">
        <v>3198</v>
      </c>
      <c r="K2178" t="s">
        <v>15</v>
      </c>
      <c r="L2178" s="2">
        <v>33</v>
      </c>
      <c r="M2178" t="s">
        <v>3203</v>
      </c>
      <c r="N2178">
        <v>1</v>
      </c>
      <c r="O2178" t="s">
        <v>30</v>
      </c>
      <c r="P2178" t="e">
        <v>#VALUE!</v>
      </c>
      <c r="Q2178" t="e">
        <v>#VALUE!</v>
      </c>
      <c r="R2178" t="s">
        <v>3201</v>
      </c>
      <c r="S2178" t="s">
        <v>13</v>
      </c>
    </row>
    <row r="2179" spans="1:19" x14ac:dyDescent="0.3">
      <c r="A2179" t="s">
        <v>1576</v>
      </c>
      <c r="B2179" t="s">
        <v>1596</v>
      </c>
      <c r="C2179" t="s">
        <v>3170</v>
      </c>
      <c r="D2179" t="s">
        <v>3189</v>
      </c>
      <c r="E2179" t="s">
        <v>9</v>
      </c>
      <c r="F2179" s="2">
        <v>34</v>
      </c>
      <c r="G2179" t="s">
        <v>3206</v>
      </c>
      <c r="H2179" t="s">
        <v>69</v>
      </c>
      <c r="I2179" t="s">
        <v>11</v>
      </c>
      <c r="J2179" t="s">
        <v>3198</v>
      </c>
      <c r="K2179" t="s">
        <v>15</v>
      </c>
      <c r="L2179" s="2">
        <v>33</v>
      </c>
      <c r="M2179" t="s">
        <v>3203</v>
      </c>
      <c r="N2179">
        <v>1</v>
      </c>
      <c r="O2179" t="s">
        <v>30</v>
      </c>
      <c r="P2179" t="e">
        <v>#VALUE!</v>
      </c>
      <c r="Q2179" t="e">
        <v>#VALUE!</v>
      </c>
      <c r="R2179" t="s">
        <v>3201</v>
      </c>
      <c r="S2179" t="s">
        <v>13</v>
      </c>
    </row>
    <row r="2180" spans="1:19" x14ac:dyDescent="0.3">
      <c r="A2180" t="s">
        <v>953</v>
      </c>
      <c r="B2180" t="s">
        <v>1596</v>
      </c>
      <c r="C2180" t="s">
        <v>3171</v>
      </c>
      <c r="D2180" t="s">
        <v>3189</v>
      </c>
      <c r="E2180" t="s">
        <v>9</v>
      </c>
      <c r="F2180" s="2">
        <v>28</v>
      </c>
      <c r="G2180" t="s">
        <v>3206</v>
      </c>
      <c r="H2180" t="s">
        <v>51</v>
      </c>
      <c r="I2180" t="s">
        <v>28</v>
      </c>
      <c r="J2180" t="s">
        <v>3212</v>
      </c>
      <c r="K2180" t="s">
        <v>15</v>
      </c>
      <c r="L2180" s="2">
        <v>33</v>
      </c>
      <c r="M2180" t="s">
        <v>3203</v>
      </c>
      <c r="N2180">
        <v>1</v>
      </c>
      <c r="O2180" t="s">
        <v>30</v>
      </c>
      <c r="P2180" t="e">
        <v>#VALUE!</v>
      </c>
      <c r="Q2180" t="e">
        <v>#VALUE!</v>
      </c>
      <c r="R2180" t="s">
        <v>3201</v>
      </c>
      <c r="S2180" t="s">
        <v>13</v>
      </c>
    </row>
    <row r="2181" spans="1:19" x14ac:dyDescent="0.3">
      <c r="A2181" t="s">
        <v>1577</v>
      </c>
      <c r="B2181" t="s">
        <v>1596</v>
      </c>
      <c r="C2181" t="s">
        <v>2094</v>
      </c>
      <c r="D2181" t="s">
        <v>3189</v>
      </c>
      <c r="E2181" t="s">
        <v>9</v>
      </c>
      <c r="F2181" s="2">
        <v>53</v>
      </c>
      <c r="G2181" t="s">
        <v>3197</v>
      </c>
      <c r="H2181" t="s">
        <v>51</v>
      </c>
      <c r="I2181" t="s">
        <v>11</v>
      </c>
      <c r="J2181" t="s">
        <v>3198</v>
      </c>
      <c r="K2181" t="s">
        <v>15</v>
      </c>
      <c r="L2181" s="2">
        <v>33</v>
      </c>
      <c r="M2181" t="s">
        <v>3203</v>
      </c>
      <c r="N2181">
        <v>1</v>
      </c>
      <c r="O2181" t="s">
        <v>30</v>
      </c>
      <c r="P2181" t="e">
        <v>#VALUE!</v>
      </c>
      <c r="Q2181" t="e">
        <v>#VALUE!</v>
      </c>
      <c r="R2181" t="s">
        <v>3201</v>
      </c>
      <c r="S2181" t="s">
        <v>13</v>
      </c>
    </row>
    <row r="2182" spans="1:19" x14ac:dyDescent="0.3">
      <c r="A2182" t="s">
        <v>1578</v>
      </c>
      <c r="B2182" t="s">
        <v>1596</v>
      </c>
      <c r="C2182" t="s">
        <v>3172</v>
      </c>
      <c r="D2182" t="s">
        <v>3189</v>
      </c>
      <c r="E2182" t="s">
        <v>9</v>
      </c>
      <c r="F2182" s="2">
        <v>38</v>
      </c>
      <c r="G2182" t="s">
        <v>3197</v>
      </c>
      <c r="H2182" t="s">
        <v>69</v>
      </c>
      <c r="I2182" t="s">
        <v>11</v>
      </c>
      <c r="J2182" t="s">
        <v>3198</v>
      </c>
      <c r="K2182" t="s">
        <v>15</v>
      </c>
      <c r="L2182" s="2">
        <v>33</v>
      </c>
      <c r="M2182" t="s">
        <v>3203</v>
      </c>
      <c r="N2182">
        <v>1</v>
      </c>
      <c r="O2182" t="s">
        <v>30</v>
      </c>
      <c r="P2182" t="e">
        <v>#VALUE!</v>
      </c>
      <c r="Q2182" t="e">
        <v>#VALUE!</v>
      </c>
      <c r="R2182" t="s">
        <v>3205</v>
      </c>
      <c r="S2182" t="s">
        <v>16</v>
      </c>
    </row>
    <row r="2183" spans="1:19" x14ac:dyDescent="0.3">
      <c r="A2183" t="s">
        <v>1579</v>
      </c>
      <c r="B2183" t="s">
        <v>1596</v>
      </c>
      <c r="C2183" t="s">
        <v>3173</v>
      </c>
      <c r="D2183" t="s">
        <v>3189</v>
      </c>
      <c r="E2183" t="s">
        <v>9</v>
      </c>
      <c r="F2183" s="2">
        <v>36</v>
      </c>
      <c r="G2183" t="s">
        <v>3197</v>
      </c>
      <c r="H2183" t="s">
        <v>69</v>
      </c>
      <c r="I2183" t="s">
        <v>11</v>
      </c>
      <c r="J2183" t="s">
        <v>3198</v>
      </c>
      <c r="K2183" t="s">
        <v>15</v>
      </c>
      <c r="L2183" s="2">
        <v>33</v>
      </c>
      <c r="M2183" t="s">
        <v>3203</v>
      </c>
      <c r="N2183">
        <v>1</v>
      </c>
      <c r="O2183" t="s">
        <v>30</v>
      </c>
      <c r="P2183" t="e">
        <v>#VALUE!</v>
      </c>
      <c r="Q2183" t="e">
        <v>#VALUE!</v>
      </c>
      <c r="R2183" t="s">
        <v>3201</v>
      </c>
      <c r="S2183" t="s">
        <v>13</v>
      </c>
    </row>
    <row r="2184" spans="1:19" x14ac:dyDescent="0.3">
      <c r="A2184" t="s">
        <v>1580</v>
      </c>
      <c r="B2184" t="s">
        <v>1596</v>
      </c>
      <c r="C2184" t="s">
        <v>2872</v>
      </c>
      <c r="D2184" t="s">
        <v>3189</v>
      </c>
      <c r="E2184" t="s">
        <v>9</v>
      </c>
      <c r="F2184" s="2">
        <v>39</v>
      </c>
      <c r="G2184" t="s">
        <v>3197</v>
      </c>
      <c r="H2184" t="s">
        <v>51</v>
      </c>
      <c r="I2184" t="s">
        <v>11</v>
      </c>
      <c r="J2184" t="s">
        <v>3198</v>
      </c>
      <c r="K2184" t="s">
        <v>15</v>
      </c>
      <c r="L2184" s="2">
        <v>33</v>
      </c>
      <c r="M2184" t="s">
        <v>3203</v>
      </c>
      <c r="N2184">
        <v>1</v>
      </c>
      <c r="O2184" t="s">
        <v>30</v>
      </c>
      <c r="P2184" t="e">
        <v>#VALUE!</v>
      </c>
      <c r="Q2184" t="e">
        <v>#VALUE!</v>
      </c>
      <c r="R2184" t="s">
        <v>3201</v>
      </c>
      <c r="S2184" t="s">
        <v>13</v>
      </c>
    </row>
    <row r="2185" spans="1:19" x14ac:dyDescent="0.3">
      <c r="A2185" t="s">
        <v>1581</v>
      </c>
      <c r="B2185" t="s">
        <v>1596</v>
      </c>
      <c r="C2185" t="s">
        <v>3174</v>
      </c>
      <c r="D2185" t="s">
        <v>3189</v>
      </c>
      <c r="E2185" t="s">
        <v>9</v>
      </c>
      <c r="F2185" s="2">
        <v>31</v>
      </c>
      <c r="G2185" t="s">
        <v>3206</v>
      </c>
      <c r="H2185" t="s">
        <v>69</v>
      </c>
      <c r="I2185" t="s">
        <v>11</v>
      </c>
      <c r="J2185" t="s">
        <v>3198</v>
      </c>
      <c r="K2185" t="s">
        <v>15</v>
      </c>
      <c r="L2185" s="2">
        <v>33</v>
      </c>
      <c r="M2185" t="s">
        <v>3203</v>
      </c>
      <c r="N2185">
        <v>1</v>
      </c>
      <c r="O2185" t="s">
        <v>30</v>
      </c>
      <c r="P2185" t="e">
        <v>#VALUE!</v>
      </c>
      <c r="Q2185" t="e">
        <v>#VALUE!</v>
      </c>
      <c r="R2185" t="s">
        <v>3205</v>
      </c>
      <c r="S2185" t="s">
        <v>16</v>
      </c>
    </row>
    <row r="2186" spans="1:19" x14ac:dyDescent="0.3">
      <c r="A2186" t="s">
        <v>1582</v>
      </c>
      <c r="B2186" t="s">
        <v>1596</v>
      </c>
      <c r="C2186" t="s">
        <v>1728</v>
      </c>
      <c r="D2186" t="s">
        <v>3189</v>
      </c>
      <c r="E2186" t="s">
        <v>9</v>
      </c>
      <c r="F2186" s="2">
        <v>39</v>
      </c>
      <c r="G2186" t="s">
        <v>3197</v>
      </c>
      <c r="H2186" t="s">
        <v>69</v>
      </c>
      <c r="I2186" t="s">
        <v>11</v>
      </c>
      <c r="J2186" t="s">
        <v>3198</v>
      </c>
      <c r="K2186" t="s">
        <v>60</v>
      </c>
      <c r="L2186" s="2">
        <v>33</v>
      </c>
      <c r="M2186" t="s">
        <v>3203</v>
      </c>
      <c r="N2186">
        <v>1</v>
      </c>
      <c r="O2186" t="s">
        <v>30</v>
      </c>
      <c r="P2186" t="e">
        <v>#VALUE!</v>
      </c>
      <c r="Q2186" t="e">
        <v>#VALUE!</v>
      </c>
      <c r="R2186" t="s">
        <v>3201</v>
      </c>
      <c r="S2186" t="s">
        <v>13</v>
      </c>
    </row>
    <row r="2187" spans="1:19" x14ac:dyDescent="0.3">
      <c r="A2187" t="s">
        <v>1583</v>
      </c>
      <c r="B2187" t="s">
        <v>1596</v>
      </c>
      <c r="C2187" t="s">
        <v>3175</v>
      </c>
      <c r="D2187" t="s">
        <v>3189</v>
      </c>
      <c r="E2187" t="s">
        <v>9</v>
      </c>
      <c r="F2187" s="2">
        <v>37</v>
      </c>
      <c r="G2187" t="s">
        <v>3197</v>
      </c>
      <c r="H2187" t="s">
        <v>51</v>
      </c>
      <c r="I2187" t="s">
        <v>11</v>
      </c>
      <c r="J2187" t="s">
        <v>3198</v>
      </c>
      <c r="K2187" t="s">
        <v>15</v>
      </c>
      <c r="L2187" s="2">
        <v>33</v>
      </c>
      <c r="M2187" t="s">
        <v>3203</v>
      </c>
      <c r="N2187">
        <v>1</v>
      </c>
      <c r="O2187" t="s">
        <v>30</v>
      </c>
      <c r="P2187" t="e">
        <v>#VALUE!</v>
      </c>
      <c r="Q2187" t="e">
        <v>#VALUE!</v>
      </c>
      <c r="R2187" t="s">
        <v>3201</v>
      </c>
      <c r="S2187" t="s">
        <v>13</v>
      </c>
    </row>
    <row r="2188" spans="1:19" x14ac:dyDescent="0.3">
      <c r="A2188" t="s">
        <v>1584</v>
      </c>
      <c r="B2188" t="s">
        <v>1596</v>
      </c>
      <c r="C2188" t="s">
        <v>3176</v>
      </c>
      <c r="D2188" t="s">
        <v>3189</v>
      </c>
      <c r="E2188" t="s">
        <v>9</v>
      </c>
      <c r="F2188" s="2">
        <v>35</v>
      </c>
      <c r="G2188" t="s">
        <v>3206</v>
      </c>
      <c r="H2188" t="s">
        <v>51</v>
      </c>
      <c r="I2188" t="s">
        <v>11</v>
      </c>
      <c r="J2188" t="s">
        <v>3198</v>
      </c>
      <c r="K2188" t="s">
        <v>15</v>
      </c>
      <c r="L2188" s="2">
        <v>33</v>
      </c>
      <c r="M2188" t="s">
        <v>3203</v>
      </c>
      <c r="N2188">
        <v>1</v>
      </c>
      <c r="O2188" t="s">
        <v>30</v>
      </c>
      <c r="P2188" t="e">
        <v>#VALUE!</v>
      </c>
      <c r="Q2188" t="e">
        <v>#VALUE!</v>
      </c>
      <c r="R2188" t="s">
        <v>3201</v>
      </c>
      <c r="S2188" t="s">
        <v>13</v>
      </c>
    </row>
    <row r="2189" spans="1:19" x14ac:dyDescent="0.3">
      <c r="A2189" t="s">
        <v>1585</v>
      </c>
      <c r="B2189" t="s">
        <v>1596</v>
      </c>
      <c r="C2189" t="s">
        <v>3177</v>
      </c>
      <c r="D2189" t="s">
        <v>3189</v>
      </c>
      <c r="E2189" t="s">
        <v>9</v>
      </c>
      <c r="F2189" s="2">
        <v>40</v>
      </c>
      <c r="G2189" t="s">
        <v>3197</v>
      </c>
      <c r="H2189" t="s">
        <v>51</v>
      </c>
      <c r="I2189" t="s">
        <v>11</v>
      </c>
      <c r="J2189" t="s">
        <v>3198</v>
      </c>
      <c r="K2189" t="s">
        <v>15</v>
      </c>
      <c r="L2189" s="2">
        <v>33</v>
      </c>
      <c r="M2189" t="s">
        <v>3203</v>
      </c>
      <c r="N2189">
        <v>1</v>
      </c>
      <c r="O2189" t="s">
        <v>30</v>
      </c>
      <c r="P2189" t="e">
        <v>#VALUE!</v>
      </c>
      <c r="Q2189" t="e">
        <v>#VALUE!</v>
      </c>
      <c r="R2189" t="s">
        <v>3201</v>
      </c>
      <c r="S2189" t="s">
        <v>13</v>
      </c>
    </row>
    <row r="2190" spans="1:19" x14ac:dyDescent="0.3">
      <c r="A2190" t="s">
        <v>1586</v>
      </c>
      <c r="B2190" t="s">
        <v>1596</v>
      </c>
      <c r="C2190" t="s">
        <v>1728</v>
      </c>
      <c r="D2190" t="s">
        <v>3189</v>
      </c>
      <c r="E2190" t="s">
        <v>9</v>
      </c>
      <c r="F2190" s="2">
        <v>31</v>
      </c>
      <c r="G2190" t="s">
        <v>3206</v>
      </c>
      <c r="H2190" t="s">
        <v>51</v>
      </c>
      <c r="I2190" t="s">
        <v>11</v>
      </c>
      <c r="J2190" t="s">
        <v>3198</v>
      </c>
      <c r="K2190" t="s">
        <v>15</v>
      </c>
      <c r="L2190" s="2">
        <v>33</v>
      </c>
      <c r="M2190" t="s">
        <v>3203</v>
      </c>
      <c r="N2190">
        <v>1</v>
      </c>
      <c r="O2190" t="s">
        <v>30</v>
      </c>
      <c r="P2190" t="e">
        <v>#VALUE!</v>
      </c>
      <c r="Q2190" t="e">
        <v>#VALUE!</v>
      </c>
      <c r="R2190" t="s">
        <v>3201</v>
      </c>
      <c r="S2190" t="s">
        <v>13</v>
      </c>
    </row>
    <row r="2191" spans="1:19" x14ac:dyDescent="0.3">
      <c r="A2191" t="s">
        <v>1586</v>
      </c>
      <c r="B2191" t="s">
        <v>1596</v>
      </c>
      <c r="C2191" t="s">
        <v>3178</v>
      </c>
      <c r="D2191" t="s">
        <v>3189</v>
      </c>
      <c r="E2191" t="s">
        <v>9</v>
      </c>
      <c r="F2191" s="2">
        <v>49</v>
      </c>
      <c r="G2191" t="s">
        <v>3197</v>
      </c>
      <c r="H2191" t="s">
        <v>69</v>
      </c>
      <c r="I2191" t="s">
        <v>11</v>
      </c>
      <c r="J2191" t="s">
        <v>3198</v>
      </c>
      <c r="K2191" t="s">
        <v>15</v>
      </c>
      <c r="L2191" s="2">
        <v>33</v>
      </c>
      <c r="M2191" t="s">
        <v>3203</v>
      </c>
      <c r="N2191">
        <v>1</v>
      </c>
      <c r="O2191" t="s">
        <v>30</v>
      </c>
      <c r="P2191" t="e">
        <v>#VALUE!</v>
      </c>
      <c r="Q2191" t="e">
        <v>#VALUE!</v>
      </c>
      <c r="R2191" t="s">
        <v>3201</v>
      </c>
      <c r="S2191" t="s">
        <v>13</v>
      </c>
    </row>
    <row r="2192" spans="1:19" x14ac:dyDescent="0.3">
      <c r="A2192" t="s">
        <v>1587</v>
      </c>
      <c r="B2192" t="s">
        <v>1596</v>
      </c>
      <c r="C2192" t="s">
        <v>3179</v>
      </c>
      <c r="D2192" t="s">
        <v>3189</v>
      </c>
      <c r="E2192" t="s">
        <v>9</v>
      </c>
      <c r="F2192" s="2">
        <v>41</v>
      </c>
      <c r="G2192" t="s">
        <v>3197</v>
      </c>
      <c r="H2192" t="s">
        <v>69</v>
      </c>
      <c r="I2192" t="s">
        <v>11</v>
      </c>
      <c r="J2192" t="s">
        <v>3198</v>
      </c>
      <c r="K2192" t="s">
        <v>12</v>
      </c>
      <c r="L2192" s="2">
        <v>33</v>
      </c>
      <c r="M2192" t="s">
        <v>3203</v>
      </c>
      <c r="N2192">
        <v>1</v>
      </c>
      <c r="O2192" t="s">
        <v>30</v>
      </c>
      <c r="P2192" t="e">
        <v>#VALUE!</v>
      </c>
      <c r="Q2192" t="e">
        <v>#VALUE!</v>
      </c>
      <c r="R2192" t="s">
        <v>3201</v>
      </c>
      <c r="S2192" t="s">
        <v>13</v>
      </c>
    </row>
    <row r="2193" spans="1:19" x14ac:dyDescent="0.3">
      <c r="A2193" t="s">
        <v>1588</v>
      </c>
      <c r="B2193" t="s">
        <v>1596</v>
      </c>
      <c r="C2193" t="s">
        <v>3180</v>
      </c>
      <c r="D2193" t="s">
        <v>3189</v>
      </c>
      <c r="E2193" t="s">
        <v>9</v>
      </c>
      <c r="F2193" s="2">
        <v>45</v>
      </c>
      <c r="G2193" t="s">
        <v>3197</v>
      </c>
      <c r="H2193" t="s">
        <v>69</v>
      </c>
      <c r="I2193" t="s">
        <v>11</v>
      </c>
      <c r="J2193" t="s">
        <v>3198</v>
      </c>
      <c r="K2193" t="s">
        <v>15</v>
      </c>
      <c r="L2193" s="2">
        <v>33</v>
      </c>
      <c r="M2193" t="s">
        <v>3203</v>
      </c>
      <c r="N2193">
        <v>1</v>
      </c>
      <c r="O2193" t="s">
        <v>30</v>
      </c>
      <c r="P2193" t="e">
        <v>#VALUE!</v>
      </c>
      <c r="Q2193" t="e">
        <v>#VALUE!</v>
      </c>
      <c r="R2193" t="s">
        <v>3201</v>
      </c>
      <c r="S2193" t="s">
        <v>13</v>
      </c>
    </row>
    <row r="2194" spans="1:19" x14ac:dyDescent="0.3">
      <c r="A2194" t="s">
        <v>1589</v>
      </c>
      <c r="B2194" t="s">
        <v>1596</v>
      </c>
      <c r="C2194" t="s">
        <v>1621</v>
      </c>
      <c r="D2194" t="s">
        <v>3189</v>
      </c>
      <c r="E2194" t="s">
        <v>9</v>
      </c>
      <c r="F2194" s="2">
        <v>37</v>
      </c>
      <c r="G2194" t="s">
        <v>3197</v>
      </c>
      <c r="H2194" t="s">
        <v>51</v>
      </c>
      <c r="I2194" t="s">
        <v>11</v>
      </c>
      <c r="J2194" t="s">
        <v>3198</v>
      </c>
      <c r="K2194" t="s">
        <v>15</v>
      </c>
      <c r="L2194" s="2">
        <v>33</v>
      </c>
      <c r="M2194" t="s">
        <v>3203</v>
      </c>
      <c r="N2194">
        <v>1</v>
      </c>
      <c r="O2194" t="s">
        <v>30</v>
      </c>
      <c r="P2194" t="e">
        <v>#VALUE!</v>
      </c>
      <c r="Q2194" t="e">
        <v>#VALUE!</v>
      </c>
      <c r="R2194" t="s">
        <v>3201</v>
      </c>
      <c r="S2194" t="s">
        <v>13</v>
      </c>
    </row>
    <row r="2195" spans="1:19" x14ac:dyDescent="0.3">
      <c r="A2195" t="s">
        <v>1590</v>
      </c>
      <c r="B2195" t="s">
        <v>1596</v>
      </c>
      <c r="C2195" t="s">
        <v>3181</v>
      </c>
      <c r="D2195" t="s">
        <v>3189</v>
      </c>
      <c r="E2195" t="s">
        <v>9</v>
      </c>
      <c r="F2195" s="2">
        <v>19</v>
      </c>
      <c r="G2195" t="s">
        <v>3206</v>
      </c>
      <c r="H2195" t="s">
        <v>69</v>
      </c>
      <c r="I2195" t="s">
        <v>28</v>
      </c>
      <c r="J2195" t="s">
        <v>3212</v>
      </c>
      <c r="K2195" t="s">
        <v>15</v>
      </c>
      <c r="L2195" s="2">
        <v>33</v>
      </c>
      <c r="M2195" t="s">
        <v>3203</v>
      </c>
      <c r="N2195">
        <v>1</v>
      </c>
      <c r="O2195" t="s">
        <v>30</v>
      </c>
      <c r="P2195" t="e">
        <v>#VALUE!</v>
      </c>
      <c r="Q2195" t="e">
        <v>#VALUE!</v>
      </c>
      <c r="R2195" t="s">
        <v>3201</v>
      </c>
      <c r="S2195" t="s">
        <v>13</v>
      </c>
    </row>
    <row r="2196" spans="1:19" x14ac:dyDescent="0.3">
      <c r="A2196" t="s">
        <v>960</v>
      </c>
      <c r="B2196" t="s">
        <v>1596</v>
      </c>
      <c r="C2196" t="s">
        <v>2511</v>
      </c>
      <c r="D2196" t="s">
        <v>3189</v>
      </c>
      <c r="E2196" t="s">
        <v>9</v>
      </c>
      <c r="F2196" s="2">
        <v>24</v>
      </c>
      <c r="G2196" t="s">
        <v>3206</v>
      </c>
      <c r="H2196" t="s">
        <v>69</v>
      </c>
      <c r="I2196" t="s">
        <v>11</v>
      </c>
      <c r="J2196" t="s">
        <v>3198</v>
      </c>
      <c r="K2196" t="s">
        <v>15</v>
      </c>
      <c r="L2196" s="2">
        <v>33</v>
      </c>
      <c r="M2196" t="s">
        <v>3203</v>
      </c>
      <c r="N2196">
        <v>1</v>
      </c>
      <c r="O2196" t="s">
        <v>30</v>
      </c>
      <c r="P2196" t="e">
        <v>#VALUE!</v>
      </c>
      <c r="Q2196" t="e">
        <v>#VALUE!</v>
      </c>
      <c r="R2196" t="s">
        <v>3201</v>
      </c>
      <c r="S2196" t="s">
        <v>13</v>
      </c>
    </row>
    <row r="2197" spans="1:19" x14ac:dyDescent="0.3">
      <c r="A2197" t="s">
        <v>960</v>
      </c>
      <c r="B2197" t="s">
        <v>1596</v>
      </c>
      <c r="C2197" t="s">
        <v>1619</v>
      </c>
      <c r="D2197" t="s">
        <v>3189</v>
      </c>
      <c r="E2197" t="s">
        <v>9</v>
      </c>
      <c r="F2197" s="2">
        <v>40</v>
      </c>
      <c r="G2197" t="s">
        <v>3197</v>
      </c>
      <c r="H2197" t="s">
        <v>69</v>
      </c>
      <c r="I2197" t="s">
        <v>11</v>
      </c>
      <c r="J2197" t="s">
        <v>3198</v>
      </c>
      <c r="K2197" t="s">
        <v>15</v>
      </c>
      <c r="L2197" s="2">
        <v>33</v>
      </c>
      <c r="M2197" t="s">
        <v>3203</v>
      </c>
      <c r="N2197">
        <v>1</v>
      </c>
      <c r="O2197" t="s">
        <v>30</v>
      </c>
      <c r="P2197" t="e">
        <v>#VALUE!</v>
      </c>
      <c r="Q2197" t="e">
        <v>#VALUE!</v>
      </c>
      <c r="R2197" t="s">
        <v>3205</v>
      </c>
      <c r="S2197" t="s">
        <v>16</v>
      </c>
    </row>
    <row r="2198" spans="1:19" x14ac:dyDescent="0.3">
      <c r="A2198" t="s">
        <v>1591</v>
      </c>
      <c r="B2198" t="s">
        <v>1596</v>
      </c>
      <c r="C2198" t="s">
        <v>2299</v>
      </c>
      <c r="D2198" t="s">
        <v>3189</v>
      </c>
      <c r="E2198" t="s">
        <v>9</v>
      </c>
      <c r="F2198" s="2">
        <v>26</v>
      </c>
      <c r="G2198" t="s">
        <v>3206</v>
      </c>
      <c r="H2198" t="s">
        <v>51</v>
      </c>
      <c r="I2198" t="s">
        <v>11</v>
      </c>
      <c r="J2198" t="s">
        <v>3198</v>
      </c>
      <c r="K2198" t="s">
        <v>15</v>
      </c>
      <c r="L2198" s="2">
        <v>33</v>
      </c>
      <c r="M2198" t="s">
        <v>3203</v>
      </c>
      <c r="N2198">
        <v>1</v>
      </c>
      <c r="O2198" t="s">
        <v>30</v>
      </c>
      <c r="P2198" t="e">
        <v>#VALUE!</v>
      </c>
      <c r="Q2198" t="e">
        <v>#VALUE!</v>
      </c>
      <c r="R2198" t="s">
        <v>3201</v>
      </c>
      <c r="S2198" t="s">
        <v>13</v>
      </c>
    </row>
    <row r="2199" spans="1:19" x14ac:dyDescent="0.3">
      <c r="A2199" t="s">
        <v>1592</v>
      </c>
      <c r="B2199" t="s">
        <v>1596</v>
      </c>
      <c r="C2199" t="s">
        <v>2069</v>
      </c>
      <c r="D2199" t="s">
        <v>3189</v>
      </c>
      <c r="E2199" t="s">
        <v>9</v>
      </c>
      <c r="F2199" s="2">
        <v>41</v>
      </c>
      <c r="G2199" t="s">
        <v>3197</v>
      </c>
      <c r="H2199" t="s">
        <v>71</v>
      </c>
      <c r="I2199" t="s">
        <v>28</v>
      </c>
      <c r="J2199" t="s">
        <v>3212</v>
      </c>
      <c r="K2199" t="s">
        <v>15</v>
      </c>
      <c r="L2199" s="2">
        <v>33</v>
      </c>
      <c r="M2199" t="s">
        <v>3203</v>
      </c>
      <c r="N2199">
        <v>1</v>
      </c>
      <c r="O2199" t="s">
        <v>30</v>
      </c>
      <c r="P2199" t="e">
        <v>#VALUE!</v>
      </c>
      <c r="Q2199" t="e">
        <v>#VALUE!</v>
      </c>
      <c r="R2199" t="s">
        <v>3205</v>
      </c>
      <c r="S2199" t="s">
        <v>16</v>
      </c>
    </row>
    <row r="2200" spans="1:19" x14ac:dyDescent="0.3">
      <c r="A2200" t="s">
        <v>1593</v>
      </c>
      <c r="B2200" t="s">
        <v>1596</v>
      </c>
      <c r="C2200" t="s">
        <v>1630</v>
      </c>
      <c r="D2200" t="s">
        <v>3189</v>
      </c>
      <c r="E2200" t="s">
        <v>9</v>
      </c>
      <c r="F2200" s="2">
        <v>40</v>
      </c>
      <c r="G2200" t="s">
        <v>3197</v>
      </c>
      <c r="H2200" t="s">
        <v>69</v>
      </c>
      <c r="I2200" t="s">
        <v>11</v>
      </c>
      <c r="J2200" t="s">
        <v>3198</v>
      </c>
      <c r="K2200" t="s">
        <v>15</v>
      </c>
      <c r="L2200" s="2">
        <v>33</v>
      </c>
      <c r="M2200" t="s">
        <v>3203</v>
      </c>
      <c r="N2200">
        <v>1</v>
      </c>
      <c r="O2200" t="s">
        <v>30</v>
      </c>
      <c r="P2200" t="e">
        <v>#VALUE!</v>
      </c>
      <c r="Q2200" t="e">
        <v>#VALUE!</v>
      </c>
      <c r="R2200" t="s">
        <v>3205</v>
      </c>
      <c r="S2200" t="s">
        <v>16</v>
      </c>
    </row>
    <row r="2201" spans="1:19" x14ac:dyDescent="0.3">
      <c r="A2201" t="s">
        <v>963</v>
      </c>
      <c r="B2201" t="s">
        <v>1596</v>
      </c>
      <c r="C2201" t="s">
        <v>3182</v>
      </c>
      <c r="D2201" t="s">
        <v>3189</v>
      </c>
      <c r="E2201" t="s">
        <v>9</v>
      </c>
      <c r="F2201" s="2">
        <v>32</v>
      </c>
      <c r="G2201" t="s">
        <v>3206</v>
      </c>
      <c r="H2201" t="s">
        <v>51</v>
      </c>
      <c r="I2201" t="s">
        <v>11</v>
      </c>
      <c r="J2201" t="s">
        <v>3198</v>
      </c>
      <c r="K2201" t="s">
        <v>15</v>
      </c>
      <c r="L2201" s="2">
        <v>33</v>
      </c>
      <c r="M2201" t="s">
        <v>3203</v>
      </c>
      <c r="N2201">
        <v>1</v>
      </c>
      <c r="O2201" t="s">
        <v>30</v>
      </c>
      <c r="P2201" t="e">
        <v>#VALUE!</v>
      </c>
      <c r="Q2201" t="e">
        <v>#VALUE!</v>
      </c>
      <c r="R2201" t="s">
        <v>3201</v>
      </c>
      <c r="S2201" t="s">
        <v>13</v>
      </c>
    </row>
    <row r="2202" spans="1:19" x14ac:dyDescent="0.3">
      <c r="A2202" t="s">
        <v>1594</v>
      </c>
      <c r="B2202" t="s">
        <v>2719</v>
      </c>
      <c r="C2202" t="s">
        <v>3183</v>
      </c>
      <c r="D2202" t="s">
        <v>3189</v>
      </c>
      <c r="E2202" t="s">
        <v>9</v>
      </c>
      <c r="F2202" s="2">
        <v>20</v>
      </c>
      <c r="G2202" t="s">
        <v>3206</v>
      </c>
      <c r="H2202" t="s">
        <v>70</v>
      </c>
      <c r="I2202" t="s">
        <v>11</v>
      </c>
      <c r="J2202" t="s">
        <v>3198</v>
      </c>
      <c r="K2202" t="s">
        <v>15</v>
      </c>
      <c r="L2202" s="2">
        <v>33</v>
      </c>
      <c r="M2202" t="s">
        <v>3203</v>
      </c>
      <c r="N2202">
        <v>1</v>
      </c>
      <c r="O2202" t="s">
        <v>30</v>
      </c>
      <c r="P2202" t="e">
        <v>#VALUE!</v>
      </c>
      <c r="Q2202" t="e">
        <v>#VALUE!</v>
      </c>
      <c r="R2202" t="s">
        <v>3201</v>
      </c>
      <c r="S2202" t="s">
        <v>13</v>
      </c>
    </row>
    <row r="2203" spans="1:19" x14ac:dyDescent="0.3">
      <c r="A2203" t="s">
        <v>1595</v>
      </c>
      <c r="B2203" t="s">
        <v>2719</v>
      </c>
      <c r="C2203" t="s">
        <v>3184</v>
      </c>
      <c r="D2203" t="s">
        <v>3189</v>
      </c>
      <c r="E2203" t="s">
        <v>9</v>
      </c>
      <c r="F2203" s="2">
        <v>26</v>
      </c>
      <c r="G2203" t="s">
        <v>3206</v>
      </c>
      <c r="H2203" t="s">
        <v>70</v>
      </c>
      <c r="I2203" t="s">
        <v>11</v>
      </c>
      <c r="J2203" t="s">
        <v>3198</v>
      </c>
      <c r="K2203" t="s">
        <v>15</v>
      </c>
      <c r="L2203" s="2">
        <v>33</v>
      </c>
      <c r="M2203" t="s">
        <v>3203</v>
      </c>
      <c r="N2203">
        <v>1</v>
      </c>
      <c r="O2203" t="s">
        <v>30</v>
      </c>
      <c r="P2203" t="e">
        <v>#VALUE!</v>
      </c>
      <c r="Q2203" t="e">
        <v>#VALUE!</v>
      </c>
      <c r="R2203" t="s">
        <v>3201</v>
      </c>
      <c r="S2203"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74BA-2DCE-4E03-B1C7-1AC2291014F1}">
  <dimension ref="A1:C20"/>
  <sheetViews>
    <sheetView workbookViewId="0">
      <selection activeCell="E12" sqref="E12"/>
    </sheetView>
  </sheetViews>
  <sheetFormatPr defaultRowHeight="14.4" x14ac:dyDescent="0.3"/>
  <cols>
    <col min="1" max="1" width="9.44140625" bestFit="1" customWidth="1"/>
    <col min="2" max="2" width="14.109375" bestFit="1" customWidth="1"/>
    <col min="3" max="3" width="10.77734375" bestFit="1" customWidth="1"/>
  </cols>
  <sheetData>
    <row r="1" spans="1:3" x14ac:dyDescent="0.3">
      <c r="A1" t="s">
        <v>3214</v>
      </c>
    </row>
    <row r="3" spans="1:3" x14ac:dyDescent="0.3">
      <c r="A3" t="s">
        <v>3215</v>
      </c>
    </row>
    <row r="4" spans="1:3" x14ac:dyDescent="0.3">
      <c r="A4">
        <v>2202</v>
      </c>
    </row>
    <row r="6" spans="1:3" x14ac:dyDescent="0.3">
      <c r="A6">
        <f>GETPIVOTDATA("New Survived",$A$3)</f>
        <v>2202</v>
      </c>
    </row>
    <row r="8" spans="1:3" x14ac:dyDescent="0.3">
      <c r="A8" t="s">
        <v>3216</v>
      </c>
    </row>
    <row r="10" spans="1:3" x14ac:dyDescent="0.3">
      <c r="A10" t="s">
        <v>3220</v>
      </c>
      <c r="B10" t="s">
        <v>3221</v>
      </c>
      <c r="C10" t="s">
        <v>3222</v>
      </c>
    </row>
    <row r="11" spans="1:3" x14ac:dyDescent="0.3">
      <c r="A11" s="2">
        <v>0.58333333330000003</v>
      </c>
      <c r="B11" s="2">
        <v>30.411481986073206</v>
      </c>
      <c r="C11" s="2">
        <v>74</v>
      </c>
    </row>
    <row r="13" spans="1:3" x14ac:dyDescent="0.3">
      <c r="A13" s="2">
        <f>GETPIVOTDATA("Min of age",$A$10)</f>
        <v>0.58333333330000003</v>
      </c>
      <c r="B13" s="2">
        <f>GETPIVOTDATA("Average of age2",$A$10)</f>
        <v>30.411481986073206</v>
      </c>
      <c r="C13">
        <f>GETPIVOTDATA("Max of age3",$A$10)</f>
        <v>74</v>
      </c>
    </row>
    <row r="15" spans="1:3" x14ac:dyDescent="0.3">
      <c r="A15" t="s">
        <v>3223</v>
      </c>
    </row>
    <row r="17" spans="1:3" x14ac:dyDescent="0.3">
      <c r="A17" t="s">
        <v>3224</v>
      </c>
      <c r="B17" t="s">
        <v>3225</v>
      </c>
      <c r="C17" t="s">
        <v>3226</v>
      </c>
    </row>
    <row r="18" spans="1:3" x14ac:dyDescent="0.3">
      <c r="A18" s="2">
        <v>3.0305</v>
      </c>
      <c r="B18" s="2">
        <v>33.260388328791997</v>
      </c>
      <c r="C18" s="2">
        <v>512.0607</v>
      </c>
    </row>
    <row r="20" spans="1:3" x14ac:dyDescent="0.3">
      <c r="A20" s="2">
        <f>GETPIVOTDATA("Min of fare",$A$17)</f>
        <v>3.0305</v>
      </c>
      <c r="B20" s="2">
        <f>GETPIVOTDATA("Average of fare2",$A$17)</f>
        <v>33.260388328791997</v>
      </c>
      <c r="C20" s="2">
        <f>GETPIVOTDATA("Max of fare3",$A$17)</f>
        <v>512.0607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07A5-E6C9-4A32-9F28-0DC73A664A08}">
  <dimension ref="A1:E142"/>
  <sheetViews>
    <sheetView topLeftCell="A69" workbookViewId="0">
      <selection activeCell="A72" sqref="A72"/>
    </sheetView>
  </sheetViews>
  <sheetFormatPr defaultRowHeight="14.4" x14ac:dyDescent="0.3"/>
  <cols>
    <col min="1" max="1" width="12.44140625" bestFit="1" customWidth="1"/>
    <col min="2" max="2" width="19.5546875" bestFit="1" customWidth="1"/>
    <col min="13" max="13" width="12.5546875" bestFit="1" customWidth="1"/>
    <col min="14" max="14" width="19.6640625" bestFit="1" customWidth="1"/>
    <col min="15" max="15" width="8.21875" bestFit="1" customWidth="1"/>
    <col min="16" max="16" width="11.77734375" bestFit="1" customWidth="1"/>
    <col min="17" max="17" width="12.77734375" bestFit="1" customWidth="1"/>
    <col min="18" max="18" width="10.5546875" bestFit="1" customWidth="1"/>
  </cols>
  <sheetData>
    <row r="1" spans="1:2" x14ac:dyDescent="0.3">
      <c r="A1" t="s">
        <v>3227</v>
      </c>
    </row>
    <row r="3" spans="1:2" x14ac:dyDescent="0.3">
      <c r="A3" s="3" t="s">
        <v>3218</v>
      </c>
      <c r="B3" t="s">
        <v>3215</v>
      </c>
    </row>
    <row r="4" spans="1:2" x14ac:dyDescent="0.3">
      <c r="A4" s="4" t="s">
        <v>3201</v>
      </c>
      <c r="B4">
        <v>1492</v>
      </c>
    </row>
    <row r="5" spans="1:2" x14ac:dyDescent="0.3">
      <c r="A5" s="4" t="s">
        <v>3205</v>
      </c>
      <c r="B5">
        <v>710</v>
      </c>
    </row>
    <row r="6" spans="1:2" x14ac:dyDescent="0.3">
      <c r="A6" s="4" t="s">
        <v>3219</v>
      </c>
      <c r="B6">
        <v>2202</v>
      </c>
    </row>
    <row r="8" spans="1:2" x14ac:dyDescent="0.3">
      <c r="B8">
        <f>GETPIVOTDATA("New Survived",$A$3)</f>
        <v>2202</v>
      </c>
    </row>
    <row r="11" spans="1:2" x14ac:dyDescent="0.3">
      <c r="A11" t="s">
        <v>3228</v>
      </c>
    </row>
    <row r="13" spans="1:2" x14ac:dyDescent="0.3">
      <c r="A13" s="3" t="s">
        <v>3218</v>
      </c>
      <c r="B13" t="s">
        <v>3217</v>
      </c>
    </row>
    <row r="14" spans="1:2" x14ac:dyDescent="0.3">
      <c r="A14" s="4" t="s">
        <v>3190</v>
      </c>
      <c r="B14">
        <v>489</v>
      </c>
    </row>
    <row r="15" spans="1:2" x14ac:dyDescent="0.3">
      <c r="A15" s="4" t="s">
        <v>3189</v>
      </c>
      <c r="B15">
        <v>1713</v>
      </c>
    </row>
    <row r="16" spans="1:2" x14ac:dyDescent="0.3">
      <c r="A16" s="4" t="s">
        <v>3219</v>
      </c>
      <c r="B16">
        <v>2202</v>
      </c>
    </row>
    <row r="18" spans="1:2" x14ac:dyDescent="0.3">
      <c r="B18">
        <f>GETPIVOTDATA("Gender",$A$13)</f>
        <v>2202</v>
      </c>
    </row>
    <row r="21" spans="1:2" x14ac:dyDescent="0.3">
      <c r="A21" t="s">
        <v>3229</v>
      </c>
    </row>
    <row r="23" spans="1:2" x14ac:dyDescent="0.3">
      <c r="A23" s="3" t="s">
        <v>3218</v>
      </c>
      <c r="B23" t="s">
        <v>3230</v>
      </c>
    </row>
    <row r="24" spans="1:2" x14ac:dyDescent="0.3">
      <c r="A24" s="4" t="s">
        <v>3206</v>
      </c>
      <c r="B24">
        <v>1325</v>
      </c>
    </row>
    <row r="25" spans="1:2" x14ac:dyDescent="0.3">
      <c r="A25" s="4" t="s">
        <v>3208</v>
      </c>
      <c r="B25">
        <v>84</v>
      </c>
    </row>
    <row r="26" spans="1:2" x14ac:dyDescent="0.3">
      <c r="A26" s="4" t="s">
        <v>3210</v>
      </c>
      <c r="B26">
        <v>76</v>
      </c>
    </row>
    <row r="27" spans="1:2" x14ac:dyDescent="0.3">
      <c r="A27" s="4" t="s">
        <v>3197</v>
      </c>
      <c r="B27">
        <v>603</v>
      </c>
    </row>
    <row r="28" spans="1:2" x14ac:dyDescent="0.3">
      <c r="A28" s="4" t="s">
        <v>3202</v>
      </c>
      <c r="B28">
        <v>114</v>
      </c>
    </row>
    <row r="29" spans="1:2" x14ac:dyDescent="0.3">
      <c r="A29" s="4" t="s">
        <v>3219</v>
      </c>
      <c r="B29">
        <v>2202</v>
      </c>
    </row>
    <row r="31" spans="1:2" x14ac:dyDescent="0.3">
      <c r="B31">
        <f>GETPIVOTDATA("Age Group",$A$23)</f>
        <v>2202</v>
      </c>
    </row>
    <row r="46" spans="1:2" x14ac:dyDescent="0.3">
      <c r="A46" t="s">
        <v>3233</v>
      </c>
    </row>
    <row r="48" spans="1:2" x14ac:dyDescent="0.3">
      <c r="A48" s="3" t="s">
        <v>3218</v>
      </c>
      <c r="B48" t="s">
        <v>3234</v>
      </c>
    </row>
    <row r="49" spans="1:2" x14ac:dyDescent="0.3">
      <c r="A49" s="4" t="s">
        <v>25</v>
      </c>
      <c r="B49">
        <v>324</v>
      </c>
    </row>
    <row r="50" spans="1:2" x14ac:dyDescent="0.3">
      <c r="A50" s="4" t="s">
        <v>18</v>
      </c>
      <c r="B50">
        <v>284</v>
      </c>
    </row>
    <row r="51" spans="1:2" x14ac:dyDescent="0.3">
      <c r="A51" s="4" t="s">
        <v>10</v>
      </c>
      <c r="B51">
        <v>707</v>
      </c>
    </row>
    <row r="52" spans="1:2" x14ac:dyDescent="0.3">
      <c r="A52" s="4" t="s">
        <v>71</v>
      </c>
      <c r="B52">
        <v>66</v>
      </c>
    </row>
    <row r="53" spans="1:2" x14ac:dyDescent="0.3">
      <c r="A53" s="4" t="s">
        <v>51</v>
      </c>
      <c r="B53">
        <v>321</v>
      </c>
    </row>
    <row r="54" spans="1:2" x14ac:dyDescent="0.3">
      <c r="A54" s="4" t="s">
        <v>70</v>
      </c>
      <c r="B54">
        <v>69</v>
      </c>
    </row>
    <row r="55" spans="1:2" x14ac:dyDescent="0.3">
      <c r="A55" s="4" t="s">
        <v>69</v>
      </c>
      <c r="B55">
        <v>431</v>
      </c>
    </row>
    <row r="56" spans="1:2" x14ac:dyDescent="0.3">
      <c r="A56" s="4" t="s">
        <v>3219</v>
      </c>
      <c r="B56">
        <v>2202</v>
      </c>
    </row>
    <row r="58" spans="1:2" x14ac:dyDescent="0.3">
      <c r="B58">
        <f>GETPIVOTDATA("class",$A$48)</f>
        <v>2202</v>
      </c>
    </row>
    <row r="61" spans="1:2" x14ac:dyDescent="0.3">
      <c r="A61" t="s">
        <v>3235</v>
      </c>
    </row>
    <row r="63" spans="1:2" x14ac:dyDescent="0.3">
      <c r="A63" s="3" t="s">
        <v>3218</v>
      </c>
      <c r="B63" t="s">
        <v>3236</v>
      </c>
    </row>
    <row r="64" spans="1:2" x14ac:dyDescent="0.3">
      <c r="A64" s="4" t="s">
        <v>3212</v>
      </c>
      <c r="B64">
        <v>197</v>
      </c>
    </row>
    <row r="65" spans="1:2" x14ac:dyDescent="0.3">
      <c r="A65" s="4" t="s">
        <v>3207</v>
      </c>
      <c r="B65">
        <v>271</v>
      </c>
    </row>
    <row r="66" spans="1:2" x14ac:dyDescent="0.3">
      <c r="A66" s="4" t="s">
        <v>3213</v>
      </c>
      <c r="B66">
        <v>122</v>
      </c>
    </row>
    <row r="67" spans="1:2" x14ac:dyDescent="0.3">
      <c r="A67" s="4" t="s">
        <v>3198</v>
      </c>
      <c r="B67">
        <v>1612</v>
      </c>
    </row>
    <row r="68" spans="1:2" x14ac:dyDescent="0.3">
      <c r="A68" s="4" t="s">
        <v>3219</v>
      </c>
      <c r="B68">
        <v>2202</v>
      </c>
    </row>
    <row r="70" spans="1:2" x14ac:dyDescent="0.3">
      <c r="B70">
        <f>GETPIVOTDATA("Embark Gtown",$A$63)</f>
        <v>2202</v>
      </c>
    </row>
    <row r="72" spans="1:2" x14ac:dyDescent="0.3">
      <c r="A72" t="s">
        <v>3237</v>
      </c>
    </row>
    <row r="75" spans="1:2" x14ac:dyDescent="0.3">
      <c r="A75" s="3" t="s">
        <v>3218</v>
      </c>
      <c r="B75" t="s">
        <v>3238</v>
      </c>
    </row>
    <row r="76" spans="1:2" x14ac:dyDescent="0.3">
      <c r="A76" s="4" t="s">
        <v>15</v>
      </c>
      <c r="B76">
        <v>1202</v>
      </c>
    </row>
    <row r="77" spans="1:2" x14ac:dyDescent="0.3">
      <c r="A77" s="4" t="s">
        <v>12</v>
      </c>
      <c r="B77">
        <v>264</v>
      </c>
    </row>
    <row r="78" spans="1:2" x14ac:dyDescent="0.3">
      <c r="A78" s="4" t="s">
        <v>37</v>
      </c>
      <c r="B78">
        <v>136</v>
      </c>
    </row>
    <row r="79" spans="1:2" x14ac:dyDescent="0.3">
      <c r="A79" s="4" t="s">
        <v>23</v>
      </c>
      <c r="B79">
        <v>105</v>
      </c>
    </row>
    <row r="80" spans="1:2" x14ac:dyDescent="0.3">
      <c r="A80" s="4" t="s">
        <v>21</v>
      </c>
      <c r="B80">
        <v>71</v>
      </c>
    </row>
    <row r="81" spans="1:5" x14ac:dyDescent="0.3">
      <c r="A81" s="4" t="s">
        <v>3219</v>
      </c>
      <c r="B81">
        <v>1778</v>
      </c>
    </row>
    <row r="82" spans="1:5" x14ac:dyDescent="0.3">
      <c r="E82" s="4"/>
    </row>
    <row r="83" spans="1:5" x14ac:dyDescent="0.3">
      <c r="E83" s="4"/>
    </row>
    <row r="84" spans="1:5" x14ac:dyDescent="0.3">
      <c r="E84" s="4"/>
    </row>
    <row r="85" spans="1:5" x14ac:dyDescent="0.3">
      <c r="E85" s="4"/>
    </row>
    <row r="86" spans="1:5" x14ac:dyDescent="0.3">
      <c r="E86" s="4"/>
    </row>
    <row r="87" spans="1:5" x14ac:dyDescent="0.3">
      <c r="A87" t="s">
        <v>3231</v>
      </c>
    </row>
    <row r="89" spans="1:5" x14ac:dyDescent="0.3">
      <c r="A89" s="3" t="s">
        <v>3218</v>
      </c>
      <c r="B89" t="s">
        <v>3232</v>
      </c>
    </row>
    <row r="90" spans="1:5" x14ac:dyDescent="0.3">
      <c r="A90" s="4" t="s">
        <v>3211</v>
      </c>
      <c r="B90">
        <v>212</v>
      </c>
    </row>
    <row r="91" spans="1:5" x14ac:dyDescent="0.3">
      <c r="A91" s="4" t="s">
        <v>3199</v>
      </c>
      <c r="B91">
        <v>660</v>
      </c>
    </row>
    <row r="92" spans="1:5" x14ac:dyDescent="0.3">
      <c r="A92" s="4" t="s">
        <v>3203</v>
      </c>
      <c r="B92">
        <v>1247</v>
      </c>
    </row>
    <row r="93" spans="1:5" x14ac:dyDescent="0.3">
      <c r="A93" s="4" t="s">
        <v>3209</v>
      </c>
      <c r="B93">
        <v>83</v>
      </c>
    </row>
    <row r="94" spans="1:5" x14ac:dyDescent="0.3">
      <c r="A94" s="4" t="s">
        <v>3219</v>
      </c>
      <c r="B94">
        <v>2202</v>
      </c>
    </row>
    <row r="128" spans="1:1" x14ac:dyDescent="0.3">
      <c r="A128" t="s">
        <v>3239</v>
      </c>
    </row>
    <row r="131" spans="1:2" x14ac:dyDescent="0.3">
      <c r="A131" s="3" t="s">
        <v>3218</v>
      </c>
      <c r="B131" t="s">
        <v>3241</v>
      </c>
    </row>
    <row r="132" spans="1:2" x14ac:dyDescent="0.3">
      <c r="A132" s="4">
        <v>1</v>
      </c>
      <c r="B132">
        <v>786</v>
      </c>
    </row>
    <row r="133" spans="1:2" x14ac:dyDescent="0.3">
      <c r="A133" s="4">
        <v>2</v>
      </c>
      <c r="B133">
        <v>235</v>
      </c>
    </row>
    <row r="134" spans="1:2" x14ac:dyDescent="0.3">
      <c r="A134" s="4">
        <v>3</v>
      </c>
      <c r="B134">
        <v>159</v>
      </c>
    </row>
    <row r="135" spans="1:2" x14ac:dyDescent="0.3">
      <c r="A135" s="4">
        <v>4</v>
      </c>
      <c r="B135">
        <v>43</v>
      </c>
    </row>
    <row r="136" spans="1:2" x14ac:dyDescent="0.3">
      <c r="A136" s="4">
        <v>5</v>
      </c>
      <c r="B136">
        <v>22</v>
      </c>
    </row>
    <row r="137" spans="1:2" x14ac:dyDescent="0.3">
      <c r="A137" s="4">
        <v>6</v>
      </c>
      <c r="B137">
        <v>25</v>
      </c>
    </row>
    <row r="138" spans="1:2" x14ac:dyDescent="0.3">
      <c r="A138" s="4">
        <v>7</v>
      </c>
      <c r="B138">
        <v>16</v>
      </c>
    </row>
    <row r="139" spans="1:2" x14ac:dyDescent="0.3">
      <c r="A139" s="4">
        <v>8</v>
      </c>
      <c r="B139">
        <v>8</v>
      </c>
    </row>
    <row r="140" spans="1:2" x14ac:dyDescent="0.3">
      <c r="A140" s="4">
        <v>11</v>
      </c>
      <c r="B140">
        <v>11</v>
      </c>
    </row>
    <row r="141" spans="1:2" x14ac:dyDescent="0.3">
      <c r="A141" s="4" t="s">
        <v>3240</v>
      </c>
      <c r="B141">
        <v>897</v>
      </c>
    </row>
    <row r="142" spans="1:2" x14ac:dyDescent="0.3">
      <c r="A142" s="4" t="s">
        <v>3219</v>
      </c>
      <c r="B142">
        <v>2202</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2A7C-BCA1-42B0-92FE-2A96FBC2BFF4}">
  <dimension ref="A1:V35"/>
  <sheetViews>
    <sheetView zoomScale="75" zoomScaleNormal="70" workbookViewId="0">
      <selection activeCell="Y29" sqref="Y29"/>
    </sheetView>
  </sheetViews>
  <sheetFormatPr defaultRowHeight="14.4" x14ac:dyDescent="0.3"/>
  <sheetData>
    <row r="1" spans="1:22" ht="23.4" x14ac:dyDescent="0.45">
      <c r="A1" s="6" t="s">
        <v>3243</v>
      </c>
      <c r="B1" s="6"/>
      <c r="C1" s="6"/>
      <c r="D1" s="6"/>
      <c r="E1" s="12" t="s">
        <v>3242</v>
      </c>
      <c r="F1" s="13"/>
      <c r="G1" s="13"/>
      <c r="H1" s="13"/>
      <c r="I1" s="13"/>
      <c r="J1" s="13"/>
      <c r="K1" s="13"/>
      <c r="L1" s="13"/>
      <c r="M1" s="13"/>
      <c r="N1" s="13"/>
      <c r="O1" s="13"/>
      <c r="P1" s="13"/>
      <c r="Q1" s="13"/>
      <c r="R1" s="13"/>
      <c r="S1" s="6" t="s">
        <v>3244</v>
      </c>
      <c r="T1" s="6"/>
      <c r="U1" s="6" t="s">
        <v>3245</v>
      </c>
      <c r="V1" s="6"/>
    </row>
    <row r="2" spans="1:22" x14ac:dyDescent="0.3">
      <c r="A2" s="7">
        <f>'KPI-Q'!A6</f>
        <v>2202</v>
      </c>
      <c r="B2" s="7"/>
      <c r="C2" s="7"/>
      <c r="D2" s="7"/>
      <c r="E2" s="14"/>
      <c r="F2" s="13"/>
      <c r="G2" s="13"/>
      <c r="H2" s="13"/>
      <c r="I2" s="13"/>
      <c r="J2" s="13"/>
      <c r="K2" s="13"/>
      <c r="L2" s="13"/>
      <c r="M2" s="13"/>
      <c r="N2" s="13"/>
      <c r="O2" s="13"/>
      <c r="P2" s="13"/>
      <c r="Q2" s="13"/>
      <c r="R2" s="15"/>
      <c r="S2" s="8">
        <f>'KPI-Q'!B20</f>
        <v>33.260388328791997</v>
      </c>
      <c r="T2" s="9"/>
      <c r="U2" s="10">
        <f>'KPI-Q'!B13</f>
        <v>30.411481986073206</v>
      </c>
      <c r="V2" s="11"/>
    </row>
    <row r="3" spans="1:22" x14ac:dyDescent="0.3">
      <c r="A3" s="7"/>
      <c r="B3" s="7"/>
      <c r="C3" s="7"/>
      <c r="D3" s="7"/>
      <c r="E3" s="5"/>
      <c r="F3" s="5"/>
      <c r="G3" s="5"/>
      <c r="H3" s="5"/>
      <c r="I3" s="5"/>
      <c r="J3" s="5"/>
      <c r="K3" s="5"/>
      <c r="L3" s="5"/>
      <c r="M3" s="5"/>
      <c r="N3" s="5"/>
      <c r="O3" s="5"/>
      <c r="P3" s="5"/>
      <c r="Q3" s="5"/>
      <c r="R3" s="5"/>
      <c r="S3" s="9"/>
      <c r="T3" s="9"/>
      <c r="U3" s="11"/>
      <c r="V3" s="11"/>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x14ac:dyDescent="0.3">
      <c r="A31" s="5"/>
      <c r="B31" s="5"/>
      <c r="C31" s="5"/>
      <c r="D31" s="5"/>
      <c r="E31" s="5"/>
      <c r="F31" s="5"/>
      <c r="G31" s="5"/>
      <c r="H31" s="5"/>
      <c r="I31" s="5"/>
      <c r="J31" s="5"/>
      <c r="K31" s="5"/>
      <c r="L31" s="5"/>
      <c r="M31" s="5"/>
      <c r="N31" s="5"/>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row r="35" spans="1:22" x14ac:dyDescent="0.3">
      <c r="A35" s="5"/>
      <c r="B35" s="5"/>
      <c r="C35" s="5"/>
      <c r="D35" s="5"/>
      <c r="E35" s="5"/>
      <c r="F35" s="5"/>
      <c r="G35" s="5"/>
      <c r="H35" s="5"/>
      <c r="I35" s="5"/>
      <c r="J35" s="5"/>
      <c r="K35" s="5"/>
      <c r="L35" s="5"/>
      <c r="M35" s="5"/>
      <c r="N35" s="5"/>
      <c r="O35" s="5"/>
      <c r="P35" s="5"/>
      <c r="Q35" s="5"/>
      <c r="R35" s="5"/>
      <c r="S35" s="5"/>
      <c r="T35" s="5"/>
      <c r="U35" s="5"/>
      <c r="V35" s="5"/>
    </row>
  </sheetData>
  <mergeCells count="7">
    <mergeCell ref="A1:D1"/>
    <mergeCell ref="A2:D3"/>
    <mergeCell ref="S1:T1"/>
    <mergeCell ref="U1:V1"/>
    <mergeCell ref="S2:T3"/>
    <mergeCell ref="U2:V3"/>
    <mergeCell ref="E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titanic (1)</vt:lpstr>
      <vt:lpstr>Clean Data</vt:lpstr>
      <vt:lpstr>KPI-Q</vt:lpstr>
      <vt:lpstr>EDA-Q</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c:creator>
  <cp:lastModifiedBy>Neha Nirmalkar</cp:lastModifiedBy>
  <dcterms:created xsi:type="dcterms:W3CDTF">2026-07-14T05:19:04Z</dcterms:created>
  <dcterms:modified xsi:type="dcterms:W3CDTF">2026-07-20T13:48:48Z</dcterms:modified>
</cp:coreProperties>
</file>